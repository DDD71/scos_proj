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indows\桌面\蓝图临时材料\"/>
    </mc:Choice>
  </mc:AlternateContent>
  <bookViews>
    <workbookView windowWidth="20572" windowHeight="11775"/>
  </bookViews>
  <sheets>
    <sheet name="综合计划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WANGHUI</author>
  </authors>
  <commentList>
    <comment ref="A13" authorId="0">
      <text>
        <r>
          <rPr>
            <b/>
            <sz val="9"/>
            <rFont val="宋体"/>
            <charset val="134"/>
          </rPr>
          <t>WANGHUI:</t>
        </r>
        <r>
          <rPr>
            <sz val="9"/>
            <rFont val="宋体"/>
            <charset val="134"/>
          </rPr>
          <t xml:space="preserve">
大线：400/350/180；
小线：80</t>
        </r>
      </text>
    </comment>
  </commentList>
</comments>
</file>

<file path=xl/sharedStrings.xml><?xml version="1.0" encoding="utf-8"?>
<sst xmlns="http://schemas.openxmlformats.org/spreadsheetml/2006/main" count="178" uniqueCount="74">
  <si>
    <t>2024年12月份生产综合计划</t>
  </si>
  <si>
    <t>一、工时计划</t>
  </si>
  <si>
    <t>项目</t>
  </si>
  <si>
    <t>单位</t>
  </si>
  <si>
    <t>淀粉糖一装置</t>
  </si>
  <si>
    <t>淀粉糖二装置</t>
  </si>
  <si>
    <t>果糖</t>
  </si>
  <si>
    <t>葡萄糖60%</t>
  </si>
  <si>
    <t>麦芽糖</t>
  </si>
  <si>
    <t>日历时数</t>
  </si>
  <si>
    <t>h</t>
  </si>
  <si>
    <t>开车工时</t>
  </si>
  <si>
    <t>停车工时</t>
  </si>
  <si>
    <t>二、绝干收率</t>
  </si>
  <si>
    <t>绝干收率（%）</t>
  </si>
  <si>
    <t>%</t>
  </si>
  <si>
    <t>IFERROR(ROUND(1/(C31*0.86/0.77),4),"——")</t>
  </si>
  <si>
    <t>三、生产负荷计划</t>
  </si>
  <si>
    <t>生产负荷</t>
  </si>
  <si>
    <t>四、产品产量</t>
  </si>
  <si>
    <t>产品名称</t>
  </si>
  <si>
    <t>果糖F42（71%）</t>
  </si>
  <si>
    <t>t</t>
  </si>
  <si>
    <t>果糖F55（77%）</t>
  </si>
  <si>
    <t>果糖F60（73%）</t>
  </si>
  <si>
    <t>果糖F90（77%）</t>
  </si>
  <si>
    <t>麦芽糖（75%）大线</t>
  </si>
  <si>
    <t>麦芽糖（75%）小线</t>
  </si>
  <si>
    <t>葡萄糖70%</t>
  </si>
  <si>
    <t>果糖折F55产量</t>
  </si>
  <si>
    <t>把果糖统一转还成F55的标准</t>
  </si>
  <si>
    <t>五、辅助材料消耗计划</t>
  </si>
  <si>
    <t>（1）商品单耗</t>
  </si>
  <si>
    <t>物料BOM</t>
  </si>
  <si>
    <t>淀粉（商品）</t>
  </si>
  <si>
    <t xml:space="preserve"> t/t</t>
  </si>
  <si>
    <t>果糖采用F55含淀粉的含量</t>
  </si>
  <si>
    <t xml:space="preserve">盐酸  </t>
  </si>
  <si>
    <t>kg/t</t>
  </si>
  <si>
    <t>液碱</t>
  </si>
  <si>
    <t xml:space="preserve">珍珠岩 </t>
  </si>
  <si>
    <t xml:space="preserve">活性炭  </t>
  </si>
  <si>
    <t xml:space="preserve">淀粉酶 </t>
  </si>
  <si>
    <t>糖化酶</t>
  </si>
  <si>
    <r>
      <rPr>
        <b/>
        <sz val="11"/>
        <color theme="9"/>
        <rFont val="Calibri"/>
        <charset val="134"/>
      </rPr>
      <t>β</t>
    </r>
    <r>
      <rPr>
        <b/>
        <sz val="11"/>
        <color theme="9"/>
        <rFont val="等线"/>
        <charset val="134"/>
        <scheme val="minor"/>
      </rPr>
      <t xml:space="preserve">淀粉酶 </t>
    </r>
  </si>
  <si>
    <t xml:space="preserve">异构酶 </t>
  </si>
  <si>
    <t xml:space="preserve">硫酸镁 </t>
  </si>
  <si>
    <t xml:space="preserve">焦亚硫酸钠 </t>
  </si>
  <si>
    <t>（2）产品消耗</t>
  </si>
  <si>
    <t>合计</t>
  </si>
  <si>
    <t xml:space="preserve"> t</t>
  </si>
  <si>
    <t>kg</t>
  </si>
  <si>
    <r>
      <rPr>
        <sz val="11"/>
        <rFont val="Calibri"/>
        <charset val="134"/>
      </rPr>
      <t>β</t>
    </r>
    <r>
      <rPr>
        <sz val="11"/>
        <rFont val="等线"/>
        <charset val="134"/>
        <scheme val="minor"/>
      </rPr>
      <t xml:space="preserve">淀粉酶 </t>
    </r>
  </si>
  <si>
    <t>六、能源动力消耗计划</t>
  </si>
  <si>
    <t>能耗BOM</t>
  </si>
  <si>
    <t>水</t>
  </si>
  <si>
    <t>t/t</t>
  </si>
  <si>
    <t>电</t>
  </si>
  <si>
    <t>Kw.h/t</t>
  </si>
  <si>
    <t>蒸汽</t>
  </si>
  <si>
    <t>天然气</t>
  </si>
  <si>
    <t>m³/t</t>
  </si>
  <si>
    <t>Kw.h</t>
  </si>
  <si>
    <t>m3</t>
  </si>
  <si>
    <t>七、污水排放计划</t>
  </si>
  <si>
    <t>污染物指标：COD</t>
  </si>
  <si>
    <t>Mg/l</t>
  </si>
  <si>
    <t xml:space="preserve">            SS</t>
  </si>
  <si>
    <t xml:space="preserve">            PH</t>
  </si>
  <si>
    <t>4--7</t>
  </si>
  <si>
    <t>4--6</t>
  </si>
  <si>
    <t>排水量：  日排水量</t>
  </si>
  <si>
    <t>　　　　  月排水量</t>
  </si>
  <si>
    <t xml:space="preserve">主管领导：                                        部门经理：                                        制表人: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</si>
</sst>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2">
    <font>
      <sz val="11"/>
      <color theme="1"/>
      <name val="等线"/>
      <charset val="134"/>
      <scheme val="minor"/>
    </font>
    <font>
      <b/>
      <sz val="18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name val="仿宋_GB2312"/>
      <charset val="134"/>
    </font>
    <font>
      <sz val="11"/>
      <color theme="1"/>
      <name val="仿宋_GB2312"/>
      <charset val="134"/>
    </font>
    <font>
      <sz val="11"/>
      <color rgb="FFFF0000"/>
      <name val="等线"/>
      <charset val="134"/>
      <scheme val="minor"/>
    </font>
    <font>
      <b/>
      <sz val="11"/>
      <color theme="9"/>
      <name val="等线"/>
      <charset val="134"/>
      <scheme val="minor"/>
    </font>
    <font>
      <b/>
      <sz val="11"/>
      <color theme="9"/>
      <name val="Calibri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0" fillId="0" borderId="0" xfId="52" applyAlignment="1">
      <alignment horizontal="left" vertical="center"/>
    </xf>
    <xf numFmtId="0" fontId="0" fillId="0" borderId="0" xfId="52" applyAlignment="1">
      <alignment horizontal="center" vertical="center"/>
    </xf>
    <xf numFmtId="0" fontId="0" fillId="0" borderId="0" xfId="52" applyAlignment="1">
      <alignment horizontal="left" vertical="top"/>
    </xf>
    <xf numFmtId="0" fontId="1" fillId="0" borderId="0" xfId="52" applyFont="1" applyAlignment="1" applyProtection="1">
      <alignment horizontal="center" vertical="center"/>
      <protection locked="0"/>
    </xf>
    <xf numFmtId="0" fontId="2" fillId="0" borderId="0" xfId="54" applyNumberFormat="1" applyFont="1" applyFill="1" applyBorder="1" applyAlignment="1">
      <alignment horizontal="left" vertical="center"/>
    </xf>
    <xf numFmtId="0" fontId="2" fillId="0" borderId="0" xfId="54" applyNumberFormat="1" applyFont="1" applyFill="1" applyBorder="1" applyAlignment="1">
      <alignment horizontal="center" vertical="center"/>
    </xf>
    <xf numFmtId="0" fontId="3" fillId="0" borderId="0" xfId="54" applyNumberFormat="1" applyFont="1" applyFill="1" applyBorder="1" applyAlignment="1">
      <alignment horizontal="center" vertical="center"/>
    </xf>
    <xf numFmtId="0" fontId="0" fillId="0" borderId="1" xfId="52" applyBorder="1" applyAlignment="1">
      <alignment horizontal="left" vertical="center"/>
    </xf>
    <xf numFmtId="0" fontId="0" fillId="0" borderId="2" xfId="52" applyBorder="1" applyAlignment="1">
      <alignment horizontal="center" vertical="center"/>
    </xf>
    <xf numFmtId="0" fontId="3" fillId="0" borderId="1" xfId="54" applyNumberFormat="1" applyFont="1" applyFill="1" applyBorder="1" applyAlignment="1" applyProtection="1">
      <alignment horizontal="center" vertical="center"/>
    </xf>
    <xf numFmtId="0" fontId="0" fillId="0" borderId="3" xfId="52" applyBorder="1" applyAlignment="1">
      <alignment horizontal="center" vertical="center"/>
    </xf>
    <xf numFmtId="0" fontId="3" fillId="0" borderId="1" xfId="54" applyNumberFormat="1" applyFont="1" applyFill="1" applyBorder="1" applyAlignment="1">
      <alignment horizontal="center" vertical="center"/>
    </xf>
    <xf numFmtId="0" fontId="3" fillId="0" borderId="1" xfId="54" applyNumberFormat="1" applyFont="1" applyFill="1" applyBorder="1" applyAlignment="1">
      <alignment horizontal="left" vertical="center"/>
    </xf>
    <xf numFmtId="0" fontId="4" fillId="0" borderId="1" xfId="54" applyNumberFormat="1" applyFont="1" applyFill="1" applyBorder="1" applyAlignment="1" applyProtection="1">
      <alignment horizontal="center" vertical="center"/>
      <protection locked="0"/>
    </xf>
    <xf numFmtId="0" fontId="4" fillId="0" borderId="1" xfId="54" applyNumberFormat="1" applyFont="1" applyFill="1" applyBorder="1" applyAlignment="1">
      <alignment horizontal="center" vertical="center"/>
    </xf>
    <xf numFmtId="176" fontId="4" fillId="0" borderId="1" xfId="50" applyNumberFormat="1" applyFont="1" applyFill="1" applyBorder="1" applyAlignment="1">
      <alignment horizontal="center" vertical="center" wrapText="1"/>
    </xf>
    <xf numFmtId="0" fontId="2" fillId="0" borderId="4" xfId="54" applyNumberFormat="1" applyFont="1" applyFill="1" applyBorder="1" applyAlignment="1">
      <alignment horizontal="left" vertical="center"/>
    </xf>
    <xf numFmtId="0" fontId="2" fillId="0" borderId="5" xfId="54" applyNumberFormat="1" applyFont="1" applyFill="1" applyBorder="1" applyAlignment="1">
      <alignment horizontal="center" vertical="center"/>
    </xf>
    <xf numFmtId="0" fontId="3" fillId="0" borderId="5" xfId="54" applyNumberFormat="1" applyFont="1" applyFill="1" applyBorder="1" applyAlignment="1">
      <alignment horizontal="center" vertical="center" wrapText="1"/>
    </xf>
    <xf numFmtId="0" fontId="3" fillId="0" borderId="6" xfId="54" applyNumberFormat="1" applyFont="1" applyFill="1" applyBorder="1" applyAlignment="1">
      <alignment horizontal="center" vertical="center"/>
    </xf>
    <xf numFmtId="0" fontId="3" fillId="0" borderId="6" xfId="54" applyNumberFormat="1" applyFont="1" applyFill="1" applyBorder="1" applyAlignment="1" applyProtection="1">
      <alignment horizontal="center" vertical="center"/>
    </xf>
    <xf numFmtId="0" fontId="3" fillId="0" borderId="7" xfId="54" applyNumberFormat="1" applyFont="1" applyFill="1" applyBorder="1" applyAlignment="1" applyProtection="1">
      <alignment horizontal="center" vertical="center"/>
    </xf>
    <xf numFmtId="0" fontId="3" fillId="0" borderId="8" xfId="54" applyNumberFormat="1" applyFont="1" applyFill="1" applyBorder="1" applyAlignment="1" applyProtection="1">
      <alignment horizontal="center" vertical="center"/>
    </xf>
    <xf numFmtId="0" fontId="4" fillId="0" borderId="6" xfId="54" applyNumberFormat="1" applyFont="1" applyFill="1" applyBorder="1" applyAlignment="1" applyProtection="1">
      <alignment horizontal="center" vertical="center"/>
      <protection locked="0"/>
    </xf>
    <xf numFmtId="0" fontId="4" fillId="0" borderId="7" xfId="54" applyNumberFormat="1" applyFont="1" applyFill="1" applyBorder="1" applyAlignment="1" applyProtection="1">
      <alignment horizontal="center" vertical="center"/>
      <protection locked="0"/>
    </xf>
    <xf numFmtId="0" fontId="4" fillId="0" borderId="8" xfId="54" applyNumberFormat="1" applyFont="1" applyFill="1" applyBorder="1" applyAlignment="1" applyProtection="1">
      <alignment horizontal="center" vertical="center"/>
      <protection locked="0"/>
    </xf>
    <xf numFmtId="0" fontId="4" fillId="0" borderId="6" xfId="54" applyNumberFormat="1" applyFont="1" applyFill="1" applyBorder="1" applyAlignment="1">
      <alignment horizontal="center" vertical="center"/>
    </xf>
    <xf numFmtId="0" fontId="4" fillId="0" borderId="7" xfId="54" applyNumberFormat="1" applyFont="1" applyFill="1" applyBorder="1" applyAlignment="1">
      <alignment horizontal="center" vertical="center"/>
    </xf>
    <xf numFmtId="0" fontId="4" fillId="0" borderId="8" xfId="54" applyNumberFormat="1" applyFont="1" applyFill="1" applyBorder="1" applyAlignment="1">
      <alignment horizontal="center" vertical="center"/>
    </xf>
    <xf numFmtId="0" fontId="3" fillId="0" borderId="0" xfId="54" applyNumberFormat="1" applyFont="1" applyFill="1" applyBorder="1" applyAlignment="1">
      <alignment horizontal="center" vertical="center" wrapText="1"/>
    </xf>
    <xf numFmtId="0" fontId="3" fillId="0" borderId="0" xfId="54" applyNumberFormat="1" applyFont="1" applyFill="1" applyBorder="1" applyAlignment="1">
      <alignment horizontal="left" vertical="center"/>
    </xf>
    <xf numFmtId="0" fontId="3" fillId="2" borderId="0" xfId="54" applyNumberFormat="1" applyFont="1" applyFill="1" applyBorder="1" applyAlignment="1">
      <alignment horizontal="center" vertical="center"/>
    </xf>
    <xf numFmtId="0" fontId="4" fillId="0" borderId="1" xfId="54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2" applyFont="1" applyBorder="1" applyAlignment="1" applyProtection="1">
      <alignment horizontal="center" vertical="center"/>
      <protection locked="0"/>
    </xf>
    <xf numFmtId="0" fontId="6" fillId="0" borderId="1" xfId="54" applyNumberFormat="1" applyFont="1" applyFill="1" applyBorder="1" applyAlignment="1">
      <alignment horizontal="left" vertical="center"/>
    </xf>
    <xf numFmtId="0" fontId="7" fillId="0" borderId="1" xfId="54" applyNumberFormat="1" applyFont="1" applyFill="1" applyBorder="1" applyAlignment="1">
      <alignment horizontal="left" vertical="center"/>
    </xf>
    <xf numFmtId="0" fontId="8" fillId="0" borderId="1" xfId="54" applyNumberFormat="1" applyFont="1" applyFill="1" applyBorder="1" applyAlignment="1">
      <alignment horizontal="left" vertical="center"/>
    </xf>
    <xf numFmtId="0" fontId="0" fillId="0" borderId="1" xfId="52" applyBorder="1" applyAlignment="1">
      <alignment horizontal="center" vertical="center"/>
    </xf>
    <xf numFmtId="0" fontId="4" fillId="0" borderId="1" xfId="54" applyNumberFormat="1" applyFont="1" applyFill="1" applyBorder="1" applyAlignment="1">
      <alignment horizontal="center" vertical="center" wrapText="1"/>
    </xf>
    <xf numFmtId="0" fontId="4" fillId="0" borderId="6" xfId="54" applyNumberFormat="1" applyFont="1" applyFill="1" applyBorder="1" applyAlignment="1" applyProtection="1">
      <alignment horizontal="center" vertical="center"/>
    </xf>
    <xf numFmtId="0" fontId="4" fillId="0" borderId="8" xfId="54" applyNumberFormat="1" applyFont="1" applyFill="1" applyBorder="1" applyAlignment="1" applyProtection="1">
      <alignment horizontal="center" vertical="center"/>
    </xf>
    <xf numFmtId="0" fontId="2" fillId="2" borderId="0" xfId="54" applyNumberFormat="1" applyFont="1" applyFill="1" applyBorder="1" applyAlignment="1">
      <alignment horizontal="center" vertical="center"/>
    </xf>
    <xf numFmtId="0" fontId="9" fillId="0" borderId="0" xfId="52" applyFont="1" applyAlignment="1">
      <alignment horizontal="center" vertical="center" wrapText="1"/>
    </xf>
    <xf numFmtId="0" fontId="9" fillId="0" borderId="0" xfId="54" applyNumberFormat="1" applyFont="1" applyFill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4" xfId="50"/>
    <cellStyle name="常规 2" xfId="51"/>
    <cellStyle name="常规 2 4" xfId="52"/>
    <cellStyle name="千位分隔 2" xfId="53"/>
    <cellStyle name="千位分隔 2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"/>
  <sheetViews>
    <sheetView tabSelected="1" zoomScale="145" zoomScaleNormal="145" workbookViewId="0">
      <selection activeCell="H8" sqref="H8"/>
    </sheetView>
  </sheetViews>
  <sheetFormatPr defaultColWidth="15.5575221238938" defaultRowHeight="20.1" customHeight="1" outlineLevelCol="7"/>
  <cols>
    <col min="1" max="1" width="18.2212389380531" style="1" customWidth="1"/>
    <col min="2" max="2" width="9.7787610619469" style="2" customWidth="1"/>
    <col min="3" max="7" width="12.5575221238938" style="2" customWidth="1"/>
    <col min="8" max="8" width="25.2300884955752" style="3" customWidth="1"/>
    <col min="9" max="16384" width="15.5575221238938" style="2"/>
  </cols>
  <sheetData>
    <row r="1" ht="32.25" customHeight="1" spans="1:8">
      <c r="A1" s="4" t="s">
        <v>0</v>
      </c>
      <c r="B1" s="4"/>
      <c r="C1" s="4"/>
      <c r="D1" s="4"/>
      <c r="E1" s="4"/>
      <c r="F1" s="4"/>
      <c r="G1" s="4"/>
    </row>
    <row r="2" customHeight="1" spans="1:8">
      <c r="A2" s="5" t="s">
        <v>1</v>
      </c>
      <c r="B2" s="6"/>
      <c r="C2" s="7"/>
      <c r="D2" s="7"/>
      <c r="E2" s="7"/>
    </row>
    <row r="3" customHeight="1" spans="1:8">
      <c r="A3" s="8" t="s">
        <v>2</v>
      </c>
      <c r="B3" s="9" t="s">
        <v>3</v>
      </c>
      <c r="C3" s="10" t="s">
        <v>4</v>
      </c>
      <c r="D3" s="10"/>
      <c r="E3" s="10"/>
      <c r="F3" s="10" t="s">
        <v>5</v>
      </c>
      <c r="G3" s="10"/>
    </row>
    <row r="4" customHeight="1" spans="1:8">
      <c r="A4" s="8"/>
      <c r="B4" s="11"/>
      <c r="C4" s="12" t="s">
        <v>6</v>
      </c>
      <c r="D4" s="12" t="s">
        <v>7</v>
      </c>
      <c r="E4" s="12" t="s">
        <v>8</v>
      </c>
      <c r="F4" s="12" t="s">
        <v>7</v>
      </c>
      <c r="G4" s="12" t="s">
        <v>6</v>
      </c>
    </row>
    <row r="5" customHeight="1" spans="1:8">
      <c r="A5" s="13" t="s">
        <v>9</v>
      </c>
      <c r="B5" s="12" t="s">
        <v>10</v>
      </c>
      <c r="C5" s="14">
        <v>744</v>
      </c>
      <c r="D5" s="15">
        <f>$C$5</f>
        <v>744</v>
      </c>
      <c r="E5" s="15">
        <f>$C$5</f>
        <v>744</v>
      </c>
      <c r="F5" s="15">
        <f>$C$5</f>
        <v>744</v>
      </c>
      <c r="G5" s="15">
        <f>$C$5</f>
        <v>744</v>
      </c>
    </row>
    <row r="6" customHeight="1" spans="1:8">
      <c r="A6" s="8" t="s">
        <v>11</v>
      </c>
      <c r="B6" s="12" t="s">
        <v>10</v>
      </c>
      <c r="C6" s="14">
        <f>25*24</f>
        <v>600</v>
      </c>
      <c r="D6" s="14">
        <v>60</v>
      </c>
      <c r="E6" s="14">
        <f t="shared" ref="E6:G6" si="0">25*24</f>
        <v>600</v>
      </c>
      <c r="F6" s="14">
        <v>0</v>
      </c>
      <c r="G6" s="14">
        <f t="shared" si="0"/>
        <v>600</v>
      </c>
    </row>
    <row r="7" customHeight="1" spans="1:8">
      <c r="A7" s="8" t="s">
        <v>12</v>
      </c>
      <c r="B7" s="12" t="s">
        <v>10</v>
      </c>
      <c r="C7" s="15">
        <f>C5-C6</f>
        <v>144</v>
      </c>
      <c r="D7" s="15">
        <f>D5-D6</f>
        <v>684</v>
      </c>
      <c r="E7" s="15">
        <f>E5-E6</f>
        <v>144</v>
      </c>
      <c r="F7" s="15">
        <f>F5-F6</f>
        <v>744</v>
      </c>
      <c r="G7" s="15">
        <f>G5-G6</f>
        <v>144</v>
      </c>
    </row>
    <row r="8" customHeight="1" spans="1:8">
      <c r="A8" s="5" t="s">
        <v>13</v>
      </c>
      <c r="B8" s="6"/>
      <c r="C8" s="7"/>
      <c r="D8" s="7"/>
      <c r="E8" s="7"/>
    </row>
    <row r="9" customHeight="1" spans="1:8">
      <c r="A9" s="8" t="s">
        <v>2</v>
      </c>
      <c r="B9" s="9" t="s">
        <v>3</v>
      </c>
      <c r="C9" s="10" t="s">
        <v>4</v>
      </c>
      <c r="D9" s="10"/>
      <c r="E9" s="10"/>
      <c r="F9" s="10" t="s">
        <v>5</v>
      </c>
      <c r="G9" s="10"/>
    </row>
    <row r="10" customHeight="1" spans="1:8">
      <c r="A10" s="8"/>
      <c r="B10" s="11"/>
      <c r="C10" s="12" t="s">
        <v>6</v>
      </c>
      <c r="D10" s="12" t="s">
        <v>7</v>
      </c>
      <c r="E10" s="12" t="s">
        <v>8</v>
      </c>
      <c r="F10" s="12" t="s">
        <v>7</v>
      </c>
      <c r="G10" s="12" t="s">
        <v>6</v>
      </c>
    </row>
    <row r="11" customHeight="1" spans="1:8">
      <c r="A11" s="13" t="s">
        <v>14</v>
      </c>
      <c r="B11" s="12" t="s">
        <v>15</v>
      </c>
      <c r="C11" s="16">
        <f>IFERROR(ROUND(1/(C31*0.86/0.77),4),"——")</f>
        <v>1.0813</v>
      </c>
      <c r="D11" s="16">
        <f>IFERROR(ROUND(1/(D31*0.86/0.6),4),"——")</f>
        <v>1.08</v>
      </c>
      <c r="E11" s="16">
        <f>IFERROR(ROUND(1/(E31*0.86/0.75),4),"——")</f>
        <v>1.0248</v>
      </c>
      <c r="F11" s="16">
        <f>IFERROR(ROUND(1/(F31*0.86/0.6),4),"——")</f>
        <v>1.08</v>
      </c>
      <c r="G11" s="16">
        <f>IFERROR(ROUND(1/(G31*0.86/0.77),4),"——")</f>
        <v>1.0813</v>
      </c>
      <c r="H11" s="3" t="s">
        <v>16</v>
      </c>
    </row>
    <row r="12" customHeight="1" spans="1:8">
      <c r="A12" s="17" t="s">
        <v>17</v>
      </c>
      <c r="B12" s="18"/>
      <c r="C12" s="19"/>
      <c r="D12" s="19"/>
      <c r="E12" s="19"/>
    </row>
    <row r="13" customHeight="1" spans="1:8">
      <c r="A13" s="8" t="s">
        <v>2</v>
      </c>
      <c r="B13" s="9" t="s">
        <v>3</v>
      </c>
      <c r="C13" s="10" t="s">
        <v>4</v>
      </c>
      <c r="D13" s="10"/>
      <c r="E13" s="10"/>
      <c r="F13" s="10"/>
      <c r="G13" s="10" t="s">
        <v>5</v>
      </c>
    </row>
    <row r="14" customHeight="1" spans="1:8">
      <c r="A14" s="8"/>
      <c r="B14" s="11"/>
      <c r="C14" s="12" t="s">
        <v>6</v>
      </c>
      <c r="D14" s="12" t="s">
        <v>7</v>
      </c>
      <c r="E14" s="12" t="s">
        <v>8</v>
      </c>
      <c r="F14" s="12" t="s">
        <v>7</v>
      </c>
      <c r="G14" s="12" t="s">
        <v>6</v>
      </c>
    </row>
    <row r="15" customHeight="1" spans="1:8">
      <c r="A15" s="13" t="s">
        <v>18</v>
      </c>
      <c r="B15" s="12" t="s">
        <v>15</v>
      </c>
      <c r="C15" s="16">
        <f>IFERROR(C26/C6/(400/24),"——")</f>
        <v>0.858</v>
      </c>
      <c r="D15" s="16">
        <f>IFERROR(C24/D6/(400/24),"——")</f>
        <v>0.685</v>
      </c>
      <c r="E15" s="16">
        <f>IFERROR((C22+C23)/E6/(80/24),"——")</f>
        <v>0.92</v>
      </c>
      <c r="F15" s="16" t="str">
        <f>IFERROR(F24/F6/(480/24),"——")</f>
        <v>——</v>
      </c>
      <c r="G15" s="16">
        <f>IFERROR(F26/G6/(480/24),"——")</f>
        <v>1.06558333333333</v>
      </c>
    </row>
    <row r="16" customHeight="1" spans="1:8">
      <c r="A16" s="5" t="s">
        <v>19</v>
      </c>
      <c r="B16" s="6"/>
      <c r="C16" s="7"/>
      <c r="D16" s="7"/>
      <c r="E16" s="7"/>
    </row>
    <row r="17" customHeight="1" spans="1:8">
      <c r="A17" s="13" t="s">
        <v>20</v>
      </c>
      <c r="B17" s="20" t="s">
        <v>3</v>
      </c>
      <c r="C17" s="21" t="str">
        <f>$C$3</f>
        <v>淀粉糖一装置</v>
      </c>
      <c r="D17" s="22"/>
      <c r="E17" s="23"/>
      <c r="F17" s="21" t="s">
        <v>5</v>
      </c>
      <c r="G17" s="23"/>
    </row>
    <row r="18" customHeight="1" spans="1:8">
      <c r="A18" s="13" t="s">
        <v>21</v>
      </c>
      <c r="B18" s="20" t="s">
        <v>22</v>
      </c>
      <c r="C18" s="24"/>
      <c r="D18" s="25"/>
      <c r="E18" s="26"/>
      <c r="F18" s="24">
        <v>732</v>
      </c>
      <c r="G18" s="26"/>
    </row>
    <row r="19" customHeight="1" spans="1:8">
      <c r="A19" s="13" t="s">
        <v>23</v>
      </c>
      <c r="B19" s="20" t="s">
        <v>22</v>
      </c>
      <c r="C19" s="24">
        <f>26*330</f>
        <v>8580</v>
      </c>
      <c r="D19" s="25"/>
      <c r="E19" s="26"/>
      <c r="F19" s="24">
        <v>10500</v>
      </c>
      <c r="G19" s="26"/>
    </row>
    <row r="20" customHeight="1" spans="1:8">
      <c r="A20" s="13" t="s">
        <v>24</v>
      </c>
      <c r="B20" s="20" t="s">
        <v>22</v>
      </c>
      <c r="C20" s="24"/>
      <c r="D20" s="25"/>
      <c r="E20" s="26"/>
      <c r="F20" s="24">
        <v>1700</v>
      </c>
      <c r="G20" s="26"/>
    </row>
    <row r="21" customHeight="1" spans="1:8">
      <c r="A21" s="13" t="s">
        <v>25</v>
      </c>
      <c r="B21" s="20" t="s">
        <v>22</v>
      </c>
      <c r="C21" s="24"/>
      <c r="D21" s="25"/>
      <c r="E21" s="26"/>
      <c r="F21" s="24"/>
      <c r="G21" s="26"/>
    </row>
    <row r="22" customHeight="1" spans="1:8">
      <c r="A22" s="13" t="s">
        <v>26</v>
      </c>
      <c r="B22" s="20" t="s">
        <v>22</v>
      </c>
      <c r="C22" s="24"/>
      <c r="D22" s="25"/>
      <c r="E22" s="26"/>
      <c r="F22" s="24"/>
      <c r="G22" s="26"/>
    </row>
    <row r="23" customHeight="1" spans="1:8">
      <c r="A23" s="13" t="s">
        <v>27</v>
      </c>
      <c r="B23" s="20" t="s">
        <v>22</v>
      </c>
      <c r="C23" s="24">
        <f>80*23</f>
        <v>1840</v>
      </c>
      <c r="D23" s="25"/>
      <c r="E23" s="26"/>
      <c r="F23" s="24"/>
      <c r="G23" s="26"/>
    </row>
    <row r="24" customHeight="1" spans="1:8">
      <c r="A24" s="13" t="s">
        <v>7</v>
      </c>
      <c r="B24" s="20" t="s">
        <v>22</v>
      </c>
      <c r="C24" s="24">
        <v>685</v>
      </c>
      <c r="D24" s="25"/>
      <c r="E24" s="26"/>
      <c r="F24" s="24">
        <v>0</v>
      </c>
      <c r="G24" s="26"/>
    </row>
    <row r="25" customHeight="1" spans="1:8">
      <c r="A25" s="13" t="s">
        <v>28</v>
      </c>
      <c r="B25" s="20" t="s">
        <v>22</v>
      </c>
      <c r="C25" s="24"/>
      <c r="D25" s="25"/>
      <c r="E25" s="26"/>
      <c r="F25" s="24"/>
      <c r="G25" s="26"/>
    </row>
    <row r="26" customHeight="1" spans="1:8">
      <c r="A26" s="13" t="s">
        <v>29</v>
      </c>
      <c r="B26" s="20" t="s">
        <v>22</v>
      </c>
      <c r="C26" s="27">
        <f>ROUND((C18*0.71+C19*0.77+C20*0.73+C21*0.77)/0.77,0)</f>
        <v>8580</v>
      </c>
      <c r="D26" s="28"/>
      <c r="E26" s="29"/>
      <c r="F26" s="27">
        <f>ROUND((F18*0.71+F19*0.77+F20*0.73+F21*0.77+F24*0.6)/0.77,0)</f>
        <v>12787</v>
      </c>
      <c r="G26" s="29"/>
      <c r="H26" s="3" t="s">
        <v>30</v>
      </c>
    </row>
    <row r="27" customHeight="1" spans="1:8">
      <c r="A27" s="5" t="s">
        <v>31</v>
      </c>
      <c r="B27" s="6"/>
      <c r="C27" s="30"/>
      <c r="D27" s="30"/>
      <c r="E27" s="30"/>
    </row>
    <row r="28" customHeight="1" spans="1:8">
      <c r="A28" s="31" t="s">
        <v>32</v>
      </c>
      <c r="B28" s="32" t="s">
        <v>33</v>
      </c>
      <c r="C28" s="30"/>
      <c r="D28" s="30"/>
      <c r="E28" s="30"/>
    </row>
    <row r="29" customHeight="1" spans="1:8">
      <c r="A29" s="8" t="s">
        <v>2</v>
      </c>
      <c r="B29" s="9" t="s">
        <v>3</v>
      </c>
      <c r="C29" s="10" t="s">
        <v>4</v>
      </c>
      <c r="D29" s="10"/>
      <c r="E29" s="10"/>
      <c r="F29" s="10" t="s">
        <v>5</v>
      </c>
      <c r="G29" s="10"/>
    </row>
    <row r="30" customHeight="1" spans="1:8">
      <c r="A30" s="8"/>
      <c r="B30" s="11"/>
      <c r="C30" s="12" t="s">
        <v>6</v>
      </c>
      <c r="D30" s="12" t="s">
        <v>7</v>
      </c>
      <c r="E30" s="12" t="s">
        <v>8</v>
      </c>
      <c r="F30" s="12" t="s">
        <v>7</v>
      </c>
      <c r="G30" s="12" t="s">
        <v>6</v>
      </c>
    </row>
    <row r="31" customHeight="1" spans="1:8">
      <c r="A31" s="13" t="s">
        <v>34</v>
      </c>
      <c r="B31" s="12" t="s">
        <v>35</v>
      </c>
      <c r="C31" s="33">
        <v>0.828</v>
      </c>
      <c r="D31" s="34">
        <v>0.646</v>
      </c>
      <c r="E31" s="33">
        <v>0.851</v>
      </c>
      <c r="F31" s="34">
        <v>0.646</v>
      </c>
      <c r="G31" s="34">
        <v>0.828</v>
      </c>
      <c r="H31" s="3" t="s">
        <v>36</v>
      </c>
    </row>
    <row r="32" customHeight="1" spans="1:8">
      <c r="A32" s="35" t="s">
        <v>37</v>
      </c>
      <c r="B32" s="12" t="s">
        <v>38</v>
      </c>
      <c r="C32" s="33">
        <v>4.5</v>
      </c>
      <c r="D32" s="34">
        <v>2</v>
      </c>
      <c r="E32" s="33">
        <v>4.2</v>
      </c>
      <c r="F32" s="34">
        <v>2</v>
      </c>
      <c r="G32" s="34">
        <v>3</v>
      </c>
    </row>
    <row r="33" customHeight="1" spans="1:7">
      <c r="A33" s="35" t="s">
        <v>39</v>
      </c>
      <c r="B33" s="12" t="s">
        <v>38</v>
      </c>
      <c r="C33" s="33">
        <v>4.8</v>
      </c>
      <c r="D33" s="34">
        <v>2</v>
      </c>
      <c r="E33" s="33">
        <v>4.3</v>
      </c>
      <c r="F33" s="34">
        <v>2</v>
      </c>
      <c r="G33" s="34">
        <v>3.2</v>
      </c>
    </row>
    <row r="34" customHeight="1" spans="1:7">
      <c r="A34" s="35" t="s">
        <v>40</v>
      </c>
      <c r="B34" s="12" t="s">
        <v>38</v>
      </c>
      <c r="C34" s="33">
        <v>0.8</v>
      </c>
      <c r="D34" s="34">
        <v>0.65</v>
      </c>
      <c r="E34" s="33">
        <v>0.9</v>
      </c>
      <c r="F34" s="34">
        <v>0.65</v>
      </c>
      <c r="G34" s="34">
        <v>0.8</v>
      </c>
    </row>
    <row r="35" customHeight="1" spans="1:7">
      <c r="A35" s="35" t="s">
        <v>41</v>
      </c>
      <c r="B35" s="12" t="s">
        <v>38</v>
      </c>
      <c r="C35" s="33">
        <v>0.19</v>
      </c>
      <c r="D35" s="34">
        <v>0.15</v>
      </c>
      <c r="E35" s="33">
        <v>0.19</v>
      </c>
      <c r="F35" s="34">
        <v>0.15</v>
      </c>
      <c r="G35" s="34">
        <v>0.19</v>
      </c>
    </row>
    <row r="36" customHeight="1" spans="1:7">
      <c r="A36" s="36" t="s">
        <v>42</v>
      </c>
      <c r="B36" s="12" t="s">
        <v>38</v>
      </c>
      <c r="C36" s="33">
        <v>0.1</v>
      </c>
      <c r="D36" s="34">
        <v>0.1</v>
      </c>
      <c r="E36" s="33">
        <v>0.1</v>
      </c>
      <c r="F36" s="34">
        <v>0.1</v>
      </c>
      <c r="G36" s="34">
        <v>0.15</v>
      </c>
    </row>
    <row r="37" customHeight="1" spans="1:7">
      <c r="A37" s="36" t="s">
        <v>43</v>
      </c>
      <c r="B37" s="12" t="s">
        <v>38</v>
      </c>
      <c r="C37" s="33">
        <v>0.21</v>
      </c>
      <c r="D37" s="34">
        <v>0.19</v>
      </c>
      <c r="E37" s="33">
        <v>0</v>
      </c>
      <c r="F37" s="34">
        <v>0.19</v>
      </c>
      <c r="G37" s="34">
        <v>0.21</v>
      </c>
    </row>
    <row r="38" customHeight="1" spans="1:7">
      <c r="A38" s="37" t="s">
        <v>44</v>
      </c>
      <c r="B38" s="12" t="s">
        <v>38</v>
      </c>
      <c r="C38" s="33">
        <v>0</v>
      </c>
      <c r="D38" s="34">
        <v>0</v>
      </c>
      <c r="E38" s="33">
        <v>0.08</v>
      </c>
      <c r="F38" s="34">
        <v>0</v>
      </c>
      <c r="G38" s="34">
        <v>0</v>
      </c>
    </row>
    <row r="39" customHeight="1" spans="1:7">
      <c r="A39" s="36" t="s">
        <v>45</v>
      </c>
      <c r="B39" s="12" t="s">
        <v>38</v>
      </c>
      <c r="C39" s="33">
        <v>0.08</v>
      </c>
      <c r="D39" s="34">
        <v>0</v>
      </c>
      <c r="E39" s="33">
        <v>0</v>
      </c>
      <c r="F39" s="34">
        <v>0</v>
      </c>
      <c r="G39" s="34">
        <v>0.08</v>
      </c>
    </row>
    <row r="40" customHeight="1" spans="1:7">
      <c r="A40" s="35" t="s">
        <v>46</v>
      </c>
      <c r="B40" s="12" t="s">
        <v>38</v>
      </c>
      <c r="C40" s="33">
        <v>0.32</v>
      </c>
      <c r="D40" s="34">
        <v>0</v>
      </c>
      <c r="E40" s="33">
        <v>0</v>
      </c>
      <c r="F40" s="34">
        <v>0</v>
      </c>
      <c r="G40" s="34">
        <v>0.32</v>
      </c>
    </row>
    <row r="41" customHeight="1" spans="1:7">
      <c r="A41" s="35" t="s">
        <v>47</v>
      </c>
      <c r="B41" s="12" t="s">
        <v>38</v>
      </c>
      <c r="C41" s="33">
        <v>0.32</v>
      </c>
      <c r="D41" s="34">
        <v>0</v>
      </c>
      <c r="E41" s="33">
        <v>0</v>
      </c>
      <c r="F41" s="34">
        <v>0</v>
      </c>
      <c r="G41" s="34">
        <v>0.32</v>
      </c>
    </row>
    <row r="42" customHeight="1" spans="1:7">
      <c r="A42" s="31" t="s">
        <v>48</v>
      </c>
      <c r="B42" s="7"/>
      <c r="C42" s="30"/>
      <c r="D42" s="30"/>
      <c r="E42" s="30"/>
    </row>
    <row r="43" customHeight="1" spans="1:7">
      <c r="A43" s="8" t="s">
        <v>2</v>
      </c>
      <c r="B43" s="38" t="s">
        <v>3</v>
      </c>
      <c r="C43" s="21" t="s">
        <v>4</v>
      </c>
      <c r="D43" s="21"/>
      <c r="E43" s="10" t="s">
        <v>5</v>
      </c>
      <c r="F43" s="21" t="s">
        <v>49</v>
      </c>
      <c r="G43" s="23"/>
    </row>
    <row r="44" customHeight="1" spans="1:7">
      <c r="A44" s="13" t="s">
        <v>34</v>
      </c>
      <c r="B44" s="12" t="s">
        <v>50</v>
      </c>
      <c r="C44" s="39">
        <f t="shared" ref="C44:C54" si="1">ROUND($C$26*C31+($C$22+$C$23)*E31+$C$24*D31,0)</f>
        <v>9113</v>
      </c>
      <c r="D44" s="39"/>
      <c r="E44" s="39">
        <f t="shared" ref="E44:E54" si="2">ROUND($F$26*G31+$F$24*F31,0)</f>
        <v>10588</v>
      </c>
      <c r="F44" s="40">
        <f t="shared" ref="F44:F54" si="3">C44+E44</f>
        <v>19701</v>
      </c>
      <c r="G44" s="41"/>
    </row>
    <row r="45" customHeight="1" spans="1:7">
      <c r="A45" s="13" t="s">
        <v>37</v>
      </c>
      <c r="B45" s="12" t="s">
        <v>51</v>
      </c>
      <c r="C45" s="39">
        <f t="shared" si="1"/>
        <v>47708</v>
      </c>
      <c r="D45" s="39"/>
      <c r="E45" s="39">
        <f t="shared" si="2"/>
        <v>38361</v>
      </c>
      <c r="F45" s="40">
        <f t="shared" si="3"/>
        <v>86069</v>
      </c>
      <c r="G45" s="41"/>
    </row>
    <row r="46" customHeight="1" spans="1:7">
      <c r="A46" s="13" t="s">
        <v>39</v>
      </c>
      <c r="B46" s="12" t="s">
        <v>51</v>
      </c>
      <c r="C46" s="39">
        <f t="shared" si="1"/>
        <v>50466</v>
      </c>
      <c r="D46" s="39"/>
      <c r="E46" s="39">
        <f t="shared" si="2"/>
        <v>40918</v>
      </c>
      <c r="F46" s="40">
        <f t="shared" si="3"/>
        <v>91384</v>
      </c>
      <c r="G46" s="41"/>
    </row>
    <row r="47" customHeight="1" spans="1:7">
      <c r="A47" s="13" t="s">
        <v>40</v>
      </c>
      <c r="B47" s="12" t="s">
        <v>51</v>
      </c>
      <c r="C47" s="39">
        <f t="shared" si="1"/>
        <v>8965</v>
      </c>
      <c r="D47" s="39"/>
      <c r="E47" s="39">
        <f t="shared" si="2"/>
        <v>10230</v>
      </c>
      <c r="F47" s="40">
        <f t="shared" si="3"/>
        <v>19195</v>
      </c>
      <c r="G47" s="41"/>
    </row>
    <row r="48" customHeight="1" spans="1:7">
      <c r="A48" s="13" t="s">
        <v>41</v>
      </c>
      <c r="B48" s="12" t="s">
        <v>51</v>
      </c>
      <c r="C48" s="39">
        <f t="shared" si="1"/>
        <v>2083</v>
      </c>
      <c r="D48" s="39"/>
      <c r="E48" s="39">
        <f t="shared" si="2"/>
        <v>2430</v>
      </c>
      <c r="F48" s="40">
        <f t="shared" si="3"/>
        <v>4513</v>
      </c>
      <c r="G48" s="41"/>
    </row>
    <row r="49" customHeight="1" spans="1:7">
      <c r="A49" s="13" t="s">
        <v>42</v>
      </c>
      <c r="B49" s="12" t="s">
        <v>51</v>
      </c>
      <c r="C49" s="39">
        <f t="shared" si="1"/>
        <v>1111</v>
      </c>
      <c r="D49" s="39"/>
      <c r="E49" s="39">
        <f t="shared" si="2"/>
        <v>1918</v>
      </c>
      <c r="F49" s="40">
        <f t="shared" si="3"/>
        <v>3029</v>
      </c>
      <c r="G49" s="41"/>
    </row>
    <row r="50" customHeight="1" spans="1:7">
      <c r="A50" s="13" t="s">
        <v>43</v>
      </c>
      <c r="B50" s="12" t="s">
        <v>51</v>
      </c>
      <c r="C50" s="39">
        <f t="shared" si="1"/>
        <v>1932</v>
      </c>
      <c r="D50" s="39"/>
      <c r="E50" s="39">
        <f t="shared" si="2"/>
        <v>2685</v>
      </c>
      <c r="F50" s="40">
        <f t="shared" si="3"/>
        <v>4617</v>
      </c>
      <c r="G50" s="41"/>
    </row>
    <row r="51" customHeight="1" spans="1:7">
      <c r="A51" s="13" t="s">
        <v>52</v>
      </c>
      <c r="B51" s="12" t="s">
        <v>51</v>
      </c>
      <c r="C51" s="39">
        <f t="shared" si="1"/>
        <v>147</v>
      </c>
      <c r="D51" s="39"/>
      <c r="E51" s="39">
        <f t="shared" si="2"/>
        <v>0</v>
      </c>
      <c r="F51" s="40">
        <f t="shared" si="3"/>
        <v>147</v>
      </c>
      <c r="G51" s="41"/>
    </row>
    <row r="52" customHeight="1" spans="1:7">
      <c r="A52" s="13" t="s">
        <v>45</v>
      </c>
      <c r="B52" s="12" t="s">
        <v>51</v>
      </c>
      <c r="C52" s="39">
        <f t="shared" si="1"/>
        <v>686</v>
      </c>
      <c r="D52" s="39"/>
      <c r="E52" s="39">
        <f t="shared" si="2"/>
        <v>1023</v>
      </c>
      <c r="F52" s="40">
        <f t="shared" si="3"/>
        <v>1709</v>
      </c>
      <c r="G52" s="41"/>
    </row>
    <row r="53" customHeight="1" spans="1:7">
      <c r="A53" s="13" t="s">
        <v>46</v>
      </c>
      <c r="B53" s="12" t="s">
        <v>51</v>
      </c>
      <c r="C53" s="39">
        <f t="shared" si="1"/>
        <v>2746</v>
      </c>
      <c r="D53" s="39"/>
      <c r="E53" s="39">
        <f t="shared" si="2"/>
        <v>4092</v>
      </c>
      <c r="F53" s="40">
        <f t="shared" si="3"/>
        <v>6838</v>
      </c>
      <c r="G53" s="41"/>
    </row>
    <row r="54" customHeight="1" spans="1:7">
      <c r="A54" s="13" t="s">
        <v>47</v>
      </c>
      <c r="B54" s="12" t="s">
        <v>51</v>
      </c>
      <c r="C54" s="39">
        <f t="shared" si="1"/>
        <v>2746</v>
      </c>
      <c r="D54" s="39"/>
      <c r="E54" s="39">
        <f t="shared" si="2"/>
        <v>4092</v>
      </c>
      <c r="F54" s="40">
        <f t="shared" si="3"/>
        <v>6838</v>
      </c>
      <c r="G54" s="41"/>
    </row>
    <row r="55" customHeight="1" spans="1:7">
      <c r="A55" s="5" t="s">
        <v>53</v>
      </c>
      <c r="B55" s="6"/>
      <c r="C55" s="30"/>
      <c r="D55" s="30"/>
      <c r="E55" s="30"/>
    </row>
    <row r="56" customHeight="1" spans="1:7">
      <c r="A56" s="31" t="s">
        <v>32</v>
      </c>
      <c r="B56" s="42" t="s">
        <v>54</v>
      </c>
      <c r="C56" s="30"/>
      <c r="D56" s="30"/>
      <c r="E56" s="30"/>
    </row>
    <row r="57" customHeight="1" spans="1:7">
      <c r="A57" s="8" t="s">
        <v>2</v>
      </c>
      <c r="B57" s="38" t="s">
        <v>3</v>
      </c>
      <c r="C57" s="10" t="s">
        <v>4</v>
      </c>
      <c r="D57" s="10"/>
      <c r="E57" s="10"/>
      <c r="F57" s="10" t="s">
        <v>5</v>
      </c>
      <c r="G57" s="10"/>
    </row>
    <row r="58" customHeight="1" spans="1:7">
      <c r="A58" s="8"/>
      <c r="B58" s="38"/>
      <c r="C58" s="12" t="s">
        <v>6</v>
      </c>
      <c r="D58" s="12" t="s">
        <v>7</v>
      </c>
      <c r="E58" s="12" t="s">
        <v>8</v>
      </c>
      <c r="F58" s="12" t="s">
        <v>7</v>
      </c>
      <c r="G58" s="12" t="s">
        <v>6</v>
      </c>
    </row>
    <row r="59" customHeight="1" spans="1:7">
      <c r="A59" s="13" t="s">
        <v>55</v>
      </c>
      <c r="B59" s="12" t="s">
        <v>56</v>
      </c>
      <c r="C59" s="33">
        <v>3.2</v>
      </c>
      <c r="D59" s="34">
        <v>1.65</v>
      </c>
      <c r="E59" s="33">
        <v>3.5</v>
      </c>
      <c r="F59" s="34">
        <v>1.65</v>
      </c>
      <c r="G59" s="34">
        <v>2.2</v>
      </c>
    </row>
    <row r="60" customHeight="1" spans="1:7">
      <c r="A60" s="13" t="s">
        <v>57</v>
      </c>
      <c r="B60" s="12" t="s">
        <v>58</v>
      </c>
      <c r="C60" s="33">
        <v>85</v>
      </c>
      <c r="D60" s="34">
        <v>40</v>
      </c>
      <c r="E60" s="33">
        <v>65</v>
      </c>
      <c r="F60" s="34">
        <v>40</v>
      </c>
      <c r="G60" s="34">
        <v>65</v>
      </c>
    </row>
    <row r="61" customHeight="1" spans="1:7">
      <c r="A61" s="13" t="s">
        <v>59</v>
      </c>
      <c r="B61" s="12" t="s">
        <v>56</v>
      </c>
      <c r="C61" s="33">
        <v>0.29</v>
      </c>
      <c r="D61" s="34">
        <v>0.24</v>
      </c>
      <c r="E61" s="33">
        <v>0.55</v>
      </c>
      <c r="F61" s="34">
        <v>0.24</v>
      </c>
      <c r="G61" s="34">
        <v>0.38</v>
      </c>
    </row>
    <row r="62" customHeight="1" spans="1:7">
      <c r="A62" s="13" t="s">
        <v>60</v>
      </c>
      <c r="B62" s="12" t="s">
        <v>61</v>
      </c>
      <c r="C62" s="33">
        <v>0.8</v>
      </c>
      <c r="D62" s="34">
        <v>0.5</v>
      </c>
      <c r="E62" s="33">
        <v>1.2</v>
      </c>
      <c r="F62" s="34">
        <v>0.5</v>
      </c>
      <c r="G62" s="34">
        <v>0.8</v>
      </c>
    </row>
    <row r="63" customHeight="1" spans="1:7">
      <c r="A63" s="31" t="s">
        <v>48</v>
      </c>
      <c r="B63" s="7"/>
      <c r="C63" s="30"/>
      <c r="D63" s="30"/>
      <c r="E63" s="30"/>
    </row>
    <row r="64" customHeight="1" spans="1:7">
      <c r="A64" s="8" t="s">
        <v>2</v>
      </c>
      <c r="B64" s="38" t="s">
        <v>3</v>
      </c>
      <c r="C64" s="21" t="s">
        <v>4</v>
      </c>
      <c r="D64" s="21"/>
      <c r="E64" s="10" t="s">
        <v>5</v>
      </c>
      <c r="F64" s="21" t="s">
        <v>49</v>
      </c>
      <c r="G64" s="23"/>
    </row>
    <row r="65" customHeight="1" spans="1:7">
      <c r="A65" s="13" t="s">
        <v>55</v>
      </c>
      <c r="B65" s="12" t="s">
        <v>22</v>
      </c>
      <c r="C65" s="39">
        <f>ROUND($C$26*C59+($C$22+$C$23)*E59+$C$24*D59,0)</f>
        <v>35026</v>
      </c>
      <c r="D65" s="39"/>
      <c r="E65" s="39">
        <f>ROUND($F$26*G59+$F$24*F59,0)</f>
        <v>28131</v>
      </c>
      <c r="F65" s="40">
        <f>C65+E65</f>
        <v>63157</v>
      </c>
      <c r="G65" s="41"/>
    </row>
    <row r="66" customHeight="1" spans="1:7">
      <c r="A66" s="13" t="s">
        <v>57</v>
      </c>
      <c r="B66" s="12" t="s">
        <v>62</v>
      </c>
      <c r="C66" s="39">
        <f>ROUND($C$26*C60+($C$22+$C$23)*E60+$C$24*D60,0)</f>
        <v>876300</v>
      </c>
      <c r="D66" s="39"/>
      <c r="E66" s="39">
        <f>ROUND($F$26*G60+$F$24*F60,0)</f>
        <v>831155</v>
      </c>
      <c r="F66" s="40">
        <f>C66+E66</f>
        <v>1707455</v>
      </c>
      <c r="G66" s="41"/>
    </row>
    <row r="67" customHeight="1" spans="1:7">
      <c r="A67" s="13" t="s">
        <v>59</v>
      </c>
      <c r="B67" s="12" t="s">
        <v>22</v>
      </c>
      <c r="C67" s="39">
        <f>ROUND($C$26*C61+($C$22+$C$23)*E61+$C$24*D61,0)</f>
        <v>3665</v>
      </c>
      <c r="D67" s="39"/>
      <c r="E67" s="39">
        <f>ROUND($F$26*G61+$F$24*F61,0)</f>
        <v>4859</v>
      </c>
      <c r="F67" s="40">
        <f>C67+E67</f>
        <v>8524</v>
      </c>
      <c r="G67" s="41"/>
    </row>
    <row r="68" customHeight="1" spans="1:7">
      <c r="A68" s="13" t="s">
        <v>60</v>
      </c>
      <c r="B68" s="12" t="s">
        <v>63</v>
      </c>
      <c r="C68" s="39">
        <f>ROUND($C$26*C62+($C$22+$C$23)*E62+$C$24*D62,0)</f>
        <v>9415</v>
      </c>
      <c r="D68" s="39"/>
      <c r="E68" s="39">
        <f>ROUND($F$26*G62+$F$24*F62,0)</f>
        <v>10230</v>
      </c>
      <c r="F68" s="40">
        <f>C68+E68</f>
        <v>19645</v>
      </c>
      <c r="G68" s="41"/>
    </row>
    <row r="69" customHeight="1" spans="1:7">
      <c r="A69" s="5" t="s">
        <v>64</v>
      </c>
      <c r="B69" s="6"/>
      <c r="C69" s="30"/>
      <c r="D69" s="30"/>
      <c r="E69" s="30"/>
    </row>
    <row r="70" customHeight="1" spans="1:7">
      <c r="A70" s="13" t="s">
        <v>2</v>
      </c>
      <c r="B70" s="12" t="s">
        <v>3</v>
      </c>
      <c r="C70" s="10" t="str">
        <f>$C$3</f>
        <v>淀粉糖一装置</v>
      </c>
      <c r="D70" s="10"/>
      <c r="E70" s="10"/>
      <c r="F70" s="10" t="s">
        <v>5</v>
      </c>
      <c r="G70" s="10"/>
    </row>
    <row r="71" customHeight="1" spans="1:7">
      <c r="A71" s="13" t="s">
        <v>65</v>
      </c>
      <c r="B71" s="12" t="s">
        <v>66</v>
      </c>
      <c r="C71" s="33">
        <v>2500</v>
      </c>
      <c r="D71" s="33"/>
      <c r="E71" s="33"/>
      <c r="F71" s="33">
        <v>2500</v>
      </c>
      <c r="G71" s="33"/>
    </row>
    <row r="72" customHeight="1" spans="1:7">
      <c r="A72" s="13" t="s">
        <v>67</v>
      </c>
      <c r="B72" s="12" t="s">
        <v>66</v>
      </c>
      <c r="C72" s="33">
        <v>3000</v>
      </c>
      <c r="D72" s="33"/>
      <c r="E72" s="33"/>
      <c r="F72" s="33">
        <v>3000</v>
      </c>
      <c r="G72" s="33"/>
    </row>
    <row r="73" customHeight="1" spans="1:7">
      <c r="A73" s="13" t="s">
        <v>68</v>
      </c>
      <c r="B73" s="12"/>
      <c r="C73" s="33" t="s">
        <v>69</v>
      </c>
      <c r="D73" s="33"/>
      <c r="E73" s="33"/>
      <c r="F73" s="33" t="s">
        <v>70</v>
      </c>
      <c r="G73" s="33"/>
    </row>
    <row r="74" customHeight="1" spans="1:7">
      <c r="A74" s="13" t="s">
        <v>71</v>
      </c>
      <c r="B74" s="12" t="s">
        <v>50</v>
      </c>
      <c r="C74" s="33">
        <f>IFERROR(ROUND(C65/(MAX(C6:F6)/24),0),"——")</f>
        <v>1401</v>
      </c>
      <c r="D74" s="33"/>
      <c r="E74" s="33"/>
      <c r="F74" s="33">
        <f>ROUND(E65/(G6/24),0)</f>
        <v>1125</v>
      </c>
      <c r="G74" s="33"/>
    </row>
    <row r="75" customHeight="1" spans="1:7">
      <c r="A75" s="13" t="s">
        <v>72</v>
      </c>
      <c r="B75" s="12" t="s">
        <v>50</v>
      </c>
      <c r="C75" s="33">
        <f>IFERROR(ROUND(C74/24*MAX(C6:F6),0),"——")</f>
        <v>35025</v>
      </c>
      <c r="D75" s="33"/>
      <c r="E75" s="33"/>
      <c r="F75" s="33">
        <f>ROUND(F74*(G6/24),0)</f>
        <v>28125</v>
      </c>
      <c r="G75" s="33"/>
    </row>
    <row r="76" customHeight="1" spans="1:7">
      <c r="A76" s="43"/>
      <c r="B76" s="43"/>
      <c r="C76" s="43"/>
      <c r="D76" s="43"/>
      <c r="E76" s="43"/>
    </row>
    <row r="77" customHeight="1" spans="1:7">
      <c r="A77" s="43"/>
      <c r="B77" s="43"/>
      <c r="C77" s="43"/>
      <c r="D77" s="43"/>
      <c r="E77" s="43"/>
    </row>
    <row r="78" customHeight="1" spans="1:7">
      <c r="A78" s="44" t="s">
        <v>73</v>
      </c>
      <c r="B78" s="44"/>
      <c r="C78" s="44"/>
      <c r="D78" s="44"/>
      <c r="E78" s="44"/>
      <c r="F78" s="44"/>
      <c r="G78" s="44"/>
    </row>
  </sheetData>
  <mergeCells count="88">
    <mergeCell ref="A1:G1"/>
    <mergeCell ref="C3:E3"/>
    <mergeCell ref="F3:G3"/>
    <mergeCell ref="C9:E9"/>
    <mergeCell ref="F9:G9"/>
    <mergeCell ref="C13:F13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C29:E29"/>
    <mergeCell ref="F29:G29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7:E57"/>
    <mergeCell ref="F57:G57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70:E70"/>
    <mergeCell ref="F70:G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A76:E76"/>
    <mergeCell ref="A78:G78"/>
    <mergeCell ref="A3:A4"/>
    <mergeCell ref="A9:A10"/>
    <mergeCell ref="A13:A14"/>
    <mergeCell ref="A29:A30"/>
    <mergeCell ref="A57:A58"/>
    <mergeCell ref="B3:B4"/>
    <mergeCell ref="B9:B10"/>
    <mergeCell ref="B13:B14"/>
    <mergeCell ref="B29:B30"/>
    <mergeCell ref="B57:B58"/>
  </mergeCells>
  <pageMargins left="0.314583333333333" right="0.314583333333333" top="0.747916666666667" bottom="0.747916666666667" header="0.314583333333333" footer="0.31458333333333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综合计划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WANGHUI</dc:creator>
  <cp:lastModifiedBy>Tunjer</cp:lastModifiedBy>
  <dcterms:created xsi:type="dcterms:W3CDTF">2015-06-05T18:19:00Z</dcterms:created>
  <cp:lastPrinted>2024-07-02T07:36:00Z</cp:lastPrinted>
  <dcterms:modified xsi:type="dcterms:W3CDTF">2026-09-10T08:14:18Z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2B0505A75EE649EB9A084D5B4EA73913_12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