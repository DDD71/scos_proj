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01武汉公司-2012-今\09日常2025\2025年预算\"/>
    </mc:Choice>
  </mc:AlternateContent>
  <xr:revisionPtr revIDLastSave="0" documentId="13_ncr:1_{98A0F0A5-4290-4E4F-AD52-051BC7ABF2CE}" xr6:coauthVersionLast="47" xr6:coauthVersionMax="47" xr10:uidLastSave="{00000000-0000-0000-0000-000000000000}"/>
  <bookViews>
    <workbookView xWindow="-110" yWindow="-110" windowWidth="19420" windowHeight="10300" tabRatio="821" activeTab="9" xr2:uid="{00000000-000D-0000-FFFF-FFFF00000000}"/>
  </bookViews>
  <sheets>
    <sheet name="果糖" sheetId="3" r:id="rId1"/>
    <sheet name="葡萄糖" sheetId="11" r:id="rId2"/>
    <sheet name="麦芽糖" sheetId="10" r:id="rId3"/>
    <sheet name="锅炉工段" sheetId="6" state="hidden" r:id="rId4"/>
    <sheet name="污水" sheetId="7" r:id="rId5"/>
    <sheet name="能源消耗" sheetId="8" r:id="rId6"/>
    <sheet name="果糖一线" sheetId="12" r:id="rId7"/>
    <sheet name="果糖二线" sheetId="13" r:id="rId8"/>
    <sheet name="混配糖" sheetId="15" r:id="rId9"/>
    <sheet name="Sheet2" sheetId="16" r:id="rId10"/>
    <sheet name="Sheet1" sheetId="14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1_9" localSheetId="3">#REF!</definedName>
    <definedName name="_2_99" localSheetId="3">#REF!</definedName>
    <definedName name="_9" localSheetId="3">#REF!</definedName>
    <definedName name="_99" localSheetId="3">#REF!</definedName>
    <definedName name="CGRQ" localSheetId="3">[1]采购!$A$1:$A$2368</definedName>
    <definedName name="CGRQ" localSheetId="0">[1]采购!$A$1:$A$2368</definedName>
    <definedName name="CGRQ" localSheetId="7">[1]采购!$A$1:$A$2368</definedName>
    <definedName name="CGRQ" localSheetId="6">[1]采购!$A$1:$A$2368</definedName>
    <definedName name="CGRQ" localSheetId="2">[1]采购!$A$1:$A$2368</definedName>
    <definedName name="CGRQ" localSheetId="5">[1]采购!$A$1:$A$2368</definedName>
    <definedName name="CGRQ" localSheetId="1">[1]采购!$A$1:$A$2368</definedName>
    <definedName name="CGRQ" localSheetId="4">[1]采购!$A$1:$A$2368</definedName>
    <definedName name="CGSL" localSheetId="3">[1]采购!$B$1:$B$2368</definedName>
    <definedName name="CGSL" localSheetId="0">[1]采购!$B$1:$B$2368</definedName>
    <definedName name="CGSL" localSheetId="7">[1]采购!$B$1:$B$2368</definedName>
    <definedName name="CGSL" localSheetId="6">[1]采购!$B$1:$B$2368</definedName>
    <definedName name="CGSL" localSheetId="2">[1]采购!$B$1:$B$2368</definedName>
    <definedName name="CGSL" localSheetId="5">[1]采购!$B$1:$B$2368</definedName>
    <definedName name="CGSL" localSheetId="1">[1]采购!$B$1:$B$2368</definedName>
    <definedName name="CGSL" localSheetId="4">[1]采购!$B$1:$B$2368</definedName>
    <definedName name="month" localSheetId="3">#REF!</definedName>
    <definedName name="_xlnm.Print_Area" localSheetId="3">锅炉工段!$A$1:$P$32</definedName>
    <definedName name="_xlnm.Print_Area" localSheetId="0">果糖!$A$1:$P$82</definedName>
    <definedName name="_xlnm.Print_Area" localSheetId="7">果糖二线!$A$1:$P$82</definedName>
    <definedName name="_xlnm.Print_Area" localSheetId="6">果糖一线!$A$1:$P$82</definedName>
    <definedName name="_xlnm.Print_Area" localSheetId="2">麦芽糖!$A$1:$P$66</definedName>
    <definedName name="_xlnm.Print_Area" localSheetId="5">能源消耗!$A$2:$Q$41</definedName>
    <definedName name="_xlnm.Print_Area" localSheetId="1">葡萄糖!$A$1:$P$60</definedName>
    <definedName name="_xlnm.Print_Area" localSheetId="4">污水!$A$1:$P$58</definedName>
    <definedName name="_xlnm.Print_Titles" localSheetId="0">果糖!$3:$4</definedName>
    <definedName name="_xlnm.Print_Titles" localSheetId="7">果糖二线!$3:$4</definedName>
    <definedName name="_xlnm.Print_Titles" localSheetId="6">果糖一线!$3:$4</definedName>
    <definedName name="_xlnm.Print_Titles" localSheetId="2">麦芽糖!$3:$4</definedName>
    <definedName name="_xlnm.Print_Titles" localSheetId="5">能源消耗!$3:$4</definedName>
    <definedName name="_xlnm.Print_Titles" localSheetId="1">葡萄糖!$3:$4</definedName>
    <definedName name="本日付款" localSheetId="3">#REF!</definedName>
    <definedName name="本月付款" localSheetId="3">#REF!</definedName>
    <definedName name="采购量" localSheetId="3">[2]厂内潮玉米日采购量价!#REF!</definedName>
    <definedName name="代号1" localSheetId="3">#REF!</definedName>
    <definedName name="辅料消耗" localSheetId="3">#REF!</definedName>
    <definedName name="付款数量" localSheetId="3">#REF!</definedName>
    <definedName name="含税单价" localSheetId="3">#REF!</definedName>
    <definedName name="合同号1" localSheetId="3">#REF!</definedName>
    <definedName name="合同金额" localSheetId="3">#REF!</definedName>
    <definedName name="合同量" localSheetId="3">#REF!</definedName>
    <definedName name="签定日期" localSheetId="3">#REF!</definedName>
    <definedName name="物料表" localSheetId="3">#REF!</definedName>
  </definedNames>
  <calcPr calcId="191029"/>
</workbook>
</file>

<file path=xl/calcChain.xml><?xml version="1.0" encoding="utf-8"?>
<calcChain xmlns="http://schemas.openxmlformats.org/spreadsheetml/2006/main">
  <c r="P87" i="3" l="1"/>
  <c r="P84" i="3" s="1"/>
  <c r="P86" i="3"/>
  <c r="E84" i="3"/>
  <c r="F84" i="3"/>
  <c r="G84" i="3"/>
  <c r="H84" i="3"/>
  <c r="I84" i="3"/>
  <c r="J84" i="3"/>
  <c r="K84" i="3"/>
  <c r="L84" i="3"/>
  <c r="M84" i="3"/>
  <c r="N84" i="3"/>
  <c r="O84" i="3"/>
  <c r="D84" i="3"/>
  <c r="E87" i="3"/>
  <c r="F87" i="3"/>
  <c r="G87" i="3"/>
  <c r="H87" i="3"/>
  <c r="I87" i="3"/>
  <c r="J87" i="3"/>
  <c r="K87" i="3"/>
  <c r="L87" i="3"/>
  <c r="M87" i="3"/>
  <c r="N87" i="3"/>
  <c r="O87" i="3"/>
  <c r="D87" i="3"/>
  <c r="E86" i="3"/>
  <c r="F86" i="3"/>
  <c r="G86" i="3"/>
  <c r="H86" i="3"/>
  <c r="I86" i="3"/>
  <c r="J86" i="3"/>
  <c r="K86" i="3"/>
  <c r="L86" i="3"/>
  <c r="M86" i="3"/>
  <c r="N86" i="3"/>
  <c r="O86" i="3"/>
  <c r="D86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D90" i="3"/>
  <c r="E90" i="3"/>
  <c r="F90" i="3"/>
  <c r="G90" i="3"/>
  <c r="H90" i="3"/>
  <c r="I90" i="3"/>
  <c r="J90" i="3"/>
  <c r="K90" i="3"/>
  <c r="L90" i="3"/>
  <c r="L89" i="3" s="1"/>
  <c r="M90" i="3"/>
  <c r="N90" i="3"/>
  <c r="N89" i="3" s="1"/>
  <c r="O90" i="3"/>
  <c r="P90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C10" i="16"/>
  <c r="D10" i="16"/>
  <c r="E10" i="16"/>
  <c r="F10" i="16"/>
  <c r="G10" i="16"/>
  <c r="H10" i="16"/>
  <c r="I10" i="16"/>
  <c r="J10" i="16"/>
  <c r="K10" i="16"/>
  <c r="L10" i="16"/>
  <c r="M10" i="16"/>
  <c r="N10" i="16"/>
  <c r="B10" i="16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P75" i="15"/>
  <c r="O75" i="15"/>
  <c r="N75" i="15"/>
  <c r="M75" i="15"/>
  <c r="L75" i="15"/>
  <c r="K75" i="15"/>
  <c r="J75" i="15"/>
  <c r="I75" i="15"/>
  <c r="H75" i="15"/>
  <c r="G75" i="15"/>
  <c r="F75" i="15"/>
  <c r="D75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P67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Q58" i="15"/>
  <c r="P58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Q56" i="15"/>
  <c r="P56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Q54" i="15"/>
  <c r="P54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Q52" i="15"/>
  <c r="P52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Q49" i="15"/>
  <c r="P49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Q47" i="15"/>
  <c r="P47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Q45" i="15"/>
  <c r="P45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Q43" i="15"/>
  <c r="P43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Q41" i="15"/>
  <c r="P41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Q39" i="15"/>
  <c r="P39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Q37" i="15"/>
  <c r="P37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Q35" i="15"/>
  <c r="P35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Q33" i="15"/>
  <c r="P33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Q31" i="15"/>
  <c r="P31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Q29" i="15"/>
  <c r="P29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Q27" i="15"/>
  <c r="P27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P22" i="15"/>
  <c r="P21" i="15"/>
  <c r="P20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P18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P15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P12" i="15"/>
  <c r="P11" i="15"/>
  <c r="P10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P6" i="15"/>
  <c r="D3" i="15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XFD84" i="13"/>
  <c r="XFC84" i="13"/>
  <c r="XFB84" i="13"/>
  <c r="XFA84" i="13"/>
  <c r="XEZ84" i="13"/>
  <c r="XEY84" i="13"/>
  <c r="XEX84" i="13"/>
  <c r="XEW84" i="13"/>
  <c r="XEV84" i="13"/>
  <c r="XEU84" i="13"/>
  <c r="XET84" i="13"/>
  <c r="XES84" i="13"/>
  <c r="XER84" i="13"/>
  <c r="XEN84" i="13"/>
  <c r="XEM84" i="13"/>
  <c r="XEL84" i="13"/>
  <c r="XEK84" i="13"/>
  <c r="XEJ84" i="13"/>
  <c r="XEI84" i="13"/>
  <c r="XEH84" i="13"/>
  <c r="XEG84" i="13"/>
  <c r="XEF84" i="13"/>
  <c r="XEE84" i="13"/>
  <c r="XED84" i="13"/>
  <c r="XEC84" i="13"/>
  <c r="XEB84" i="13"/>
  <c r="XDX84" i="13"/>
  <c r="XDW84" i="13"/>
  <c r="XDV84" i="13"/>
  <c r="XDU84" i="13"/>
  <c r="XDT84" i="13"/>
  <c r="XDS84" i="13"/>
  <c r="XDR84" i="13"/>
  <c r="XDQ84" i="13"/>
  <c r="XDP84" i="13"/>
  <c r="XDO84" i="13"/>
  <c r="XDN84" i="13"/>
  <c r="XDM84" i="13"/>
  <c r="XDL84" i="13"/>
  <c r="XDH84" i="13"/>
  <c r="XDG84" i="13"/>
  <c r="XDF84" i="13"/>
  <c r="XDE84" i="13"/>
  <c r="XDD84" i="13"/>
  <c r="XDC84" i="13"/>
  <c r="XDB84" i="13"/>
  <c r="XDA84" i="13"/>
  <c r="XCZ84" i="13"/>
  <c r="XCY84" i="13"/>
  <c r="XCX84" i="13"/>
  <c r="XCW84" i="13"/>
  <c r="XCV84" i="13"/>
  <c r="XCR84" i="13"/>
  <c r="XCQ84" i="13"/>
  <c r="XCP84" i="13"/>
  <c r="XCO84" i="13"/>
  <c r="XCN84" i="13"/>
  <c r="XCM84" i="13"/>
  <c r="XCL84" i="13"/>
  <c r="XCK84" i="13"/>
  <c r="XCJ84" i="13"/>
  <c r="XCI84" i="13"/>
  <c r="XCH84" i="13"/>
  <c r="XCG84" i="13"/>
  <c r="XCF84" i="13"/>
  <c r="XCB84" i="13"/>
  <c r="XCA84" i="13"/>
  <c r="XBZ84" i="13"/>
  <c r="XBY84" i="13"/>
  <c r="XBX84" i="13"/>
  <c r="XBW84" i="13"/>
  <c r="XBV84" i="13"/>
  <c r="XBU84" i="13"/>
  <c r="XBT84" i="13"/>
  <c r="XBS84" i="13"/>
  <c r="XBR84" i="13"/>
  <c r="XBQ84" i="13"/>
  <c r="XBP84" i="13"/>
  <c r="XBL84" i="13"/>
  <c r="XBK84" i="13"/>
  <c r="XBJ84" i="13"/>
  <c r="XBI84" i="13"/>
  <c r="XBH84" i="13"/>
  <c r="XBG84" i="13"/>
  <c r="XBF84" i="13"/>
  <c r="XBE84" i="13"/>
  <c r="XBD84" i="13"/>
  <c r="XBC84" i="13"/>
  <c r="XBB84" i="13"/>
  <c r="XBA84" i="13"/>
  <c r="XAZ84" i="13"/>
  <c r="XAV84" i="13"/>
  <c r="XAU84" i="13"/>
  <c r="XAT84" i="13"/>
  <c r="XAS84" i="13"/>
  <c r="XAR84" i="13"/>
  <c r="XAQ84" i="13"/>
  <c r="XAP84" i="13"/>
  <c r="XAO84" i="13"/>
  <c r="XAN84" i="13"/>
  <c r="XAM84" i="13"/>
  <c r="XAL84" i="13"/>
  <c r="XAK84" i="13"/>
  <c r="XAJ84" i="13"/>
  <c r="XAF84" i="13"/>
  <c r="XAE84" i="13"/>
  <c r="XAD84" i="13"/>
  <c r="XAC84" i="13"/>
  <c r="XAB84" i="13"/>
  <c r="XAA84" i="13"/>
  <c r="WZZ84" i="13"/>
  <c r="WZY84" i="13"/>
  <c r="WZX84" i="13"/>
  <c r="WZW84" i="13"/>
  <c r="WZV84" i="13"/>
  <c r="WZU84" i="13"/>
  <c r="WZT84" i="13"/>
  <c r="WZP84" i="13"/>
  <c r="WZO84" i="13"/>
  <c r="WZN84" i="13"/>
  <c r="WZM84" i="13"/>
  <c r="WZL84" i="13"/>
  <c r="WZK84" i="13"/>
  <c r="WZJ84" i="13"/>
  <c r="WZI84" i="13"/>
  <c r="WZH84" i="13"/>
  <c r="WZG84" i="13"/>
  <c r="WZF84" i="13"/>
  <c r="WZE84" i="13"/>
  <c r="WZD84" i="13"/>
  <c r="WYZ84" i="13"/>
  <c r="WYY84" i="13"/>
  <c r="WYX84" i="13"/>
  <c r="WYW84" i="13"/>
  <c r="WYV84" i="13"/>
  <c r="WYU84" i="13"/>
  <c r="WYT84" i="13"/>
  <c r="WYS84" i="13"/>
  <c r="WYR84" i="13"/>
  <c r="WYQ84" i="13"/>
  <c r="WYP84" i="13"/>
  <c r="WYO84" i="13"/>
  <c r="WYN84" i="13"/>
  <c r="WYJ84" i="13"/>
  <c r="WYI84" i="13"/>
  <c r="WYH84" i="13"/>
  <c r="WYG84" i="13"/>
  <c r="WYF84" i="13"/>
  <c r="WYE84" i="13"/>
  <c r="WYD84" i="13"/>
  <c r="WYC84" i="13"/>
  <c r="WYB84" i="13"/>
  <c r="WYA84" i="13"/>
  <c r="WXZ84" i="13"/>
  <c r="WXY84" i="13"/>
  <c r="WXX84" i="13"/>
  <c r="WXT84" i="13"/>
  <c r="WXS84" i="13"/>
  <c r="WXR84" i="13"/>
  <c r="WXQ84" i="13"/>
  <c r="WXP84" i="13"/>
  <c r="WXO84" i="13"/>
  <c r="WXN84" i="13"/>
  <c r="WXM84" i="13"/>
  <c r="WXL84" i="13"/>
  <c r="WXK84" i="13"/>
  <c r="WXJ84" i="13"/>
  <c r="WXI84" i="13"/>
  <c r="WXH84" i="13"/>
  <c r="WXD84" i="13"/>
  <c r="WXC84" i="13"/>
  <c r="WXB84" i="13"/>
  <c r="WXA84" i="13"/>
  <c r="WWZ84" i="13"/>
  <c r="WWY84" i="13"/>
  <c r="WWX84" i="13"/>
  <c r="WWW84" i="13"/>
  <c r="WWV84" i="13"/>
  <c r="WWU84" i="13"/>
  <c r="WWT84" i="13"/>
  <c r="WWS84" i="13"/>
  <c r="WWR84" i="13"/>
  <c r="WWN84" i="13"/>
  <c r="WWM84" i="13"/>
  <c r="WWL84" i="13"/>
  <c r="WWK84" i="13"/>
  <c r="WWJ84" i="13"/>
  <c r="WWI84" i="13"/>
  <c r="WWH84" i="13"/>
  <c r="WWG84" i="13"/>
  <c r="WWF84" i="13"/>
  <c r="WWE84" i="13"/>
  <c r="WWD84" i="13"/>
  <c r="WWC84" i="13"/>
  <c r="WWB84" i="13"/>
  <c r="WVX84" i="13"/>
  <c r="WVW84" i="13"/>
  <c r="WVV84" i="13"/>
  <c r="WVU84" i="13"/>
  <c r="WVT84" i="13"/>
  <c r="WVS84" i="13"/>
  <c r="WVR84" i="13"/>
  <c r="WVQ84" i="13"/>
  <c r="WVP84" i="13"/>
  <c r="WVO84" i="13"/>
  <c r="WVN84" i="13"/>
  <c r="WVM84" i="13"/>
  <c r="WVL84" i="13"/>
  <c r="WVH84" i="13"/>
  <c r="WVG84" i="13"/>
  <c r="WVF84" i="13"/>
  <c r="WVE84" i="13"/>
  <c r="WVD84" i="13"/>
  <c r="WVC84" i="13"/>
  <c r="WVB84" i="13"/>
  <c r="WVA84" i="13"/>
  <c r="WUZ84" i="13"/>
  <c r="WUY84" i="13"/>
  <c r="WUX84" i="13"/>
  <c r="WUW84" i="13"/>
  <c r="WUV84" i="13"/>
  <c r="WUR84" i="13"/>
  <c r="WUQ84" i="13"/>
  <c r="WUP84" i="13"/>
  <c r="WUO84" i="13"/>
  <c r="WUN84" i="13"/>
  <c r="WUM84" i="13"/>
  <c r="WUL84" i="13"/>
  <c r="WUK84" i="13"/>
  <c r="WUJ84" i="13"/>
  <c r="WUI84" i="13"/>
  <c r="WUH84" i="13"/>
  <c r="WUG84" i="13"/>
  <c r="WUF84" i="13"/>
  <c r="WUB84" i="13"/>
  <c r="WUA84" i="13"/>
  <c r="WTZ84" i="13"/>
  <c r="WTY84" i="13"/>
  <c r="WTX84" i="13"/>
  <c r="WTW84" i="13"/>
  <c r="WTV84" i="13"/>
  <c r="WTU84" i="13"/>
  <c r="WTT84" i="13"/>
  <c r="WTS84" i="13"/>
  <c r="WTR84" i="13"/>
  <c r="WTQ84" i="13"/>
  <c r="WTP84" i="13"/>
  <c r="WTL84" i="13"/>
  <c r="WTK84" i="13"/>
  <c r="WTJ84" i="13"/>
  <c r="WTI84" i="13"/>
  <c r="WTH84" i="13"/>
  <c r="WTG84" i="13"/>
  <c r="WTF84" i="13"/>
  <c r="WTE84" i="13"/>
  <c r="WTD84" i="13"/>
  <c r="WTC84" i="13"/>
  <c r="WTB84" i="13"/>
  <c r="WTA84" i="13"/>
  <c r="WSZ84" i="13"/>
  <c r="WSV84" i="13"/>
  <c r="WSU84" i="13"/>
  <c r="WST84" i="13"/>
  <c r="WSS84" i="13"/>
  <c r="WSR84" i="13"/>
  <c r="WSQ84" i="13"/>
  <c r="WSP84" i="13"/>
  <c r="WSO84" i="13"/>
  <c r="WSN84" i="13"/>
  <c r="WSM84" i="13"/>
  <c r="WSL84" i="13"/>
  <c r="WSK84" i="13"/>
  <c r="WSJ84" i="13"/>
  <c r="WSF84" i="13"/>
  <c r="WSE84" i="13"/>
  <c r="WSD84" i="13"/>
  <c r="WSC84" i="13"/>
  <c r="WSB84" i="13"/>
  <c r="WSA84" i="13"/>
  <c r="WRZ84" i="13"/>
  <c r="WRY84" i="13"/>
  <c r="WRX84" i="13"/>
  <c r="WRW84" i="13"/>
  <c r="WRV84" i="13"/>
  <c r="WRU84" i="13"/>
  <c r="WRT84" i="13"/>
  <c r="WRP84" i="13"/>
  <c r="WRO84" i="13"/>
  <c r="WRN84" i="13"/>
  <c r="WRM84" i="13"/>
  <c r="WRL84" i="13"/>
  <c r="WRK84" i="13"/>
  <c r="WRJ84" i="13"/>
  <c r="WRI84" i="13"/>
  <c r="WRH84" i="13"/>
  <c r="WRG84" i="13"/>
  <c r="WRF84" i="13"/>
  <c r="WRE84" i="13"/>
  <c r="WRD84" i="13"/>
  <c r="WQZ84" i="13"/>
  <c r="WQY84" i="13"/>
  <c r="WQX84" i="13"/>
  <c r="WQW84" i="13"/>
  <c r="WQV84" i="13"/>
  <c r="WQU84" i="13"/>
  <c r="WQT84" i="13"/>
  <c r="WQS84" i="13"/>
  <c r="WQR84" i="13"/>
  <c r="WQQ84" i="13"/>
  <c r="WQP84" i="13"/>
  <c r="WQO84" i="13"/>
  <c r="WQN84" i="13"/>
  <c r="WQJ84" i="13"/>
  <c r="WQI84" i="13"/>
  <c r="WQH84" i="13"/>
  <c r="WQG84" i="13"/>
  <c r="WQF84" i="13"/>
  <c r="WQE84" i="13"/>
  <c r="WQD84" i="13"/>
  <c r="WQC84" i="13"/>
  <c r="WQB84" i="13"/>
  <c r="WQA84" i="13"/>
  <c r="WPZ84" i="13"/>
  <c r="WPY84" i="13"/>
  <c r="WPX84" i="13"/>
  <c r="WPT84" i="13"/>
  <c r="WPS84" i="13"/>
  <c r="WPR84" i="13"/>
  <c r="WPQ84" i="13"/>
  <c r="WPP84" i="13"/>
  <c r="WPO84" i="13"/>
  <c r="WPN84" i="13"/>
  <c r="WPM84" i="13"/>
  <c r="WPL84" i="13"/>
  <c r="WPK84" i="13"/>
  <c r="WPJ84" i="13"/>
  <c r="WPI84" i="13"/>
  <c r="WPH84" i="13"/>
  <c r="WPD84" i="13"/>
  <c r="WPC84" i="13"/>
  <c r="WPB84" i="13"/>
  <c r="WPA84" i="13"/>
  <c r="WOZ84" i="13"/>
  <c r="WOY84" i="13"/>
  <c r="WOX84" i="13"/>
  <c r="WOW84" i="13"/>
  <c r="WOV84" i="13"/>
  <c r="WOU84" i="13"/>
  <c r="WOT84" i="13"/>
  <c r="WOS84" i="13"/>
  <c r="WOR84" i="13"/>
  <c r="WON84" i="13"/>
  <c r="WOM84" i="13"/>
  <c r="WOL84" i="13"/>
  <c r="WOK84" i="13"/>
  <c r="WOJ84" i="13"/>
  <c r="WOI84" i="13"/>
  <c r="WOH84" i="13"/>
  <c r="WOG84" i="13"/>
  <c r="WOF84" i="13"/>
  <c r="WOE84" i="13"/>
  <c r="WOD84" i="13"/>
  <c r="WOC84" i="13"/>
  <c r="WOB84" i="13"/>
  <c r="WNX84" i="13"/>
  <c r="WNW84" i="13"/>
  <c r="WNV84" i="13"/>
  <c r="WNU84" i="13"/>
  <c r="WNT84" i="13"/>
  <c r="WNS84" i="13"/>
  <c r="WNR84" i="13"/>
  <c r="WNQ84" i="13"/>
  <c r="WNP84" i="13"/>
  <c r="WNO84" i="13"/>
  <c r="WNN84" i="13"/>
  <c r="WNM84" i="13"/>
  <c r="WNL84" i="13"/>
  <c r="WNH84" i="13"/>
  <c r="WNG84" i="13"/>
  <c r="WNF84" i="13"/>
  <c r="WNE84" i="13"/>
  <c r="WND84" i="13"/>
  <c r="WNC84" i="13"/>
  <c r="WNB84" i="13"/>
  <c r="WNA84" i="13"/>
  <c r="WMZ84" i="13"/>
  <c r="WMY84" i="13"/>
  <c r="WMX84" i="13"/>
  <c r="WMW84" i="13"/>
  <c r="WMV84" i="13"/>
  <c r="WMR84" i="13"/>
  <c r="WMQ84" i="13"/>
  <c r="WMP84" i="13"/>
  <c r="WMO84" i="13"/>
  <c r="WMN84" i="13"/>
  <c r="WMM84" i="13"/>
  <c r="WML84" i="13"/>
  <c r="WMK84" i="13"/>
  <c r="WMJ84" i="13"/>
  <c r="WMI84" i="13"/>
  <c r="WMH84" i="13"/>
  <c r="WMG84" i="13"/>
  <c r="WMF84" i="13"/>
  <c r="WMB84" i="13"/>
  <c r="WMA84" i="13"/>
  <c r="WLZ84" i="13"/>
  <c r="WLY84" i="13"/>
  <c r="WLX84" i="13"/>
  <c r="WLW84" i="13"/>
  <c r="WLV84" i="13"/>
  <c r="WLU84" i="13"/>
  <c r="WLT84" i="13"/>
  <c r="WLS84" i="13"/>
  <c r="WLR84" i="13"/>
  <c r="WLQ84" i="13"/>
  <c r="WLP84" i="13"/>
  <c r="WLL84" i="13"/>
  <c r="WLK84" i="13"/>
  <c r="WLJ84" i="13"/>
  <c r="WLI84" i="13"/>
  <c r="WLH84" i="13"/>
  <c r="WLG84" i="13"/>
  <c r="WLF84" i="13"/>
  <c r="WLE84" i="13"/>
  <c r="WLD84" i="13"/>
  <c r="WLC84" i="13"/>
  <c r="WLB84" i="13"/>
  <c r="WLA84" i="13"/>
  <c r="WKZ84" i="13"/>
  <c r="WKV84" i="13"/>
  <c r="WKU84" i="13"/>
  <c r="WKT84" i="13"/>
  <c r="WKS84" i="13"/>
  <c r="WKR84" i="13"/>
  <c r="WKQ84" i="13"/>
  <c r="WKP84" i="13"/>
  <c r="WKO84" i="13"/>
  <c r="WKN84" i="13"/>
  <c r="WKM84" i="13"/>
  <c r="WKL84" i="13"/>
  <c r="WKK84" i="13"/>
  <c r="WKJ84" i="13"/>
  <c r="WKF84" i="13"/>
  <c r="WKE84" i="13"/>
  <c r="WKD84" i="13"/>
  <c r="WKC84" i="13"/>
  <c r="WKB84" i="13"/>
  <c r="WKA84" i="13"/>
  <c r="WJZ84" i="13"/>
  <c r="WJY84" i="13"/>
  <c r="WJX84" i="13"/>
  <c r="WJW84" i="13"/>
  <c r="WJV84" i="13"/>
  <c r="WJU84" i="13"/>
  <c r="WJT84" i="13"/>
  <c r="WJP84" i="13"/>
  <c r="WJO84" i="13"/>
  <c r="WJN84" i="13"/>
  <c r="WJM84" i="13"/>
  <c r="WJL84" i="13"/>
  <c r="WJK84" i="13"/>
  <c r="WJJ84" i="13"/>
  <c r="WJI84" i="13"/>
  <c r="WJH84" i="13"/>
  <c r="WJG84" i="13"/>
  <c r="WJF84" i="13"/>
  <c r="WJE84" i="13"/>
  <c r="WJD84" i="13"/>
  <c r="WIZ84" i="13"/>
  <c r="WIY84" i="13"/>
  <c r="WIX84" i="13"/>
  <c r="WIW84" i="13"/>
  <c r="WIV84" i="13"/>
  <c r="WIU84" i="13"/>
  <c r="WIT84" i="13"/>
  <c r="WIS84" i="13"/>
  <c r="WIR84" i="13"/>
  <c r="WIQ84" i="13"/>
  <c r="WIP84" i="13"/>
  <c r="WIO84" i="13"/>
  <c r="WIN84" i="13"/>
  <c r="WIJ84" i="13"/>
  <c r="WII84" i="13"/>
  <c r="WIH84" i="13"/>
  <c r="WIG84" i="13"/>
  <c r="WIF84" i="13"/>
  <c r="WIE84" i="13"/>
  <c r="WID84" i="13"/>
  <c r="WIC84" i="13"/>
  <c r="WIB84" i="13"/>
  <c r="WIA84" i="13"/>
  <c r="WHZ84" i="13"/>
  <c r="WHY84" i="13"/>
  <c r="WHX84" i="13"/>
  <c r="WHT84" i="13"/>
  <c r="WHS84" i="13"/>
  <c r="WHR84" i="13"/>
  <c r="WHQ84" i="13"/>
  <c r="WHP84" i="13"/>
  <c r="WHO84" i="13"/>
  <c r="WHN84" i="13"/>
  <c r="WHM84" i="13"/>
  <c r="WHL84" i="13"/>
  <c r="WHK84" i="13"/>
  <c r="WHJ84" i="13"/>
  <c r="WHI84" i="13"/>
  <c r="WHH84" i="13"/>
  <c r="WHD84" i="13"/>
  <c r="WHC84" i="13"/>
  <c r="WHB84" i="13"/>
  <c r="WHA84" i="13"/>
  <c r="WGZ84" i="13"/>
  <c r="WGY84" i="13"/>
  <c r="WGX84" i="13"/>
  <c r="WGW84" i="13"/>
  <c r="WGV84" i="13"/>
  <c r="WGU84" i="13"/>
  <c r="WGT84" i="13"/>
  <c r="WGS84" i="13"/>
  <c r="WGR84" i="13"/>
  <c r="WGN84" i="13"/>
  <c r="WGM84" i="13"/>
  <c r="WGL84" i="13"/>
  <c r="WGK84" i="13"/>
  <c r="WGJ84" i="13"/>
  <c r="WGI84" i="13"/>
  <c r="WGH84" i="13"/>
  <c r="WGG84" i="13"/>
  <c r="WGF84" i="13"/>
  <c r="WGE84" i="13"/>
  <c r="WGD84" i="13"/>
  <c r="WGC84" i="13"/>
  <c r="WGB84" i="13"/>
  <c r="WFX84" i="13"/>
  <c r="WFW84" i="13"/>
  <c r="WFV84" i="13"/>
  <c r="WFU84" i="13"/>
  <c r="WFT84" i="13"/>
  <c r="WFS84" i="13"/>
  <c r="WFR84" i="13"/>
  <c r="WFQ84" i="13"/>
  <c r="WFP84" i="13"/>
  <c r="WFO84" i="13"/>
  <c r="WFN84" i="13"/>
  <c r="WFM84" i="13"/>
  <c r="WFL84" i="13"/>
  <c r="WFH84" i="13"/>
  <c r="WFG84" i="13"/>
  <c r="WFF84" i="13"/>
  <c r="WFE84" i="13"/>
  <c r="WFD84" i="13"/>
  <c r="WFC84" i="13"/>
  <c r="WFB84" i="13"/>
  <c r="WFA84" i="13"/>
  <c r="WEZ84" i="13"/>
  <c r="WEY84" i="13"/>
  <c r="WEX84" i="13"/>
  <c r="WEW84" i="13"/>
  <c r="WEV84" i="13"/>
  <c r="WER84" i="13"/>
  <c r="WEQ84" i="13"/>
  <c r="WEP84" i="13"/>
  <c r="WEO84" i="13"/>
  <c r="WEN84" i="13"/>
  <c r="WEM84" i="13"/>
  <c r="WEL84" i="13"/>
  <c r="WEK84" i="13"/>
  <c r="WEJ84" i="13"/>
  <c r="WEI84" i="13"/>
  <c r="WEH84" i="13"/>
  <c r="WEG84" i="13"/>
  <c r="WEF84" i="13"/>
  <c r="WEB84" i="13"/>
  <c r="WEA84" i="13"/>
  <c r="WDZ84" i="13"/>
  <c r="WDY84" i="13"/>
  <c r="WDX84" i="13"/>
  <c r="WDW84" i="13"/>
  <c r="WDV84" i="13"/>
  <c r="WDU84" i="13"/>
  <c r="WDT84" i="13"/>
  <c r="WDS84" i="13"/>
  <c r="WDR84" i="13"/>
  <c r="WDQ84" i="13"/>
  <c r="WDP84" i="13"/>
  <c r="WDL84" i="13"/>
  <c r="WDK84" i="13"/>
  <c r="WDJ84" i="13"/>
  <c r="WDI84" i="13"/>
  <c r="WDH84" i="13"/>
  <c r="WDG84" i="13"/>
  <c r="WDF84" i="13"/>
  <c r="WDE84" i="13"/>
  <c r="WDD84" i="13"/>
  <c r="WDC84" i="13"/>
  <c r="WDB84" i="13"/>
  <c r="WDA84" i="13"/>
  <c r="WCZ84" i="13"/>
  <c r="WCV84" i="13"/>
  <c r="WCU84" i="13"/>
  <c r="WCT84" i="13"/>
  <c r="WCS84" i="13"/>
  <c r="WCR84" i="13"/>
  <c r="WCQ84" i="13"/>
  <c r="WCP84" i="13"/>
  <c r="WCO84" i="13"/>
  <c r="WCN84" i="13"/>
  <c r="WCM84" i="13"/>
  <c r="WCL84" i="13"/>
  <c r="WCK84" i="13"/>
  <c r="WCJ84" i="13"/>
  <c r="WCF84" i="13"/>
  <c r="WCE84" i="13"/>
  <c r="WCD84" i="13"/>
  <c r="WCC84" i="13"/>
  <c r="WCB84" i="13"/>
  <c r="WCA84" i="13"/>
  <c r="WBZ84" i="13"/>
  <c r="WBY84" i="13"/>
  <c r="WBX84" i="13"/>
  <c r="WBW84" i="13"/>
  <c r="WBV84" i="13"/>
  <c r="WBU84" i="13"/>
  <c r="WBT84" i="13"/>
  <c r="WBP84" i="13"/>
  <c r="WBO84" i="13"/>
  <c r="WBN84" i="13"/>
  <c r="WBM84" i="13"/>
  <c r="WBL84" i="13"/>
  <c r="WBK84" i="13"/>
  <c r="WBJ84" i="13"/>
  <c r="WBI84" i="13"/>
  <c r="WBH84" i="13"/>
  <c r="WBG84" i="13"/>
  <c r="WBF84" i="13"/>
  <c r="WBE84" i="13"/>
  <c r="WBD84" i="13"/>
  <c r="WAZ84" i="13"/>
  <c r="WAY84" i="13"/>
  <c r="WAX84" i="13"/>
  <c r="WAW84" i="13"/>
  <c r="WAV84" i="13"/>
  <c r="WAU84" i="13"/>
  <c r="WAT84" i="13"/>
  <c r="WAS84" i="13"/>
  <c r="WAR84" i="13"/>
  <c r="WAQ84" i="13"/>
  <c r="WAP84" i="13"/>
  <c r="WAO84" i="13"/>
  <c r="WAN84" i="13"/>
  <c r="WAJ84" i="13"/>
  <c r="WAI84" i="13"/>
  <c r="WAH84" i="13"/>
  <c r="WAG84" i="13"/>
  <c r="WAF84" i="13"/>
  <c r="WAE84" i="13"/>
  <c r="WAD84" i="13"/>
  <c r="WAC84" i="13"/>
  <c r="WAB84" i="13"/>
  <c r="WAA84" i="13"/>
  <c r="VZZ84" i="13"/>
  <c r="VZY84" i="13"/>
  <c r="VZX84" i="13"/>
  <c r="VZT84" i="13"/>
  <c r="VZS84" i="13"/>
  <c r="VZR84" i="13"/>
  <c r="VZQ84" i="13"/>
  <c r="VZP84" i="13"/>
  <c r="VZO84" i="13"/>
  <c r="VZN84" i="13"/>
  <c r="VZM84" i="13"/>
  <c r="VZL84" i="13"/>
  <c r="VZK84" i="13"/>
  <c r="VZJ84" i="13"/>
  <c r="VZI84" i="13"/>
  <c r="VZH84" i="13"/>
  <c r="VZD84" i="13"/>
  <c r="VZC84" i="13"/>
  <c r="VZB84" i="13"/>
  <c r="VZA84" i="13"/>
  <c r="VYZ84" i="13"/>
  <c r="VYY84" i="13"/>
  <c r="VYX84" i="13"/>
  <c r="VYW84" i="13"/>
  <c r="VYV84" i="13"/>
  <c r="VYU84" i="13"/>
  <c r="VYT84" i="13"/>
  <c r="VYS84" i="13"/>
  <c r="VYR84" i="13"/>
  <c r="VYN84" i="13"/>
  <c r="VYM84" i="13"/>
  <c r="VYL84" i="13"/>
  <c r="VYK84" i="13"/>
  <c r="VYJ84" i="13"/>
  <c r="VYI84" i="13"/>
  <c r="VYH84" i="13"/>
  <c r="VYG84" i="13"/>
  <c r="VYF84" i="13"/>
  <c r="VYE84" i="13"/>
  <c r="VYD84" i="13"/>
  <c r="VYC84" i="13"/>
  <c r="VYB84" i="13"/>
  <c r="VXX84" i="13"/>
  <c r="VXW84" i="13"/>
  <c r="VXV84" i="13"/>
  <c r="VXU84" i="13"/>
  <c r="VXT84" i="13"/>
  <c r="VXS84" i="13"/>
  <c r="VXR84" i="13"/>
  <c r="VXQ84" i="13"/>
  <c r="VXP84" i="13"/>
  <c r="VXO84" i="13"/>
  <c r="VXN84" i="13"/>
  <c r="VXM84" i="13"/>
  <c r="VXL84" i="13"/>
  <c r="VXH84" i="13"/>
  <c r="VXG84" i="13"/>
  <c r="VXF84" i="13"/>
  <c r="VXE84" i="13"/>
  <c r="VXD84" i="13"/>
  <c r="VXC84" i="13"/>
  <c r="VXB84" i="13"/>
  <c r="VXA84" i="13"/>
  <c r="VWZ84" i="13"/>
  <c r="VWY84" i="13"/>
  <c r="VWX84" i="13"/>
  <c r="VWW84" i="13"/>
  <c r="VWV84" i="13"/>
  <c r="VWR84" i="13"/>
  <c r="VWQ84" i="13"/>
  <c r="VWP84" i="13"/>
  <c r="VWO84" i="13"/>
  <c r="VWN84" i="13"/>
  <c r="VWM84" i="13"/>
  <c r="VWL84" i="13"/>
  <c r="VWK84" i="13"/>
  <c r="VWJ84" i="13"/>
  <c r="VWI84" i="13"/>
  <c r="VWH84" i="13"/>
  <c r="VWG84" i="13"/>
  <c r="VWF84" i="13"/>
  <c r="VWB84" i="13"/>
  <c r="VWA84" i="13"/>
  <c r="VVZ84" i="13"/>
  <c r="VVY84" i="13"/>
  <c r="VVX84" i="13"/>
  <c r="VVW84" i="13"/>
  <c r="VVV84" i="13"/>
  <c r="VVU84" i="13"/>
  <c r="VVT84" i="13"/>
  <c r="VVS84" i="13"/>
  <c r="VVR84" i="13"/>
  <c r="VVQ84" i="13"/>
  <c r="VVP84" i="13"/>
  <c r="VVL84" i="13"/>
  <c r="VVK84" i="13"/>
  <c r="VVJ84" i="13"/>
  <c r="VVI84" i="13"/>
  <c r="VVH84" i="13"/>
  <c r="VVG84" i="13"/>
  <c r="VVF84" i="13"/>
  <c r="VVE84" i="13"/>
  <c r="VVD84" i="13"/>
  <c r="VVC84" i="13"/>
  <c r="VVB84" i="13"/>
  <c r="VVA84" i="13"/>
  <c r="VUZ84" i="13"/>
  <c r="VUV84" i="13"/>
  <c r="VUU84" i="13"/>
  <c r="VUT84" i="13"/>
  <c r="VUS84" i="13"/>
  <c r="VUR84" i="13"/>
  <c r="VUQ84" i="13"/>
  <c r="VUP84" i="13"/>
  <c r="VUO84" i="13"/>
  <c r="VUN84" i="13"/>
  <c r="VUM84" i="13"/>
  <c r="VUL84" i="13"/>
  <c r="VUK84" i="13"/>
  <c r="VUJ84" i="13"/>
  <c r="VUF84" i="13"/>
  <c r="VUE84" i="13"/>
  <c r="VUD84" i="13"/>
  <c r="VUC84" i="13"/>
  <c r="VUB84" i="13"/>
  <c r="VUA84" i="13"/>
  <c r="VTZ84" i="13"/>
  <c r="VTY84" i="13"/>
  <c r="VTX84" i="13"/>
  <c r="VTW84" i="13"/>
  <c r="VTV84" i="13"/>
  <c r="VTU84" i="13"/>
  <c r="VTT84" i="13"/>
  <c r="VTP84" i="13"/>
  <c r="VTO84" i="13"/>
  <c r="VTN84" i="13"/>
  <c r="VTM84" i="13"/>
  <c r="VTL84" i="13"/>
  <c r="VTK84" i="13"/>
  <c r="VTJ84" i="13"/>
  <c r="VTI84" i="13"/>
  <c r="VTH84" i="13"/>
  <c r="VTG84" i="13"/>
  <c r="VTF84" i="13"/>
  <c r="VTE84" i="13"/>
  <c r="VTD84" i="13"/>
  <c r="VSZ84" i="13"/>
  <c r="VSY84" i="13"/>
  <c r="VSX84" i="13"/>
  <c r="VSW84" i="13"/>
  <c r="VSV84" i="13"/>
  <c r="VSU84" i="13"/>
  <c r="VST84" i="13"/>
  <c r="VSS84" i="13"/>
  <c r="VSR84" i="13"/>
  <c r="VSQ84" i="13"/>
  <c r="VSP84" i="13"/>
  <c r="VSO84" i="13"/>
  <c r="VSN84" i="13"/>
  <c r="VSJ84" i="13"/>
  <c r="VSI84" i="13"/>
  <c r="VSH84" i="13"/>
  <c r="VSG84" i="13"/>
  <c r="VSF84" i="13"/>
  <c r="VSE84" i="13"/>
  <c r="VSD84" i="13"/>
  <c r="VSC84" i="13"/>
  <c r="VSB84" i="13"/>
  <c r="VSA84" i="13"/>
  <c r="VRZ84" i="13"/>
  <c r="VRY84" i="13"/>
  <c r="VRX84" i="13"/>
  <c r="VRT84" i="13"/>
  <c r="VRS84" i="13"/>
  <c r="VRR84" i="13"/>
  <c r="VRQ84" i="13"/>
  <c r="VRP84" i="13"/>
  <c r="VRO84" i="13"/>
  <c r="VRN84" i="13"/>
  <c r="VRM84" i="13"/>
  <c r="VRL84" i="13"/>
  <c r="VRK84" i="13"/>
  <c r="VRJ84" i="13"/>
  <c r="VRI84" i="13"/>
  <c r="VRH84" i="13"/>
  <c r="VRD84" i="13"/>
  <c r="VRC84" i="13"/>
  <c r="VRB84" i="13"/>
  <c r="VRA84" i="13"/>
  <c r="VQZ84" i="13"/>
  <c r="VQY84" i="13"/>
  <c r="VQX84" i="13"/>
  <c r="VQW84" i="13"/>
  <c r="VQV84" i="13"/>
  <c r="VQU84" i="13"/>
  <c r="VQT84" i="13"/>
  <c r="VQS84" i="13"/>
  <c r="VQR84" i="13"/>
  <c r="VQN84" i="13"/>
  <c r="VQM84" i="13"/>
  <c r="VQL84" i="13"/>
  <c r="VQK84" i="13"/>
  <c r="VQJ84" i="13"/>
  <c r="VQI84" i="13"/>
  <c r="VQH84" i="13"/>
  <c r="VQG84" i="13"/>
  <c r="VQF84" i="13"/>
  <c r="VQE84" i="13"/>
  <c r="VQD84" i="13"/>
  <c r="VQC84" i="13"/>
  <c r="VQB84" i="13"/>
  <c r="VPX84" i="13"/>
  <c r="VPW84" i="13"/>
  <c r="VPV84" i="13"/>
  <c r="VPU84" i="13"/>
  <c r="VPT84" i="13"/>
  <c r="VPS84" i="13"/>
  <c r="VPR84" i="13"/>
  <c r="VPQ84" i="13"/>
  <c r="VPP84" i="13"/>
  <c r="VPO84" i="13"/>
  <c r="VPN84" i="13"/>
  <c r="VPM84" i="13"/>
  <c r="VPL84" i="13"/>
  <c r="VPH84" i="13"/>
  <c r="VPG84" i="13"/>
  <c r="VPF84" i="13"/>
  <c r="VPE84" i="13"/>
  <c r="VPD84" i="13"/>
  <c r="VPC84" i="13"/>
  <c r="VPB84" i="13"/>
  <c r="VPA84" i="13"/>
  <c r="VOZ84" i="13"/>
  <c r="VOY84" i="13"/>
  <c r="VOX84" i="13"/>
  <c r="VOW84" i="13"/>
  <c r="VOV84" i="13"/>
  <c r="VOR84" i="13"/>
  <c r="VOQ84" i="13"/>
  <c r="VOP84" i="13"/>
  <c r="VOO84" i="13"/>
  <c r="VON84" i="13"/>
  <c r="VOM84" i="13"/>
  <c r="VOL84" i="13"/>
  <c r="VOK84" i="13"/>
  <c r="VOJ84" i="13"/>
  <c r="VOI84" i="13"/>
  <c r="VOH84" i="13"/>
  <c r="VOG84" i="13"/>
  <c r="VOF84" i="13"/>
  <c r="VOB84" i="13"/>
  <c r="VOA84" i="13"/>
  <c r="VNZ84" i="13"/>
  <c r="VNY84" i="13"/>
  <c r="VNX84" i="13"/>
  <c r="VNW84" i="13"/>
  <c r="VNV84" i="13"/>
  <c r="VNU84" i="13"/>
  <c r="VNT84" i="13"/>
  <c r="VNS84" i="13"/>
  <c r="VNR84" i="13"/>
  <c r="VNQ84" i="13"/>
  <c r="VNP84" i="13"/>
  <c r="VNL84" i="13"/>
  <c r="VNK84" i="13"/>
  <c r="VNJ84" i="13"/>
  <c r="VNI84" i="13"/>
  <c r="VNH84" i="13"/>
  <c r="VNG84" i="13"/>
  <c r="VNF84" i="13"/>
  <c r="VNE84" i="13"/>
  <c r="VND84" i="13"/>
  <c r="VNC84" i="13"/>
  <c r="VNB84" i="13"/>
  <c r="VNA84" i="13"/>
  <c r="VMZ84" i="13"/>
  <c r="VMV84" i="13"/>
  <c r="VMU84" i="13"/>
  <c r="VMT84" i="13"/>
  <c r="VMS84" i="13"/>
  <c r="VMR84" i="13"/>
  <c r="VMQ84" i="13"/>
  <c r="VMP84" i="13"/>
  <c r="VMO84" i="13"/>
  <c r="VMN84" i="13"/>
  <c r="VMM84" i="13"/>
  <c r="VML84" i="13"/>
  <c r="VMK84" i="13"/>
  <c r="VMJ84" i="13"/>
  <c r="VMF84" i="13"/>
  <c r="VME84" i="13"/>
  <c r="VMD84" i="13"/>
  <c r="VMC84" i="13"/>
  <c r="VMB84" i="13"/>
  <c r="VMA84" i="13"/>
  <c r="VLZ84" i="13"/>
  <c r="VLY84" i="13"/>
  <c r="VLX84" i="13"/>
  <c r="VLW84" i="13"/>
  <c r="VLV84" i="13"/>
  <c r="VLU84" i="13"/>
  <c r="VLT84" i="13"/>
  <c r="VLP84" i="13"/>
  <c r="VLO84" i="13"/>
  <c r="VLN84" i="13"/>
  <c r="VLM84" i="13"/>
  <c r="VLL84" i="13"/>
  <c r="VLK84" i="13"/>
  <c r="VLJ84" i="13"/>
  <c r="VLI84" i="13"/>
  <c r="VLH84" i="13"/>
  <c r="VLG84" i="13"/>
  <c r="VLF84" i="13"/>
  <c r="VLE84" i="13"/>
  <c r="VLD84" i="13"/>
  <c r="VKZ84" i="13"/>
  <c r="VKY84" i="13"/>
  <c r="VKX84" i="13"/>
  <c r="VKW84" i="13"/>
  <c r="VKV84" i="13"/>
  <c r="VKU84" i="13"/>
  <c r="VKT84" i="13"/>
  <c r="VKS84" i="13"/>
  <c r="VKR84" i="13"/>
  <c r="VKQ84" i="13"/>
  <c r="VKP84" i="13"/>
  <c r="VKO84" i="13"/>
  <c r="VKN84" i="13"/>
  <c r="VKJ84" i="13"/>
  <c r="VKI84" i="13"/>
  <c r="VKH84" i="13"/>
  <c r="VKG84" i="13"/>
  <c r="VKF84" i="13"/>
  <c r="VKE84" i="13"/>
  <c r="VKD84" i="13"/>
  <c r="VKC84" i="13"/>
  <c r="VKB84" i="13"/>
  <c r="VKA84" i="13"/>
  <c r="VJZ84" i="13"/>
  <c r="VJY84" i="13"/>
  <c r="VJX84" i="13"/>
  <c r="VJT84" i="13"/>
  <c r="VJS84" i="13"/>
  <c r="VJR84" i="13"/>
  <c r="VJQ84" i="13"/>
  <c r="VJP84" i="13"/>
  <c r="VJO84" i="13"/>
  <c r="VJN84" i="13"/>
  <c r="VJM84" i="13"/>
  <c r="VJL84" i="13"/>
  <c r="VJK84" i="13"/>
  <c r="VJJ84" i="13"/>
  <c r="VJI84" i="13"/>
  <c r="VJH84" i="13"/>
  <c r="VJD84" i="13"/>
  <c r="VJC84" i="13"/>
  <c r="VJB84" i="13"/>
  <c r="VJA84" i="13"/>
  <c r="VIZ84" i="13"/>
  <c r="VIY84" i="13"/>
  <c r="VIX84" i="13"/>
  <c r="VIW84" i="13"/>
  <c r="VIV84" i="13"/>
  <c r="VIU84" i="13"/>
  <c r="VIT84" i="13"/>
  <c r="VIS84" i="13"/>
  <c r="VIR84" i="13"/>
  <c r="VIN84" i="13"/>
  <c r="VIM84" i="13"/>
  <c r="VIL84" i="13"/>
  <c r="VIK84" i="13"/>
  <c r="VIJ84" i="13"/>
  <c r="VII84" i="13"/>
  <c r="VIH84" i="13"/>
  <c r="VIG84" i="13"/>
  <c r="VIF84" i="13"/>
  <c r="VIE84" i="13"/>
  <c r="VID84" i="13"/>
  <c r="VIC84" i="13"/>
  <c r="VIB84" i="13"/>
  <c r="VHX84" i="13"/>
  <c r="VHW84" i="13"/>
  <c r="VHV84" i="13"/>
  <c r="VHU84" i="13"/>
  <c r="VHT84" i="13"/>
  <c r="VHS84" i="13"/>
  <c r="VHR84" i="13"/>
  <c r="VHQ84" i="13"/>
  <c r="VHP84" i="13"/>
  <c r="VHO84" i="13"/>
  <c r="VHN84" i="13"/>
  <c r="VHM84" i="13"/>
  <c r="VHL84" i="13"/>
  <c r="VHH84" i="13"/>
  <c r="VHG84" i="13"/>
  <c r="VHF84" i="13"/>
  <c r="VHE84" i="13"/>
  <c r="VHD84" i="13"/>
  <c r="VHC84" i="13"/>
  <c r="VHB84" i="13"/>
  <c r="VHA84" i="13"/>
  <c r="VGZ84" i="13"/>
  <c r="VGY84" i="13"/>
  <c r="VGX84" i="13"/>
  <c r="VGW84" i="13"/>
  <c r="VGV84" i="13"/>
  <c r="VGR84" i="13"/>
  <c r="VGQ84" i="13"/>
  <c r="VGP84" i="13"/>
  <c r="VGO84" i="13"/>
  <c r="VGN84" i="13"/>
  <c r="VGM84" i="13"/>
  <c r="VGL84" i="13"/>
  <c r="VGK84" i="13"/>
  <c r="VGJ84" i="13"/>
  <c r="VGI84" i="13"/>
  <c r="VGH84" i="13"/>
  <c r="VGG84" i="13"/>
  <c r="VGF84" i="13"/>
  <c r="VGB84" i="13"/>
  <c r="VGA84" i="13"/>
  <c r="VFZ84" i="13"/>
  <c r="VFY84" i="13"/>
  <c r="VFX84" i="13"/>
  <c r="VFW84" i="13"/>
  <c r="VFV84" i="13"/>
  <c r="VFU84" i="13"/>
  <c r="VFT84" i="13"/>
  <c r="VFS84" i="13"/>
  <c r="VFR84" i="13"/>
  <c r="VFQ84" i="13"/>
  <c r="VFP84" i="13"/>
  <c r="VFL84" i="13"/>
  <c r="VFK84" i="13"/>
  <c r="VFJ84" i="13"/>
  <c r="VFI84" i="13"/>
  <c r="VFH84" i="13"/>
  <c r="VFG84" i="13"/>
  <c r="VFF84" i="13"/>
  <c r="VFE84" i="13"/>
  <c r="VFD84" i="13"/>
  <c r="VFC84" i="13"/>
  <c r="VFB84" i="13"/>
  <c r="VFA84" i="13"/>
  <c r="VEZ84" i="13"/>
  <c r="VEV84" i="13"/>
  <c r="VEU84" i="13"/>
  <c r="VET84" i="13"/>
  <c r="VES84" i="13"/>
  <c r="VER84" i="13"/>
  <c r="VEQ84" i="13"/>
  <c r="VEP84" i="13"/>
  <c r="VEO84" i="13"/>
  <c r="VEN84" i="13"/>
  <c r="VEM84" i="13"/>
  <c r="VEL84" i="13"/>
  <c r="VEK84" i="13"/>
  <c r="VEJ84" i="13"/>
  <c r="VEF84" i="13"/>
  <c r="VEE84" i="13"/>
  <c r="VED84" i="13"/>
  <c r="VEC84" i="13"/>
  <c r="VEB84" i="13"/>
  <c r="VEA84" i="13"/>
  <c r="VDZ84" i="13"/>
  <c r="VDY84" i="13"/>
  <c r="VDX84" i="13"/>
  <c r="VDW84" i="13"/>
  <c r="VDV84" i="13"/>
  <c r="VDU84" i="13"/>
  <c r="VDT84" i="13"/>
  <c r="VDP84" i="13"/>
  <c r="VDO84" i="13"/>
  <c r="VDN84" i="13"/>
  <c r="VDM84" i="13"/>
  <c r="VDL84" i="13"/>
  <c r="VDK84" i="13"/>
  <c r="VDJ84" i="13"/>
  <c r="VDI84" i="13"/>
  <c r="VDH84" i="13"/>
  <c r="VDG84" i="13"/>
  <c r="VDF84" i="13"/>
  <c r="VDE84" i="13"/>
  <c r="VDD84" i="13"/>
  <c r="VCZ84" i="13"/>
  <c r="VCY84" i="13"/>
  <c r="VCX84" i="13"/>
  <c r="VCW84" i="13"/>
  <c r="VCV84" i="13"/>
  <c r="VCU84" i="13"/>
  <c r="VCT84" i="13"/>
  <c r="VCS84" i="13"/>
  <c r="VCR84" i="13"/>
  <c r="VCQ84" i="13"/>
  <c r="VCP84" i="13"/>
  <c r="VCO84" i="13"/>
  <c r="VCN84" i="13"/>
  <c r="VCJ84" i="13"/>
  <c r="VCI84" i="13"/>
  <c r="VCH84" i="13"/>
  <c r="VCG84" i="13"/>
  <c r="VCF84" i="13"/>
  <c r="VCE84" i="13"/>
  <c r="VCD84" i="13"/>
  <c r="VCC84" i="13"/>
  <c r="VCB84" i="13"/>
  <c r="VCA84" i="13"/>
  <c r="VBZ84" i="13"/>
  <c r="VBY84" i="13"/>
  <c r="VBX84" i="13"/>
  <c r="VBT84" i="13"/>
  <c r="VBS84" i="13"/>
  <c r="VBR84" i="13"/>
  <c r="VBQ84" i="13"/>
  <c r="VBP84" i="13"/>
  <c r="VBO84" i="13"/>
  <c r="VBN84" i="13"/>
  <c r="VBM84" i="13"/>
  <c r="VBL84" i="13"/>
  <c r="VBK84" i="13"/>
  <c r="VBJ84" i="13"/>
  <c r="VBI84" i="13"/>
  <c r="VBH84" i="13"/>
  <c r="VBD84" i="13"/>
  <c r="VBC84" i="13"/>
  <c r="VBB84" i="13"/>
  <c r="VBA84" i="13"/>
  <c r="VAZ84" i="13"/>
  <c r="VAY84" i="13"/>
  <c r="VAX84" i="13"/>
  <c r="VAW84" i="13"/>
  <c r="VAV84" i="13"/>
  <c r="VAU84" i="13"/>
  <c r="VAT84" i="13"/>
  <c r="VAS84" i="13"/>
  <c r="VAR84" i="13"/>
  <c r="VAN84" i="13"/>
  <c r="VAM84" i="13"/>
  <c r="VAL84" i="13"/>
  <c r="VAK84" i="13"/>
  <c r="VAJ84" i="13"/>
  <c r="VAI84" i="13"/>
  <c r="VAH84" i="13"/>
  <c r="VAG84" i="13"/>
  <c r="VAF84" i="13"/>
  <c r="VAE84" i="13"/>
  <c r="VAD84" i="13"/>
  <c r="VAC84" i="13"/>
  <c r="VAB84" i="13"/>
  <c r="UZX84" i="13"/>
  <c r="UZW84" i="13"/>
  <c r="UZV84" i="13"/>
  <c r="UZU84" i="13"/>
  <c r="UZT84" i="13"/>
  <c r="UZS84" i="13"/>
  <c r="UZR84" i="13"/>
  <c r="UZQ84" i="13"/>
  <c r="UZP84" i="13"/>
  <c r="UZO84" i="13"/>
  <c r="UZN84" i="13"/>
  <c r="UZM84" i="13"/>
  <c r="UZL84" i="13"/>
  <c r="UZH84" i="13"/>
  <c r="UZG84" i="13"/>
  <c r="UZF84" i="13"/>
  <c r="UZE84" i="13"/>
  <c r="UZD84" i="13"/>
  <c r="UZC84" i="13"/>
  <c r="UZB84" i="13"/>
  <c r="UZA84" i="13"/>
  <c r="UYZ84" i="13"/>
  <c r="UYY84" i="13"/>
  <c r="UYX84" i="13"/>
  <c r="UYW84" i="13"/>
  <c r="UYV84" i="13"/>
  <c r="UYR84" i="13"/>
  <c r="UYQ84" i="13"/>
  <c r="UYP84" i="13"/>
  <c r="UYO84" i="13"/>
  <c r="UYN84" i="13"/>
  <c r="UYM84" i="13"/>
  <c r="UYL84" i="13"/>
  <c r="UYK84" i="13"/>
  <c r="UYJ84" i="13"/>
  <c r="UYI84" i="13"/>
  <c r="UYH84" i="13"/>
  <c r="UYG84" i="13"/>
  <c r="UYF84" i="13"/>
  <c r="UYB84" i="13"/>
  <c r="UYA84" i="13"/>
  <c r="UXZ84" i="13"/>
  <c r="UXY84" i="13"/>
  <c r="UXX84" i="13"/>
  <c r="UXW84" i="13"/>
  <c r="UXV84" i="13"/>
  <c r="UXU84" i="13"/>
  <c r="UXT84" i="13"/>
  <c r="UXS84" i="13"/>
  <c r="UXR84" i="13"/>
  <c r="UXQ84" i="13"/>
  <c r="UXP84" i="13"/>
  <c r="UXL84" i="13"/>
  <c r="UXK84" i="13"/>
  <c r="UXJ84" i="13"/>
  <c r="UXI84" i="13"/>
  <c r="UXH84" i="13"/>
  <c r="UXG84" i="13"/>
  <c r="UXF84" i="13"/>
  <c r="UXE84" i="13"/>
  <c r="UXD84" i="13"/>
  <c r="UXC84" i="13"/>
  <c r="UXB84" i="13"/>
  <c r="UXA84" i="13"/>
  <c r="UWZ84" i="13"/>
  <c r="UWV84" i="13"/>
  <c r="UWU84" i="13"/>
  <c r="UWT84" i="13"/>
  <c r="UWS84" i="13"/>
  <c r="UWR84" i="13"/>
  <c r="UWQ84" i="13"/>
  <c r="UWP84" i="13"/>
  <c r="UWO84" i="13"/>
  <c r="UWN84" i="13"/>
  <c r="UWM84" i="13"/>
  <c r="UWL84" i="13"/>
  <c r="UWK84" i="13"/>
  <c r="UWJ84" i="13"/>
  <c r="UWF84" i="13"/>
  <c r="UWE84" i="13"/>
  <c r="UWD84" i="13"/>
  <c r="UWC84" i="13"/>
  <c r="UWB84" i="13"/>
  <c r="UWA84" i="13"/>
  <c r="UVZ84" i="13"/>
  <c r="UVY84" i="13"/>
  <c r="UVX84" i="13"/>
  <c r="UVW84" i="13"/>
  <c r="UVV84" i="13"/>
  <c r="UVU84" i="13"/>
  <c r="UVT84" i="13"/>
  <c r="UVP84" i="13"/>
  <c r="UVO84" i="13"/>
  <c r="UVN84" i="13"/>
  <c r="UVM84" i="13"/>
  <c r="UVL84" i="13"/>
  <c r="UVK84" i="13"/>
  <c r="UVJ84" i="13"/>
  <c r="UVI84" i="13"/>
  <c r="UVH84" i="13"/>
  <c r="UVG84" i="13"/>
  <c r="UVF84" i="13"/>
  <c r="UVE84" i="13"/>
  <c r="UVD84" i="13"/>
  <c r="UUZ84" i="13"/>
  <c r="UUY84" i="13"/>
  <c r="UUX84" i="13"/>
  <c r="UUW84" i="13"/>
  <c r="UUV84" i="13"/>
  <c r="UUU84" i="13"/>
  <c r="UUT84" i="13"/>
  <c r="UUS84" i="13"/>
  <c r="UUR84" i="13"/>
  <c r="UUQ84" i="13"/>
  <c r="UUP84" i="13"/>
  <c r="UUO84" i="13"/>
  <c r="UUN84" i="13"/>
  <c r="UUJ84" i="13"/>
  <c r="UUI84" i="13"/>
  <c r="UUH84" i="13"/>
  <c r="UUG84" i="13"/>
  <c r="UUF84" i="13"/>
  <c r="UUE84" i="13"/>
  <c r="UUD84" i="13"/>
  <c r="UUC84" i="13"/>
  <c r="UUB84" i="13"/>
  <c r="UUA84" i="13"/>
  <c r="UTZ84" i="13"/>
  <c r="UTY84" i="13"/>
  <c r="UTX84" i="13"/>
  <c r="UTT84" i="13"/>
  <c r="UTS84" i="13"/>
  <c r="UTR84" i="13"/>
  <c r="UTQ84" i="13"/>
  <c r="UTP84" i="13"/>
  <c r="UTO84" i="13"/>
  <c r="UTN84" i="13"/>
  <c r="UTM84" i="13"/>
  <c r="UTL84" i="13"/>
  <c r="UTK84" i="13"/>
  <c r="UTJ84" i="13"/>
  <c r="UTI84" i="13"/>
  <c r="UTH84" i="13"/>
  <c r="UTD84" i="13"/>
  <c r="UTC84" i="13"/>
  <c r="UTB84" i="13"/>
  <c r="UTA84" i="13"/>
  <c r="USZ84" i="13"/>
  <c r="USY84" i="13"/>
  <c r="USX84" i="13"/>
  <c r="USW84" i="13"/>
  <c r="USV84" i="13"/>
  <c r="USU84" i="13"/>
  <c r="UST84" i="13"/>
  <c r="USS84" i="13"/>
  <c r="USR84" i="13"/>
  <c r="USN84" i="13"/>
  <c r="USM84" i="13"/>
  <c r="USL84" i="13"/>
  <c r="USK84" i="13"/>
  <c r="USJ84" i="13"/>
  <c r="USI84" i="13"/>
  <c r="USH84" i="13"/>
  <c r="USG84" i="13"/>
  <c r="USF84" i="13"/>
  <c r="USE84" i="13"/>
  <c r="USD84" i="13"/>
  <c r="USC84" i="13"/>
  <c r="USB84" i="13"/>
  <c r="URX84" i="13"/>
  <c r="URW84" i="13"/>
  <c r="URV84" i="13"/>
  <c r="URU84" i="13"/>
  <c r="URT84" i="13"/>
  <c r="URS84" i="13"/>
  <c r="URR84" i="13"/>
  <c r="URQ84" i="13"/>
  <c r="URP84" i="13"/>
  <c r="URO84" i="13"/>
  <c r="URN84" i="13"/>
  <c r="URM84" i="13"/>
  <c r="URL84" i="13"/>
  <c r="URH84" i="13"/>
  <c r="URG84" i="13"/>
  <c r="URF84" i="13"/>
  <c r="URE84" i="13"/>
  <c r="URD84" i="13"/>
  <c r="URC84" i="13"/>
  <c r="URB84" i="13"/>
  <c r="URA84" i="13"/>
  <c r="UQZ84" i="13"/>
  <c r="UQY84" i="13"/>
  <c r="UQX84" i="13"/>
  <c r="UQW84" i="13"/>
  <c r="UQV84" i="13"/>
  <c r="UQR84" i="13"/>
  <c r="UQQ84" i="13"/>
  <c r="UQP84" i="13"/>
  <c r="UQO84" i="13"/>
  <c r="UQN84" i="13"/>
  <c r="UQM84" i="13"/>
  <c r="UQL84" i="13"/>
  <c r="UQK84" i="13"/>
  <c r="UQJ84" i="13"/>
  <c r="UQI84" i="13"/>
  <c r="UQH84" i="13"/>
  <c r="UQG84" i="13"/>
  <c r="UQF84" i="13"/>
  <c r="UQB84" i="13"/>
  <c r="UQA84" i="13"/>
  <c r="UPZ84" i="13"/>
  <c r="UPY84" i="13"/>
  <c r="UPX84" i="13"/>
  <c r="UPW84" i="13"/>
  <c r="UPV84" i="13"/>
  <c r="UPU84" i="13"/>
  <c r="UPT84" i="13"/>
  <c r="UPS84" i="13"/>
  <c r="UPR84" i="13"/>
  <c r="UPQ84" i="13"/>
  <c r="UPP84" i="13"/>
  <c r="UPL84" i="13"/>
  <c r="UPK84" i="13"/>
  <c r="UPJ84" i="13"/>
  <c r="UPI84" i="13"/>
  <c r="UPH84" i="13"/>
  <c r="UPG84" i="13"/>
  <c r="UPF84" i="13"/>
  <c r="UPE84" i="13"/>
  <c r="UPD84" i="13"/>
  <c r="UPC84" i="13"/>
  <c r="UPB84" i="13"/>
  <c r="UPA84" i="13"/>
  <c r="UOZ84" i="13"/>
  <c r="UOV84" i="13"/>
  <c r="UOU84" i="13"/>
  <c r="UOT84" i="13"/>
  <c r="UOS84" i="13"/>
  <c r="UOR84" i="13"/>
  <c r="UOQ84" i="13"/>
  <c r="UOP84" i="13"/>
  <c r="UOO84" i="13"/>
  <c r="UON84" i="13"/>
  <c r="UOM84" i="13"/>
  <c r="UOL84" i="13"/>
  <c r="UOK84" i="13"/>
  <c r="UOJ84" i="13"/>
  <c r="UOF84" i="13"/>
  <c r="UOE84" i="13"/>
  <c r="UOD84" i="13"/>
  <c r="UOC84" i="13"/>
  <c r="UOB84" i="13"/>
  <c r="UOA84" i="13"/>
  <c r="UNZ84" i="13"/>
  <c r="UNY84" i="13"/>
  <c r="UNX84" i="13"/>
  <c r="UNW84" i="13"/>
  <c r="UNV84" i="13"/>
  <c r="UNU84" i="13"/>
  <c r="UNT84" i="13"/>
  <c r="UNP84" i="13"/>
  <c r="UNO84" i="13"/>
  <c r="UNN84" i="13"/>
  <c r="UNM84" i="13"/>
  <c r="UNL84" i="13"/>
  <c r="UNK84" i="13"/>
  <c r="UNJ84" i="13"/>
  <c r="UNI84" i="13"/>
  <c r="UNH84" i="13"/>
  <c r="UNG84" i="13"/>
  <c r="UNF84" i="13"/>
  <c r="UNE84" i="13"/>
  <c r="UND84" i="13"/>
  <c r="UMZ84" i="13"/>
  <c r="UMY84" i="13"/>
  <c r="UMX84" i="13"/>
  <c r="UMW84" i="13"/>
  <c r="UMV84" i="13"/>
  <c r="UMU84" i="13"/>
  <c r="UMT84" i="13"/>
  <c r="UMS84" i="13"/>
  <c r="UMR84" i="13"/>
  <c r="UMQ84" i="13"/>
  <c r="UMP84" i="13"/>
  <c r="UMO84" i="13"/>
  <c r="UMN84" i="13"/>
  <c r="UMJ84" i="13"/>
  <c r="UMI84" i="13"/>
  <c r="UMH84" i="13"/>
  <c r="UMG84" i="13"/>
  <c r="UMF84" i="13"/>
  <c r="UME84" i="13"/>
  <c r="UMD84" i="13"/>
  <c r="UMC84" i="13"/>
  <c r="UMB84" i="13"/>
  <c r="UMA84" i="13"/>
  <c r="ULZ84" i="13"/>
  <c r="ULY84" i="13"/>
  <c r="ULX84" i="13"/>
  <c r="ULT84" i="13"/>
  <c r="ULS84" i="13"/>
  <c r="ULR84" i="13"/>
  <c r="ULQ84" i="13"/>
  <c r="ULP84" i="13"/>
  <c r="ULO84" i="13"/>
  <c r="ULN84" i="13"/>
  <c r="ULM84" i="13"/>
  <c r="ULL84" i="13"/>
  <c r="ULK84" i="13"/>
  <c r="ULJ84" i="13"/>
  <c r="ULI84" i="13"/>
  <c r="ULH84" i="13"/>
  <c r="ULD84" i="13"/>
  <c r="ULC84" i="13"/>
  <c r="ULB84" i="13"/>
  <c r="ULA84" i="13"/>
  <c r="UKZ84" i="13"/>
  <c r="UKY84" i="13"/>
  <c r="UKX84" i="13"/>
  <c r="UKW84" i="13"/>
  <c r="UKV84" i="13"/>
  <c r="UKU84" i="13"/>
  <c r="UKT84" i="13"/>
  <c r="UKS84" i="13"/>
  <c r="UKR84" i="13"/>
  <c r="UKN84" i="13"/>
  <c r="UKM84" i="13"/>
  <c r="UKL84" i="13"/>
  <c r="UKK84" i="13"/>
  <c r="UKJ84" i="13"/>
  <c r="UKI84" i="13"/>
  <c r="UKH84" i="13"/>
  <c r="UKG84" i="13"/>
  <c r="UKF84" i="13"/>
  <c r="UKE84" i="13"/>
  <c r="UKD84" i="13"/>
  <c r="UKC84" i="13"/>
  <c r="UKB84" i="13"/>
  <c r="UJX84" i="13"/>
  <c r="UJW84" i="13"/>
  <c r="UJV84" i="13"/>
  <c r="UJU84" i="13"/>
  <c r="UJT84" i="13"/>
  <c r="UJS84" i="13"/>
  <c r="UJR84" i="13"/>
  <c r="UJQ84" i="13"/>
  <c r="UJP84" i="13"/>
  <c r="UJO84" i="13"/>
  <c r="UJN84" i="13"/>
  <c r="UJM84" i="13"/>
  <c r="UJL84" i="13"/>
  <c r="UJH84" i="13"/>
  <c r="UJG84" i="13"/>
  <c r="UJF84" i="13"/>
  <c r="UJE84" i="13"/>
  <c r="UJD84" i="13"/>
  <c r="UJC84" i="13"/>
  <c r="UJB84" i="13"/>
  <c r="UJA84" i="13"/>
  <c r="UIZ84" i="13"/>
  <c r="UIY84" i="13"/>
  <c r="UIX84" i="13"/>
  <c r="UIW84" i="13"/>
  <c r="UIV84" i="13"/>
  <c r="UIR84" i="13"/>
  <c r="UIQ84" i="13"/>
  <c r="UIP84" i="13"/>
  <c r="UIO84" i="13"/>
  <c r="UIN84" i="13"/>
  <c r="UIM84" i="13"/>
  <c r="UIL84" i="13"/>
  <c r="UIK84" i="13"/>
  <c r="UIJ84" i="13"/>
  <c r="UII84" i="13"/>
  <c r="UIH84" i="13"/>
  <c r="UIG84" i="13"/>
  <c r="UIF84" i="13"/>
  <c r="UIB84" i="13"/>
  <c r="UIA84" i="13"/>
  <c r="UHZ84" i="13"/>
  <c r="UHY84" i="13"/>
  <c r="UHX84" i="13"/>
  <c r="UHW84" i="13"/>
  <c r="UHV84" i="13"/>
  <c r="UHU84" i="13"/>
  <c r="UHT84" i="13"/>
  <c r="UHS84" i="13"/>
  <c r="UHR84" i="13"/>
  <c r="UHQ84" i="13"/>
  <c r="UHP84" i="13"/>
  <c r="UHL84" i="13"/>
  <c r="UHK84" i="13"/>
  <c r="UHJ84" i="13"/>
  <c r="UHI84" i="13"/>
  <c r="UHH84" i="13"/>
  <c r="UHG84" i="13"/>
  <c r="UHF84" i="13"/>
  <c r="UHE84" i="13"/>
  <c r="UHD84" i="13"/>
  <c r="UHC84" i="13"/>
  <c r="UHB84" i="13"/>
  <c r="UHA84" i="13"/>
  <c r="UGZ84" i="13"/>
  <c r="UGV84" i="13"/>
  <c r="UGU84" i="13"/>
  <c r="UGT84" i="13"/>
  <c r="UGS84" i="13"/>
  <c r="UGR84" i="13"/>
  <c r="UGQ84" i="13"/>
  <c r="UGP84" i="13"/>
  <c r="UGO84" i="13"/>
  <c r="UGN84" i="13"/>
  <c r="UGM84" i="13"/>
  <c r="UGL84" i="13"/>
  <c r="UGK84" i="13"/>
  <c r="UGJ84" i="13"/>
  <c r="UGF84" i="13"/>
  <c r="UGE84" i="13"/>
  <c r="UGD84" i="13"/>
  <c r="UGC84" i="13"/>
  <c r="UGB84" i="13"/>
  <c r="UGA84" i="13"/>
  <c r="UFZ84" i="13"/>
  <c r="UFY84" i="13"/>
  <c r="UFX84" i="13"/>
  <c r="UFW84" i="13"/>
  <c r="UFV84" i="13"/>
  <c r="UFU84" i="13"/>
  <c r="UFT84" i="13"/>
  <c r="UFP84" i="13"/>
  <c r="UFO84" i="13"/>
  <c r="UFN84" i="13"/>
  <c r="UFM84" i="13"/>
  <c r="UFL84" i="13"/>
  <c r="UFK84" i="13"/>
  <c r="UFJ84" i="13"/>
  <c r="UFI84" i="13"/>
  <c r="UFH84" i="13"/>
  <c r="UFG84" i="13"/>
  <c r="UFF84" i="13"/>
  <c r="UFE84" i="13"/>
  <c r="UFD84" i="13"/>
  <c r="UEZ84" i="13"/>
  <c r="UEY84" i="13"/>
  <c r="UEX84" i="13"/>
  <c r="UEW84" i="13"/>
  <c r="UEV84" i="13"/>
  <c r="UEU84" i="13"/>
  <c r="UET84" i="13"/>
  <c r="UES84" i="13"/>
  <c r="UER84" i="13"/>
  <c r="UEQ84" i="13"/>
  <c r="UEP84" i="13"/>
  <c r="UEO84" i="13"/>
  <c r="UEN84" i="13"/>
  <c r="UEJ84" i="13"/>
  <c r="UEI84" i="13"/>
  <c r="UEH84" i="13"/>
  <c r="UEG84" i="13"/>
  <c r="UEF84" i="13"/>
  <c r="UEE84" i="13"/>
  <c r="UED84" i="13"/>
  <c r="UEC84" i="13"/>
  <c r="UEB84" i="13"/>
  <c r="UEA84" i="13"/>
  <c r="UDZ84" i="13"/>
  <c r="UDY84" i="13"/>
  <c r="UDX84" i="13"/>
  <c r="UDT84" i="13"/>
  <c r="UDS84" i="13"/>
  <c r="UDR84" i="13"/>
  <c r="UDQ84" i="13"/>
  <c r="UDP84" i="13"/>
  <c r="UDO84" i="13"/>
  <c r="UDN84" i="13"/>
  <c r="UDM84" i="13"/>
  <c r="UDL84" i="13"/>
  <c r="UDK84" i="13"/>
  <c r="UDJ84" i="13"/>
  <c r="UDI84" i="13"/>
  <c r="UDH84" i="13"/>
  <c r="UDD84" i="13"/>
  <c r="UDC84" i="13"/>
  <c r="UDB84" i="13"/>
  <c r="UDA84" i="13"/>
  <c r="UCZ84" i="13"/>
  <c r="UCY84" i="13"/>
  <c r="UCX84" i="13"/>
  <c r="UCW84" i="13"/>
  <c r="UCV84" i="13"/>
  <c r="UCU84" i="13"/>
  <c r="UCT84" i="13"/>
  <c r="UCS84" i="13"/>
  <c r="UCR84" i="13"/>
  <c r="UCN84" i="13"/>
  <c r="UCM84" i="13"/>
  <c r="UCL84" i="13"/>
  <c r="UCK84" i="13"/>
  <c r="UCJ84" i="13"/>
  <c r="UCI84" i="13"/>
  <c r="UCH84" i="13"/>
  <c r="UCG84" i="13"/>
  <c r="UCF84" i="13"/>
  <c r="UCE84" i="13"/>
  <c r="UCD84" i="13"/>
  <c r="UCC84" i="13"/>
  <c r="UCB84" i="13"/>
  <c r="UBX84" i="13"/>
  <c r="UBW84" i="13"/>
  <c r="UBV84" i="13"/>
  <c r="UBU84" i="13"/>
  <c r="UBT84" i="13"/>
  <c r="UBS84" i="13"/>
  <c r="UBR84" i="13"/>
  <c r="UBQ84" i="13"/>
  <c r="UBP84" i="13"/>
  <c r="UBO84" i="13"/>
  <c r="UBN84" i="13"/>
  <c r="UBM84" i="13"/>
  <c r="UBL84" i="13"/>
  <c r="UBH84" i="13"/>
  <c r="UBG84" i="13"/>
  <c r="UBF84" i="13"/>
  <c r="UBE84" i="13"/>
  <c r="UBD84" i="13"/>
  <c r="UBC84" i="13"/>
  <c r="UBB84" i="13"/>
  <c r="UBA84" i="13"/>
  <c r="UAZ84" i="13"/>
  <c r="UAY84" i="13"/>
  <c r="UAX84" i="13"/>
  <c r="UAW84" i="13"/>
  <c r="UAV84" i="13"/>
  <c r="UAR84" i="13"/>
  <c r="UAQ84" i="13"/>
  <c r="UAP84" i="13"/>
  <c r="UAO84" i="13"/>
  <c r="UAN84" i="13"/>
  <c r="UAM84" i="13"/>
  <c r="UAL84" i="13"/>
  <c r="UAK84" i="13"/>
  <c r="UAJ84" i="13"/>
  <c r="UAI84" i="13"/>
  <c r="UAH84" i="13"/>
  <c r="UAG84" i="13"/>
  <c r="UAF84" i="13"/>
  <c r="UAB84" i="13"/>
  <c r="UAA84" i="13"/>
  <c r="TZZ84" i="13"/>
  <c r="TZY84" i="13"/>
  <c r="TZX84" i="13"/>
  <c r="TZW84" i="13"/>
  <c r="TZV84" i="13"/>
  <c r="TZU84" i="13"/>
  <c r="TZT84" i="13"/>
  <c r="TZS84" i="13"/>
  <c r="TZR84" i="13"/>
  <c r="TZQ84" i="13"/>
  <c r="TZP84" i="13"/>
  <c r="TZL84" i="13"/>
  <c r="TZK84" i="13"/>
  <c r="TZJ84" i="13"/>
  <c r="TZI84" i="13"/>
  <c r="TZH84" i="13"/>
  <c r="TZG84" i="13"/>
  <c r="TZF84" i="13"/>
  <c r="TZE84" i="13"/>
  <c r="TZD84" i="13"/>
  <c r="TZC84" i="13"/>
  <c r="TZB84" i="13"/>
  <c r="TZA84" i="13"/>
  <c r="TYZ84" i="13"/>
  <c r="TYV84" i="13"/>
  <c r="TYU84" i="13"/>
  <c r="TYT84" i="13"/>
  <c r="TYS84" i="13"/>
  <c r="TYR84" i="13"/>
  <c r="TYQ84" i="13"/>
  <c r="TYP84" i="13"/>
  <c r="TYO84" i="13"/>
  <c r="TYN84" i="13"/>
  <c r="TYM84" i="13"/>
  <c r="TYL84" i="13"/>
  <c r="TYK84" i="13"/>
  <c r="TYJ84" i="13"/>
  <c r="TYF84" i="13"/>
  <c r="TYE84" i="13"/>
  <c r="TYD84" i="13"/>
  <c r="TYC84" i="13"/>
  <c r="TYB84" i="13"/>
  <c r="TYA84" i="13"/>
  <c r="TXZ84" i="13"/>
  <c r="TXY84" i="13"/>
  <c r="TXX84" i="13"/>
  <c r="TXW84" i="13"/>
  <c r="TXV84" i="13"/>
  <c r="TXU84" i="13"/>
  <c r="TXT84" i="13"/>
  <c r="TXP84" i="13"/>
  <c r="TXO84" i="13"/>
  <c r="TXN84" i="13"/>
  <c r="TXM84" i="13"/>
  <c r="TXL84" i="13"/>
  <c r="TXK84" i="13"/>
  <c r="TXJ84" i="13"/>
  <c r="TXI84" i="13"/>
  <c r="TXH84" i="13"/>
  <c r="TXG84" i="13"/>
  <c r="TXF84" i="13"/>
  <c r="TXE84" i="13"/>
  <c r="TXD84" i="13"/>
  <c r="TWZ84" i="13"/>
  <c r="TWY84" i="13"/>
  <c r="TWX84" i="13"/>
  <c r="TWW84" i="13"/>
  <c r="TWV84" i="13"/>
  <c r="TWU84" i="13"/>
  <c r="TWT84" i="13"/>
  <c r="TWS84" i="13"/>
  <c r="TWR84" i="13"/>
  <c r="TWQ84" i="13"/>
  <c r="TWP84" i="13"/>
  <c r="TWO84" i="13"/>
  <c r="TWN84" i="13"/>
  <c r="TWJ84" i="13"/>
  <c r="TWI84" i="13"/>
  <c r="TWH84" i="13"/>
  <c r="TWG84" i="13"/>
  <c r="TWF84" i="13"/>
  <c r="TWE84" i="13"/>
  <c r="TWD84" i="13"/>
  <c r="TWC84" i="13"/>
  <c r="TWB84" i="13"/>
  <c r="TWA84" i="13"/>
  <c r="TVZ84" i="13"/>
  <c r="TVY84" i="13"/>
  <c r="TVX84" i="13"/>
  <c r="TVT84" i="13"/>
  <c r="TVS84" i="13"/>
  <c r="TVR84" i="13"/>
  <c r="TVQ84" i="13"/>
  <c r="TVP84" i="13"/>
  <c r="TVO84" i="13"/>
  <c r="TVN84" i="13"/>
  <c r="TVM84" i="13"/>
  <c r="TVL84" i="13"/>
  <c r="TVK84" i="13"/>
  <c r="TVJ84" i="13"/>
  <c r="TVI84" i="13"/>
  <c r="TVH84" i="13"/>
  <c r="TVD84" i="13"/>
  <c r="TVC84" i="13"/>
  <c r="TVB84" i="13"/>
  <c r="TVA84" i="13"/>
  <c r="TUZ84" i="13"/>
  <c r="TUY84" i="13"/>
  <c r="TUX84" i="13"/>
  <c r="TUW84" i="13"/>
  <c r="TUV84" i="13"/>
  <c r="TUU84" i="13"/>
  <c r="TUT84" i="13"/>
  <c r="TUS84" i="13"/>
  <c r="TUR84" i="13"/>
  <c r="TUN84" i="13"/>
  <c r="TUM84" i="13"/>
  <c r="TUL84" i="13"/>
  <c r="TUK84" i="13"/>
  <c r="TUJ84" i="13"/>
  <c r="TUI84" i="13"/>
  <c r="TUH84" i="13"/>
  <c r="TUG84" i="13"/>
  <c r="TUF84" i="13"/>
  <c r="TUE84" i="13"/>
  <c r="TUD84" i="13"/>
  <c r="TUC84" i="13"/>
  <c r="TUB84" i="13"/>
  <c r="TTX84" i="13"/>
  <c r="TTW84" i="13"/>
  <c r="TTV84" i="13"/>
  <c r="TTU84" i="13"/>
  <c r="TTT84" i="13"/>
  <c r="TTS84" i="13"/>
  <c r="TTR84" i="13"/>
  <c r="TTQ84" i="13"/>
  <c r="TTP84" i="13"/>
  <c r="TTO84" i="13"/>
  <c r="TTN84" i="13"/>
  <c r="TTM84" i="13"/>
  <c r="TTL84" i="13"/>
  <c r="TTH84" i="13"/>
  <c r="TTG84" i="13"/>
  <c r="TTF84" i="13"/>
  <c r="TTE84" i="13"/>
  <c r="TTD84" i="13"/>
  <c r="TTC84" i="13"/>
  <c r="TTB84" i="13"/>
  <c r="TTA84" i="13"/>
  <c r="TSZ84" i="13"/>
  <c r="TSY84" i="13"/>
  <c r="TSX84" i="13"/>
  <c r="TSW84" i="13"/>
  <c r="TSV84" i="13"/>
  <c r="TSR84" i="13"/>
  <c r="TSQ84" i="13"/>
  <c r="TSP84" i="13"/>
  <c r="TSO84" i="13"/>
  <c r="TSN84" i="13"/>
  <c r="TSM84" i="13"/>
  <c r="TSL84" i="13"/>
  <c r="TSK84" i="13"/>
  <c r="TSJ84" i="13"/>
  <c r="TSI84" i="13"/>
  <c r="TSH84" i="13"/>
  <c r="TSG84" i="13"/>
  <c r="TSF84" i="13"/>
  <c r="TSB84" i="13"/>
  <c r="TSA84" i="13"/>
  <c r="TRZ84" i="13"/>
  <c r="TRY84" i="13"/>
  <c r="TRX84" i="13"/>
  <c r="TRW84" i="13"/>
  <c r="TRV84" i="13"/>
  <c r="TRU84" i="13"/>
  <c r="TRT84" i="13"/>
  <c r="TRS84" i="13"/>
  <c r="TRR84" i="13"/>
  <c r="TRQ84" i="13"/>
  <c r="TRP84" i="13"/>
  <c r="TRL84" i="13"/>
  <c r="TRK84" i="13"/>
  <c r="TRJ84" i="13"/>
  <c r="TRI84" i="13"/>
  <c r="TRH84" i="13"/>
  <c r="TRG84" i="13"/>
  <c r="TRF84" i="13"/>
  <c r="TRE84" i="13"/>
  <c r="TRD84" i="13"/>
  <c r="TRC84" i="13"/>
  <c r="TRB84" i="13"/>
  <c r="TRA84" i="13"/>
  <c r="TQZ84" i="13"/>
  <c r="TQV84" i="13"/>
  <c r="TQU84" i="13"/>
  <c r="TQT84" i="13"/>
  <c r="TQS84" i="13"/>
  <c r="TQR84" i="13"/>
  <c r="TQQ84" i="13"/>
  <c r="TQP84" i="13"/>
  <c r="TQO84" i="13"/>
  <c r="TQN84" i="13"/>
  <c r="TQM84" i="13"/>
  <c r="TQL84" i="13"/>
  <c r="TQK84" i="13"/>
  <c r="TQJ84" i="13"/>
  <c r="TQF84" i="13"/>
  <c r="TQE84" i="13"/>
  <c r="TQD84" i="13"/>
  <c r="TQC84" i="13"/>
  <c r="TQB84" i="13"/>
  <c r="TQA84" i="13"/>
  <c r="TPZ84" i="13"/>
  <c r="TPY84" i="13"/>
  <c r="TPX84" i="13"/>
  <c r="TPW84" i="13"/>
  <c r="TPV84" i="13"/>
  <c r="TPU84" i="13"/>
  <c r="TPT84" i="13"/>
  <c r="TPP84" i="13"/>
  <c r="TPO84" i="13"/>
  <c r="TPN84" i="13"/>
  <c r="TPM84" i="13"/>
  <c r="TPL84" i="13"/>
  <c r="TPK84" i="13"/>
  <c r="TPJ84" i="13"/>
  <c r="TPI84" i="13"/>
  <c r="TPH84" i="13"/>
  <c r="TPG84" i="13"/>
  <c r="TPF84" i="13"/>
  <c r="TPE84" i="13"/>
  <c r="TPD84" i="13"/>
  <c r="TOZ84" i="13"/>
  <c r="TOY84" i="13"/>
  <c r="TOX84" i="13"/>
  <c r="TOW84" i="13"/>
  <c r="TOV84" i="13"/>
  <c r="TOU84" i="13"/>
  <c r="TOT84" i="13"/>
  <c r="TOS84" i="13"/>
  <c r="TOR84" i="13"/>
  <c r="TOQ84" i="13"/>
  <c r="TOP84" i="13"/>
  <c r="TOO84" i="13"/>
  <c r="TON84" i="13"/>
  <c r="TOJ84" i="13"/>
  <c r="TOI84" i="13"/>
  <c r="TOH84" i="13"/>
  <c r="TOG84" i="13"/>
  <c r="TOF84" i="13"/>
  <c r="TOE84" i="13"/>
  <c r="TOD84" i="13"/>
  <c r="TOC84" i="13"/>
  <c r="TOB84" i="13"/>
  <c r="TOA84" i="13"/>
  <c r="TNZ84" i="13"/>
  <c r="TNY84" i="13"/>
  <c r="TNX84" i="13"/>
  <c r="TNT84" i="13"/>
  <c r="TNS84" i="13"/>
  <c r="TNR84" i="13"/>
  <c r="TNQ84" i="13"/>
  <c r="TNP84" i="13"/>
  <c r="TNO84" i="13"/>
  <c r="TNN84" i="13"/>
  <c r="TNM84" i="13"/>
  <c r="TNL84" i="13"/>
  <c r="TNK84" i="13"/>
  <c r="TNJ84" i="13"/>
  <c r="TNI84" i="13"/>
  <c r="TNH84" i="13"/>
  <c r="TND84" i="13"/>
  <c r="TNC84" i="13"/>
  <c r="TNB84" i="13"/>
  <c r="TNA84" i="13"/>
  <c r="TMZ84" i="13"/>
  <c r="TMY84" i="13"/>
  <c r="TMX84" i="13"/>
  <c r="TMW84" i="13"/>
  <c r="TMV84" i="13"/>
  <c r="TMU84" i="13"/>
  <c r="TMT84" i="13"/>
  <c r="TMS84" i="13"/>
  <c r="TMR84" i="13"/>
  <c r="TMN84" i="13"/>
  <c r="TMM84" i="13"/>
  <c r="TML84" i="13"/>
  <c r="TMK84" i="13"/>
  <c r="TMJ84" i="13"/>
  <c r="TMI84" i="13"/>
  <c r="TMH84" i="13"/>
  <c r="TMG84" i="13"/>
  <c r="TMF84" i="13"/>
  <c r="TME84" i="13"/>
  <c r="TMD84" i="13"/>
  <c r="TMC84" i="13"/>
  <c r="TMB84" i="13"/>
  <c r="TLX84" i="13"/>
  <c r="TLW84" i="13"/>
  <c r="TLV84" i="13"/>
  <c r="TLU84" i="13"/>
  <c r="TLT84" i="13"/>
  <c r="TLS84" i="13"/>
  <c r="TLR84" i="13"/>
  <c r="TLQ84" i="13"/>
  <c r="TLP84" i="13"/>
  <c r="TLO84" i="13"/>
  <c r="TLN84" i="13"/>
  <c r="TLM84" i="13"/>
  <c r="TLL84" i="13"/>
  <c r="TLH84" i="13"/>
  <c r="TLG84" i="13"/>
  <c r="TLF84" i="13"/>
  <c r="TLE84" i="13"/>
  <c r="TLD84" i="13"/>
  <c r="TLC84" i="13"/>
  <c r="TLB84" i="13"/>
  <c r="TLA84" i="13"/>
  <c r="TKZ84" i="13"/>
  <c r="TKY84" i="13"/>
  <c r="TKX84" i="13"/>
  <c r="TKW84" i="13"/>
  <c r="TKV84" i="13"/>
  <c r="TKR84" i="13"/>
  <c r="TKQ84" i="13"/>
  <c r="TKP84" i="13"/>
  <c r="TKO84" i="13"/>
  <c r="TKN84" i="13"/>
  <c r="TKM84" i="13"/>
  <c r="TKL84" i="13"/>
  <c r="TKK84" i="13"/>
  <c r="TKJ84" i="13"/>
  <c r="TKI84" i="13"/>
  <c r="TKH84" i="13"/>
  <c r="TKG84" i="13"/>
  <c r="TKF84" i="13"/>
  <c r="TKB84" i="13"/>
  <c r="TKA84" i="13"/>
  <c r="TJZ84" i="13"/>
  <c r="TJY84" i="13"/>
  <c r="TJX84" i="13"/>
  <c r="TJW84" i="13"/>
  <c r="TJV84" i="13"/>
  <c r="TJU84" i="13"/>
  <c r="TJT84" i="13"/>
  <c r="TJS84" i="13"/>
  <c r="TJR84" i="13"/>
  <c r="TJQ84" i="13"/>
  <c r="TJP84" i="13"/>
  <c r="TJL84" i="13"/>
  <c r="TJK84" i="13"/>
  <c r="TJJ84" i="13"/>
  <c r="TJI84" i="13"/>
  <c r="TJH84" i="13"/>
  <c r="TJG84" i="13"/>
  <c r="TJF84" i="13"/>
  <c r="TJE84" i="13"/>
  <c r="TJD84" i="13"/>
  <c r="TJC84" i="13"/>
  <c r="TJB84" i="13"/>
  <c r="TJA84" i="13"/>
  <c r="TIZ84" i="13"/>
  <c r="TIV84" i="13"/>
  <c r="TIU84" i="13"/>
  <c r="TIT84" i="13"/>
  <c r="TIS84" i="13"/>
  <c r="TIR84" i="13"/>
  <c r="TIQ84" i="13"/>
  <c r="TIP84" i="13"/>
  <c r="TIO84" i="13"/>
  <c r="TIN84" i="13"/>
  <c r="TIM84" i="13"/>
  <c r="TIL84" i="13"/>
  <c r="TIK84" i="13"/>
  <c r="TIJ84" i="13"/>
  <c r="TIF84" i="13"/>
  <c r="TIE84" i="13"/>
  <c r="TID84" i="13"/>
  <c r="TIC84" i="13"/>
  <c r="TIB84" i="13"/>
  <c r="TIA84" i="13"/>
  <c r="THZ84" i="13"/>
  <c r="THY84" i="13"/>
  <c r="THX84" i="13"/>
  <c r="THW84" i="13"/>
  <c r="THV84" i="13"/>
  <c r="THU84" i="13"/>
  <c r="THT84" i="13"/>
  <c r="THP84" i="13"/>
  <c r="THO84" i="13"/>
  <c r="THN84" i="13"/>
  <c r="THM84" i="13"/>
  <c r="THL84" i="13"/>
  <c r="THK84" i="13"/>
  <c r="THJ84" i="13"/>
  <c r="THI84" i="13"/>
  <c r="THH84" i="13"/>
  <c r="THG84" i="13"/>
  <c r="THF84" i="13"/>
  <c r="THE84" i="13"/>
  <c r="THD84" i="13"/>
  <c r="TGZ84" i="13"/>
  <c r="TGY84" i="13"/>
  <c r="TGX84" i="13"/>
  <c r="TGW84" i="13"/>
  <c r="TGV84" i="13"/>
  <c r="TGU84" i="13"/>
  <c r="TGT84" i="13"/>
  <c r="TGS84" i="13"/>
  <c r="TGR84" i="13"/>
  <c r="TGQ84" i="13"/>
  <c r="TGP84" i="13"/>
  <c r="TGO84" i="13"/>
  <c r="TGN84" i="13"/>
  <c r="TGJ84" i="13"/>
  <c r="TGI84" i="13"/>
  <c r="TGH84" i="13"/>
  <c r="TGG84" i="13"/>
  <c r="TGF84" i="13"/>
  <c r="TGE84" i="13"/>
  <c r="TGD84" i="13"/>
  <c r="TGC84" i="13"/>
  <c r="TGB84" i="13"/>
  <c r="TGA84" i="13"/>
  <c r="TFZ84" i="13"/>
  <c r="TFY84" i="13"/>
  <c r="TFX84" i="13"/>
  <c r="TFT84" i="13"/>
  <c r="TFS84" i="13"/>
  <c r="TFR84" i="13"/>
  <c r="TFQ84" i="13"/>
  <c r="TFP84" i="13"/>
  <c r="TFO84" i="13"/>
  <c r="TFN84" i="13"/>
  <c r="TFM84" i="13"/>
  <c r="TFL84" i="13"/>
  <c r="TFK84" i="13"/>
  <c r="TFJ84" i="13"/>
  <c r="TFI84" i="13"/>
  <c r="TFH84" i="13"/>
  <c r="TFD84" i="13"/>
  <c r="TFC84" i="13"/>
  <c r="TFB84" i="13"/>
  <c r="TFA84" i="13"/>
  <c r="TEZ84" i="13"/>
  <c r="TEY84" i="13"/>
  <c r="TEX84" i="13"/>
  <c r="TEW84" i="13"/>
  <c r="TEV84" i="13"/>
  <c r="TEU84" i="13"/>
  <c r="TET84" i="13"/>
  <c r="TES84" i="13"/>
  <c r="TER84" i="13"/>
  <c r="TEN84" i="13"/>
  <c r="TEM84" i="13"/>
  <c r="TEL84" i="13"/>
  <c r="TEK84" i="13"/>
  <c r="TEJ84" i="13"/>
  <c r="TEI84" i="13"/>
  <c r="TEH84" i="13"/>
  <c r="TEG84" i="13"/>
  <c r="TEF84" i="13"/>
  <c r="TEE84" i="13"/>
  <c r="TED84" i="13"/>
  <c r="TEC84" i="13"/>
  <c r="TEB84" i="13"/>
  <c r="TDX84" i="13"/>
  <c r="TDW84" i="13"/>
  <c r="TDV84" i="13"/>
  <c r="TDU84" i="13"/>
  <c r="TDT84" i="13"/>
  <c r="TDS84" i="13"/>
  <c r="TDR84" i="13"/>
  <c r="TDQ84" i="13"/>
  <c r="TDP84" i="13"/>
  <c r="TDO84" i="13"/>
  <c r="TDN84" i="13"/>
  <c r="TDM84" i="13"/>
  <c r="TDL84" i="13"/>
  <c r="TDH84" i="13"/>
  <c r="TDG84" i="13"/>
  <c r="TDF84" i="13"/>
  <c r="TDE84" i="13"/>
  <c r="TDD84" i="13"/>
  <c r="TDC84" i="13"/>
  <c r="TDB84" i="13"/>
  <c r="TDA84" i="13"/>
  <c r="TCZ84" i="13"/>
  <c r="TCY84" i="13"/>
  <c r="TCX84" i="13"/>
  <c r="TCW84" i="13"/>
  <c r="TCV84" i="13"/>
  <c r="TCR84" i="13"/>
  <c r="TCQ84" i="13"/>
  <c r="TCP84" i="13"/>
  <c r="TCO84" i="13"/>
  <c r="TCN84" i="13"/>
  <c r="TCM84" i="13"/>
  <c r="TCL84" i="13"/>
  <c r="TCK84" i="13"/>
  <c r="TCJ84" i="13"/>
  <c r="TCI84" i="13"/>
  <c r="TCH84" i="13"/>
  <c r="TCG84" i="13"/>
  <c r="TCF84" i="13"/>
  <c r="TCB84" i="13"/>
  <c r="TCA84" i="13"/>
  <c r="TBZ84" i="13"/>
  <c r="TBY84" i="13"/>
  <c r="TBX84" i="13"/>
  <c r="TBW84" i="13"/>
  <c r="TBV84" i="13"/>
  <c r="TBU84" i="13"/>
  <c r="TBT84" i="13"/>
  <c r="TBS84" i="13"/>
  <c r="TBR84" i="13"/>
  <c r="TBQ84" i="13"/>
  <c r="TBP84" i="13"/>
  <c r="TBL84" i="13"/>
  <c r="TBK84" i="13"/>
  <c r="TBJ84" i="13"/>
  <c r="TBI84" i="13"/>
  <c r="TBH84" i="13"/>
  <c r="TBG84" i="13"/>
  <c r="TBF84" i="13"/>
  <c r="TBE84" i="13"/>
  <c r="TBD84" i="13"/>
  <c r="TBC84" i="13"/>
  <c r="TBB84" i="13"/>
  <c r="TBA84" i="13"/>
  <c r="TAZ84" i="13"/>
  <c r="TAV84" i="13"/>
  <c r="TAU84" i="13"/>
  <c r="TAT84" i="13"/>
  <c r="TAS84" i="13"/>
  <c r="TAR84" i="13"/>
  <c r="TAQ84" i="13"/>
  <c r="TAP84" i="13"/>
  <c r="TAO84" i="13"/>
  <c r="TAN84" i="13"/>
  <c r="TAM84" i="13"/>
  <c r="TAL84" i="13"/>
  <c r="TAK84" i="13"/>
  <c r="TAJ84" i="13"/>
  <c r="TAF84" i="13"/>
  <c r="TAE84" i="13"/>
  <c r="TAD84" i="13"/>
  <c r="TAC84" i="13"/>
  <c r="TAB84" i="13"/>
  <c r="TAA84" i="13"/>
  <c r="SZZ84" i="13"/>
  <c r="SZY84" i="13"/>
  <c r="SZX84" i="13"/>
  <c r="SZW84" i="13"/>
  <c r="SZV84" i="13"/>
  <c r="SZU84" i="13"/>
  <c r="SZT84" i="13"/>
  <c r="SZP84" i="13"/>
  <c r="SZO84" i="13"/>
  <c r="SZN84" i="13"/>
  <c r="SZM84" i="13"/>
  <c r="SZL84" i="13"/>
  <c r="SZK84" i="13"/>
  <c r="SZJ84" i="13"/>
  <c r="SZI84" i="13"/>
  <c r="SZH84" i="13"/>
  <c r="SZG84" i="13"/>
  <c r="SZF84" i="13"/>
  <c r="SZE84" i="13"/>
  <c r="SZD84" i="13"/>
  <c r="SYZ84" i="13"/>
  <c r="SYY84" i="13"/>
  <c r="SYX84" i="13"/>
  <c r="SYW84" i="13"/>
  <c r="SYV84" i="13"/>
  <c r="SYU84" i="13"/>
  <c r="SYT84" i="13"/>
  <c r="SYS84" i="13"/>
  <c r="SYR84" i="13"/>
  <c r="SYQ84" i="13"/>
  <c r="SYP84" i="13"/>
  <c r="SYO84" i="13"/>
  <c r="SYN84" i="13"/>
  <c r="SYJ84" i="13"/>
  <c r="SYI84" i="13"/>
  <c r="SYH84" i="13"/>
  <c r="SYG84" i="13"/>
  <c r="SYF84" i="13"/>
  <c r="SYE84" i="13"/>
  <c r="SYD84" i="13"/>
  <c r="SYC84" i="13"/>
  <c r="SYB84" i="13"/>
  <c r="SYA84" i="13"/>
  <c r="SXZ84" i="13"/>
  <c r="SXY84" i="13"/>
  <c r="SXX84" i="13"/>
  <c r="SXT84" i="13"/>
  <c r="SXS84" i="13"/>
  <c r="SXR84" i="13"/>
  <c r="SXQ84" i="13"/>
  <c r="SXP84" i="13"/>
  <c r="SXO84" i="13"/>
  <c r="SXN84" i="13"/>
  <c r="SXM84" i="13"/>
  <c r="SXL84" i="13"/>
  <c r="SXK84" i="13"/>
  <c r="SXJ84" i="13"/>
  <c r="SXI84" i="13"/>
  <c r="SXH84" i="13"/>
  <c r="SXD84" i="13"/>
  <c r="SXC84" i="13"/>
  <c r="SXB84" i="13"/>
  <c r="SXA84" i="13"/>
  <c r="SWZ84" i="13"/>
  <c r="SWY84" i="13"/>
  <c r="SWX84" i="13"/>
  <c r="SWW84" i="13"/>
  <c r="SWV84" i="13"/>
  <c r="SWU84" i="13"/>
  <c r="SWT84" i="13"/>
  <c r="SWS84" i="13"/>
  <c r="SWR84" i="13"/>
  <c r="SWN84" i="13"/>
  <c r="SWM84" i="13"/>
  <c r="SWL84" i="13"/>
  <c r="SWK84" i="13"/>
  <c r="SWJ84" i="13"/>
  <c r="SWI84" i="13"/>
  <c r="SWH84" i="13"/>
  <c r="SWG84" i="13"/>
  <c r="SWF84" i="13"/>
  <c r="SWE84" i="13"/>
  <c r="SWD84" i="13"/>
  <c r="SWC84" i="13"/>
  <c r="SWB84" i="13"/>
  <c r="SVX84" i="13"/>
  <c r="SVW84" i="13"/>
  <c r="SVV84" i="13"/>
  <c r="SVU84" i="13"/>
  <c r="SVT84" i="13"/>
  <c r="SVS84" i="13"/>
  <c r="SVR84" i="13"/>
  <c r="SVQ84" i="13"/>
  <c r="SVP84" i="13"/>
  <c r="SVO84" i="13"/>
  <c r="SVN84" i="13"/>
  <c r="SVM84" i="13"/>
  <c r="SVL84" i="13"/>
  <c r="SVH84" i="13"/>
  <c r="SVG84" i="13"/>
  <c r="SVF84" i="13"/>
  <c r="SVE84" i="13"/>
  <c r="SVD84" i="13"/>
  <c r="SVC84" i="13"/>
  <c r="SVB84" i="13"/>
  <c r="SVA84" i="13"/>
  <c r="SUZ84" i="13"/>
  <c r="SUY84" i="13"/>
  <c r="SUX84" i="13"/>
  <c r="SUW84" i="13"/>
  <c r="SUV84" i="13"/>
  <c r="SUR84" i="13"/>
  <c r="SUQ84" i="13"/>
  <c r="SUP84" i="13"/>
  <c r="SUO84" i="13"/>
  <c r="SUN84" i="13"/>
  <c r="SUM84" i="13"/>
  <c r="SUL84" i="13"/>
  <c r="SUK84" i="13"/>
  <c r="SUJ84" i="13"/>
  <c r="SUI84" i="13"/>
  <c r="SUH84" i="13"/>
  <c r="SUG84" i="13"/>
  <c r="SUF84" i="13"/>
  <c r="SUB84" i="13"/>
  <c r="SUA84" i="13"/>
  <c r="STZ84" i="13"/>
  <c r="STY84" i="13"/>
  <c r="STX84" i="13"/>
  <c r="STW84" i="13"/>
  <c r="STV84" i="13"/>
  <c r="STU84" i="13"/>
  <c r="STT84" i="13"/>
  <c r="STS84" i="13"/>
  <c r="STR84" i="13"/>
  <c r="STQ84" i="13"/>
  <c r="STP84" i="13"/>
  <c r="STL84" i="13"/>
  <c r="STK84" i="13"/>
  <c r="STJ84" i="13"/>
  <c r="STI84" i="13"/>
  <c r="STH84" i="13"/>
  <c r="STG84" i="13"/>
  <c r="STF84" i="13"/>
  <c r="STE84" i="13"/>
  <c r="STD84" i="13"/>
  <c r="STC84" i="13"/>
  <c r="STB84" i="13"/>
  <c r="STA84" i="13"/>
  <c r="SSZ84" i="13"/>
  <c r="SSV84" i="13"/>
  <c r="SSU84" i="13"/>
  <c r="SST84" i="13"/>
  <c r="SSS84" i="13"/>
  <c r="SSR84" i="13"/>
  <c r="SSQ84" i="13"/>
  <c r="SSP84" i="13"/>
  <c r="SSO84" i="13"/>
  <c r="SSN84" i="13"/>
  <c r="SSM84" i="13"/>
  <c r="SSL84" i="13"/>
  <c r="SSK84" i="13"/>
  <c r="SSJ84" i="13"/>
  <c r="SSF84" i="13"/>
  <c r="SSE84" i="13"/>
  <c r="SSD84" i="13"/>
  <c r="SSC84" i="13"/>
  <c r="SSB84" i="13"/>
  <c r="SSA84" i="13"/>
  <c r="SRZ84" i="13"/>
  <c r="SRY84" i="13"/>
  <c r="SRX84" i="13"/>
  <c r="SRW84" i="13"/>
  <c r="SRV84" i="13"/>
  <c r="SRU84" i="13"/>
  <c r="SRT84" i="13"/>
  <c r="SRP84" i="13"/>
  <c r="SRO84" i="13"/>
  <c r="SRN84" i="13"/>
  <c r="SRM84" i="13"/>
  <c r="SRL84" i="13"/>
  <c r="SRK84" i="13"/>
  <c r="SRJ84" i="13"/>
  <c r="SRI84" i="13"/>
  <c r="SRH84" i="13"/>
  <c r="SRG84" i="13"/>
  <c r="SRF84" i="13"/>
  <c r="SRE84" i="13"/>
  <c r="SRD84" i="13"/>
  <c r="SQZ84" i="13"/>
  <c r="SQY84" i="13"/>
  <c r="SQX84" i="13"/>
  <c r="SQW84" i="13"/>
  <c r="SQV84" i="13"/>
  <c r="SQU84" i="13"/>
  <c r="SQT84" i="13"/>
  <c r="SQS84" i="13"/>
  <c r="SQR84" i="13"/>
  <c r="SQQ84" i="13"/>
  <c r="SQP84" i="13"/>
  <c r="SQO84" i="13"/>
  <c r="SQN84" i="13"/>
  <c r="SQJ84" i="13"/>
  <c r="SQI84" i="13"/>
  <c r="SQH84" i="13"/>
  <c r="SQG84" i="13"/>
  <c r="SQF84" i="13"/>
  <c r="SQE84" i="13"/>
  <c r="SQD84" i="13"/>
  <c r="SQC84" i="13"/>
  <c r="SQB84" i="13"/>
  <c r="SQA84" i="13"/>
  <c r="SPZ84" i="13"/>
  <c r="SPY84" i="13"/>
  <c r="SPX84" i="13"/>
  <c r="SPT84" i="13"/>
  <c r="SPS84" i="13"/>
  <c r="SPR84" i="13"/>
  <c r="SPQ84" i="13"/>
  <c r="SPP84" i="13"/>
  <c r="SPO84" i="13"/>
  <c r="SPN84" i="13"/>
  <c r="SPM84" i="13"/>
  <c r="SPL84" i="13"/>
  <c r="SPK84" i="13"/>
  <c r="SPJ84" i="13"/>
  <c r="SPI84" i="13"/>
  <c r="SPH84" i="13"/>
  <c r="SPD84" i="13"/>
  <c r="SPC84" i="13"/>
  <c r="SPB84" i="13"/>
  <c r="SPA84" i="13"/>
  <c r="SOZ84" i="13"/>
  <c r="SOY84" i="13"/>
  <c r="SOX84" i="13"/>
  <c r="SOW84" i="13"/>
  <c r="SOV84" i="13"/>
  <c r="SOU84" i="13"/>
  <c r="SOT84" i="13"/>
  <c r="SOS84" i="13"/>
  <c r="SOR84" i="13"/>
  <c r="SON84" i="13"/>
  <c r="SOM84" i="13"/>
  <c r="SOL84" i="13"/>
  <c r="SOK84" i="13"/>
  <c r="SOJ84" i="13"/>
  <c r="SOI84" i="13"/>
  <c r="SOH84" i="13"/>
  <c r="SOG84" i="13"/>
  <c r="SOF84" i="13"/>
  <c r="SOE84" i="13"/>
  <c r="SOD84" i="13"/>
  <c r="SOC84" i="13"/>
  <c r="SOB84" i="13"/>
  <c r="SNX84" i="13"/>
  <c r="SNW84" i="13"/>
  <c r="SNV84" i="13"/>
  <c r="SNU84" i="13"/>
  <c r="SNT84" i="13"/>
  <c r="SNS84" i="13"/>
  <c r="SNR84" i="13"/>
  <c r="SNQ84" i="13"/>
  <c r="SNP84" i="13"/>
  <c r="SNO84" i="13"/>
  <c r="SNN84" i="13"/>
  <c r="SNM84" i="13"/>
  <c r="SNL84" i="13"/>
  <c r="SNH84" i="13"/>
  <c r="SNG84" i="13"/>
  <c r="SNF84" i="13"/>
  <c r="SNE84" i="13"/>
  <c r="SND84" i="13"/>
  <c r="SNC84" i="13"/>
  <c r="SNB84" i="13"/>
  <c r="SNA84" i="13"/>
  <c r="SMZ84" i="13"/>
  <c r="SMY84" i="13"/>
  <c r="SMX84" i="13"/>
  <c r="SMW84" i="13"/>
  <c r="SMV84" i="13"/>
  <c r="SMR84" i="13"/>
  <c r="SMQ84" i="13"/>
  <c r="SMP84" i="13"/>
  <c r="SMO84" i="13"/>
  <c r="SMN84" i="13"/>
  <c r="SMM84" i="13"/>
  <c r="SML84" i="13"/>
  <c r="SMK84" i="13"/>
  <c r="SMJ84" i="13"/>
  <c r="SMI84" i="13"/>
  <c r="SMH84" i="13"/>
  <c r="SMG84" i="13"/>
  <c r="SMF84" i="13"/>
  <c r="SMB84" i="13"/>
  <c r="SMA84" i="13"/>
  <c r="SLZ84" i="13"/>
  <c r="SLY84" i="13"/>
  <c r="SLX84" i="13"/>
  <c r="SLW84" i="13"/>
  <c r="SLV84" i="13"/>
  <c r="SLU84" i="13"/>
  <c r="SLT84" i="13"/>
  <c r="SLS84" i="13"/>
  <c r="SLR84" i="13"/>
  <c r="SLQ84" i="13"/>
  <c r="SLP84" i="13"/>
  <c r="SLL84" i="13"/>
  <c r="SLK84" i="13"/>
  <c r="SLJ84" i="13"/>
  <c r="SLI84" i="13"/>
  <c r="SLH84" i="13"/>
  <c r="SLG84" i="13"/>
  <c r="SLF84" i="13"/>
  <c r="SLE84" i="13"/>
  <c r="SLD84" i="13"/>
  <c r="SLC84" i="13"/>
  <c r="SLB84" i="13"/>
  <c r="SLA84" i="13"/>
  <c r="SKZ84" i="13"/>
  <c r="SKV84" i="13"/>
  <c r="SKU84" i="13"/>
  <c r="SKT84" i="13"/>
  <c r="SKS84" i="13"/>
  <c r="SKR84" i="13"/>
  <c r="SKQ84" i="13"/>
  <c r="SKP84" i="13"/>
  <c r="SKO84" i="13"/>
  <c r="SKN84" i="13"/>
  <c r="SKM84" i="13"/>
  <c r="SKL84" i="13"/>
  <c r="SKK84" i="13"/>
  <c r="SKJ84" i="13"/>
  <c r="SKF84" i="13"/>
  <c r="SKE84" i="13"/>
  <c r="SKD84" i="13"/>
  <c r="SKC84" i="13"/>
  <c r="SKB84" i="13"/>
  <c r="SKA84" i="13"/>
  <c r="SJZ84" i="13"/>
  <c r="SJY84" i="13"/>
  <c r="SJX84" i="13"/>
  <c r="SJW84" i="13"/>
  <c r="SJV84" i="13"/>
  <c r="SJU84" i="13"/>
  <c r="SJT84" i="13"/>
  <c r="SJP84" i="13"/>
  <c r="SJO84" i="13"/>
  <c r="SJN84" i="13"/>
  <c r="SJM84" i="13"/>
  <c r="SJL84" i="13"/>
  <c r="SJK84" i="13"/>
  <c r="SJJ84" i="13"/>
  <c r="SJI84" i="13"/>
  <c r="SJH84" i="13"/>
  <c r="SJG84" i="13"/>
  <c r="SJF84" i="13"/>
  <c r="SJE84" i="13"/>
  <c r="SJD84" i="13"/>
  <c r="SIZ84" i="13"/>
  <c r="SIY84" i="13"/>
  <c r="SIX84" i="13"/>
  <c r="SIW84" i="13"/>
  <c r="SIV84" i="13"/>
  <c r="SIU84" i="13"/>
  <c r="SIT84" i="13"/>
  <c r="SIS84" i="13"/>
  <c r="SIR84" i="13"/>
  <c r="SIQ84" i="13"/>
  <c r="SIP84" i="13"/>
  <c r="SIO84" i="13"/>
  <c r="SIN84" i="13"/>
  <c r="SIJ84" i="13"/>
  <c r="SII84" i="13"/>
  <c r="SIH84" i="13"/>
  <c r="SIG84" i="13"/>
  <c r="SIF84" i="13"/>
  <c r="SIE84" i="13"/>
  <c r="SID84" i="13"/>
  <c r="SIC84" i="13"/>
  <c r="SIB84" i="13"/>
  <c r="SIA84" i="13"/>
  <c r="SHZ84" i="13"/>
  <c r="SHY84" i="13"/>
  <c r="SHX84" i="13"/>
  <c r="SHT84" i="13"/>
  <c r="SHS84" i="13"/>
  <c r="SHR84" i="13"/>
  <c r="SHQ84" i="13"/>
  <c r="SHP84" i="13"/>
  <c r="SHO84" i="13"/>
  <c r="SHN84" i="13"/>
  <c r="SHM84" i="13"/>
  <c r="SHL84" i="13"/>
  <c r="SHK84" i="13"/>
  <c r="SHJ84" i="13"/>
  <c r="SHI84" i="13"/>
  <c r="SHH84" i="13"/>
  <c r="SHD84" i="13"/>
  <c r="SHC84" i="13"/>
  <c r="SHB84" i="13"/>
  <c r="SHA84" i="13"/>
  <c r="SGZ84" i="13"/>
  <c r="SGY84" i="13"/>
  <c r="SGX84" i="13"/>
  <c r="SGW84" i="13"/>
  <c r="SGV84" i="13"/>
  <c r="SGU84" i="13"/>
  <c r="SGT84" i="13"/>
  <c r="SGS84" i="13"/>
  <c r="SGR84" i="13"/>
  <c r="SGN84" i="13"/>
  <c r="SGM84" i="13"/>
  <c r="SGL84" i="13"/>
  <c r="SGK84" i="13"/>
  <c r="SGJ84" i="13"/>
  <c r="SGI84" i="13"/>
  <c r="SGH84" i="13"/>
  <c r="SGG84" i="13"/>
  <c r="SGF84" i="13"/>
  <c r="SGE84" i="13"/>
  <c r="SGD84" i="13"/>
  <c r="SGC84" i="13"/>
  <c r="SGB84" i="13"/>
  <c r="SFX84" i="13"/>
  <c r="SFW84" i="13"/>
  <c r="SFV84" i="13"/>
  <c r="SFU84" i="13"/>
  <c r="SFT84" i="13"/>
  <c r="SFS84" i="13"/>
  <c r="SFR84" i="13"/>
  <c r="SFQ84" i="13"/>
  <c r="SFP84" i="13"/>
  <c r="SFO84" i="13"/>
  <c r="SFN84" i="13"/>
  <c r="SFM84" i="13"/>
  <c r="SFL84" i="13"/>
  <c r="SFH84" i="13"/>
  <c r="SFG84" i="13"/>
  <c r="SFF84" i="13"/>
  <c r="SFE84" i="13"/>
  <c r="SFD84" i="13"/>
  <c r="SFC84" i="13"/>
  <c r="SFB84" i="13"/>
  <c r="SFA84" i="13"/>
  <c r="SEZ84" i="13"/>
  <c r="SEY84" i="13"/>
  <c r="SEX84" i="13"/>
  <c r="SEW84" i="13"/>
  <c r="SEV84" i="13"/>
  <c r="SER84" i="13"/>
  <c r="SEQ84" i="13"/>
  <c r="SEP84" i="13"/>
  <c r="SEO84" i="13"/>
  <c r="SEN84" i="13"/>
  <c r="SEM84" i="13"/>
  <c r="SEL84" i="13"/>
  <c r="SEK84" i="13"/>
  <c r="SEJ84" i="13"/>
  <c r="SEI84" i="13"/>
  <c r="SEH84" i="13"/>
  <c r="SEG84" i="13"/>
  <c r="SEF84" i="13"/>
  <c r="SEB84" i="13"/>
  <c r="SEA84" i="13"/>
  <c r="SDZ84" i="13"/>
  <c r="SDY84" i="13"/>
  <c r="SDX84" i="13"/>
  <c r="SDW84" i="13"/>
  <c r="SDV84" i="13"/>
  <c r="SDU84" i="13"/>
  <c r="SDT84" i="13"/>
  <c r="SDS84" i="13"/>
  <c r="SDR84" i="13"/>
  <c r="SDQ84" i="13"/>
  <c r="SDP84" i="13"/>
  <c r="SDL84" i="13"/>
  <c r="SDK84" i="13"/>
  <c r="SDJ84" i="13"/>
  <c r="SDI84" i="13"/>
  <c r="SDH84" i="13"/>
  <c r="SDG84" i="13"/>
  <c r="SDF84" i="13"/>
  <c r="SDE84" i="13"/>
  <c r="SDD84" i="13"/>
  <c r="SDC84" i="13"/>
  <c r="SDB84" i="13"/>
  <c r="SDA84" i="13"/>
  <c r="SCZ84" i="13"/>
  <c r="SCV84" i="13"/>
  <c r="SCU84" i="13"/>
  <c r="SCT84" i="13"/>
  <c r="SCS84" i="13"/>
  <c r="SCR84" i="13"/>
  <c r="SCQ84" i="13"/>
  <c r="SCP84" i="13"/>
  <c r="SCO84" i="13"/>
  <c r="SCN84" i="13"/>
  <c r="SCM84" i="13"/>
  <c r="SCL84" i="13"/>
  <c r="SCK84" i="13"/>
  <c r="SCJ84" i="13"/>
  <c r="SCF84" i="13"/>
  <c r="SCE84" i="13"/>
  <c r="SCD84" i="13"/>
  <c r="SCC84" i="13"/>
  <c r="SCB84" i="13"/>
  <c r="SCA84" i="13"/>
  <c r="SBZ84" i="13"/>
  <c r="SBY84" i="13"/>
  <c r="SBX84" i="13"/>
  <c r="SBW84" i="13"/>
  <c r="SBV84" i="13"/>
  <c r="SBU84" i="13"/>
  <c r="SBT84" i="13"/>
  <c r="SBP84" i="13"/>
  <c r="SBO84" i="13"/>
  <c r="SBN84" i="13"/>
  <c r="SBM84" i="13"/>
  <c r="SBL84" i="13"/>
  <c r="SBK84" i="13"/>
  <c r="SBJ84" i="13"/>
  <c r="SBI84" i="13"/>
  <c r="SBH84" i="13"/>
  <c r="SBG84" i="13"/>
  <c r="SBF84" i="13"/>
  <c r="SBE84" i="13"/>
  <c r="SBD84" i="13"/>
  <c r="SAZ84" i="13"/>
  <c r="SAY84" i="13"/>
  <c r="SAX84" i="13"/>
  <c r="SAW84" i="13"/>
  <c r="SAV84" i="13"/>
  <c r="SAU84" i="13"/>
  <c r="SAT84" i="13"/>
  <c r="SAS84" i="13"/>
  <c r="SAR84" i="13"/>
  <c r="SAQ84" i="13"/>
  <c r="SAP84" i="13"/>
  <c r="SAO84" i="13"/>
  <c r="SAN84" i="13"/>
  <c r="SAJ84" i="13"/>
  <c r="SAI84" i="13"/>
  <c r="SAH84" i="13"/>
  <c r="SAG84" i="13"/>
  <c r="SAF84" i="13"/>
  <c r="SAE84" i="13"/>
  <c r="SAD84" i="13"/>
  <c r="SAC84" i="13"/>
  <c r="SAB84" i="13"/>
  <c r="SAA84" i="13"/>
  <c r="RZZ84" i="13"/>
  <c r="RZY84" i="13"/>
  <c r="RZX84" i="13"/>
  <c r="RZT84" i="13"/>
  <c r="RZS84" i="13"/>
  <c r="RZR84" i="13"/>
  <c r="RZQ84" i="13"/>
  <c r="RZP84" i="13"/>
  <c r="RZO84" i="13"/>
  <c r="RZN84" i="13"/>
  <c r="RZM84" i="13"/>
  <c r="RZL84" i="13"/>
  <c r="RZK84" i="13"/>
  <c r="RZJ84" i="13"/>
  <c r="RZI84" i="13"/>
  <c r="RZH84" i="13"/>
  <c r="RZD84" i="13"/>
  <c r="RZC84" i="13"/>
  <c r="RZB84" i="13"/>
  <c r="RZA84" i="13"/>
  <c r="RYZ84" i="13"/>
  <c r="RYY84" i="13"/>
  <c r="RYX84" i="13"/>
  <c r="RYW84" i="13"/>
  <c r="RYV84" i="13"/>
  <c r="RYU84" i="13"/>
  <c r="RYT84" i="13"/>
  <c r="RYS84" i="13"/>
  <c r="RYR84" i="13"/>
  <c r="RYN84" i="13"/>
  <c r="RYM84" i="13"/>
  <c r="RYL84" i="13"/>
  <c r="RYK84" i="13"/>
  <c r="RYJ84" i="13"/>
  <c r="RYI84" i="13"/>
  <c r="RYH84" i="13"/>
  <c r="RYG84" i="13"/>
  <c r="RYF84" i="13"/>
  <c r="RYE84" i="13"/>
  <c r="RYD84" i="13"/>
  <c r="RYC84" i="13"/>
  <c r="RYB84" i="13"/>
  <c r="RXX84" i="13"/>
  <c r="RXW84" i="13"/>
  <c r="RXV84" i="13"/>
  <c r="RXU84" i="13"/>
  <c r="RXT84" i="13"/>
  <c r="RXS84" i="13"/>
  <c r="RXR84" i="13"/>
  <c r="RXQ84" i="13"/>
  <c r="RXP84" i="13"/>
  <c r="RXO84" i="13"/>
  <c r="RXN84" i="13"/>
  <c r="RXM84" i="13"/>
  <c r="RXL84" i="13"/>
  <c r="RXH84" i="13"/>
  <c r="RXG84" i="13"/>
  <c r="RXF84" i="13"/>
  <c r="RXE84" i="13"/>
  <c r="RXD84" i="13"/>
  <c r="RXC84" i="13"/>
  <c r="RXB84" i="13"/>
  <c r="RXA84" i="13"/>
  <c r="RWZ84" i="13"/>
  <c r="RWY84" i="13"/>
  <c r="RWX84" i="13"/>
  <c r="RWW84" i="13"/>
  <c r="RWV84" i="13"/>
  <c r="RWR84" i="13"/>
  <c r="RWQ84" i="13"/>
  <c r="RWP84" i="13"/>
  <c r="RWO84" i="13"/>
  <c r="RWN84" i="13"/>
  <c r="RWM84" i="13"/>
  <c r="RWL84" i="13"/>
  <c r="RWK84" i="13"/>
  <c r="RWJ84" i="13"/>
  <c r="RWI84" i="13"/>
  <c r="RWH84" i="13"/>
  <c r="RWG84" i="13"/>
  <c r="RWF84" i="13"/>
  <c r="RWB84" i="13"/>
  <c r="RWA84" i="13"/>
  <c r="RVZ84" i="13"/>
  <c r="RVY84" i="13"/>
  <c r="RVX84" i="13"/>
  <c r="RVW84" i="13"/>
  <c r="RVV84" i="13"/>
  <c r="RVU84" i="13"/>
  <c r="RVT84" i="13"/>
  <c r="RVS84" i="13"/>
  <c r="RVR84" i="13"/>
  <c r="RVQ84" i="13"/>
  <c r="RVP84" i="13"/>
  <c r="RVL84" i="13"/>
  <c r="RVK84" i="13"/>
  <c r="RVJ84" i="13"/>
  <c r="RVI84" i="13"/>
  <c r="RVH84" i="13"/>
  <c r="RVG84" i="13"/>
  <c r="RVF84" i="13"/>
  <c r="RVE84" i="13"/>
  <c r="RVD84" i="13"/>
  <c r="RVC84" i="13"/>
  <c r="RVB84" i="13"/>
  <c r="RVA84" i="13"/>
  <c r="RUZ84" i="13"/>
  <c r="RUV84" i="13"/>
  <c r="RUU84" i="13"/>
  <c r="RUT84" i="13"/>
  <c r="RUS84" i="13"/>
  <c r="RUR84" i="13"/>
  <c r="RUQ84" i="13"/>
  <c r="RUP84" i="13"/>
  <c r="RUO84" i="13"/>
  <c r="RUN84" i="13"/>
  <c r="RUM84" i="13"/>
  <c r="RUL84" i="13"/>
  <c r="RUK84" i="13"/>
  <c r="RUJ84" i="13"/>
  <c r="RUF84" i="13"/>
  <c r="RUE84" i="13"/>
  <c r="RUD84" i="13"/>
  <c r="RUC84" i="13"/>
  <c r="RUB84" i="13"/>
  <c r="RUA84" i="13"/>
  <c r="RTZ84" i="13"/>
  <c r="RTY84" i="13"/>
  <c r="RTX84" i="13"/>
  <c r="RTW84" i="13"/>
  <c r="RTV84" i="13"/>
  <c r="RTU84" i="13"/>
  <c r="RTT84" i="13"/>
  <c r="RTP84" i="13"/>
  <c r="RTO84" i="13"/>
  <c r="RTN84" i="13"/>
  <c r="RTM84" i="13"/>
  <c r="RTL84" i="13"/>
  <c r="RTK84" i="13"/>
  <c r="RTJ84" i="13"/>
  <c r="RTI84" i="13"/>
  <c r="RTH84" i="13"/>
  <c r="RTG84" i="13"/>
  <c r="RTF84" i="13"/>
  <c r="RTE84" i="13"/>
  <c r="RTD84" i="13"/>
  <c r="RSZ84" i="13"/>
  <c r="RSY84" i="13"/>
  <c r="RSX84" i="13"/>
  <c r="RSW84" i="13"/>
  <c r="RSV84" i="13"/>
  <c r="RSU84" i="13"/>
  <c r="RST84" i="13"/>
  <c r="RSS84" i="13"/>
  <c r="RSR84" i="13"/>
  <c r="RSQ84" i="13"/>
  <c r="RSP84" i="13"/>
  <c r="RSO84" i="13"/>
  <c r="RSN84" i="13"/>
  <c r="RSJ84" i="13"/>
  <c r="RSI84" i="13"/>
  <c r="RSH84" i="13"/>
  <c r="RSG84" i="13"/>
  <c r="RSF84" i="13"/>
  <c r="RSE84" i="13"/>
  <c r="RSD84" i="13"/>
  <c r="RSC84" i="13"/>
  <c r="RSB84" i="13"/>
  <c r="RSA84" i="13"/>
  <c r="RRZ84" i="13"/>
  <c r="RRY84" i="13"/>
  <c r="RRX84" i="13"/>
  <c r="RRT84" i="13"/>
  <c r="RRS84" i="13"/>
  <c r="RRR84" i="13"/>
  <c r="RRQ84" i="13"/>
  <c r="RRP84" i="13"/>
  <c r="RRO84" i="13"/>
  <c r="RRN84" i="13"/>
  <c r="RRM84" i="13"/>
  <c r="RRL84" i="13"/>
  <c r="RRK84" i="13"/>
  <c r="RRJ84" i="13"/>
  <c r="RRI84" i="13"/>
  <c r="RRH84" i="13"/>
  <c r="RRD84" i="13"/>
  <c r="RRC84" i="13"/>
  <c r="RRB84" i="13"/>
  <c r="RRA84" i="13"/>
  <c r="RQZ84" i="13"/>
  <c r="RQY84" i="13"/>
  <c r="RQX84" i="13"/>
  <c r="RQW84" i="13"/>
  <c r="RQV84" i="13"/>
  <c r="RQU84" i="13"/>
  <c r="RQT84" i="13"/>
  <c r="RQS84" i="13"/>
  <c r="RQR84" i="13"/>
  <c r="RQN84" i="13"/>
  <c r="RQM84" i="13"/>
  <c r="RQL84" i="13"/>
  <c r="RQK84" i="13"/>
  <c r="RQJ84" i="13"/>
  <c r="RQI84" i="13"/>
  <c r="RQH84" i="13"/>
  <c r="RQG84" i="13"/>
  <c r="RQF84" i="13"/>
  <c r="RQE84" i="13"/>
  <c r="RQD84" i="13"/>
  <c r="RQC84" i="13"/>
  <c r="RQB84" i="13"/>
  <c r="RPX84" i="13"/>
  <c r="RPW84" i="13"/>
  <c r="RPV84" i="13"/>
  <c r="RPU84" i="13"/>
  <c r="RPT84" i="13"/>
  <c r="RPS84" i="13"/>
  <c r="RPR84" i="13"/>
  <c r="RPQ84" i="13"/>
  <c r="RPP84" i="13"/>
  <c r="RPO84" i="13"/>
  <c r="RPN84" i="13"/>
  <c r="RPM84" i="13"/>
  <c r="RPL84" i="13"/>
  <c r="RPH84" i="13"/>
  <c r="RPG84" i="13"/>
  <c r="RPF84" i="13"/>
  <c r="RPE84" i="13"/>
  <c r="RPD84" i="13"/>
  <c r="RPC84" i="13"/>
  <c r="RPB84" i="13"/>
  <c r="RPA84" i="13"/>
  <c r="ROZ84" i="13"/>
  <c r="ROY84" i="13"/>
  <c r="ROX84" i="13"/>
  <c r="ROW84" i="13"/>
  <c r="ROV84" i="13"/>
  <c r="ROR84" i="13"/>
  <c r="ROQ84" i="13"/>
  <c r="ROP84" i="13"/>
  <c r="ROO84" i="13"/>
  <c r="RON84" i="13"/>
  <c r="ROM84" i="13"/>
  <c r="ROL84" i="13"/>
  <c r="ROK84" i="13"/>
  <c r="ROJ84" i="13"/>
  <c r="ROI84" i="13"/>
  <c r="ROH84" i="13"/>
  <c r="ROG84" i="13"/>
  <c r="ROF84" i="13"/>
  <c r="ROB84" i="13"/>
  <c r="ROA84" i="13"/>
  <c r="RNZ84" i="13"/>
  <c r="RNY84" i="13"/>
  <c r="RNX84" i="13"/>
  <c r="RNW84" i="13"/>
  <c r="RNV84" i="13"/>
  <c r="RNU84" i="13"/>
  <c r="RNT84" i="13"/>
  <c r="RNS84" i="13"/>
  <c r="RNR84" i="13"/>
  <c r="RNQ84" i="13"/>
  <c r="RNP84" i="13"/>
  <c r="RNL84" i="13"/>
  <c r="RNK84" i="13"/>
  <c r="RNJ84" i="13"/>
  <c r="RNI84" i="13"/>
  <c r="RNH84" i="13"/>
  <c r="RNG84" i="13"/>
  <c r="RNF84" i="13"/>
  <c r="RNE84" i="13"/>
  <c r="RND84" i="13"/>
  <c r="RNC84" i="13"/>
  <c r="RNB84" i="13"/>
  <c r="RNA84" i="13"/>
  <c r="RMZ84" i="13"/>
  <c r="RMV84" i="13"/>
  <c r="RMU84" i="13"/>
  <c r="RMT84" i="13"/>
  <c r="RMS84" i="13"/>
  <c r="RMR84" i="13"/>
  <c r="RMQ84" i="13"/>
  <c r="RMP84" i="13"/>
  <c r="RMO84" i="13"/>
  <c r="RMN84" i="13"/>
  <c r="RMM84" i="13"/>
  <c r="RML84" i="13"/>
  <c r="RMK84" i="13"/>
  <c r="RMJ84" i="13"/>
  <c r="RMF84" i="13"/>
  <c r="RME84" i="13"/>
  <c r="RMD84" i="13"/>
  <c r="RMC84" i="13"/>
  <c r="RMB84" i="13"/>
  <c r="RMA84" i="13"/>
  <c r="RLZ84" i="13"/>
  <c r="RLY84" i="13"/>
  <c r="RLX84" i="13"/>
  <c r="RLW84" i="13"/>
  <c r="RLV84" i="13"/>
  <c r="RLU84" i="13"/>
  <c r="RLT84" i="13"/>
  <c r="RLP84" i="13"/>
  <c r="RLO84" i="13"/>
  <c r="RLN84" i="13"/>
  <c r="RLM84" i="13"/>
  <c r="RLL84" i="13"/>
  <c r="RLK84" i="13"/>
  <c r="RLJ84" i="13"/>
  <c r="RLI84" i="13"/>
  <c r="RLH84" i="13"/>
  <c r="RLG84" i="13"/>
  <c r="RLF84" i="13"/>
  <c r="RLE84" i="13"/>
  <c r="RLD84" i="13"/>
  <c r="RKZ84" i="13"/>
  <c r="RKY84" i="13"/>
  <c r="RKX84" i="13"/>
  <c r="RKW84" i="13"/>
  <c r="RKV84" i="13"/>
  <c r="RKU84" i="13"/>
  <c r="RKT84" i="13"/>
  <c r="RKS84" i="13"/>
  <c r="RKR84" i="13"/>
  <c r="RKQ84" i="13"/>
  <c r="RKP84" i="13"/>
  <c r="RKO84" i="13"/>
  <c r="RKN84" i="13"/>
  <c r="RKJ84" i="13"/>
  <c r="RKI84" i="13"/>
  <c r="RKH84" i="13"/>
  <c r="RKG84" i="13"/>
  <c r="RKF84" i="13"/>
  <c r="RKE84" i="13"/>
  <c r="RKD84" i="13"/>
  <c r="RKC84" i="13"/>
  <c r="RKB84" i="13"/>
  <c r="RKA84" i="13"/>
  <c r="RJZ84" i="13"/>
  <c r="RJY84" i="13"/>
  <c r="RJX84" i="13"/>
  <c r="RJT84" i="13"/>
  <c r="RJS84" i="13"/>
  <c r="RJR84" i="13"/>
  <c r="RJQ84" i="13"/>
  <c r="RJP84" i="13"/>
  <c r="RJO84" i="13"/>
  <c r="RJN84" i="13"/>
  <c r="RJM84" i="13"/>
  <c r="RJL84" i="13"/>
  <c r="RJK84" i="13"/>
  <c r="RJJ84" i="13"/>
  <c r="RJI84" i="13"/>
  <c r="RJH84" i="13"/>
  <c r="RJD84" i="13"/>
  <c r="RJC84" i="13"/>
  <c r="RJB84" i="13"/>
  <c r="RJA84" i="13"/>
  <c r="RIZ84" i="13"/>
  <c r="RIY84" i="13"/>
  <c r="RIX84" i="13"/>
  <c r="RIW84" i="13"/>
  <c r="RIV84" i="13"/>
  <c r="RIU84" i="13"/>
  <c r="RIT84" i="13"/>
  <c r="RIS84" i="13"/>
  <c r="RIR84" i="13"/>
  <c r="RIN84" i="13"/>
  <c r="RIM84" i="13"/>
  <c r="RIL84" i="13"/>
  <c r="RIK84" i="13"/>
  <c r="RIJ84" i="13"/>
  <c r="RII84" i="13"/>
  <c r="RIH84" i="13"/>
  <c r="RIG84" i="13"/>
  <c r="RIF84" i="13"/>
  <c r="RIE84" i="13"/>
  <c r="RID84" i="13"/>
  <c r="RIC84" i="13"/>
  <c r="RIB84" i="13"/>
  <c r="RHX84" i="13"/>
  <c r="RHW84" i="13"/>
  <c r="RHV84" i="13"/>
  <c r="RHU84" i="13"/>
  <c r="RHT84" i="13"/>
  <c r="RHS84" i="13"/>
  <c r="RHR84" i="13"/>
  <c r="RHQ84" i="13"/>
  <c r="RHP84" i="13"/>
  <c r="RHO84" i="13"/>
  <c r="RHN84" i="13"/>
  <c r="RHM84" i="13"/>
  <c r="RHL84" i="13"/>
  <c r="RHH84" i="13"/>
  <c r="RHG84" i="13"/>
  <c r="RHF84" i="13"/>
  <c r="RHE84" i="13"/>
  <c r="RHD84" i="13"/>
  <c r="RHC84" i="13"/>
  <c r="RHB84" i="13"/>
  <c r="RHA84" i="13"/>
  <c r="RGZ84" i="13"/>
  <c r="RGY84" i="13"/>
  <c r="RGX84" i="13"/>
  <c r="RGW84" i="13"/>
  <c r="RGV84" i="13"/>
  <c r="RGR84" i="13"/>
  <c r="RGQ84" i="13"/>
  <c r="RGP84" i="13"/>
  <c r="RGO84" i="13"/>
  <c r="RGN84" i="13"/>
  <c r="RGM84" i="13"/>
  <c r="RGL84" i="13"/>
  <c r="RGK84" i="13"/>
  <c r="RGJ84" i="13"/>
  <c r="RGI84" i="13"/>
  <c r="RGH84" i="13"/>
  <c r="RGG84" i="13"/>
  <c r="RGF84" i="13"/>
  <c r="RGB84" i="13"/>
  <c r="RGA84" i="13"/>
  <c r="RFZ84" i="13"/>
  <c r="RFY84" i="13"/>
  <c r="RFX84" i="13"/>
  <c r="RFW84" i="13"/>
  <c r="RFV84" i="13"/>
  <c r="RFU84" i="13"/>
  <c r="RFT84" i="13"/>
  <c r="RFS84" i="13"/>
  <c r="RFR84" i="13"/>
  <c r="RFQ84" i="13"/>
  <c r="RFP84" i="13"/>
  <c r="RFL84" i="13"/>
  <c r="RFK84" i="13"/>
  <c r="RFJ84" i="13"/>
  <c r="RFI84" i="13"/>
  <c r="RFH84" i="13"/>
  <c r="RFG84" i="13"/>
  <c r="RFF84" i="13"/>
  <c r="RFE84" i="13"/>
  <c r="RFD84" i="13"/>
  <c r="RFC84" i="13"/>
  <c r="RFB84" i="13"/>
  <c r="RFA84" i="13"/>
  <c r="REZ84" i="13"/>
  <c r="REV84" i="13"/>
  <c r="REU84" i="13"/>
  <c r="RET84" i="13"/>
  <c r="RES84" i="13"/>
  <c r="RER84" i="13"/>
  <c r="REQ84" i="13"/>
  <c r="REP84" i="13"/>
  <c r="REO84" i="13"/>
  <c r="REN84" i="13"/>
  <c r="REM84" i="13"/>
  <c r="REL84" i="13"/>
  <c r="REK84" i="13"/>
  <c r="REJ84" i="13"/>
  <c r="REF84" i="13"/>
  <c r="REE84" i="13"/>
  <c r="RED84" i="13"/>
  <c r="REC84" i="13"/>
  <c r="REB84" i="13"/>
  <c r="REA84" i="13"/>
  <c r="RDZ84" i="13"/>
  <c r="RDY84" i="13"/>
  <c r="RDX84" i="13"/>
  <c r="RDW84" i="13"/>
  <c r="RDV84" i="13"/>
  <c r="RDU84" i="13"/>
  <c r="RDT84" i="13"/>
  <c r="RDP84" i="13"/>
  <c r="RDO84" i="13"/>
  <c r="RDN84" i="13"/>
  <c r="RDM84" i="13"/>
  <c r="RDL84" i="13"/>
  <c r="RDK84" i="13"/>
  <c r="RDJ84" i="13"/>
  <c r="RDI84" i="13"/>
  <c r="RDH84" i="13"/>
  <c r="RDG84" i="13"/>
  <c r="RDF84" i="13"/>
  <c r="RDE84" i="13"/>
  <c r="RDD84" i="13"/>
  <c r="RCZ84" i="13"/>
  <c r="RCY84" i="13"/>
  <c r="RCX84" i="13"/>
  <c r="RCW84" i="13"/>
  <c r="RCV84" i="13"/>
  <c r="RCU84" i="13"/>
  <c r="RCT84" i="13"/>
  <c r="RCS84" i="13"/>
  <c r="RCR84" i="13"/>
  <c r="RCQ84" i="13"/>
  <c r="RCP84" i="13"/>
  <c r="RCO84" i="13"/>
  <c r="RCN84" i="13"/>
  <c r="RCJ84" i="13"/>
  <c r="RCI84" i="13"/>
  <c r="RCH84" i="13"/>
  <c r="RCG84" i="13"/>
  <c r="RCF84" i="13"/>
  <c r="RCE84" i="13"/>
  <c r="RCD84" i="13"/>
  <c r="RCC84" i="13"/>
  <c r="RCB84" i="13"/>
  <c r="RCA84" i="13"/>
  <c r="RBZ84" i="13"/>
  <c r="RBY84" i="13"/>
  <c r="RBX84" i="13"/>
  <c r="RBT84" i="13"/>
  <c r="RBS84" i="13"/>
  <c r="RBR84" i="13"/>
  <c r="RBQ84" i="13"/>
  <c r="RBP84" i="13"/>
  <c r="RBO84" i="13"/>
  <c r="RBN84" i="13"/>
  <c r="RBM84" i="13"/>
  <c r="RBL84" i="13"/>
  <c r="RBK84" i="13"/>
  <c r="RBJ84" i="13"/>
  <c r="RBI84" i="13"/>
  <c r="RBH84" i="13"/>
  <c r="RBD84" i="13"/>
  <c r="RBC84" i="13"/>
  <c r="RBB84" i="13"/>
  <c r="RBA84" i="13"/>
  <c r="RAZ84" i="13"/>
  <c r="RAY84" i="13"/>
  <c r="RAX84" i="13"/>
  <c r="RAW84" i="13"/>
  <c r="RAV84" i="13"/>
  <c r="RAU84" i="13"/>
  <c r="RAT84" i="13"/>
  <c r="RAS84" i="13"/>
  <c r="RAR84" i="13"/>
  <c r="RAN84" i="13"/>
  <c r="RAM84" i="13"/>
  <c r="RAL84" i="13"/>
  <c r="RAK84" i="13"/>
  <c r="RAJ84" i="13"/>
  <c r="RAI84" i="13"/>
  <c r="RAH84" i="13"/>
  <c r="RAG84" i="13"/>
  <c r="RAF84" i="13"/>
  <c r="RAE84" i="13"/>
  <c r="RAD84" i="13"/>
  <c r="RAC84" i="13"/>
  <c r="RAB84" i="13"/>
  <c r="QZX84" i="13"/>
  <c r="QZW84" i="13"/>
  <c r="QZV84" i="13"/>
  <c r="QZU84" i="13"/>
  <c r="QZT84" i="13"/>
  <c r="QZS84" i="13"/>
  <c r="QZR84" i="13"/>
  <c r="QZQ84" i="13"/>
  <c r="QZP84" i="13"/>
  <c r="QZO84" i="13"/>
  <c r="QZN84" i="13"/>
  <c r="QZM84" i="13"/>
  <c r="QZL84" i="13"/>
  <c r="QZH84" i="13"/>
  <c r="QZG84" i="13"/>
  <c r="QZF84" i="13"/>
  <c r="QZE84" i="13"/>
  <c r="QZD84" i="13"/>
  <c r="QZC84" i="13"/>
  <c r="QZB84" i="13"/>
  <c r="QZA84" i="13"/>
  <c r="QYZ84" i="13"/>
  <c r="QYY84" i="13"/>
  <c r="QYX84" i="13"/>
  <c r="QYW84" i="13"/>
  <c r="QYV84" i="13"/>
  <c r="QYR84" i="13"/>
  <c r="QYQ84" i="13"/>
  <c r="QYP84" i="13"/>
  <c r="QYO84" i="13"/>
  <c r="QYN84" i="13"/>
  <c r="QYM84" i="13"/>
  <c r="QYL84" i="13"/>
  <c r="QYK84" i="13"/>
  <c r="QYJ84" i="13"/>
  <c r="QYI84" i="13"/>
  <c r="QYH84" i="13"/>
  <c r="QYG84" i="13"/>
  <c r="QYF84" i="13"/>
  <c r="QYB84" i="13"/>
  <c r="QYA84" i="13"/>
  <c r="QXZ84" i="13"/>
  <c r="QXY84" i="13"/>
  <c r="QXX84" i="13"/>
  <c r="QXW84" i="13"/>
  <c r="QXV84" i="13"/>
  <c r="QXU84" i="13"/>
  <c r="QXT84" i="13"/>
  <c r="QXS84" i="13"/>
  <c r="QXR84" i="13"/>
  <c r="QXQ84" i="13"/>
  <c r="QXP84" i="13"/>
  <c r="QXL84" i="13"/>
  <c r="QXK84" i="13"/>
  <c r="QXJ84" i="13"/>
  <c r="QXI84" i="13"/>
  <c r="QXH84" i="13"/>
  <c r="QXG84" i="13"/>
  <c r="QXF84" i="13"/>
  <c r="QXE84" i="13"/>
  <c r="QXD84" i="13"/>
  <c r="QXC84" i="13"/>
  <c r="QXB84" i="13"/>
  <c r="QXA84" i="13"/>
  <c r="QWZ84" i="13"/>
  <c r="QWV84" i="13"/>
  <c r="QWU84" i="13"/>
  <c r="QWT84" i="13"/>
  <c r="QWS84" i="13"/>
  <c r="QWR84" i="13"/>
  <c r="QWQ84" i="13"/>
  <c r="QWP84" i="13"/>
  <c r="QWO84" i="13"/>
  <c r="QWN84" i="13"/>
  <c r="QWM84" i="13"/>
  <c r="QWL84" i="13"/>
  <c r="QWK84" i="13"/>
  <c r="QWJ84" i="13"/>
  <c r="QWF84" i="13"/>
  <c r="QWE84" i="13"/>
  <c r="QWD84" i="13"/>
  <c r="QWC84" i="13"/>
  <c r="QWB84" i="13"/>
  <c r="QWA84" i="13"/>
  <c r="QVZ84" i="13"/>
  <c r="QVY84" i="13"/>
  <c r="QVX84" i="13"/>
  <c r="QVW84" i="13"/>
  <c r="QVV84" i="13"/>
  <c r="QVU84" i="13"/>
  <c r="QVT84" i="13"/>
  <c r="QVP84" i="13"/>
  <c r="QVO84" i="13"/>
  <c r="QVN84" i="13"/>
  <c r="QVM84" i="13"/>
  <c r="QVL84" i="13"/>
  <c r="QVK84" i="13"/>
  <c r="QVJ84" i="13"/>
  <c r="QVI84" i="13"/>
  <c r="QVH84" i="13"/>
  <c r="QVG84" i="13"/>
  <c r="QVF84" i="13"/>
  <c r="QVE84" i="13"/>
  <c r="QVD84" i="13"/>
  <c r="QUZ84" i="13"/>
  <c r="QUY84" i="13"/>
  <c r="QUX84" i="13"/>
  <c r="QUW84" i="13"/>
  <c r="QUV84" i="13"/>
  <c r="QUU84" i="13"/>
  <c r="QUT84" i="13"/>
  <c r="QUS84" i="13"/>
  <c r="QUR84" i="13"/>
  <c r="QUQ84" i="13"/>
  <c r="QUP84" i="13"/>
  <c r="QUO84" i="13"/>
  <c r="QUN84" i="13"/>
  <c r="QUJ84" i="13"/>
  <c r="QUI84" i="13"/>
  <c r="QUH84" i="13"/>
  <c r="QUG84" i="13"/>
  <c r="QUF84" i="13"/>
  <c r="QUE84" i="13"/>
  <c r="QUD84" i="13"/>
  <c r="QUC84" i="13"/>
  <c r="QUB84" i="13"/>
  <c r="QUA84" i="13"/>
  <c r="QTZ84" i="13"/>
  <c r="QTY84" i="13"/>
  <c r="QTX84" i="13"/>
  <c r="QTT84" i="13"/>
  <c r="QTS84" i="13"/>
  <c r="QTR84" i="13"/>
  <c r="QTQ84" i="13"/>
  <c r="QTP84" i="13"/>
  <c r="QTO84" i="13"/>
  <c r="QTN84" i="13"/>
  <c r="QTM84" i="13"/>
  <c r="QTL84" i="13"/>
  <c r="QTK84" i="13"/>
  <c r="QTJ84" i="13"/>
  <c r="QTI84" i="13"/>
  <c r="QTH84" i="13"/>
  <c r="QTD84" i="13"/>
  <c r="QTC84" i="13"/>
  <c r="QTB84" i="13"/>
  <c r="QTA84" i="13"/>
  <c r="QSZ84" i="13"/>
  <c r="QSY84" i="13"/>
  <c r="QSX84" i="13"/>
  <c r="QSW84" i="13"/>
  <c r="QSV84" i="13"/>
  <c r="QSU84" i="13"/>
  <c r="QST84" i="13"/>
  <c r="QSS84" i="13"/>
  <c r="QSR84" i="13"/>
  <c r="QSN84" i="13"/>
  <c r="QSM84" i="13"/>
  <c r="QSL84" i="13"/>
  <c r="QSK84" i="13"/>
  <c r="QSJ84" i="13"/>
  <c r="QSI84" i="13"/>
  <c r="QSH84" i="13"/>
  <c r="QSG84" i="13"/>
  <c r="QSF84" i="13"/>
  <c r="QSE84" i="13"/>
  <c r="QSD84" i="13"/>
  <c r="QSC84" i="13"/>
  <c r="QSB84" i="13"/>
  <c r="QRX84" i="13"/>
  <c r="QRW84" i="13"/>
  <c r="QRV84" i="13"/>
  <c r="QRU84" i="13"/>
  <c r="QRT84" i="13"/>
  <c r="QRS84" i="13"/>
  <c r="QRR84" i="13"/>
  <c r="QRQ84" i="13"/>
  <c r="QRP84" i="13"/>
  <c r="QRO84" i="13"/>
  <c r="QRN84" i="13"/>
  <c r="QRM84" i="13"/>
  <c r="QRL84" i="13"/>
  <c r="QRH84" i="13"/>
  <c r="QRG84" i="13"/>
  <c r="QRF84" i="13"/>
  <c r="QRE84" i="13"/>
  <c r="QRD84" i="13"/>
  <c r="QRC84" i="13"/>
  <c r="QRB84" i="13"/>
  <c r="QRA84" i="13"/>
  <c r="QQZ84" i="13"/>
  <c r="QQY84" i="13"/>
  <c r="QQX84" i="13"/>
  <c r="QQW84" i="13"/>
  <c r="QQV84" i="13"/>
  <c r="QQR84" i="13"/>
  <c r="QQQ84" i="13"/>
  <c r="QQP84" i="13"/>
  <c r="QQO84" i="13"/>
  <c r="QQN84" i="13"/>
  <c r="QQM84" i="13"/>
  <c r="QQL84" i="13"/>
  <c r="QQK84" i="13"/>
  <c r="QQJ84" i="13"/>
  <c r="QQI84" i="13"/>
  <c r="QQH84" i="13"/>
  <c r="QQG84" i="13"/>
  <c r="QQF84" i="13"/>
  <c r="QQB84" i="13"/>
  <c r="QQA84" i="13"/>
  <c r="QPZ84" i="13"/>
  <c r="QPY84" i="13"/>
  <c r="QPX84" i="13"/>
  <c r="QPW84" i="13"/>
  <c r="QPV84" i="13"/>
  <c r="QPU84" i="13"/>
  <c r="QPT84" i="13"/>
  <c r="QPS84" i="13"/>
  <c r="QPR84" i="13"/>
  <c r="QPQ84" i="13"/>
  <c r="QPP84" i="13"/>
  <c r="QPL84" i="13"/>
  <c r="QPK84" i="13"/>
  <c r="QPJ84" i="13"/>
  <c r="QPI84" i="13"/>
  <c r="QPH84" i="13"/>
  <c r="QPG84" i="13"/>
  <c r="QPF84" i="13"/>
  <c r="QPE84" i="13"/>
  <c r="QPD84" i="13"/>
  <c r="QPC84" i="13"/>
  <c r="QPB84" i="13"/>
  <c r="QPA84" i="13"/>
  <c r="QOZ84" i="13"/>
  <c r="QOV84" i="13"/>
  <c r="QOU84" i="13"/>
  <c r="QOT84" i="13"/>
  <c r="QOS84" i="13"/>
  <c r="QOR84" i="13"/>
  <c r="QOQ84" i="13"/>
  <c r="QOP84" i="13"/>
  <c r="QOO84" i="13"/>
  <c r="QON84" i="13"/>
  <c r="QOM84" i="13"/>
  <c r="QOL84" i="13"/>
  <c r="QOK84" i="13"/>
  <c r="QOJ84" i="13"/>
  <c r="QOF84" i="13"/>
  <c r="QOE84" i="13"/>
  <c r="QOD84" i="13"/>
  <c r="QOC84" i="13"/>
  <c r="QOB84" i="13"/>
  <c r="QOA84" i="13"/>
  <c r="QNZ84" i="13"/>
  <c r="QNY84" i="13"/>
  <c r="QNX84" i="13"/>
  <c r="QNW84" i="13"/>
  <c r="QNV84" i="13"/>
  <c r="QNU84" i="13"/>
  <c r="QNT84" i="13"/>
  <c r="QNP84" i="13"/>
  <c r="QNO84" i="13"/>
  <c r="QNN84" i="13"/>
  <c r="QNM84" i="13"/>
  <c r="QNL84" i="13"/>
  <c r="QNK84" i="13"/>
  <c r="QNJ84" i="13"/>
  <c r="QNI84" i="13"/>
  <c r="QNH84" i="13"/>
  <c r="QNG84" i="13"/>
  <c r="QNF84" i="13"/>
  <c r="QNE84" i="13"/>
  <c r="QND84" i="13"/>
  <c r="QMZ84" i="13"/>
  <c r="QMY84" i="13"/>
  <c r="QMX84" i="13"/>
  <c r="QMW84" i="13"/>
  <c r="QMV84" i="13"/>
  <c r="QMU84" i="13"/>
  <c r="QMT84" i="13"/>
  <c r="QMS84" i="13"/>
  <c r="QMR84" i="13"/>
  <c r="QMQ84" i="13"/>
  <c r="QMP84" i="13"/>
  <c r="QMO84" i="13"/>
  <c r="QMN84" i="13"/>
  <c r="QMJ84" i="13"/>
  <c r="QMI84" i="13"/>
  <c r="QMH84" i="13"/>
  <c r="QMG84" i="13"/>
  <c r="QMF84" i="13"/>
  <c r="QME84" i="13"/>
  <c r="QMD84" i="13"/>
  <c r="QMC84" i="13"/>
  <c r="QMB84" i="13"/>
  <c r="QMA84" i="13"/>
  <c r="QLZ84" i="13"/>
  <c r="QLY84" i="13"/>
  <c r="QLX84" i="13"/>
  <c r="QLT84" i="13"/>
  <c r="QLS84" i="13"/>
  <c r="QLR84" i="13"/>
  <c r="QLQ84" i="13"/>
  <c r="QLP84" i="13"/>
  <c r="QLO84" i="13"/>
  <c r="QLN84" i="13"/>
  <c r="QLM84" i="13"/>
  <c r="QLL84" i="13"/>
  <c r="QLK84" i="13"/>
  <c r="QLJ84" i="13"/>
  <c r="QLI84" i="13"/>
  <c r="QLH84" i="13"/>
  <c r="QLD84" i="13"/>
  <c r="QLC84" i="13"/>
  <c r="QLB84" i="13"/>
  <c r="QLA84" i="13"/>
  <c r="QKZ84" i="13"/>
  <c r="QKY84" i="13"/>
  <c r="QKX84" i="13"/>
  <c r="QKW84" i="13"/>
  <c r="QKV84" i="13"/>
  <c r="QKU84" i="13"/>
  <c r="QKT84" i="13"/>
  <c r="QKS84" i="13"/>
  <c r="QKR84" i="13"/>
  <c r="QKN84" i="13"/>
  <c r="QKM84" i="13"/>
  <c r="QKL84" i="13"/>
  <c r="QKK84" i="13"/>
  <c r="QKJ84" i="13"/>
  <c r="QKI84" i="13"/>
  <c r="QKH84" i="13"/>
  <c r="QKG84" i="13"/>
  <c r="QKF84" i="13"/>
  <c r="QKE84" i="13"/>
  <c r="QKD84" i="13"/>
  <c r="QKC84" i="13"/>
  <c r="QKB84" i="13"/>
  <c r="QJX84" i="13"/>
  <c r="QJW84" i="13"/>
  <c r="QJV84" i="13"/>
  <c r="QJU84" i="13"/>
  <c r="QJT84" i="13"/>
  <c r="QJS84" i="13"/>
  <c r="QJR84" i="13"/>
  <c r="QJQ84" i="13"/>
  <c r="QJP84" i="13"/>
  <c r="QJO84" i="13"/>
  <c r="QJN84" i="13"/>
  <c r="QJM84" i="13"/>
  <c r="QJL84" i="13"/>
  <c r="QJH84" i="13"/>
  <c r="QJG84" i="13"/>
  <c r="QJF84" i="13"/>
  <c r="QJE84" i="13"/>
  <c r="QJD84" i="13"/>
  <c r="QJC84" i="13"/>
  <c r="QJB84" i="13"/>
  <c r="QJA84" i="13"/>
  <c r="QIZ84" i="13"/>
  <c r="QIY84" i="13"/>
  <c r="QIX84" i="13"/>
  <c r="QIW84" i="13"/>
  <c r="QIV84" i="13"/>
  <c r="QIR84" i="13"/>
  <c r="QIQ84" i="13"/>
  <c r="QIP84" i="13"/>
  <c r="QIO84" i="13"/>
  <c r="QIN84" i="13"/>
  <c r="QIM84" i="13"/>
  <c r="QIL84" i="13"/>
  <c r="QIK84" i="13"/>
  <c r="QIJ84" i="13"/>
  <c r="QII84" i="13"/>
  <c r="QIH84" i="13"/>
  <c r="QIG84" i="13"/>
  <c r="QIF84" i="13"/>
  <c r="QIB84" i="13"/>
  <c r="QIA84" i="13"/>
  <c r="QHZ84" i="13"/>
  <c r="QHY84" i="13"/>
  <c r="QHX84" i="13"/>
  <c r="QHW84" i="13"/>
  <c r="QHV84" i="13"/>
  <c r="QHU84" i="13"/>
  <c r="QHT84" i="13"/>
  <c r="QHS84" i="13"/>
  <c r="QHR84" i="13"/>
  <c r="QHQ84" i="13"/>
  <c r="QHP84" i="13"/>
  <c r="QHL84" i="13"/>
  <c r="QHK84" i="13"/>
  <c r="QHJ84" i="13"/>
  <c r="QHI84" i="13"/>
  <c r="QHH84" i="13"/>
  <c r="QHG84" i="13"/>
  <c r="QHF84" i="13"/>
  <c r="QHE84" i="13"/>
  <c r="QHD84" i="13"/>
  <c r="QHC84" i="13"/>
  <c r="QHB84" i="13"/>
  <c r="QHA84" i="13"/>
  <c r="QGZ84" i="13"/>
  <c r="QGV84" i="13"/>
  <c r="QGU84" i="13"/>
  <c r="QGT84" i="13"/>
  <c r="QGS84" i="13"/>
  <c r="QGR84" i="13"/>
  <c r="QGQ84" i="13"/>
  <c r="QGP84" i="13"/>
  <c r="QGO84" i="13"/>
  <c r="QGN84" i="13"/>
  <c r="QGM84" i="13"/>
  <c r="QGL84" i="13"/>
  <c r="QGK84" i="13"/>
  <c r="QGJ84" i="13"/>
  <c r="QGF84" i="13"/>
  <c r="QGE84" i="13"/>
  <c r="QGD84" i="13"/>
  <c r="QGC84" i="13"/>
  <c r="QGB84" i="13"/>
  <c r="QGA84" i="13"/>
  <c r="QFZ84" i="13"/>
  <c r="QFY84" i="13"/>
  <c r="QFX84" i="13"/>
  <c r="QFW84" i="13"/>
  <c r="QFV84" i="13"/>
  <c r="QFU84" i="13"/>
  <c r="QFT84" i="13"/>
  <c r="QFP84" i="13"/>
  <c r="QFO84" i="13"/>
  <c r="QFN84" i="13"/>
  <c r="QFM84" i="13"/>
  <c r="QFL84" i="13"/>
  <c r="QFK84" i="13"/>
  <c r="QFJ84" i="13"/>
  <c r="QFI84" i="13"/>
  <c r="QFH84" i="13"/>
  <c r="QFG84" i="13"/>
  <c r="QFF84" i="13"/>
  <c r="QFE84" i="13"/>
  <c r="QFD84" i="13"/>
  <c r="QEZ84" i="13"/>
  <c r="QEY84" i="13"/>
  <c r="QEX84" i="13"/>
  <c r="QEW84" i="13"/>
  <c r="QEV84" i="13"/>
  <c r="QEU84" i="13"/>
  <c r="QET84" i="13"/>
  <c r="QES84" i="13"/>
  <c r="QER84" i="13"/>
  <c r="QEQ84" i="13"/>
  <c r="QEP84" i="13"/>
  <c r="QEO84" i="13"/>
  <c r="QEN84" i="13"/>
  <c r="QEJ84" i="13"/>
  <c r="QEI84" i="13"/>
  <c r="QEH84" i="13"/>
  <c r="QEG84" i="13"/>
  <c r="QEF84" i="13"/>
  <c r="QEE84" i="13"/>
  <c r="QED84" i="13"/>
  <c r="QEC84" i="13"/>
  <c r="QEB84" i="13"/>
  <c r="QEA84" i="13"/>
  <c r="QDZ84" i="13"/>
  <c r="QDY84" i="13"/>
  <c r="QDX84" i="13"/>
  <c r="QDT84" i="13"/>
  <c r="QDS84" i="13"/>
  <c r="QDR84" i="13"/>
  <c r="QDQ84" i="13"/>
  <c r="QDP84" i="13"/>
  <c r="QDO84" i="13"/>
  <c r="QDN84" i="13"/>
  <c r="QDM84" i="13"/>
  <c r="QDL84" i="13"/>
  <c r="QDK84" i="13"/>
  <c r="QDJ84" i="13"/>
  <c r="QDI84" i="13"/>
  <c r="QDH84" i="13"/>
  <c r="QDD84" i="13"/>
  <c r="QDC84" i="13"/>
  <c r="QDB84" i="13"/>
  <c r="QDA84" i="13"/>
  <c r="QCZ84" i="13"/>
  <c r="QCY84" i="13"/>
  <c r="QCX84" i="13"/>
  <c r="QCW84" i="13"/>
  <c r="QCV84" i="13"/>
  <c r="QCU84" i="13"/>
  <c r="QCT84" i="13"/>
  <c r="QCS84" i="13"/>
  <c r="QCR84" i="13"/>
  <c r="QCN84" i="13"/>
  <c r="QCM84" i="13"/>
  <c r="QCL84" i="13"/>
  <c r="QCK84" i="13"/>
  <c r="QCJ84" i="13"/>
  <c r="QCI84" i="13"/>
  <c r="QCH84" i="13"/>
  <c r="QCG84" i="13"/>
  <c r="QCF84" i="13"/>
  <c r="QCE84" i="13"/>
  <c r="QCD84" i="13"/>
  <c r="QCC84" i="13"/>
  <c r="QCB84" i="13"/>
  <c r="QBX84" i="13"/>
  <c r="QBW84" i="13"/>
  <c r="QBV84" i="13"/>
  <c r="QBU84" i="13"/>
  <c r="QBT84" i="13"/>
  <c r="QBS84" i="13"/>
  <c r="QBR84" i="13"/>
  <c r="QBQ84" i="13"/>
  <c r="QBP84" i="13"/>
  <c r="QBO84" i="13"/>
  <c r="QBN84" i="13"/>
  <c r="QBM84" i="13"/>
  <c r="QBL84" i="13"/>
  <c r="QBH84" i="13"/>
  <c r="QBG84" i="13"/>
  <c r="QBF84" i="13"/>
  <c r="QBE84" i="13"/>
  <c r="QBD84" i="13"/>
  <c r="QBC84" i="13"/>
  <c r="QBB84" i="13"/>
  <c r="QBA84" i="13"/>
  <c r="QAZ84" i="13"/>
  <c r="QAY84" i="13"/>
  <c r="QAX84" i="13"/>
  <c r="QAW84" i="13"/>
  <c r="QAV84" i="13"/>
  <c r="QAR84" i="13"/>
  <c r="QAQ84" i="13"/>
  <c r="QAP84" i="13"/>
  <c r="QAO84" i="13"/>
  <c r="QAN84" i="13"/>
  <c r="QAM84" i="13"/>
  <c r="QAL84" i="13"/>
  <c r="QAK84" i="13"/>
  <c r="QAJ84" i="13"/>
  <c r="QAI84" i="13"/>
  <c r="QAH84" i="13"/>
  <c r="QAG84" i="13"/>
  <c r="QAF84" i="13"/>
  <c r="QAB84" i="13"/>
  <c r="QAA84" i="13"/>
  <c r="PZZ84" i="13"/>
  <c r="PZY84" i="13"/>
  <c r="PZX84" i="13"/>
  <c r="PZW84" i="13"/>
  <c r="PZV84" i="13"/>
  <c r="PZU84" i="13"/>
  <c r="PZT84" i="13"/>
  <c r="PZS84" i="13"/>
  <c r="PZR84" i="13"/>
  <c r="PZQ84" i="13"/>
  <c r="PZP84" i="13"/>
  <c r="PZL84" i="13"/>
  <c r="PZK84" i="13"/>
  <c r="PZJ84" i="13"/>
  <c r="PZI84" i="13"/>
  <c r="PZH84" i="13"/>
  <c r="PZG84" i="13"/>
  <c r="PZF84" i="13"/>
  <c r="PZE84" i="13"/>
  <c r="PZD84" i="13"/>
  <c r="PZC84" i="13"/>
  <c r="PZB84" i="13"/>
  <c r="PZA84" i="13"/>
  <c r="PYZ84" i="13"/>
  <c r="PYV84" i="13"/>
  <c r="PYU84" i="13"/>
  <c r="PYT84" i="13"/>
  <c r="PYS84" i="13"/>
  <c r="PYR84" i="13"/>
  <c r="PYQ84" i="13"/>
  <c r="PYP84" i="13"/>
  <c r="PYO84" i="13"/>
  <c r="PYN84" i="13"/>
  <c r="PYM84" i="13"/>
  <c r="PYL84" i="13"/>
  <c r="PYK84" i="13"/>
  <c r="PYJ84" i="13"/>
  <c r="PYF84" i="13"/>
  <c r="PYE84" i="13"/>
  <c r="PYD84" i="13"/>
  <c r="PYC84" i="13"/>
  <c r="PYB84" i="13"/>
  <c r="PYA84" i="13"/>
  <c r="PXZ84" i="13"/>
  <c r="PXY84" i="13"/>
  <c r="PXX84" i="13"/>
  <c r="PXW84" i="13"/>
  <c r="PXV84" i="13"/>
  <c r="PXU84" i="13"/>
  <c r="PXT84" i="13"/>
  <c r="PXP84" i="13"/>
  <c r="PXO84" i="13"/>
  <c r="PXN84" i="13"/>
  <c r="PXM84" i="13"/>
  <c r="PXL84" i="13"/>
  <c r="PXK84" i="13"/>
  <c r="PXJ84" i="13"/>
  <c r="PXI84" i="13"/>
  <c r="PXH84" i="13"/>
  <c r="PXG84" i="13"/>
  <c r="PXF84" i="13"/>
  <c r="PXE84" i="13"/>
  <c r="PXD84" i="13"/>
  <c r="PWZ84" i="13"/>
  <c r="PWY84" i="13"/>
  <c r="PWX84" i="13"/>
  <c r="PWW84" i="13"/>
  <c r="PWV84" i="13"/>
  <c r="PWU84" i="13"/>
  <c r="PWT84" i="13"/>
  <c r="PWS84" i="13"/>
  <c r="PWR84" i="13"/>
  <c r="PWQ84" i="13"/>
  <c r="PWP84" i="13"/>
  <c r="PWO84" i="13"/>
  <c r="PWN84" i="13"/>
  <c r="PWJ84" i="13"/>
  <c r="PWI84" i="13"/>
  <c r="PWH84" i="13"/>
  <c r="PWG84" i="13"/>
  <c r="PWF84" i="13"/>
  <c r="PWE84" i="13"/>
  <c r="PWD84" i="13"/>
  <c r="PWC84" i="13"/>
  <c r="PWB84" i="13"/>
  <c r="PWA84" i="13"/>
  <c r="PVZ84" i="13"/>
  <c r="PVY84" i="13"/>
  <c r="PVX84" i="13"/>
  <c r="PVT84" i="13"/>
  <c r="PVS84" i="13"/>
  <c r="PVR84" i="13"/>
  <c r="PVQ84" i="13"/>
  <c r="PVP84" i="13"/>
  <c r="PVO84" i="13"/>
  <c r="PVN84" i="13"/>
  <c r="PVM84" i="13"/>
  <c r="PVL84" i="13"/>
  <c r="PVK84" i="13"/>
  <c r="PVJ84" i="13"/>
  <c r="PVI84" i="13"/>
  <c r="PVH84" i="13"/>
  <c r="PVD84" i="13"/>
  <c r="PVC84" i="13"/>
  <c r="PVB84" i="13"/>
  <c r="PVA84" i="13"/>
  <c r="PUZ84" i="13"/>
  <c r="PUY84" i="13"/>
  <c r="PUX84" i="13"/>
  <c r="PUW84" i="13"/>
  <c r="PUV84" i="13"/>
  <c r="PUU84" i="13"/>
  <c r="PUT84" i="13"/>
  <c r="PUS84" i="13"/>
  <c r="PUR84" i="13"/>
  <c r="PUN84" i="13"/>
  <c r="PUM84" i="13"/>
  <c r="PUL84" i="13"/>
  <c r="PUK84" i="13"/>
  <c r="PUJ84" i="13"/>
  <c r="PUI84" i="13"/>
  <c r="PUH84" i="13"/>
  <c r="PUG84" i="13"/>
  <c r="PUF84" i="13"/>
  <c r="PUE84" i="13"/>
  <c r="PUD84" i="13"/>
  <c r="PUC84" i="13"/>
  <c r="PUB84" i="13"/>
  <c r="PTX84" i="13"/>
  <c r="PTW84" i="13"/>
  <c r="PTV84" i="13"/>
  <c r="PTU84" i="13"/>
  <c r="PTT84" i="13"/>
  <c r="PTS84" i="13"/>
  <c r="PTR84" i="13"/>
  <c r="PTQ84" i="13"/>
  <c r="PTP84" i="13"/>
  <c r="PTO84" i="13"/>
  <c r="PTN84" i="13"/>
  <c r="PTM84" i="13"/>
  <c r="PTL84" i="13"/>
  <c r="PTH84" i="13"/>
  <c r="PTG84" i="13"/>
  <c r="PTF84" i="13"/>
  <c r="PTE84" i="13"/>
  <c r="PTD84" i="13"/>
  <c r="PTC84" i="13"/>
  <c r="PTB84" i="13"/>
  <c r="PTA84" i="13"/>
  <c r="PSZ84" i="13"/>
  <c r="PSY84" i="13"/>
  <c r="PSX84" i="13"/>
  <c r="PSW84" i="13"/>
  <c r="PSV84" i="13"/>
  <c r="PSR84" i="13"/>
  <c r="PSQ84" i="13"/>
  <c r="PSP84" i="13"/>
  <c r="PSO84" i="13"/>
  <c r="PSN84" i="13"/>
  <c r="PSM84" i="13"/>
  <c r="PSL84" i="13"/>
  <c r="PSK84" i="13"/>
  <c r="PSJ84" i="13"/>
  <c r="PSI84" i="13"/>
  <c r="PSH84" i="13"/>
  <c r="PSG84" i="13"/>
  <c r="PSF84" i="13"/>
  <c r="PSB84" i="13"/>
  <c r="PSA84" i="13"/>
  <c r="PRZ84" i="13"/>
  <c r="PRY84" i="13"/>
  <c r="PRX84" i="13"/>
  <c r="PRW84" i="13"/>
  <c r="PRV84" i="13"/>
  <c r="PRU84" i="13"/>
  <c r="PRT84" i="13"/>
  <c r="PRS84" i="13"/>
  <c r="PRR84" i="13"/>
  <c r="PRQ84" i="13"/>
  <c r="PRP84" i="13"/>
  <c r="PRL84" i="13"/>
  <c r="PRK84" i="13"/>
  <c r="PRJ84" i="13"/>
  <c r="PRI84" i="13"/>
  <c r="PRH84" i="13"/>
  <c r="PRG84" i="13"/>
  <c r="PRF84" i="13"/>
  <c r="PRE84" i="13"/>
  <c r="PRD84" i="13"/>
  <c r="PRC84" i="13"/>
  <c r="PRB84" i="13"/>
  <c r="PRA84" i="13"/>
  <c r="PQZ84" i="13"/>
  <c r="PQV84" i="13"/>
  <c r="PQU84" i="13"/>
  <c r="PQT84" i="13"/>
  <c r="PQS84" i="13"/>
  <c r="PQR84" i="13"/>
  <c r="PQQ84" i="13"/>
  <c r="PQP84" i="13"/>
  <c r="PQO84" i="13"/>
  <c r="PQN84" i="13"/>
  <c r="PQM84" i="13"/>
  <c r="PQL84" i="13"/>
  <c r="PQK84" i="13"/>
  <c r="PQJ84" i="13"/>
  <c r="PQF84" i="13"/>
  <c r="PQE84" i="13"/>
  <c r="PQD84" i="13"/>
  <c r="PQC84" i="13"/>
  <c r="PQB84" i="13"/>
  <c r="PQA84" i="13"/>
  <c r="PPZ84" i="13"/>
  <c r="PPY84" i="13"/>
  <c r="PPX84" i="13"/>
  <c r="PPW84" i="13"/>
  <c r="PPV84" i="13"/>
  <c r="PPU84" i="13"/>
  <c r="PPT84" i="13"/>
  <c r="PPP84" i="13"/>
  <c r="PPO84" i="13"/>
  <c r="PPN84" i="13"/>
  <c r="PPM84" i="13"/>
  <c r="PPL84" i="13"/>
  <c r="PPK84" i="13"/>
  <c r="PPJ84" i="13"/>
  <c r="PPI84" i="13"/>
  <c r="PPH84" i="13"/>
  <c r="PPG84" i="13"/>
  <c r="PPF84" i="13"/>
  <c r="PPE84" i="13"/>
  <c r="PPD84" i="13"/>
  <c r="POZ84" i="13"/>
  <c r="POY84" i="13"/>
  <c r="POX84" i="13"/>
  <c r="POW84" i="13"/>
  <c r="POV84" i="13"/>
  <c r="POU84" i="13"/>
  <c r="POT84" i="13"/>
  <c r="POS84" i="13"/>
  <c r="POR84" i="13"/>
  <c r="POQ84" i="13"/>
  <c r="POP84" i="13"/>
  <c r="POO84" i="13"/>
  <c r="PON84" i="13"/>
  <c r="POJ84" i="13"/>
  <c r="POI84" i="13"/>
  <c r="POH84" i="13"/>
  <c r="POG84" i="13"/>
  <c r="POF84" i="13"/>
  <c r="POE84" i="13"/>
  <c r="POD84" i="13"/>
  <c r="POC84" i="13"/>
  <c r="POB84" i="13"/>
  <c r="POA84" i="13"/>
  <c r="PNZ84" i="13"/>
  <c r="PNY84" i="13"/>
  <c r="PNX84" i="13"/>
  <c r="PNT84" i="13"/>
  <c r="PNS84" i="13"/>
  <c r="PNR84" i="13"/>
  <c r="PNQ84" i="13"/>
  <c r="PNP84" i="13"/>
  <c r="PNO84" i="13"/>
  <c r="PNN84" i="13"/>
  <c r="PNM84" i="13"/>
  <c r="PNL84" i="13"/>
  <c r="PNK84" i="13"/>
  <c r="PNJ84" i="13"/>
  <c r="PNI84" i="13"/>
  <c r="PNH84" i="13"/>
  <c r="PND84" i="13"/>
  <c r="PNC84" i="13"/>
  <c r="PNB84" i="13"/>
  <c r="PNA84" i="13"/>
  <c r="PMZ84" i="13"/>
  <c r="PMY84" i="13"/>
  <c r="PMX84" i="13"/>
  <c r="PMW84" i="13"/>
  <c r="PMV84" i="13"/>
  <c r="PMU84" i="13"/>
  <c r="PMT84" i="13"/>
  <c r="PMS84" i="13"/>
  <c r="PMR84" i="13"/>
  <c r="PMN84" i="13"/>
  <c r="PMM84" i="13"/>
  <c r="PML84" i="13"/>
  <c r="PMK84" i="13"/>
  <c r="PMJ84" i="13"/>
  <c r="PMI84" i="13"/>
  <c r="PMH84" i="13"/>
  <c r="PMG84" i="13"/>
  <c r="PMF84" i="13"/>
  <c r="PME84" i="13"/>
  <c r="PMD84" i="13"/>
  <c r="PMC84" i="13"/>
  <c r="PMB84" i="13"/>
  <c r="PLX84" i="13"/>
  <c r="PLW84" i="13"/>
  <c r="PLV84" i="13"/>
  <c r="PLU84" i="13"/>
  <c r="PLT84" i="13"/>
  <c r="PLS84" i="13"/>
  <c r="PLR84" i="13"/>
  <c r="PLQ84" i="13"/>
  <c r="PLP84" i="13"/>
  <c r="PLO84" i="13"/>
  <c r="PLN84" i="13"/>
  <c r="PLM84" i="13"/>
  <c r="PLL84" i="13"/>
  <c r="PLH84" i="13"/>
  <c r="PLG84" i="13"/>
  <c r="PLF84" i="13"/>
  <c r="PLE84" i="13"/>
  <c r="PLD84" i="13"/>
  <c r="PLC84" i="13"/>
  <c r="PLB84" i="13"/>
  <c r="PLA84" i="13"/>
  <c r="PKZ84" i="13"/>
  <c r="PKY84" i="13"/>
  <c r="PKX84" i="13"/>
  <c r="PKW84" i="13"/>
  <c r="PKV84" i="13"/>
  <c r="PKR84" i="13"/>
  <c r="PKQ84" i="13"/>
  <c r="PKP84" i="13"/>
  <c r="PKO84" i="13"/>
  <c r="PKN84" i="13"/>
  <c r="PKM84" i="13"/>
  <c r="PKL84" i="13"/>
  <c r="PKK84" i="13"/>
  <c r="PKJ84" i="13"/>
  <c r="PKI84" i="13"/>
  <c r="PKH84" i="13"/>
  <c r="PKG84" i="13"/>
  <c r="PKF84" i="13"/>
  <c r="PKB84" i="13"/>
  <c r="PKA84" i="13"/>
  <c r="PJZ84" i="13"/>
  <c r="PJY84" i="13"/>
  <c r="PJX84" i="13"/>
  <c r="PJW84" i="13"/>
  <c r="PJV84" i="13"/>
  <c r="PJU84" i="13"/>
  <c r="PJT84" i="13"/>
  <c r="PJS84" i="13"/>
  <c r="PJR84" i="13"/>
  <c r="PJQ84" i="13"/>
  <c r="PJP84" i="13"/>
  <c r="PJL84" i="13"/>
  <c r="PJK84" i="13"/>
  <c r="PJJ84" i="13"/>
  <c r="PJI84" i="13"/>
  <c r="PJH84" i="13"/>
  <c r="PJG84" i="13"/>
  <c r="PJF84" i="13"/>
  <c r="PJE84" i="13"/>
  <c r="PJD84" i="13"/>
  <c r="PJC84" i="13"/>
  <c r="PJB84" i="13"/>
  <c r="PJA84" i="13"/>
  <c r="PIZ84" i="13"/>
  <c r="PIV84" i="13"/>
  <c r="PIU84" i="13"/>
  <c r="PIT84" i="13"/>
  <c r="PIS84" i="13"/>
  <c r="PIR84" i="13"/>
  <c r="PIQ84" i="13"/>
  <c r="PIP84" i="13"/>
  <c r="PIO84" i="13"/>
  <c r="PIN84" i="13"/>
  <c r="PIM84" i="13"/>
  <c r="PIL84" i="13"/>
  <c r="PIK84" i="13"/>
  <c r="PIJ84" i="13"/>
  <c r="PIF84" i="13"/>
  <c r="PIE84" i="13"/>
  <c r="PID84" i="13"/>
  <c r="PIC84" i="13"/>
  <c r="PIB84" i="13"/>
  <c r="PIA84" i="13"/>
  <c r="PHZ84" i="13"/>
  <c r="PHY84" i="13"/>
  <c r="PHX84" i="13"/>
  <c r="PHW84" i="13"/>
  <c r="PHV84" i="13"/>
  <c r="PHU84" i="13"/>
  <c r="PHT84" i="13"/>
  <c r="PHP84" i="13"/>
  <c r="PHO84" i="13"/>
  <c r="PHN84" i="13"/>
  <c r="PHM84" i="13"/>
  <c r="PHL84" i="13"/>
  <c r="PHK84" i="13"/>
  <c r="PHJ84" i="13"/>
  <c r="PHI84" i="13"/>
  <c r="PHH84" i="13"/>
  <c r="PHG84" i="13"/>
  <c r="PHF84" i="13"/>
  <c r="PHE84" i="13"/>
  <c r="PHD84" i="13"/>
  <c r="PGZ84" i="13"/>
  <c r="PGY84" i="13"/>
  <c r="PGX84" i="13"/>
  <c r="PGW84" i="13"/>
  <c r="PGV84" i="13"/>
  <c r="PGU84" i="13"/>
  <c r="PGT84" i="13"/>
  <c r="PGS84" i="13"/>
  <c r="PGR84" i="13"/>
  <c r="PGQ84" i="13"/>
  <c r="PGP84" i="13"/>
  <c r="PGO84" i="13"/>
  <c r="PGN84" i="13"/>
  <c r="PGJ84" i="13"/>
  <c r="PGI84" i="13"/>
  <c r="PGH84" i="13"/>
  <c r="PGG84" i="13"/>
  <c r="PGF84" i="13"/>
  <c r="PGE84" i="13"/>
  <c r="PGD84" i="13"/>
  <c r="PGC84" i="13"/>
  <c r="PGB84" i="13"/>
  <c r="PGA84" i="13"/>
  <c r="PFZ84" i="13"/>
  <c r="PFY84" i="13"/>
  <c r="PFX84" i="13"/>
  <c r="PFT84" i="13"/>
  <c r="PFS84" i="13"/>
  <c r="PFR84" i="13"/>
  <c r="PFQ84" i="13"/>
  <c r="PFP84" i="13"/>
  <c r="PFO84" i="13"/>
  <c r="PFN84" i="13"/>
  <c r="PFM84" i="13"/>
  <c r="PFL84" i="13"/>
  <c r="PFK84" i="13"/>
  <c r="PFJ84" i="13"/>
  <c r="PFI84" i="13"/>
  <c r="PFH84" i="13"/>
  <c r="PFD84" i="13"/>
  <c r="PFC84" i="13"/>
  <c r="PFB84" i="13"/>
  <c r="PFA84" i="13"/>
  <c r="PEZ84" i="13"/>
  <c r="PEY84" i="13"/>
  <c r="PEX84" i="13"/>
  <c r="PEW84" i="13"/>
  <c r="PEV84" i="13"/>
  <c r="PEU84" i="13"/>
  <c r="PET84" i="13"/>
  <c r="PES84" i="13"/>
  <c r="PER84" i="13"/>
  <c r="PEN84" i="13"/>
  <c r="PEM84" i="13"/>
  <c r="PEL84" i="13"/>
  <c r="PEK84" i="13"/>
  <c r="PEJ84" i="13"/>
  <c r="PEI84" i="13"/>
  <c r="PEH84" i="13"/>
  <c r="PEG84" i="13"/>
  <c r="PEF84" i="13"/>
  <c r="PEE84" i="13"/>
  <c r="PED84" i="13"/>
  <c r="PEC84" i="13"/>
  <c r="PEB84" i="13"/>
  <c r="PDX84" i="13"/>
  <c r="PDW84" i="13"/>
  <c r="PDV84" i="13"/>
  <c r="PDU84" i="13"/>
  <c r="PDT84" i="13"/>
  <c r="PDS84" i="13"/>
  <c r="PDR84" i="13"/>
  <c r="PDQ84" i="13"/>
  <c r="PDP84" i="13"/>
  <c r="PDO84" i="13"/>
  <c r="PDN84" i="13"/>
  <c r="PDM84" i="13"/>
  <c r="PDL84" i="13"/>
  <c r="PDH84" i="13"/>
  <c r="PDG84" i="13"/>
  <c r="PDF84" i="13"/>
  <c r="PDE84" i="13"/>
  <c r="PDD84" i="13"/>
  <c r="PDC84" i="13"/>
  <c r="PDB84" i="13"/>
  <c r="PDA84" i="13"/>
  <c r="PCZ84" i="13"/>
  <c r="PCY84" i="13"/>
  <c r="PCX84" i="13"/>
  <c r="PCW84" i="13"/>
  <c r="PCV84" i="13"/>
  <c r="PCR84" i="13"/>
  <c r="PCQ84" i="13"/>
  <c r="PCP84" i="13"/>
  <c r="PCO84" i="13"/>
  <c r="PCN84" i="13"/>
  <c r="PCM84" i="13"/>
  <c r="PCL84" i="13"/>
  <c r="PCK84" i="13"/>
  <c r="PCJ84" i="13"/>
  <c r="PCI84" i="13"/>
  <c r="PCH84" i="13"/>
  <c r="PCG84" i="13"/>
  <c r="PCF84" i="13"/>
  <c r="PCB84" i="13"/>
  <c r="PCA84" i="13"/>
  <c r="PBZ84" i="13"/>
  <c r="PBY84" i="13"/>
  <c r="PBX84" i="13"/>
  <c r="PBW84" i="13"/>
  <c r="PBV84" i="13"/>
  <c r="PBU84" i="13"/>
  <c r="PBT84" i="13"/>
  <c r="PBS84" i="13"/>
  <c r="PBR84" i="13"/>
  <c r="PBQ84" i="13"/>
  <c r="PBP84" i="13"/>
  <c r="PBL84" i="13"/>
  <c r="PBK84" i="13"/>
  <c r="PBJ84" i="13"/>
  <c r="PBI84" i="13"/>
  <c r="PBH84" i="13"/>
  <c r="PBG84" i="13"/>
  <c r="PBF84" i="13"/>
  <c r="PBE84" i="13"/>
  <c r="PBD84" i="13"/>
  <c r="PBC84" i="13"/>
  <c r="PBB84" i="13"/>
  <c r="PBA84" i="13"/>
  <c r="PAZ84" i="13"/>
  <c r="PAV84" i="13"/>
  <c r="PAU84" i="13"/>
  <c r="PAT84" i="13"/>
  <c r="PAS84" i="13"/>
  <c r="PAR84" i="13"/>
  <c r="PAQ84" i="13"/>
  <c r="PAP84" i="13"/>
  <c r="PAO84" i="13"/>
  <c r="PAN84" i="13"/>
  <c r="PAM84" i="13"/>
  <c r="PAL84" i="13"/>
  <c r="PAK84" i="13"/>
  <c r="PAJ84" i="13"/>
  <c r="PAF84" i="13"/>
  <c r="PAE84" i="13"/>
  <c r="PAD84" i="13"/>
  <c r="PAC84" i="13"/>
  <c r="PAB84" i="13"/>
  <c r="PAA84" i="13"/>
  <c r="OZZ84" i="13"/>
  <c r="OZY84" i="13"/>
  <c r="OZX84" i="13"/>
  <c r="OZW84" i="13"/>
  <c r="OZV84" i="13"/>
  <c r="OZU84" i="13"/>
  <c r="OZT84" i="13"/>
  <c r="OZP84" i="13"/>
  <c r="OZO84" i="13"/>
  <c r="OZN84" i="13"/>
  <c r="OZM84" i="13"/>
  <c r="OZL84" i="13"/>
  <c r="OZK84" i="13"/>
  <c r="OZJ84" i="13"/>
  <c r="OZI84" i="13"/>
  <c r="OZH84" i="13"/>
  <c r="OZG84" i="13"/>
  <c r="OZF84" i="13"/>
  <c r="OZE84" i="13"/>
  <c r="OZD84" i="13"/>
  <c r="OYZ84" i="13"/>
  <c r="OYY84" i="13"/>
  <c r="OYX84" i="13"/>
  <c r="OYW84" i="13"/>
  <c r="OYV84" i="13"/>
  <c r="OYU84" i="13"/>
  <c r="OYT84" i="13"/>
  <c r="OYS84" i="13"/>
  <c r="OYR84" i="13"/>
  <c r="OYQ84" i="13"/>
  <c r="OYP84" i="13"/>
  <c r="OYO84" i="13"/>
  <c r="OYN84" i="13"/>
  <c r="OYJ84" i="13"/>
  <c r="OYI84" i="13"/>
  <c r="OYH84" i="13"/>
  <c r="OYG84" i="13"/>
  <c r="OYF84" i="13"/>
  <c r="OYE84" i="13"/>
  <c r="OYD84" i="13"/>
  <c r="OYC84" i="13"/>
  <c r="OYB84" i="13"/>
  <c r="OYA84" i="13"/>
  <c r="OXZ84" i="13"/>
  <c r="OXY84" i="13"/>
  <c r="OXX84" i="13"/>
  <c r="OXT84" i="13"/>
  <c r="OXS84" i="13"/>
  <c r="OXR84" i="13"/>
  <c r="OXQ84" i="13"/>
  <c r="OXP84" i="13"/>
  <c r="OXO84" i="13"/>
  <c r="OXN84" i="13"/>
  <c r="OXM84" i="13"/>
  <c r="OXL84" i="13"/>
  <c r="OXK84" i="13"/>
  <c r="OXJ84" i="13"/>
  <c r="OXI84" i="13"/>
  <c r="OXH84" i="13"/>
  <c r="OXD84" i="13"/>
  <c r="OXC84" i="13"/>
  <c r="OXB84" i="13"/>
  <c r="OXA84" i="13"/>
  <c r="OWZ84" i="13"/>
  <c r="OWY84" i="13"/>
  <c r="OWX84" i="13"/>
  <c r="OWW84" i="13"/>
  <c r="OWV84" i="13"/>
  <c r="OWU84" i="13"/>
  <c r="OWT84" i="13"/>
  <c r="OWS84" i="13"/>
  <c r="OWR84" i="13"/>
  <c r="OWN84" i="13"/>
  <c r="OWM84" i="13"/>
  <c r="OWL84" i="13"/>
  <c r="OWK84" i="13"/>
  <c r="OWJ84" i="13"/>
  <c r="OWI84" i="13"/>
  <c r="OWH84" i="13"/>
  <c r="OWG84" i="13"/>
  <c r="OWF84" i="13"/>
  <c r="OWE84" i="13"/>
  <c r="OWD84" i="13"/>
  <c r="OWC84" i="13"/>
  <c r="OWB84" i="13"/>
  <c r="OVX84" i="13"/>
  <c r="OVW84" i="13"/>
  <c r="OVV84" i="13"/>
  <c r="OVU84" i="13"/>
  <c r="OVT84" i="13"/>
  <c r="OVS84" i="13"/>
  <c r="OVR84" i="13"/>
  <c r="OVQ84" i="13"/>
  <c r="OVP84" i="13"/>
  <c r="OVO84" i="13"/>
  <c r="OVN84" i="13"/>
  <c r="OVM84" i="13"/>
  <c r="OVL84" i="13"/>
  <c r="OVH84" i="13"/>
  <c r="OVG84" i="13"/>
  <c r="OVF84" i="13"/>
  <c r="OVE84" i="13"/>
  <c r="OVD84" i="13"/>
  <c r="OVC84" i="13"/>
  <c r="OVB84" i="13"/>
  <c r="OVA84" i="13"/>
  <c r="OUZ84" i="13"/>
  <c r="OUY84" i="13"/>
  <c r="OUX84" i="13"/>
  <c r="OUW84" i="13"/>
  <c r="OUV84" i="13"/>
  <c r="OUR84" i="13"/>
  <c r="OUQ84" i="13"/>
  <c r="OUP84" i="13"/>
  <c r="OUO84" i="13"/>
  <c r="OUN84" i="13"/>
  <c r="OUM84" i="13"/>
  <c r="OUL84" i="13"/>
  <c r="OUK84" i="13"/>
  <c r="OUJ84" i="13"/>
  <c r="OUI84" i="13"/>
  <c r="OUH84" i="13"/>
  <c r="OUG84" i="13"/>
  <c r="OUF84" i="13"/>
  <c r="OUB84" i="13"/>
  <c r="OUA84" i="13"/>
  <c r="OTZ84" i="13"/>
  <c r="OTY84" i="13"/>
  <c r="OTX84" i="13"/>
  <c r="OTW84" i="13"/>
  <c r="OTV84" i="13"/>
  <c r="OTU84" i="13"/>
  <c r="OTT84" i="13"/>
  <c r="OTS84" i="13"/>
  <c r="OTR84" i="13"/>
  <c r="OTQ84" i="13"/>
  <c r="OTP84" i="13"/>
  <c r="OTL84" i="13"/>
  <c r="OTK84" i="13"/>
  <c r="OTJ84" i="13"/>
  <c r="OTI84" i="13"/>
  <c r="OTH84" i="13"/>
  <c r="OTG84" i="13"/>
  <c r="OTF84" i="13"/>
  <c r="OTE84" i="13"/>
  <c r="OTD84" i="13"/>
  <c r="OTC84" i="13"/>
  <c r="OTB84" i="13"/>
  <c r="OTA84" i="13"/>
  <c r="OSZ84" i="13"/>
  <c r="OSV84" i="13"/>
  <c r="OSU84" i="13"/>
  <c r="OST84" i="13"/>
  <c r="OSS84" i="13"/>
  <c r="OSR84" i="13"/>
  <c r="OSQ84" i="13"/>
  <c r="OSP84" i="13"/>
  <c r="OSO84" i="13"/>
  <c r="OSN84" i="13"/>
  <c r="OSM84" i="13"/>
  <c r="OSL84" i="13"/>
  <c r="OSK84" i="13"/>
  <c r="OSJ84" i="13"/>
  <c r="OSF84" i="13"/>
  <c r="OSE84" i="13"/>
  <c r="OSD84" i="13"/>
  <c r="OSC84" i="13"/>
  <c r="OSB84" i="13"/>
  <c r="OSA84" i="13"/>
  <c r="ORZ84" i="13"/>
  <c r="ORY84" i="13"/>
  <c r="ORX84" i="13"/>
  <c r="ORW84" i="13"/>
  <c r="ORV84" i="13"/>
  <c r="ORU84" i="13"/>
  <c r="ORT84" i="13"/>
  <c r="ORP84" i="13"/>
  <c r="ORO84" i="13"/>
  <c r="ORN84" i="13"/>
  <c r="ORM84" i="13"/>
  <c r="ORL84" i="13"/>
  <c r="ORK84" i="13"/>
  <c r="ORJ84" i="13"/>
  <c r="ORI84" i="13"/>
  <c r="ORH84" i="13"/>
  <c r="ORG84" i="13"/>
  <c r="ORF84" i="13"/>
  <c r="ORE84" i="13"/>
  <c r="ORD84" i="13"/>
  <c r="OQZ84" i="13"/>
  <c r="OQY84" i="13"/>
  <c r="OQX84" i="13"/>
  <c r="OQW84" i="13"/>
  <c r="OQV84" i="13"/>
  <c r="OQU84" i="13"/>
  <c r="OQT84" i="13"/>
  <c r="OQS84" i="13"/>
  <c r="OQR84" i="13"/>
  <c r="OQQ84" i="13"/>
  <c r="OQP84" i="13"/>
  <c r="OQO84" i="13"/>
  <c r="OQN84" i="13"/>
  <c r="OQJ84" i="13"/>
  <c r="OQI84" i="13"/>
  <c r="OQH84" i="13"/>
  <c r="OQG84" i="13"/>
  <c r="OQF84" i="13"/>
  <c r="OQE84" i="13"/>
  <c r="OQD84" i="13"/>
  <c r="OQC84" i="13"/>
  <c r="OQB84" i="13"/>
  <c r="OQA84" i="13"/>
  <c r="OPZ84" i="13"/>
  <c r="OPY84" i="13"/>
  <c r="OPX84" i="13"/>
  <c r="OPT84" i="13"/>
  <c r="OPS84" i="13"/>
  <c r="OPR84" i="13"/>
  <c r="OPQ84" i="13"/>
  <c r="OPP84" i="13"/>
  <c r="OPO84" i="13"/>
  <c r="OPN84" i="13"/>
  <c r="OPM84" i="13"/>
  <c r="OPL84" i="13"/>
  <c r="OPK84" i="13"/>
  <c r="OPJ84" i="13"/>
  <c r="OPI84" i="13"/>
  <c r="OPH84" i="13"/>
  <c r="OPD84" i="13"/>
  <c r="OPC84" i="13"/>
  <c r="OPB84" i="13"/>
  <c r="OPA84" i="13"/>
  <c r="OOZ84" i="13"/>
  <c r="OOY84" i="13"/>
  <c r="OOX84" i="13"/>
  <c r="OOW84" i="13"/>
  <c r="OOV84" i="13"/>
  <c r="OOU84" i="13"/>
  <c r="OOT84" i="13"/>
  <c r="OOS84" i="13"/>
  <c r="OOR84" i="13"/>
  <c r="OON84" i="13"/>
  <c r="OOM84" i="13"/>
  <c r="OOL84" i="13"/>
  <c r="OOK84" i="13"/>
  <c r="OOJ84" i="13"/>
  <c r="OOI84" i="13"/>
  <c r="OOH84" i="13"/>
  <c r="OOG84" i="13"/>
  <c r="OOF84" i="13"/>
  <c r="OOE84" i="13"/>
  <c r="OOD84" i="13"/>
  <c r="OOC84" i="13"/>
  <c r="OOB84" i="13"/>
  <c r="ONX84" i="13"/>
  <c r="ONW84" i="13"/>
  <c r="ONV84" i="13"/>
  <c r="ONU84" i="13"/>
  <c r="ONT84" i="13"/>
  <c r="ONS84" i="13"/>
  <c r="ONR84" i="13"/>
  <c r="ONQ84" i="13"/>
  <c r="ONP84" i="13"/>
  <c r="ONO84" i="13"/>
  <c r="ONN84" i="13"/>
  <c r="ONM84" i="13"/>
  <c r="ONL84" i="13"/>
  <c r="ONH84" i="13"/>
  <c r="ONG84" i="13"/>
  <c r="ONF84" i="13"/>
  <c r="ONE84" i="13"/>
  <c r="OND84" i="13"/>
  <c r="ONC84" i="13"/>
  <c r="ONB84" i="13"/>
  <c r="ONA84" i="13"/>
  <c r="OMZ84" i="13"/>
  <c r="OMY84" i="13"/>
  <c r="OMX84" i="13"/>
  <c r="OMW84" i="13"/>
  <c r="OMV84" i="13"/>
  <c r="OMR84" i="13"/>
  <c r="OMQ84" i="13"/>
  <c r="OMP84" i="13"/>
  <c r="OMO84" i="13"/>
  <c r="OMN84" i="13"/>
  <c r="OMM84" i="13"/>
  <c r="OML84" i="13"/>
  <c r="OMK84" i="13"/>
  <c r="OMJ84" i="13"/>
  <c r="OMI84" i="13"/>
  <c r="OMH84" i="13"/>
  <c r="OMG84" i="13"/>
  <c r="OMF84" i="13"/>
  <c r="OMB84" i="13"/>
  <c r="OMA84" i="13"/>
  <c r="OLZ84" i="13"/>
  <c r="OLY84" i="13"/>
  <c r="OLX84" i="13"/>
  <c r="OLW84" i="13"/>
  <c r="OLV84" i="13"/>
  <c r="OLU84" i="13"/>
  <c r="OLT84" i="13"/>
  <c r="OLS84" i="13"/>
  <c r="OLR84" i="13"/>
  <c r="OLQ84" i="13"/>
  <c r="OLP84" i="13"/>
  <c r="OLL84" i="13"/>
  <c r="OLK84" i="13"/>
  <c r="OLJ84" i="13"/>
  <c r="OLI84" i="13"/>
  <c r="OLH84" i="13"/>
  <c r="OLG84" i="13"/>
  <c r="OLF84" i="13"/>
  <c r="OLE84" i="13"/>
  <c r="OLD84" i="13"/>
  <c r="OLC84" i="13"/>
  <c r="OLB84" i="13"/>
  <c r="OLA84" i="13"/>
  <c r="OKZ84" i="13"/>
  <c r="OKV84" i="13"/>
  <c r="OKU84" i="13"/>
  <c r="OKT84" i="13"/>
  <c r="OKS84" i="13"/>
  <c r="OKR84" i="13"/>
  <c r="OKQ84" i="13"/>
  <c r="OKP84" i="13"/>
  <c r="OKO84" i="13"/>
  <c r="OKN84" i="13"/>
  <c r="OKM84" i="13"/>
  <c r="OKL84" i="13"/>
  <c r="OKK84" i="13"/>
  <c r="OKJ84" i="13"/>
  <c r="OKF84" i="13"/>
  <c r="OKE84" i="13"/>
  <c r="OKD84" i="13"/>
  <c r="OKC84" i="13"/>
  <c r="OKB84" i="13"/>
  <c r="OKA84" i="13"/>
  <c r="OJZ84" i="13"/>
  <c r="OJY84" i="13"/>
  <c r="OJX84" i="13"/>
  <c r="OJW84" i="13"/>
  <c r="OJV84" i="13"/>
  <c r="OJU84" i="13"/>
  <c r="OJT84" i="13"/>
  <c r="OJP84" i="13"/>
  <c r="OJO84" i="13"/>
  <c r="OJN84" i="13"/>
  <c r="OJM84" i="13"/>
  <c r="OJL84" i="13"/>
  <c r="OJK84" i="13"/>
  <c r="OJJ84" i="13"/>
  <c r="OJI84" i="13"/>
  <c r="OJH84" i="13"/>
  <c r="OJG84" i="13"/>
  <c r="OJF84" i="13"/>
  <c r="OJE84" i="13"/>
  <c r="OJD84" i="13"/>
  <c r="OIZ84" i="13"/>
  <c r="OIY84" i="13"/>
  <c r="OIX84" i="13"/>
  <c r="OIW84" i="13"/>
  <c r="OIV84" i="13"/>
  <c r="OIU84" i="13"/>
  <c r="OIT84" i="13"/>
  <c r="OIS84" i="13"/>
  <c r="OIR84" i="13"/>
  <c r="OIQ84" i="13"/>
  <c r="OIP84" i="13"/>
  <c r="OIO84" i="13"/>
  <c r="OIN84" i="13"/>
  <c r="OIJ84" i="13"/>
  <c r="OII84" i="13"/>
  <c r="OIH84" i="13"/>
  <c r="OIG84" i="13"/>
  <c r="OIF84" i="13"/>
  <c r="OIE84" i="13"/>
  <c r="OID84" i="13"/>
  <c r="OIC84" i="13"/>
  <c r="OIB84" i="13"/>
  <c r="OIA84" i="13"/>
  <c r="OHZ84" i="13"/>
  <c r="OHY84" i="13"/>
  <c r="OHX84" i="13"/>
  <c r="OHT84" i="13"/>
  <c r="OHS84" i="13"/>
  <c r="OHR84" i="13"/>
  <c r="OHQ84" i="13"/>
  <c r="OHP84" i="13"/>
  <c r="OHO84" i="13"/>
  <c r="OHN84" i="13"/>
  <c r="OHM84" i="13"/>
  <c r="OHL84" i="13"/>
  <c r="OHK84" i="13"/>
  <c r="OHJ84" i="13"/>
  <c r="OHI84" i="13"/>
  <c r="OHH84" i="13"/>
  <c r="OHD84" i="13"/>
  <c r="OHC84" i="13"/>
  <c r="OHB84" i="13"/>
  <c r="OHA84" i="13"/>
  <c r="OGZ84" i="13"/>
  <c r="OGY84" i="13"/>
  <c r="OGX84" i="13"/>
  <c r="OGW84" i="13"/>
  <c r="OGV84" i="13"/>
  <c r="OGU84" i="13"/>
  <c r="OGT84" i="13"/>
  <c r="OGS84" i="13"/>
  <c r="OGR84" i="13"/>
  <c r="OGN84" i="13"/>
  <c r="OGM84" i="13"/>
  <c r="OGL84" i="13"/>
  <c r="OGK84" i="13"/>
  <c r="OGJ84" i="13"/>
  <c r="OGI84" i="13"/>
  <c r="OGH84" i="13"/>
  <c r="OGG84" i="13"/>
  <c r="OGF84" i="13"/>
  <c r="OGE84" i="13"/>
  <c r="OGD84" i="13"/>
  <c r="OGC84" i="13"/>
  <c r="OGB84" i="13"/>
  <c r="OFX84" i="13"/>
  <c r="OFW84" i="13"/>
  <c r="OFV84" i="13"/>
  <c r="OFU84" i="13"/>
  <c r="OFT84" i="13"/>
  <c r="OFS84" i="13"/>
  <c r="OFR84" i="13"/>
  <c r="OFQ84" i="13"/>
  <c r="OFP84" i="13"/>
  <c r="OFO84" i="13"/>
  <c r="OFN84" i="13"/>
  <c r="OFM84" i="13"/>
  <c r="OFL84" i="13"/>
  <c r="OFH84" i="13"/>
  <c r="OFG84" i="13"/>
  <c r="OFF84" i="13"/>
  <c r="OFE84" i="13"/>
  <c r="OFD84" i="13"/>
  <c r="OFC84" i="13"/>
  <c r="OFB84" i="13"/>
  <c r="OFA84" i="13"/>
  <c r="OEZ84" i="13"/>
  <c r="OEY84" i="13"/>
  <c r="OEX84" i="13"/>
  <c r="OEW84" i="13"/>
  <c r="OEV84" i="13"/>
  <c r="OER84" i="13"/>
  <c r="OEQ84" i="13"/>
  <c r="OEP84" i="13"/>
  <c r="OEO84" i="13"/>
  <c r="OEN84" i="13"/>
  <c r="OEM84" i="13"/>
  <c r="OEL84" i="13"/>
  <c r="OEK84" i="13"/>
  <c r="OEJ84" i="13"/>
  <c r="OEI84" i="13"/>
  <c r="OEH84" i="13"/>
  <c r="OEG84" i="13"/>
  <c r="OEF84" i="13"/>
  <c r="OEB84" i="13"/>
  <c r="OEA84" i="13"/>
  <c r="ODZ84" i="13"/>
  <c r="ODY84" i="13"/>
  <c r="ODX84" i="13"/>
  <c r="ODW84" i="13"/>
  <c r="ODV84" i="13"/>
  <c r="ODU84" i="13"/>
  <c r="ODT84" i="13"/>
  <c r="ODS84" i="13"/>
  <c r="ODR84" i="13"/>
  <c r="ODQ84" i="13"/>
  <c r="ODP84" i="13"/>
  <c r="ODL84" i="13"/>
  <c r="ODK84" i="13"/>
  <c r="ODJ84" i="13"/>
  <c r="ODI84" i="13"/>
  <c r="ODH84" i="13"/>
  <c r="ODG84" i="13"/>
  <c r="ODF84" i="13"/>
  <c r="ODE84" i="13"/>
  <c r="ODD84" i="13"/>
  <c r="ODC84" i="13"/>
  <c r="ODB84" i="13"/>
  <c r="ODA84" i="13"/>
  <c r="OCZ84" i="13"/>
  <c r="OCV84" i="13"/>
  <c r="OCU84" i="13"/>
  <c r="OCT84" i="13"/>
  <c r="OCS84" i="13"/>
  <c r="OCR84" i="13"/>
  <c r="OCQ84" i="13"/>
  <c r="OCP84" i="13"/>
  <c r="OCO84" i="13"/>
  <c r="OCN84" i="13"/>
  <c r="OCM84" i="13"/>
  <c r="OCL84" i="13"/>
  <c r="OCK84" i="13"/>
  <c r="OCJ84" i="13"/>
  <c r="OCF84" i="13"/>
  <c r="OCE84" i="13"/>
  <c r="OCD84" i="13"/>
  <c r="OCC84" i="13"/>
  <c r="OCB84" i="13"/>
  <c r="OCA84" i="13"/>
  <c r="OBZ84" i="13"/>
  <c r="OBY84" i="13"/>
  <c r="OBX84" i="13"/>
  <c r="OBW84" i="13"/>
  <c r="OBV84" i="13"/>
  <c r="OBU84" i="13"/>
  <c r="OBT84" i="13"/>
  <c r="OBP84" i="13"/>
  <c r="OBO84" i="13"/>
  <c r="OBN84" i="13"/>
  <c r="OBM84" i="13"/>
  <c r="OBL84" i="13"/>
  <c r="OBK84" i="13"/>
  <c r="OBJ84" i="13"/>
  <c r="OBI84" i="13"/>
  <c r="OBH84" i="13"/>
  <c r="OBG84" i="13"/>
  <c r="OBF84" i="13"/>
  <c r="OBE84" i="13"/>
  <c r="OBD84" i="13"/>
  <c r="OAZ84" i="13"/>
  <c r="OAY84" i="13"/>
  <c r="OAX84" i="13"/>
  <c r="OAW84" i="13"/>
  <c r="OAV84" i="13"/>
  <c r="OAU84" i="13"/>
  <c r="OAT84" i="13"/>
  <c r="OAS84" i="13"/>
  <c r="OAR84" i="13"/>
  <c r="OAQ84" i="13"/>
  <c r="OAP84" i="13"/>
  <c r="OAO84" i="13"/>
  <c r="OAN84" i="13"/>
  <c r="OAJ84" i="13"/>
  <c r="OAI84" i="13"/>
  <c r="OAH84" i="13"/>
  <c r="OAG84" i="13"/>
  <c r="OAF84" i="13"/>
  <c r="OAE84" i="13"/>
  <c r="OAD84" i="13"/>
  <c r="OAC84" i="13"/>
  <c r="OAB84" i="13"/>
  <c r="OAA84" i="13"/>
  <c r="NZZ84" i="13"/>
  <c r="NZY84" i="13"/>
  <c r="NZX84" i="13"/>
  <c r="NZT84" i="13"/>
  <c r="NZS84" i="13"/>
  <c r="NZR84" i="13"/>
  <c r="NZQ84" i="13"/>
  <c r="NZP84" i="13"/>
  <c r="NZO84" i="13"/>
  <c r="NZN84" i="13"/>
  <c r="NZM84" i="13"/>
  <c r="NZL84" i="13"/>
  <c r="NZK84" i="13"/>
  <c r="NZJ84" i="13"/>
  <c r="NZI84" i="13"/>
  <c r="NZH84" i="13"/>
  <c r="NZD84" i="13"/>
  <c r="NZC84" i="13"/>
  <c r="NZB84" i="13"/>
  <c r="NZA84" i="13"/>
  <c r="NYZ84" i="13"/>
  <c r="NYY84" i="13"/>
  <c r="NYX84" i="13"/>
  <c r="NYW84" i="13"/>
  <c r="NYV84" i="13"/>
  <c r="NYU84" i="13"/>
  <c r="NYT84" i="13"/>
  <c r="NYS84" i="13"/>
  <c r="NYR84" i="13"/>
  <c r="NYN84" i="13"/>
  <c r="NYM84" i="13"/>
  <c r="NYL84" i="13"/>
  <c r="NYK84" i="13"/>
  <c r="NYJ84" i="13"/>
  <c r="NYI84" i="13"/>
  <c r="NYH84" i="13"/>
  <c r="NYG84" i="13"/>
  <c r="NYF84" i="13"/>
  <c r="NYE84" i="13"/>
  <c r="NYD84" i="13"/>
  <c r="NYC84" i="13"/>
  <c r="NYB84" i="13"/>
  <c r="NXX84" i="13"/>
  <c r="NXW84" i="13"/>
  <c r="NXV84" i="13"/>
  <c r="NXU84" i="13"/>
  <c r="NXT84" i="13"/>
  <c r="NXS84" i="13"/>
  <c r="NXR84" i="13"/>
  <c r="NXQ84" i="13"/>
  <c r="NXP84" i="13"/>
  <c r="NXO84" i="13"/>
  <c r="NXN84" i="13"/>
  <c r="NXM84" i="13"/>
  <c r="NXL84" i="13"/>
  <c r="NXH84" i="13"/>
  <c r="NXG84" i="13"/>
  <c r="NXF84" i="13"/>
  <c r="NXE84" i="13"/>
  <c r="NXD84" i="13"/>
  <c r="NXC84" i="13"/>
  <c r="NXB84" i="13"/>
  <c r="NXA84" i="13"/>
  <c r="NWZ84" i="13"/>
  <c r="NWY84" i="13"/>
  <c r="NWX84" i="13"/>
  <c r="NWW84" i="13"/>
  <c r="NWV84" i="13"/>
  <c r="NWR84" i="13"/>
  <c r="NWQ84" i="13"/>
  <c r="NWP84" i="13"/>
  <c r="NWO84" i="13"/>
  <c r="NWN84" i="13"/>
  <c r="NWM84" i="13"/>
  <c r="NWL84" i="13"/>
  <c r="NWK84" i="13"/>
  <c r="NWJ84" i="13"/>
  <c r="NWI84" i="13"/>
  <c r="NWH84" i="13"/>
  <c r="NWG84" i="13"/>
  <c r="NWF84" i="13"/>
  <c r="NWB84" i="13"/>
  <c r="NWA84" i="13"/>
  <c r="NVZ84" i="13"/>
  <c r="NVY84" i="13"/>
  <c r="NVX84" i="13"/>
  <c r="NVW84" i="13"/>
  <c r="NVV84" i="13"/>
  <c r="NVU84" i="13"/>
  <c r="NVT84" i="13"/>
  <c r="NVS84" i="13"/>
  <c r="NVR84" i="13"/>
  <c r="NVQ84" i="13"/>
  <c r="NVP84" i="13"/>
  <c r="NVL84" i="13"/>
  <c r="NVK84" i="13"/>
  <c r="NVJ84" i="13"/>
  <c r="NVI84" i="13"/>
  <c r="NVH84" i="13"/>
  <c r="NVG84" i="13"/>
  <c r="NVF84" i="13"/>
  <c r="NVE84" i="13"/>
  <c r="NVD84" i="13"/>
  <c r="NVC84" i="13"/>
  <c r="NVB84" i="13"/>
  <c r="NVA84" i="13"/>
  <c r="NUZ84" i="13"/>
  <c r="NUV84" i="13"/>
  <c r="NUU84" i="13"/>
  <c r="NUT84" i="13"/>
  <c r="NUS84" i="13"/>
  <c r="NUR84" i="13"/>
  <c r="NUQ84" i="13"/>
  <c r="NUP84" i="13"/>
  <c r="NUO84" i="13"/>
  <c r="NUN84" i="13"/>
  <c r="NUM84" i="13"/>
  <c r="NUL84" i="13"/>
  <c r="NUK84" i="13"/>
  <c r="NUJ84" i="13"/>
  <c r="NUF84" i="13"/>
  <c r="NUE84" i="13"/>
  <c r="NUD84" i="13"/>
  <c r="NUC84" i="13"/>
  <c r="NUB84" i="13"/>
  <c r="NUA84" i="13"/>
  <c r="NTZ84" i="13"/>
  <c r="NTY84" i="13"/>
  <c r="NTX84" i="13"/>
  <c r="NTW84" i="13"/>
  <c r="NTV84" i="13"/>
  <c r="NTU84" i="13"/>
  <c r="NTT84" i="13"/>
  <c r="NTP84" i="13"/>
  <c r="NTO84" i="13"/>
  <c r="NTN84" i="13"/>
  <c r="NTM84" i="13"/>
  <c r="NTL84" i="13"/>
  <c r="NTK84" i="13"/>
  <c r="NTJ84" i="13"/>
  <c r="NTI84" i="13"/>
  <c r="NTH84" i="13"/>
  <c r="NTG84" i="13"/>
  <c r="NTF84" i="13"/>
  <c r="NTE84" i="13"/>
  <c r="NTD84" i="13"/>
  <c r="NSZ84" i="13"/>
  <c r="NSY84" i="13"/>
  <c r="NSX84" i="13"/>
  <c r="NSW84" i="13"/>
  <c r="NSV84" i="13"/>
  <c r="NSU84" i="13"/>
  <c r="NST84" i="13"/>
  <c r="NSS84" i="13"/>
  <c r="NSR84" i="13"/>
  <c r="NSQ84" i="13"/>
  <c r="NSP84" i="13"/>
  <c r="NSO84" i="13"/>
  <c r="NSN84" i="13"/>
  <c r="NSJ84" i="13"/>
  <c r="NSI84" i="13"/>
  <c r="NSH84" i="13"/>
  <c r="NSG84" i="13"/>
  <c r="NSF84" i="13"/>
  <c r="NSE84" i="13"/>
  <c r="NSD84" i="13"/>
  <c r="NSC84" i="13"/>
  <c r="NSB84" i="13"/>
  <c r="NSA84" i="13"/>
  <c r="NRZ84" i="13"/>
  <c r="NRY84" i="13"/>
  <c r="NRX84" i="13"/>
  <c r="NRT84" i="13"/>
  <c r="NRS84" i="13"/>
  <c r="NRR84" i="13"/>
  <c r="NRQ84" i="13"/>
  <c r="NRP84" i="13"/>
  <c r="NRO84" i="13"/>
  <c r="NRN84" i="13"/>
  <c r="NRM84" i="13"/>
  <c r="NRL84" i="13"/>
  <c r="NRK84" i="13"/>
  <c r="NRJ84" i="13"/>
  <c r="NRI84" i="13"/>
  <c r="NRH84" i="13"/>
  <c r="NRD84" i="13"/>
  <c r="NRC84" i="13"/>
  <c r="NRB84" i="13"/>
  <c r="NRA84" i="13"/>
  <c r="NQZ84" i="13"/>
  <c r="NQY84" i="13"/>
  <c r="NQX84" i="13"/>
  <c r="NQW84" i="13"/>
  <c r="NQV84" i="13"/>
  <c r="NQU84" i="13"/>
  <c r="NQT84" i="13"/>
  <c r="NQS84" i="13"/>
  <c r="NQR84" i="13"/>
  <c r="NQN84" i="13"/>
  <c r="NQM84" i="13"/>
  <c r="NQL84" i="13"/>
  <c r="NQK84" i="13"/>
  <c r="NQJ84" i="13"/>
  <c r="NQI84" i="13"/>
  <c r="NQH84" i="13"/>
  <c r="NQG84" i="13"/>
  <c r="NQF84" i="13"/>
  <c r="NQE84" i="13"/>
  <c r="NQD84" i="13"/>
  <c r="NQC84" i="13"/>
  <c r="NQB84" i="13"/>
  <c r="NPX84" i="13"/>
  <c r="NPW84" i="13"/>
  <c r="NPV84" i="13"/>
  <c r="NPU84" i="13"/>
  <c r="NPT84" i="13"/>
  <c r="NPS84" i="13"/>
  <c r="NPR84" i="13"/>
  <c r="NPQ84" i="13"/>
  <c r="NPP84" i="13"/>
  <c r="NPO84" i="13"/>
  <c r="NPN84" i="13"/>
  <c r="NPM84" i="13"/>
  <c r="NPL84" i="13"/>
  <c r="NPH84" i="13"/>
  <c r="NPG84" i="13"/>
  <c r="NPF84" i="13"/>
  <c r="NPE84" i="13"/>
  <c r="NPD84" i="13"/>
  <c r="NPC84" i="13"/>
  <c r="NPB84" i="13"/>
  <c r="NPA84" i="13"/>
  <c r="NOZ84" i="13"/>
  <c r="NOY84" i="13"/>
  <c r="NOX84" i="13"/>
  <c r="NOW84" i="13"/>
  <c r="NOV84" i="13"/>
  <c r="NOR84" i="13"/>
  <c r="NOQ84" i="13"/>
  <c r="NOP84" i="13"/>
  <c r="NOO84" i="13"/>
  <c r="NON84" i="13"/>
  <c r="NOM84" i="13"/>
  <c r="NOL84" i="13"/>
  <c r="NOK84" i="13"/>
  <c r="NOJ84" i="13"/>
  <c r="NOI84" i="13"/>
  <c r="NOH84" i="13"/>
  <c r="NOG84" i="13"/>
  <c r="NOF84" i="13"/>
  <c r="NOB84" i="13"/>
  <c r="NOA84" i="13"/>
  <c r="NNZ84" i="13"/>
  <c r="NNY84" i="13"/>
  <c r="NNX84" i="13"/>
  <c r="NNW84" i="13"/>
  <c r="NNV84" i="13"/>
  <c r="NNU84" i="13"/>
  <c r="NNT84" i="13"/>
  <c r="NNS84" i="13"/>
  <c r="NNR84" i="13"/>
  <c r="NNQ84" i="13"/>
  <c r="NNP84" i="13"/>
  <c r="NNL84" i="13"/>
  <c r="NNK84" i="13"/>
  <c r="NNJ84" i="13"/>
  <c r="NNI84" i="13"/>
  <c r="NNH84" i="13"/>
  <c r="NNG84" i="13"/>
  <c r="NNF84" i="13"/>
  <c r="NNE84" i="13"/>
  <c r="NND84" i="13"/>
  <c r="NNC84" i="13"/>
  <c r="NNB84" i="13"/>
  <c r="NNA84" i="13"/>
  <c r="NMZ84" i="13"/>
  <c r="NMV84" i="13"/>
  <c r="NMU84" i="13"/>
  <c r="NMT84" i="13"/>
  <c r="NMS84" i="13"/>
  <c r="NMR84" i="13"/>
  <c r="NMQ84" i="13"/>
  <c r="NMP84" i="13"/>
  <c r="NMO84" i="13"/>
  <c r="NMN84" i="13"/>
  <c r="NMM84" i="13"/>
  <c r="NML84" i="13"/>
  <c r="NMK84" i="13"/>
  <c r="NMJ84" i="13"/>
  <c r="NMF84" i="13"/>
  <c r="NME84" i="13"/>
  <c r="NMD84" i="13"/>
  <c r="NMC84" i="13"/>
  <c r="NMB84" i="13"/>
  <c r="NMA84" i="13"/>
  <c r="NLZ84" i="13"/>
  <c r="NLY84" i="13"/>
  <c r="NLX84" i="13"/>
  <c r="NLW84" i="13"/>
  <c r="NLV84" i="13"/>
  <c r="NLU84" i="13"/>
  <c r="NLT84" i="13"/>
  <c r="NLP84" i="13"/>
  <c r="NLO84" i="13"/>
  <c r="NLN84" i="13"/>
  <c r="NLM84" i="13"/>
  <c r="NLL84" i="13"/>
  <c r="NLK84" i="13"/>
  <c r="NLJ84" i="13"/>
  <c r="NLI84" i="13"/>
  <c r="NLH84" i="13"/>
  <c r="NLG84" i="13"/>
  <c r="NLF84" i="13"/>
  <c r="NLE84" i="13"/>
  <c r="NLD84" i="13"/>
  <c r="NKZ84" i="13"/>
  <c r="NKY84" i="13"/>
  <c r="NKX84" i="13"/>
  <c r="NKW84" i="13"/>
  <c r="NKV84" i="13"/>
  <c r="NKU84" i="13"/>
  <c r="NKT84" i="13"/>
  <c r="NKS84" i="13"/>
  <c r="NKR84" i="13"/>
  <c r="NKQ84" i="13"/>
  <c r="NKP84" i="13"/>
  <c r="NKO84" i="13"/>
  <c r="NKN84" i="13"/>
  <c r="NKJ84" i="13"/>
  <c r="NKI84" i="13"/>
  <c r="NKH84" i="13"/>
  <c r="NKG84" i="13"/>
  <c r="NKF84" i="13"/>
  <c r="NKE84" i="13"/>
  <c r="NKD84" i="13"/>
  <c r="NKC84" i="13"/>
  <c r="NKB84" i="13"/>
  <c r="NKA84" i="13"/>
  <c r="NJZ84" i="13"/>
  <c r="NJY84" i="13"/>
  <c r="NJX84" i="13"/>
  <c r="NJT84" i="13"/>
  <c r="NJS84" i="13"/>
  <c r="NJR84" i="13"/>
  <c r="NJQ84" i="13"/>
  <c r="NJP84" i="13"/>
  <c r="NJO84" i="13"/>
  <c r="NJN84" i="13"/>
  <c r="NJM84" i="13"/>
  <c r="NJL84" i="13"/>
  <c r="NJK84" i="13"/>
  <c r="NJJ84" i="13"/>
  <c r="NJI84" i="13"/>
  <c r="NJH84" i="13"/>
  <c r="NJD84" i="13"/>
  <c r="NJC84" i="13"/>
  <c r="NJB84" i="13"/>
  <c r="NJA84" i="13"/>
  <c r="NIZ84" i="13"/>
  <c r="NIY84" i="13"/>
  <c r="NIX84" i="13"/>
  <c r="NIW84" i="13"/>
  <c r="NIV84" i="13"/>
  <c r="NIU84" i="13"/>
  <c r="NIT84" i="13"/>
  <c r="NIS84" i="13"/>
  <c r="NIR84" i="13"/>
  <c r="NIN84" i="13"/>
  <c r="NIM84" i="13"/>
  <c r="NIL84" i="13"/>
  <c r="NIK84" i="13"/>
  <c r="NIJ84" i="13"/>
  <c r="NII84" i="13"/>
  <c r="NIH84" i="13"/>
  <c r="NIG84" i="13"/>
  <c r="NIF84" i="13"/>
  <c r="NIE84" i="13"/>
  <c r="NID84" i="13"/>
  <c r="NIC84" i="13"/>
  <c r="NIB84" i="13"/>
  <c r="NHX84" i="13"/>
  <c r="NHW84" i="13"/>
  <c r="NHV84" i="13"/>
  <c r="NHU84" i="13"/>
  <c r="NHT84" i="13"/>
  <c r="NHS84" i="13"/>
  <c r="NHR84" i="13"/>
  <c r="NHQ84" i="13"/>
  <c r="NHP84" i="13"/>
  <c r="NHO84" i="13"/>
  <c r="NHN84" i="13"/>
  <c r="NHM84" i="13"/>
  <c r="NHL84" i="13"/>
  <c r="NHH84" i="13"/>
  <c r="NHG84" i="13"/>
  <c r="NHF84" i="13"/>
  <c r="NHE84" i="13"/>
  <c r="NHD84" i="13"/>
  <c r="NHC84" i="13"/>
  <c r="NHB84" i="13"/>
  <c r="NHA84" i="13"/>
  <c r="NGZ84" i="13"/>
  <c r="NGY84" i="13"/>
  <c r="NGX84" i="13"/>
  <c r="NGW84" i="13"/>
  <c r="NGV84" i="13"/>
  <c r="NGR84" i="13"/>
  <c r="NGQ84" i="13"/>
  <c r="NGP84" i="13"/>
  <c r="NGO84" i="13"/>
  <c r="NGN84" i="13"/>
  <c r="NGM84" i="13"/>
  <c r="NGL84" i="13"/>
  <c r="NGK84" i="13"/>
  <c r="NGJ84" i="13"/>
  <c r="NGI84" i="13"/>
  <c r="NGH84" i="13"/>
  <c r="NGG84" i="13"/>
  <c r="NGF84" i="13"/>
  <c r="NGB84" i="13"/>
  <c r="NGA84" i="13"/>
  <c r="NFZ84" i="13"/>
  <c r="NFY84" i="13"/>
  <c r="NFX84" i="13"/>
  <c r="NFW84" i="13"/>
  <c r="NFV84" i="13"/>
  <c r="NFU84" i="13"/>
  <c r="NFT84" i="13"/>
  <c r="NFS84" i="13"/>
  <c r="NFR84" i="13"/>
  <c r="NFQ84" i="13"/>
  <c r="NFP84" i="13"/>
  <c r="NFL84" i="13"/>
  <c r="NFK84" i="13"/>
  <c r="NFJ84" i="13"/>
  <c r="NFI84" i="13"/>
  <c r="NFH84" i="13"/>
  <c r="NFG84" i="13"/>
  <c r="NFF84" i="13"/>
  <c r="NFE84" i="13"/>
  <c r="NFD84" i="13"/>
  <c r="NFC84" i="13"/>
  <c r="NFB84" i="13"/>
  <c r="NFA84" i="13"/>
  <c r="NEZ84" i="13"/>
  <c r="NEV84" i="13"/>
  <c r="NEU84" i="13"/>
  <c r="NET84" i="13"/>
  <c r="NES84" i="13"/>
  <c r="NER84" i="13"/>
  <c r="NEQ84" i="13"/>
  <c r="NEP84" i="13"/>
  <c r="NEO84" i="13"/>
  <c r="NEN84" i="13"/>
  <c r="NEM84" i="13"/>
  <c r="NEL84" i="13"/>
  <c r="NEK84" i="13"/>
  <c r="NEJ84" i="13"/>
  <c r="NEF84" i="13"/>
  <c r="NEE84" i="13"/>
  <c r="NED84" i="13"/>
  <c r="NEC84" i="13"/>
  <c r="NEB84" i="13"/>
  <c r="NEA84" i="13"/>
  <c r="NDZ84" i="13"/>
  <c r="NDY84" i="13"/>
  <c r="NDX84" i="13"/>
  <c r="NDW84" i="13"/>
  <c r="NDV84" i="13"/>
  <c r="NDU84" i="13"/>
  <c r="NDT84" i="13"/>
  <c r="NDP84" i="13"/>
  <c r="NDO84" i="13"/>
  <c r="NDN84" i="13"/>
  <c r="NDM84" i="13"/>
  <c r="NDL84" i="13"/>
  <c r="NDK84" i="13"/>
  <c r="NDJ84" i="13"/>
  <c r="NDI84" i="13"/>
  <c r="NDH84" i="13"/>
  <c r="NDG84" i="13"/>
  <c r="NDF84" i="13"/>
  <c r="NDE84" i="13"/>
  <c r="NDD84" i="13"/>
  <c r="NCZ84" i="13"/>
  <c r="NCY84" i="13"/>
  <c r="NCX84" i="13"/>
  <c r="NCW84" i="13"/>
  <c r="NCV84" i="13"/>
  <c r="NCU84" i="13"/>
  <c r="NCT84" i="13"/>
  <c r="NCS84" i="13"/>
  <c r="NCR84" i="13"/>
  <c r="NCQ84" i="13"/>
  <c r="NCP84" i="13"/>
  <c r="NCO84" i="13"/>
  <c r="NCN84" i="13"/>
  <c r="NCJ84" i="13"/>
  <c r="NCI84" i="13"/>
  <c r="NCH84" i="13"/>
  <c r="NCG84" i="13"/>
  <c r="NCF84" i="13"/>
  <c r="NCE84" i="13"/>
  <c r="NCD84" i="13"/>
  <c r="NCC84" i="13"/>
  <c r="NCB84" i="13"/>
  <c r="NCA84" i="13"/>
  <c r="NBZ84" i="13"/>
  <c r="NBY84" i="13"/>
  <c r="NBX84" i="13"/>
  <c r="NBT84" i="13"/>
  <c r="NBS84" i="13"/>
  <c r="NBR84" i="13"/>
  <c r="NBQ84" i="13"/>
  <c r="NBP84" i="13"/>
  <c r="NBO84" i="13"/>
  <c r="NBN84" i="13"/>
  <c r="NBM84" i="13"/>
  <c r="NBL84" i="13"/>
  <c r="NBK84" i="13"/>
  <c r="NBJ84" i="13"/>
  <c r="NBI84" i="13"/>
  <c r="NBH84" i="13"/>
  <c r="NBD84" i="13"/>
  <c r="NBC84" i="13"/>
  <c r="NBB84" i="13"/>
  <c r="NBA84" i="13"/>
  <c r="NAZ84" i="13"/>
  <c r="NAY84" i="13"/>
  <c r="NAX84" i="13"/>
  <c r="NAW84" i="13"/>
  <c r="NAV84" i="13"/>
  <c r="NAU84" i="13"/>
  <c r="NAT84" i="13"/>
  <c r="NAS84" i="13"/>
  <c r="NAR84" i="13"/>
  <c r="NAN84" i="13"/>
  <c r="NAM84" i="13"/>
  <c r="NAL84" i="13"/>
  <c r="NAK84" i="13"/>
  <c r="NAJ84" i="13"/>
  <c r="NAI84" i="13"/>
  <c r="NAH84" i="13"/>
  <c r="NAG84" i="13"/>
  <c r="NAF84" i="13"/>
  <c r="NAE84" i="13"/>
  <c r="NAD84" i="13"/>
  <c r="NAC84" i="13"/>
  <c r="NAB84" i="13"/>
  <c r="MZX84" i="13"/>
  <c r="MZW84" i="13"/>
  <c r="MZV84" i="13"/>
  <c r="MZU84" i="13"/>
  <c r="MZT84" i="13"/>
  <c r="MZS84" i="13"/>
  <c r="MZR84" i="13"/>
  <c r="MZQ84" i="13"/>
  <c r="MZP84" i="13"/>
  <c r="MZO84" i="13"/>
  <c r="MZN84" i="13"/>
  <c r="MZM84" i="13"/>
  <c r="MZL84" i="13"/>
  <c r="MZH84" i="13"/>
  <c r="MZG84" i="13"/>
  <c r="MZF84" i="13"/>
  <c r="MZE84" i="13"/>
  <c r="MZD84" i="13"/>
  <c r="MZC84" i="13"/>
  <c r="MZB84" i="13"/>
  <c r="MZA84" i="13"/>
  <c r="MYZ84" i="13"/>
  <c r="MYY84" i="13"/>
  <c r="MYX84" i="13"/>
  <c r="MYW84" i="13"/>
  <c r="MYV84" i="13"/>
  <c r="MYR84" i="13"/>
  <c r="MYQ84" i="13"/>
  <c r="MYP84" i="13"/>
  <c r="MYO84" i="13"/>
  <c r="MYN84" i="13"/>
  <c r="MYM84" i="13"/>
  <c r="MYL84" i="13"/>
  <c r="MYK84" i="13"/>
  <c r="MYJ84" i="13"/>
  <c r="MYI84" i="13"/>
  <c r="MYH84" i="13"/>
  <c r="MYG84" i="13"/>
  <c r="MYF84" i="13"/>
  <c r="MYB84" i="13"/>
  <c r="MYA84" i="13"/>
  <c r="MXZ84" i="13"/>
  <c r="MXY84" i="13"/>
  <c r="MXX84" i="13"/>
  <c r="MXW84" i="13"/>
  <c r="MXV84" i="13"/>
  <c r="MXU84" i="13"/>
  <c r="MXT84" i="13"/>
  <c r="MXS84" i="13"/>
  <c r="MXR84" i="13"/>
  <c r="MXQ84" i="13"/>
  <c r="MXP84" i="13"/>
  <c r="MXL84" i="13"/>
  <c r="MXK84" i="13"/>
  <c r="MXJ84" i="13"/>
  <c r="MXI84" i="13"/>
  <c r="MXH84" i="13"/>
  <c r="MXG84" i="13"/>
  <c r="MXF84" i="13"/>
  <c r="MXE84" i="13"/>
  <c r="MXD84" i="13"/>
  <c r="MXC84" i="13"/>
  <c r="MXB84" i="13"/>
  <c r="MXA84" i="13"/>
  <c r="MWZ84" i="13"/>
  <c r="MWV84" i="13"/>
  <c r="MWU84" i="13"/>
  <c r="MWT84" i="13"/>
  <c r="MWS84" i="13"/>
  <c r="MWR84" i="13"/>
  <c r="MWQ84" i="13"/>
  <c r="MWP84" i="13"/>
  <c r="MWO84" i="13"/>
  <c r="MWN84" i="13"/>
  <c r="MWM84" i="13"/>
  <c r="MWL84" i="13"/>
  <c r="MWK84" i="13"/>
  <c r="MWJ84" i="13"/>
  <c r="MWF84" i="13"/>
  <c r="MWE84" i="13"/>
  <c r="MWD84" i="13"/>
  <c r="MWC84" i="13"/>
  <c r="MWB84" i="13"/>
  <c r="MWA84" i="13"/>
  <c r="MVZ84" i="13"/>
  <c r="MVY84" i="13"/>
  <c r="MVX84" i="13"/>
  <c r="MVW84" i="13"/>
  <c r="MVV84" i="13"/>
  <c r="MVU84" i="13"/>
  <c r="MVT84" i="13"/>
  <c r="MVP84" i="13"/>
  <c r="MVO84" i="13"/>
  <c r="MVN84" i="13"/>
  <c r="MVM84" i="13"/>
  <c r="MVL84" i="13"/>
  <c r="MVK84" i="13"/>
  <c r="MVJ84" i="13"/>
  <c r="MVI84" i="13"/>
  <c r="MVH84" i="13"/>
  <c r="MVG84" i="13"/>
  <c r="MVF84" i="13"/>
  <c r="MVE84" i="13"/>
  <c r="MVD84" i="13"/>
  <c r="MUZ84" i="13"/>
  <c r="MUY84" i="13"/>
  <c r="MUX84" i="13"/>
  <c r="MUW84" i="13"/>
  <c r="MUV84" i="13"/>
  <c r="MUU84" i="13"/>
  <c r="MUT84" i="13"/>
  <c r="MUS84" i="13"/>
  <c r="MUR84" i="13"/>
  <c r="MUQ84" i="13"/>
  <c r="MUP84" i="13"/>
  <c r="MUO84" i="13"/>
  <c r="MUN84" i="13"/>
  <c r="MUJ84" i="13"/>
  <c r="MUI84" i="13"/>
  <c r="MUH84" i="13"/>
  <c r="MUG84" i="13"/>
  <c r="MUF84" i="13"/>
  <c r="MUE84" i="13"/>
  <c r="MUD84" i="13"/>
  <c r="MUC84" i="13"/>
  <c r="MUB84" i="13"/>
  <c r="MUA84" i="13"/>
  <c r="MTZ84" i="13"/>
  <c r="MTY84" i="13"/>
  <c r="MTX84" i="13"/>
  <c r="MTT84" i="13"/>
  <c r="MTS84" i="13"/>
  <c r="MTR84" i="13"/>
  <c r="MTQ84" i="13"/>
  <c r="MTP84" i="13"/>
  <c r="MTO84" i="13"/>
  <c r="MTN84" i="13"/>
  <c r="MTM84" i="13"/>
  <c r="MTL84" i="13"/>
  <c r="MTK84" i="13"/>
  <c r="MTJ84" i="13"/>
  <c r="MTI84" i="13"/>
  <c r="MTH84" i="13"/>
  <c r="MTD84" i="13"/>
  <c r="MTC84" i="13"/>
  <c r="MTB84" i="13"/>
  <c r="MTA84" i="13"/>
  <c r="MSZ84" i="13"/>
  <c r="MSY84" i="13"/>
  <c r="MSX84" i="13"/>
  <c r="MSW84" i="13"/>
  <c r="MSV84" i="13"/>
  <c r="MSU84" i="13"/>
  <c r="MST84" i="13"/>
  <c r="MSS84" i="13"/>
  <c r="MSR84" i="13"/>
  <c r="MSN84" i="13"/>
  <c r="MSM84" i="13"/>
  <c r="MSL84" i="13"/>
  <c r="MSK84" i="13"/>
  <c r="MSJ84" i="13"/>
  <c r="MSI84" i="13"/>
  <c r="MSH84" i="13"/>
  <c r="MSG84" i="13"/>
  <c r="MSF84" i="13"/>
  <c r="MSE84" i="13"/>
  <c r="MSD84" i="13"/>
  <c r="MSC84" i="13"/>
  <c r="MSB84" i="13"/>
  <c r="MRX84" i="13"/>
  <c r="MRW84" i="13"/>
  <c r="MRV84" i="13"/>
  <c r="MRU84" i="13"/>
  <c r="MRT84" i="13"/>
  <c r="MRS84" i="13"/>
  <c r="MRR84" i="13"/>
  <c r="MRQ84" i="13"/>
  <c r="MRP84" i="13"/>
  <c r="MRO84" i="13"/>
  <c r="MRN84" i="13"/>
  <c r="MRM84" i="13"/>
  <c r="MRL84" i="13"/>
  <c r="MRH84" i="13"/>
  <c r="MRG84" i="13"/>
  <c r="MRF84" i="13"/>
  <c r="MRE84" i="13"/>
  <c r="MRD84" i="13"/>
  <c r="MRC84" i="13"/>
  <c r="MRB84" i="13"/>
  <c r="MRA84" i="13"/>
  <c r="MQZ84" i="13"/>
  <c r="MQY84" i="13"/>
  <c r="MQX84" i="13"/>
  <c r="MQW84" i="13"/>
  <c r="MQV84" i="13"/>
  <c r="MQR84" i="13"/>
  <c r="MQQ84" i="13"/>
  <c r="MQP84" i="13"/>
  <c r="MQO84" i="13"/>
  <c r="MQN84" i="13"/>
  <c r="MQM84" i="13"/>
  <c r="MQL84" i="13"/>
  <c r="MQK84" i="13"/>
  <c r="MQJ84" i="13"/>
  <c r="MQI84" i="13"/>
  <c r="MQH84" i="13"/>
  <c r="MQG84" i="13"/>
  <c r="MQF84" i="13"/>
  <c r="MQB84" i="13"/>
  <c r="MQA84" i="13"/>
  <c r="MPZ84" i="13"/>
  <c r="MPY84" i="13"/>
  <c r="MPX84" i="13"/>
  <c r="MPW84" i="13"/>
  <c r="MPV84" i="13"/>
  <c r="MPU84" i="13"/>
  <c r="MPT84" i="13"/>
  <c r="MPS84" i="13"/>
  <c r="MPR84" i="13"/>
  <c r="MPQ84" i="13"/>
  <c r="MPP84" i="13"/>
  <c r="MPL84" i="13"/>
  <c r="MPK84" i="13"/>
  <c r="MPJ84" i="13"/>
  <c r="MPI84" i="13"/>
  <c r="MPH84" i="13"/>
  <c r="MPG84" i="13"/>
  <c r="MPF84" i="13"/>
  <c r="MPE84" i="13"/>
  <c r="MPD84" i="13"/>
  <c r="MPC84" i="13"/>
  <c r="MPB84" i="13"/>
  <c r="MPA84" i="13"/>
  <c r="MOZ84" i="13"/>
  <c r="MOV84" i="13"/>
  <c r="MOU84" i="13"/>
  <c r="MOT84" i="13"/>
  <c r="MOS84" i="13"/>
  <c r="MOR84" i="13"/>
  <c r="MOQ84" i="13"/>
  <c r="MOP84" i="13"/>
  <c r="MOO84" i="13"/>
  <c r="MON84" i="13"/>
  <c r="MOM84" i="13"/>
  <c r="MOL84" i="13"/>
  <c r="MOK84" i="13"/>
  <c r="MOJ84" i="13"/>
  <c r="MOF84" i="13"/>
  <c r="MOE84" i="13"/>
  <c r="MOD84" i="13"/>
  <c r="MOC84" i="13"/>
  <c r="MOB84" i="13"/>
  <c r="MOA84" i="13"/>
  <c r="MNZ84" i="13"/>
  <c r="MNY84" i="13"/>
  <c r="MNX84" i="13"/>
  <c r="MNW84" i="13"/>
  <c r="MNV84" i="13"/>
  <c r="MNU84" i="13"/>
  <c r="MNT84" i="13"/>
  <c r="MNP84" i="13"/>
  <c r="MNO84" i="13"/>
  <c r="MNN84" i="13"/>
  <c r="MNM84" i="13"/>
  <c r="MNL84" i="13"/>
  <c r="MNK84" i="13"/>
  <c r="MNJ84" i="13"/>
  <c r="MNI84" i="13"/>
  <c r="MNH84" i="13"/>
  <c r="MNG84" i="13"/>
  <c r="MNF84" i="13"/>
  <c r="MNE84" i="13"/>
  <c r="MND84" i="13"/>
  <c r="MMZ84" i="13"/>
  <c r="MMY84" i="13"/>
  <c r="MMX84" i="13"/>
  <c r="MMW84" i="13"/>
  <c r="MMV84" i="13"/>
  <c r="MMU84" i="13"/>
  <c r="MMT84" i="13"/>
  <c r="MMS84" i="13"/>
  <c r="MMR84" i="13"/>
  <c r="MMQ84" i="13"/>
  <c r="MMP84" i="13"/>
  <c r="MMO84" i="13"/>
  <c r="MMN84" i="13"/>
  <c r="MMJ84" i="13"/>
  <c r="MMI84" i="13"/>
  <c r="MMH84" i="13"/>
  <c r="MMG84" i="13"/>
  <c r="MMF84" i="13"/>
  <c r="MME84" i="13"/>
  <c r="MMD84" i="13"/>
  <c r="MMC84" i="13"/>
  <c r="MMB84" i="13"/>
  <c r="MMA84" i="13"/>
  <c r="MLZ84" i="13"/>
  <c r="MLY84" i="13"/>
  <c r="MLX84" i="13"/>
  <c r="MLT84" i="13"/>
  <c r="MLS84" i="13"/>
  <c r="MLR84" i="13"/>
  <c r="MLQ84" i="13"/>
  <c r="MLP84" i="13"/>
  <c r="MLO84" i="13"/>
  <c r="MLN84" i="13"/>
  <c r="MLM84" i="13"/>
  <c r="MLL84" i="13"/>
  <c r="MLK84" i="13"/>
  <c r="MLJ84" i="13"/>
  <c r="MLI84" i="13"/>
  <c r="MLH84" i="13"/>
  <c r="MLD84" i="13"/>
  <c r="MLC84" i="13"/>
  <c r="MLB84" i="13"/>
  <c r="MLA84" i="13"/>
  <c r="MKZ84" i="13"/>
  <c r="MKY84" i="13"/>
  <c r="MKX84" i="13"/>
  <c r="MKW84" i="13"/>
  <c r="MKV84" i="13"/>
  <c r="MKU84" i="13"/>
  <c r="MKT84" i="13"/>
  <c r="MKS84" i="13"/>
  <c r="MKR84" i="13"/>
  <c r="MKN84" i="13"/>
  <c r="MKM84" i="13"/>
  <c r="MKL84" i="13"/>
  <c r="MKK84" i="13"/>
  <c r="MKJ84" i="13"/>
  <c r="MKI84" i="13"/>
  <c r="MKH84" i="13"/>
  <c r="MKG84" i="13"/>
  <c r="MKF84" i="13"/>
  <c r="MKE84" i="13"/>
  <c r="MKD84" i="13"/>
  <c r="MKC84" i="13"/>
  <c r="MKB84" i="13"/>
  <c r="MJX84" i="13"/>
  <c r="MJW84" i="13"/>
  <c r="MJV84" i="13"/>
  <c r="MJU84" i="13"/>
  <c r="MJT84" i="13"/>
  <c r="MJS84" i="13"/>
  <c r="MJR84" i="13"/>
  <c r="MJQ84" i="13"/>
  <c r="MJP84" i="13"/>
  <c r="MJO84" i="13"/>
  <c r="MJN84" i="13"/>
  <c r="MJM84" i="13"/>
  <c r="MJL84" i="13"/>
  <c r="MJH84" i="13"/>
  <c r="MJG84" i="13"/>
  <c r="MJF84" i="13"/>
  <c r="MJE84" i="13"/>
  <c r="MJD84" i="13"/>
  <c r="MJC84" i="13"/>
  <c r="MJB84" i="13"/>
  <c r="MJA84" i="13"/>
  <c r="MIZ84" i="13"/>
  <c r="MIY84" i="13"/>
  <c r="MIX84" i="13"/>
  <c r="MIW84" i="13"/>
  <c r="MIV84" i="13"/>
  <c r="MIR84" i="13"/>
  <c r="MIQ84" i="13"/>
  <c r="MIP84" i="13"/>
  <c r="MIO84" i="13"/>
  <c r="MIN84" i="13"/>
  <c r="MIM84" i="13"/>
  <c r="MIL84" i="13"/>
  <c r="MIK84" i="13"/>
  <c r="MIJ84" i="13"/>
  <c r="MII84" i="13"/>
  <c r="MIH84" i="13"/>
  <c r="MIG84" i="13"/>
  <c r="MIF84" i="13"/>
  <c r="MIB84" i="13"/>
  <c r="MIA84" i="13"/>
  <c r="MHZ84" i="13"/>
  <c r="MHY84" i="13"/>
  <c r="MHX84" i="13"/>
  <c r="MHW84" i="13"/>
  <c r="MHV84" i="13"/>
  <c r="MHU84" i="13"/>
  <c r="MHT84" i="13"/>
  <c r="MHS84" i="13"/>
  <c r="MHR84" i="13"/>
  <c r="MHQ84" i="13"/>
  <c r="MHP84" i="13"/>
  <c r="MHL84" i="13"/>
  <c r="MHK84" i="13"/>
  <c r="MHJ84" i="13"/>
  <c r="MHI84" i="13"/>
  <c r="MHH84" i="13"/>
  <c r="MHG84" i="13"/>
  <c r="MHF84" i="13"/>
  <c r="MHE84" i="13"/>
  <c r="MHD84" i="13"/>
  <c r="MHC84" i="13"/>
  <c r="MHB84" i="13"/>
  <c r="MHA84" i="13"/>
  <c r="MGZ84" i="13"/>
  <c r="MGV84" i="13"/>
  <c r="MGU84" i="13"/>
  <c r="MGT84" i="13"/>
  <c r="MGS84" i="13"/>
  <c r="MGR84" i="13"/>
  <c r="MGQ84" i="13"/>
  <c r="MGP84" i="13"/>
  <c r="MGO84" i="13"/>
  <c r="MGN84" i="13"/>
  <c r="MGM84" i="13"/>
  <c r="MGL84" i="13"/>
  <c r="MGK84" i="13"/>
  <c r="MGJ84" i="13"/>
  <c r="MGF84" i="13"/>
  <c r="MGE84" i="13"/>
  <c r="MGD84" i="13"/>
  <c r="MGC84" i="13"/>
  <c r="MGB84" i="13"/>
  <c r="MGA84" i="13"/>
  <c r="MFZ84" i="13"/>
  <c r="MFY84" i="13"/>
  <c r="MFX84" i="13"/>
  <c r="MFW84" i="13"/>
  <c r="MFV84" i="13"/>
  <c r="MFU84" i="13"/>
  <c r="MFT84" i="13"/>
  <c r="MFP84" i="13"/>
  <c r="MFO84" i="13"/>
  <c r="MFN84" i="13"/>
  <c r="MFM84" i="13"/>
  <c r="MFL84" i="13"/>
  <c r="MFK84" i="13"/>
  <c r="MFJ84" i="13"/>
  <c r="MFI84" i="13"/>
  <c r="MFH84" i="13"/>
  <c r="MFG84" i="13"/>
  <c r="MFF84" i="13"/>
  <c r="MFE84" i="13"/>
  <c r="MFD84" i="13"/>
  <c r="MEZ84" i="13"/>
  <c r="MEY84" i="13"/>
  <c r="MEX84" i="13"/>
  <c r="MEW84" i="13"/>
  <c r="MEV84" i="13"/>
  <c r="MEU84" i="13"/>
  <c r="MET84" i="13"/>
  <c r="MES84" i="13"/>
  <c r="MER84" i="13"/>
  <c r="MEQ84" i="13"/>
  <c r="MEP84" i="13"/>
  <c r="MEO84" i="13"/>
  <c r="MEN84" i="13"/>
  <c r="MEJ84" i="13"/>
  <c r="MEI84" i="13"/>
  <c r="MEH84" i="13"/>
  <c r="MEG84" i="13"/>
  <c r="MEF84" i="13"/>
  <c r="MEE84" i="13"/>
  <c r="MED84" i="13"/>
  <c r="MEC84" i="13"/>
  <c r="MEB84" i="13"/>
  <c r="MEA84" i="13"/>
  <c r="MDZ84" i="13"/>
  <c r="MDY84" i="13"/>
  <c r="MDX84" i="13"/>
  <c r="MDT84" i="13"/>
  <c r="MDS84" i="13"/>
  <c r="MDR84" i="13"/>
  <c r="MDQ84" i="13"/>
  <c r="MDP84" i="13"/>
  <c r="MDO84" i="13"/>
  <c r="MDN84" i="13"/>
  <c r="MDM84" i="13"/>
  <c r="MDL84" i="13"/>
  <c r="MDK84" i="13"/>
  <c r="MDJ84" i="13"/>
  <c r="MDI84" i="13"/>
  <c r="MDH84" i="13"/>
  <c r="MDD84" i="13"/>
  <c r="MDC84" i="13"/>
  <c r="MDB84" i="13"/>
  <c r="MDA84" i="13"/>
  <c r="MCZ84" i="13"/>
  <c r="MCY84" i="13"/>
  <c r="MCX84" i="13"/>
  <c r="MCW84" i="13"/>
  <c r="MCV84" i="13"/>
  <c r="MCU84" i="13"/>
  <c r="MCT84" i="13"/>
  <c r="MCS84" i="13"/>
  <c r="MCR84" i="13"/>
  <c r="MCN84" i="13"/>
  <c r="MCM84" i="13"/>
  <c r="MCL84" i="13"/>
  <c r="MCK84" i="13"/>
  <c r="MCJ84" i="13"/>
  <c r="MCI84" i="13"/>
  <c r="MCH84" i="13"/>
  <c r="MCG84" i="13"/>
  <c r="MCF84" i="13"/>
  <c r="MCE84" i="13"/>
  <c r="MCD84" i="13"/>
  <c r="MCC84" i="13"/>
  <c r="MCB84" i="13"/>
  <c r="MBX84" i="13"/>
  <c r="MBW84" i="13"/>
  <c r="MBV84" i="13"/>
  <c r="MBU84" i="13"/>
  <c r="MBT84" i="13"/>
  <c r="MBS84" i="13"/>
  <c r="MBR84" i="13"/>
  <c r="MBQ84" i="13"/>
  <c r="MBP84" i="13"/>
  <c r="MBO84" i="13"/>
  <c r="MBN84" i="13"/>
  <c r="MBM84" i="13"/>
  <c r="MBL84" i="13"/>
  <c r="MBH84" i="13"/>
  <c r="MBG84" i="13"/>
  <c r="MBF84" i="13"/>
  <c r="MBE84" i="13"/>
  <c r="MBD84" i="13"/>
  <c r="MBC84" i="13"/>
  <c r="MBB84" i="13"/>
  <c r="MBA84" i="13"/>
  <c r="MAZ84" i="13"/>
  <c r="MAY84" i="13"/>
  <c r="MAX84" i="13"/>
  <c r="MAW84" i="13"/>
  <c r="MAV84" i="13"/>
  <c r="MAR84" i="13"/>
  <c r="MAQ84" i="13"/>
  <c r="MAP84" i="13"/>
  <c r="MAO84" i="13"/>
  <c r="MAN84" i="13"/>
  <c r="MAM84" i="13"/>
  <c r="MAL84" i="13"/>
  <c r="MAK84" i="13"/>
  <c r="MAJ84" i="13"/>
  <c r="MAI84" i="13"/>
  <c r="MAH84" i="13"/>
  <c r="MAG84" i="13"/>
  <c r="MAF84" i="13"/>
  <c r="MAB84" i="13"/>
  <c r="MAA84" i="13"/>
  <c r="LZZ84" i="13"/>
  <c r="LZY84" i="13"/>
  <c r="LZX84" i="13"/>
  <c r="LZW84" i="13"/>
  <c r="LZV84" i="13"/>
  <c r="LZU84" i="13"/>
  <c r="LZT84" i="13"/>
  <c r="LZS84" i="13"/>
  <c r="LZR84" i="13"/>
  <c r="LZQ84" i="13"/>
  <c r="LZP84" i="13"/>
  <c r="LZL84" i="13"/>
  <c r="LZK84" i="13"/>
  <c r="LZJ84" i="13"/>
  <c r="LZI84" i="13"/>
  <c r="LZH84" i="13"/>
  <c r="LZG84" i="13"/>
  <c r="LZF84" i="13"/>
  <c r="LZE84" i="13"/>
  <c r="LZD84" i="13"/>
  <c r="LZC84" i="13"/>
  <c r="LZB84" i="13"/>
  <c r="LZA84" i="13"/>
  <c r="LYZ84" i="13"/>
  <c r="LYV84" i="13"/>
  <c r="LYU84" i="13"/>
  <c r="LYT84" i="13"/>
  <c r="LYS84" i="13"/>
  <c r="LYR84" i="13"/>
  <c r="LYQ84" i="13"/>
  <c r="LYP84" i="13"/>
  <c r="LYO84" i="13"/>
  <c r="LYN84" i="13"/>
  <c r="LYM84" i="13"/>
  <c r="LYL84" i="13"/>
  <c r="LYK84" i="13"/>
  <c r="LYJ84" i="13"/>
  <c r="LYF84" i="13"/>
  <c r="LYE84" i="13"/>
  <c r="LYD84" i="13"/>
  <c r="LYC84" i="13"/>
  <c r="LYB84" i="13"/>
  <c r="LYA84" i="13"/>
  <c r="LXZ84" i="13"/>
  <c r="LXY84" i="13"/>
  <c r="LXX84" i="13"/>
  <c r="LXW84" i="13"/>
  <c r="LXV84" i="13"/>
  <c r="LXU84" i="13"/>
  <c r="LXT84" i="13"/>
  <c r="LXP84" i="13"/>
  <c r="LXO84" i="13"/>
  <c r="LXN84" i="13"/>
  <c r="LXM84" i="13"/>
  <c r="LXL84" i="13"/>
  <c r="LXK84" i="13"/>
  <c r="LXJ84" i="13"/>
  <c r="LXI84" i="13"/>
  <c r="LXH84" i="13"/>
  <c r="LXG84" i="13"/>
  <c r="LXF84" i="13"/>
  <c r="LXE84" i="13"/>
  <c r="LXD84" i="13"/>
  <c r="LWZ84" i="13"/>
  <c r="LWY84" i="13"/>
  <c r="LWX84" i="13"/>
  <c r="LWW84" i="13"/>
  <c r="LWV84" i="13"/>
  <c r="LWU84" i="13"/>
  <c r="LWT84" i="13"/>
  <c r="LWS84" i="13"/>
  <c r="LWR84" i="13"/>
  <c r="LWQ84" i="13"/>
  <c r="LWP84" i="13"/>
  <c r="LWO84" i="13"/>
  <c r="LWN84" i="13"/>
  <c r="LWJ84" i="13"/>
  <c r="LWI84" i="13"/>
  <c r="LWH84" i="13"/>
  <c r="LWG84" i="13"/>
  <c r="LWF84" i="13"/>
  <c r="LWE84" i="13"/>
  <c r="LWD84" i="13"/>
  <c r="LWC84" i="13"/>
  <c r="LWB84" i="13"/>
  <c r="LWA84" i="13"/>
  <c r="LVZ84" i="13"/>
  <c r="LVY84" i="13"/>
  <c r="LVX84" i="13"/>
  <c r="LVT84" i="13"/>
  <c r="LVS84" i="13"/>
  <c r="LVR84" i="13"/>
  <c r="LVQ84" i="13"/>
  <c r="LVP84" i="13"/>
  <c r="LVO84" i="13"/>
  <c r="LVN84" i="13"/>
  <c r="LVM84" i="13"/>
  <c r="LVL84" i="13"/>
  <c r="LVK84" i="13"/>
  <c r="LVJ84" i="13"/>
  <c r="LVI84" i="13"/>
  <c r="LVH84" i="13"/>
  <c r="LVD84" i="13"/>
  <c r="LVC84" i="13"/>
  <c r="LVB84" i="13"/>
  <c r="LVA84" i="13"/>
  <c r="LUZ84" i="13"/>
  <c r="LUY84" i="13"/>
  <c r="LUX84" i="13"/>
  <c r="LUW84" i="13"/>
  <c r="LUV84" i="13"/>
  <c r="LUU84" i="13"/>
  <c r="LUT84" i="13"/>
  <c r="LUS84" i="13"/>
  <c r="LUR84" i="13"/>
  <c r="LUN84" i="13"/>
  <c r="LUM84" i="13"/>
  <c r="LUL84" i="13"/>
  <c r="LUK84" i="13"/>
  <c r="LUJ84" i="13"/>
  <c r="LUI84" i="13"/>
  <c r="LUH84" i="13"/>
  <c r="LUG84" i="13"/>
  <c r="LUF84" i="13"/>
  <c r="LUE84" i="13"/>
  <c r="LUD84" i="13"/>
  <c r="LUC84" i="13"/>
  <c r="LUB84" i="13"/>
  <c r="LTX84" i="13"/>
  <c r="LTW84" i="13"/>
  <c r="LTV84" i="13"/>
  <c r="LTU84" i="13"/>
  <c r="LTT84" i="13"/>
  <c r="LTS84" i="13"/>
  <c r="LTR84" i="13"/>
  <c r="LTQ84" i="13"/>
  <c r="LTP84" i="13"/>
  <c r="LTO84" i="13"/>
  <c r="LTN84" i="13"/>
  <c r="LTM84" i="13"/>
  <c r="LTL84" i="13"/>
  <c r="LTH84" i="13"/>
  <c r="LTG84" i="13"/>
  <c r="LTF84" i="13"/>
  <c r="LTE84" i="13"/>
  <c r="LTD84" i="13"/>
  <c r="LTC84" i="13"/>
  <c r="LTB84" i="13"/>
  <c r="LTA84" i="13"/>
  <c r="LSZ84" i="13"/>
  <c r="LSY84" i="13"/>
  <c r="LSX84" i="13"/>
  <c r="LSW84" i="13"/>
  <c r="LSV84" i="13"/>
  <c r="LSR84" i="13"/>
  <c r="LSQ84" i="13"/>
  <c r="LSP84" i="13"/>
  <c r="LSO84" i="13"/>
  <c r="LSN84" i="13"/>
  <c r="LSM84" i="13"/>
  <c r="LSL84" i="13"/>
  <c r="LSK84" i="13"/>
  <c r="LSJ84" i="13"/>
  <c r="LSI84" i="13"/>
  <c r="LSH84" i="13"/>
  <c r="LSG84" i="13"/>
  <c r="LSF84" i="13"/>
  <c r="LSB84" i="13"/>
  <c r="LSA84" i="13"/>
  <c r="LRZ84" i="13"/>
  <c r="LRY84" i="13"/>
  <c r="LRX84" i="13"/>
  <c r="LRW84" i="13"/>
  <c r="LRV84" i="13"/>
  <c r="LRU84" i="13"/>
  <c r="LRT84" i="13"/>
  <c r="LRS84" i="13"/>
  <c r="LRR84" i="13"/>
  <c r="LRQ84" i="13"/>
  <c r="LRP84" i="13"/>
  <c r="LRL84" i="13"/>
  <c r="LRK84" i="13"/>
  <c r="LRJ84" i="13"/>
  <c r="LRI84" i="13"/>
  <c r="LRH84" i="13"/>
  <c r="LRG84" i="13"/>
  <c r="LRF84" i="13"/>
  <c r="LRE84" i="13"/>
  <c r="LRD84" i="13"/>
  <c r="LRC84" i="13"/>
  <c r="LRB84" i="13"/>
  <c r="LRA84" i="13"/>
  <c r="LQZ84" i="13"/>
  <c r="LQV84" i="13"/>
  <c r="LQU84" i="13"/>
  <c r="LQT84" i="13"/>
  <c r="LQS84" i="13"/>
  <c r="LQR84" i="13"/>
  <c r="LQQ84" i="13"/>
  <c r="LQP84" i="13"/>
  <c r="LQO84" i="13"/>
  <c r="LQN84" i="13"/>
  <c r="LQM84" i="13"/>
  <c r="LQL84" i="13"/>
  <c r="LQK84" i="13"/>
  <c r="LQJ84" i="13"/>
  <c r="LQF84" i="13"/>
  <c r="LQE84" i="13"/>
  <c r="LQD84" i="13"/>
  <c r="LQC84" i="13"/>
  <c r="LQB84" i="13"/>
  <c r="LQA84" i="13"/>
  <c r="LPZ84" i="13"/>
  <c r="LPY84" i="13"/>
  <c r="LPX84" i="13"/>
  <c r="LPW84" i="13"/>
  <c r="LPV84" i="13"/>
  <c r="LPU84" i="13"/>
  <c r="LPT84" i="13"/>
  <c r="LPP84" i="13"/>
  <c r="LPO84" i="13"/>
  <c r="LPN84" i="13"/>
  <c r="LPM84" i="13"/>
  <c r="LPL84" i="13"/>
  <c r="LPK84" i="13"/>
  <c r="LPJ84" i="13"/>
  <c r="LPI84" i="13"/>
  <c r="LPH84" i="13"/>
  <c r="LPG84" i="13"/>
  <c r="LPF84" i="13"/>
  <c r="LPE84" i="13"/>
  <c r="LPD84" i="13"/>
  <c r="LOZ84" i="13"/>
  <c r="LOY84" i="13"/>
  <c r="LOX84" i="13"/>
  <c r="LOW84" i="13"/>
  <c r="LOV84" i="13"/>
  <c r="LOU84" i="13"/>
  <c r="LOT84" i="13"/>
  <c r="LOS84" i="13"/>
  <c r="LOR84" i="13"/>
  <c r="LOQ84" i="13"/>
  <c r="LOP84" i="13"/>
  <c r="LOO84" i="13"/>
  <c r="LON84" i="13"/>
  <c r="LOJ84" i="13"/>
  <c r="LOI84" i="13"/>
  <c r="LOH84" i="13"/>
  <c r="LOG84" i="13"/>
  <c r="LOF84" i="13"/>
  <c r="LOE84" i="13"/>
  <c r="LOD84" i="13"/>
  <c r="LOC84" i="13"/>
  <c r="LOB84" i="13"/>
  <c r="LOA84" i="13"/>
  <c r="LNZ84" i="13"/>
  <c r="LNY84" i="13"/>
  <c r="LNX84" i="13"/>
  <c r="LNT84" i="13"/>
  <c r="LNS84" i="13"/>
  <c r="LNR84" i="13"/>
  <c r="LNQ84" i="13"/>
  <c r="LNP84" i="13"/>
  <c r="LNO84" i="13"/>
  <c r="LNN84" i="13"/>
  <c r="LNM84" i="13"/>
  <c r="LNL84" i="13"/>
  <c r="LNK84" i="13"/>
  <c r="LNJ84" i="13"/>
  <c r="LNI84" i="13"/>
  <c r="LNH84" i="13"/>
  <c r="LND84" i="13"/>
  <c r="LNC84" i="13"/>
  <c r="LNB84" i="13"/>
  <c r="LNA84" i="13"/>
  <c r="LMZ84" i="13"/>
  <c r="LMY84" i="13"/>
  <c r="LMX84" i="13"/>
  <c r="LMW84" i="13"/>
  <c r="LMV84" i="13"/>
  <c r="LMU84" i="13"/>
  <c r="LMT84" i="13"/>
  <c r="LMS84" i="13"/>
  <c r="LMR84" i="13"/>
  <c r="LMN84" i="13"/>
  <c r="LMM84" i="13"/>
  <c r="LML84" i="13"/>
  <c r="LMK84" i="13"/>
  <c r="LMJ84" i="13"/>
  <c r="LMI84" i="13"/>
  <c r="LMH84" i="13"/>
  <c r="LMG84" i="13"/>
  <c r="LMF84" i="13"/>
  <c r="LME84" i="13"/>
  <c r="LMD84" i="13"/>
  <c r="LMC84" i="13"/>
  <c r="LMB84" i="13"/>
  <c r="LLX84" i="13"/>
  <c r="LLW84" i="13"/>
  <c r="LLV84" i="13"/>
  <c r="LLU84" i="13"/>
  <c r="LLT84" i="13"/>
  <c r="LLS84" i="13"/>
  <c r="LLR84" i="13"/>
  <c r="LLQ84" i="13"/>
  <c r="LLP84" i="13"/>
  <c r="LLO84" i="13"/>
  <c r="LLN84" i="13"/>
  <c r="LLM84" i="13"/>
  <c r="LLL84" i="13"/>
  <c r="LLH84" i="13"/>
  <c r="LLG84" i="13"/>
  <c r="LLF84" i="13"/>
  <c r="LLE84" i="13"/>
  <c r="LLD84" i="13"/>
  <c r="LLC84" i="13"/>
  <c r="LLB84" i="13"/>
  <c r="LLA84" i="13"/>
  <c r="LKZ84" i="13"/>
  <c r="LKY84" i="13"/>
  <c r="LKX84" i="13"/>
  <c r="LKW84" i="13"/>
  <c r="LKV84" i="13"/>
  <c r="LKR84" i="13"/>
  <c r="LKQ84" i="13"/>
  <c r="LKP84" i="13"/>
  <c r="LKO84" i="13"/>
  <c r="LKN84" i="13"/>
  <c r="LKM84" i="13"/>
  <c r="LKL84" i="13"/>
  <c r="LKK84" i="13"/>
  <c r="LKJ84" i="13"/>
  <c r="LKI84" i="13"/>
  <c r="LKH84" i="13"/>
  <c r="LKG84" i="13"/>
  <c r="LKF84" i="13"/>
  <c r="LKB84" i="13"/>
  <c r="LKA84" i="13"/>
  <c r="LJZ84" i="13"/>
  <c r="LJY84" i="13"/>
  <c r="LJX84" i="13"/>
  <c r="LJW84" i="13"/>
  <c r="LJV84" i="13"/>
  <c r="LJU84" i="13"/>
  <c r="LJT84" i="13"/>
  <c r="LJS84" i="13"/>
  <c r="LJR84" i="13"/>
  <c r="LJQ84" i="13"/>
  <c r="LJP84" i="13"/>
  <c r="LJL84" i="13"/>
  <c r="LJK84" i="13"/>
  <c r="LJJ84" i="13"/>
  <c r="LJI84" i="13"/>
  <c r="LJH84" i="13"/>
  <c r="LJG84" i="13"/>
  <c r="LJF84" i="13"/>
  <c r="LJE84" i="13"/>
  <c r="LJD84" i="13"/>
  <c r="LJC84" i="13"/>
  <c r="LJB84" i="13"/>
  <c r="LJA84" i="13"/>
  <c r="LIZ84" i="13"/>
  <c r="LIV84" i="13"/>
  <c r="LIU84" i="13"/>
  <c r="LIT84" i="13"/>
  <c r="LIS84" i="13"/>
  <c r="LIR84" i="13"/>
  <c r="LIQ84" i="13"/>
  <c r="LIP84" i="13"/>
  <c r="LIO84" i="13"/>
  <c r="LIN84" i="13"/>
  <c r="LIM84" i="13"/>
  <c r="LIL84" i="13"/>
  <c r="LIK84" i="13"/>
  <c r="LIJ84" i="13"/>
  <c r="LIF84" i="13"/>
  <c r="LIE84" i="13"/>
  <c r="LID84" i="13"/>
  <c r="LIC84" i="13"/>
  <c r="LIB84" i="13"/>
  <c r="LIA84" i="13"/>
  <c r="LHZ84" i="13"/>
  <c r="LHY84" i="13"/>
  <c r="LHX84" i="13"/>
  <c r="LHW84" i="13"/>
  <c r="LHV84" i="13"/>
  <c r="LHU84" i="13"/>
  <c r="LHT84" i="13"/>
  <c r="LHP84" i="13"/>
  <c r="LHO84" i="13"/>
  <c r="LHN84" i="13"/>
  <c r="LHM84" i="13"/>
  <c r="LHL84" i="13"/>
  <c r="LHK84" i="13"/>
  <c r="LHJ84" i="13"/>
  <c r="LHI84" i="13"/>
  <c r="LHH84" i="13"/>
  <c r="LHG84" i="13"/>
  <c r="LHF84" i="13"/>
  <c r="LHE84" i="13"/>
  <c r="LHD84" i="13"/>
  <c r="LGZ84" i="13"/>
  <c r="LGY84" i="13"/>
  <c r="LGX84" i="13"/>
  <c r="LGW84" i="13"/>
  <c r="LGV84" i="13"/>
  <c r="LGU84" i="13"/>
  <c r="LGT84" i="13"/>
  <c r="LGS84" i="13"/>
  <c r="LGR84" i="13"/>
  <c r="LGQ84" i="13"/>
  <c r="LGP84" i="13"/>
  <c r="LGO84" i="13"/>
  <c r="LGN84" i="13"/>
  <c r="LGJ84" i="13"/>
  <c r="LGI84" i="13"/>
  <c r="LGH84" i="13"/>
  <c r="LGG84" i="13"/>
  <c r="LGF84" i="13"/>
  <c r="LGE84" i="13"/>
  <c r="LGD84" i="13"/>
  <c r="LGC84" i="13"/>
  <c r="LGB84" i="13"/>
  <c r="LGA84" i="13"/>
  <c r="LFZ84" i="13"/>
  <c r="LFY84" i="13"/>
  <c r="LFX84" i="13"/>
  <c r="LFT84" i="13"/>
  <c r="LFS84" i="13"/>
  <c r="LFR84" i="13"/>
  <c r="LFQ84" i="13"/>
  <c r="LFP84" i="13"/>
  <c r="LFO84" i="13"/>
  <c r="LFN84" i="13"/>
  <c r="LFM84" i="13"/>
  <c r="LFL84" i="13"/>
  <c r="LFK84" i="13"/>
  <c r="LFJ84" i="13"/>
  <c r="LFI84" i="13"/>
  <c r="LFH84" i="13"/>
  <c r="LFD84" i="13"/>
  <c r="LFC84" i="13"/>
  <c r="LFB84" i="13"/>
  <c r="LFA84" i="13"/>
  <c r="LEZ84" i="13"/>
  <c r="LEY84" i="13"/>
  <c r="LEX84" i="13"/>
  <c r="LEW84" i="13"/>
  <c r="LEV84" i="13"/>
  <c r="LEU84" i="13"/>
  <c r="LET84" i="13"/>
  <c r="LES84" i="13"/>
  <c r="LER84" i="13"/>
  <c r="LEN84" i="13"/>
  <c r="LEM84" i="13"/>
  <c r="LEL84" i="13"/>
  <c r="LEK84" i="13"/>
  <c r="LEJ84" i="13"/>
  <c r="LEI84" i="13"/>
  <c r="LEH84" i="13"/>
  <c r="LEG84" i="13"/>
  <c r="LEF84" i="13"/>
  <c r="LEE84" i="13"/>
  <c r="LED84" i="13"/>
  <c r="LEC84" i="13"/>
  <c r="LEB84" i="13"/>
  <c r="LDX84" i="13"/>
  <c r="LDW84" i="13"/>
  <c r="LDV84" i="13"/>
  <c r="LDU84" i="13"/>
  <c r="LDT84" i="13"/>
  <c r="LDS84" i="13"/>
  <c r="LDR84" i="13"/>
  <c r="LDQ84" i="13"/>
  <c r="LDP84" i="13"/>
  <c r="LDO84" i="13"/>
  <c r="LDN84" i="13"/>
  <c r="LDM84" i="13"/>
  <c r="LDL84" i="13"/>
  <c r="LDH84" i="13"/>
  <c r="LDG84" i="13"/>
  <c r="LDF84" i="13"/>
  <c r="LDE84" i="13"/>
  <c r="LDD84" i="13"/>
  <c r="LDC84" i="13"/>
  <c r="LDB84" i="13"/>
  <c r="LDA84" i="13"/>
  <c r="LCZ84" i="13"/>
  <c r="LCY84" i="13"/>
  <c r="LCX84" i="13"/>
  <c r="LCW84" i="13"/>
  <c r="LCV84" i="13"/>
  <c r="LCR84" i="13"/>
  <c r="LCQ84" i="13"/>
  <c r="LCP84" i="13"/>
  <c r="LCO84" i="13"/>
  <c r="LCN84" i="13"/>
  <c r="LCM84" i="13"/>
  <c r="LCL84" i="13"/>
  <c r="LCK84" i="13"/>
  <c r="LCJ84" i="13"/>
  <c r="LCI84" i="13"/>
  <c r="LCH84" i="13"/>
  <c r="LCG84" i="13"/>
  <c r="LCF84" i="13"/>
  <c r="LCB84" i="13"/>
  <c r="LCA84" i="13"/>
  <c r="LBZ84" i="13"/>
  <c r="LBY84" i="13"/>
  <c r="LBX84" i="13"/>
  <c r="LBW84" i="13"/>
  <c r="LBV84" i="13"/>
  <c r="LBU84" i="13"/>
  <c r="LBT84" i="13"/>
  <c r="LBS84" i="13"/>
  <c r="LBR84" i="13"/>
  <c r="LBQ84" i="13"/>
  <c r="LBP84" i="13"/>
  <c r="LBL84" i="13"/>
  <c r="LBK84" i="13"/>
  <c r="LBJ84" i="13"/>
  <c r="LBI84" i="13"/>
  <c r="LBH84" i="13"/>
  <c r="LBG84" i="13"/>
  <c r="LBF84" i="13"/>
  <c r="LBE84" i="13"/>
  <c r="LBD84" i="13"/>
  <c r="LBC84" i="13"/>
  <c r="LBB84" i="13"/>
  <c r="LBA84" i="13"/>
  <c r="LAZ84" i="13"/>
  <c r="LAV84" i="13"/>
  <c r="LAU84" i="13"/>
  <c r="LAT84" i="13"/>
  <c r="LAS84" i="13"/>
  <c r="LAR84" i="13"/>
  <c r="LAQ84" i="13"/>
  <c r="LAP84" i="13"/>
  <c r="LAO84" i="13"/>
  <c r="LAN84" i="13"/>
  <c r="LAM84" i="13"/>
  <c r="LAL84" i="13"/>
  <c r="LAK84" i="13"/>
  <c r="LAJ84" i="13"/>
  <c r="LAF84" i="13"/>
  <c r="LAE84" i="13"/>
  <c r="LAD84" i="13"/>
  <c r="LAC84" i="13"/>
  <c r="LAB84" i="13"/>
  <c r="LAA84" i="13"/>
  <c r="KZZ84" i="13"/>
  <c r="KZY84" i="13"/>
  <c r="KZX84" i="13"/>
  <c r="KZW84" i="13"/>
  <c r="KZV84" i="13"/>
  <c r="KZU84" i="13"/>
  <c r="KZT84" i="13"/>
  <c r="KZP84" i="13"/>
  <c r="KZO84" i="13"/>
  <c r="KZN84" i="13"/>
  <c r="KZM84" i="13"/>
  <c r="KZL84" i="13"/>
  <c r="KZK84" i="13"/>
  <c r="KZJ84" i="13"/>
  <c r="KZI84" i="13"/>
  <c r="KZH84" i="13"/>
  <c r="KZG84" i="13"/>
  <c r="KZF84" i="13"/>
  <c r="KZE84" i="13"/>
  <c r="KZD84" i="13"/>
  <c r="KYZ84" i="13"/>
  <c r="KYY84" i="13"/>
  <c r="KYX84" i="13"/>
  <c r="KYW84" i="13"/>
  <c r="KYV84" i="13"/>
  <c r="KYU84" i="13"/>
  <c r="KYT84" i="13"/>
  <c r="KYS84" i="13"/>
  <c r="KYR84" i="13"/>
  <c r="KYQ84" i="13"/>
  <c r="KYP84" i="13"/>
  <c r="KYO84" i="13"/>
  <c r="KYN84" i="13"/>
  <c r="KYJ84" i="13"/>
  <c r="KYI84" i="13"/>
  <c r="KYH84" i="13"/>
  <c r="KYG84" i="13"/>
  <c r="KYF84" i="13"/>
  <c r="KYE84" i="13"/>
  <c r="KYD84" i="13"/>
  <c r="KYC84" i="13"/>
  <c r="KYB84" i="13"/>
  <c r="KYA84" i="13"/>
  <c r="KXZ84" i="13"/>
  <c r="KXY84" i="13"/>
  <c r="KXX84" i="13"/>
  <c r="KXT84" i="13"/>
  <c r="KXS84" i="13"/>
  <c r="KXR84" i="13"/>
  <c r="KXQ84" i="13"/>
  <c r="KXP84" i="13"/>
  <c r="KXO84" i="13"/>
  <c r="KXN84" i="13"/>
  <c r="KXM84" i="13"/>
  <c r="KXL84" i="13"/>
  <c r="KXK84" i="13"/>
  <c r="KXJ84" i="13"/>
  <c r="KXI84" i="13"/>
  <c r="KXH84" i="13"/>
  <c r="KXD84" i="13"/>
  <c r="KXC84" i="13"/>
  <c r="KXB84" i="13"/>
  <c r="KXA84" i="13"/>
  <c r="KWZ84" i="13"/>
  <c r="KWY84" i="13"/>
  <c r="KWX84" i="13"/>
  <c r="KWW84" i="13"/>
  <c r="KWV84" i="13"/>
  <c r="KWU84" i="13"/>
  <c r="KWT84" i="13"/>
  <c r="KWS84" i="13"/>
  <c r="KWR84" i="13"/>
  <c r="KWN84" i="13"/>
  <c r="KWM84" i="13"/>
  <c r="KWL84" i="13"/>
  <c r="KWK84" i="13"/>
  <c r="KWJ84" i="13"/>
  <c r="KWI84" i="13"/>
  <c r="KWH84" i="13"/>
  <c r="KWG84" i="13"/>
  <c r="KWF84" i="13"/>
  <c r="KWE84" i="13"/>
  <c r="KWD84" i="13"/>
  <c r="KWC84" i="13"/>
  <c r="KWB84" i="13"/>
  <c r="KVX84" i="13"/>
  <c r="KVW84" i="13"/>
  <c r="KVV84" i="13"/>
  <c r="KVU84" i="13"/>
  <c r="KVT84" i="13"/>
  <c r="KVS84" i="13"/>
  <c r="KVR84" i="13"/>
  <c r="KVQ84" i="13"/>
  <c r="KVP84" i="13"/>
  <c r="KVO84" i="13"/>
  <c r="KVN84" i="13"/>
  <c r="KVM84" i="13"/>
  <c r="KVL84" i="13"/>
  <c r="KVH84" i="13"/>
  <c r="KVG84" i="13"/>
  <c r="KVF84" i="13"/>
  <c r="KVE84" i="13"/>
  <c r="KVD84" i="13"/>
  <c r="KVC84" i="13"/>
  <c r="KVB84" i="13"/>
  <c r="KVA84" i="13"/>
  <c r="KUZ84" i="13"/>
  <c r="KUY84" i="13"/>
  <c r="KUX84" i="13"/>
  <c r="KUW84" i="13"/>
  <c r="KUV84" i="13"/>
  <c r="KUR84" i="13"/>
  <c r="KUQ84" i="13"/>
  <c r="KUP84" i="13"/>
  <c r="KUO84" i="13"/>
  <c r="KUN84" i="13"/>
  <c r="KUM84" i="13"/>
  <c r="KUL84" i="13"/>
  <c r="KUK84" i="13"/>
  <c r="KUJ84" i="13"/>
  <c r="KUI84" i="13"/>
  <c r="KUH84" i="13"/>
  <c r="KUG84" i="13"/>
  <c r="KUF84" i="13"/>
  <c r="KUB84" i="13"/>
  <c r="KUA84" i="13"/>
  <c r="KTZ84" i="13"/>
  <c r="KTY84" i="13"/>
  <c r="KTX84" i="13"/>
  <c r="KTW84" i="13"/>
  <c r="KTV84" i="13"/>
  <c r="KTU84" i="13"/>
  <c r="KTT84" i="13"/>
  <c r="KTS84" i="13"/>
  <c r="KTR84" i="13"/>
  <c r="KTQ84" i="13"/>
  <c r="KTP84" i="13"/>
  <c r="KTL84" i="13"/>
  <c r="KTK84" i="13"/>
  <c r="KTJ84" i="13"/>
  <c r="KTI84" i="13"/>
  <c r="KTH84" i="13"/>
  <c r="KTG84" i="13"/>
  <c r="KTF84" i="13"/>
  <c r="KTE84" i="13"/>
  <c r="KTD84" i="13"/>
  <c r="KTC84" i="13"/>
  <c r="KTB84" i="13"/>
  <c r="KTA84" i="13"/>
  <c r="KSZ84" i="13"/>
  <c r="KSV84" i="13"/>
  <c r="KSU84" i="13"/>
  <c r="KST84" i="13"/>
  <c r="KSS84" i="13"/>
  <c r="KSR84" i="13"/>
  <c r="KSQ84" i="13"/>
  <c r="KSP84" i="13"/>
  <c r="KSO84" i="13"/>
  <c r="KSN84" i="13"/>
  <c r="KSM84" i="13"/>
  <c r="KSL84" i="13"/>
  <c r="KSK84" i="13"/>
  <c r="KSJ84" i="13"/>
  <c r="KSF84" i="13"/>
  <c r="KSE84" i="13"/>
  <c r="KSD84" i="13"/>
  <c r="KSC84" i="13"/>
  <c r="KSB84" i="13"/>
  <c r="KSA84" i="13"/>
  <c r="KRZ84" i="13"/>
  <c r="KRY84" i="13"/>
  <c r="KRX84" i="13"/>
  <c r="KRW84" i="13"/>
  <c r="KRV84" i="13"/>
  <c r="KRU84" i="13"/>
  <c r="KRT84" i="13"/>
  <c r="KRP84" i="13"/>
  <c r="KRO84" i="13"/>
  <c r="KRN84" i="13"/>
  <c r="KRM84" i="13"/>
  <c r="KRL84" i="13"/>
  <c r="KRK84" i="13"/>
  <c r="KRJ84" i="13"/>
  <c r="KRI84" i="13"/>
  <c r="KRH84" i="13"/>
  <c r="KRG84" i="13"/>
  <c r="KRF84" i="13"/>
  <c r="KRE84" i="13"/>
  <c r="KRD84" i="13"/>
  <c r="KQZ84" i="13"/>
  <c r="KQY84" i="13"/>
  <c r="KQX84" i="13"/>
  <c r="KQW84" i="13"/>
  <c r="KQV84" i="13"/>
  <c r="KQU84" i="13"/>
  <c r="KQT84" i="13"/>
  <c r="KQS84" i="13"/>
  <c r="KQR84" i="13"/>
  <c r="KQQ84" i="13"/>
  <c r="KQP84" i="13"/>
  <c r="KQO84" i="13"/>
  <c r="KQN84" i="13"/>
  <c r="KQJ84" i="13"/>
  <c r="KQI84" i="13"/>
  <c r="KQH84" i="13"/>
  <c r="KQG84" i="13"/>
  <c r="KQF84" i="13"/>
  <c r="KQE84" i="13"/>
  <c r="KQD84" i="13"/>
  <c r="KQC84" i="13"/>
  <c r="KQB84" i="13"/>
  <c r="KQA84" i="13"/>
  <c r="KPZ84" i="13"/>
  <c r="KPY84" i="13"/>
  <c r="KPX84" i="13"/>
  <c r="KPT84" i="13"/>
  <c r="KPS84" i="13"/>
  <c r="KPR84" i="13"/>
  <c r="KPQ84" i="13"/>
  <c r="KPP84" i="13"/>
  <c r="KPO84" i="13"/>
  <c r="KPN84" i="13"/>
  <c r="KPM84" i="13"/>
  <c r="KPL84" i="13"/>
  <c r="KPK84" i="13"/>
  <c r="KPJ84" i="13"/>
  <c r="KPI84" i="13"/>
  <c r="KPH84" i="13"/>
  <c r="KPD84" i="13"/>
  <c r="KPC84" i="13"/>
  <c r="KPB84" i="13"/>
  <c r="KPA84" i="13"/>
  <c r="KOZ84" i="13"/>
  <c r="KOY84" i="13"/>
  <c r="KOX84" i="13"/>
  <c r="KOW84" i="13"/>
  <c r="KOV84" i="13"/>
  <c r="KOU84" i="13"/>
  <c r="KOT84" i="13"/>
  <c r="KOS84" i="13"/>
  <c r="KOR84" i="13"/>
  <c r="KON84" i="13"/>
  <c r="KOM84" i="13"/>
  <c r="KOL84" i="13"/>
  <c r="KOK84" i="13"/>
  <c r="KOJ84" i="13"/>
  <c r="KOI84" i="13"/>
  <c r="KOH84" i="13"/>
  <c r="KOG84" i="13"/>
  <c r="KOF84" i="13"/>
  <c r="KOE84" i="13"/>
  <c r="KOD84" i="13"/>
  <c r="KOC84" i="13"/>
  <c r="KOB84" i="13"/>
  <c r="KNX84" i="13"/>
  <c r="KNW84" i="13"/>
  <c r="KNV84" i="13"/>
  <c r="KNU84" i="13"/>
  <c r="KNT84" i="13"/>
  <c r="KNS84" i="13"/>
  <c r="KNR84" i="13"/>
  <c r="KNQ84" i="13"/>
  <c r="KNP84" i="13"/>
  <c r="KNO84" i="13"/>
  <c r="KNN84" i="13"/>
  <c r="KNM84" i="13"/>
  <c r="KNL84" i="13"/>
  <c r="KNH84" i="13"/>
  <c r="KNG84" i="13"/>
  <c r="KNF84" i="13"/>
  <c r="KNE84" i="13"/>
  <c r="KND84" i="13"/>
  <c r="KNC84" i="13"/>
  <c r="KNB84" i="13"/>
  <c r="KNA84" i="13"/>
  <c r="KMZ84" i="13"/>
  <c r="KMY84" i="13"/>
  <c r="KMX84" i="13"/>
  <c r="KMW84" i="13"/>
  <c r="KMV84" i="13"/>
  <c r="KMR84" i="13"/>
  <c r="KMQ84" i="13"/>
  <c r="KMP84" i="13"/>
  <c r="KMO84" i="13"/>
  <c r="KMN84" i="13"/>
  <c r="KMM84" i="13"/>
  <c r="KML84" i="13"/>
  <c r="KMK84" i="13"/>
  <c r="KMJ84" i="13"/>
  <c r="KMI84" i="13"/>
  <c r="KMH84" i="13"/>
  <c r="KMG84" i="13"/>
  <c r="KMF84" i="13"/>
  <c r="KMB84" i="13"/>
  <c r="KMA84" i="13"/>
  <c r="KLZ84" i="13"/>
  <c r="KLY84" i="13"/>
  <c r="KLX84" i="13"/>
  <c r="KLW84" i="13"/>
  <c r="KLV84" i="13"/>
  <c r="KLU84" i="13"/>
  <c r="KLT84" i="13"/>
  <c r="KLS84" i="13"/>
  <c r="KLR84" i="13"/>
  <c r="KLQ84" i="13"/>
  <c r="KLP84" i="13"/>
  <c r="KLL84" i="13"/>
  <c r="KLK84" i="13"/>
  <c r="KLJ84" i="13"/>
  <c r="KLI84" i="13"/>
  <c r="KLH84" i="13"/>
  <c r="KLG84" i="13"/>
  <c r="KLF84" i="13"/>
  <c r="KLE84" i="13"/>
  <c r="KLD84" i="13"/>
  <c r="KLC84" i="13"/>
  <c r="KLB84" i="13"/>
  <c r="KLA84" i="13"/>
  <c r="KKZ84" i="13"/>
  <c r="KKV84" i="13"/>
  <c r="KKU84" i="13"/>
  <c r="KKT84" i="13"/>
  <c r="KKS84" i="13"/>
  <c r="KKR84" i="13"/>
  <c r="KKQ84" i="13"/>
  <c r="KKP84" i="13"/>
  <c r="KKO84" i="13"/>
  <c r="KKN84" i="13"/>
  <c r="KKM84" i="13"/>
  <c r="KKL84" i="13"/>
  <c r="KKK84" i="13"/>
  <c r="KKJ84" i="13"/>
  <c r="KKF84" i="13"/>
  <c r="KKE84" i="13"/>
  <c r="KKD84" i="13"/>
  <c r="KKC84" i="13"/>
  <c r="KKB84" i="13"/>
  <c r="KKA84" i="13"/>
  <c r="KJZ84" i="13"/>
  <c r="KJY84" i="13"/>
  <c r="KJX84" i="13"/>
  <c r="KJW84" i="13"/>
  <c r="KJV84" i="13"/>
  <c r="KJU84" i="13"/>
  <c r="KJT84" i="13"/>
  <c r="KJP84" i="13"/>
  <c r="KJO84" i="13"/>
  <c r="KJN84" i="13"/>
  <c r="KJM84" i="13"/>
  <c r="KJL84" i="13"/>
  <c r="KJK84" i="13"/>
  <c r="KJJ84" i="13"/>
  <c r="KJI84" i="13"/>
  <c r="KJH84" i="13"/>
  <c r="KJG84" i="13"/>
  <c r="KJF84" i="13"/>
  <c r="KJE84" i="13"/>
  <c r="KJD84" i="13"/>
  <c r="KIZ84" i="13"/>
  <c r="KIY84" i="13"/>
  <c r="KIX84" i="13"/>
  <c r="KIW84" i="13"/>
  <c r="KIV84" i="13"/>
  <c r="KIU84" i="13"/>
  <c r="KIT84" i="13"/>
  <c r="KIS84" i="13"/>
  <c r="KIR84" i="13"/>
  <c r="KIQ84" i="13"/>
  <c r="KIP84" i="13"/>
  <c r="KIO84" i="13"/>
  <c r="KIN84" i="13"/>
  <c r="KIJ84" i="13"/>
  <c r="KII84" i="13"/>
  <c r="KIH84" i="13"/>
  <c r="KIG84" i="13"/>
  <c r="KIF84" i="13"/>
  <c r="KIE84" i="13"/>
  <c r="KID84" i="13"/>
  <c r="KIC84" i="13"/>
  <c r="KIB84" i="13"/>
  <c r="KIA84" i="13"/>
  <c r="KHZ84" i="13"/>
  <c r="KHY84" i="13"/>
  <c r="KHX84" i="13"/>
  <c r="KHT84" i="13"/>
  <c r="KHS84" i="13"/>
  <c r="KHR84" i="13"/>
  <c r="KHQ84" i="13"/>
  <c r="KHP84" i="13"/>
  <c r="KHO84" i="13"/>
  <c r="KHN84" i="13"/>
  <c r="KHM84" i="13"/>
  <c r="KHL84" i="13"/>
  <c r="KHK84" i="13"/>
  <c r="KHJ84" i="13"/>
  <c r="KHI84" i="13"/>
  <c r="KHH84" i="13"/>
  <c r="KHD84" i="13"/>
  <c r="KHC84" i="13"/>
  <c r="KHB84" i="13"/>
  <c r="KHA84" i="13"/>
  <c r="KGZ84" i="13"/>
  <c r="KGY84" i="13"/>
  <c r="KGX84" i="13"/>
  <c r="KGW84" i="13"/>
  <c r="KGV84" i="13"/>
  <c r="KGU84" i="13"/>
  <c r="KGT84" i="13"/>
  <c r="KGS84" i="13"/>
  <c r="KGR84" i="13"/>
  <c r="KGN84" i="13"/>
  <c r="KGM84" i="13"/>
  <c r="KGL84" i="13"/>
  <c r="KGK84" i="13"/>
  <c r="KGJ84" i="13"/>
  <c r="KGI84" i="13"/>
  <c r="KGH84" i="13"/>
  <c r="KGG84" i="13"/>
  <c r="KGF84" i="13"/>
  <c r="KGE84" i="13"/>
  <c r="KGD84" i="13"/>
  <c r="KGC84" i="13"/>
  <c r="KGB84" i="13"/>
  <c r="KFX84" i="13"/>
  <c r="KFW84" i="13"/>
  <c r="KFV84" i="13"/>
  <c r="KFU84" i="13"/>
  <c r="KFT84" i="13"/>
  <c r="KFS84" i="13"/>
  <c r="KFR84" i="13"/>
  <c r="KFQ84" i="13"/>
  <c r="KFP84" i="13"/>
  <c r="KFO84" i="13"/>
  <c r="KFN84" i="13"/>
  <c r="KFM84" i="13"/>
  <c r="KFL84" i="13"/>
  <c r="KFH84" i="13"/>
  <c r="KFG84" i="13"/>
  <c r="KFF84" i="13"/>
  <c r="KFE84" i="13"/>
  <c r="KFD84" i="13"/>
  <c r="KFC84" i="13"/>
  <c r="KFB84" i="13"/>
  <c r="KFA84" i="13"/>
  <c r="KEZ84" i="13"/>
  <c r="KEY84" i="13"/>
  <c r="KEX84" i="13"/>
  <c r="KEW84" i="13"/>
  <c r="KEV84" i="13"/>
  <c r="KER84" i="13"/>
  <c r="KEQ84" i="13"/>
  <c r="KEP84" i="13"/>
  <c r="KEO84" i="13"/>
  <c r="KEN84" i="13"/>
  <c r="KEM84" i="13"/>
  <c r="KEL84" i="13"/>
  <c r="KEK84" i="13"/>
  <c r="KEJ84" i="13"/>
  <c r="KEI84" i="13"/>
  <c r="KEH84" i="13"/>
  <c r="KEG84" i="13"/>
  <c r="KEF84" i="13"/>
  <c r="KEB84" i="13"/>
  <c r="KEA84" i="13"/>
  <c r="KDZ84" i="13"/>
  <c r="KDY84" i="13"/>
  <c r="KDX84" i="13"/>
  <c r="KDW84" i="13"/>
  <c r="KDV84" i="13"/>
  <c r="KDU84" i="13"/>
  <c r="KDT84" i="13"/>
  <c r="KDS84" i="13"/>
  <c r="KDR84" i="13"/>
  <c r="KDQ84" i="13"/>
  <c r="KDP84" i="13"/>
  <c r="KDL84" i="13"/>
  <c r="KDK84" i="13"/>
  <c r="KDJ84" i="13"/>
  <c r="KDI84" i="13"/>
  <c r="KDH84" i="13"/>
  <c r="KDG84" i="13"/>
  <c r="KDF84" i="13"/>
  <c r="KDE84" i="13"/>
  <c r="KDD84" i="13"/>
  <c r="KDC84" i="13"/>
  <c r="KDB84" i="13"/>
  <c r="KDA84" i="13"/>
  <c r="KCZ84" i="13"/>
  <c r="KCV84" i="13"/>
  <c r="KCU84" i="13"/>
  <c r="KCT84" i="13"/>
  <c r="KCS84" i="13"/>
  <c r="KCR84" i="13"/>
  <c r="KCQ84" i="13"/>
  <c r="KCP84" i="13"/>
  <c r="KCO84" i="13"/>
  <c r="KCN84" i="13"/>
  <c r="KCM84" i="13"/>
  <c r="KCL84" i="13"/>
  <c r="KCK84" i="13"/>
  <c r="KCJ84" i="13"/>
  <c r="KCF84" i="13"/>
  <c r="KCE84" i="13"/>
  <c r="KCD84" i="13"/>
  <c r="KCC84" i="13"/>
  <c r="KCB84" i="13"/>
  <c r="KCA84" i="13"/>
  <c r="KBZ84" i="13"/>
  <c r="KBY84" i="13"/>
  <c r="KBX84" i="13"/>
  <c r="KBW84" i="13"/>
  <c r="KBV84" i="13"/>
  <c r="KBU84" i="13"/>
  <c r="KBT84" i="13"/>
  <c r="KBP84" i="13"/>
  <c r="KBO84" i="13"/>
  <c r="KBN84" i="13"/>
  <c r="KBM84" i="13"/>
  <c r="KBL84" i="13"/>
  <c r="KBK84" i="13"/>
  <c r="KBJ84" i="13"/>
  <c r="KBI84" i="13"/>
  <c r="KBH84" i="13"/>
  <c r="KBG84" i="13"/>
  <c r="KBF84" i="13"/>
  <c r="KBE84" i="13"/>
  <c r="KBD84" i="13"/>
  <c r="KAZ84" i="13"/>
  <c r="KAY84" i="13"/>
  <c r="KAX84" i="13"/>
  <c r="KAW84" i="13"/>
  <c r="KAV84" i="13"/>
  <c r="KAU84" i="13"/>
  <c r="KAT84" i="13"/>
  <c r="KAS84" i="13"/>
  <c r="KAR84" i="13"/>
  <c r="KAQ84" i="13"/>
  <c r="KAP84" i="13"/>
  <c r="KAO84" i="13"/>
  <c r="KAN84" i="13"/>
  <c r="KAJ84" i="13"/>
  <c r="KAI84" i="13"/>
  <c r="KAH84" i="13"/>
  <c r="KAG84" i="13"/>
  <c r="KAF84" i="13"/>
  <c r="KAE84" i="13"/>
  <c r="KAD84" i="13"/>
  <c r="KAC84" i="13"/>
  <c r="KAB84" i="13"/>
  <c r="KAA84" i="13"/>
  <c r="JZZ84" i="13"/>
  <c r="JZY84" i="13"/>
  <c r="JZX84" i="13"/>
  <c r="JZT84" i="13"/>
  <c r="JZS84" i="13"/>
  <c r="JZR84" i="13"/>
  <c r="JZQ84" i="13"/>
  <c r="JZP84" i="13"/>
  <c r="JZO84" i="13"/>
  <c r="JZN84" i="13"/>
  <c r="JZM84" i="13"/>
  <c r="JZL84" i="13"/>
  <c r="JZK84" i="13"/>
  <c r="JZJ84" i="13"/>
  <c r="JZI84" i="13"/>
  <c r="JZH84" i="13"/>
  <c r="JZD84" i="13"/>
  <c r="JZC84" i="13"/>
  <c r="JZB84" i="13"/>
  <c r="JZA84" i="13"/>
  <c r="JYZ84" i="13"/>
  <c r="JYY84" i="13"/>
  <c r="JYX84" i="13"/>
  <c r="JYW84" i="13"/>
  <c r="JYV84" i="13"/>
  <c r="JYU84" i="13"/>
  <c r="JYT84" i="13"/>
  <c r="JYS84" i="13"/>
  <c r="JYR84" i="13"/>
  <c r="JYN84" i="13"/>
  <c r="JYM84" i="13"/>
  <c r="JYL84" i="13"/>
  <c r="JYK84" i="13"/>
  <c r="JYJ84" i="13"/>
  <c r="JYI84" i="13"/>
  <c r="JYH84" i="13"/>
  <c r="JYG84" i="13"/>
  <c r="JYF84" i="13"/>
  <c r="JYE84" i="13"/>
  <c r="JYD84" i="13"/>
  <c r="JYC84" i="13"/>
  <c r="JYB84" i="13"/>
  <c r="JXX84" i="13"/>
  <c r="JXW84" i="13"/>
  <c r="JXV84" i="13"/>
  <c r="JXU84" i="13"/>
  <c r="JXT84" i="13"/>
  <c r="JXS84" i="13"/>
  <c r="JXR84" i="13"/>
  <c r="JXQ84" i="13"/>
  <c r="JXP84" i="13"/>
  <c r="JXO84" i="13"/>
  <c r="JXN84" i="13"/>
  <c r="JXM84" i="13"/>
  <c r="JXL84" i="13"/>
  <c r="JXH84" i="13"/>
  <c r="JXG84" i="13"/>
  <c r="JXF84" i="13"/>
  <c r="JXE84" i="13"/>
  <c r="JXD84" i="13"/>
  <c r="JXC84" i="13"/>
  <c r="JXB84" i="13"/>
  <c r="JXA84" i="13"/>
  <c r="JWZ84" i="13"/>
  <c r="JWY84" i="13"/>
  <c r="JWX84" i="13"/>
  <c r="JWW84" i="13"/>
  <c r="JWV84" i="13"/>
  <c r="JWR84" i="13"/>
  <c r="JWQ84" i="13"/>
  <c r="JWP84" i="13"/>
  <c r="JWO84" i="13"/>
  <c r="JWN84" i="13"/>
  <c r="JWM84" i="13"/>
  <c r="JWL84" i="13"/>
  <c r="JWK84" i="13"/>
  <c r="JWJ84" i="13"/>
  <c r="JWI84" i="13"/>
  <c r="JWH84" i="13"/>
  <c r="JWG84" i="13"/>
  <c r="JWF84" i="13"/>
  <c r="JWB84" i="13"/>
  <c r="JWA84" i="13"/>
  <c r="JVZ84" i="13"/>
  <c r="JVY84" i="13"/>
  <c r="JVX84" i="13"/>
  <c r="JVW84" i="13"/>
  <c r="JVV84" i="13"/>
  <c r="JVU84" i="13"/>
  <c r="JVT84" i="13"/>
  <c r="JVS84" i="13"/>
  <c r="JVR84" i="13"/>
  <c r="JVQ84" i="13"/>
  <c r="JVP84" i="13"/>
  <c r="JVL84" i="13"/>
  <c r="JVK84" i="13"/>
  <c r="JVJ84" i="13"/>
  <c r="JVI84" i="13"/>
  <c r="JVH84" i="13"/>
  <c r="JVG84" i="13"/>
  <c r="JVF84" i="13"/>
  <c r="JVE84" i="13"/>
  <c r="JVD84" i="13"/>
  <c r="JVC84" i="13"/>
  <c r="JVB84" i="13"/>
  <c r="JVA84" i="13"/>
  <c r="JUZ84" i="13"/>
  <c r="JUV84" i="13"/>
  <c r="JUU84" i="13"/>
  <c r="JUT84" i="13"/>
  <c r="JUS84" i="13"/>
  <c r="JUR84" i="13"/>
  <c r="JUQ84" i="13"/>
  <c r="JUP84" i="13"/>
  <c r="JUO84" i="13"/>
  <c r="JUN84" i="13"/>
  <c r="JUM84" i="13"/>
  <c r="JUL84" i="13"/>
  <c r="JUK84" i="13"/>
  <c r="JUJ84" i="13"/>
  <c r="JUF84" i="13"/>
  <c r="JUE84" i="13"/>
  <c r="JUD84" i="13"/>
  <c r="JUC84" i="13"/>
  <c r="JUB84" i="13"/>
  <c r="JUA84" i="13"/>
  <c r="JTZ84" i="13"/>
  <c r="JTY84" i="13"/>
  <c r="JTX84" i="13"/>
  <c r="JTW84" i="13"/>
  <c r="JTV84" i="13"/>
  <c r="JTU84" i="13"/>
  <c r="JTT84" i="13"/>
  <c r="JTP84" i="13"/>
  <c r="JTO84" i="13"/>
  <c r="JTN84" i="13"/>
  <c r="JTM84" i="13"/>
  <c r="JTL84" i="13"/>
  <c r="JTK84" i="13"/>
  <c r="JTJ84" i="13"/>
  <c r="JTI84" i="13"/>
  <c r="JTH84" i="13"/>
  <c r="JTG84" i="13"/>
  <c r="JTF84" i="13"/>
  <c r="JTE84" i="13"/>
  <c r="JTD84" i="13"/>
  <c r="JSZ84" i="13"/>
  <c r="JSY84" i="13"/>
  <c r="JSX84" i="13"/>
  <c r="JSW84" i="13"/>
  <c r="JSV84" i="13"/>
  <c r="JSU84" i="13"/>
  <c r="JST84" i="13"/>
  <c r="JSS84" i="13"/>
  <c r="JSR84" i="13"/>
  <c r="JSQ84" i="13"/>
  <c r="JSP84" i="13"/>
  <c r="JSO84" i="13"/>
  <c r="JSN84" i="13"/>
  <c r="JSJ84" i="13"/>
  <c r="JSI84" i="13"/>
  <c r="JSH84" i="13"/>
  <c r="JSG84" i="13"/>
  <c r="JSF84" i="13"/>
  <c r="JSE84" i="13"/>
  <c r="JSD84" i="13"/>
  <c r="JSC84" i="13"/>
  <c r="JSB84" i="13"/>
  <c r="JSA84" i="13"/>
  <c r="JRZ84" i="13"/>
  <c r="JRY84" i="13"/>
  <c r="JRX84" i="13"/>
  <c r="JRT84" i="13"/>
  <c r="JRS84" i="13"/>
  <c r="JRR84" i="13"/>
  <c r="JRQ84" i="13"/>
  <c r="JRP84" i="13"/>
  <c r="JRO84" i="13"/>
  <c r="JRN84" i="13"/>
  <c r="JRM84" i="13"/>
  <c r="JRL84" i="13"/>
  <c r="JRK84" i="13"/>
  <c r="JRJ84" i="13"/>
  <c r="JRI84" i="13"/>
  <c r="JRH84" i="13"/>
  <c r="JRD84" i="13"/>
  <c r="JRC84" i="13"/>
  <c r="JRB84" i="13"/>
  <c r="JRA84" i="13"/>
  <c r="JQZ84" i="13"/>
  <c r="JQY84" i="13"/>
  <c r="JQX84" i="13"/>
  <c r="JQW84" i="13"/>
  <c r="JQV84" i="13"/>
  <c r="JQU84" i="13"/>
  <c r="JQT84" i="13"/>
  <c r="JQS84" i="13"/>
  <c r="JQR84" i="13"/>
  <c r="JQN84" i="13"/>
  <c r="JQM84" i="13"/>
  <c r="JQL84" i="13"/>
  <c r="JQK84" i="13"/>
  <c r="JQJ84" i="13"/>
  <c r="JQI84" i="13"/>
  <c r="JQH84" i="13"/>
  <c r="JQG84" i="13"/>
  <c r="JQF84" i="13"/>
  <c r="JQE84" i="13"/>
  <c r="JQD84" i="13"/>
  <c r="JQC84" i="13"/>
  <c r="JQB84" i="13"/>
  <c r="JPX84" i="13"/>
  <c r="JPW84" i="13"/>
  <c r="JPV84" i="13"/>
  <c r="JPU84" i="13"/>
  <c r="JPT84" i="13"/>
  <c r="JPS84" i="13"/>
  <c r="JPR84" i="13"/>
  <c r="JPQ84" i="13"/>
  <c r="JPP84" i="13"/>
  <c r="JPO84" i="13"/>
  <c r="JPN84" i="13"/>
  <c r="JPM84" i="13"/>
  <c r="JPL84" i="13"/>
  <c r="JPH84" i="13"/>
  <c r="JPG84" i="13"/>
  <c r="JPF84" i="13"/>
  <c r="JPE84" i="13"/>
  <c r="JPD84" i="13"/>
  <c r="JPC84" i="13"/>
  <c r="JPB84" i="13"/>
  <c r="JPA84" i="13"/>
  <c r="JOZ84" i="13"/>
  <c r="JOY84" i="13"/>
  <c r="JOX84" i="13"/>
  <c r="JOW84" i="13"/>
  <c r="JOV84" i="13"/>
  <c r="JOR84" i="13"/>
  <c r="JOQ84" i="13"/>
  <c r="JOP84" i="13"/>
  <c r="JOO84" i="13"/>
  <c r="JON84" i="13"/>
  <c r="JOM84" i="13"/>
  <c r="JOL84" i="13"/>
  <c r="JOK84" i="13"/>
  <c r="JOJ84" i="13"/>
  <c r="JOI84" i="13"/>
  <c r="JOH84" i="13"/>
  <c r="JOG84" i="13"/>
  <c r="JOF84" i="13"/>
  <c r="JOB84" i="13"/>
  <c r="JOA84" i="13"/>
  <c r="JNZ84" i="13"/>
  <c r="JNY84" i="13"/>
  <c r="JNX84" i="13"/>
  <c r="JNW84" i="13"/>
  <c r="JNV84" i="13"/>
  <c r="JNU84" i="13"/>
  <c r="JNT84" i="13"/>
  <c r="JNS84" i="13"/>
  <c r="JNR84" i="13"/>
  <c r="JNQ84" i="13"/>
  <c r="JNP84" i="13"/>
  <c r="JNL84" i="13"/>
  <c r="JNK84" i="13"/>
  <c r="JNJ84" i="13"/>
  <c r="JNI84" i="13"/>
  <c r="JNH84" i="13"/>
  <c r="JNG84" i="13"/>
  <c r="JNF84" i="13"/>
  <c r="JNE84" i="13"/>
  <c r="JND84" i="13"/>
  <c r="JNC84" i="13"/>
  <c r="JNB84" i="13"/>
  <c r="JNA84" i="13"/>
  <c r="JMZ84" i="13"/>
  <c r="JMV84" i="13"/>
  <c r="JMU84" i="13"/>
  <c r="JMT84" i="13"/>
  <c r="JMS84" i="13"/>
  <c r="JMR84" i="13"/>
  <c r="JMQ84" i="13"/>
  <c r="JMP84" i="13"/>
  <c r="JMO84" i="13"/>
  <c r="JMN84" i="13"/>
  <c r="JMM84" i="13"/>
  <c r="JML84" i="13"/>
  <c r="JMK84" i="13"/>
  <c r="JMJ84" i="13"/>
  <c r="JMF84" i="13"/>
  <c r="JME84" i="13"/>
  <c r="JMD84" i="13"/>
  <c r="JMC84" i="13"/>
  <c r="JMB84" i="13"/>
  <c r="JMA84" i="13"/>
  <c r="JLZ84" i="13"/>
  <c r="JLY84" i="13"/>
  <c r="JLX84" i="13"/>
  <c r="JLW84" i="13"/>
  <c r="JLV84" i="13"/>
  <c r="JLU84" i="13"/>
  <c r="JLT84" i="13"/>
  <c r="JLP84" i="13"/>
  <c r="JLO84" i="13"/>
  <c r="JLN84" i="13"/>
  <c r="JLM84" i="13"/>
  <c r="JLL84" i="13"/>
  <c r="JLK84" i="13"/>
  <c r="JLJ84" i="13"/>
  <c r="JLI84" i="13"/>
  <c r="JLH84" i="13"/>
  <c r="JLG84" i="13"/>
  <c r="JLF84" i="13"/>
  <c r="JLE84" i="13"/>
  <c r="JLD84" i="13"/>
  <c r="JKZ84" i="13"/>
  <c r="JKY84" i="13"/>
  <c r="JKX84" i="13"/>
  <c r="JKW84" i="13"/>
  <c r="JKV84" i="13"/>
  <c r="JKU84" i="13"/>
  <c r="JKT84" i="13"/>
  <c r="JKS84" i="13"/>
  <c r="JKR84" i="13"/>
  <c r="JKQ84" i="13"/>
  <c r="JKP84" i="13"/>
  <c r="JKO84" i="13"/>
  <c r="JKN84" i="13"/>
  <c r="JKJ84" i="13"/>
  <c r="JKI84" i="13"/>
  <c r="JKH84" i="13"/>
  <c r="JKG84" i="13"/>
  <c r="JKF84" i="13"/>
  <c r="JKE84" i="13"/>
  <c r="JKD84" i="13"/>
  <c r="JKC84" i="13"/>
  <c r="JKB84" i="13"/>
  <c r="JKA84" i="13"/>
  <c r="JJZ84" i="13"/>
  <c r="JJY84" i="13"/>
  <c r="JJX84" i="13"/>
  <c r="JJT84" i="13"/>
  <c r="JJS84" i="13"/>
  <c r="JJR84" i="13"/>
  <c r="JJQ84" i="13"/>
  <c r="JJP84" i="13"/>
  <c r="JJO84" i="13"/>
  <c r="JJN84" i="13"/>
  <c r="JJM84" i="13"/>
  <c r="JJL84" i="13"/>
  <c r="JJK84" i="13"/>
  <c r="JJJ84" i="13"/>
  <c r="JJI84" i="13"/>
  <c r="JJH84" i="13"/>
  <c r="JJD84" i="13"/>
  <c r="JJC84" i="13"/>
  <c r="JJB84" i="13"/>
  <c r="JJA84" i="13"/>
  <c r="JIZ84" i="13"/>
  <c r="JIY84" i="13"/>
  <c r="JIX84" i="13"/>
  <c r="JIW84" i="13"/>
  <c r="JIV84" i="13"/>
  <c r="JIU84" i="13"/>
  <c r="JIT84" i="13"/>
  <c r="JIS84" i="13"/>
  <c r="JIR84" i="13"/>
  <c r="JIN84" i="13"/>
  <c r="JIM84" i="13"/>
  <c r="JIL84" i="13"/>
  <c r="JIK84" i="13"/>
  <c r="JIJ84" i="13"/>
  <c r="JII84" i="13"/>
  <c r="JIH84" i="13"/>
  <c r="JIG84" i="13"/>
  <c r="JIF84" i="13"/>
  <c r="JIE84" i="13"/>
  <c r="JID84" i="13"/>
  <c r="JIC84" i="13"/>
  <c r="JIB84" i="13"/>
  <c r="JHX84" i="13"/>
  <c r="JHW84" i="13"/>
  <c r="JHV84" i="13"/>
  <c r="JHU84" i="13"/>
  <c r="JHT84" i="13"/>
  <c r="JHS84" i="13"/>
  <c r="JHR84" i="13"/>
  <c r="JHQ84" i="13"/>
  <c r="JHP84" i="13"/>
  <c r="JHO84" i="13"/>
  <c r="JHN84" i="13"/>
  <c r="JHM84" i="13"/>
  <c r="JHL84" i="13"/>
  <c r="JHH84" i="13"/>
  <c r="JHG84" i="13"/>
  <c r="JHF84" i="13"/>
  <c r="JHE84" i="13"/>
  <c r="JHD84" i="13"/>
  <c r="JHC84" i="13"/>
  <c r="JHB84" i="13"/>
  <c r="JHA84" i="13"/>
  <c r="JGZ84" i="13"/>
  <c r="JGY84" i="13"/>
  <c r="JGX84" i="13"/>
  <c r="JGW84" i="13"/>
  <c r="JGV84" i="13"/>
  <c r="JGR84" i="13"/>
  <c r="JGQ84" i="13"/>
  <c r="JGP84" i="13"/>
  <c r="JGO84" i="13"/>
  <c r="JGN84" i="13"/>
  <c r="JGM84" i="13"/>
  <c r="JGL84" i="13"/>
  <c r="JGK84" i="13"/>
  <c r="JGJ84" i="13"/>
  <c r="JGI84" i="13"/>
  <c r="JGH84" i="13"/>
  <c r="JGG84" i="13"/>
  <c r="JGF84" i="13"/>
  <c r="JGB84" i="13"/>
  <c r="JGA84" i="13"/>
  <c r="JFZ84" i="13"/>
  <c r="JFY84" i="13"/>
  <c r="JFX84" i="13"/>
  <c r="JFW84" i="13"/>
  <c r="JFV84" i="13"/>
  <c r="JFU84" i="13"/>
  <c r="JFT84" i="13"/>
  <c r="JFS84" i="13"/>
  <c r="JFR84" i="13"/>
  <c r="JFQ84" i="13"/>
  <c r="JFP84" i="13"/>
  <c r="JFL84" i="13"/>
  <c r="JFK84" i="13"/>
  <c r="JFJ84" i="13"/>
  <c r="JFI84" i="13"/>
  <c r="JFH84" i="13"/>
  <c r="JFG84" i="13"/>
  <c r="JFF84" i="13"/>
  <c r="JFE84" i="13"/>
  <c r="JFD84" i="13"/>
  <c r="JFC84" i="13"/>
  <c r="JFB84" i="13"/>
  <c r="JFA84" i="13"/>
  <c r="JEZ84" i="13"/>
  <c r="JEV84" i="13"/>
  <c r="JEU84" i="13"/>
  <c r="JET84" i="13"/>
  <c r="JES84" i="13"/>
  <c r="JER84" i="13"/>
  <c r="JEQ84" i="13"/>
  <c r="JEP84" i="13"/>
  <c r="JEO84" i="13"/>
  <c r="JEN84" i="13"/>
  <c r="JEM84" i="13"/>
  <c r="JEL84" i="13"/>
  <c r="JEK84" i="13"/>
  <c r="JEJ84" i="13"/>
  <c r="JEF84" i="13"/>
  <c r="JEE84" i="13"/>
  <c r="JED84" i="13"/>
  <c r="JEC84" i="13"/>
  <c r="JEB84" i="13"/>
  <c r="JEA84" i="13"/>
  <c r="JDZ84" i="13"/>
  <c r="JDY84" i="13"/>
  <c r="JDX84" i="13"/>
  <c r="JDW84" i="13"/>
  <c r="JDV84" i="13"/>
  <c r="JDU84" i="13"/>
  <c r="JDT84" i="13"/>
  <c r="JDP84" i="13"/>
  <c r="JDO84" i="13"/>
  <c r="JDN84" i="13"/>
  <c r="JDM84" i="13"/>
  <c r="JDL84" i="13"/>
  <c r="JDK84" i="13"/>
  <c r="JDJ84" i="13"/>
  <c r="JDI84" i="13"/>
  <c r="JDH84" i="13"/>
  <c r="JDG84" i="13"/>
  <c r="JDF84" i="13"/>
  <c r="JDE84" i="13"/>
  <c r="JDD84" i="13"/>
  <c r="JCZ84" i="13"/>
  <c r="JCY84" i="13"/>
  <c r="JCX84" i="13"/>
  <c r="JCW84" i="13"/>
  <c r="JCV84" i="13"/>
  <c r="JCU84" i="13"/>
  <c r="JCT84" i="13"/>
  <c r="JCS84" i="13"/>
  <c r="JCR84" i="13"/>
  <c r="JCQ84" i="13"/>
  <c r="JCP84" i="13"/>
  <c r="JCO84" i="13"/>
  <c r="JCN84" i="13"/>
  <c r="JCJ84" i="13"/>
  <c r="JCI84" i="13"/>
  <c r="JCH84" i="13"/>
  <c r="JCG84" i="13"/>
  <c r="JCF84" i="13"/>
  <c r="JCE84" i="13"/>
  <c r="JCD84" i="13"/>
  <c r="JCC84" i="13"/>
  <c r="JCB84" i="13"/>
  <c r="JCA84" i="13"/>
  <c r="JBZ84" i="13"/>
  <c r="JBY84" i="13"/>
  <c r="JBX84" i="13"/>
  <c r="JBT84" i="13"/>
  <c r="JBS84" i="13"/>
  <c r="JBR84" i="13"/>
  <c r="JBQ84" i="13"/>
  <c r="JBP84" i="13"/>
  <c r="JBO84" i="13"/>
  <c r="JBN84" i="13"/>
  <c r="JBM84" i="13"/>
  <c r="JBL84" i="13"/>
  <c r="JBK84" i="13"/>
  <c r="JBJ84" i="13"/>
  <c r="JBI84" i="13"/>
  <c r="JBH84" i="13"/>
  <c r="JBD84" i="13"/>
  <c r="JBC84" i="13"/>
  <c r="JBB84" i="13"/>
  <c r="JBA84" i="13"/>
  <c r="JAZ84" i="13"/>
  <c r="JAY84" i="13"/>
  <c r="JAX84" i="13"/>
  <c r="JAW84" i="13"/>
  <c r="JAV84" i="13"/>
  <c r="JAU84" i="13"/>
  <c r="JAT84" i="13"/>
  <c r="JAS84" i="13"/>
  <c r="JAR84" i="13"/>
  <c r="JAN84" i="13"/>
  <c r="JAM84" i="13"/>
  <c r="JAL84" i="13"/>
  <c r="JAK84" i="13"/>
  <c r="JAJ84" i="13"/>
  <c r="JAI84" i="13"/>
  <c r="JAH84" i="13"/>
  <c r="JAG84" i="13"/>
  <c r="JAF84" i="13"/>
  <c r="JAE84" i="13"/>
  <c r="JAD84" i="13"/>
  <c r="JAC84" i="13"/>
  <c r="JAB84" i="13"/>
  <c r="IZX84" i="13"/>
  <c r="IZW84" i="13"/>
  <c r="IZV84" i="13"/>
  <c r="IZU84" i="13"/>
  <c r="IZT84" i="13"/>
  <c r="IZS84" i="13"/>
  <c r="IZR84" i="13"/>
  <c r="IZQ84" i="13"/>
  <c r="IZP84" i="13"/>
  <c r="IZO84" i="13"/>
  <c r="IZN84" i="13"/>
  <c r="IZM84" i="13"/>
  <c r="IZL84" i="13"/>
  <c r="IZH84" i="13"/>
  <c r="IZG84" i="13"/>
  <c r="IZF84" i="13"/>
  <c r="IZE84" i="13"/>
  <c r="IZD84" i="13"/>
  <c r="IZC84" i="13"/>
  <c r="IZB84" i="13"/>
  <c r="IZA84" i="13"/>
  <c r="IYZ84" i="13"/>
  <c r="IYY84" i="13"/>
  <c r="IYX84" i="13"/>
  <c r="IYW84" i="13"/>
  <c r="IYV84" i="13"/>
  <c r="IYR84" i="13"/>
  <c r="IYQ84" i="13"/>
  <c r="IYP84" i="13"/>
  <c r="IYO84" i="13"/>
  <c r="IYN84" i="13"/>
  <c r="IYM84" i="13"/>
  <c r="IYL84" i="13"/>
  <c r="IYK84" i="13"/>
  <c r="IYJ84" i="13"/>
  <c r="IYI84" i="13"/>
  <c r="IYH84" i="13"/>
  <c r="IYG84" i="13"/>
  <c r="IYF84" i="13"/>
  <c r="IYB84" i="13"/>
  <c r="IYA84" i="13"/>
  <c r="IXZ84" i="13"/>
  <c r="IXY84" i="13"/>
  <c r="IXX84" i="13"/>
  <c r="IXW84" i="13"/>
  <c r="IXV84" i="13"/>
  <c r="IXU84" i="13"/>
  <c r="IXT84" i="13"/>
  <c r="IXS84" i="13"/>
  <c r="IXR84" i="13"/>
  <c r="IXQ84" i="13"/>
  <c r="IXP84" i="13"/>
  <c r="IXL84" i="13"/>
  <c r="IXK84" i="13"/>
  <c r="IXJ84" i="13"/>
  <c r="IXI84" i="13"/>
  <c r="IXH84" i="13"/>
  <c r="IXG84" i="13"/>
  <c r="IXF84" i="13"/>
  <c r="IXE84" i="13"/>
  <c r="IXD84" i="13"/>
  <c r="IXC84" i="13"/>
  <c r="IXB84" i="13"/>
  <c r="IXA84" i="13"/>
  <c r="IWZ84" i="13"/>
  <c r="IWV84" i="13"/>
  <c r="IWU84" i="13"/>
  <c r="IWT84" i="13"/>
  <c r="IWS84" i="13"/>
  <c r="IWR84" i="13"/>
  <c r="IWQ84" i="13"/>
  <c r="IWP84" i="13"/>
  <c r="IWO84" i="13"/>
  <c r="IWN84" i="13"/>
  <c r="IWM84" i="13"/>
  <c r="IWL84" i="13"/>
  <c r="IWK84" i="13"/>
  <c r="IWJ84" i="13"/>
  <c r="IWF84" i="13"/>
  <c r="IWE84" i="13"/>
  <c r="IWD84" i="13"/>
  <c r="IWC84" i="13"/>
  <c r="IWB84" i="13"/>
  <c r="IWA84" i="13"/>
  <c r="IVZ84" i="13"/>
  <c r="IVY84" i="13"/>
  <c r="IVX84" i="13"/>
  <c r="IVW84" i="13"/>
  <c r="IVV84" i="13"/>
  <c r="IVU84" i="13"/>
  <c r="IVT84" i="13"/>
  <c r="IVP84" i="13"/>
  <c r="IVO84" i="13"/>
  <c r="IVN84" i="13"/>
  <c r="IVM84" i="13"/>
  <c r="IVL84" i="13"/>
  <c r="IVK84" i="13"/>
  <c r="IVJ84" i="13"/>
  <c r="IVI84" i="13"/>
  <c r="IVH84" i="13"/>
  <c r="IVG84" i="13"/>
  <c r="IVF84" i="13"/>
  <c r="IVE84" i="13"/>
  <c r="IVD84" i="13"/>
  <c r="IUZ84" i="13"/>
  <c r="IUY84" i="13"/>
  <c r="IUX84" i="13"/>
  <c r="IUW84" i="13"/>
  <c r="IUV84" i="13"/>
  <c r="IUU84" i="13"/>
  <c r="IUT84" i="13"/>
  <c r="IUS84" i="13"/>
  <c r="IUR84" i="13"/>
  <c r="IUQ84" i="13"/>
  <c r="IUP84" i="13"/>
  <c r="IUO84" i="13"/>
  <c r="IUN84" i="13"/>
  <c r="IUJ84" i="13"/>
  <c r="IUI84" i="13"/>
  <c r="IUH84" i="13"/>
  <c r="IUG84" i="13"/>
  <c r="IUF84" i="13"/>
  <c r="IUE84" i="13"/>
  <c r="IUD84" i="13"/>
  <c r="IUC84" i="13"/>
  <c r="IUB84" i="13"/>
  <c r="IUA84" i="13"/>
  <c r="ITZ84" i="13"/>
  <c r="ITY84" i="13"/>
  <c r="ITX84" i="13"/>
  <c r="ITT84" i="13"/>
  <c r="ITS84" i="13"/>
  <c r="ITR84" i="13"/>
  <c r="ITQ84" i="13"/>
  <c r="ITP84" i="13"/>
  <c r="ITO84" i="13"/>
  <c r="ITN84" i="13"/>
  <c r="ITM84" i="13"/>
  <c r="ITL84" i="13"/>
  <c r="ITK84" i="13"/>
  <c r="ITJ84" i="13"/>
  <c r="ITI84" i="13"/>
  <c r="ITH84" i="13"/>
  <c r="ITD84" i="13"/>
  <c r="ITC84" i="13"/>
  <c r="ITB84" i="13"/>
  <c r="ITA84" i="13"/>
  <c r="ISZ84" i="13"/>
  <c r="ISY84" i="13"/>
  <c r="ISX84" i="13"/>
  <c r="ISW84" i="13"/>
  <c r="ISV84" i="13"/>
  <c r="ISU84" i="13"/>
  <c r="IST84" i="13"/>
  <c r="ISS84" i="13"/>
  <c r="ISR84" i="13"/>
  <c r="ISN84" i="13"/>
  <c r="ISM84" i="13"/>
  <c r="ISL84" i="13"/>
  <c r="ISK84" i="13"/>
  <c r="ISJ84" i="13"/>
  <c r="ISI84" i="13"/>
  <c r="ISH84" i="13"/>
  <c r="ISG84" i="13"/>
  <c r="ISF84" i="13"/>
  <c r="ISE84" i="13"/>
  <c r="ISD84" i="13"/>
  <c r="ISC84" i="13"/>
  <c r="ISB84" i="13"/>
  <c r="IRX84" i="13"/>
  <c r="IRW84" i="13"/>
  <c r="IRV84" i="13"/>
  <c r="IRU84" i="13"/>
  <c r="IRT84" i="13"/>
  <c r="IRS84" i="13"/>
  <c r="IRR84" i="13"/>
  <c r="IRQ84" i="13"/>
  <c r="IRP84" i="13"/>
  <c r="IRO84" i="13"/>
  <c r="IRN84" i="13"/>
  <c r="IRM84" i="13"/>
  <c r="IRL84" i="13"/>
  <c r="IRH84" i="13"/>
  <c r="IRG84" i="13"/>
  <c r="IRF84" i="13"/>
  <c r="IRE84" i="13"/>
  <c r="IRD84" i="13"/>
  <c r="IRC84" i="13"/>
  <c r="IRB84" i="13"/>
  <c r="IRA84" i="13"/>
  <c r="IQZ84" i="13"/>
  <c r="IQY84" i="13"/>
  <c r="IQX84" i="13"/>
  <c r="IQW84" i="13"/>
  <c r="IQV84" i="13"/>
  <c r="IQR84" i="13"/>
  <c r="IQQ84" i="13"/>
  <c r="IQP84" i="13"/>
  <c r="IQO84" i="13"/>
  <c r="IQN84" i="13"/>
  <c r="IQM84" i="13"/>
  <c r="IQL84" i="13"/>
  <c r="IQK84" i="13"/>
  <c r="IQJ84" i="13"/>
  <c r="IQI84" i="13"/>
  <c r="IQH84" i="13"/>
  <c r="IQG84" i="13"/>
  <c r="IQF84" i="13"/>
  <c r="IQB84" i="13"/>
  <c r="IQA84" i="13"/>
  <c r="IPZ84" i="13"/>
  <c r="IPY84" i="13"/>
  <c r="IPX84" i="13"/>
  <c r="IPW84" i="13"/>
  <c r="IPV84" i="13"/>
  <c r="IPU84" i="13"/>
  <c r="IPT84" i="13"/>
  <c r="IPS84" i="13"/>
  <c r="IPR84" i="13"/>
  <c r="IPQ84" i="13"/>
  <c r="IPP84" i="13"/>
  <c r="IPL84" i="13"/>
  <c r="IPK84" i="13"/>
  <c r="IPJ84" i="13"/>
  <c r="IPI84" i="13"/>
  <c r="IPH84" i="13"/>
  <c r="IPG84" i="13"/>
  <c r="IPF84" i="13"/>
  <c r="IPE84" i="13"/>
  <c r="IPD84" i="13"/>
  <c r="IPC84" i="13"/>
  <c r="IPB84" i="13"/>
  <c r="IPA84" i="13"/>
  <c r="IOZ84" i="13"/>
  <c r="IOV84" i="13"/>
  <c r="IOU84" i="13"/>
  <c r="IOT84" i="13"/>
  <c r="IOS84" i="13"/>
  <c r="IOR84" i="13"/>
  <c r="IOQ84" i="13"/>
  <c r="IOP84" i="13"/>
  <c r="IOO84" i="13"/>
  <c r="ION84" i="13"/>
  <c r="IOM84" i="13"/>
  <c r="IOL84" i="13"/>
  <c r="IOK84" i="13"/>
  <c r="IOJ84" i="13"/>
  <c r="IOF84" i="13"/>
  <c r="IOE84" i="13"/>
  <c r="IOD84" i="13"/>
  <c r="IOC84" i="13"/>
  <c r="IOB84" i="13"/>
  <c r="IOA84" i="13"/>
  <c r="INZ84" i="13"/>
  <c r="INY84" i="13"/>
  <c r="INX84" i="13"/>
  <c r="INW84" i="13"/>
  <c r="INV84" i="13"/>
  <c r="INU84" i="13"/>
  <c r="INT84" i="13"/>
  <c r="INP84" i="13"/>
  <c r="INO84" i="13"/>
  <c r="INN84" i="13"/>
  <c r="INM84" i="13"/>
  <c r="INL84" i="13"/>
  <c r="INK84" i="13"/>
  <c r="INJ84" i="13"/>
  <c r="INI84" i="13"/>
  <c r="INH84" i="13"/>
  <c r="ING84" i="13"/>
  <c r="INF84" i="13"/>
  <c r="INE84" i="13"/>
  <c r="IND84" i="13"/>
  <c r="IMZ84" i="13"/>
  <c r="IMY84" i="13"/>
  <c r="IMX84" i="13"/>
  <c r="IMW84" i="13"/>
  <c r="IMV84" i="13"/>
  <c r="IMU84" i="13"/>
  <c r="IMT84" i="13"/>
  <c r="IMS84" i="13"/>
  <c r="IMR84" i="13"/>
  <c r="IMQ84" i="13"/>
  <c r="IMP84" i="13"/>
  <c r="IMO84" i="13"/>
  <c r="IMN84" i="13"/>
  <c r="IMJ84" i="13"/>
  <c r="IMI84" i="13"/>
  <c r="IMH84" i="13"/>
  <c r="IMG84" i="13"/>
  <c r="IMF84" i="13"/>
  <c r="IME84" i="13"/>
  <c r="IMD84" i="13"/>
  <c r="IMC84" i="13"/>
  <c r="IMB84" i="13"/>
  <c r="IMA84" i="13"/>
  <c r="ILZ84" i="13"/>
  <c r="ILY84" i="13"/>
  <c r="ILX84" i="13"/>
  <c r="ILT84" i="13"/>
  <c r="ILS84" i="13"/>
  <c r="ILR84" i="13"/>
  <c r="ILQ84" i="13"/>
  <c r="ILP84" i="13"/>
  <c r="ILO84" i="13"/>
  <c r="ILN84" i="13"/>
  <c r="ILM84" i="13"/>
  <c r="ILL84" i="13"/>
  <c r="ILK84" i="13"/>
  <c r="ILJ84" i="13"/>
  <c r="ILI84" i="13"/>
  <c r="ILH84" i="13"/>
  <c r="ILD84" i="13"/>
  <c r="ILC84" i="13"/>
  <c r="ILB84" i="13"/>
  <c r="ILA84" i="13"/>
  <c r="IKZ84" i="13"/>
  <c r="IKY84" i="13"/>
  <c r="IKX84" i="13"/>
  <c r="IKW84" i="13"/>
  <c r="IKV84" i="13"/>
  <c r="IKU84" i="13"/>
  <c r="IKT84" i="13"/>
  <c r="IKS84" i="13"/>
  <c r="IKR84" i="13"/>
  <c r="IKN84" i="13"/>
  <c r="IKM84" i="13"/>
  <c r="IKL84" i="13"/>
  <c r="IKK84" i="13"/>
  <c r="IKJ84" i="13"/>
  <c r="IKI84" i="13"/>
  <c r="IKH84" i="13"/>
  <c r="IKG84" i="13"/>
  <c r="IKF84" i="13"/>
  <c r="IKE84" i="13"/>
  <c r="IKD84" i="13"/>
  <c r="IKC84" i="13"/>
  <c r="IKB84" i="13"/>
  <c r="IJX84" i="13"/>
  <c r="IJW84" i="13"/>
  <c r="IJV84" i="13"/>
  <c r="IJU84" i="13"/>
  <c r="IJT84" i="13"/>
  <c r="IJS84" i="13"/>
  <c r="IJR84" i="13"/>
  <c r="IJQ84" i="13"/>
  <c r="IJP84" i="13"/>
  <c r="IJO84" i="13"/>
  <c r="IJN84" i="13"/>
  <c r="IJM84" i="13"/>
  <c r="IJL84" i="13"/>
  <c r="IJH84" i="13"/>
  <c r="IJG84" i="13"/>
  <c r="IJF84" i="13"/>
  <c r="IJE84" i="13"/>
  <c r="IJD84" i="13"/>
  <c r="IJC84" i="13"/>
  <c r="IJB84" i="13"/>
  <c r="IJA84" i="13"/>
  <c r="IIZ84" i="13"/>
  <c r="IIY84" i="13"/>
  <c r="IIX84" i="13"/>
  <c r="IIW84" i="13"/>
  <c r="IIV84" i="13"/>
  <c r="IIR84" i="13"/>
  <c r="IIQ84" i="13"/>
  <c r="IIP84" i="13"/>
  <c r="IIO84" i="13"/>
  <c r="IIN84" i="13"/>
  <c r="IIM84" i="13"/>
  <c r="IIL84" i="13"/>
  <c r="IIK84" i="13"/>
  <c r="IIJ84" i="13"/>
  <c r="III84" i="13"/>
  <c r="IIH84" i="13"/>
  <c r="IIG84" i="13"/>
  <c r="IIF84" i="13"/>
  <c r="IIB84" i="13"/>
  <c r="IIA84" i="13"/>
  <c r="IHZ84" i="13"/>
  <c r="IHY84" i="13"/>
  <c r="IHX84" i="13"/>
  <c r="IHW84" i="13"/>
  <c r="IHV84" i="13"/>
  <c r="IHU84" i="13"/>
  <c r="IHT84" i="13"/>
  <c r="IHS84" i="13"/>
  <c r="IHR84" i="13"/>
  <c r="IHQ84" i="13"/>
  <c r="IHP84" i="13"/>
  <c r="IHL84" i="13"/>
  <c r="IHK84" i="13"/>
  <c r="IHJ84" i="13"/>
  <c r="IHI84" i="13"/>
  <c r="IHH84" i="13"/>
  <c r="IHG84" i="13"/>
  <c r="IHF84" i="13"/>
  <c r="IHE84" i="13"/>
  <c r="IHD84" i="13"/>
  <c r="IHC84" i="13"/>
  <c r="IHB84" i="13"/>
  <c r="IHA84" i="13"/>
  <c r="IGZ84" i="13"/>
  <c r="IGV84" i="13"/>
  <c r="IGU84" i="13"/>
  <c r="IGT84" i="13"/>
  <c r="IGS84" i="13"/>
  <c r="IGR84" i="13"/>
  <c r="IGQ84" i="13"/>
  <c r="IGP84" i="13"/>
  <c r="IGO84" i="13"/>
  <c r="IGN84" i="13"/>
  <c r="IGM84" i="13"/>
  <c r="IGL84" i="13"/>
  <c r="IGK84" i="13"/>
  <c r="IGJ84" i="13"/>
  <c r="IGF84" i="13"/>
  <c r="IGE84" i="13"/>
  <c r="IGD84" i="13"/>
  <c r="IGC84" i="13"/>
  <c r="IGB84" i="13"/>
  <c r="IGA84" i="13"/>
  <c r="IFZ84" i="13"/>
  <c r="IFY84" i="13"/>
  <c r="IFX84" i="13"/>
  <c r="IFW84" i="13"/>
  <c r="IFV84" i="13"/>
  <c r="IFU84" i="13"/>
  <c r="IFT84" i="13"/>
  <c r="IFP84" i="13"/>
  <c r="IFO84" i="13"/>
  <c r="IFN84" i="13"/>
  <c r="IFM84" i="13"/>
  <c r="IFL84" i="13"/>
  <c r="IFK84" i="13"/>
  <c r="IFJ84" i="13"/>
  <c r="IFI84" i="13"/>
  <c r="IFH84" i="13"/>
  <c r="IFG84" i="13"/>
  <c r="IFF84" i="13"/>
  <c r="IFE84" i="13"/>
  <c r="IFD84" i="13"/>
  <c r="IEZ84" i="13"/>
  <c r="IEY84" i="13"/>
  <c r="IEX84" i="13"/>
  <c r="IEW84" i="13"/>
  <c r="IEV84" i="13"/>
  <c r="IEU84" i="13"/>
  <c r="IET84" i="13"/>
  <c r="IES84" i="13"/>
  <c r="IER84" i="13"/>
  <c r="IEQ84" i="13"/>
  <c r="IEP84" i="13"/>
  <c r="IEO84" i="13"/>
  <c r="IEN84" i="13"/>
  <c r="IEJ84" i="13"/>
  <c r="IEI84" i="13"/>
  <c r="IEH84" i="13"/>
  <c r="IEG84" i="13"/>
  <c r="IEF84" i="13"/>
  <c r="IEE84" i="13"/>
  <c r="IED84" i="13"/>
  <c r="IEC84" i="13"/>
  <c r="IEB84" i="13"/>
  <c r="IEA84" i="13"/>
  <c r="IDZ84" i="13"/>
  <c r="IDY84" i="13"/>
  <c r="IDX84" i="13"/>
  <c r="IDT84" i="13"/>
  <c r="IDS84" i="13"/>
  <c r="IDR84" i="13"/>
  <c r="IDQ84" i="13"/>
  <c r="IDP84" i="13"/>
  <c r="IDO84" i="13"/>
  <c r="IDN84" i="13"/>
  <c r="IDM84" i="13"/>
  <c r="IDL84" i="13"/>
  <c r="IDK84" i="13"/>
  <c r="IDJ84" i="13"/>
  <c r="IDI84" i="13"/>
  <c r="IDH84" i="13"/>
  <c r="IDD84" i="13"/>
  <c r="IDC84" i="13"/>
  <c r="IDB84" i="13"/>
  <c r="IDA84" i="13"/>
  <c r="ICZ84" i="13"/>
  <c r="ICY84" i="13"/>
  <c r="ICX84" i="13"/>
  <c r="ICW84" i="13"/>
  <c r="ICV84" i="13"/>
  <c r="ICU84" i="13"/>
  <c r="ICT84" i="13"/>
  <c r="ICS84" i="13"/>
  <c r="ICR84" i="13"/>
  <c r="ICN84" i="13"/>
  <c r="ICM84" i="13"/>
  <c r="ICL84" i="13"/>
  <c r="ICK84" i="13"/>
  <c r="ICJ84" i="13"/>
  <c r="ICI84" i="13"/>
  <c r="ICH84" i="13"/>
  <c r="ICG84" i="13"/>
  <c r="ICF84" i="13"/>
  <c r="ICE84" i="13"/>
  <c r="ICD84" i="13"/>
  <c r="ICC84" i="13"/>
  <c r="ICB84" i="13"/>
  <c r="IBX84" i="13"/>
  <c r="IBW84" i="13"/>
  <c r="IBV84" i="13"/>
  <c r="IBU84" i="13"/>
  <c r="IBT84" i="13"/>
  <c r="IBS84" i="13"/>
  <c r="IBR84" i="13"/>
  <c r="IBQ84" i="13"/>
  <c r="IBP84" i="13"/>
  <c r="IBO84" i="13"/>
  <c r="IBN84" i="13"/>
  <c r="IBM84" i="13"/>
  <c r="IBL84" i="13"/>
  <c r="IBH84" i="13"/>
  <c r="IBG84" i="13"/>
  <c r="IBF84" i="13"/>
  <c r="IBE84" i="13"/>
  <c r="IBD84" i="13"/>
  <c r="IBC84" i="13"/>
  <c r="IBB84" i="13"/>
  <c r="IBA84" i="13"/>
  <c r="IAZ84" i="13"/>
  <c r="IAY84" i="13"/>
  <c r="IAX84" i="13"/>
  <c r="IAW84" i="13"/>
  <c r="IAV84" i="13"/>
  <c r="IAR84" i="13"/>
  <c r="IAQ84" i="13"/>
  <c r="IAP84" i="13"/>
  <c r="IAO84" i="13"/>
  <c r="IAN84" i="13"/>
  <c r="IAM84" i="13"/>
  <c r="IAL84" i="13"/>
  <c r="IAK84" i="13"/>
  <c r="IAJ84" i="13"/>
  <c r="IAI84" i="13"/>
  <c r="IAH84" i="13"/>
  <c r="IAG84" i="13"/>
  <c r="IAF84" i="13"/>
  <c r="IAB84" i="13"/>
  <c r="IAA84" i="13"/>
  <c r="HZZ84" i="13"/>
  <c r="HZY84" i="13"/>
  <c r="HZX84" i="13"/>
  <c r="HZW84" i="13"/>
  <c r="HZV84" i="13"/>
  <c r="HZU84" i="13"/>
  <c r="HZT84" i="13"/>
  <c r="HZS84" i="13"/>
  <c r="HZR84" i="13"/>
  <c r="HZQ84" i="13"/>
  <c r="HZP84" i="13"/>
  <c r="HZL84" i="13"/>
  <c r="HZK84" i="13"/>
  <c r="HZJ84" i="13"/>
  <c r="HZI84" i="13"/>
  <c r="HZH84" i="13"/>
  <c r="HZG84" i="13"/>
  <c r="HZF84" i="13"/>
  <c r="HZE84" i="13"/>
  <c r="HZD84" i="13"/>
  <c r="HZC84" i="13"/>
  <c r="HZB84" i="13"/>
  <c r="HZA84" i="13"/>
  <c r="HYZ84" i="13"/>
  <c r="HYV84" i="13"/>
  <c r="HYU84" i="13"/>
  <c r="HYT84" i="13"/>
  <c r="HYS84" i="13"/>
  <c r="HYR84" i="13"/>
  <c r="HYQ84" i="13"/>
  <c r="HYP84" i="13"/>
  <c r="HYO84" i="13"/>
  <c r="HYN84" i="13"/>
  <c r="HYM84" i="13"/>
  <c r="HYL84" i="13"/>
  <c r="HYK84" i="13"/>
  <c r="HYJ84" i="13"/>
  <c r="HYF84" i="13"/>
  <c r="HYE84" i="13"/>
  <c r="HYD84" i="13"/>
  <c r="HYC84" i="13"/>
  <c r="HYB84" i="13"/>
  <c r="HYA84" i="13"/>
  <c r="HXZ84" i="13"/>
  <c r="HXY84" i="13"/>
  <c r="HXX84" i="13"/>
  <c r="HXW84" i="13"/>
  <c r="HXV84" i="13"/>
  <c r="HXU84" i="13"/>
  <c r="HXT84" i="13"/>
  <c r="HXP84" i="13"/>
  <c r="HXO84" i="13"/>
  <c r="HXN84" i="13"/>
  <c r="HXM84" i="13"/>
  <c r="HXL84" i="13"/>
  <c r="HXK84" i="13"/>
  <c r="HXJ84" i="13"/>
  <c r="HXI84" i="13"/>
  <c r="HXH84" i="13"/>
  <c r="HXG84" i="13"/>
  <c r="HXF84" i="13"/>
  <c r="HXE84" i="13"/>
  <c r="HXD84" i="13"/>
  <c r="HWZ84" i="13"/>
  <c r="HWY84" i="13"/>
  <c r="HWX84" i="13"/>
  <c r="HWW84" i="13"/>
  <c r="HWV84" i="13"/>
  <c r="HWU84" i="13"/>
  <c r="HWT84" i="13"/>
  <c r="HWS84" i="13"/>
  <c r="HWR84" i="13"/>
  <c r="HWQ84" i="13"/>
  <c r="HWP84" i="13"/>
  <c r="HWO84" i="13"/>
  <c r="HWN84" i="13"/>
  <c r="HWJ84" i="13"/>
  <c r="HWI84" i="13"/>
  <c r="HWH84" i="13"/>
  <c r="HWG84" i="13"/>
  <c r="HWF84" i="13"/>
  <c r="HWE84" i="13"/>
  <c r="HWD84" i="13"/>
  <c r="HWC84" i="13"/>
  <c r="HWB84" i="13"/>
  <c r="HWA84" i="13"/>
  <c r="HVZ84" i="13"/>
  <c r="HVY84" i="13"/>
  <c r="HVX84" i="13"/>
  <c r="HVT84" i="13"/>
  <c r="HVS84" i="13"/>
  <c r="HVR84" i="13"/>
  <c r="HVQ84" i="13"/>
  <c r="HVP84" i="13"/>
  <c r="HVO84" i="13"/>
  <c r="HVN84" i="13"/>
  <c r="HVM84" i="13"/>
  <c r="HVL84" i="13"/>
  <c r="HVK84" i="13"/>
  <c r="HVJ84" i="13"/>
  <c r="HVI84" i="13"/>
  <c r="HVH84" i="13"/>
  <c r="HVD84" i="13"/>
  <c r="HVC84" i="13"/>
  <c r="HVB84" i="13"/>
  <c r="HVA84" i="13"/>
  <c r="HUZ84" i="13"/>
  <c r="HUY84" i="13"/>
  <c r="HUX84" i="13"/>
  <c r="HUW84" i="13"/>
  <c r="HUV84" i="13"/>
  <c r="HUU84" i="13"/>
  <c r="HUT84" i="13"/>
  <c r="HUS84" i="13"/>
  <c r="HUR84" i="13"/>
  <c r="HUN84" i="13"/>
  <c r="HUM84" i="13"/>
  <c r="HUL84" i="13"/>
  <c r="HUK84" i="13"/>
  <c r="HUJ84" i="13"/>
  <c r="HUI84" i="13"/>
  <c r="HUH84" i="13"/>
  <c r="HUG84" i="13"/>
  <c r="HUF84" i="13"/>
  <c r="HUE84" i="13"/>
  <c r="HUD84" i="13"/>
  <c r="HUC84" i="13"/>
  <c r="HUB84" i="13"/>
  <c r="HTX84" i="13"/>
  <c r="HTW84" i="13"/>
  <c r="HTV84" i="13"/>
  <c r="HTU84" i="13"/>
  <c r="HTT84" i="13"/>
  <c r="HTS84" i="13"/>
  <c r="HTR84" i="13"/>
  <c r="HTQ84" i="13"/>
  <c r="HTP84" i="13"/>
  <c r="HTO84" i="13"/>
  <c r="HTN84" i="13"/>
  <c r="HTM84" i="13"/>
  <c r="HTL84" i="13"/>
  <c r="HTH84" i="13"/>
  <c r="HTG84" i="13"/>
  <c r="HTF84" i="13"/>
  <c r="HTE84" i="13"/>
  <c r="HTD84" i="13"/>
  <c r="HTC84" i="13"/>
  <c r="HTB84" i="13"/>
  <c r="HTA84" i="13"/>
  <c r="HSZ84" i="13"/>
  <c r="HSY84" i="13"/>
  <c r="HSX84" i="13"/>
  <c r="HSW84" i="13"/>
  <c r="HSV84" i="13"/>
  <c r="HSR84" i="13"/>
  <c r="HSQ84" i="13"/>
  <c r="HSP84" i="13"/>
  <c r="HSO84" i="13"/>
  <c r="HSN84" i="13"/>
  <c r="HSM84" i="13"/>
  <c r="HSL84" i="13"/>
  <c r="HSK84" i="13"/>
  <c r="HSJ84" i="13"/>
  <c r="HSI84" i="13"/>
  <c r="HSH84" i="13"/>
  <c r="HSG84" i="13"/>
  <c r="HSF84" i="13"/>
  <c r="HSB84" i="13"/>
  <c r="HSA84" i="13"/>
  <c r="HRZ84" i="13"/>
  <c r="HRY84" i="13"/>
  <c r="HRX84" i="13"/>
  <c r="HRW84" i="13"/>
  <c r="HRV84" i="13"/>
  <c r="HRU84" i="13"/>
  <c r="HRT84" i="13"/>
  <c r="HRS84" i="13"/>
  <c r="HRR84" i="13"/>
  <c r="HRQ84" i="13"/>
  <c r="HRP84" i="13"/>
  <c r="HRL84" i="13"/>
  <c r="HRK84" i="13"/>
  <c r="HRJ84" i="13"/>
  <c r="HRI84" i="13"/>
  <c r="HRH84" i="13"/>
  <c r="HRG84" i="13"/>
  <c r="HRF84" i="13"/>
  <c r="HRE84" i="13"/>
  <c r="HRD84" i="13"/>
  <c r="HRC84" i="13"/>
  <c r="HRB84" i="13"/>
  <c r="HRA84" i="13"/>
  <c r="HQZ84" i="13"/>
  <c r="HQV84" i="13"/>
  <c r="HQU84" i="13"/>
  <c r="HQT84" i="13"/>
  <c r="HQS84" i="13"/>
  <c r="HQR84" i="13"/>
  <c r="HQQ84" i="13"/>
  <c r="HQP84" i="13"/>
  <c r="HQO84" i="13"/>
  <c r="HQN84" i="13"/>
  <c r="HQM84" i="13"/>
  <c r="HQL84" i="13"/>
  <c r="HQK84" i="13"/>
  <c r="HQJ84" i="13"/>
  <c r="HQF84" i="13"/>
  <c r="HQE84" i="13"/>
  <c r="HQD84" i="13"/>
  <c r="HQC84" i="13"/>
  <c r="HQB84" i="13"/>
  <c r="HQA84" i="13"/>
  <c r="HPZ84" i="13"/>
  <c r="HPY84" i="13"/>
  <c r="HPX84" i="13"/>
  <c r="HPW84" i="13"/>
  <c r="HPV84" i="13"/>
  <c r="HPU84" i="13"/>
  <c r="HPT84" i="13"/>
  <c r="HPP84" i="13"/>
  <c r="HPO84" i="13"/>
  <c r="HPN84" i="13"/>
  <c r="HPM84" i="13"/>
  <c r="HPL84" i="13"/>
  <c r="HPK84" i="13"/>
  <c r="HPJ84" i="13"/>
  <c r="HPI84" i="13"/>
  <c r="HPH84" i="13"/>
  <c r="HPG84" i="13"/>
  <c r="HPF84" i="13"/>
  <c r="HPE84" i="13"/>
  <c r="HPD84" i="13"/>
  <c r="HOZ84" i="13"/>
  <c r="HOY84" i="13"/>
  <c r="HOX84" i="13"/>
  <c r="HOW84" i="13"/>
  <c r="HOV84" i="13"/>
  <c r="HOU84" i="13"/>
  <c r="HOT84" i="13"/>
  <c r="HOS84" i="13"/>
  <c r="HOR84" i="13"/>
  <c r="HOQ84" i="13"/>
  <c r="HOP84" i="13"/>
  <c r="HOO84" i="13"/>
  <c r="HON84" i="13"/>
  <c r="HOJ84" i="13"/>
  <c r="HOI84" i="13"/>
  <c r="HOH84" i="13"/>
  <c r="HOG84" i="13"/>
  <c r="HOF84" i="13"/>
  <c r="HOE84" i="13"/>
  <c r="HOD84" i="13"/>
  <c r="HOC84" i="13"/>
  <c r="HOB84" i="13"/>
  <c r="HOA84" i="13"/>
  <c r="HNZ84" i="13"/>
  <c r="HNY84" i="13"/>
  <c r="HNX84" i="13"/>
  <c r="HNT84" i="13"/>
  <c r="HNS84" i="13"/>
  <c r="HNR84" i="13"/>
  <c r="HNQ84" i="13"/>
  <c r="HNP84" i="13"/>
  <c r="HNO84" i="13"/>
  <c r="HNN84" i="13"/>
  <c r="HNM84" i="13"/>
  <c r="HNL84" i="13"/>
  <c r="HNK84" i="13"/>
  <c r="HNJ84" i="13"/>
  <c r="HNI84" i="13"/>
  <c r="HNH84" i="13"/>
  <c r="HND84" i="13"/>
  <c r="HNC84" i="13"/>
  <c r="HNB84" i="13"/>
  <c r="HNA84" i="13"/>
  <c r="HMZ84" i="13"/>
  <c r="HMY84" i="13"/>
  <c r="HMX84" i="13"/>
  <c r="HMW84" i="13"/>
  <c r="HMV84" i="13"/>
  <c r="HMU84" i="13"/>
  <c r="HMT84" i="13"/>
  <c r="HMS84" i="13"/>
  <c r="HMR84" i="13"/>
  <c r="HMN84" i="13"/>
  <c r="HMM84" i="13"/>
  <c r="HML84" i="13"/>
  <c r="HMK84" i="13"/>
  <c r="HMJ84" i="13"/>
  <c r="HMI84" i="13"/>
  <c r="HMH84" i="13"/>
  <c r="HMG84" i="13"/>
  <c r="HMF84" i="13"/>
  <c r="HME84" i="13"/>
  <c r="HMD84" i="13"/>
  <c r="HMC84" i="13"/>
  <c r="HMB84" i="13"/>
  <c r="HLX84" i="13"/>
  <c r="HLW84" i="13"/>
  <c r="HLV84" i="13"/>
  <c r="HLU84" i="13"/>
  <c r="HLT84" i="13"/>
  <c r="HLS84" i="13"/>
  <c r="HLR84" i="13"/>
  <c r="HLQ84" i="13"/>
  <c r="HLP84" i="13"/>
  <c r="HLO84" i="13"/>
  <c r="HLN84" i="13"/>
  <c r="HLM84" i="13"/>
  <c r="HLL84" i="13"/>
  <c r="HLH84" i="13"/>
  <c r="HLG84" i="13"/>
  <c r="HLF84" i="13"/>
  <c r="HLE84" i="13"/>
  <c r="HLD84" i="13"/>
  <c r="HLC84" i="13"/>
  <c r="HLB84" i="13"/>
  <c r="HLA84" i="13"/>
  <c r="HKZ84" i="13"/>
  <c r="HKY84" i="13"/>
  <c r="HKX84" i="13"/>
  <c r="HKW84" i="13"/>
  <c r="HKV84" i="13"/>
  <c r="HKR84" i="13"/>
  <c r="HKQ84" i="13"/>
  <c r="HKP84" i="13"/>
  <c r="HKO84" i="13"/>
  <c r="HKN84" i="13"/>
  <c r="HKM84" i="13"/>
  <c r="HKL84" i="13"/>
  <c r="HKK84" i="13"/>
  <c r="HKJ84" i="13"/>
  <c r="HKI84" i="13"/>
  <c r="HKH84" i="13"/>
  <c r="HKG84" i="13"/>
  <c r="HKF84" i="13"/>
  <c r="HKB84" i="13"/>
  <c r="HKA84" i="13"/>
  <c r="HJZ84" i="13"/>
  <c r="HJY84" i="13"/>
  <c r="HJX84" i="13"/>
  <c r="HJW84" i="13"/>
  <c r="HJV84" i="13"/>
  <c r="HJU84" i="13"/>
  <c r="HJT84" i="13"/>
  <c r="HJS84" i="13"/>
  <c r="HJR84" i="13"/>
  <c r="HJQ84" i="13"/>
  <c r="HJP84" i="13"/>
  <c r="HJL84" i="13"/>
  <c r="HJK84" i="13"/>
  <c r="HJJ84" i="13"/>
  <c r="HJI84" i="13"/>
  <c r="HJH84" i="13"/>
  <c r="HJG84" i="13"/>
  <c r="HJF84" i="13"/>
  <c r="HJE84" i="13"/>
  <c r="HJD84" i="13"/>
  <c r="HJC84" i="13"/>
  <c r="HJB84" i="13"/>
  <c r="HJA84" i="13"/>
  <c r="HIZ84" i="13"/>
  <c r="HIV84" i="13"/>
  <c r="HIU84" i="13"/>
  <c r="HIT84" i="13"/>
  <c r="HIS84" i="13"/>
  <c r="HIR84" i="13"/>
  <c r="HIQ84" i="13"/>
  <c r="HIP84" i="13"/>
  <c r="HIO84" i="13"/>
  <c r="HIN84" i="13"/>
  <c r="HIM84" i="13"/>
  <c r="HIL84" i="13"/>
  <c r="HIK84" i="13"/>
  <c r="HIJ84" i="13"/>
  <c r="HIF84" i="13"/>
  <c r="HIE84" i="13"/>
  <c r="HID84" i="13"/>
  <c r="HIC84" i="13"/>
  <c r="HIB84" i="13"/>
  <c r="HIA84" i="13"/>
  <c r="HHZ84" i="13"/>
  <c r="HHY84" i="13"/>
  <c r="HHX84" i="13"/>
  <c r="HHW84" i="13"/>
  <c r="HHV84" i="13"/>
  <c r="HHU84" i="13"/>
  <c r="HHT84" i="13"/>
  <c r="HHP84" i="13"/>
  <c r="HHO84" i="13"/>
  <c r="HHN84" i="13"/>
  <c r="HHM84" i="13"/>
  <c r="HHL84" i="13"/>
  <c r="HHK84" i="13"/>
  <c r="HHJ84" i="13"/>
  <c r="HHI84" i="13"/>
  <c r="HHH84" i="13"/>
  <c r="HHG84" i="13"/>
  <c r="HHF84" i="13"/>
  <c r="HHE84" i="13"/>
  <c r="HHD84" i="13"/>
  <c r="HGZ84" i="13"/>
  <c r="HGY84" i="13"/>
  <c r="HGX84" i="13"/>
  <c r="HGW84" i="13"/>
  <c r="HGV84" i="13"/>
  <c r="HGU84" i="13"/>
  <c r="HGT84" i="13"/>
  <c r="HGS84" i="13"/>
  <c r="HGR84" i="13"/>
  <c r="HGQ84" i="13"/>
  <c r="HGP84" i="13"/>
  <c r="HGO84" i="13"/>
  <c r="HGN84" i="13"/>
  <c r="HGJ84" i="13"/>
  <c r="HGI84" i="13"/>
  <c r="HGH84" i="13"/>
  <c r="HGG84" i="13"/>
  <c r="HGF84" i="13"/>
  <c r="HGE84" i="13"/>
  <c r="HGD84" i="13"/>
  <c r="HGC84" i="13"/>
  <c r="HGB84" i="13"/>
  <c r="HGA84" i="13"/>
  <c r="HFZ84" i="13"/>
  <c r="HFY84" i="13"/>
  <c r="HFX84" i="13"/>
  <c r="HFT84" i="13"/>
  <c r="HFS84" i="13"/>
  <c r="HFR84" i="13"/>
  <c r="HFQ84" i="13"/>
  <c r="HFP84" i="13"/>
  <c r="HFO84" i="13"/>
  <c r="HFN84" i="13"/>
  <c r="HFM84" i="13"/>
  <c r="HFL84" i="13"/>
  <c r="HFK84" i="13"/>
  <c r="HFJ84" i="13"/>
  <c r="HFI84" i="13"/>
  <c r="HFH84" i="13"/>
  <c r="HFD84" i="13"/>
  <c r="HFC84" i="13"/>
  <c r="HFB84" i="13"/>
  <c r="HFA84" i="13"/>
  <c r="HEZ84" i="13"/>
  <c r="HEY84" i="13"/>
  <c r="HEX84" i="13"/>
  <c r="HEW84" i="13"/>
  <c r="HEV84" i="13"/>
  <c r="HEU84" i="13"/>
  <c r="HET84" i="13"/>
  <c r="HES84" i="13"/>
  <c r="HER84" i="13"/>
  <c r="HEN84" i="13"/>
  <c r="HEM84" i="13"/>
  <c r="HEL84" i="13"/>
  <c r="HEK84" i="13"/>
  <c r="HEJ84" i="13"/>
  <c r="HEI84" i="13"/>
  <c r="HEH84" i="13"/>
  <c r="HEG84" i="13"/>
  <c r="HEF84" i="13"/>
  <c r="HEE84" i="13"/>
  <c r="HED84" i="13"/>
  <c r="HEC84" i="13"/>
  <c r="HEB84" i="13"/>
  <c r="HDX84" i="13"/>
  <c r="HDW84" i="13"/>
  <c r="HDV84" i="13"/>
  <c r="HDU84" i="13"/>
  <c r="HDT84" i="13"/>
  <c r="HDS84" i="13"/>
  <c r="HDR84" i="13"/>
  <c r="HDQ84" i="13"/>
  <c r="HDP84" i="13"/>
  <c r="HDO84" i="13"/>
  <c r="HDN84" i="13"/>
  <c r="HDM84" i="13"/>
  <c r="HDL84" i="13"/>
  <c r="HDH84" i="13"/>
  <c r="HDG84" i="13"/>
  <c r="HDF84" i="13"/>
  <c r="HDE84" i="13"/>
  <c r="HDD84" i="13"/>
  <c r="HDC84" i="13"/>
  <c r="HDB84" i="13"/>
  <c r="HDA84" i="13"/>
  <c r="HCZ84" i="13"/>
  <c r="HCY84" i="13"/>
  <c r="HCX84" i="13"/>
  <c r="HCW84" i="13"/>
  <c r="HCV84" i="13"/>
  <c r="HCR84" i="13"/>
  <c r="HCQ84" i="13"/>
  <c r="HCP84" i="13"/>
  <c r="HCO84" i="13"/>
  <c r="HCN84" i="13"/>
  <c r="HCM84" i="13"/>
  <c r="HCL84" i="13"/>
  <c r="HCK84" i="13"/>
  <c r="HCJ84" i="13"/>
  <c r="HCI84" i="13"/>
  <c r="HCH84" i="13"/>
  <c r="HCG84" i="13"/>
  <c r="HCF84" i="13"/>
  <c r="HCB84" i="13"/>
  <c r="HCA84" i="13"/>
  <c r="HBZ84" i="13"/>
  <c r="HBY84" i="13"/>
  <c r="HBX84" i="13"/>
  <c r="HBW84" i="13"/>
  <c r="HBV84" i="13"/>
  <c r="HBU84" i="13"/>
  <c r="HBT84" i="13"/>
  <c r="HBS84" i="13"/>
  <c r="HBR84" i="13"/>
  <c r="HBQ84" i="13"/>
  <c r="HBP84" i="13"/>
  <c r="HBL84" i="13"/>
  <c r="HBK84" i="13"/>
  <c r="HBJ84" i="13"/>
  <c r="HBI84" i="13"/>
  <c r="HBH84" i="13"/>
  <c r="HBG84" i="13"/>
  <c r="HBF84" i="13"/>
  <c r="HBE84" i="13"/>
  <c r="HBD84" i="13"/>
  <c r="HBC84" i="13"/>
  <c r="HBB84" i="13"/>
  <c r="HBA84" i="13"/>
  <c r="HAZ84" i="13"/>
  <c r="HAV84" i="13"/>
  <c r="HAU84" i="13"/>
  <c r="HAT84" i="13"/>
  <c r="HAS84" i="13"/>
  <c r="HAR84" i="13"/>
  <c r="HAQ84" i="13"/>
  <c r="HAP84" i="13"/>
  <c r="HAO84" i="13"/>
  <c r="HAN84" i="13"/>
  <c r="HAM84" i="13"/>
  <c r="HAL84" i="13"/>
  <c r="HAK84" i="13"/>
  <c r="HAJ84" i="13"/>
  <c r="HAF84" i="13"/>
  <c r="HAE84" i="13"/>
  <c r="HAD84" i="13"/>
  <c r="HAC84" i="13"/>
  <c r="HAB84" i="13"/>
  <c r="HAA84" i="13"/>
  <c r="GZZ84" i="13"/>
  <c r="GZY84" i="13"/>
  <c r="GZX84" i="13"/>
  <c r="GZW84" i="13"/>
  <c r="GZV84" i="13"/>
  <c r="GZU84" i="13"/>
  <c r="GZT84" i="13"/>
  <c r="GZP84" i="13"/>
  <c r="GZO84" i="13"/>
  <c r="GZN84" i="13"/>
  <c r="GZM84" i="13"/>
  <c r="GZL84" i="13"/>
  <c r="GZK84" i="13"/>
  <c r="GZJ84" i="13"/>
  <c r="GZI84" i="13"/>
  <c r="GZH84" i="13"/>
  <c r="GZG84" i="13"/>
  <c r="GZF84" i="13"/>
  <c r="GZE84" i="13"/>
  <c r="GZD84" i="13"/>
  <c r="GYZ84" i="13"/>
  <c r="GYY84" i="13"/>
  <c r="GYX84" i="13"/>
  <c r="GYW84" i="13"/>
  <c r="GYV84" i="13"/>
  <c r="GYU84" i="13"/>
  <c r="GYT84" i="13"/>
  <c r="GYS84" i="13"/>
  <c r="GYR84" i="13"/>
  <c r="GYQ84" i="13"/>
  <c r="GYP84" i="13"/>
  <c r="GYO84" i="13"/>
  <c r="GYN84" i="13"/>
  <c r="GYJ84" i="13"/>
  <c r="GYI84" i="13"/>
  <c r="GYH84" i="13"/>
  <c r="GYG84" i="13"/>
  <c r="GYF84" i="13"/>
  <c r="GYE84" i="13"/>
  <c r="GYD84" i="13"/>
  <c r="GYC84" i="13"/>
  <c r="GYB84" i="13"/>
  <c r="GYA84" i="13"/>
  <c r="GXZ84" i="13"/>
  <c r="GXY84" i="13"/>
  <c r="GXX84" i="13"/>
  <c r="GXT84" i="13"/>
  <c r="GXS84" i="13"/>
  <c r="GXR84" i="13"/>
  <c r="GXQ84" i="13"/>
  <c r="GXP84" i="13"/>
  <c r="GXO84" i="13"/>
  <c r="GXN84" i="13"/>
  <c r="GXM84" i="13"/>
  <c r="GXL84" i="13"/>
  <c r="GXK84" i="13"/>
  <c r="GXJ84" i="13"/>
  <c r="GXI84" i="13"/>
  <c r="GXH84" i="13"/>
  <c r="GXD84" i="13"/>
  <c r="GXC84" i="13"/>
  <c r="GXB84" i="13"/>
  <c r="GXA84" i="13"/>
  <c r="GWZ84" i="13"/>
  <c r="GWY84" i="13"/>
  <c r="GWX84" i="13"/>
  <c r="GWW84" i="13"/>
  <c r="GWV84" i="13"/>
  <c r="GWU84" i="13"/>
  <c r="GWT84" i="13"/>
  <c r="GWS84" i="13"/>
  <c r="GWR84" i="13"/>
  <c r="GWN84" i="13"/>
  <c r="GWM84" i="13"/>
  <c r="GWL84" i="13"/>
  <c r="GWK84" i="13"/>
  <c r="GWJ84" i="13"/>
  <c r="GWI84" i="13"/>
  <c r="GWH84" i="13"/>
  <c r="GWG84" i="13"/>
  <c r="GWF84" i="13"/>
  <c r="GWE84" i="13"/>
  <c r="GWD84" i="13"/>
  <c r="GWC84" i="13"/>
  <c r="GWB84" i="13"/>
  <c r="GVX84" i="13"/>
  <c r="GVW84" i="13"/>
  <c r="GVV84" i="13"/>
  <c r="GVU84" i="13"/>
  <c r="GVT84" i="13"/>
  <c r="GVS84" i="13"/>
  <c r="GVR84" i="13"/>
  <c r="GVQ84" i="13"/>
  <c r="GVP84" i="13"/>
  <c r="GVO84" i="13"/>
  <c r="GVN84" i="13"/>
  <c r="GVM84" i="13"/>
  <c r="GVL84" i="13"/>
  <c r="GVH84" i="13"/>
  <c r="GVG84" i="13"/>
  <c r="GVF84" i="13"/>
  <c r="GVE84" i="13"/>
  <c r="GVD84" i="13"/>
  <c r="GVC84" i="13"/>
  <c r="GVB84" i="13"/>
  <c r="GVA84" i="13"/>
  <c r="GUZ84" i="13"/>
  <c r="GUY84" i="13"/>
  <c r="GUX84" i="13"/>
  <c r="GUW84" i="13"/>
  <c r="GUV84" i="13"/>
  <c r="GUR84" i="13"/>
  <c r="GUQ84" i="13"/>
  <c r="GUP84" i="13"/>
  <c r="GUO84" i="13"/>
  <c r="GUN84" i="13"/>
  <c r="GUM84" i="13"/>
  <c r="GUL84" i="13"/>
  <c r="GUK84" i="13"/>
  <c r="GUJ84" i="13"/>
  <c r="GUI84" i="13"/>
  <c r="GUH84" i="13"/>
  <c r="GUG84" i="13"/>
  <c r="GUF84" i="13"/>
  <c r="GUB84" i="13"/>
  <c r="GUA84" i="13"/>
  <c r="GTZ84" i="13"/>
  <c r="GTY84" i="13"/>
  <c r="GTX84" i="13"/>
  <c r="GTW84" i="13"/>
  <c r="GTV84" i="13"/>
  <c r="GTU84" i="13"/>
  <c r="GTT84" i="13"/>
  <c r="GTS84" i="13"/>
  <c r="GTR84" i="13"/>
  <c r="GTQ84" i="13"/>
  <c r="GTP84" i="13"/>
  <c r="GTL84" i="13"/>
  <c r="GTK84" i="13"/>
  <c r="GTJ84" i="13"/>
  <c r="GTI84" i="13"/>
  <c r="GTH84" i="13"/>
  <c r="GTG84" i="13"/>
  <c r="GTF84" i="13"/>
  <c r="GTE84" i="13"/>
  <c r="GTD84" i="13"/>
  <c r="GTC84" i="13"/>
  <c r="GTB84" i="13"/>
  <c r="GTA84" i="13"/>
  <c r="GSZ84" i="13"/>
  <c r="GSV84" i="13"/>
  <c r="GSU84" i="13"/>
  <c r="GST84" i="13"/>
  <c r="GSS84" i="13"/>
  <c r="GSR84" i="13"/>
  <c r="GSQ84" i="13"/>
  <c r="GSP84" i="13"/>
  <c r="GSO84" i="13"/>
  <c r="GSN84" i="13"/>
  <c r="GSM84" i="13"/>
  <c r="GSL84" i="13"/>
  <c r="GSK84" i="13"/>
  <c r="GSJ84" i="13"/>
  <c r="GSF84" i="13"/>
  <c r="GSE84" i="13"/>
  <c r="GSD84" i="13"/>
  <c r="GSC84" i="13"/>
  <c r="GSB84" i="13"/>
  <c r="GSA84" i="13"/>
  <c r="GRZ84" i="13"/>
  <c r="GRY84" i="13"/>
  <c r="GRX84" i="13"/>
  <c r="GRW84" i="13"/>
  <c r="GRV84" i="13"/>
  <c r="GRU84" i="13"/>
  <c r="GRT84" i="13"/>
  <c r="GRP84" i="13"/>
  <c r="GRO84" i="13"/>
  <c r="GRN84" i="13"/>
  <c r="GRM84" i="13"/>
  <c r="GRL84" i="13"/>
  <c r="GRK84" i="13"/>
  <c r="GRJ84" i="13"/>
  <c r="GRI84" i="13"/>
  <c r="GRH84" i="13"/>
  <c r="GRG84" i="13"/>
  <c r="GRF84" i="13"/>
  <c r="GRE84" i="13"/>
  <c r="GRD84" i="13"/>
  <c r="GQZ84" i="13"/>
  <c r="GQY84" i="13"/>
  <c r="GQX84" i="13"/>
  <c r="GQW84" i="13"/>
  <c r="GQV84" i="13"/>
  <c r="GQU84" i="13"/>
  <c r="GQT84" i="13"/>
  <c r="GQS84" i="13"/>
  <c r="GQR84" i="13"/>
  <c r="GQQ84" i="13"/>
  <c r="GQP84" i="13"/>
  <c r="GQO84" i="13"/>
  <c r="GQN84" i="13"/>
  <c r="GQJ84" i="13"/>
  <c r="GQI84" i="13"/>
  <c r="GQH84" i="13"/>
  <c r="GQG84" i="13"/>
  <c r="GQF84" i="13"/>
  <c r="GQE84" i="13"/>
  <c r="GQD84" i="13"/>
  <c r="GQC84" i="13"/>
  <c r="GQB84" i="13"/>
  <c r="GQA84" i="13"/>
  <c r="GPZ84" i="13"/>
  <c r="GPY84" i="13"/>
  <c r="GPX84" i="13"/>
  <c r="GPT84" i="13"/>
  <c r="GPS84" i="13"/>
  <c r="GPR84" i="13"/>
  <c r="GPQ84" i="13"/>
  <c r="GPP84" i="13"/>
  <c r="GPO84" i="13"/>
  <c r="GPN84" i="13"/>
  <c r="GPM84" i="13"/>
  <c r="GPL84" i="13"/>
  <c r="GPK84" i="13"/>
  <c r="GPJ84" i="13"/>
  <c r="GPI84" i="13"/>
  <c r="GPH84" i="13"/>
  <c r="GPD84" i="13"/>
  <c r="GPC84" i="13"/>
  <c r="GPB84" i="13"/>
  <c r="GPA84" i="13"/>
  <c r="GOZ84" i="13"/>
  <c r="GOY84" i="13"/>
  <c r="GOX84" i="13"/>
  <c r="GOW84" i="13"/>
  <c r="GOV84" i="13"/>
  <c r="GOU84" i="13"/>
  <c r="GOT84" i="13"/>
  <c r="GOS84" i="13"/>
  <c r="GOR84" i="13"/>
  <c r="GON84" i="13"/>
  <c r="GOM84" i="13"/>
  <c r="GOL84" i="13"/>
  <c r="GOK84" i="13"/>
  <c r="GOJ84" i="13"/>
  <c r="GOI84" i="13"/>
  <c r="GOH84" i="13"/>
  <c r="GOG84" i="13"/>
  <c r="GOF84" i="13"/>
  <c r="GOE84" i="13"/>
  <c r="GOD84" i="13"/>
  <c r="GOC84" i="13"/>
  <c r="GOB84" i="13"/>
  <c r="GNX84" i="13"/>
  <c r="GNW84" i="13"/>
  <c r="GNV84" i="13"/>
  <c r="GNU84" i="13"/>
  <c r="GNT84" i="13"/>
  <c r="GNS84" i="13"/>
  <c r="GNR84" i="13"/>
  <c r="GNQ84" i="13"/>
  <c r="GNP84" i="13"/>
  <c r="GNO84" i="13"/>
  <c r="GNN84" i="13"/>
  <c r="GNM84" i="13"/>
  <c r="GNL84" i="13"/>
  <c r="GNH84" i="13"/>
  <c r="GNG84" i="13"/>
  <c r="GNF84" i="13"/>
  <c r="GNE84" i="13"/>
  <c r="GND84" i="13"/>
  <c r="GNC84" i="13"/>
  <c r="GNB84" i="13"/>
  <c r="GNA84" i="13"/>
  <c r="GMZ84" i="13"/>
  <c r="GMY84" i="13"/>
  <c r="GMX84" i="13"/>
  <c r="GMW84" i="13"/>
  <c r="GMV84" i="13"/>
  <c r="GMR84" i="13"/>
  <c r="GMQ84" i="13"/>
  <c r="GMP84" i="13"/>
  <c r="GMO84" i="13"/>
  <c r="GMN84" i="13"/>
  <c r="GMM84" i="13"/>
  <c r="GML84" i="13"/>
  <c r="GMK84" i="13"/>
  <c r="GMJ84" i="13"/>
  <c r="GMI84" i="13"/>
  <c r="GMH84" i="13"/>
  <c r="GMG84" i="13"/>
  <c r="GMF84" i="13"/>
  <c r="GMB84" i="13"/>
  <c r="GMA84" i="13"/>
  <c r="GLZ84" i="13"/>
  <c r="GLY84" i="13"/>
  <c r="GLX84" i="13"/>
  <c r="GLW84" i="13"/>
  <c r="GLV84" i="13"/>
  <c r="GLU84" i="13"/>
  <c r="GLT84" i="13"/>
  <c r="GLS84" i="13"/>
  <c r="GLR84" i="13"/>
  <c r="GLQ84" i="13"/>
  <c r="GLP84" i="13"/>
  <c r="GLL84" i="13"/>
  <c r="GLK84" i="13"/>
  <c r="GLJ84" i="13"/>
  <c r="GLI84" i="13"/>
  <c r="GLH84" i="13"/>
  <c r="GLG84" i="13"/>
  <c r="GLF84" i="13"/>
  <c r="GLE84" i="13"/>
  <c r="GLD84" i="13"/>
  <c r="GLC84" i="13"/>
  <c r="GLB84" i="13"/>
  <c r="GLA84" i="13"/>
  <c r="GKZ84" i="13"/>
  <c r="GKV84" i="13"/>
  <c r="GKU84" i="13"/>
  <c r="GKT84" i="13"/>
  <c r="GKS84" i="13"/>
  <c r="GKR84" i="13"/>
  <c r="GKQ84" i="13"/>
  <c r="GKP84" i="13"/>
  <c r="GKO84" i="13"/>
  <c r="GKN84" i="13"/>
  <c r="GKM84" i="13"/>
  <c r="GKL84" i="13"/>
  <c r="GKK84" i="13"/>
  <c r="GKJ84" i="13"/>
  <c r="GKF84" i="13"/>
  <c r="GKE84" i="13"/>
  <c r="GKD84" i="13"/>
  <c r="GKC84" i="13"/>
  <c r="GKB84" i="13"/>
  <c r="GKA84" i="13"/>
  <c r="GJZ84" i="13"/>
  <c r="GJY84" i="13"/>
  <c r="GJX84" i="13"/>
  <c r="GJW84" i="13"/>
  <c r="GJV84" i="13"/>
  <c r="GJU84" i="13"/>
  <c r="GJT84" i="13"/>
  <c r="GJP84" i="13"/>
  <c r="GJO84" i="13"/>
  <c r="GJN84" i="13"/>
  <c r="GJM84" i="13"/>
  <c r="GJL84" i="13"/>
  <c r="GJK84" i="13"/>
  <c r="GJJ84" i="13"/>
  <c r="GJI84" i="13"/>
  <c r="GJH84" i="13"/>
  <c r="GJG84" i="13"/>
  <c r="GJF84" i="13"/>
  <c r="GJE84" i="13"/>
  <c r="GJD84" i="13"/>
  <c r="GIZ84" i="13"/>
  <c r="GIY84" i="13"/>
  <c r="GIX84" i="13"/>
  <c r="GIW84" i="13"/>
  <c r="GIV84" i="13"/>
  <c r="GIU84" i="13"/>
  <c r="GIT84" i="13"/>
  <c r="GIS84" i="13"/>
  <c r="GIR84" i="13"/>
  <c r="GIQ84" i="13"/>
  <c r="GIP84" i="13"/>
  <c r="GIO84" i="13"/>
  <c r="GIN84" i="13"/>
  <c r="GIJ84" i="13"/>
  <c r="GII84" i="13"/>
  <c r="GIH84" i="13"/>
  <c r="GIG84" i="13"/>
  <c r="GIF84" i="13"/>
  <c r="GIE84" i="13"/>
  <c r="GID84" i="13"/>
  <c r="GIC84" i="13"/>
  <c r="GIB84" i="13"/>
  <c r="GIA84" i="13"/>
  <c r="GHZ84" i="13"/>
  <c r="GHY84" i="13"/>
  <c r="GHX84" i="13"/>
  <c r="GHT84" i="13"/>
  <c r="GHS84" i="13"/>
  <c r="GHR84" i="13"/>
  <c r="GHQ84" i="13"/>
  <c r="GHP84" i="13"/>
  <c r="GHO84" i="13"/>
  <c r="GHN84" i="13"/>
  <c r="GHM84" i="13"/>
  <c r="GHL84" i="13"/>
  <c r="GHK84" i="13"/>
  <c r="GHJ84" i="13"/>
  <c r="GHI84" i="13"/>
  <c r="GHH84" i="13"/>
  <c r="GHD84" i="13"/>
  <c r="GHC84" i="13"/>
  <c r="GHB84" i="13"/>
  <c r="GHA84" i="13"/>
  <c r="GGZ84" i="13"/>
  <c r="GGY84" i="13"/>
  <c r="GGX84" i="13"/>
  <c r="GGW84" i="13"/>
  <c r="GGV84" i="13"/>
  <c r="GGU84" i="13"/>
  <c r="GGT84" i="13"/>
  <c r="GGS84" i="13"/>
  <c r="GGR84" i="13"/>
  <c r="GGN84" i="13"/>
  <c r="GGM84" i="13"/>
  <c r="GGL84" i="13"/>
  <c r="GGK84" i="13"/>
  <c r="GGJ84" i="13"/>
  <c r="GGI84" i="13"/>
  <c r="GGH84" i="13"/>
  <c r="GGG84" i="13"/>
  <c r="GGF84" i="13"/>
  <c r="GGE84" i="13"/>
  <c r="GGD84" i="13"/>
  <c r="GGC84" i="13"/>
  <c r="GGB84" i="13"/>
  <c r="GFX84" i="13"/>
  <c r="GFW84" i="13"/>
  <c r="GFV84" i="13"/>
  <c r="GFU84" i="13"/>
  <c r="GFT84" i="13"/>
  <c r="GFS84" i="13"/>
  <c r="GFR84" i="13"/>
  <c r="GFQ84" i="13"/>
  <c r="GFP84" i="13"/>
  <c r="GFO84" i="13"/>
  <c r="GFN84" i="13"/>
  <c r="GFM84" i="13"/>
  <c r="GFL84" i="13"/>
  <c r="GFH84" i="13"/>
  <c r="GFG84" i="13"/>
  <c r="GFF84" i="13"/>
  <c r="GFE84" i="13"/>
  <c r="GFD84" i="13"/>
  <c r="GFC84" i="13"/>
  <c r="GFB84" i="13"/>
  <c r="GFA84" i="13"/>
  <c r="GEZ84" i="13"/>
  <c r="GEY84" i="13"/>
  <c r="GEX84" i="13"/>
  <c r="GEW84" i="13"/>
  <c r="GEV84" i="13"/>
  <c r="GER84" i="13"/>
  <c r="GEQ84" i="13"/>
  <c r="GEP84" i="13"/>
  <c r="GEO84" i="13"/>
  <c r="GEN84" i="13"/>
  <c r="GEM84" i="13"/>
  <c r="GEL84" i="13"/>
  <c r="GEK84" i="13"/>
  <c r="GEJ84" i="13"/>
  <c r="GEI84" i="13"/>
  <c r="GEH84" i="13"/>
  <c r="GEG84" i="13"/>
  <c r="GEF84" i="13"/>
  <c r="GEB84" i="13"/>
  <c r="GEA84" i="13"/>
  <c r="GDZ84" i="13"/>
  <c r="GDY84" i="13"/>
  <c r="GDX84" i="13"/>
  <c r="GDW84" i="13"/>
  <c r="GDV84" i="13"/>
  <c r="GDU84" i="13"/>
  <c r="GDT84" i="13"/>
  <c r="GDS84" i="13"/>
  <c r="GDR84" i="13"/>
  <c r="GDQ84" i="13"/>
  <c r="GDP84" i="13"/>
  <c r="GDL84" i="13"/>
  <c r="GDK84" i="13"/>
  <c r="GDJ84" i="13"/>
  <c r="GDI84" i="13"/>
  <c r="GDH84" i="13"/>
  <c r="GDG84" i="13"/>
  <c r="GDF84" i="13"/>
  <c r="GDE84" i="13"/>
  <c r="GDD84" i="13"/>
  <c r="GDC84" i="13"/>
  <c r="GDB84" i="13"/>
  <c r="GDA84" i="13"/>
  <c r="GCZ84" i="13"/>
  <c r="GCV84" i="13"/>
  <c r="GCU84" i="13"/>
  <c r="GCT84" i="13"/>
  <c r="GCS84" i="13"/>
  <c r="GCR84" i="13"/>
  <c r="GCQ84" i="13"/>
  <c r="GCP84" i="13"/>
  <c r="GCO84" i="13"/>
  <c r="GCN84" i="13"/>
  <c r="GCM84" i="13"/>
  <c r="GCL84" i="13"/>
  <c r="GCK84" i="13"/>
  <c r="GCJ84" i="13"/>
  <c r="GCF84" i="13"/>
  <c r="GCE84" i="13"/>
  <c r="GCD84" i="13"/>
  <c r="GCC84" i="13"/>
  <c r="GCB84" i="13"/>
  <c r="GCA84" i="13"/>
  <c r="GBZ84" i="13"/>
  <c r="GBY84" i="13"/>
  <c r="GBX84" i="13"/>
  <c r="GBW84" i="13"/>
  <c r="GBV84" i="13"/>
  <c r="GBU84" i="13"/>
  <c r="GBT84" i="13"/>
  <c r="GBP84" i="13"/>
  <c r="GBO84" i="13"/>
  <c r="GBN84" i="13"/>
  <c r="GBM84" i="13"/>
  <c r="GBL84" i="13"/>
  <c r="GBK84" i="13"/>
  <c r="GBJ84" i="13"/>
  <c r="GBI84" i="13"/>
  <c r="GBH84" i="13"/>
  <c r="GBG84" i="13"/>
  <c r="GBF84" i="13"/>
  <c r="GBE84" i="13"/>
  <c r="GBD84" i="13"/>
  <c r="GAZ84" i="13"/>
  <c r="GAY84" i="13"/>
  <c r="GAX84" i="13"/>
  <c r="GAW84" i="13"/>
  <c r="GAV84" i="13"/>
  <c r="GAU84" i="13"/>
  <c r="GAT84" i="13"/>
  <c r="GAS84" i="13"/>
  <c r="GAR84" i="13"/>
  <c r="GAQ84" i="13"/>
  <c r="GAP84" i="13"/>
  <c r="GAO84" i="13"/>
  <c r="GAN84" i="13"/>
  <c r="GAJ84" i="13"/>
  <c r="GAI84" i="13"/>
  <c r="GAH84" i="13"/>
  <c r="GAG84" i="13"/>
  <c r="GAF84" i="13"/>
  <c r="GAE84" i="13"/>
  <c r="GAD84" i="13"/>
  <c r="GAC84" i="13"/>
  <c r="GAB84" i="13"/>
  <c r="GAA84" i="13"/>
  <c r="FZZ84" i="13"/>
  <c r="FZY84" i="13"/>
  <c r="FZX84" i="13"/>
  <c r="FZT84" i="13"/>
  <c r="FZS84" i="13"/>
  <c r="FZR84" i="13"/>
  <c r="FZQ84" i="13"/>
  <c r="FZP84" i="13"/>
  <c r="FZO84" i="13"/>
  <c r="FZN84" i="13"/>
  <c r="FZM84" i="13"/>
  <c r="FZL84" i="13"/>
  <c r="FZK84" i="13"/>
  <c r="FZJ84" i="13"/>
  <c r="FZI84" i="13"/>
  <c r="FZH84" i="13"/>
  <c r="FZD84" i="13"/>
  <c r="FZC84" i="13"/>
  <c r="FZB84" i="13"/>
  <c r="FZA84" i="13"/>
  <c r="FYZ84" i="13"/>
  <c r="FYY84" i="13"/>
  <c r="FYX84" i="13"/>
  <c r="FYW84" i="13"/>
  <c r="FYV84" i="13"/>
  <c r="FYU84" i="13"/>
  <c r="FYT84" i="13"/>
  <c r="FYS84" i="13"/>
  <c r="FYR84" i="13"/>
  <c r="FYN84" i="13"/>
  <c r="FYM84" i="13"/>
  <c r="FYL84" i="13"/>
  <c r="FYK84" i="13"/>
  <c r="FYJ84" i="13"/>
  <c r="FYI84" i="13"/>
  <c r="FYH84" i="13"/>
  <c r="FYG84" i="13"/>
  <c r="FYF84" i="13"/>
  <c r="FYE84" i="13"/>
  <c r="FYD84" i="13"/>
  <c r="FYC84" i="13"/>
  <c r="FYB84" i="13"/>
  <c r="FXX84" i="13"/>
  <c r="FXW84" i="13"/>
  <c r="FXV84" i="13"/>
  <c r="FXU84" i="13"/>
  <c r="FXT84" i="13"/>
  <c r="FXS84" i="13"/>
  <c r="FXR84" i="13"/>
  <c r="FXQ84" i="13"/>
  <c r="FXP84" i="13"/>
  <c r="FXO84" i="13"/>
  <c r="FXN84" i="13"/>
  <c r="FXM84" i="13"/>
  <c r="FXL84" i="13"/>
  <c r="FXH84" i="13"/>
  <c r="FXG84" i="13"/>
  <c r="FXF84" i="13"/>
  <c r="FXE84" i="13"/>
  <c r="FXD84" i="13"/>
  <c r="FXC84" i="13"/>
  <c r="FXB84" i="13"/>
  <c r="FXA84" i="13"/>
  <c r="FWZ84" i="13"/>
  <c r="FWY84" i="13"/>
  <c r="FWX84" i="13"/>
  <c r="FWW84" i="13"/>
  <c r="FWV84" i="13"/>
  <c r="FWR84" i="13"/>
  <c r="FWQ84" i="13"/>
  <c r="FWP84" i="13"/>
  <c r="FWO84" i="13"/>
  <c r="FWN84" i="13"/>
  <c r="FWM84" i="13"/>
  <c r="FWL84" i="13"/>
  <c r="FWK84" i="13"/>
  <c r="FWJ84" i="13"/>
  <c r="FWI84" i="13"/>
  <c r="FWH84" i="13"/>
  <c r="FWG84" i="13"/>
  <c r="FWF84" i="13"/>
  <c r="FWB84" i="13"/>
  <c r="FWA84" i="13"/>
  <c r="FVZ84" i="13"/>
  <c r="FVY84" i="13"/>
  <c r="FVX84" i="13"/>
  <c r="FVW84" i="13"/>
  <c r="FVV84" i="13"/>
  <c r="FVU84" i="13"/>
  <c r="FVT84" i="13"/>
  <c r="FVS84" i="13"/>
  <c r="FVR84" i="13"/>
  <c r="FVQ84" i="13"/>
  <c r="FVP84" i="13"/>
  <c r="FVL84" i="13"/>
  <c r="FVK84" i="13"/>
  <c r="FVJ84" i="13"/>
  <c r="FVI84" i="13"/>
  <c r="FVH84" i="13"/>
  <c r="FVG84" i="13"/>
  <c r="FVF84" i="13"/>
  <c r="FVE84" i="13"/>
  <c r="FVD84" i="13"/>
  <c r="FVC84" i="13"/>
  <c r="FVB84" i="13"/>
  <c r="FVA84" i="13"/>
  <c r="FUZ84" i="13"/>
  <c r="FUV84" i="13"/>
  <c r="FUU84" i="13"/>
  <c r="FUT84" i="13"/>
  <c r="FUS84" i="13"/>
  <c r="FUR84" i="13"/>
  <c r="FUQ84" i="13"/>
  <c r="FUP84" i="13"/>
  <c r="FUO84" i="13"/>
  <c r="FUN84" i="13"/>
  <c r="FUM84" i="13"/>
  <c r="FUL84" i="13"/>
  <c r="FUK84" i="13"/>
  <c r="FUJ84" i="13"/>
  <c r="FUF84" i="13"/>
  <c r="FUE84" i="13"/>
  <c r="FUD84" i="13"/>
  <c r="FUC84" i="13"/>
  <c r="FUB84" i="13"/>
  <c r="FUA84" i="13"/>
  <c r="FTZ84" i="13"/>
  <c r="FTY84" i="13"/>
  <c r="FTX84" i="13"/>
  <c r="FTW84" i="13"/>
  <c r="FTV84" i="13"/>
  <c r="FTU84" i="13"/>
  <c r="FTT84" i="13"/>
  <c r="FTP84" i="13"/>
  <c r="FTO84" i="13"/>
  <c r="FTN84" i="13"/>
  <c r="FTM84" i="13"/>
  <c r="FTL84" i="13"/>
  <c r="FTK84" i="13"/>
  <c r="FTJ84" i="13"/>
  <c r="FTI84" i="13"/>
  <c r="FTH84" i="13"/>
  <c r="FTG84" i="13"/>
  <c r="FTF84" i="13"/>
  <c r="FTE84" i="13"/>
  <c r="FTD84" i="13"/>
  <c r="FSZ84" i="13"/>
  <c r="FSY84" i="13"/>
  <c r="FSX84" i="13"/>
  <c r="FSW84" i="13"/>
  <c r="FSV84" i="13"/>
  <c r="FSU84" i="13"/>
  <c r="FST84" i="13"/>
  <c r="FSS84" i="13"/>
  <c r="FSR84" i="13"/>
  <c r="FSQ84" i="13"/>
  <c r="FSP84" i="13"/>
  <c r="FSO84" i="13"/>
  <c r="FSN84" i="13"/>
  <c r="FSJ84" i="13"/>
  <c r="FSI84" i="13"/>
  <c r="FSH84" i="13"/>
  <c r="FSG84" i="13"/>
  <c r="FSF84" i="13"/>
  <c r="FSE84" i="13"/>
  <c r="FSD84" i="13"/>
  <c r="FSC84" i="13"/>
  <c r="FSB84" i="13"/>
  <c r="FSA84" i="13"/>
  <c r="FRZ84" i="13"/>
  <c r="FRY84" i="13"/>
  <c r="FRX84" i="13"/>
  <c r="FRT84" i="13"/>
  <c r="FRS84" i="13"/>
  <c r="FRR84" i="13"/>
  <c r="FRQ84" i="13"/>
  <c r="FRP84" i="13"/>
  <c r="FRO84" i="13"/>
  <c r="FRN84" i="13"/>
  <c r="FRM84" i="13"/>
  <c r="FRL84" i="13"/>
  <c r="FRK84" i="13"/>
  <c r="FRJ84" i="13"/>
  <c r="FRI84" i="13"/>
  <c r="FRH84" i="13"/>
  <c r="FRD84" i="13"/>
  <c r="FRC84" i="13"/>
  <c r="FRB84" i="13"/>
  <c r="FRA84" i="13"/>
  <c r="FQZ84" i="13"/>
  <c r="FQY84" i="13"/>
  <c r="FQX84" i="13"/>
  <c r="FQW84" i="13"/>
  <c r="FQV84" i="13"/>
  <c r="FQU84" i="13"/>
  <c r="FQT84" i="13"/>
  <c r="FQS84" i="13"/>
  <c r="FQR84" i="13"/>
  <c r="FQN84" i="13"/>
  <c r="FQM84" i="13"/>
  <c r="FQL84" i="13"/>
  <c r="FQK84" i="13"/>
  <c r="FQJ84" i="13"/>
  <c r="FQI84" i="13"/>
  <c r="FQH84" i="13"/>
  <c r="FQG84" i="13"/>
  <c r="FQF84" i="13"/>
  <c r="FQE84" i="13"/>
  <c r="FQD84" i="13"/>
  <c r="FQC84" i="13"/>
  <c r="FQB84" i="13"/>
  <c r="FPX84" i="13"/>
  <c r="FPW84" i="13"/>
  <c r="FPV84" i="13"/>
  <c r="FPU84" i="13"/>
  <c r="FPT84" i="13"/>
  <c r="FPS84" i="13"/>
  <c r="FPR84" i="13"/>
  <c r="FPQ84" i="13"/>
  <c r="FPP84" i="13"/>
  <c r="FPO84" i="13"/>
  <c r="FPN84" i="13"/>
  <c r="FPM84" i="13"/>
  <c r="FPL84" i="13"/>
  <c r="FPH84" i="13"/>
  <c r="FPG84" i="13"/>
  <c r="FPF84" i="13"/>
  <c r="FPE84" i="13"/>
  <c r="FPD84" i="13"/>
  <c r="FPC84" i="13"/>
  <c r="FPB84" i="13"/>
  <c r="FPA84" i="13"/>
  <c r="FOZ84" i="13"/>
  <c r="FOY84" i="13"/>
  <c r="FOX84" i="13"/>
  <c r="FOW84" i="13"/>
  <c r="FOV84" i="13"/>
  <c r="FOR84" i="13"/>
  <c r="FOQ84" i="13"/>
  <c r="FOP84" i="13"/>
  <c r="FOO84" i="13"/>
  <c r="FON84" i="13"/>
  <c r="FOM84" i="13"/>
  <c r="FOL84" i="13"/>
  <c r="FOK84" i="13"/>
  <c r="FOJ84" i="13"/>
  <c r="FOI84" i="13"/>
  <c r="FOH84" i="13"/>
  <c r="FOG84" i="13"/>
  <c r="FOF84" i="13"/>
  <c r="FOB84" i="13"/>
  <c r="FOA84" i="13"/>
  <c r="FNZ84" i="13"/>
  <c r="FNY84" i="13"/>
  <c r="FNX84" i="13"/>
  <c r="FNW84" i="13"/>
  <c r="FNV84" i="13"/>
  <c r="FNU84" i="13"/>
  <c r="FNT84" i="13"/>
  <c r="FNS84" i="13"/>
  <c r="FNR84" i="13"/>
  <c r="FNQ84" i="13"/>
  <c r="FNP84" i="13"/>
  <c r="FNL84" i="13"/>
  <c r="FNK84" i="13"/>
  <c r="FNJ84" i="13"/>
  <c r="FNI84" i="13"/>
  <c r="FNH84" i="13"/>
  <c r="FNG84" i="13"/>
  <c r="FNF84" i="13"/>
  <c r="FNE84" i="13"/>
  <c r="FND84" i="13"/>
  <c r="FNC84" i="13"/>
  <c r="FNB84" i="13"/>
  <c r="FNA84" i="13"/>
  <c r="FMZ84" i="13"/>
  <c r="FMV84" i="13"/>
  <c r="FMU84" i="13"/>
  <c r="FMT84" i="13"/>
  <c r="FMS84" i="13"/>
  <c r="FMR84" i="13"/>
  <c r="FMQ84" i="13"/>
  <c r="FMP84" i="13"/>
  <c r="FMO84" i="13"/>
  <c r="FMN84" i="13"/>
  <c r="FMM84" i="13"/>
  <c r="FML84" i="13"/>
  <c r="FMK84" i="13"/>
  <c r="FMJ84" i="13"/>
  <c r="FMF84" i="13"/>
  <c r="FME84" i="13"/>
  <c r="FMD84" i="13"/>
  <c r="FMC84" i="13"/>
  <c r="FMB84" i="13"/>
  <c r="FMA84" i="13"/>
  <c r="FLZ84" i="13"/>
  <c r="FLY84" i="13"/>
  <c r="FLX84" i="13"/>
  <c r="FLW84" i="13"/>
  <c r="FLV84" i="13"/>
  <c r="FLU84" i="13"/>
  <c r="FLT84" i="13"/>
  <c r="FLP84" i="13"/>
  <c r="FLO84" i="13"/>
  <c r="FLN84" i="13"/>
  <c r="FLM84" i="13"/>
  <c r="FLL84" i="13"/>
  <c r="FLK84" i="13"/>
  <c r="FLJ84" i="13"/>
  <c r="FLI84" i="13"/>
  <c r="FLH84" i="13"/>
  <c r="FLG84" i="13"/>
  <c r="FLF84" i="13"/>
  <c r="FLE84" i="13"/>
  <c r="FLD84" i="13"/>
  <c r="FKZ84" i="13"/>
  <c r="FKY84" i="13"/>
  <c r="FKX84" i="13"/>
  <c r="FKW84" i="13"/>
  <c r="FKV84" i="13"/>
  <c r="FKU84" i="13"/>
  <c r="FKT84" i="13"/>
  <c r="FKS84" i="13"/>
  <c r="FKR84" i="13"/>
  <c r="FKQ84" i="13"/>
  <c r="FKP84" i="13"/>
  <c r="FKO84" i="13"/>
  <c r="FKN84" i="13"/>
  <c r="FKJ84" i="13"/>
  <c r="FKI84" i="13"/>
  <c r="FKH84" i="13"/>
  <c r="FKG84" i="13"/>
  <c r="FKF84" i="13"/>
  <c r="FKE84" i="13"/>
  <c r="FKD84" i="13"/>
  <c r="FKC84" i="13"/>
  <c r="FKB84" i="13"/>
  <c r="FKA84" i="13"/>
  <c r="FJZ84" i="13"/>
  <c r="FJY84" i="13"/>
  <c r="FJX84" i="13"/>
  <c r="FJT84" i="13"/>
  <c r="FJS84" i="13"/>
  <c r="FJR84" i="13"/>
  <c r="FJQ84" i="13"/>
  <c r="FJP84" i="13"/>
  <c r="FJO84" i="13"/>
  <c r="FJN84" i="13"/>
  <c r="FJM84" i="13"/>
  <c r="FJL84" i="13"/>
  <c r="FJK84" i="13"/>
  <c r="FJJ84" i="13"/>
  <c r="FJI84" i="13"/>
  <c r="FJH84" i="13"/>
  <c r="FJD84" i="13"/>
  <c r="FJC84" i="13"/>
  <c r="FJB84" i="13"/>
  <c r="FJA84" i="13"/>
  <c r="FIZ84" i="13"/>
  <c r="FIY84" i="13"/>
  <c r="FIX84" i="13"/>
  <c r="FIW84" i="13"/>
  <c r="FIV84" i="13"/>
  <c r="FIU84" i="13"/>
  <c r="FIT84" i="13"/>
  <c r="FIS84" i="13"/>
  <c r="FIR84" i="13"/>
  <c r="FIN84" i="13"/>
  <c r="FIM84" i="13"/>
  <c r="FIL84" i="13"/>
  <c r="FIK84" i="13"/>
  <c r="FIJ84" i="13"/>
  <c r="FII84" i="13"/>
  <c r="FIH84" i="13"/>
  <c r="FIG84" i="13"/>
  <c r="FIF84" i="13"/>
  <c r="FIE84" i="13"/>
  <c r="FID84" i="13"/>
  <c r="FIC84" i="13"/>
  <c r="FIB84" i="13"/>
  <c r="FHX84" i="13"/>
  <c r="FHW84" i="13"/>
  <c r="FHV84" i="13"/>
  <c r="FHU84" i="13"/>
  <c r="FHT84" i="13"/>
  <c r="FHS84" i="13"/>
  <c r="FHR84" i="13"/>
  <c r="FHQ84" i="13"/>
  <c r="FHP84" i="13"/>
  <c r="FHO84" i="13"/>
  <c r="FHN84" i="13"/>
  <c r="FHM84" i="13"/>
  <c r="FHL84" i="13"/>
  <c r="FHH84" i="13"/>
  <c r="FHG84" i="13"/>
  <c r="FHF84" i="13"/>
  <c r="FHE84" i="13"/>
  <c r="FHD84" i="13"/>
  <c r="FHC84" i="13"/>
  <c r="FHB84" i="13"/>
  <c r="FHA84" i="13"/>
  <c r="FGZ84" i="13"/>
  <c r="FGY84" i="13"/>
  <c r="FGX84" i="13"/>
  <c r="FGW84" i="13"/>
  <c r="FGV84" i="13"/>
  <c r="FGR84" i="13"/>
  <c r="FGQ84" i="13"/>
  <c r="FGP84" i="13"/>
  <c r="FGO84" i="13"/>
  <c r="FGN84" i="13"/>
  <c r="FGM84" i="13"/>
  <c r="FGL84" i="13"/>
  <c r="FGK84" i="13"/>
  <c r="FGJ84" i="13"/>
  <c r="FGI84" i="13"/>
  <c r="FGH84" i="13"/>
  <c r="FGG84" i="13"/>
  <c r="FGF84" i="13"/>
  <c r="FGB84" i="13"/>
  <c r="FGA84" i="13"/>
  <c r="FFZ84" i="13"/>
  <c r="FFY84" i="13"/>
  <c r="FFX84" i="13"/>
  <c r="FFW84" i="13"/>
  <c r="FFV84" i="13"/>
  <c r="FFU84" i="13"/>
  <c r="FFT84" i="13"/>
  <c r="FFS84" i="13"/>
  <c r="FFR84" i="13"/>
  <c r="FFQ84" i="13"/>
  <c r="FFP84" i="13"/>
  <c r="FFL84" i="13"/>
  <c r="FFK84" i="13"/>
  <c r="FFJ84" i="13"/>
  <c r="FFI84" i="13"/>
  <c r="FFH84" i="13"/>
  <c r="FFG84" i="13"/>
  <c r="FFF84" i="13"/>
  <c r="FFE84" i="13"/>
  <c r="FFD84" i="13"/>
  <c r="FFC84" i="13"/>
  <c r="FFB84" i="13"/>
  <c r="FFA84" i="13"/>
  <c r="FEZ84" i="13"/>
  <c r="FEV84" i="13"/>
  <c r="FEU84" i="13"/>
  <c r="FET84" i="13"/>
  <c r="FES84" i="13"/>
  <c r="FER84" i="13"/>
  <c r="FEQ84" i="13"/>
  <c r="FEP84" i="13"/>
  <c r="FEO84" i="13"/>
  <c r="FEN84" i="13"/>
  <c r="FEM84" i="13"/>
  <c r="FEL84" i="13"/>
  <c r="FEK84" i="13"/>
  <c r="FEJ84" i="13"/>
  <c r="FEF84" i="13"/>
  <c r="FEE84" i="13"/>
  <c r="FED84" i="13"/>
  <c r="FEC84" i="13"/>
  <c r="FEB84" i="13"/>
  <c r="FEA84" i="13"/>
  <c r="FDZ84" i="13"/>
  <c r="FDY84" i="13"/>
  <c r="FDX84" i="13"/>
  <c r="FDW84" i="13"/>
  <c r="FDV84" i="13"/>
  <c r="FDU84" i="13"/>
  <c r="FDT84" i="13"/>
  <c r="FDP84" i="13"/>
  <c r="FDO84" i="13"/>
  <c r="FDN84" i="13"/>
  <c r="FDM84" i="13"/>
  <c r="FDL84" i="13"/>
  <c r="FDK84" i="13"/>
  <c r="FDJ84" i="13"/>
  <c r="FDI84" i="13"/>
  <c r="FDH84" i="13"/>
  <c r="FDG84" i="13"/>
  <c r="FDF84" i="13"/>
  <c r="FDE84" i="13"/>
  <c r="FDD84" i="13"/>
  <c r="FCZ84" i="13"/>
  <c r="FCY84" i="13"/>
  <c r="FCX84" i="13"/>
  <c r="FCW84" i="13"/>
  <c r="FCV84" i="13"/>
  <c r="FCU84" i="13"/>
  <c r="FCT84" i="13"/>
  <c r="FCS84" i="13"/>
  <c r="FCR84" i="13"/>
  <c r="FCQ84" i="13"/>
  <c r="FCP84" i="13"/>
  <c r="FCO84" i="13"/>
  <c r="FCN84" i="13"/>
  <c r="FCJ84" i="13"/>
  <c r="FCI84" i="13"/>
  <c r="FCH84" i="13"/>
  <c r="FCG84" i="13"/>
  <c r="FCF84" i="13"/>
  <c r="FCE84" i="13"/>
  <c r="FCD84" i="13"/>
  <c r="FCC84" i="13"/>
  <c r="FCB84" i="13"/>
  <c r="FCA84" i="13"/>
  <c r="FBZ84" i="13"/>
  <c r="FBY84" i="13"/>
  <c r="FBX84" i="13"/>
  <c r="FBT84" i="13"/>
  <c r="FBS84" i="13"/>
  <c r="FBR84" i="13"/>
  <c r="FBQ84" i="13"/>
  <c r="FBP84" i="13"/>
  <c r="FBO84" i="13"/>
  <c r="FBN84" i="13"/>
  <c r="FBM84" i="13"/>
  <c r="FBL84" i="13"/>
  <c r="FBK84" i="13"/>
  <c r="FBJ84" i="13"/>
  <c r="FBI84" i="13"/>
  <c r="FBH84" i="13"/>
  <c r="FBD84" i="13"/>
  <c r="FBC84" i="13"/>
  <c r="FBB84" i="13"/>
  <c r="FBA84" i="13"/>
  <c r="FAZ84" i="13"/>
  <c r="FAY84" i="13"/>
  <c r="FAX84" i="13"/>
  <c r="FAW84" i="13"/>
  <c r="FAV84" i="13"/>
  <c r="FAU84" i="13"/>
  <c r="FAT84" i="13"/>
  <c r="FAS84" i="13"/>
  <c r="FAR84" i="13"/>
  <c r="FAN84" i="13"/>
  <c r="FAM84" i="13"/>
  <c r="FAL84" i="13"/>
  <c r="FAK84" i="13"/>
  <c r="FAJ84" i="13"/>
  <c r="FAI84" i="13"/>
  <c r="FAH84" i="13"/>
  <c r="FAG84" i="13"/>
  <c r="FAF84" i="13"/>
  <c r="FAE84" i="13"/>
  <c r="FAD84" i="13"/>
  <c r="FAC84" i="13"/>
  <c r="FAB84" i="13"/>
  <c r="EZX84" i="13"/>
  <c r="EZW84" i="13"/>
  <c r="EZV84" i="13"/>
  <c r="EZU84" i="13"/>
  <c r="EZT84" i="13"/>
  <c r="EZS84" i="13"/>
  <c r="EZR84" i="13"/>
  <c r="EZQ84" i="13"/>
  <c r="EZP84" i="13"/>
  <c r="EZO84" i="13"/>
  <c r="EZN84" i="13"/>
  <c r="EZM84" i="13"/>
  <c r="EZL84" i="13"/>
  <c r="EZH84" i="13"/>
  <c r="EZG84" i="13"/>
  <c r="EZF84" i="13"/>
  <c r="EZE84" i="13"/>
  <c r="EZD84" i="13"/>
  <c r="EZC84" i="13"/>
  <c r="EZB84" i="13"/>
  <c r="EZA84" i="13"/>
  <c r="EYZ84" i="13"/>
  <c r="EYY84" i="13"/>
  <c r="EYX84" i="13"/>
  <c r="EYW84" i="13"/>
  <c r="EYV84" i="13"/>
  <c r="EYR84" i="13"/>
  <c r="EYQ84" i="13"/>
  <c r="EYP84" i="13"/>
  <c r="EYO84" i="13"/>
  <c r="EYN84" i="13"/>
  <c r="EYM84" i="13"/>
  <c r="EYL84" i="13"/>
  <c r="EYK84" i="13"/>
  <c r="EYJ84" i="13"/>
  <c r="EYI84" i="13"/>
  <c r="EYH84" i="13"/>
  <c r="EYG84" i="13"/>
  <c r="EYF84" i="13"/>
  <c r="EYB84" i="13"/>
  <c r="EYA84" i="13"/>
  <c r="EXZ84" i="13"/>
  <c r="EXY84" i="13"/>
  <c r="EXX84" i="13"/>
  <c r="EXW84" i="13"/>
  <c r="EXV84" i="13"/>
  <c r="EXU84" i="13"/>
  <c r="EXT84" i="13"/>
  <c r="EXS84" i="13"/>
  <c r="EXR84" i="13"/>
  <c r="EXQ84" i="13"/>
  <c r="EXP84" i="13"/>
  <c r="EXL84" i="13"/>
  <c r="EXK84" i="13"/>
  <c r="EXJ84" i="13"/>
  <c r="EXI84" i="13"/>
  <c r="EXH84" i="13"/>
  <c r="EXG84" i="13"/>
  <c r="EXF84" i="13"/>
  <c r="EXE84" i="13"/>
  <c r="EXD84" i="13"/>
  <c r="EXC84" i="13"/>
  <c r="EXB84" i="13"/>
  <c r="EXA84" i="13"/>
  <c r="EWZ84" i="13"/>
  <c r="EWV84" i="13"/>
  <c r="EWU84" i="13"/>
  <c r="EWT84" i="13"/>
  <c r="EWS84" i="13"/>
  <c r="EWR84" i="13"/>
  <c r="EWQ84" i="13"/>
  <c r="EWP84" i="13"/>
  <c r="EWO84" i="13"/>
  <c r="EWN84" i="13"/>
  <c r="EWM84" i="13"/>
  <c r="EWL84" i="13"/>
  <c r="EWK84" i="13"/>
  <c r="EWJ84" i="13"/>
  <c r="EWF84" i="13"/>
  <c r="EWE84" i="13"/>
  <c r="EWD84" i="13"/>
  <c r="EWC84" i="13"/>
  <c r="EWB84" i="13"/>
  <c r="EWA84" i="13"/>
  <c r="EVZ84" i="13"/>
  <c r="EVY84" i="13"/>
  <c r="EVX84" i="13"/>
  <c r="EVW84" i="13"/>
  <c r="EVV84" i="13"/>
  <c r="EVU84" i="13"/>
  <c r="EVT84" i="13"/>
  <c r="EVP84" i="13"/>
  <c r="EVO84" i="13"/>
  <c r="EVN84" i="13"/>
  <c r="EVM84" i="13"/>
  <c r="EVL84" i="13"/>
  <c r="EVK84" i="13"/>
  <c r="EVJ84" i="13"/>
  <c r="EVI84" i="13"/>
  <c r="EVH84" i="13"/>
  <c r="EVG84" i="13"/>
  <c r="EVF84" i="13"/>
  <c r="EVE84" i="13"/>
  <c r="EVD84" i="13"/>
  <c r="EUZ84" i="13"/>
  <c r="EUY84" i="13"/>
  <c r="EUX84" i="13"/>
  <c r="EUW84" i="13"/>
  <c r="EUV84" i="13"/>
  <c r="EUU84" i="13"/>
  <c r="EUT84" i="13"/>
  <c r="EUS84" i="13"/>
  <c r="EUR84" i="13"/>
  <c r="EUQ84" i="13"/>
  <c r="EUP84" i="13"/>
  <c r="EUO84" i="13"/>
  <c r="EUN84" i="13"/>
  <c r="EUJ84" i="13"/>
  <c r="EUI84" i="13"/>
  <c r="EUH84" i="13"/>
  <c r="EUG84" i="13"/>
  <c r="EUF84" i="13"/>
  <c r="EUE84" i="13"/>
  <c r="EUD84" i="13"/>
  <c r="EUC84" i="13"/>
  <c r="EUB84" i="13"/>
  <c r="EUA84" i="13"/>
  <c r="ETZ84" i="13"/>
  <c r="ETY84" i="13"/>
  <c r="ETX84" i="13"/>
  <c r="ETT84" i="13"/>
  <c r="ETS84" i="13"/>
  <c r="ETR84" i="13"/>
  <c r="ETQ84" i="13"/>
  <c r="ETP84" i="13"/>
  <c r="ETO84" i="13"/>
  <c r="ETN84" i="13"/>
  <c r="ETM84" i="13"/>
  <c r="ETL84" i="13"/>
  <c r="ETK84" i="13"/>
  <c r="ETJ84" i="13"/>
  <c r="ETI84" i="13"/>
  <c r="ETH84" i="13"/>
  <c r="ETD84" i="13"/>
  <c r="ETC84" i="13"/>
  <c r="ETB84" i="13"/>
  <c r="ETA84" i="13"/>
  <c r="ESZ84" i="13"/>
  <c r="ESY84" i="13"/>
  <c r="ESX84" i="13"/>
  <c r="ESW84" i="13"/>
  <c r="ESV84" i="13"/>
  <c r="ESU84" i="13"/>
  <c r="EST84" i="13"/>
  <c r="ESS84" i="13"/>
  <c r="ESR84" i="13"/>
  <c r="ESN84" i="13"/>
  <c r="ESM84" i="13"/>
  <c r="ESL84" i="13"/>
  <c r="ESK84" i="13"/>
  <c r="ESJ84" i="13"/>
  <c r="ESI84" i="13"/>
  <c r="ESH84" i="13"/>
  <c r="ESG84" i="13"/>
  <c r="ESF84" i="13"/>
  <c r="ESE84" i="13"/>
  <c r="ESD84" i="13"/>
  <c r="ESC84" i="13"/>
  <c r="ESB84" i="13"/>
  <c r="ERX84" i="13"/>
  <c r="ERW84" i="13"/>
  <c r="ERV84" i="13"/>
  <c r="ERU84" i="13"/>
  <c r="ERT84" i="13"/>
  <c r="ERS84" i="13"/>
  <c r="ERR84" i="13"/>
  <c r="ERQ84" i="13"/>
  <c r="ERP84" i="13"/>
  <c r="ERO84" i="13"/>
  <c r="ERN84" i="13"/>
  <c r="ERM84" i="13"/>
  <c r="ERL84" i="13"/>
  <c r="ERH84" i="13"/>
  <c r="ERG84" i="13"/>
  <c r="ERF84" i="13"/>
  <c r="ERE84" i="13"/>
  <c r="ERD84" i="13"/>
  <c r="ERC84" i="13"/>
  <c r="ERB84" i="13"/>
  <c r="ERA84" i="13"/>
  <c r="EQZ84" i="13"/>
  <c r="EQY84" i="13"/>
  <c r="EQX84" i="13"/>
  <c r="EQW84" i="13"/>
  <c r="EQV84" i="13"/>
  <c r="EQR84" i="13"/>
  <c r="EQQ84" i="13"/>
  <c r="EQP84" i="13"/>
  <c r="EQO84" i="13"/>
  <c r="EQN84" i="13"/>
  <c r="EQM84" i="13"/>
  <c r="EQL84" i="13"/>
  <c r="EQK84" i="13"/>
  <c r="EQJ84" i="13"/>
  <c r="EQI84" i="13"/>
  <c r="EQH84" i="13"/>
  <c r="EQG84" i="13"/>
  <c r="EQF84" i="13"/>
  <c r="EQB84" i="13"/>
  <c r="EQA84" i="13"/>
  <c r="EPZ84" i="13"/>
  <c r="EPY84" i="13"/>
  <c r="EPX84" i="13"/>
  <c r="EPW84" i="13"/>
  <c r="EPV84" i="13"/>
  <c r="EPU84" i="13"/>
  <c r="EPT84" i="13"/>
  <c r="EPS84" i="13"/>
  <c r="EPR84" i="13"/>
  <c r="EPQ84" i="13"/>
  <c r="EPP84" i="13"/>
  <c r="EPL84" i="13"/>
  <c r="EPK84" i="13"/>
  <c r="EPJ84" i="13"/>
  <c r="EPI84" i="13"/>
  <c r="EPH84" i="13"/>
  <c r="EPG84" i="13"/>
  <c r="EPF84" i="13"/>
  <c r="EPE84" i="13"/>
  <c r="EPD84" i="13"/>
  <c r="EPC84" i="13"/>
  <c r="EPB84" i="13"/>
  <c r="EPA84" i="13"/>
  <c r="EOZ84" i="13"/>
  <c r="EOV84" i="13"/>
  <c r="EOU84" i="13"/>
  <c r="EOT84" i="13"/>
  <c r="EOS84" i="13"/>
  <c r="EOR84" i="13"/>
  <c r="EOQ84" i="13"/>
  <c r="EOP84" i="13"/>
  <c r="EOO84" i="13"/>
  <c r="EON84" i="13"/>
  <c r="EOM84" i="13"/>
  <c r="EOL84" i="13"/>
  <c r="EOK84" i="13"/>
  <c r="EOJ84" i="13"/>
  <c r="EOF84" i="13"/>
  <c r="EOE84" i="13"/>
  <c r="EOD84" i="13"/>
  <c r="EOC84" i="13"/>
  <c r="EOB84" i="13"/>
  <c r="EOA84" i="13"/>
  <c r="ENZ84" i="13"/>
  <c r="ENY84" i="13"/>
  <c r="ENX84" i="13"/>
  <c r="ENW84" i="13"/>
  <c r="ENV84" i="13"/>
  <c r="ENU84" i="13"/>
  <c r="ENT84" i="13"/>
  <c r="ENP84" i="13"/>
  <c r="ENO84" i="13"/>
  <c r="ENN84" i="13"/>
  <c r="ENM84" i="13"/>
  <c r="ENL84" i="13"/>
  <c r="ENK84" i="13"/>
  <c r="ENJ84" i="13"/>
  <c r="ENI84" i="13"/>
  <c r="ENH84" i="13"/>
  <c r="ENG84" i="13"/>
  <c r="ENF84" i="13"/>
  <c r="ENE84" i="13"/>
  <c r="END84" i="13"/>
  <c r="EMZ84" i="13"/>
  <c r="EMY84" i="13"/>
  <c r="EMX84" i="13"/>
  <c r="EMW84" i="13"/>
  <c r="EMV84" i="13"/>
  <c r="EMU84" i="13"/>
  <c r="EMT84" i="13"/>
  <c r="EMS84" i="13"/>
  <c r="EMR84" i="13"/>
  <c r="EMQ84" i="13"/>
  <c r="EMP84" i="13"/>
  <c r="EMO84" i="13"/>
  <c r="EMN84" i="13"/>
  <c r="EMJ84" i="13"/>
  <c r="EMI84" i="13"/>
  <c r="EMH84" i="13"/>
  <c r="EMG84" i="13"/>
  <c r="EMF84" i="13"/>
  <c r="EME84" i="13"/>
  <c r="EMD84" i="13"/>
  <c r="EMC84" i="13"/>
  <c r="EMB84" i="13"/>
  <c r="EMA84" i="13"/>
  <c r="ELZ84" i="13"/>
  <c r="ELY84" i="13"/>
  <c r="ELX84" i="13"/>
  <c r="ELT84" i="13"/>
  <c r="ELS84" i="13"/>
  <c r="ELR84" i="13"/>
  <c r="ELQ84" i="13"/>
  <c r="ELP84" i="13"/>
  <c r="ELO84" i="13"/>
  <c r="ELN84" i="13"/>
  <c r="ELM84" i="13"/>
  <c r="ELL84" i="13"/>
  <c r="ELK84" i="13"/>
  <c r="ELJ84" i="13"/>
  <c r="ELI84" i="13"/>
  <c r="ELH84" i="13"/>
  <c r="ELD84" i="13"/>
  <c r="ELC84" i="13"/>
  <c r="ELB84" i="13"/>
  <c r="ELA84" i="13"/>
  <c r="EKZ84" i="13"/>
  <c r="EKY84" i="13"/>
  <c r="EKX84" i="13"/>
  <c r="EKW84" i="13"/>
  <c r="EKV84" i="13"/>
  <c r="EKU84" i="13"/>
  <c r="EKT84" i="13"/>
  <c r="EKS84" i="13"/>
  <c r="EKR84" i="13"/>
  <c r="EKN84" i="13"/>
  <c r="EKM84" i="13"/>
  <c r="EKL84" i="13"/>
  <c r="EKK84" i="13"/>
  <c r="EKJ84" i="13"/>
  <c r="EKI84" i="13"/>
  <c r="EKH84" i="13"/>
  <c r="EKG84" i="13"/>
  <c r="EKF84" i="13"/>
  <c r="EKE84" i="13"/>
  <c r="EKD84" i="13"/>
  <c r="EKC84" i="13"/>
  <c r="EKB84" i="13"/>
  <c r="EJX84" i="13"/>
  <c r="EJW84" i="13"/>
  <c r="EJV84" i="13"/>
  <c r="EJU84" i="13"/>
  <c r="EJT84" i="13"/>
  <c r="EJS84" i="13"/>
  <c r="EJR84" i="13"/>
  <c r="EJQ84" i="13"/>
  <c r="EJP84" i="13"/>
  <c r="EJO84" i="13"/>
  <c r="EJN84" i="13"/>
  <c r="EJM84" i="13"/>
  <c r="EJL84" i="13"/>
  <c r="EJH84" i="13"/>
  <c r="EJG84" i="13"/>
  <c r="EJF84" i="13"/>
  <c r="EJE84" i="13"/>
  <c r="EJD84" i="13"/>
  <c r="EJC84" i="13"/>
  <c r="EJB84" i="13"/>
  <c r="EJA84" i="13"/>
  <c r="EIZ84" i="13"/>
  <c r="EIY84" i="13"/>
  <c r="EIX84" i="13"/>
  <c r="EIW84" i="13"/>
  <c r="EIV84" i="13"/>
  <c r="EIR84" i="13"/>
  <c r="EIQ84" i="13"/>
  <c r="EIP84" i="13"/>
  <c r="EIO84" i="13"/>
  <c r="EIN84" i="13"/>
  <c r="EIM84" i="13"/>
  <c r="EIL84" i="13"/>
  <c r="EIK84" i="13"/>
  <c r="EIJ84" i="13"/>
  <c r="EII84" i="13"/>
  <c r="EIH84" i="13"/>
  <c r="EIG84" i="13"/>
  <c r="EIF84" i="13"/>
  <c r="EIB84" i="13"/>
  <c r="EIA84" i="13"/>
  <c r="EHZ84" i="13"/>
  <c r="EHY84" i="13"/>
  <c r="EHX84" i="13"/>
  <c r="EHW84" i="13"/>
  <c r="EHV84" i="13"/>
  <c r="EHU84" i="13"/>
  <c r="EHT84" i="13"/>
  <c r="EHS84" i="13"/>
  <c r="EHR84" i="13"/>
  <c r="EHQ84" i="13"/>
  <c r="EHP84" i="13"/>
  <c r="EHL84" i="13"/>
  <c r="EHK84" i="13"/>
  <c r="EHJ84" i="13"/>
  <c r="EHI84" i="13"/>
  <c r="EHH84" i="13"/>
  <c r="EHG84" i="13"/>
  <c r="EHF84" i="13"/>
  <c r="EHE84" i="13"/>
  <c r="EHD84" i="13"/>
  <c r="EHC84" i="13"/>
  <c r="EHB84" i="13"/>
  <c r="EHA84" i="13"/>
  <c r="EGZ84" i="13"/>
  <c r="EGV84" i="13"/>
  <c r="EGU84" i="13"/>
  <c r="EGT84" i="13"/>
  <c r="EGS84" i="13"/>
  <c r="EGR84" i="13"/>
  <c r="EGQ84" i="13"/>
  <c r="EGP84" i="13"/>
  <c r="EGO84" i="13"/>
  <c r="EGN84" i="13"/>
  <c r="EGM84" i="13"/>
  <c r="EGL84" i="13"/>
  <c r="EGK84" i="13"/>
  <c r="EGJ84" i="13"/>
  <c r="EGF84" i="13"/>
  <c r="EGE84" i="13"/>
  <c r="EGD84" i="13"/>
  <c r="EGC84" i="13"/>
  <c r="EGB84" i="13"/>
  <c r="EGA84" i="13"/>
  <c r="EFZ84" i="13"/>
  <c r="EFY84" i="13"/>
  <c r="EFX84" i="13"/>
  <c r="EFW84" i="13"/>
  <c r="EFV84" i="13"/>
  <c r="EFU84" i="13"/>
  <c r="EFT84" i="13"/>
  <c r="EFP84" i="13"/>
  <c r="EFO84" i="13"/>
  <c r="EFN84" i="13"/>
  <c r="EFM84" i="13"/>
  <c r="EFL84" i="13"/>
  <c r="EFK84" i="13"/>
  <c r="EFJ84" i="13"/>
  <c r="EFI84" i="13"/>
  <c r="EFH84" i="13"/>
  <c r="EFG84" i="13"/>
  <c r="EFF84" i="13"/>
  <c r="EFE84" i="13"/>
  <c r="EFD84" i="13"/>
  <c r="EEZ84" i="13"/>
  <c r="EEY84" i="13"/>
  <c r="EEX84" i="13"/>
  <c r="EEW84" i="13"/>
  <c r="EEV84" i="13"/>
  <c r="EEU84" i="13"/>
  <c r="EET84" i="13"/>
  <c r="EES84" i="13"/>
  <c r="EER84" i="13"/>
  <c r="EEQ84" i="13"/>
  <c r="EEP84" i="13"/>
  <c r="EEO84" i="13"/>
  <c r="EEN84" i="13"/>
  <c r="EEJ84" i="13"/>
  <c r="EEI84" i="13"/>
  <c r="EEH84" i="13"/>
  <c r="EEG84" i="13"/>
  <c r="EEF84" i="13"/>
  <c r="EEE84" i="13"/>
  <c r="EED84" i="13"/>
  <c r="EEC84" i="13"/>
  <c r="EEB84" i="13"/>
  <c r="EEA84" i="13"/>
  <c r="EDZ84" i="13"/>
  <c r="EDY84" i="13"/>
  <c r="EDX84" i="13"/>
  <c r="EDT84" i="13"/>
  <c r="EDS84" i="13"/>
  <c r="EDR84" i="13"/>
  <c r="EDQ84" i="13"/>
  <c r="EDP84" i="13"/>
  <c r="EDO84" i="13"/>
  <c r="EDN84" i="13"/>
  <c r="EDM84" i="13"/>
  <c r="EDL84" i="13"/>
  <c r="EDK84" i="13"/>
  <c r="EDJ84" i="13"/>
  <c r="EDI84" i="13"/>
  <c r="EDH84" i="13"/>
  <c r="EDD84" i="13"/>
  <c r="EDC84" i="13"/>
  <c r="EDB84" i="13"/>
  <c r="EDA84" i="13"/>
  <c r="ECZ84" i="13"/>
  <c r="ECY84" i="13"/>
  <c r="ECX84" i="13"/>
  <c r="ECW84" i="13"/>
  <c r="ECV84" i="13"/>
  <c r="ECU84" i="13"/>
  <c r="ECT84" i="13"/>
  <c r="ECS84" i="13"/>
  <c r="ECR84" i="13"/>
  <c r="ECN84" i="13"/>
  <c r="ECM84" i="13"/>
  <c r="ECL84" i="13"/>
  <c r="ECK84" i="13"/>
  <c r="ECJ84" i="13"/>
  <c r="ECI84" i="13"/>
  <c r="ECH84" i="13"/>
  <c r="ECG84" i="13"/>
  <c r="ECF84" i="13"/>
  <c r="ECE84" i="13"/>
  <c r="ECD84" i="13"/>
  <c r="ECC84" i="13"/>
  <c r="ECB84" i="13"/>
  <c r="EBX84" i="13"/>
  <c r="EBW84" i="13"/>
  <c r="EBV84" i="13"/>
  <c r="EBU84" i="13"/>
  <c r="EBT84" i="13"/>
  <c r="EBS84" i="13"/>
  <c r="EBR84" i="13"/>
  <c r="EBQ84" i="13"/>
  <c r="EBP84" i="13"/>
  <c r="EBO84" i="13"/>
  <c r="EBN84" i="13"/>
  <c r="EBM84" i="13"/>
  <c r="EBL84" i="13"/>
  <c r="EBH84" i="13"/>
  <c r="EBG84" i="13"/>
  <c r="EBF84" i="13"/>
  <c r="EBE84" i="13"/>
  <c r="EBD84" i="13"/>
  <c r="EBC84" i="13"/>
  <c r="EBB84" i="13"/>
  <c r="EBA84" i="13"/>
  <c r="EAZ84" i="13"/>
  <c r="EAY84" i="13"/>
  <c r="EAX84" i="13"/>
  <c r="EAW84" i="13"/>
  <c r="EAV84" i="13"/>
  <c r="EAR84" i="13"/>
  <c r="EAQ84" i="13"/>
  <c r="EAP84" i="13"/>
  <c r="EAO84" i="13"/>
  <c r="EAN84" i="13"/>
  <c r="EAM84" i="13"/>
  <c r="EAL84" i="13"/>
  <c r="EAK84" i="13"/>
  <c r="EAJ84" i="13"/>
  <c r="EAI84" i="13"/>
  <c r="EAH84" i="13"/>
  <c r="EAG84" i="13"/>
  <c r="EAF84" i="13"/>
  <c r="EAB84" i="13"/>
  <c r="EAA84" i="13"/>
  <c r="DZZ84" i="13"/>
  <c r="DZY84" i="13"/>
  <c r="DZX84" i="13"/>
  <c r="DZW84" i="13"/>
  <c r="DZV84" i="13"/>
  <c r="DZU84" i="13"/>
  <c r="DZT84" i="13"/>
  <c r="DZS84" i="13"/>
  <c r="DZR84" i="13"/>
  <c r="DZQ84" i="13"/>
  <c r="DZP84" i="13"/>
  <c r="DZL84" i="13"/>
  <c r="DZK84" i="13"/>
  <c r="DZJ84" i="13"/>
  <c r="DZI84" i="13"/>
  <c r="DZH84" i="13"/>
  <c r="DZG84" i="13"/>
  <c r="DZF84" i="13"/>
  <c r="DZE84" i="13"/>
  <c r="DZD84" i="13"/>
  <c r="DZC84" i="13"/>
  <c r="DZB84" i="13"/>
  <c r="DZA84" i="13"/>
  <c r="DYZ84" i="13"/>
  <c r="DYV84" i="13"/>
  <c r="DYU84" i="13"/>
  <c r="DYT84" i="13"/>
  <c r="DYS84" i="13"/>
  <c r="DYR84" i="13"/>
  <c r="DYQ84" i="13"/>
  <c r="DYP84" i="13"/>
  <c r="DYO84" i="13"/>
  <c r="DYN84" i="13"/>
  <c r="DYM84" i="13"/>
  <c r="DYL84" i="13"/>
  <c r="DYK84" i="13"/>
  <c r="DYJ84" i="13"/>
  <c r="DYF84" i="13"/>
  <c r="DYE84" i="13"/>
  <c r="DYD84" i="13"/>
  <c r="DYC84" i="13"/>
  <c r="DYB84" i="13"/>
  <c r="DYA84" i="13"/>
  <c r="DXZ84" i="13"/>
  <c r="DXY84" i="13"/>
  <c r="DXX84" i="13"/>
  <c r="DXW84" i="13"/>
  <c r="DXV84" i="13"/>
  <c r="DXU84" i="13"/>
  <c r="DXT84" i="13"/>
  <c r="DXP84" i="13"/>
  <c r="DXO84" i="13"/>
  <c r="DXN84" i="13"/>
  <c r="DXM84" i="13"/>
  <c r="DXL84" i="13"/>
  <c r="DXK84" i="13"/>
  <c r="DXJ84" i="13"/>
  <c r="DXI84" i="13"/>
  <c r="DXH84" i="13"/>
  <c r="DXG84" i="13"/>
  <c r="DXF84" i="13"/>
  <c r="DXE84" i="13"/>
  <c r="DXD84" i="13"/>
  <c r="DWZ84" i="13"/>
  <c r="DWY84" i="13"/>
  <c r="DWX84" i="13"/>
  <c r="DWW84" i="13"/>
  <c r="DWV84" i="13"/>
  <c r="DWU84" i="13"/>
  <c r="DWT84" i="13"/>
  <c r="DWS84" i="13"/>
  <c r="DWR84" i="13"/>
  <c r="DWQ84" i="13"/>
  <c r="DWP84" i="13"/>
  <c r="DWO84" i="13"/>
  <c r="DWN84" i="13"/>
  <c r="DWJ84" i="13"/>
  <c r="DWI84" i="13"/>
  <c r="DWH84" i="13"/>
  <c r="DWG84" i="13"/>
  <c r="DWF84" i="13"/>
  <c r="DWE84" i="13"/>
  <c r="DWD84" i="13"/>
  <c r="DWC84" i="13"/>
  <c r="DWB84" i="13"/>
  <c r="DWA84" i="13"/>
  <c r="DVZ84" i="13"/>
  <c r="DVY84" i="13"/>
  <c r="DVX84" i="13"/>
  <c r="DVT84" i="13"/>
  <c r="DVS84" i="13"/>
  <c r="DVR84" i="13"/>
  <c r="DVQ84" i="13"/>
  <c r="DVP84" i="13"/>
  <c r="DVO84" i="13"/>
  <c r="DVN84" i="13"/>
  <c r="DVM84" i="13"/>
  <c r="DVL84" i="13"/>
  <c r="DVK84" i="13"/>
  <c r="DVJ84" i="13"/>
  <c r="DVI84" i="13"/>
  <c r="DVH84" i="13"/>
  <c r="DVD84" i="13"/>
  <c r="DVC84" i="13"/>
  <c r="DVB84" i="13"/>
  <c r="DVA84" i="13"/>
  <c r="DUZ84" i="13"/>
  <c r="DUY84" i="13"/>
  <c r="DUX84" i="13"/>
  <c r="DUW84" i="13"/>
  <c r="DUV84" i="13"/>
  <c r="DUU84" i="13"/>
  <c r="DUT84" i="13"/>
  <c r="DUS84" i="13"/>
  <c r="DUR84" i="13"/>
  <c r="DUN84" i="13"/>
  <c r="DUM84" i="13"/>
  <c r="DUL84" i="13"/>
  <c r="DUK84" i="13"/>
  <c r="DUJ84" i="13"/>
  <c r="DUI84" i="13"/>
  <c r="DUH84" i="13"/>
  <c r="DUG84" i="13"/>
  <c r="DUF84" i="13"/>
  <c r="DUE84" i="13"/>
  <c r="DUD84" i="13"/>
  <c r="DUC84" i="13"/>
  <c r="DUB84" i="13"/>
  <c r="DTX84" i="13"/>
  <c r="DTW84" i="13"/>
  <c r="DTV84" i="13"/>
  <c r="DTU84" i="13"/>
  <c r="DTT84" i="13"/>
  <c r="DTS84" i="13"/>
  <c r="DTR84" i="13"/>
  <c r="DTQ84" i="13"/>
  <c r="DTP84" i="13"/>
  <c r="DTO84" i="13"/>
  <c r="DTN84" i="13"/>
  <c r="DTM84" i="13"/>
  <c r="DTL84" i="13"/>
  <c r="DTH84" i="13"/>
  <c r="DTG84" i="13"/>
  <c r="DTF84" i="13"/>
  <c r="DTE84" i="13"/>
  <c r="DTD84" i="13"/>
  <c r="DTC84" i="13"/>
  <c r="DTB84" i="13"/>
  <c r="DTA84" i="13"/>
  <c r="DSZ84" i="13"/>
  <c r="DSY84" i="13"/>
  <c r="DSX84" i="13"/>
  <c r="DSW84" i="13"/>
  <c r="DSV84" i="13"/>
  <c r="DSR84" i="13"/>
  <c r="DSQ84" i="13"/>
  <c r="DSP84" i="13"/>
  <c r="DSO84" i="13"/>
  <c r="DSN84" i="13"/>
  <c r="DSM84" i="13"/>
  <c r="DSL84" i="13"/>
  <c r="DSK84" i="13"/>
  <c r="DSJ84" i="13"/>
  <c r="DSI84" i="13"/>
  <c r="DSH84" i="13"/>
  <c r="DSG84" i="13"/>
  <c r="DSF84" i="13"/>
  <c r="DSB84" i="13"/>
  <c r="DSA84" i="13"/>
  <c r="DRZ84" i="13"/>
  <c r="DRY84" i="13"/>
  <c r="DRX84" i="13"/>
  <c r="DRW84" i="13"/>
  <c r="DRV84" i="13"/>
  <c r="DRU84" i="13"/>
  <c r="DRT84" i="13"/>
  <c r="DRS84" i="13"/>
  <c r="DRR84" i="13"/>
  <c r="DRQ84" i="13"/>
  <c r="DRP84" i="13"/>
  <c r="DRL84" i="13"/>
  <c r="DRK84" i="13"/>
  <c r="DRJ84" i="13"/>
  <c r="DRI84" i="13"/>
  <c r="DRH84" i="13"/>
  <c r="DRG84" i="13"/>
  <c r="DRF84" i="13"/>
  <c r="DRE84" i="13"/>
  <c r="DRD84" i="13"/>
  <c r="DRC84" i="13"/>
  <c r="DRB84" i="13"/>
  <c r="DRA84" i="13"/>
  <c r="DQZ84" i="13"/>
  <c r="DQV84" i="13"/>
  <c r="DQU84" i="13"/>
  <c r="DQT84" i="13"/>
  <c r="DQS84" i="13"/>
  <c r="DQR84" i="13"/>
  <c r="DQQ84" i="13"/>
  <c r="DQP84" i="13"/>
  <c r="DQO84" i="13"/>
  <c r="DQN84" i="13"/>
  <c r="DQM84" i="13"/>
  <c r="DQL84" i="13"/>
  <c r="DQK84" i="13"/>
  <c r="DQJ84" i="13"/>
  <c r="DQF84" i="13"/>
  <c r="DQE84" i="13"/>
  <c r="DQD84" i="13"/>
  <c r="DQC84" i="13"/>
  <c r="DQB84" i="13"/>
  <c r="DQA84" i="13"/>
  <c r="DPZ84" i="13"/>
  <c r="DPY84" i="13"/>
  <c r="DPX84" i="13"/>
  <c r="DPW84" i="13"/>
  <c r="DPV84" i="13"/>
  <c r="DPU84" i="13"/>
  <c r="DPT84" i="13"/>
  <c r="DPP84" i="13"/>
  <c r="DPO84" i="13"/>
  <c r="DPN84" i="13"/>
  <c r="DPM84" i="13"/>
  <c r="DPL84" i="13"/>
  <c r="DPK84" i="13"/>
  <c r="DPJ84" i="13"/>
  <c r="DPI84" i="13"/>
  <c r="DPH84" i="13"/>
  <c r="DPG84" i="13"/>
  <c r="DPF84" i="13"/>
  <c r="DPE84" i="13"/>
  <c r="DPD84" i="13"/>
  <c r="DOZ84" i="13"/>
  <c r="DOY84" i="13"/>
  <c r="DOX84" i="13"/>
  <c r="DOW84" i="13"/>
  <c r="DOV84" i="13"/>
  <c r="DOU84" i="13"/>
  <c r="DOT84" i="13"/>
  <c r="DOS84" i="13"/>
  <c r="DOR84" i="13"/>
  <c r="DOQ84" i="13"/>
  <c r="DOP84" i="13"/>
  <c r="DOO84" i="13"/>
  <c r="DON84" i="13"/>
  <c r="DOJ84" i="13"/>
  <c r="DOI84" i="13"/>
  <c r="DOH84" i="13"/>
  <c r="DOG84" i="13"/>
  <c r="DOF84" i="13"/>
  <c r="DOE84" i="13"/>
  <c r="DOD84" i="13"/>
  <c r="DOC84" i="13"/>
  <c r="DOB84" i="13"/>
  <c r="DOA84" i="13"/>
  <c r="DNZ84" i="13"/>
  <c r="DNY84" i="13"/>
  <c r="DNX84" i="13"/>
  <c r="DNT84" i="13"/>
  <c r="DNS84" i="13"/>
  <c r="DNR84" i="13"/>
  <c r="DNQ84" i="13"/>
  <c r="DNP84" i="13"/>
  <c r="DNO84" i="13"/>
  <c r="DNN84" i="13"/>
  <c r="DNM84" i="13"/>
  <c r="DNL84" i="13"/>
  <c r="DNK84" i="13"/>
  <c r="DNJ84" i="13"/>
  <c r="DNI84" i="13"/>
  <c r="DNH84" i="13"/>
  <c r="DND84" i="13"/>
  <c r="DNC84" i="13"/>
  <c r="DNB84" i="13"/>
  <c r="DNA84" i="13"/>
  <c r="DMZ84" i="13"/>
  <c r="DMY84" i="13"/>
  <c r="DMX84" i="13"/>
  <c r="DMW84" i="13"/>
  <c r="DMV84" i="13"/>
  <c r="DMU84" i="13"/>
  <c r="DMT84" i="13"/>
  <c r="DMS84" i="13"/>
  <c r="DMR84" i="13"/>
  <c r="DMN84" i="13"/>
  <c r="DMM84" i="13"/>
  <c r="DML84" i="13"/>
  <c r="DMK84" i="13"/>
  <c r="DMJ84" i="13"/>
  <c r="DMI84" i="13"/>
  <c r="DMH84" i="13"/>
  <c r="DMG84" i="13"/>
  <c r="DMF84" i="13"/>
  <c r="DME84" i="13"/>
  <c r="DMD84" i="13"/>
  <c r="DMC84" i="13"/>
  <c r="DMB84" i="13"/>
  <c r="DLX84" i="13"/>
  <c r="DLW84" i="13"/>
  <c r="DLV84" i="13"/>
  <c r="DLU84" i="13"/>
  <c r="DLT84" i="13"/>
  <c r="DLS84" i="13"/>
  <c r="DLR84" i="13"/>
  <c r="DLQ84" i="13"/>
  <c r="DLP84" i="13"/>
  <c r="DLO84" i="13"/>
  <c r="DLN84" i="13"/>
  <c r="DLM84" i="13"/>
  <c r="DLL84" i="13"/>
  <c r="DLH84" i="13"/>
  <c r="DLG84" i="13"/>
  <c r="DLF84" i="13"/>
  <c r="DLE84" i="13"/>
  <c r="DLD84" i="13"/>
  <c r="DLC84" i="13"/>
  <c r="DLB84" i="13"/>
  <c r="DLA84" i="13"/>
  <c r="DKZ84" i="13"/>
  <c r="DKY84" i="13"/>
  <c r="DKX84" i="13"/>
  <c r="DKW84" i="13"/>
  <c r="DKV84" i="13"/>
  <c r="DKR84" i="13"/>
  <c r="DKQ84" i="13"/>
  <c r="DKP84" i="13"/>
  <c r="DKO84" i="13"/>
  <c r="DKN84" i="13"/>
  <c r="DKM84" i="13"/>
  <c r="DKL84" i="13"/>
  <c r="DKK84" i="13"/>
  <c r="DKJ84" i="13"/>
  <c r="DKI84" i="13"/>
  <c r="DKH84" i="13"/>
  <c r="DKG84" i="13"/>
  <c r="DKF84" i="13"/>
  <c r="DKB84" i="13"/>
  <c r="DKA84" i="13"/>
  <c r="DJZ84" i="13"/>
  <c r="DJY84" i="13"/>
  <c r="DJX84" i="13"/>
  <c r="DJW84" i="13"/>
  <c r="DJV84" i="13"/>
  <c r="DJU84" i="13"/>
  <c r="DJT84" i="13"/>
  <c r="DJS84" i="13"/>
  <c r="DJR84" i="13"/>
  <c r="DJQ84" i="13"/>
  <c r="DJP84" i="13"/>
  <c r="DJL84" i="13"/>
  <c r="DJK84" i="13"/>
  <c r="DJJ84" i="13"/>
  <c r="DJI84" i="13"/>
  <c r="DJH84" i="13"/>
  <c r="DJG84" i="13"/>
  <c r="DJF84" i="13"/>
  <c r="DJE84" i="13"/>
  <c r="DJD84" i="13"/>
  <c r="DJC84" i="13"/>
  <c r="DJB84" i="13"/>
  <c r="DJA84" i="13"/>
  <c r="DIZ84" i="13"/>
  <c r="DIV84" i="13"/>
  <c r="DIU84" i="13"/>
  <c r="DIT84" i="13"/>
  <c r="DIS84" i="13"/>
  <c r="DIR84" i="13"/>
  <c r="DIQ84" i="13"/>
  <c r="DIP84" i="13"/>
  <c r="DIO84" i="13"/>
  <c r="DIN84" i="13"/>
  <c r="DIM84" i="13"/>
  <c r="DIL84" i="13"/>
  <c r="DIK84" i="13"/>
  <c r="DIJ84" i="13"/>
  <c r="DIF84" i="13"/>
  <c r="DIE84" i="13"/>
  <c r="DID84" i="13"/>
  <c r="DIC84" i="13"/>
  <c r="DIB84" i="13"/>
  <c r="DIA84" i="13"/>
  <c r="DHZ84" i="13"/>
  <c r="DHY84" i="13"/>
  <c r="DHX84" i="13"/>
  <c r="DHW84" i="13"/>
  <c r="DHV84" i="13"/>
  <c r="DHU84" i="13"/>
  <c r="DHT84" i="13"/>
  <c r="DHP84" i="13"/>
  <c r="DHO84" i="13"/>
  <c r="DHN84" i="13"/>
  <c r="DHM84" i="13"/>
  <c r="DHL84" i="13"/>
  <c r="DHK84" i="13"/>
  <c r="DHJ84" i="13"/>
  <c r="DHI84" i="13"/>
  <c r="DHH84" i="13"/>
  <c r="DHG84" i="13"/>
  <c r="DHF84" i="13"/>
  <c r="DHE84" i="13"/>
  <c r="DHD84" i="13"/>
  <c r="DGZ84" i="13"/>
  <c r="DGY84" i="13"/>
  <c r="DGX84" i="13"/>
  <c r="DGW84" i="13"/>
  <c r="DGV84" i="13"/>
  <c r="DGU84" i="13"/>
  <c r="DGT84" i="13"/>
  <c r="DGS84" i="13"/>
  <c r="DGR84" i="13"/>
  <c r="DGQ84" i="13"/>
  <c r="DGP84" i="13"/>
  <c r="DGO84" i="13"/>
  <c r="DGN84" i="13"/>
  <c r="DGJ84" i="13"/>
  <c r="DGI84" i="13"/>
  <c r="DGH84" i="13"/>
  <c r="DGG84" i="13"/>
  <c r="DGF84" i="13"/>
  <c r="DGE84" i="13"/>
  <c r="DGD84" i="13"/>
  <c r="DGC84" i="13"/>
  <c r="DGB84" i="13"/>
  <c r="DGA84" i="13"/>
  <c r="DFZ84" i="13"/>
  <c r="DFY84" i="13"/>
  <c r="DFX84" i="13"/>
  <c r="DFT84" i="13"/>
  <c r="DFS84" i="13"/>
  <c r="DFR84" i="13"/>
  <c r="DFQ84" i="13"/>
  <c r="DFP84" i="13"/>
  <c r="DFO84" i="13"/>
  <c r="DFN84" i="13"/>
  <c r="DFM84" i="13"/>
  <c r="DFL84" i="13"/>
  <c r="DFK84" i="13"/>
  <c r="DFJ84" i="13"/>
  <c r="DFI84" i="13"/>
  <c r="DFH84" i="13"/>
  <c r="DFD84" i="13"/>
  <c r="DFC84" i="13"/>
  <c r="DFB84" i="13"/>
  <c r="DFA84" i="13"/>
  <c r="DEZ84" i="13"/>
  <c r="DEY84" i="13"/>
  <c r="DEX84" i="13"/>
  <c r="DEW84" i="13"/>
  <c r="DEV84" i="13"/>
  <c r="DEU84" i="13"/>
  <c r="DET84" i="13"/>
  <c r="DES84" i="13"/>
  <c r="DER84" i="13"/>
  <c r="DEN84" i="13"/>
  <c r="DEM84" i="13"/>
  <c r="DEL84" i="13"/>
  <c r="DEK84" i="13"/>
  <c r="DEJ84" i="13"/>
  <c r="DEI84" i="13"/>
  <c r="DEH84" i="13"/>
  <c r="DEG84" i="13"/>
  <c r="DEF84" i="13"/>
  <c r="DEE84" i="13"/>
  <c r="DED84" i="13"/>
  <c r="DEC84" i="13"/>
  <c r="DEB84" i="13"/>
  <c r="DDX84" i="13"/>
  <c r="DDW84" i="13"/>
  <c r="DDV84" i="13"/>
  <c r="DDU84" i="13"/>
  <c r="DDT84" i="13"/>
  <c r="DDS84" i="13"/>
  <c r="DDR84" i="13"/>
  <c r="DDQ84" i="13"/>
  <c r="DDP84" i="13"/>
  <c r="DDO84" i="13"/>
  <c r="DDN84" i="13"/>
  <c r="DDM84" i="13"/>
  <c r="DDL84" i="13"/>
  <c r="DDH84" i="13"/>
  <c r="DDG84" i="13"/>
  <c r="DDF84" i="13"/>
  <c r="DDE84" i="13"/>
  <c r="DDD84" i="13"/>
  <c r="DDC84" i="13"/>
  <c r="DDB84" i="13"/>
  <c r="DDA84" i="13"/>
  <c r="DCZ84" i="13"/>
  <c r="DCY84" i="13"/>
  <c r="DCX84" i="13"/>
  <c r="DCW84" i="13"/>
  <c r="DCV84" i="13"/>
  <c r="DCR84" i="13"/>
  <c r="DCQ84" i="13"/>
  <c r="DCP84" i="13"/>
  <c r="DCO84" i="13"/>
  <c r="DCN84" i="13"/>
  <c r="DCM84" i="13"/>
  <c r="DCL84" i="13"/>
  <c r="DCK84" i="13"/>
  <c r="DCJ84" i="13"/>
  <c r="DCI84" i="13"/>
  <c r="DCH84" i="13"/>
  <c r="DCG84" i="13"/>
  <c r="DCF84" i="13"/>
  <c r="DCB84" i="13"/>
  <c r="DCA84" i="13"/>
  <c r="DBZ84" i="13"/>
  <c r="DBY84" i="13"/>
  <c r="DBX84" i="13"/>
  <c r="DBW84" i="13"/>
  <c r="DBV84" i="13"/>
  <c r="DBU84" i="13"/>
  <c r="DBT84" i="13"/>
  <c r="DBS84" i="13"/>
  <c r="DBR84" i="13"/>
  <c r="DBQ84" i="13"/>
  <c r="DBP84" i="13"/>
  <c r="DBL84" i="13"/>
  <c r="DBK84" i="13"/>
  <c r="DBJ84" i="13"/>
  <c r="DBI84" i="13"/>
  <c r="DBH84" i="13"/>
  <c r="DBG84" i="13"/>
  <c r="DBF84" i="13"/>
  <c r="DBE84" i="13"/>
  <c r="DBD84" i="13"/>
  <c r="DBC84" i="13"/>
  <c r="DBB84" i="13"/>
  <c r="DBA84" i="13"/>
  <c r="DAZ84" i="13"/>
  <c r="DAV84" i="13"/>
  <c r="DAU84" i="13"/>
  <c r="DAT84" i="13"/>
  <c r="DAS84" i="13"/>
  <c r="DAR84" i="13"/>
  <c r="DAQ84" i="13"/>
  <c r="DAP84" i="13"/>
  <c r="DAO84" i="13"/>
  <c r="DAN84" i="13"/>
  <c r="DAM84" i="13"/>
  <c r="DAL84" i="13"/>
  <c r="DAK84" i="13"/>
  <c r="DAJ84" i="13"/>
  <c r="DAF84" i="13"/>
  <c r="DAE84" i="13"/>
  <c r="DAD84" i="13"/>
  <c r="DAC84" i="13"/>
  <c r="DAB84" i="13"/>
  <c r="DAA84" i="13"/>
  <c r="CZZ84" i="13"/>
  <c r="CZY84" i="13"/>
  <c r="CZX84" i="13"/>
  <c r="CZW84" i="13"/>
  <c r="CZV84" i="13"/>
  <c r="CZU84" i="13"/>
  <c r="CZT84" i="13"/>
  <c r="CZP84" i="13"/>
  <c r="CZO84" i="13"/>
  <c r="CZN84" i="13"/>
  <c r="CZM84" i="13"/>
  <c r="CZL84" i="13"/>
  <c r="CZK84" i="13"/>
  <c r="CZJ84" i="13"/>
  <c r="CZI84" i="13"/>
  <c r="CZH84" i="13"/>
  <c r="CZG84" i="13"/>
  <c r="CZF84" i="13"/>
  <c r="CZE84" i="13"/>
  <c r="CZD84" i="13"/>
  <c r="CYZ84" i="13"/>
  <c r="CYY84" i="13"/>
  <c r="CYX84" i="13"/>
  <c r="CYW84" i="13"/>
  <c r="CYV84" i="13"/>
  <c r="CYU84" i="13"/>
  <c r="CYT84" i="13"/>
  <c r="CYS84" i="13"/>
  <c r="CYR84" i="13"/>
  <c r="CYQ84" i="13"/>
  <c r="CYP84" i="13"/>
  <c r="CYO84" i="13"/>
  <c r="CYN84" i="13"/>
  <c r="CYJ84" i="13"/>
  <c r="CYI84" i="13"/>
  <c r="CYH84" i="13"/>
  <c r="CYG84" i="13"/>
  <c r="CYF84" i="13"/>
  <c r="CYE84" i="13"/>
  <c r="CYD84" i="13"/>
  <c r="CYC84" i="13"/>
  <c r="CYB84" i="13"/>
  <c r="CYA84" i="13"/>
  <c r="CXZ84" i="13"/>
  <c r="CXY84" i="13"/>
  <c r="CXX84" i="13"/>
  <c r="CXT84" i="13"/>
  <c r="CXS84" i="13"/>
  <c r="CXR84" i="13"/>
  <c r="CXQ84" i="13"/>
  <c r="CXP84" i="13"/>
  <c r="CXO84" i="13"/>
  <c r="CXN84" i="13"/>
  <c r="CXM84" i="13"/>
  <c r="CXL84" i="13"/>
  <c r="CXK84" i="13"/>
  <c r="CXJ84" i="13"/>
  <c r="CXI84" i="13"/>
  <c r="CXH84" i="13"/>
  <c r="CXD84" i="13"/>
  <c r="CXC84" i="13"/>
  <c r="CXB84" i="13"/>
  <c r="CXA84" i="13"/>
  <c r="CWZ84" i="13"/>
  <c r="CWY84" i="13"/>
  <c r="CWX84" i="13"/>
  <c r="CWW84" i="13"/>
  <c r="CWV84" i="13"/>
  <c r="CWU84" i="13"/>
  <c r="CWT84" i="13"/>
  <c r="CWS84" i="13"/>
  <c r="CWR84" i="13"/>
  <c r="CWN84" i="13"/>
  <c r="CWM84" i="13"/>
  <c r="CWL84" i="13"/>
  <c r="CWK84" i="13"/>
  <c r="CWJ84" i="13"/>
  <c r="CWI84" i="13"/>
  <c r="CWH84" i="13"/>
  <c r="CWG84" i="13"/>
  <c r="CWF84" i="13"/>
  <c r="CWE84" i="13"/>
  <c r="CWD84" i="13"/>
  <c r="CWC84" i="13"/>
  <c r="CWB84" i="13"/>
  <c r="CVX84" i="13"/>
  <c r="CVW84" i="13"/>
  <c r="CVV84" i="13"/>
  <c r="CVU84" i="13"/>
  <c r="CVT84" i="13"/>
  <c r="CVS84" i="13"/>
  <c r="CVR84" i="13"/>
  <c r="CVQ84" i="13"/>
  <c r="CVP84" i="13"/>
  <c r="CVO84" i="13"/>
  <c r="CVN84" i="13"/>
  <c r="CVM84" i="13"/>
  <c r="CVL84" i="13"/>
  <c r="CVH84" i="13"/>
  <c r="CVG84" i="13"/>
  <c r="CVF84" i="13"/>
  <c r="CVE84" i="13"/>
  <c r="CVD84" i="13"/>
  <c r="CVC84" i="13"/>
  <c r="CVB84" i="13"/>
  <c r="CVA84" i="13"/>
  <c r="CUZ84" i="13"/>
  <c r="CUY84" i="13"/>
  <c r="CUX84" i="13"/>
  <c r="CUW84" i="13"/>
  <c r="CUV84" i="13"/>
  <c r="CUR84" i="13"/>
  <c r="CUQ84" i="13"/>
  <c r="CUP84" i="13"/>
  <c r="CUO84" i="13"/>
  <c r="CUN84" i="13"/>
  <c r="CUM84" i="13"/>
  <c r="CUL84" i="13"/>
  <c r="CUK84" i="13"/>
  <c r="CUJ84" i="13"/>
  <c r="CUI84" i="13"/>
  <c r="CUH84" i="13"/>
  <c r="CUG84" i="13"/>
  <c r="CUF84" i="13"/>
  <c r="CUB84" i="13"/>
  <c r="CUA84" i="13"/>
  <c r="CTZ84" i="13"/>
  <c r="CTY84" i="13"/>
  <c r="CTX84" i="13"/>
  <c r="CTW84" i="13"/>
  <c r="CTV84" i="13"/>
  <c r="CTU84" i="13"/>
  <c r="CTT84" i="13"/>
  <c r="CTS84" i="13"/>
  <c r="CTR84" i="13"/>
  <c r="CTQ84" i="13"/>
  <c r="CTP84" i="13"/>
  <c r="CTL84" i="13"/>
  <c r="CTK84" i="13"/>
  <c r="CTJ84" i="13"/>
  <c r="CTI84" i="13"/>
  <c r="CTH84" i="13"/>
  <c r="CTG84" i="13"/>
  <c r="CTF84" i="13"/>
  <c r="CTE84" i="13"/>
  <c r="CTD84" i="13"/>
  <c r="CTC84" i="13"/>
  <c r="CTB84" i="13"/>
  <c r="CTA84" i="13"/>
  <c r="CSZ84" i="13"/>
  <c r="CSV84" i="13"/>
  <c r="CSU84" i="13"/>
  <c r="CST84" i="13"/>
  <c r="CSS84" i="13"/>
  <c r="CSR84" i="13"/>
  <c r="CSQ84" i="13"/>
  <c r="CSP84" i="13"/>
  <c r="CSO84" i="13"/>
  <c r="CSN84" i="13"/>
  <c r="CSM84" i="13"/>
  <c r="CSL84" i="13"/>
  <c r="CSK84" i="13"/>
  <c r="CSJ84" i="13"/>
  <c r="CSF84" i="13"/>
  <c r="CSE84" i="13"/>
  <c r="CSD84" i="13"/>
  <c r="CSC84" i="13"/>
  <c r="CSB84" i="13"/>
  <c r="CSA84" i="13"/>
  <c r="CRZ84" i="13"/>
  <c r="CRY84" i="13"/>
  <c r="CRX84" i="13"/>
  <c r="CRW84" i="13"/>
  <c r="CRV84" i="13"/>
  <c r="CRU84" i="13"/>
  <c r="CRT84" i="13"/>
  <c r="CRP84" i="13"/>
  <c r="CRO84" i="13"/>
  <c r="CRN84" i="13"/>
  <c r="CRM84" i="13"/>
  <c r="CRL84" i="13"/>
  <c r="CRK84" i="13"/>
  <c r="CRJ84" i="13"/>
  <c r="CRI84" i="13"/>
  <c r="CRH84" i="13"/>
  <c r="CRG84" i="13"/>
  <c r="CRF84" i="13"/>
  <c r="CRE84" i="13"/>
  <c r="CRD84" i="13"/>
  <c r="CQZ84" i="13"/>
  <c r="CQY84" i="13"/>
  <c r="CQX84" i="13"/>
  <c r="CQW84" i="13"/>
  <c r="CQV84" i="13"/>
  <c r="CQU84" i="13"/>
  <c r="CQT84" i="13"/>
  <c r="CQS84" i="13"/>
  <c r="CQR84" i="13"/>
  <c r="CQQ84" i="13"/>
  <c r="CQP84" i="13"/>
  <c r="CQO84" i="13"/>
  <c r="CQN84" i="13"/>
  <c r="CQJ84" i="13"/>
  <c r="CQI84" i="13"/>
  <c r="CQH84" i="13"/>
  <c r="CQG84" i="13"/>
  <c r="CQF84" i="13"/>
  <c r="CQE84" i="13"/>
  <c r="CQD84" i="13"/>
  <c r="CQC84" i="13"/>
  <c r="CQB84" i="13"/>
  <c r="CQA84" i="13"/>
  <c r="CPZ84" i="13"/>
  <c r="CPY84" i="13"/>
  <c r="CPX84" i="13"/>
  <c r="CPT84" i="13"/>
  <c r="CPS84" i="13"/>
  <c r="CPR84" i="13"/>
  <c r="CPQ84" i="13"/>
  <c r="CPP84" i="13"/>
  <c r="CPO84" i="13"/>
  <c r="CPN84" i="13"/>
  <c r="CPM84" i="13"/>
  <c r="CPL84" i="13"/>
  <c r="CPK84" i="13"/>
  <c r="CPJ84" i="13"/>
  <c r="CPI84" i="13"/>
  <c r="CPH84" i="13"/>
  <c r="CPD84" i="13"/>
  <c r="CPC84" i="13"/>
  <c r="CPB84" i="13"/>
  <c r="CPA84" i="13"/>
  <c r="COZ84" i="13"/>
  <c r="COY84" i="13"/>
  <c r="COX84" i="13"/>
  <c r="COW84" i="13"/>
  <c r="COV84" i="13"/>
  <c r="COU84" i="13"/>
  <c r="COT84" i="13"/>
  <c r="COS84" i="13"/>
  <c r="COR84" i="13"/>
  <c r="CON84" i="13"/>
  <c r="COM84" i="13"/>
  <c r="COL84" i="13"/>
  <c r="COK84" i="13"/>
  <c r="COJ84" i="13"/>
  <c r="COI84" i="13"/>
  <c r="COH84" i="13"/>
  <c r="COG84" i="13"/>
  <c r="COF84" i="13"/>
  <c r="COE84" i="13"/>
  <c r="COD84" i="13"/>
  <c r="COC84" i="13"/>
  <c r="COB84" i="13"/>
  <c r="CNX84" i="13"/>
  <c r="CNW84" i="13"/>
  <c r="CNV84" i="13"/>
  <c r="CNU84" i="13"/>
  <c r="CNT84" i="13"/>
  <c r="CNS84" i="13"/>
  <c r="CNR84" i="13"/>
  <c r="CNQ84" i="13"/>
  <c r="CNP84" i="13"/>
  <c r="CNO84" i="13"/>
  <c r="CNN84" i="13"/>
  <c r="CNM84" i="13"/>
  <c r="CNL84" i="13"/>
  <c r="CNH84" i="13"/>
  <c r="CNG84" i="13"/>
  <c r="CNF84" i="13"/>
  <c r="CNE84" i="13"/>
  <c r="CND84" i="13"/>
  <c r="CNC84" i="13"/>
  <c r="CNB84" i="13"/>
  <c r="CNA84" i="13"/>
  <c r="CMZ84" i="13"/>
  <c r="CMY84" i="13"/>
  <c r="CMX84" i="13"/>
  <c r="CMW84" i="13"/>
  <c r="CMV84" i="13"/>
  <c r="CMR84" i="13"/>
  <c r="CMQ84" i="13"/>
  <c r="CMP84" i="13"/>
  <c r="CMO84" i="13"/>
  <c r="CMN84" i="13"/>
  <c r="CMM84" i="13"/>
  <c r="CML84" i="13"/>
  <c r="CMK84" i="13"/>
  <c r="CMJ84" i="13"/>
  <c r="CMI84" i="13"/>
  <c r="CMH84" i="13"/>
  <c r="CMG84" i="13"/>
  <c r="CMF84" i="13"/>
  <c r="CMB84" i="13"/>
  <c r="CMA84" i="13"/>
  <c r="CLZ84" i="13"/>
  <c r="CLY84" i="13"/>
  <c r="CLX84" i="13"/>
  <c r="CLW84" i="13"/>
  <c r="CLV84" i="13"/>
  <c r="CLU84" i="13"/>
  <c r="CLT84" i="13"/>
  <c r="CLS84" i="13"/>
  <c r="CLR84" i="13"/>
  <c r="CLQ84" i="13"/>
  <c r="CLP84" i="13"/>
  <c r="CLL84" i="13"/>
  <c r="CLK84" i="13"/>
  <c r="CLJ84" i="13"/>
  <c r="CLI84" i="13"/>
  <c r="CLH84" i="13"/>
  <c r="CLG84" i="13"/>
  <c r="CLF84" i="13"/>
  <c r="CLE84" i="13"/>
  <c r="CLD84" i="13"/>
  <c r="CLC84" i="13"/>
  <c r="CLB84" i="13"/>
  <c r="CLA84" i="13"/>
  <c r="CKZ84" i="13"/>
  <c r="CKV84" i="13"/>
  <c r="CKU84" i="13"/>
  <c r="CKT84" i="13"/>
  <c r="CKS84" i="13"/>
  <c r="CKR84" i="13"/>
  <c r="CKQ84" i="13"/>
  <c r="CKP84" i="13"/>
  <c r="CKO84" i="13"/>
  <c r="CKN84" i="13"/>
  <c r="CKM84" i="13"/>
  <c r="CKL84" i="13"/>
  <c r="CKK84" i="13"/>
  <c r="CKJ84" i="13"/>
  <c r="CKF84" i="13"/>
  <c r="CKE84" i="13"/>
  <c r="CKD84" i="13"/>
  <c r="CKC84" i="13"/>
  <c r="CKB84" i="13"/>
  <c r="CKA84" i="13"/>
  <c r="CJZ84" i="13"/>
  <c r="CJY84" i="13"/>
  <c r="CJX84" i="13"/>
  <c r="CJW84" i="13"/>
  <c r="CJV84" i="13"/>
  <c r="CJU84" i="13"/>
  <c r="CJT84" i="13"/>
  <c r="CJP84" i="13"/>
  <c r="CJO84" i="13"/>
  <c r="CJN84" i="13"/>
  <c r="CJM84" i="13"/>
  <c r="CJL84" i="13"/>
  <c r="CJK84" i="13"/>
  <c r="CJJ84" i="13"/>
  <c r="CJI84" i="13"/>
  <c r="CJH84" i="13"/>
  <c r="CJG84" i="13"/>
  <c r="CJF84" i="13"/>
  <c r="CJE84" i="13"/>
  <c r="CJD84" i="13"/>
  <c r="CIZ84" i="13"/>
  <c r="CIY84" i="13"/>
  <c r="CIX84" i="13"/>
  <c r="CIW84" i="13"/>
  <c r="CIV84" i="13"/>
  <c r="CIU84" i="13"/>
  <c r="CIT84" i="13"/>
  <c r="CIS84" i="13"/>
  <c r="CIR84" i="13"/>
  <c r="CIQ84" i="13"/>
  <c r="CIP84" i="13"/>
  <c r="CIO84" i="13"/>
  <c r="CIN84" i="13"/>
  <c r="CIJ84" i="13"/>
  <c r="CII84" i="13"/>
  <c r="CIH84" i="13"/>
  <c r="CIG84" i="13"/>
  <c r="CIF84" i="13"/>
  <c r="CIE84" i="13"/>
  <c r="CID84" i="13"/>
  <c r="CIC84" i="13"/>
  <c r="CIB84" i="13"/>
  <c r="CIA84" i="13"/>
  <c r="CHZ84" i="13"/>
  <c r="CHY84" i="13"/>
  <c r="CHX84" i="13"/>
  <c r="CHT84" i="13"/>
  <c r="CHS84" i="13"/>
  <c r="CHR84" i="13"/>
  <c r="CHQ84" i="13"/>
  <c r="CHP84" i="13"/>
  <c r="CHO84" i="13"/>
  <c r="CHN84" i="13"/>
  <c r="CHM84" i="13"/>
  <c r="CHL84" i="13"/>
  <c r="CHK84" i="13"/>
  <c r="CHJ84" i="13"/>
  <c r="CHI84" i="13"/>
  <c r="CHH84" i="13"/>
  <c r="CHD84" i="13"/>
  <c r="CHC84" i="13"/>
  <c r="CHB84" i="13"/>
  <c r="CHA84" i="13"/>
  <c r="CGZ84" i="13"/>
  <c r="CGY84" i="13"/>
  <c r="CGX84" i="13"/>
  <c r="CGW84" i="13"/>
  <c r="CGV84" i="13"/>
  <c r="CGU84" i="13"/>
  <c r="CGT84" i="13"/>
  <c r="CGS84" i="13"/>
  <c r="CGR84" i="13"/>
  <c r="CGN84" i="13"/>
  <c r="CGM84" i="13"/>
  <c r="CGL84" i="13"/>
  <c r="CGK84" i="13"/>
  <c r="CGJ84" i="13"/>
  <c r="CGI84" i="13"/>
  <c r="CGH84" i="13"/>
  <c r="CGG84" i="13"/>
  <c r="CGF84" i="13"/>
  <c r="CGE84" i="13"/>
  <c r="CGD84" i="13"/>
  <c r="CGC84" i="13"/>
  <c r="CGB84" i="13"/>
  <c r="CFX84" i="13"/>
  <c r="CFW84" i="13"/>
  <c r="CFV84" i="13"/>
  <c r="CFU84" i="13"/>
  <c r="CFT84" i="13"/>
  <c r="CFS84" i="13"/>
  <c r="CFR84" i="13"/>
  <c r="CFQ84" i="13"/>
  <c r="CFP84" i="13"/>
  <c r="CFO84" i="13"/>
  <c r="CFN84" i="13"/>
  <c r="CFM84" i="13"/>
  <c r="CFL84" i="13"/>
  <c r="CFH84" i="13"/>
  <c r="CFG84" i="13"/>
  <c r="CFF84" i="13"/>
  <c r="CFE84" i="13"/>
  <c r="CFD84" i="13"/>
  <c r="CFC84" i="13"/>
  <c r="CFB84" i="13"/>
  <c r="CFA84" i="13"/>
  <c r="CEZ84" i="13"/>
  <c r="CEY84" i="13"/>
  <c r="CEX84" i="13"/>
  <c r="CEW84" i="13"/>
  <c r="CEV84" i="13"/>
  <c r="CER84" i="13"/>
  <c r="CEQ84" i="13"/>
  <c r="CEP84" i="13"/>
  <c r="CEO84" i="13"/>
  <c r="CEN84" i="13"/>
  <c r="CEM84" i="13"/>
  <c r="CEL84" i="13"/>
  <c r="CEK84" i="13"/>
  <c r="CEJ84" i="13"/>
  <c r="CEI84" i="13"/>
  <c r="CEH84" i="13"/>
  <c r="CEG84" i="13"/>
  <c r="CEF84" i="13"/>
  <c r="CEB84" i="13"/>
  <c r="CEA84" i="13"/>
  <c r="CDZ84" i="13"/>
  <c r="CDY84" i="13"/>
  <c r="CDX84" i="13"/>
  <c r="CDW84" i="13"/>
  <c r="CDV84" i="13"/>
  <c r="CDU84" i="13"/>
  <c r="CDT84" i="13"/>
  <c r="CDS84" i="13"/>
  <c r="CDR84" i="13"/>
  <c r="CDQ84" i="13"/>
  <c r="CDP84" i="13"/>
  <c r="CDL84" i="13"/>
  <c r="CDK84" i="13"/>
  <c r="CDJ84" i="13"/>
  <c r="CDI84" i="13"/>
  <c r="CDH84" i="13"/>
  <c r="CDG84" i="13"/>
  <c r="CDF84" i="13"/>
  <c r="CDE84" i="13"/>
  <c r="CDD84" i="13"/>
  <c r="CDC84" i="13"/>
  <c r="CDB84" i="13"/>
  <c r="CDA84" i="13"/>
  <c r="CCZ84" i="13"/>
  <c r="CCV84" i="13"/>
  <c r="CCU84" i="13"/>
  <c r="CCT84" i="13"/>
  <c r="CCS84" i="13"/>
  <c r="CCR84" i="13"/>
  <c r="CCQ84" i="13"/>
  <c r="CCP84" i="13"/>
  <c r="CCO84" i="13"/>
  <c r="CCN84" i="13"/>
  <c r="CCM84" i="13"/>
  <c r="CCL84" i="13"/>
  <c r="CCK84" i="13"/>
  <c r="CCJ84" i="13"/>
  <c r="CCF84" i="13"/>
  <c r="CCE84" i="13"/>
  <c r="CCD84" i="13"/>
  <c r="CCC84" i="13"/>
  <c r="CCB84" i="13"/>
  <c r="CCA84" i="13"/>
  <c r="CBZ84" i="13"/>
  <c r="CBY84" i="13"/>
  <c r="CBX84" i="13"/>
  <c r="CBW84" i="13"/>
  <c r="CBV84" i="13"/>
  <c r="CBU84" i="13"/>
  <c r="CBT84" i="13"/>
  <c r="CBP84" i="13"/>
  <c r="CBO84" i="13"/>
  <c r="CBN84" i="13"/>
  <c r="CBM84" i="13"/>
  <c r="CBL84" i="13"/>
  <c r="CBK84" i="13"/>
  <c r="CBJ84" i="13"/>
  <c r="CBI84" i="13"/>
  <c r="CBH84" i="13"/>
  <c r="CBG84" i="13"/>
  <c r="CBF84" i="13"/>
  <c r="CBE84" i="13"/>
  <c r="CBD84" i="13"/>
  <c r="CAZ84" i="13"/>
  <c r="CAY84" i="13"/>
  <c r="CAX84" i="13"/>
  <c r="CAW84" i="13"/>
  <c r="CAV84" i="13"/>
  <c r="CAU84" i="13"/>
  <c r="CAT84" i="13"/>
  <c r="CAS84" i="13"/>
  <c r="CAR84" i="13"/>
  <c r="CAQ84" i="13"/>
  <c r="CAP84" i="13"/>
  <c r="CAO84" i="13"/>
  <c r="CAN84" i="13"/>
  <c r="CAJ84" i="13"/>
  <c r="CAI84" i="13"/>
  <c r="CAH84" i="13"/>
  <c r="CAG84" i="13"/>
  <c r="CAF84" i="13"/>
  <c r="CAE84" i="13"/>
  <c r="CAD84" i="13"/>
  <c r="CAC84" i="13"/>
  <c r="CAB84" i="13"/>
  <c r="CAA84" i="13"/>
  <c r="BZZ84" i="13"/>
  <c r="BZY84" i="13"/>
  <c r="BZX84" i="13"/>
  <c r="BZT84" i="13"/>
  <c r="BZS84" i="13"/>
  <c r="BZR84" i="13"/>
  <c r="BZQ84" i="13"/>
  <c r="BZP84" i="13"/>
  <c r="BZO84" i="13"/>
  <c r="BZN84" i="13"/>
  <c r="BZM84" i="13"/>
  <c r="BZL84" i="13"/>
  <c r="BZK84" i="13"/>
  <c r="BZJ84" i="13"/>
  <c r="BZI84" i="13"/>
  <c r="BZH84" i="13"/>
  <c r="BZD84" i="13"/>
  <c r="BZC84" i="13"/>
  <c r="BZB84" i="13"/>
  <c r="BZA84" i="13"/>
  <c r="BYZ84" i="13"/>
  <c r="BYY84" i="13"/>
  <c r="BYX84" i="13"/>
  <c r="BYW84" i="13"/>
  <c r="BYV84" i="13"/>
  <c r="BYU84" i="13"/>
  <c r="BYT84" i="13"/>
  <c r="BYS84" i="13"/>
  <c r="BYR84" i="13"/>
  <c r="BYN84" i="13"/>
  <c r="BYM84" i="13"/>
  <c r="BYL84" i="13"/>
  <c r="BYK84" i="13"/>
  <c r="BYJ84" i="13"/>
  <c r="BYI84" i="13"/>
  <c r="BYH84" i="13"/>
  <c r="BYG84" i="13"/>
  <c r="BYF84" i="13"/>
  <c r="BYE84" i="13"/>
  <c r="BYD84" i="13"/>
  <c r="BYC84" i="13"/>
  <c r="BYB84" i="13"/>
  <c r="BXX84" i="13"/>
  <c r="BXW84" i="13"/>
  <c r="BXV84" i="13"/>
  <c r="BXU84" i="13"/>
  <c r="BXT84" i="13"/>
  <c r="BXS84" i="13"/>
  <c r="BXR84" i="13"/>
  <c r="BXQ84" i="13"/>
  <c r="BXP84" i="13"/>
  <c r="BXO84" i="13"/>
  <c r="BXN84" i="13"/>
  <c r="BXM84" i="13"/>
  <c r="BXL84" i="13"/>
  <c r="BXH84" i="13"/>
  <c r="BXG84" i="13"/>
  <c r="BXF84" i="13"/>
  <c r="BXE84" i="13"/>
  <c r="BXD84" i="13"/>
  <c r="BXC84" i="13"/>
  <c r="BXB84" i="13"/>
  <c r="BXA84" i="13"/>
  <c r="BWZ84" i="13"/>
  <c r="BWY84" i="13"/>
  <c r="BWX84" i="13"/>
  <c r="BWW84" i="13"/>
  <c r="BWV84" i="13"/>
  <c r="BWR84" i="13"/>
  <c r="BWQ84" i="13"/>
  <c r="BWP84" i="13"/>
  <c r="BWO84" i="13"/>
  <c r="BWN84" i="13"/>
  <c r="BWM84" i="13"/>
  <c r="BWL84" i="13"/>
  <c r="BWK84" i="13"/>
  <c r="BWJ84" i="13"/>
  <c r="BWI84" i="13"/>
  <c r="BWH84" i="13"/>
  <c r="BWG84" i="13"/>
  <c r="BWF84" i="13"/>
  <c r="BWB84" i="13"/>
  <c r="BWA84" i="13"/>
  <c r="BVZ84" i="13"/>
  <c r="BVY84" i="13"/>
  <c r="BVX84" i="13"/>
  <c r="BVW84" i="13"/>
  <c r="BVV84" i="13"/>
  <c r="BVU84" i="13"/>
  <c r="BVT84" i="13"/>
  <c r="BVS84" i="13"/>
  <c r="BVR84" i="13"/>
  <c r="BVQ84" i="13"/>
  <c r="BVP84" i="13"/>
  <c r="BVL84" i="13"/>
  <c r="BVK84" i="13"/>
  <c r="BVJ84" i="13"/>
  <c r="BVI84" i="13"/>
  <c r="BVH84" i="13"/>
  <c r="BVG84" i="13"/>
  <c r="BVF84" i="13"/>
  <c r="BVE84" i="13"/>
  <c r="BVD84" i="13"/>
  <c r="BVC84" i="13"/>
  <c r="BVB84" i="13"/>
  <c r="BVA84" i="13"/>
  <c r="BUZ84" i="13"/>
  <c r="BUV84" i="13"/>
  <c r="BUU84" i="13"/>
  <c r="BUT84" i="13"/>
  <c r="BUS84" i="13"/>
  <c r="BUR84" i="13"/>
  <c r="BUQ84" i="13"/>
  <c r="BUP84" i="13"/>
  <c r="BUO84" i="13"/>
  <c r="BUN84" i="13"/>
  <c r="BUM84" i="13"/>
  <c r="BUL84" i="13"/>
  <c r="BUK84" i="13"/>
  <c r="BUJ84" i="13"/>
  <c r="BUF84" i="13"/>
  <c r="BUE84" i="13"/>
  <c r="BUD84" i="13"/>
  <c r="BUC84" i="13"/>
  <c r="BUB84" i="13"/>
  <c r="BUA84" i="13"/>
  <c r="BTZ84" i="13"/>
  <c r="BTY84" i="13"/>
  <c r="BTX84" i="13"/>
  <c r="BTW84" i="13"/>
  <c r="BTV84" i="13"/>
  <c r="BTU84" i="13"/>
  <c r="BTT84" i="13"/>
  <c r="BTP84" i="13"/>
  <c r="BTO84" i="13"/>
  <c r="BTN84" i="13"/>
  <c r="BTM84" i="13"/>
  <c r="BTL84" i="13"/>
  <c r="BTK84" i="13"/>
  <c r="BTJ84" i="13"/>
  <c r="BTI84" i="13"/>
  <c r="BTH84" i="13"/>
  <c r="BTG84" i="13"/>
  <c r="BTF84" i="13"/>
  <c r="BTE84" i="13"/>
  <c r="BTD84" i="13"/>
  <c r="BSZ84" i="13"/>
  <c r="BSY84" i="13"/>
  <c r="BSX84" i="13"/>
  <c r="BSW84" i="13"/>
  <c r="BSV84" i="13"/>
  <c r="BSU84" i="13"/>
  <c r="BST84" i="13"/>
  <c r="BSS84" i="13"/>
  <c r="BSR84" i="13"/>
  <c r="BSQ84" i="13"/>
  <c r="BSP84" i="13"/>
  <c r="BSO84" i="13"/>
  <c r="BSN84" i="13"/>
  <c r="BSJ84" i="13"/>
  <c r="BSI84" i="13"/>
  <c r="BSH84" i="13"/>
  <c r="BSG84" i="13"/>
  <c r="BSF84" i="13"/>
  <c r="BSE84" i="13"/>
  <c r="BSD84" i="13"/>
  <c r="BSC84" i="13"/>
  <c r="BSB84" i="13"/>
  <c r="BSA84" i="13"/>
  <c r="BRZ84" i="13"/>
  <c r="BRY84" i="13"/>
  <c r="BRX84" i="13"/>
  <c r="BRT84" i="13"/>
  <c r="BRS84" i="13"/>
  <c r="BRR84" i="13"/>
  <c r="BRQ84" i="13"/>
  <c r="BRP84" i="13"/>
  <c r="BRO84" i="13"/>
  <c r="BRN84" i="13"/>
  <c r="BRM84" i="13"/>
  <c r="BRL84" i="13"/>
  <c r="BRK84" i="13"/>
  <c r="BRJ84" i="13"/>
  <c r="BRI84" i="13"/>
  <c r="BRH84" i="13"/>
  <c r="BRD84" i="13"/>
  <c r="BRC84" i="13"/>
  <c r="BRB84" i="13"/>
  <c r="BRA84" i="13"/>
  <c r="BQZ84" i="13"/>
  <c r="BQY84" i="13"/>
  <c r="BQX84" i="13"/>
  <c r="BQW84" i="13"/>
  <c r="BQV84" i="13"/>
  <c r="BQU84" i="13"/>
  <c r="BQT84" i="13"/>
  <c r="BQS84" i="13"/>
  <c r="BQR84" i="13"/>
  <c r="BQN84" i="13"/>
  <c r="BQM84" i="13"/>
  <c r="BQL84" i="13"/>
  <c r="BQK84" i="13"/>
  <c r="BQJ84" i="13"/>
  <c r="BQI84" i="13"/>
  <c r="BQH84" i="13"/>
  <c r="BQG84" i="13"/>
  <c r="BQF84" i="13"/>
  <c r="BQE84" i="13"/>
  <c r="BQD84" i="13"/>
  <c r="BQC84" i="13"/>
  <c r="BQB84" i="13"/>
  <c r="BPX84" i="13"/>
  <c r="BPW84" i="13"/>
  <c r="BPV84" i="13"/>
  <c r="BPU84" i="13"/>
  <c r="BPT84" i="13"/>
  <c r="BPS84" i="13"/>
  <c r="BPR84" i="13"/>
  <c r="BPQ84" i="13"/>
  <c r="BPP84" i="13"/>
  <c r="BPO84" i="13"/>
  <c r="BPN84" i="13"/>
  <c r="BPM84" i="13"/>
  <c r="BPL84" i="13"/>
  <c r="BPH84" i="13"/>
  <c r="BPG84" i="13"/>
  <c r="BPF84" i="13"/>
  <c r="BPE84" i="13"/>
  <c r="BPD84" i="13"/>
  <c r="BPC84" i="13"/>
  <c r="BPB84" i="13"/>
  <c r="BPA84" i="13"/>
  <c r="BOZ84" i="13"/>
  <c r="BOY84" i="13"/>
  <c r="BOX84" i="13"/>
  <c r="BOW84" i="13"/>
  <c r="BOV84" i="13"/>
  <c r="BOR84" i="13"/>
  <c r="BOQ84" i="13"/>
  <c r="BOP84" i="13"/>
  <c r="BOO84" i="13"/>
  <c r="BON84" i="13"/>
  <c r="BOM84" i="13"/>
  <c r="BOL84" i="13"/>
  <c r="BOK84" i="13"/>
  <c r="BOJ84" i="13"/>
  <c r="BOI84" i="13"/>
  <c r="BOH84" i="13"/>
  <c r="BOG84" i="13"/>
  <c r="BOF84" i="13"/>
  <c r="BOB84" i="13"/>
  <c r="BOA84" i="13"/>
  <c r="BNZ84" i="13"/>
  <c r="BNY84" i="13"/>
  <c r="BNX84" i="13"/>
  <c r="BNW84" i="13"/>
  <c r="BNV84" i="13"/>
  <c r="BNU84" i="13"/>
  <c r="BNT84" i="13"/>
  <c r="BNS84" i="13"/>
  <c r="BNR84" i="13"/>
  <c r="BNQ84" i="13"/>
  <c r="BNP84" i="13"/>
  <c r="BNL84" i="13"/>
  <c r="BNK84" i="13"/>
  <c r="BNJ84" i="13"/>
  <c r="BNI84" i="13"/>
  <c r="BNH84" i="13"/>
  <c r="BNG84" i="13"/>
  <c r="BNF84" i="13"/>
  <c r="BNE84" i="13"/>
  <c r="BND84" i="13"/>
  <c r="BNC84" i="13"/>
  <c r="BNB84" i="13"/>
  <c r="BNA84" i="13"/>
  <c r="BMZ84" i="13"/>
  <c r="BMV84" i="13"/>
  <c r="BMU84" i="13"/>
  <c r="BMT84" i="13"/>
  <c r="BMS84" i="13"/>
  <c r="BMR84" i="13"/>
  <c r="BMQ84" i="13"/>
  <c r="BMP84" i="13"/>
  <c r="BMO84" i="13"/>
  <c r="BMN84" i="13"/>
  <c r="BMM84" i="13"/>
  <c r="BML84" i="13"/>
  <c r="BMK84" i="13"/>
  <c r="BMJ84" i="13"/>
  <c r="BMF84" i="13"/>
  <c r="BME84" i="13"/>
  <c r="BMD84" i="13"/>
  <c r="BMC84" i="13"/>
  <c r="BMB84" i="13"/>
  <c r="BMA84" i="13"/>
  <c r="BLZ84" i="13"/>
  <c r="BLY84" i="13"/>
  <c r="BLX84" i="13"/>
  <c r="BLW84" i="13"/>
  <c r="BLV84" i="13"/>
  <c r="BLU84" i="13"/>
  <c r="BLT84" i="13"/>
  <c r="BLP84" i="13"/>
  <c r="BLO84" i="13"/>
  <c r="BLN84" i="13"/>
  <c r="BLM84" i="13"/>
  <c r="BLL84" i="13"/>
  <c r="BLK84" i="13"/>
  <c r="BLJ84" i="13"/>
  <c r="BLI84" i="13"/>
  <c r="BLH84" i="13"/>
  <c r="BLG84" i="13"/>
  <c r="BLF84" i="13"/>
  <c r="BLE84" i="13"/>
  <c r="BLD84" i="13"/>
  <c r="BKZ84" i="13"/>
  <c r="BKY84" i="13"/>
  <c r="BKX84" i="13"/>
  <c r="BKW84" i="13"/>
  <c r="BKV84" i="13"/>
  <c r="BKU84" i="13"/>
  <c r="BKT84" i="13"/>
  <c r="BKS84" i="13"/>
  <c r="BKR84" i="13"/>
  <c r="BKQ84" i="13"/>
  <c r="BKP84" i="13"/>
  <c r="BKO84" i="13"/>
  <c r="BKN84" i="13"/>
  <c r="BKJ84" i="13"/>
  <c r="BKI84" i="13"/>
  <c r="BKH84" i="13"/>
  <c r="BKG84" i="13"/>
  <c r="BKF84" i="13"/>
  <c r="BKE84" i="13"/>
  <c r="BKD84" i="13"/>
  <c r="BKC84" i="13"/>
  <c r="BKB84" i="13"/>
  <c r="BKA84" i="13"/>
  <c r="BJZ84" i="13"/>
  <c r="BJY84" i="13"/>
  <c r="BJX84" i="13"/>
  <c r="BJT84" i="13"/>
  <c r="BJS84" i="13"/>
  <c r="BJR84" i="13"/>
  <c r="BJQ84" i="13"/>
  <c r="BJP84" i="13"/>
  <c r="BJO84" i="13"/>
  <c r="BJN84" i="13"/>
  <c r="BJM84" i="13"/>
  <c r="BJL84" i="13"/>
  <c r="BJK84" i="13"/>
  <c r="BJJ84" i="13"/>
  <c r="BJI84" i="13"/>
  <c r="BJH84" i="13"/>
  <c r="BJD84" i="13"/>
  <c r="BJC84" i="13"/>
  <c r="BJB84" i="13"/>
  <c r="BJA84" i="13"/>
  <c r="BIZ84" i="13"/>
  <c r="BIY84" i="13"/>
  <c r="BIX84" i="13"/>
  <c r="BIW84" i="13"/>
  <c r="BIV84" i="13"/>
  <c r="BIU84" i="13"/>
  <c r="BIT84" i="13"/>
  <c r="BIS84" i="13"/>
  <c r="BIR84" i="13"/>
  <c r="BIN84" i="13"/>
  <c r="BIM84" i="13"/>
  <c r="BIL84" i="13"/>
  <c r="BIK84" i="13"/>
  <c r="BIJ84" i="13"/>
  <c r="BII84" i="13"/>
  <c r="BIH84" i="13"/>
  <c r="BIG84" i="13"/>
  <c r="BIF84" i="13"/>
  <c r="BIE84" i="13"/>
  <c r="BID84" i="13"/>
  <c r="BIC84" i="13"/>
  <c r="BIB84" i="13"/>
  <c r="BHX84" i="13"/>
  <c r="BHW84" i="13"/>
  <c r="BHV84" i="13"/>
  <c r="BHU84" i="13"/>
  <c r="BHT84" i="13"/>
  <c r="BHS84" i="13"/>
  <c r="BHR84" i="13"/>
  <c r="BHQ84" i="13"/>
  <c r="BHP84" i="13"/>
  <c r="BHO84" i="13"/>
  <c r="BHN84" i="13"/>
  <c r="BHM84" i="13"/>
  <c r="BHL84" i="13"/>
  <c r="BHH84" i="13"/>
  <c r="BHG84" i="13"/>
  <c r="BHF84" i="13"/>
  <c r="BHE84" i="13"/>
  <c r="BHD84" i="13"/>
  <c r="BHC84" i="13"/>
  <c r="BHB84" i="13"/>
  <c r="BHA84" i="13"/>
  <c r="BGZ84" i="13"/>
  <c r="BGY84" i="13"/>
  <c r="BGX84" i="13"/>
  <c r="BGW84" i="13"/>
  <c r="BGV84" i="13"/>
  <c r="BGR84" i="13"/>
  <c r="BGQ84" i="13"/>
  <c r="BGP84" i="13"/>
  <c r="BGO84" i="13"/>
  <c r="BGN84" i="13"/>
  <c r="BGM84" i="13"/>
  <c r="BGL84" i="13"/>
  <c r="BGK84" i="13"/>
  <c r="BGJ84" i="13"/>
  <c r="BGI84" i="13"/>
  <c r="BGH84" i="13"/>
  <c r="BGG84" i="13"/>
  <c r="BGF84" i="13"/>
  <c r="BGB84" i="13"/>
  <c r="BGA84" i="13"/>
  <c r="BFZ84" i="13"/>
  <c r="BFY84" i="13"/>
  <c r="BFX84" i="13"/>
  <c r="BFW84" i="13"/>
  <c r="BFV84" i="13"/>
  <c r="BFU84" i="13"/>
  <c r="BFT84" i="13"/>
  <c r="BFS84" i="13"/>
  <c r="BFR84" i="13"/>
  <c r="BFQ84" i="13"/>
  <c r="BFP84" i="13"/>
  <c r="BFL84" i="13"/>
  <c r="BFK84" i="13"/>
  <c r="BFJ84" i="13"/>
  <c r="BFI84" i="13"/>
  <c r="BFH84" i="13"/>
  <c r="BFG84" i="13"/>
  <c r="BFF84" i="13"/>
  <c r="BFE84" i="13"/>
  <c r="BFD84" i="13"/>
  <c r="BFC84" i="13"/>
  <c r="BFB84" i="13"/>
  <c r="BFA84" i="13"/>
  <c r="BEZ84" i="13"/>
  <c r="BEV84" i="13"/>
  <c r="BEU84" i="13"/>
  <c r="BET84" i="13"/>
  <c r="BES84" i="13"/>
  <c r="BER84" i="13"/>
  <c r="BEQ84" i="13"/>
  <c r="BEP84" i="13"/>
  <c r="BEO84" i="13"/>
  <c r="BEN84" i="13"/>
  <c r="BEM84" i="13"/>
  <c r="BEL84" i="13"/>
  <c r="BEK84" i="13"/>
  <c r="BEJ84" i="13"/>
  <c r="BEF84" i="13"/>
  <c r="BEE84" i="13"/>
  <c r="BED84" i="13"/>
  <c r="BEC84" i="13"/>
  <c r="BEB84" i="13"/>
  <c r="BEA84" i="13"/>
  <c r="BDZ84" i="13"/>
  <c r="BDY84" i="13"/>
  <c r="BDX84" i="13"/>
  <c r="BDW84" i="13"/>
  <c r="BDV84" i="13"/>
  <c r="BDU84" i="13"/>
  <c r="BDT84" i="13"/>
  <c r="BDP84" i="13"/>
  <c r="BDO84" i="13"/>
  <c r="BDN84" i="13"/>
  <c r="BDM84" i="13"/>
  <c r="BDL84" i="13"/>
  <c r="BDK84" i="13"/>
  <c r="BDJ84" i="13"/>
  <c r="BDI84" i="13"/>
  <c r="BDH84" i="13"/>
  <c r="BDG84" i="13"/>
  <c r="BDF84" i="13"/>
  <c r="BDE84" i="13"/>
  <c r="BDD84" i="13"/>
  <c r="BCZ84" i="13"/>
  <c r="BCY84" i="13"/>
  <c r="BCX84" i="13"/>
  <c r="BCW84" i="13"/>
  <c r="BCV84" i="13"/>
  <c r="BCU84" i="13"/>
  <c r="BCT84" i="13"/>
  <c r="BCS84" i="13"/>
  <c r="BCR84" i="13"/>
  <c r="BCQ84" i="13"/>
  <c r="BCP84" i="13"/>
  <c r="BCO84" i="13"/>
  <c r="BCN84" i="13"/>
  <c r="BCJ84" i="13"/>
  <c r="BCI84" i="13"/>
  <c r="BCH84" i="13"/>
  <c r="BCG84" i="13"/>
  <c r="BCF84" i="13"/>
  <c r="BCE84" i="13"/>
  <c r="BCD84" i="13"/>
  <c r="BCC84" i="13"/>
  <c r="BCB84" i="13"/>
  <c r="BCA84" i="13"/>
  <c r="BBZ84" i="13"/>
  <c r="BBY84" i="13"/>
  <c r="BBX84" i="13"/>
  <c r="BBT84" i="13"/>
  <c r="BBS84" i="13"/>
  <c r="BBR84" i="13"/>
  <c r="BBQ84" i="13"/>
  <c r="BBP84" i="13"/>
  <c r="BBO84" i="13"/>
  <c r="BBN84" i="13"/>
  <c r="BBM84" i="13"/>
  <c r="BBL84" i="13"/>
  <c r="BBK84" i="13"/>
  <c r="BBJ84" i="13"/>
  <c r="BBI84" i="13"/>
  <c r="BBH84" i="13"/>
  <c r="BBD84" i="13"/>
  <c r="BBC84" i="13"/>
  <c r="BBB84" i="13"/>
  <c r="BBA84" i="13"/>
  <c r="BAZ84" i="13"/>
  <c r="BAY84" i="13"/>
  <c r="BAX84" i="13"/>
  <c r="BAW84" i="13"/>
  <c r="BAV84" i="13"/>
  <c r="BAU84" i="13"/>
  <c r="BAT84" i="13"/>
  <c r="BAS84" i="13"/>
  <c r="BAR84" i="13"/>
  <c r="BAN84" i="13"/>
  <c r="BAM84" i="13"/>
  <c r="BAL84" i="13"/>
  <c r="BAK84" i="13"/>
  <c r="BAJ84" i="13"/>
  <c r="BAI84" i="13"/>
  <c r="BAH84" i="13"/>
  <c r="BAG84" i="13"/>
  <c r="BAF84" i="13"/>
  <c r="BAE84" i="13"/>
  <c r="BAD84" i="13"/>
  <c r="BAC84" i="13"/>
  <c r="BAB84" i="13"/>
  <c r="AZX84" i="13"/>
  <c r="AZW84" i="13"/>
  <c r="AZV84" i="13"/>
  <c r="AZU84" i="13"/>
  <c r="AZT84" i="13"/>
  <c r="AZS84" i="13"/>
  <c r="AZR84" i="13"/>
  <c r="AZQ84" i="13"/>
  <c r="AZP84" i="13"/>
  <c r="AZO84" i="13"/>
  <c r="AZN84" i="13"/>
  <c r="AZM84" i="13"/>
  <c r="AZL84" i="13"/>
  <c r="AZH84" i="13"/>
  <c r="AZG84" i="13"/>
  <c r="AZF84" i="13"/>
  <c r="AZE84" i="13"/>
  <c r="AZD84" i="13"/>
  <c r="AZC84" i="13"/>
  <c r="AZB84" i="13"/>
  <c r="AZA84" i="13"/>
  <c r="AYZ84" i="13"/>
  <c r="AYY84" i="13"/>
  <c r="AYX84" i="13"/>
  <c r="AYW84" i="13"/>
  <c r="AYV84" i="13"/>
  <c r="AYR84" i="13"/>
  <c r="AYQ84" i="13"/>
  <c r="AYP84" i="13"/>
  <c r="AYO84" i="13"/>
  <c r="AYN84" i="13"/>
  <c r="AYM84" i="13"/>
  <c r="AYL84" i="13"/>
  <c r="AYK84" i="13"/>
  <c r="AYJ84" i="13"/>
  <c r="AYI84" i="13"/>
  <c r="AYH84" i="13"/>
  <c r="AYG84" i="13"/>
  <c r="AYF84" i="13"/>
  <c r="AYB84" i="13"/>
  <c r="AYA84" i="13"/>
  <c r="AXZ84" i="13"/>
  <c r="AXY84" i="13"/>
  <c r="AXX84" i="13"/>
  <c r="AXW84" i="13"/>
  <c r="AXV84" i="13"/>
  <c r="AXU84" i="13"/>
  <c r="AXT84" i="13"/>
  <c r="AXS84" i="13"/>
  <c r="AXR84" i="13"/>
  <c r="AXQ84" i="13"/>
  <c r="AXP84" i="13"/>
  <c r="AXL84" i="13"/>
  <c r="AXK84" i="13"/>
  <c r="AXJ84" i="13"/>
  <c r="AXI84" i="13"/>
  <c r="AXH84" i="13"/>
  <c r="AXG84" i="13"/>
  <c r="AXF84" i="13"/>
  <c r="AXE84" i="13"/>
  <c r="AXD84" i="13"/>
  <c r="AXC84" i="13"/>
  <c r="AXB84" i="13"/>
  <c r="AXA84" i="13"/>
  <c r="AWZ84" i="13"/>
  <c r="AWV84" i="13"/>
  <c r="AWU84" i="13"/>
  <c r="AWT84" i="13"/>
  <c r="AWS84" i="13"/>
  <c r="AWR84" i="13"/>
  <c r="AWQ84" i="13"/>
  <c r="AWP84" i="13"/>
  <c r="AWO84" i="13"/>
  <c r="AWN84" i="13"/>
  <c r="AWM84" i="13"/>
  <c r="AWL84" i="13"/>
  <c r="AWK84" i="13"/>
  <c r="AWJ84" i="13"/>
  <c r="AWF84" i="13"/>
  <c r="AWE84" i="13"/>
  <c r="AWD84" i="13"/>
  <c r="AWC84" i="13"/>
  <c r="AWB84" i="13"/>
  <c r="AWA84" i="13"/>
  <c r="AVZ84" i="13"/>
  <c r="AVY84" i="13"/>
  <c r="AVX84" i="13"/>
  <c r="AVW84" i="13"/>
  <c r="AVV84" i="13"/>
  <c r="AVU84" i="13"/>
  <c r="AVT84" i="13"/>
  <c r="AVP84" i="13"/>
  <c r="AVO84" i="13"/>
  <c r="AVN84" i="13"/>
  <c r="AVM84" i="13"/>
  <c r="AVL84" i="13"/>
  <c r="AVK84" i="13"/>
  <c r="AVJ84" i="13"/>
  <c r="AVI84" i="13"/>
  <c r="AVH84" i="13"/>
  <c r="AVG84" i="13"/>
  <c r="AVF84" i="13"/>
  <c r="AVE84" i="13"/>
  <c r="AVD84" i="13"/>
  <c r="AUZ84" i="13"/>
  <c r="AUY84" i="13"/>
  <c r="AUX84" i="13"/>
  <c r="AUW84" i="13"/>
  <c r="AUV84" i="13"/>
  <c r="AUU84" i="13"/>
  <c r="AUT84" i="13"/>
  <c r="AUS84" i="13"/>
  <c r="AUR84" i="13"/>
  <c r="AUQ84" i="13"/>
  <c r="AUP84" i="13"/>
  <c r="AUO84" i="13"/>
  <c r="AUN84" i="13"/>
  <c r="AUJ84" i="13"/>
  <c r="AUI84" i="13"/>
  <c r="AUH84" i="13"/>
  <c r="AUG84" i="13"/>
  <c r="AUF84" i="13"/>
  <c r="AUE84" i="13"/>
  <c r="AUD84" i="13"/>
  <c r="AUC84" i="13"/>
  <c r="AUB84" i="13"/>
  <c r="AUA84" i="13"/>
  <c r="ATZ84" i="13"/>
  <c r="ATY84" i="13"/>
  <c r="ATX84" i="13"/>
  <c r="ATT84" i="13"/>
  <c r="ATS84" i="13"/>
  <c r="ATR84" i="13"/>
  <c r="ATQ84" i="13"/>
  <c r="ATP84" i="13"/>
  <c r="ATO84" i="13"/>
  <c r="ATN84" i="13"/>
  <c r="ATM84" i="13"/>
  <c r="ATL84" i="13"/>
  <c r="ATK84" i="13"/>
  <c r="ATJ84" i="13"/>
  <c r="ATI84" i="13"/>
  <c r="ATH84" i="13"/>
  <c r="ATD84" i="13"/>
  <c r="ATC84" i="13"/>
  <c r="ATB84" i="13"/>
  <c r="ATA84" i="13"/>
  <c r="ASZ84" i="13"/>
  <c r="ASY84" i="13"/>
  <c r="ASX84" i="13"/>
  <c r="ASW84" i="13"/>
  <c r="ASV84" i="13"/>
  <c r="ASU84" i="13"/>
  <c r="AST84" i="13"/>
  <c r="ASS84" i="13"/>
  <c r="ASR84" i="13"/>
  <c r="ASN84" i="13"/>
  <c r="ASM84" i="13"/>
  <c r="ASL84" i="13"/>
  <c r="ASK84" i="13"/>
  <c r="ASJ84" i="13"/>
  <c r="ASI84" i="13"/>
  <c r="ASH84" i="13"/>
  <c r="ASG84" i="13"/>
  <c r="ASF84" i="13"/>
  <c r="ASE84" i="13"/>
  <c r="ASD84" i="13"/>
  <c r="ASC84" i="13"/>
  <c r="ASB84" i="13"/>
  <c r="ARX84" i="13"/>
  <c r="ARW84" i="13"/>
  <c r="ARV84" i="13"/>
  <c r="ARU84" i="13"/>
  <c r="ART84" i="13"/>
  <c r="ARS84" i="13"/>
  <c r="ARR84" i="13"/>
  <c r="ARQ84" i="13"/>
  <c r="ARP84" i="13"/>
  <c r="ARO84" i="13"/>
  <c r="ARN84" i="13"/>
  <c r="ARM84" i="13"/>
  <c r="ARL84" i="13"/>
  <c r="ARH84" i="13"/>
  <c r="ARG84" i="13"/>
  <c r="ARF84" i="13"/>
  <c r="ARE84" i="13"/>
  <c r="ARD84" i="13"/>
  <c r="ARC84" i="13"/>
  <c r="ARB84" i="13"/>
  <c r="ARA84" i="13"/>
  <c r="AQZ84" i="13"/>
  <c r="AQY84" i="13"/>
  <c r="AQX84" i="13"/>
  <c r="AQW84" i="13"/>
  <c r="AQV84" i="13"/>
  <c r="AQR84" i="13"/>
  <c r="AQQ84" i="13"/>
  <c r="AQP84" i="13"/>
  <c r="AQO84" i="13"/>
  <c r="AQN84" i="13"/>
  <c r="AQM84" i="13"/>
  <c r="AQL84" i="13"/>
  <c r="AQK84" i="13"/>
  <c r="AQJ84" i="13"/>
  <c r="AQI84" i="13"/>
  <c r="AQH84" i="13"/>
  <c r="AQG84" i="13"/>
  <c r="AQF84" i="13"/>
  <c r="AQB84" i="13"/>
  <c r="AQA84" i="13"/>
  <c r="APZ84" i="13"/>
  <c r="APY84" i="13"/>
  <c r="APX84" i="13"/>
  <c r="APW84" i="13"/>
  <c r="APV84" i="13"/>
  <c r="APU84" i="13"/>
  <c r="APT84" i="13"/>
  <c r="APS84" i="13"/>
  <c r="APR84" i="13"/>
  <c r="APQ84" i="13"/>
  <c r="APP84" i="13"/>
  <c r="APL84" i="13"/>
  <c r="APK84" i="13"/>
  <c r="APJ84" i="13"/>
  <c r="API84" i="13"/>
  <c r="APH84" i="13"/>
  <c r="APG84" i="13"/>
  <c r="APF84" i="13"/>
  <c r="APE84" i="13"/>
  <c r="APD84" i="13"/>
  <c r="APC84" i="13"/>
  <c r="APB84" i="13"/>
  <c r="APA84" i="13"/>
  <c r="AOZ84" i="13"/>
  <c r="AOV84" i="13"/>
  <c r="AOU84" i="13"/>
  <c r="AOT84" i="13"/>
  <c r="AOS84" i="13"/>
  <c r="AOR84" i="13"/>
  <c r="AOQ84" i="13"/>
  <c r="AOP84" i="13"/>
  <c r="AOO84" i="13"/>
  <c r="AON84" i="13"/>
  <c r="AOM84" i="13"/>
  <c r="AOL84" i="13"/>
  <c r="AOK84" i="13"/>
  <c r="AOJ84" i="13"/>
  <c r="AOF84" i="13"/>
  <c r="AOE84" i="13"/>
  <c r="AOD84" i="13"/>
  <c r="AOC84" i="13"/>
  <c r="AOB84" i="13"/>
  <c r="AOA84" i="13"/>
  <c r="ANZ84" i="13"/>
  <c r="ANY84" i="13"/>
  <c r="ANX84" i="13"/>
  <c r="ANW84" i="13"/>
  <c r="ANV84" i="13"/>
  <c r="ANU84" i="13"/>
  <c r="ANT84" i="13"/>
  <c r="ANP84" i="13"/>
  <c r="ANO84" i="13"/>
  <c r="ANN84" i="13"/>
  <c r="ANM84" i="13"/>
  <c r="ANL84" i="13"/>
  <c r="ANK84" i="13"/>
  <c r="ANJ84" i="13"/>
  <c r="ANI84" i="13"/>
  <c r="ANH84" i="13"/>
  <c r="ANG84" i="13"/>
  <c r="ANF84" i="13"/>
  <c r="ANE84" i="13"/>
  <c r="AND84" i="13"/>
  <c r="AMZ84" i="13"/>
  <c r="AMY84" i="13"/>
  <c r="AMX84" i="13"/>
  <c r="AMW84" i="13"/>
  <c r="AMV84" i="13"/>
  <c r="AMU84" i="13"/>
  <c r="AMT84" i="13"/>
  <c r="AMS84" i="13"/>
  <c r="AMR84" i="13"/>
  <c r="AMQ84" i="13"/>
  <c r="AMP84" i="13"/>
  <c r="AMO84" i="13"/>
  <c r="AMN84" i="13"/>
  <c r="AMJ84" i="13"/>
  <c r="AMI84" i="13"/>
  <c r="AMH84" i="13"/>
  <c r="AMG84" i="13"/>
  <c r="AMF84" i="13"/>
  <c r="AME84" i="13"/>
  <c r="AMD84" i="13"/>
  <c r="AMC84" i="13"/>
  <c r="AMB84" i="13"/>
  <c r="AMA84" i="13"/>
  <c r="ALZ84" i="13"/>
  <c r="ALY84" i="13"/>
  <c r="ALX84" i="13"/>
  <c r="ALT84" i="13"/>
  <c r="ALS84" i="13"/>
  <c r="ALR84" i="13"/>
  <c r="ALQ84" i="13"/>
  <c r="ALP84" i="13"/>
  <c r="ALO84" i="13"/>
  <c r="ALN84" i="13"/>
  <c r="ALM84" i="13"/>
  <c r="ALL84" i="13"/>
  <c r="ALK84" i="13"/>
  <c r="ALJ84" i="13"/>
  <c r="ALI84" i="13"/>
  <c r="ALH84" i="13"/>
  <c r="ALD84" i="13"/>
  <c r="ALC84" i="13"/>
  <c r="ALB84" i="13"/>
  <c r="ALA84" i="13"/>
  <c r="AKZ84" i="13"/>
  <c r="AKY84" i="13"/>
  <c r="AKX84" i="13"/>
  <c r="AKW84" i="13"/>
  <c r="AKV84" i="13"/>
  <c r="AKU84" i="13"/>
  <c r="AKT84" i="13"/>
  <c r="AKS84" i="13"/>
  <c r="AKR84" i="13"/>
  <c r="AKN84" i="13"/>
  <c r="AKM84" i="13"/>
  <c r="AKL84" i="13"/>
  <c r="AKK84" i="13"/>
  <c r="AKJ84" i="13"/>
  <c r="AKI84" i="13"/>
  <c r="AKH84" i="13"/>
  <c r="AKG84" i="13"/>
  <c r="AKF84" i="13"/>
  <c r="AKE84" i="13"/>
  <c r="AKD84" i="13"/>
  <c r="AKC84" i="13"/>
  <c r="AKB84" i="13"/>
  <c r="AJX84" i="13"/>
  <c r="AJW84" i="13"/>
  <c r="AJV84" i="13"/>
  <c r="AJU84" i="13"/>
  <c r="AJT84" i="13"/>
  <c r="AJS84" i="13"/>
  <c r="AJR84" i="13"/>
  <c r="AJQ84" i="13"/>
  <c r="AJP84" i="13"/>
  <c r="AJO84" i="13"/>
  <c r="AJN84" i="13"/>
  <c r="AJM84" i="13"/>
  <c r="AJL84" i="13"/>
  <c r="AJH84" i="13"/>
  <c r="AJG84" i="13"/>
  <c r="AJF84" i="13"/>
  <c r="AJE84" i="13"/>
  <c r="AJD84" i="13"/>
  <c r="AJC84" i="13"/>
  <c r="AJB84" i="13"/>
  <c r="AJA84" i="13"/>
  <c r="AIZ84" i="13"/>
  <c r="AIY84" i="13"/>
  <c r="AIX84" i="13"/>
  <c r="AIW84" i="13"/>
  <c r="AIV84" i="13"/>
  <c r="AIR84" i="13"/>
  <c r="AIQ84" i="13"/>
  <c r="AIP84" i="13"/>
  <c r="AIO84" i="13"/>
  <c r="AIN84" i="13"/>
  <c r="AIM84" i="13"/>
  <c r="AIL84" i="13"/>
  <c r="AIK84" i="13"/>
  <c r="AIJ84" i="13"/>
  <c r="AII84" i="13"/>
  <c r="AIH84" i="13"/>
  <c r="AIG84" i="13"/>
  <c r="AIF84" i="13"/>
  <c r="AIB84" i="13"/>
  <c r="AIA84" i="13"/>
  <c r="AHZ84" i="13"/>
  <c r="AHY84" i="13"/>
  <c r="AHX84" i="13"/>
  <c r="AHW84" i="13"/>
  <c r="AHV84" i="13"/>
  <c r="AHU84" i="13"/>
  <c r="AHT84" i="13"/>
  <c r="AHS84" i="13"/>
  <c r="AHR84" i="13"/>
  <c r="AHQ84" i="13"/>
  <c r="AHP84" i="13"/>
  <c r="AHL84" i="13"/>
  <c r="AHK84" i="13"/>
  <c r="AHJ84" i="13"/>
  <c r="AHI84" i="13"/>
  <c r="AHH84" i="13"/>
  <c r="AHG84" i="13"/>
  <c r="AHF84" i="13"/>
  <c r="AHE84" i="13"/>
  <c r="AHD84" i="13"/>
  <c r="AHC84" i="13"/>
  <c r="AHB84" i="13"/>
  <c r="AHA84" i="13"/>
  <c r="AGZ84" i="13"/>
  <c r="AGV84" i="13"/>
  <c r="AGU84" i="13"/>
  <c r="AGT84" i="13"/>
  <c r="AGS84" i="13"/>
  <c r="AGR84" i="13"/>
  <c r="AGQ84" i="13"/>
  <c r="AGP84" i="13"/>
  <c r="AGO84" i="13"/>
  <c r="AGN84" i="13"/>
  <c r="AGM84" i="13"/>
  <c r="AGL84" i="13"/>
  <c r="AGK84" i="13"/>
  <c r="AGJ84" i="13"/>
  <c r="AGF84" i="13"/>
  <c r="AGE84" i="13"/>
  <c r="AGD84" i="13"/>
  <c r="AGC84" i="13"/>
  <c r="AGB84" i="13"/>
  <c r="AGA84" i="13"/>
  <c r="AFZ84" i="13"/>
  <c r="AFY84" i="13"/>
  <c r="AFX84" i="13"/>
  <c r="AFW84" i="13"/>
  <c r="AFV84" i="13"/>
  <c r="AFU84" i="13"/>
  <c r="AFT84" i="13"/>
  <c r="AFP84" i="13"/>
  <c r="AFO84" i="13"/>
  <c r="AFN84" i="13"/>
  <c r="AFM84" i="13"/>
  <c r="AFL84" i="13"/>
  <c r="AFK84" i="13"/>
  <c r="AFJ84" i="13"/>
  <c r="AFI84" i="13"/>
  <c r="AFH84" i="13"/>
  <c r="AFG84" i="13"/>
  <c r="AFF84" i="13"/>
  <c r="AFE84" i="13"/>
  <c r="AFD84" i="13"/>
  <c r="AEZ84" i="13"/>
  <c r="AEY84" i="13"/>
  <c r="AEX84" i="13"/>
  <c r="AEW84" i="13"/>
  <c r="AEV84" i="13"/>
  <c r="AEU84" i="13"/>
  <c r="AET84" i="13"/>
  <c r="AES84" i="13"/>
  <c r="AER84" i="13"/>
  <c r="AEQ84" i="13"/>
  <c r="AEP84" i="13"/>
  <c r="AEO84" i="13"/>
  <c r="AEN84" i="13"/>
  <c r="AEJ84" i="13"/>
  <c r="AEI84" i="13"/>
  <c r="AEH84" i="13"/>
  <c r="AEG84" i="13"/>
  <c r="AEF84" i="13"/>
  <c r="AEE84" i="13"/>
  <c r="AED84" i="13"/>
  <c r="AEC84" i="13"/>
  <c r="AEB84" i="13"/>
  <c r="AEA84" i="13"/>
  <c r="ADZ84" i="13"/>
  <c r="ADY84" i="13"/>
  <c r="ADX84" i="13"/>
  <c r="ADT84" i="13"/>
  <c r="ADS84" i="13"/>
  <c r="ADR84" i="13"/>
  <c r="ADQ84" i="13"/>
  <c r="ADP84" i="13"/>
  <c r="ADO84" i="13"/>
  <c r="ADN84" i="13"/>
  <c r="ADM84" i="13"/>
  <c r="ADL84" i="13"/>
  <c r="ADK84" i="13"/>
  <c r="ADJ84" i="13"/>
  <c r="ADI84" i="13"/>
  <c r="ADH84" i="13"/>
  <c r="ADD84" i="13"/>
  <c r="ADC84" i="13"/>
  <c r="ADB84" i="13"/>
  <c r="ADA84" i="13"/>
  <c r="ACZ84" i="13"/>
  <c r="ACY84" i="13"/>
  <c r="ACX84" i="13"/>
  <c r="ACW84" i="13"/>
  <c r="ACV84" i="13"/>
  <c r="ACU84" i="13"/>
  <c r="ACT84" i="13"/>
  <c r="ACS84" i="13"/>
  <c r="ACR84" i="13"/>
  <c r="ACN84" i="13"/>
  <c r="ACM84" i="13"/>
  <c r="ACL84" i="13"/>
  <c r="ACK84" i="13"/>
  <c r="ACJ84" i="13"/>
  <c r="ACI84" i="13"/>
  <c r="ACH84" i="13"/>
  <c r="ACG84" i="13"/>
  <c r="ACF84" i="13"/>
  <c r="ACE84" i="13"/>
  <c r="ACD84" i="13"/>
  <c r="ACC84" i="13"/>
  <c r="ACB84" i="13"/>
  <c r="ABX84" i="13"/>
  <c r="ABW84" i="13"/>
  <c r="ABV84" i="13"/>
  <c r="ABU84" i="13"/>
  <c r="ABT84" i="13"/>
  <c r="ABS84" i="13"/>
  <c r="ABR84" i="13"/>
  <c r="ABQ84" i="13"/>
  <c r="ABP84" i="13"/>
  <c r="ABO84" i="13"/>
  <c r="ABN84" i="13"/>
  <c r="ABM84" i="13"/>
  <c r="ABL84" i="13"/>
  <c r="ABH84" i="13"/>
  <c r="ABG84" i="13"/>
  <c r="ABF84" i="13"/>
  <c r="ABE84" i="13"/>
  <c r="ABD84" i="13"/>
  <c r="ABC84" i="13"/>
  <c r="ABB84" i="13"/>
  <c r="ABA84" i="13"/>
  <c r="AAZ84" i="13"/>
  <c r="AAY84" i="13"/>
  <c r="AAX84" i="13"/>
  <c r="AAW84" i="13"/>
  <c r="AAV84" i="13"/>
  <c r="AAR84" i="13"/>
  <c r="AAQ84" i="13"/>
  <c r="AAP84" i="13"/>
  <c r="AAO84" i="13"/>
  <c r="AAN84" i="13"/>
  <c r="AAM84" i="13"/>
  <c r="AAL84" i="13"/>
  <c r="AAK84" i="13"/>
  <c r="AAJ84" i="13"/>
  <c r="AAI84" i="13"/>
  <c r="AAH84" i="13"/>
  <c r="AAG84" i="13"/>
  <c r="AAF84" i="13"/>
  <c r="AAB84" i="13"/>
  <c r="AAA84" i="13"/>
  <c r="ZZ84" i="13"/>
  <c r="ZY84" i="13"/>
  <c r="ZX84" i="13"/>
  <c r="ZW84" i="13"/>
  <c r="ZV84" i="13"/>
  <c r="ZU84" i="13"/>
  <c r="ZT84" i="13"/>
  <c r="ZS84" i="13"/>
  <c r="ZR84" i="13"/>
  <c r="ZQ84" i="13"/>
  <c r="ZP84" i="13"/>
  <c r="ZL84" i="13"/>
  <c r="ZK84" i="13"/>
  <c r="ZJ84" i="13"/>
  <c r="ZI84" i="13"/>
  <c r="ZH84" i="13"/>
  <c r="ZG84" i="13"/>
  <c r="ZF84" i="13"/>
  <c r="ZE84" i="13"/>
  <c r="ZD84" i="13"/>
  <c r="ZC84" i="13"/>
  <c r="ZB84" i="13"/>
  <c r="ZA84" i="13"/>
  <c r="YZ84" i="13"/>
  <c r="YV84" i="13"/>
  <c r="YU84" i="13"/>
  <c r="YT84" i="13"/>
  <c r="YS84" i="13"/>
  <c r="YR84" i="13"/>
  <c r="YQ84" i="13"/>
  <c r="YP84" i="13"/>
  <c r="YO84" i="13"/>
  <c r="YN84" i="13"/>
  <c r="YM84" i="13"/>
  <c r="YL84" i="13"/>
  <c r="YK84" i="13"/>
  <c r="YJ84" i="13"/>
  <c r="YF84" i="13"/>
  <c r="YE84" i="13"/>
  <c r="YD84" i="13"/>
  <c r="YC84" i="13"/>
  <c r="YB84" i="13"/>
  <c r="YA84" i="13"/>
  <c r="XZ84" i="13"/>
  <c r="XY84" i="13"/>
  <c r="XX84" i="13"/>
  <c r="XW84" i="13"/>
  <c r="XV84" i="13"/>
  <c r="XU84" i="13"/>
  <c r="XT84" i="13"/>
  <c r="XP84" i="13"/>
  <c r="XO84" i="13"/>
  <c r="XN84" i="13"/>
  <c r="XM84" i="13"/>
  <c r="XL84" i="13"/>
  <c r="XK84" i="13"/>
  <c r="XJ84" i="13"/>
  <c r="XI84" i="13"/>
  <c r="XH84" i="13"/>
  <c r="XG84" i="13"/>
  <c r="XF84" i="13"/>
  <c r="XE84" i="13"/>
  <c r="XD84" i="13"/>
  <c r="WZ84" i="13"/>
  <c r="WY84" i="13"/>
  <c r="WX84" i="13"/>
  <c r="WW84" i="13"/>
  <c r="WV84" i="13"/>
  <c r="WU84" i="13"/>
  <c r="WT84" i="13"/>
  <c r="WS84" i="13"/>
  <c r="WR84" i="13"/>
  <c r="WQ84" i="13"/>
  <c r="WP84" i="13"/>
  <c r="WO84" i="13"/>
  <c r="WN84" i="13"/>
  <c r="WJ84" i="13"/>
  <c r="WI84" i="13"/>
  <c r="WH84" i="13"/>
  <c r="WG84" i="13"/>
  <c r="WF84" i="13"/>
  <c r="WE84" i="13"/>
  <c r="WD84" i="13"/>
  <c r="WC84" i="13"/>
  <c r="WB84" i="13"/>
  <c r="WA84" i="13"/>
  <c r="VZ84" i="13"/>
  <c r="VY84" i="13"/>
  <c r="VX84" i="13"/>
  <c r="VT84" i="13"/>
  <c r="VS84" i="13"/>
  <c r="VR84" i="13"/>
  <c r="VQ84" i="13"/>
  <c r="VP84" i="13"/>
  <c r="VO84" i="13"/>
  <c r="VN84" i="13"/>
  <c r="VM84" i="13"/>
  <c r="VL84" i="13"/>
  <c r="VK84" i="13"/>
  <c r="VJ84" i="13"/>
  <c r="VI84" i="13"/>
  <c r="VH84" i="13"/>
  <c r="VD84" i="13"/>
  <c r="VC84" i="13"/>
  <c r="VB84" i="13"/>
  <c r="VA84" i="13"/>
  <c r="UZ84" i="13"/>
  <c r="UY84" i="13"/>
  <c r="UX84" i="13"/>
  <c r="UW84" i="13"/>
  <c r="UV84" i="13"/>
  <c r="UU84" i="13"/>
  <c r="UT84" i="13"/>
  <c r="US84" i="13"/>
  <c r="UR84" i="13"/>
  <c r="UN84" i="13"/>
  <c r="UM84" i="13"/>
  <c r="UL84" i="13"/>
  <c r="UK84" i="13"/>
  <c r="UJ84" i="13"/>
  <c r="UI84" i="13"/>
  <c r="UH84" i="13"/>
  <c r="UG84" i="13"/>
  <c r="UF84" i="13"/>
  <c r="UE84" i="13"/>
  <c r="UD84" i="13"/>
  <c r="UC84" i="13"/>
  <c r="UB84" i="13"/>
  <c r="TX84" i="13"/>
  <c r="TW84" i="13"/>
  <c r="TV84" i="13"/>
  <c r="TU84" i="13"/>
  <c r="TT84" i="13"/>
  <c r="TS84" i="13"/>
  <c r="TR84" i="13"/>
  <c r="TQ84" i="13"/>
  <c r="TP84" i="13"/>
  <c r="TO84" i="13"/>
  <c r="TN84" i="13"/>
  <c r="TM84" i="13"/>
  <c r="TL84" i="13"/>
  <c r="TH84" i="13"/>
  <c r="TG84" i="13"/>
  <c r="TF84" i="13"/>
  <c r="TE84" i="13"/>
  <c r="TD84" i="13"/>
  <c r="TC84" i="13"/>
  <c r="TB84" i="13"/>
  <c r="TA84" i="13"/>
  <c r="SZ84" i="13"/>
  <c r="SY84" i="13"/>
  <c r="SX84" i="13"/>
  <c r="SW84" i="13"/>
  <c r="SV84" i="13"/>
  <c r="SR84" i="13"/>
  <c r="SQ84" i="13"/>
  <c r="SP84" i="13"/>
  <c r="SO84" i="13"/>
  <c r="SN84" i="13"/>
  <c r="SM84" i="13"/>
  <c r="SL84" i="13"/>
  <c r="SK84" i="13"/>
  <c r="SJ84" i="13"/>
  <c r="SI84" i="13"/>
  <c r="SH84" i="13"/>
  <c r="SG84" i="13"/>
  <c r="SF84" i="13"/>
  <c r="SB84" i="13"/>
  <c r="SA84" i="13"/>
  <c r="RZ84" i="13"/>
  <c r="RY84" i="13"/>
  <c r="RX84" i="13"/>
  <c r="RW84" i="13"/>
  <c r="RV84" i="13"/>
  <c r="RU84" i="13"/>
  <c r="RT84" i="13"/>
  <c r="RS84" i="13"/>
  <c r="RR84" i="13"/>
  <c r="RQ84" i="13"/>
  <c r="RP84" i="13"/>
  <c r="RL84" i="13"/>
  <c r="RK84" i="13"/>
  <c r="RJ84" i="13"/>
  <c r="RI84" i="13"/>
  <c r="RH84" i="13"/>
  <c r="RG84" i="13"/>
  <c r="RF84" i="13"/>
  <c r="RE84" i="13"/>
  <c r="RD84" i="13"/>
  <c r="RC84" i="13"/>
  <c r="RB84" i="13"/>
  <c r="RA84" i="13"/>
  <c r="QZ84" i="13"/>
  <c r="QV84" i="13"/>
  <c r="QU84" i="13"/>
  <c r="QT84" i="13"/>
  <c r="QS84" i="13"/>
  <c r="QR84" i="13"/>
  <c r="QQ84" i="13"/>
  <c r="QP84" i="13"/>
  <c r="QO84" i="13"/>
  <c r="QN84" i="13"/>
  <c r="QM84" i="13"/>
  <c r="QL84" i="13"/>
  <c r="QK84" i="13"/>
  <c r="QJ84" i="13"/>
  <c r="QF84" i="13"/>
  <c r="QE84" i="13"/>
  <c r="QD84" i="13"/>
  <c r="QC84" i="13"/>
  <c r="QB84" i="13"/>
  <c r="QA84" i="13"/>
  <c r="PZ84" i="13"/>
  <c r="PY84" i="13"/>
  <c r="PX84" i="13"/>
  <c r="PW84" i="13"/>
  <c r="PV84" i="13"/>
  <c r="PU84" i="13"/>
  <c r="PT84" i="13"/>
  <c r="PP84" i="13"/>
  <c r="PO84" i="13"/>
  <c r="PN84" i="13"/>
  <c r="PM84" i="13"/>
  <c r="PL84" i="13"/>
  <c r="PK84" i="13"/>
  <c r="PJ84" i="13"/>
  <c r="PI84" i="13"/>
  <c r="PH84" i="13"/>
  <c r="PG84" i="13"/>
  <c r="PF84" i="13"/>
  <c r="PE84" i="13"/>
  <c r="PD84" i="13"/>
  <c r="OZ84" i="13"/>
  <c r="OY84" i="13"/>
  <c r="OX84" i="13"/>
  <c r="OW84" i="13"/>
  <c r="OV84" i="13"/>
  <c r="OU84" i="13"/>
  <c r="OT84" i="13"/>
  <c r="OS84" i="13"/>
  <c r="OR84" i="13"/>
  <c r="OQ84" i="13"/>
  <c r="OP84" i="13"/>
  <c r="OO84" i="13"/>
  <c r="ON84" i="13"/>
  <c r="OJ84" i="13"/>
  <c r="OI84" i="13"/>
  <c r="OH84" i="13"/>
  <c r="OG84" i="13"/>
  <c r="OF84" i="13"/>
  <c r="OE84" i="13"/>
  <c r="OD84" i="13"/>
  <c r="OC84" i="13"/>
  <c r="OB84" i="13"/>
  <c r="OA84" i="13"/>
  <c r="NZ84" i="13"/>
  <c r="NY84" i="13"/>
  <c r="NX84" i="13"/>
  <c r="NT84" i="13"/>
  <c r="NS84" i="13"/>
  <c r="NR84" i="13"/>
  <c r="NQ84" i="13"/>
  <c r="NP84" i="13"/>
  <c r="NO84" i="13"/>
  <c r="NN84" i="13"/>
  <c r="NM84" i="13"/>
  <c r="NL84" i="13"/>
  <c r="NK84" i="13"/>
  <c r="NJ84" i="13"/>
  <c r="NI84" i="13"/>
  <c r="NH84" i="13"/>
  <c r="ND84" i="13"/>
  <c r="NC84" i="13"/>
  <c r="NB84" i="13"/>
  <c r="NA84" i="13"/>
  <c r="MZ84" i="13"/>
  <c r="MY84" i="13"/>
  <c r="MX84" i="13"/>
  <c r="MW84" i="13"/>
  <c r="MV84" i="13"/>
  <c r="MU84" i="13"/>
  <c r="MT84" i="13"/>
  <c r="MS84" i="13"/>
  <c r="MR84" i="13"/>
  <c r="MN84" i="13"/>
  <c r="MM84" i="13"/>
  <c r="ML84" i="13"/>
  <c r="MK84" i="13"/>
  <c r="MJ84" i="13"/>
  <c r="MI84" i="13"/>
  <c r="MH84" i="13"/>
  <c r="MG84" i="13"/>
  <c r="MF84" i="13"/>
  <c r="ME84" i="13"/>
  <c r="MD84" i="13"/>
  <c r="MC84" i="13"/>
  <c r="MB84" i="13"/>
  <c r="LX84" i="13"/>
  <c r="LW84" i="13"/>
  <c r="LV84" i="13"/>
  <c r="LU84" i="13"/>
  <c r="LT84" i="13"/>
  <c r="LS84" i="13"/>
  <c r="LR84" i="13"/>
  <c r="LQ84" i="13"/>
  <c r="LP84" i="13"/>
  <c r="LO84" i="13"/>
  <c r="LN84" i="13"/>
  <c r="LM84" i="13"/>
  <c r="LL84" i="13"/>
  <c r="LH84" i="13"/>
  <c r="LG84" i="13"/>
  <c r="LF84" i="13"/>
  <c r="LE84" i="13"/>
  <c r="LD84" i="13"/>
  <c r="LC84" i="13"/>
  <c r="LB84" i="13"/>
  <c r="LA84" i="13"/>
  <c r="KZ84" i="13"/>
  <c r="KY84" i="13"/>
  <c r="KX84" i="13"/>
  <c r="KW84" i="13"/>
  <c r="KV84" i="13"/>
  <c r="KR84" i="13"/>
  <c r="KQ84" i="13"/>
  <c r="KP84" i="13"/>
  <c r="KO84" i="13"/>
  <c r="KN84" i="13"/>
  <c r="KM84" i="13"/>
  <c r="KL84" i="13"/>
  <c r="KK84" i="13"/>
  <c r="KJ84" i="13"/>
  <c r="KI84" i="13"/>
  <c r="KH84" i="13"/>
  <c r="KG84" i="13"/>
  <c r="KF84" i="13"/>
  <c r="KB84" i="13"/>
  <c r="KA84" i="13"/>
  <c r="JZ84" i="13"/>
  <c r="JY84" i="13"/>
  <c r="JX84" i="13"/>
  <c r="JW84" i="13"/>
  <c r="JV84" i="13"/>
  <c r="JU84" i="13"/>
  <c r="JT84" i="13"/>
  <c r="JS84" i="13"/>
  <c r="JR84" i="13"/>
  <c r="JQ84" i="13"/>
  <c r="JP84" i="13"/>
  <c r="JL84" i="13"/>
  <c r="JK84" i="13"/>
  <c r="JJ84" i="13"/>
  <c r="JI84" i="13"/>
  <c r="JH84" i="13"/>
  <c r="JG84" i="13"/>
  <c r="JF84" i="13"/>
  <c r="JE84" i="13"/>
  <c r="JD84" i="13"/>
  <c r="JC84" i="13"/>
  <c r="JB84" i="13"/>
  <c r="JA84" i="13"/>
  <c r="IZ84" i="13"/>
  <c r="IV84" i="13"/>
  <c r="IU84" i="13"/>
  <c r="IT84" i="13"/>
  <c r="IS84" i="13"/>
  <c r="IR84" i="13"/>
  <c r="IQ84" i="13"/>
  <c r="IP84" i="13"/>
  <c r="IO84" i="13"/>
  <c r="IN84" i="13"/>
  <c r="IM84" i="13"/>
  <c r="IL84" i="13"/>
  <c r="IK84" i="13"/>
  <c r="IJ84" i="13"/>
  <c r="IF84" i="13"/>
  <c r="IE84" i="13"/>
  <c r="ID84" i="13"/>
  <c r="IC84" i="13"/>
  <c r="IB84" i="13"/>
  <c r="IA84" i="13"/>
  <c r="HZ84" i="13"/>
  <c r="HY84" i="13"/>
  <c r="HX84" i="13"/>
  <c r="HW84" i="13"/>
  <c r="HV84" i="13"/>
  <c r="HU84" i="13"/>
  <c r="HT84" i="13"/>
  <c r="HP84" i="13"/>
  <c r="HO84" i="13"/>
  <c r="HN84" i="13"/>
  <c r="HM84" i="13"/>
  <c r="HL84" i="13"/>
  <c r="HK84" i="13"/>
  <c r="HJ84" i="13"/>
  <c r="HI84" i="13"/>
  <c r="HH84" i="13"/>
  <c r="HG84" i="13"/>
  <c r="HF84" i="13"/>
  <c r="HE84" i="13"/>
  <c r="HD84" i="13"/>
  <c r="GZ84" i="13"/>
  <c r="GY84" i="13"/>
  <c r="GX84" i="13"/>
  <c r="GW84" i="13"/>
  <c r="GV84" i="13"/>
  <c r="GU84" i="13"/>
  <c r="GT84" i="13"/>
  <c r="GS84" i="13"/>
  <c r="GR84" i="13"/>
  <c r="GQ84" i="13"/>
  <c r="GP84" i="13"/>
  <c r="GO84" i="13"/>
  <c r="GN84" i="13"/>
  <c r="GJ84" i="13"/>
  <c r="GI84" i="13"/>
  <c r="GH84" i="13"/>
  <c r="GG84" i="13"/>
  <c r="GF84" i="13"/>
  <c r="GE84" i="13"/>
  <c r="GD84" i="13"/>
  <c r="GC84" i="13"/>
  <c r="GB84" i="13"/>
  <c r="GA84" i="13"/>
  <c r="FZ84" i="13"/>
  <c r="FY84" i="13"/>
  <c r="FX84" i="13"/>
  <c r="FT84" i="13"/>
  <c r="FS84" i="13"/>
  <c r="FR84" i="13"/>
  <c r="FQ84" i="13"/>
  <c r="FP84" i="13"/>
  <c r="FO84" i="13"/>
  <c r="FN84" i="13"/>
  <c r="FM84" i="13"/>
  <c r="FL84" i="13"/>
  <c r="FK84" i="13"/>
  <c r="FJ84" i="13"/>
  <c r="FI84" i="13"/>
  <c r="FH84" i="13"/>
  <c r="FD84" i="13"/>
  <c r="FC84" i="13"/>
  <c r="FB84" i="13"/>
  <c r="FA84" i="13"/>
  <c r="EZ84" i="13"/>
  <c r="EY84" i="13"/>
  <c r="EX84" i="13"/>
  <c r="EW84" i="13"/>
  <c r="EV84" i="13"/>
  <c r="EU84" i="13"/>
  <c r="ET84" i="13"/>
  <c r="ES84" i="13"/>
  <c r="ER84" i="13"/>
  <c r="EN84" i="13"/>
  <c r="EM84" i="13"/>
  <c r="EL84" i="13"/>
  <c r="EK84" i="13"/>
  <c r="EJ84" i="13"/>
  <c r="EI84" i="13"/>
  <c r="EH84" i="13"/>
  <c r="EG84" i="13"/>
  <c r="EF84" i="13"/>
  <c r="EE84" i="13"/>
  <c r="ED84" i="13"/>
  <c r="EC84" i="13"/>
  <c r="EB84" i="13"/>
  <c r="DX84" i="13"/>
  <c r="DW84" i="13"/>
  <c r="DV84" i="13"/>
  <c r="DU84" i="13"/>
  <c r="DT84" i="13"/>
  <c r="DS84" i="13"/>
  <c r="DR84" i="13"/>
  <c r="DQ84" i="13"/>
  <c r="DP84" i="13"/>
  <c r="DO84" i="13"/>
  <c r="DN84" i="13"/>
  <c r="DM84" i="13"/>
  <c r="DL84" i="13"/>
  <c r="DH84" i="13"/>
  <c r="DG84" i="13"/>
  <c r="DF84" i="13"/>
  <c r="DE84" i="13"/>
  <c r="DD84" i="13"/>
  <c r="DC84" i="13"/>
  <c r="DB84" i="13"/>
  <c r="DA84" i="13"/>
  <c r="CZ84" i="13"/>
  <c r="CY84" i="13"/>
  <c r="CX84" i="13"/>
  <c r="CW84" i="13"/>
  <c r="CV84" i="13"/>
  <c r="CR84" i="13"/>
  <c r="CQ84" i="13"/>
  <c r="CP84" i="13"/>
  <c r="CO84" i="13"/>
  <c r="CN84" i="13"/>
  <c r="CM84" i="13"/>
  <c r="CL84" i="13"/>
  <c r="CK84" i="13"/>
  <c r="CJ84" i="13"/>
  <c r="CI84" i="13"/>
  <c r="CH84" i="13"/>
  <c r="CG84" i="13"/>
  <c r="CF84" i="13"/>
  <c r="CB84" i="13"/>
  <c r="CA84" i="13"/>
  <c r="BZ84" i="13"/>
  <c r="BY84" i="13"/>
  <c r="BX84" i="13"/>
  <c r="BW84" i="13"/>
  <c r="BV84" i="13"/>
  <c r="BU84" i="13"/>
  <c r="BT84" i="13"/>
  <c r="BS84" i="13"/>
  <c r="BR84" i="13"/>
  <c r="BQ84" i="13"/>
  <c r="BP84" i="13"/>
  <c r="BL84" i="13"/>
  <c r="BK84" i="13"/>
  <c r="BJ84" i="13"/>
  <c r="BI84" i="13"/>
  <c r="BH84" i="13"/>
  <c r="BG84" i="13"/>
  <c r="BF84" i="13"/>
  <c r="BE84" i="13"/>
  <c r="BD84" i="13"/>
  <c r="BC84" i="13"/>
  <c r="BB84" i="13"/>
  <c r="BA84" i="13"/>
  <c r="AZ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P79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P75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P73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P71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Q62" i="13"/>
  <c r="P62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P60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P58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Q56" i="13"/>
  <c r="P56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Q53" i="13"/>
  <c r="P53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Q51" i="13"/>
  <c r="P51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Q49" i="13"/>
  <c r="P49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P47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P45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P43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P41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P39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P37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P35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P30" i="13"/>
  <c r="P29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P24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P19" i="13"/>
  <c r="P18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P15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P12" i="13"/>
  <c r="P11" i="13"/>
  <c r="P10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P6" i="13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P79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P76" i="12"/>
  <c r="P75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P73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P71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P62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P60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P58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P56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Q53" i="12"/>
  <c r="P53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Q51" i="12"/>
  <c r="P51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Q49" i="12"/>
  <c r="P49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P47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P45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Q43" i="12"/>
  <c r="P43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Q41" i="12"/>
  <c r="P41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P39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P37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P35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P30" i="12"/>
  <c r="P29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P24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P19" i="12"/>
  <c r="P18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P15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P12" i="12"/>
  <c r="P11" i="12"/>
  <c r="P10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P6" i="12"/>
  <c r="C51" i="8"/>
  <c r="P46" i="8"/>
  <c r="O46" i="8"/>
  <c r="N46" i="8"/>
  <c r="M46" i="8"/>
  <c r="L46" i="8"/>
  <c r="K46" i="8"/>
  <c r="J46" i="8"/>
  <c r="I46" i="8"/>
  <c r="H46" i="8"/>
  <c r="G46" i="8"/>
  <c r="F46" i="8"/>
  <c r="E46" i="8"/>
  <c r="Q43" i="8"/>
  <c r="U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U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U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U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U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U20" i="8"/>
  <c r="Q20" i="8"/>
  <c r="U19" i="8"/>
  <c r="Q19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Q14" i="8"/>
  <c r="Q8" i="8"/>
  <c r="P8" i="8"/>
  <c r="O8" i="8"/>
  <c r="N8" i="8"/>
  <c r="M8" i="8"/>
  <c r="L8" i="8"/>
  <c r="K8" i="8"/>
  <c r="J8" i="8"/>
  <c r="I8" i="8"/>
  <c r="H8" i="8"/>
  <c r="G8" i="8"/>
  <c r="F8" i="8"/>
  <c r="E8" i="8"/>
  <c r="Q7" i="8"/>
  <c r="P7" i="8"/>
  <c r="O7" i="8"/>
  <c r="N7" i="8"/>
  <c r="M7" i="8"/>
  <c r="L7" i="8"/>
  <c r="K7" i="8"/>
  <c r="J7" i="8"/>
  <c r="I7" i="8"/>
  <c r="H7" i="8"/>
  <c r="G7" i="8"/>
  <c r="F7" i="8"/>
  <c r="E7" i="8"/>
  <c r="E3" i="8"/>
  <c r="D3" i="12" s="1"/>
  <c r="D3" i="13" s="1"/>
  <c r="P55" i="7"/>
  <c r="P52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P47" i="7"/>
  <c r="P41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P30" i="7"/>
  <c r="P29" i="7"/>
  <c r="P27" i="7"/>
  <c r="P26" i="7"/>
  <c r="P25" i="7"/>
  <c r="P24" i="7"/>
  <c r="P23" i="7"/>
  <c r="P21" i="7"/>
  <c r="P20" i="7"/>
  <c r="XFD2" i="7"/>
  <c r="XEN2" i="7"/>
  <c r="XDX2" i="7"/>
  <c r="XDH2" i="7"/>
  <c r="XCR2" i="7"/>
  <c r="XCB2" i="7"/>
  <c r="XBL2" i="7"/>
  <c r="XAV2" i="7"/>
  <c r="XAF2" i="7"/>
  <c r="WZP2" i="7"/>
  <c r="WYZ2" i="7"/>
  <c r="WYJ2" i="7"/>
  <c r="WXT2" i="7"/>
  <c r="WXD2" i="7"/>
  <c r="WWN2" i="7"/>
  <c r="WVX2" i="7"/>
  <c r="WVH2" i="7"/>
  <c r="WUR2" i="7"/>
  <c r="WUB2" i="7"/>
  <c r="WTL2" i="7"/>
  <c r="WSV2" i="7"/>
  <c r="WSF2" i="7"/>
  <c r="WRP2" i="7"/>
  <c r="WQZ2" i="7"/>
  <c r="WQJ2" i="7"/>
  <c r="WPT2" i="7"/>
  <c r="WPD2" i="7"/>
  <c r="WON2" i="7"/>
  <c r="WNX2" i="7"/>
  <c r="WNH2" i="7"/>
  <c r="WMR2" i="7"/>
  <c r="WMB2" i="7"/>
  <c r="WLL2" i="7"/>
  <c r="WKV2" i="7"/>
  <c r="WKF2" i="7"/>
  <c r="WJP2" i="7"/>
  <c r="WIZ2" i="7"/>
  <c r="WIJ2" i="7"/>
  <c r="WHT2" i="7"/>
  <c r="WHD2" i="7"/>
  <c r="WGN2" i="7"/>
  <c r="WFX2" i="7"/>
  <c r="WFH2" i="7"/>
  <c r="WER2" i="7"/>
  <c r="WEB2" i="7"/>
  <c r="WDL2" i="7"/>
  <c r="WCV2" i="7"/>
  <c r="WCF2" i="7"/>
  <c r="WBP2" i="7"/>
  <c r="WAZ2" i="7"/>
  <c r="WAJ2" i="7"/>
  <c r="VZT2" i="7"/>
  <c r="VZD2" i="7"/>
  <c r="VYN2" i="7"/>
  <c r="VXX2" i="7"/>
  <c r="VXH2" i="7"/>
  <c r="VWR2" i="7"/>
  <c r="VWB2" i="7"/>
  <c r="VVL2" i="7"/>
  <c r="VUV2" i="7"/>
  <c r="VUF2" i="7"/>
  <c r="VTP2" i="7"/>
  <c r="VSZ2" i="7"/>
  <c r="VSJ2" i="7"/>
  <c r="VRT2" i="7"/>
  <c r="VRD2" i="7"/>
  <c r="VQN2" i="7"/>
  <c r="VPX2" i="7"/>
  <c r="VPH2" i="7"/>
  <c r="VOR2" i="7"/>
  <c r="VOB2" i="7"/>
  <c r="VNL2" i="7"/>
  <c r="VMV2" i="7"/>
  <c r="VMF2" i="7"/>
  <c r="VLP2" i="7"/>
  <c r="VKZ2" i="7"/>
  <c r="VKJ2" i="7"/>
  <c r="VJT2" i="7"/>
  <c r="VJD2" i="7"/>
  <c r="VIN2" i="7"/>
  <c r="VHX2" i="7"/>
  <c r="VHH2" i="7"/>
  <c r="VGR2" i="7"/>
  <c r="VGB2" i="7"/>
  <c r="VFL2" i="7"/>
  <c r="VEV2" i="7"/>
  <c r="VEF2" i="7"/>
  <c r="VDP2" i="7"/>
  <c r="VCZ2" i="7"/>
  <c r="VCJ2" i="7"/>
  <c r="VBT2" i="7"/>
  <c r="VBD2" i="7"/>
  <c r="VAN2" i="7"/>
  <c r="UZX2" i="7"/>
  <c r="UZH2" i="7"/>
  <c r="UYR2" i="7"/>
  <c r="UYB2" i="7"/>
  <c r="UXL2" i="7"/>
  <c r="UWV2" i="7"/>
  <c r="UWF2" i="7"/>
  <c r="UVP2" i="7"/>
  <c r="UUZ2" i="7"/>
  <c r="UUJ2" i="7"/>
  <c r="UTT2" i="7"/>
  <c r="UTD2" i="7"/>
  <c r="USN2" i="7"/>
  <c r="URX2" i="7"/>
  <c r="URH2" i="7"/>
  <c r="UQR2" i="7"/>
  <c r="UQB2" i="7"/>
  <c r="UPL2" i="7"/>
  <c r="UOV2" i="7"/>
  <c r="UOF2" i="7"/>
  <c r="UNP2" i="7"/>
  <c r="UMZ2" i="7"/>
  <c r="UMJ2" i="7"/>
  <c r="ULT2" i="7"/>
  <c r="ULD2" i="7"/>
  <c r="UKN2" i="7"/>
  <c r="UJX2" i="7"/>
  <c r="UJH2" i="7"/>
  <c r="UIR2" i="7"/>
  <c r="UIB2" i="7"/>
  <c r="UHL2" i="7"/>
  <c r="UGV2" i="7"/>
  <c r="UGF2" i="7"/>
  <c r="UFP2" i="7"/>
  <c r="UEZ2" i="7"/>
  <c r="UEJ2" i="7"/>
  <c r="UDT2" i="7"/>
  <c r="UDD2" i="7"/>
  <c r="UCN2" i="7"/>
  <c r="UBX2" i="7"/>
  <c r="UBH2" i="7"/>
  <c r="UAR2" i="7"/>
  <c r="UAB2" i="7"/>
  <c r="TZL2" i="7"/>
  <c r="TYV2" i="7"/>
  <c r="TYF2" i="7"/>
  <c r="TXP2" i="7"/>
  <c r="TWZ2" i="7"/>
  <c r="TWJ2" i="7"/>
  <c r="TVT2" i="7"/>
  <c r="TVD2" i="7"/>
  <c r="TUN2" i="7"/>
  <c r="TTX2" i="7"/>
  <c r="TTH2" i="7"/>
  <c r="TSR2" i="7"/>
  <c r="TSB2" i="7"/>
  <c r="TRL2" i="7"/>
  <c r="TQV2" i="7"/>
  <c r="TQF2" i="7"/>
  <c r="TPP2" i="7"/>
  <c r="TOZ2" i="7"/>
  <c r="TOJ2" i="7"/>
  <c r="TNT2" i="7"/>
  <c r="TND2" i="7"/>
  <c r="TMN2" i="7"/>
  <c r="TLX2" i="7"/>
  <c r="TLH2" i="7"/>
  <c r="TKR2" i="7"/>
  <c r="TKB2" i="7"/>
  <c r="TJL2" i="7"/>
  <c r="TIV2" i="7"/>
  <c r="TIF2" i="7"/>
  <c r="THP2" i="7"/>
  <c r="TGZ2" i="7"/>
  <c r="TGJ2" i="7"/>
  <c r="TFT2" i="7"/>
  <c r="TFD2" i="7"/>
  <c r="TEN2" i="7"/>
  <c r="TDX2" i="7"/>
  <c r="TDH2" i="7"/>
  <c r="TCR2" i="7"/>
  <c r="TCB2" i="7"/>
  <c r="TBL2" i="7"/>
  <c r="TAV2" i="7"/>
  <c r="TAF2" i="7"/>
  <c r="SZP2" i="7"/>
  <c r="SYZ2" i="7"/>
  <c r="SYJ2" i="7"/>
  <c r="SXT2" i="7"/>
  <c r="SXD2" i="7"/>
  <c r="SWN2" i="7"/>
  <c r="SVX2" i="7"/>
  <c r="SVH2" i="7"/>
  <c r="SUR2" i="7"/>
  <c r="SUB2" i="7"/>
  <c r="STL2" i="7"/>
  <c r="SSV2" i="7"/>
  <c r="SSF2" i="7"/>
  <c r="SRP2" i="7"/>
  <c r="SQZ2" i="7"/>
  <c r="SQJ2" i="7"/>
  <c r="SPT2" i="7"/>
  <c r="SPD2" i="7"/>
  <c r="SON2" i="7"/>
  <c r="SNX2" i="7"/>
  <c r="SNH2" i="7"/>
  <c r="SMR2" i="7"/>
  <c r="SMB2" i="7"/>
  <c r="SLL2" i="7"/>
  <c r="SKV2" i="7"/>
  <c r="SKF2" i="7"/>
  <c r="SJP2" i="7"/>
  <c r="SIZ2" i="7"/>
  <c r="SIJ2" i="7"/>
  <c r="SHT2" i="7"/>
  <c r="SHD2" i="7"/>
  <c r="SGN2" i="7"/>
  <c r="SFX2" i="7"/>
  <c r="SFH2" i="7"/>
  <c r="SER2" i="7"/>
  <c r="SEB2" i="7"/>
  <c r="SDL2" i="7"/>
  <c r="SCV2" i="7"/>
  <c r="SCF2" i="7"/>
  <c r="SBP2" i="7"/>
  <c r="SAZ2" i="7"/>
  <c r="SAJ2" i="7"/>
  <c r="RZT2" i="7"/>
  <c r="RZD2" i="7"/>
  <c r="RYN2" i="7"/>
  <c r="RXX2" i="7"/>
  <c r="RXH2" i="7"/>
  <c r="RWR2" i="7"/>
  <c r="RWB2" i="7"/>
  <c r="RVL2" i="7"/>
  <c r="RUV2" i="7"/>
  <c r="RUF2" i="7"/>
  <c r="RTP2" i="7"/>
  <c r="RSZ2" i="7"/>
  <c r="RSJ2" i="7"/>
  <c r="RRT2" i="7"/>
  <c r="RRD2" i="7"/>
  <c r="RQN2" i="7"/>
  <c r="RPX2" i="7"/>
  <c r="RPH2" i="7"/>
  <c r="ROR2" i="7"/>
  <c r="ROB2" i="7"/>
  <c r="RNL2" i="7"/>
  <c r="RMV2" i="7"/>
  <c r="RMF2" i="7"/>
  <c r="RLP2" i="7"/>
  <c r="RKZ2" i="7"/>
  <c r="RKJ2" i="7"/>
  <c r="RJT2" i="7"/>
  <c r="RJD2" i="7"/>
  <c r="RIN2" i="7"/>
  <c r="RHX2" i="7"/>
  <c r="RHH2" i="7"/>
  <c r="RGR2" i="7"/>
  <c r="RGB2" i="7"/>
  <c r="RFL2" i="7"/>
  <c r="REV2" i="7"/>
  <c r="REF2" i="7"/>
  <c r="RDP2" i="7"/>
  <c r="RCZ2" i="7"/>
  <c r="RCJ2" i="7"/>
  <c r="RBT2" i="7"/>
  <c r="RBD2" i="7"/>
  <c r="RAN2" i="7"/>
  <c r="QZX2" i="7"/>
  <c r="QZH2" i="7"/>
  <c r="QYR2" i="7"/>
  <c r="QYB2" i="7"/>
  <c r="QXL2" i="7"/>
  <c r="QWV2" i="7"/>
  <c r="QWF2" i="7"/>
  <c r="QVP2" i="7"/>
  <c r="QUZ2" i="7"/>
  <c r="QUJ2" i="7"/>
  <c r="QTT2" i="7"/>
  <c r="QTD2" i="7"/>
  <c r="QSN2" i="7"/>
  <c r="QRX2" i="7"/>
  <c r="QRH2" i="7"/>
  <c r="QQR2" i="7"/>
  <c r="QQB2" i="7"/>
  <c r="QPL2" i="7"/>
  <c r="QOV2" i="7"/>
  <c r="QOF2" i="7"/>
  <c r="QNP2" i="7"/>
  <c r="QMZ2" i="7"/>
  <c r="QMJ2" i="7"/>
  <c r="QLT2" i="7"/>
  <c r="QLD2" i="7"/>
  <c r="QKN2" i="7"/>
  <c r="QJX2" i="7"/>
  <c r="QJH2" i="7"/>
  <c r="QIR2" i="7"/>
  <c r="QIB2" i="7"/>
  <c r="QHL2" i="7"/>
  <c r="QGV2" i="7"/>
  <c r="QGF2" i="7"/>
  <c r="QFP2" i="7"/>
  <c r="QEZ2" i="7"/>
  <c r="QEJ2" i="7"/>
  <c r="QDT2" i="7"/>
  <c r="QDD2" i="7"/>
  <c r="QCN2" i="7"/>
  <c r="QBX2" i="7"/>
  <c r="QBH2" i="7"/>
  <c r="QAR2" i="7"/>
  <c r="QAB2" i="7"/>
  <c r="PZL2" i="7"/>
  <c r="PYV2" i="7"/>
  <c r="PYF2" i="7"/>
  <c r="PXP2" i="7"/>
  <c r="PWZ2" i="7"/>
  <c r="PWJ2" i="7"/>
  <c r="PVT2" i="7"/>
  <c r="PVD2" i="7"/>
  <c r="PUN2" i="7"/>
  <c r="PTX2" i="7"/>
  <c r="PTH2" i="7"/>
  <c r="PSR2" i="7"/>
  <c r="PSB2" i="7"/>
  <c r="PRL2" i="7"/>
  <c r="PQV2" i="7"/>
  <c r="PQF2" i="7"/>
  <c r="PPP2" i="7"/>
  <c r="POZ2" i="7"/>
  <c r="POJ2" i="7"/>
  <c r="PNT2" i="7"/>
  <c r="PND2" i="7"/>
  <c r="PMN2" i="7"/>
  <c r="PLX2" i="7"/>
  <c r="PLH2" i="7"/>
  <c r="PKR2" i="7"/>
  <c r="PKB2" i="7"/>
  <c r="PJL2" i="7"/>
  <c r="PIV2" i="7"/>
  <c r="PIF2" i="7"/>
  <c r="PHP2" i="7"/>
  <c r="PGZ2" i="7"/>
  <c r="PGJ2" i="7"/>
  <c r="PFT2" i="7"/>
  <c r="PFD2" i="7"/>
  <c r="PEN2" i="7"/>
  <c r="PDX2" i="7"/>
  <c r="PDH2" i="7"/>
  <c r="PCR2" i="7"/>
  <c r="PCB2" i="7"/>
  <c r="PBL2" i="7"/>
  <c r="PAV2" i="7"/>
  <c r="PAF2" i="7"/>
  <c r="OZP2" i="7"/>
  <c r="OYZ2" i="7"/>
  <c r="OYJ2" i="7"/>
  <c r="OXT2" i="7"/>
  <c r="OXD2" i="7"/>
  <c r="OWN2" i="7"/>
  <c r="OVX2" i="7"/>
  <c r="OVH2" i="7"/>
  <c r="OUR2" i="7"/>
  <c r="OUB2" i="7"/>
  <c r="OTL2" i="7"/>
  <c r="OSV2" i="7"/>
  <c r="OSF2" i="7"/>
  <c r="ORP2" i="7"/>
  <c r="OQZ2" i="7"/>
  <c r="OQJ2" i="7"/>
  <c r="OPT2" i="7"/>
  <c r="OPD2" i="7"/>
  <c r="OON2" i="7"/>
  <c r="ONX2" i="7"/>
  <c r="ONH2" i="7"/>
  <c r="OMR2" i="7"/>
  <c r="OMB2" i="7"/>
  <c r="OLL2" i="7"/>
  <c r="OKV2" i="7"/>
  <c r="OKF2" i="7"/>
  <c r="OJP2" i="7"/>
  <c r="OIZ2" i="7"/>
  <c r="OIJ2" i="7"/>
  <c r="OHT2" i="7"/>
  <c r="OHD2" i="7"/>
  <c r="OGN2" i="7"/>
  <c r="OFX2" i="7"/>
  <c r="OFH2" i="7"/>
  <c r="OER2" i="7"/>
  <c r="OEB2" i="7"/>
  <c r="ODL2" i="7"/>
  <c r="OCV2" i="7"/>
  <c r="OCF2" i="7"/>
  <c r="OBP2" i="7"/>
  <c r="OAZ2" i="7"/>
  <c r="OAJ2" i="7"/>
  <c r="NZT2" i="7"/>
  <c r="NZD2" i="7"/>
  <c r="NYN2" i="7"/>
  <c r="NXX2" i="7"/>
  <c r="NXH2" i="7"/>
  <c r="NWR2" i="7"/>
  <c r="NWB2" i="7"/>
  <c r="NVL2" i="7"/>
  <c r="NUV2" i="7"/>
  <c r="NUF2" i="7"/>
  <c r="NTP2" i="7"/>
  <c r="NSZ2" i="7"/>
  <c r="NSJ2" i="7"/>
  <c r="NRT2" i="7"/>
  <c r="NRD2" i="7"/>
  <c r="NQN2" i="7"/>
  <c r="NPX2" i="7"/>
  <c r="NPH2" i="7"/>
  <c r="NOR2" i="7"/>
  <c r="NOB2" i="7"/>
  <c r="NNL2" i="7"/>
  <c r="NMV2" i="7"/>
  <c r="NMF2" i="7"/>
  <c r="NLP2" i="7"/>
  <c r="NKZ2" i="7"/>
  <c r="NKJ2" i="7"/>
  <c r="NJT2" i="7"/>
  <c r="NJD2" i="7"/>
  <c r="NIN2" i="7"/>
  <c r="NHX2" i="7"/>
  <c r="NHH2" i="7"/>
  <c r="NGR2" i="7"/>
  <c r="NGB2" i="7"/>
  <c r="NFL2" i="7"/>
  <c r="NEV2" i="7"/>
  <c r="NEF2" i="7"/>
  <c r="NDP2" i="7"/>
  <c r="NCZ2" i="7"/>
  <c r="NCJ2" i="7"/>
  <c r="NBT2" i="7"/>
  <c r="NBD2" i="7"/>
  <c r="NAN2" i="7"/>
  <c r="MZX2" i="7"/>
  <c r="MZH2" i="7"/>
  <c r="MYR2" i="7"/>
  <c r="MYB2" i="7"/>
  <c r="MXL2" i="7"/>
  <c r="MWV2" i="7"/>
  <c r="MWF2" i="7"/>
  <c r="MVP2" i="7"/>
  <c r="MUZ2" i="7"/>
  <c r="MUJ2" i="7"/>
  <c r="MTT2" i="7"/>
  <c r="MTD2" i="7"/>
  <c r="MSN2" i="7"/>
  <c r="MRX2" i="7"/>
  <c r="MRH2" i="7"/>
  <c r="MQR2" i="7"/>
  <c r="MQB2" i="7"/>
  <c r="MPL2" i="7"/>
  <c r="MOV2" i="7"/>
  <c r="MOF2" i="7"/>
  <c r="MNP2" i="7"/>
  <c r="MMZ2" i="7"/>
  <c r="MMJ2" i="7"/>
  <c r="MLT2" i="7"/>
  <c r="MLD2" i="7"/>
  <c r="MKN2" i="7"/>
  <c r="MJX2" i="7"/>
  <c r="MJH2" i="7"/>
  <c r="MIR2" i="7"/>
  <c r="MIB2" i="7"/>
  <c r="MHL2" i="7"/>
  <c r="MGV2" i="7"/>
  <c r="MGF2" i="7"/>
  <c r="MFP2" i="7"/>
  <c r="MEZ2" i="7"/>
  <c r="MEJ2" i="7"/>
  <c r="MDT2" i="7"/>
  <c r="MDD2" i="7"/>
  <c r="MCN2" i="7"/>
  <c r="MBX2" i="7"/>
  <c r="MBH2" i="7"/>
  <c r="MAR2" i="7"/>
  <c r="MAB2" i="7"/>
  <c r="LZL2" i="7"/>
  <c r="LYV2" i="7"/>
  <c r="LYF2" i="7"/>
  <c r="LXP2" i="7"/>
  <c r="LWZ2" i="7"/>
  <c r="LWJ2" i="7"/>
  <c r="LVT2" i="7"/>
  <c r="LVD2" i="7"/>
  <c r="LUN2" i="7"/>
  <c r="LTX2" i="7"/>
  <c r="LTH2" i="7"/>
  <c r="LSR2" i="7"/>
  <c r="LSB2" i="7"/>
  <c r="LRL2" i="7"/>
  <c r="LQV2" i="7"/>
  <c r="LQF2" i="7"/>
  <c r="LPP2" i="7"/>
  <c r="LOZ2" i="7"/>
  <c r="LOJ2" i="7"/>
  <c r="LNT2" i="7"/>
  <c r="LND2" i="7"/>
  <c r="LMN2" i="7"/>
  <c r="LLX2" i="7"/>
  <c r="LLH2" i="7"/>
  <c r="LKR2" i="7"/>
  <c r="LKB2" i="7"/>
  <c r="LJL2" i="7"/>
  <c r="LIV2" i="7"/>
  <c r="LIF2" i="7"/>
  <c r="LHP2" i="7"/>
  <c r="LGZ2" i="7"/>
  <c r="LGJ2" i="7"/>
  <c r="LFT2" i="7"/>
  <c r="LFD2" i="7"/>
  <c r="LEN2" i="7"/>
  <c r="LDX2" i="7"/>
  <c r="LDH2" i="7"/>
  <c r="LCR2" i="7"/>
  <c r="LCB2" i="7"/>
  <c r="LBL2" i="7"/>
  <c r="LAV2" i="7"/>
  <c r="LAF2" i="7"/>
  <c r="KZP2" i="7"/>
  <c r="KYZ2" i="7"/>
  <c r="KYJ2" i="7"/>
  <c r="KXT2" i="7"/>
  <c r="KXD2" i="7"/>
  <c r="KWN2" i="7"/>
  <c r="KVX2" i="7"/>
  <c r="KVH2" i="7"/>
  <c r="KUR2" i="7"/>
  <c r="KUB2" i="7"/>
  <c r="KTL2" i="7"/>
  <c r="KSV2" i="7"/>
  <c r="KSF2" i="7"/>
  <c r="KRP2" i="7"/>
  <c r="KQZ2" i="7"/>
  <c r="KQJ2" i="7"/>
  <c r="KPT2" i="7"/>
  <c r="KPD2" i="7"/>
  <c r="KON2" i="7"/>
  <c r="KNX2" i="7"/>
  <c r="KNH2" i="7"/>
  <c r="KMR2" i="7"/>
  <c r="KMB2" i="7"/>
  <c r="KLL2" i="7"/>
  <c r="KKV2" i="7"/>
  <c r="KKF2" i="7"/>
  <c r="KJP2" i="7"/>
  <c r="KIZ2" i="7"/>
  <c r="KIJ2" i="7"/>
  <c r="KHT2" i="7"/>
  <c r="KHD2" i="7"/>
  <c r="KGN2" i="7"/>
  <c r="KFX2" i="7"/>
  <c r="KFH2" i="7"/>
  <c r="KER2" i="7"/>
  <c r="KEB2" i="7"/>
  <c r="KDL2" i="7"/>
  <c r="KCV2" i="7"/>
  <c r="KCF2" i="7"/>
  <c r="KBP2" i="7"/>
  <c r="KAZ2" i="7"/>
  <c r="KAJ2" i="7"/>
  <c r="JZT2" i="7"/>
  <c r="JZD2" i="7"/>
  <c r="JYN2" i="7"/>
  <c r="JXX2" i="7"/>
  <c r="JXH2" i="7"/>
  <c r="JWR2" i="7"/>
  <c r="JWB2" i="7"/>
  <c r="JVL2" i="7"/>
  <c r="JUV2" i="7"/>
  <c r="JUF2" i="7"/>
  <c r="JTP2" i="7"/>
  <c r="JSZ2" i="7"/>
  <c r="JSJ2" i="7"/>
  <c r="JRT2" i="7"/>
  <c r="JRD2" i="7"/>
  <c r="JQN2" i="7"/>
  <c r="JPX2" i="7"/>
  <c r="JPH2" i="7"/>
  <c r="JOR2" i="7"/>
  <c r="JOB2" i="7"/>
  <c r="JNL2" i="7"/>
  <c r="JMV2" i="7"/>
  <c r="JMF2" i="7"/>
  <c r="JLP2" i="7"/>
  <c r="JKZ2" i="7"/>
  <c r="JKJ2" i="7"/>
  <c r="JJT2" i="7"/>
  <c r="JJD2" i="7"/>
  <c r="JIN2" i="7"/>
  <c r="JHX2" i="7"/>
  <c r="JHH2" i="7"/>
  <c r="JGR2" i="7"/>
  <c r="JGB2" i="7"/>
  <c r="JFL2" i="7"/>
  <c r="JEV2" i="7"/>
  <c r="JEF2" i="7"/>
  <c r="JDP2" i="7"/>
  <c r="JCZ2" i="7"/>
  <c r="JCJ2" i="7"/>
  <c r="JBT2" i="7"/>
  <c r="JBD2" i="7"/>
  <c r="JAN2" i="7"/>
  <c r="IZX2" i="7"/>
  <c r="IZH2" i="7"/>
  <c r="IYR2" i="7"/>
  <c r="IYB2" i="7"/>
  <c r="IXL2" i="7"/>
  <c r="IWV2" i="7"/>
  <c r="IWF2" i="7"/>
  <c r="IVP2" i="7"/>
  <c r="IUZ2" i="7"/>
  <c r="IUJ2" i="7"/>
  <c r="ITT2" i="7"/>
  <c r="ITD2" i="7"/>
  <c r="ISN2" i="7"/>
  <c r="IRX2" i="7"/>
  <c r="IRH2" i="7"/>
  <c r="IQR2" i="7"/>
  <c r="IQB2" i="7"/>
  <c r="IPL2" i="7"/>
  <c r="IOV2" i="7"/>
  <c r="IOF2" i="7"/>
  <c r="INP2" i="7"/>
  <c r="IMZ2" i="7"/>
  <c r="IMJ2" i="7"/>
  <c r="ILT2" i="7"/>
  <c r="ILD2" i="7"/>
  <c r="IKN2" i="7"/>
  <c r="IJX2" i="7"/>
  <c r="IJH2" i="7"/>
  <c r="IIR2" i="7"/>
  <c r="IIB2" i="7"/>
  <c r="IHL2" i="7"/>
  <c r="IGV2" i="7"/>
  <c r="IGF2" i="7"/>
  <c r="IFP2" i="7"/>
  <c r="IEZ2" i="7"/>
  <c r="IEJ2" i="7"/>
  <c r="IDT2" i="7"/>
  <c r="IDD2" i="7"/>
  <c r="ICN2" i="7"/>
  <c r="IBX2" i="7"/>
  <c r="IBH2" i="7"/>
  <c r="IAR2" i="7"/>
  <c r="IAB2" i="7"/>
  <c r="HZL2" i="7"/>
  <c r="HYV2" i="7"/>
  <c r="HYF2" i="7"/>
  <c r="HXP2" i="7"/>
  <c r="HWZ2" i="7"/>
  <c r="HWJ2" i="7"/>
  <c r="HVT2" i="7"/>
  <c r="HVD2" i="7"/>
  <c r="HUN2" i="7"/>
  <c r="HTX2" i="7"/>
  <c r="HTH2" i="7"/>
  <c r="HSR2" i="7"/>
  <c r="HSB2" i="7"/>
  <c r="HRL2" i="7"/>
  <c r="HQV2" i="7"/>
  <c r="HQF2" i="7"/>
  <c r="HPP2" i="7"/>
  <c r="HOZ2" i="7"/>
  <c r="HOJ2" i="7"/>
  <c r="HNT2" i="7"/>
  <c r="HND2" i="7"/>
  <c r="HMN2" i="7"/>
  <c r="HLX2" i="7"/>
  <c r="HLH2" i="7"/>
  <c r="HKR2" i="7"/>
  <c r="HKB2" i="7"/>
  <c r="HJL2" i="7"/>
  <c r="HIV2" i="7"/>
  <c r="HIF2" i="7"/>
  <c r="HHP2" i="7"/>
  <c r="HGZ2" i="7"/>
  <c r="HGJ2" i="7"/>
  <c r="HFT2" i="7"/>
  <c r="HFD2" i="7"/>
  <c r="HEN2" i="7"/>
  <c r="HDX2" i="7"/>
  <c r="HDH2" i="7"/>
  <c r="HCR2" i="7"/>
  <c r="HCB2" i="7"/>
  <c r="HBL2" i="7"/>
  <c r="HAV2" i="7"/>
  <c r="HAF2" i="7"/>
  <c r="GZP2" i="7"/>
  <c r="GYZ2" i="7"/>
  <c r="GYJ2" i="7"/>
  <c r="GXT2" i="7"/>
  <c r="GXD2" i="7"/>
  <c r="GWN2" i="7"/>
  <c r="GVX2" i="7"/>
  <c r="GVH2" i="7"/>
  <c r="GUR2" i="7"/>
  <c r="GUB2" i="7"/>
  <c r="GTL2" i="7"/>
  <c r="GSV2" i="7"/>
  <c r="GSF2" i="7"/>
  <c r="GRP2" i="7"/>
  <c r="GQZ2" i="7"/>
  <c r="GQJ2" i="7"/>
  <c r="GPT2" i="7"/>
  <c r="GPD2" i="7"/>
  <c r="GON2" i="7"/>
  <c r="GNX2" i="7"/>
  <c r="GNH2" i="7"/>
  <c r="GMR2" i="7"/>
  <c r="GMB2" i="7"/>
  <c r="GLL2" i="7"/>
  <c r="GKV2" i="7"/>
  <c r="GKF2" i="7"/>
  <c r="GJP2" i="7"/>
  <c r="GIZ2" i="7"/>
  <c r="GIJ2" i="7"/>
  <c r="GHT2" i="7"/>
  <c r="GHD2" i="7"/>
  <c r="GGN2" i="7"/>
  <c r="GFX2" i="7"/>
  <c r="GFH2" i="7"/>
  <c r="GER2" i="7"/>
  <c r="GEB2" i="7"/>
  <c r="GDL2" i="7"/>
  <c r="GCV2" i="7"/>
  <c r="GCF2" i="7"/>
  <c r="GBP2" i="7"/>
  <c r="GAZ2" i="7"/>
  <c r="GAJ2" i="7"/>
  <c r="FZT2" i="7"/>
  <c r="FZD2" i="7"/>
  <c r="FYN2" i="7"/>
  <c r="FXX2" i="7"/>
  <c r="FXH2" i="7"/>
  <c r="FWR2" i="7"/>
  <c r="FWB2" i="7"/>
  <c r="FVL2" i="7"/>
  <c r="FUV2" i="7"/>
  <c r="FUF2" i="7"/>
  <c r="FTP2" i="7"/>
  <c r="FSZ2" i="7"/>
  <c r="FSJ2" i="7"/>
  <c r="FRT2" i="7"/>
  <c r="FRD2" i="7"/>
  <c r="FQN2" i="7"/>
  <c r="FPX2" i="7"/>
  <c r="FPH2" i="7"/>
  <c r="FOR2" i="7"/>
  <c r="FOB2" i="7"/>
  <c r="FNL2" i="7"/>
  <c r="FMV2" i="7"/>
  <c r="FMF2" i="7"/>
  <c r="FLP2" i="7"/>
  <c r="FKZ2" i="7"/>
  <c r="FKJ2" i="7"/>
  <c r="FJT2" i="7"/>
  <c r="FJD2" i="7"/>
  <c r="FIN2" i="7"/>
  <c r="FHX2" i="7"/>
  <c r="FHH2" i="7"/>
  <c r="FGR2" i="7"/>
  <c r="FGB2" i="7"/>
  <c r="FFL2" i="7"/>
  <c r="FEV2" i="7"/>
  <c r="FEF2" i="7"/>
  <c r="FDP2" i="7"/>
  <c r="FCZ2" i="7"/>
  <c r="FCJ2" i="7"/>
  <c r="FBT2" i="7"/>
  <c r="FBD2" i="7"/>
  <c r="FAN2" i="7"/>
  <c r="EZX2" i="7"/>
  <c r="EZH2" i="7"/>
  <c r="EYR2" i="7"/>
  <c r="EYB2" i="7"/>
  <c r="EXL2" i="7"/>
  <c r="EWV2" i="7"/>
  <c r="EWF2" i="7"/>
  <c r="EVP2" i="7"/>
  <c r="EUZ2" i="7"/>
  <c r="EUJ2" i="7"/>
  <c r="ETT2" i="7"/>
  <c r="ETD2" i="7"/>
  <c r="ESN2" i="7"/>
  <c r="ERX2" i="7"/>
  <c r="ERH2" i="7"/>
  <c r="EQR2" i="7"/>
  <c r="EQB2" i="7"/>
  <c r="EPL2" i="7"/>
  <c r="EOV2" i="7"/>
  <c r="EOF2" i="7"/>
  <c r="ENP2" i="7"/>
  <c r="EMZ2" i="7"/>
  <c r="EMJ2" i="7"/>
  <c r="ELT2" i="7"/>
  <c r="ELD2" i="7"/>
  <c r="EKN2" i="7"/>
  <c r="EJX2" i="7"/>
  <c r="EJH2" i="7"/>
  <c r="EIR2" i="7"/>
  <c r="EIB2" i="7"/>
  <c r="EHL2" i="7"/>
  <c r="EGV2" i="7"/>
  <c r="EGF2" i="7"/>
  <c r="EFP2" i="7"/>
  <c r="EEZ2" i="7"/>
  <c r="EEJ2" i="7"/>
  <c r="EDT2" i="7"/>
  <c r="EDD2" i="7"/>
  <c r="ECN2" i="7"/>
  <c r="EBX2" i="7"/>
  <c r="EBH2" i="7"/>
  <c r="EAR2" i="7"/>
  <c r="EAB2" i="7"/>
  <c r="DZL2" i="7"/>
  <c r="DYV2" i="7"/>
  <c r="DYF2" i="7"/>
  <c r="DXP2" i="7"/>
  <c r="DWZ2" i="7"/>
  <c r="DWJ2" i="7"/>
  <c r="DVT2" i="7"/>
  <c r="DVD2" i="7"/>
  <c r="DUN2" i="7"/>
  <c r="DTX2" i="7"/>
  <c r="DTH2" i="7"/>
  <c r="DSR2" i="7"/>
  <c r="DSB2" i="7"/>
  <c r="DRL2" i="7"/>
  <c r="DQV2" i="7"/>
  <c r="DQF2" i="7"/>
  <c r="DPP2" i="7"/>
  <c r="DOZ2" i="7"/>
  <c r="DOJ2" i="7"/>
  <c r="DNT2" i="7"/>
  <c r="DND2" i="7"/>
  <c r="DMN2" i="7"/>
  <c r="DLX2" i="7"/>
  <c r="DLH2" i="7"/>
  <c r="DKR2" i="7"/>
  <c r="DKB2" i="7"/>
  <c r="DJL2" i="7"/>
  <c r="DIV2" i="7"/>
  <c r="DIF2" i="7"/>
  <c r="DHP2" i="7"/>
  <c r="DGZ2" i="7"/>
  <c r="DGJ2" i="7"/>
  <c r="DFT2" i="7"/>
  <c r="DFD2" i="7"/>
  <c r="DEN2" i="7"/>
  <c r="DDX2" i="7"/>
  <c r="DDH2" i="7"/>
  <c r="DCR2" i="7"/>
  <c r="DCB2" i="7"/>
  <c r="DBL2" i="7"/>
  <c r="DAV2" i="7"/>
  <c r="DAF2" i="7"/>
  <c r="CZP2" i="7"/>
  <c r="CYZ2" i="7"/>
  <c r="CYJ2" i="7"/>
  <c r="CXT2" i="7"/>
  <c r="CXD2" i="7"/>
  <c r="CWN2" i="7"/>
  <c r="CVX2" i="7"/>
  <c r="CVH2" i="7"/>
  <c r="CUR2" i="7"/>
  <c r="CUB2" i="7"/>
  <c r="CTL2" i="7"/>
  <c r="CSV2" i="7"/>
  <c r="CSF2" i="7"/>
  <c r="CRP2" i="7"/>
  <c r="CQZ2" i="7"/>
  <c r="CQJ2" i="7"/>
  <c r="CPT2" i="7"/>
  <c r="CPD2" i="7"/>
  <c r="CON2" i="7"/>
  <c r="CNX2" i="7"/>
  <c r="CNH2" i="7"/>
  <c r="CMR2" i="7"/>
  <c r="CMB2" i="7"/>
  <c r="CLL2" i="7"/>
  <c r="CKV2" i="7"/>
  <c r="CKF2" i="7"/>
  <c r="CJP2" i="7"/>
  <c r="CIZ2" i="7"/>
  <c r="CIJ2" i="7"/>
  <c r="CHT2" i="7"/>
  <c r="CHD2" i="7"/>
  <c r="CGN2" i="7"/>
  <c r="CFX2" i="7"/>
  <c r="CFH2" i="7"/>
  <c r="CER2" i="7"/>
  <c r="CEB2" i="7"/>
  <c r="CDL2" i="7"/>
  <c r="CCV2" i="7"/>
  <c r="CCF2" i="7"/>
  <c r="CBP2" i="7"/>
  <c r="CAZ2" i="7"/>
  <c r="CAJ2" i="7"/>
  <c r="BZT2" i="7"/>
  <c r="BZD2" i="7"/>
  <c r="BYN2" i="7"/>
  <c r="BXX2" i="7"/>
  <c r="BXH2" i="7"/>
  <c r="BWR2" i="7"/>
  <c r="BWB2" i="7"/>
  <c r="BVL2" i="7"/>
  <c r="BUV2" i="7"/>
  <c r="BUF2" i="7"/>
  <c r="BTP2" i="7"/>
  <c r="BSZ2" i="7"/>
  <c r="BSJ2" i="7"/>
  <c r="BRT2" i="7"/>
  <c r="BRD2" i="7"/>
  <c r="BQN2" i="7"/>
  <c r="BPX2" i="7"/>
  <c r="BPH2" i="7"/>
  <c r="BOR2" i="7"/>
  <c r="BOB2" i="7"/>
  <c r="BNL2" i="7"/>
  <c r="BMV2" i="7"/>
  <c r="BMF2" i="7"/>
  <c r="BLP2" i="7"/>
  <c r="BKZ2" i="7"/>
  <c r="BKJ2" i="7"/>
  <c r="BJT2" i="7"/>
  <c r="BJD2" i="7"/>
  <c r="BIN2" i="7"/>
  <c r="BHX2" i="7"/>
  <c r="BHH2" i="7"/>
  <c r="BGR2" i="7"/>
  <c r="BGB2" i="7"/>
  <c r="BFL2" i="7"/>
  <c r="BEV2" i="7"/>
  <c r="BEF2" i="7"/>
  <c r="BDP2" i="7"/>
  <c r="BCZ2" i="7"/>
  <c r="BCJ2" i="7"/>
  <c r="BBT2" i="7"/>
  <c r="BBD2" i="7"/>
  <c r="BAN2" i="7"/>
  <c r="AZX2" i="7"/>
  <c r="AZH2" i="7"/>
  <c r="AYR2" i="7"/>
  <c r="AYB2" i="7"/>
  <c r="AXL2" i="7"/>
  <c r="AWV2" i="7"/>
  <c r="AWF2" i="7"/>
  <c r="AVP2" i="7"/>
  <c r="AUZ2" i="7"/>
  <c r="AUJ2" i="7"/>
  <c r="ATT2" i="7"/>
  <c r="ATD2" i="7"/>
  <c r="ASN2" i="7"/>
  <c r="ARX2" i="7"/>
  <c r="ARH2" i="7"/>
  <c r="AQR2" i="7"/>
  <c r="AQB2" i="7"/>
  <c r="APL2" i="7"/>
  <c r="AOV2" i="7"/>
  <c r="AOF2" i="7"/>
  <c r="ANP2" i="7"/>
  <c r="AMZ2" i="7"/>
  <c r="AMJ2" i="7"/>
  <c r="ALT2" i="7"/>
  <c r="ALD2" i="7"/>
  <c r="AKN2" i="7"/>
  <c r="AJX2" i="7"/>
  <c r="AJH2" i="7"/>
  <c r="AIR2" i="7"/>
  <c r="AIB2" i="7"/>
  <c r="AHL2" i="7"/>
  <c r="AGV2" i="7"/>
  <c r="AGF2" i="7"/>
  <c r="AFP2" i="7"/>
  <c r="AEZ2" i="7"/>
  <c r="AEJ2" i="7"/>
  <c r="ADT2" i="7"/>
  <c r="ADD2" i="7"/>
  <c r="ACN2" i="7"/>
  <c r="ABX2" i="7"/>
  <c r="ABH2" i="7"/>
  <c r="AAR2" i="7"/>
  <c r="AAB2" i="7"/>
  <c r="ZL2" i="7"/>
  <c r="YV2" i="7"/>
  <c r="YF2" i="7"/>
  <c r="XP2" i="7"/>
  <c r="WZ2" i="7"/>
  <c r="WJ2" i="7"/>
  <c r="VT2" i="7"/>
  <c r="VD2" i="7"/>
  <c r="UN2" i="7"/>
  <c r="TX2" i="7"/>
  <c r="TH2" i="7"/>
  <c r="SR2" i="7"/>
  <c r="SB2" i="7"/>
  <c r="RL2" i="7"/>
  <c r="QV2" i="7"/>
  <c r="QF2" i="7"/>
  <c r="PP2" i="7"/>
  <c r="OZ2" i="7"/>
  <c r="OJ2" i="7"/>
  <c r="NT2" i="7"/>
  <c r="ND2" i="7"/>
  <c r="MN2" i="7"/>
  <c r="LX2" i="7"/>
  <c r="LH2" i="7"/>
  <c r="KR2" i="7"/>
  <c r="KB2" i="7"/>
  <c r="JL2" i="7"/>
  <c r="IV2" i="7"/>
  <c r="IF2" i="7"/>
  <c r="HP2" i="7"/>
  <c r="GZ2" i="7"/>
  <c r="GJ2" i="7"/>
  <c r="FT2" i="7"/>
  <c r="FD2" i="7"/>
  <c r="EN2" i="7"/>
  <c r="DX2" i="7"/>
  <c r="DH2" i="7"/>
  <c r="CR2" i="7"/>
  <c r="CB2" i="7"/>
  <c r="BL2" i="7"/>
  <c r="AV2" i="7"/>
  <c r="AF2" i="7"/>
  <c r="P21" i="6"/>
  <c r="P20" i="6"/>
  <c r="P19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P13" i="6"/>
  <c r="P12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D3" i="6"/>
  <c r="D3" i="7" s="1"/>
  <c r="P2" i="6"/>
  <c r="P2" i="7" s="1"/>
  <c r="Q2" i="8" s="1"/>
  <c r="P71" i="10"/>
  <c r="O71" i="10"/>
  <c r="N71" i="10"/>
  <c r="M71" i="10"/>
  <c r="L71" i="10"/>
  <c r="K71" i="10"/>
  <c r="J71" i="10"/>
  <c r="I71" i="10"/>
  <c r="H71" i="10"/>
  <c r="G71" i="10"/>
  <c r="F71" i="10"/>
  <c r="D71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P63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P58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Q54" i="10"/>
  <c r="P54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Q52" i="10"/>
  <c r="P52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Q50" i="10"/>
  <c r="P50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Q48" i="10"/>
  <c r="P48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Q45" i="10"/>
  <c r="P45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Q43" i="10"/>
  <c r="P43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Q41" i="10"/>
  <c r="P41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Q39" i="10"/>
  <c r="P39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Q37" i="10"/>
  <c r="P37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Q35" i="10"/>
  <c r="P35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Q33" i="10"/>
  <c r="P33" i="10"/>
  <c r="P32" i="10" a="1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P25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P22" i="10"/>
  <c r="P21" i="10"/>
  <c r="P20" i="10"/>
  <c r="P19" i="10"/>
  <c r="P18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P15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P12" i="10"/>
  <c r="P11" i="10"/>
  <c r="P10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P6" i="10"/>
  <c r="D3" i="10"/>
  <c r="P65" i="11"/>
  <c r="O65" i="11"/>
  <c r="N65" i="11"/>
  <c r="M65" i="11"/>
  <c r="L65" i="11"/>
  <c r="K65" i="11"/>
  <c r="J65" i="11"/>
  <c r="I65" i="11"/>
  <c r="H65" i="11"/>
  <c r="G65" i="11"/>
  <c r="F65" i="11"/>
  <c r="D65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P57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Q48" i="11"/>
  <c r="P48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Q46" i="11"/>
  <c r="P46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Q44" i="11"/>
  <c r="P44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Q42" i="11"/>
  <c r="P42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Q39" i="11"/>
  <c r="P39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Q37" i="11"/>
  <c r="P37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Q35" i="11"/>
  <c r="P35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Q33" i="11"/>
  <c r="P33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Q31" i="11"/>
  <c r="P31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Q29" i="11"/>
  <c r="P29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S27" i="11"/>
  <c r="Q27" i="11"/>
  <c r="P27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P22" i="11"/>
  <c r="P21" i="11"/>
  <c r="P20" i="11"/>
  <c r="P19" i="11"/>
  <c r="P18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P15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P12" i="11"/>
  <c r="P11" i="11"/>
  <c r="P10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P6" i="11"/>
  <c r="D3" i="11"/>
  <c r="P2" i="11"/>
  <c r="P79" i="3"/>
  <c r="P75" i="3"/>
  <c r="P73" i="3"/>
  <c r="P71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O30" i="3"/>
  <c r="M6" i="16" s="1"/>
  <c r="N30" i="3"/>
  <c r="L6" i="16" s="1"/>
  <c r="M30" i="3"/>
  <c r="K6" i="16" s="1"/>
  <c r="L30" i="3"/>
  <c r="J6" i="16" s="1"/>
  <c r="K30" i="3"/>
  <c r="I6" i="16" s="1"/>
  <c r="J30" i="3"/>
  <c r="H6" i="16" s="1"/>
  <c r="I30" i="3"/>
  <c r="G6" i="16" s="1"/>
  <c r="H30" i="3"/>
  <c r="F6" i="16" s="1"/>
  <c r="G30" i="3"/>
  <c r="E6" i="16" s="1"/>
  <c r="F30" i="3"/>
  <c r="D6" i="16" s="1"/>
  <c r="E30" i="3"/>
  <c r="C6" i="16" s="1"/>
  <c r="D30" i="3"/>
  <c r="B6" i="16" s="1"/>
  <c r="O29" i="3"/>
  <c r="N29" i="3"/>
  <c r="M29" i="3"/>
  <c r="K5" i="16" s="1"/>
  <c r="L29" i="3"/>
  <c r="K29" i="3"/>
  <c r="I5" i="16" s="1"/>
  <c r="J29" i="3"/>
  <c r="I29" i="3"/>
  <c r="G5" i="16" s="1"/>
  <c r="H29" i="3"/>
  <c r="F5" i="16" s="1"/>
  <c r="G29" i="3"/>
  <c r="E5" i="16" s="1"/>
  <c r="F29" i="3"/>
  <c r="E29" i="3"/>
  <c r="D29" i="3"/>
  <c r="O25" i="3"/>
  <c r="N25" i="3"/>
  <c r="N24" i="3" s="1"/>
  <c r="M25" i="3"/>
  <c r="M24" i="3" s="1"/>
  <c r="M26" i="3" s="1"/>
  <c r="L25" i="3"/>
  <c r="L24" i="3" s="1"/>
  <c r="K25" i="3"/>
  <c r="K24" i="3" s="1"/>
  <c r="J25" i="3"/>
  <c r="J24" i="3" s="1"/>
  <c r="I25" i="3"/>
  <c r="I24" i="3" s="1"/>
  <c r="H25" i="3"/>
  <c r="H24" i="3" s="1"/>
  <c r="G25" i="3"/>
  <c r="F25" i="3"/>
  <c r="F24" i="3" s="1"/>
  <c r="E25" i="3"/>
  <c r="E24" i="3" s="1"/>
  <c r="E26" i="3" s="1"/>
  <c r="D25" i="3"/>
  <c r="D24" i="3" s="1"/>
  <c r="D26" i="3" s="1"/>
  <c r="O24" i="3"/>
  <c r="O27" i="3" s="1"/>
  <c r="G24" i="3"/>
  <c r="G27" i="3" s="1"/>
  <c r="O19" i="3"/>
  <c r="N19" i="3"/>
  <c r="M19" i="3"/>
  <c r="L19" i="3"/>
  <c r="K19" i="3"/>
  <c r="J19" i="3"/>
  <c r="I19" i="3"/>
  <c r="H19" i="3"/>
  <c r="G19" i="3"/>
  <c r="F19" i="3"/>
  <c r="E19" i="3"/>
  <c r="D19" i="3"/>
  <c r="O18" i="3"/>
  <c r="N18" i="3"/>
  <c r="N20" i="3" s="1"/>
  <c r="M18" i="3"/>
  <c r="L18" i="3"/>
  <c r="K18" i="3"/>
  <c r="J18" i="3"/>
  <c r="I18" i="3"/>
  <c r="H18" i="3"/>
  <c r="H20" i="3" s="1"/>
  <c r="G18" i="3"/>
  <c r="F18" i="3"/>
  <c r="F23" i="3" s="1"/>
  <c r="E18" i="3"/>
  <c r="D18" i="3"/>
  <c r="J17" i="3"/>
  <c r="P15" i="3"/>
  <c r="AE12" i="3"/>
  <c r="AD12" i="3"/>
  <c r="AC12" i="3"/>
  <c r="AB12" i="3"/>
  <c r="AA12" i="3"/>
  <c r="Z12" i="3"/>
  <c r="Y12" i="3"/>
  <c r="X12" i="3"/>
  <c r="W12" i="3"/>
  <c r="V12" i="3"/>
  <c r="U12" i="3"/>
  <c r="T12" i="3"/>
  <c r="P12" i="3"/>
  <c r="P11" i="3"/>
  <c r="P10" i="3"/>
  <c r="O9" i="3"/>
  <c r="N9" i="3"/>
  <c r="M9" i="3"/>
  <c r="L9" i="3"/>
  <c r="K9" i="3"/>
  <c r="J9" i="3"/>
  <c r="I9" i="3"/>
  <c r="H9" i="3"/>
  <c r="G9" i="3"/>
  <c r="F9" i="3"/>
  <c r="E9" i="3"/>
  <c r="D9" i="3"/>
  <c r="O6" i="3"/>
  <c r="O7" i="6" s="1"/>
  <c r="N6" i="3"/>
  <c r="N7" i="6" s="1"/>
  <c r="M6" i="3"/>
  <c r="M7" i="6" s="1"/>
  <c r="L6" i="3"/>
  <c r="L7" i="6" s="1"/>
  <c r="K6" i="3"/>
  <c r="K7" i="6" s="1"/>
  <c r="J6" i="3"/>
  <c r="J7" i="6" s="1"/>
  <c r="I6" i="3"/>
  <c r="I7" i="6" s="1"/>
  <c r="H6" i="3"/>
  <c r="H7" i="6" s="1"/>
  <c r="G6" i="3"/>
  <c r="G7" i="6" s="1"/>
  <c r="F6" i="3"/>
  <c r="F7" i="6" s="1"/>
  <c r="E6" i="3"/>
  <c r="E7" i="6" s="1"/>
  <c r="D6" i="3"/>
  <c r="D7" i="6" s="1"/>
  <c r="F89" i="3" l="1"/>
  <c r="M89" i="3"/>
  <c r="E89" i="3"/>
  <c r="D89" i="3"/>
  <c r="J89" i="3"/>
  <c r="K89" i="3"/>
  <c r="I20" i="3"/>
  <c r="I89" i="3"/>
  <c r="I17" i="3"/>
  <c r="J31" i="3"/>
  <c r="P89" i="3"/>
  <c r="H89" i="3"/>
  <c r="O89" i="3"/>
  <c r="G89" i="3"/>
  <c r="J20" i="3"/>
  <c r="N21" i="3"/>
  <c r="N22" i="3" s="1"/>
  <c r="E7" i="3"/>
  <c r="J7" i="3"/>
  <c r="J8" i="3" s="1"/>
  <c r="J61" i="7" s="1"/>
  <c r="P9" i="3"/>
  <c r="D17" i="3"/>
  <c r="D23" i="3"/>
  <c r="M7" i="3"/>
  <c r="P19" i="3"/>
  <c r="I23" i="3"/>
  <c r="L23" i="3"/>
  <c r="P25" i="3"/>
  <c r="L17" i="3"/>
  <c r="D4" i="16"/>
  <c r="F74" i="3"/>
  <c r="F31" i="3"/>
  <c r="F32" i="3" s="1"/>
  <c r="F26" i="3"/>
  <c r="F27" i="3"/>
  <c r="F28" i="3" s="1"/>
  <c r="L4" i="16"/>
  <c r="N74" i="3"/>
  <c r="N31" i="3"/>
  <c r="N26" i="3"/>
  <c r="N27" i="3"/>
  <c r="N28" i="3" s="1"/>
  <c r="H15" i="6"/>
  <c r="H16" i="6" s="1"/>
  <c r="H17" i="6" s="1"/>
  <c r="H8" i="6"/>
  <c r="H9" i="6" s="1"/>
  <c r="P6" i="3"/>
  <c r="P92" i="3" s="1"/>
  <c r="K7" i="3"/>
  <c r="B3" i="16"/>
  <c r="D70" i="3"/>
  <c r="J3" i="16"/>
  <c r="L70" i="3"/>
  <c r="L72" i="3" s="1"/>
  <c r="D21" i="3"/>
  <c r="D22" i="3" s="1"/>
  <c r="L21" i="3"/>
  <c r="L22" i="3" s="1"/>
  <c r="J23" i="3"/>
  <c r="J32" i="3" s="1"/>
  <c r="B5" i="16"/>
  <c r="P29" i="3"/>
  <c r="N5" i="16" s="1"/>
  <c r="D78" i="3"/>
  <c r="J5" i="16"/>
  <c r="L78" i="3"/>
  <c r="I15" i="6"/>
  <c r="I16" i="6" s="1"/>
  <c r="I17" i="6" s="1"/>
  <c r="I8" i="6"/>
  <c r="I9" i="6" s="1"/>
  <c r="D7" i="3"/>
  <c r="L7" i="3"/>
  <c r="K17" i="3"/>
  <c r="C3" i="16"/>
  <c r="E70" i="3"/>
  <c r="E72" i="3" s="1"/>
  <c r="K3" i="16"/>
  <c r="M70" i="3"/>
  <c r="M72" i="3" s="1"/>
  <c r="E21" i="3"/>
  <c r="E22" i="3" s="1"/>
  <c r="M21" i="3"/>
  <c r="K23" i="3"/>
  <c r="E4" i="16"/>
  <c r="G31" i="3"/>
  <c r="G26" i="3"/>
  <c r="G74" i="3"/>
  <c r="G28" i="3"/>
  <c r="C5" i="16"/>
  <c r="E78" i="3"/>
  <c r="K20" i="3"/>
  <c r="F21" i="3"/>
  <c r="F22" i="3" s="1"/>
  <c r="I4" i="16"/>
  <c r="K74" i="3"/>
  <c r="K31" i="3"/>
  <c r="K26" i="3"/>
  <c r="K15" i="6"/>
  <c r="K16" i="6" s="1"/>
  <c r="K17" i="6" s="1"/>
  <c r="K8" i="6"/>
  <c r="K9" i="6" s="1"/>
  <c r="F7" i="3"/>
  <c r="N7" i="3"/>
  <c r="E17" i="3"/>
  <c r="M17" i="3"/>
  <c r="E3" i="16"/>
  <c r="G70" i="3"/>
  <c r="G72" i="3" s="1"/>
  <c r="M3" i="16"/>
  <c r="O23" i="3"/>
  <c r="O70" i="3"/>
  <c r="O72" i="3" s="1"/>
  <c r="D20" i="3"/>
  <c r="L20" i="3"/>
  <c r="G21" i="3"/>
  <c r="G22" i="3" s="1"/>
  <c r="O21" i="3"/>
  <c r="O22" i="3" s="1"/>
  <c r="E23" i="3"/>
  <c r="M23" i="3"/>
  <c r="J4" i="16"/>
  <c r="L74" i="3"/>
  <c r="L31" i="3"/>
  <c r="L32" i="3" s="1"/>
  <c r="L27" i="3"/>
  <c r="L28" i="3" s="1"/>
  <c r="F4" i="16"/>
  <c r="H26" i="3"/>
  <c r="H27" i="3"/>
  <c r="H28" i="3" s="1"/>
  <c r="H74" i="3"/>
  <c r="H31" i="3"/>
  <c r="K27" i="3"/>
  <c r="K28" i="3" s="1"/>
  <c r="D15" i="6"/>
  <c r="D8" i="6"/>
  <c r="P7" i="6"/>
  <c r="L15" i="6"/>
  <c r="L16" i="6" s="1"/>
  <c r="L17" i="6" s="1"/>
  <c r="L8" i="6"/>
  <c r="L9" i="6" s="1"/>
  <c r="G7" i="3"/>
  <c r="O7" i="3"/>
  <c r="F17" i="3"/>
  <c r="N17" i="3"/>
  <c r="F3" i="16"/>
  <c r="F11" i="16" s="1"/>
  <c r="H70" i="3"/>
  <c r="H72" i="3" s="1"/>
  <c r="P18" i="3"/>
  <c r="E20" i="3"/>
  <c r="M20" i="3"/>
  <c r="H21" i="3"/>
  <c r="H22" i="3" s="1"/>
  <c r="N23" i="3"/>
  <c r="M74" i="3"/>
  <c r="M31" i="3"/>
  <c r="K4" i="16"/>
  <c r="M27" i="3"/>
  <c r="M28" i="3" s="1"/>
  <c r="G4" i="16"/>
  <c r="I27" i="3"/>
  <c r="I74" i="3"/>
  <c r="I31" i="3"/>
  <c r="O15" i="6"/>
  <c r="O16" i="6" s="1"/>
  <c r="O17" i="6" s="1"/>
  <c r="O8" i="6"/>
  <c r="O9" i="6" s="1"/>
  <c r="I3" i="16"/>
  <c r="K70" i="3"/>
  <c r="K72" i="3" s="1"/>
  <c r="E74" i="3"/>
  <c r="E31" i="3"/>
  <c r="C4" i="16"/>
  <c r="E27" i="3"/>
  <c r="E28" i="3" s="1"/>
  <c r="D3" i="16"/>
  <c r="F70" i="3"/>
  <c r="F72" i="3" s="1"/>
  <c r="E15" i="6"/>
  <c r="E16" i="6" s="1"/>
  <c r="E17" i="6" s="1"/>
  <c r="E8" i="6"/>
  <c r="E9" i="6" s="1"/>
  <c r="M15" i="6"/>
  <c r="M16" i="6" s="1"/>
  <c r="M17" i="6" s="1"/>
  <c r="M8" i="6"/>
  <c r="M9" i="6" s="1"/>
  <c r="H7" i="3"/>
  <c r="G17" i="3"/>
  <c r="O17" i="3"/>
  <c r="G3" i="16"/>
  <c r="I70" i="3"/>
  <c r="I72" i="3" s="1"/>
  <c r="F20" i="3"/>
  <c r="I21" i="3"/>
  <c r="I22" i="3" s="1"/>
  <c r="G23" i="3"/>
  <c r="H4" i="16"/>
  <c r="J27" i="3"/>
  <c r="J28" i="3" s="1"/>
  <c r="J74" i="3"/>
  <c r="J26" i="3"/>
  <c r="I26" i="3"/>
  <c r="G15" i="6"/>
  <c r="G16" i="6" s="1"/>
  <c r="G17" i="6" s="1"/>
  <c r="G8" i="6"/>
  <c r="G9" i="6" s="1"/>
  <c r="K21" i="3"/>
  <c r="K22" i="3" s="1"/>
  <c r="J8" i="6"/>
  <c r="J9" i="6" s="1"/>
  <c r="J15" i="6"/>
  <c r="J16" i="6" s="1"/>
  <c r="J17" i="6" s="1"/>
  <c r="L3" i="16"/>
  <c r="N70" i="3"/>
  <c r="N72" i="3" s="1"/>
  <c r="F8" i="6"/>
  <c r="F9" i="6" s="1"/>
  <c r="F15" i="6"/>
  <c r="F16" i="6" s="1"/>
  <c r="F17" i="6" s="1"/>
  <c r="N8" i="6"/>
  <c r="N9" i="6" s="1"/>
  <c r="N15" i="6"/>
  <c r="N16" i="6" s="1"/>
  <c r="N17" i="6" s="1"/>
  <c r="I7" i="3"/>
  <c r="H17" i="3"/>
  <c r="J70" i="3"/>
  <c r="J72" i="3" s="1"/>
  <c r="H3" i="16"/>
  <c r="G20" i="3"/>
  <c r="O20" i="3"/>
  <c r="J21" i="3"/>
  <c r="J22" i="3" s="1"/>
  <c r="M22" i="3"/>
  <c r="H23" i="3"/>
  <c r="H32" i="3" s="1"/>
  <c r="B4" i="16"/>
  <c r="D74" i="3"/>
  <c r="D31" i="3"/>
  <c r="P24" i="3"/>
  <c r="D27" i="3"/>
  <c r="M4" i="16"/>
  <c r="O31" i="3"/>
  <c r="O26" i="3"/>
  <c r="O74" i="3"/>
  <c r="O28" i="3"/>
  <c r="L26" i="3"/>
  <c r="I28" i="3"/>
  <c r="H5" i="16"/>
  <c r="J78" i="3"/>
  <c r="H78" i="3"/>
  <c r="I78" i="3"/>
  <c r="P2" i="15"/>
  <c r="P2" i="10"/>
  <c r="P2" i="12"/>
  <c r="P2" i="13" s="1"/>
  <c r="K78" i="3"/>
  <c r="P30" i="3"/>
  <c r="N6" i="16" s="1"/>
  <c r="F78" i="3"/>
  <c r="D5" i="16"/>
  <c r="N78" i="3"/>
  <c r="L5" i="16"/>
  <c r="M78" i="3"/>
  <c r="O78" i="3"/>
  <c r="M5" i="16"/>
  <c r="G78" i="3"/>
  <c r="B11" i="16" l="1"/>
  <c r="I32" i="3"/>
  <c r="E32" i="3"/>
  <c r="J16" i="3"/>
  <c r="P27" i="3"/>
  <c r="P28" i="3" s="1"/>
  <c r="M16" i="3"/>
  <c r="M8" i="3"/>
  <c r="M61" i="7" s="1"/>
  <c r="G32" i="3"/>
  <c r="G60" i="3" s="1"/>
  <c r="G59" i="3" s="1"/>
  <c r="N32" i="3"/>
  <c r="N64" i="3" s="1"/>
  <c r="I11" i="16"/>
  <c r="E16" i="3"/>
  <c r="E8" i="3"/>
  <c r="E61" i="7" s="1"/>
  <c r="G11" i="16"/>
  <c r="P17" i="3"/>
  <c r="Q17" i="3" s="1"/>
  <c r="I47" i="3"/>
  <c r="I46" i="3" s="1"/>
  <c r="I58" i="3"/>
  <c r="I57" i="3" s="1"/>
  <c r="J23" i="8" s="1"/>
  <c r="I41" i="3"/>
  <c r="I40" i="3" s="1"/>
  <c r="I51" i="3"/>
  <c r="I50" i="3" s="1"/>
  <c r="I35" i="3"/>
  <c r="I62" i="3"/>
  <c r="I61" i="3" s="1"/>
  <c r="J12" i="8" s="1"/>
  <c r="I45" i="3"/>
  <c r="I44" i="3" s="1"/>
  <c r="I56" i="3"/>
  <c r="I55" i="3" s="1"/>
  <c r="J33" i="8" s="1"/>
  <c r="I39" i="3"/>
  <c r="I38" i="3" s="1"/>
  <c r="I64" i="3"/>
  <c r="I49" i="3"/>
  <c r="I48" i="3" s="1"/>
  <c r="I60" i="3"/>
  <c r="I59" i="3" s="1"/>
  <c r="I43" i="3"/>
  <c r="I42" i="3" s="1"/>
  <c r="I53" i="3"/>
  <c r="I52" i="3" s="1"/>
  <c r="I37" i="3"/>
  <c r="I36" i="3" s="1"/>
  <c r="F64" i="3"/>
  <c r="F49" i="3"/>
  <c r="F48" i="3" s="1"/>
  <c r="F60" i="3"/>
  <c r="F59" i="3" s="1"/>
  <c r="F43" i="3"/>
  <c r="F42" i="3" s="1"/>
  <c r="F53" i="3"/>
  <c r="F52" i="3" s="1"/>
  <c r="F37" i="3"/>
  <c r="F36" i="3" s="1"/>
  <c r="F47" i="3"/>
  <c r="F46" i="3" s="1"/>
  <c r="F58" i="3"/>
  <c r="F57" i="3" s="1"/>
  <c r="G23" i="8" s="1"/>
  <c r="F41" i="3"/>
  <c r="F40" i="3" s="1"/>
  <c r="F51" i="3"/>
  <c r="F50" i="3" s="1"/>
  <c r="F62" i="3"/>
  <c r="F61" i="3" s="1"/>
  <c r="G12" i="8" s="1"/>
  <c r="F45" i="3"/>
  <c r="F44" i="3" s="1"/>
  <c r="F56" i="3"/>
  <c r="F55" i="3" s="1"/>
  <c r="G33" i="8" s="1"/>
  <c r="F39" i="3"/>
  <c r="F38" i="3" s="1"/>
  <c r="F35" i="3"/>
  <c r="L62" i="3"/>
  <c r="L61" i="3" s="1"/>
  <c r="M12" i="8" s="1"/>
  <c r="L45" i="3"/>
  <c r="L44" i="3" s="1"/>
  <c r="L56" i="3"/>
  <c r="L55" i="3" s="1"/>
  <c r="M33" i="8" s="1"/>
  <c r="L39" i="3"/>
  <c r="L38" i="3" s="1"/>
  <c r="L64" i="3"/>
  <c r="L49" i="3"/>
  <c r="L48" i="3" s="1"/>
  <c r="L60" i="3"/>
  <c r="L59" i="3" s="1"/>
  <c r="L43" i="3"/>
  <c r="L42" i="3" s="1"/>
  <c r="L53" i="3"/>
  <c r="L52" i="3" s="1"/>
  <c r="L37" i="3"/>
  <c r="L36" i="3" s="1"/>
  <c r="L47" i="3"/>
  <c r="L46" i="3" s="1"/>
  <c r="L58" i="3"/>
  <c r="L57" i="3" s="1"/>
  <c r="M23" i="8" s="1"/>
  <c r="L41" i="3"/>
  <c r="L40" i="3" s="1"/>
  <c r="L51" i="3"/>
  <c r="L50" i="3" s="1"/>
  <c r="L35" i="3"/>
  <c r="G80" i="3"/>
  <c r="G81" i="3" s="1"/>
  <c r="K80" i="3"/>
  <c r="K81" i="3" s="1"/>
  <c r="N4" i="16"/>
  <c r="P26" i="3"/>
  <c r="H8" i="3"/>
  <c r="H61" i="7" s="1"/>
  <c r="H16" i="3"/>
  <c r="D9" i="6"/>
  <c r="P8" i="6"/>
  <c r="P9" i="6" s="1"/>
  <c r="E11" i="16"/>
  <c r="K32" i="3"/>
  <c r="L8" i="3"/>
  <c r="L61" i="7" s="1"/>
  <c r="L16" i="3"/>
  <c r="K8" i="3"/>
  <c r="K61" i="7" s="1"/>
  <c r="K16" i="3"/>
  <c r="N76" i="3"/>
  <c r="N77" i="3" s="1"/>
  <c r="P31" i="3"/>
  <c r="M76" i="3"/>
  <c r="M77" i="3" s="1"/>
  <c r="D16" i="6"/>
  <c r="P15" i="6"/>
  <c r="E80" i="3"/>
  <c r="E81" i="3" s="1"/>
  <c r="D8" i="3"/>
  <c r="D61" i="7" s="1"/>
  <c r="D16" i="3"/>
  <c r="P7" i="3"/>
  <c r="J58" i="3"/>
  <c r="J57" i="3" s="1"/>
  <c r="K23" i="8" s="1"/>
  <c r="J41" i="3"/>
  <c r="J40" i="3" s="1"/>
  <c r="J51" i="3"/>
  <c r="J50" i="3" s="1"/>
  <c r="J35" i="3"/>
  <c r="J62" i="3"/>
  <c r="J61" i="3" s="1"/>
  <c r="K12" i="8" s="1"/>
  <c r="J45" i="3"/>
  <c r="J44" i="3" s="1"/>
  <c r="J56" i="3"/>
  <c r="J55" i="3" s="1"/>
  <c r="K33" i="8" s="1"/>
  <c r="J39" i="3"/>
  <c r="J38" i="3" s="1"/>
  <c r="J64" i="3"/>
  <c r="J49" i="3"/>
  <c r="J48" i="3" s="1"/>
  <c r="J60" i="3"/>
  <c r="J59" i="3" s="1"/>
  <c r="J53" i="3"/>
  <c r="J52" i="3" s="1"/>
  <c r="J37" i="3"/>
  <c r="J36" i="3" s="1"/>
  <c r="J47" i="3"/>
  <c r="J46" i="3" s="1"/>
  <c r="J43" i="3"/>
  <c r="J42" i="3" s="1"/>
  <c r="I76" i="3"/>
  <c r="I77" i="3" s="1"/>
  <c r="D76" i="3"/>
  <c r="D77" i="3" s="1"/>
  <c r="P74" i="3"/>
  <c r="H11" i="16"/>
  <c r="E76" i="3"/>
  <c r="E77" i="3" s="1"/>
  <c r="O8" i="3"/>
  <c r="O61" i="7" s="1"/>
  <c r="O16" i="3"/>
  <c r="K76" i="3"/>
  <c r="K77" i="3" s="1"/>
  <c r="P21" i="3"/>
  <c r="D28" i="3"/>
  <c r="O76" i="3"/>
  <c r="O77" i="3"/>
  <c r="N80" i="3"/>
  <c r="N81" i="3" s="1"/>
  <c r="I80" i="3"/>
  <c r="I81" i="3"/>
  <c r="L11" i="16"/>
  <c r="J76" i="3"/>
  <c r="J77" i="3" s="1"/>
  <c r="G8" i="3"/>
  <c r="G61" i="7" s="1"/>
  <c r="G16" i="3"/>
  <c r="L76" i="3"/>
  <c r="L77" i="3" s="1"/>
  <c r="N16" i="3"/>
  <c r="N8" i="3"/>
  <c r="N61" i="7" s="1"/>
  <c r="G76" i="3"/>
  <c r="G77" i="3" s="1"/>
  <c r="K11" i="16"/>
  <c r="L80" i="3"/>
  <c r="L81" i="3" s="1"/>
  <c r="O80" i="3"/>
  <c r="O81" i="3" s="1"/>
  <c r="M80" i="3"/>
  <c r="M81" i="3" s="1"/>
  <c r="H80" i="3"/>
  <c r="H81" i="3" s="1"/>
  <c r="H53" i="3"/>
  <c r="H52" i="3" s="1"/>
  <c r="H37" i="3"/>
  <c r="H36" i="3" s="1"/>
  <c r="H47" i="3"/>
  <c r="H46" i="3" s="1"/>
  <c r="H58" i="3"/>
  <c r="H57" i="3" s="1"/>
  <c r="I23" i="8" s="1"/>
  <c r="H41" i="3"/>
  <c r="H40" i="3" s="1"/>
  <c r="H51" i="3"/>
  <c r="H50" i="3" s="1"/>
  <c r="H35" i="3"/>
  <c r="H62" i="3"/>
  <c r="H61" i="3" s="1"/>
  <c r="I12" i="8" s="1"/>
  <c r="H45" i="3"/>
  <c r="H44" i="3" s="1"/>
  <c r="H56" i="3"/>
  <c r="H55" i="3" s="1"/>
  <c r="I33" i="8" s="1"/>
  <c r="H64" i="3"/>
  <c r="H49" i="3"/>
  <c r="H48" i="3" s="1"/>
  <c r="H60" i="3"/>
  <c r="H59" i="3" s="1"/>
  <c r="H43" i="3"/>
  <c r="H42" i="3" s="1"/>
  <c r="H39" i="3"/>
  <c r="H38" i="3" s="1"/>
  <c r="H76" i="3"/>
  <c r="H77" i="3" s="1"/>
  <c r="O32" i="3"/>
  <c r="F16" i="3"/>
  <c r="F8" i="3"/>
  <c r="F61" i="7" s="1"/>
  <c r="J11" i="16"/>
  <c r="E56" i="3"/>
  <c r="E55" i="3" s="1"/>
  <c r="F33" i="8" s="1"/>
  <c r="E39" i="3"/>
  <c r="E38" i="3" s="1"/>
  <c r="E64" i="3"/>
  <c r="E49" i="3"/>
  <c r="E48" i="3" s="1"/>
  <c r="E60" i="3"/>
  <c r="E59" i="3" s="1"/>
  <c r="E43" i="3"/>
  <c r="E42" i="3" s="1"/>
  <c r="E53" i="3"/>
  <c r="E52" i="3" s="1"/>
  <c r="E37" i="3"/>
  <c r="E36" i="3" s="1"/>
  <c r="E47" i="3"/>
  <c r="E46" i="3" s="1"/>
  <c r="E58" i="3"/>
  <c r="E57" i="3" s="1"/>
  <c r="F23" i="8" s="1"/>
  <c r="E51" i="3"/>
  <c r="E50" i="3" s="1"/>
  <c r="E35" i="3"/>
  <c r="E62" i="3"/>
  <c r="E61" i="3" s="1"/>
  <c r="F12" i="8" s="1"/>
  <c r="E45" i="3"/>
  <c r="E44" i="3" s="1"/>
  <c r="E41" i="3"/>
  <c r="E40" i="3" s="1"/>
  <c r="F80" i="3"/>
  <c r="F81" i="3" s="1"/>
  <c r="J80" i="3"/>
  <c r="J81" i="3" s="1"/>
  <c r="I8" i="3"/>
  <c r="I61" i="7" s="1"/>
  <c r="I16" i="3"/>
  <c r="D11" i="16"/>
  <c r="N3" i="16"/>
  <c r="P23" i="3"/>
  <c r="P20" i="3"/>
  <c r="Q23" i="3"/>
  <c r="Q18" i="3"/>
  <c r="P22" i="3"/>
  <c r="S26" i="3"/>
  <c r="M32" i="3"/>
  <c r="M11" i="16"/>
  <c r="D32" i="3"/>
  <c r="C11" i="16"/>
  <c r="D80" i="3"/>
  <c r="D81" i="3" s="1"/>
  <c r="P78" i="3"/>
  <c r="D72" i="3"/>
  <c r="P72" i="3" s="1"/>
  <c r="P70" i="3"/>
  <c r="F76" i="3"/>
  <c r="F77" i="3" s="1"/>
  <c r="G45" i="3" l="1"/>
  <c r="G44" i="3" s="1"/>
  <c r="G41" i="3"/>
  <c r="G40" i="3" s="1"/>
  <c r="G51" i="3"/>
  <c r="G50" i="3" s="1"/>
  <c r="G58" i="3"/>
  <c r="G57" i="3" s="1"/>
  <c r="H23" i="8" s="1"/>
  <c r="N35" i="3"/>
  <c r="G64" i="3"/>
  <c r="G47" i="3"/>
  <c r="G46" i="3" s="1"/>
  <c r="G37" i="3"/>
  <c r="G36" i="3" s="1"/>
  <c r="N45" i="3"/>
  <c r="N44" i="3" s="1"/>
  <c r="G56" i="3"/>
  <c r="G55" i="3" s="1"/>
  <c r="H33" i="8" s="1"/>
  <c r="G53" i="3"/>
  <c r="G52" i="3" s="1"/>
  <c r="N11" i="16"/>
  <c r="N47" i="3"/>
  <c r="N46" i="3" s="1"/>
  <c r="G62" i="3"/>
  <c r="G61" i="3" s="1"/>
  <c r="H12" i="8" s="1"/>
  <c r="H13" i="8" s="1"/>
  <c r="G43" i="3"/>
  <c r="G42" i="3" s="1"/>
  <c r="G49" i="3"/>
  <c r="G48" i="3" s="1"/>
  <c r="G39" i="3"/>
  <c r="G38" i="3" s="1"/>
  <c r="N58" i="3"/>
  <c r="N57" i="3" s="1"/>
  <c r="O23" i="8" s="1"/>
  <c r="N43" i="3"/>
  <c r="N42" i="3" s="1"/>
  <c r="G35" i="3"/>
  <c r="N39" i="3"/>
  <c r="N38" i="3" s="1"/>
  <c r="N37" i="3"/>
  <c r="N36" i="3" s="1"/>
  <c r="N56" i="3"/>
  <c r="N55" i="3" s="1"/>
  <c r="O33" i="8" s="1"/>
  <c r="N53" i="3"/>
  <c r="N52" i="3" s="1"/>
  <c r="N62" i="3"/>
  <c r="N61" i="3" s="1"/>
  <c r="O12" i="8" s="1"/>
  <c r="N60" i="3"/>
  <c r="N59" i="3" s="1"/>
  <c r="P32" i="3"/>
  <c r="N51" i="3"/>
  <c r="N50" i="3" s="1"/>
  <c r="N49" i="3"/>
  <c r="N48" i="3" s="1"/>
  <c r="N41" i="3"/>
  <c r="N40" i="3" s="1"/>
  <c r="P81" i="3"/>
  <c r="E34" i="3"/>
  <c r="E33" i="3" s="1"/>
  <c r="E14" i="3"/>
  <c r="F49" i="7"/>
  <c r="F67" i="3"/>
  <c r="F65" i="3"/>
  <c r="N49" i="7"/>
  <c r="N67" i="3"/>
  <c r="N65" i="3"/>
  <c r="E49" i="7"/>
  <c r="E67" i="3"/>
  <c r="E65" i="3"/>
  <c r="I13" i="8"/>
  <c r="K13" i="8"/>
  <c r="M13" i="8"/>
  <c r="H34" i="3"/>
  <c r="H33" i="3" s="1"/>
  <c r="H14" i="3"/>
  <c r="G67" i="3"/>
  <c r="G49" i="7"/>
  <c r="G65" i="3"/>
  <c r="J34" i="3"/>
  <c r="J33" i="3" s="1"/>
  <c r="J14" i="3"/>
  <c r="F34" i="3"/>
  <c r="F33" i="3" s="1"/>
  <c r="F14" i="3"/>
  <c r="J13" i="8"/>
  <c r="P80" i="3"/>
  <c r="O13" i="8"/>
  <c r="O6" i="8"/>
  <c r="K6" i="8"/>
  <c r="L34" i="3"/>
  <c r="L33" i="3" s="1"/>
  <c r="L14" i="3"/>
  <c r="M6" i="8"/>
  <c r="I34" i="3"/>
  <c r="I33" i="3" s="1"/>
  <c r="I14" i="3"/>
  <c r="D62" i="3"/>
  <c r="D61" i="3" s="1"/>
  <c r="D45" i="3"/>
  <c r="D44" i="3" s="1"/>
  <c r="D56" i="3"/>
  <c r="D55" i="3" s="1"/>
  <c r="D39" i="3"/>
  <c r="D38" i="3" s="1"/>
  <c r="D64" i="3"/>
  <c r="D49" i="3"/>
  <c r="D48" i="3" s="1"/>
  <c r="D60" i="3"/>
  <c r="D59" i="3" s="1"/>
  <c r="D43" i="3"/>
  <c r="D42" i="3" s="1"/>
  <c r="D53" i="3"/>
  <c r="D52" i="3" s="1"/>
  <c r="D37" i="3"/>
  <c r="D36" i="3" s="1"/>
  <c r="D47" i="3"/>
  <c r="D46" i="3" s="1"/>
  <c r="D58" i="3"/>
  <c r="D57" i="3" s="1"/>
  <c r="D41" i="3"/>
  <c r="D40" i="3" s="1"/>
  <c r="D51" i="3"/>
  <c r="D50" i="3" s="1"/>
  <c r="D35" i="3"/>
  <c r="I6" i="8"/>
  <c r="P77" i="3"/>
  <c r="P16" i="6"/>
  <c r="P17" i="6" s="1"/>
  <c r="D17" i="6"/>
  <c r="J6" i="8"/>
  <c r="L49" i="7"/>
  <c r="L67" i="3"/>
  <c r="L65" i="3"/>
  <c r="J49" i="7"/>
  <c r="J67" i="3"/>
  <c r="J65" i="3"/>
  <c r="M56" i="3"/>
  <c r="M55" i="3" s="1"/>
  <c r="N33" i="8" s="1"/>
  <c r="M39" i="3"/>
  <c r="M38" i="3" s="1"/>
  <c r="M64" i="3"/>
  <c r="M49" i="3"/>
  <c r="M48" i="3" s="1"/>
  <c r="M60" i="3"/>
  <c r="M59" i="3" s="1"/>
  <c r="M43" i="3"/>
  <c r="M42" i="3" s="1"/>
  <c r="M53" i="3"/>
  <c r="M52" i="3" s="1"/>
  <c r="M37" i="3"/>
  <c r="M36" i="3" s="1"/>
  <c r="M47" i="3"/>
  <c r="M46" i="3" s="1"/>
  <c r="M58" i="3"/>
  <c r="M57" i="3" s="1"/>
  <c r="N23" i="8" s="1"/>
  <c r="M51" i="3"/>
  <c r="M50" i="3" s="1"/>
  <c r="M35" i="3"/>
  <c r="M62" i="3"/>
  <c r="M61" i="3" s="1"/>
  <c r="N12" i="8" s="1"/>
  <c r="M45" i="3"/>
  <c r="M44" i="3" s="1"/>
  <c r="M41" i="3"/>
  <c r="M40" i="3" s="1"/>
  <c r="H49" i="7"/>
  <c r="H65" i="3"/>
  <c r="H67" i="3"/>
  <c r="P76" i="3"/>
  <c r="G34" i="3"/>
  <c r="G33" i="3" s="1"/>
  <c r="G14" i="3"/>
  <c r="H6" i="8"/>
  <c r="P8" i="3"/>
  <c r="P61" i="7" s="1"/>
  <c r="P16" i="3"/>
  <c r="K51" i="3"/>
  <c r="K50" i="3" s="1"/>
  <c r="K35" i="3"/>
  <c r="K62" i="3"/>
  <c r="K61" i="3" s="1"/>
  <c r="L12" i="8" s="1"/>
  <c r="K45" i="3"/>
  <c r="K44" i="3" s="1"/>
  <c r="K56" i="3"/>
  <c r="K55" i="3" s="1"/>
  <c r="L33" i="8" s="1"/>
  <c r="K39" i="3"/>
  <c r="K38" i="3" s="1"/>
  <c r="K64" i="3"/>
  <c r="K49" i="3"/>
  <c r="K48" i="3" s="1"/>
  <c r="K60" i="3"/>
  <c r="K59" i="3" s="1"/>
  <c r="K43" i="3"/>
  <c r="K42" i="3" s="1"/>
  <c r="K53" i="3"/>
  <c r="K52" i="3" s="1"/>
  <c r="K47" i="3"/>
  <c r="K46" i="3" s="1"/>
  <c r="K58" i="3"/>
  <c r="K57" i="3" s="1"/>
  <c r="L23" i="8" s="1"/>
  <c r="K41" i="3"/>
  <c r="K40" i="3" s="1"/>
  <c r="K37" i="3"/>
  <c r="K36" i="3" s="1"/>
  <c r="G13" i="8"/>
  <c r="G6" i="8"/>
  <c r="I49" i="7"/>
  <c r="I65" i="3"/>
  <c r="I67" i="3"/>
  <c r="F13" i="8"/>
  <c r="F6" i="8"/>
  <c r="O60" i="3"/>
  <c r="O59" i="3" s="1"/>
  <c r="O43" i="3"/>
  <c r="O42" i="3" s="1"/>
  <c r="O53" i="3"/>
  <c r="O52" i="3" s="1"/>
  <c r="O37" i="3"/>
  <c r="O36" i="3" s="1"/>
  <c r="O47" i="3"/>
  <c r="O46" i="3" s="1"/>
  <c r="O58" i="3"/>
  <c r="O57" i="3" s="1"/>
  <c r="P23" i="8" s="1"/>
  <c r="O41" i="3"/>
  <c r="O40" i="3" s="1"/>
  <c r="O51" i="3"/>
  <c r="O50" i="3" s="1"/>
  <c r="O35" i="3"/>
  <c r="O62" i="3"/>
  <c r="O61" i="3" s="1"/>
  <c r="P12" i="8" s="1"/>
  <c r="O56" i="3"/>
  <c r="O55" i="3" s="1"/>
  <c r="P33" i="8" s="1"/>
  <c r="O39" i="3"/>
  <c r="O38" i="3" s="1"/>
  <c r="O64" i="3"/>
  <c r="O49" i="3"/>
  <c r="O48" i="3" s="1"/>
  <c r="O45" i="3"/>
  <c r="O44" i="3" s="1"/>
  <c r="N34" i="3"/>
  <c r="N33" i="3" s="1"/>
  <c r="N14" i="3"/>
  <c r="H53" i="7" l="1"/>
  <c r="H45" i="7"/>
  <c r="H46" i="7" s="1"/>
  <c r="P40" i="3"/>
  <c r="P41" i="3" s="1"/>
  <c r="Q41" i="3" s="1"/>
  <c r="D49" i="7"/>
  <c r="D67" i="3"/>
  <c r="D65" i="3"/>
  <c r="P64" i="3"/>
  <c r="O34" i="3"/>
  <c r="O33" i="3" s="1"/>
  <c r="O14" i="3"/>
  <c r="P6" i="8"/>
  <c r="I53" i="7"/>
  <c r="I45" i="7"/>
  <c r="I46" i="7" s="1"/>
  <c r="J57" i="8" s="1"/>
  <c r="E23" i="8"/>
  <c r="P57" i="3"/>
  <c r="P58" i="3" s="1"/>
  <c r="Q58" i="3" s="1"/>
  <c r="P38" i="3"/>
  <c r="P39" i="3" s="1"/>
  <c r="Q39" i="3" s="1"/>
  <c r="P13" i="8"/>
  <c r="P46" i="3"/>
  <c r="P47" i="3" s="1"/>
  <c r="Q47" i="3" s="1"/>
  <c r="N6" i="8"/>
  <c r="P36" i="3"/>
  <c r="P37" i="3" s="1"/>
  <c r="Q37" i="3" s="1"/>
  <c r="E33" i="8"/>
  <c r="P55" i="3"/>
  <c r="P56" i="3" s="1"/>
  <c r="Q56" i="3" s="1"/>
  <c r="F53" i="7"/>
  <c r="F45" i="7"/>
  <c r="F46" i="7" s="1"/>
  <c r="L13" i="8"/>
  <c r="K14" i="3"/>
  <c r="K34" i="3"/>
  <c r="K33" i="3" s="1"/>
  <c r="M34" i="3"/>
  <c r="M33" i="3" s="1"/>
  <c r="M14" i="3"/>
  <c r="P52" i="3"/>
  <c r="P53" i="3" s="1"/>
  <c r="Q53" i="3" s="1"/>
  <c r="P61" i="3"/>
  <c r="P62" i="3" s="1"/>
  <c r="Q62" i="3" s="1"/>
  <c r="E12" i="8"/>
  <c r="E45" i="7"/>
  <c r="E46" i="7" s="1"/>
  <c r="F57" i="8" s="1"/>
  <c r="E53" i="7"/>
  <c r="N13" i="8"/>
  <c r="P44" i="3"/>
  <c r="P45" i="3" s="1"/>
  <c r="Q45" i="3" s="1"/>
  <c r="O49" i="7"/>
  <c r="O67" i="3"/>
  <c r="O65" i="3"/>
  <c r="L6" i="8"/>
  <c r="M49" i="7"/>
  <c r="M67" i="3"/>
  <c r="M65" i="3"/>
  <c r="L45" i="7"/>
  <c r="L46" i="7" s="1"/>
  <c r="L53" i="7"/>
  <c r="P42" i="3"/>
  <c r="P43" i="3" s="1"/>
  <c r="Q43" i="3" s="1"/>
  <c r="N53" i="7"/>
  <c r="N45" i="7"/>
  <c r="N46" i="7" s="1"/>
  <c r="J53" i="7"/>
  <c r="J45" i="7"/>
  <c r="J46" i="7" s="1"/>
  <c r="K57" i="8" s="1"/>
  <c r="G45" i="7"/>
  <c r="G46" i="7" s="1"/>
  <c r="G53" i="7"/>
  <c r="D34" i="3"/>
  <c r="D14" i="3"/>
  <c r="E6" i="8"/>
  <c r="P59" i="3"/>
  <c r="P60" i="3" s="1"/>
  <c r="Q60" i="3" s="1"/>
  <c r="K49" i="7"/>
  <c r="K67" i="3"/>
  <c r="K65" i="3"/>
  <c r="P50" i="3"/>
  <c r="P51" i="3" s="1"/>
  <c r="Q51" i="3" s="1"/>
  <c r="P48" i="3"/>
  <c r="P49" i="3" s="1"/>
  <c r="Q49" i="3" s="1"/>
  <c r="F11" i="7" l="1"/>
  <c r="F34" i="7"/>
  <c r="G26" i="8" s="1"/>
  <c r="F13" i="7"/>
  <c r="F15" i="7"/>
  <c r="F7" i="7"/>
  <c r="F17" i="7"/>
  <c r="F9" i="7"/>
  <c r="F32" i="7"/>
  <c r="G37" i="8" s="1"/>
  <c r="F36" i="7"/>
  <c r="P65" i="3"/>
  <c r="P67" i="3"/>
  <c r="M45" i="7"/>
  <c r="M46" i="7" s="1"/>
  <c r="M53" i="7"/>
  <c r="J15" i="7"/>
  <c r="J7" i="7"/>
  <c r="J17" i="7"/>
  <c r="J9" i="7"/>
  <c r="J11" i="7"/>
  <c r="J34" i="7"/>
  <c r="K26" i="8" s="1"/>
  <c r="J13" i="7"/>
  <c r="J36" i="7"/>
  <c r="J32" i="7"/>
  <c r="K37" i="8" s="1"/>
  <c r="Q6" i="8"/>
  <c r="Q33" i="8"/>
  <c r="I36" i="7"/>
  <c r="I15" i="7"/>
  <c r="I7" i="7"/>
  <c r="I32" i="7"/>
  <c r="J37" i="8" s="1"/>
  <c r="I11" i="7"/>
  <c r="I34" i="7"/>
  <c r="J26" i="8" s="1"/>
  <c r="I13" i="7"/>
  <c r="I9" i="7"/>
  <c r="I17" i="7"/>
  <c r="N11" i="7"/>
  <c r="N34" i="7"/>
  <c r="O26" i="8" s="1"/>
  <c r="N13" i="7"/>
  <c r="N15" i="7"/>
  <c r="N7" i="7"/>
  <c r="N17" i="7"/>
  <c r="N9" i="7"/>
  <c r="N32" i="7"/>
  <c r="O37" i="8" s="1"/>
  <c r="N36" i="7"/>
  <c r="E32" i="7"/>
  <c r="F37" i="8" s="1"/>
  <c r="E11" i="7"/>
  <c r="E34" i="7"/>
  <c r="F26" i="8" s="1"/>
  <c r="E36" i="7"/>
  <c r="E15" i="7"/>
  <c r="E7" i="7"/>
  <c r="E17" i="7"/>
  <c r="E9" i="7"/>
  <c r="E13" i="7"/>
  <c r="D45" i="7"/>
  <c r="P49" i="7"/>
  <c r="P53" i="7" s="1"/>
  <c r="D53" i="7"/>
  <c r="P34" i="3"/>
  <c r="D33" i="3"/>
  <c r="K45" i="7"/>
  <c r="K46" i="7" s="1"/>
  <c r="L57" i="8" s="1"/>
  <c r="K53" i="7"/>
  <c r="L17" i="7"/>
  <c r="L9" i="7"/>
  <c r="L32" i="7"/>
  <c r="M37" i="8" s="1"/>
  <c r="L11" i="7"/>
  <c r="L13" i="7"/>
  <c r="L36" i="7"/>
  <c r="L15" i="7"/>
  <c r="L7" i="7"/>
  <c r="L34" i="7"/>
  <c r="M26" i="8" s="1"/>
  <c r="E13" i="8"/>
  <c r="Q13" i="8" s="1"/>
  <c r="Q12" i="8"/>
  <c r="Q23" i="8"/>
  <c r="G34" i="7"/>
  <c r="H26" i="8" s="1"/>
  <c r="G13" i="7"/>
  <c r="G36" i="7"/>
  <c r="G17" i="7"/>
  <c r="G9" i="7"/>
  <c r="G32" i="7"/>
  <c r="H37" i="8" s="1"/>
  <c r="G11" i="7"/>
  <c r="G7" i="7"/>
  <c r="G15" i="7"/>
  <c r="O45" i="7"/>
  <c r="O46" i="7" s="1"/>
  <c r="P57" i="8" s="1"/>
  <c r="O53" i="7"/>
  <c r="H13" i="7"/>
  <c r="H36" i="7"/>
  <c r="H15" i="7"/>
  <c r="H7" i="7"/>
  <c r="H17" i="7"/>
  <c r="H9" i="7"/>
  <c r="H32" i="7"/>
  <c r="I37" i="8" s="1"/>
  <c r="H11" i="7"/>
  <c r="H34" i="7"/>
  <c r="I26" i="8" s="1"/>
  <c r="D46" i="7" l="1"/>
  <c r="P45" i="7"/>
  <c r="O34" i="7"/>
  <c r="P26" i="8" s="1"/>
  <c r="O13" i="7"/>
  <c r="O36" i="7"/>
  <c r="O17" i="7"/>
  <c r="O9" i="7"/>
  <c r="O32" i="7"/>
  <c r="P37" i="8" s="1"/>
  <c r="O11" i="7"/>
  <c r="O7" i="7"/>
  <c r="O15" i="7"/>
  <c r="K17" i="7"/>
  <c r="K9" i="7"/>
  <c r="K32" i="7"/>
  <c r="L37" i="8" s="1"/>
  <c r="K34" i="7"/>
  <c r="L26" i="8" s="1"/>
  <c r="K13" i="7"/>
  <c r="K36" i="7"/>
  <c r="K15" i="7"/>
  <c r="K7" i="7"/>
  <c r="K11" i="7"/>
  <c r="K9" i="8"/>
  <c r="K10" i="8" s="1"/>
  <c r="J24" i="6"/>
  <c r="M32" i="7"/>
  <c r="N37" i="8" s="1"/>
  <c r="M11" i="7"/>
  <c r="M34" i="7"/>
  <c r="N26" i="8" s="1"/>
  <c r="M36" i="7"/>
  <c r="M15" i="7"/>
  <c r="M7" i="7"/>
  <c r="M17" i="7"/>
  <c r="M9" i="7"/>
  <c r="M13" i="7"/>
  <c r="H9" i="8"/>
  <c r="H10" i="8" s="1"/>
  <c r="G24" i="6"/>
  <c r="M9" i="8"/>
  <c r="M10" i="8" s="1"/>
  <c r="L24" i="6"/>
  <c r="O9" i="8"/>
  <c r="O10" i="8" s="1"/>
  <c r="N24" i="6"/>
  <c r="J9" i="8"/>
  <c r="J10" i="8" s="1"/>
  <c r="I24" i="6"/>
  <c r="P39" i="7"/>
  <c r="I9" i="8"/>
  <c r="I10" i="8" s="1"/>
  <c r="H24" i="6"/>
  <c r="P33" i="3"/>
  <c r="P35" i="3"/>
  <c r="D17" i="7"/>
  <c r="D9" i="7"/>
  <c r="D32" i="7"/>
  <c r="D11" i="7"/>
  <c r="D13" i="7"/>
  <c r="D36" i="7"/>
  <c r="D15" i="7"/>
  <c r="D7" i="7"/>
  <c r="D34" i="7"/>
  <c r="F9" i="8"/>
  <c r="F10" i="8" s="1"/>
  <c r="E24" i="6"/>
  <c r="G9" i="8"/>
  <c r="G10" i="8" s="1"/>
  <c r="F24" i="6"/>
  <c r="P11" i="7" l="1"/>
  <c r="P12" i="7" s="1"/>
  <c r="P13" i="7"/>
  <c r="P14" i="7" s="1"/>
  <c r="P17" i="7"/>
  <c r="P18" i="7" s="1"/>
  <c r="N9" i="8"/>
  <c r="N10" i="8" s="1"/>
  <c r="M24" i="6"/>
  <c r="P7" i="7"/>
  <c r="P8" i="7" s="1"/>
  <c r="G30" i="6"/>
  <c r="H17" i="8" s="1"/>
  <c r="H21" i="8" s="1"/>
  <c r="G26" i="6"/>
  <c r="E26" i="8"/>
  <c r="P34" i="7"/>
  <c r="P35" i="7" s="1"/>
  <c r="P15" i="7"/>
  <c r="P16" i="7" s="1"/>
  <c r="I30" i="6"/>
  <c r="J17" i="8" s="1"/>
  <c r="J21" i="8" s="1"/>
  <c r="I26" i="6"/>
  <c r="L9" i="8"/>
  <c r="L10" i="8" s="1"/>
  <c r="K24" i="6"/>
  <c r="E26" i="6"/>
  <c r="E30" i="6"/>
  <c r="F17" i="8" s="1"/>
  <c r="F21" i="8" s="1"/>
  <c r="L26" i="6"/>
  <c r="L30" i="6"/>
  <c r="M17" i="8" s="1"/>
  <c r="M21" i="8" s="1"/>
  <c r="P9" i="8"/>
  <c r="P10" i="8" s="1"/>
  <c r="O24" i="6"/>
  <c r="P36" i="7"/>
  <c r="P37" i="7" s="1"/>
  <c r="E9" i="8"/>
  <c r="D24" i="6"/>
  <c r="Q35" i="3"/>
  <c r="P14" i="3"/>
  <c r="P46" i="7"/>
  <c r="E57" i="8"/>
  <c r="Q57" i="8" s="1"/>
  <c r="E37" i="8"/>
  <c r="Q37" i="8" s="1"/>
  <c r="P32" i="7"/>
  <c r="P33" i="7" s="1"/>
  <c r="P9" i="7"/>
  <c r="P10" i="7" s="1"/>
  <c r="F26" i="6"/>
  <c r="F30" i="6"/>
  <c r="G17" i="8" s="1"/>
  <c r="G21" i="8" s="1"/>
  <c r="J30" i="6"/>
  <c r="K17" i="8" s="1"/>
  <c r="K21" i="8" s="1"/>
  <c r="J26" i="6"/>
  <c r="H30" i="6"/>
  <c r="I17" i="8" s="1"/>
  <c r="I21" i="8" s="1"/>
  <c r="H26" i="6"/>
  <c r="N26" i="6"/>
  <c r="N30" i="6"/>
  <c r="O17" i="8" s="1"/>
  <c r="O21" i="8" s="1"/>
  <c r="D26" i="6" l="1"/>
  <c r="P24" i="6"/>
  <c r="D30" i="6"/>
  <c r="N28" i="6"/>
  <c r="O27" i="8" s="1"/>
  <c r="O31" i="8" s="1"/>
  <c r="N56" i="7"/>
  <c r="Q9" i="8"/>
  <c r="E10" i="8"/>
  <c r="Q10" i="8" s="1"/>
  <c r="K26" i="6"/>
  <c r="K30" i="6"/>
  <c r="L17" i="8" s="1"/>
  <c r="L21" i="8" s="1"/>
  <c r="G28" i="6"/>
  <c r="H27" i="8" s="1"/>
  <c r="H31" i="8" s="1"/>
  <c r="G56" i="7"/>
  <c r="E28" i="6"/>
  <c r="F27" i="8" s="1"/>
  <c r="F31" i="8" s="1"/>
  <c r="E56" i="7"/>
  <c r="O30" i="6"/>
  <c r="P17" i="8" s="1"/>
  <c r="P21" i="8" s="1"/>
  <c r="O26" i="6"/>
  <c r="I28" i="6"/>
  <c r="J27" i="8" s="1"/>
  <c r="J31" i="8" s="1"/>
  <c r="I56" i="7"/>
  <c r="H56" i="7"/>
  <c r="H28" i="6"/>
  <c r="I27" i="8" s="1"/>
  <c r="I31" i="8" s="1"/>
  <c r="F28" i="6"/>
  <c r="G27" i="8" s="1"/>
  <c r="G31" i="8" s="1"/>
  <c r="F56" i="7"/>
  <c r="J56" i="7"/>
  <c r="J28" i="6"/>
  <c r="K27" i="8" s="1"/>
  <c r="K31" i="8" s="1"/>
  <c r="M26" i="6"/>
  <c r="M30" i="6"/>
  <c r="N17" i="8" s="1"/>
  <c r="N21" i="8" s="1"/>
  <c r="L56" i="7"/>
  <c r="L28" i="6"/>
  <c r="M27" i="8" s="1"/>
  <c r="M31" i="8" s="1"/>
  <c r="Q26" i="8"/>
  <c r="J43" i="7" l="1"/>
  <c r="J42" i="7"/>
  <c r="K36" i="8" s="1"/>
  <c r="K41" i="8" s="1"/>
  <c r="F42" i="7"/>
  <c r="G36" i="8" s="1"/>
  <c r="G41" i="8" s="1"/>
  <c r="F43" i="7"/>
  <c r="E42" i="7"/>
  <c r="F36" i="8" s="1"/>
  <c r="F41" i="8" s="1"/>
  <c r="E43" i="7"/>
  <c r="N42" i="7"/>
  <c r="O36" i="8" s="1"/>
  <c r="O41" i="8" s="1"/>
  <c r="N43" i="7"/>
  <c r="M28" i="6"/>
  <c r="N27" i="8" s="1"/>
  <c r="N31" i="8" s="1"/>
  <c r="M56" i="7"/>
  <c r="O28" i="6"/>
  <c r="P27" i="8" s="1"/>
  <c r="P31" i="8" s="1"/>
  <c r="O56" i="7"/>
  <c r="P30" i="6"/>
  <c r="E17" i="8"/>
  <c r="L43" i="7"/>
  <c r="L42" i="7"/>
  <c r="M36" i="8" s="1"/>
  <c r="M41" i="8" s="1"/>
  <c r="H43" i="7"/>
  <c r="H42" i="7"/>
  <c r="I36" i="8" s="1"/>
  <c r="I41" i="8" s="1"/>
  <c r="P31" i="6"/>
  <c r="P27" i="6"/>
  <c r="P29" i="6"/>
  <c r="K56" i="7"/>
  <c r="K28" i="6"/>
  <c r="L27" i="8" s="1"/>
  <c r="L31" i="8" s="1"/>
  <c r="G42" i="7"/>
  <c r="H36" i="8" s="1"/>
  <c r="H41" i="8" s="1"/>
  <c r="G43" i="7"/>
  <c r="I43" i="7"/>
  <c r="I42" i="7"/>
  <c r="J36" i="8" s="1"/>
  <c r="J41" i="8" s="1"/>
  <c r="D56" i="7"/>
  <c r="P26" i="6"/>
  <c r="D28" i="6"/>
  <c r="E27" i="8" l="1"/>
  <c r="P28" i="6"/>
  <c r="K42" i="7"/>
  <c r="L36" i="8" s="1"/>
  <c r="L41" i="8" s="1"/>
  <c r="K43" i="7"/>
  <c r="Q17" i="8"/>
  <c r="E21" i="8"/>
  <c r="Q21" i="8" s="1"/>
  <c r="P56" i="7"/>
  <c r="P43" i="7" s="1"/>
  <c r="D43" i="7"/>
  <c r="D42" i="7"/>
  <c r="O42" i="7"/>
  <c r="P36" i="8" s="1"/>
  <c r="P41" i="8" s="1"/>
  <c r="O43" i="7"/>
  <c r="M42" i="7"/>
  <c r="N36" i="8" s="1"/>
  <c r="N41" i="8" s="1"/>
  <c r="M43" i="7"/>
  <c r="E36" i="8" l="1"/>
  <c r="P42" i="7"/>
  <c r="Q27" i="8"/>
  <c r="E31" i="8"/>
  <c r="Q31" i="8" s="1"/>
  <c r="Q36" i="8" l="1"/>
  <c r="E41" i="8"/>
  <c r="Q4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</author>
    <author>赵佳营</author>
    <author>User</author>
  </authors>
  <commentList>
    <comment ref="A34" authorId="0" shapeId="0" xr:uid="{00000000-0006-0000-0400-000001000000}">
      <text>
        <r>
          <rPr>
            <b/>
            <sz val="9"/>
            <rFont val="宋体"/>
            <charset val="134"/>
          </rPr>
          <t>含脱盐水用电</t>
        </r>
      </text>
    </comment>
    <comment ref="C45" authorId="1" shapeId="0" xr:uid="{00000000-0006-0000-0400-000002000000}">
      <text>
        <r>
          <rPr>
            <b/>
            <sz val="9"/>
            <rFont val="宋体"/>
            <charset val="134"/>
          </rPr>
          <t>注</t>
        </r>
        <r>
          <rPr>
            <b/>
            <sz val="9"/>
            <rFont val="Tahoma"/>
            <family val="2"/>
          </rPr>
          <t>:1</t>
        </r>
        <r>
          <rPr>
            <b/>
            <sz val="9"/>
            <rFont val="宋体"/>
            <charset val="134"/>
          </rPr>
          <t>吨污水产沼气</t>
        </r>
        <r>
          <rPr>
            <sz val="9"/>
            <rFont val="Tahoma"/>
            <family val="2"/>
          </rPr>
          <t xml:space="preserve">
</t>
        </r>
      </text>
    </comment>
    <comment ref="C56" authorId="2" shapeId="0" xr:uid="{00000000-0006-0000-0400-000003000000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charset val="134"/>
          </rPr>
          <t>脱盐水消耗新鲜水量按产水率</t>
        </r>
        <r>
          <rPr>
            <sz val="9"/>
            <rFont val="Tahoma"/>
            <family val="2"/>
          </rPr>
          <t>75%</t>
        </r>
        <r>
          <rPr>
            <sz val="9"/>
            <rFont val="宋体"/>
            <charset val="134"/>
          </rPr>
          <t>预计</t>
        </r>
      </text>
    </comment>
  </commentList>
</comments>
</file>

<file path=xl/sharedStrings.xml><?xml version="1.0" encoding="utf-8"?>
<sst xmlns="http://schemas.openxmlformats.org/spreadsheetml/2006/main" count="4305" uniqueCount="251">
  <si>
    <t>生产技术部果糖年度生产计划(2025年)</t>
  </si>
  <si>
    <t>日  期：2024年9月10日</t>
  </si>
  <si>
    <t>项　　目</t>
  </si>
  <si>
    <t>单位</t>
  </si>
  <si>
    <t>指标</t>
  </si>
  <si>
    <t>2025年预算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</si>
  <si>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</si>
  <si>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</si>
  <si>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</si>
  <si>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</si>
  <si>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</si>
  <si>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</si>
  <si>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</si>
  <si>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</si>
  <si>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</si>
  <si>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</si>
  <si>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</si>
  <si>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</si>
  <si>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</si>
  <si>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一、工时计划</t>
  </si>
  <si>
    <t>日历时数</t>
  </si>
  <si>
    <t>h</t>
  </si>
  <si>
    <t>计划工时</t>
  </si>
  <si>
    <t>天</t>
  </si>
  <si>
    <t>停车时数</t>
  </si>
  <si>
    <t>计划停车</t>
  </si>
  <si>
    <t>非计划停车</t>
  </si>
  <si>
    <t>外部原因停车</t>
  </si>
  <si>
    <t>二、绝干收率</t>
  </si>
  <si>
    <t>果糖</t>
  </si>
  <si>
    <t>%</t>
  </si>
  <si>
    <t>三、生产负荷计划</t>
  </si>
  <si>
    <t>果糖装置</t>
  </si>
  <si>
    <t>？？</t>
  </si>
  <si>
    <t>四、产品产量</t>
  </si>
  <si>
    <t>总销量</t>
  </si>
  <si>
    <t>果糖F42(71%)</t>
  </si>
  <si>
    <t>t</t>
  </si>
  <si>
    <t>果糖产量</t>
  </si>
  <si>
    <t>可乐标准</t>
  </si>
  <si>
    <t>比重</t>
  </si>
  <si>
    <t>国标</t>
  </si>
  <si>
    <t>果糖F42折绝干</t>
  </si>
  <si>
    <t>总产量</t>
  </si>
  <si>
    <t>果糖F55(77%)</t>
  </si>
  <si>
    <t>果糖F60(73.5%)</t>
  </si>
  <si>
    <t>果糖90(77%)</t>
  </si>
  <si>
    <t>果糖F55折绝干</t>
  </si>
  <si>
    <t>绝干果糖合计</t>
  </si>
  <si>
    <t>五、辅助材料消耗计划</t>
  </si>
  <si>
    <t>商品单耗</t>
  </si>
  <si>
    <t>2020年预算</t>
  </si>
  <si>
    <t>淀粉(绝干)</t>
  </si>
  <si>
    <t>单耗</t>
  </si>
  <si>
    <t>t/t</t>
  </si>
  <si>
    <t>盐酸(折百)</t>
  </si>
  <si>
    <t>kg</t>
  </si>
  <si>
    <t>kg/t</t>
  </si>
  <si>
    <t>氢氧化钠(折百)</t>
  </si>
  <si>
    <t>硅藻土</t>
  </si>
  <si>
    <t>活性炭</t>
  </si>
  <si>
    <t>α耐高温淀粉酶</t>
  </si>
  <si>
    <t>复合糖化酶</t>
  </si>
  <si>
    <t>异构酶</t>
  </si>
  <si>
    <t>硫酸镁（食品级）</t>
  </si>
  <si>
    <t>焦亚硫酸钠（食品级）</t>
  </si>
  <si>
    <t>六、能源动力消耗计划</t>
  </si>
  <si>
    <t>水</t>
  </si>
  <si>
    <t>电</t>
  </si>
  <si>
    <t>万Kw.h</t>
  </si>
  <si>
    <t>Kw.h/t</t>
  </si>
  <si>
    <t>蒸汽</t>
  </si>
  <si>
    <t>天然气</t>
  </si>
  <si>
    <t>M3</t>
  </si>
  <si>
    <t>M3/t</t>
  </si>
  <si>
    <t>七、污水排放计划</t>
  </si>
  <si>
    <t>排水总量</t>
  </si>
  <si>
    <t>m3</t>
  </si>
  <si>
    <t>COD总量</t>
  </si>
  <si>
    <t>COD浓度</t>
  </si>
  <si>
    <t>mg/l</t>
  </si>
  <si>
    <t>SS总量</t>
  </si>
  <si>
    <t>SS浓度</t>
  </si>
  <si>
    <t>八、包装形式</t>
  </si>
  <si>
    <t>暂未更新</t>
  </si>
  <si>
    <t>果糖F42</t>
  </si>
  <si>
    <t>吨箱</t>
  </si>
  <si>
    <t>槽车</t>
  </si>
  <si>
    <t>液袋</t>
  </si>
  <si>
    <t>果糖F55</t>
  </si>
  <si>
    <t>主管副总：</t>
  </si>
  <si>
    <t>部门经理：</t>
  </si>
  <si>
    <t>编制：</t>
  </si>
  <si>
    <t>注：表格中绿色部分为自动计算，原则上不允许修改，如需修改请及时与财务部预算处相关预算员沟通。</t>
  </si>
  <si>
    <t>葡萄糖</t>
  </si>
  <si>
    <t>麦芽糖</t>
  </si>
  <si>
    <t>总果糖产量</t>
  </si>
  <si>
    <t>一线产量</t>
  </si>
  <si>
    <t>二线产量</t>
  </si>
  <si>
    <t>日历天数</t>
  </si>
  <si>
    <t>生产技术部麦芽糖年度生产计划(2025年)</t>
  </si>
  <si>
    <t>葡萄糖(60%)</t>
  </si>
  <si>
    <t>安琪标准</t>
  </si>
  <si>
    <t>葡萄糖折绝干</t>
  </si>
  <si>
    <t>麦芽糖75%</t>
  </si>
  <si>
    <t>麦芽糖装置</t>
  </si>
  <si>
    <t>麦芽糖(75%)</t>
  </si>
  <si>
    <t>雪花标准</t>
  </si>
  <si>
    <t>麦芽糖折绝干</t>
  </si>
  <si>
    <t>混配糖</t>
  </si>
  <si>
    <t>绝干糖浆合计</t>
  </si>
  <si>
    <t>β-淀粉酶</t>
  </si>
  <si>
    <t>生产技术部锅炉工段生产计划(2025年)</t>
  </si>
  <si>
    <t>项  目</t>
  </si>
  <si>
    <t>停车</t>
  </si>
  <si>
    <t>1、6吨锅炉</t>
  </si>
  <si>
    <t>2、15吨锅炉</t>
  </si>
  <si>
    <t>二、蒸汽产量</t>
  </si>
  <si>
    <t>自产比例</t>
  </si>
  <si>
    <t>蒸汽产量</t>
  </si>
  <si>
    <t>三、消耗指标</t>
  </si>
  <si>
    <t>脱盐水</t>
  </si>
  <si>
    <t xml:space="preserve">  单耗</t>
  </si>
  <si>
    <t>万kw.h</t>
  </si>
  <si>
    <t>kw.h/t</t>
  </si>
  <si>
    <t>m3/t</t>
  </si>
  <si>
    <t>生产技术部污水处理工段生产计划(2025年)</t>
  </si>
  <si>
    <t>锅炉工段生产计划</t>
  </si>
  <si>
    <t>一、辅助材料消耗计划</t>
  </si>
  <si>
    <t>1、污水</t>
  </si>
  <si>
    <t>液碱(折百)</t>
  </si>
  <si>
    <t>KG</t>
  </si>
  <si>
    <t>KG/t</t>
  </si>
  <si>
    <t>聚丙烯酰胺</t>
  </si>
  <si>
    <t>阳离子</t>
  </si>
  <si>
    <t>氢氧化钠固体</t>
  </si>
  <si>
    <t>碳酸氢钠</t>
  </si>
  <si>
    <t>聚合硫酸铁</t>
  </si>
  <si>
    <t>2、脱盐水</t>
  </si>
  <si>
    <t>阻垢剂</t>
  </si>
  <si>
    <t>杀菌剂</t>
  </si>
  <si>
    <t>3、循环水</t>
  </si>
  <si>
    <t>型号</t>
  </si>
  <si>
    <t>氧化杀菌剂</t>
  </si>
  <si>
    <t>缓蚀阻垢剂</t>
  </si>
  <si>
    <t>11-615</t>
  </si>
  <si>
    <t>阻垢缓蚀剂</t>
  </si>
  <si>
    <t>非氧化杀菌剂</t>
  </si>
  <si>
    <t>剥离分散剂</t>
  </si>
  <si>
    <t>4、除磷药剂</t>
  </si>
  <si>
    <t>阴离子</t>
  </si>
  <si>
    <t>除磷剂</t>
  </si>
  <si>
    <t>二、能源消耗</t>
  </si>
  <si>
    <t>污水用水</t>
  </si>
  <si>
    <t>污水用电</t>
  </si>
  <si>
    <t>污水用汽</t>
  </si>
  <si>
    <t>循环水用水</t>
  </si>
  <si>
    <t>t/d</t>
  </si>
  <si>
    <t>循环水用电</t>
  </si>
  <si>
    <t>kw.h/d</t>
  </si>
  <si>
    <t>脱盐水耗新鲜水</t>
  </si>
  <si>
    <t>三、沼气掺烧</t>
  </si>
  <si>
    <t>沼气产量</t>
  </si>
  <si>
    <t>沼气掺烧</t>
  </si>
  <si>
    <t>其他用沼气</t>
  </si>
  <si>
    <t>四、污水排放</t>
  </si>
  <si>
    <t>果糖排水</t>
  </si>
  <si>
    <t>葡萄糖排水</t>
  </si>
  <si>
    <t>麦芽糖排水</t>
  </si>
  <si>
    <t>其他排水</t>
  </si>
  <si>
    <t>总排水量</t>
  </si>
  <si>
    <t>五、脱盐水</t>
  </si>
  <si>
    <t>脱盐水产量</t>
  </si>
  <si>
    <t>车间向锅炉供脱盐水量</t>
  </si>
  <si>
    <t>备注</t>
  </si>
  <si>
    <t>生产运行天数</t>
  </si>
  <si>
    <t>d</t>
  </si>
  <si>
    <t>能源消耗计划(2025年)</t>
  </si>
  <si>
    <t>项   目</t>
  </si>
  <si>
    <t>全年</t>
  </si>
  <si>
    <t>性质</t>
  </si>
  <si>
    <t>果糖用汽量</t>
  </si>
  <si>
    <t>成本</t>
  </si>
  <si>
    <t>葡萄糖用汽量</t>
  </si>
  <si>
    <t>麦芽糖用汽量</t>
  </si>
  <si>
    <t>污水用汽量</t>
  </si>
  <si>
    <t>污水</t>
  </si>
  <si>
    <t>用汽合计</t>
  </si>
  <si>
    <t>果糖耗气量</t>
  </si>
  <si>
    <t>立方米</t>
  </si>
  <si>
    <t>炭炉用气量</t>
  </si>
  <si>
    <t>溴化锂生产用气</t>
  </si>
  <si>
    <t>未考虑生产用沼气</t>
  </si>
  <si>
    <t>葡萄糖用气量</t>
  </si>
  <si>
    <t>麦芽糖耗气量</t>
  </si>
  <si>
    <t>锅炉用气量</t>
  </si>
  <si>
    <t>锅炉</t>
  </si>
  <si>
    <t>生活用气量</t>
  </si>
  <si>
    <t>食堂用气量</t>
  </si>
  <si>
    <t>管理</t>
  </si>
  <si>
    <t>溴化锂空调用气</t>
  </si>
  <si>
    <t>管理-人工</t>
  </si>
  <si>
    <t>1吨沼气=0.77吨天然气</t>
  </si>
  <si>
    <t>用气合计</t>
  </si>
  <si>
    <t>管理-费用</t>
  </si>
  <si>
    <t>果糖用电量</t>
  </si>
  <si>
    <t>葡萄糖用电量</t>
  </si>
  <si>
    <t>麦芽糖用电量</t>
  </si>
  <si>
    <t>污水用电量</t>
  </si>
  <si>
    <t>锅炉用电量</t>
  </si>
  <si>
    <t>生活用电量</t>
  </si>
  <si>
    <t>宿舍及食堂用电</t>
  </si>
  <si>
    <t>办公楼及其他用电</t>
  </si>
  <si>
    <t>用电合计</t>
  </si>
  <si>
    <t>果糖装置用水量</t>
  </si>
  <si>
    <t>葡萄糖用水量</t>
  </si>
  <si>
    <t>麦芽糖用水量</t>
  </si>
  <si>
    <t xml:space="preserve">     锅炉用水</t>
  </si>
  <si>
    <t>制造</t>
  </si>
  <si>
    <t>办公楼用水</t>
  </si>
  <si>
    <t>宿舍及食堂用水</t>
  </si>
  <si>
    <t>办公楼及其他用水</t>
  </si>
  <si>
    <t xml:space="preserve">   用水合计</t>
  </si>
  <si>
    <t>每小时</t>
  </si>
  <si>
    <t>2013年新鲜水平均值</t>
  </si>
  <si>
    <t>14年1-8月份平均值</t>
  </si>
  <si>
    <t>综合平均</t>
  </si>
  <si>
    <t>宿舍平均用电值</t>
  </si>
  <si>
    <t>办公楼用电平均值</t>
  </si>
  <si>
    <t>溴化锂小时流量</t>
  </si>
  <si>
    <t>炭炉小时流量</t>
  </si>
  <si>
    <t>溴化锂空调用气调整前</t>
  </si>
  <si>
    <t>生产技术部果糖一线年度生产计划(2025年)</t>
  </si>
  <si>
    <t>？？算法确认</t>
  </si>
  <si>
    <t>2018年预算</t>
  </si>
  <si>
    <t>生产技术部果糖二线年度生产计划(2025年)</t>
  </si>
  <si>
    <t>6KG桶</t>
  </si>
  <si>
    <t>白砂糖</t>
  </si>
  <si>
    <t>冰糖</t>
  </si>
  <si>
    <t>红糖</t>
  </si>
  <si>
    <t>柠檬酸</t>
  </si>
  <si>
    <t>柠檬酸钠</t>
  </si>
  <si>
    <t>产量</t>
  </si>
  <si>
    <t>果糖F60</t>
  </si>
  <si>
    <t>果糖F90</t>
  </si>
  <si>
    <t>葡萄糖60%</t>
  </si>
  <si>
    <t>生产量</t>
  </si>
  <si>
    <t>果糖F60(77%)</t>
  </si>
  <si>
    <t>玉米糖浆</t>
    <phoneticPr fontId="3" type="noConversion"/>
  </si>
  <si>
    <t>玉米糖浆</t>
    <phoneticPr fontId="39" type="noConversion"/>
  </si>
  <si>
    <t>混配糖浆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</si>
</sst>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76" formatCode="_(* #,##0.00_);_(* \(#,##0.00\);_(* &quot;-&quot;??_);_(@_)"/>
    <numFmt numFmtId="177" formatCode="#,##0_);[Red]\(#,##0\)"/>
    <numFmt numFmtId="178" formatCode="#,##0.000_);[Red]\(#,##0.000\)"/>
    <numFmt numFmtId="179" formatCode="#,##0.00_);[Red]\(#,##0.00\)"/>
    <numFmt numFmtId="180" formatCode="_ * #,##0_ ;_ * \-#,##0_ ;_ * &quot;-&quot;??_ ;_ @_ "/>
    <numFmt numFmtId="181" formatCode="_ * #,##0.000000_ ;_ * \-#,##0.000000_ ;_ * &quot;-&quot;??_ ;_ @_ "/>
    <numFmt numFmtId="182" formatCode="#,##0.0000_);[Red]\(#,##0.0000\)"/>
    <numFmt numFmtId="183" formatCode="_ * #,##0.000_ ;_ * \-#,##0.000_ ;_ * &quot;-&quot;??_ ;_ @_ "/>
    <numFmt numFmtId="184" formatCode="#,##0.00000_);[Red]\(#,##0.00000\)"/>
    <numFmt numFmtId="185" formatCode="_ * #,##0.0000_ ;_ * \-#,##0.0000_ ;_ * &quot;-&quot;??_ ;_ @_ "/>
    <numFmt numFmtId="186" formatCode="0.00_);[Red]\(0.00\)"/>
    <numFmt numFmtId="187" formatCode="_ * #,##0.0_ ;_ * \-#,##0.0_ ;_ * &quot;-&quot;??_ ;_ @_ "/>
    <numFmt numFmtId="188" formatCode="0.0_ "/>
    <numFmt numFmtId="189" formatCode="0.0"/>
  </numFmts>
  <fonts count="40" x14ac:knownFonts="1">
    <font>
      <sz val="12"/>
      <name val="宋体"/>
      <charset val="134"/>
    </font>
    <font>
      <b/>
      <sz val="10"/>
      <color indexed="8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b/>
      <sz val="9"/>
      <color indexed="10"/>
      <name val="宋体"/>
      <charset val="134"/>
    </font>
    <font>
      <b/>
      <sz val="16"/>
      <color indexed="61"/>
      <name val="黑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b/>
      <sz val="10"/>
      <color indexed="10"/>
      <name val="宋体"/>
      <charset val="134"/>
    </font>
    <font>
      <b/>
      <sz val="10"/>
      <color rgb="FFFF0000"/>
      <name val="宋体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sz val="8"/>
      <color indexed="8"/>
      <name val="宋体"/>
      <charset val="134"/>
    </font>
    <font>
      <sz val="8"/>
      <name val="宋体"/>
      <charset val="134"/>
    </font>
    <font>
      <sz val="8"/>
      <color rgb="FFFF0000"/>
      <name val="宋体"/>
      <charset val="134"/>
    </font>
    <font>
      <b/>
      <sz val="8"/>
      <name val="宋体"/>
      <charset val="134"/>
    </font>
    <font>
      <sz val="8"/>
      <color theme="1"/>
      <name val="宋体"/>
      <charset val="134"/>
    </font>
    <font>
      <b/>
      <sz val="8"/>
      <color indexed="10"/>
      <name val="宋体"/>
      <charset val="134"/>
    </font>
    <font>
      <sz val="8"/>
      <color theme="1" tint="0.14996795556505021"/>
      <name val="宋体"/>
      <charset val="134"/>
    </font>
    <font>
      <b/>
      <sz val="8"/>
      <color indexed="8"/>
      <name val="宋体"/>
      <charset val="134"/>
    </font>
    <font>
      <b/>
      <sz val="10"/>
      <color indexed="61"/>
      <name val="宋体"/>
      <charset val="134"/>
    </font>
    <font>
      <b/>
      <sz val="14"/>
      <color indexed="61"/>
      <name val="宋体"/>
      <charset val="134"/>
    </font>
    <font>
      <b/>
      <sz val="9"/>
      <color indexed="8"/>
      <name val="宋体"/>
      <charset val="134"/>
    </font>
    <font>
      <sz val="10"/>
      <name val="宋体"/>
      <charset val="134"/>
    </font>
    <font>
      <sz val="12"/>
      <color rgb="FFFF0000"/>
      <name val="宋体"/>
      <charset val="134"/>
    </font>
    <font>
      <sz val="10"/>
      <color rgb="FFFF0000"/>
      <name val="宋体"/>
      <charset val="134"/>
    </font>
    <font>
      <sz val="9"/>
      <color indexed="10"/>
      <name val="宋体"/>
      <charset val="134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1"/>
      <color indexed="8"/>
      <name val="宋体"/>
      <charset val="134"/>
    </font>
    <font>
      <u/>
      <sz val="12"/>
      <color indexed="12"/>
      <name val="宋体"/>
      <charset val="134"/>
    </font>
    <font>
      <sz val="10"/>
      <name val="MS Sans Serif"/>
      <family val="2"/>
    </font>
    <font>
      <b/>
      <sz val="9"/>
      <name val="Tahoma"/>
      <family val="2"/>
    </font>
    <font>
      <sz val="9"/>
      <name val="Tahoma"/>
      <family val="2"/>
    </font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45">
    <xf numFmtId="0" fontId="0" fillId="0" borderId="0">
      <alignment vertical="center"/>
    </xf>
    <xf numFmtId="43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28" fillId="0" borderId="0" applyNumberFormat="0" applyFont="0" applyFill="0" applyBorder="0" applyAlignment="0" applyProtection="0"/>
    <xf numFmtId="0" fontId="29" fillId="0" borderId="0">
      <alignment vertical="top"/>
    </xf>
    <xf numFmtId="0" fontId="28" fillId="0" borderId="0" applyNumberFormat="0" applyFon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30" fillId="0" borderId="0"/>
    <xf numFmtId="0" fontId="29" fillId="0" borderId="0">
      <alignment vertical="top"/>
    </xf>
    <xf numFmtId="0" fontId="28" fillId="0" borderId="0" applyNumberFormat="0" applyFon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28" fillId="0" borderId="0" applyNumberFormat="0" applyFont="0" applyFill="0" applyBorder="0" applyAlignment="0" applyProtection="0"/>
    <xf numFmtId="0" fontId="29" fillId="0" borderId="0">
      <alignment vertical="top"/>
    </xf>
    <xf numFmtId="0" fontId="28" fillId="0" borderId="0" applyNumberFormat="0" applyFont="0" applyFill="0" applyBorder="0" applyAlignment="0" applyProtection="0"/>
    <xf numFmtId="0" fontId="28" fillId="0" borderId="0" applyNumberFormat="0" applyFon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29" fillId="0" borderId="0">
      <alignment vertical="top"/>
    </xf>
    <xf numFmtId="0" fontId="29" fillId="0" borderId="0">
      <alignment vertical="top"/>
    </xf>
    <xf numFmtId="0" fontId="29" fillId="0" borderId="0">
      <alignment vertical="top"/>
    </xf>
    <xf numFmtId="0" fontId="28" fillId="0" borderId="0" applyNumberFormat="0" applyFont="0" applyFill="0" applyBorder="0" applyAlignment="0" applyProtection="0"/>
    <xf numFmtId="0" fontId="28" fillId="0" borderId="0" applyNumberFormat="0" applyFon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28" fillId="0" borderId="0" applyNumberFormat="0" applyFont="0" applyFill="0" applyBorder="0" applyAlignment="0" applyProtection="0"/>
    <xf numFmtId="0" fontId="28" fillId="0" borderId="0" applyNumberFormat="0" applyFont="0" applyFill="0" applyBorder="0" applyAlignment="0" applyProtection="0"/>
    <xf numFmtId="176" fontId="31" fillId="0" borderId="0" applyFont="0" applyFill="0" applyBorder="0" applyAlignment="0" applyProtection="0"/>
    <xf numFmtId="0" fontId="37" fillId="0" borderId="0">
      <alignment vertical="center"/>
    </xf>
    <xf numFmtId="0" fontId="7" fillId="13" borderId="12" applyNumberFormat="0" applyProtection="0">
      <alignment horizontal="left" vertical="center" indent="1"/>
    </xf>
    <xf numFmtId="0" fontId="24" fillId="3" borderId="12" applyNumberFormat="0" applyProtection="0">
      <alignment horizontal="left" vertical="center" indent="2"/>
    </xf>
    <xf numFmtId="9" fontId="37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7" fillId="0" borderId="0"/>
    <xf numFmtId="0" fontId="28" fillId="0" borderId="0" applyNumberFormat="0" applyFont="0" applyFill="0" applyBorder="0" applyAlignment="0" applyProtection="0"/>
    <xf numFmtId="0" fontId="28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38" fontId="34" fillId="0" borderId="0" applyFont="0" applyFill="0" applyBorder="0" applyAlignment="0" applyProtection="0"/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/>
    <xf numFmtId="0" fontId="28" fillId="0" borderId="0" applyNumberFormat="0" applyFont="0" applyFill="0" applyBorder="0" applyAlignment="0" applyProtection="0"/>
    <xf numFmtId="0" fontId="34" fillId="0" borderId="0"/>
  </cellStyleXfs>
  <cellXfs count="260">
    <xf numFmtId="0" fontId="0" fillId="0" borderId="0" xfId="0">
      <alignment vertical="center"/>
    </xf>
    <xf numFmtId="43" fontId="0" fillId="0" borderId="0" xfId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>
      <alignment vertical="center"/>
    </xf>
    <xf numFmtId="43" fontId="0" fillId="0" borderId="1" xfId="0" applyNumberFormat="1" applyBorder="1">
      <alignment vertical="center"/>
    </xf>
    <xf numFmtId="177" fontId="1" fillId="0" borderId="0" xfId="37" applyNumberFormat="1" applyFont="1" applyFill="1" applyBorder="1" applyAlignment="1" applyProtection="1">
      <alignment horizontal="center" vertical="center"/>
      <protection hidden="1"/>
    </xf>
    <xf numFmtId="177" fontId="2" fillId="0" borderId="0" xfId="37" applyNumberFormat="1" applyFont="1" applyFill="1" applyBorder="1" applyAlignment="1" applyProtection="1">
      <alignment horizontal="center" vertical="center"/>
      <protection hidden="1"/>
    </xf>
    <xf numFmtId="177" fontId="3" fillId="2" borderId="0" xfId="37" applyNumberFormat="1" applyFont="1" applyFill="1" applyBorder="1" applyAlignment="1" applyProtection="1">
      <alignment horizontal="center" vertical="center"/>
      <protection hidden="1"/>
    </xf>
    <xf numFmtId="43" fontId="4" fillId="0" borderId="0" xfId="1" applyFont="1" applyFill="1" applyBorder="1" applyAlignment="1" applyProtection="1">
      <alignment horizontal="center" vertical="center"/>
      <protection hidden="1"/>
    </xf>
    <xf numFmtId="0" fontId="37" fillId="0" borderId="0" xfId="34">
      <alignment vertical="center"/>
    </xf>
    <xf numFmtId="177" fontId="5" fillId="0" borderId="0" xfId="37" applyNumberFormat="1" applyFont="1" applyFill="1" applyBorder="1" applyAlignment="1" applyProtection="1">
      <alignment horizontal="center" vertical="center"/>
      <protection hidden="1"/>
    </xf>
    <xf numFmtId="177" fontId="3" fillId="0" borderId="0" xfId="37" applyNumberFormat="1" applyFont="1" applyFill="1" applyBorder="1" applyAlignment="1" applyProtection="1">
      <alignment vertical="center"/>
      <protection hidden="1"/>
    </xf>
    <xf numFmtId="177" fontId="3" fillId="0" borderId="0" xfId="37" applyNumberFormat="1" applyFont="1" applyFill="1" applyBorder="1" applyAlignment="1" applyProtection="1">
      <alignment horizontal="center" vertical="center"/>
      <protection hidden="1"/>
    </xf>
    <xf numFmtId="177" fontId="7" fillId="0" borderId="0" xfId="37" applyNumberFormat="1" applyFont="1" applyFill="1" applyBorder="1" applyAlignment="1" applyProtection="1">
      <alignment horizontal="left" vertical="center"/>
      <protection hidden="1"/>
    </xf>
    <xf numFmtId="177" fontId="7" fillId="0" borderId="0" xfId="37" applyNumberFormat="1" applyFont="1" applyFill="1" applyBorder="1" applyAlignment="1" applyProtection="1">
      <alignment horizontal="center" vertical="center"/>
      <protection hidden="1"/>
    </xf>
    <xf numFmtId="9" fontId="7" fillId="0" borderId="0" xfId="2" applyFont="1" applyFill="1" applyBorder="1" applyAlignment="1" applyProtection="1">
      <alignment horizontal="center" vertical="center"/>
      <protection hidden="1"/>
    </xf>
    <xf numFmtId="177" fontId="3" fillId="3" borderId="1" xfId="1" applyNumberFormat="1" applyFont="1" applyFill="1" applyBorder="1" applyAlignment="1" applyProtection="1">
      <alignment horizontal="center" vertical="center"/>
      <protection hidden="1"/>
    </xf>
    <xf numFmtId="177" fontId="8" fillId="3" borderId="0" xfId="1" applyNumberFormat="1" applyFont="1" applyFill="1" applyBorder="1" applyAlignment="1" applyProtection="1">
      <alignment vertical="center"/>
      <protection hidden="1"/>
    </xf>
    <xf numFmtId="177" fontId="2" fillId="3" borderId="0" xfId="1" applyNumberFormat="1" applyFont="1" applyFill="1" applyBorder="1" applyAlignment="1" applyProtection="1">
      <alignment horizontal="center" vertical="center"/>
      <protection hidden="1"/>
    </xf>
    <xf numFmtId="177" fontId="2" fillId="4" borderId="0" xfId="1" applyNumberFormat="1" applyFont="1" applyFill="1" applyBorder="1" applyAlignment="1" applyProtection="1">
      <alignment horizontal="center" vertical="center"/>
      <protection hidden="1"/>
    </xf>
    <xf numFmtId="177" fontId="3" fillId="4" borderId="0" xfId="1" applyNumberFormat="1" applyFont="1" applyFill="1" applyBorder="1" applyAlignment="1" applyProtection="1">
      <alignment horizontal="center" vertical="center"/>
      <protection hidden="1"/>
    </xf>
    <xf numFmtId="177" fontId="3" fillId="3" borderId="1" xfId="1" applyNumberFormat="1" applyFont="1" applyFill="1" applyBorder="1" applyAlignment="1" applyProtection="1">
      <alignment horizontal="left" vertical="center"/>
      <protection hidden="1"/>
    </xf>
    <xf numFmtId="177" fontId="2" fillId="3" borderId="1" xfId="1" applyNumberFormat="1" applyFont="1" applyFill="1" applyBorder="1" applyAlignment="1" applyProtection="1">
      <alignment horizontal="center" vertical="center"/>
      <protection hidden="1"/>
    </xf>
    <xf numFmtId="177" fontId="2" fillId="0" borderId="1" xfId="1" applyNumberFormat="1" applyFont="1" applyFill="1" applyBorder="1" applyAlignment="1" applyProtection="1">
      <alignment horizontal="center" vertical="center"/>
      <protection hidden="1"/>
    </xf>
    <xf numFmtId="177" fontId="3" fillId="0" borderId="1" xfId="1" applyNumberFormat="1" applyFont="1" applyFill="1" applyBorder="1" applyAlignment="1" applyProtection="1">
      <alignment horizontal="right" vertical="center"/>
      <protection hidden="1"/>
    </xf>
    <xf numFmtId="177" fontId="3" fillId="5" borderId="1" xfId="1" applyNumberFormat="1" applyFont="1" applyFill="1" applyBorder="1" applyAlignment="1" applyProtection="1">
      <alignment horizontal="right" vertical="center"/>
      <protection hidden="1"/>
    </xf>
    <xf numFmtId="177" fontId="3" fillId="3" borderId="1" xfId="1" applyNumberFormat="1" applyFont="1" applyFill="1" applyBorder="1" applyAlignment="1" applyProtection="1">
      <alignment horizontal="left" vertical="center" indent="1"/>
      <protection hidden="1"/>
    </xf>
    <xf numFmtId="10" fontId="3" fillId="5" borderId="1" xfId="2" applyNumberFormat="1" applyFont="1" applyFill="1" applyBorder="1" applyAlignment="1" applyProtection="1">
      <alignment horizontal="right" vertical="center"/>
      <protection hidden="1"/>
    </xf>
    <xf numFmtId="177" fontId="3" fillId="3" borderId="1" xfId="1" applyNumberFormat="1" applyFont="1" applyFill="1" applyBorder="1" applyAlignment="1" applyProtection="1">
      <alignment vertical="center"/>
      <protection hidden="1"/>
    </xf>
    <xf numFmtId="177" fontId="3" fillId="4" borderId="0" xfId="1" applyNumberFormat="1" applyFont="1" applyFill="1" applyBorder="1" applyAlignment="1" applyProtection="1">
      <alignment horizontal="right" vertical="center"/>
      <protection hidden="1"/>
    </xf>
    <xf numFmtId="177" fontId="3" fillId="6" borderId="1" xfId="1" applyNumberFormat="1" applyFont="1" applyFill="1" applyBorder="1" applyAlignment="1" applyProtection="1">
      <alignment horizontal="right" vertical="center"/>
      <protection hidden="1"/>
    </xf>
    <xf numFmtId="177" fontId="3" fillId="3" borderId="1" xfId="1" applyNumberFormat="1" applyFont="1" applyFill="1" applyBorder="1" applyAlignment="1" applyProtection="1">
      <alignment horizontal="left" vertical="center" indent="2"/>
      <protection hidden="1"/>
    </xf>
    <xf numFmtId="9" fontId="3" fillId="5" borderId="1" xfId="2" applyFont="1" applyFill="1" applyBorder="1" applyAlignment="1" applyProtection="1">
      <alignment horizontal="right" vertical="center"/>
      <protection hidden="1"/>
    </xf>
    <xf numFmtId="177" fontId="3" fillId="3" borderId="1" xfId="37" applyNumberFormat="1" applyFont="1" applyFill="1" applyBorder="1" applyAlignment="1" applyProtection="1">
      <alignment horizontal="center" vertical="center"/>
      <protection hidden="1"/>
    </xf>
    <xf numFmtId="177" fontId="3" fillId="0" borderId="1" xfId="37" applyNumberFormat="1" applyFont="1" applyFill="1" applyBorder="1" applyAlignment="1" applyProtection="1">
      <alignment horizontal="center" vertical="center"/>
      <protection hidden="1"/>
    </xf>
    <xf numFmtId="177" fontId="8" fillId="3" borderId="1" xfId="37" applyNumberFormat="1" applyFont="1" applyFill="1" applyBorder="1" applyAlignment="1" applyProtection="1">
      <alignment vertical="center"/>
      <protection hidden="1"/>
    </xf>
    <xf numFmtId="177" fontId="8" fillId="3" borderId="1" xfId="37" applyNumberFormat="1" applyFont="1" applyFill="1" applyBorder="1" applyAlignment="1" applyProtection="1">
      <alignment horizontal="center" vertical="center"/>
      <protection hidden="1"/>
    </xf>
    <xf numFmtId="177" fontId="8" fillId="0" borderId="1" xfId="37" applyNumberFormat="1" applyFont="1" applyFill="1" applyBorder="1" applyAlignment="1" applyProtection="1">
      <alignment horizontal="center" vertical="center"/>
      <protection hidden="1"/>
    </xf>
    <xf numFmtId="177" fontId="8" fillId="5" borderId="1" xfId="37" applyNumberFormat="1" applyFont="1" applyFill="1" applyBorder="1" applyAlignment="1" applyProtection="1">
      <alignment horizontal="right" vertical="center"/>
      <protection hidden="1"/>
    </xf>
    <xf numFmtId="177" fontId="3" fillId="3" borderId="1" xfId="37" applyNumberFormat="1" applyFont="1" applyFill="1" applyBorder="1" applyAlignment="1" applyProtection="1">
      <alignment horizontal="left" vertical="center"/>
      <protection hidden="1"/>
    </xf>
    <xf numFmtId="177" fontId="3" fillId="5" borderId="1" xfId="37" applyNumberFormat="1" applyFont="1" applyFill="1" applyBorder="1" applyAlignment="1" applyProtection="1">
      <alignment horizontal="right" vertical="center"/>
      <protection hidden="1"/>
    </xf>
    <xf numFmtId="177" fontId="3" fillId="3" borderId="1" xfId="37" applyNumberFormat="1" applyFont="1" applyFill="1" applyBorder="1" applyAlignment="1" applyProtection="1">
      <alignment horizontal="left" vertical="center" indent="1"/>
      <protection hidden="1"/>
    </xf>
    <xf numFmtId="178" fontId="3" fillId="2" borderId="1" xfId="37" applyNumberFormat="1" applyFont="1" applyFill="1" applyBorder="1" applyAlignment="1" applyProtection="1">
      <alignment horizontal="right" vertical="center"/>
      <protection hidden="1"/>
    </xf>
    <xf numFmtId="177" fontId="3" fillId="3" borderId="1" xfId="37" applyNumberFormat="1" applyFont="1" applyFill="1" applyBorder="1" applyAlignment="1" applyProtection="1">
      <alignment vertical="center"/>
      <protection hidden="1"/>
    </xf>
    <xf numFmtId="178" fontId="3" fillId="0" borderId="1" xfId="37" applyNumberFormat="1" applyFont="1" applyFill="1" applyBorder="1" applyAlignment="1" applyProtection="1">
      <alignment horizontal="right" vertical="center"/>
      <protection hidden="1"/>
    </xf>
    <xf numFmtId="177" fontId="3" fillId="7" borderId="1" xfId="37" applyNumberFormat="1" applyFont="1" applyFill="1" applyBorder="1" applyAlignment="1" applyProtection="1">
      <alignment horizontal="center" vertical="center"/>
      <protection hidden="1"/>
    </xf>
    <xf numFmtId="179" fontId="3" fillId="0" borderId="1" xfId="37" applyNumberFormat="1" applyFont="1" applyFill="1" applyBorder="1" applyAlignment="1" applyProtection="1">
      <alignment horizontal="right" vertical="center"/>
      <protection hidden="1"/>
    </xf>
    <xf numFmtId="179" fontId="3" fillId="0" borderId="1" xfId="37" applyNumberFormat="1" applyFont="1" applyFill="1" applyBorder="1" applyAlignment="1" applyProtection="1">
      <alignment horizontal="center" vertical="center"/>
      <protection hidden="1"/>
    </xf>
    <xf numFmtId="177" fontId="3" fillId="2" borderId="1" xfId="37" applyNumberFormat="1" applyFont="1" applyFill="1" applyBorder="1" applyAlignment="1" applyProtection="1">
      <alignment horizontal="right" vertical="center"/>
      <protection hidden="1"/>
    </xf>
    <xf numFmtId="177" fontId="3" fillId="3" borderId="4" xfId="1" applyNumberFormat="1" applyFont="1" applyFill="1" applyBorder="1" applyAlignment="1" applyProtection="1">
      <alignment horizontal="center" vertical="center"/>
      <protection hidden="1"/>
    </xf>
    <xf numFmtId="177" fontId="3" fillId="8" borderId="1" xfId="37" applyNumberFormat="1" applyFont="1" applyFill="1" applyBorder="1" applyAlignment="1" applyProtection="1">
      <alignment horizontal="right" vertical="center"/>
      <protection hidden="1"/>
    </xf>
    <xf numFmtId="177" fontId="3" fillId="0" borderId="1" xfId="37" applyNumberFormat="1" applyFont="1" applyFill="1" applyBorder="1" applyAlignment="1" applyProtection="1">
      <alignment horizontal="right" vertical="center"/>
      <protection hidden="1"/>
    </xf>
    <xf numFmtId="177" fontId="7" fillId="0" borderId="0" xfId="37" applyNumberFormat="1" applyFont="1" applyFill="1" applyBorder="1" applyAlignment="1" applyProtection="1">
      <alignment horizontal="right" vertical="center"/>
      <protection hidden="1"/>
    </xf>
    <xf numFmtId="180" fontId="3" fillId="5" borderId="1" xfId="1" applyNumberFormat="1" applyFont="1" applyFill="1" applyBorder="1" applyAlignment="1" applyProtection="1">
      <alignment horizontal="right" vertical="center"/>
      <protection hidden="1"/>
    </xf>
    <xf numFmtId="178" fontId="3" fillId="5" borderId="1" xfId="37" applyNumberFormat="1" applyFont="1" applyFill="1" applyBorder="1" applyAlignment="1" applyProtection="1">
      <alignment horizontal="right" vertical="center"/>
      <protection hidden="1"/>
    </xf>
    <xf numFmtId="179" fontId="3" fillId="5" borderId="1" xfId="37" applyNumberFormat="1" applyFont="1" applyFill="1" applyBorder="1" applyAlignment="1" applyProtection="1">
      <alignment horizontal="right" vertical="center"/>
      <protection hidden="1"/>
    </xf>
    <xf numFmtId="177" fontId="9" fillId="0" borderId="0" xfId="37" applyNumberFormat="1" applyFont="1" applyFill="1" applyBorder="1" applyAlignment="1" applyProtection="1">
      <alignment horizontal="center" vertical="center"/>
      <protection hidden="1"/>
    </xf>
    <xf numFmtId="43" fontId="10" fillId="0" borderId="0" xfId="1" applyFont="1" applyFill="1" applyBorder="1" applyAlignment="1" applyProtection="1">
      <alignment horizontal="center" vertical="center"/>
      <protection hidden="1"/>
    </xf>
    <xf numFmtId="177" fontId="3" fillId="0" borderId="0" xfId="36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Fill="1" applyBorder="1" applyAlignment="1" applyProtection="1">
      <alignment horizontal="center" vertical="center"/>
      <protection hidden="1"/>
    </xf>
    <xf numFmtId="178" fontId="3" fillId="0" borderId="0" xfId="37" applyNumberFormat="1" applyFont="1" applyFill="1" applyBorder="1" applyAlignment="1" applyProtection="1">
      <alignment horizontal="center" vertical="center"/>
      <protection hidden="1"/>
    </xf>
    <xf numFmtId="179" fontId="5" fillId="0" borderId="0" xfId="1" applyNumberFormat="1" applyFont="1" applyFill="1" applyBorder="1" applyAlignment="1" applyProtection="1">
      <alignment horizontal="center" vertical="center"/>
      <protection hidden="1"/>
    </xf>
    <xf numFmtId="43" fontId="5" fillId="0" borderId="0" xfId="1" applyFont="1" applyFill="1" applyBorder="1" applyAlignment="1" applyProtection="1">
      <alignment horizontal="center" vertical="center"/>
      <protection hidden="1"/>
    </xf>
    <xf numFmtId="179" fontId="3" fillId="0" borderId="0" xfId="37" applyNumberFormat="1" applyFont="1" applyFill="1" applyBorder="1" applyAlignment="1" applyProtection="1">
      <alignment horizontal="center" vertical="center"/>
      <protection hidden="1"/>
    </xf>
    <xf numFmtId="43" fontId="4" fillId="0" borderId="0" xfId="1" applyFont="1" applyFill="1" applyBorder="1" applyAlignment="1" applyProtection="1">
      <alignment horizontal="left" vertical="center"/>
      <protection hidden="1"/>
    </xf>
    <xf numFmtId="177" fontId="3" fillId="0" borderId="5" xfId="37" applyNumberFormat="1" applyFont="1" applyFill="1" applyBorder="1" applyAlignment="1" applyProtection="1">
      <alignment horizontal="center" vertical="center"/>
      <protection hidden="1"/>
    </xf>
    <xf numFmtId="177" fontId="3" fillId="0" borderId="5" xfId="37" applyNumberFormat="1" applyFont="1" applyFill="1" applyBorder="1" applyAlignment="1" applyProtection="1">
      <alignment horizontal="right" vertical="center"/>
      <protection hidden="1"/>
    </xf>
    <xf numFmtId="177" fontId="3" fillId="3" borderId="1" xfId="37" applyNumberFormat="1" applyFont="1" applyFill="1" applyBorder="1" applyAlignment="1" applyProtection="1">
      <alignment horizontal="left" vertical="center" indent="2"/>
      <protection hidden="1"/>
    </xf>
    <xf numFmtId="177" fontId="11" fillId="0" borderId="0" xfId="37" applyNumberFormat="1" applyFont="1" applyFill="1" applyBorder="1" applyAlignment="1" applyProtection="1">
      <alignment horizontal="center" vertical="center"/>
      <protection hidden="1"/>
    </xf>
    <xf numFmtId="177" fontId="11" fillId="0" borderId="0" xfId="1" applyNumberFormat="1" applyFont="1" applyFill="1" applyBorder="1" applyAlignment="1" applyProtection="1">
      <alignment horizontal="center" vertical="center"/>
      <protection hidden="1"/>
    </xf>
    <xf numFmtId="177" fontId="11" fillId="0" borderId="0" xfId="2" applyNumberFormat="1" applyFont="1" applyFill="1" applyBorder="1" applyAlignment="1" applyProtection="1">
      <alignment horizontal="center" vertical="center"/>
      <protection hidden="1"/>
    </xf>
    <xf numFmtId="181" fontId="3" fillId="0" borderId="0" xfId="1" applyNumberFormat="1" applyFont="1" applyFill="1" applyBorder="1" applyAlignment="1" applyProtection="1">
      <alignment horizontal="center" vertical="center"/>
      <protection hidden="1"/>
    </xf>
    <xf numFmtId="177" fontId="3" fillId="0" borderId="6" xfId="37" applyNumberFormat="1" applyFont="1" applyFill="1" applyBorder="1" applyAlignment="1" applyProtection="1">
      <alignment horizontal="right" vertical="center"/>
      <protection hidden="1"/>
    </xf>
    <xf numFmtId="177" fontId="12" fillId="0" borderId="0" xfId="1" applyNumberFormat="1" applyFont="1" applyFill="1" applyBorder="1" applyAlignment="1" applyProtection="1">
      <alignment horizontal="center" vertical="center"/>
      <protection hidden="1"/>
    </xf>
    <xf numFmtId="177" fontId="3" fillId="0" borderId="0" xfId="1" applyNumberFormat="1" applyFont="1" applyFill="1" applyBorder="1" applyAlignment="1" applyProtection="1">
      <alignment horizontal="center" vertical="center"/>
      <protection hidden="1"/>
    </xf>
    <xf numFmtId="43" fontId="37" fillId="0" borderId="0" xfId="34" applyNumberFormat="1">
      <alignment vertical="center"/>
    </xf>
    <xf numFmtId="177" fontId="13" fillId="0" borderId="0" xfId="37" applyNumberFormat="1" applyFont="1" applyFill="1" applyBorder="1" applyAlignment="1" applyProtection="1">
      <alignment horizontal="center" vertical="center"/>
      <protection hidden="1"/>
    </xf>
    <xf numFmtId="177" fontId="14" fillId="0" borderId="0" xfId="37" applyNumberFormat="1" applyFont="1" applyFill="1" applyBorder="1" applyAlignment="1" applyProtection="1">
      <alignment horizontal="center" vertical="center"/>
      <protection hidden="1"/>
    </xf>
    <xf numFmtId="43" fontId="15" fillId="0" borderId="0" xfId="1" applyFont="1" applyFill="1" applyBorder="1" applyAlignment="1" applyProtection="1">
      <alignment horizontal="center" vertical="center"/>
      <protection hidden="1"/>
    </xf>
    <xf numFmtId="0" fontId="14" fillId="0" borderId="0" xfId="34" applyFont="1">
      <alignment vertical="center"/>
    </xf>
    <xf numFmtId="43" fontId="7" fillId="0" borderId="0" xfId="1" applyFont="1" applyFill="1" applyBorder="1" applyAlignment="1" applyProtection="1">
      <alignment horizontal="center" vertical="center"/>
      <protection hidden="1"/>
    </xf>
    <xf numFmtId="177" fontId="16" fillId="3" borderId="0" xfId="1" applyNumberFormat="1" applyFont="1" applyFill="1" applyBorder="1" applyAlignment="1" applyProtection="1">
      <alignment vertical="center"/>
      <protection hidden="1"/>
    </xf>
    <xf numFmtId="177" fontId="13" fillId="3" borderId="0" xfId="1" applyNumberFormat="1" applyFont="1" applyFill="1" applyBorder="1" applyAlignment="1" applyProtection="1">
      <alignment horizontal="center" vertical="center"/>
      <protection hidden="1"/>
    </xf>
    <xf numFmtId="177" fontId="13" fillId="4" borderId="0" xfId="1" applyNumberFormat="1" applyFont="1" applyFill="1" applyBorder="1" applyAlignment="1" applyProtection="1">
      <alignment horizontal="center" vertical="center"/>
      <protection hidden="1"/>
    </xf>
    <xf numFmtId="177" fontId="14" fillId="4" borderId="0" xfId="1" applyNumberFormat="1" applyFont="1" applyFill="1" applyBorder="1" applyAlignment="1" applyProtection="1">
      <alignment horizontal="center" vertical="center"/>
      <protection hidden="1"/>
    </xf>
    <xf numFmtId="177" fontId="14" fillId="3" borderId="1" xfId="1" applyNumberFormat="1" applyFont="1" applyFill="1" applyBorder="1" applyAlignment="1" applyProtection="1">
      <alignment horizontal="left" vertical="center"/>
      <protection hidden="1"/>
    </xf>
    <xf numFmtId="177" fontId="13" fillId="3" borderId="1" xfId="1" applyNumberFormat="1" applyFont="1" applyFill="1" applyBorder="1" applyAlignment="1" applyProtection="1">
      <alignment horizontal="center" vertical="center"/>
      <protection hidden="1"/>
    </xf>
    <xf numFmtId="177" fontId="13" fillId="0" borderId="1" xfId="1" applyNumberFormat="1" applyFont="1" applyFill="1" applyBorder="1" applyAlignment="1" applyProtection="1">
      <alignment horizontal="center" vertical="center"/>
      <protection hidden="1"/>
    </xf>
    <xf numFmtId="177" fontId="14" fillId="0" borderId="1" xfId="1" applyNumberFormat="1" applyFont="1" applyFill="1" applyBorder="1" applyAlignment="1" applyProtection="1">
      <alignment vertical="center"/>
      <protection hidden="1"/>
    </xf>
    <xf numFmtId="177" fontId="14" fillId="5" borderId="1" xfId="1" applyNumberFormat="1" applyFont="1" applyFill="1" applyBorder="1" applyAlignment="1" applyProtection="1">
      <alignment vertical="center"/>
      <protection hidden="1"/>
    </xf>
    <xf numFmtId="177" fontId="14" fillId="3" borderId="1" xfId="1" applyNumberFormat="1" applyFont="1" applyFill="1" applyBorder="1" applyAlignment="1" applyProtection="1">
      <alignment horizontal="left" vertical="center" indent="1"/>
      <protection hidden="1"/>
    </xf>
    <xf numFmtId="0" fontId="17" fillId="0" borderId="1" xfId="1" applyNumberFormat="1" applyFont="1" applyFill="1" applyBorder="1" applyAlignment="1" applyProtection="1">
      <alignment vertical="center"/>
      <protection hidden="1"/>
    </xf>
    <xf numFmtId="10" fontId="14" fillId="5" borderId="1" xfId="2" applyNumberFormat="1" applyFont="1" applyFill="1" applyBorder="1" applyAlignment="1" applyProtection="1">
      <alignment horizontal="right" vertical="center"/>
      <protection hidden="1"/>
    </xf>
    <xf numFmtId="177" fontId="14" fillId="3" borderId="1" xfId="1" applyNumberFormat="1" applyFont="1" applyFill="1" applyBorder="1" applyAlignment="1" applyProtection="1">
      <alignment vertical="center"/>
      <protection hidden="1"/>
    </xf>
    <xf numFmtId="177" fontId="14" fillId="4" borderId="0" xfId="1" applyNumberFormat="1" applyFont="1" applyFill="1" applyBorder="1" applyAlignment="1" applyProtection="1">
      <alignment horizontal="right" vertical="center"/>
      <protection hidden="1"/>
    </xf>
    <xf numFmtId="177" fontId="17" fillId="2" borderId="1" xfId="1" applyNumberFormat="1" applyFont="1" applyFill="1" applyBorder="1" applyAlignment="1" applyProtection="1">
      <alignment horizontal="right" vertical="center"/>
      <protection hidden="1"/>
    </xf>
    <xf numFmtId="177" fontId="14" fillId="2" borderId="1" xfId="1" applyNumberFormat="1" applyFont="1" applyFill="1" applyBorder="1" applyAlignment="1" applyProtection="1">
      <alignment horizontal="right" vertical="center"/>
      <protection hidden="1"/>
    </xf>
    <xf numFmtId="177" fontId="14" fillId="0" borderId="1" xfId="1" applyNumberFormat="1" applyFont="1" applyFill="1" applyBorder="1" applyAlignment="1" applyProtection="1">
      <alignment horizontal="right" vertical="center"/>
      <protection hidden="1"/>
    </xf>
    <xf numFmtId="177" fontId="14" fillId="3" borderId="1" xfId="1" applyNumberFormat="1" applyFont="1" applyFill="1" applyBorder="1" applyAlignment="1" applyProtection="1">
      <alignment horizontal="left" vertical="center" indent="2"/>
      <protection hidden="1"/>
    </xf>
    <xf numFmtId="9" fontId="14" fillId="5" borderId="1" xfId="2" applyFont="1" applyFill="1" applyBorder="1" applyAlignment="1" applyProtection="1">
      <alignment horizontal="right" vertical="center"/>
      <protection hidden="1"/>
    </xf>
    <xf numFmtId="177" fontId="14" fillId="5" borderId="1" xfId="1" applyNumberFormat="1" applyFont="1" applyFill="1" applyBorder="1" applyAlignment="1" applyProtection="1">
      <alignment horizontal="right" vertical="center"/>
      <protection hidden="1"/>
    </xf>
    <xf numFmtId="177" fontId="14" fillId="3" borderId="1" xfId="37" applyNumberFormat="1" applyFont="1" applyFill="1" applyBorder="1" applyAlignment="1" applyProtection="1">
      <alignment horizontal="center" vertical="center"/>
      <protection hidden="1"/>
    </xf>
    <xf numFmtId="177" fontId="14" fillId="0" borderId="1" xfId="37" applyNumberFormat="1" applyFont="1" applyFill="1" applyBorder="1" applyAlignment="1" applyProtection="1">
      <alignment horizontal="center" vertical="center"/>
      <protection hidden="1"/>
    </xf>
    <xf numFmtId="177" fontId="16" fillId="3" borderId="1" xfId="37" applyNumberFormat="1" applyFont="1" applyFill="1" applyBorder="1" applyAlignment="1" applyProtection="1">
      <alignment vertical="center"/>
      <protection hidden="1"/>
    </xf>
    <xf numFmtId="177" fontId="16" fillId="3" borderId="1" xfId="37" applyNumberFormat="1" applyFont="1" applyFill="1" applyBorder="1" applyAlignment="1" applyProtection="1">
      <alignment horizontal="center" vertical="center"/>
      <protection hidden="1"/>
    </xf>
    <xf numFmtId="177" fontId="16" fillId="0" borderId="1" xfId="37" applyNumberFormat="1" applyFont="1" applyFill="1" applyBorder="1" applyAlignment="1" applyProtection="1">
      <alignment horizontal="center" vertical="center"/>
      <protection hidden="1"/>
    </xf>
    <xf numFmtId="177" fontId="16" fillId="5" borderId="1" xfId="37" applyNumberFormat="1" applyFont="1" applyFill="1" applyBorder="1" applyAlignment="1" applyProtection="1">
      <alignment horizontal="right" vertical="center"/>
      <protection hidden="1"/>
    </xf>
    <xf numFmtId="177" fontId="14" fillId="3" borderId="1" xfId="37" applyNumberFormat="1" applyFont="1" applyFill="1" applyBorder="1" applyAlignment="1" applyProtection="1">
      <alignment horizontal="left" vertical="center"/>
      <protection hidden="1"/>
    </xf>
    <xf numFmtId="177" fontId="14" fillId="5" borderId="1" xfId="37" applyNumberFormat="1" applyFont="1" applyFill="1" applyBorder="1" applyAlignment="1" applyProtection="1">
      <alignment horizontal="right" vertical="center"/>
      <protection hidden="1"/>
    </xf>
    <xf numFmtId="177" fontId="14" fillId="3" borderId="1" xfId="37" applyNumberFormat="1" applyFont="1" applyFill="1" applyBorder="1" applyAlignment="1" applyProtection="1">
      <alignment horizontal="left" vertical="center" indent="1"/>
      <protection hidden="1"/>
    </xf>
    <xf numFmtId="182" fontId="14" fillId="2" borderId="1" xfId="37" applyNumberFormat="1" applyFont="1" applyFill="1" applyBorder="1" applyAlignment="1" applyProtection="1">
      <alignment horizontal="right" vertical="center"/>
      <protection hidden="1"/>
    </xf>
    <xf numFmtId="178" fontId="14" fillId="0" borderId="1" xfId="37" applyNumberFormat="1" applyFont="1" applyFill="1" applyBorder="1" applyAlignment="1" applyProtection="1">
      <alignment horizontal="right" vertical="center"/>
      <protection hidden="1"/>
    </xf>
    <xf numFmtId="177" fontId="14" fillId="3" borderId="1" xfId="37" applyNumberFormat="1" applyFont="1" applyFill="1" applyBorder="1" applyAlignment="1" applyProtection="1">
      <alignment vertical="center"/>
      <protection hidden="1"/>
    </xf>
    <xf numFmtId="177" fontId="14" fillId="7" borderId="1" xfId="37" applyNumberFormat="1" applyFont="1" applyFill="1" applyBorder="1" applyAlignment="1" applyProtection="1">
      <alignment horizontal="center" vertical="center"/>
      <protection hidden="1"/>
    </xf>
    <xf numFmtId="179" fontId="14" fillId="0" borderId="1" xfId="37" applyNumberFormat="1" applyFont="1" applyFill="1" applyBorder="1" applyAlignment="1" applyProtection="1">
      <alignment horizontal="center" vertical="center"/>
      <protection hidden="1"/>
    </xf>
    <xf numFmtId="177" fontId="14" fillId="2" borderId="1" xfId="37" applyNumberFormat="1" applyFont="1" applyFill="1" applyBorder="1" applyAlignment="1" applyProtection="1">
      <alignment horizontal="right" vertical="center"/>
      <protection hidden="1"/>
    </xf>
    <xf numFmtId="178" fontId="14" fillId="5" borderId="1" xfId="37" applyNumberFormat="1" applyFont="1" applyFill="1" applyBorder="1" applyAlignment="1" applyProtection="1">
      <alignment horizontal="right" vertical="center"/>
      <protection hidden="1"/>
    </xf>
    <xf numFmtId="179" fontId="14" fillId="5" borderId="1" xfId="37" applyNumberFormat="1" applyFont="1" applyFill="1" applyBorder="1" applyAlignment="1" applyProtection="1">
      <alignment horizontal="right" vertical="center"/>
      <protection hidden="1"/>
    </xf>
    <xf numFmtId="177" fontId="18" fillId="0" borderId="0" xfId="37" applyNumberFormat="1" applyFont="1" applyFill="1" applyBorder="1" applyAlignment="1" applyProtection="1">
      <alignment horizontal="center" vertical="center"/>
      <protection hidden="1"/>
    </xf>
    <xf numFmtId="177" fontId="14" fillId="0" borderId="0" xfId="36" applyNumberFormat="1" applyFont="1" applyFill="1" applyBorder="1" applyAlignment="1" applyProtection="1">
      <alignment horizontal="center" vertical="center"/>
      <protection hidden="1"/>
    </xf>
    <xf numFmtId="177" fontId="18" fillId="0" borderId="0" xfId="1" applyNumberFormat="1" applyFont="1" applyFill="1" applyBorder="1" applyAlignment="1" applyProtection="1">
      <alignment horizontal="center" vertical="center"/>
      <protection hidden="1"/>
    </xf>
    <xf numFmtId="177" fontId="18" fillId="0" borderId="0" xfId="1" applyNumberFormat="1" applyFont="1" applyFill="1" applyBorder="1" applyAlignment="1" applyProtection="1">
      <alignment horizontal="left" vertical="center"/>
      <protection hidden="1"/>
    </xf>
    <xf numFmtId="183" fontId="15" fillId="0" borderId="0" xfId="1" applyNumberFormat="1" applyFont="1" applyFill="1" applyBorder="1" applyAlignment="1" applyProtection="1">
      <alignment horizontal="center" vertical="center"/>
      <protection hidden="1"/>
    </xf>
    <xf numFmtId="178" fontId="18" fillId="0" borderId="0" xfId="1" applyNumberFormat="1" applyFont="1" applyFill="1" applyBorder="1" applyAlignment="1" applyProtection="1">
      <alignment horizontal="center" vertical="center"/>
      <protection hidden="1"/>
    </xf>
    <xf numFmtId="178" fontId="15" fillId="0" borderId="0" xfId="1" applyNumberFormat="1" applyFont="1" applyFill="1" applyBorder="1" applyAlignment="1" applyProtection="1">
      <alignment horizontal="center" vertical="center"/>
      <protection hidden="1"/>
    </xf>
    <xf numFmtId="178" fontId="14" fillId="0" borderId="0" xfId="37" applyNumberFormat="1" applyFont="1" applyFill="1" applyBorder="1" applyAlignment="1" applyProtection="1">
      <alignment horizontal="center" vertical="center"/>
      <protection hidden="1"/>
    </xf>
    <xf numFmtId="178" fontId="18" fillId="0" borderId="0" xfId="37" applyNumberFormat="1" applyFont="1" applyFill="1" applyBorder="1" applyAlignment="1" applyProtection="1">
      <alignment horizontal="center" vertical="center"/>
      <protection hidden="1"/>
    </xf>
    <xf numFmtId="179" fontId="18" fillId="0" borderId="0" xfId="1" applyNumberFormat="1" applyFont="1" applyFill="1" applyBorder="1" applyAlignment="1" applyProtection="1">
      <alignment horizontal="center" vertical="center"/>
      <protection hidden="1"/>
    </xf>
    <xf numFmtId="178" fontId="13" fillId="0" borderId="0" xfId="37" applyNumberFormat="1" applyFont="1" applyFill="1" applyBorder="1" applyAlignment="1" applyProtection="1">
      <alignment horizontal="center" vertical="center"/>
      <protection hidden="1"/>
    </xf>
    <xf numFmtId="43" fontId="15" fillId="0" borderId="0" xfId="1" applyFont="1" applyFill="1" applyBorder="1" applyAlignment="1" applyProtection="1">
      <alignment horizontal="left" vertical="center"/>
      <protection hidden="1"/>
    </xf>
    <xf numFmtId="177" fontId="14" fillId="3" borderId="4" xfId="1" applyNumberFormat="1" applyFont="1" applyFill="1" applyBorder="1" applyAlignment="1" applyProtection="1">
      <alignment horizontal="center" vertical="center"/>
      <protection hidden="1"/>
    </xf>
    <xf numFmtId="177" fontId="14" fillId="8" borderId="1" xfId="37" applyNumberFormat="1" applyFont="1" applyFill="1" applyBorder="1" applyAlignment="1" applyProtection="1">
      <alignment horizontal="right" vertical="center"/>
      <protection hidden="1"/>
    </xf>
    <xf numFmtId="177" fontId="14" fillId="0" borderId="1" xfId="37" applyNumberFormat="1" applyFont="1" applyFill="1" applyBorder="1" applyAlignment="1" applyProtection="1">
      <alignment horizontal="right" vertical="center"/>
      <protection hidden="1"/>
    </xf>
    <xf numFmtId="177" fontId="14" fillId="0" borderId="5" xfId="37" applyNumberFormat="1" applyFont="1" applyFill="1" applyBorder="1" applyAlignment="1" applyProtection="1">
      <alignment horizontal="center" vertical="center"/>
      <protection hidden="1"/>
    </xf>
    <xf numFmtId="177" fontId="14" fillId="0" borderId="5" xfId="37" applyNumberFormat="1" applyFont="1" applyFill="1" applyBorder="1" applyAlignment="1" applyProtection="1">
      <alignment horizontal="right" vertical="center"/>
      <protection hidden="1"/>
    </xf>
    <xf numFmtId="177" fontId="14" fillId="3" borderId="1" xfId="1" applyNumberFormat="1" applyFont="1" applyFill="1" applyBorder="1" applyAlignment="1" applyProtection="1">
      <alignment horizontal="center" vertical="center"/>
      <protection hidden="1"/>
    </xf>
    <xf numFmtId="177" fontId="14" fillId="3" borderId="1" xfId="37" applyNumberFormat="1" applyFont="1" applyFill="1" applyBorder="1" applyAlignment="1" applyProtection="1">
      <alignment horizontal="left" vertical="center" indent="2"/>
      <protection hidden="1"/>
    </xf>
    <xf numFmtId="43" fontId="15" fillId="0" borderId="1" xfId="1" applyFont="1" applyFill="1" applyBorder="1" applyAlignment="1" applyProtection="1">
      <alignment horizontal="center" vertical="center"/>
      <protection hidden="1"/>
    </xf>
    <xf numFmtId="177" fontId="19" fillId="9" borderId="1" xfId="37" applyNumberFormat="1" applyFont="1" applyFill="1" applyBorder="1" applyAlignment="1" applyProtection="1">
      <alignment horizontal="left" vertical="center" indent="2"/>
      <protection hidden="1"/>
    </xf>
    <xf numFmtId="177" fontId="16" fillId="0" borderId="0" xfId="37" applyNumberFormat="1" applyFont="1" applyFill="1" applyBorder="1" applyAlignment="1" applyProtection="1">
      <alignment horizontal="center" vertical="center"/>
      <protection hidden="1"/>
    </xf>
    <xf numFmtId="177" fontId="16" fillId="0" borderId="0" xfId="1" applyNumberFormat="1" applyFont="1" applyFill="1" applyBorder="1" applyAlignment="1" applyProtection="1">
      <alignment horizontal="center" vertical="center"/>
      <protection hidden="1"/>
    </xf>
    <xf numFmtId="177" fontId="16" fillId="0" borderId="0" xfId="2" applyNumberFormat="1" applyFont="1" applyFill="1" applyBorder="1" applyAlignment="1" applyProtection="1">
      <alignment horizontal="center" vertical="center"/>
      <protection hidden="1"/>
    </xf>
    <xf numFmtId="177" fontId="16" fillId="0" borderId="0" xfId="37" applyNumberFormat="1" applyFont="1" applyFill="1" applyBorder="1" applyAlignment="1" applyProtection="1">
      <alignment horizontal="left" vertical="center"/>
      <protection hidden="1"/>
    </xf>
    <xf numFmtId="177" fontId="14" fillId="0" borderId="0" xfId="37" applyNumberFormat="1" applyFont="1" applyFill="1" applyBorder="1" applyAlignment="1" applyProtection="1">
      <alignment vertical="center"/>
      <protection hidden="1"/>
    </xf>
    <xf numFmtId="177" fontId="14" fillId="0" borderId="6" xfId="37" applyNumberFormat="1" applyFont="1" applyFill="1" applyBorder="1" applyAlignment="1" applyProtection="1">
      <alignment horizontal="right" vertical="center"/>
      <protection hidden="1"/>
    </xf>
    <xf numFmtId="177" fontId="20" fillId="0" borderId="0" xfId="1" applyNumberFormat="1" applyFont="1" applyFill="1" applyBorder="1" applyAlignment="1" applyProtection="1">
      <alignment horizontal="center" vertical="center"/>
      <protection hidden="1"/>
    </xf>
    <xf numFmtId="177" fontId="14" fillId="0" borderId="0" xfId="1" applyNumberFormat="1" applyFont="1" applyFill="1" applyBorder="1" applyAlignment="1" applyProtection="1">
      <alignment horizontal="center" vertical="center"/>
      <protection hidden="1"/>
    </xf>
    <xf numFmtId="43" fontId="14" fillId="0" borderId="0" xfId="34" applyNumberFormat="1" applyFont="1">
      <alignment vertical="center"/>
    </xf>
    <xf numFmtId="177" fontId="3" fillId="2" borderId="1" xfId="1" applyNumberFormat="1" applyFont="1" applyFill="1" applyBorder="1" applyAlignment="1" applyProtection="1">
      <alignment horizontal="right" vertical="center"/>
      <protection hidden="1"/>
    </xf>
    <xf numFmtId="182" fontId="3" fillId="2" borderId="1" xfId="37" applyNumberFormat="1" applyFont="1" applyFill="1" applyBorder="1" applyAlignment="1" applyProtection="1">
      <alignment horizontal="right" vertical="center"/>
      <protection hidden="1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83" fontId="4" fillId="0" borderId="0" xfId="1" applyNumberFormat="1" applyFont="1" applyFill="1" applyBorder="1" applyAlignment="1" applyProtection="1">
      <alignment horizontal="center" vertical="center"/>
      <protection hidden="1"/>
    </xf>
    <xf numFmtId="43" fontId="4" fillId="0" borderId="1" xfId="1" applyFont="1" applyFill="1" applyBorder="1" applyAlignment="1" applyProtection="1">
      <alignment horizontal="center" vertical="center"/>
      <protection hidden="1"/>
    </xf>
    <xf numFmtId="177" fontId="21" fillId="0" borderId="0" xfId="37" applyNumberFormat="1" applyFont="1" applyFill="1" applyBorder="1" applyAlignment="1" applyProtection="1">
      <alignment horizontal="center" vertical="center"/>
      <protection hidden="1"/>
    </xf>
    <xf numFmtId="180" fontId="3" fillId="0" borderId="0" xfId="1" applyNumberFormat="1" applyFont="1" applyFill="1" applyBorder="1" applyAlignment="1" applyProtection="1">
      <alignment horizontal="center" vertical="center"/>
      <protection hidden="1"/>
    </xf>
    <xf numFmtId="43" fontId="3" fillId="0" borderId="0" xfId="1" applyFont="1" applyFill="1" applyBorder="1" applyAlignment="1" applyProtection="1">
      <alignment horizontal="center" vertical="center"/>
      <protection hidden="1"/>
    </xf>
    <xf numFmtId="180" fontId="7" fillId="0" borderId="0" xfId="1" applyNumberFormat="1" applyFont="1" applyFill="1" applyBorder="1" applyAlignment="1" applyProtection="1">
      <alignment horizontal="center" vertical="center"/>
      <protection hidden="1"/>
    </xf>
    <xf numFmtId="180" fontId="23" fillId="3" borderId="1" xfId="1" applyNumberFormat="1" applyFont="1" applyFill="1" applyBorder="1" applyAlignment="1" applyProtection="1">
      <alignment horizontal="center" vertical="center"/>
      <protection hidden="1"/>
    </xf>
    <xf numFmtId="177" fontId="23" fillId="3" borderId="1" xfId="1" applyNumberFormat="1" applyFont="1" applyFill="1" applyBorder="1" applyAlignment="1" applyProtection="1">
      <alignment horizontal="center" vertical="center"/>
      <protection hidden="1"/>
    </xf>
    <xf numFmtId="177" fontId="8" fillId="3" borderId="4" xfId="1" applyNumberFormat="1" applyFont="1" applyFill="1" applyBorder="1" applyAlignment="1" applyProtection="1">
      <alignment horizontal="left" vertical="center"/>
      <protection hidden="1"/>
    </xf>
    <xf numFmtId="177" fontId="3" fillId="3" borderId="6" xfId="1" applyNumberFormat="1" applyFont="1" applyFill="1" applyBorder="1" applyAlignment="1" applyProtection="1">
      <alignment horizontal="center" vertical="center"/>
      <protection hidden="1"/>
    </xf>
    <xf numFmtId="177" fontId="3" fillId="0" borderId="1" xfId="1" applyNumberFormat="1" applyFont="1" applyFill="1" applyBorder="1" applyAlignment="1" applyProtection="1">
      <alignment horizontal="center" vertical="center"/>
      <protection hidden="1"/>
    </xf>
    <xf numFmtId="180" fontId="2" fillId="4" borderId="1" xfId="1" applyNumberFormat="1" applyFont="1" applyFill="1" applyBorder="1" applyAlignment="1" applyProtection="1">
      <alignment horizontal="right" vertical="center"/>
      <protection hidden="1"/>
    </xf>
    <xf numFmtId="177" fontId="3" fillId="3" borderId="4" xfId="1" applyNumberFormat="1" applyFont="1" applyFill="1" applyBorder="1" applyAlignment="1" applyProtection="1">
      <alignment horizontal="left" vertical="center" indent="1"/>
      <protection hidden="1"/>
    </xf>
    <xf numFmtId="180" fontId="2" fillId="8" borderId="1" xfId="1" applyNumberFormat="1" applyFont="1" applyFill="1" applyBorder="1" applyAlignment="1" applyProtection="1">
      <alignment horizontal="right" vertical="center"/>
      <protection hidden="1"/>
    </xf>
    <xf numFmtId="180" fontId="3" fillId="8" borderId="1" xfId="1" applyNumberFormat="1" applyFont="1" applyFill="1" applyBorder="1" applyAlignment="1" applyProtection="1">
      <alignment horizontal="right" vertical="center"/>
      <protection hidden="1"/>
    </xf>
    <xf numFmtId="177" fontId="8" fillId="3" borderId="4" xfId="1" applyNumberFormat="1" applyFont="1" applyFill="1" applyBorder="1" applyAlignment="1" applyProtection="1">
      <alignment horizontal="left" vertical="center" indent="1"/>
      <protection hidden="1"/>
    </xf>
    <xf numFmtId="177" fontId="3" fillId="3" borderId="4" xfId="1" applyNumberFormat="1" applyFont="1" applyFill="1" applyBorder="1" applyAlignment="1" applyProtection="1">
      <alignment horizontal="left" vertical="center" indent="2"/>
      <protection hidden="1"/>
    </xf>
    <xf numFmtId="180" fontId="3" fillId="0" borderId="1" xfId="1" applyNumberFormat="1" applyFont="1" applyFill="1" applyBorder="1" applyAlignment="1" applyProtection="1">
      <alignment horizontal="right" vertical="center"/>
      <protection hidden="1"/>
    </xf>
    <xf numFmtId="180" fontId="3" fillId="6" borderId="1" xfId="1" applyNumberFormat="1" applyFont="1" applyFill="1" applyBorder="1" applyAlignment="1" applyProtection="1">
      <alignment horizontal="right" vertical="center"/>
      <protection hidden="1"/>
    </xf>
    <xf numFmtId="180" fontId="4" fillId="4" borderId="1" xfId="1" applyNumberFormat="1" applyFont="1" applyFill="1" applyBorder="1" applyAlignment="1" applyProtection="1">
      <alignment horizontal="right" vertical="center"/>
      <protection hidden="1"/>
    </xf>
    <xf numFmtId="43" fontId="3" fillId="8" borderId="1" xfId="1" applyFont="1" applyFill="1" applyBorder="1" applyAlignment="1" applyProtection="1">
      <alignment horizontal="right" vertical="center"/>
      <protection hidden="1"/>
    </xf>
    <xf numFmtId="43" fontId="3" fillId="10" borderId="1" xfId="1" applyFont="1" applyFill="1" applyBorder="1" applyAlignment="1" applyProtection="1">
      <alignment horizontal="right" vertical="center"/>
      <protection hidden="1"/>
    </xf>
    <xf numFmtId="177" fontId="3" fillId="3" borderId="6" xfId="1" applyNumberFormat="1" applyFont="1" applyFill="1" applyBorder="1" applyAlignment="1" applyProtection="1">
      <alignment horizontal="left" vertical="center" indent="2"/>
      <protection hidden="1"/>
    </xf>
    <xf numFmtId="180" fontId="3" fillId="10" borderId="1" xfId="1" applyNumberFormat="1" applyFont="1" applyFill="1" applyBorder="1" applyAlignment="1" applyProtection="1">
      <alignment horizontal="right" vertical="center"/>
      <protection hidden="1"/>
    </xf>
    <xf numFmtId="177" fontId="3" fillId="0" borderId="0" xfId="1" applyNumberFormat="1" applyFont="1" applyFill="1" applyBorder="1" applyAlignment="1" applyProtection="1">
      <alignment horizontal="left" vertical="center"/>
      <protection hidden="1"/>
    </xf>
    <xf numFmtId="177" fontId="22" fillId="0" borderId="0" xfId="1" applyNumberFormat="1" applyFont="1" applyFill="1" applyBorder="1" applyAlignment="1" applyProtection="1">
      <alignment vertical="center"/>
      <protection hidden="1"/>
    </xf>
    <xf numFmtId="43" fontId="1" fillId="0" borderId="0" xfId="1" applyFont="1" applyFill="1" applyBorder="1" applyAlignment="1" applyProtection="1">
      <alignment horizontal="center" vertical="center"/>
      <protection hidden="1"/>
    </xf>
    <xf numFmtId="43" fontId="2" fillId="0" borderId="0" xfId="1" applyFont="1" applyFill="1" applyBorder="1" applyAlignment="1" applyProtection="1">
      <alignment horizontal="center" vertical="center"/>
      <protection hidden="1"/>
    </xf>
    <xf numFmtId="180" fontId="2" fillId="5" borderId="1" xfId="1" applyNumberFormat="1" applyFont="1" applyFill="1" applyBorder="1" applyAlignment="1" applyProtection="1">
      <alignment horizontal="right" vertical="center"/>
      <protection hidden="1"/>
    </xf>
    <xf numFmtId="179" fontId="3" fillId="0" borderId="0" xfId="1" applyNumberFormat="1" applyFont="1" applyFill="1" applyBorder="1" applyAlignment="1" applyProtection="1">
      <alignment horizontal="center" vertical="center"/>
      <protection hidden="1"/>
    </xf>
    <xf numFmtId="43" fontId="3" fillId="0" borderId="0" xfId="1" applyFont="1" applyFill="1" applyBorder="1" applyAlignment="1" applyProtection="1">
      <alignment horizontal="left" vertical="center"/>
      <protection hidden="1"/>
    </xf>
    <xf numFmtId="43" fontId="3" fillId="5" borderId="1" xfId="1" applyFont="1" applyFill="1" applyBorder="1" applyAlignment="1" applyProtection="1">
      <alignment horizontal="right" vertical="center"/>
      <protection hidden="1"/>
    </xf>
    <xf numFmtId="184" fontId="3" fillId="0" borderId="0" xfId="1" applyNumberFormat="1" applyFont="1" applyFill="1" applyBorder="1" applyAlignment="1" applyProtection="1">
      <alignment horizontal="center" vertical="center"/>
      <protection hidden="1"/>
    </xf>
    <xf numFmtId="185" fontId="3" fillId="0" borderId="0" xfId="1" applyNumberFormat="1" applyFont="1" applyFill="1" applyBorder="1" applyAlignment="1" applyProtection="1">
      <alignment horizontal="center" vertical="center"/>
      <protection hidden="1"/>
    </xf>
    <xf numFmtId="0" fontId="24" fillId="0" borderId="0" xfId="34" applyFont="1">
      <alignment vertical="center"/>
    </xf>
    <xf numFmtId="186" fontId="3" fillId="4" borderId="0" xfId="2" applyNumberFormat="1" applyFont="1" applyFill="1" applyBorder="1" applyAlignment="1" applyProtection="1">
      <alignment horizontal="center" vertical="center"/>
      <protection hidden="1"/>
    </xf>
    <xf numFmtId="43" fontId="3" fillId="0" borderId="1" xfId="1" applyFont="1" applyFill="1" applyBorder="1" applyAlignment="1" applyProtection="1">
      <alignment horizontal="center" vertical="center"/>
      <protection hidden="1"/>
    </xf>
    <xf numFmtId="183" fontId="3" fillId="0" borderId="1" xfId="1" applyNumberFormat="1" applyFont="1" applyFill="1" applyBorder="1" applyAlignment="1" applyProtection="1">
      <alignment horizontal="right" vertical="center"/>
      <protection hidden="1"/>
    </xf>
    <xf numFmtId="183" fontId="3" fillId="2" borderId="1" xfId="1" applyNumberFormat="1" applyFont="1" applyFill="1" applyBorder="1" applyAlignment="1" applyProtection="1">
      <alignment horizontal="right" vertical="center"/>
      <protection hidden="1"/>
    </xf>
    <xf numFmtId="0" fontId="3" fillId="3" borderId="1" xfId="37" applyFont="1" applyFill="1" applyBorder="1" applyAlignment="1" applyProtection="1">
      <alignment vertical="center"/>
      <protection hidden="1"/>
    </xf>
    <xf numFmtId="0" fontId="3" fillId="0" borderId="1" xfId="1" applyNumberFormat="1" applyFont="1" applyFill="1" applyBorder="1" applyAlignment="1" applyProtection="1">
      <alignment horizontal="center" vertical="center"/>
      <protection hidden="1"/>
    </xf>
    <xf numFmtId="180" fontId="4" fillId="2" borderId="1" xfId="1" applyNumberFormat="1" applyFont="1" applyFill="1" applyBorder="1" applyAlignment="1" applyProtection="1">
      <alignment horizontal="right" vertical="center"/>
      <protection hidden="1"/>
    </xf>
    <xf numFmtId="0" fontId="3" fillId="11" borderId="4" xfId="1" applyNumberFormat="1" applyFont="1" applyFill="1" applyBorder="1" applyAlignment="1" applyProtection="1">
      <alignment vertical="center"/>
      <protection hidden="1"/>
    </xf>
    <xf numFmtId="0" fontId="3" fillId="11" borderId="5" xfId="1" applyNumberFormat="1" applyFont="1" applyFill="1" applyBorder="1" applyAlignment="1" applyProtection="1">
      <alignment vertical="center"/>
      <protection hidden="1"/>
    </xf>
    <xf numFmtId="180" fontId="3" fillId="2" borderId="1" xfId="1" applyNumberFormat="1" applyFont="1" applyFill="1" applyBorder="1" applyAlignment="1" applyProtection="1">
      <alignment horizontal="right" vertical="center"/>
      <protection hidden="1"/>
    </xf>
    <xf numFmtId="177" fontId="8" fillId="3" borderId="1" xfId="37" applyNumberFormat="1" applyFont="1" applyFill="1" applyBorder="1" applyAlignment="1" applyProtection="1">
      <alignment horizontal="left" vertical="center"/>
      <protection hidden="1"/>
    </xf>
    <xf numFmtId="43" fontId="3" fillId="0" borderId="1" xfId="1" applyFont="1" applyFill="1" applyBorder="1" applyAlignment="1" applyProtection="1">
      <alignment horizontal="right" vertical="center"/>
      <protection hidden="1"/>
    </xf>
    <xf numFmtId="185" fontId="3" fillId="8" borderId="1" xfId="1" applyNumberFormat="1" applyFont="1" applyFill="1" applyBorder="1" applyAlignment="1" applyProtection="1">
      <alignment horizontal="right" vertical="center"/>
      <protection hidden="1"/>
    </xf>
    <xf numFmtId="187" fontId="3" fillId="0" borderId="1" xfId="1" applyNumberFormat="1" applyFont="1" applyFill="1" applyBorder="1" applyAlignment="1" applyProtection="1">
      <alignment horizontal="right" vertical="center"/>
      <protection hidden="1"/>
    </xf>
    <xf numFmtId="187" fontId="4" fillId="0" borderId="1" xfId="1" applyNumberFormat="1" applyFont="1" applyFill="1" applyBorder="1" applyAlignment="1" applyProtection="1">
      <alignment horizontal="right" vertical="center"/>
      <protection hidden="1"/>
    </xf>
    <xf numFmtId="180" fontId="4" fillId="0" borderId="1" xfId="1" applyNumberFormat="1" applyFont="1" applyFill="1" applyBorder="1" applyAlignment="1" applyProtection="1">
      <alignment horizontal="right" vertical="center"/>
      <protection hidden="1"/>
    </xf>
    <xf numFmtId="43" fontId="3" fillId="2" borderId="1" xfId="1" applyFont="1" applyFill="1" applyBorder="1" applyAlignment="1" applyProtection="1">
      <alignment horizontal="right" vertical="center"/>
      <protection hidden="1"/>
    </xf>
    <xf numFmtId="177" fontId="3" fillId="0" borderId="0" xfId="43" applyNumberFormat="1" applyFont="1" applyFill="1" applyBorder="1" applyAlignment="1" applyProtection="1">
      <alignment horizontal="center" vertical="center"/>
      <protection hidden="1"/>
    </xf>
    <xf numFmtId="9" fontId="3" fillId="0" borderId="1" xfId="2" applyFont="1" applyFill="1" applyBorder="1" applyAlignment="1" applyProtection="1">
      <alignment horizontal="center" vertical="center"/>
      <protection hidden="1"/>
    </xf>
    <xf numFmtId="43" fontId="24" fillId="0" borderId="0" xfId="1" applyFont="1" applyFill="1">
      <alignment vertical="center"/>
    </xf>
    <xf numFmtId="9" fontId="0" fillId="0" borderId="0" xfId="2" applyFont="1">
      <alignment vertical="center"/>
    </xf>
    <xf numFmtId="10" fontId="3" fillId="4" borderId="0" xfId="2" applyNumberFormat="1" applyFont="1" applyFill="1" applyBorder="1" applyAlignment="1" applyProtection="1">
      <alignment horizontal="center" vertical="center"/>
      <protection hidden="1"/>
    </xf>
    <xf numFmtId="0" fontId="3" fillId="11" borderId="6" xfId="1" applyNumberFormat="1" applyFont="1" applyFill="1" applyBorder="1" applyAlignment="1" applyProtection="1">
      <alignment vertical="center"/>
      <protection hidden="1"/>
    </xf>
    <xf numFmtId="179" fontId="3" fillId="5" borderId="1" xfId="1" applyNumberFormat="1" applyFont="1" applyFill="1" applyBorder="1" applyAlignment="1" applyProtection="1">
      <alignment horizontal="right" vertical="center"/>
      <protection hidden="1"/>
    </xf>
    <xf numFmtId="0" fontId="25" fillId="0" borderId="0" xfId="34" applyFont="1" applyAlignment="1">
      <alignment horizontal="center" vertical="center"/>
    </xf>
    <xf numFmtId="0" fontId="37" fillId="0" borderId="0" xfId="34" applyAlignment="1">
      <alignment horizontal="center" vertical="center"/>
    </xf>
    <xf numFmtId="188" fontId="24" fillId="0" borderId="0" xfId="34" applyNumberFormat="1" applyFont="1">
      <alignment vertical="center"/>
    </xf>
    <xf numFmtId="177" fontId="24" fillId="0" borderId="0" xfId="34" applyNumberFormat="1" applyFont="1">
      <alignment vertical="center"/>
    </xf>
    <xf numFmtId="188" fontId="37" fillId="0" borderId="0" xfId="34" applyNumberFormat="1">
      <alignment vertical="center"/>
    </xf>
    <xf numFmtId="189" fontId="25" fillId="0" borderId="0" xfId="34" applyNumberFormat="1" applyFont="1" applyAlignment="1">
      <alignment horizontal="center" vertical="center"/>
    </xf>
    <xf numFmtId="0" fontId="26" fillId="0" borderId="11" xfId="34" applyFont="1" applyBorder="1" applyAlignment="1">
      <alignment horizontal="center" vertical="center"/>
    </xf>
    <xf numFmtId="0" fontId="26" fillId="0" borderId="0" xfId="34" applyFont="1" applyAlignment="1">
      <alignment horizontal="center" vertical="center"/>
    </xf>
    <xf numFmtId="177" fontId="37" fillId="0" borderId="0" xfId="34" applyNumberFormat="1">
      <alignment vertical="center"/>
    </xf>
    <xf numFmtId="177" fontId="3" fillId="8" borderId="1" xfId="1" applyNumberFormat="1" applyFont="1" applyFill="1" applyBorder="1" applyAlignment="1" applyProtection="1">
      <alignment horizontal="right" vertical="center"/>
      <protection hidden="1"/>
    </xf>
    <xf numFmtId="177" fontId="8" fillId="3" borderId="1" xfId="1" applyNumberFormat="1" applyFont="1" applyFill="1" applyBorder="1" applyAlignment="1" applyProtection="1">
      <alignment vertical="center"/>
      <protection hidden="1"/>
    </xf>
    <xf numFmtId="9" fontId="3" fillId="12" borderId="1" xfId="2" applyFont="1" applyFill="1" applyBorder="1" applyAlignment="1" applyProtection="1">
      <alignment horizontal="right" vertical="center"/>
      <protection hidden="1"/>
    </xf>
    <xf numFmtId="177" fontId="8" fillId="3" borderId="3" xfId="1" applyNumberFormat="1" applyFont="1" applyFill="1" applyBorder="1" applyAlignment="1" applyProtection="1">
      <alignment vertical="center"/>
      <protection hidden="1"/>
    </xf>
    <xf numFmtId="177" fontId="3" fillId="0" borderId="1" xfId="43" applyNumberFormat="1" applyFont="1" applyFill="1" applyBorder="1" applyAlignment="1" applyProtection="1">
      <alignment horizontal="center" vertical="center"/>
      <protection hidden="1"/>
    </xf>
    <xf numFmtId="179" fontId="3" fillId="8" borderId="1" xfId="1" applyNumberFormat="1" applyFont="1" applyFill="1" applyBorder="1" applyAlignment="1" applyProtection="1">
      <alignment horizontal="right" vertical="center"/>
      <protection hidden="1"/>
    </xf>
    <xf numFmtId="179" fontId="37" fillId="0" borderId="0" xfId="34" applyNumberFormat="1">
      <alignment vertical="center"/>
    </xf>
    <xf numFmtId="178" fontId="4" fillId="0" borderId="1" xfId="37" applyNumberFormat="1" applyFont="1" applyFill="1" applyBorder="1" applyAlignment="1" applyProtection="1">
      <alignment horizontal="right" vertical="center"/>
      <protection hidden="1"/>
    </xf>
    <xf numFmtId="183" fontId="1" fillId="0" borderId="0" xfId="1" applyNumberFormat="1" applyFont="1" applyFill="1" applyBorder="1" applyAlignment="1" applyProtection="1">
      <alignment horizontal="center" vertical="center"/>
      <protection hidden="1"/>
    </xf>
    <xf numFmtId="183" fontId="10" fillId="0" borderId="0" xfId="1" applyNumberFormat="1" applyFont="1" applyFill="1" applyBorder="1" applyAlignment="1" applyProtection="1">
      <alignment horizontal="center" vertical="center"/>
      <protection hidden="1"/>
    </xf>
    <xf numFmtId="183" fontId="4" fillId="0" borderId="0" xfId="1" applyNumberFormat="1" applyFont="1" applyFill="1" applyBorder="1" applyAlignment="1" applyProtection="1">
      <alignment horizontal="left" vertical="center"/>
      <protection hidden="1"/>
    </xf>
    <xf numFmtId="183" fontId="0" fillId="0" borderId="0" xfId="1" applyNumberFormat="1" applyFont="1">
      <alignment vertical="center"/>
    </xf>
    <xf numFmtId="177" fontId="3" fillId="9" borderId="1" xfId="1" applyNumberFormat="1" applyFont="1" applyFill="1" applyBorder="1" applyAlignment="1" applyProtection="1">
      <alignment horizontal="left" vertical="center" indent="1"/>
      <protection hidden="1"/>
    </xf>
    <xf numFmtId="187" fontId="3" fillId="0" borderId="1" xfId="1" applyNumberFormat="1" applyFont="1" applyFill="1" applyBorder="1" applyAlignment="1" applyProtection="1">
      <alignment horizontal="center" vertical="center"/>
      <protection hidden="1"/>
    </xf>
    <xf numFmtId="177" fontId="3" fillId="0" borderId="0" xfId="37" applyNumberFormat="1" applyFont="1" applyFill="1" applyBorder="1" applyAlignment="1" applyProtection="1">
      <alignment horizontal="left" vertical="center" indent="1"/>
      <protection hidden="1"/>
    </xf>
    <xf numFmtId="177" fontId="27" fillId="0" borderId="0" xfId="37" applyNumberFormat="1" applyFont="1" applyFill="1" applyBorder="1" applyAlignment="1" applyProtection="1">
      <alignment horizontal="center" vertical="center"/>
      <protection hidden="1"/>
    </xf>
    <xf numFmtId="0" fontId="38" fillId="0" borderId="1" xfId="0" applyFont="1" applyBorder="1">
      <alignment vertical="center"/>
    </xf>
    <xf numFmtId="177" fontId="6" fillId="0" borderId="0" xfId="37" applyNumberFormat="1" applyFont="1" applyFill="1" applyBorder="1" applyAlignment="1" applyProtection="1">
      <alignment horizontal="center" vertical="center"/>
      <protection hidden="1"/>
    </xf>
    <xf numFmtId="177" fontId="3" fillId="3" borderId="1" xfId="43" applyNumberFormat="1" applyFont="1" applyFill="1" applyBorder="1" applyAlignment="1" applyProtection="1">
      <alignment horizontal="center" vertical="center"/>
      <protection hidden="1"/>
    </xf>
    <xf numFmtId="177" fontId="11" fillId="0" borderId="0" xfId="1" applyNumberFormat="1" applyFont="1" applyFill="1" applyBorder="1" applyAlignment="1" applyProtection="1">
      <alignment horizontal="center" vertical="center"/>
      <protection hidden="1"/>
    </xf>
    <xf numFmtId="177" fontId="3" fillId="3" borderId="2" xfId="1" applyNumberFormat="1" applyFont="1" applyFill="1" applyBorder="1" applyAlignment="1" applyProtection="1">
      <alignment horizontal="center" vertical="center"/>
      <protection hidden="1"/>
    </xf>
    <xf numFmtId="177" fontId="3" fillId="3" borderId="3" xfId="1" applyNumberFormat="1" applyFont="1" applyFill="1" applyBorder="1" applyAlignment="1" applyProtection="1">
      <alignment horizontal="center" vertical="center"/>
      <protection hidden="1"/>
    </xf>
    <xf numFmtId="177" fontId="22" fillId="0" borderId="0" xfId="1" applyNumberFormat="1" applyFont="1" applyFill="1" applyBorder="1" applyAlignment="1" applyProtection="1">
      <alignment horizontal="center" vertical="center"/>
      <protection hidden="1"/>
    </xf>
    <xf numFmtId="177" fontId="3" fillId="3" borderId="1" xfId="1" applyNumberFormat="1" applyFont="1" applyFill="1" applyBorder="1" applyAlignment="1" applyProtection="1">
      <alignment horizontal="center" vertical="center"/>
      <protection hidden="1"/>
    </xf>
    <xf numFmtId="177" fontId="3" fillId="3" borderId="4" xfId="37" applyNumberFormat="1" applyFont="1" applyFill="1" applyBorder="1" applyAlignment="1" applyProtection="1">
      <alignment horizontal="center" vertical="center"/>
      <protection hidden="1"/>
    </xf>
    <xf numFmtId="177" fontId="3" fillId="3" borderId="5" xfId="37" applyNumberFormat="1" applyFont="1" applyFill="1" applyBorder="1" applyAlignment="1" applyProtection="1">
      <alignment horizontal="center" vertical="center"/>
      <protection hidden="1"/>
    </xf>
    <xf numFmtId="177" fontId="3" fillId="3" borderId="6" xfId="37" applyNumberFormat="1" applyFont="1" applyFill="1" applyBorder="1" applyAlignment="1" applyProtection="1">
      <alignment horizontal="center" vertical="center"/>
      <protection hidden="1"/>
    </xf>
    <xf numFmtId="177" fontId="8" fillId="3" borderId="1" xfId="43" applyNumberFormat="1" applyFont="1" applyFill="1" applyBorder="1" applyAlignment="1" applyProtection="1">
      <alignment horizontal="center" vertical="center"/>
      <protection hidden="1"/>
    </xf>
    <xf numFmtId="177" fontId="3" fillId="3" borderId="4" xfId="1" applyNumberFormat="1" applyFont="1" applyFill="1" applyBorder="1" applyAlignment="1" applyProtection="1">
      <alignment horizontal="left" vertical="center"/>
      <protection hidden="1"/>
    </xf>
    <xf numFmtId="177" fontId="3" fillId="3" borderId="6" xfId="1" applyNumberFormat="1" applyFont="1" applyFill="1" applyBorder="1" applyAlignment="1" applyProtection="1">
      <alignment horizontal="left" vertical="center"/>
      <protection hidden="1"/>
    </xf>
    <xf numFmtId="177" fontId="8" fillId="3" borderId="1" xfId="37" applyNumberFormat="1" applyFont="1" applyFill="1" applyBorder="1" applyAlignment="1" applyProtection="1">
      <alignment horizontal="center" vertical="center"/>
      <protection hidden="1"/>
    </xf>
    <xf numFmtId="177" fontId="8" fillId="3" borderId="2" xfId="37" applyNumberFormat="1" applyFont="1" applyFill="1" applyBorder="1" applyAlignment="1" applyProtection="1">
      <alignment horizontal="center" vertical="center"/>
      <protection hidden="1"/>
    </xf>
    <xf numFmtId="177" fontId="8" fillId="3" borderId="3" xfId="37" applyNumberFormat="1" applyFont="1" applyFill="1" applyBorder="1" applyAlignment="1" applyProtection="1">
      <alignment horizontal="center" vertical="center"/>
      <protection hidden="1"/>
    </xf>
    <xf numFmtId="177" fontId="8" fillId="3" borderId="7" xfId="37" applyNumberFormat="1" applyFont="1" applyFill="1" applyBorder="1" applyAlignment="1" applyProtection="1">
      <alignment horizontal="center" vertical="center"/>
      <protection hidden="1"/>
    </xf>
    <xf numFmtId="177" fontId="8" fillId="3" borderId="8" xfId="37" applyNumberFormat="1" applyFont="1" applyFill="1" applyBorder="1" applyAlignment="1" applyProtection="1">
      <alignment horizontal="center" vertical="center"/>
      <protection hidden="1"/>
    </xf>
    <xf numFmtId="177" fontId="8" fillId="3" borderId="9" xfId="37" applyNumberFormat="1" applyFont="1" applyFill="1" applyBorder="1" applyAlignment="1" applyProtection="1">
      <alignment horizontal="center" vertical="center"/>
      <protection hidden="1"/>
    </xf>
    <xf numFmtId="177" fontId="8" fillId="3" borderId="10" xfId="37" applyNumberFormat="1" applyFont="1" applyFill="1" applyBorder="1" applyAlignment="1" applyProtection="1">
      <alignment horizontal="center" vertical="center"/>
      <protection hidden="1"/>
    </xf>
    <xf numFmtId="177" fontId="16" fillId="0" borderId="0" xfId="1" applyNumberFormat="1" applyFont="1" applyFill="1" applyBorder="1" applyAlignment="1" applyProtection="1">
      <alignment horizontal="center" vertical="center"/>
      <protection hidden="1"/>
    </xf>
    <xf numFmtId="177" fontId="39" fillId="0" borderId="0" xfId="37" applyNumberFormat="1" applyFont="1" applyFill="1" applyBorder="1" applyAlignment="1" applyProtection="1">
      <alignment vertical="center"/>
      <protection hidden="1"/>
    </xf>
  </cellXfs>
  <cellStyles count="45">
    <cellStyle name="******************************************" xfId="3" xr:uid="{00000000-0005-0000-0000-000031000000}"/>
    <cellStyle name="_(补充资料）4488-2008ys22中粮公主岭" xfId="4" xr:uid="{00000000-0005-0000-0000-000032000000}"/>
    <cellStyle name="_2007年滚动预算-20070728-1735" xfId="5" xr:uid="{00000000-0005-0000-0000-000033000000}"/>
    <cellStyle name="_2008-采购预算汇总" xfId="6" xr:uid="{00000000-0005-0000-0000-000034000000}"/>
    <cellStyle name="_2008年5月玉米统计" xfId="7" xr:uid="{00000000-0005-0000-0000-000035000000}"/>
    <cellStyle name="_2008年度资金计划-20080214" xfId="8" xr:uid="{00000000-0005-0000-0000-000036000000}"/>
    <cellStyle name="_2222" xfId="9" xr:uid="{00000000-0005-0000-0000-000037000000}"/>
    <cellStyle name="_3月原煤、玉米出库成本预计" xfId="10" xr:uid="{00000000-0005-0000-0000-000038000000}"/>
    <cellStyle name="_4-12月份预测" xfId="11" xr:uid="{00000000-0005-0000-0000-000039000000}"/>
    <cellStyle name="_4488-2008ys22中粮公主岭" xfId="12" xr:uid="{00000000-0005-0000-0000-00003A000000}"/>
    <cellStyle name="_采购计划200803" xfId="13" xr:uid="{00000000-0005-0000-0000-00003B000000}"/>
    <cellStyle name="_采购计划表" xfId="14" xr:uid="{00000000-0005-0000-0000-00003C000000}"/>
    <cellStyle name="_采购预算表-采购部8-12修改" xfId="15" xr:uid="{00000000-0005-0000-0000-00003D000000}"/>
    <cellStyle name="_采购预算表-采购部wangmeiyu" xfId="16" xr:uid="{00000000-0005-0000-0000-00003E000000}"/>
    <cellStyle name="_二段烘干煤炭接收明细表1" xfId="17" xr:uid="{00000000-0005-0000-0000-00003F000000}"/>
    <cellStyle name="_公用工程煤细20080102" xfId="18" xr:uid="{00000000-0005-0000-0000-000040000000}"/>
    <cellStyle name="_滚动测算200904-12(费用)" xfId="19" xr:uid="{00000000-0005-0000-0000-000041000000}"/>
    <cellStyle name="_煤运费" xfId="20" xr:uid="{00000000-0005-0000-0000-000042000000}"/>
    <cellStyle name="_每月吨费用" xfId="21" xr:uid="{00000000-0005-0000-0000-000043000000}"/>
    <cellStyle name="_年度预算2008-（4488）" xfId="22" xr:uid="{00000000-0005-0000-0000-000044000000}"/>
    <cellStyle name="_年度预算2008-（65.8-4569）" xfId="23" xr:uid="{00000000-0005-0000-0000-000045000000}"/>
    <cellStyle name="_生产计划汇总20080317" xfId="24" xr:uid="{00000000-0005-0000-0000-000046000000}"/>
    <cellStyle name="_生产预算200804(内部）" xfId="25" xr:uid="{00000000-0005-0000-0000-000047000000}"/>
    <cellStyle name="_玉米8-12月采购预算" xfId="26" xr:uid="{00000000-0005-0000-0000-000048000000}"/>
    <cellStyle name="_原煤台账08年4月份-终版" xfId="27" xr:uid="{00000000-0005-0000-0000-000049000000}"/>
    <cellStyle name="Comma_J3" xfId="28" xr:uid="{00000000-0005-0000-0000-00004A000000}"/>
    <cellStyle name="Normal_Cash Budget and Cashflow Statement Format" xfId="29" xr:uid="{00000000-0005-0000-0000-00004B000000}"/>
    <cellStyle name="SAPBEXHLevel0_Budget format (28_08_2003)" xfId="30" xr:uid="{00000000-0005-0000-0000-00004C000000}"/>
    <cellStyle name="SAPBEXHLevel1_Budget format (28_08_2003)" xfId="31" xr:uid="{00000000-0005-0000-0000-00004D000000}"/>
    <cellStyle name="百分比" xfId="2" builtinId="5"/>
    <cellStyle name="百分比 2" xfId="32" xr:uid="{00000000-0005-0000-0000-00004E000000}"/>
    <cellStyle name="百分比 3" xfId="33" xr:uid="{00000000-0005-0000-0000-00004F000000}"/>
    <cellStyle name="常规" xfId="0" builtinId="0"/>
    <cellStyle name="常规 2" xfId="34" xr:uid="{00000000-0005-0000-0000-000050000000}"/>
    <cellStyle name="常规 3" xfId="35" xr:uid="{00000000-0005-0000-0000-000051000000}"/>
    <cellStyle name="常规_200801" xfId="36" xr:uid="{00000000-0005-0000-0000-000052000000}"/>
    <cellStyle name="常规_年度预算2008（3-12事业部销量与销价）" xfId="37" xr:uid="{00000000-0005-0000-0000-000053000000}"/>
    <cellStyle name="超链接 2" xfId="38" xr:uid="{00000000-0005-0000-0000-000054000000}"/>
    <cellStyle name="千分位[0]_CRE" xfId="39" xr:uid="{00000000-0005-0000-0000-000055000000}"/>
    <cellStyle name="千位分隔" xfId="1" builtinId="3"/>
    <cellStyle name="千位分隔 2" xfId="40" xr:uid="{00000000-0005-0000-0000-000056000000}"/>
    <cellStyle name="千位分隔 21" xfId="41" xr:uid="{00000000-0005-0000-0000-000057000000}"/>
    <cellStyle name="千位分隔 3" xfId="42" xr:uid="{00000000-0005-0000-0000-000058000000}"/>
    <cellStyle name="样式 1" xfId="43" xr:uid="{00000000-0005-0000-0000-000059000000}"/>
    <cellStyle name="一般_CRE" xfId="44" xr:uid="{00000000-0005-0000-0000-00005A000000}"/>
  </cellStyles>
  <dxfs count="0"/>
  <tableStyles count="0" defaultTableStyle="TableStyleMedium9" defaultPivotStyle="PivotStyleLight16"/>
  <colors>
    <mruColors>
      <color rgb="FFCCFFCC"/>
      <color rgb="FFFFCC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5\&#39044;&#31639;\2009&#24180;&#39044;&#31639;\&#24180;&#24230;&#39044;&#31639;\2009&#24180;&#39044;&#31639;(&#35843;&#25972;&#39044;&#31639;)\DOCUME~1\ADMINI~1\LOCALS~1\Temp\2007&#24180;&#37202;&#31934;&#26085;&#25253;\200703&#26085;&#25253;\070320&#26085;&#25253;\zd\&#29577;&#31859;&#25253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5\&#39044;&#31639;\2009&#24180;&#39044;&#31639;\&#24180;&#24230;&#39044;&#31639;\2009&#24180;&#39044;&#31639;(&#35843;&#25972;&#39044;&#31639;)\DOCUME~1\ADMINI~1\LOCALS~1\Temp\2007&#24180;&#37202;&#31934;&#26085;&#25253;\200703&#26085;&#25253;\070320&#26085;&#25253;\zd\&#37319;&#36141;&#26085;&#25253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11111\2017&#24180;&#39044;&#31639;\&#21508;&#37096;&#38376;&#25253;\2017&#24180;&#24230;&#39044;&#31639;(&#29983;&#20135;)-&#29983;&#20135;&#25253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36130;%20&#21153;%20&#25253;%20&#34920;\02&#20840;&#38754;&#39044;&#31639;\2013&#24180;&#39044;&#31639;\2013&#24180;&#39044;&#31639;\2013&#24180;&#39044;&#31639;-&#26368;&#32456;\&#27494;&#27721;&#32508;&#21512;&#39044;&#31639;&#34920;2013-&#38144;&#37327;&#22686;&#2115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5691\Documents\temp\2024&#24180;&#24230;&#39044;&#31639;(&#29983;&#20135;)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&#30424;\1-&#27494;&#27721;&#20844;&#21496;\2-&#39044;&#31639;&#31649;&#29702;\1-&#24180;&#24230;&#39044;&#31639;\2018&#24180;&#39044;&#31639;\2018&#24180;&#39044;&#31639;\2014&#24180;&#24230;&#39044;&#31639;(&#27494;&#27721;)201408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日（陈）"/>
      <sheetName val="日表"/>
      <sheetName val="前期数据"/>
      <sheetName val="库存"/>
      <sheetName val="采购"/>
      <sheetName val="采购日报"/>
      <sheetName val="生产"/>
      <sheetName val="生产日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玉米采购"/>
      <sheetName val="厂内潮玉米日采购量价"/>
      <sheetName val="潮玉米数量趋势图"/>
      <sheetName val="潮玉米价格趋势图"/>
      <sheetName val="潮玉米采购价格日报表"/>
      <sheetName val="玉米质量"/>
      <sheetName val="陈化粮回粮情况"/>
      <sheetName val="粮库采购日报表"/>
      <sheetName val="粮库采购及回粮日报表"/>
      <sheetName val="粮库玉米库存"/>
      <sheetName val="本潮粮期累计情况"/>
      <sheetName val="代理玉米预期成本"/>
      <sheetName val="代收合同报表"/>
      <sheetName val="陈化粮延期合同"/>
      <sheetName val="潮玉米合同"/>
      <sheetName val="厂内烘后玉米"/>
      <sheetName val="厂内玉米消耗"/>
      <sheetName val="玉米库存"/>
      <sheetName val="厂内潮玉米日收购量(图)"/>
      <sheetName val="租赁粮库潮粮收购量（图）"/>
      <sheetName val="价格对比图"/>
      <sheetName val="租赁粮库情况报表"/>
      <sheetName val="玉米库存1"/>
      <sheetName val="在手合同一览表"/>
      <sheetName val="原煤采购"/>
      <sheetName val="原煤供应商"/>
      <sheetName val="原煤购消存"/>
      <sheetName val="原煤质量"/>
      <sheetName val="原煤供应情况图表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果糖"/>
      <sheetName val="麦芽糖"/>
      <sheetName val="锅炉工段"/>
      <sheetName val="污水"/>
      <sheetName val="能源消耗"/>
    </sheetNames>
    <sheetDataSet>
      <sheetData sheetId="0" refreshError="1">
        <row r="64">
          <cell r="D64">
            <v>2800</v>
          </cell>
          <cell r="E64">
            <v>2800</v>
          </cell>
          <cell r="F64">
            <v>2800</v>
          </cell>
          <cell r="G64">
            <v>2800</v>
          </cell>
          <cell r="H64">
            <v>2800</v>
          </cell>
          <cell r="I64">
            <v>2800</v>
          </cell>
          <cell r="J64">
            <v>2800</v>
          </cell>
          <cell r="K64">
            <v>2800</v>
          </cell>
          <cell r="L64">
            <v>2800</v>
          </cell>
          <cell r="M64">
            <v>2800</v>
          </cell>
          <cell r="N64">
            <v>2800</v>
          </cell>
          <cell r="O64">
            <v>2800</v>
          </cell>
          <cell r="P64">
            <v>2800</v>
          </cell>
        </row>
      </sheetData>
      <sheetData sheetId="1" refreshError="1">
        <row r="50">
          <cell r="P50">
            <v>2800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目录"/>
      <sheetName val="经营简表"/>
      <sheetName val="利润表"/>
      <sheetName val="其他收支"/>
      <sheetName val="产销存"/>
      <sheetName val="增值税"/>
      <sheetName val="成本表"/>
      <sheetName val="辅助成本"/>
      <sheetName val="公用"/>
      <sheetName val="污水"/>
      <sheetName val="淀粉"/>
      <sheetName val="辅料成本"/>
      <sheetName val="果糖"/>
      <sheetName val="单价"/>
      <sheetName val="管理费用"/>
      <sheetName val="销售费用"/>
      <sheetName val="制造费用"/>
      <sheetName val="财务费用"/>
      <sheetName val="资产负债表"/>
      <sheetName val="资金计划"/>
      <sheetName val="现金流-直接"/>
      <sheetName val="现金流-间接"/>
      <sheetName val="财务指标表"/>
      <sheetName val="折旧"/>
    </sheetNames>
    <sheetDataSet>
      <sheetData sheetId="0" refreshError="1"/>
      <sheetData sheetId="1" refreshError="1"/>
      <sheetData sheetId="2" refreshError="1"/>
      <sheetData sheetId="3">
        <row r="2">
          <cell r="P2" t="str">
            <v>日  期：2012年9月15日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果糖"/>
      <sheetName val="葡萄糖"/>
      <sheetName val="麦芽糖"/>
      <sheetName val="锅炉工段"/>
      <sheetName val="污水"/>
      <sheetName val="能源消耗"/>
      <sheetName val="果糖一线"/>
      <sheetName val="果糖二线"/>
      <sheetName val="混配糖"/>
      <sheetName val="Sheet1"/>
    </sheetNames>
    <sheetDataSet>
      <sheetData sheetId="0">
        <row r="8">
          <cell r="D8">
            <v>30</v>
          </cell>
          <cell r="E8">
            <v>18</v>
          </cell>
          <cell r="F8">
            <v>17</v>
          </cell>
          <cell r="G8">
            <v>25</v>
          </cell>
          <cell r="H8">
            <v>29.6666666666667</v>
          </cell>
          <cell r="I8">
            <v>29.6666666666667</v>
          </cell>
          <cell r="J8">
            <v>30.6666666666667</v>
          </cell>
          <cell r="K8">
            <v>30.6666666666667</v>
          </cell>
          <cell r="L8">
            <v>28.6666666666667</v>
          </cell>
          <cell r="M8">
            <v>16</v>
          </cell>
          <cell r="N8">
            <v>17</v>
          </cell>
          <cell r="O8">
            <v>29.5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目录"/>
      <sheetName val="经营简表"/>
      <sheetName val="利润表"/>
      <sheetName val="其他收支"/>
      <sheetName val="产销存"/>
      <sheetName val="增值税"/>
      <sheetName val="成本表"/>
      <sheetName val="辅助成本"/>
      <sheetName val="公用"/>
      <sheetName val="污水"/>
      <sheetName val="淀粉"/>
      <sheetName val="辅料成本"/>
      <sheetName val="果糖"/>
      <sheetName val="单价"/>
      <sheetName val="管理费用"/>
      <sheetName val="销售费用"/>
      <sheetName val="制造费用"/>
      <sheetName val="财务费用"/>
      <sheetName val="资产负债表"/>
      <sheetName val="资金计划"/>
      <sheetName val="现金流-直接"/>
      <sheetName val="现金流-间接"/>
      <sheetName val="财务指标表"/>
      <sheetName val="折旧"/>
      <sheetName val="所得税"/>
      <sheetName val="利润影响分析"/>
      <sheetName val="产量、加工费对比"/>
      <sheetName val="运营系统"/>
      <sheetName val="负债"/>
      <sheetName val="Sheet1"/>
      <sheetName val="Sheet2"/>
      <sheetName val="终稿系统更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>
        <row r="36">
          <cell r="D36">
            <v>4.3849999999999998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7"/>
  </sheetPr>
  <dimension ref="A1:GW98"/>
  <sheetViews>
    <sheetView showZeros="0" workbookViewId="0">
      <pane xSplit="2" ySplit="4" topLeftCell="C81" activePane="bottomRight" state="frozen"/>
      <selection pane="topRight"/>
      <selection pane="bottomLeft"/>
      <selection pane="bottomRight" activeCell="Q90" sqref="Q90"/>
    </sheetView>
  </sheetViews>
  <sheetFormatPr defaultColWidth="10.58203125" defaultRowHeight="15.75" customHeight="1" x14ac:dyDescent="0.25"/>
  <cols>
    <col min="1" max="1" width="15.08203125" style="12" customWidth="1"/>
    <col min="2" max="2" width="5.08203125" style="13" customWidth="1"/>
    <col min="3" max="3" width="4.58203125" style="13" customWidth="1"/>
    <col min="4" max="9" width="7.58203125" style="13" customWidth="1"/>
    <col min="10" max="10" width="8.5" style="13" customWidth="1"/>
    <col min="11" max="15" width="7.58203125" style="13" customWidth="1"/>
    <col min="16" max="16" width="9.58203125" style="13" customWidth="1"/>
    <col min="17" max="17" width="11.08203125" style="11" customWidth="1"/>
    <col min="18" max="18" width="10.5" style="9" customWidth="1"/>
    <col min="19" max="16384" width="10.58203125" style="13"/>
  </cols>
  <sheetData>
    <row r="1" spans="1:31" s="6" customFormat="1" ht="27" customHeight="1" x14ac:dyDescent="0.25">
      <c r="A1" s="238" t="s">
        <v>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57"/>
    </row>
    <row r="2" spans="1:31" s="6" customFormat="1" ht="15.75" customHeight="1" x14ac:dyDescent="0.25">
      <c r="A2" s="14"/>
      <c r="B2" s="15"/>
      <c r="C2" s="16"/>
      <c r="D2" s="15"/>
      <c r="E2" s="15"/>
      <c r="F2" s="15"/>
      <c r="G2" s="15"/>
      <c r="H2" s="15"/>
      <c r="L2" s="15"/>
      <c r="M2" s="15"/>
      <c r="O2" s="15"/>
      <c r="P2" s="53" t="s">
        <v>1</v>
      </c>
      <c r="R2" s="58"/>
    </row>
    <row r="3" spans="1:31" ht="15.75" customHeight="1" x14ac:dyDescent="0.25">
      <c r="A3" s="241" t="s">
        <v>2</v>
      </c>
      <c r="B3" s="241" t="s">
        <v>3</v>
      </c>
      <c r="C3" s="241" t="s">
        <v>4</v>
      </c>
      <c r="D3" s="239" t="s">
        <v>5</v>
      </c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S3" s="59"/>
      <c r="T3" s="59"/>
      <c r="U3" s="59"/>
    </row>
    <row r="4" spans="1:31" ht="15.75" customHeight="1" x14ac:dyDescent="0.25">
      <c r="A4" s="242"/>
      <c r="B4" s="242"/>
      <c r="C4" s="242"/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  <c r="Q4" s="60"/>
    </row>
    <row r="5" spans="1:31" s="7" customFormat="1" ht="15.75" customHeight="1" x14ac:dyDescent="0.25">
      <c r="A5" s="18" t="s">
        <v>19</v>
      </c>
      <c r="B5" s="19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1"/>
      <c r="R5" s="9"/>
      <c r="S5" s="59"/>
      <c r="T5" s="59"/>
      <c r="U5" s="59"/>
    </row>
    <row r="6" spans="1:31" ht="15.75" customHeight="1" x14ac:dyDescent="0.25">
      <c r="A6" s="22" t="s">
        <v>20</v>
      </c>
      <c r="B6" s="23" t="s">
        <v>21</v>
      </c>
      <c r="C6" s="24"/>
      <c r="D6" s="25">
        <f>24*D92</f>
        <v>744</v>
      </c>
      <c r="E6" s="25">
        <f>24*E92</f>
        <v>672</v>
      </c>
      <c r="F6" s="25">
        <f>24*F92</f>
        <v>744</v>
      </c>
      <c r="G6" s="25">
        <f>24*G92</f>
        <v>720</v>
      </c>
      <c r="H6" s="25">
        <f>24*H92</f>
        <v>744</v>
      </c>
      <c r="I6" s="25">
        <f>24*I92</f>
        <v>720</v>
      </c>
      <c r="J6" s="25">
        <f>24*J92</f>
        <v>744</v>
      </c>
      <c r="K6" s="25">
        <f>24*K92</f>
        <v>744</v>
      </c>
      <c r="L6" s="25">
        <f>24*L92</f>
        <v>720</v>
      </c>
      <c r="M6" s="25">
        <f>24*M92</f>
        <v>744</v>
      </c>
      <c r="N6" s="25">
        <f>24*N92</f>
        <v>720</v>
      </c>
      <c r="O6" s="25">
        <f>24*O92</f>
        <v>744</v>
      </c>
      <c r="P6" s="26">
        <f>SUM(D6:O6)</f>
        <v>8760</v>
      </c>
      <c r="Q6" s="60"/>
      <c r="T6" s="9"/>
    </row>
    <row r="7" spans="1:31" ht="15.75" customHeight="1" x14ac:dyDescent="0.25">
      <c r="A7" s="22" t="s">
        <v>22</v>
      </c>
      <c r="B7" s="23" t="s">
        <v>21</v>
      </c>
      <c r="C7" s="24"/>
      <c r="D7" s="26">
        <f>D6-D9</f>
        <v>650</v>
      </c>
      <c r="E7" s="26">
        <f t="shared" ref="E7:O7" si="0">E6-E9</f>
        <v>407</v>
      </c>
      <c r="F7" s="26">
        <f t="shared" si="0"/>
        <v>644</v>
      </c>
      <c r="G7" s="26">
        <f t="shared" si="0"/>
        <v>540</v>
      </c>
      <c r="H7" s="26">
        <f t="shared" si="0"/>
        <v>744</v>
      </c>
      <c r="I7" s="26">
        <f t="shared" si="0"/>
        <v>720</v>
      </c>
      <c r="J7" s="26">
        <f t="shared" si="0"/>
        <v>744</v>
      </c>
      <c r="K7" s="26">
        <f t="shared" si="0"/>
        <v>744</v>
      </c>
      <c r="L7" s="26">
        <f t="shared" si="0"/>
        <v>600</v>
      </c>
      <c r="M7" s="26">
        <f t="shared" si="0"/>
        <v>558</v>
      </c>
      <c r="N7" s="26">
        <f t="shared" si="0"/>
        <v>534</v>
      </c>
      <c r="O7" s="26">
        <f t="shared" si="0"/>
        <v>744</v>
      </c>
      <c r="P7" s="26">
        <f>SUM(D7:O7)</f>
        <v>7629</v>
      </c>
      <c r="Q7" s="60"/>
      <c r="T7" s="9"/>
    </row>
    <row r="8" spans="1:31" ht="15.75" customHeight="1" x14ac:dyDescent="0.25">
      <c r="A8" s="22" t="s">
        <v>22</v>
      </c>
      <c r="B8" s="23" t="s">
        <v>23</v>
      </c>
      <c r="C8" s="24"/>
      <c r="D8" s="26">
        <f t="shared" ref="D8:P8" si="1">D7/24</f>
        <v>27.083333333333332</v>
      </c>
      <c r="E8" s="26">
        <f t="shared" si="1"/>
        <v>16.958333333333332</v>
      </c>
      <c r="F8" s="26">
        <f t="shared" si="1"/>
        <v>26.833333333333332</v>
      </c>
      <c r="G8" s="26">
        <f t="shared" si="1"/>
        <v>22.5</v>
      </c>
      <c r="H8" s="26">
        <f t="shared" si="1"/>
        <v>31</v>
      </c>
      <c r="I8" s="26">
        <f t="shared" si="1"/>
        <v>30</v>
      </c>
      <c r="J8" s="26">
        <f t="shared" si="1"/>
        <v>31</v>
      </c>
      <c r="K8" s="26">
        <f t="shared" si="1"/>
        <v>31</v>
      </c>
      <c r="L8" s="26">
        <f t="shared" si="1"/>
        <v>25</v>
      </c>
      <c r="M8" s="26">
        <f t="shared" si="1"/>
        <v>23.25</v>
      </c>
      <c r="N8" s="26">
        <f t="shared" si="1"/>
        <v>22.25</v>
      </c>
      <c r="O8" s="26">
        <f t="shared" si="1"/>
        <v>31</v>
      </c>
      <c r="P8" s="26">
        <f t="shared" si="1"/>
        <v>317.875</v>
      </c>
      <c r="Q8" s="60"/>
      <c r="T8" s="9"/>
    </row>
    <row r="9" spans="1:31" ht="15.75" customHeight="1" x14ac:dyDescent="0.25">
      <c r="A9" s="22" t="s">
        <v>24</v>
      </c>
      <c r="B9" s="23" t="s">
        <v>21</v>
      </c>
      <c r="C9" s="24"/>
      <c r="D9" s="26">
        <f>SUM(D10:D12)</f>
        <v>94</v>
      </c>
      <c r="E9" s="26">
        <f>SUM(E10:E12)</f>
        <v>265</v>
      </c>
      <c r="F9" s="26">
        <f t="shared" ref="F9:O9" si="2">SUM(F10:F12)</f>
        <v>100</v>
      </c>
      <c r="G9" s="26">
        <f t="shared" si="2"/>
        <v>180</v>
      </c>
      <c r="H9" s="26">
        <f t="shared" si="2"/>
        <v>0</v>
      </c>
      <c r="I9" s="26">
        <f t="shared" si="2"/>
        <v>0</v>
      </c>
      <c r="J9" s="26">
        <f t="shared" si="2"/>
        <v>0</v>
      </c>
      <c r="K9" s="26">
        <f t="shared" si="2"/>
        <v>0</v>
      </c>
      <c r="L9" s="26">
        <f t="shared" si="2"/>
        <v>120</v>
      </c>
      <c r="M9" s="26">
        <f t="shared" si="2"/>
        <v>186</v>
      </c>
      <c r="N9" s="26">
        <f t="shared" si="2"/>
        <v>186</v>
      </c>
      <c r="O9" s="26">
        <f t="shared" si="2"/>
        <v>0</v>
      </c>
      <c r="P9" s="26">
        <f>SUM(D9:O9)</f>
        <v>1131</v>
      </c>
      <c r="Q9" s="60"/>
      <c r="T9" s="9"/>
    </row>
    <row r="10" spans="1:31" ht="15.75" customHeight="1" x14ac:dyDescent="0.25">
      <c r="A10" s="27" t="s">
        <v>25</v>
      </c>
      <c r="B10" s="23" t="s">
        <v>21</v>
      </c>
      <c r="C10" s="24"/>
      <c r="D10" s="25">
        <v>94</v>
      </c>
      <c r="E10" s="25">
        <v>265</v>
      </c>
      <c r="F10" s="25">
        <v>100</v>
      </c>
      <c r="G10" s="25">
        <v>180</v>
      </c>
      <c r="H10" s="25">
        <v>0</v>
      </c>
      <c r="I10" s="25">
        <v>0</v>
      </c>
      <c r="J10" s="25">
        <v>0</v>
      </c>
      <c r="K10" s="25">
        <v>0</v>
      </c>
      <c r="L10" s="25">
        <v>120</v>
      </c>
      <c r="M10" s="25">
        <v>186</v>
      </c>
      <c r="N10" s="25">
        <v>186</v>
      </c>
      <c r="O10" s="25">
        <v>0</v>
      </c>
      <c r="P10" s="26">
        <f>SUM(D10:O10)</f>
        <v>1131</v>
      </c>
      <c r="Q10" s="60"/>
      <c r="T10" s="25">
        <v>108</v>
      </c>
      <c r="U10" s="25">
        <v>260</v>
      </c>
      <c r="V10" s="25">
        <v>200</v>
      </c>
      <c r="W10" s="25">
        <v>360</v>
      </c>
      <c r="X10" s="25">
        <v>0</v>
      </c>
      <c r="Y10" s="25">
        <v>0</v>
      </c>
      <c r="Z10" s="25">
        <v>0</v>
      </c>
      <c r="AA10" s="25">
        <v>0</v>
      </c>
      <c r="AB10" s="25">
        <v>240</v>
      </c>
      <c r="AC10" s="25">
        <v>372</v>
      </c>
      <c r="AD10" s="25">
        <v>372</v>
      </c>
      <c r="AE10" s="25">
        <v>0</v>
      </c>
    </row>
    <row r="11" spans="1:31" ht="15.75" customHeight="1" x14ac:dyDescent="0.25">
      <c r="A11" s="27" t="s">
        <v>26</v>
      </c>
      <c r="B11" s="23" t="s">
        <v>21</v>
      </c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>
        <f>SUM(D11:O11)</f>
        <v>0</v>
      </c>
      <c r="Q11" s="60"/>
      <c r="T11" s="25">
        <v>80</v>
      </c>
      <c r="U11" s="25">
        <v>270</v>
      </c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spans="1:31" ht="15.75" customHeight="1" x14ac:dyDescent="0.25">
      <c r="A12" s="27" t="s">
        <v>27</v>
      </c>
      <c r="B12" s="23" t="s">
        <v>21</v>
      </c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>
        <f>SUM(D12:O12)</f>
        <v>0</v>
      </c>
      <c r="Q12" s="60"/>
      <c r="T12" s="9">
        <f>(T10+T11)/2</f>
        <v>94</v>
      </c>
      <c r="U12" s="9">
        <f t="shared" ref="U12:AE12" si="3">(U10+U11)/2</f>
        <v>265</v>
      </c>
      <c r="V12" s="9">
        <f t="shared" si="3"/>
        <v>100</v>
      </c>
      <c r="W12" s="9">
        <f t="shared" si="3"/>
        <v>180</v>
      </c>
      <c r="X12" s="9">
        <f t="shared" si="3"/>
        <v>0</v>
      </c>
      <c r="Y12" s="9">
        <f t="shared" si="3"/>
        <v>0</v>
      </c>
      <c r="Z12" s="9">
        <f t="shared" si="3"/>
        <v>0</v>
      </c>
      <c r="AA12" s="9">
        <f t="shared" si="3"/>
        <v>0</v>
      </c>
      <c r="AB12" s="9">
        <f t="shared" si="3"/>
        <v>120</v>
      </c>
      <c r="AC12" s="9">
        <f t="shared" si="3"/>
        <v>186</v>
      </c>
      <c r="AD12" s="9">
        <f t="shared" si="3"/>
        <v>186</v>
      </c>
      <c r="AE12" s="9">
        <f t="shared" si="3"/>
        <v>0</v>
      </c>
    </row>
    <row r="13" spans="1:31" s="7" customFormat="1" ht="15.75" customHeight="1" x14ac:dyDescent="0.25">
      <c r="A13" s="18" t="s">
        <v>28</v>
      </c>
      <c r="B13" s="19"/>
      <c r="C13" s="20"/>
      <c r="D13" s="21">
        <v>120</v>
      </c>
      <c r="E13" s="21">
        <v>0</v>
      </c>
      <c r="F13" s="21">
        <v>120</v>
      </c>
      <c r="G13" s="21">
        <v>120</v>
      </c>
      <c r="H13" s="21">
        <v>240</v>
      </c>
      <c r="I13" s="21">
        <v>120</v>
      </c>
      <c r="J13" s="21">
        <v>360</v>
      </c>
      <c r="K13" s="21">
        <v>360</v>
      </c>
      <c r="L13" s="21">
        <v>90</v>
      </c>
      <c r="M13" s="21">
        <v>0</v>
      </c>
      <c r="N13" s="21">
        <v>120</v>
      </c>
      <c r="O13" s="21">
        <v>150</v>
      </c>
      <c r="P13" s="21"/>
      <c r="Q13" s="60"/>
      <c r="R13" s="9"/>
      <c r="S13" s="59"/>
      <c r="T13" s="9"/>
      <c r="U13" s="59"/>
    </row>
    <row r="14" spans="1:31" ht="15.75" customHeight="1" x14ac:dyDescent="0.25">
      <c r="A14" s="22" t="s">
        <v>29</v>
      </c>
      <c r="B14" s="23" t="s">
        <v>30</v>
      </c>
      <c r="C14" s="24"/>
      <c r="D14" s="28">
        <f>IF(D35=0,0,1/D35)</f>
        <v>1.0803817964571032</v>
      </c>
      <c r="E14" s="28">
        <f t="shared" ref="E14:P14" si="4">IF(E35=0,0,1/E35)</f>
        <v>1.0803112210812817</v>
      </c>
      <c r="F14" s="28">
        <f t="shared" si="4"/>
        <v>1.0802223445207468</v>
      </c>
      <c r="G14" s="28">
        <f t="shared" si="4"/>
        <v>1.0799700995278805</v>
      </c>
      <c r="H14" s="28">
        <f t="shared" si="4"/>
        <v>1.0803596885890114</v>
      </c>
      <c r="I14" s="28">
        <f t="shared" si="4"/>
        <v>1.0803513400249101</v>
      </c>
      <c r="J14" s="28">
        <f t="shared" si="4"/>
        <v>1.0803307546761032</v>
      </c>
      <c r="K14" s="28">
        <f t="shared" si="4"/>
        <v>1.0803853931766931</v>
      </c>
      <c r="L14" s="28">
        <f t="shared" si="4"/>
        <v>1.0800207072316022</v>
      </c>
      <c r="M14" s="28">
        <f t="shared" si="4"/>
        <v>1.0799610058889066</v>
      </c>
      <c r="N14" s="28">
        <f t="shared" si="4"/>
        <v>1.0799167609503797</v>
      </c>
      <c r="O14" s="28">
        <f t="shared" si="4"/>
        <v>1.0804602858092389</v>
      </c>
      <c r="P14" s="28">
        <f t="shared" si="4"/>
        <v>1.079913606911447</v>
      </c>
      <c r="Q14" s="60"/>
      <c r="T14" s="9"/>
    </row>
    <row r="15" spans="1:31" s="7" customFormat="1" ht="15.75" customHeight="1" x14ac:dyDescent="0.25">
      <c r="A15" s="18" t="s">
        <v>31</v>
      </c>
      <c r="B15" s="19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>
        <f>SUM(D15:O15)</f>
        <v>0</v>
      </c>
      <c r="Q15" s="60"/>
      <c r="R15" s="9"/>
      <c r="S15" s="59"/>
      <c r="T15" s="9"/>
      <c r="U15" s="59"/>
    </row>
    <row r="16" spans="1:31" ht="15.75" customHeight="1" x14ac:dyDescent="0.25">
      <c r="A16" s="29" t="s">
        <v>32</v>
      </c>
      <c r="B16" s="23" t="s">
        <v>30</v>
      </c>
      <c r="C16" s="24"/>
      <c r="D16" s="28">
        <f>IF(D7=0,0,(D18+D24)/D7/(333+480)*24)</f>
        <v>0.87850127732046557</v>
      </c>
      <c r="E16" s="28">
        <f t="shared" ref="E16:P16" si="5">IF(E7=0,0,(E18+E24)/E7/(333+480)*24)</f>
        <v>0.80165371678286812</v>
      </c>
      <c r="F16" s="28">
        <f t="shared" si="5"/>
        <v>0.64518347046824509</v>
      </c>
      <c r="G16" s="28">
        <f t="shared" si="5"/>
        <v>0.55252152521525211</v>
      </c>
      <c r="H16" s="28">
        <f t="shared" si="5"/>
        <v>0.72098559695274367</v>
      </c>
      <c r="I16" s="28">
        <f t="shared" si="5"/>
        <v>0.75086100861008609</v>
      </c>
      <c r="J16" s="28">
        <f t="shared" si="5"/>
        <v>0.73362298139110427</v>
      </c>
      <c r="K16" s="28">
        <f t="shared" si="5"/>
        <v>0.73235329127484827</v>
      </c>
      <c r="L16" s="28">
        <f t="shared" si="5"/>
        <v>0.60767527675276756</v>
      </c>
      <c r="M16" s="28">
        <f t="shared" si="5"/>
        <v>0.44052956658598846</v>
      </c>
      <c r="N16" s="28">
        <f t="shared" si="5"/>
        <v>0.44639772240419034</v>
      </c>
      <c r="O16" s="28">
        <f t="shared" si="5"/>
        <v>0.63871364520096818</v>
      </c>
      <c r="P16" s="28">
        <f t="shared" si="5"/>
        <v>0.66887904427608968</v>
      </c>
      <c r="Q16" s="60" t="s">
        <v>33</v>
      </c>
      <c r="T16" s="9"/>
    </row>
    <row r="17" spans="1:21" s="7" customFormat="1" ht="15.75" customHeight="1" x14ac:dyDescent="0.25">
      <c r="A17" s="18" t="s">
        <v>34</v>
      </c>
      <c r="B17" s="19"/>
      <c r="C17" s="20"/>
      <c r="D17" s="30">
        <f>D18+D24+D29+D30</f>
        <v>20266.236000000001</v>
      </c>
      <c r="E17" s="30">
        <f t="shared" ref="E17:O17" si="6">E18+E24+E29+E30</f>
        <v>11358.46</v>
      </c>
      <c r="F17" s="30">
        <f t="shared" si="6"/>
        <v>14531.012000000001</v>
      </c>
      <c r="G17" s="30">
        <f t="shared" si="6"/>
        <v>11042.722</v>
      </c>
      <c r="H17" s="30">
        <f t="shared" si="6"/>
        <v>18968.191999999999</v>
      </c>
      <c r="I17" s="30">
        <f t="shared" si="6"/>
        <v>19211.004000000001</v>
      </c>
      <c r="J17" s="30">
        <f t="shared" si="6"/>
        <v>19507.635999999999</v>
      </c>
      <c r="K17" s="30">
        <f t="shared" si="6"/>
        <v>19365.3</v>
      </c>
      <c r="L17" s="30">
        <f t="shared" si="6"/>
        <v>13278</v>
      </c>
      <c r="M17" s="30">
        <f t="shared" si="6"/>
        <v>8862</v>
      </c>
      <c r="N17" s="30">
        <f t="shared" si="6"/>
        <v>8712</v>
      </c>
      <c r="O17" s="30">
        <f t="shared" si="6"/>
        <v>16934.5</v>
      </c>
      <c r="P17" s="30">
        <f>SUM(D17:O17)</f>
        <v>182037.06200000001</v>
      </c>
      <c r="Q17" s="60">
        <f>P17+葡萄糖!P18+麦芽糖!P18</f>
        <v>204103.06200000001</v>
      </c>
      <c r="R17" s="9" t="s">
        <v>35</v>
      </c>
      <c r="S17" s="59"/>
      <c r="T17" s="9"/>
      <c r="U17" s="59"/>
    </row>
    <row r="18" spans="1:21" ht="15.75" customHeight="1" x14ac:dyDescent="0.25">
      <c r="A18" s="22" t="s">
        <v>36</v>
      </c>
      <c r="B18" s="23" t="s">
        <v>37</v>
      </c>
      <c r="C18" s="24"/>
      <c r="D18" s="150">
        <f>果糖一线!D18+果糖二线!D18</f>
        <v>343.5</v>
      </c>
      <c r="E18" s="150">
        <f>果糖一线!E18+果糖二线!E18</f>
        <v>52.5</v>
      </c>
      <c r="F18" s="150">
        <f>果糖一线!F18+果糖二线!F18</f>
        <v>75</v>
      </c>
      <c r="G18" s="150">
        <f>果糖一线!G18+果糖二线!G18</f>
        <v>107</v>
      </c>
      <c r="H18" s="150">
        <f>果糖一线!H18+果糖二线!H18</f>
        <v>171</v>
      </c>
      <c r="I18" s="150">
        <f>果糖一线!I18+果糖二线!I18</f>
        <v>313.5</v>
      </c>
      <c r="J18" s="150">
        <f>果糖一线!J18+果糖二线!J18</f>
        <v>489.5</v>
      </c>
      <c r="K18" s="150">
        <f>果糖一线!K18+果糖二线!K18</f>
        <v>457.5</v>
      </c>
      <c r="L18" s="150">
        <f>果糖一线!L18+果糖二线!L18</f>
        <v>351</v>
      </c>
      <c r="M18" s="150">
        <f>果糖一线!M18+果糖二线!M18</f>
        <v>327</v>
      </c>
      <c r="N18" s="150">
        <f>果糖一线!N18+果糖二线!N18</f>
        <v>75</v>
      </c>
      <c r="O18" s="150">
        <f>果糖一线!O18+果糖二线!O18</f>
        <v>97.5</v>
      </c>
      <c r="P18" s="26">
        <f>SUM(D18:O18)</f>
        <v>2860</v>
      </c>
      <c r="Q18" s="60">
        <f>P18+P24+P29+P30</f>
        <v>182037.06200000001</v>
      </c>
      <c r="R18" s="9" t="s">
        <v>38</v>
      </c>
      <c r="T18" s="9"/>
    </row>
    <row r="19" spans="1:21" ht="15.75" customHeight="1" x14ac:dyDescent="0.25">
      <c r="A19" s="27" t="s">
        <v>39</v>
      </c>
      <c r="B19" s="23" t="s">
        <v>37</v>
      </c>
      <c r="C19" s="24"/>
      <c r="D19" s="150">
        <f>果糖一线!D19+果糖二线!D19</f>
        <v>0</v>
      </c>
      <c r="E19" s="150">
        <f>果糖一线!E19+果糖二线!E19</f>
        <v>0</v>
      </c>
      <c r="F19" s="150">
        <f>果糖一线!F19+果糖二线!F19</f>
        <v>0</v>
      </c>
      <c r="G19" s="150">
        <f>果糖一线!G19+果糖二线!G19</f>
        <v>0</v>
      </c>
      <c r="H19" s="150">
        <f>果糖一线!H19+果糖二线!H19</f>
        <v>0</v>
      </c>
      <c r="I19" s="150">
        <f>果糖一线!I19+果糖二线!I19</f>
        <v>0</v>
      </c>
      <c r="J19" s="150">
        <f>果糖一线!J19+果糖二线!J19</f>
        <v>0</v>
      </c>
      <c r="K19" s="150">
        <f>果糖一线!K19+果糖二线!K19</f>
        <v>0</v>
      </c>
      <c r="L19" s="150">
        <f>果糖一线!L19+果糖二线!L19</f>
        <v>0</v>
      </c>
      <c r="M19" s="150">
        <f>果糖一线!M19+果糖二线!M19</f>
        <v>0</v>
      </c>
      <c r="N19" s="150">
        <f>果糖一线!N19+果糖二线!N19</f>
        <v>0</v>
      </c>
      <c r="O19" s="150">
        <f>果糖一线!O19+果糖二线!O19</f>
        <v>0</v>
      </c>
      <c r="P19" s="26">
        <f>SUM(D19:O19)</f>
        <v>0</v>
      </c>
      <c r="Q19" s="60"/>
      <c r="T19" s="9"/>
    </row>
    <row r="20" spans="1:21" ht="15.75" customHeight="1" x14ac:dyDescent="0.25">
      <c r="A20" s="32" t="s">
        <v>40</v>
      </c>
      <c r="B20" s="23" t="s">
        <v>30</v>
      </c>
      <c r="C20" s="24"/>
      <c r="D20" s="33">
        <f t="shared" ref="D20:P20" si="7">IF(D18=0,0,D19/D18)</f>
        <v>0</v>
      </c>
      <c r="E20" s="33">
        <f t="shared" si="7"/>
        <v>0</v>
      </c>
      <c r="F20" s="33">
        <f t="shared" si="7"/>
        <v>0</v>
      </c>
      <c r="G20" s="33">
        <f t="shared" si="7"/>
        <v>0</v>
      </c>
      <c r="H20" s="33">
        <f t="shared" si="7"/>
        <v>0</v>
      </c>
      <c r="I20" s="33">
        <f t="shared" si="7"/>
        <v>0</v>
      </c>
      <c r="J20" s="33">
        <f t="shared" si="7"/>
        <v>0</v>
      </c>
      <c r="K20" s="33">
        <f t="shared" si="7"/>
        <v>0</v>
      </c>
      <c r="L20" s="33">
        <f t="shared" si="7"/>
        <v>0</v>
      </c>
      <c r="M20" s="33">
        <f t="shared" si="7"/>
        <v>0</v>
      </c>
      <c r="N20" s="33">
        <f t="shared" si="7"/>
        <v>0</v>
      </c>
      <c r="O20" s="33">
        <f t="shared" si="7"/>
        <v>0</v>
      </c>
      <c r="P20" s="33">
        <f t="shared" si="7"/>
        <v>0</v>
      </c>
      <c r="Q20" s="60"/>
      <c r="T20" s="9"/>
    </row>
    <row r="21" spans="1:21" ht="15.75" customHeight="1" x14ac:dyDescent="0.25">
      <c r="A21" s="27" t="s">
        <v>41</v>
      </c>
      <c r="B21" s="23" t="s">
        <v>37</v>
      </c>
      <c r="C21" s="24"/>
      <c r="D21" s="26">
        <f>D18-D19</f>
        <v>343.5</v>
      </c>
      <c r="E21" s="26">
        <f t="shared" ref="E21:O21" si="8">E18-E19</f>
        <v>52.5</v>
      </c>
      <c r="F21" s="26">
        <f t="shared" si="8"/>
        <v>75</v>
      </c>
      <c r="G21" s="26">
        <f t="shared" si="8"/>
        <v>107</v>
      </c>
      <c r="H21" s="26">
        <f t="shared" si="8"/>
        <v>171</v>
      </c>
      <c r="I21" s="26">
        <f t="shared" si="8"/>
        <v>313.5</v>
      </c>
      <c r="J21" s="26">
        <f t="shared" si="8"/>
        <v>489.5</v>
      </c>
      <c r="K21" s="26">
        <f t="shared" si="8"/>
        <v>457.5</v>
      </c>
      <c r="L21" s="26">
        <f t="shared" si="8"/>
        <v>351</v>
      </c>
      <c r="M21" s="26">
        <f t="shared" si="8"/>
        <v>327</v>
      </c>
      <c r="N21" s="26">
        <f t="shared" si="8"/>
        <v>75</v>
      </c>
      <c r="O21" s="26">
        <f t="shared" si="8"/>
        <v>97.5</v>
      </c>
      <c r="P21" s="26">
        <f>SUM(D21:O21)</f>
        <v>2860</v>
      </c>
      <c r="Q21" s="60"/>
      <c r="T21" s="9"/>
    </row>
    <row r="22" spans="1:21" ht="15.75" customHeight="1" x14ac:dyDescent="0.25">
      <c r="A22" s="32" t="s">
        <v>40</v>
      </c>
      <c r="B22" s="23" t="s">
        <v>30</v>
      </c>
      <c r="C22" s="24"/>
      <c r="D22" s="33">
        <f t="shared" ref="D22:P22" si="9">IF(D18=0,0,D21/D18)</f>
        <v>1</v>
      </c>
      <c r="E22" s="33">
        <f t="shared" si="9"/>
        <v>1</v>
      </c>
      <c r="F22" s="33">
        <f t="shared" si="9"/>
        <v>1</v>
      </c>
      <c r="G22" s="33">
        <f t="shared" si="9"/>
        <v>1</v>
      </c>
      <c r="H22" s="33">
        <f t="shared" si="9"/>
        <v>1</v>
      </c>
      <c r="I22" s="33">
        <f t="shared" si="9"/>
        <v>1</v>
      </c>
      <c r="J22" s="33">
        <f t="shared" si="9"/>
        <v>1</v>
      </c>
      <c r="K22" s="33">
        <f t="shared" si="9"/>
        <v>1</v>
      </c>
      <c r="L22" s="33">
        <f t="shared" si="9"/>
        <v>1</v>
      </c>
      <c r="M22" s="33">
        <f t="shared" si="9"/>
        <v>1</v>
      </c>
      <c r="N22" s="33">
        <f t="shared" si="9"/>
        <v>1</v>
      </c>
      <c r="O22" s="33">
        <f t="shared" si="9"/>
        <v>1</v>
      </c>
      <c r="P22" s="33">
        <f t="shared" si="9"/>
        <v>1</v>
      </c>
      <c r="Q22" s="60"/>
      <c r="T22" s="9"/>
    </row>
    <row r="23" spans="1:21" ht="15.75" customHeight="1" x14ac:dyDescent="0.25">
      <c r="A23" s="22" t="s">
        <v>42</v>
      </c>
      <c r="B23" s="23" t="s">
        <v>37</v>
      </c>
      <c r="C23" s="24"/>
      <c r="D23" s="26">
        <f>D18*0.71</f>
        <v>243.88499999999999</v>
      </c>
      <c r="E23" s="26">
        <f t="shared" ref="E23:P23" si="10">E18*0.71</f>
        <v>37.274999999999999</v>
      </c>
      <c r="F23" s="26">
        <f t="shared" si="10"/>
        <v>53.25</v>
      </c>
      <c r="G23" s="26">
        <f t="shared" si="10"/>
        <v>75.97</v>
      </c>
      <c r="H23" s="26">
        <f t="shared" si="10"/>
        <v>121.41</v>
      </c>
      <c r="I23" s="26">
        <f t="shared" si="10"/>
        <v>222.58499999999998</v>
      </c>
      <c r="J23" s="26">
        <f t="shared" si="10"/>
        <v>347.54499999999996</v>
      </c>
      <c r="K23" s="26">
        <f t="shared" si="10"/>
        <v>324.82499999999999</v>
      </c>
      <c r="L23" s="26">
        <f t="shared" si="10"/>
        <v>249.20999999999998</v>
      </c>
      <c r="M23" s="26">
        <f t="shared" si="10"/>
        <v>232.17</v>
      </c>
      <c r="N23" s="26">
        <f t="shared" si="10"/>
        <v>53.25</v>
      </c>
      <c r="O23" s="26">
        <f t="shared" si="10"/>
        <v>69.224999999999994</v>
      </c>
      <c r="P23" s="26">
        <f t="shared" si="10"/>
        <v>2030.6</v>
      </c>
      <c r="Q23" s="60">
        <f>P18+P24+P29+P30+葡萄糖!P18+麦芽糖!P18</f>
        <v>204103.06200000001</v>
      </c>
      <c r="R23" s="9" t="s">
        <v>43</v>
      </c>
      <c r="T23" s="9"/>
    </row>
    <row r="24" spans="1:21" ht="15.75" customHeight="1" x14ac:dyDescent="0.25">
      <c r="A24" s="22" t="s">
        <v>44</v>
      </c>
      <c r="B24" s="23" t="s">
        <v>37</v>
      </c>
      <c r="C24" s="24"/>
      <c r="D24" s="221">
        <f>D25</f>
        <v>19000</v>
      </c>
      <c r="E24" s="221">
        <f t="shared" ref="E24:O24" si="11">E25</f>
        <v>11000</v>
      </c>
      <c r="F24" s="221">
        <f t="shared" si="11"/>
        <v>14000</v>
      </c>
      <c r="G24" s="221">
        <f t="shared" si="11"/>
        <v>10000</v>
      </c>
      <c r="H24" s="221">
        <f t="shared" si="11"/>
        <v>18000</v>
      </c>
      <c r="I24" s="221">
        <f t="shared" si="11"/>
        <v>18000</v>
      </c>
      <c r="J24" s="221">
        <f t="shared" si="11"/>
        <v>18000</v>
      </c>
      <c r="K24" s="221">
        <f t="shared" si="11"/>
        <v>18000</v>
      </c>
      <c r="L24" s="221">
        <f t="shared" si="11"/>
        <v>12000</v>
      </c>
      <c r="M24" s="221">
        <f t="shared" si="11"/>
        <v>8000</v>
      </c>
      <c r="N24" s="221">
        <f t="shared" si="11"/>
        <v>8000</v>
      </c>
      <c r="O24" s="221">
        <f t="shared" si="11"/>
        <v>16000</v>
      </c>
      <c r="P24" s="26">
        <f>SUM(D24:O24)</f>
        <v>170000</v>
      </c>
      <c r="Q24" s="60"/>
      <c r="T24" s="9"/>
    </row>
    <row r="25" spans="1:21" ht="15.75" customHeight="1" x14ac:dyDescent="0.25">
      <c r="A25" s="27" t="s">
        <v>39</v>
      </c>
      <c r="B25" s="23" t="s">
        <v>37</v>
      </c>
      <c r="C25" s="24"/>
      <c r="D25" s="150">
        <f>果糖一线!D25+果糖二线!D25</f>
        <v>19000</v>
      </c>
      <c r="E25" s="150">
        <f>果糖一线!E25+果糖二线!E25</f>
        <v>11000</v>
      </c>
      <c r="F25" s="150">
        <f>果糖一线!F25+果糖二线!F25</f>
        <v>14000</v>
      </c>
      <c r="G25" s="150">
        <f>果糖一线!G25+果糖二线!G25</f>
        <v>10000</v>
      </c>
      <c r="H25" s="150">
        <f>果糖一线!H25+果糖二线!H25</f>
        <v>18000</v>
      </c>
      <c r="I25" s="150">
        <f>果糖一线!I25+果糖二线!I25</f>
        <v>18000</v>
      </c>
      <c r="J25" s="150">
        <f>果糖一线!J25+果糖二线!J25</f>
        <v>18000</v>
      </c>
      <c r="K25" s="150">
        <f>果糖一线!K25+果糖二线!K25</f>
        <v>18000</v>
      </c>
      <c r="L25" s="150">
        <f>果糖一线!L25+果糖二线!L25</f>
        <v>12000</v>
      </c>
      <c r="M25" s="150">
        <f>果糖一线!M25+果糖二线!M25</f>
        <v>8000</v>
      </c>
      <c r="N25" s="150">
        <f>果糖一线!N25+果糖二线!N25</f>
        <v>8000</v>
      </c>
      <c r="O25" s="150">
        <f>果糖一线!O25+果糖二线!O25</f>
        <v>16000</v>
      </c>
      <c r="P25" s="26">
        <f>SUM(D25:O25)</f>
        <v>170000</v>
      </c>
      <c r="Q25" s="152"/>
      <c r="T25" s="9"/>
    </row>
    <row r="26" spans="1:21" ht="15.75" customHeight="1" x14ac:dyDescent="0.25">
      <c r="A26" s="32" t="s">
        <v>40</v>
      </c>
      <c r="B26" s="23" t="s">
        <v>30</v>
      </c>
      <c r="C26" s="24"/>
      <c r="D26" s="33">
        <f t="shared" ref="D26:P26" si="12">IF(D24=0,0,D25/D24)</f>
        <v>1</v>
      </c>
      <c r="E26" s="33">
        <f t="shared" si="12"/>
        <v>1</v>
      </c>
      <c r="F26" s="33">
        <f t="shared" si="12"/>
        <v>1</v>
      </c>
      <c r="G26" s="33">
        <f t="shared" si="12"/>
        <v>1</v>
      </c>
      <c r="H26" s="33">
        <f t="shared" si="12"/>
        <v>1</v>
      </c>
      <c r="I26" s="33">
        <f t="shared" si="12"/>
        <v>1</v>
      </c>
      <c r="J26" s="33">
        <f t="shared" si="12"/>
        <v>1</v>
      </c>
      <c r="K26" s="33">
        <f t="shared" si="12"/>
        <v>1</v>
      </c>
      <c r="L26" s="33">
        <f t="shared" si="12"/>
        <v>1</v>
      </c>
      <c r="M26" s="33">
        <f t="shared" si="12"/>
        <v>1</v>
      </c>
      <c r="N26" s="33">
        <f t="shared" si="12"/>
        <v>1</v>
      </c>
      <c r="O26" s="33">
        <f t="shared" si="12"/>
        <v>1</v>
      </c>
      <c r="P26" s="33">
        <f t="shared" si="12"/>
        <v>1</v>
      </c>
      <c r="Q26" s="60"/>
      <c r="S26" s="13">
        <f>P18+P25+P29+P30+葡萄糖!P18+葡萄糖!P19+麦芽糖!P18+混配糖!P18</f>
        <v>228473.728</v>
      </c>
      <c r="T26" s="9"/>
    </row>
    <row r="27" spans="1:21" ht="15.75" customHeight="1" x14ac:dyDescent="0.25">
      <c r="A27" s="27" t="s">
        <v>41</v>
      </c>
      <c r="B27" s="23" t="s">
        <v>37</v>
      </c>
      <c r="C27" s="24"/>
      <c r="D27" s="26">
        <f>D24-D25</f>
        <v>0</v>
      </c>
      <c r="E27" s="26">
        <f t="shared" ref="E27:O27" si="13">E24-E25</f>
        <v>0</v>
      </c>
      <c r="F27" s="26">
        <f t="shared" si="13"/>
        <v>0</v>
      </c>
      <c r="G27" s="26">
        <f t="shared" si="13"/>
        <v>0</v>
      </c>
      <c r="H27" s="26">
        <f t="shared" si="13"/>
        <v>0</v>
      </c>
      <c r="I27" s="26">
        <f t="shared" si="13"/>
        <v>0</v>
      </c>
      <c r="J27" s="26">
        <f t="shared" si="13"/>
        <v>0</v>
      </c>
      <c r="K27" s="26">
        <f t="shared" si="13"/>
        <v>0</v>
      </c>
      <c r="L27" s="26">
        <f t="shared" si="13"/>
        <v>0</v>
      </c>
      <c r="M27" s="26">
        <f t="shared" si="13"/>
        <v>0</v>
      </c>
      <c r="N27" s="26">
        <f t="shared" si="13"/>
        <v>0</v>
      </c>
      <c r="O27" s="26">
        <f t="shared" si="13"/>
        <v>0</v>
      </c>
      <c r="P27" s="26">
        <f>SUM(D27:O27)</f>
        <v>0</v>
      </c>
      <c r="Q27" s="60"/>
      <c r="T27" s="9"/>
    </row>
    <row r="28" spans="1:21" ht="15.75" customHeight="1" x14ac:dyDescent="0.25">
      <c r="A28" s="32" t="s">
        <v>40</v>
      </c>
      <c r="B28" s="34" t="s">
        <v>30</v>
      </c>
      <c r="C28" s="35"/>
      <c r="D28" s="33">
        <f t="shared" ref="D28:P28" si="14">IF(D24=0,0,D27/D24)</f>
        <v>0</v>
      </c>
      <c r="E28" s="33">
        <f t="shared" si="14"/>
        <v>0</v>
      </c>
      <c r="F28" s="33">
        <f t="shared" si="14"/>
        <v>0</v>
      </c>
      <c r="G28" s="33">
        <f t="shared" si="14"/>
        <v>0</v>
      </c>
      <c r="H28" s="33">
        <f t="shared" si="14"/>
        <v>0</v>
      </c>
      <c r="I28" s="33">
        <f t="shared" si="14"/>
        <v>0</v>
      </c>
      <c r="J28" s="33">
        <f t="shared" si="14"/>
        <v>0</v>
      </c>
      <c r="K28" s="33">
        <f t="shared" si="14"/>
        <v>0</v>
      </c>
      <c r="L28" s="33">
        <f t="shared" si="14"/>
        <v>0</v>
      </c>
      <c r="M28" s="33">
        <f t="shared" si="14"/>
        <v>0</v>
      </c>
      <c r="N28" s="33">
        <f t="shared" si="14"/>
        <v>0</v>
      </c>
      <c r="O28" s="33">
        <f t="shared" si="14"/>
        <v>0</v>
      </c>
      <c r="P28" s="33">
        <f t="shared" si="14"/>
        <v>0</v>
      </c>
      <c r="Q28" s="60"/>
      <c r="T28" s="9"/>
    </row>
    <row r="29" spans="1:21" ht="15.75" customHeight="1" x14ac:dyDescent="0.25">
      <c r="A29" s="22" t="s">
        <v>45</v>
      </c>
      <c r="B29" s="23" t="s">
        <v>37</v>
      </c>
      <c r="C29" s="24"/>
      <c r="D29" s="150">
        <f>果糖一线!D29+果糖二线!D29</f>
        <v>922.73599999999999</v>
      </c>
      <c r="E29" s="150">
        <f>果糖一线!E29+果糖二线!E29</f>
        <v>305.95999999999998</v>
      </c>
      <c r="F29" s="150">
        <f>果糖一线!F29+果糖二线!F29</f>
        <v>456.012</v>
      </c>
      <c r="G29" s="150">
        <f>果糖一线!G29+果糖二线!G29</f>
        <v>935.72199999999998</v>
      </c>
      <c r="H29" s="150">
        <f>果糖一线!H29+果糖二线!H29</f>
        <v>698.19200000000001</v>
      </c>
      <c r="I29" s="150">
        <f>果糖一线!I29+果糖二线!I29</f>
        <v>798.50400000000002</v>
      </c>
      <c r="J29" s="150">
        <f>果糖一线!J29+果糖二线!J29</f>
        <v>919.13599999999997</v>
      </c>
      <c r="K29" s="150">
        <f>果糖一线!K29+果糖二线!K29</f>
        <v>907.8</v>
      </c>
      <c r="L29" s="150">
        <f>果糖一线!L29+果糖二线!L29</f>
        <v>927</v>
      </c>
      <c r="M29" s="150">
        <f>果糖一线!M29+果糖二线!M29</f>
        <v>535</v>
      </c>
      <c r="N29" s="150">
        <f>果糖一线!N29+果糖二线!N29</f>
        <v>637</v>
      </c>
      <c r="O29" s="150">
        <f>果糖一线!O29+果糖二线!O29</f>
        <v>837</v>
      </c>
      <c r="P29" s="26">
        <f>SUM(D29:O29)</f>
        <v>8880.0620000000017</v>
      </c>
      <c r="Q29" s="60"/>
      <c r="T29" s="9"/>
    </row>
    <row r="30" spans="1:21" ht="15.75" customHeight="1" x14ac:dyDescent="0.25">
      <c r="A30" s="22" t="s">
        <v>46</v>
      </c>
      <c r="B30" s="23" t="s">
        <v>37</v>
      </c>
      <c r="C30" s="24"/>
      <c r="D30" s="150">
        <f>果糖一线!D30+果糖二线!D30</f>
        <v>0</v>
      </c>
      <c r="E30" s="150">
        <f>果糖一线!E30+果糖二线!E30</f>
        <v>0</v>
      </c>
      <c r="F30" s="150">
        <f>果糖一线!F30+果糖二线!F30</f>
        <v>0</v>
      </c>
      <c r="G30" s="150">
        <f>果糖一线!G30+果糖二线!G30</f>
        <v>0</v>
      </c>
      <c r="H30" s="150">
        <f>果糖一线!H30+果糖二线!H30</f>
        <v>99</v>
      </c>
      <c r="I30" s="150">
        <f>果糖一线!I30+果糖二线!I30</f>
        <v>99</v>
      </c>
      <c r="J30" s="150">
        <f>果糖一线!J30+果糖二线!J30</f>
        <v>99</v>
      </c>
      <c r="K30" s="150">
        <f>果糖一线!K30+果糖二线!K30</f>
        <v>0</v>
      </c>
      <c r="L30" s="150">
        <f>果糖一线!L30+果糖二线!L30</f>
        <v>0</v>
      </c>
      <c r="M30" s="150">
        <f>果糖一线!M30+果糖二线!M30</f>
        <v>0</v>
      </c>
      <c r="N30" s="150">
        <f>果糖一线!N30+果糖二线!N30</f>
        <v>0</v>
      </c>
      <c r="O30" s="150">
        <f>果糖一线!O30+果糖二线!O30</f>
        <v>0</v>
      </c>
      <c r="P30" s="26">
        <f>SUM(D30:O30)</f>
        <v>297</v>
      </c>
      <c r="Q30" s="60"/>
      <c r="T30" s="9"/>
    </row>
    <row r="31" spans="1:21" ht="15.75" customHeight="1" x14ac:dyDescent="0.25">
      <c r="A31" s="22" t="s">
        <v>47</v>
      </c>
      <c r="B31" s="23" t="s">
        <v>37</v>
      </c>
      <c r="C31" s="24"/>
      <c r="D31" s="26">
        <f>(D24+D30)*0.77+D29*0.735</f>
        <v>15308.21096</v>
      </c>
      <c r="E31" s="26">
        <f t="shared" ref="E31:O31" si="15">(E24+E30)*0.77+E29*0.735</f>
        <v>8694.8806000000004</v>
      </c>
      <c r="F31" s="26">
        <f t="shared" si="15"/>
        <v>11115.168820000001</v>
      </c>
      <c r="G31" s="26">
        <f t="shared" si="15"/>
        <v>8387.7556700000005</v>
      </c>
      <c r="H31" s="26">
        <f t="shared" si="15"/>
        <v>14449.401119999999</v>
      </c>
      <c r="I31" s="26">
        <f t="shared" si="15"/>
        <v>14523.130439999999</v>
      </c>
      <c r="J31" s="26">
        <f t="shared" si="15"/>
        <v>14611.794959999999</v>
      </c>
      <c r="K31" s="26">
        <f t="shared" si="15"/>
        <v>14527.233</v>
      </c>
      <c r="L31" s="26">
        <f t="shared" si="15"/>
        <v>9921.3449999999993</v>
      </c>
      <c r="M31" s="26">
        <f t="shared" si="15"/>
        <v>6553.2250000000004</v>
      </c>
      <c r="N31" s="26">
        <f t="shared" si="15"/>
        <v>6628.1949999999997</v>
      </c>
      <c r="O31" s="26">
        <f t="shared" si="15"/>
        <v>12935.195</v>
      </c>
      <c r="P31" s="26">
        <f>SUM(D31:O31)</f>
        <v>137655.53557000001</v>
      </c>
      <c r="Q31" s="60"/>
      <c r="T31" s="9"/>
    </row>
    <row r="32" spans="1:21" ht="15.75" customHeight="1" x14ac:dyDescent="0.25">
      <c r="A32" s="36" t="s">
        <v>48</v>
      </c>
      <c r="B32" s="37" t="s">
        <v>37</v>
      </c>
      <c r="C32" s="38"/>
      <c r="D32" s="39">
        <f>D23+D31</f>
        <v>15552.095960000001</v>
      </c>
      <c r="E32" s="39">
        <f t="shared" ref="E32:O32" si="16">E23+E31</f>
        <v>8732.1556</v>
      </c>
      <c r="F32" s="39">
        <f t="shared" si="16"/>
        <v>11168.418820000001</v>
      </c>
      <c r="G32" s="39">
        <f t="shared" si="16"/>
        <v>8463.7256699999998</v>
      </c>
      <c r="H32" s="39">
        <f t="shared" si="16"/>
        <v>14570.811119999998</v>
      </c>
      <c r="I32" s="39">
        <f t="shared" si="16"/>
        <v>14745.715439999998</v>
      </c>
      <c r="J32" s="39">
        <f t="shared" si="16"/>
        <v>14959.339959999999</v>
      </c>
      <c r="K32" s="39">
        <f t="shared" si="16"/>
        <v>14852.058000000001</v>
      </c>
      <c r="L32" s="39">
        <f t="shared" si="16"/>
        <v>10170.554999999998</v>
      </c>
      <c r="M32" s="39">
        <f t="shared" si="16"/>
        <v>6785.3950000000004</v>
      </c>
      <c r="N32" s="39">
        <f t="shared" si="16"/>
        <v>6681.4449999999997</v>
      </c>
      <c r="O32" s="39">
        <f t="shared" si="16"/>
        <v>13004.42</v>
      </c>
      <c r="P32" s="39">
        <f t="shared" ref="P32" si="17">P23+P31</f>
        <v>139686.13557000001</v>
      </c>
      <c r="Q32" s="60"/>
      <c r="T32" s="9"/>
    </row>
    <row r="33" spans="1:22" s="7" customFormat="1" ht="15.75" customHeight="1" x14ac:dyDescent="0.25">
      <c r="A33" s="18" t="s">
        <v>49</v>
      </c>
      <c r="B33" s="19"/>
      <c r="C33" s="20"/>
      <c r="D33" s="21">
        <f>D34/0.87</f>
        <v>16545.977011494251</v>
      </c>
      <c r="E33" s="21">
        <f t="shared" ref="E33:P33" si="18">E34/0.87</f>
        <v>9290.8045977011498</v>
      </c>
      <c r="F33" s="21">
        <f t="shared" si="18"/>
        <v>11883.908045977012</v>
      </c>
      <c r="G33" s="21">
        <f t="shared" si="18"/>
        <v>9008.045977011494</v>
      </c>
      <c r="H33" s="21">
        <f t="shared" si="18"/>
        <v>15502.298850574713</v>
      </c>
      <c r="I33" s="21">
        <f t="shared" si="18"/>
        <v>15688.505747126437</v>
      </c>
      <c r="J33" s="21">
        <f t="shared" si="18"/>
        <v>15916.091954022988</v>
      </c>
      <c r="K33" s="21">
        <f t="shared" si="18"/>
        <v>15801.149425287356</v>
      </c>
      <c r="L33" s="21">
        <f t="shared" si="18"/>
        <v>10824.137931034484</v>
      </c>
      <c r="M33" s="21">
        <f t="shared" si="18"/>
        <v>7221.8390804597702</v>
      </c>
      <c r="N33" s="21">
        <f t="shared" si="18"/>
        <v>7111.4942528735628</v>
      </c>
      <c r="O33" s="21">
        <f t="shared" si="18"/>
        <v>13834.48275862069</v>
      </c>
      <c r="P33" s="21">
        <f t="shared" si="18"/>
        <v>148628.7356321839</v>
      </c>
      <c r="Q33" s="60" t="s">
        <v>50</v>
      </c>
      <c r="R33" s="7" t="s">
        <v>51</v>
      </c>
      <c r="S33" s="59"/>
      <c r="T33" s="153"/>
      <c r="U33" s="9"/>
    </row>
    <row r="34" spans="1:22" ht="15.75" customHeight="1" x14ac:dyDescent="0.25">
      <c r="A34" s="40" t="s">
        <v>52</v>
      </c>
      <c r="B34" s="34" t="s">
        <v>37</v>
      </c>
      <c r="C34" s="35"/>
      <c r="D34" s="41">
        <f>ROUND(D35*D$32,0)</f>
        <v>14395</v>
      </c>
      <c r="E34" s="41">
        <f t="shared" ref="E34:O34" si="19">ROUND(E35*E$32,0)</f>
        <v>8083</v>
      </c>
      <c r="F34" s="41">
        <f t="shared" si="19"/>
        <v>10339</v>
      </c>
      <c r="G34" s="41">
        <f t="shared" si="19"/>
        <v>7837</v>
      </c>
      <c r="H34" s="41">
        <f t="shared" si="19"/>
        <v>13487</v>
      </c>
      <c r="I34" s="41">
        <f t="shared" si="19"/>
        <v>13649</v>
      </c>
      <c r="J34" s="41">
        <f t="shared" si="19"/>
        <v>13847</v>
      </c>
      <c r="K34" s="41">
        <f t="shared" si="19"/>
        <v>13747</v>
      </c>
      <c r="L34" s="41">
        <f t="shared" si="19"/>
        <v>9417</v>
      </c>
      <c r="M34" s="41">
        <f t="shared" si="19"/>
        <v>6283</v>
      </c>
      <c r="N34" s="41">
        <f t="shared" si="19"/>
        <v>6187</v>
      </c>
      <c r="O34" s="41">
        <f t="shared" si="19"/>
        <v>12036</v>
      </c>
      <c r="P34" s="41">
        <f>SUM(D34:O34)</f>
        <v>129307</v>
      </c>
      <c r="Q34" s="60"/>
      <c r="S34" s="157"/>
      <c r="T34" s="153"/>
      <c r="U34" s="9"/>
    </row>
    <row r="35" spans="1:22" ht="15.75" customHeight="1" x14ac:dyDescent="0.25">
      <c r="A35" s="42" t="s">
        <v>53</v>
      </c>
      <c r="B35" s="34" t="s">
        <v>54</v>
      </c>
      <c r="C35" s="35"/>
      <c r="D35" s="190">
        <f>(果糖一线!D34+果糖二线!D34)/D$32</f>
        <v>0.92559871267666738</v>
      </c>
      <c r="E35" s="190">
        <f>(果糖一线!E34+果糖二线!E34)/E$32</f>
        <v>0.92565918087854504</v>
      </c>
      <c r="F35" s="190">
        <f>(果糖一线!F34+果糖二线!F34)/F$32</f>
        <v>0.92573534057348317</v>
      </c>
      <c r="G35" s="190">
        <f>(果糖一线!G34+果糖二线!G34)/G$32</f>
        <v>0.92595156147115532</v>
      </c>
      <c r="H35" s="190">
        <f>(果糖一线!H34+果糖二线!H34)/H$32</f>
        <v>0.92561765360389914</v>
      </c>
      <c r="I35" s="190">
        <f>(果糖一线!I34+果糖二线!I34)/I$32</f>
        <v>0.92562480644208078</v>
      </c>
      <c r="J35" s="190">
        <f>(果糖一线!J34+果糖二线!J34)/J$32</f>
        <v>0.92564244391969819</v>
      </c>
      <c r="K35" s="190">
        <f>(果糖一线!K34+果糖二线!K34)/K$32</f>
        <v>0.92559563125864441</v>
      </c>
      <c r="L35" s="190">
        <f>(果糖一线!L34+果糖二线!L34)/L$32</f>
        <v>0.92590817315279272</v>
      </c>
      <c r="M35" s="190">
        <f>(果糖一线!M34+果糖二线!M34)/M$32</f>
        <v>0.92595935829822729</v>
      </c>
      <c r="N35" s="190">
        <f>(果糖一线!N34+果糖二线!N34)/N$32</f>
        <v>0.92599729549521104</v>
      </c>
      <c r="O35" s="190">
        <f>(果糖一线!O34+果糖二线!O34)/O$32</f>
        <v>0.92553147314528439</v>
      </c>
      <c r="P35" s="55">
        <f>ROUND(IF(P$32=0,0,P34/P$32),3)</f>
        <v>0.92600000000000005</v>
      </c>
      <c r="Q35" s="61">
        <f>P35*0.77/0.86</f>
        <v>0.82909302325581413</v>
      </c>
      <c r="R35" s="9">
        <v>0.82909302325581402</v>
      </c>
      <c r="S35" s="157"/>
      <c r="T35" s="153"/>
      <c r="U35" s="9"/>
      <c r="V35" s="61"/>
    </row>
    <row r="36" spans="1:22" ht="15.75" customHeight="1" x14ac:dyDescent="0.25">
      <c r="A36" s="40" t="s">
        <v>55</v>
      </c>
      <c r="B36" s="34" t="s">
        <v>56</v>
      </c>
      <c r="C36" s="35"/>
      <c r="D36" s="41">
        <f>ROUND(D37*D$32,2)</f>
        <v>60930.76</v>
      </c>
      <c r="E36" s="41">
        <f t="shared" ref="E36:O36" si="20">ROUND(E37*E$32,2)</f>
        <v>35292.160000000003</v>
      </c>
      <c r="F36" s="41">
        <f t="shared" si="20"/>
        <v>44056.85</v>
      </c>
      <c r="G36" s="41">
        <f t="shared" si="20"/>
        <v>31823.61</v>
      </c>
      <c r="H36" s="41">
        <f t="shared" si="20"/>
        <v>57842.01</v>
      </c>
      <c r="I36" s="41">
        <f t="shared" si="20"/>
        <v>58499.65</v>
      </c>
      <c r="J36" s="41">
        <f t="shared" si="20"/>
        <v>59302.87</v>
      </c>
      <c r="K36" s="41">
        <f t="shared" si="20"/>
        <v>58862.14</v>
      </c>
      <c r="L36" s="41">
        <f t="shared" si="20"/>
        <v>39504.089999999997</v>
      </c>
      <c r="M36" s="41">
        <f t="shared" si="20"/>
        <v>25784.5</v>
      </c>
      <c r="N36" s="41">
        <f t="shared" si="20"/>
        <v>25389.49</v>
      </c>
      <c r="O36" s="41">
        <f t="shared" si="20"/>
        <v>52188.800000000003</v>
      </c>
      <c r="P36" s="41">
        <f>SUM(D36:O36)</f>
        <v>549476.93000000005</v>
      </c>
      <c r="Q36" s="60"/>
      <c r="S36" s="157"/>
      <c r="T36" s="153"/>
      <c r="V36" s="60"/>
    </row>
    <row r="37" spans="1:22" ht="15.75" customHeight="1" x14ac:dyDescent="0.25">
      <c r="A37" s="42" t="s">
        <v>53</v>
      </c>
      <c r="B37" s="34" t="s">
        <v>57</v>
      </c>
      <c r="C37" s="35"/>
      <c r="D37" s="199">
        <f>(果糖一线!D36+果糖二线!D36)/D$32</f>
        <v>3.9178487682119472</v>
      </c>
      <c r="E37" s="199">
        <f>(果糖一线!E36+果糖二线!E36)/E$32</f>
        <v>4.0416320570375541</v>
      </c>
      <c r="F37" s="199">
        <f>(果糖一线!F36+果糖二线!F36)/F$32</f>
        <v>3.9447705812307632</v>
      </c>
      <c r="G37" s="199">
        <f>(果糖一线!G36+果糖二线!G36)/G$32</f>
        <v>3.760000174958412</v>
      </c>
      <c r="H37" s="199">
        <f>(果糖一线!H36+果糖二线!H36)/H$32</f>
        <v>3.9697179191764858</v>
      </c>
      <c r="I37" s="199">
        <f>(果糖一线!I36+果糖二线!I36)/I$32</f>
        <v>3.9672303617978946</v>
      </c>
      <c r="J37" s="199">
        <f>(果糖一线!J36+果糖二线!J36)/J$32</f>
        <v>3.964270493121409</v>
      </c>
      <c r="K37" s="199">
        <f>(果糖一线!K36+果糖二线!K36)/K$32</f>
        <v>3.9632312235785774</v>
      </c>
      <c r="L37" s="199">
        <f>(果糖一线!L36+果糖二线!L36)/L$32</f>
        <v>3.8841626636894451</v>
      </c>
      <c r="M37" s="199">
        <f>(果糖一线!M36+果糖二线!M36)/M$32</f>
        <v>3.7999998526246443</v>
      </c>
      <c r="N37" s="199">
        <f>(果糖一线!N36+果糖二线!N36)/N$32</f>
        <v>3.7999998503317776</v>
      </c>
      <c r="O37" s="199">
        <f>(果糖一线!O36+果糖二线!O36)/O$32</f>
        <v>4.0131586029980575</v>
      </c>
      <c r="P37" s="55">
        <f>ROUND(IF(P$32=0,0,P36/P$32),3)</f>
        <v>3.9340000000000002</v>
      </c>
      <c r="Q37" s="63">
        <f>P37*0.77</f>
        <v>3.0291800000000002</v>
      </c>
      <c r="R37" s="9">
        <v>4.774</v>
      </c>
      <c r="S37" s="157"/>
      <c r="T37" s="153"/>
      <c r="V37" s="63"/>
    </row>
    <row r="38" spans="1:22" ht="15.75" customHeight="1" x14ac:dyDescent="0.25">
      <c r="A38" s="40" t="s">
        <v>58</v>
      </c>
      <c r="B38" s="34" t="s">
        <v>56</v>
      </c>
      <c r="C38" s="35"/>
      <c r="D38" s="41">
        <f>ROUND(D39*D$32,2)</f>
        <v>71645.350000000006</v>
      </c>
      <c r="E38" s="41">
        <f t="shared" ref="E38:O38" si="21">ROUND(E39*E$32,2)</f>
        <v>41279.82</v>
      </c>
      <c r="F38" s="41">
        <f t="shared" si="21"/>
        <v>50938.14</v>
      </c>
      <c r="G38" s="41">
        <f t="shared" si="21"/>
        <v>35124.46</v>
      </c>
      <c r="H38" s="41">
        <f t="shared" si="21"/>
        <v>68326.509999999995</v>
      </c>
      <c r="I38" s="41">
        <f t="shared" si="21"/>
        <v>69052.36</v>
      </c>
      <c r="J38" s="41">
        <f t="shared" si="21"/>
        <v>69938.91</v>
      </c>
      <c r="K38" s="41">
        <f t="shared" si="21"/>
        <v>69397.64</v>
      </c>
      <c r="L38" s="41">
        <f t="shared" si="21"/>
        <v>44748.800000000003</v>
      </c>
      <c r="M38" s="41">
        <f t="shared" si="21"/>
        <v>28430.81</v>
      </c>
      <c r="N38" s="41">
        <f t="shared" si="21"/>
        <v>27995.25</v>
      </c>
      <c r="O38" s="41">
        <f t="shared" si="21"/>
        <v>62003.72</v>
      </c>
      <c r="P38" s="41">
        <f>SUM(D38:O38)</f>
        <v>638881.7699999999</v>
      </c>
      <c r="Q38" s="60"/>
      <c r="S38" s="156"/>
      <c r="T38" s="153"/>
      <c r="V38" s="60"/>
    </row>
    <row r="39" spans="1:22" ht="15.75" customHeight="1" x14ac:dyDescent="0.25">
      <c r="A39" s="42" t="s">
        <v>53</v>
      </c>
      <c r="B39" s="34" t="s">
        <v>57</v>
      </c>
      <c r="C39" s="35"/>
      <c r="D39" s="199">
        <f>(果糖一线!D38+果糖二线!D38)/D$32</f>
        <v>4.6067970635129747</v>
      </c>
      <c r="E39" s="199">
        <f>(果糖一线!E38+果糖二线!E38)/E$32</f>
        <v>4.7273344510718518</v>
      </c>
      <c r="F39" s="199">
        <f>(果糖一线!F38+果糖二线!F38)/F$32</f>
        <v>4.5609088288112742</v>
      </c>
      <c r="G39" s="199">
        <f>(果糖一线!G38+果糖二线!G38)/G$32</f>
        <v>4.1499998191694702</v>
      </c>
      <c r="H39" s="199">
        <f>(果糖一线!H38+果糖二线!H38)/H$32</f>
        <v>4.6892729194886451</v>
      </c>
      <c r="I39" s="199">
        <f>(果糖一线!I38+果糖二线!I38)/I$32</f>
        <v>4.6828762077345507</v>
      </c>
      <c r="J39" s="199">
        <f>(果糖一线!J38+果糖二线!J38)/J$32</f>
        <v>4.6752671031616826</v>
      </c>
      <c r="K39" s="199">
        <f>(果糖一线!K38+果糖二线!K38)/K$32</f>
        <v>4.672594195363363</v>
      </c>
      <c r="L39" s="199">
        <f>(果糖一线!L38+果糖二线!L38)/L$32</f>
        <v>4.3998385535499303</v>
      </c>
      <c r="M39" s="199">
        <f>(果糖一线!M38+果糖二线!M38)/M$32</f>
        <v>4.1900007295080091</v>
      </c>
      <c r="N39" s="199">
        <f>(果糖一线!N38+果糖二线!N38)/N$32</f>
        <v>4.1899993190095861</v>
      </c>
      <c r="O39" s="199">
        <f>(果糖一线!O38+果糖二线!O38)/O$32</f>
        <v>4.7678958384918362</v>
      </c>
      <c r="P39" s="55">
        <f>ROUND(IF(P$32=0,0,P38/P$32),3)</f>
        <v>4.5739999999999998</v>
      </c>
      <c r="Q39" s="63">
        <f>P39*0.77</f>
        <v>3.5219800000000001</v>
      </c>
      <c r="R39" s="9">
        <v>5.0049999999999999</v>
      </c>
      <c r="S39" s="156"/>
      <c r="T39" s="153"/>
      <c r="V39" s="63"/>
    </row>
    <row r="40" spans="1:22" ht="15.75" customHeight="1" x14ac:dyDescent="0.25">
      <c r="A40" s="40" t="s">
        <v>59</v>
      </c>
      <c r="B40" s="34" t="s">
        <v>56</v>
      </c>
      <c r="C40" s="35"/>
      <c r="D40" s="41">
        <f>ROUND(D41*D$32,2)</f>
        <v>5971.4</v>
      </c>
      <c r="E40" s="41">
        <f t="shared" ref="E40:O40" si="22">ROUND(E41*E$32,2)</f>
        <v>3492.86</v>
      </c>
      <c r="F40" s="41">
        <f t="shared" si="22"/>
        <v>4386.4799999999996</v>
      </c>
      <c r="G40" s="41">
        <f t="shared" si="22"/>
        <v>3300.85</v>
      </c>
      <c r="H40" s="41">
        <f t="shared" si="22"/>
        <v>5682.62</v>
      </c>
      <c r="I40" s="41">
        <f t="shared" si="22"/>
        <v>5750.83</v>
      </c>
      <c r="J40" s="41">
        <f t="shared" si="22"/>
        <v>5834.14</v>
      </c>
      <c r="K40" s="41">
        <f t="shared" si="22"/>
        <v>5792.3</v>
      </c>
      <c r="L40" s="41">
        <f t="shared" si="22"/>
        <v>4012.72</v>
      </c>
      <c r="M40" s="41">
        <f t="shared" si="22"/>
        <v>2646.3</v>
      </c>
      <c r="N40" s="41">
        <f t="shared" si="22"/>
        <v>2605.7600000000002</v>
      </c>
      <c r="O40" s="41">
        <f t="shared" si="22"/>
        <v>5010.12</v>
      </c>
      <c r="P40" s="41">
        <f>SUM(D40:O40)</f>
        <v>54486.380000000012</v>
      </c>
      <c r="Q40" s="60"/>
      <c r="S40" s="156"/>
      <c r="T40" s="153"/>
      <c r="V40" s="60"/>
    </row>
    <row r="41" spans="1:22" ht="15.75" customHeight="1" x14ac:dyDescent="0.25">
      <c r="A41" s="42" t="s">
        <v>53</v>
      </c>
      <c r="B41" s="34" t="s">
        <v>57</v>
      </c>
      <c r="C41" s="35"/>
      <c r="D41" s="199">
        <f>(果糖一线!D40+果糖二线!D40)/D$32</f>
        <v>0.3839611082235117</v>
      </c>
      <c r="E41" s="199">
        <f>(果糖一线!E40+果糖二线!E40)/E$32</f>
        <v>0.39999974347685696</v>
      </c>
      <c r="F41" s="199">
        <f>(果糖一线!F40+果糖二线!F40)/F$32</f>
        <v>0.39275747719496779</v>
      </c>
      <c r="G41" s="199">
        <f>(果糖一线!G40+果糖二线!G40)/G$32</f>
        <v>0.38999964421105815</v>
      </c>
      <c r="H41" s="199">
        <f>(果糖一线!H40+果糖二线!H40)/H$32</f>
        <v>0.39000025140673161</v>
      </c>
      <c r="I41" s="199">
        <f>(果糖一线!I40+果糖二线!I40)/I$32</f>
        <v>0.3900000663514771</v>
      </c>
      <c r="J41" s="199">
        <f>(果糖一线!J40+果糖二线!J40)/J$32</f>
        <v>0.38999982723836707</v>
      </c>
      <c r="K41" s="199">
        <f>(果糖一线!K40+果糖二线!K40)/K$32</f>
        <v>0.38999982359347102</v>
      </c>
      <c r="L41" s="199">
        <f>(果糖一线!L40+果糖二线!L40)/L$32</f>
        <v>0.39454287401228361</v>
      </c>
      <c r="M41" s="199">
        <f>(果糖一线!M40+果糖二线!M40)/M$32</f>
        <v>0.38999940312981041</v>
      </c>
      <c r="N41" s="199">
        <f>(果糖一线!N40+果糖二线!N40)/N$32</f>
        <v>0.38999946867780849</v>
      </c>
      <c r="O41" s="199">
        <f>(果糖一线!O40+果糖二线!O40)/O$32</f>
        <v>0.38526285678254013</v>
      </c>
      <c r="P41" s="55">
        <f>ROUND(IF(P$32=0,0,P40/P$32),3)</f>
        <v>0.39</v>
      </c>
      <c r="Q41" s="63">
        <f>P41*0.77</f>
        <v>0.30030000000000001</v>
      </c>
      <c r="R41" s="9">
        <v>1.5015000000000001</v>
      </c>
      <c r="S41" s="156"/>
      <c r="T41" s="153"/>
      <c r="V41" s="63"/>
    </row>
    <row r="42" spans="1:22" ht="15.75" customHeight="1" x14ac:dyDescent="0.25">
      <c r="A42" s="40" t="s">
        <v>60</v>
      </c>
      <c r="B42" s="34" t="s">
        <v>56</v>
      </c>
      <c r="C42" s="35"/>
      <c r="D42" s="41">
        <f>ROUND(D43*D$32,2)</f>
        <v>3841.37</v>
      </c>
      <c r="E42" s="41">
        <f t="shared" ref="E42:O42" si="23">ROUND(E43*E$32,2)</f>
        <v>2156.84</v>
      </c>
      <c r="F42" s="41">
        <f t="shared" si="23"/>
        <v>2758.6</v>
      </c>
      <c r="G42" s="41">
        <f t="shared" si="23"/>
        <v>2090.54</v>
      </c>
      <c r="H42" s="41">
        <f t="shared" si="23"/>
        <v>3598.99</v>
      </c>
      <c r="I42" s="41">
        <f t="shared" si="23"/>
        <v>3642.19</v>
      </c>
      <c r="J42" s="41">
        <f t="shared" si="23"/>
        <v>3694.96</v>
      </c>
      <c r="K42" s="41">
        <f t="shared" si="23"/>
        <v>3668.46</v>
      </c>
      <c r="L42" s="41">
        <f t="shared" si="23"/>
        <v>2512.13</v>
      </c>
      <c r="M42" s="41">
        <f t="shared" si="23"/>
        <v>1675.99</v>
      </c>
      <c r="N42" s="41">
        <f t="shared" si="23"/>
        <v>1650.32</v>
      </c>
      <c r="O42" s="41">
        <f t="shared" si="23"/>
        <v>3212.09</v>
      </c>
      <c r="P42" s="41">
        <f>SUM(D42:O42)</f>
        <v>34502.479999999996</v>
      </c>
      <c r="Q42" s="60"/>
      <c r="S42" s="156"/>
      <c r="T42" s="153"/>
      <c r="V42" s="60"/>
    </row>
    <row r="43" spans="1:22" ht="15.75" customHeight="1" x14ac:dyDescent="0.25">
      <c r="A43" s="42" t="s">
        <v>53</v>
      </c>
      <c r="B43" s="34" t="s">
        <v>57</v>
      </c>
      <c r="C43" s="35"/>
      <c r="D43" s="199">
        <f>(果糖一线!D42+果糖二线!D42)/D$32</f>
        <v>0.24700014775371792</v>
      </c>
      <c r="E43" s="199">
        <f>(果糖一线!E42+果糖二线!E42)/E$32</f>
        <v>0.2469997213517359</v>
      </c>
      <c r="F43" s="199">
        <f>(果糖一线!F42+果糖二线!F42)/F$32</f>
        <v>0.24700004937672992</v>
      </c>
      <c r="G43" s="199">
        <f>(果糖一线!G42+果糖二线!G42)/G$32</f>
        <v>0.24699997158579928</v>
      </c>
      <c r="H43" s="199">
        <f>(果糖一线!H42+果糖二线!H42)/H$32</f>
        <v>0.24699997620997233</v>
      </c>
      <c r="I43" s="199">
        <f>(果糖一线!I42+果糖二线!I42)/I$32</f>
        <v>0.24699988378454701</v>
      </c>
      <c r="J43" s="199">
        <f>(果糖一线!J42+果糖二线!J42)/J$32</f>
        <v>0.24700020254102176</v>
      </c>
      <c r="K43" s="199">
        <f>(果糖一线!K42+果糖二线!K42)/K$32</f>
        <v>0.24700011271165248</v>
      </c>
      <c r="L43" s="199">
        <f>(果糖一线!L42+果糖二线!L42)/L$32</f>
        <v>0.24700028661169429</v>
      </c>
      <c r="M43" s="199">
        <f>(果糖一线!M42+果糖二线!M42)/M$32</f>
        <v>0.24699962198221326</v>
      </c>
      <c r="N43" s="199">
        <f>(果糖一线!N42+果糖二线!N42)/N$32</f>
        <v>0.24700046172646786</v>
      </c>
      <c r="O43" s="199">
        <f>(果糖一线!O42+果糖二线!O42)/O$32</f>
        <v>0.24699986619933839</v>
      </c>
      <c r="P43" s="55">
        <f>ROUND(IF(P$32=0,0,P42/P$32),3)</f>
        <v>0.247</v>
      </c>
      <c r="Q43" s="63">
        <f>P43*0.77</f>
        <v>0.19019</v>
      </c>
      <c r="R43" s="9">
        <v>0.154</v>
      </c>
      <c r="S43" s="156"/>
      <c r="T43" s="153"/>
      <c r="V43" s="63"/>
    </row>
    <row r="44" spans="1:22" ht="15.75" customHeight="1" x14ac:dyDescent="0.25">
      <c r="A44" s="44" t="s">
        <v>61</v>
      </c>
      <c r="B44" s="34" t="s">
        <v>56</v>
      </c>
      <c r="C44" s="35"/>
      <c r="D44" s="41">
        <f>ROUND(D45*D$32,2)</f>
        <v>2344.94</v>
      </c>
      <c r="E44" s="41">
        <f t="shared" ref="E44:O44" si="24">ROUND(E45*E$32,2)</f>
        <v>1334.05</v>
      </c>
      <c r="F44" s="41">
        <f t="shared" si="24"/>
        <v>1745.78</v>
      </c>
      <c r="G44" s="41">
        <f t="shared" si="24"/>
        <v>1430.37</v>
      </c>
      <c r="H44" s="41">
        <f t="shared" si="24"/>
        <v>2175.6</v>
      </c>
      <c r="I44" s="41">
        <f t="shared" si="24"/>
        <v>2205.16</v>
      </c>
      <c r="J44" s="41">
        <f t="shared" si="24"/>
        <v>2241.27</v>
      </c>
      <c r="K44" s="41">
        <f t="shared" si="24"/>
        <v>2226.64</v>
      </c>
      <c r="L44" s="41">
        <f t="shared" si="24"/>
        <v>1647.98</v>
      </c>
      <c r="M44" s="41">
        <f t="shared" si="24"/>
        <v>1146.73</v>
      </c>
      <c r="N44" s="41">
        <f t="shared" si="24"/>
        <v>1129.1600000000001</v>
      </c>
      <c r="O44" s="41">
        <f t="shared" si="24"/>
        <v>1914.39</v>
      </c>
      <c r="P44" s="41">
        <f>SUM(D44:O44)</f>
        <v>21542.07</v>
      </c>
      <c r="Q44" s="60"/>
      <c r="S44" s="156"/>
      <c r="T44" s="153"/>
      <c r="V44" s="60"/>
    </row>
    <row r="45" spans="1:22" ht="15.75" customHeight="1" x14ac:dyDescent="0.25">
      <c r="A45" s="42" t="s">
        <v>53</v>
      </c>
      <c r="B45" s="34" t="s">
        <v>57</v>
      </c>
      <c r="C45" s="35"/>
      <c r="D45" s="199">
        <f>(果糖一线!D44+果糖二线!D44)/D$32</f>
        <v>0.15077967664494785</v>
      </c>
      <c r="E45" s="199">
        <f>(果糖一线!E44+果糖二线!E44)/E$32</f>
        <v>0.15277441918236087</v>
      </c>
      <c r="F45" s="199">
        <f>(果糖一线!F44+果糖二线!F44)/F$32</f>
        <v>0.15631398035268163</v>
      </c>
      <c r="G45" s="199">
        <f>(果糖一线!G44+果糖二线!G44)/G$32</f>
        <v>0.16900004274358763</v>
      </c>
      <c r="H45" s="199">
        <f>(果糖一线!H44+果糖二线!H44)/H$32</f>
        <v>0.14931220932606531</v>
      </c>
      <c r="I45" s="199">
        <f>(果糖一线!I44+果糖二线!I44)/I$32</f>
        <v>0.14954581274626849</v>
      </c>
      <c r="J45" s="199">
        <f>(果糖一线!J44+果糖二线!J44)/J$32</f>
        <v>0.14982412365739164</v>
      </c>
      <c r="K45" s="199">
        <f>(果糖一线!K44+果糖二线!K44)/K$32</f>
        <v>0.14992131056854208</v>
      </c>
      <c r="L45" s="199">
        <f>(果糖一线!L44+果糖二线!L44)/L$32</f>
        <v>0.16203442191699471</v>
      </c>
      <c r="M45" s="199">
        <f>(果糖一线!M44+果糖二线!M44)/M$32</f>
        <v>0.16899974135625118</v>
      </c>
      <c r="N45" s="199">
        <f>(果糖一线!N44+果糖二线!N44)/N$32</f>
        <v>0.16899937064512244</v>
      </c>
      <c r="O45" s="199">
        <f>(果糖一线!O44+果糖二线!O44)/O$32</f>
        <v>0.14721071758678972</v>
      </c>
      <c r="P45" s="55">
        <f>ROUND(IF(P$32=0,0,P44/P$32),3)</f>
        <v>0.154</v>
      </c>
      <c r="Q45" s="63">
        <f>P45*0.77</f>
        <v>0.11858</v>
      </c>
      <c r="R45" s="9">
        <v>0.16170000000000001</v>
      </c>
      <c r="S45" s="156"/>
      <c r="T45" s="153"/>
      <c r="V45" s="63"/>
    </row>
    <row r="46" spans="1:22" ht="15.75" customHeight="1" x14ac:dyDescent="0.25">
      <c r="A46" s="40" t="s">
        <v>62</v>
      </c>
      <c r="B46" s="34" t="s">
        <v>56</v>
      </c>
      <c r="C46" s="35"/>
      <c r="D46" s="41">
        <f>ROUND(D47*D$32,2)</f>
        <v>4043.54</v>
      </c>
      <c r="E46" s="41">
        <f t="shared" ref="E46:O46" si="25">ROUND(E47*E$32,2)</f>
        <v>2270.36</v>
      </c>
      <c r="F46" s="41">
        <f t="shared" si="25"/>
        <v>2903.79</v>
      </c>
      <c r="G46" s="41">
        <f t="shared" si="25"/>
        <v>2200.5700000000002</v>
      </c>
      <c r="H46" s="41">
        <f t="shared" si="25"/>
        <v>3788.41</v>
      </c>
      <c r="I46" s="41">
        <f t="shared" si="25"/>
        <v>3833.89</v>
      </c>
      <c r="J46" s="41">
        <f t="shared" si="25"/>
        <v>3889.43</v>
      </c>
      <c r="K46" s="41">
        <f t="shared" si="25"/>
        <v>3861.54</v>
      </c>
      <c r="L46" s="41">
        <f t="shared" si="25"/>
        <v>2644.34</v>
      </c>
      <c r="M46" s="41">
        <f t="shared" si="25"/>
        <v>1764.2</v>
      </c>
      <c r="N46" s="41">
        <f t="shared" si="25"/>
        <v>1737.18</v>
      </c>
      <c r="O46" s="41">
        <f t="shared" si="25"/>
        <v>3381.15</v>
      </c>
      <c r="P46" s="41">
        <f>SUM(D46:O46)</f>
        <v>36318.400000000001</v>
      </c>
      <c r="Q46" s="60"/>
      <c r="S46" s="156"/>
      <c r="T46" s="153"/>
      <c r="V46" s="60"/>
    </row>
    <row r="47" spans="1:22" ht="15.75" customHeight="1" x14ac:dyDescent="0.25">
      <c r="A47" s="42" t="s">
        <v>53</v>
      </c>
      <c r="B47" s="34" t="s">
        <v>57</v>
      </c>
      <c r="C47" s="35"/>
      <c r="D47" s="199">
        <f>(果糖一线!D46+果糖二线!D46)/D$32</f>
        <v>0.25999968174064686</v>
      </c>
      <c r="E47" s="199">
        <f>(果糖一线!E46+果糖二线!E46)/E$32</f>
        <v>0.25999994777921726</v>
      </c>
      <c r="F47" s="199">
        <f>(果糖一线!F46+果糖二线!F46)/F$32</f>
        <v>0.26000009910086802</v>
      </c>
      <c r="G47" s="199">
        <f>(果糖一线!G46+果糖二线!G46)/G$32</f>
        <v>0.26000015664496368</v>
      </c>
      <c r="H47" s="199">
        <f>(果糖一线!H46+果糖二线!H46)/H$32</f>
        <v>0.25999993883662398</v>
      </c>
      <c r="I47" s="199">
        <f>(果糖一线!I46+果糖二线!I46)/I$32</f>
        <v>0.26000027028868261</v>
      </c>
      <c r="J47" s="199">
        <f>(果糖一线!J46+果糖二线!J46)/J$32</f>
        <v>0.26000010765180848</v>
      </c>
      <c r="K47" s="199">
        <f>(果糖一线!K46+果糖二线!K46)/K$32</f>
        <v>0.26000033126722233</v>
      </c>
      <c r="L47" s="199">
        <f>(果糖一线!L46+果糖二线!L46)/L$32</f>
        <v>0.25999957721087991</v>
      </c>
      <c r="M47" s="199">
        <f>(果糖一线!M46+果糖二线!M46)/M$32</f>
        <v>0.25999960208654027</v>
      </c>
      <c r="N47" s="199">
        <f>(果糖一线!N46+果糖二线!N46)/N$32</f>
        <v>0.26000064357335878</v>
      </c>
      <c r="O47" s="199">
        <f>(果糖一线!O46+果糖二线!O46)/O$32</f>
        <v>0.26000006151754557</v>
      </c>
      <c r="P47" s="55">
        <f>ROUND(IF(P$32=0,0,P46/P$32),3)</f>
        <v>0.26</v>
      </c>
      <c r="Q47" s="63">
        <f>P47*0.77</f>
        <v>0.20020000000000002</v>
      </c>
      <c r="R47" s="9">
        <v>0.3619</v>
      </c>
      <c r="S47" s="156"/>
      <c r="T47" s="153"/>
      <c r="V47" s="63"/>
    </row>
    <row r="48" spans="1:22" ht="15.75" customHeight="1" x14ac:dyDescent="0.25">
      <c r="A48" s="40" t="s">
        <v>63</v>
      </c>
      <c r="B48" s="34" t="s">
        <v>56</v>
      </c>
      <c r="C48" s="35"/>
      <c r="D48" s="41">
        <f>ROUND(D49*D$32,2)</f>
        <v>1617.42</v>
      </c>
      <c r="E48" s="41">
        <f t="shared" ref="E48:O48" si="26">ROUND(E49*E$32,2)</f>
        <v>908.14</v>
      </c>
      <c r="F48" s="41">
        <f t="shared" si="26"/>
        <v>1161.52</v>
      </c>
      <c r="G48" s="41">
        <f t="shared" si="26"/>
        <v>880.23</v>
      </c>
      <c r="H48" s="41">
        <f t="shared" si="26"/>
        <v>1515.37</v>
      </c>
      <c r="I48" s="41">
        <f t="shared" si="26"/>
        <v>1533.56</v>
      </c>
      <c r="J48" s="41">
        <f t="shared" si="26"/>
        <v>1555.77</v>
      </c>
      <c r="K48" s="41">
        <f t="shared" si="26"/>
        <v>1544.61</v>
      </c>
      <c r="L48" s="41">
        <f t="shared" si="26"/>
        <v>1057.74</v>
      </c>
      <c r="M48" s="41">
        <f t="shared" si="26"/>
        <v>705.68</v>
      </c>
      <c r="N48" s="41">
        <f t="shared" si="26"/>
        <v>694.87</v>
      </c>
      <c r="O48" s="41">
        <f t="shared" si="26"/>
        <v>1352.46</v>
      </c>
      <c r="P48" s="41">
        <f>SUM(D48:O48)</f>
        <v>14527.370000000003</v>
      </c>
      <c r="Q48" s="60"/>
      <c r="S48" s="156"/>
      <c r="T48" s="153"/>
      <c r="V48" s="60"/>
    </row>
    <row r="49" spans="1:22" ht="15.75" customHeight="1" x14ac:dyDescent="0.25">
      <c r="A49" s="42" t="s">
        <v>53</v>
      </c>
      <c r="B49" s="34" t="s">
        <v>57</v>
      </c>
      <c r="C49" s="35"/>
      <c r="D49" s="199">
        <f>(果糖一线!D48+果糖二线!D48)/D$32</f>
        <v>0.10400012989631785</v>
      </c>
      <c r="E49" s="199">
        <f>(果糖一线!E48+果糖二线!E48)/E$32</f>
        <v>0.1039995210346458</v>
      </c>
      <c r="F49" s="199">
        <f>(果糖一线!F48+果糖二线!F48)/F$32</f>
        <v>0.10400039779310497</v>
      </c>
      <c r="G49" s="199">
        <f>(果糖一线!G48+果糖二线!G48)/G$32</f>
        <v>0.10400029896054039</v>
      </c>
      <c r="H49" s="199">
        <f>(果糖一线!H48+果糖二线!H48)/H$32</f>
        <v>0.10400038731680437</v>
      </c>
      <c r="I49" s="199">
        <f>(果糖一线!I48+果糖二线!I48)/I$32</f>
        <v>0.10400037938071048</v>
      </c>
      <c r="J49" s="199">
        <f>(果糖一线!J48+果糖二线!J48)/J$32</f>
        <v>0.10399990936498511</v>
      </c>
      <c r="K49" s="199">
        <f>(果糖一线!K48+果糖二线!K48)/K$32</f>
        <v>0.10399972852247143</v>
      </c>
      <c r="L49" s="199">
        <f>(果糖一线!L48+果糖二线!L48)/L$32</f>
        <v>0.10400022417655676</v>
      </c>
      <c r="M49" s="199">
        <f>(果糖一线!M48+果糖二线!M48)/M$32</f>
        <v>0.10399984083461609</v>
      </c>
      <c r="N49" s="199">
        <f>(果糖一线!N48+果糖二线!N48)/N$32</f>
        <v>0.10399995809289757</v>
      </c>
      <c r="O49" s="199">
        <f>(果糖一线!O48+果糖二线!O48)/O$32</f>
        <v>0.10400002460701824</v>
      </c>
      <c r="P49" s="55">
        <f>ROUND(IF(P$32=0,0,P48/P$32),3)</f>
        <v>0.104</v>
      </c>
      <c r="Q49" s="63">
        <f>P49*0.77</f>
        <v>8.0079999999999998E-2</v>
      </c>
      <c r="R49" s="9">
        <v>7.6999999999999999E-2</v>
      </c>
      <c r="S49" s="156"/>
      <c r="T49" s="153"/>
      <c r="V49" s="63"/>
    </row>
    <row r="50" spans="1:22" ht="15.75" customHeight="1" x14ac:dyDescent="0.25">
      <c r="A50" s="40" t="s">
        <v>64</v>
      </c>
      <c r="B50" s="34" t="s">
        <v>56</v>
      </c>
      <c r="C50" s="35"/>
      <c r="D50" s="41">
        <f>ROUND(D51*D$32,2)</f>
        <v>5267.83</v>
      </c>
      <c r="E50" s="41">
        <f t="shared" ref="E50:O50" si="27">ROUND(E51*E$32,2)</f>
        <v>3081.98</v>
      </c>
      <c r="F50" s="41">
        <f t="shared" si="27"/>
        <v>3886.24</v>
      </c>
      <c r="G50" s="41">
        <f t="shared" si="27"/>
        <v>2970.77</v>
      </c>
      <c r="H50" s="41">
        <f t="shared" si="27"/>
        <v>4921.03</v>
      </c>
      <c r="I50" s="41">
        <f t="shared" si="27"/>
        <v>4982.42</v>
      </c>
      <c r="J50" s="41">
        <f t="shared" si="27"/>
        <v>5057.3999999999996</v>
      </c>
      <c r="K50" s="41">
        <f t="shared" si="27"/>
        <v>5022.1099999999997</v>
      </c>
      <c r="L50" s="41">
        <f t="shared" si="27"/>
        <v>3568.32</v>
      </c>
      <c r="M50" s="41">
        <f t="shared" si="27"/>
        <v>2381.67</v>
      </c>
      <c r="N50" s="41">
        <f t="shared" si="27"/>
        <v>2345.19</v>
      </c>
      <c r="O50" s="41">
        <f t="shared" si="27"/>
        <v>4373.59</v>
      </c>
      <c r="P50" s="41">
        <f>SUM(D50:O50)</f>
        <v>47858.55</v>
      </c>
      <c r="Q50" s="60"/>
      <c r="S50" s="156"/>
      <c r="T50" s="153"/>
      <c r="V50" s="60"/>
    </row>
    <row r="51" spans="1:22" ht="15.75" customHeight="1" x14ac:dyDescent="0.25">
      <c r="A51" s="42" t="s">
        <v>53</v>
      </c>
      <c r="B51" s="34" t="s">
        <v>57</v>
      </c>
      <c r="C51" s="35"/>
      <c r="D51" s="199">
        <f>(果糖一线!D50+果糖二线!D50)/D$32</f>
        <v>0.33872154682872724</v>
      </c>
      <c r="E51" s="199">
        <f>(果糖一线!E50+果糖二线!E50)/E$32</f>
        <v>0.3529460698112159</v>
      </c>
      <c r="F51" s="199">
        <f>(果糖一线!F50+果糖二线!F50)/F$32</f>
        <v>0.34796689331176062</v>
      </c>
      <c r="G51" s="199">
        <f>(果糖一线!G50+果糖二线!G50)/G$32</f>
        <v>0.3510002705463397</v>
      </c>
      <c r="H51" s="199">
        <f>(果糖一线!H50+果糖二线!H50)/H$32</f>
        <v>0.33773205619592167</v>
      </c>
      <c r="I51" s="199">
        <f>(果糖一线!I50+果糖二线!I50)/I$32</f>
        <v>0.33788933607686661</v>
      </c>
      <c r="J51" s="199">
        <f>(果糖一线!J50+果糖二线!J50)/J$32</f>
        <v>0.33807641336603461</v>
      </c>
      <c r="K51" s="199">
        <f>(果糖一线!K50+果糖二线!K50)/K$32</f>
        <v>0.3381423638394086</v>
      </c>
      <c r="L51" s="199">
        <f>(果糖一线!L50+果糖二线!L50)/L$32</f>
        <v>0.35084811005889066</v>
      </c>
      <c r="M51" s="199">
        <f>(果糖一线!M50+果糖二线!M50)/M$32</f>
        <v>0.35099946281682937</v>
      </c>
      <c r="N51" s="199">
        <f>(果糖一线!N50+果糖二线!N50)/N$32</f>
        <v>0.35100041981936547</v>
      </c>
      <c r="O51" s="199">
        <f>(果糖一线!O50+果糖二线!O50)/O$32</f>
        <v>0.33631565267808944</v>
      </c>
      <c r="P51" s="55">
        <f>ROUND(IF(P$32=0,0,P50/P$32),3)</f>
        <v>0.34300000000000003</v>
      </c>
      <c r="Q51" s="63">
        <f>P51*0.77</f>
        <v>0.26411000000000001</v>
      </c>
      <c r="R51" s="9">
        <v>0.36959999999999998</v>
      </c>
      <c r="S51" s="156"/>
      <c r="T51" s="153"/>
      <c r="V51" s="63"/>
    </row>
    <row r="52" spans="1:22" ht="15.75" customHeight="1" x14ac:dyDescent="0.25">
      <c r="A52" s="40" t="s">
        <v>65</v>
      </c>
      <c r="B52" s="34" t="s">
        <v>56</v>
      </c>
      <c r="C52" s="35"/>
      <c r="D52" s="41">
        <f>ROUND(D53*D$32,2)</f>
        <v>5267.83</v>
      </c>
      <c r="E52" s="41">
        <f t="shared" ref="E52:O52" si="28">ROUND(E53*E$32,2)</f>
        <v>3081.98</v>
      </c>
      <c r="F52" s="41">
        <f t="shared" si="28"/>
        <v>3886.24</v>
      </c>
      <c r="G52" s="41">
        <f t="shared" si="28"/>
        <v>2970.77</v>
      </c>
      <c r="H52" s="41">
        <f t="shared" si="28"/>
        <v>4921.03</v>
      </c>
      <c r="I52" s="41">
        <f t="shared" si="28"/>
        <v>4982.42</v>
      </c>
      <c r="J52" s="41">
        <f t="shared" si="28"/>
        <v>5057.3999999999996</v>
      </c>
      <c r="K52" s="41">
        <f t="shared" si="28"/>
        <v>5022.1099999999997</v>
      </c>
      <c r="L52" s="41">
        <f t="shared" si="28"/>
        <v>3568.32</v>
      </c>
      <c r="M52" s="41">
        <f t="shared" si="28"/>
        <v>2381.67</v>
      </c>
      <c r="N52" s="41">
        <f t="shared" si="28"/>
        <v>2345.19</v>
      </c>
      <c r="O52" s="41">
        <f t="shared" si="28"/>
        <v>4373.59</v>
      </c>
      <c r="P52" s="41">
        <f>SUM(D52:O52)</f>
        <v>47858.55</v>
      </c>
      <c r="Q52" s="60"/>
      <c r="S52" s="156"/>
      <c r="T52" s="153"/>
      <c r="V52" s="60"/>
    </row>
    <row r="53" spans="1:22" ht="15.75" customHeight="1" x14ac:dyDescent="0.25">
      <c r="A53" s="42" t="s">
        <v>53</v>
      </c>
      <c r="B53" s="34" t="s">
        <v>57</v>
      </c>
      <c r="C53" s="35"/>
      <c r="D53" s="199">
        <f>(果糖一线!D52+果糖二线!D52)/D$32</f>
        <v>0.33872154682872724</v>
      </c>
      <c r="E53" s="199">
        <f>(果糖一线!E52+果糖二线!E52)/E$32</f>
        <v>0.3529460698112159</v>
      </c>
      <c r="F53" s="199">
        <f>(果糖一线!F52+果糖二线!F52)/F$32</f>
        <v>0.34796689331176062</v>
      </c>
      <c r="G53" s="199">
        <f>(果糖一线!G52+果糖二线!G52)/G$32</f>
        <v>0.3510002705463397</v>
      </c>
      <c r="H53" s="199">
        <f>(果糖一线!H52+果糖二线!H52)/H$32</f>
        <v>0.33773205619592167</v>
      </c>
      <c r="I53" s="199">
        <f>(果糖一线!I52+果糖二线!I52)/I$32</f>
        <v>0.33788933607686661</v>
      </c>
      <c r="J53" s="199">
        <f>(果糖一线!J52+果糖二线!J52)/J$32</f>
        <v>0.33807641336603461</v>
      </c>
      <c r="K53" s="199">
        <f>(果糖一线!K52+果糖二线!K52)/K$32</f>
        <v>0.3381423638394086</v>
      </c>
      <c r="L53" s="199">
        <f>(果糖一线!L52+果糖二线!L52)/L$32</f>
        <v>0.35084811005889066</v>
      </c>
      <c r="M53" s="199">
        <f>(果糖一线!M52+果糖二线!M52)/M$32</f>
        <v>0.35099946281682937</v>
      </c>
      <c r="N53" s="199">
        <f>(果糖一线!N52+果糖二线!N52)/N$32</f>
        <v>0.35100041981936547</v>
      </c>
      <c r="O53" s="199">
        <f>(果糖一线!O52+果糖二线!O52)/O$32</f>
        <v>0.33631565267808944</v>
      </c>
      <c r="P53" s="55">
        <f>ROUND(IF(P$32=0,0,P52/P$32),3)</f>
        <v>0.34300000000000003</v>
      </c>
      <c r="Q53" s="63">
        <f>P53*0.77</f>
        <v>0.26411000000000001</v>
      </c>
      <c r="R53" s="9">
        <v>0.36959999999999998</v>
      </c>
      <c r="S53" s="156"/>
      <c r="T53" s="153"/>
      <c r="V53" s="63"/>
    </row>
    <row r="54" spans="1:22" s="7" customFormat="1" ht="15.75" customHeight="1" x14ac:dyDescent="0.25">
      <c r="A54" s="18" t="s">
        <v>66</v>
      </c>
      <c r="B54" s="19"/>
      <c r="C54" s="20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60"/>
      <c r="R54" s="9"/>
      <c r="S54" s="156"/>
      <c r="T54" s="153"/>
      <c r="U54" s="59"/>
    </row>
    <row r="55" spans="1:22" ht="15.75" customHeight="1" x14ac:dyDescent="0.25">
      <c r="A55" s="40" t="s">
        <v>67</v>
      </c>
      <c r="B55" s="34" t="s">
        <v>37</v>
      </c>
      <c r="C55" s="35"/>
      <c r="D55" s="41">
        <f t="shared" ref="D55:O61" si="29">ROUND(D56*D$32,0)</f>
        <v>48791</v>
      </c>
      <c r="E55" s="41">
        <f t="shared" si="29"/>
        <v>28157</v>
      </c>
      <c r="F55" s="41">
        <f t="shared" si="29"/>
        <v>34883</v>
      </c>
      <c r="G55" s="41">
        <f t="shared" si="29"/>
        <v>24545</v>
      </c>
      <c r="H55" s="41">
        <f t="shared" si="29"/>
        <v>46371</v>
      </c>
      <c r="I55" s="41">
        <f t="shared" si="29"/>
        <v>46879</v>
      </c>
      <c r="J55" s="41">
        <f t="shared" si="29"/>
        <v>47498</v>
      </c>
      <c r="K55" s="41">
        <f t="shared" si="29"/>
        <v>47137</v>
      </c>
      <c r="L55" s="41">
        <f t="shared" si="29"/>
        <v>30927</v>
      </c>
      <c r="M55" s="41">
        <f t="shared" si="29"/>
        <v>19881</v>
      </c>
      <c r="N55" s="41">
        <f t="shared" si="29"/>
        <v>19577</v>
      </c>
      <c r="O55" s="41">
        <f t="shared" si="29"/>
        <v>41984</v>
      </c>
      <c r="P55" s="41">
        <f>SUM(D55:O55)</f>
        <v>436630</v>
      </c>
      <c r="Q55" s="60"/>
      <c r="S55" s="156"/>
      <c r="T55" s="153"/>
    </row>
    <row r="56" spans="1:22" ht="15.75" customHeight="1" x14ac:dyDescent="0.25">
      <c r="A56" s="42" t="s">
        <v>53</v>
      </c>
      <c r="B56" s="34" t="s">
        <v>54</v>
      </c>
      <c r="C56" s="35"/>
      <c r="D56" s="199">
        <f>(果糖一线!D55+果糖二线!D55)/D$32</f>
        <v>3.1372620208549691</v>
      </c>
      <c r="E56" s="199">
        <f>(果糖一线!E55+果糖二线!E55)/E$32</f>
        <v>3.2245188118269446</v>
      </c>
      <c r="F56" s="199">
        <f>(果糖一线!F55+果糖二线!F55)/F$32</f>
        <v>3.1233606620780359</v>
      </c>
      <c r="G56" s="199">
        <f>(果糖一线!G55+果糖二线!G55)/G$32</f>
        <v>2.9000231053093666</v>
      </c>
      <c r="H56" s="199">
        <f>(果糖一线!H55+果糖二线!H55)/H$32</f>
        <v>3.1824583832777047</v>
      </c>
      <c r="I56" s="199">
        <f>(果糖一线!I55+果糖二线!I55)/I$32</f>
        <v>3.179160766444304</v>
      </c>
      <c r="J56" s="199">
        <f>(果糖一线!J55+果糖二线!J55)/J$32</f>
        <v>3.1751400881994529</v>
      </c>
      <c r="K56" s="199">
        <f>(果糖一线!K55+果糖二线!K55)/K$32</f>
        <v>3.1737689147187544</v>
      </c>
      <c r="L56" s="199">
        <f>(果糖一线!L55+果糖二线!L55)/L$32</f>
        <v>3.0408370044702582</v>
      </c>
      <c r="M56" s="199">
        <f>(果糖一线!M55+果糖二线!M55)/M$32</f>
        <v>2.929969441720047</v>
      </c>
      <c r="N56" s="199">
        <f>(果糖一线!N55+果糖二线!N55)/N$32</f>
        <v>2.9300548010198395</v>
      </c>
      <c r="O56" s="199">
        <f>(果糖一线!O55+果糖二线!O55)/O$32</f>
        <v>3.2284407916692941</v>
      </c>
      <c r="P56" s="55">
        <f>ROUND(IF(P$32=0,0,P55/P$32),3)</f>
        <v>3.1259999999999999</v>
      </c>
      <c r="Q56" s="63">
        <f>P56*0.77</f>
        <v>2.4070200000000002</v>
      </c>
      <c r="R56" s="9">
        <v>2.8028</v>
      </c>
      <c r="S56" s="156"/>
      <c r="T56" s="153"/>
    </row>
    <row r="57" spans="1:22" ht="15.75" customHeight="1" x14ac:dyDescent="0.25">
      <c r="A57" s="40" t="s">
        <v>68</v>
      </c>
      <c r="B57" s="34" t="s">
        <v>69</v>
      </c>
      <c r="C57" s="35"/>
      <c r="D57" s="41">
        <f>ROUND(D58*D$32,0)/10000</f>
        <v>135.9119</v>
      </c>
      <c r="E57" s="41">
        <f t="shared" ref="E57:O57" si="30">ROUND(E58*E$32,0)/10000</f>
        <v>78.227000000000004</v>
      </c>
      <c r="F57" s="41">
        <f t="shared" si="30"/>
        <v>96.627399999999994</v>
      </c>
      <c r="G57" s="41">
        <f t="shared" si="30"/>
        <v>66.948099999999997</v>
      </c>
      <c r="H57" s="41">
        <f t="shared" si="30"/>
        <v>129.536</v>
      </c>
      <c r="I57" s="41">
        <f t="shared" si="30"/>
        <v>130.9195</v>
      </c>
      <c r="J57" s="41">
        <f t="shared" si="30"/>
        <v>132.60929999999999</v>
      </c>
      <c r="K57" s="41">
        <f t="shared" si="30"/>
        <v>131.58619999999999</v>
      </c>
      <c r="L57" s="41">
        <f t="shared" si="30"/>
        <v>84.591700000000003</v>
      </c>
      <c r="M57" s="41">
        <f t="shared" si="30"/>
        <v>54.235700000000001</v>
      </c>
      <c r="N57" s="41">
        <f t="shared" si="30"/>
        <v>53.404800000000002</v>
      </c>
      <c r="O57" s="41">
        <f t="shared" si="30"/>
        <v>117.5394</v>
      </c>
      <c r="P57" s="41">
        <f>SUM(D57:O57)</f>
        <v>1212.1369999999997</v>
      </c>
      <c r="Q57" s="60"/>
      <c r="S57" s="156"/>
      <c r="T57" s="153"/>
    </row>
    <row r="58" spans="1:22" ht="15.75" customHeight="1" x14ac:dyDescent="0.25">
      <c r="A58" s="42" t="s">
        <v>53</v>
      </c>
      <c r="B58" s="34" t="s">
        <v>70</v>
      </c>
      <c r="C58" s="35"/>
      <c r="D58" s="199">
        <f>(果糖一线!D57+果糖二线!D57)/D$32*10000</f>
        <v>87.391371780090267</v>
      </c>
      <c r="E58" s="199">
        <f>(果糖一线!E57+果糖二线!E57)/E$32*10000</f>
        <v>89.584981742652417</v>
      </c>
      <c r="F58" s="199">
        <f>(果糖一线!F57+果糖二线!F57)/F$32*10000</f>
        <v>86.518424458584178</v>
      </c>
      <c r="G58" s="199">
        <f>(果糖一线!G57+果糖二线!G57)/G$32*10000</f>
        <v>79.100035386662057</v>
      </c>
      <c r="H58" s="199">
        <f>(果糖一线!H57+果糖二线!H57)/H$32*10000</f>
        <v>88.901022004326151</v>
      </c>
      <c r="I58" s="199">
        <f>(果糖一线!I57+果糖二线!I57)/I$32*10000</f>
        <v>88.784773131360524</v>
      </c>
      <c r="J58" s="199">
        <f>(果糖一线!J57+果糖二线!J57)/J$32*10000</f>
        <v>88.646491325543735</v>
      </c>
      <c r="K58" s="199">
        <f>(果糖一线!K57+果糖二线!K57)/K$32*10000</f>
        <v>88.597957266258987</v>
      </c>
      <c r="L58" s="199">
        <f>(果糖一线!L57+果糖二线!L57)/L$32*10000</f>
        <v>83.173140502165339</v>
      </c>
      <c r="M58" s="199">
        <f>(果糖一线!M57+果糖二线!M57)/M$32*10000</f>
        <v>79.930055656302983</v>
      </c>
      <c r="N58" s="199">
        <f>(果糖一线!N57+果糖二线!N57)/N$32*10000</f>
        <v>79.93001513894076</v>
      </c>
      <c r="O58" s="199">
        <f>(果糖一线!O57+果糖二线!O57)/O$32*10000</f>
        <v>90.384192451489568</v>
      </c>
      <c r="P58" s="55">
        <f>ROUND(IF(P$32=0,0,P57/P$32*10000),3)</f>
        <v>86.775999999999996</v>
      </c>
      <c r="Q58" s="63">
        <f>P58*0.77</f>
        <v>66.817520000000002</v>
      </c>
      <c r="R58" s="9">
        <v>74.998000000000005</v>
      </c>
      <c r="S58" s="156"/>
      <c r="T58" s="153"/>
    </row>
    <row r="59" spans="1:22" ht="15" customHeight="1" x14ac:dyDescent="0.25">
      <c r="A59" s="40" t="s">
        <v>71</v>
      </c>
      <c r="B59" s="34" t="s">
        <v>37</v>
      </c>
      <c r="C59" s="35"/>
      <c r="D59" s="41">
        <f t="shared" si="29"/>
        <v>6758</v>
      </c>
      <c r="E59" s="41">
        <f t="shared" si="29"/>
        <v>3935</v>
      </c>
      <c r="F59" s="41">
        <f t="shared" si="29"/>
        <v>5072</v>
      </c>
      <c r="G59" s="41">
        <f t="shared" si="29"/>
        <v>4147</v>
      </c>
      <c r="H59" s="41">
        <f t="shared" si="29"/>
        <v>6242</v>
      </c>
      <c r="I59" s="41">
        <f t="shared" si="29"/>
        <v>6328</v>
      </c>
      <c r="J59" s="41">
        <f t="shared" si="29"/>
        <v>6432</v>
      </c>
      <c r="K59" s="41">
        <f t="shared" si="29"/>
        <v>6390</v>
      </c>
      <c r="L59" s="41">
        <f t="shared" si="29"/>
        <v>4814</v>
      </c>
      <c r="M59" s="41">
        <f t="shared" si="29"/>
        <v>3393</v>
      </c>
      <c r="N59" s="41">
        <f t="shared" si="29"/>
        <v>3341</v>
      </c>
      <c r="O59" s="41">
        <f t="shared" si="29"/>
        <v>5578</v>
      </c>
      <c r="P59" s="41">
        <f>SUM(D59:O59)</f>
        <v>62430</v>
      </c>
      <c r="Q59" s="60"/>
      <c r="S59" s="156"/>
      <c r="T59" s="153"/>
    </row>
    <row r="60" spans="1:22" ht="15.75" customHeight="1" x14ac:dyDescent="0.25">
      <c r="A60" s="42" t="s">
        <v>53</v>
      </c>
      <c r="B60" s="34" t="s">
        <v>54</v>
      </c>
      <c r="C60" s="35"/>
      <c r="D60" s="45">
        <f>(果糖一线!D59+果糖二线!D59)/D$32</f>
        <v>0.43453949984500995</v>
      </c>
      <c r="E60" s="45">
        <f>(果糖一线!E59+果糖二线!E59)/E$32</f>
        <v>0.45063328921898732</v>
      </c>
      <c r="F60" s="45">
        <f>(果糖一线!F59+果糖二线!F59)/F$32</f>
        <v>0.45413769681678179</v>
      </c>
      <c r="G60" s="45">
        <f>(果糖一线!G59+果糖二线!G59)/G$32</f>
        <v>0.48997334763568728</v>
      </c>
      <c r="H60" s="45">
        <f>(果糖一线!H59+果糖二线!H59)/H$32</f>
        <v>0.42839070169760052</v>
      </c>
      <c r="I60" s="45">
        <f>(果糖一线!I59+果糖二线!I59)/I$32</f>
        <v>0.42914160562425724</v>
      </c>
      <c r="J60" s="45">
        <f>(果糖一线!J59+果糖二线!J59)/J$32</f>
        <v>0.42996549427973563</v>
      </c>
      <c r="K60" s="45">
        <f>(果糖一线!K59+果糖二线!K59)/K$32</f>
        <v>0.43024340465139577</v>
      </c>
      <c r="L60" s="45">
        <f>(果糖一线!L59+果糖二线!L59)/L$32</f>
        <v>0.47332716847802314</v>
      </c>
      <c r="M60" s="45">
        <f>(果糖一线!M59+果糖二线!M59)/M$32</f>
        <v>0.50004458104502392</v>
      </c>
      <c r="N60" s="45">
        <f>(果糖一线!N59+果糖二线!N59)/N$32</f>
        <v>0.50004153293187326</v>
      </c>
      <c r="O60" s="45">
        <f>(果糖一线!O59+果糖二线!O59)/O$32</f>
        <v>0.4289310865075105</v>
      </c>
      <c r="P60" s="55">
        <f>ROUND(IF(P$32=0,0,P59/P$32),3)</f>
        <v>0.44700000000000001</v>
      </c>
      <c r="Q60" s="63">
        <f>P60*0.77</f>
        <v>0.34419</v>
      </c>
      <c r="R60" s="9">
        <v>0.46970000000000001</v>
      </c>
      <c r="S60" s="156"/>
      <c r="T60" s="153"/>
    </row>
    <row r="61" spans="1:22" ht="15.75" customHeight="1" x14ac:dyDescent="0.25">
      <c r="A61" s="40" t="s">
        <v>72</v>
      </c>
      <c r="B61" s="46" t="s">
        <v>73</v>
      </c>
      <c r="C61" s="35"/>
      <c r="D61" s="41">
        <f t="shared" si="29"/>
        <v>12037</v>
      </c>
      <c r="E61" s="41">
        <f t="shared" si="29"/>
        <v>6955</v>
      </c>
      <c r="F61" s="41">
        <f t="shared" si="29"/>
        <v>8661</v>
      </c>
      <c r="G61" s="41">
        <f t="shared" si="29"/>
        <v>6517</v>
      </c>
      <c r="H61" s="41">
        <f t="shared" si="29"/>
        <v>11282</v>
      </c>
      <c r="I61" s="41">
        <f t="shared" si="29"/>
        <v>11416</v>
      </c>
      <c r="J61" s="41">
        <f t="shared" si="29"/>
        <v>11581</v>
      </c>
      <c r="K61" s="41">
        <f t="shared" si="29"/>
        <v>11498</v>
      </c>
      <c r="L61" s="41">
        <f t="shared" si="29"/>
        <v>7863</v>
      </c>
      <c r="M61" s="41">
        <f t="shared" si="29"/>
        <v>5428</v>
      </c>
      <c r="N61" s="41">
        <f t="shared" si="29"/>
        <v>5345</v>
      </c>
      <c r="O61" s="41">
        <f t="shared" si="29"/>
        <v>10281</v>
      </c>
      <c r="P61" s="41">
        <f>SUM(D61:O61)</f>
        <v>108864</v>
      </c>
      <c r="Q61" s="60"/>
      <c r="S61" s="156"/>
      <c r="T61" s="153"/>
    </row>
    <row r="62" spans="1:22" ht="15.75" customHeight="1" x14ac:dyDescent="0.25">
      <c r="A62" s="42" t="s">
        <v>53</v>
      </c>
      <c r="B62" s="34" t="s">
        <v>74</v>
      </c>
      <c r="C62" s="35"/>
      <c r="D62" s="45">
        <f>(果糖一线!D61+果糖二线!D61)/D$32</f>
        <v>0.77397927783876663</v>
      </c>
      <c r="E62" s="45">
        <f>(果糖一线!E61+果糖二线!E61)/E32</f>
        <v>0.79648145527777814</v>
      </c>
      <c r="F62" s="45">
        <f>(果糖一线!F61+果糖二线!F61)/F32</f>
        <v>0.77549025870073873</v>
      </c>
      <c r="G62" s="45">
        <f>(果糖一线!G61+果糖二线!G61)/G32</f>
        <v>0.76999187522106916</v>
      </c>
      <c r="H62" s="45">
        <f>(果糖一线!H61+果糖二线!H61)/H32</f>
        <v>0.77428771171937349</v>
      </c>
      <c r="I62" s="45">
        <f>(果糖一线!I61+果糖二线!I61)/I32</f>
        <v>0.77419098764325545</v>
      </c>
      <c r="J62" s="45">
        <f>(果糖一线!J61+果糖二线!J61)/J32</f>
        <v>0.77416517245858485</v>
      </c>
      <c r="K62" s="45">
        <f>(果糖一线!K61+果糖二线!K61)/K32</f>
        <v>0.77416880542750366</v>
      </c>
      <c r="L62" s="45">
        <f>(果糖一线!L61+果糖二线!L61)/L32</f>
        <v>0.77311415158759789</v>
      </c>
      <c r="M62" s="45">
        <f>(果糖一线!M61+果糖二线!M61)/M32</f>
        <v>0.79995342938767744</v>
      </c>
      <c r="N62" s="45">
        <f>(果糖一线!N61+果糖二线!N61)/N32</f>
        <v>0.79997665175721722</v>
      </c>
      <c r="O62" s="45">
        <f>(果糖一线!O61+果糖二线!O61)/O32</f>
        <v>0.79057735754458869</v>
      </c>
      <c r="P62" s="55">
        <f>ROUND(IF(P$32=0,0,P61/P$32),3)</f>
        <v>0.77900000000000003</v>
      </c>
      <c r="Q62" s="63">
        <f>P62*0.77</f>
        <v>0.59983000000000009</v>
      </c>
      <c r="R62" s="9">
        <v>1.9273100000000001</v>
      </c>
      <c r="T62" s="153"/>
    </row>
    <row r="63" spans="1:22" s="7" customFormat="1" ht="15.75" customHeight="1" x14ac:dyDescent="0.25">
      <c r="A63" s="18" t="s">
        <v>75</v>
      </c>
      <c r="B63" s="19"/>
      <c r="C63" s="20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60"/>
      <c r="R63" s="9"/>
      <c r="S63" s="59"/>
      <c r="T63" s="153"/>
      <c r="U63" s="59"/>
    </row>
    <row r="64" spans="1:22" ht="15.75" customHeight="1" x14ac:dyDescent="0.25">
      <c r="A64" s="44" t="s">
        <v>76</v>
      </c>
      <c r="B64" s="34" t="s">
        <v>77</v>
      </c>
      <c r="C64" s="234">
        <v>3.2</v>
      </c>
      <c r="D64" s="41">
        <f>ROUND((D32)*$C$64,0)</f>
        <v>49767</v>
      </c>
      <c r="E64" s="41">
        <f t="shared" ref="E64:O64" si="31">ROUND((E32)*$C$64,0)</f>
        <v>27943</v>
      </c>
      <c r="F64" s="41">
        <f t="shared" si="31"/>
        <v>35739</v>
      </c>
      <c r="G64" s="41">
        <f t="shared" si="31"/>
        <v>27084</v>
      </c>
      <c r="H64" s="41">
        <f t="shared" si="31"/>
        <v>46627</v>
      </c>
      <c r="I64" s="41">
        <f t="shared" si="31"/>
        <v>47186</v>
      </c>
      <c r="J64" s="41">
        <f t="shared" si="31"/>
        <v>47870</v>
      </c>
      <c r="K64" s="41">
        <f t="shared" si="31"/>
        <v>47527</v>
      </c>
      <c r="L64" s="41">
        <f t="shared" si="31"/>
        <v>32546</v>
      </c>
      <c r="M64" s="41">
        <f t="shared" si="31"/>
        <v>21713</v>
      </c>
      <c r="N64" s="41">
        <f t="shared" si="31"/>
        <v>21381</v>
      </c>
      <c r="O64" s="41">
        <f t="shared" si="31"/>
        <v>41614</v>
      </c>
      <c r="P64" s="41">
        <f>SUM(D64:O64)</f>
        <v>446997</v>
      </c>
      <c r="Q64" s="60"/>
      <c r="R64" s="66"/>
      <c r="T64" s="9"/>
    </row>
    <row r="65" spans="1:205" s="9" customFormat="1" ht="15.75" customHeight="1" x14ac:dyDescent="0.25">
      <c r="A65" s="42" t="s">
        <v>78</v>
      </c>
      <c r="B65" s="50" t="s">
        <v>37</v>
      </c>
      <c r="C65" s="35"/>
      <c r="D65" s="51">
        <f>D64*D66/1000000</f>
        <v>139.3476</v>
      </c>
      <c r="E65" s="51">
        <f t="shared" ref="E65:P65" si="32">E64*E66/1000000</f>
        <v>78.240399999999994</v>
      </c>
      <c r="F65" s="51">
        <f t="shared" si="32"/>
        <v>100.0692</v>
      </c>
      <c r="G65" s="51">
        <f t="shared" si="32"/>
        <v>75.8352</v>
      </c>
      <c r="H65" s="51">
        <f t="shared" si="32"/>
        <v>130.5556</v>
      </c>
      <c r="I65" s="51">
        <f t="shared" si="32"/>
        <v>132.1208</v>
      </c>
      <c r="J65" s="51">
        <f t="shared" si="32"/>
        <v>134.036</v>
      </c>
      <c r="K65" s="51">
        <f t="shared" si="32"/>
        <v>133.07560000000001</v>
      </c>
      <c r="L65" s="51">
        <f t="shared" si="32"/>
        <v>91.128799999999998</v>
      </c>
      <c r="M65" s="51">
        <f t="shared" si="32"/>
        <v>60.796399999999998</v>
      </c>
      <c r="N65" s="51">
        <f t="shared" si="32"/>
        <v>59.866799999999998</v>
      </c>
      <c r="O65" s="51">
        <f t="shared" si="32"/>
        <v>116.5192</v>
      </c>
      <c r="P65" s="51">
        <f t="shared" si="32"/>
        <v>1251.5916</v>
      </c>
      <c r="Q65" s="60"/>
      <c r="S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</row>
    <row r="66" spans="1:205" s="9" customFormat="1" ht="15.75" customHeight="1" x14ac:dyDescent="0.25">
      <c r="A66" s="42" t="s">
        <v>79</v>
      </c>
      <c r="B66" s="50" t="s">
        <v>80</v>
      </c>
      <c r="C66" s="35"/>
      <c r="D66" s="52">
        <f>[3]果糖!D64</f>
        <v>2800</v>
      </c>
      <c r="E66" s="52">
        <f>[3]果糖!E64</f>
        <v>2800</v>
      </c>
      <c r="F66" s="52">
        <f>[3]果糖!F64</f>
        <v>2800</v>
      </c>
      <c r="G66" s="52">
        <f>[3]果糖!G64</f>
        <v>2800</v>
      </c>
      <c r="H66" s="52">
        <f>[3]果糖!H64</f>
        <v>2800</v>
      </c>
      <c r="I66" s="52">
        <f>[3]果糖!I64</f>
        <v>2800</v>
      </c>
      <c r="J66" s="52">
        <f>[3]果糖!J64</f>
        <v>2800</v>
      </c>
      <c r="K66" s="52">
        <f>[3]果糖!K64</f>
        <v>2800</v>
      </c>
      <c r="L66" s="52">
        <f>[3]果糖!L64</f>
        <v>2800</v>
      </c>
      <c r="M66" s="52">
        <f>[3]果糖!M64</f>
        <v>2800</v>
      </c>
      <c r="N66" s="52">
        <f>[3]果糖!N64</f>
        <v>2800</v>
      </c>
      <c r="O66" s="52">
        <f>[3]果糖!O64</f>
        <v>2800</v>
      </c>
      <c r="P66" s="52">
        <f>[3]果糖!P64</f>
        <v>2800</v>
      </c>
      <c r="Q66" s="60"/>
      <c r="S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</row>
    <row r="67" spans="1:205" s="9" customFormat="1" ht="15.75" customHeight="1" x14ac:dyDescent="0.25">
      <c r="A67" s="42" t="s">
        <v>81</v>
      </c>
      <c r="B67" s="50" t="s">
        <v>37</v>
      </c>
      <c r="C67" s="35"/>
      <c r="D67" s="51">
        <f>D64*D68/1000000</f>
        <v>0</v>
      </c>
      <c r="E67" s="51">
        <f t="shared" ref="E67:P67" si="33">E64*E68/1000000</f>
        <v>0</v>
      </c>
      <c r="F67" s="51">
        <f t="shared" si="33"/>
        <v>0</v>
      </c>
      <c r="G67" s="51">
        <f t="shared" si="33"/>
        <v>0</v>
      </c>
      <c r="H67" s="51">
        <f t="shared" si="33"/>
        <v>0</v>
      </c>
      <c r="I67" s="51">
        <f t="shared" si="33"/>
        <v>0</v>
      </c>
      <c r="J67" s="51">
        <f t="shared" si="33"/>
        <v>0</v>
      </c>
      <c r="K67" s="51">
        <f t="shared" si="33"/>
        <v>0</v>
      </c>
      <c r="L67" s="51">
        <f t="shared" si="33"/>
        <v>0</v>
      </c>
      <c r="M67" s="51">
        <f t="shared" si="33"/>
        <v>0</v>
      </c>
      <c r="N67" s="51">
        <f t="shared" si="33"/>
        <v>0</v>
      </c>
      <c r="O67" s="51">
        <f t="shared" si="33"/>
        <v>0</v>
      </c>
      <c r="P67" s="51">
        <f t="shared" si="33"/>
        <v>0</v>
      </c>
      <c r="Q67" s="60"/>
      <c r="S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</row>
    <row r="68" spans="1:205" s="9" customFormat="1" ht="15.75" customHeight="1" x14ac:dyDescent="0.25">
      <c r="A68" s="42" t="s">
        <v>82</v>
      </c>
      <c r="B68" s="50" t="s">
        <v>80</v>
      </c>
      <c r="C68" s="35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60"/>
      <c r="S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</row>
    <row r="69" spans="1:205" s="9" customFormat="1" ht="15.75" customHeight="1" x14ac:dyDescent="0.25">
      <c r="A69" s="18" t="s">
        <v>83</v>
      </c>
      <c r="B69" s="50"/>
      <c r="C69" s="67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74"/>
      <c r="Q69" s="60" t="s">
        <v>84</v>
      </c>
      <c r="S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</row>
    <row r="70" spans="1:205" s="9" customFormat="1" ht="15.75" customHeight="1" x14ac:dyDescent="0.25">
      <c r="A70" s="42" t="s">
        <v>85</v>
      </c>
      <c r="B70" s="17"/>
      <c r="C70" s="35"/>
      <c r="D70" s="51">
        <f t="shared" ref="D70:O70" si="34">D18</f>
        <v>343.5</v>
      </c>
      <c r="E70" s="51">
        <f t="shared" si="34"/>
        <v>52.5</v>
      </c>
      <c r="F70" s="51">
        <f t="shared" si="34"/>
        <v>75</v>
      </c>
      <c r="G70" s="51">
        <f t="shared" si="34"/>
        <v>107</v>
      </c>
      <c r="H70" s="51">
        <f t="shared" si="34"/>
        <v>171</v>
      </c>
      <c r="I70" s="51">
        <f t="shared" si="34"/>
        <v>313.5</v>
      </c>
      <c r="J70" s="51">
        <f t="shared" si="34"/>
        <v>489.5</v>
      </c>
      <c r="K70" s="51">
        <f t="shared" si="34"/>
        <v>457.5</v>
      </c>
      <c r="L70" s="51">
        <f t="shared" si="34"/>
        <v>351</v>
      </c>
      <c r="M70" s="51">
        <f t="shared" si="34"/>
        <v>327</v>
      </c>
      <c r="N70" s="51">
        <f t="shared" si="34"/>
        <v>75</v>
      </c>
      <c r="O70" s="51">
        <f t="shared" si="34"/>
        <v>97.5</v>
      </c>
      <c r="P70" s="51">
        <f t="shared" ref="P70:P81" si="35">SUM(D70:O70)</f>
        <v>2860</v>
      </c>
      <c r="Q70" s="60"/>
      <c r="S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</row>
    <row r="71" spans="1:205" s="9" customFormat="1" ht="15.75" customHeight="1" x14ac:dyDescent="0.25">
      <c r="A71" s="69" t="s">
        <v>86</v>
      </c>
      <c r="B71" s="17"/>
      <c r="C71" s="35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1">
        <f t="shared" si="35"/>
        <v>0</v>
      </c>
      <c r="Q71" s="60"/>
      <c r="S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</row>
    <row r="72" spans="1:205" s="9" customFormat="1" ht="15.75" customHeight="1" x14ac:dyDescent="0.25">
      <c r="A72" s="69" t="s">
        <v>87</v>
      </c>
      <c r="B72" s="17"/>
      <c r="C72" s="35"/>
      <c r="D72" s="51">
        <f>D70-D71-D73</f>
        <v>343.5</v>
      </c>
      <c r="E72" s="51">
        <f t="shared" ref="E72:O72" si="36">E70-E71-E73</f>
        <v>52.5</v>
      </c>
      <c r="F72" s="51">
        <f t="shared" si="36"/>
        <v>75</v>
      </c>
      <c r="G72" s="51">
        <f t="shared" si="36"/>
        <v>107</v>
      </c>
      <c r="H72" s="51">
        <f t="shared" si="36"/>
        <v>171</v>
      </c>
      <c r="I72" s="51">
        <f t="shared" si="36"/>
        <v>313.5</v>
      </c>
      <c r="J72" s="51">
        <f t="shared" si="36"/>
        <v>489.5</v>
      </c>
      <c r="K72" s="51">
        <f t="shared" si="36"/>
        <v>457.5</v>
      </c>
      <c r="L72" s="51">
        <f t="shared" si="36"/>
        <v>351</v>
      </c>
      <c r="M72" s="51">
        <f t="shared" si="36"/>
        <v>327</v>
      </c>
      <c r="N72" s="51">
        <f t="shared" si="36"/>
        <v>75</v>
      </c>
      <c r="O72" s="51">
        <f t="shared" si="36"/>
        <v>97.5</v>
      </c>
      <c r="P72" s="51">
        <f t="shared" si="35"/>
        <v>2860</v>
      </c>
      <c r="Q72" s="60"/>
      <c r="S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</row>
    <row r="73" spans="1:205" s="9" customFormat="1" ht="15.75" customHeight="1" x14ac:dyDescent="0.25">
      <c r="A73" s="69" t="s">
        <v>88</v>
      </c>
      <c r="B73" s="17"/>
      <c r="C73" s="35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51">
        <f t="shared" si="35"/>
        <v>0</v>
      </c>
      <c r="Q73" s="60"/>
      <c r="S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</row>
    <row r="74" spans="1:205" s="9" customFormat="1" ht="15.75" customHeight="1" x14ac:dyDescent="0.25">
      <c r="A74" s="42" t="s">
        <v>89</v>
      </c>
      <c r="B74" s="17"/>
      <c r="C74" s="35"/>
      <c r="D74" s="51">
        <f t="shared" ref="D74:O74" si="37">D24</f>
        <v>19000</v>
      </c>
      <c r="E74" s="51">
        <f t="shared" si="37"/>
        <v>11000</v>
      </c>
      <c r="F74" s="51">
        <f t="shared" si="37"/>
        <v>14000</v>
      </c>
      <c r="G74" s="51">
        <f t="shared" si="37"/>
        <v>10000</v>
      </c>
      <c r="H74" s="51">
        <f t="shared" si="37"/>
        <v>18000</v>
      </c>
      <c r="I74" s="51">
        <f t="shared" si="37"/>
        <v>18000</v>
      </c>
      <c r="J74" s="51">
        <f t="shared" si="37"/>
        <v>18000</v>
      </c>
      <c r="K74" s="51">
        <f t="shared" si="37"/>
        <v>18000</v>
      </c>
      <c r="L74" s="51">
        <f t="shared" si="37"/>
        <v>12000</v>
      </c>
      <c r="M74" s="51">
        <f t="shared" si="37"/>
        <v>8000</v>
      </c>
      <c r="N74" s="51">
        <f t="shared" si="37"/>
        <v>8000</v>
      </c>
      <c r="O74" s="51">
        <f t="shared" si="37"/>
        <v>16000</v>
      </c>
      <c r="P74" s="51">
        <f t="shared" si="35"/>
        <v>170000</v>
      </c>
      <c r="Q74" s="60"/>
      <c r="S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</row>
    <row r="75" spans="1:205" s="9" customFormat="1" ht="15.75" customHeight="1" x14ac:dyDescent="0.25">
      <c r="A75" s="69" t="s">
        <v>86</v>
      </c>
      <c r="B75" s="17"/>
      <c r="C75" s="35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1">
        <f t="shared" si="35"/>
        <v>0</v>
      </c>
      <c r="Q75" s="60"/>
      <c r="S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</row>
    <row r="76" spans="1:205" s="9" customFormat="1" ht="15.75" customHeight="1" x14ac:dyDescent="0.25">
      <c r="A76" s="69" t="s">
        <v>87</v>
      </c>
      <c r="B76" s="17"/>
      <c r="C76" s="35"/>
      <c r="D76" s="49">
        <f>D74-D75</f>
        <v>19000</v>
      </c>
      <c r="E76" s="49">
        <f t="shared" ref="E76:O76" si="38">E74-E75</f>
        <v>11000</v>
      </c>
      <c r="F76" s="49">
        <f t="shared" si="38"/>
        <v>14000</v>
      </c>
      <c r="G76" s="49">
        <f t="shared" si="38"/>
        <v>10000</v>
      </c>
      <c r="H76" s="49">
        <f t="shared" si="38"/>
        <v>18000</v>
      </c>
      <c r="I76" s="49">
        <f t="shared" si="38"/>
        <v>18000</v>
      </c>
      <c r="J76" s="49">
        <f t="shared" si="38"/>
        <v>18000</v>
      </c>
      <c r="K76" s="49">
        <f t="shared" si="38"/>
        <v>18000</v>
      </c>
      <c r="L76" s="49">
        <f t="shared" si="38"/>
        <v>12000</v>
      </c>
      <c r="M76" s="49">
        <f t="shared" si="38"/>
        <v>8000</v>
      </c>
      <c r="N76" s="49">
        <f t="shared" si="38"/>
        <v>8000</v>
      </c>
      <c r="O76" s="49">
        <f t="shared" si="38"/>
        <v>16000</v>
      </c>
      <c r="P76" s="51">
        <f t="shared" si="35"/>
        <v>170000</v>
      </c>
      <c r="Q76" s="60"/>
      <c r="S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</row>
    <row r="77" spans="1:205" s="9" customFormat="1" ht="15.75" customHeight="1" x14ac:dyDescent="0.25">
      <c r="A77" s="69" t="s">
        <v>88</v>
      </c>
      <c r="B77" s="17"/>
      <c r="C77" s="35"/>
      <c r="D77" s="51">
        <f>D74-D75-D76</f>
        <v>0</v>
      </c>
      <c r="E77" s="51">
        <f t="shared" ref="E77:O77" si="39">E74-E75-E76</f>
        <v>0</v>
      </c>
      <c r="F77" s="51">
        <f t="shared" si="39"/>
        <v>0</v>
      </c>
      <c r="G77" s="51">
        <f t="shared" si="39"/>
        <v>0</v>
      </c>
      <c r="H77" s="51">
        <f t="shared" si="39"/>
        <v>0</v>
      </c>
      <c r="I77" s="51">
        <f t="shared" si="39"/>
        <v>0</v>
      </c>
      <c r="J77" s="51">
        <f t="shared" si="39"/>
        <v>0</v>
      </c>
      <c r="K77" s="51">
        <f t="shared" si="39"/>
        <v>0</v>
      </c>
      <c r="L77" s="51">
        <f t="shared" si="39"/>
        <v>0</v>
      </c>
      <c r="M77" s="51">
        <f t="shared" si="39"/>
        <v>0</v>
      </c>
      <c r="N77" s="51">
        <f t="shared" si="39"/>
        <v>0</v>
      </c>
      <c r="O77" s="51">
        <f t="shared" si="39"/>
        <v>0</v>
      </c>
      <c r="P77" s="51">
        <f t="shared" si="35"/>
        <v>0</v>
      </c>
      <c r="Q77" s="60"/>
      <c r="S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</row>
    <row r="78" spans="1:205" s="9" customFormat="1" ht="15.75" customHeight="1" x14ac:dyDescent="0.25">
      <c r="A78" s="42" t="s">
        <v>45</v>
      </c>
      <c r="B78" s="17"/>
      <c r="C78" s="35"/>
      <c r="D78" s="51">
        <f>D29</f>
        <v>922.73599999999999</v>
      </c>
      <c r="E78" s="51">
        <f t="shared" ref="E78:O78" si="40">E29</f>
        <v>305.95999999999998</v>
      </c>
      <c r="F78" s="51">
        <f t="shared" si="40"/>
        <v>456.012</v>
      </c>
      <c r="G78" s="51">
        <f t="shared" si="40"/>
        <v>935.72199999999998</v>
      </c>
      <c r="H78" s="51">
        <f t="shared" si="40"/>
        <v>698.19200000000001</v>
      </c>
      <c r="I78" s="51">
        <f t="shared" si="40"/>
        <v>798.50400000000002</v>
      </c>
      <c r="J78" s="51">
        <f t="shared" si="40"/>
        <v>919.13599999999997</v>
      </c>
      <c r="K78" s="51">
        <f t="shared" si="40"/>
        <v>907.8</v>
      </c>
      <c r="L78" s="51">
        <f t="shared" si="40"/>
        <v>927</v>
      </c>
      <c r="M78" s="51">
        <f t="shared" si="40"/>
        <v>535</v>
      </c>
      <c r="N78" s="51">
        <f t="shared" si="40"/>
        <v>637</v>
      </c>
      <c r="O78" s="51">
        <f t="shared" si="40"/>
        <v>837</v>
      </c>
      <c r="P78" s="51">
        <f t="shared" si="35"/>
        <v>8880.0620000000017</v>
      </c>
      <c r="Q78" s="60"/>
      <c r="S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</row>
    <row r="79" spans="1:205" s="9" customFormat="1" ht="15.75" customHeight="1" x14ac:dyDescent="0.25">
      <c r="A79" s="69" t="s">
        <v>86</v>
      </c>
      <c r="B79" s="17"/>
      <c r="C79" s="35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1">
        <f t="shared" si="35"/>
        <v>0</v>
      </c>
      <c r="Q79" s="60"/>
      <c r="S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</row>
    <row r="80" spans="1:205" s="9" customFormat="1" ht="15.75" customHeight="1" x14ac:dyDescent="0.25">
      <c r="A80" s="69" t="s">
        <v>87</v>
      </c>
      <c r="B80" s="17"/>
      <c r="C80" s="35"/>
      <c r="D80" s="49">
        <f>D78-D79</f>
        <v>922.73599999999999</v>
      </c>
      <c r="E80" s="49">
        <f t="shared" ref="E80:O80" si="41">E78-E79</f>
        <v>305.95999999999998</v>
      </c>
      <c r="F80" s="49">
        <f t="shared" si="41"/>
        <v>456.012</v>
      </c>
      <c r="G80" s="49">
        <f t="shared" si="41"/>
        <v>935.72199999999998</v>
      </c>
      <c r="H80" s="49">
        <f t="shared" si="41"/>
        <v>698.19200000000001</v>
      </c>
      <c r="I80" s="49">
        <f t="shared" si="41"/>
        <v>798.50400000000002</v>
      </c>
      <c r="J80" s="49">
        <f t="shared" si="41"/>
        <v>919.13599999999997</v>
      </c>
      <c r="K80" s="49">
        <f t="shared" si="41"/>
        <v>907.8</v>
      </c>
      <c r="L80" s="49">
        <f t="shared" si="41"/>
        <v>927</v>
      </c>
      <c r="M80" s="49">
        <f t="shared" si="41"/>
        <v>535</v>
      </c>
      <c r="N80" s="49">
        <f t="shared" si="41"/>
        <v>637</v>
      </c>
      <c r="O80" s="49">
        <f t="shared" si="41"/>
        <v>837</v>
      </c>
      <c r="P80" s="51">
        <f t="shared" si="35"/>
        <v>8880.0620000000017</v>
      </c>
      <c r="Q80" s="11"/>
      <c r="S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</row>
    <row r="81" spans="1:205" s="9" customFormat="1" ht="15.75" customHeight="1" x14ac:dyDescent="0.25">
      <c r="A81" s="69" t="s">
        <v>88</v>
      </c>
      <c r="B81" s="17"/>
      <c r="C81" s="35"/>
      <c r="D81" s="51">
        <f>D78-D79-D80</f>
        <v>0</v>
      </c>
      <c r="E81" s="51">
        <f t="shared" ref="E81:O81" si="42">E78-E79-E80</f>
        <v>0</v>
      </c>
      <c r="F81" s="51">
        <f t="shared" si="42"/>
        <v>0</v>
      </c>
      <c r="G81" s="51">
        <f t="shared" si="42"/>
        <v>0</v>
      </c>
      <c r="H81" s="51">
        <f t="shared" si="42"/>
        <v>0</v>
      </c>
      <c r="I81" s="51">
        <f t="shared" si="42"/>
        <v>0</v>
      </c>
      <c r="J81" s="51">
        <f t="shared" si="42"/>
        <v>0</v>
      </c>
      <c r="K81" s="51">
        <f t="shared" si="42"/>
        <v>0</v>
      </c>
      <c r="L81" s="51">
        <f t="shared" si="42"/>
        <v>0</v>
      </c>
      <c r="M81" s="51">
        <f t="shared" si="42"/>
        <v>0</v>
      </c>
      <c r="N81" s="51">
        <f t="shared" si="42"/>
        <v>0</v>
      </c>
      <c r="O81" s="51">
        <f t="shared" si="42"/>
        <v>0</v>
      </c>
      <c r="P81" s="51">
        <f t="shared" si="35"/>
        <v>0</v>
      </c>
      <c r="Q81" s="60"/>
      <c r="S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</row>
    <row r="82" spans="1:205" s="10" customFormat="1" ht="24" customHeight="1" x14ac:dyDescent="0.25">
      <c r="A82" s="70" t="s">
        <v>90</v>
      </c>
      <c r="B82" s="71"/>
      <c r="C82" s="72"/>
      <c r="D82" s="71"/>
      <c r="E82" s="71"/>
      <c r="F82" s="71"/>
      <c r="G82" s="71"/>
      <c r="H82" s="240" t="s">
        <v>91</v>
      </c>
      <c r="I82" s="240"/>
      <c r="J82" s="75"/>
      <c r="K82" s="71"/>
      <c r="L82" s="71"/>
      <c r="M82" s="71"/>
      <c r="N82" s="71" t="s">
        <v>92</v>
      </c>
      <c r="O82" s="75"/>
      <c r="P82" s="71"/>
      <c r="R82" s="77"/>
    </row>
    <row r="83" spans="1:205" s="10" customFormat="1" ht="20.25" customHeight="1" x14ac:dyDescent="0.25">
      <c r="A83" s="14" t="s">
        <v>93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76"/>
    </row>
    <row r="84" spans="1:205" ht="15.75" customHeight="1" x14ac:dyDescent="0.25">
      <c r="A84" s="12" t="s">
        <v>43</v>
      </c>
      <c r="D84" s="156">
        <f>SUM(D85:D89)</f>
        <v>25374.876</v>
      </c>
      <c r="E84" s="156">
        <f t="shared" ref="E84:P84" si="43">SUM(E85:E89)</f>
        <v>13767.099999999999</v>
      </c>
      <c r="F84" s="156">
        <f t="shared" si="43"/>
        <v>16989.182000000001</v>
      </c>
      <c r="G84" s="156">
        <f t="shared" si="43"/>
        <v>14898.425999999999</v>
      </c>
      <c r="H84" s="156">
        <f t="shared" si="43"/>
        <v>23260.347999999998</v>
      </c>
      <c r="I84" s="156">
        <f t="shared" si="43"/>
        <v>23308.684000000001</v>
      </c>
      <c r="J84" s="156">
        <f t="shared" si="43"/>
        <v>25035.824000000001</v>
      </c>
      <c r="K84" s="156">
        <f t="shared" si="43"/>
        <v>27064.203999999998</v>
      </c>
      <c r="L84" s="156">
        <f t="shared" si="43"/>
        <v>18886.583999999999</v>
      </c>
      <c r="M84" s="156">
        <f t="shared" si="43"/>
        <v>12953</v>
      </c>
      <c r="N84" s="156">
        <f t="shared" si="43"/>
        <v>12892</v>
      </c>
      <c r="O84" s="156">
        <f t="shared" si="43"/>
        <v>22525.5</v>
      </c>
      <c r="P84" s="156">
        <f t="shared" si="43"/>
        <v>236955.728</v>
      </c>
      <c r="Q84" s="236"/>
    </row>
    <row r="85" spans="1:205" ht="15.75" customHeight="1" x14ac:dyDescent="0.25">
      <c r="A85" s="12" t="s">
        <v>94</v>
      </c>
      <c r="D85" s="156">
        <f>葡萄糖!D18</f>
        <v>450</v>
      </c>
      <c r="E85" s="156">
        <f>葡萄糖!E18</f>
        <v>330</v>
      </c>
      <c r="F85" s="156">
        <f>葡萄糖!F18</f>
        <v>450</v>
      </c>
      <c r="G85" s="156">
        <f>葡萄糖!G18</f>
        <v>630</v>
      </c>
      <c r="H85" s="156">
        <f>葡萄糖!H18</f>
        <v>630</v>
      </c>
      <c r="I85" s="156">
        <f>葡萄糖!I18</f>
        <v>660</v>
      </c>
      <c r="J85" s="156">
        <f>葡萄糖!J18</f>
        <v>1260</v>
      </c>
      <c r="K85" s="156">
        <f>葡萄糖!K18</f>
        <v>1260</v>
      </c>
      <c r="L85" s="156">
        <f>葡萄糖!L18</f>
        <v>1060</v>
      </c>
      <c r="M85" s="156">
        <f>葡萄糖!M18</f>
        <v>1030</v>
      </c>
      <c r="N85" s="156">
        <f>葡萄糖!N18</f>
        <v>930</v>
      </c>
      <c r="O85" s="156">
        <f>葡萄糖!O18</f>
        <v>830</v>
      </c>
      <c r="P85" s="156">
        <f>葡萄糖!P18</f>
        <v>9520</v>
      </c>
      <c r="Q85" s="236"/>
    </row>
    <row r="86" spans="1:205" ht="15.75" customHeight="1" x14ac:dyDescent="0.25">
      <c r="A86" s="259" t="s">
        <v>249</v>
      </c>
      <c r="D86" s="156">
        <f>Sheet2!B10</f>
        <v>1600</v>
      </c>
      <c r="E86" s="156">
        <f>Sheet2!C10</f>
        <v>700</v>
      </c>
      <c r="F86" s="156">
        <f>Sheet2!D10</f>
        <v>300</v>
      </c>
      <c r="G86" s="156">
        <f>Sheet2!E10</f>
        <v>300</v>
      </c>
      <c r="H86" s="156">
        <f>Sheet2!F10</f>
        <v>840</v>
      </c>
      <c r="I86" s="156">
        <f>Sheet2!G10</f>
        <v>420</v>
      </c>
      <c r="J86" s="156">
        <f>Sheet2!H10</f>
        <v>480</v>
      </c>
      <c r="K86" s="156">
        <f>Sheet2!I10</f>
        <v>1620</v>
      </c>
      <c r="L86" s="156">
        <f>Sheet2!J10</f>
        <v>540</v>
      </c>
      <c r="M86" s="156">
        <f>Sheet2!K10</f>
        <v>420</v>
      </c>
      <c r="N86" s="156">
        <f>Sheet2!L10</f>
        <v>600</v>
      </c>
      <c r="O86" s="156">
        <f>Sheet2!M10</f>
        <v>1620</v>
      </c>
      <c r="P86" s="156">
        <f>SUM(D86:O86)</f>
        <v>9440</v>
      </c>
      <c r="Q86" s="236"/>
    </row>
    <row r="87" spans="1:205" ht="15.75" customHeight="1" x14ac:dyDescent="0.25">
      <c r="A87" s="259" t="s">
        <v>250</v>
      </c>
      <c r="D87" s="156">
        <f>Sheet2!B7</f>
        <v>2608.64</v>
      </c>
      <c r="E87" s="156">
        <f>Sheet2!C7</f>
        <v>702.64</v>
      </c>
      <c r="F87" s="156">
        <f>Sheet2!D7</f>
        <v>1063.17</v>
      </c>
      <c r="G87" s="156">
        <f>Sheet2!E7</f>
        <v>1959.704</v>
      </c>
      <c r="H87" s="156">
        <f>Sheet2!F7</f>
        <v>1820.1559999999999</v>
      </c>
      <c r="I87" s="156">
        <f>Sheet2!G7</f>
        <v>1563.68</v>
      </c>
      <c r="J87" s="156">
        <f>Sheet2!H7</f>
        <v>2268.1880000000001</v>
      </c>
      <c r="K87" s="156">
        <f>Sheet2!I7</f>
        <v>2731.904</v>
      </c>
      <c r="L87" s="156">
        <f>Sheet2!J7</f>
        <v>2467.5839999999998</v>
      </c>
      <c r="M87" s="156">
        <f>Sheet2!K7</f>
        <v>1978</v>
      </c>
      <c r="N87" s="156">
        <f>Sheet2!L7</f>
        <v>2089</v>
      </c>
      <c r="O87" s="156">
        <f>Sheet2!M7</f>
        <v>2160</v>
      </c>
      <c r="P87" s="156">
        <f>SUM(D87:O87)</f>
        <v>23412.666000000001</v>
      </c>
      <c r="Q87" s="236"/>
    </row>
    <row r="88" spans="1:205" ht="15.75" customHeight="1" x14ac:dyDescent="0.25">
      <c r="A88" s="12" t="s">
        <v>95</v>
      </c>
      <c r="D88" s="156">
        <f>麦芽糖!D18</f>
        <v>450</v>
      </c>
      <c r="E88" s="156">
        <f>麦芽糖!E18</f>
        <v>676</v>
      </c>
      <c r="F88" s="156">
        <f>麦芽糖!F18</f>
        <v>645</v>
      </c>
      <c r="G88" s="156">
        <f>麦芽糖!G18</f>
        <v>966</v>
      </c>
      <c r="H88" s="156">
        <f>麦芽糖!H18</f>
        <v>1002</v>
      </c>
      <c r="I88" s="156">
        <f>麦芽糖!I18</f>
        <v>1454</v>
      </c>
      <c r="J88" s="156">
        <f>麦芽糖!J18</f>
        <v>1520</v>
      </c>
      <c r="K88" s="156">
        <f>麦芽糖!K18</f>
        <v>2087</v>
      </c>
      <c r="L88" s="156">
        <f>麦芽糖!L18</f>
        <v>1541</v>
      </c>
      <c r="M88" s="156">
        <f>麦芽糖!M18</f>
        <v>663</v>
      </c>
      <c r="N88" s="156">
        <f>麦芽糖!N18</f>
        <v>561</v>
      </c>
      <c r="O88" s="156">
        <f>麦芽糖!O18</f>
        <v>981</v>
      </c>
      <c r="P88" s="156">
        <f>麦芽糖!P18</f>
        <v>12546</v>
      </c>
      <c r="Q88" s="236"/>
    </row>
    <row r="89" spans="1:205" ht="15.75" customHeight="1" x14ac:dyDescent="0.25">
      <c r="A89" s="12" t="s">
        <v>96</v>
      </c>
      <c r="D89" s="156">
        <f>D90+D91</f>
        <v>20266.236000000001</v>
      </c>
      <c r="E89" s="156">
        <f t="shared" ref="E89:P89" si="44">E90+E91</f>
        <v>11358.46</v>
      </c>
      <c r="F89" s="156">
        <f t="shared" si="44"/>
        <v>14531.012000000001</v>
      </c>
      <c r="G89" s="156">
        <f t="shared" si="44"/>
        <v>11042.722</v>
      </c>
      <c r="H89" s="156">
        <f t="shared" si="44"/>
        <v>18968.191999999999</v>
      </c>
      <c r="I89" s="156">
        <f t="shared" si="44"/>
        <v>19211.004000000001</v>
      </c>
      <c r="J89" s="156">
        <f t="shared" si="44"/>
        <v>19507.635999999999</v>
      </c>
      <c r="K89" s="156">
        <f t="shared" si="44"/>
        <v>19365.3</v>
      </c>
      <c r="L89" s="156">
        <f t="shared" si="44"/>
        <v>13278</v>
      </c>
      <c r="M89" s="156">
        <f t="shared" si="44"/>
        <v>8862</v>
      </c>
      <c r="N89" s="156">
        <f t="shared" si="44"/>
        <v>8712</v>
      </c>
      <c r="O89" s="156">
        <f t="shared" si="44"/>
        <v>16934.5</v>
      </c>
      <c r="P89" s="156">
        <f t="shared" si="44"/>
        <v>182037.06200000001</v>
      </c>
      <c r="Q89" s="236"/>
    </row>
    <row r="90" spans="1:205" ht="15.75" customHeight="1" x14ac:dyDescent="0.25">
      <c r="A90" s="235" t="s">
        <v>97</v>
      </c>
      <c r="D90" s="156">
        <f>果糖一线!D18+果糖一线!D24+果糖一线!D29+果糖一线!D30</f>
        <v>8000</v>
      </c>
      <c r="E90" s="156">
        <f>果糖一线!E18+果糖一线!E24+果糖一线!E29+果糖一线!E30</f>
        <v>4000</v>
      </c>
      <c r="F90" s="156">
        <f>果糖一线!F18+果糖一线!F24+果糖一线!F29+果糖一线!F30</f>
        <v>4000</v>
      </c>
      <c r="G90" s="156">
        <f>果糖一线!G18+果糖一线!G24+果糖一线!G29+果糖一线!G30</f>
        <v>0</v>
      </c>
      <c r="H90" s="156">
        <f>果糖一线!H18+果糖一线!H24+果糖一线!H29+果糖一线!H30</f>
        <v>8099</v>
      </c>
      <c r="I90" s="156">
        <f>果糖一线!I18+果糖一线!I24+果糖一线!I29+果糖一线!I30</f>
        <v>8099</v>
      </c>
      <c r="J90" s="156">
        <f>果糖一线!J18+果糖一线!J24+果糖一线!J29+果糖一线!J30</f>
        <v>8099</v>
      </c>
      <c r="K90" s="156">
        <f>果糖一线!K18+果糖一线!K24+果糖一线!K29+果糖一线!K30</f>
        <v>8000</v>
      </c>
      <c r="L90" s="156">
        <f>果糖一线!L18+果糖一线!L24+果糖一线!L29+果糖一线!L30</f>
        <v>2000</v>
      </c>
      <c r="M90" s="156">
        <f>果糖一线!M18+果糖一线!M24+果糖一线!M29+果糖一线!M30</f>
        <v>0</v>
      </c>
      <c r="N90" s="156">
        <f>果糖一线!N18+果糖一线!N24+果糖一线!N29+果糖一线!N30</f>
        <v>0</v>
      </c>
      <c r="O90" s="156">
        <f>果糖一线!O18+果糖一线!O24+果糖一线!O29+果糖一线!O30</f>
        <v>8000</v>
      </c>
      <c r="P90" s="156">
        <f>果糖一线!P18+果糖一线!P24+果糖一线!P29+果糖一线!P30</f>
        <v>58297</v>
      </c>
      <c r="Q90" s="236"/>
    </row>
    <row r="91" spans="1:205" ht="15.75" customHeight="1" x14ac:dyDescent="0.25">
      <c r="A91" s="235" t="s">
        <v>98</v>
      </c>
      <c r="D91" s="156">
        <f>果糖二线!D18+果糖二线!D24+果糖二线!D29+果糖二线!D30</f>
        <v>12266.236000000001</v>
      </c>
      <c r="E91" s="156">
        <f>果糖二线!E18+果糖二线!E24+果糖二线!E29+果糖二线!E30</f>
        <v>7358.46</v>
      </c>
      <c r="F91" s="156">
        <f>果糖二线!F18+果糖二线!F24+果糖二线!F29+果糖二线!F30</f>
        <v>10531.012000000001</v>
      </c>
      <c r="G91" s="156">
        <f>果糖二线!G18+果糖二线!G24+果糖二线!G29+果糖二线!G30</f>
        <v>11042.722</v>
      </c>
      <c r="H91" s="156">
        <f>果糖二线!H18+果糖二线!H24+果糖二线!H29+果糖二线!H30</f>
        <v>10869.191999999999</v>
      </c>
      <c r="I91" s="156">
        <f>果糖二线!I18+果糖二线!I24+果糖二线!I29+果糖二线!I30</f>
        <v>11112.004000000001</v>
      </c>
      <c r="J91" s="156">
        <f>果糖二线!J18+果糖二线!J24+果糖二线!J29+果糖二线!J30</f>
        <v>11408.636</v>
      </c>
      <c r="K91" s="156">
        <f>果糖二线!K18+果糖二线!K24+果糖二线!K29+果糖二线!K30</f>
        <v>11365.3</v>
      </c>
      <c r="L91" s="156">
        <f>果糖二线!L18+果糖二线!L24+果糖二线!L29+果糖二线!L30</f>
        <v>11278</v>
      </c>
      <c r="M91" s="156">
        <f>果糖二线!M18+果糖二线!M24+果糖二线!M29+果糖二线!M30</f>
        <v>8862</v>
      </c>
      <c r="N91" s="156">
        <f>果糖二线!N18+果糖二线!N24+果糖二线!N29+果糖二线!N30</f>
        <v>8712</v>
      </c>
      <c r="O91" s="156">
        <f>果糖二线!O18+果糖二线!O24+果糖二线!O29+果糖二线!O30</f>
        <v>8934.5</v>
      </c>
      <c r="P91" s="156">
        <f>果糖二线!P18+果糖二线!P24+果糖二线!P29+果糖二线!P30</f>
        <v>123740.06200000001</v>
      </c>
      <c r="Q91" s="236"/>
    </row>
    <row r="92" spans="1:205" ht="15.75" customHeight="1" x14ac:dyDescent="0.25">
      <c r="A92" s="12" t="s">
        <v>99</v>
      </c>
      <c r="D92" s="13">
        <v>31</v>
      </c>
      <c r="E92" s="13">
        <v>28</v>
      </c>
      <c r="F92" s="13">
        <v>31</v>
      </c>
      <c r="G92" s="13">
        <v>30</v>
      </c>
      <c r="H92" s="13">
        <v>31</v>
      </c>
      <c r="I92" s="13">
        <v>30</v>
      </c>
      <c r="J92" s="13">
        <v>31</v>
      </c>
      <c r="K92" s="13">
        <v>31</v>
      </c>
      <c r="L92" s="13">
        <v>30</v>
      </c>
      <c r="M92" s="13">
        <v>31</v>
      </c>
      <c r="N92" s="13">
        <v>30</v>
      </c>
      <c r="O92" s="13">
        <v>31</v>
      </c>
      <c r="P92" s="13">
        <f>P6/24</f>
        <v>365</v>
      </c>
    </row>
    <row r="98" spans="5:5" ht="15.75" customHeight="1" x14ac:dyDescent="0.25">
      <c r="E98" s="73"/>
    </row>
  </sheetData>
  <mergeCells count="6">
    <mergeCell ref="A1:P1"/>
    <mergeCell ref="D3:P3"/>
    <mergeCell ref="H82:I82"/>
    <mergeCell ref="A3:A4"/>
    <mergeCell ref="B3:B4"/>
    <mergeCell ref="C3:C4"/>
  </mergeCells>
  <phoneticPr fontId="39" type="noConversion"/>
  <pageMargins left="0.55118110236220497" right="0.39370078740157499" top="0.39370078740157499" bottom="0.196850393700787" header="0.511811023622047" footer="0.511811023622047"/>
  <pageSetup paperSize="9" scale="99" orientation="landscape"/>
  <headerFooter alignWithMargins="0"/>
  <rowBreaks count="1" manualBreakCount="1">
    <brk id="32" max="15" man="1"/>
  </rowBreaks>
  <ignoredErrors>
    <ignoredError sqref="P38:P52 P56:P60 P36 P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47"/>
  </sheetPr>
  <dimension ref="A1:GW71"/>
  <sheetViews>
    <sheetView showZeros="0" workbookViewId="0">
      <pane xSplit="2" ySplit="4" topLeftCell="C8" activePane="bottomRight" state="frozen"/>
      <selection pane="topRight"/>
      <selection pane="bottomLeft"/>
      <selection pane="bottomRight" activeCell="I19" sqref="I19"/>
    </sheetView>
  </sheetViews>
  <sheetFormatPr defaultColWidth="10.58203125" defaultRowHeight="15.75" customHeight="1" x14ac:dyDescent="0.25"/>
  <cols>
    <col min="1" max="1" width="15.08203125" style="12" customWidth="1"/>
    <col min="2" max="2" width="5.08203125" style="13" customWidth="1"/>
    <col min="3" max="3" width="4.58203125" style="13" customWidth="1"/>
    <col min="4" max="15" width="7.58203125" style="13" customWidth="1"/>
    <col min="16" max="16" width="9.58203125" style="13" customWidth="1"/>
    <col min="17" max="17" width="11.08203125" style="11" customWidth="1"/>
    <col min="18" max="18" width="9.08203125" style="9" customWidth="1"/>
    <col min="19" max="16384" width="10.58203125" style="13"/>
  </cols>
  <sheetData>
    <row r="1" spans="1:21" s="6" customFormat="1" ht="27" customHeight="1" x14ac:dyDescent="0.25">
      <c r="A1" s="238" t="s">
        <v>100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57"/>
    </row>
    <row r="2" spans="1:21" s="6" customFormat="1" ht="15.75" customHeight="1" x14ac:dyDescent="0.25">
      <c r="A2" s="14"/>
      <c r="B2" s="15"/>
      <c r="C2" s="16"/>
      <c r="D2" s="15"/>
      <c r="E2" s="15"/>
      <c r="F2" s="15"/>
      <c r="G2" s="15"/>
      <c r="H2" s="15"/>
      <c r="L2" s="15"/>
      <c r="M2" s="15"/>
      <c r="O2" s="15"/>
      <c r="P2" s="53" t="str">
        <f>能源消耗!Q2</f>
        <v>日  期：2024年9月10日</v>
      </c>
      <c r="R2" s="58"/>
    </row>
    <row r="3" spans="1:21" ht="15.75" customHeight="1" x14ac:dyDescent="0.25">
      <c r="A3" s="241" t="s">
        <v>2</v>
      </c>
      <c r="B3" s="241" t="s">
        <v>3</v>
      </c>
      <c r="C3" s="241" t="s">
        <v>4</v>
      </c>
      <c r="D3" s="239" t="str">
        <f>果糖!D3</f>
        <v>2025年预算</v>
      </c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S3" s="59"/>
      <c r="T3" s="59"/>
      <c r="U3" s="59"/>
    </row>
    <row r="4" spans="1:21" ht="15.75" customHeight="1" x14ac:dyDescent="0.25">
      <c r="A4" s="242"/>
      <c r="B4" s="242"/>
      <c r="C4" s="242"/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  <c r="Q4" s="60"/>
    </row>
    <row r="5" spans="1:21" s="7" customFormat="1" ht="15.75" customHeight="1" x14ac:dyDescent="0.25">
      <c r="A5" s="18" t="s">
        <v>19</v>
      </c>
      <c r="B5" s="19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1"/>
      <c r="R5" s="9"/>
      <c r="S5" s="59"/>
      <c r="T5" s="59"/>
      <c r="U5" s="59"/>
    </row>
    <row r="6" spans="1:21" ht="15.75" customHeight="1" x14ac:dyDescent="0.25">
      <c r="A6" s="22" t="s">
        <v>20</v>
      </c>
      <c r="B6" s="23" t="s">
        <v>21</v>
      </c>
      <c r="C6" s="24"/>
      <c r="D6" s="25">
        <v>744</v>
      </c>
      <c r="E6" s="25">
        <v>672</v>
      </c>
      <c r="F6" s="25">
        <v>744</v>
      </c>
      <c r="G6" s="25">
        <v>720</v>
      </c>
      <c r="H6" s="25">
        <v>744</v>
      </c>
      <c r="I6" s="25">
        <v>720</v>
      </c>
      <c r="J6" s="25">
        <v>744</v>
      </c>
      <c r="K6" s="25">
        <v>744</v>
      </c>
      <c r="L6" s="25">
        <v>720</v>
      </c>
      <c r="M6" s="25">
        <v>744</v>
      </c>
      <c r="N6" s="25">
        <v>720</v>
      </c>
      <c r="O6" s="25">
        <v>744</v>
      </c>
      <c r="P6" s="26">
        <f>SUM(D6:O6)</f>
        <v>8760</v>
      </c>
      <c r="Q6" s="60"/>
      <c r="T6" s="9"/>
    </row>
    <row r="7" spans="1:21" ht="15.75" customHeight="1" x14ac:dyDescent="0.25">
      <c r="A7" s="22" t="s">
        <v>22</v>
      </c>
      <c r="B7" s="23" t="s">
        <v>21</v>
      </c>
      <c r="C7" s="24"/>
      <c r="D7" s="26">
        <f>D6-D9</f>
        <v>39</v>
      </c>
      <c r="E7" s="26">
        <f t="shared" ref="E7:O7" si="0">E6-E9</f>
        <v>27</v>
      </c>
      <c r="F7" s="26">
        <f t="shared" si="0"/>
        <v>39</v>
      </c>
      <c r="G7" s="26">
        <f t="shared" si="0"/>
        <v>50</v>
      </c>
      <c r="H7" s="26">
        <f t="shared" si="0"/>
        <v>54</v>
      </c>
      <c r="I7" s="26">
        <f t="shared" si="0"/>
        <v>55</v>
      </c>
      <c r="J7" s="26">
        <f t="shared" si="0"/>
        <v>104</v>
      </c>
      <c r="K7" s="26">
        <f t="shared" si="0"/>
        <v>104</v>
      </c>
      <c r="L7" s="26">
        <f t="shared" si="0"/>
        <v>90</v>
      </c>
      <c r="M7" s="26">
        <f t="shared" si="0"/>
        <v>84</v>
      </c>
      <c r="N7" s="26">
        <f t="shared" si="0"/>
        <v>80</v>
      </c>
      <c r="O7" s="26">
        <f t="shared" si="0"/>
        <v>64</v>
      </c>
      <c r="P7" s="26">
        <f>SUM(D7:O7)</f>
        <v>790</v>
      </c>
      <c r="Q7" s="60"/>
      <c r="T7" s="9"/>
    </row>
    <row r="8" spans="1:21" ht="15.75" customHeight="1" x14ac:dyDescent="0.25">
      <c r="A8" s="22" t="s">
        <v>22</v>
      </c>
      <c r="B8" s="23" t="s">
        <v>23</v>
      </c>
      <c r="C8" s="24"/>
      <c r="D8" s="26">
        <f t="shared" ref="D8:O8" si="1">D7/24</f>
        <v>1.625</v>
      </c>
      <c r="E8" s="26">
        <f t="shared" si="1"/>
        <v>1.125</v>
      </c>
      <c r="F8" s="26">
        <f t="shared" si="1"/>
        <v>1.625</v>
      </c>
      <c r="G8" s="26">
        <f t="shared" si="1"/>
        <v>2.0833333333333299</v>
      </c>
      <c r="H8" s="26">
        <f t="shared" si="1"/>
        <v>2.25</v>
      </c>
      <c r="I8" s="26">
        <f t="shared" si="1"/>
        <v>2.2916666666666701</v>
      </c>
      <c r="J8" s="26">
        <f t="shared" si="1"/>
        <v>4.3333333333333304</v>
      </c>
      <c r="K8" s="26">
        <f t="shared" si="1"/>
        <v>4.3333333333333304</v>
      </c>
      <c r="L8" s="26">
        <f t="shared" si="1"/>
        <v>3.75</v>
      </c>
      <c r="M8" s="26">
        <f t="shared" si="1"/>
        <v>3.5</v>
      </c>
      <c r="N8" s="26">
        <f t="shared" si="1"/>
        <v>3.3333333333333299</v>
      </c>
      <c r="O8" s="26">
        <f t="shared" si="1"/>
        <v>2.6666666666666701</v>
      </c>
      <c r="P8" s="26">
        <f t="shared" ref="P8" si="2">P7/24</f>
        <v>32.9166666666667</v>
      </c>
      <c r="Q8" s="60"/>
      <c r="T8" s="9"/>
    </row>
    <row r="9" spans="1:21" ht="15.75" customHeight="1" x14ac:dyDescent="0.25">
      <c r="A9" s="22" t="s">
        <v>24</v>
      </c>
      <c r="B9" s="23" t="s">
        <v>21</v>
      </c>
      <c r="C9" s="24"/>
      <c r="D9" s="26">
        <f>SUM(D10:D12)</f>
        <v>705</v>
      </c>
      <c r="E9" s="26">
        <f>SUM(E10:E12)</f>
        <v>645</v>
      </c>
      <c r="F9" s="26">
        <f t="shared" ref="F9:O9" si="3">SUM(F10:F12)</f>
        <v>705</v>
      </c>
      <c r="G9" s="26">
        <f t="shared" si="3"/>
        <v>670</v>
      </c>
      <c r="H9" s="26">
        <f t="shared" si="3"/>
        <v>690</v>
      </c>
      <c r="I9" s="26">
        <f t="shared" si="3"/>
        <v>665</v>
      </c>
      <c r="J9" s="26">
        <f t="shared" si="3"/>
        <v>640</v>
      </c>
      <c r="K9" s="26">
        <f t="shared" si="3"/>
        <v>640</v>
      </c>
      <c r="L9" s="26">
        <f t="shared" si="3"/>
        <v>630</v>
      </c>
      <c r="M9" s="26">
        <f t="shared" si="3"/>
        <v>660</v>
      </c>
      <c r="N9" s="26">
        <f t="shared" si="3"/>
        <v>640</v>
      </c>
      <c r="O9" s="26">
        <f t="shared" si="3"/>
        <v>680</v>
      </c>
      <c r="P9" s="26">
        <f>SUM(D9:O9)</f>
        <v>7970</v>
      </c>
      <c r="Q9" s="60"/>
      <c r="T9" s="9"/>
    </row>
    <row r="10" spans="1:21" ht="15.75" customHeight="1" x14ac:dyDescent="0.25">
      <c r="A10" s="27" t="s">
        <v>25</v>
      </c>
      <c r="B10" s="23" t="s">
        <v>21</v>
      </c>
      <c r="C10" s="24"/>
      <c r="D10" s="25">
        <v>705</v>
      </c>
      <c r="E10" s="25">
        <v>645</v>
      </c>
      <c r="F10" s="25">
        <v>705</v>
      </c>
      <c r="G10" s="25">
        <v>670</v>
      </c>
      <c r="H10" s="25">
        <v>690</v>
      </c>
      <c r="I10" s="25">
        <v>665</v>
      </c>
      <c r="J10" s="25">
        <v>640</v>
      </c>
      <c r="K10" s="25">
        <v>640</v>
      </c>
      <c r="L10" s="25">
        <v>630</v>
      </c>
      <c r="M10" s="25">
        <v>660</v>
      </c>
      <c r="N10" s="25">
        <v>640</v>
      </c>
      <c r="O10" s="25">
        <v>680</v>
      </c>
      <c r="P10" s="26">
        <f>SUM(D10:O10)</f>
        <v>7970</v>
      </c>
      <c r="Q10" s="60"/>
      <c r="T10" s="9"/>
    </row>
    <row r="11" spans="1:21" ht="15.75" customHeight="1" x14ac:dyDescent="0.25">
      <c r="A11" s="27" t="s">
        <v>26</v>
      </c>
      <c r="B11" s="23" t="s">
        <v>21</v>
      </c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>
        <f>SUM(D11:O11)</f>
        <v>0</v>
      </c>
      <c r="Q11" s="60"/>
      <c r="T11" s="9"/>
    </row>
    <row r="12" spans="1:21" ht="15.75" customHeight="1" x14ac:dyDescent="0.25">
      <c r="A12" s="27" t="s">
        <v>27</v>
      </c>
      <c r="B12" s="23" t="s">
        <v>21</v>
      </c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>
        <f>SUM(D12:O12)</f>
        <v>0</v>
      </c>
      <c r="Q12" s="60"/>
      <c r="T12" s="9"/>
    </row>
    <row r="13" spans="1:21" s="7" customFormat="1" ht="15.75" customHeight="1" x14ac:dyDescent="0.25">
      <c r="A13" s="18" t="s">
        <v>28</v>
      </c>
      <c r="B13" s="19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60"/>
      <c r="R13" s="9"/>
      <c r="S13" s="59"/>
      <c r="T13" s="9"/>
      <c r="U13" s="59"/>
    </row>
    <row r="14" spans="1:21" ht="15.75" customHeight="1" x14ac:dyDescent="0.25">
      <c r="A14" s="22" t="s">
        <v>94</v>
      </c>
      <c r="B14" s="23" t="s">
        <v>30</v>
      </c>
      <c r="C14" s="24"/>
      <c r="D14" s="28">
        <f>IF(D27=0,0,1/D27)</f>
        <v>1.0799136069114501</v>
      </c>
      <c r="E14" s="28">
        <f t="shared" ref="E14:O14" si="4">IF(E27=0,0,1/E27)</f>
        <v>1.0799136069114501</v>
      </c>
      <c r="F14" s="28">
        <f t="shared" si="4"/>
        <v>1.0799136069114501</v>
      </c>
      <c r="G14" s="28">
        <f t="shared" si="4"/>
        <v>1.0799136069114501</v>
      </c>
      <c r="H14" s="28">
        <f t="shared" si="4"/>
        <v>1.0799136069114501</v>
      </c>
      <c r="I14" s="28">
        <f t="shared" si="4"/>
        <v>1.0799136069114501</v>
      </c>
      <c r="J14" s="28">
        <f t="shared" si="4"/>
        <v>1.0799136069114501</v>
      </c>
      <c r="K14" s="28">
        <f t="shared" si="4"/>
        <v>1.0799136069114501</v>
      </c>
      <c r="L14" s="28">
        <f t="shared" si="4"/>
        <v>1.0799136069114501</v>
      </c>
      <c r="M14" s="28">
        <f t="shared" si="4"/>
        <v>1.0799136069114501</v>
      </c>
      <c r="N14" s="28">
        <f t="shared" si="4"/>
        <v>1.0799136069114501</v>
      </c>
      <c r="O14" s="28">
        <f t="shared" si="4"/>
        <v>1.0799136069114501</v>
      </c>
      <c r="P14" s="28">
        <f t="shared" ref="P14" si="5">IF(P27=0,0,1/P27)</f>
        <v>1.0799147731261001</v>
      </c>
      <c r="Q14" s="60"/>
      <c r="T14" s="9"/>
    </row>
    <row r="15" spans="1:21" s="7" customFormat="1" ht="15.75" customHeight="1" x14ac:dyDescent="0.25">
      <c r="A15" s="18" t="s">
        <v>31</v>
      </c>
      <c r="B15" s="19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>
        <f>SUM(D15:O15)</f>
        <v>0</v>
      </c>
      <c r="Q15" s="60"/>
      <c r="R15" s="9"/>
      <c r="S15" s="59"/>
      <c r="T15" s="9"/>
      <c r="U15" s="59"/>
    </row>
    <row r="16" spans="1:21" ht="15.75" customHeight="1" x14ac:dyDescent="0.25">
      <c r="A16" s="29" t="s">
        <v>32</v>
      </c>
      <c r="B16" s="23" t="s">
        <v>30</v>
      </c>
      <c r="C16" s="24"/>
      <c r="D16" s="28">
        <f>IF(D7=0,0,(D18)/D7/333*24)</f>
        <v>0.83160083160083198</v>
      </c>
      <c r="E16" s="28">
        <f t="shared" ref="E16:O16" si="6">IF(E7=0,0,(E18)/E7/333*24)</f>
        <v>0.88088088088088101</v>
      </c>
      <c r="F16" s="28">
        <f t="shared" si="6"/>
        <v>0.83160083160083198</v>
      </c>
      <c r="G16" s="28">
        <f t="shared" si="6"/>
        <v>0.90810810810810805</v>
      </c>
      <c r="H16" s="28">
        <f t="shared" si="6"/>
        <v>0.84084084084084099</v>
      </c>
      <c r="I16" s="28">
        <f t="shared" si="6"/>
        <v>0.86486486486486502</v>
      </c>
      <c r="J16" s="28">
        <f t="shared" si="6"/>
        <v>0.87318087318087301</v>
      </c>
      <c r="K16" s="28">
        <f t="shared" si="6"/>
        <v>0.87318087318087301</v>
      </c>
      <c r="L16" s="28">
        <f t="shared" si="6"/>
        <v>0.84884884884884904</v>
      </c>
      <c r="M16" s="28">
        <f t="shared" si="6"/>
        <v>0.883740883740884</v>
      </c>
      <c r="N16" s="28">
        <f t="shared" si="6"/>
        <v>0.83783783783783805</v>
      </c>
      <c r="O16" s="28">
        <f t="shared" si="6"/>
        <v>0.93468468468468502</v>
      </c>
      <c r="P16" s="28">
        <f t="shared" ref="P16" si="7">IF(P7=0,0,(P18)/P7/333*24)</f>
        <v>0.868514083703957</v>
      </c>
      <c r="Q16" s="60"/>
      <c r="T16" s="9"/>
    </row>
    <row r="17" spans="1:21" s="7" customFormat="1" ht="15.75" customHeight="1" x14ac:dyDescent="0.25">
      <c r="A17" s="18" t="s">
        <v>34</v>
      </c>
      <c r="B17" s="19"/>
      <c r="C17" s="20"/>
      <c r="D17" s="30">
        <v>120</v>
      </c>
      <c r="E17" s="30">
        <v>0</v>
      </c>
      <c r="F17" s="30">
        <v>60</v>
      </c>
      <c r="G17" s="30">
        <v>120</v>
      </c>
      <c r="H17" s="30">
        <v>120</v>
      </c>
      <c r="I17" s="30">
        <v>120</v>
      </c>
      <c r="J17" s="30">
        <v>120</v>
      </c>
      <c r="K17" s="30">
        <v>120</v>
      </c>
      <c r="L17" s="30">
        <v>90</v>
      </c>
      <c r="M17" s="30">
        <v>0</v>
      </c>
      <c r="N17" s="30">
        <v>60</v>
      </c>
      <c r="O17" s="30">
        <v>150</v>
      </c>
      <c r="P17" s="30"/>
      <c r="Q17" s="60"/>
      <c r="R17" s="9"/>
      <c r="S17" s="59"/>
      <c r="T17" s="9"/>
      <c r="U17" s="59"/>
    </row>
    <row r="18" spans="1:21" ht="15.75" customHeight="1" x14ac:dyDescent="0.25">
      <c r="A18" s="22" t="s">
        <v>101</v>
      </c>
      <c r="B18" s="23" t="s">
        <v>37</v>
      </c>
      <c r="C18" s="24"/>
      <c r="D18" s="31">
        <v>450</v>
      </c>
      <c r="E18" s="31">
        <v>330</v>
      </c>
      <c r="F18" s="31">
        <v>450</v>
      </c>
      <c r="G18" s="31">
        <v>630</v>
      </c>
      <c r="H18" s="31">
        <v>630</v>
      </c>
      <c r="I18" s="31">
        <v>660</v>
      </c>
      <c r="J18" s="31">
        <v>1260</v>
      </c>
      <c r="K18" s="31">
        <v>1260</v>
      </c>
      <c r="L18" s="31">
        <v>1060</v>
      </c>
      <c r="M18" s="31">
        <v>1030</v>
      </c>
      <c r="N18" s="31">
        <v>930</v>
      </c>
      <c r="O18" s="31">
        <v>830</v>
      </c>
      <c r="P18" s="26">
        <f>SUM(D18:O18)</f>
        <v>9520</v>
      </c>
      <c r="Q18" s="60"/>
      <c r="T18" s="9"/>
    </row>
    <row r="19" spans="1:21" ht="15.75" customHeight="1" x14ac:dyDescent="0.25">
      <c r="A19" s="233" t="s">
        <v>102</v>
      </c>
      <c r="B19" s="23" t="s">
        <v>37</v>
      </c>
      <c r="C19" s="24"/>
      <c r="D19" s="31">
        <v>64</v>
      </c>
      <c r="E19" s="31">
        <v>64</v>
      </c>
      <c r="F19" s="31">
        <v>210</v>
      </c>
      <c r="G19" s="31">
        <v>364</v>
      </c>
      <c r="H19" s="31">
        <v>64</v>
      </c>
      <c r="I19" s="31">
        <v>0</v>
      </c>
      <c r="J19" s="31">
        <v>0</v>
      </c>
      <c r="K19" s="31">
        <v>0</v>
      </c>
      <c r="L19" s="31">
        <v>0</v>
      </c>
      <c r="M19" s="31">
        <v>64</v>
      </c>
      <c r="N19" s="31">
        <v>64</v>
      </c>
      <c r="O19" s="31">
        <v>64</v>
      </c>
      <c r="P19" s="26">
        <f>SUM(D19:O19)</f>
        <v>958</v>
      </c>
      <c r="Q19" s="60"/>
      <c r="T19" s="9"/>
    </row>
    <row r="20" spans="1:21" ht="15.75" customHeight="1" x14ac:dyDescent="0.25">
      <c r="A20" s="32" t="s">
        <v>40</v>
      </c>
      <c r="B20" s="23" t="s">
        <v>30</v>
      </c>
      <c r="C20" s="24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>
        <f t="shared" ref="P20" si="8">IF(P18=0,0,P19/P18)</f>
        <v>0.10063025210084001</v>
      </c>
      <c r="Q20" s="60"/>
      <c r="T20" s="9"/>
    </row>
    <row r="21" spans="1:21" ht="15.75" customHeight="1" x14ac:dyDescent="0.25">
      <c r="A21" s="27" t="s">
        <v>41</v>
      </c>
      <c r="B21" s="23" t="s">
        <v>37</v>
      </c>
      <c r="C21" s="24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>
        <f>SUM(D21:O21)</f>
        <v>0</v>
      </c>
      <c r="Q21" s="60"/>
      <c r="T21" s="9"/>
    </row>
    <row r="22" spans="1:21" ht="15.75" customHeight="1" x14ac:dyDescent="0.25">
      <c r="A22" s="32" t="s">
        <v>40</v>
      </c>
      <c r="B22" s="34" t="s">
        <v>30</v>
      </c>
      <c r="C22" s="35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>
        <f t="shared" ref="P22" si="9">IF(P18=0,0,P21/P18)</f>
        <v>0</v>
      </c>
      <c r="Q22" s="60"/>
      <c r="T22" s="9"/>
    </row>
    <row r="23" spans="1:21" ht="15.75" customHeight="1" x14ac:dyDescent="0.25">
      <c r="A23" s="22" t="s">
        <v>103</v>
      </c>
      <c r="B23" s="23" t="s">
        <v>37</v>
      </c>
      <c r="C23" s="24"/>
      <c r="D23" s="26">
        <f>D18*0.6+D19*0.7</f>
        <v>314.8</v>
      </c>
      <c r="E23" s="26">
        <f t="shared" ref="E23:P23" si="10">E18*0.6+E19*0.7</f>
        <v>242.8</v>
      </c>
      <c r="F23" s="26">
        <f t="shared" si="10"/>
        <v>417</v>
      </c>
      <c r="G23" s="26">
        <f t="shared" si="10"/>
        <v>632.79999999999995</v>
      </c>
      <c r="H23" s="26">
        <f t="shared" si="10"/>
        <v>422.8</v>
      </c>
      <c r="I23" s="26">
        <f t="shared" si="10"/>
        <v>396</v>
      </c>
      <c r="J23" s="26">
        <f t="shared" si="10"/>
        <v>756</v>
      </c>
      <c r="K23" s="26">
        <f t="shared" si="10"/>
        <v>756</v>
      </c>
      <c r="L23" s="26">
        <f t="shared" si="10"/>
        <v>636</v>
      </c>
      <c r="M23" s="26">
        <f t="shared" si="10"/>
        <v>662.8</v>
      </c>
      <c r="N23" s="26">
        <f t="shared" si="10"/>
        <v>602.79999999999995</v>
      </c>
      <c r="O23" s="26">
        <f t="shared" si="10"/>
        <v>542.79999999999995</v>
      </c>
      <c r="P23" s="26">
        <f t="shared" si="10"/>
        <v>6382.6</v>
      </c>
      <c r="Q23" s="60"/>
      <c r="T23" s="9"/>
    </row>
    <row r="24" spans="1:21" ht="15.75" customHeight="1" x14ac:dyDescent="0.25">
      <c r="A24" s="36" t="s">
        <v>48</v>
      </c>
      <c r="B24" s="37" t="s">
        <v>37</v>
      </c>
      <c r="C24" s="38"/>
      <c r="D24" s="39">
        <f>D23</f>
        <v>314.8</v>
      </c>
      <c r="E24" s="39">
        <f t="shared" ref="E24:O24" si="11">E23</f>
        <v>242.8</v>
      </c>
      <c r="F24" s="39">
        <f t="shared" si="11"/>
        <v>417</v>
      </c>
      <c r="G24" s="39">
        <f t="shared" si="11"/>
        <v>632.79999999999995</v>
      </c>
      <c r="H24" s="39">
        <f t="shared" si="11"/>
        <v>422.8</v>
      </c>
      <c r="I24" s="39">
        <f t="shared" si="11"/>
        <v>396</v>
      </c>
      <c r="J24" s="39">
        <f t="shared" si="11"/>
        <v>756</v>
      </c>
      <c r="K24" s="39">
        <f t="shared" si="11"/>
        <v>756</v>
      </c>
      <c r="L24" s="39">
        <f t="shared" si="11"/>
        <v>636</v>
      </c>
      <c r="M24" s="39">
        <f t="shared" si="11"/>
        <v>662.8</v>
      </c>
      <c r="N24" s="39">
        <f t="shared" si="11"/>
        <v>602.79999999999995</v>
      </c>
      <c r="O24" s="39">
        <f t="shared" si="11"/>
        <v>542.79999999999995</v>
      </c>
      <c r="P24" s="39">
        <f t="shared" ref="P24" si="12">P23</f>
        <v>6382.6</v>
      </c>
      <c r="Q24" s="60"/>
      <c r="T24" s="9"/>
    </row>
    <row r="25" spans="1:21" s="7" customFormat="1" ht="15.75" customHeight="1" x14ac:dyDescent="0.25">
      <c r="A25" s="18" t="s">
        <v>49</v>
      </c>
      <c r="B25" s="19"/>
      <c r="C25" s="20"/>
      <c r="D25" s="21">
        <f>D26/0.87</f>
        <v>335.05747126436802</v>
      </c>
      <c r="E25" s="21">
        <f t="shared" ref="E25:O25" si="13">E26/0.87</f>
        <v>258.42528735632197</v>
      </c>
      <c r="F25" s="21">
        <f t="shared" si="13"/>
        <v>443.83908045977</v>
      </c>
      <c r="G25" s="21">
        <f t="shared" si="13"/>
        <v>673.52873563218395</v>
      </c>
      <c r="H25" s="21">
        <f t="shared" si="13"/>
        <v>450.011494252874</v>
      </c>
      <c r="I25" s="21">
        <f t="shared" si="13"/>
        <v>421.49425287356303</v>
      </c>
      <c r="J25" s="21">
        <f t="shared" si="13"/>
        <v>804.66666666666697</v>
      </c>
      <c r="K25" s="21">
        <f t="shared" si="13"/>
        <v>804.66666666666697</v>
      </c>
      <c r="L25" s="21">
        <f t="shared" si="13"/>
        <v>676.94252873563198</v>
      </c>
      <c r="M25" s="21">
        <f t="shared" si="13"/>
        <v>705.45977011494301</v>
      </c>
      <c r="N25" s="21">
        <f t="shared" si="13"/>
        <v>641.59770114942501</v>
      </c>
      <c r="O25" s="21">
        <f t="shared" si="13"/>
        <v>577.73563218390802</v>
      </c>
      <c r="P25" s="21">
        <f t="shared" ref="P25" si="14">P26/0.87</f>
        <v>6793.42528735632</v>
      </c>
      <c r="Q25" s="60" t="s">
        <v>50</v>
      </c>
      <c r="R25" s="9"/>
      <c r="S25" s="59"/>
      <c r="T25" s="9"/>
      <c r="U25" s="59"/>
    </row>
    <row r="26" spans="1:21" ht="15.75" customHeight="1" x14ac:dyDescent="0.25">
      <c r="A26" s="40" t="s">
        <v>52</v>
      </c>
      <c r="B26" s="34" t="s">
        <v>37</v>
      </c>
      <c r="C26" s="35"/>
      <c r="D26" s="41">
        <f>ROUND(D27*D$24,2)</f>
        <v>291.5</v>
      </c>
      <c r="E26" s="41">
        <f t="shared" ref="E26:O26" si="15">ROUND(E27*E$24,2)</f>
        <v>224.83</v>
      </c>
      <c r="F26" s="41">
        <f t="shared" si="15"/>
        <v>386.14</v>
      </c>
      <c r="G26" s="41">
        <f t="shared" si="15"/>
        <v>585.97</v>
      </c>
      <c r="H26" s="41">
        <f t="shared" si="15"/>
        <v>391.51</v>
      </c>
      <c r="I26" s="41">
        <f t="shared" si="15"/>
        <v>366.7</v>
      </c>
      <c r="J26" s="41">
        <f t="shared" si="15"/>
        <v>700.06</v>
      </c>
      <c r="K26" s="41">
        <f t="shared" si="15"/>
        <v>700.06</v>
      </c>
      <c r="L26" s="41">
        <f t="shared" si="15"/>
        <v>588.94000000000005</v>
      </c>
      <c r="M26" s="41">
        <f t="shared" si="15"/>
        <v>613.75</v>
      </c>
      <c r="N26" s="41">
        <f t="shared" si="15"/>
        <v>558.19000000000005</v>
      </c>
      <c r="O26" s="41">
        <f t="shared" si="15"/>
        <v>502.63</v>
      </c>
      <c r="P26" s="54">
        <f>SUM(D26:O26)</f>
        <v>5910.28</v>
      </c>
      <c r="Q26" s="60"/>
      <c r="R26" s="9" t="s">
        <v>51</v>
      </c>
      <c r="T26" s="9"/>
    </row>
    <row r="27" spans="1:21" ht="15.75" customHeight="1" x14ac:dyDescent="0.25">
      <c r="A27" s="42" t="s">
        <v>53</v>
      </c>
      <c r="B27" s="34" t="s">
        <v>54</v>
      </c>
      <c r="C27" s="35"/>
      <c r="D27" s="45">
        <v>0.92600000000000005</v>
      </c>
      <c r="E27" s="45">
        <v>0.92600000000000005</v>
      </c>
      <c r="F27" s="45">
        <v>0.92600000000000005</v>
      </c>
      <c r="G27" s="45">
        <v>0.92600000000000005</v>
      </c>
      <c r="H27" s="45">
        <v>0.92600000000000005</v>
      </c>
      <c r="I27" s="45">
        <v>0.92600000000000005</v>
      </c>
      <c r="J27" s="45">
        <v>0.92600000000000005</v>
      </c>
      <c r="K27" s="45">
        <v>0.92600000000000005</v>
      </c>
      <c r="L27" s="45">
        <v>0.92600000000000005</v>
      </c>
      <c r="M27" s="45">
        <v>0.92600000000000005</v>
      </c>
      <c r="N27" s="45">
        <v>0.92600000000000005</v>
      </c>
      <c r="O27" s="45">
        <v>0.92600000000000005</v>
      </c>
      <c r="P27" s="55">
        <f>ROUND(IF(P$24=0,0,P26/P$24),6)</f>
        <v>0.92599900000000002</v>
      </c>
      <c r="Q27" s="61">
        <f>O27*0.6/0.86</f>
        <v>0.64604651162790705</v>
      </c>
      <c r="R27" s="9">
        <v>0.66069767441860505</v>
      </c>
      <c r="S27" s="62">
        <f>R27*0.86/0.6</f>
        <v>0.94700000000000095</v>
      </c>
      <c r="T27" s="9"/>
    </row>
    <row r="28" spans="1:21" ht="15.75" customHeight="1" x14ac:dyDescent="0.25">
      <c r="A28" s="40" t="s">
        <v>55</v>
      </c>
      <c r="B28" s="34" t="s">
        <v>56</v>
      </c>
      <c r="C28" s="35"/>
      <c r="D28" s="26">
        <f t="shared" ref="D28:O28" si="16">ROUND(D29*D$24,2)</f>
        <v>1636.96</v>
      </c>
      <c r="E28" s="26">
        <f t="shared" si="16"/>
        <v>1357.25</v>
      </c>
      <c r="F28" s="26">
        <f t="shared" si="16"/>
        <v>2331.0300000000002</v>
      </c>
      <c r="G28" s="26">
        <f t="shared" si="16"/>
        <v>3353.84</v>
      </c>
      <c r="H28" s="26">
        <f t="shared" si="16"/>
        <v>2198.56</v>
      </c>
      <c r="I28" s="26">
        <f t="shared" si="16"/>
        <v>2059.1999999999998</v>
      </c>
      <c r="J28" s="26">
        <f t="shared" si="16"/>
        <v>3931.2</v>
      </c>
      <c r="K28" s="26">
        <f t="shared" si="16"/>
        <v>3931.2</v>
      </c>
      <c r="L28" s="26">
        <f t="shared" si="16"/>
        <v>3434.4</v>
      </c>
      <c r="M28" s="26">
        <f t="shared" si="16"/>
        <v>3512.84</v>
      </c>
      <c r="N28" s="26">
        <f t="shared" si="16"/>
        <v>3194.84</v>
      </c>
      <c r="O28" s="26">
        <f t="shared" si="16"/>
        <v>2822.56</v>
      </c>
      <c r="P28" s="41">
        <f>SUM(D28:O28)</f>
        <v>33763.879999999997</v>
      </c>
      <c r="Q28" s="60"/>
      <c r="T28" s="9"/>
    </row>
    <row r="29" spans="1:21" ht="15.75" customHeight="1" x14ac:dyDescent="0.25">
      <c r="A29" s="42" t="s">
        <v>53</v>
      </c>
      <c r="B29" s="34" t="s">
        <v>57</v>
      </c>
      <c r="C29" s="35"/>
      <c r="D29" s="45">
        <v>5.2</v>
      </c>
      <c r="E29" s="45">
        <v>5.59</v>
      </c>
      <c r="F29" s="45">
        <v>5.59</v>
      </c>
      <c r="G29" s="45">
        <v>5.3</v>
      </c>
      <c r="H29" s="45">
        <v>5.2</v>
      </c>
      <c r="I29" s="45">
        <v>5.2</v>
      </c>
      <c r="J29" s="45">
        <v>5.2</v>
      </c>
      <c r="K29" s="45">
        <v>5.2</v>
      </c>
      <c r="L29" s="45">
        <v>5.4</v>
      </c>
      <c r="M29" s="45">
        <v>5.3</v>
      </c>
      <c r="N29" s="45">
        <v>5.3</v>
      </c>
      <c r="O29" s="45">
        <v>5.2</v>
      </c>
      <c r="P29" s="55">
        <f>ROUND(IF(P$24=0,0,P28/P$24),3)</f>
        <v>5.29</v>
      </c>
      <c r="Q29" s="63">
        <f>O29*0.6</f>
        <v>3.12</v>
      </c>
      <c r="R29" s="9">
        <v>3.24</v>
      </c>
      <c r="T29" s="9"/>
    </row>
    <row r="30" spans="1:21" ht="15.75" customHeight="1" x14ac:dyDescent="0.25">
      <c r="A30" s="40" t="s">
        <v>58</v>
      </c>
      <c r="B30" s="34" t="s">
        <v>56</v>
      </c>
      <c r="C30" s="35"/>
      <c r="D30" s="41">
        <f t="shared" ref="D30:O30" si="17">ROUND(D31*D$24,2)</f>
        <v>1674.74</v>
      </c>
      <c r="E30" s="41">
        <f t="shared" si="17"/>
        <v>1381.53</v>
      </c>
      <c r="F30" s="41">
        <f t="shared" si="17"/>
        <v>2372.73</v>
      </c>
      <c r="G30" s="41">
        <f t="shared" si="17"/>
        <v>3385.48</v>
      </c>
      <c r="H30" s="41">
        <f t="shared" si="17"/>
        <v>2249.3000000000002</v>
      </c>
      <c r="I30" s="41">
        <f t="shared" si="17"/>
        <v>2106.7199999999998</v>
      </c>
      <c r="J30" s="41">
        <f t="shared" si="17"/>
        <v>4021.92</v>
      </c>
      <c r="K30" s="41">
        <f t="shared" si="17"/>
        <v>4021.92</v>
      </c>
      <c r="L30" s="41">
        <f t="shared" si="17"/>
        <v>3498</v>
      </c>
      <c r="M30" s="41">
        <f t="shared" si="17"/>
        <v>3545.98</v>
      </c>
      <c r="N30" s="41">
        <f t="shared" si="17"/>
        <v>3224.98</v>
      </c>
      <c r="O30" s="41">
        <f t="shared" si="17"/>
        <v>2887.7</v>
      </c>
      <c r="P30" s="41">
        <f>SUM(D30:O30)</f>
        <v>34371</v>
      </c>
      <c r="Q30" s="60"/>
      <c r="T30" s="9"/>
    </row>
    <row r="31" spans="1:21" ht="15.75" customHeight="1" x14ac:dyDescent="0.25">
      <c r="A31" s="42" t="s">
        <v>53</v>
      </c>
      <c r="B31" s="34" t="s">
        <v>57</v>
      </c>
      <c r="C31" s="35"/>
      <c r="D31" s="45">
        <v>5.32</v>
      </c>
      <c r="E31" s="45">
        <v>5.69</v>
      </c>
      <c r="F31" s="45">
        <v>5.69</v>
      </c>
      <c r="G31" s="45">
        <v>5.35</v>
      </c>
      <c r="H31" s="45">
        <v>5.32</v>
      </c>
      <c r="I31" s="45">
        <v>5.32</v>
      </c>
      <c r="J31" s="45">
        <v>5.32</v>
      </c>
      <c r="K31" s="45">
        <v>5.32</v>
      </c>
      <c r="L31" s="45">
        <v>5.5</v>
      </c>
      <c r="M31" s="45">
        <v>5.35</v>
      </c>
      <c r="N31" s="45">
        <v>5.35</v>
      </c>
      <c r="O31" s="45">
        <v>5.32</v>
      </c>
      <c r="P31" s="55">
        <f>ROUND(IF(P$24=0,0,P30/P$24),3)</f>
        <v>5.3849999999999998</v>
      </c>
      <c r="Q31" s="63">
        <f>O31*0.6</f>
        <v>3.1920000000000002</v>
      </c>
      <c r="R31" s="9">
        <v>3.3</v>
      </c>
      <c r="T31" s="9"/>
    </row>
    <row r="32" spans="1:21" ht="15.75" customHeight="1" x14ac:dyDescent="0.25">
      <c r="A32" s="40" t="s">
        <v>59</v>
      </c>
      <c r="B32" s="34" t="s">
        <v>56</v>
      </c>
      <c r="C32" s="35"/>
      <c r="D32" s="41">
        <f t="shared" ref="D32:O32" si="18">ROUND(D33*D$24,2)</f>
        <v>302.20999999999998</v>
      </c>
      <c r="E32" s="41">
        <f t="shared" si="18"/>
        <v>250.08</v>
      </c>
      <c r="F32" s="41">
        <f t="shared" si="18"/>
        <v>429.51</v>
      </c>
      <c r="G32" s="41">
        <f t="shared" si="18"/>
        <v>632.79999999999995</v>
      </c>
      <c r="H32" s="41">
        <f t="shared" si="18"/>
        <v>405.89</v>
      </c>
      <c r="I32" s="41">
        <f t="shared" si="18"/>
        <v>380.16</v>
      </c>
      <c r="J32" s="41">
        <f t="shared" si="18"/>
        <v>725.76</v>
      </c>
      <c r="K32" s="41">
        <f t="shared" si="18"/>
        <v>725.76</v>
      </c>
      <c r="L32" s="41">
        <f t="shared" si="18"/>
        <v>680.52</v>
      </c>
      <c r="M32" s="41">
        <f t="shared" si="18"/>
        <v>662.8</v>
      </c>
      <c r="N32" s="41">
        <f t="shared" si="18"/>
        <v>602.79999999999995</v>
      </c>
      <c r="O32" s="41">
        <f t="shared" si="18"/>
        <v>521.09</v>
      </c>
      <c r="P32" s="41">
        <f>SUM(D32:O32)</f>
        <v>6319.38</v>
      </c>
      <c r="Q32" s="60"/>
      <c r="T32" s="9"/>
    </row>
    <row r="33" spans="1:21" ht="15.75" customHeight="1" x14ac:dyDescent="0.25">
      <c r="A33" s="42" t="s">
        <v>53</v>
      </c>
      <c r="B33" s="34" t="s">
        <v>57</v>
      </c>
      <c r="C33" s="35"/>
      <c r="D33" s="45">
        <v>0.96</v>
      </c>
      <c r="E33" s="45">
        <v>1.03</v>
      </c>
      <c r="F33" s="45">
        <v>1.03</v>
      </c>
      <c r="G33" s="45">
        <v>1</v>
      </c>
      <c r="H33" s="45">
        <v>0.96</v>
      </c>
      <c r="I33" s="45">
        <v>0.96</v>
      </c>
      <c r="J33" s="45">
        <v>0.96</v>
      </c>
      <c r="K33" s="45">
        <v>0.96</v>
      </c>
      <c r="L33" s="45">
        <v>1.07</v>
      </c>
      <c r="M33" s="45">
        <v>1</v>
      </c>
      <c r="N33" s="45">
        <v>1</v>
      </c>
      <c r="O33" s="45">
        <v>0.96</v>
      </c>
      <c r="P33" s="55">
        <f>ROUND(IF(P$24=0,0,P32/P$24),3)</f>
        <v>0.99</v>
      </c>
      <c r="Q33" s="63">
        <f>O33*0.6</f>
        <v>0.57599999999999996</v>
      </c>
      <c r="R33" s="9">
        <v>0.6</v>
      </c>
      <c r="T33" s="9"/>
    </row>
    <row r="34" spans="1:21" ht="15.75" customHeight="1" x14ac:dyDescent="0.25">
      <c r="A34" s="40" t="s">
        <v>60</v>
      </c>
      <c r="B34" s="34" t="s">
        <v>56</v>
      </c>
      <c r="C34" s="35"/>
      <c r="D34" s="41">
        <f t="shared" ref="D34:O34" si="19">ROUND(D35*D$24,2)</f>
        <v>57.61</v>
      </c>
      <c r="E34" s="41">
        <f t="shared" si="19"/>
        <v>44.43</v>
      </c>
      <c r="F34" s="41">
        <f t="shared" si="19"/>
        <v>76.31</v>
      </c>
      <c r="G34" s="41">
        <f t="shared" si="19"/>
        <v>115.8</v>
      </c>
      <c r="H34" s="41">
        <f t="shared" si="19"/>
        <v>77.37</v>
      </c>
      <c r="I34" s="41">
        <f t="shared" si="19"/>
        <v>72.47</v>
      </c>
      <c r="J34" s="41">
        <f t="shared" si="19"/>
        <v>138.35</v>
      </c>
      <c r="K34" s="41">
        <f t="shared" si="19"/>
        <v>138.35</v>
      </c>
      <c r="L34" s="41">
        <f t="shared" si="19"/>
        <v>116.39</v>
      </c>
      <c r="M34" s="41">
        <f t="shared" si="19"/>
        <v>121.29</v>
      </c>
      <c r="N34" s="41">
        <f t="shared" si="19"/>
        <v>110.31</v>
      </c>
      <c r="O34" s="41">
        <f t="shared" si="19"/>
        <v>99.33</v>
      </c>
      <c r="P34" s="41">
        <f>SUM(D34:O34)</f>
        <v>1168.01</v>
      </c>
      <c r="Q34" s="60"/>
      <c r="T34" s="9"/>
    </row>
    <row r="35" spans="1:21" ht="15.75" customHeight="1" x14ac:dyDescent="0.25">
      <c r="A35" s="42" t="s">
        <v>53</v>
      </c>
      <c r="B35" s="34" t="s">
        <v>57</v>
      </c>
      <c r="C35" s="35"/>
      <c r="D35" s="45">
        <v>0.183</v>
      </c>
      <c r="E35" s="45">
        <v>0.183</v>
      </c>
      <c r="F35" s="45">
        <v>0.183</v>
      </c>
      <c r="G35" s="45">
        <v>0.183</v>
      </c>
      <c r="H35" s="45">
        <v>0.183</v>
      </c>
      <c r="I35" s="45">
        <v>0.183</v>
      </c>
      <c r="J35" s="45">
        <v>0.183</v>
      </c>
      <c r="K35" s="45">
        <v>0.183</v>
      </c>
      <c r="L35" s="45">
        <v>0.183</v>
      </c>
      <c r="M35" s="45">
        <v>0.183</v>
      </c>
      <c r="N35" s="45">
        <v>0.183</v>
      </c>
      <c r="O35" s="45">
        <v>0.183</v>
      </c>
      <c r="P35" s="55">
        <f>ROUND(IF(P$24=0,0,P34/P$24),3)</f>
        <v>0.183</v>
      </c>
      <c r="Q35" s="63">
        <f>O35*0.6</f>
        <v>0.10979999999999999</v>
      </c>
      <c r="R35" s="9">
        <v>0.108</v>
      </c>
      <c r="T35" s="9"/>
    </row>
    <row r="36" spans="1:21" ht="15.75" customHeight="1" x14ac:dyDescent="0.25">
      <c r="A36" s="44" t="s">
        <v>61</v>
      </c>
      <c r="B36" s="34" t="s">
        <v>56</v>
      </c>
      <c r="C36" s="35"/>
      <c r="D36" s="41">
        <f t="shared" ref="D36:O36" si="20">ROUND(D37*D$24,2)</f>
        <v>57.61</v>
      </c>
      <c r="E36" s="41">
        <f t="shared" si="20"/>
        <v>44.43</v>
      </c>
      <c r="F36" s="41">
        <f t="shared" si="20"/>
        <v>76.31</v>
      </c>
      <c r="G36" s="41">
        <f t="shared" si="20"/>
        <v>115.8</v>
      </c>
      <c r="H36" s="41">
        <f t="shared" si="20"/>
        <v>77.37</v>
      </c>
      <c r="I36" s="41">
        <f t="shared" si="20"/>
        <v>72.47</v>
      </c>
      <c r="J36" s="41">
        <f t="shared" si="20"/>
        <v>138.35</v>
      </c>
      <c r="K36" s="41">
        <f t="shared" si="20"/>
        <v>138.35</v>
      </c>
      <c r="L36" s="41">
        <f t="shared" si="20"/>
        <v>116.39</v>
      </c>
      <c r="M36" s="41">
        <f t="shared" si="20"/>
        <v>121.29</v>
      </c>
      <c r="N36" s="41">
        <f t="shared" si="20"/>
        <v>110.31</v>
      </c>
      <c r="O36" s="41">
        <f t="shared" si="20"/>
        <v>99.33</v>
      </c>
      <c r="P36" s="41">
        <f>SUM(D36:O36)</f>
        <v>1168.01</v>
      </c>
      <c r="Q36" s="60"/>
      <c r="T36" s="9"/>
    </row>
    <row r="37" spans="1:21" ht="15.75" customHeight="1" x14ac:dyDescent="0.25">
      <c r="A37" s="42" t="s">
        <v>53</v>
      </c>
      <c r="B37" s="34" t="s">
        <v>57</v>
      </c>
      <c r="C37" s="35"/>
      <c r="D37" s="45">
        <v>0.183</v>
      </c>
      <c r="E37" s="45">
        <v>0.183</v>
      </c>
      <c r="F37" s="45">
        <v>0.183</v>
      </c>
      <c r="G37" s="45">
        <v>0.183</v>
      </c>
      <c r="H37" s="45">
        <v>0.183</v>
      </c>
      <c r="I37" s="45">
        <v>0.183</v>
      </c>
      <c r="J37" s="45">
        <v>0.183</v>
      </c>
      <c r="K37" s="45">
        <v>0.183</v>
      </c>
      <c r="L37" s="45">
        <v>0.183</v>
      </c>
      <c r="M37" s="45">
        <v>0.183</v>
      </c>
      <c r="N37" s="45">
        <v>0.183</v>
      </c>
      <c r="O37" s="45">
        <v>0.183</v>
      </c>
      <c r="P37" s="55">
        <f>ROUND(IF(P$24=0,0,P36/P$24),3)</f>
        <v>0.183</v>
      </c>
      <c r="Q37" s="63">
        <f>O37*0.6</f>
        <v>0.10979999999999999</v>
      </c>
      <c r="R37" s="9">
        <v>0.16800000000000001</v>
      </c>
      <c r="T37" s="9"/>
    </row>
    <row r="38" spans="1:21" ht="15.75" customHeight="1" x14ac:dyDescent="0.25">
      <c r="A38" s="44" t="s">
        <v>62</v>
      </c>
      <c r="B38" s="34" t="s">
        <v>56</v>
      </c>
      <c r="C38" s="35"/>
      <c r="D38" s="41">
        <f t="shared" ref="D38:O38" si="21">ROUND(D39*D$24,2)</f>
        <v>99.79</v>
      </c>
      <c r="E38" s="41">
        <f t="shared" si="21"/>
        <v>76.97</v>
      </c>
      <c r="F38" s="41">
        <f t="shared" si="21"/>
        <v>132.19</v>
      </c>
      <c r="G38" s="41">
        <f t="shared" si="21"/>
        <v>200.6</v>
      </c>
      <c r="H38" s="41">
        <f t="shared" si="21"/>
        <v>134.03</v>
      </c>
      <c r="I38" s="41">
        <f t="shared" si="21"/>
        <v>125.53</v>
      </c>
      <c r="J38" s="41">
        <f t="shared" si="21"/>
        <v>239.65</v>
      </c>
      <c r="K38" s="41">
        <f t="shared" si="21"/>
        <v>239.65</v>
      </c>
      <c r="L38" s="41">
        <f t="shared" si="21"/>
        <v>201.61</v>
      </c>
      <c r="M38" s="41">
        <f t="shared" si="21"/>
        <v>210.11</v>
      </c>
      <c r="N38" s="41">
        <f t="shared" si="21"/>
        <v>191.09</v>
      </c>
      <c r="O38" s="41">
        <f t="shared" si="21"/>
        <v>172.07</v>
      </c>
      <c r="P38" s="41">
        <f>SUM(D38:O38)</f>
        <v>2023.29</v>
      </c>
      <c r="Q38" s="60"/>
      <c r="T38" s="9"/>
    </row>
    <row r="39" spans="1:21" ht="15.75" customHeight="1" x14ac:dyDescent="0.25">
      <c r="A39" s="42" t="s">
        <v>53</v>
      </c>
      <c r="B39" s="34" t="s">
        <v>57</v>
      </c>
      <c r="C39" s="35"/>
      <c r="D39" s="45">
        <v>0.317</v>
      </c>
      <c r="E39" s="45">
        <v>0.317</v>
      </c>
      <c r="F39" s="45">
        <v>0.317</v>
      </c>
      <c r="G39" s="45">
        <v>0.317</v>
      </c>
      <c r="H39" s="45">
        <v>0.317</v>
      </c>
      <c r="I39" s="45">
        <v>0.317</v>
      </c>
      <c r="J39" s="45">
        <v>0.317</v>
      </c>
      <c r="K39" s="45">
        <v>0.317</v>
      </c>
      <c r="L39" s="45">
        <v>0.317</v>
      </c>
      <c r="M39" s="45">
        <v>0.317</v>
      </c>
      <c r="N39" s="45">
        <v>0.317</v>
      </c>
      <c r="O39" s="45">
        <v>0.317</v>
      </c>
      <c r="P39" s="55">
        <f>ROUND(IF(P$24=0,0,P38/P$24),3)</f>
        <v>0.317</v>
      </c>
      <c r="Q39" s="63">
        <f>O39*0.6</f>
        <v>0.19020000000000001</v>
      </c>
      <c r="R39" s="9">
        <v>0.3</v>
      </c>
      <c r="T39" s="9"/>
    </row>
    <row r="40" spans="1:21" s="7" customFormat="1" ht="15.75" customHeight="1" x14ac:dyDescent="0.25">
      <c r="A40" s="18" t="s">
        <v>66</v>
      </c>
      <c r="B40" s="19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60"/>
      <c r="R40" s="9"/>
      <c r="S40" s="59"/>
      <c r="T40" s="9"/>
      <c r="U40" s="59"/>
    </row>
    <row r="41" spans="1:21" ht="15.75" customHeight="1" x14ac:dyDescent="0.25">
      <c r="A41" s="40" t="s">
        <v>67</v>
      </c>
      <c r="B41" s="34" t="s">
        <v>37</v>
      </c>
      <c r="C41" s="35"/>
      <c r="D41" s="41">
        <f>ROUND(D42*D$24,0)</f>
        <v>1228</v>
      </c>
      <c r="E41" s="41">
        <f t="shared" ref="E41:O41" si="22">ROUND(E42*E$24,0)</f>
        <v>1005</v>
      </c>
      <c r="F41" s="41">
        <f t="shared" si="22"/>
        <v>1726</v>
      </c>
      <c r="G41" s="41">
        <f t="shared" si="22"/>
        <v>2531</v>
      </c>
      <c r="H41" s="41">
        <f t="shared" si="22"/>
        <v>1649</v>
      </c>
      <c r="I41" s="41">
        <f t="shared" si="22"/>
        <v>1544</v>
      </c>
      <c r="J41" s="41">
        <f t="shared" si="22"/>
        <v>2948</v>
      </c>
      <c r="K41" s="41">
        <f t="shared" si="22"/>
        <v>2948</v>
      </c>
      <c r="L41" s="41">
        <f t="shared" si="22"/>
        <v>2544</v>
      </c>
      <c r="M41" s="41">
        <f t="shared" si="22"/>
        <v>2651</v>
      </c>
      <c r="N41" s="41">
        <f t="shared" si="22"/>
        <v>2411</v>
      </c>
      <c r="O41" s="41">
        <f t="shared" si="22"/>
        <v>2117</v>
      </c>
      <c r="P41" s="41">
        <f>SUM(D41:O41)</f>
        <v>25302</v>
      </c>
      <c r="Q41" s="60"/>
      <c r="T41" s="9"/>
    </row>
    <row r="42" spans="1:21" ht="15.75" customHeight="1" x14ac:dyDescent="0.25">
      <c r="A42" s="42" t="s">
        <v>53</v>
      </c>
      <c r="B42" s="34" t="s">
        <v>54</v>
      </c>
      <c r="C42" s="35"/>
      <c r="D42" s="45">
        <v>3.9</v>
      </c>
      <c r="E42" s="45">
        <v>4.1399999999999997</v>
      </c>
      <c r="F42" s="45">
        <v>4.1399999999999997</v>
      </c>
      <c r="G42" s="45">
        <v>4</v>
      </c>
      <c r="H42" s="45">
        <v>3.9</v>
      </c>
      <c r="I42" s="45">
        <v>3.9</v>
      </c>
      <c r="J42" s="45">
        <v>3.9</v>
      </c>
      <c r="K42" s="45">
        <v>3.9</v>
      </c>
      <c r="L42" s="45">
        <v>4</v>
      </c>
      <c r="M42" s="45">
        <v>4</v>
      </c>
      <c r="N42" s="45">
        <v>4</v>
      </c>
      <c r="O42" s="45">
        <v>3.9</v>
      </c>
      <c r="P42" s="55">
        <f>ROUND(IF(P$24=0,0,P41/P$24),3)</f>
        <v>3.964</v>
      </c>
      <c r="Q42" s="63">
        <f>O42*0.6</f>
        <v>2.34</v>
      </c>
      <c r="R42" s="9">
        <v>2.4</v>
      </c>
      <c r="T42" s="9"/>
    </row>
    <row r="43" spans="1:21" ht="15.75" customHeight="1" x14ac:dyDescent="0.25">
      <c r="A43" s="40" t="s">
        <v>68</v>
      </c>
      <c r="B43" s="34" t="s">
        <v>69</v>
      </c>
      <c r="C43" s="35"/>
      <c r="D43" s="41">
        <f>ROUND(D44*D$24,0)/10000</f>
        <v>2.2035999999999998</v>
      </c>
      <c r="E43" s="41">
        <f t="shared" ref="E43:O43" si="23">ROUND(E44*E$24,0)/10000</f>
        <v>1.8084</v>
      </c>
      <c r="F43" s="41">
        <f t="shared" si="23"/>
        <v>3.1057999999999999</v>
      </c>
      <c r="G43" s="41">
        <f t="shared" si="23"/>
        <v>4.4295999999999998</v>
      </c>
      <c r="H43" s="41">
        <f t="shared" si="23"/>
        <v>2.9596</v>
      </c>
      <c r="I43" s="41">
        <f t="shared" si="23"/>
        <v>2.7719999999999998</v>
      </c>
      <c r="J43" s="41">
        <f t="shared" si="23"/>
        <v>5.2919999999999998</v>
      </c>
      <c r="K43" s="41">
        <f t="shared" si="23"/>
        <v>5.2919999999999998</v>
      </c>
      <c r="L43" s="41">
        <f t="shared" si="23"/>
        <v>4.5792000000000002</v>
      </c>
      <c r="M43" s="41">
        <f t="shared" si="23"/>
        <v>4.6395999999999997</v>
      </c>
      <c r="N43" s="41">
        <f t="shared" si="23"/>
        <v>4.2195999999999998</v>
      </c>
      <c r="O43" s="41">
        <f t="shared" si="23"/>
        <v>3.7995999999999999</v>
      </c>
      <c r="P43" s="41">
        <f>SUM(D43:O43)</f>
        <v>45.100999999999999</v>
      </c>
      <c r="Q43" s="60"/>
      <c r="T43" s="9"/>
    </row>
    <row r="44" spans="1:21" ht="15.75" customHeight="1" x14ac:dyDescent="0.25">
      <c r="A44" s="42" t="s">
        <v>53</v>
      </c>
      <c r="B44" s="34" t="s">
        <v>70</v>
      </c>
      <c r="C44" s="35"/>
      <c r="D44" s="45">
        <v>70</v>
      </c>
      <c r="E44" s="45">
        <v>74.48</v>
      </c>
      <c r="F44" s="45">
        <v>74.48</v>
      </c>
      <c r="G44" s="45">
        <v>70</v>
      </c>
      <c r="H44" s="45">
        <v>70</v>
      </c>
      <c r="I44" s="45">
        <v>70</v>
      </c>
      <c r="J44" s="45">
        <v>70</v>
      </c>
      <c r="K44" s="45">
        <v>70</v>
      </c>
      <c r="L44" s="45">
        <v>72</v>
      </c>
      <c r="M44" s="45">
        <v>70</v>
      </c>
      <c r="N44" s="45">
        <v>70</v>
      </c>
      <c r="O44" s="45">
        <v>70</v>
      </c>
      <c r="P44" s="56">
        <f>ROUND(IF(P$24=0,0,P43/P$24*10000),3)</f>
        <v>70.662000000000006</v>
      </c>
      <c r="Q44" s="63">
        <f>O44*0.6</f>
        <v>42</v>
      </c>
      <c r="R44" s="9">
        <v>43.2</v>
      </c>
      <c r="T44" s="9"/>
    </row>
    <row r="45" spans="1:21" s="8" customFormat="1" ht="15" customHeight="1" x14ac:dyDescent="0.25">
      <c r="A45" s="40" t="s">
        <v>71</v>
      </c>
      <c r="B45" s="34" t="s">
        <v>37</v>
      </c>
      <c r="C45" s="35"/>
      <c r="D45" s="41">
        <f>ROUND(D46*D$24,0)</f>
        <v>277</v>
      </c>
      <c r="E45" s="41">
        <f t="shared" ref="E45:O45" si="24">ROUND(E46*E$24,0)</f>
        <v>217</v>
      </c>
      <c r="F45" s="41">
        <f t="shared" si="24"/>
        <v>372</v>
      </c>
      <c r="G45" s="41">
        <f t="shared" si="24"/>
        <v>563</v>
      </c>
      <c r="H45" s="41">
        <f t="shared" si="24"/>
        <v>372</v>
      </c>
      <c r="I45" s="41">
        <f t="shared" si="24"/>
        <v>348</v>
      </c>
      <c r="J45" s="41">
        <f t="shared" si="24"/>
        <v>665</v>
      </c>
      <c r="K45" s="41">
        <f t="shared" si="24"/>
        <v>665</v>
      </c>
      <c r="L45" s="41">
        <f t="shared" si="24"/>
        <v>566</v>
      </c>
      <c r="M45" s="41">
        <f t="shared" si="24"/>
        <v>590</v>
      </c>
      <c r="N45" s="41">
        <f t="shared" si="24"/>
        <v>536</v>
      </c>
      <c r="O45" s="41">
        <f t="shared" si="24"/>
        <v>478</v>
      </c>
      <c r="P45" s="41">
        <f>SUM(D45:O45)</f>
        <v>5649</v>
      </c>
      <c r="Q45" s="60"/>
      <c r="R45" s="9"/>
      <c r="S45" s="13"/>
      <c r="T45" s="9"/>
    </row>
    <row r="46" spans="1:21" ht="15.75" customHeight="1" x14ac:dyDescent="0.25">
      <c r="A46" s="42" t="s">
        <v>53</v>
      </c>
      <c r="B46" s="34" t="s">
        <v>54</v>
      </c>
      <c r="C46" s="35"/>
      <c r="D46" s="45">
        <v>0.88</v>
      </c>
      <c r="E46" s="45">
        <v>0.89300000000000002</v>
      </c>
      <c r="F46" s="45">
        <v>0.89300000000000002</v>
      </c>
      <c r="G46" s="45">
        <v>0.89</v>
      </c>
      <c r="H46" s="45">
        <v>0.88</v>
      </c>
      <c r="I46" s="45">
        <v>0.88</v>
      </c>
      <c r="J46" s="45">
        <v>0.88</v>
      </c>
      <c r="K46" s="45">
        <v>0.88</v>
      </c>
      <c r="L46" s="45">
        <v>0.89</v>
      </c>
      <c r="M46" s="45">
        <v>0.89</v>
      </c>
      <c r="N46" s="45">
        <v>0.89</v>
      </c>
      <c r="O46" s="45">
        <v>0.88</v>
      </c>
      <c r="P46" s="55">
        <f>ROUND(IF(P$24=0,0,P45/P$24),3)</f>
        <v>0.88500000000000001</v>
      </c>
      <c r="Q46" s="63">
        <f>O46*0.6</f>
        <v>0.52800000000000002</v>
      </c>
      <c r="R46" s="9">
        <v>0.54</v>
      </c>
      <c r="T46" s="9"/>
    </row>
    <row r="47" spans="1:21" ht="15.75" customHeight="1" x14ac:dyDescent="0.25">
      <c r="A47" s="40" t="s">
        <v>72</v>
      </c>
      <c r="B47" s="46" t="s">
        <v>73</v>
      </c>
      <c r="C47" s="35"/>
      <c r="D47" s="41">
        <f t="shared" ref="D47:O47" si="25">ROUND(D48*D$24,0)</f>
        <v>305</v>
      </c>
      <c r="E47" s="41">
        <f t="shared" si="25"/>
        <v>250</v>
      </c>
      <c r="F47" s="41">
        <f t="shared" si="25"/>
        <v>430</v>
      </c>
      <c r="G47" s="41">
        <f t="shared" si="25"/>
        <v>633</v>
      </c>
      <c r="H47" s="41">
        <f t="shared" si="25"/>
        <v>410</v>
      </c>
      <c r="I47" s="41">
        <f t="shared" si="25"/>
        <v>384</v>
      </c>
      <c r="J47" s="41">
        <f t="shared" si="25"/>
        <v>733</v>
      </c>
      <c r="K47" s="41">
        <f t="shared" si="25"/>
        <v>733</v>
      </c>
      <c r="L47" s="41">
        <f t="shared" si="25"/>
        <v>623</v>
      </c>
      <c r="M47" s="41">
        <f t="shared" si="25"/>
        <v>650</v>
      </c>
      <c r="N47" s="41">
        <f t="shared" si="25"/>
        <v>591</v>
      </c>
      <c r="O47" s="41">
        <f t="shared" si="25"/>
        <v>527</v>
      </c>
      <c r="P47" s="41">
        <f>SUM(D47:O47)</f>
        <v>6269</v>
      </c>
      <c r="Q47" s="60"/>
      <c r="T47" s="9"/>
    </row>
    <row r="48" spans="1:21" ht="15.75" customHeight="1" x14ac:dyDescent="0.25">
      <c r="A48" s="42" t="s">
        <v>53</v>
      </c>
      <c r="B48" s="34" t="s">
        <v>74</v>
      </c>
      <c r="C48" s="35"/>
      <c r="D48" s="45">
        <v>0.97</v>
      </c>
      <c r="E48" s="45">
        <v>1.03</v>
      </c>
      <c r="F48" s="45">
        <v>1.03</v>
      </c>
      <c r="G48" s="45">
        <v>1</v>
      </c>
      <c r="H48" s="45">
        <v>0.97</v>
      </c>
      <c r="I48" s="45">
        <v>0.97</v>
      </c>
      <c r="J48" s="45">
        <v>0.97</v>
      </c>
      <c r="K48" s="45">
        <v>0.97</v>
      </c>
      <c r="L48" s="45">
        <v>0.98</v>
      </c>
      <c r="M48" s="45">
        <v>0.98</v>
      </c>
      <c r="N48" s="45">
        <v>0.98</v>
      </c>
      <c r="O48" s="45">
        <v>0.97</v>
      </c>
      <c r="P48" s="55">
        <f>ROUND(IF(P$24=0,0,P47/P$24),3)</f>
        <v>0.98199999999999998</v>
      </c>
      <c r="Q48" s="63">
        <f>O48*0.6</f>
        <v>0.58199999999999996</v>
      </c>
      <c r="R48" s="9">
        <v>1.0680000000000001</v>
      </c>
      <c r="T48" s="9"/>
    </row>
    <row r="49" spans="1:205" s="7" customFormat="1" ht="15.75" customHeight="1" x14ac:dyDescent="0.25">
      <c r="A49" s="18" t="s">
        <v>75</v>
      </c>
      <c r="B49" s="19"/>
      <c r="C49" s="20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60"/>
      <c r="R49" s="9"/>
      <c r="S49" s="13"/>
      <c r="T49" s="9"/>
      <c r="U49" s="59"/>
    </row>
    <row r="50" spans="1:205" ht="15.75" customHeight="1" x14ac:dyDescent="0.25">
      <c r="A50" s="44" t="s">
        <v>76</v>
      </c>
      <c r="B50" s="34" t="s">
        <v>77</v>
      </c>
      <c r="C50" s="48"/>
      <c r="D50" s="49">
        <f>ROUND(D24*2,0)</f>
        <v>630</v>
      </c>
      <c r="E50" s="49">
        <f t="shared" ref="E50:O50" si="26">ROUND(E24*2,0)</f>
        <v>486</v>
      </c>
      <c r="F50" s="49">
        <f t="shared" si="26"/>
        <v>834</v>
      </c>
      <c r="G50" s="49">
        <f t="shared" si="26"/>
        <v>1266</v>
      </c>
      <c r="H50" s="49">
        <f t="shared" si="26"/>
        <v>846</v>
      </c>
      <c r="I50" s="49">
        <f t="shared" si="26"/>
        <v>792</v>
      </c>
      <c r="J50" s="49">
        <f t="shared" si="26"/>
        <v>1512</v>
      </c>
      <c r="K50" s="49">
        <f t="shared" si="26"/>
        <v>1512</v>
      </c>
      <c r="L50" s="49">
        <f t="shared" si="26"/>
        <v>1272</v>
      </c>
      <c r="M50" s="49">
        <f t="shared" si="26"/>
        <v>1326</v>
      </c>
      <c r="N50" s="49">
        <f t="shared" si="26"/>
        <v>1206</v>
      </c>
      <c r="O50" s="49">
        <f t="shared" si="26"/>
        <v>1086</v>
      </c>
      <c r="P50" s="41">
        <f>SUM(D50:O50)</f>
        <v>12768</v>
      </c>
      <c r="Q50" s="60"/>
      <c r="R50" s="66"/>
      <c r="T50" s="9"/>
    </row>
    <row r="51" spans="1:205" s="9" customFormat="1" ht="15.75" customHeight="1" x14ac:dyDescent="0.25">
      <c r="A51" s="42" t="s">
        <v>78</v>
      </c>
      <c r="B51" s="50" t="s">
        <v>37</v>
      </c>
      <c r="C51" s="35"/>
      <c r="D51" s="51">
        <f>D50*D52/1000000</f>
        <v>1.89</v>
      </c>
      <c r="E51" s="51">
        <f t="shared" ref="E51:O51" si="27">E50*E52/1000000</f>
        <v>1.458</v>
      </c>
      <c r="F51" s="51">
        <f t="shared" si="27"/>
        <v>2.5019999999999998</v>
      </c>
      <c r="G51" s="51">
        <f t="shared" si="27"/>
        <v>3.798</v>
      </c>
      <c r="H51" s="51">
        <f t="shared" si="27"/>
        <v>2.5379999999999998</v>
      </c>
      <c r="I51" s="51">
        <f t="shared" si="27"/>
        <v>2.3759999999999999</v>
      </c>
      <c r="J51" s="51">
        <f t="shared" si="27"/>
        <v>4.5359999999999996</v>
      </c>
      <c r="K51" s="51">
        <f t="shared" si="27"/>
        <v>4.5359999999999996</v>
      </c>
      <c r="L51" s="51">
        <f t="shared" si="27"/>
        <v>3.8159999999999998</v>
      </c>
      <c r="M51" s="51">
        <f t="shared" si="27"/>
        <v>3.9780000000000002</v>
      </c>
      <c r="N51" s="51">
        <f t="shared" si="27"/>
        <v>3.6179999999999999</v>
      </c>
      <c r="O51" s="51">
        <f t="shared" si="27"/>
        <v>3.258</v>
      </c>
      <c r="P51" s="51">
        <f t="shared" ref="P51" si="28">P50*P52/1000000</f>
        <v>35.750399999999999</v>
      </c>
      <c r="Q51" s="60"/>
      <c r="S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</row>
    <row r="52" spans="1:205" s="9" customFormat="1" ht="15.75" customHeight="1" x14ac:dyDescent="0.25">
      <c r="A52" s="42" t="s">
        <v>79</v>
      </c>
      <c r="B52" s="50" t="s">
        <v>80</v>
      </c>
      <c r="C52" s="35"/>
      <c r="D52" s="52">
        <v>3000</v>
      </c>
      <c r="E52" s="52">
        <v>3000</v>
      </c>
      <c r="F52" s="52">
        <v>3000</v>
      </c>
      <c r="G52" s="52">
        <v>3000</v>
      </c>
      <c r="H52" s="52">
        <v>3000</v>
      </c>
      <c r="I52" s="52">
        <v>3000</v>
      </c>
      <c r="J52" s="52">
        <v>3000</v>
      </c>
      <c r="K52" s="52">
        <v>3000</v>
      </c>
      <c r="L52" s="52">
        <v>3000</v>
      </c>
      <c r="M52" s="52">
        <v>3000</v>
      </c>
      <c r="N52" s="52">
        <v>3000</v>
      </c>
      <c r="O52" s="52">
        <v>3000</v>
      </c>
      <c r="P52" s="52">
        <v>2800</v>
      </c>
      <c r="Q52" s="60"/>
      <c r="S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</row>
    <row r="53" spans="1:205" s="9" customFormat="1" ht="15.75" customHeight="1" x14ac:dyDescent="0.25">
      <c r="A53" s="42" t="s">
        <v>81</v>
      </c>
      <c r="B53" s="50" t="s">
        <v>37</v>
      </c>
      <c r="C53" s="35"/>
      <c r="D53" s="51">
        <f>D50*D54/1000000</f>
        <v>0</v>
      </c>
      <c r="E53" s="51">
        <f t="shared" ref="E53:O53" si="29">E50*E54/1000000</f>
        <v>0</v>
      </c>
      <c r="F53" s="51">
        <f t="shared" si="29"/>
        <v>0</v>
      </c>
      <c r="G53" s="51">
        <f t="shared" si="29"/>
        <v>0</v>
      </c>
      <c r="H53" s="51">
        <f t="shared" si="29"/>
        <v>0</v>
      </c>
      <c r="I53" s="51">
        <f t="shared" si="29"/>
        <v>0</v>
      </c>
      <c r="J53" s="51">
        <f t="shared" si="29"/>
        <v>0</v>
      </c>
      <c r="K53" s="51">
        <f t="shared" si="29"/>
        <v>0</v>
      </c>
      <c r="L53" s="51">
        <f t="shared" si="29"/>
        <v>0</v>
      </c>
      <c r="M53" s="51">
        <f t="shared" si="29"/>
        <v>0</v>
      </c>
      <c r="N53" s="51">
        <f t="shared" si="29"/>
        <v>0</v>
      </c>
      <c r="O53" s="51">
        <f t="shared" si="29"/>
        <v>0</v>
      </c>
      <c r="P53" s="51">
        <f t="shared" ref="P53" si="30">P50*P54/1000000</f>
        <v>0</v>
      </c>
      <c r="Q53" s="60"/>
      <c r="S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</row>
    <row r="54" spans="1:205" s="9" customFormat="1" ht="15.75" customHeight="1" x14ac:dyDescent="0.25">
      <c r="A54" s="42" t="s">
        <v>82</v>
      </c>
      <c r="B54" s="50" t="s">
        <v>80</v>
      </c>
      <c r="C54" s="35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60"/>
      <c r="S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</row>
    <row r="55" spans="1:205" s="9" customFormat="1" ht="15.75" customHeight="1" x14ac:dyDescent="0.25">
      <c r="A55" s="18" t="s">
        <v>83</v>
      </c>
      <c r="B55" s="50"/>
      <c r="C55" s="67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74"/>
      <c r="Q55" s="60"/>
      <c r="S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</row>
    <row r="56" spans="1:205" s="9" customFormat="1" ht="15.75" customHeight="1" x14ac:dyDescent="0.25">
      <c r="A56" s="42" t="s">
        <v>104</v>
      </c>
      <c r="B56" s="17"/>
      <c r="C56" s="35"/>
      <c r="D56" s="51">
        <f>D18</f>
        <v>450</v>
      </c>
      <c r="E56" s="51">
        <f>E18</f>
        <v>330</v>
      </c>
      <c r="F56" s="51">
        <f t="shared" ref="F56:O56" si="31">F18</f>
        <v>450</v>
      </c>
      <c r="G56" s="51">
        <f t="shared" si="31"/>
        <v>630</v>
      </c>
      <c r="H56" s="51">
        <f t="shared" si="31"/>
        <v>630</v>
      </c>
      <c r="I56" s="51">
        <f t="shared" si="31"/>
        <v>660</v>
      </c>
      <c r="J56" s="51">
        <f t="shared" si="31"/>
        <v>1260</v>
      </c>
      <c r="K56" s="51">
        <f t="shared" si="31"/>
        <v>1260</v>
      </c>
      <c r="L56" s="51">
        <f t="shared" si="31"/>
        <v>1060</v>
      </c>
      <c r="M56" s="51">
        <f t="shared" si="31"/>
        <v>1030</v>
      </c>
      <c r="N56" s="51">
        <f t="shared" si="31"/>
        <v>930</v>
      </c>
      <c r="O56" s="51">
        <f t="shared" si="31"/>
        <v>830</v>
      </c>
      <c r="P56" s="51">
        <f>SUM(D56:O56)</f>
        <v>9520</v>
      </c>
      <c r="Q56" s="60"/>
      <c r="S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</row>
    <row r="57" spans="1:205" s="9" customFormat="1" ht="15.75" customHeight="1" x14ac:dyDescent="0.25">
      <c r="A57" s="69" t="s">
        <v>86</v>
      </c>
      <c r="B57" s="17"/>
      <c r="C57" s="35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1">
        <f>SUM(D57:O57)</f>
        <v>0</v>
      </c>
      <c r="Q57" s="60"/>
      <c r="S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</row>
    <row r="58" spans="1:205" s="9" customFormat="1" ht="15.75" customHeight="1" x14ac:dyDescent="0.25">
      <c r="A58" s="69" t="s">
        <v>87</v>
      </c>
      <c r="B58" s="17"/>
      <c r="C58" s="35"/>
      <c r="D58" s="52">
        <f>D56-D57</f>
        <v>450</v>
      </c>
      <c r="E58" s="52">
        <f t="shared" ref="E58:O58" si="32">E56-E57</f>
        <v>330</v>
      </c>
      <c r="F58" s="52">
        <f t="shared" si="32"/>
        <v>450</v>
      </c>
      <c r="G58" s="52">
        <f t="shared" si="32"/>
        <v>630</v>
      </c>
      <c r="H58" s="52">
        <f t="shared" si="32"/>
        <v>630</v>
      </c>
      <c r="I58" s="52">
        <f t="shared" si="32"/>
        <v>660</v>
      </c>
      <c r="J58" s="52">
        <f t="shared" si="32"/>
        <v>1260</v>
      </c>
      <c r="K58" s="52">
        <f t="shared" si="32"/>
        <v>1260</v>
      </c>
      <c r="L58" s="52">
        <f t="shared" si="32"/>
        <v>1060</v>
      </c>
      <c r="M58" s="52">
        <f t="shared" si="32"/>
        <v>1030</v>
      </c>
      <c r="N58" s="52">
        <f t="shared" si="32"/>
        <v>930</v>
      </c>
      <c r="O58" s="52">
        <f t="shared" si="32"/>
        <v>830</v>
      </c>
      <c r="P58" s="51">
        <f>SUM(D58:O58)</f>
        <v>9520</v>
      </c>
      <c r="Q58" s="60"/>
      <c r="S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</row>
    <row r="59" spans="1:205" s="9" customFormat="1" ht="15.75" customHeight="1" x14ac:dyDescent="0.25">
      <c r="A59" s="69" t="s">
        <v>88</v>
      </c>
      <c r="B59" s="17"/>
      <c r="C59" s="35"/>
      <c r="D59" s="51">
        <f>D56-D57-D58</f>
        <v>0</v>
      </c>
      <c r="E59" s="51">
        <f t="shared" ref="E59:O59" si="33">E56-E57-E58</f>
        <v>0</v>
      </c>
      <c r="F59" s="51">
        <f t="shared" si="33"/>
        <v>0</v>
      </c>
      <c r="G59" s="51">
        <f t="shared" si="33"/>
        <v>0</v>
      </c>
      <c r="H59" s="51">
        <f t="shared" si="33"/>
        <v>0</v>
      </c>
      <c r="I59" s="51">
        <f t="shared" si="33"/>
        <v>0</v>
      </c>
      <c r="J59" s="51">
        <f t="shared" si="33"/>
        <v>0</v>
      </c>
      <c r="K59" s="51">
        <f t="shared" si="33"/>
        <v>0</v>
      </c>
      <c r="L59" s="51">
        <f t="shared" si="33"/>
        <v>0</v>
      </c>
      <c r="M59" s="51">
        <f t="shared" si="33"/>
        <v>0</v>
      </c>
      <c r="N59" s="51">
        <f t="shared" si="33"/>
        <v>0</v>
      </c>
      <c r="O59" s="51">
        <f t="shared" si="33"/>
        <v>0</v>
      </c>
      <c r="P59" s="51">
        <f>SUM(D59:O59)</f>
        <v>0</v>
      </c>
      <c r="Q59" s="60"/>
      <c r="S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</row>
    <row r="60" spans="1:205" s="10" customFormat="1" ht="24" customHeight="1" x14ac:dyDescent="0.25">
      <c r="A60" s="70" t="s">
        <v>90</v>
      </c>
      <c r="B60" s="71"/>
      <c r="C60" s="72"/>
      <c r="D60" s="71"/>
      <c r="E60" s="71"/>
      <c r="F60" s="71"/>
      <c r="G60" s="71"/>
      <c r="H60" s="240" t="s">
        <v>91</v>
      </c>
      <c r="I60" s="240"/>
      <c r="J60" s="75"/>
      <c r="K60" s="71"/>
      <c r="L60" s="71"/>
      <c r="M60" s="71"/>
      <c r="N60" s="71" t="s">
        <v>92</v>
      </c>
      <c r="O60" s="75"/>
      <c r="P60" s="71"/>
      <c r="R60" s="77"/>
    </row>
    <row r="61" spans="1:205" s="10" customFormat="1" ht="20.25" customHeight="1" x14ac:dyDescent="0.25">
      <c r="A61" s="14" t="s">
        <v>93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76"/>
    </row>
    <row r="62" spans="1:205" s="10" customFormat="1" ht="20.25" customHeight="1" x14ac:dyDescent="0.25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76"/>
    </row>
    <row r="63" spans="1:205" s="10" customFormat="1" ht="20.25" customHeight="1" x14ac:dyDescent="0.25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76"/>
    </row>
    <row r="64" spans="1:205" s="10" customFormat="1" ht="20.25" customHeight="1" x14ac:dyDescent="0.25">
      <c r="A64" s="1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76"/>
    </row>
    <row r="65" spans="1:205" s="11" customFormat="1" ht="15.75" customHeight="1" x14ac:dyDescent="0.25">
      <c r="A65" s="12"/>
      <c r="B65" s="13"/>
      <c r="C65" s="13"/>
      <c r="D65" s="13">
        <f>D6/24</f>
        <v>31</v>
      </c>
      <c r="E65" s="13">
        <v>28</v>
      </c>
      <c r="F65" s="13">
        <f t="shared" ref="F65:P65" si="34">F6/24</f>
        <v>31</v>
      </c>
      <c r="G65" s="13">
        <f t="shared" si="34"/>
        <v>30</v>
      </c>
      <c r="H65" s="13">
        <f t="shared" si="34"/>
        <v>31</v>
      </c>
      <c r="I65" s="13">
        <f t="shared" si="34"/>
        <v>30</v>
      </c>
      <c r="J65" s="13">
        <f t="shared" si="34"/>
        <v>31</v>
      </c>
      <c r="K65" s="13">
        <f t="shared" si="34"/>
        <v>31</v>
      </c>
      <c r="L65" s="13">
        <f t="shared" si="34"/>
        <v>30</v>
      </c>
      <c r="M65" s="13">
        <f t="shared" si="34"/>
        <v>31</v>
      </c>
      <c r="N65" s="13">
        <f t="shared" si="34"/>
        <v>30</v>
      </c>
      <c r="O65" s="13">
        <f t="shared" si="34"/>
        <v>31</v>
      </c>
      <c r="P65" s="13">
        <f t="shared" si="34"/>
        <v>365</v>
      </c>
      <c r="R65" s="9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</row>
    <row r="71" spans="1:205" s="11" customFormat="1" ht="15.75" customHeight="1" x14ac:dyDescent="0.25">
      <c r="A71" s="12"/>
      <c r="B71" s="13"/>
      <c r="C71" s="13"/>
      <c r="D71" s="13"/>
      <c r="E71" s="7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R71" s="9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</row>
  </sheetData>
  <mergeCells count="6">
    <mergeCell ref="A1:P1"/>
    <mergeCell ref="D3:P3"/>
    <mergeCell ref="H60:I60"/>
    <mergeCell ref="A3:A4"/>
    <mergeCell ref="B3:B4"/>
    <mergeCell ref="C3:C4"/>
  </mergeCells>
  <phoneticPr fontId="39" type="noConversion"/>
  <pageMargins left="0.55118110236220497" right="0.39370078740157499" top="0.39370078740157499" bottom="0.196850393700787" header="0.511811023622047" footer="0.511811023622047"/>
  <pageSetup paperSize="9" scale="99" orientation="landscape"/>
  <headerFooter alignWithMargins="0"/>
  <rowBreaks count="1" manualBreakCount="1">
    <brk id="24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47"/>
  </sheetPr>
  <dimension ref="A1:GW77"/>
  <sheetViews>
    <sheetView showZeros="0" workbookViewId="0">
      <pane xSplit="2" ySplit="4" topLeftCell="D17" activePane="bottomRight" state="frozen"/>
      <selection pane="topRight"/>
      <selection pane="bottomLeft"/>
      <selection pane="bottomRight" activeCell="S38" sqref="S38"/>
    </sheetView>
  </sheetViews>
  <sheetFormatPr defaultColWidth="10.58203125" defaultRowHeight="15.75" customHeight="1" x14ac:dyDescent="0.25"/>
  <cols>
    <col min="1" max="1" width="15.08203125" style="12" customWidth="1"/>
    <col min="2" max="2" width="5.08203125" style="13" customWidth="1"/>
    <col min="3" max="3" width="4.58203125" style="13" customWidth="1"/>
    <col min="4" max="15" width="7.58203125" style="13" customWidth="1"/>
    <col min="16" max="16" width="9.58203125" style="13" customWidth="1"/>
    <col min="17" max="17" width="11.08203125" style="11" customWidth="1"/>
    <col min="18" max="18" width="9.08203125" style="153" customWidth="1"/>
    <col min="19" max="16384" width="10.58203125" style="13"/>
  </cols>
  <sheetData>
    <row r="1" spans="1:21" s="6" customFormat="1" ht="27" customHeight="1" x14ac:dyDescent="0.25">
      <c r="A1" s="238" t="s">
        <v>100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57"/>
      <c r="R1" s="229"/>
    </row>
    <row r="2" spans="1:21" s="6" customFormat="1" ht="15.75" customHeight="1" x14ac:dyDescent="0.25">
      <c r="A2" s="14"/>
      <c r="B2" s="15"/>
      <c r="C2" s="16"/>
      <c r="D2" s="15"/>
      <c r="E2" s="15"/>
      <c r="F2" s="15"/>
      <c r="G2" s="15"/>
      <c r="H2" s="15"/>
      <c r="L2" s="15"/>
      <c r="M2" s="15"/>
      <c r="O2" s="15"/>
      <c r="P2" s="53" t="str">
        <f>能源消耗!Q2</f>
        <v>日  期：2024年9月10日</v>
      </c>
      <c r="R2" s="230"/>
    </row>
    <row r="3" spans="1:21" ht="15.75" customHeight="1" x14ac:dyDescent="0.25">
      <c r="A3" s="241" t="s">
        <v>2</v>
      </c>
      <c r="B3" s="241" t="s">
        <v>3</v>
      </c>
      <c r="C3" s="241" t="s">
        <v>4</v>
      </c>
      <c r="D3" s="239" t="str">
        <f>果糖!D3</f>
        <v>2025年预算</v>
      </c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S3" s="59"/>
      <c r="T3" s="59"/>
      <c r="U3" s="59"/>
    </row>
    <row r="4" spans="1:21" ht="15.75" customHeight="1" x14ac:dyDescent="0.25">
      <c r="A4" s="242"/>
      <c r="B4" s="242"/>
      <c r="C4" s="242"/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  <c r="Q4" s="60"/>
    </row>
    <row r="5" spans="1:21" s="7" customFormat="1" ht="15.65" customHeight="1" x14ac:dyDescent="0.25">
      <c r="A5" s="18" t="s">
        <v>19</v>
      </c>
      <c r="B5" s="19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1"/>
      <c r="R5" s="153"/>
      <c r="S5" s="59"/>
      <c r="T5" s="59"/>
      <c r="U5" s="59"/>
    </row>
    <row r="6" spans="1:21" ht="15.65" customHeight="1" x14ac:dyDescent="0.25">
      <c r="A6" s="22" t="s">
        <v>20</v>
      </c>
      <c r="B6" s="23" t="s">
        <v>21</v>
      </c>
      <c r="C6" s="24"/>
      <c r="D6" s="25">
        <v>744</v>
      </c>
      <c r="E6" s="25">
        <v>672</v>
      </c>
      <c r="F6" s="25">
        <v>744</v>
      </c>
      <c r="G6" s="25">
        <v>720</v>
      </c>
      <c r="H6" s="25">
        <v>744</v>
      </c>
      <c r="I6" s="25">
        <v>720</v>
      </c>
      <c r="J6" s="25">
        <v>744</v>
      </c>
      <c r="K6" s="25">
        <v>744</v>
      </c>
      <c r="L6" s="25">
        <v>720</v>
      </c>
      <c r="M6" s="25">
        <v>744</v>
      </c>
      <c r="N6" s="25">
        <v>720</v>
      </c>
      <c r="O6" s="25">
        <v>744</v>
      </c>
      <c r="P6" s="26">
        <f>SUM(D6:O6)</f>
        <v>8760</v>
      </c>
      <c r="Q6" s="60"/>
      <c r="T6" s="9"/>
    </row>
    <row r="7" spans="1:21" ht="15.65" customHeight="1" x14ac:dyDescent="0.25">
      <c r="A7" s="22" t="s">
        <v>22</v>
      </c>
      <c r="B7" s="23" t="s">
        <v>21</v>
      </c>
      <c r="C7" s="24"/>
      <c r="D7" s="26">
        <f>D6-D9</f>
        <v>154</v>
      </c>
      <c r="E7" s="26">
        <f t="shared" ref="E7:O7" si="0">E6-E9</f>
        <v>222</v>
      </c>
      <c r="F7" s="26">
        <f t="shared" si="0"/>
        <v>214</v>
      </c>
      <c r="G7" s="26">
        <f t="shared" si="0"/>
        <v>300</v>
      </c>
      <c r="H7" s="26">
        <f t="shared" si="0"/>
        <v>334</v>
      </c>
      <c r="I7" s="26">
        <f t="shared" si="0"/>
        <v>450</v>
      </c>
      <c r="J7" s="26">
        <f t="shared" si="0"/>
        <v>474</v>
      </c>
      <c r="K7" s="26">
        <f t="shared" si="0"/>
        <v>744</v>
      </c>
      <c r="L7" s="26">
        <f t="shared" si="0"/>
        <v>510</v>
      </c>
      <c r="M7" s="26">
        <f t="shared" si="0"/>
        <v>214</v>
      </c>
      <c r="N7" s="26">
        <f t="shared" si="0"/>
        <v>180</v>
      </c>
      <c r="O7" s="26">
        <f t="shared" si="0"/>
        <v>324</v>
      </c>
      <c r="P7" s="26">
        <f>SUM(D7:O7)</f>
        <v>4120</v>
      </c>
      <c r="Q7" s="60"/>
      <c r="T7" s="9"/>
    </row>
    <row r="8" spans="1:21" ht="15.65" customHeight="1" x14ac:dyDescent="0.25">
      <c r="A8" s="22" t="s">
        <v>22</v>
      </c>
      <c r="B8" s="23" t="s">
        <v>23</v>
      </c>
      <c r="C8" s="24"/>
      <c r="D8" s="26">
        <f t="shared" ref="D8:O8" si="1">D7/24</f>
        <v>6.4166666666666696</v>
      </c>
      <c r="E8" s="26">
        <f t="shared" si="1"/>
        <v>9.25</v>
      </c>
      <c r="F8" s="26">
        <f t="shared" si="1"/>
        <v>8.9166666666666696</v>
      </c>
      <c r="G8" s="26">
        <f t="shared" si="1"/>
        <v>12.5</v>
      </c>
      <c r="H8" s="26">
        <f t="shared" si="1"/>
        <v>13.9166666666667</v>
      </c>
      <c r="I8" s="26">
        <f t="shared" si="1"/>
        <v>18.75</v>
      </c>
      <c r="J8" s="26">
        <f t="shared" si="1"/>
        <v>19.75</v>
      </c>
      <c r="K8" s="26">
        <f t="shared" si="1"/>
        <v>31</v>
      </c>
      <c r="L8" s="26">
        <f t="shared" si="1"/>
        <v>21.25</v>
      </c>
      <c r="M8" s="26">
        <f t="shared" si="1"/>
        <v>8.9166666666666696</v>
      </c>
      <c r="N8" s="26">
        <f t="shared" si="1"/>
        <v>7.5</v>
      </c>
      <c r="O8" s="26">
        <f t="shared" si="1"/>
        <v>13.5</v>
      </c>
      <c r="P8" s="26">
        <f t="shared" ref="P8" si="2">P7/24</f>
        <v>171.666666666667</v>
      </c>
      <c r="Q8" s="60"/>
      <c r="T8" s="9"/>
    </row>
    <row r="9" spans="1:21" ht="15.65" customHeight="1" x14ac:dyDescent="0.25">
      <c r="A9" s="22" t="s">
        <v>24</v>
      </c>
      <c r="B9" s="23" t="s">
        <v>21</v>
      </c>
      <c r="C9" s="24"/>
      <c r="D9" s="26">
        <f>SUM(D10:D12)</f>
        <v>590</v>
      </c>
      <c r="E9" s="26">
        <f>SUM(E10:E12)</f>
        <v>450</v>
      </c>
      <c r="F9" s="26">
        <f t="shared" ref="F9:O9" si="3">SUM(F10:F12)</f>
        <v>530</v>
      </c>
      <c r="G9" s="26">
        <f t="shared" si="3"/>
        <v>420</v>
      </c>
      <c r="H9" s="26">
        <f t="shared" si="3"/>
        <v>410</v>
      </c>
      <c r="I9" s="26">
        <f t="shared" si="3"/>
        <v>270</v>
      </c>
      <c r="J9" s="26">
        <f t="shared" si="3"/>
        <v>270</v>
      </c>
      <c r="K9" s="26">
        <f t="shared" si="3"/>
        <v>0</v>
      </c>
      <c r="L9" s="26">
        <f t="shared" si="3"/>
        <v>210</v>
      </c>
      <c r="M9" s="26">
        <f t="shared" si="3"/>
        <v>530</v>
      </c>
      <c r="N9" s="26">
        <f t="shared" si="3"/>
        <v>540</v>
      </c>
      <c r="O9" s="26">
        <f t="shared" si="3"/>
        <v>420</v>
      </c>
      <c r="P9" s="26">
        <f>SUM(D9:O9)</f>
        <v>4640</v>
      </c>
      <c r="Q9" s="60"/>
      <c r="T9" s="9"/>
    </row>
    <row r="10" spans="1:21" ht="15.65" customHeight="1" x14ac:dyDescent="0.25">
      <c r="A10" s="27" t="s">
        <v>25</v>
      </c>
      <c r="B10" s="23" t="s">
        <v>21</v>
      </c>
      <c r="C10" s="24"/>
      <c r="D10" s="25">
        <v>590</v>
      </c>
      <c r="E10" s="25">
        <v>450</v>
      </c>
      <c r="F10" s="25">
        <v>530</v>
      </c>
      <c r="G10" s="25">
        <v>420</v>
      </c>
      <c r="H10" s="25">
        <v>410</v>
      </c>
      <c r="I10" s="25">
        <v>270</v>
      </c>
      <c r="J10" s="25">
        <v>270</v>
      </c>
      <c r="K10" s="25"/>
      <c r="L10" s="25">
        <v>210</v>
      </c>
      <c r="M10" s="25">
        <v>530</v>
      </c>
      <c r="N10" s="25">
        <v>540</v>
      </c>
      <c r="O10" s="25">
        <v>420</v>
      </c>
      <c r="P10" s="26">
        <f>SUM(D10:O10)</f>
        <v>4640</v>
      </c>
      <c r="Q10" s="60"/>
      <c r="T10" s="9"/>
    </row>
    <row r="11" spans="1:21" ht="15.65" customHeight="1" x14ac:dyDescent="0.25">
      <c r="A11" s="27" t="s">
        <v>26</v>
      </c>
      <c r="B11" s="23" t="s">
        <v>21</v>
      </c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>
        <f>SUM(D11:O11)</f>
        <v>0</v>
      </c>
      <c r="Q11" s="60"/>
      <c r="T11" s="9"/>
    </row>
    <row r="12" spans="1:21" ht="15.65" customHeight="1" x14ac:dyDescent="0.25">
      <c r="A12" s="27" t="s">
        <v>27</v>
      </c>
      <c r="B12" s="23" t="s">
        <v>21</v>
      </c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>
        <f>SUM(D12:O12)</f>
        <v>0</v>
      </c>
      <c r="Q12" s="60"/>
      <c r="T12" s="9"/>
    </row>
    <row r="13" spans="1:21" s="7" customFormat="1" ht="15.65" customHeight="1" x14ac:dyDescent="0.25">
      <c r="A13" s="18" t="s">
        <v>28</v>
      </c>
      <c r="B13" s="19"/>
      <c r="C13" s="20"/>
      <c r="D13" s="30">
        <v>1530</v>
      </c>
      <c r="E13" s="30">
        <v>486</v>
      </c>
      <c r="F13" s="30">
        <v>820</v>
      </c>
      <c r="G13" s="30">
        <v>1065</v>
      </c>
      <c r="H13" s="30">
        <v>1080</v>
      </c>
      <c r="I13" s="30">
        <v>1925</v>
      </c>
      <c r="J13" s="30">
        <v>2025</v>
      </c>
      <c r="K13" s="30">
        <v>2015</v>
      </c>
      <c r="L13" s="30">
        <v>1450</v>
      </c>
      <c r="M13" s="30">
        <v>720</v>
      </c>
      <c r="N13" s="30">
        <v>710</v>
      </c>
      <c r="O13" s="30">
        <v>1205</v>
      </c>
      <c r="P13" s="21"/>
      <c r="Q13" s="60"/>
      <c r="R13" s="153"/>
      <c r="S13" s="59"/>
      <c r="T13" s="9"/>
      <c r="U13" s="59"/>
    </row>
    <row r="14" spans="1:21" ht="15.65" customHeight="1" x14ac:dyDescent="0.25">
      <c r="A14" s="22" t="s">
        <v>95</v>
      </c>
      <c r="B14" s="23" t="s">
        <v>30</v>
      </c>
      <c r="C14" s="24"/>
      <c r="D14" s="28">
        <f>IF(D33=0,0,1/D33)</f>
        <v>1.0204081632653099</v>
      </c>
      <c r="E14" s="28">
        <f t="shared" ref="E14:O14" si="4">IF(E33=0,0,1/E33)</f>
        <v>1.0204081632653099</v>
      </c>
      <c r="F14" s="28">
        <f t="shared" si="4"/>
        <v>1.0204081632653099</v>
      </c>
      <c r="G14" s="28">
        <f t="shared" si="4"/>
        <v>1.0204081632653099</v>
      </c>
      <c r="H14" s="28">
        <f t="shared" si="4"/>
        <v>1.0204081632653099</v>
      </c>
      <c r="I14" s="28">
        <f t="shared" si="4"/>
        <v>1.0204081632653099</v>
      </c>
      <c r="J14" s="28">
        <f t="shared" si="4"/>
        <v>1.0204081632653099</v>
      </c>
      <c r="K14" s="28">
        <f t="shared" si="4"/>
        <v>1.0204081632653099</v>
      </c>
      <c r="L14" s="28">
        <f t="shared" si="4"/>
        <v>1.0204081632653099</v>
      </c>
      <c r="M14" s="28">
        <f t="shared" si="4"/>
        <v>1.0204081632653099</v>
      </c>
      <c r="N14" s="28">
        <f t="shared" si="4"/>
        <v>1.0204081632653099</v>
      </c>
      <c r="O14" s="28">
        <f t="shared" si="4"/>
        <v>1.0204081632653099</v>
      </c>
      <c r="P14" s="28">
        <f t="shared" ref="P14" si="5">IF(P33=0,0,1/P33)</f>
        <v>1.0204081632653099</v>
      </c>
      <c r="Q14" s="60"/>
      <c r="T14" s="9"/>
    </row>
    <row r="15" spans="1:21" s="7" customFormat="1" ht="15.65" customHeight="1" x14ac:dyDescent="0.25">
      <c r="A15" s="18" t="s">
        <v>31</v>
      </c>
      <c r="B15" s="19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>
        <f>SUM(D15:O15)</f>
        <v>0</v>
      </c>
      <c r="Q15" s="60"/>
      <c r="R15" s="153"/>
      <c r="S15" s="59"/>
      <c r="T15" s="9"/>
      <c r="U15" s="59"/>
    </row>
    <row r="16" spans="1:21" ht="15.65" customHeight="1" x14ac:dyDescent="0.25">
      <c r="A16" s="29" t="s">
        <v>105</v>
      </c>
      <c r="B16" s="23" t="s">
        <v>30</v>
      </c>
      <c r="C16" s="24"/>
      <c r="D16" s="28">
        <f t="shared" ref="D16:K16" si="6">IF(D7=0,0,(D18)/D7/83*24)</f>
        <v>0.84493819433578499</v>
      </c>
      <c r="E16" s="28">
        <f t="shared" si="6"/>
        <v>0.88049495278410905</v>
      </c>
      <c r="F16" s="28">
        <f t="shared" si="6"/>
        <v>0.87152347708591404</v>
      </c>
      <c r="G16" s="28">
        <f t="shared" si="6"/>
        <v>0.93108433734939799</v>
      </c>
      <c r="H16" s="28">
        <f t="shared" si="6"/>
        <v>0.86746987951807197</v>
      </c>
      <c r="I16" s="28">
        <f t="shared" si="6"/>
        <v>0.93429718875501999</v>
      </c>
      <c r="J16" s="28">
        <f t="shared" si="6"/>
        <v>0.927253317065731</v>
      </c>
      <c r="K16" s="28">
        <f t="shared" si="6"/>
        <v>0.81111542945977499</v>
      </c>
      <c r="L16" s="28">
        <f>IF(L7=0,0,(L18)/L7/83*24)</f>
        <v>0.87370659107016302</v>
      </c>
      <c r="M16" s="28">
        <f>IF(M7=0,0,(M18)/M7/83*24)</f>
        <v>0.89584506249296303</v>
      </c>
      <c r="N16" s="28">
        <f>IF(N7=0,0,(N18)/N7/83*24)</f>
        <v>0.90120481927710805</v>
      </c>
      <c r="O16" s="28">
        <f>IF(O7=0,0,(O18)/O7/83*24)</f>
        <v>0.87550200803212797</v>
      </c>
      <c r="P16" s="28">
        <f t="shared" ref="P16" si="7">IF(P7=0,0,(P18)/P7/333*24)</f>
        <v>0.219469955392286</v>
      </c>
      <c r="Q16" s="60"/>
      <c r="T16" s="9"/>
    </row>
    <row r="17" spans="1:21" s="7" customFormat="1" ht="15.65" customHeight="1" x14ac:dyDescent="0.25">
      <c r="A17" s="18" t="s">
        <v>34</v>
      </c>
      <c r="B17" s="19"/>
      <c r="C17" s="2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60"/>
      <c r="R17" s="153"/>
      <c r="S17" s="59"/>
      <c r="T17" s="9"/>
      <c r="U17" s="59"/>
    </row>
    <row r="18" spans="1:21" ht="15.65" customHeight="1" x14ac:dyDescent="0.25">
      <c r="A18" s="22" t="s">
        <v>106</v>
      </c>
      <c r="B18" s="23" t="s">
        <v>37</v>
      </c>
      <c r="C18" s="24"/>
      <c r="D18" s="31">
        <v>450</v>
      </c>
      <c r="E18" s="31">
        <v>676</v>
      </c>
      <c r="F18" s="31">
        <v>645</v>
      </c>
      <c r="G18" s="31">
        <v>966</v>
      </c>
      <c r="H18" s="31">
        <v>1002</v>
      </c>
      <c r="I18" s="31">
        <v>1454</v>
      </c>
      <c r="J18" s="31">
        <v>1520</v>
      </c>
      <c r="K18" s="31">
        <v>2087</v>
      </c>
      <c r="L18" s="31">
        <v>1541</v>
      </c>
      <c r="M18" s="31">
        <v>663</v>
      </c>
      <c r="N18" s="31">
        <v>561</v>
      </c>
      <c r="O18" s="31">
        <v>981</v>
      </c>
      <c r="P18" s="26">
        <f>SUM(D18:O18)</f>
        <v>12546</v>
      </c>
      <c r="Q18" s="60"/>
      <c r="T18" s="9"/>
    </row>
    <row r="19" spans="1:21" ht="15.65" customHeight="1" x14ac:dyDescent="0.25">
      <c r="A19" s="27" t="s">
        <v>107</v>
      </c>
      <c r="B19" s="23" t="s">
        <v>37</v>
      </c>
      <c r="C19" s="24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26">
        <f>SUM(D19:O19)</f>
        <v>0</v>
      </c>
      <c r="Q19" s="60"/>
      <c r="T19" s="9"/>
    </row>
    <row r="20" spans="1:21" ht="15.65" customHeight="1" x14ac:dyDescent="0.25">
      <c r="A20" s="32" t="s">
        <v>40</v>
      </c>
      <c r="B20" s="23" t="s">
        <v>30</v>
      </c>
      <c r="C20" s="24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>
        <f t="shared" ref="P20" si="8">IF(P18=0,0,P19/P18)</f>
        <v>0</v>
      </c>
      <c r="Q20" s="60"/>
      <c r="T20" s="9"/>
    </row>
    <row r="21" spans="1:21" ht="15.65" customHeight="1" x14ac:dyDescent="0.25">
      <c r="A21" s="27" t="s">
        <v>41</v>
      </c>
      <c r="B21" s="23" t="s">
        <v>37</v>
      </c>
      <c r="C21" s="24"/>
      <c r="D21" s="26"/>
      <c r="E21" s="26">
        <v>769</v>
      </c>
      <c r="F21" s="26"/>
      <c r="G21" s="26">
        <v>1316</v>
      </c>
      <c r="H21" s="26"/>
      <c r="I21" s="26">
        <v>1843</v>
      </c>
      <c r="J21" s="26"/>
      <c r="K21" s="26">
        <v>1970</v>
      </c>
      <c r="L21" s="26"/>
      <c r="M21" s="26">
        <v>852</v>
      </c>
      <c r="N21" s="26"/>
      <c r="O21" s="26">
        <v>785</v>
      </c>
      <c r="P21" s="26">
        <f>SUM(D21:O21)</f>
        <v>7535</v>
      </c>
      <c r="Q21" s="60"/>
      <c r="T21" s="9"/>
    </row>
    <row r="22" spans="1:21" ht="15.65" customHeight="1" x14ac:dyDescent="0.25">
      <c r="A22" s="32" t="s">
        <v>40</v>
      </c>
      <c r="B22" s="34" t="s">
        <v>30</v>
      </c>
      <c r="C22" s="35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>
        <f>IF(P18=0,0,P21/P18)</f>
        <v>0.600589829427706</v>
      </c>
      <c r="Q22" s="60"/>
      <c r="T22" s="9"/>
    </row>
    <row r="23" spans="1:21" ht="15.65" customHeight="1" x14ac:dyDescent="0.25">
      <c r="A23" s="22" t="s">
        <v>108</v>
      </c>
      <c r="B23" s="23" t="s">
        <v>37</v>
      </c>
      <c r="C23" s="24"/>
      <c r="D23" s="26">
        <f>(D18+D21)*0.75</f>
        <v>337.5</v>
      </c>
      <c r="E23" s="26">
        <f t="shared" ref="E23:P23" si="9">(E18+E21)*0.75</f>
        <v>1083.75</v>
      </c>
      <c r="F23" s="26">
        <f t="shared" si="9"/>
        <v>483.75</v>
      </c>
      <c r="G23" s="26">
        <f t="shared" si="9"/>
        <v>1711.5</v>
      </c>
      <c r="H23" s="26">
        <f t="shared" si="9"/>
        <v>751.5</v>
      </c>
      <c r="I23" s="26">
        <f t="shared" si="9"/>
        <v>2472.75</v>
      </c>
      <c r="J23" s="26">
        <f t="shared" si="9"/>
        <v>1140</v>
      </c>
      <c r="K23" s="26">
        <f t="shared" si="9"/>
        <v>3042.75</v>
      </c>
      <c r="L23" s="26">
        <f t="shared" si="9"/>
        <v>1155.75</v>
      </c>
      <c r="M23" s="26">
        <f t="shared" si="9"/>
        <v>1136.25</v>
      </c>
      <c r="N23" s="26">
        <f t="shared" si="9"/>
        <v>420.75</v>
      </c>
      <c r="O23" s="26">
        <f t="shared" si="9"/>
        <v>1324.5</v>
      </c>
      <c r="P23" s="26">
        <f t="shared" si="9"/>
        <v>15060.75</v>
      </c>
      <c r="Q23" s="60"/>
      <c r="T23" s="9"/>
    </row>
    <row r="24" spans="1:21" ht="15.65" customHeight="1" x14ac:dyDescent="0.25">
      <c r="A24" s="22" t="s">
        <v>109</v>
      </c>
      <c r="B24" s="23" t="s">
        <v>37</v>
      </c>
      <c r="C24" s="24"/>
      <c r="D24" s="221">
        <f>D25</f>
        <v>1600</v>
      </c>
      <c r="E24" s="221">
        <f t="shared" ref="E24:O24" si="10">E25</f>
        <v>700</v>
      </c>
      <c r="F24" s="221">
        <f t="shared" si="10"/>
        <v>300</v>
      </c>
      <c r="G24" s="221">
        <f t="shared" si="10"/>
        <v>300</v>
      </c>
      <c r="H24" s="221">
        <f t="shared" si="10"/>
        <v>840</v>
      </c>
      <c r="I24" s="221">
        <f t="shared" si="10"/>
        <v>420</v>
      </c>
      <c r="J24" s="221">
        <f t="shared" si="10"/>
        <v>480</v>
      </c>
      <c r="K24" s="221">
        <f t="shared" si="10"/>
        <v>1620</v>
      </c>
      <c r="L24" s="221">
        <f t="shared" si="10"/>
        <v>540</v>
      </c>
      <c r="M24" s="221">
        <f t="shared" si="10"/>
        <v>420</v>
      </c>
      <c r="N24" s="221">
        <f t="shared" si="10"/>
        <v>600</v>
      </c>
      <c r="O24" s="221">
        <f t="shared" si="10"/>
        <v>1620</v>
      </c>
      <c r="P24" s="26">
        <f>SUM(D24:O24)</f>
        <v>9440</v>
      </c>
      <c r="Q24" s="60"/>
      <c r="T24" s="9"/>
    </row>
    <row r="25" spans="1:21" ht="15.65" customHeight="1" x14ac:dyDescent="0.25">
      <c r="A25" s="27" t="s">
        <v>109</v>
      </c>
      <c r="B25" s="23" t="s">
        <v>37</v>
      </c>
      <c r="C25" s="24"/>
      <c r="D25" s="31">
        <v>1600</v>
      </c>
      <c r="E25" s="31">
        <v>700</v>
      </c>
      <c r="F25" s="31">
        <v>300</v>
      </c>
      <c r="G25" s="31">
        <v>300</v>
      </c>
      <c r="H25" s="31">
        <v>840</v>
      </c>
      <c r="I25" s="31">
        <v>420</v>
      </c>
      <c r="J25" s="31">
        <v>480</v>
      </c>
      <c r="K25" s="31">
        <v>1620</v>
      </c>
      <c r="L25" s="31">
        <v>540</v>
      </c>
      <c r="M25" s="31">
        <v>420</v>
      </c>
      <c r="N25" s="31">
        <v>600</v>
      </c>
      <c r="O25" s="31">
        <v>1620</v>
      </c>
      <c r="P25" s="26">
        <f>SUM(D25:O25)</f>
        <v>9440</v>
      </c>
      <c r="Q25" s="60"/>
      <c r="T25" s="9"/>
    </row>
    <row r="26" spans="1:21" ht="15.65" customHeight="1" x14ac:dyDescent="0.25">
      <c r="A26" s="32" t="s">
        <v>40</v>
      </c>
      <c r="B26" s="23" t="s">
        <v>30</v>
      </c>
      <c r="C26" s="24"/>
      <c r="D26" s="33">
        <f t="shared" ref="D26:O26" si="11">IF(D24=0,0,D25/D24)</f>
        <v>1</v>
      </c>
      <c r="E26" s="33">
        <f t="shared" si="11"/>
        <v>1</v>
      </c>
      <c r="F26" s="33">
        <f t="shared" si="11"/>
        <v>1</v>
      </c>
      <c r="G26" s="33">
        <f t="shared" si="11"/>
        <v>1</v>
      </c>
      <c r="H26" s="33">
        <f t="shared" si="11"/>
        <v>1</v>
      </c>
      <c r="I26" s="33">
        <f t="shared" si="11"/>
        <v>1</v>
      </c>
      <c r="J26" s="33">
        <f t="shared" si="11"/>
        <v>1</v>
      </c>
      <c r="K26" s="33">
        <f t="shared" si="11"/>
        <v>1</v>
      </c>
      <c r="L26" s="33">
        <f t="shared" si="11"/>
        <v>1</v>
      </c>
      <c r="M26" s="33">
        <f t="shared" si="11"/>
        <v>1</v>
      </c>
      <c r="N26" s="33">
        <f t="shared" si="11"/>
        <v>1</v>
      </c>
      <c r="O26" s="33">
        <f t="shared" si="11"/>
        <v>1</v>
      </c>
      <c r="P26" s="33">
        <f t="shared" ref="P26" si="12">IF(P24=0,0,P25/P24)</f>
        <v>1</v>
      </c>
      <c r="Q26" s="60"/>
      <c r="T26" s="9"/>
    </row>
    <row r="27" spans="1:21" ht="15.65" customHeight="1" x14ac:dyDescent="0.25">
      <c r="A27" s="27" t="s">
        <v>41</v>
      </c>
      <c r="B27" s="23" t="s">
        <v>37</v>
      </c>
      <c r="C27" s="24"/>
      <c r="D27" s="26">
        <f>D24-D25</f>
        <v>0</v>
      </c>
      <c r="E27" s="26">
        <f t="shared" ref="E27:O27" si="13">E24-E25</f>
        <v>0</v>
      </c>
      <c r="F27" s="26">
        <f t="shared" si="13"/>
        <v>0</v>
      </c>
      <c r="G27" s="26">
        <f t="shared" si="13"/>
        <v>0</v>
      </c>
      <c r="H27" s="26">
        <f t="shared" si="13"/>
        <v>0</v>
      </c>
      <c r="I27" s="26">
        <f t="shared" si="13"/>
        <v>0</v>
      </c>
      <c r="J27" s="26">
        <f t="shared" si="13"/>
        <v>0</v>
      </c>
      <c r="K27" s="26">
        <f t="shared" si="13"/>
        <v>0</v>
      </c>
      <c r="L27" s="26">
        <f t="shared" si="13"/>
        <v>0</v>
      </c>
      <c r="M27" s="26">
        <f t="shared" si="13"/>
        <v>0</v>
      </c>
      <c r="N27" s="26">
        <f t="shared" si="13"/>
        <v>0</v>
      </c>
      <c r="O27" s="26">
        <f t="shared" si="13"/>
        <v>0</v>
      </c>
      <c r="P27" s="26">
        <f>SUM(D27:O27)</f>
        <v>0</v>
      </c>
      <c r="Q27" s="60"/>
      <c r="T27" s="9"/>
    </row>
    <row r="28" spans="1:21" ht="15.65" customHeight="1" x14ac:dyDescent="0.25">
      <c r="A28" s="32" t="s">
        <v>40</v>
      </c>
      <c r="B28" s="34" t="s">
        <v>30</v>
      </c>
      <c r="C28" s="35"/>
      <c r="D28" s="33">
        <f t="shared" ref="D28:O28" si="14">IF(D24=0,0,D27/D24)</f>
        <v>0</v>
      </c>
      <c r="E28" s="33">
        <f t="shared" si="14"/>
        <v>0</v>
      </c>
      <c r="F28" s="33">
        <f t="shared" si="14"/>
        <v>0</v>
      </c>
      <c r="G28" s="33">
        <f t="shared" si="14"/>
        <v>0</v>
      </c>
      <c r="H28" s="33">
        <f t="shared" si="14"/>
        <v>0</v>
      </c>
      <c r="I28" s="33">
        <f t="shared" si="14"/>
        <v>0</v>
      </c>
      <c r="J28" s="33">
        <f t="shared" si="14"/>
        <v>0</v>
      </c>
      <c r="K28" s="33">
        <f t="shared" si="14"/>
        <v>0</v>
      </c>
      <c r="L28" s="33">
        <f t="shared" si="14"/>
        <v>0</v>
      </c>
      <c r="M28" s="33">
        <f t="shared" si="14"/>
        <v>0</v>
      </c>
      <c r="N28" s="33">
        <f t="shared" si="14"/>
        <v>0</v>
      </c>
      <c r="O28" s="33">
        <f t="shared" si="14"/>
        <v>0</v>
      </c>
      <c r="P28" s="33">
        <f t="shared" ref="P28" si="15">IF(P24=0,0,P27/P24)</f>
        <v>0</v>
      </c>
      <c r="Q28" s="60"/>
      <c r="T28" s="9"/>
    </row>
    <row r="29" spans="1:21" ht="15.65" customHeight="1" x14ac:dyDescent="0.25">
      <c r="A29" s="22" t="s">
        <v>108</v>
      </c>
      <c r="B29" s="23" t="s">
        <v>37</v>
      </c>
      <c r="C29" s="24"/>
      <c r="D29" s="26">
        <f>D25*0.64</f>
        <v>1024</v>
      </c>
      <c r="E29" s="26">
        <f t="shared" ref="E29:O29" si="16">E25*0.64</f>
        <v>448</v>
      </c>
      <c r="F29" s="26">
        <f t="shared" si="16"/>
        <v>192</v>
      </c>
      <c r="G29" s="26">
        <f t="shared" si="16"/>
        <v>192</v>
      </c>
      <c r="H29" s="26">
        <f t="shared" si="16"/>
        <v>537.6</v>
      </c>
      <c r="I29" s="26">
        <f t="shared" si="16"/>
        <v>268.8</v>
      </c>
      <c r="J29" s="26">
        <f t="shared" si="16"/>
        <v>307.2</v>
      </c>
      <c r="K29" s="26">
        <f t="shared" si="16"/>
        <v>1036.8</v>
      </c>
      <c r="L29" s="26">
        <f t="shared" si="16"/>
        <v>345.6</v>
      </c>
      <c r="M29" s="26">
        <f t="shared" si="16"/>
        <v>268.8</v>
      </c>
      <c r="N29" s="26">
        <f t="shared" si="16"/>
        <v>384</v>
      </c>
      <c r="O29" s="26">
        <f t="shared" si="16"/>
        <v>1036.8</v>
      </c>
      <c r="P29" s="26">
        <f>SUM(D29:O29)</f>
        <v>6041.6</v>
      </c>
      <c r="Q29" s="60">
        <f>P24*0.89</f>
        <v>8401.6</v>
      </c>
      <c r="T29" s="9"/>
    </row>
    <row r="30" spans="1:21" ht="15.65" customHeight="1" x14ac:dyDescent="0.25">
      <c r="A30" s="36" t="s">
        <v>110</v>
      </c>
      <c r="B30" s="37" t="s">
        <v>37</v>
      </c>
      <c r="C30" s="38"/>
      <c r="D30" s="39">
        <f>D23+D29</f>
        <v>1361.5</v>
      </c>
      <c r="E30" s="39">
        <f>E23+E29</f>
        <v>1531.75</v>
      </c>
      <c r="F30" s="39">
        <f t="shared" ref="F30:P30" si="17">F23+F29</f>
        <v>675.75</v>
      </c>
      <c r="G30" s="39">
        <f t="shared" si="17"/>
        <v>1903.5</v>
      </c>
      <c r="H30" s="39">
        <f t="shared" si="17"/>
        <v>1289.0999999999999</v>
      </c>
      <c r="I30" s="39">
        <f t="shared" si="17"/>
        <v>2741.55</v>
      </c>
      <c r="J30" s="39">
        <f t="shared" si="17"/>
        <v>1447.2</v>
      </c>
      <c r="K30" s="39">
        <f t="shared" si="17"/>
        <v>4079.55</v>
      </c>
      <c r="L30" s="39">
        <f t="shared" si="17"/>
        <v>1501.35</v>
      </c>
      <c r="M30" s="39">
        <f t="shared" si="17"/>
        <v>1405.05</v>
      </c>
      <c r="N30" s="39">
        <f t="shared" si="17"/>
        <v>804.75</v>
      </c>
      <c r="O30" s="39">
        <f t="shared" si="17"/>
        <v>2361.3000000000002</v>
      </c>
      <c r="P30" s="39">
        <f t="shared" si="17"/>
        <v>21102.35</v>
      </c>
      <c r="Q30" s="60"/>
      <c r="S30" s="62"/>
      <c r="T30" s="9"/>
    </row>
    <row r="31" spans="1:21" s="7" customFormat="1" ht="15.65" customHeight="1" x14ac:dyDescent="0.25">
      <c r="A31" s="18" t="s">
        <v>49</v>
      </c>
      <c r="B31" s="19"/>
      <c r="C31" s="20"/>
      <c r="D31" s="30">
        <f>D32/0.87</f>
        <v>1533.3333333333301</v>
      </c>
      <c r="E31" s="30">
        <f t="shared" ref="E31:O31" si="18">E32/0.87</f>
        <v>1725.28735632184</v>
      </c>
      <c r="F31" s="30">
        <f t="shared" si="18"/>
        <v>760.919540229885</v>
      </c>
      <c r="G31" s="30">
        <f t="shared" si="18"/>
        <v>2143.67816091954</v>
      </c>
      <c r="H31" s="30">
        <f t="shared" si="18"/>
        <v>1451.7241379310301</v>
      </c>
      <c r="I31" s="30">
        <f t="shared" si="18"/>
        <v>3088.5057471264399</v>
      </c>
      <c r="J31" s="30">
        <f t="shared" si="18"/>
        <v>1629.8850574712601</v>
      </c>
      <c r="K31" s="30">
        <f t="shared" si="18"/>
        <v>4595.4022988505703</v>
      </c>
      <c r="L31" s="30">
        <f t="shared" si="18"/>
        <v>1690.80459770115</v>
      </c>
      <c r="M31" s="30">
        <f t="shared" si="18"/>
        <v>1582.7586206896599</v>
      </c>
      <c r="N31" s="30">
        <f t="shared" si="18"/>
        <v>906.89655172413802</v>
      </c>
      <c r="O31" s="30">
        <f t="shared" si="18"/>
        <v>2659.7701149425302</v>
      </c>
      <c r="P31" s="30">
        <f t="shared" ref="P31" si="19">P32/0.87</f>
        <v>23768.965517241399</v>
      </c>
      <c r="Q31" s="60" t="s">
        <v>50</v>
      </c>
      <c r="R31" s="153"/>
      <c r="S31" s="59"/>
      <c r="T31" s="9"/>
      <c r="U31" s="59"/>
    </row>
    <row r="32" spans="1:21" ht="15.65" customHeight="1" x14ac:dyDescent="0.25">
      <c r="A32" s="40" t="s">
        <v>52</v>
      </c>
      <c r="B32" s="34" t="s">
        <v>37</v>
      </c>
      <c r="C32" s="35"/>
      <c r="D32" s="41">
        <f>ROUND(D33*D$30,0)</f>
        <v>1334</v>
      </c>
      <c r="E32" s="41">
        <f>ROUND(E33*E$30,0)</f>
        <v>1501</v>
      </c>
      <c r="F32" s="41">
        <f t="shared" ref="F32:O32" si="20">ROUND(F33*F$30,0)</f>
        <v>662</v>
      </c>
      <c r="G32" s="41">
        <f t="shared" si="20"/>
        <v>1865</v>
      </c>
      <c r="H32" s="41">
        <f t="shared" si="20"/>
        <v>1263</v>
      </c>
      <c r="I32" s="41">
        <f t="shared" si="20"/>
        <v>2687</v>
      </c>
      <c r="J32" s="41">
        <f t="shared" si="20"/>
        <v>1418</v>
      </c>
      <c r="K32" s="41">
        <f t="shared" si="20"/>
        <v>3998</v>
      </c>
      <c r="L32" s="41">
        <f t="shared" si="20"/>
        <v>1471</v>
      </c>
      <c r="M32" s="41">
        <f t="shared" si="20"/>
        <v>1377</v>
      </c>
      <c r="N32" s="41">
        <f t="shared" si="20"/>
        <v>789</v>
      </c>
      <c r="O32" s="41">
        <f t="shared" si="20"/>
        <v>2314</v>
      </c>
      <c r="P32" s="41">
        <f t="array" ref="P32">SUM(D32:O32)</f>
        <v>20679</v>
      </c>
      <c r="Q32" s="60"/>
      <c r="T32" s="9"/>
    </row>
    <row r="33" spans="1:21" ht="15.65" customHeight="1" x14ac:dyDescent="0.25">
      <c r="A33" s="42" t="s">
        <v>53</v>
      </c>
      <c r="B33" s="34" t="s">
        <v>54</v>
      </c>
      <c r="C33" s="35"/>
      <c r="D33" s="45">
        <v>0.98</v>
      </c>
      <c r="E33" s="45">
        <v>0.98</v>
      </c>
      <c r="F33" s="45">
        <v>0.98</v>
      </c>
      <c r="G33" s="45">
        <v>0.98</v>
      </c>
      <c r="H33" s="45">
        <v>0.98</v>
      </c>
      <c r="I33" s="45">
        <v>0.98</v>
      </c>
      <c r="J33" s="45">
        <v>0.98</v>
      </c>
      <c r="K33" s="45">
        <v>0.98</v>
      </c>
      <c r="L33" s="45">
        <v>0.98</v>
      </c>
      <c r="M33" s="45">
        <v>0.98</v>
      </c>
      <c r="N33" s="45">
        <v>0.98</v>
      </c>
      <c r="O33" s="45">
        <v>0.98</v>
      </c>
      <c r="P33" s="55">
        <f>ROUND(IF(P$30=0,0,P32/P$30),3)</f>
        <v>0.98</v>
      </c>
      <c r="Q33" s="61">
        <f>O33*0.75/0.86</f>
        <v>0.85465116279069797</v>
      </c>
      <c r="R33" s="153">
        <v>0.86337209302325602</v>
      </c>
      <c r="S33" s="62"/>
      <c r="T33" s="9"/>
    </row>
    <row r="34" spans="1:21" ht="15.65" customHeight="1" x14ac:dyDescent="0.25">
      <c r="A34" s="40" t="s">
        <v>55</v>
      </c>
      <c r="B34" s="34" t="s">
        <v>56</v>
      </c>
      <c r="C34" s="35"/>
      <c r="D34" s="26">
        <f>ROUND(D35*D$30,2)</f>
        <v>6671.35</v>
      </c>
      <c r="E34" s="26">
        <f t="shared" ref="E34:O34" si="21">ROUND(E35*E$30,2)</f>
        <v>7505.58</v>
      </c>
      <c r="F34" s="26">
        <f t="shared" si="21"/>
        <v>3311.18</v>
      </c>
      <c r="G34" s="26">
        <f t="shared" si="21"/>
        <v>9136.7999999999993</v>
      </c>
      <c r="H34" s="26">
        <f t="shared" si="21"/>
        <v>6058.77</v>
      </c>
      <c r="I34" s="26">
        <f t="shared" si="21"/>
        <v>12611.13</v>
      </c>
      <c r="J34" s="26">
        <f t="shared" si="21"/>
        <v>6657.12</v>
      </c>
      <c r="K34" s="26">
        <f t="shared" si="21"/>
        <v>18765.93</v>
      </c>
      <c r="L34" s="26">
        <f t="shared" si="21"/>
        <v>7056.35</v>
      </c>
      <c r="M34" s="26">
        <f t="shared" si="21"/>
        <v>6744.24</v>
      </c>
      <c r="N34" s="26">
        <f t="shared" si="21"/>
        <v>3943.28</v>
      </c>
      <c r="O34" s="26">
        <f t="shared" si="21"/>
        <v>11570.37</v>
      </c>
      <c r="P34" s="41">
        <f>SUM(D34:O34)</f>
        <v>100032.1</v>
      </c>
      <c r="Q34" s="60"/>
      <c r="T34" s="9"/>
    </row>
    <row r="35" spans="1:21" ht="15.65" customHeight="1" x14ac:dyDescent="0.25">
      <c r="A35" s="42" t="s">
        <v>53</v>
      </c>
      <c r="B35" s="34" t="s">
        <v>57</v>
      </c>
      <c r="C35" s="35"/>
      <c r="D35" s="45">
        <v>4.9000000000000004</v>
      </c>
      <c r="E35" s="45">
        <v>4.9000000000000004</v>
      </c>
      <c r="F35" s="45">
        <v>4.9000000000000004</v>
      </c>
      <c r="G35" s="45">
        <v>4.8</v>
      </c>
      <c r="H35" s="45">
        <v>4.7</v>
      </c>
      <c r="I35" s="45">
        <v>4.5999999999999996</v>
      </c>
      <c r="J35" s="45">
        <v>4.5999999999999996</v>
      </c>
      <c r="K35" s="45">
        <v>4.5999999999999996</v>
      </c>
      <c r="L35" s="45">
        <v>4.7</v>
      </c>
      <c r="M35" s="45">
        <v>4.8</v>
      </c>
      <c r="N35" s="45">
        <v>4.9000000000000004</v>
      </c>
      <c r="O35" s="45">
        <v>4.9000000000000004</v>
      </c>
      <c r="P35" s="55">
        <f>ROUND(IF(P$30=0,0,P34/P$30),3)</f>
        <v>4.74</v>
      </c>
      <c r="Q35" s="63">
        <f>O35*0.75</f>
        <v>3.6749999999999998</v>
      </c>
      <c r="R35" s="153">
        <v>4.6500000000000004</v>
      </c>
      <c r="T35" s="9"/>
    </row>
    <row r="36" spans="1:21" ht="15.65" customHeight="1" x14ac:dyDescent="0.25">
      <c r="A36" s="40" t="s">
        <v>58</v>
      </c>
      <c r="B36" s="34" t="s">
        <v>56</v>
      </c>
      <c r="C36" s="35"/>
      <c r="D36" s="41">
        <f t="shared" ref="D36:O36" si="22">ROUND(D37*D$30,2)</f>
        <v>6671.35</v>
      </c>
      <c r="E36" s="41">
        <f t="shared" si="22"/>
        <v>7505.58</v>
      </c>
      <c r="F36" s="41">
        <f t="shared" si="22"/>
        <v>3311.18</v>
      </c>
      <c r="G36" s="41">
        <f t="shared" si="22"/>
        <v>9327.15</v>
      </c>
      <c r="H36" s="41">
        <f t="shared" si="22"/>
        <v>6058.77</v>
      </c>
      <c r="I36" s="41">
        <f t="shared" si="22"/>
        <v>12611.13</v>
      </c>
      <c r="J36" s="41">
        <f t="shared" si="22"/>
        <v>6657.12</v>
      </c>
      <c r="K36" s="41">
        <f t="shared" si="22"/>
        <v>18765.93</v>
      </c>
      <c r="L36" s="41">
        <f t="shared" si="22"/>
        <v>7056.35</v>
      </c>
      <c r="M36" s="41">
        <f t="shared" si="22"/>
        <v>6744.24</v>
      </c>
      <c r="N36" s="41">
        <f t="shared" si="22"/>
        <v>3943.28</v>
      </c>
      <c r="O36" s="41">
        <f t="shared" si="22"/>
        <v>11570.37</v>
      </c>
      <c r="P36" s="41">
        <f>SUM(D36:O36)</f>
        <v>100222.45</v>
      </c>
      <c r="Q36" s="60"/>
      <c r="T36" s="9"/>
    </row>
    <row r="37" spans="1:21" ht="15.65" customHeight="1" x14ac:dyDescent="0.25">
      <c r="A37" s="42" t="s">
        <v>53</v>
      </c>
      <c r="B37" s="34" t="s">
        <v>57</v>
      </c>
      <c r="C37" s="35"/>
      <c r="D37" s="45">
        <v>4.9000000000000004</v>
      </c>
      <c r="E37" s="45">
        <v>4.9000000000000004</v>
      </c>
      <c r="F37" s="45">
        <v>4.9000000000000004</v>
      </c>
      <c r="G37" s="45">
        <v>4.9000000000000004</v>
      </c>
      <c r="H37" s="45">
        <v>4.7</v>
      </c>
      <c r="I37" s="45">
        <v>4.5999999999999996</v>
      </c>
      <c r="J37" s="45">
        <v>4.5999999999999996</v>
      </c>
      <c r="K37" s="45">
        <v>4.5999999999999996</v>
      </c>
      <c r="L37" s="45">
        <v>4.7</v>
      </c>
      <c r="M37" s="45">
        <v>4.8</v>
      </c>
      <c r="N37" s="45">
        <v>4.9000000000000004</v>
      </c>
      <c r="O37" s="45">
        <v>4.9000000000000004</v>
      </c>
      <c r="P37" s="55">
        <f>ROUND(IF(P$30=0,0,P36/P$30),3)</f>
        <v>4.7489999999999997</v>
      </c>
      <c r="Q37" s="63">
        <f>O37*0.75</f>
        <v>3.6749999999999998</v>
      </c>
      <c r="R37" s="153">
        <v>4.7249999999999996</v>
      </c>
      <c r="T37" s="9"/>
    </row>
    <row r="38" spans="1:21" ht="15.65" customHeight="1" x14ac:dyDescent="0.25">
      <c r="A38" s="40" t="s">
        <v>59</v>
      </c>
      <c r="B38" s="34" t="s">
        <v>56</v>
      </c>
      <c r="C38" s="35"/>
      <c r="D38" s="41">
        <f t="shared" ref="D38:O38" si="23">ROUND(D39*D$30,2)</f>
        <v>980.28</v>
      </c>
      <c r="E38" s="41">
        <f t="shared" si="23"/>
        <v>1072.23</v>
      </c>
      <c r="F38" s="41">
        <f t="shared" si="23"/>
        <v>473.03</v>
      </c>
      <c r="G38" s="41">
        <f t="shared" si="23"/>
        <v>1313.42</v>
      </c>
      <c r="H38" s="41">
        <f t="shared" si="23"/>
        <v>889.48</v>
      </c>
      <c r="I38" s="41">
        <f t="shared" si="23"/>
        <v>1864.25</v>
      </c>
      <c r="J38" s="41">
        <f t="shared" si="23"/>
        <v>984.1</v>
      </c>
      <c r="K38" s="41">
        <f t="shared" si="23"/>
        <v>2774.09</v>
      </c>
      <c r="L38" s="41">
        <f t="shared" si="23"/>
        <v>1020.92</v>
      </c>
      <c r="M38" s="41">
        <f t="shared" si="23"/>
        <v>983.54</v>
      </c>
      <c r="N38" s="41">
        <f t="shared" si="23"/>
        <v>563.33000000000004</v>
      </c>
      <c r="O38" s="41">
        <f t="shared" si="23"/>
        <v>1629.3</v>
      </c>
      <c r="P38" s="41">
        <f>SUM(D38:O38)</f>
        <v>14547.97</v>
      </c>
      <c r="Q38" s="60"/>
      <c r="T38" s="9"/>
    </row>
    <row r="39" spans="1:21" ht="15.65" customHeight="1" x14ac:dyDescent="0.25">
      <c r="A39" s="42" t="s">
        <v>53</v>
      </c>
      <c r="B39" s="34" t="s">
        <v>57</v>
      </c>
      <c r="C39" s="35"/>
      <c r="D39" s="228">
        <v>0.72</v>
      </c>
      <c r="E39" s="228">
        <v>0.7</v>
      </c>
      <c r="F39" s="228">
        <v>0.7</v>
      </c>
      <c r="G39" s="228">
        <v>0.69</v>
      </c>
      <c r="H39" s="228">
        <v>0.69</v>
      </c>
      <c r="I39" s="228">
        <v>0.68</v>
      </c>
      <c r="J39" s="228">
        <v>0.68</v>
      </c>
      <c r="K39" s="228">
        <v>0.68</v>
      </c>
      <c r="L39" s="228">
        <v>0.68</v>
      </c>
      <c r="M39" s="228">
        <v>0.7</v>
      </c>
      <c r="N39" s="228">
        <v>0.7</v>
      </c>
      <c r="O39" s="228">
        <v>0.69</v>
      </c>
      <c r="P39" s="55">
        <f>ROUND(IF(P$30=0,0,P38/P$30),3)</f>
        <v>0.68899999999999995</v>
      </c>
      <c r="Q39" s="63">
        <f>O39*0.75</f>
        <v>0.51749999999999996</v>
      </c>
      <c r="R39" s="153">
        <v>0.69</v>
      </c>
      <c r="T39" s="9"/>
    </row>
    <row r="40" spans="1:21" ht="15.65" customHeight="1" x14ac:dyDescent="0.25">
      <c r="A40" s="40" t="s">
        <v>60</v>
      </c>
      <c r="B40" s="34" t="s">
        <v>56</v>
      </c>
      <c r="C40" s="35"/>
      <c r="D40" s="41">
        <f t="shared" ref="D40:O40" si="24">ROUND(D41*D$30,2)</f>
        <v>296.81</v>
      </c>
      <c r="E40" s="41">
        <f t="shared" si="24"/>
        <v>333.92</v>
      </c>
      <c r="F40" s="41">
        <f t="shared" si="24"/>
        <v>147.31</v>
      </c>
      <c r="G40" s="41">
        <f t="shared" si="24"/>
        <v>414.96</v>
      </c>
      <c r="H40" s="41">
        <f t="shared" si="24"/>
        <v>281.02</v>
      </c>
      <c r="I40" s="41">
        <f t="shared" si="24"/>
        <v>597.66</v>
      </c>
      <c r="J40" s="41">
        <f t="shared" si="24"/>
        <v>315.49</v>
      </c>
      <c r="K40" s="41">
        <f t="shared" si="24"/>
        <v>889.34</v>
      </c>
      <c r="L40" s="41">
        <f t="shared" si="24"/>
        <v>327.29000000000002</v>
      </c>
      <c r="M40" s="41">
        <f t="shared" si="24"/>
        <v>306.3</v>
      </c>
      <c r="N40" s="41">
        <f t="shared" si="24"/>
        <v>175.44</v>
      </c>
      <c r="O40" s="41">
        <f t="shared" si="24"/>
        <v>514.76</v>
      </c>
      <c r="P40" s="41">
        <f>SUM(D40:O40)</f>
        <v>4600.3</v>
      </c>
      <c r="Q40" s="60"/>
      <c r="T40" s="9"/>
    </row>
    <row r="41" spans="1:21" ht="15.65" customHeight="1" x14ac:dyDescent="0.25">
      <c r="A41" s="42" t="s">
        <v>53</v>
      </c>
      <c r="B41" s="34" t="s">
        <v>57</v>
      </c>
      <c r="C41" s="45"/>
      <c r="D41" s="45">
        <v>0.218</v>
      </c>
      <c r="E41" s="45">
        <v>0.218</v>
      </c>
      <c r="F41" s="45">
        <v>0.218</v>
      </c>
      <c r="G41" s="45">
        <v>0.218</v>
      </c>
      <c r="H41" s="45">
        <v>0.218</v>
      </c>
      <c r="I41" s="45">
        <v>0.218</v>
      </c>
      <c r="J41" s="45">
        <v>0.218</v>
      </c>
      <c r="K41" s="45">
        <v>0.218</v>
      </c>
      <c r="L41" s="45">
        <v>0.218</v>
      </c>
      <c r="M41" s="45">
        <v>0.218</v>
      </c>
      <c r="N41" s="45">
        <v>0.218</v>
      </c>
      <c r="O41" s="45">
        <v>0.218</v>
      </c>
      <c r="P41" s="55">
        <f>ROUND(IF(P$30=0,0,P40/P$30),3)</f>
        <v>0.218</v>
      </c>
      <c r="Q41" s="63">
        <f>O41*0.75</f>
        <v>0.16350000000000001</v>
      </c>
      <c r="R41" s="153">
        <v>0.105</v>
      </c>
      <c r="T41" s="9"/>
    </row>
    <row r="42" spans="1:21" ht="15.65" customHeight="1" x14ac:dyDescent="0.25">
      <c r="A42" s="44" t="s">
        <v>61</v>
      </c>
      <c r="B42" s="34" t="s">
        <v>56</v>
      </c>
      <c r="C42" s="35"/>
      <c r="D42" s="41">
        <f t="shared" ref="D42:O42" si="25">ROUND(D43*D$30,2)</f>
        <v>171.55</v>
      </c>
      <c r="E42" s="41">
        <f t="shared" si="25"/>
        <v>193</v>
      </c>
      <c r="F42" s="41">
        <f t="shared" si="25"/>
        <v>85.14</v>
      </c>
      <c r="G42" s="41">
        <f t="shared" si="25"/>
        <v>239.84</v>
      </c>
      <c r="H42" s="41">
        <f t="shared" si="25"/>
        <v>162.43</v>
      </c>
      <c r="I42" s="41">
        <f t="shared" si="25"/>
        <v>345.44</v>
      </c>
      <c r="J42" s="41">
        <f t="shared" si="25"/>
        <v>182.35</v>
      </c>
      <c r="K42" s="41">
        <f t="shared" si="25"/>
        <v>514.02</v>
      </c>
      <c r="L42" s="41">
        <f t="shared" si="25"/>
        <v>189.17</v>
      </c>
      <c r="M42" s="41">
        <f t="shared" si="25"/>
        <v>177.04</v>
      </c>
      <c r="N42" s="41">
        <f t="shared" si="25"/>
        <v>101.4</v>
      </c>
      <c r="O42" s="41">
        <f t="shared" si="25"/>
        <v>297.52</v>
      </c>
      <c r="P42" s="41">
        <f>SUM(D42:O42)</f>
        <v>2658.9</v>
      </c>
      <c r="Q42" s="60"/>
      <c r="T42" s="9"/>
    </row>
    <row r="43" spans="1:21" ht="15.65" customHeight="1" x14ac:dyDescent="0.25">
      <c r="A43" s="42" t="s">
        <v>53</v>
      </c>
      <c r="B43" s="34" t="s">
        <v>57</v>
      </c>
      <c r="C43" s="35"/>
      <c r="D43" s="228">
        <v>0.126</v>
      </c>
      <c r="E43" s="228">
        <v>0.126</v>
      </c>
      <c r="F43" s="228">
        <v>0.126</v>
      </c>
      <c r="G43" s="228">
        <v>0.126</v>
      </c>
      <c r="H43" s="228">
        <v>0.126</v>
      </c>
      <c r="I43" s="228">
        <v>0.126</v>
      </c>
      <c r="J43" s="228">
        <v>0.126</v>
      </c>
      <c r="K43" s="228">
        <v>0.126</v>
      </c>
      <c r="L43" s="228">
        <v>0.126</v>
      </c>
      <c r="M43" s="228">
        <v>0.126</v>
      </c>
      <c r="N43" s="228">
        <v>0.126</v>
      </c>
      <c r="O43" s="228">
        <v>0.126</v>
      </c>
      <c r="P43" s="55">
        <f>ROUND(IF(P$30=0,0,P42/P$30),3)</f>
        <v>0.126</v>
      </c>
      <c r="Q43" s="63">
        <f>O43*0.75</f>
        <v>9.4500000000000001E-2</v>
      </c>
      <c r="R43" s="153">
        <v>0.16500000000000001</v>
      </c>
      <c r="T43" s="9"/>
    </row>
    <row r="44" spans="1:21" ht="15.65" customHeight="1" x14ac:dyDescent="0.25">
      <c r="A44" s="44" t="s">
        <v>111</v>
      </c>
      <c r="B44" s="34" t="s">
        <v>56</v>
      </c>
      <c r="C44" s="35"/>
      <c r="D44" s="41">
        <f t="shared" ref="D44:O44" si="26">ROUND(D45*D$30,2)</f>
        <v>125.26</v>
      </c>
      <c r="E44" s="41">
        <f t="shared" si="26"/>
        <v>140.91999999999999</v>
      </c>
      <c r="F44" s="41">
        <f t="shared" si="26"/>
        <v>62.17</v>
      </c>
      <c r="G44" s="41">
        <f t="shared" si="26"/>
        <v>175.12</v>
      </c>
      <c r="H44" s="41">
        <f t="shared" si="26"/>
        <v>118.6</v>
      </c>
      <c r="I44" s="41">
        <f t="shared" si="26"/>
        <v>252.22</v>
      </c>
      <c r="J44" s="41">
        <f t="shared" si="26"/>
        <v>133.13999999999999</v>
      </c>
      <c r="K44" s="41">
        <f t="shared" si="26"/>
        <v>375.32</v>
      </c>
      <c r="L44" s="41">
        <f t="shared" si="26"/>
        <v>138.12</v>
      </c>
      <c r="M44" s="41">
        <f t="shared" si="26"/>
        <v>129.26</v>
      </c>
      <c r="N44" s="41">
        <f t="shared" si="26"/>
        <v>74.040000000000006</v>
      </c>
      <c r="O44" s="41">
        <f t="shared" si="26"/>
        <v>217.24</v>
      </c>
      <c r="P44" s="41">
        <f>SUM(D44:O44)</f>
        <v>1941.41</v>
      </c>
      <c r="Q44" s="60"/>
      <c r="T44" s="9"/>
    </row>
    <row r="45" spans="1:21" ht="15.65" customHeight="1" x14ac:dyDescent="0.25">
      <c r="A45" s="42" t="s">
        <v>53</v>
      </c>
      <c r="B45" s="34" t="s">
        <v>57</v>
      </c>
      <c r="C45" s="35"/>
      <c r="D45" s="45">
        <v>9.1999999999999998E-2</v>
      </c>
      <c r="E45" s="45">
        <v>9.1999999999999998E-2</v>
      </c>
      <c r="F45" s="45">
        <v>9.1999999999999998E-2</v>
      </c>
      <c r="G45" s="45">
        <v>9.1999999999999998E-2</v>
      </c>
      <c r="H45" s="45">
        <v>9.1999999999999998E-2</v>
      </c>
      <c r="I45" s="45">
        <v>9.1999999999999998E-2</v>
      </c>
      <c r="J45" s="45">
        <v>9.1999999999999998E-2</v>
      </c>
      <c r="K45" s="45">
        <v>9.1999999999999998E-2</v>
      </c>
      <c r="L45" s="45">
        <v>9.1999999999999998E-2</v>
      </c>
      <c r="M45" s="45">
        <v>9.1999999999999998E-2</v>
      </c>
      <c r="N45" s="45">
        <v>9.1999999999999998E-2</v>
      </c>
      <c r="O45" s="45">
        <v>9.1999999999999998E-2</v>
      </c>
      <c r="P45" s="55">
        <f>ROUND(IF(P$30=0,0,P44/P$30),3)</f>
        <v>9.1999999999999998E-2</v>
      </c>
      <c r="Q45" s="63">
        <f>O45*0.75</f>
        <v>6.9000000000000006E-2</v>
      </c>
      <c r="R45" s="153">
        <v>6.7500000000000004E-2</v>
      </c>
      <c r="T45" s="9"/>
    </row>
    <row r="46" spans="1:21" s="7" customFormat="1" ht="15.65" customHeight="1" x14ac:dyDescent="0.25">
      <c r="A46" s="18" t="s">
        <v>66</v>
      </c>
      <c r="B46" s="19"/>
      <c r="C46" s="20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60"/>
      <c r="R46" s="153"/>
      <c r="S46" s="59"/>
      <c r="T46" s="9"/>
      <c r="U46" s="59"/>
    </row>
    <row r="47" spans="1:21" ht="15.65" customHeight="1" x14ac:dyDescent="0.25">
      <c r="A47" s="40" t="s">
        <v>67</v>
      </c>
      <c r="B47" s="34" t="s">
        <v>37</v>
      </c>
      <c r="C47" s="35"/>
      <c r="D47" s="41">
        <f>ROUND(D48*D$30,0)</f>
        <v>4765</v>
      </c>
      <c r="E47" s="41">
        <f t="shared" ref="E47:O47" si="27">ROUND(E48*E$30,0)</f>
        <v>5361</v>
      </c>
      <c r="F47" s="41">
        <f t="shared" si="27"/>
        <v>2433</v>
      </c>
      <c r="G47" s="41">
        <f t="shared" si="27"/>
        <v>6853</v>
      </c>
      <c r="H47" s="41">
        <f t="shared" si="27"/>
        <v>4770</v>
      </c>
      <c r="I47" s="41">
        <f t="shared" si="27"/>
        <v>10144</v>
      </c>
      <c r="J47" s="41">
        <f t="shared" si="27"/>
        <v>5355</v>
      </c>
      <c r="K47" s="41">
        <f t="shared" si="27"/>
        <v>15094</v>
      </c>
      <c r="L47" s="41">
        <f t="shared" si="27"/>
        <v>5555</v>
      </c>
      <c r="M47" s="41">
        <f t="shared" si="27"/>
        <v>4918</v>
      </c>
      <c r="N47" s="41">
        <f t="shared" si="27"/>
        <v>2817</v>
      </c>
      <c r="O47" s="41">
        <f t="shared" si="27"/>
        <v>8265</v>
      </c>
      <c r="P47" s="41">
        <f>SUM(D47:O47)</f>
        <v>76330</v>
      </c>
      <c r="Q47" s="60"/>
      <c r="T47" s="9"/>
    </row>
    <row r="48" spans="1:21" ht="15.65" customHeight="1" x14ac:dyDescent="0.25">
      <c r="A48" s="42" t="s">
        <v>53</v>
      </c>
      <c r="B48" s="34" t="s">
        <v>54</v>
      </c>
      <c r="C48" s="35"/>
      <c r="D48" s="45">
        <v>3.5</v>
      </c>
      <c r="E48" s="45">
        <v>3.5</v>
      </c>
      <c r="F48" s="45">
        <v>3.6</v>
      </c>
      <c r="G48" s="45">
        <v>3.6</v>
      </c>
      <c r="H48" s="45">
        <v>3.7</v>
      </c>
      <c r="I48" s="45">
        <v>3.7</v>
      </c>
      <c r="J48" s="45">
        <v>3.7</v>
      </c>
      <c r="K48" s="45">
        <v>3.7</v>
      </c>
      <c r="L48" s="45">
        <v>3.7</v>
      </c>
      <c r="M48" s="45">
        <v>3.5</v>
      </c>
      <c r="N48" s="45">
        <v>3.5</v>
      </c>
      <c r="O48" s="45">
        <v>3.5</v>
      </c>
      <c r="P48" s="55">
        <f>ROUND(IF(P$30=0,0,P47/P$30),3)</f>
        <v>3.617</v>
      </c>
      <c r="Q48" s="63">
        <f>O48*0.75</f>
        <v>2.625</v>
      </c>
      <c r="R48" s="153">
        <v>3</v>
      </c>
      <c r="T48" s="9"/>
    </row>
    <row r="49" spans="1:205" ht="15.65" customHeight="1" x14ac:dyDescent="0.25">
      <c r="A49" s="40" t="s">
        <v>68</v>
      </c>
      <c r="B49" s="34" t="s">
        <v>69</v>
      </c>
      <c r="C49" s="35"/>
      <c r="D49" s="41">
        <f>ROUND(D50*D$30,0)/10000</f>
        <v>9.2582000000000004</v>
      </c>
      <c r="E49" s="41">
        <f t="shared" ref="E49:O49" si="28">ROUND(E50*E$30,0)/10000</f>
        <v>10.415900000000001</v>
      </c>
      <c r="F49" s="41">
        <f t="shared" si="28"/>
        <v>4.5951000000000004</v>
      </c>
      <c r="G49" s="41">
        <f t="shared" si="28"/>
        <v>12.9438</v>
      </c>
      <c r="H49" s="41">
        <f t="shared" si="28"/>
        <v>8.7659000000000002</v>
      </c>
      <c r="I49" s="41">
        <f t="shared" si="28"/>
        <v>19.190899999999999</v>
      </c>
      <c r="J49" s="41">
        <f t="shared" si="28"/>
        <v>10.1304</v>
      </c>
      <c r="K49" s="41">
        <f t="shared" si="28"/>
        <v>28.556899999999999</v>
      </c>
      <c r="L49" s="41">
        <f t="shared" si="28"/>
        <v>10.509499999999999</v>
      </c>
      <c r="M49" s="41">
        <f t="shared" si="28"/>
        <v>9.5542999999999996</v>
      </c>
      <c r="N49" s="41">
        <f t="shared" si="28"/>
        <v>5.4722999999999997</v>
      </c>
      <c r="O49" s="41">
        <f t="shared" si="28"/>
        <v>16.056799999999999</v>
      </c>
      <c r="P49" s="41">
        <f>SUM(D49:O49)</f>
        <v>145.44999999999999</v>
      </c>
      <c r="Q49" s="60"/>
      <c r="T49" s="9"/>
    </row>
    <row r="50" spans="1:205" ht="15.65" customHeight="1" x14ac:dyDescent="0.25">
      <c r="A50" s="42" t="s">
        <v>53</v>
      </c>
      <c r="B50" s="34" t="s">
        <v>70</v>
      </c>
      <c r="C50" s="35"/>
      <c r="D50" s="45">
        <v>68</v>
      </c>
      <c r="E50" s="45">
        <v>68</v>
      </c>
      <c r="F50" s="45">
        <v>68</v>
      </c>
      <c r="G50" s="45">
        <v>68</v>
      </c>
      <c r="H50" s="45">
        <v>68</v>
      </c>
      <c r="I50" s="45">
        <v>70</v>
      </c>
      <c r="J50" s="45">
        <v>70</v>
      </c>
      <c r="K50" s="45">
        <v>70</v>
      </c>
      <c r="L50" s="45">
        <v>70</v>
      </c>
      <c r="M50" s="45">
        <v>68</v>
      </c>
      <c r="N50" s="45">
        <v>68</v>
      </c>
      <c r="O50" s="45">
        <v>68</v>
      </c>
      <c r="P50" s="56">
        <f>ROUND(IF(P$30=0,0,P49/P$30*10000),3)</f>
        <v>68.926000000000002</v>
      </c>
      <c r="Q50" s="63">
        <f>O50*0.75</f>
        <v>51</v>
      </c>
      <c r="R50" s="153">
        <v>56.25</v>
      </c>
      <c r="T50" s="9"/>
    </row>
    <row r="51" spans="1:205" s="8" customFormat="1" ht="15.65" customHeight="1" x14ac:dyDescent="0.25">
      <c r="A51" s="40" t="s">
        <v>71</v>
      </c>
      <c r="B51" s="34" t="s">
        <v>37</v>
      </c>
      <c r="C51" s="35"/>
      <c r="D51" s="41">
        <f>ROUND(D52*D$30,0)</f>
        <v>953</v>
      </c>
      <c r="E51" s="41">
        <f t="shared" ref="E51:O51" si="29">ROUND(E52*E$30,0)</f>
        <v>1072</v>
      </c>
      <c r="F51" s="41">
        <f t="shared" si="29"/>
        <v>473</v>
      </c>
      <c r="G51" s="41">
        <f t="shared" si="29"/>
        <v>1313</v>
      </c>
      <c r="H51" s="41">
        <f t="shared" si="29"/>
        <v>877</v>
      </c>
      <c r="I51" s="41">
        <f t="shared" si="29"/>
        <v>1864</v>
      </c>
      <c r="J51" s="41">
        <f t="shared" si="29"/>
        <v>984</v>
      </c>
      <c r="K51" s="41">
        <f t="shared" si="29"/>
        <v>2774</v>
      </c>
      <c r="L51" s="41">
        <f t="shared" si="29"/>
        <v>1021</v>
      </c>
      <c r="M51" s="41">
        <f t="shared" si="29"/>
        <v>955</v>
      </c>
      <c r="N51" s="41">
        <f t="shared" si="29"/>
        <v>563</v>
      </c>
      <c r="O51" s="41">
        <f t="shared" si="29"/>
        <v>1653</v>
      </c>
      <c r="P51" s="41">
        <f>SUM(D51:O51)</f>
        <v>14502</v>
      </c>
      <c r="Q51" s="60"/>
      <c r="R51" s="153"/>
      <c r="S51" s="13"/>
      <c r="T51" s="9"/>
    </row>
    <row r="52" spans="1:205" ht="15.65" customHeight="1" x14ac:dyDescent="0.25">
      <c r="A52" s="42" t="s">
        <v>53</v>
      </c>
      <c r="B52" s="34" t="s">
        <v>54</v>
      </c>
      <c r="C52" s="35"/>
      <c r="D52" s="45">
        <v>0.7</v>
      </c>
      <c r="E52" s="45">
        <v>0.7</v>
      </c>
      <c r="F52" s="45">
        <v>0.7</v>
      </c>
      <c r="G52" s="45">
        <v>0.69</v>
      </c>
      <c r="H52" s="45">
        <v>0.68</v>
      </c>
      <c r="I52" s="45">
        <v>0.68</v>
      </c>
      <c r="J52" s="45">
        <v>0.68</v>
      </c>
      <c r="K52" s="45">
        <v>0.68</v>
      </c>
      <c r="L52" s="45">
        <v>0.68</v>
      </c>
      <c r="M52" s="45">
        <v>0.68</v>
      </c>
      <c r="N52" s="45">
        <v>0.7</v>
      </c>
      <c r="O52" s="45">
        <v>0.7</v>
      </c>
      <c r="P52" s="55">
        <f>ROUND(IF(P$30=0,0,P51/P$30),3)</f>
        <v>0.68700000000000006</v>
      </c>
      <c r="Q52" s="63">
        <f>O52*0.75</f>
        <v>0.52500000000000002</v>
      </c>
      <c r="R52" s="153">
        <v>0.67500000000000004</v>
      </c>
      <c r="T52" s="9"/>
    </row>
    <row r="53" spans="1:205" ht="15.65" customHeight="1" x14ac:dyDescent="0.25">
      <c r="A53" s="40" t="s">
        <v>72</v>
      </c>
      <c r="B53" s="46" t="s">
        <v>73</v>
      </c>
      <c r="C53" s="35"/>
      <c r="D53" s="41">
        <f t="shared" ref="D53:O53" si="30">ROUND(D54*D$30,0)</f>
        <v>1920</v>
      </c>
      <c r="E53" s="41">
        <f t="shared" si="30"/>
        <v>2160</v>
      </c>
      <c r="F53" s="41">
        <f t="shared" si="30"/>
        <v>953</v>
      </c>
      <c r="G53" s="41">
        <f t="shared" si="30"/>
        <v>2684</v>
      </c>
      <c r="H53" s="41">
        <f t="shared" si="30"/>
        <v>1818</v>
      </c>
      <c r="I53" s="41">
        <f t="shared" si="30"/>
        <v>3866</v>
      </c>
      <c r="J53" s="41">
        <f t="shared" si="30"/>
        <v>2041</v>
      </c>
      <c r="K53" s="41">
        <f t="shared" si="30"/>
        <v>5752</v>
      </c>
      <c r="L53" s="41">
        <f t="shared" si="30"/>
        <v>2117</v>
      </c>
      <c r="M53" s="41">
        <f t="shared" si="30"/>
        <v>1981</v>
      </c>
      <c r="N53" s="41">
        <f t="shared" si="30"/>
        <v>1135</v>
      </c>
      <c r="O53" s="41">
        <f t="shared" si="30"/>
        <v>3329</v>
      </c>
      <c r="P53" s="41">
        <f>SUM(D53:O53)</f>
        <v>29756</v>
      </c>
      <c r="Q53" s="60"/>
      <c r="T53" s="9"/>
    </row>
    <row r="54" spans="1:205" ht="15.65" customHeight="1" x14ac:dyDescent="0.25">
      <c r="A54" s="42" t="s">
        <v>53</v>
      </c>
      <c r="B54" s="34" t="s">
        <v>74</v>
      </c>
      <c r="C54" s="35"/>
      <c r="D54" s="45">
        <v>1.41</v>
      </c>
      <c r="E54" s="45">
        <v>1.41</v>
      </c>
      <c r="F54" s="45">
        <v>1.41</v>
      </c>
      <c r="G54" s="45">
        <v>1.41</v>
      </c>
      <c r="H54" s="45">
        <v>1.41</v>
      </c>
      <c r="I54" s="45">
        <v>1.41</v>
      </c>
      <c r="J54" s="45">
        <v>1.41</v>
      </c>
      <c r="K54" s="45">
        <v>1.41</v>
      </c>
      <c r="L54" s="45">
        <v>1.41</v>
      </c>
      <c r="M54" s="45">
        <v>1.41</v>
      </c>
      <c r="N54" s="45">
        <v>1.41</v>
      </c>
      <c r="O54" s="45">
        <v>1.41</v>
      </c>
      <c r="P54" s="55">
        <f>ROUND(IF(P$30=0,0,P53/P$30),3)</f>
        <v>1.41</v>
      </c>
      <c r="Q54" s="63">
        <f>O54*0.77</f>
        <v>1.0857000000000001</v>
      </c>
      <c r="R54" s="153">
        <v>1.0009999999999999</v>
      </c>
      <c r="T54" s="9"/>
    </row>
    <row r="55" spans="1:205" s="7" customFormat="1" ht="15.65" customHeight="1" x14ac:dyDescent="0.25">
      <c r="A55" s="18" t="s">
        <v>75</v>
      </c>
      <c r="B55" s="19"/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60"/>
      <c r="R55" s="153"/>
      <c r="S55" s="59"/>
      <c r="T55" s="9"/>
      <c r="U55" s="59"/>
    </row>
    <row r="56" spans="1:205" ht="15.65" customHeight="1" x14ac:dyDescent="0.25">
      <c r="A56" s="44" t="s">
        <v>76</v>
      </c>
      <c r="B56" s="34" t="s">
        <v>77</v>
      </c>
      <c r="C56" s="48"/>
      <c r="D56" s="49">
        <f>ROUND(D30*3.2,0)</f>
        <v>4357</v>
      </c>
      <c r="E56" s="49">
        <f t="shared" ref="E56:O56" si="31">ROUND(E30*3.2,0)</f>
        <v>4902</v>
      </c>
      <c r="F56" s="49">
        <f t="shared" si="31"/>
        <v>2162</v>
      </c>
      <c r="G56" s="49">
        <f t="shared" si="31"/>
        <v>6091</v>
      </c>
      <c r="H56" s="49">
        <f t="shared" si="31"/>
        <v>4125</v>
      </c>
      <c r="I56" s="49">
        <f t="shared" si="31"/>
        <v>8773</v>
      </c>
      <c r="J56" s="49">
        <f t="shared" si="31"/>
        <v>4631</v>
      </c>
      <c r="K56" s="49">
        <f t="shared" si="31"/>
        <v>13055</v>
      </c>
      <c r="L56" s="49">
        <f t="shared" si="31"/>
        <v>4804</v>
      </c>
      <c r="M56" s="49">
        <f t="shared" si="31"/>
        <v>4496</v>
      </c>
      <c r="N56" s="49">
        <f t="shared" si="31"/>
        <v>2575</v>
      </c>
      <c r="O56" s="49">
        <f t="shared" si="31"/>
        <v>7556</v>
      </c>
      <c r="P56" s="41">
        <f>SUM(D56:O56)</f>
        <v>67527</v>
      </c>
      <c r="Q56" s="60"/>
      <c r="R56" s="231"/>
      <c r="T56" s="9"/>
    </row>
    <row r="57" spans="1:205" s="9" customFormat="1" ht="15.65" customHeight="1" x14ac:dyDescent="0.25">
      <c r="A57" s="42" t="s">
        <v>78</v>
      </c>
      <c r="B57" s="50" t="s">
        <v>37</v>
      </c>
      <c r="C57" s="35"/>
      <c r="D57" s="51">
        <f>D56*D58/1000000</f>
        <v>15.249499999999999</v>
      </c>
      <c r="E57" s="51">
        <f t="shared" ref="E57:O57" si="32">E56*E58/1000000</f>
        <v>17.157</v>
      </c>
      <c r="F57" s="51">
        <f t="shared" si="32"/>
        <v>7.5670000000000002</v>
      </c>
      <c r="G57" s="51">
        <f t="shared" si="32"/>
        <v>21.3185</v>
      </c>
      <c r="H57" s="51">
        <f t="shared" si="32"/>
        <v>14.4375</v>
      </c>
      <c r="I57" s="51">
        <f t="shared" si="32"/>
        <v>30.705500000000001</v>
      </c>
      <c r="J57" s="51">
        <f t="shared" si="32"/>
        <v>16.208500000000001</v>
      </c>
      <c r="K57" s="51">
        <f t="shared" si="32"/>
        <v>45.692500000000003</v>
      </c>
      <c r="L57" s="51">
        <f t="shared" si="32"/>
        <v>16.814</v>
      </c>
      <c r="M57" s="51">
        <f t="shared" si="32"/>
        <v>15.736000000000001</v>
      </c>
      <c r="N57" s="51">
        <f t="shared" si="32"/>
        <v>9.0124999999999993</v>
      </c>
      <c r="O57" s="51">
        <f t="shared" si="32"/>
        <v>26.446000000000002</v>
      </c>
      <c r="P57" s="51">
        <f t="shared" ref="P57" si="33">P56*P58/1000000</f>
        <v>189.07560000000001</v>
      </c>
      <c r="Q57" s="60"/>
      <c r="R57" s="153"/>
      <c r="S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</row>
    <row r="58" spans="1:205" s="9" customFormat="1" ht="15.65" customHeight="1" x14ac:dyDescent="0.25">
      <c r="A58" s="42" t="s">
        <v>79</v>
      </c>
      <c r="B58" s="50" t="s">
        <v>80</v>
      </c>
      <c r="C58" s="35"/>
      <c r="D58" s="52">
        <v>3500</v>
      </c>
      <c r="E58" s="52">
        <v>3500</v>
      </c>
      <c r="F58" s="52">
        <v>3500</v>
      </c>
      <c r="G58" s="52">
        <v>3500</v>
      </c>
      <c r="H58" s="52">
        <v>3500</v>
      </c>
      <c r="I58" s="52">
        <v>3500</v>
      </c>
      <c r="J58" s="52">
        <v>3500</v>
      </c>
      <c r="K58" s="52">
        <v>3500</v>
      </c>
      <c r="L58" s="52">
        <v>3500</v>
      </c>
      <c r="M58" s="52">
        <v>3500</v>
      </c>
      <c r="N58" s="52">
        <v>3500</v>
      </c>
      <c r="O58" s="52">
        <v>3500</v>
      </c>
      <c r="P58" s="52">
        <f>[3]麦芽糖!P50</f>
        <v>2800</v>
      </c>
      <c r="Q58" s="60"/>
      <c r="R58" s="153"/>
      <c r="S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</row>
    <row r="59" spans="1:205" s="9" customFormat="1" ht="15.65" customHeight="1" x14ac:dyDescent="0.25">
      <c r="A59" s="42" t="s">
        <v>81</v>
      </c>
      <c r="B59" s="50" t="s">
        <v>37</v>
      </c>
      <c r="C59" s="35"/>
      <c r="D59" s="51">
        <f>D56*D60/1000000</f>
        <v>0</v>
      </c>
      <c r="E59" s="51">
        <f t="shared" ref="E59:O59" si="34">E56*E60/1000000</f>
        <v>0</v>
      </c>
      <c r="F59" s="51">
        <f t="shared" si="34"/>
        <v>0</v>
      </c>
      <c r="G59" s="51">
        <f t="shared" si="34"/>
        <v>0</v>
      </c>
      <c r="H59" s="51">
        <f t="shared" si="34"/>
        <v>0</v>
      </c>
      <c r="I59" s="51">
        <f t="shared" si="34"/>
        <v>0</v>
      </c>
      <c r="J59" s="51">
        <f t="shared" si="34"/>
        <v>0</v>
      </c>
      <c r="K59" s="51">
        <f t="shared" si="34"/>
        <v>0</v>
      </c>
      <c r="L59" s="51">
        <f t="shared" si="34"/>
        <v>0</v>
      </c>
      <c r="M59" s="51">
        <f t="shared" si="34"/>
        <v>0</v>
      </c>
      <c r="N59" s="51">
        <f t="shared" si="34"/>
        <v>0</v>
      </c>
      <c r="O59" s="51">
        <f t="shared" si="34"/>
        <v>0</v>
      </c>
      <c r="P59" s="51">
        <f t="shared" ref="P59" si="35">P56*P60/1000000</f>
        <v>0</v>
      </c>
      <c r="Q59" s="60"/>
      <c r="R59" s="153"/>
      <c r="S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</row>
    <row r="60" spans="1:205" s="9" customFormat="1" ht="15.65" customHeight="1" x14ac:dyDescent="0.25">
      <c r="A60" s="42" t="s">
        <v>82</v>
      </c>
      <c r="B60" s="50" t="s">
        <v>80</v>
      </c>
      <c r="C60" s="35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60"/>
      <c r="R60" s="153"/>
      <c r="S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</row>
    <row r="61" spans="1:205" s="9" customFormat="1" ht="15.65" customHeight="1" x14ac:dyDescent="0.25">
      <c r="A61" s="18" t="s">
        <v>83</v>
      </c>
      <c r="B61" s="50"/>
      <c r="C61" s="67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74"/>
      <c r="Q61" s="60"/>
      <c r="R61" s="153"/>
      <c r="S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</row>
    <row r="62" spans="1:205" s="9" customFormat="1" ht="15.65" customHeight="1" x14ac:dyDescent="0.25">
      <c r="A62" s="42" t="s">
        <v>104</v>
      </c>
      <c r="B62" s="17"/>
      <c r="C62" s="35"/>
      <c r="D62" s="51">
        <f>D18</f>
        <v>450</v>
      </c>
      <c r="E62" s="51">
        <f>E18</f>
        <v>676</v>
      </c>
      <c r="F62" s="51">
        <f t="shared" ref="F62:O62" si="36">F18</f>
        <v>645</v>
      </c>
      <c r="G62" s="51">
        <f t="shared" si="36"/>
        <v>966</v>
      </c>
      <c r="H62" s="51">
        <f t="shared" si="36"/>
        <v>1002</v>
      </c>
      <c r="I62" s="51">
        <f t="shared" si="36"/>
        <v>1454</v>
      </c>
      <c r="J62" s="51">
        <f t="shared" si="36"/>
        <v>1520</v>
      </c>
      <c r="K62" s="51">
        <f t="shared" si="36"/>
        <v>2087</v>
      </c>
      <c r="L62" s="51">
        <f t="shared" si="36"/>
        <v>1541</v>
      </c>
      <c r="M62" s="51">
        <f t="shared" si="36"/>
        <v>663</v>
      </c>
      <c r="N62" s="51">
        <f t="shared" si="36"/>
        <v>561</v>
      </c>
      <c r="O62" s="51">
        <f t="shared" si="36"/>
        <v>981</v>
      </c>
      <c r="P62" s="51">
        <f>SUM(D62:O62)</f>
        <v>12546</v>
      </c>
      <c r="Q62" s="60"/>
      <c r="R62" s="153"/>
      <c r="S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</row>
    <row r="63" spans="1:205" s="9" customFormat="1" ht="15.65" customHeight="1" x14ac:dyDescent="0.25">
      <c r="A63" s="69" t="s">
        <v>86</v>
      </c>
      <c r="B63" s="17"/>
      <c r="C63" s="35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1">
        <f>SUM(D63:O63)</f>
        <v>0</v>
      </c>
      <c r="Q63" s="60"/>
      <c r="R63" s="153"/>
      <c r="S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</row>
    <row r="64" spans="1:205" s="9" customFormat="1" ht="15.65" customHeight="1" x14ac:dyDescent="0.25">
      <c r="A64" s="69" t="s">
        <v>87</v>
      </c>
      <c r="B64" s="17"/>
      <c r="C64" s="35"/>
      <c r="D64" s="52">
        <f>D62-D63</f>
        <v>450</v>
      </c>
      <c r="E64" s="52">
        <f>E62-E63</f>
        <v>676</v>
      </c>
      <c r="F64" s="52">
        <f t="shared" ref="F64:O64" si="37">F62-F63</f>
        <v>645</v>
      </c>
      <c r="G64" s="52">
        <f t="shared" si="37"/>
        <v>966</v>
      </c>
      <c r="H64" s="52">
        <f t="shared" si="37"/>
        <v>1002</v>
      </c>
      <c r="I64" s="52">
        <f t="shared" si="37"/>
        <v>1454</v>
      </c>
      <c r="J64" s="52">
        <f t="shared" si="37"/>
        <v>1520</v>
      </c>
      <c r="K64" s="52">
        <f t="shared" si="37"/>
        <v>2087</v>
      </c>
      <c r="L64" s="52">
        <f t="shared" si="37"/>
        <v>1541</v>
      </c>
      <c r="M64" s="52">
        <f t="shared" si="37"/>
        <v>663</v>
      </c>
      <c r="N64" s="52">
        <f t="shared" si="37"/>
        <v>561</v>
      </c>
      <c r="O64" s="52">
        <f t="shared" si="37"/>
        <v>981</v>
      </c>
      <c r="P64" s="51">
        <f>SUM(D64:O64)</f>
        <v>12546</v>
      </c>
      <c r="Q64" s="60"/>
      <c r="R64" s="153"/>
      <c r="S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</row>
    <row r="65" spans="1:205" s="9" customFormat="1" ht="15.65" customHeight="1" x14ac:dyDescent="0.25">
      <c r="A65" s="69" t="s">
        <v>88</v>
      </c>
      <c r="B65" s="17"/>
      <c r="C65" s="35"/>
      <c r="D65" s="51">
        <f>D62-D63-D64</f>
        <v>0</v>
      </c>
      <c r="E65" s="51">
        <f t="shared" ref="E65:O65" si="38">E62-E63-E64</f>
        <v>0</v>
      </c>
      <c r="F65" s="51">
        <f t="shared" si="38"/>
        <v>0</v>
      </c>
      <c r="G65" s="51">
        <f t="shared" si="38"/>
        <v>0</v>
      </c>
      <c r="H65" s="51">
        <f t="shared" si="38"/>
        <v>0</v>
      </c>
      <c r="I65" s="51">
        <f t="shared" si="38"/>
        <v>0</v>
      </c>
      <c r="J65" s="51">
        <f t="shared" si="38"/>
        <v>0</v>
      </c>
      <c r="K65" s="51">
        <f t="shared" si="38"/>
        <v>0</v>
      </c>
      <c r="L65" s="51">
        <f t="shared" si="38"/>
        <v>0</v>
      </c>
      <c r="M65" s="51">
        <f t="shared" si="38"/>
        <v>0</v>
      </c>
      <c r="N65" s="51">
        <f t="shared" si="38"/>
        <v>0</v>
      </c>
      <c r="O65" s="51">
        <f t="shared" si="38"/>
        <v>0</v>
      </c>
      <c r="P65" s="51">
        <f>SUM(D65:O65)</f>
        <v>0</v>
      </c>
      <c r="Q65" s="60"/>
      <c r="R65" s="153"/>
      <c r="S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</row>
    <row r="66" spans="1:205" s="10" customFormat="1" ht="15.65" customHeight="1" x14ac:dyDescent="0.25">
      <c r="A66" s="70" t="s">
        <v>90</v>
      </c>
      <c r="B66" s="71"/>
      <c r="C66" s="72"/>
      <c r="D66" s="71"/>
      <c r="E66" s="71"/>
      <c r="F66" s="71"/>
      <c r="G66" s="71"/>
      <c r="H66" s="240" t="s">
        <v>91</v>
      </c>
      <c r="I66" s="240"/>
      <c r="J66" s="75"/>
      <c r="K66" s="71"/>
      <c r="L66" s="71"/>
      <c r="M66" s="71"/>
      <c r="N66" s="71" t="s">
        <v>92</v>
      </c>
      <c r="O66" s="75"/>
      <c r="P66" s="71"/>
      <c r="R66" s="232"/>
    </row>
    <row r="67" spans="1:205" s="10" customFormat="1" ht="15.65" customHeight="1" x14ac:dyDescent="0.25">
      <c r="A67" s="14" t="s">
        <v>93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76"/>
      <c r="R67" s="232"/>
    </row>
    <row r="68" spans="1:205" s="10" customFormat="1" ht="20.25" customHeight="1" x14ac:dyDescent="0.25">
      <c r="A68" s="1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76"/>
      <c r="R68" s="232"/>
    </row>
    <row r="69" spans="1:205" s="10" customFormat="1" ht="20.25" customHeight="1" x14ac:dyDescent="0.25">
      <c r="A69" s="1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76"/>
      <c r="R69" s="232"/>
    </row>
    <row r="70" spans="1:205" s="10" customFormat="1" ht="20.25" customHeight="1" x14ac:dyDescent="0.25">
      <c r="A70" s="1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76"/>
      <c r="R70" s="232"/>
    </row>
    <row r="71" spans="1:205" s="11" customFormat="1" ht="15.75" customHeight="1" x14ac:dyDescent="0.25">
      <c r="A71" s="12"/>
      <c r="B71" s="13"/>
      <c r="C71" s="13"/>
      <c r="D71" s="13">
        <f>D6/24</f>
        <v>31</v>
      </c>
      <c r="E71" s="13">
        <v>28</v>
      </c>
      <c r="F71" s="13">
        <f t="shared" ref="F71:P71" si="39">F6/24</f>
        <v>31</v>
      </c>
      <c r="G71" s="13">
        <f t="shared" si="39"/>
        <v>30</v>
      </c>
      <c r="H71" s="13">
        <f t="shared" si="39"/>
        <v>31</v>
      </c>
      <c r="I71" s="13">
        <f t="shared" si="39"/>
        <v>30</v>
      </c>
      <c r="J71" s="13">
        <f t="shared" si="39"/>
        <v>31</v>
      </c>
      <c r="K71" s="13">
        <f t="shared" si="39"/>
        <v>31</v>
      </c>
      <c r="L71" s="13">
        <f t="shared" si="39"/>
        <v>30</v>
      </c>
      <c r="M71" s="13">
        <f t="shared" si="39"/>
        <v>31</v>
      </c>
      <c r="N71" s="13">
        <f t="shared" si="39"/>
        <v>30</v>
      </c>
      <c r="O71" s="13">
        <f t="shared" si="39"/>
        <v>31</v>
      </c>
      <c r="P71" s="13">
        <f t="shared" si="39"/>
        <v>365</v>
      </c>
      <c r="R71" s="15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</row>
    <row r="77" spans="1:205" s="11" customFormat="1" ht="15.75" customHeight="1" x14ac:dyDescent="0.25">
      <c r="A77" s="12"/>
      <c r="B77" s="13"/>
      <c r="C77" s="13"/>
      <c r="D77" s="13"/>
      <c r="E77" s="7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R77" s="15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</row>
  </sheetData>
  <mergeCells count="6">
    <mergeCell ref="A1:P1"/>
    <mergeCell ref="D3:P3"/>
    <mergeCell ref="H66:I66"/>
    <mergeCell ref="A3:A4"/>
    <mergeCell ref="B3:B4"/>
    <mergeCell ref="C3:C4"/>
  </mergeCells>
  <phoneticPr fontId="39" type="noConversion"/>
  <pageMargins left="0.55118110236220497" right="0.39370078740157499" top="0.39370078740157499" bottom="0.196850393700787" header="0.511811023622047" footer="0.511811023622047"/>
  <pageSetup paperSize="9" scale="99" orientation="landscape"/>
  <headerFooter alignWithMargins="0"/>
  <rowBreaks count="1" manualBreakCount="1">
    <brk id="30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0"/>
  </sheetPr>
  <dimension ref="A1:U38"/>
  <sheetViews>
    <sheetView topLeftCell="A9" workbookViewId="0">
      <selection activeCell="A2" sqref="A2"/>
    </sheetView>
  </sheetViews>
  <sheetFormatPr defaultColWidth="9" defaultRowHeight="15" x14ac:dyDescent="0.25"/>
  <cols>
    <col min="1" max="1" width="14.5" style="10" customWidth="1"/>
    <col min="2" max="2" width="5.75" style="10" customWidth="1"/>
    <col min="3" max="3" width="6.58203125" style="10" customWidth="1"/>
    <col min="4" max="15" width="8.5" style="10" customWidth="1"/>
    <col min="16" max="16" width="9.58203125" style="10" customWidth="1"/>
    <col min="17" max="17" width="9" style="10"/>
    <col min="18" max="18" width="11.58203125" style="10" customWidth="1"/>
    <col min="19" max="16384" width="9" style="10"/>
  </cols>
  <sheetData>
    <row r="1" spans="1:21" ht="25.5" customHeight="1" x14ac:dyDescent="0.25">
      <c r="A1" s="243" t="s">
        <v>112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21" ht="15" customHeight="1" x14ac:dyDescent="0.25">
      <c r="A2" s="14"/>
      <c r="B2" s="15"/>
      <c r="C2" s="16"/>
      <c r="D2" s="15"/>
      <c r="E2" s="15"/>
      <c r="F2" s="15"/>
      <c r="G2" s="15"/>
      <c r="H2" s="15"/>
      <c r="I2" s="6"/>
      <c r="J2" s="6"/>
      <c r="K2" s="6"/>
      <c r="L2" s="15"/>
      <c r="M2" s="15"/>
      <c r="N2" s="6"/>
      <c r="O2" s="15"/>
      <c r="P2" s="53" t="str">
        <f>果糖!P2</f>
        <v>日  期：2024年9月10日</v>
      </c>
    </row>
    <row r="3" spans="1:21" ht="15" customHeight="1" x14ac:dyDescent="0.25">
      <c r="A3" s="244" t="s">
        <v>113</v>
      </c>
      <c r="B3" s="244" t="s">
        <v>3</v>
      </c>
      <c r="C3" s="244" t="s">
        <v>4</v>
      </c>
      <c r="D3" s="239" t="str">
        <f>果糖!D3</f>
        <v>2025年预算</v>
      </c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</row>
    <row r="4" spans="1:21" ht="15" customHeight="1" x14ac:dyDescent="0.25">
      <c r="A4" s="244"/>
      <c r="B4" s="244"/>
      <c r="C4" s="244"/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</row>
    <row r="5" spans="1:21" s="7" customFormat="1" ht="15.75" customHeight="1" x14ac:dyDescent="0.25">
      <c r="A5" s="18" t="s">
        <v>19</v>
      </c>
      <c r="B5" s="19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1" t="s">
        <v>114</v>
      </c>
      <c r="R5" s="9"/>
      <c r="S5" s="59"/>
      <c r="T5" s="59"/>
      <c r="U5" s="59"/>
    </row>
    <row r="6" spans="1:21" s="7" customFormat="1" ht="15.75" customHeight="1" x14ac:dyDescent="0.25">
      <c r="A6" s="18" t="s">
        <v>115</v>
      </c>
      <c r="B6" s="19"/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11"/>
      <c r="R6" s="9"/>
      <c r="S6" s="59"/>
      <c r="T6" s="59"/>
      <c r="U6" s="59"/>
    </row>
    <row r="7" spans="1:21" s="13" customFormat="1" ht="15.75" customHeight="1" x14ac:dyDescent="0.25">
      <c r="A7" s="22" t="s">
        <v>20</v>
      </c>
      <c r="B7" s="23" t="s">
        <v>21</v>
      </c>
      <c r="C7" s="24"/>
      <c r="D7" s="221">
        <f>果糖!D6</f>
        <v>744</v>
      </c>
      <c r="E7" s="221">
        <f>果糖!E6</f>
        <v>672</v>
      </c>
      <c r="F7" s="221">
        <f>果糖!F6</f>
        <v>744</v>
      </c>
      <c r="G7" s="221">
        <f>果糖!G6</f>
        <v>720</v>
      </c>
      <c r="H7" s="221">
        <f>果糖!H6</f>
        <v>744</v>
      </c>
      <c r="I7" s="221">
        <f>果糖!I6</f>
        <v>720</v>
      </c>
      <c r="J7" s="221">
        <f>果糖!J6</f>
        <v>744</v>
      </c>
      <c r="K7" s="221">
        <f>果糖!K6</f>
        <v>744</v>
      </c>
      <c r="L7" s="221">
        <f>果糖!L6</f>
        <v>720</v>
      </c>
      <c r="M7" s="221">
        <f>果糖!M6</f>
        <v>744</v>
      </c>
      <c r="N7" s="221">
        <f>果糖!N6</f>
        <v>720</v>
      </c>
      <c r="O7" s="221">
        <f>果糖!O6</f>
        <v>744</v>
      </c>
      <c r="P7" s="26">
        <f>SUM(D7:O7)</f>
        <v>8760</v>
      </c>
      <c r="Q7" s="60"/>
      <c r="R7" s="9"/>
    </row>
    <row r="8" spans="1:21" s="13" customFormat="1" ht="15.75" customHeight="1" x14ac:dyDescent="0.25">
      <c r="A8" s="22" t="s">
        <v>22</v>
      </c>
      <c r="B8" s="23" t="s">
        <v>21</v>
      </c>
      <c r="C8" s="24"/>
      <c r="D8" s="26">
        <f>D7-D10</f>
        <v>744</v>
      </c>
      <c r="E8" s="26">
        <f t="shared" ref="E8:O8" si="0">E7-E10</f>
        <v>672</v>
      </c>
      <c r="F8" s="26">
        <f t="shared" si="0"/>
        <v>744</v>
      </c>
      <c r="G8" s="26">
        <f t="shared" si="0"/>
        <v>720</v>
      </c>
      <c r="H8" s="26">
        <f t="shared" si="0"/>
        <v>744</v>
      </c>
      <c r="I8" s="26">
        <f t="shared" si="0"/>
        <v>720</v>
      </c>
      <c r="J8" s="26">
        <f t="shared" si="0"/>
        <v>744</v>
      </c>
      <c r="K8" s="26">
        <f t="shared" si="0"/>
        <v>744</v>
      </c>
      <c r="L8" s="26">
        <f t="shared" si="0"/>
        <v>720</v>
      </c>
      <c r="M8" s="26">
        <f t="shared" si="0"/>
        <v>744</v>
      </c>
      <c r="N8" s="26">
        <f t="shared" si="0"/>
        <v>720</v>
      </c>
      <c r="O8" s="26">
        <f t="shared" si="0"/>
        <v>744</v>
      </c>
      <c r="P8" s="26">
        <f>SUM(D8:O8)</f>
        <v>8760</v>
      </c>
      <c r="Q8" s="60"/>
      <c r="R8" s="9"/>
    </row>
    <row r="9" spans="1:21" s="13" customFormat="1" ht="15.75" customHeight="1" x14ac:dyDescent="0.25">
      <c r="A9" s="22" t="s">
        <v>22</v>
      </c>
      <c r="B9" s="23" t="s">
        <v>23</v>
      </c>
      <c r="C9" s="24"/>
      <c r="D9" s="26">
        <f t="shared" ref="D9:P9" si="1">D8/24</f>
        <v>31</v>
      </c>
      <c r="E9" s="26">
        <f t="shared" si="1"/>
        <v>28</v>
      </c>
      <c r="F9" s="26">
        <f t="shared" si="1"/>
        <v>31</v>
      </c>
      <c r="G9" s="26">
        <f t="shared" si="1"/>
        <v>30</v>
      </c>
      <c r="H9" s="26">
        <f t="shared" si="1"/>
        <v>31</v>
      </c>
      <c r="I9" s="26">
        <f t="shared" si="1"/>
        <v>30</v>
      </c>
      <c r="J9" s="26">
        <f t="shared" si="1"/>
        <v>31</v>
      </c>
      <c r="K9" s="26">
        <f t="shared" si="1"/>
        <v>31</v>
      </c>
      <c r="L9" s="26">
        <f t="shared" si="1"/>
        <v>30</v>
      </c>
      <c r="M9" s="26">
        <f t="shared" si="1"/>
        <v>31</v>
      </c>
      <c r="N9" s="26">
        <f t="shared" si="1"/>
        <v>30</v>
      </c>
      <c r="O9" s="26">
        <f t="shared" si="1"/>
        <v>31</v>
      </c>
      <c r="P9" s="26">
        <f t="shared" si="1"/>
        <v>365</v>
      </c>
      <c r="Q9" s="60"/>
      <c r="R9" s="9"/>
    </row>
    <row r="10" spans="1:21" s="13" customFormat="1" ht="15.75" customHeight="1" x14ac:dyDescent="0.25">
      <c r="A10" s="22" t="s">
        <v>24</v>
      </c>
      <c r="B10" s="23" t="s">
        <v>21</v>
      </c>
      <c r="C10" s="24"/>
      <c r="D10" s="26">
        <f>SUM(D11:D13)</f>
        <v>0</v>
      </c>
      <c r="E10" s="26">
        <f t="shared" ref="E10:O10" si="2">SUM(E11:E13)</f>
        <v>0</v>
      </c>
      <c r="F10" s="26">
        <f t="shared" si="2"/>
        <v>0</v>
      </c>
      <c r="G10" s="26">
        <f t="shared" si="2"/>
        <v>0</v>
      </c>
      <c r="H10" s="26">
        <f t="shared" si="2"/>
        <v>0</v>
      </c>
      <c r="I10" s="26">
        <f t="shared" si="2"/>
        <v>0</v>
      </c>
      <c r="J10" s="26">
        <f t="shared" si="2"/>
        <v>0</v>
      </c>
      <c r="K10" s="26">
        <f t="shared" si="2"/>
        <v>0</v>
      </c>
      <c r="L10" s="26">
        <f t="shared" si="2"/>
        <v>0</v>
      </c>
      <c r="M10" s="26">
        <f t="shared" si="2"/>
        <v>0</v>
      </c>
      <c r="N10" s="26">
        <f t="shared" si="2"/>
        <v>0</v>
      </c>
      <c r="O10" s="26">
        <f t="shared" si="2"/>
        <v>0</v>
      </c>
      <c r="P10" s="26">
        <f>SUM(D10:O10)</f>
        <v>0</v>
      </c>
      <c r="Q10" s="60"/>
      <c r="R10" s="9"/>
    </row>
    <row r="11" spans="1:21" s="13" customFormat="1" ht="15.75" customHeight="1" x14ac:dyDescent="0.25">
      <c r="A11" s="27" t="s">
        <v>25</v>
      </c>
      <c r="B11" s="23" t="s">
        <v>21</v>
      </c>
      <c r="C11" s="24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26"/>
      <c r="Q11" s="60"/>
      <c r="R11" s="9"/>
    </row>
    <row r="12" spans="1:21" s="13" customFormat="1" ht="15.75" customHeight="1" x14ac:dyDescent="0.25">
      <c r="A12" s="27" t="s">
        <v>26</v>
      </c>
      <c r="B12" s="23" t="s">
        <v>21</v>
      </c>
      <c r="C12" s="24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26">
        <f>SUM(D12:O12)</f>
        <v>0</v>
      </c>
      <c r="Q12" s="60"/>
      <c r="R12" s="9"/>
    </row>
    <row r="13" spans="1:21" s="13" customFormat="1" ht="15.75" customHeight="1" x14ac:dyDescent="0.25">
      <c r="A13" s="27" t="s">
        <v>27</v>
      </c>
      <c r="B13" s="23" t="s">
        <v>21</v>
      </c>
      <c r="C13" s="24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26">
        <f>SUM(D13:O13)</f>
        <v>0</v>
      </c>
      <c r="Q13" s="60"/>
      <c r="R13" s="9"/>
    </row>
    <row r="14" spans="1:21" s="13" customFormat="1" ht="15.75" customHeight="1" x14ac:dyDescent="0.25">
      <c r="A14" s="222" t="s">
        <v>116</v>
      </c>
      <c r="B14" s="23"/>
      <c r="C14" s="24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26"/>
      <c r="Q14" s="60"/>
      <c r="R14" s="9"/>
    </row>
    <row r="15" spans="1:21" s="13" customFormat="1" ht="15.75" customHeight="1" x14ac:dyDescent="0.25">
      <c r="A15" s="22" t="s">
        <v>20</v>
      </c>
      <c r="B15" s="23" t="s">
        <v>21</v>
      </c>
      <c r="C15" s="24"/>
      <c r="D15" s="25">
        <f>D7</f>
        <v>744</v>
      </c>
      <c r="E15" s="25">
        <f t="shared" ref="E15:O15" si="3">E7</f>
        <v>672</v>
      </c>
      <c r="F15" s="25">
        <f t="shared" si="3"/>
        <v>744</v>
      </c>
      <c r="G15" s="25">
        <f t="shared" si="3"/>
        <v>720</v>
      </c>
      <c r="H15" s="25">
        <f t="shared" si="3"/>
        <v>744</v>
      </c>
      <c r="I15" s="25">
        <f t="shared" si="3"/>
        <v>720</v>
      </c>
      <c r="J15" s="25">
        <f t="shared" si="3"/>
        <v>744</v>
      </c>
      <c r="K15" s="25">
        <f t="shared" si="3"/>
        <v>744</v>
      </c>
      <c r="L15" s="25">
        <f t="shared" si="3"/>
        <v>720</v>
      </c>
      <c r="M15" s="25">
        <f t="shared" si="3"/>
        <v>744</v>
      </c>
      <c r="N15" s="25">
        <f t="shared" si="3"/>
        <v>720</v>
      </c>
      <c r="O15" s="25">
        <f t="shared" si="3"/>
        <v>744</v>
      </c>
      <c r="P15" s="26">
        <f>SUM(D15:O15)</f>
        <v>8760</v>
      </c>
      <c r="Q15" s="60"/>
      <c r="R15" s="9"/>
    </row>
    <row r="16" spans="1:21" s="13" customFormat="1" ht="15.75" customHeight="1" x14ac:dyDescent="0.25">
      <c r="A16" s="22" t="s">
        <v>22</v>
      </c>
      <c r="B16" s="23" t="s">
        <v>21</v>
      </c>
      <c r="C16" s="24"/>
      <c r="D16" s="26">
        <f>D15-D18</f>
        <v>744</v>
      </c>
      <c r="E16" s="26">
        <f t="shared" ref="E16:O16" si="4">E15-E18</f>
        <v>672</v>
      </c>
      <c r="F16" s="26">
        <f t="shared" si="4"/>
        <v>744</v>
      </c>
      <c r="G16" s="26">
        <f t="shared" si="4"/>
        <v>720</v>
      </c>
      <c r="H16" s="26">
        <f t="shared" si="4"/>
        <v>744</v>
      </c>
      <c r="I16" s="26">
        <f t="shared" si="4"/>
        <v>720</v>
      </c>
      <c r="J16" s="26">
        <f t="shared" si="4"/>
        <v>744</v>
      </c>
      <c r="K16" s="26">
        <f t="shared" si="4"/>
        <v>744</v>
      </c>
      <c r="L16" s="26">
        <f t="shared" si="4"/>
        <v>720</v>
      </c>
      <c r="M16" s="26">
        <f t="shared" si="4"/>
        <v>744</v>
      </c>
      <c r="N16" s="26">
        <f t="shared" si="4"/>
        <v>720</v>
      </c>
      <c r="O16" s="26">
        <f t="shared" si="4"/>
        <v>744</v>
      </c>
      <c r="P16" s="26">
        <f>SUM(D16:O16)</f>
        <v>8760</v>
      </c>
      <c r="Q16" s="60"/>
      <c r="R16" s="9"/>
    </row>
    <row r="17" spans="1:18" s="13" customFormat="1" ht="15.75" customHeight="1" x14ac:dyDescent="0.25">
      <c r="A17" s="22" t="s">
        <v>22</v>
      </c>
      <c r="B17" s="23" t="s">
        <v>23</v>
      </c>
      <c r="C17" s="24"/>
      <c r="D17" s="26">
        <f t="shared" ref="D17:P17" si="5">D16/24</f>
        <v>31</v>
      </c>
      <c r="E17" s="26">
        <f t="shared" si="5"/>
        <v>28</v>
      </c>
      <c r="F17" s="26">
        <f t="shared" si="5"/>
        <v>31</v>
      </c>
      <c r="G17" s="26">
        <f t="shared" si="5"/>
        <v>30</v>
      </c>
      <c r="H17" s="26">
        <f t="shared" si="5"/>
        <v>31</v>
      </c>
      <c r="I17" s="26">
        <f t="shared" si="5"/>
        <v>30</v>
      </c>
      <c r="J17" s="26">
        <f t="shared" si="5"/>
        <v>31</v>
      </c>
      <c r="K17" s="26">
        <f t="shared" si="5"/>
        <v>31</v>
      </c>
      <c r="L17" s="26">
        <f t="shared" si="5"/>
        <v>30</v>
      </c>
      <c r="M17" s="26">
        <f t="shared" si="5"/>
        <v>31</v>
      </c>
      <c r="N17" s="26">
        <f t="shared" si="5"/>
        <v>30</v>
      </c>
      <c r="O17" s="26">
        <f t="shared" si="5"/>
        <v>31</v>
      </c>
      <c r="P17" s="26">
        <f t="shared" si="5"/>
        <v>365</v>
      </c>
      <c r="Q17" s="60"/>
      <c r="R17" s="9"/>
    </row>
    <row r="18" spans="1:18" s="13" customFormat="1" ht="15.75" customHeight="1" x14ac:dyDescent="0.25">
      <c r="A18" s="22" t="s">
        <v>24</v>
      </c>
      <c r="B18" s="23" t="s">
        <v>21</v>
      </c>
      <c r="C18" s="24"/>
      <c r="D18" s="26">
        <f>SUM(D19:D21)</f>
        <v>0</v>
      </c>
      <c r="E18" s="26">
        <f t="shared" ref="E18:O18" si="6">SUM(E19:E21)</f>
        <v>0</v>
      </c>
      <c r="F18" s="26">
        <f t="shared" si="6"/>
        <v>0</v>
      </c>
      <c r="G18" s="26">
        <f t="shared" si="6"/>
        <v>0</v>
      </c>
      <c r="H18" s="26">
        <f t="shared" si="6"/>
        <v>0</v>
      </c>
      <c r="I18" s="26">
        <f t="shared" si="6"/>
        <v>0</v>
      </c>
      <c r="J18" s="26">
        <f t="shared" si="6"/>
        <v>0</v>
      </c>
      <c r="K18" s="26">
        <f t="shared" si="6"/>
        <v>0</v>
      </c>
      <c r="L18" s="26">
        <f t="shared" si="6"/>
        <v>0</v>
      </c>
      <c r="M18" s="26">
        <f t="shared" si="6"/>
        <v>0</v>
      </c>
      <c r="N18" s="26">
        <f t="shared" si="6"/>
        <v>0</v>
      </c>
      <c r="O18" s="26">
        <f t="shared" si="6"/>
        <v>0</v>
      </c>
      <c r="P18" s="26">
        <f>SUM(D18:O18)</f>
        <v>0</v>
      </c>
      <c r="Q18" s="60"/>
      <c r="R18" s="9"/>
    </row>
    <row r="19" spans="1:18" s="13" customFormat="1" ht="15.75" customHeight="1" x14ac:dyDescent="0.25">
      <c r="A19" s="27" t="s">
        <v>25</v>
      </c>
      <c r="B19" s="23" t="s">
        <v>21</v>
      </c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>
        <f>SUM(D19:O19)</f>
        <v>0</v>
      </c>
      <c r="Q19" s="60"/>
      <c r="R19" s="9"/>
    </row>
    <row r="20" spans="1:18" s="13" customFormat="1" ht="15.75" customHeight="1" x14ac:dyDescent="0.25">
      <c r="A20" s="27" t="s">
        <v>26</v>
      </c>
      <c r="B20" s="23" t="s">
        <v>21</v>
      </c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>
        <f>SUM(D20:O20)</f>
        <v>0</v>
      </c>
      <c r="Q20" s="60"/>
      <c r="R20" s="9"/>
    </row>
    <row r="21" spans="1:18" s="13" customFormat="1" ht="15.75" customHeight="1" x14ac:dyDescent="0.25">
      <c r="A21" s="27" t="s">
        <v>27</v>
      </c>
      <c r="B21" s="23" t="s">
        <v>21</v>
      </c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>
        <f>SUM(D21:O21)</f>
        <v>0</v>
      </c>
      <c r="Q21" s="60"/>
      <c r="R21" s="9"/>
    </row>
    <row r="22" spans="1:18" ht="15" customHeight="1" x14ac:dyDescent="0.25">
      <c r="A22" s="18" t="s">
        <v>117</v>
      </c>
      <c r="B22" s="19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R22" s="9"/>
    </row>
    <row r="23" spans="1:18" ht="15" customHeight="1" x14ac:dyDescent="0.25">
      <c r="A23" s="29" t="s">
        <v>118</v>
      </c>
      <c r="B23" s="23" t="s">
        <v>30</v>
      </c>
      <c r="C23" s="24"/>
      <c r="D23" s="223">
        <v>0</v>
      </c>
      <c r="E23" s="223">
        <v>0</v>
      </c>
      <c r="F23" s="223">
        <v>0</v>
      </c>
      <c r="G23" s="223">
        <v>0</v>
      </c>
      <c r="H23" s="223">
        <v>0</v>
      </c>
      <c r="I23" s="223">
        <v>0</v>
      </c>
      <c r="J23" s="223">
        <v>0</v>
      </c>
      <c r="K23" s="223">
        <v>0</v>
      </c>
      <c r="L23" s="223">
        <v>0</v>
      </c>
      <c r="M23" s="223">
        <v>0</v>
      </c>
      <c r="N23" s="223">
        <v>0</v>
      </c>
      <c r="O23" s="223">
        <v>0</v>
      </c>
      <c r="P23" s="223">
        <v>0</v>
      </c>
      <c r="R23" s="9"/>
    </row>
    <row r="24" spans="1:18" ht="15" customHeight="1" x14ac:dyDescent="0.25">
      <c r="A24" s="222" t="s">
        <v>119</v>
      </c>
      <c r="B24" s="23" t="s">
        <v>37</v>
      </c>
      <c r="C24" s="24"/>
      <c r="D24" s="197">
        <f>ROUND((果糖!D59+麦芽糖!D51+污水!D36)*D23,0)</f>
        <v>0</v>
      </c>
      <c r="E24" s="197">
        <f>ROUND((果糖!E59+麦芽糖!E51+污水!E36)*E23,0)</f>
        <v>0</v>
      </c>
      <c r="F24" s="197">
        <f>ROUND((果糖!F59+麦芽糖!F51+污水!F36)*F23,0)</f>
        <v>0</v>
      </c>
      <c r="G24" s="197">
        <f>ROUND((果糖!G59+麦芽糖!G51+污水!G36)*G23,0)</f>
        <v>0</v>
      </c>
      <c r="H24" s="197">
        <f>ROUND((果糖!H59+麦芽糖!H51+污水!H36)*H23,0)</f>
        <v>0</v>
      </c>
      <c r="I24" s="197">
        <f>ROUND((果糖!I59+麦芽糖!I51+污水!I36)*I23,0)</f>
        <v>0</v>
      </c>
      <c r="J24" s="197">
        <f>ROUND((果糖!J59+麦芽糖!J51+污水!J36)*J23,0)</f>
        <v>0</v>
      </c>
      <c r="K24" s="197">
        <f>ROUND((果糖!K59+麦芽糖!K51+污水!K36)*K23,0)</f>
        <v>0</v>
      </c>
      <c r="L24" s="197">
        <f>ROUND((果糖!L59+麦芽糖!L51+污水!L36)*L23,0)</f>
        <v>0</v>
      </c>
      <c r="M24" s="197">
        <f>ROUND((果糖!M59+麦芽糖!M51+污水!M36)*M23,0)</f>
        <v>0</v>
      </c>
      <c r="N24" s="197">
        <f>ROUND((果糖!N59+麦芽糖!N51+污水!N36)*N23,0)</f>
        <v>0</v>
      </c>
      <c r="O24" s="197">
        <f>ROUND((果糖!O59+麦芽糖!O51+污水!O36)*O23,0)</f>
        <v>0</v>
      </c>
      <c r="P24" s="150">
        <f>SUM(D24:O24)</f>
        <v>0</v>
      </c>
      <c r="Q24" s="187"/>
      <c r="R24" s="9"/>
    </row>
    <row r="25" spans="1:18" ht="15" customHeight="1" x14ac:dyDescent="0.25">
      <c r="A25" s="224" t="s">
        <v>120</v>
      </c>
      <c r="B25" s="19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R25" s="9"/>
    </row>
    <row r="26" spans="1:18" ht="15" customHeight="1" x14ac:dyDescent="0.25">
      <c r="A26" s="44" t="s">
        <v>121</v>
      </c>
      <c r="B26" s="34" t="s">
        <v>37</v>
      </c>
      <c r="C26" s="48"/>
      <c r="D26" s="54">
        <f>ROUND(D27*D24,0)</f>
        <v>0</v>
      </c>
      <c r="E26" s="54">
        <f t="shared" ref="E26:O26" si="7">ROUND(E27*E24,0)</f>
        <v>0</v>
      </c>
      <c r="F26" s="54">
        <f t="shared" si="7"/>
        <v>0</v>
      </c>
      <c r="G26" s="54">
        <f t="shared" si="7"/>
        <v>0</v>
      </c>
      <c r="H26" s="54">
        <f t="shared" si="7"/>
        <v>0</v>
      </c>
      <c r="I26" s="54">
        <f t="shared" si="7"/>
        <v>0</v>
      </c>
      <c r="J26" s="54">
        <f t="shared" si="7"/>
        <v>0</v>
      </c>
      <c r="K26" s="54">
        <f t="shared" si="7"/>
        <v>0</v>
      </c>
      <c r="L26" s="54">
        <f t="shared" si="7"/>
        <v>0</v>
      </c>
      <c r="M26" s="54">
        <f t="shared" si="7"/>
        <v>0</v>
      </c>
      <c r="N26" s="54">
        <f t="shared" si="7"/>
        <v>0</v>
      </c>
      <c r="O26" s="54">
        <f t="shared" si="7"/>
        <v>0</v>
      </c>
      <c r="P26" s="221">
        <f>SUM(D26:O26)</f>
        <v>0</v>
      </c>
      <c r="Q26" s="187"/>
      <c r="R26" s="9"/>
    </row>
    <row r="27" spans="1:18" ht="15" customHeight="1" x14ac:dyDescent="0.25">
      <c r="A27" s="44" t="s">
        <v>122</v>
      </c>
      <c r="B27" s="34" t="s">
        <v>54</v>
      </c>
      <c r="C27" s="48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184">
        <f>IF(P24=0,0,ROUND(P26/P24,2))</f>
        <v>0</v>
      </c>
      <c r="R27" s="9"/>
    </row>
    <row r="28" spans="1:18" ht="15" customHeight="1" x14ac:dyDescent="0.25">
      <c r="A28" s="44" t="s">
        <v>68</v>
      </c>
      <c r="B28" s="34" t="s">
        <v>123</v>
      </c>
      <c r="C28" s="225"/>
      <c r="D28" s="184">
        <f>ROUND(D29*D26,0)/10000</f>
        <v>0</v>
      </c>
      <c r="E28" s="184">
        <f t="shared" ref="E28:O28" si="8">ROUND(E29*E26,0)/10000</f>
        <v>0</v>
      </c>
      <c r="F28" s="184">
        <f t="shared" si="8"/>
        <v>0</v>
      </c>
      <c r="G28" s="184">
        <f t="shared" si="8"/>
        <v>0</v>
      </c>
      <c r="H28" s="184">
        <f t="shared" si="8"/>
        <v>0</v>
      </c>
      <c r="I28" s="184">
        <f t="shared" si="8"/>
        <v>0</v>
      </c>
      <c r="J28" s="184">
        <f t="shared" si="8"/>
        <v>0</v>
      </c>
      <c r="K28" s="184">
        <f t="shared" si="8"/>
        <v>0</v>
      </c>
      <c r="L28" s="184">
        <f t="shared" si="8"/>
        <v>0</v>
      </c>
      <c r="M28" s="184">
        <f t="shared" si="8"/>
        <v>0</v>
      </c>
      <c r="N28" s="184">
        <f t="shared" si="8"/>
        <v>0</v>
      </c>
      <c r="O28" s="184">
        <f t="shared" si="8"/>
        <v>0</v>
      </c>
      <c r="P28" s="226">
        <f>SUM(D28:O28)</f>
        <v>0</v>
      </c>
      <c r="Q28" s="187"/>
      <c r="R28" s="9"/>
    </row>
    <row r="29" spans="1:18" ht="15" customHeight="1" x14ac:dyDescent="0.25">
      <c r="A29" s="44" t="s">
        <v>122</v>
      </c>
      <c r="B29" s="34" t="s">
        <v>124</v>
      </c>
      <c r="C29" s="225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173">
        <f>IF(P24=0,0,ROUND(P28/P24*10000,2))</f>
        <v>0</v>
      </c>
      <c r="R29" s="9"/>
    </row>
    <row r="30" spans="1:18" ht="15" customHeight="1" x14ac:dyDescent="0.25">
      <c r="A30" s="44" t="s">
        <v>72</v>
      </c>
      <c r="B30" s="34" t="s">
        <v>77</v>
      </c>
      <c r="C30" s="35"/>
      <c r="D30" s="54">
        <f>ROUND(D31*D24,0)</f>
        <v>0</v>
      </c>
      <c r="E30" s="54">
        <f t="shared" ref="E30:O30" si="9">ROUND(E31*E24,0)</f>
        <v>0</v>
      </c>
      <c r="F30" s="54">
        <f t="shared" si="9"/>
        <v>0</v>
      </c>
      <c r="G30" s="54">
        <f t="shared" si="9"/>
        <v>0</v>
      </c>
      <c r="H30" s="54">
        <f t="shared" si="9"/>
        <v>0</v>
      </c>
      <c r="I30" s="54">
        <f t="shared" si="9"/>
        <v>0</v>
      </c>
      <c r="J30" s="54">
        <f t="shared" si="9"/>
        <v>0</v>
      </c>
      <c r="K30" s="54">
        <f t="shared" si="9"/>
        <v>0</v>
      </c>
      <c r="L30" s="54">
        <f t="shared" si="9"/>
        <v>0</v>
      </c>
      <c r="M30" s="54">
        <f t="shared" si="9"/>
        <v>0</v>
      </c>
      <c r="N30" s="54">
        <f t="shared" si="9"/>
        <v>0</v>
      </c>
      <c r="O30" s="54">
        <f t="shared" si="9"/>
        <v>0</v>
      </c>
      <c r="P30" s="221">
        <f>SUM(D30:O30)</f>
        <v>0</v>
      </c>
      <c r="Q30" s="187"/>
      <c r="R30" s="9"/>
    </row>
    <row r="31" spans="1:18" ht="15" customHeight="1" x14ac:dyDescent="0.25">
      <c r="A31" s="44" t="s">
        <v>122</v>
      </c>
      <c r="B31" s="34" t="s">
        <v>125</v>
      </c>
      <c r="C31" s="35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184">
        <f>IF(P24=0,0,ROUND(P30/P24,2))</f>
        <v>0</v>
      </c>
      <c r="R31" s="9"/>
    </row>
    <row r="32" spans="1:18" ht="24" customHeight="1" x14ac:dyDescent="0.25">
      <c r="A32" s="70" t="s">
        <v>90</v>
      </c>
      <c r="B32" s="71"/>
      <c r="C32" s="72"/>
      <c r="D32" s="71"/>
      <c r="E32" s="71"/>
      <c r="F32" s="71"/>
      <c r="G32" s="71"/>
      <c r="H32" s="240" t="s">
        <v>91</v>
      </c>
      <c r="I32" s="240"/>
      <c r="J32" s="75"/>
      <c r="K32" s="71"/>
      <c r="L32" s="71"/>
      <c r="M32" s="71"/>
      <c r="N32" s="71" t="s">
        <v>92</v>
      </c>
      <c r="O32" s="75"/>
      <c r="P32" s="71"/>
      <c r="R32" s="77"/>
    </row>
    <row r="33" spans="1:16" ht="20.25" customHeight="1" x14ac:dyDescent="0.25">
      <c r="A33" s="14" t="s">
        <v>93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76"/>
    </row>
    <row r="34" spans="1:16" x14ac:dyDescent="0.25"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</row>
    <row r="35" spans="1:16" x14ac:dyDescent="0.25"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</row>
    <row r="36" spans="1:16" x14ac:dyDescent="0.25"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227"/>
    </row>
    <row r="37" spans="1:16" x14ac:dyDescent="0.25"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</row>
    <row r="38" spans="1:16" x14ac:dyDescent="0.25"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</row>
  </sheetData>
  <mergeCells count="6">
    <mergeCell ref="A1:P1"/>
    <mergeCell ref="D3:P3"/>
    <mergeCell ref="H32:I32"/>
    <mergeCell ref="A3:A4"/>
    <mergeCell ref="B3:B4"/>
    <mergeCell ref="C3:C4"/>
  </mergeCells>
  <phoneticPr fontId="39" type="noConversion"/>
  <pageMargins left="0.70866141732283505" right="0.196850393700787" top="0.39370078740157499" bottom="0.196850393700787" header="0.31496062992126" footer="0.31496062992126"/>
  <pageSetup paperSize="9" orientation="landscape"/>
  <ignoredErrors>
    <ignoredError sqref="P30 P17 P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/>
  </sheetPr>
  <dimension ref="A1:XFD64"/>
  <sheetViews>
    <sheetView topLeftCell="A29" workbookViewId="0">
      <selection activeCell="I39" sqref="I39"/>
    </sheetView>
  </sheetViews>
  <sheetFormatPr defaultColWidth="9" defaultRowHeight="15" x14ac:dyDescent="0.25"/>
  <cols>
    <col min="1" max="1" width="17.5" style="10" customWidth="1"/>
    <col min="2" max="2" width="5.75" style="10" customWidth="1"/>
    <col min="3" max="3" width="6.58203125" style="10" customWidth="1"/>
    <col min="4" max="15" width="7.75" style="10" customWidth="1"/>
    <col min="16" max="16" width="9.58203125" style="10" customWidth="1"/>
    <col min="17" max="17" width="8.5" style="10" customWidth="1"/>
    <col min="18" max="18" width="9" style="10"/>
    <col min="19" max="19" width="9.25" style="10" customWidth="1"/>
    <col min="20" max="16384" width="9" style="10"/>
  </cols>
  <sheetData>
    <row r="1" spans="1:16384" ht="30" customHeight="1" x14ac:dyDescent="0.25">
      <c r="A1" s="243" t="s">
        <v>126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243" t="s">
        <v>127</v>
      </c>
      <c r="AH1" s="243"/>
      <c r="AI1" s="243"/>
      <c r="AJ1" s="243"/>
      <c r="AK1" s="243"/>
      <c r="AL1" s="243"/>
      <c r="AM1" s="243"/>
      <c r="AN1" s="243"/>
      <c r="AO1" s="243"/>
      <c r="AP1" s="243"/>
      <c r="AQ1" s="243"/>
      <c r="AR1" s="243"/>
      <c r="AS1" s="243"/>
      <c r="AT1" s="243"/>
      <c r="AU1" s="243"/>
      <c r="AV1" s="243"/>
      <c r="AW1" s="243" t="s">
        <v>127</v>
      </c>
      <c r="AX1" s="243"/>
      <c r="AY1" s="243"/>
      <c r="AZ1" s="243"/>
      <c r="BA1" s="243"/>
      <c r="BB1" s="243"/>
      <c r="BC1" s="243"/>
      <c r="BD1" s="243"/>
      <c r="BE1" s="243"/>
      <c r="BF1" s="243"/>
      <c r="BG1" s="243"/>
      <c r="BH1" s="243"/>
      <c r="BI1" s="243"/>
      <c r="BJ1" s="243"/>
      <c r="BK1" s="243"/>
      <c r="BL1" s="243"/>
      <c r="BM1" s="243" t="s">
        <v>127</v>
      </c>
      <c r="BN1" s="243"/>
      <c r="BO1" s="243"/>
      <c r="BP1" s="243"/>
      <c r="BQ1" s="243"/>
      <c r="BR1" s="243"/>
      <c r="BS1" s="243"/>
      <c r="BT1" s="243"/>
      <c r="BU1" s="243"/>
      <c r="BV1" s="243"/>
      <c r="BW1" s="243"/>
      <c r="BX1" s="243"/>
      <c r="BY1" s="243"/>
      <c r="BZ1" s="243"/>
      <c r="CA1" s="243"/>
      <c r="CB1" s="243"/>
      <c r="CC1" s="243" t="s">
        <v>127</v>
      </c>
      <c r="CD1" s="243"/>
      <c r="CE1" s="243"/>
      <c r="CF1" s="243"/>
      <c r="CG1" s="243"/>
      <c r="CH1" s="243"/>
      <c r="CI1" s="243"/>
      <c r="CJ1" s="243"/>
      <c r="CK1" s="243"/>
      <c r="CL1" s="243"/>
      <c r="CM1" s="243"/>
      <c r="CN1" s="243"/>
      <c r="CO1" s="243"/>
      <c r="CP1" s="243"/>
      <c r="CQ1" s="243"/>
      <c r="CR1" s="243"/>
      <c r="CS1" s="243" t="s">
        <v>127</v>
      </c>
      <c r="CT1" s="243"/>
      <c r="CU1" s="243"/>
      <c r="CV1" s="243"/>
      <c r="CW1" s="243"/>
      <c r="CX1" s="243"/>
      <c r="CY1" s="243"/>
      <c r="CZ1" s="243"/>
      <c r="DA1" s="243"/>
      <c r="DB1" s="243"/>
      <c r="DC1" s="243"/>
      <c r="DD1" s="243"/>
      <c r="DE1" s="243"/>
      <c r="DF1" s="243"/>
      <c r="DG1" s="243"/>
      <c r="DH1" s="243"/>
      <c r="DI1" s="243" t="s">
        <v>127</v>
      </c>
      <c r="DJ1" s="243"/>
      <c r="DK1" s="243"/>
      <c r="DL1" s="243"/>
      <c r="DM1" s="243"/>
      <c r="DN1" s="243"/>
      <c r="DO1" s="243"/>
      <c r="DP1" s="243"/>
      <c r="DQ1" s="243"/>
      <c r="DR1" s="243"/>
      <c r="DS1" s="243"/>
      <c r="DT1" s="243"/>
      <c r="DU1" s="243"/>
      <c r="DV1" s="243"/>
      <c r="DW1" s="243"/>
      <c r="DX1" s="243"/>
      <c r="DY1" s="243" t="s">
        <v>127</v>
      </c>
      <c r="DZ1" s="243"/>
      <c r="EA1" s="243"/>
      <c r="EB1" s="243"/>
      <c r="EC1" s="243"/>
      <c r="ED1" s="243"/>
      <c r="EE1" s="243"/>
      <c r="EF1" s="243"/>
      <c r="EG1" s="243"/>
      <c r="EH1" s="243"/>
      <c r="EI1" s="243"/>
      <c r="EJ1" s="243"/>
      <c r="EK1" s="243"/>
      <c r="EL1" s="243"/>
      <c r="EM1" s="243"/>
      <c r="EN1" s="243"/>
      <c r="EO1" s="243" t="s">
        <v>127</v>
      </c>
      <c r="EP1" s="243"/>
      <c r="EQ1" s="243"/>
      <c r="ER1" s="243"/>
      <c r="ES1" s="243"/>
      <c r="ET1" s="243"/>
      <c r="EU1" s="243"/>
      <c r="EV1" s="243"/>
      <c r="EW1" s="243"/>
      <c r="EX1" s="243"/>
      <c r="EY1" s="243"/>
      <c r="EZ1" s="243"/>
      <c r="FA1" s="243"/>
      <c r="FB1" s="243"/>
      <c r="FC1" s="243"/>
      <c r="FD1" s="243"/>
      <c r="FE1" s="243" t="s">
        <v>127</v>
      </c>
      <c r="FF1" s="243"/>
      <c r="FG1" s="243"/>
      <c r="FH1" s="243"/>
      <c r="FI1" s="243"/>
      <c r="FJ1" s="243"/>
      <c r="FK1" s="243"/>
      <c r="FL1" s="243"/>
      <c r="FM1" s="243"/>
      <c r="FN1" s="243"/>
      <c r="FO1" s="243"/>
      <c r="FP1" s="243"/>
      <c r="FQ1" s="243"/>
      <c r="FR1" s="243"/>
      <c r="FS1" s="243"/>
      <c r="FT1" s="243"/>
      <c r="FU1" s="243" t="s">
        <v>127</v>
      </c>
      <c r="FV1" s="243"/>
      <c r="FW1" s="243"/>
      <c r="FX1" s="243"/>
      <c r="FY1" s="243"/>
      <c r="FZ1" s="243"/>
      <c r="GA1" s="243"/>
      <c r="GB1" s="243"/>
      <c r="GC1" s="243"/>
      <c r="GD1" s="243"/>
      <c r="GE1" s="243"/>
      <c r="GF1" s="243"/>
      <c r="GG1" s="243"/>
      <c r="GH1" s="243"/>
      <c r="GI1" s="243"/>
      <c r="GJ1" s="243"/>
      <c r="GK1" s="243" t="s">
        <v>127</v>
      </c>
      <c r="GL1" s="243"/>
      <c r="GM1" s="243"/>
      <c r="GN1" s="243"/>
      <c r="GO1" s="243"/>
      <c r="GP1" s="243"/>
      <c r="GQ1" s="243"/>
      <c r="GR1" s="243"/>
      <c r="GS1" s="243"/>
      <c r="GT1" s="243"/>
      <c r="GU1" s="243"/>
      <c r="GV1" s="243"/>
      <c r="GW1" s="243"/>
      <c r="GX1" s="243"/>
      <c r="GY1" s="243"/>
      <c r="GZ1" s="243"/>
      <c r="HA1" s="243" t="s">
        <v>127</v>
      </c>
      <c r="HB1" s="243"/>
      <c r="HC1" s="243"/>
      <c r="HD1" s="243"/>
      <c r="HE1" s="243"/>
      <c r="HF1" s="243"/>
      <c r="HG1" s="243"/>
      <c r="HH1" s="243"/>
      <c r="HI1" s="243"/>
      <c r="HJ1" s="243"/>
      <c r="HK1" s="243"/>
      <c r="HL1" s="243"/>
      <c r="HM1" s="243"/>
      <c r="HN1" s="243"/>
      <c r="HO1" s="243"/>
      <c r="HP1" s="243"/>
      <c r="HQ1" s="243" t="s">
        <v>127</v>
      </c>
      <c r="HR1" s="243"/>
      <c r="HS1" s="243"/>
      <c r="HT1" s="243"/>
      <c r="HU1" s="243"/>
      <c r="HV1" s="243"/>
      <c r="HW1" s="243"/>
      <c r="HX1" s="243"/>
      <c r="HY1" s="243"/>
      <c r="HZ1" s="243"/>
      <c r="IA1" s="243"/>
      <c r="IB1" s="243"/>
      <c r="IC1" s="243"/>
      <c r="ID1" s="243"/>
      <c r="IE1" s="243"/>
      <c r="IF1" s="243"/>
      <c r="IG1" s="243" t="s">
        <v>127</v>
      </c>
      <c r="IH1" s="243"/>
      <c r="II1" s="243"/>
      <c r="IJ1" s="243"/>
      <c r="IK1" s="243"/>
      <c r="IL1" s="243"/>
      <c r="IM1" s="243"/>
      <c r="IN1" s="243"/>
      <c r="IO1" s="243"/>
      <c r="IP1" s="243"/>
      <c r="IQ1" s="243"/>
      <c r="IR1" s="243"/>
      <c r="IS1" s="243"/>
      <c r="IT1" s="243"/>
      <c r="IU1" s="243"/>
      <c r="IV1" s="243"/>
      <c r="IW1" s="243" t="s">
        <v>127</v>
      </c>
      <c r="IX1" s="243"/>
      <c r="IY1" s="243"/>
      <c r="IZ1" s="243"/>
      <c r="JA1" s="243"/>
      <c r="JB1" s="243"/>
      <c r="JC1" s="243"/>
      <c r="JD1" s="243"/>
      <c r="JE1" s="243"/>
      <c r="JF1" s="243"/>
      <c r="JG1" s="243"/>
      <c r="JH1" s="243"/>
      <c r="JI1" s="243"/>
      <c r="JJ1" s="243"/>
      <c r="JK1" s="243"/>
      <c r="JL1" s="243"/>
      <c r="JM1" s="243" t="s">
        <v>127</v>
      </c>
      <c r="JN1" s="243"/>
      <c r="JO1" s="243"/>
      <c r="JP1" s="243"/>
      <c r="JQ1" s="243"/>
      <c r="JR1" s="243"/>
      <c r="JS1" s="243"/>
      <c r="JT1" s="243"/>
      <c r="JU1" s="243"/>
      <c r="JV1" s="243"/>
      <c r="JW1" s="243"/>
      <c r="JX1" s="243"/>
      <c r="JY1" s="243"/>
      <c r="JZ1" s="243"/>
      <c r="KA1" s="243"/>
      <c r="KB1" s="243"/>
      <c r="KC1" s="243" t="s">
        <v>127</v>
      </c>
      <c r="KD1" s="243"/>
      <c r="KE1" s="243"/>
      <c r="KF1" s="243"/>
      <c r="KG1" s="243"/>
      <c r="KH1" s="243"/>
      <c r="KI1" s="243"/>
      <c r="KJ1" s="243"/>
      <c r="KK1" s="243"/>
      <c r="KL1" s="243"/>
      <c r="KM1" s="243"/>
      <c r="KN1" s="243"/>
      <c r="KO1" s="243"/>
      <c r="KP1" s="243"/>
      <c r="KQ1" s="243"/>
      <c r="KR1" s="243"/>
      <c r="KS1" s="243" t="s">
        <v>127</v>
      </c>
      <c r="KT1" s="243"/>
      <c r="KU1" s="243"/>
      <c r="KV1" s="243"/>
      <c r="KW1" s="243"/>
      <c r="KX1" s="243"/>
      <c r="KY1" s="243"/>
      <c r="KZ1" s="243"/>
      <c r="LA1" s="243"/>
      <c r="LB1" s="243"/>
      <c r="LC1" s="243"/>
      <c r="LD1" s="243"/>
      <c r="LE1" s="243"/>
      <c r="LF1" s="243"/>
      <c r="LG1" s="243"/>
      <c r="LH1" s="243"/>
      <c r="LI1" s="243" t="s">
        <v>127</v>
      </c>
      <c r="LJ1" s="243"/>
      <c r="LK1" s="243"/>
      <c r="LL1" s="243"/>
      <c r="LM1" s="243"/>
      <c r="LN1" s="243"/>
      <c r="LO1" s="243"/>
      <c r="LP1" s="243"/>
      <c r="LQ1" s="243"/>
      <c r="LR1" s="243"/>
      <c r="LS1" s="243"/>
      <c r="LT1" s="243"/>
      <c r="LU1" s="243"/>
      <c r="LV1" s="243"/>
      <c r="LW1" s="243"/>
      <c r="LX1" s="243"/>
      <c r="LY1" s="243" t="s">
        <v>127</v>
      </c>
      <c r="LZ1" s="243"/>
      <c r="MA1" s="243"/>
      <c r="MB1" s="243"/>
      <c r="MC1" s="243"/>
      <c r="MD1" s="243"/>
      <c r="ME1" s="243"/>
      <c r="MF1" s="243"/>
      <c r="MG1" s="243"/>
      <c r="MH1" s="243"/>
      <c r="MI1" s="243"/>
      <c r="MJ1" s="243"/>
      <c r="MK1" s="243"/>
      <c r="ML1" s="243"/>
      <c r="MM1" s="243"/>
      <c r="MN1" s="243"/>
      <c r="MO1" s="243" t="s">
        <v>127</v>
      </c>
      <c r="MP1" s="243"/>
      <c r="MQ1" s="243"/>
      <c r="MR1" s="243"/>
      <c r="MS1" s="243"/>
      <c r="MT1" s="243"/>
      <c r="MU1" s="243"/>
      <c r="MV1" s="243"/>
      <c r="MW1" s="243"/>
      <c r="MX1" s="243"/>
      <c r="MY1" s="243"/>
      <c r="MZ1" s="243"/>
      <c r="NA1" s="243"/>
      <c r="NB1" s="243"/>
      <c r="NC1" s="243"/>
      <c r="ND1" s="243"/>
      <c r="NE1" s="243" t="s">
        <v>127</v>
      </c>
      <c r="NF1" s="243"/>
      <c r="NG1" s="243"/>
      <c r="NH1" s="243"/>
      <c r="NI1" s="243"/>
      <c r="NJ1" s="243"/>
      <c r="NK1" s="243"/>
      <c r="NL1" s="243"/>
      <c r="NM1" s="243"/>
      <c r="NN1" s="243"/>
      <c r="NO1" s="243"/>
      <c r="NP1" s="243"/>
      <c r="NQ1" s="243"/>
      <c r="NR1" s="243"/>
      <c r="NS1" s="243"/>
      <c r="NT1" s="243"/>
      <c r="NU1" s="243" t="s">
        <v>127</v>
      </c>
      <c r="NV1" s="243"/>
      <c r="NW1" s="243"/>
      <c r="NX1" s="243"/>
      <c r="NY1" s="243"/>
      <c r="NZ1" s="243"/>
      <c r="OA1" s="243"/>
      <c r="OB1" s="243"/>
      <c r="OC1" s="243"/>
      <c r="OD1" s="243"/>
      <c r="OE1" s="243"/>
      <c r="OF1" s="243"/>
      <c r="OG1" s="243"/>
      <c r="OH1" s="243"/>
      <c r="OI1" s="243"/>
      <c r="OJ1" s="243"/>
      <c r="OK1" s="243" t="s">
        <v>127</v>
      </c>
      <c r="OL1" s="243"/>
      <c r="OM1" s="243"/>
      <c r="ON1" s="243"/>
      <c r="OO1" s="243"/>
      <c r="OP1" s="243"/>
      <c r="OQ1" s="243"/>
      <c r="OR1" s="243"/>
      <c r="OS1" s="243"/>
      <c r="OT1" s="243"/>
      <c r="OU1" s="243"/>
      <c r="OV1" s="243"/>
      <c r="OW1" s="243"/>
      <c r="OX1" s="243"/>
      <c r="OY1" s="243"/>
      <c r="OZ1" s="243"/>
      <c r="PA1" s="243" t="s">
        <v>127</v>
      </c>
      <c r="PB1" s="243"/>
      <c r="PC1" s="243"/>
      <c r="PD1" s="243"/>
      <c r="PE1" s="243"/>
      <c r="PF1" s="243"/>
      <c r="PG1" s="243"/>
      <c r="PH1" s="243"/>
      <c r="PI1" s="243"/>
      <c r="PJ1" s="243"/>
      <c r="PK1" s="243"/>
      <c r="PL1" s="243"/>
      <c r="PM1" s="243"/>
      <c r="PN1" s="243"/>
      <c r="PO1" s="243"/>
      <c r="PP1" s="243"/>
      <c r="PQ1" s="243" t="s">
        <v>127</v>
      </c>
      <c r="PR1" s="243"/>
      <c r="PS1" s="243"/>
      <c r="PT1" s="243"/>
      <c r="PU1" s="243"/>
      <c r="PV1" s="243"/>
      <c r="PW1" s="243"/>
      <c r="PX1" s="243"/>
      <c r="PY1" s="243"/>
      <c r="PZ1" s="243"/>
      <c r="QA1" s="243"/>
      <c r="QB1" s="243"/>
      <c r="QC1" s="243"/>
      <c r="QD1" s="243"/>
      <c r="QE1" s="243"/>
      <c r="QF1" s="243"/>
      <c r="QG1" s="243" t="s">
        <v>127</v>
      </c>
      <c r="QH1" s="243"/>
      <c r="QI1" s="243"/>
      <c r="QJ1" s="243"/>
      <c r="QK1" s="243"/>
      <c r="QL1" s="243"/>
      <c r="QM1" s="243"/>
      <c r="QN1" s="243"/>
      <c r="QO1" s="243"/>
      <c r="QP1" s="243"/>
      <c r="QQ1" s="243"/>
      <c r="QR1" s="243"/>
      <c r="QS1" s="243"/>
      <c r="QT1" s="243"/>
      <c r="QU1" s="243"/>
      <c r="QV1" s="243"/>
      <c r="QW1" s="243" t="s">
        <v>127</v>
      </c>
      <c r="QX1" s="243"/>
      <c r="QY1" s="243"/>
      <c r="QZ1" s="243"/>
      <c r="RA1" s="243"/>
      <c r="RB1" s="243"/>
      <c r="RC1" s="243"/>
      <c r="RD1" s="243"/>
      <c r="RE1" s="243"/>
      <c r="RF1" s="243"/>
      <c r="RG1" s="243"/>
      <c r="RH1" s="243"/>
      <c r="RI1" s="243"/>
      <c r="RJ1" s="243"/>
      <c r="RK1" s="243"/>
      <c r="RL1" s="243"/>
      <c r="RM1" s="243" t="s">
        <v>127</v>
      </c>
      <c r="RN1" s="243"/>
      <c r="RO1" s="243"/>
      <c r="RP1" s="243"/>
      <c r="RQ1" s="243"/>
      <c r="RR1" s="243"/>
      <c r="RS1" s="243"/>
      <c r="RT1" s="243"/>
      <c r="RU1" s="243"/>
      <c r="RV1" s="243"/>
      <c r="RW1" s="243"/>
      <c r="RX1" s="243"/>
      <c r="RY1" s="243"/>
      <c r="RZ1" s="243"/>
      <c r="SA1" s="243"/>
      <c r="SB1" s="243"/>
      <c r="SC1" s="243" t="s">
        <v>127</v>
      </c>
      <c r="SD1" s="243"/>
      <c r="SE1" s="243"/>
      <c r="SF1" s="243"/>
      <c r="SG1" s="243"/>
      <c r="SH1" s="243"/>
      <c r="SI1" s="243"/>
      <c r="SJ1" s="243"/>
      <c r="SK1" s="243"/>
      <c r="SL1" s="243"/>
      <c r="SM1" s="243"/>
      <c r="SN1" s="243"/>
      <c r="SO1" s="243"/>
      <c r="SP1" s="243"/>
      <c r="SQ1" s="243"/>
      <c r="SR1" s="243"/>
      <c r="SS1" s="243" t="s">
        <v>127</v>
      </c>
      <c r="ST1" s="243"/>
      <c r="SU1" s="243"/>
      <c r="SV1" s="243"/>
      <c r="SW1" s="243"/>
      <c r="SX1" s="243"/>
      <c r="SY1" s="243"/>
      <c r="SZ1" s="243"/>
      <c r="TA1" s="243"/>
      <c r="TB1" s="243"/>
      <c r="TC1" s="243"/>
      <c r="TD1" s="243"/>
      <c r="TE1" s="243"/>
      <c r="TF1" s="243"/>
      <c r="TG1" s="243"/>
      <c r="TH1" s="243"/>
      <c r="TI1" s="243" t="s">
        <v>127</v>
      </c>
      <c r="TJ1" s="243"/>
      <c r="TK1" s="243"/>
      <c r="TL1" s="243"/>
      <c r="TM1" s="243"/>
      <c r="TN1" s="243"/>
      <c r="TO1" s="243"/>
      <c r="TP1" s="243"/>
      <c r="TQ1" s="243"/>
      <c r="TR1" s="243"/>
      <c r="TS1" s="243"/>
      <c r="TT1" s="243"/>
      <c r="TU1" s="243"/>
      <c r="TV1" s="243"/>
      <c r="TW1" s="243"/>
      <c r="TX1" s="243"/>
      <c r="TY1" s="243" t="s">
        <v>127</v>
      </c>
      <c r="TZ1" s="243"/>
      <c r="UA1" s="243"/>
      <c r="UB1" s="243"/>
      <c r="UC1" s="243"/>
      <c r="UD1" s="243"/>
      <c r="UE1" s="243"/>
      <c r="UF1" s="243"/>
      <c r="UG1" s="243"/>
      <c r="UH1" s="243"/>
      <c r="UI1" s="243"/>
      <c r="UJ1" s="243"/>
      <c r="UK1" s="243"/>
      <c r="UL1" s="243"/>
      <c r="UM1" s="243"/>
      <c r="UN1" s="243"/>
      <c r="UO1" s="243" t="s">
        <v>127</v>
      </c>
      <c r="UP1" s="243"/>
      <c r="UQ1" s="243"/>
      <c r="UR1" s="243"/>
      <c r="US1" s="243"/>
      <c r="UT1" s="243"/>
      <c r="UU1" s="243"/>
      <c r="UV1" s="243"/>
      <c r="UW1" s="243"/>
      <c r="UX1" s="243"/>
      <c r="UY1" s="243"/>
      <c r="UZ1" s="243"/>
      <c r="VA1" s="243"/>
      <c r="VB1" s="243"/>
      <c r="VC1" s="243"/>
      <c r="VD1" s="243"/>
      <c r="VE1" s="243" t="s">
        <v>127</v>
      </c>
      <c r="VF1" s="243"/>
      <c r="VG1" s="243"/>
      <c r="VH1" s="243"/>
      <c r="VI1" s="243"/>
      <c r="VJ1" s="243"/>
      <c r="VK1" s="243"/>
      <c r="VL1" s="243"/>
      <c r="VM1" s="243"/>
      <c r="VN1" s="243"/>
      <c r="VO1" s="243"/>
      <c r="VP1" s="243"/>
      <c r="VQ1" s="243"/>
      <c r="VR1" s="243"/>
      <c r="VS1" s="243"/>
      <c r="VT1" s="243"/>
      <c r="VU1" s="243" t="s">
        <v>127</v>
      </c>
      <c r="VV1" s="243"/>
      <c r="VW1" s="243"/>
      <c r="VX1" s="243"/>
      <c r="VY1" s="243"/>
      <c r="VZ1" s="243"/>
      <c r="WA1" s="243"/>
      <c r="WB1" s="243"/>
      <c r="WC1" s="243"/>
      <c r="WD1" s="243"/>
      <c r="WE1" s="243"/>
      <c r="WF1" s="243"/>
      <c r="WG1" s="243"/>
      <c r="WH1" s="243"/>
      <c r="WI1" s="243"/>
      <c r="WJ1" s="243"/>
      <c r="WK1" s="243" t="s">
        <v>127</v>
      </c>
      <c r="WL1" s="243"/>
      <c r="WM1" s="243"/>
      <c r="WN1" s="243"/>
      <c r="WO1" s="243"/>
      <c r="WP1" s="243"/>
      <c r="WQ1" s="243"/>
      <c r="WR1" s="243"/>
      <c r="WS1" s="243"/>
      <c r="WT1" s="243"/>
      <c r="WU1" s="243"/>
      <c r="WV1" s="243"/>
      <c r="WW1" s="243"/>
      <c r="WX1" s="243"/>
      <c r="WY1" s="243"/>
      <c r="WZ1" s="243"/>
      <c r="XA1" s="243" t="s">
        <v>127</v>
      </c>
      <c r="XB1" s="243"/>
      <c r="XC1" s="243"/>
      <c r="XD1" s="243"/>
      <c r="XE1" s="243"/>
      <c r="XF1" s="243"/>
      <c r="XG1" s="243"/>
      <c r="XH1" s="243"/>
      <c r="XI1" s="243"/>
      <c r="XJ1" s="243"/>
      <c r="XK1" s="243"/>
      <c r="XL1" s="243"/>
      <c r="XM1" s="243"/>
      <c r="XN1" s="243"/>
      <c r="XO1" s="243"/>
      <c r="XP1" s="243"/>
      <c r="XQ1" s="243" t="s">
        <v>127</v>
      </c>
      <c r="XR1" s="243"/>
      <c r="XS1" s="243"/>
      <c r="XT1" s="243"/>
      <c r="XU1" s="243"/>
      <c r="XV1" s="243"/>
      <c r="XW1" s="243"/>
      <c r="XX1" s="243"/>
      <c r="XY1" s="243"/>
      <c r="XZ1" s="243"/>
      <c r="YA1" s="243"/>
      <c r="YB1" s="243"/>
      <c r="YC1" s="243"/>
      <c r="YD1" s="243"/>
      <c r="YE1" s="243"/>
      <c r="YF1" s="243"/>
      <c r="YG1" s="243" t="s">
        <v>127</v>
      </c>
      <c r="YH1" s="243"/>
      <c r="YI1" s="243"/>
      <c r="YJ1" s="243"/>
      <c r="YK1" s="243"/>
      <c r="YL1" s="243"/>
      <c r="YM1" s="243"/>
      <c r="YN1" s="243"/>
      <c r="YO1" s="243"/>
      <c r="YP1" s="243"/>
      <c r="YQ1" s="243"/>
      <c r="YR1" s="243"/>
      <c r="YS1" s="243"/>
      <c r="YT1" s="243"/>
      <c r="YU1" s="243"/>
      <c r="YV1" s="243"/>
      <c r="YW1" s="243" t="s">
        <v>127</v>
      </c>
      <c r="YX1" s="243"/>
      <c r="YY1" s="243"/>
      <c r="YZ1" s="243"/>
      <c r="ZA1" s="243"/>
      <c r="ZB1" s="243"/>
      <c r="ZC1" s="243"/>
      <c r="ZD1" s="243"/>
      <c r="ZE1" s="243"/>
      <c r="ZF1" s="243"/>
      <c r="ZG1" s="243"/>
      <c r="ZH1" s="243"/>
      <c r="ZI1" s="243"/>
      <c r="ZJ1" s="243"/>
      <c r="ZK1" s="243"/>
      <c r="ZL1" s="243"/>
      <c r="ZM1" s="243" t="s">
        <v>127</v>
      </c>
      <c r="ZN1" s="243"/>
      <c r="ZO1" s="243"/>
      <c r="ZP1" s="243"/>
      <c r="ZQ1" s="243"/>
      <c r="ZR1" s="243"/>
      <c r="ZS1" s="243"/>
      <c r="ZT1" s="243"/>
      <c r="ZU1" s="243"/>
      <c r="ZV1" s="243"/>
      <c r="ZW1" s="243"/>
      <c r="ZX1" s="243"/>
      <c r="ZY1" s="243"/>
      <c r="ZZ1" s="243"/>
      <c r="AAA1" s="243"/>
      <c r="AAB1" s="243"/>
      <c r="AAC1" s="243" t="s">
        <v>127</v>
      </c>
      <c r="AAD1" s="243"/>
      <c r="AAE1" s="243"/>
      <c r="AAF1" s="243"/>
      <c r="AAG1" s="243"/>
      <c r="AAH1" s="243"/>
      <c r="AAI1" s="243"/>
      <c r="AAJ1" s="243"/>
      <c r="AAK1" s="243"/>
      <c r="AAL1" s="243"/>
      <c r="AAM1" s="243"/>
      <c r="AAN1" s="243"/>
      <c r="AAO1" s="243"/>
      <c r="AAP1" s="243"/>
      <c r="AAQ1" s="243"/>
      <c r="AAR1" s="243"/>
      <c r="AAS1" s="243" t="s">
        <v>127</v>
      </c>
      <c r="AAT1" s="243"/>
      <c r="AAU1" s="243"/>
      <c r="AAV1" s="243"/>
      <c r="AAW1" s="243"/>
      <c r="AAX1" s="243"/>
      <c r="AAY1" s="243"/>
      <c r="AAZ1" s="243"/>
      <c r="ABA1" s="243"/>
      <c r="ABB1" s="243"/>
      <c r="ABC1" s="243"/>
      <c r="ABD1" s="243"/>
      <c r="ABE1" s="243"/>
      <c r="ABF1" s="243"/>
      <c r="ABG1" s="243"/>
      <c r="ABH1" s="243"/>
      <c r="ABI1" s="243" t="s">
        <v>127</v>
      </c>
      <c r="ABJ1" s="243"/>
      <c r="ABK1" s="243"/>
      <c r="ABL1" s="243"/>
      <c r="ABM1" s="243"/>
      <c r="ABN1" s="243"/>
      <c r="ABO1" s="243"/>
      <c r="ABP1" s="243"/>
      <c r="ABQ1" s="243"/>
      <c r="ABR1" s="243"/>
      <c r="ABS1" s="243"/>
      <c r="ABT1" s="243"/>
      <c r="ABU1" s="243"/>
      <c r="ABV1" s="243"/>
      <c r="ABW1" s="243"/>
      <c r="ABX1" s="243"/>
      <c r="ABY1" s="243" t="s">
        <v>127</v>
      </c>
      <c r="ABZ1" s="243"/>
      <c r="ACA1" s="243"/>
      <c r="ACB1" s="243"/>
      <c r="ACC1" s="243"/>
      <c r="ACD1" s="243"/>
      <c r="ACE1" s="243"/>
      <c r="ACF1" s="243"/>
      <c r="ACG1" s="243"/>
      <c r="ACH1" s="243"/>
      <c r="ACI1" s="243"/>
      <c r="ACJ1" s="243"/>
      <c r="ACK1" s="243"/>
      <c r="ACL1" s="243"/>
      <c r="ACM1" s="243"/>
      <c r="ACN1" s="243"/>
      <c r="ACO1" s="243" t="s">
        <v>127</v>
      </c>
      <c r="ACP1" s="243"/>
      <c r="ACQ1" s="243"/>
      <c r="ACR1" s="243"/>
      <c r="ACS1" s="243"/>
      <c r="ACT1" s="243"/>
      <c r="ACU1" s="243"/>
      <c r="ACV1" s="243"/>
      <c r="ACW1" s="243"/>
      <c r="ACX1" s="243"/>
      <c r="ACY1" s="243"/>
      <c r="ACZ1" s="243"/>
      <c r="ADA1" s="243"/>
      <c r="ADB1" s="243"/>
      <c r="ADC1" s="243"/>
      <c r="ADD1" s="243"/>
      <c r="ADE1" s="243" t="s">
        <v>127</v>
      </c>
      <c r="ADF1" s="243"/>
      <c r="ADG1" s="243"/>
      <c r="ADH1" s="243"/>
      <c r="ADI1" s="243"/>
      <c r="ADJ1" s="243"/>
      <c r="ADK1" s="243"/>
      <c r="ADL1" s="243"/>
      <c r="ADM1" s="243"/>
      <c r="ADN1" s="243"/>
      <c r="ADO1" s="243"/>
      <c r="ADP1" s="243"/>
      <c r="ADQ1" s="243"/>
      <c r="ADR1" s="243"/>
      <c r="ADS1" s="243"/>
      <c r="ADT1" s="243"/>
      <c r="ADU1" s="243" t="s">
        <v>127</v>
      </c>
      <c r="ADV1" s="243"/>
      <c r="ADW1" s="243"/>
      <c r="ADX1" s="243"/>
      <c r="ADY1" s="243"/>
      <c r="ADZ1" s="243"/>
      <c r="AEA1" s="243"/>
      <c r="AEB1" s="243"/>
      <c r="AEC1" s="243"/>
      <c r="AED1" s="243"/>
      <c r="AEE1" s="243"/>
      <c r="AEF1" s="243"/>
      <c r="AEG1" s="243"/>
      <c r="AEH1" s="243"/>
      <c r="AEI1" s="243"/>
      <c r="AEJ1" s="243"/>
      <c r="AEK1" s="243" t="s">
        <v>127</v>
      </c>
      <c r="AEL1" s="243"/>
      <c r="AEM1" s="243"/>
      <c r="AEN1" s="243"/>
      <c r="AEO1" s="243"/>
      <c r="AEP1" s="243"/>
      <c r="AEQ1" s="243"/>
      <c r="AER1" s="243"/>
      <c r="AES1" s="243"/>
      <c r="AET1" s="243"/>
      <c r="AEU1" s="243"/>
      <c r="AEV1" s="243"/>
      <c r="AEW1" s="243"/>
      <c r="AEX1" s="243"/>
      <c r="AEY1" s="243"/>
      <c r="AEZ1" s="243"/>
      <c r="AFA1" s="243" t="s">
        <v>127</v>
      </c>
      <c r="AFB1" s="243"/>
      <c r="AFC1" s="243"/>
      <c r="AFD1" s="243"/>
      <c r="AFE1" s="243"/>
      <c r="AFF1" s="243"/>
      <c r="AFG1" s="243"/>
      <c r="AFH1" s="243"/>
      <c r="AFI1" s="243"/>
      <c r="AFJ1" s="243"/>
      <c r="AFK1" s="243"/>
      <c r="AFL1" s="243"/>
      <c r="AFM1" s="243"/>
      <c r="AFN1" s="243"/>
      <c r="AFO1" s="243"/>
      <c r="AFP1" s="243"/>
      <c r="AFQ1" s="243" t="s">
        <v>127</v>
      </c>
      <c r="AFR1" s="243"/>
      <c r="AFS1" s="243"/>
      <c r="AFT1" s="243"/>
      <c r="AFU1" s="243"/>
      <c r="AFV1" s="243"/>
      <c r="AFW1" s="243"/>
      <c r="AFX1" s="243"/>
      <c r="AFY1" s="243"/>
      <c r="AFZ1" s="243"/>
      <c r="AGA1" s="243"/>
      <c r="AGB1" s="243"/>
      <c r="AGC1" s="243"/>
      <c r="AGD1" s="243"/>
      <c r="AGE1" s="243"/>
      <c r="AGF1" s="243"/>
      <c r="AGG1" s="243" t="s">
        <v>127</v>
      </c>
      <c r="AGH1" s="243"/>
      <c r="AGI1" s="243"/>
      <c r="AGJ1" s="243"/>
      <c r="AGK1" s="243"/>
      <c r="AGL1" s="243"/>
      <c r="AGM1" s="243"/>
      <c r="AGN1" s="243"/>
      <c r="AGO1" s="243"/>
      <c r="AGP1" s="243"/>
      <c r="AGQ1" s="243"/>
      <c r="AGR1" s="243"/>
      <c r="AGS1" s="243"/>
      <c r="AGT1" s="243"/>
      <c r="AGU1" s="243"/>
      <c r="AGV1" s="243"/>
      <c r="AGW1" s="243" t="s">
        <v>127</v>
      </c>
      <c r="AGX1" s="243"/>
      <c r="AGY1" s="243"/>
      <c r="AGZ1" s="243"/>
      <c r="AHA1" s="243"/>
      <c r="AHB1" s="243"/>
      <c r="AHC1" s="243"/>
      <c r="AHD1" s="243"/>
      <c r="AHE1" s="243"/>
      <c r="AHF1" s="243"/>
      <c r="AHG1" s="243"/>
      <c r="AHH1" s="243"/>
      <c r="AHI1" s="243"/>
      <c r="AHJ1" s="243"/>
      <c r="AHK1" s="243"/>
      <c r="AHL1" s="243"/>
      <c r="AHM1" s="243" t="s">
        <v>127</v>
      </c>
      <c r="AHN1" s="243"/>
      <c r="AHO1" s="243"/>
      <c r="AHP1" s="243"/>
      <c r="AHQ1" s="243"/>
      <c r="AHR1" s="243"/>
      <c r="AHS1" s="243"/>
      <c r="AHT1" s="243"/>
      <c r="AHU1" s="243"/>
      <c r="AHV1" s="243"/>
      <c r="AHW1" s="243"/>
      <c r="AHX1" s="243"/>
      <c r="AHY1" s="243"/>
      <c r="AHZ1" s="243"/>
      <c r="AIA1" s="243"/>
      <c r="AIB1" s="243"/>
      <c r="AIC1" s="243" t="s">
        <v>127</v>
      </c>
      <c r="AID1" s="243"/>
      <c r="AIE1" s="243"/>
      <c r="AIF1" s="243"/>
      <c r="AIG1" s="243"/>
      <c r="AIH1" s="243"/>
      <c r="AII1" s="243"/>
      <c r="AIJ1" s="243"/>
      <c r="AIK1" s="243"/>
      <c r="AIL1" s="243"/>
      <c r="AIM1" s="243"/>
      <c r="AIN1" s="243"/>
      <c r="AIO1" s="243"/>
      <c r="AIP1" s="243"/>
      <c r="AIQ1" s="243"/>
      <c r="AIR1" s="243"/>
      <c r="AIS1" s="243" t="s">
        <v>127</v>
      </c>
      <c r="AIT1" s="243"/>
      <c r="AIU1" s="243"/>
      <c r="AIV1" s="243"/>
      <c r="AIW1" s="243"/>
      <c r="AIX1" s="243"/>
      <c r="AIY1" s="243"/>
      <c r="AIZ1" s="243"/>
      <c r="AJA1" s="243"/>
      <c r="AJB1" s="243"/>
      <c r="AJC1" s="243"/>
      <c r="AJD1" s="243"/>
      <c r="AJE1" s="243"/>
      <c r="AJF1" s="243"/>
      <c r="AJG1" s="243"/>
      <c r="AJH1" s="243"/>
      <c r="AJI1" s="243" t="s">
        <v>127</v>
      </c>
      <c r="AJJ1" s="243"/>
      <c r="AJK1" s="243"/>
      <c r="AJL1" s="243"/>
      <c r="AJM1" s="243"/>
      <c r="AJN1" s="243"/>
      <c r="AJO1" s="243"/>
      <c r="AJP1" s="243"/>
      <c r="AJQ1" s="243"/>
      <c r="AJR1" s="243"/>
      <c r="AJS1" s="243"/>
      <c r="AJT1" s="243"/>
      <c r="AJU1" s="243"/>
      <c r="AJV1" s="243"/>
      <c r="AJW1" s="243"/>
      <c r="AJX1" s="243"/>
      <c r="AJY1" s="243" t="s">
        <v>127</v>
      </c>
      <c r="AJZ1" s="243"/>
      <c r="AKA1" s="243"/>
      <c r="AKB1" s="243"/>
      <c r="AKC1" s="243"/>
      <c r="AKD1" s="243"/>
      <c r="AKE1" s="243"/>
      <c r="AKF1" s="243"/>
      <c r="AKG1" s="243"/>
      <c r="AKH1" s="243"/>
      <c r="AKI1" s="243"/>
      <c r="AKJ1" s="243"/>
      <c r="AKK1" s="243"/>
      <c r="AKL1" s="243"/>
      <c r="AKM1" s="243"/>
      <c r="AKN1" s="243"/>
      <c r="AKO1" s="243" t="s">
        <v>127</v>
      </c>
      <c r="AKP1" s="243"/>
      <c r="AKQ1" s="243"/>
      <c r="AKR1" s="243"/>
      <c r="AKS1" s="243"/>
      <c r="AKT1" s="243"/>
      <c r="AKU1" s="243"/>
      <c r="AKV1" s="243"/>
      <c r="AKW1" s="243"/>
      <c r="AKX1" s="243"/>
      <c r="AKY1" s="243"/>
      <c r="AKZ1" s="243"/>
      <c r="ALA1" s="243"/>
      <c r="ALB1" s="243"/>
      <c r="ALC1" s="243"/>
      <c r="ALD1" s="243"/>
      <c r="ALE1" s="243" t="s">
        <v>127</v>
      </c>
      <c r="ALF1" s="243"/>
      <c r="ALG1" s="243"/>
      <c r="ALH1" s="243"/>
      <c r="ALI1" s="243"/>
      <c r="ALJ1" s="243"/>
      <c r="ALK1" s="243"/>
      <c r="ALL1" s="243"/>
      <c r="ALM1" s="243"/>
      <c r="ALN1" s="243"/>
      <c r="ALO1" s="243"/>
      <c r="ALP1" s="243"/>
      <c r="ALQ1" s="243"/>
      <c r="ALR1" s="243"/>
      <c r="ALS1" s="243"/>
      <c r="ALT1" s="243"/>
      <c r="ALU1" s="243" t="s">
        <v>127</v>
      </c>
      <c r="ALV1" s="243"/>
      <c r="ALW1" s="243"/>
      <c r="ALX1" s="243"/>
      <c r="ALY1" s="243"/>
      <c r="ALZ1" s="243"/>
      <c r="AMA1" s="243"/>
      <c r="AMB1" s="243"/>
      <c r="AMC1" s="243"/>
      <c r="AMD1" s="243"/>
      <c r="AME1" s="243"/>
      <c r="AMF1" s="243"/>
      <c r="AMG1" s="243"/>
      <c r="AMH1" s="243"/>
      <c r="AMI1" s="243"/>
      <c r="AMJ1" s="243"/>
      <c r="AMK1" s="243" t="s">
        <v>127</v>
      </c>
      <c r="AML1" s="243"/>
      <c r="AMM1" s="243"/>
      <c r="AMN1" s="243"/>
      <c r="AMO1" s="243"/>
      <c r="AMP1" s="243"/>
      <c r="AMQ1" s="243"/>
      <c r="AMR1" s="243"/>
      <c r="AMS1" s="243"/>
      <c r="AMT1" s="243"/>
      <c r="AMU1" s="243"/>
      <c r="AMV1" s="243"/>
      <c r="AMW1" s="243"/>
      <c r="AMX1" s="243"/>
      <c r="AMY1" s="243"/>
      <c r="AMZ1" s="243"/>
      <c r="ANA1" s="243" t="s">
        <v>127</v>
      </c>
      <c r="ANB1" s="243"/>
      <c r="ANC1" s="243"/>
      <c r="AND1" s="243"/>
      <c r="ANE1" s="243"/>
      <c r="ANF1" s="243"/>
      <c r="ANG1" s="243"/>
      <c r="ANH1" s="243"/>
      <c r="ANI1" s="243"/>
      <c r="ANJ1" s="243"/>
      <c r="ANK1" s="243"/>
      <c r="ANL1" s="243"/>
      <c r="ANM1" s="243"/>
      <c r="ANN1" s="243"/>
      <c r="ANO1" s="243"/>
      <c r="ANP1" s="243"/>
      <c r="ANQ1" s="243" t="s">
        <v>127</v>
      </c>
      <c r="ANR1" s="243"/>
      <c r="ANS1" s="243"/>
      <c r="ANT1" s="243"/>
      <c r="ANU1" s="243"/>
      <c r="ANV1" s="243"/>
      <c r="ANW1" s="243"/>
      <c r="ANX1" s="243"/>
      <c r="ANY1" s="243"/>
      <c r="ANZ1" s="243"/>
      <c r="AOA1" s="243"/>
      <c r="AOB1" s="243"/>
      <c r="AOC1" s="243"/>
      <c r="AOD1" s="243"/>
      <c r="AOE1" s="243"/>
      <c r="AOF1" s="243"/>
      <c r="AOG1" s="243" t="s">
        <v>127</v>
      </c>
      <c r="AOH1" s="243"/>
      <c r="AOI1" s="243"/>
      <c r="AOJ1" s="243"/>
      <c r="AOK1" s="243"/>
      <c r="AOL1" s="243"/>
      <c r="AOM1" s="243"/>
      <c r="AON1" s="243"/>
      <c r="AOO1" s="243"/>
      <c r="AOP1" s="243"/>
      <c r="AOQ1" s="243"/>
      <c r="AOR1" s="243"/>
      <c r="AOS1" s="243"/>
      <c r="AOT1" s="243"/>
      <c r="AOU1" s="243"/>
      <c r="AOV1" s="243"/>
      <c r="AOW1" s="243" t="s">
        <v>127</v>
      </c>
      <c r="AOX1" s="243"/>
      <c r="AOY1" s="243"/>
      <c r="AOZ1" s="243"/>
      <c r="APA1" s="243"/>
      <c r="APB1" s="243"/>
      <c r="APC1" s="243"/>
      <c r="APD1" s="243"/>
      <c r="APE1" s="243"/>
      <c r="APF1" s="243"/>
      <c r="APG1" s="243"/>
      <c r="APH1" s="243"/>
      <c r="API1" s="243"/>
      <c r="APJ1" s="243"/>
      <c r="APK1" s="243"/>
      <c r="APL1" s="243"/>
      <c r="APM1" s="243" t="s">
        <v>127</v>
      </c>
      <c r="APN1" s="243"/>
      <c r="APO1" s="243"/>
      <c r="APP1" s="243"/>
      <c r="APQ1" s="243"/>
      <c r="APR1" s="243"/>
      <c r="APS1" s="243"/>
      <c r="APT1" s="243"/>
      <c r="APU1" s="243"/>
      <c r="APV1" s="243"/>
      <c r="APW1" s="243"/>
      <c r="APX1" s="243"/>
      <c r="APY1" s="243"/>
      <c r="APZ1" s="243"/>
      <c r="AQA1" s="243"/>
      <c r="AQB1" s="243"/>
      <c r="AQC1" s="243" t="s">
        <v>127</v>
      </c>
      <c r="AQD1" s="243"/>
      <c r="AQE1" s="243"/>
      <c r="AQF1" s="243"/>
      <c r="AQG1" s="243"/>
      <c r="AQH1" s="243"/>
      <c r="AQI1" s="243"/>
      <c r="AQJ1" s="243"/>
      <c r="AQK1" s="243"/>
      <c r="AQL1" s="243"/>
      <c r="AQM1" s="243"/>
      <c r="AQN1" s="243"/>
      <c r="AQO1" s="243"/>
      <c r="AQP1" s="243"/>
      <c r="AQQ1" s="243"/>
      <c r="AQR1" s="243"/>
      <c r="AQS1" s="243" t="s">
        <v>127</v>
      </c>
      <c r="AQT1" s="243"/>
      <c r="AQU1" s="243"/>
      <c r="AQV1" s="243"/>
      <c r="AQW1" s="243"/>
      <c r="AQX1" s="243"/>
      <c r="AQY1" s="243"/>
      <c r="AQZ1" s="243"/>
      <c r="ARA1" s="243"/>
      <c r="ARB1" s="243"/>
      <c r="ARC1" s="243"/>
      <c r="ARD1" s="243"/>
      <c r="ARE1" s="243"/>
      <c r="ARF1" s="243"/>
      <c r="ARG1" s="243"/>
      <c r="ARH1" s="243"/>
      <c r="ARI1" s="243" t="s">
        <v>127</v>
      </c>
      <c r="ARJ1" s="243"/>
      <c r="ARK1" s="243"/>
      <c r="ARL1" s="243"/>
      <c r="ARM1" s="243"/>
      <c r="ARN1" s="243"/>
      <c r="ARO1" s="243"/>
      <c r="ARP1" s="243"/>
      <c r="ARQ1" s="243"/>
      <c r="ARR1" s="243"/>
      <c r="ARS1" s="243"/>
      <c r="ART1" s="243"/>
      <c r="ARU1" s="243"/>
      <c r="ARV1" s="243"/>
      <c r="ARW1" s="243"/>
      <c r="ARX1" s="243"/>
      <c r="ARY1" s="243" t="s">
        <v>127</v>
      </c>
      <c r="ARZ1" s="243"/>
      <c r="ASA1" s="243"/>
      <c r="ASB1" s="243"/>
      <c r="ASC1" s="243"/>
      <c r="ASD1" s="243"/>
      <c r="ASE1" s="243"/>
      <c r="ASF1" s="243"/>
      <c r="ASG1" s="243"/>
      <c r="ASH1" s="243"/>
      <c r="ASI1" s="243"/>
      <c r="ASJ1" s="243"/>
      <c r="ASK1" s="243"/>
      <c r="ASL1" s="243"/>
      <c r="ASM1" s="243"/>
      <c r="ASN1" s="243"/>
      <c r="ASO1" s="243" t="s">
        <v>127</v>
      </c>
      <c r="ASP1" s="243"/>
      <c r="ASQ1" s="243"/>
      <c r="ASR1" s="243"/>
      <c r="ASS1" s="243"/>
      <c r="AST1" s="243"/>
      <c r="ASU1" s="243"/>
      <c r="ASV1" s="243"/>
      <c r="ASW1" s="243"/>
      <c r="ASX1" s="243"/>
      <c r="ASY1" s="243"/>
      <c r="ASZ1" s="243"/>
      <c r="ATA1" s="243"/>
      <c r="ATB1" s="243"/>
      <c r="ATC1" s="243"/>
      <c r="ATD1" s="243"/>
      <c r="ATE1" s="243" t="s">
        <v>127</v>
      </c>
      <c r="ATF1" s="243"/>
      <c r="ATG1" s="243"/>
      <c r="ATH1" s="243"/>
      <c r="ATI1" s="243"/>
      <c r="ATJ1" s="243"/>
      <c r="ATK1" s="243"/>
      <c r="ATL1" s="243"/>
      <c r="ATM1" s="243"/>
      <c r="ATN1" s="243"/>
      <c r="ATO1" s="243"/>
      <c r="ATP1" s="243"/>
      <c r="ATQ1" s="243"/>
      <c r="ATR1" s="243"/>
      <c r="ATS1" s="243"/>
      <c r="ATT1" s="243"/>
      <c r="ATU1" s="243" t="s">
        <v>127</v>
      </c>
      <c r="ATV1" s="243"/>
      <c r="ATW1" s="243"/>
      <c r="ATX1" s="243"/>
      <c r="ATY1" s="243"/>
      <c r="ATZ1" s="243"/>
      <c r="AUA1" s="243"/>
      <c r="AUB1" s="243"/>
      <c r="AUC1" s="243"/>
      <c r="AUD1" s="243"/>
      <c r="AUE1" s="243"/>
      <c r="AUF1" s="243"/>
      <c r="AUG1" s="243"/>
      <c r="AUH1" s="243"/>
      <c r="AUI1" s="243"/>
      <c r="AUJ1" s="243"/>
      <c r="AUK1" s="243" t="s">
        <v>127</v>
      </c>
      <c r="AUL1" s="243"/>
      <c r="AUM1" s="243"/>
      <c r="AUN1" s="243"/>
      <c r="AUO1" s="243"/>
      <c r="AUP1" s="243"/>
      <c r="AUQ1" s="243"/>
      <c r="AUR1" s="243"/>
      <c r="AUS1" s="243"/>
      <c r="AUT1" s="243"/>
      <c r="AUU1" s="243"/>
      <c r="AUV1" s="243"/>
      <c r="AUW1" s="243"/>
      <c r="AUX1" s="243"/>
      <c r="AUY1" s="243"/>
      <c r="AUZ1" s="243"/>
      <c r="AVA1" s="243" t="s">
        <v>127</v>
      </c>
      <c r="AVB1" s="243"/>
      <c r="AVC1" s="243"/>
      <c r="AVD1" s="243"/>
      <c r="AVE1" s="243"/>
      <c r="AVF1" s="243"/>
      <c r="AVG1" s="243"/>
      <c r="AVH1" s="243"/>
      <c r="AVI1" s="243"/>
      <c r="AVJ1" s="243"/>
      <c r="AVK1" s="243"/>
      <c r="AVL1" s="243"/>
      <c r="AVM1" s="243"/>
      <c r="AVN1" s="243"/>
      <c r="AVO1" s="243"/>
      <c r="AVP1" s="243"/>
      <c r="AVQ1" s="243" t="s">
        <v>127</v>
      </c>
      <c r="AVR1" s="243"/>
      <c r="AVS1" s="243"/>
      <c r="AVT1" s="243"/>
      <c r="AVU1" s="243"/>
      <c r="AVV1" s="243"/>
      <c r="AVW1" s="243"/>
      <c r="AVX1" s="243"/>
      <c r="AVY1" s="243"/>
      <c r="AVZ1" s="243"/>
      <c r="AWA1" s="243"/>
      <c r="AWB1" s="243"/>
      <c r="AWC1" s="243"/>
      <c r="AWD1" s="243"/>
      <c r="AWE1" s="243"/>
      <c r="AWF1" s="243"/>
      <c r="AWG1" s="243" t="s">
        <v>127</v>
      </c>
      <c r="AWH1" s="243"/>
      <c r="AWI1" s="243"/>
      <c r="AWJ1" s="243"/>
      <c r="AWK1" s="243"/>
      <c r="AWL1" s="243"/>
      <c r="AWM1" s="243"/>
      <c r="AWN1" s="243"/>
      <c r="AWO1" s="243"/>
      <c r="AWP1" s="243"/>
      <c r="AWQ1" s="243"/>
      <c r="AWR1" s="243"/>
      <c r="AWS1" s="243"/>
      <c r="AWT1" s="243"/>
      <c r="AWU1" s="243"/>
      <c r="AWV1" s="243"/>
      <c r="AWW1" s="243" t="s">
        <v>127</v>
      </c>
      <c r="AWX1" s="243"/>
      <c r="AWY1" s="243"/>
      <c r="AWZ1" s="243"/>
      <c r="AXA1" s="243"/>
      <c r="AXB1" s="243"/>
      <c r="AXC1" s="243"/>
      <c r="AXD1" s="243"/>
      <c r="AXE1" s="243"/>
      <c r="AXF1" s="243"/>
      <c r="AXG1" s="243"/>
      <c r="AXH1" s="243"/>
      <c r="AXI1" s="243"/>
      <c r="AXJ1" s="243"/>
      <c r="AXK1" s="243"/>
      <c r="AXL1" s="243"/>
      <c r="AXM1" s="243" t="s">
        <v>127</v>
      </c>
      <c r="AXN1" s="243"/>
      <c r="AXO1" s="243"/>
      <c r="AXP1" s="243"/>
      <c r="AXQ1" s="243"/>
      <c r="AXR1" s="243"/>
      <c r="AXS1" s="243"/>
      <c r="AXT1" s="243"/>
      <c r="AXU1" s="243"/>
      <c r="AXV1" s="243"/>
      <c r="AXW1" s="243"/>
      <c r="AXX1" s="243"/>
      <c r="AXY1" s="243"/>
      <c r="AXZ1" s="243"/>
      <c r="AYA1" s="243"/>
      <c r="AYB1" s="243"/>
      <c r="AYC1" s="243" t="s">
        <v>127</v>
      </c>
      <c r="AYD1" s="243"/>
      <c r="AYE1" s="243"/>
      <c r="AYF1" s="243"/>
      <c r="AYG1" s="243"/>
      <c r="AYH1" s="243"/>
      <c r="AYI1" s="243"/>
      <c r="AYJ1" s="243"/>
      <c r="AYK1" s="243"/>
      <c r="AYL1" s="243"/>
      <c r="AYM1" s="243"/>
      <c r="AYN1" s="243"/>
      <c r="AYO1" s="243"/>
      <c r="AYP1" s="243"/>
      <c r="AYQ1" s="243"/>
      <c r="AYR1" s="243"/>
      <c r="AYS1" s="243" t="s">
        <v>127</v>
      </c>
      <c r="AYT1" s="243"/>
      <c r="AYU1" s="243"/>
      <c r="AYV1" s="243"/>
      <c r="AYW1" s="243"/>
      <c r="AYX1" s="243"/>
      <c r="AYY1" s="243"/>
      <c r="AYZ1" s="243"/>
      <c r="AZA1" s="243"/>
      <c r="AZB1" s="243"/>
      <c r="AZC1" s="243"/>
      <c r="AZD1" s="243"/>
      <c r="AZE1" s="243"/>
      <c r="AZF1" s="243"/>
      <c r="AZG1" s="243"/>
      <c r="AZH1" s="243"/>
      <c r="AZI1" s="243" t="s">
        <v>127</v>
      </c>
      <c r="AZJ1" s="243"/>
      <c r="AZK1" s="243"/>
      <c r="AZL1" s="243"/>
      <c r="AZM1" s="243"/>
      <c r="AZN1" s="243"/>
      <c r="AZO1" s="243"/>
      <c r="AZP1" s="243"/>
      <c r="AZQ1" s="243"/>
      <c r="AZR1" s="243"/>
      <c r="AZS1" s="243"/>
      <c r="AZT1" s="243"/>
      <c r="AZU1" s="243"/>
      <c r="AZV1" s="243"/>
      <c r="AZW1" s="243"/>
      <c r="AZX1" s="243"/>
      <c r="AZY1" s="243" t="s">
        <v>127</v>
      </c>
      <c r="AZZ1" s="243"/>
      <c r="BAA1" s="243"/>
      <c r="BAB1" s="243"/>
      <c r="BAC1" s="243"/>
      <c r="BAD1" s="243"/>
      <c r="BAE1" s="243"/>
      <c r="BAF1" s="243"/>
      <c r="BAG1" s="243"/>
      <c r="BAH1" s="243"/>
      <c r="BAI1" s="243"/>
      <c r="BAJ1" s="243"/>
      <c r="BAK1" s="243"/>
      <c r="BAL1" s="243"/>
      <c r="BAM1" s="243"/>
      <c r="BAN1" s="243"/>
      <c r="BAO1" s="243" t="s">
        <v>127</v>
      </c>
      <c r="BAP1" s="243"/>
      <c r="BAQ1" s="243"/>
      <c r="BAR1" s="243"/>
      <c r="BAS1" s="243"/>
      <c r="BAT1" s="243"/>
      <c r="BAU1" s="243"/>
      <c r="BAV1" s="243"/>
      <c r="BAW1" s="243"/>
      <c r="BAX1" s="243"/>
      <c r="BAY1" s="243"/>
      <c r="BAZ1" s="243"/>
      <c r="BBA1" s="243"/>
      <c r="BBB1" s="243"/>
      <c r="BBC1" s="243"/>
      <c r="BBD1" s="243"/>
      <c r="BBE1" s="243" t="s">
        <v>127</v>
      </c>
      <c r="BBF1" s="243"/>
      <c r="BBG1" s="243"/>
      <c r="BBH1" s="243"/>
      <c r="BBI1" s="243"/>
      <c r="BBJ1" s="243"/>
      <c r="BBK1" s="243"/>
      <c r="BBL1" s="243"/>
      <c r="BBM1" s="243"/>
      <c r="BBN1" s="243"/>
      <c r="BBO1" s="243"/>
      <c r="BBP1" s="243"/>
      <c r="BBQ1" s="243"/>
      <c r="BBR1" s="243"/>
      <c r="BBS1" s="243"/>
      <c r="BBT1" s="243"/>
      <c r="BBU1" s="243" t="s">
        <v>127</v>
      </c>
      <c r="BBV1" s="243"/>
      <c r="BBW1" s="243"/>
      <c r="BBX1" s="243"/>
      <c r="BBY1" s="243"/>
      <c r="BBZ1" s="243"/>
      <c r="BCA1" s="243"/>
      <c r="BCB1" s="243"/>
      <c r="BCC1" s="243"/>
      <c r="BCD1" s="243"/>
      <c r="BCE1" s="243"/>
      <c r="BCF1" s="243"/>
      <c r="BCG1" s="243"/>
      <c r="BCH1" s="243"/>
      <c r="BCI1" s="243"/>
      <c r="BCJ1" s="243"/>
      <c r="BCK1" s="243" t="s">
        <v>127</v>
      </c>
      <c r="BCL1" s="243"/>
      <c r="BCM1" s="243"/>
      <c r="BCN1" s="243"/>
      <c r="BCO1" s="243"/>
      <c r="BCP1" s="243"/>
      <c r="BCQ1" s="243"/>
      <c r="BCR1" s="243"/>
      <c r="BCS1" s="243"/>
      <c r="BCT1" s="243"/>
      <c r="BCU1" s="243"/>
      <c r="BCV1" s="243"/>
      <c r="BCW1" s="243"/>
      <c r="BCX1" s="243"/>
      <c r="BCY1" s="243"/>
      <c r="BCZ1" s="243"/>
      <c r="BDA1" s="243" t="s">
        <v>127</v>
      </c>
      <c r="BDB1" s="243"/>
      <c r="BDC1" s="243"/>
      <c r="BDD1" s="243"/>
      <c r="BDE1" s="243"/>
      <c r="BDF1" s="243"/>
      <c r="BDG1" s="243"/>
      <c r="BDH1" s="243"/>
      <c r="BDI1" s="243"/>
      <c r="BDJ1" s="243"/>
      <c r="BDK1" s="243"/>
      <c r="BDL1" s="243"/>
      <c r="BDM1" s="243"/>
      <c r="BDN1" s="243"/>
      <c r="BDO1" s="243"/>
      <c r="BDP1" s="243"/>
      <c r="BDQ1" s="243" t="s">
        <v>127</v>
      </c>
      <c r="BDR1" s="243"/>
      <c r="BDS1" s="243"/>
      <c r="BDT1" s="243"/>
      <c r="BDU1" s="243"/>
      <c r="BDV1" s="243"/>
      <c r="BDW1" s="243"/>
      <c r="BDX1" s="243"/>
      <c r="BDY1" s="243"/>
      <c r="BDZ1" s="243"/>
      <c r="BEA1" s="243"/>
      <c r="BEB1" s="243"/>
      <c r="BEC1" s="243"/>
      <c r="BED1" s="243"/>
      <c r="BEE1" s="243"/>
      <c r="BEF1" s="243"/>
      <c r="BEG1" s="243" t="s">
        <v>127</v>
      </c>
      <c r="BEH1" s="243"/>
      <c r="BEI1" s="243"/>
      <c r="BEJ1" s="243"/>
      <c r="BEK1" s="243"/>
      <c r="BEL1" s="243"/>
      <c r="BEM1" s="243"/>
      <c r="BEN1" s="243"/>
      <c r="BEO1" s="243"/>
      <c r="BEP1" s="243"/>
      <c r="BEQ1" s="243"/>
      <c r="BER1" s="243"/>
      <c r="BES1" s="243"/>
      <c r="BET1" s="243"/>
      <c r="BEU1" s="243"/>
      <c r="BEV1" s="243"/>
      <c r="BEW1" s="243" t="s">
        <v>127</v>
      </c>
      <c r="BEX1" s="243"/>
      <c r="BEY1" s="243"/>
      <c r="BEZ1" s="243"/>
      <c r="BFA1" s="243"/>
      <c r="BFB1" s="243"/>
      <c r="BFC1" s="243"/>
      <c r="BFD1" s="243"/>
      <c r="BFE1" s="243"/>
      <c r="BFF1" s="243"/>
      <c r="BFG1" s="243"/>
      <c r="BFH1" s="243"/>
      <c r="BFI1" s="243"/>
      <c r="BFJ1" s="243"/>
      <c r="BFK1" s="243"/>
      <c r="BFL1" s="243"/>
      <c r="BFM1" s="243" t="s">
        <v>127</v>
      </c>
      <c r="BFN1" s="243"/>
      <c r="BFO1" s="243"/>
      <c r="BFP1" s="243"/>
      <c r="BFQ1" s="243"/>
      <c r="BFR1" s="243"/>
      <c r="BFS1" s="243"/>
      <c r="BFT1" s="243"/>
      <c r="BFU1" s="243"/>
      <c r="BFV1" s="243"/>
      <c r="BFW1" s="243"/>
      <c r="BFX1" s="243"/>
      <c r="BFY1" s="243"/>
      <c r="BFZ1" s="243"/>
      <c r="BGA1" s="243"/>
      <c r="BGB1" s="243"/>
      <c r="BGC1" s="243" t="s">
        <v>127</v>
      </c>
      <c r="BGD1" s="243"/>
      <c r="BGE1" s="243"/>
      <c r="BGF1" s="243"/>
      <c r="BGG1" s="243"/>
      <c r="BGH1" s="243"/>
      <c r="BGI1" s="243"/>
      <c r="BGJ1" s="243"/>
      <c r="BGK1" s="243"/>
      <c r="BGL1" s="243"/>
      <c r="BGM1" s="243"/>
      <c r="BGN1" s="243"/>
      <c r="BGO1" s="243"/>
      <c r="BGP1" s="243"/>
      <c r="BGQ1" s="243"/>
      <c r="BGR1" s="243"/>
      <c r="BGS1" s="243" t="s">
        <v>127</v>
      </c>
      <c r="BGT1" s="243"/>
      <c r="BGU1" s="243"/>
      <c r="BGV1" s="243"/>
      <c r="BGW1" s="243"/>
      <c r="BGX1" s="243"/>
      <c r="BGY1" s="243"/>
      <c r="BGZ1" s="243"/>
      <c r="BHA1" s="243"/>
      <c r="BHB1" s="243"/>
      <c r="BHC1" s="243"/>
      <c r="BHD1" s="243"/>
      <c r="BHE1" s="243"/>
      <c r="BHF1" s="243"/>
      <c r="BHG1" s="243"/>
      <c r="BHH1" s="243"/>
      <c r="BHI1" s="243" t="s">
        <v>127</v>
      </c>
      <c r="BHJ1" s="243"/>
      <c r="BHK1" s="243"/>
      <c r="BHL1" s="243"/>
      <c r="BHM1" s="243"/>
      <c r="BHN1" s="243"/>
      <c r="BHO1" s="243"/>
      <c r="BHP1" s="243"/>
      <c r="BHQ1" s="243"/>
      <c r="BHR1" s="243"/>
      <c r="BHS1" s="243"/>
      <c r="BHT1" s="243"/>
      <c r="BHU1" s="243"/>
      <c r="BHV1" s="243"/>
      <c r="BHW1" s="243"/>
      <c r="BHX1" s="243"/>
      <c r="BHY1" s="243" t="s">
        <v>127</v>
      </c>
      <c r="BHZ1" s="243"/>
      <c r="BIA1" s="243"/>
      <c r="BIB1" s="243"/>
      <c r="BIC1" s="243"/>
      <c r="BID1" s="243"/>
      <c r="BIE1" s="243"/>
      <c r="BIF1" s="243"/>
      <c r="BIG1" s="243"/>
      <c r="BIH1" s="243"/>
      <c r="BII1" s="243"/>
      <c r="BIJ1" s="243"/>
      <c r="BIK1" s="243"/>
      <c r="BIL1" s="243"/>
      <c r="BIM1" s="243"/>
      <c r="BIN1" s="243"/>
      <c r="BIO1" s="243" t="s">
        <v>127</v>
      </c>
      <c r="BIP1" s="243"/>
      <c r="BIQ1" s="243"/>
      <c r="BIR1" s="243"/>
      <c r="BIS1" s="243"/>
      <c r="BIT1" s="243"/>
      <c r="BIU1" s="243"/>
      <c r="BIV1" s="243"/>
      <c r="BIW1" s="243"/>
      <c r="BIX1" s="243"/>
      <c r="BIY1" s="243"/>
      <c r="BIZ1" s="243"/>
      <c r="BJA1" s="243"/>
      <c r="BJB1" s="243"/>
      <c r="BJC1" s="243"/>
      <c r="BJD1" s="243"/>
      <c r="BJE1" s="243" t="s">
        <v>127</v>
      </c>
      <c r="BJF1" s="243"/>
      <c r="BJG1" s="243"/>
      <c r="BJH1" s="243"/>
      <c r="BJI1" s="243"/>
      <c r="BJJ1" s="243"/>
      <c r="BJK1" s="243"/>
      <c r="BJL1" s="243"/>
      <c r="BJM1" s="243"/>
      <c r="BJN1" s="243"/>
      <c r="BJO1" s="243"/>
      <c r="BJP1" s="243"/>
      <c r="BJQ1" s="243"/>
      <c r="BJR1" s="243"/>
      <c r="BJS1" s="243"/>
      <c r="BJT1" s="243"/>
      <c r="BJU1" s="243" t="s">
        <v>127</v>
      </c>
      <c r="BJV1" s="243"/>
      <c r="BJW1" s="243"/>
      <c r="BJX1" s="243"/>
      <c r="BJY1" s="243"/>
      <c r="BJZ1" s="243"/>
      <c r="BKA1" s="243"/>
      <c r="BKB1" s="243"/>
      <c r="BKC1" s="243"/>
      <c r="BKD1" s="243"/>
      <c r="BKE1" s="243"/>
      <c r="BKF1" s="243"/>
      <c r="BKG1" s="243"/>
      <c r="BKH1" s="243"/>
      <c r="BKI1" s="243"/>
      <c r="BKJ1" s="243"/>
      <c r="BKK1" s="243" t="s">
        <v>127</v>
      </c>
      <c r="BKL1" s="243"/>
      <c r="BKM1" s="243"/>
      <c r="BKN1" s="243"/>
      <c r="BKO1" s="243"/>
      <c r="BKP1" s="243"/>
      <c r="BKQ1" s="243"/>
      <c r="BKR1" s="243"/>
      <c r="BKS1" s="243"/>
      <c r="BKT1" s="243"/>
      <c r="BKU1" s="243"/>
      <c r="BKV1" s="243"/>
      <c r="BKW1" s="243"/>
      <c r="BKX1" s="243"/>
      <c r="BKY1" s="243"/>
      <c r="BKZ1" s="243"/>
      <c r="BLA1" s="243" t="s">
        <v>127</v>
      </c>
      <c r="BLB1" s="243"/>
      <c r="BLC1" s="243"/>
      <c r="BLD1" s="243"/>
      <c r="BLE1" s="243"/>
      <c r="BLF1" s="243"/>
      <c r="BLG1" s="243"/>
      <c r="BLH1" s="243"/>
      <c r="BLI1" s="243"/>
      <c r="BLJ1" s="243"/>
      <c r="BLK1" s="243"/>
      <c r="BLL1" s="243"/>
      <c r="BLM1" s="243"/>
      <c r="BLN1" s="243"/>
      <c r="BLO1" s="243"/>
      <c r="BLP1" s="243"/>
      <c r="BLQ1" s="243" t="s">
        <v>127</v>
      </c>
      <c r="BLR1" s="243"/>
      <c r="BLS1" s="243"/>
      <c r="BLT1" s="243"/>
      <c r="BLU1" s="243"/>
      <c r="BLV1" s="243"/>
      <c r="BLW1" s="243"/>
      <c r="BLX1" s="243"/>
      <c r="BLY1" s="243"/>
      <c r="BLZ1" s="243"/>
      <c r="BMA1" s="243"/>
      <c r="BMB1" s="243"/>
      <c r="BMC1" s="243"/>
      <c r="BMD1" s="243"/>
      <c r="BME1" s="243"/>
      <c r="BMF1" s="243"/>
      <c r="BMG1" s="243" t="s">
        <v>127</v>
      </c>
      <c r="BMH1" s="243"/>
      <c r="BMI1" s="243"/>
      <c r="BMJ1" s="243"/>
      <c r="BMK1" s="243"/>
      <c r="BML1" s="243"/>
      <c r="BMM1" s="243"/>
      <c r="BMN1" s="243"/>
      <c r="BMO1" s="243"/>
      <c r="BMP1" s="243"/>
      <c r="BMQ1" s="243"/>
      <c r="BMR1" s="243"/>
      <c r="BMS1" s="243"/>
      <c r="BMT1" s="243"/>
      <c r="BMU1" s="243"/>
      <c r="BMV1" s="243"/>
      <c r="BMW1" s="243" t="s">
        <v>127</v>
      </c>
      <c r="BMX1" s="243"/>
      <c r="BMY1" s="243"/>
      <c r="BMZ1" s="243"/>
      <c r="BNA1" s="243"/>
      <c r="BNB1" s="243"/>
      <c r="BNC1" s="243"/>
      <c r="BND1" s="243"/>
      <c r="BNE1" s="243"/>
      <c r="BNF1" s="243"/>
      <c r="BNG1" s="243"/>
      <c r="BNH1" s="243"/>
      <c r="BNI1" s="243"/>
      <c r="BNJ1" s="243"/>
      <c r="BNK1" s="243"/>
      <c r="BNL1" s="243"/>
      <c r="BNM1" s="243" t="s">
        <v>127</v>
      </c>
      <c r="BNN1" s="243"/>
      <c r="BNO1" s="243"/>
      <c r="BNP1" s="243"/>
      <c r="BNQ1" s="243"/>
      <c r="BNR1" s="243"/>
      <c r="BNS1" s="243"/>
      <c r="BNT1" s="243"/>
      <c r="BNU1" s="243"/>
      <c r="BNV1" s="243"/>
      <c r="BNW1" s="243"/>
      <c r="BNX1" s="243"/>
      <c r="BNY1" s="243"/>
      <c r="BNZ1" s="243"/>
      <c r="BOA1" s="243"/>
      <c r="BOB1" s="243"/>
      <c r="BOC1" s="243" t="s">
        <v>127</v>
      </c>
      <c r="BOD1" s="243"/>
      <c r="BOE1" s="243"/>
      <c r="BOF1" s="243"/>
      <c r="BOG1" s="243"/>
      <c r="BOH1" s="243"/>
      <c r="BOI1" s="243"/>
      <c r="BOJ1" s="243"/>
      <c r="BOK1" s="243"/>
      <c r="BOL1" s="243"/>
      <c r="BOM1" s="243"/>
      <c r="BON1" s="243"/>
      <c r="BOO1" s="243"/>
      <c r="BOP1" s="243"/>
      <c r="BOQ1" s="243"/>
      <c r="BOR1" s="243"/>
      <c r="BOS1" s="243" t="s">
        <v>127</v>
      </c>
      <c r="BOT1" s="243"/>
      <c r="BOU1" s="243"/>
      <c r="BOV1" s="243"/>
      <c r="BOW1" s="243"/>
      <c r="BOX1" s="243"/>
      <c r="BOY1" s="243"/>
      <c r="BOZ1" s="243"/>
      <c r="BPA1" s="243"/>
      <c r="BPB1" s="243"/>
      <c r="BPC1" s="243"/>
      <c r="BPD1" s="243"/>
      <c r="BPE1" s="243"/>
      <c r="BPF1" s="243"/>
      <c r="BPG1" s="243"/>
      <c r="BPH1" s="243"/>
      <c r="BPI1" s="243" t="s">
        <v>127</v>
      </c>
      <c r="BPJ1" s="243"/>
      <c r="BPK1" s="243"/>
      <c r="BPL1" s="243"/>
      <c r="BPM1" s="243"/>
      <c r="BPN1" s="243"/>
      <c r="BPO1" s="243"/>
      <c r="BPP1" s="243"/>
      <c r="BPQ1" s="243"/>
      <c r="BPR1" s="243"/>
      <c r="BPS1" s="243"/>
      <c r="BPT1" s="243"/>
      <c r="BPU1" s="243"/>
      <c r="BPV1" s="243"/>
      <c r="BPW1" s="243"/>
      <c r="BPX1" s="243"/>
      <c r="BPY1" s="243" t="s">
        <v>127</v>
      </c>
      <c r="BPZ1" s="243"/>
      <c r="BQA1" s="243"/>
      <c r="BQB1" s="243"/>
      <c r="BQC1" s="243"/>
      <c r="BQD1" s="243"/>
      <c r="BQE1" s="243"/>
      <c r="BQF1" s="243"/>
      <c r="BQG1" s="243"/>
      <c r="BQH1" s="243"/>
      <c r="BQI1" s="243"/>
      <c r="BQJ1" s="243"/>
      <c r="BQK1" s="243"/>
      <c r="BQL1" s="243"/>
      <c r="BQM1" s="243"/>
      <c r="BQN1" s="243"/>
      <c r="BQO1" s="243" t="s">
        <v>127</v>
      </c>
      <c r="BQP1" s="243"/>
      <c r="BQQ1" s="243"/>
      <c r="BQR1" s="243"/>
      <c r="BQS1" s="243"/>
      <c r="BQT1" s="243"/>
      <c r="BQU1" s="243"/>
      <c r="BQV1" s="243"/>
      <c r="BQW1" s="243"/>
      <c r="BQX1" s="243"/>
      <c r="BQY1" s="243"/>
      <c r="BQZ1" s="243"/>
      <c r="BRA1" s="243"/>
      <c r="BRB1" s="243"/>
      <c r="BRC1" s="243"/>
      <c r="BRD1" s="243"/>
      <c r="BRE1" s="243" t="s">
        <v>127</v>
      </c>
      <c r="BRF1" s="243"/>
      <c r="BRG1" s="243"/>
      <c r="BRH1" s="243"/>
      <c r="BRI1" s="243"/>
      <c r="BRJ1" s="243"/>
      <c r="BRK1" s="243"/>
      <c r="BRL1" s="243"/>
      <c r="BRM1" s="243"/>
      <c r="BRN1" s="243"/>
      <c r="BRO1" s="243"/>
      <c r="BRP1" s="243"/>
      <c r="BRQ1" s="243"/>
      <c r="BRR1" s="243"/>
      <c r="BRS1" s="243"/>
      <c r="BRT1" s="243"/>
      <c r="BRU1" s="243" t="s">
        <v>127</v>
      </c>
      <c r="BRV1" s="243"/>
      <c r="BRW1" s="243"/>
      <c r="BRX1" s="243"/>
      <c r="BRY1" s="243"/>
      <c r="BRZ1" s="243"/>
      <c r="BSA1" s="243"/>
      <c r="BSB1" s="243"/>
      <c r="BSC1" s="243"/>
      <c r="BSD1" s="243"/>
      <c r="BSE1" s="243"/>
      <c r="BSF1" s="243"/>
      <c r="BSG1" s="243"/>
      <c r="BSH1" s="243"/>
      <c r="BSI1" s="243"/>
      <c r="BSJ1" s="243"/>
      <c r="BSK1" s="243" t="s">
        <v>127</v>
      </c>
      <c r="BSL1" s="243"/>
      <c r="BSM1" s="243"/>
      <c r="BSN1" s="243"/>
      <c r="BSO1" s="243"/>
      <c r="BSP1" s="243"/>
      <c r="BSQ1" s="243"/>
      <c r="BSR1" s="243"/>
      <c r="BSS1" s="243"/>
      <c r="BST1" s="243"/>
      <c r="BSU1" s="243"/>
      <c r="BSV1" s="243"/>
      <c r="BSW1" s="243"/>
      <c r="BSX1" s="243"/>
      <c r="BSY1" s="243"/>
      <c r="BSZ1" s="243"/>
      <c r="BTA1" s="243" t="s">
        <v>127</v>
      </c>
      <c r="BTB1" s="243"/>
      <c r="BTC1" s="243"/>
      <c r="BTD1" s="243"/>
      <c r="BTE1" s="243"/>
      <c r="BTF1" s="243"/>
      <c r="BTG1" s="243"/>
      <c r="BTH1" s="243"/>
      <c r="BTI1" s="243"/>
      <c r="BTJ1" s="243"/>
      <c r="BTK1" s="243"/>
      <c r="BTL1" s="243"/>
      <c r="BTM1" s="243"/>
      <c r="BTN1" s="243"/>
      <c r="BTO1" s="243"/>
      <c r="BTP1" s="243"/>
      <c r="BTQ1" s="243" t="s">
        <v>127</v>
      </c>
      <c r="BTR1" s="243"/>
      <c r="BTS1" s="243"/>
      <c r="BTT1" s="243"/>
      <c r="BTU1" s="243"/>
      <c r="BTV1" s="243"/>
      <c r="BTW1" s="243"/>
      <c r="BTX1" s="243"/>
      <c r="BTY1" s="243"/>
      <c r="BTZ1" s="243"/>
      <c r="BUA1" s="243"/>
      <c r="BUB1" s="243"/>
      <c r="BUC1" s="243"/>
      <c r="BUD1" s="243"/>
      <c r="BUE1" s="243"/>
      <c r="BUF1" s="243"/>
      <c r="BUG1" s="243" t="s">
        <v>127</v>
      </c>
      <c r="BUH1" s="243"/>
      <c r="BUI1" s="243"/>
      <c r="BUJ1" s="243"/>
      <c r="BUK1" s="243"/>
      <c r="BUL1" s="243"/>
      <c r="BUM1" s="243"/>
      <c r="BUN1" s="243"/>
      <c r="BUO1" s="243"/>
      <c r="BUP1" s="243"/>
      <c r="BUQ1" s="243"/>
      <c r="BUR1" s="243"/>
      <c r="BUS1" s="243"/>
      <c r="BUT1" s="243"/>
      <c r="BUU1" s="243"/>
      <c r="BUV1" s="243"/>
      <c r="BUW1" s="243" t="s">
        <v>127</v>
      </c>
      <c r="BUX1" s="243"/>
      <c r="BUY1" s="243"/>
      <c r="BUZ1" s="243"/>
      <c r="BVA1" s="243"/>
      <c r="BVB1" s="243"/>
      <c r="BVC1" s="243"/>
      <c r="BVD1" s="243"/>
      <c r="BVE1" s="243"/>
      <c r="BVF1" s="243"/>
      <c r="BVG1" s="243"/>
      <c r="BVH1" s="243"/>
      <c r="BVI1" s="243"/>
      <c r="BVJ1" s="243"/>
      <c r="BVK1" s="243"/>
      <c r="BVL1" s="243"/>
      <c r="BVM1" s="243" t="s">
        <v>127</v>
      </c>
      <c r="BVN1" s="243"/>
      <c r="BVO1" s="243"/>
      <c r="BVP1" s="243"/>
      <c r="BVQ1" s="243"/>
      <c r="BVR1" s="243"/>
      <c r="BVS1" s="243"/>
      <c r="BVT1" s="243"/>
      <c r="BVU1" s="243"/>
      <c r="BVV1" s="243"/>
      <c r="BVW1" s="243"/>
      <c r="BVX1" s="243"/>
      <c r="BVY1" s="243"/>
      <c r="BVZ1" s="243"/>
      <c r="BWA1" s="243"/>
      <c r="BWB1" s="243"/>
      <c r="BWC1" s="243" t="s">
        <v>127</v>
      </c>
      <c r="BWD1" s="243"/>
      <c r="BWE1" s="243"/>
      <c r="BWF1" s="243"/>
      <c r="BWG1" s="243"/>
      <c r="BWH1" s="243"/>
      <c r="BWI1" s="243"/>
      <c r="BWJ1" s="243"/>
      <c r="BWK1" s="243"/>
      <c r="BWL1" s="243"/>
      <c r="BWM1" s="243"/>
      <c r="BWN1" s="243"/>
      <c r="BWO1" s="243"/>
      <c r="BWP1" s="243"/>
      <c r="BWQ1" s="243"/>
      <c r="BWR1" s="243"/>
      <c r="BWS1" s="243" t="s">
        <v>127</v>
      </c>
      <c r="BWT1" s="243"/>
      <c r="BWU1" s="243"/>
      <c r="BWV1" s="243"/>
      <c r="BWW1" s="243"/>
      <c r="BWX1" s="243"/>
      <c r="BWY1" s="243"/>
      <c r="BWZ1" s="243"/>
      <c r="BXA1" s="243"/>
      <c r="BXB1" s="243"/>
      <c r="BXC1" s="243"/>
      <c r="BXD1" s="243"/>
      <c r="BXE1" s="243"/>
      <c r="BXF1" s="243"/>
      <c r="BXG1" s="243"/>
      <c r="BXH1" s="243"/>
      <c r="BXI1" s="243" t="s">
        <v>127</v>
      </c>
      <c r="BXJ1" s="243"/>
      <c r="BXK1" s="243"/>
      <c r="BXL1" s="243"/>
      <c r="BXM1" s="243"/>
      <c r="BXN1" s="243"/>
      <c r="BXO1" s="243"/>
      <c r="BXP1" s="243"/>
      <c r="BXQ1" s="243"/>
      <c r="BXR1" s="243"/>
      <c r="BXS1" s="243"/>
      <c r="BXT1" s="243"/>
      <c r="BXU1" s="243"/>
      <c r="BXV1" s="243"/>
      <c r="BXW1" s="243"/>
      <c r="BXX1" s="243"/>
      <c r="BXY1" s="243" t="s">
        <v>127</v>
      </c>
      <c r="BXZ1" s="243"/>
      <c r="BYA1" s="243"/>
      <c r="BYB1" s="243"/>
      <c r="BYC1" s="243"/>
      <c r="BYD1" s="243"/>
      <c r="BYE1" s="243"/>
      <c r="BYF1" s="243"/>
      <c r="BYG1" s="243"/>
      <c r="BYH1" s="243"/>
      <c r="BYI1" s="243"/>
      <c r="BYJ1" s="243"/>
      <c r="BYK1" s="243"/>
      <c r="BYL1" s="243"/>
      <c r="BYM1" s="243"/>
      <c r="BYN1" s="243"/>
      <c r="BYO1" s="243" t="s">
        <v>127</v>
      </c>
      <c r="BYP1" s="243"/>
      <c r="BYQ1" s="243"/>
      <c r="BYR1" s="243"/>
      <c r="BYS1" s="243"/>
      <c r="BYT1" s="243"/>
      <c r="BYU1" s="243"/>
      <c r="BYV1" s="243"/>
      <c r="BYW1" s="243"/>
      <c r="BYX1" s="243"/>
      <c r="BYY1" s="243"/>
      <c r="BYZ1" s="243"/>
      <c r="BZA1" s="243"/>
      <c r="BZB1" s="243"/>
      <c r="BZC1" s="243"/>
      <c r="BZD1" s="243"/>
      <c r="BZE1" s="243" t="s">
        <v>127</v>
      </c>
      <c r="BZF1" s="243"/>
      <c r="BZG1" s="243"/>
      <c r="BZH1" s="243"/>
      <c r="BZI1" s="243"/>
      <c r="BZJ1" s="243"/>
      <c r="BZK1" s="243"/>
      <c r="BZL1" s="243"/>
      <c r="BZM1" s="243"/>
      <c r="BZN1" s="243"/>
      <c r="BZO1" s="243"/>
      <c r="BZP1" s="243"/>
      <c r="BZQ1" s="243"/>
      <c r="BZR1" s="243"/>
      <c r="BZS1" s="243"/>
      <c r="BZT1" s="243"/>
      <c r="BZU1" s="243" t="s">
        <v>127</v>
      </c>
      <c r="BZV1" s="243"/>
      <c r="BZW1" s="243"/>
      <c r="BZX1" s="243"/>
      <c r="BZY1" s="243"/>
      <c r="BZZ1" s="243"/>
      <c r="CAA1" s="243"/>
      <c r="CAB1" s="243"/>
      <c r="CAC1" s="243"/>
      <c r="CAD1" s="243"/>
      <c r="CAE1" s="243"/>
      <c r="CAF1" s="243"/>
      <c r="CAG1" s="243"/>
      <c r="CAH1" s="243"/>
      <c r="CAI1" s="243"/>
      <c r="CAJ1" s="243"/>
      <c r="CAK1" s="243" t="s">
        <v>127</v>
      </c>
      <c r="CAL1" s="243"/>
      <c r="CAM1" s="243"/>
      <c r="CAN1" s="243"/>
      <c r="CAO1" s="243"/>
      <c r="CAP1" s="243"/>
      <c r="CAQ1" s="243"/>
      <c r="CAR1" s="243"/>
      <c r="CAS1" s="243"/>
      <c r="CAT1" s="243"/>
      <c r="CAU1" s="243"/>
      <c r="CAV1" s="243"/>
      <c r="CAW1" s="243"/>
      <c r="CAX1" s="243"/>
      <c r="CAY1" s="243"/>
      <c r="CAZ1" s="243"/>
      <c r="CBA1" s="243" t="s">
        <v>127</v>
      </c>
      <c r="CBB1" s="243"/>
      <c r="CBC1" s="243"/>
      <c r="CBD1" s="243"/>
      <c r="CBE1" s="243"/>
      <c r="CBF1" s="243"/>
      <c r="CBG1" s="243"/>
      <c r="CBH1" s="243"/>
      <c r="CBI1" s="243"/>
      <c r="CBJ1" s="243"/>
      <c r="CBK1" s="243"/>
      <c r="CBL1" s="243"/>
      <c r="CBM1" s="243"/>
      <c r="CBN1" s="243"/>
      <c r="CBO1" s="243"/>
      <c r="CBP1" s="243"/>
      <c r="CBQ1" s="243" t="s">
        <v>127</v>
      </c>
      <c r="CBR1" s="243"/>
      <c r="CBS1" s="243"/>
      <c r="CBT1" s="243"/>
      <c r="CBU1" s="243"/>
      <c r="CBV1" s="243"/>
      <c r="CBW1" s="243"/>
      <c r="CBX1" s="243"/>
      <c r="CBY1" s="243"/>
      <c r="CBZ1" s="243"/>
      <c r="CCA1" s="243"/>
      <c r="CCB1" s="243"/>
      <c r="CCC1" s="243"/>
      <c r="CCD1" s="243"/>
      <c r="CCE1" s="243"/>
      <c r="CCF1" s="243"/>
      <c r="CCG1" s="243" t="s">
        <v>127</v>
      </c>
      <c r="CCH1" s="243"/>
      <c r="CCI1" s="243"/>
      <c r="CCJ1" s="243"/>
      <c r="CCK1" s="243"/>
      <c r="CCL1" s="243"/>
      <c r="CCM1" s="243"/>
      <c r="CCN1" s="243"/>
      <c r="CCO1" s="243"/>
      <c r="CCP1" s="243"/>
      <c r="CCQ1" s="243"/>
      <c r="CCR1" s="243"/>
      <c r="CCS1" s="243"/>
      <c r="CCT1" s="243"/>
      <c r="CCU1" s="243"/>
      <c r="CCV1" s="243"/>
      <c r="CCW1" s="243" t="s">
        <v>127</v>
      </c>
      <c r="CCX1" s="243"/>
      <c r="CCY1" s="243"/>
      <c r="CCZ1" s="243"/>
      <c r="CDA1" s="243"/>
      <c r="CDB1" s="243"/>
      <c r="CDC1" s="243"/>
      <c r="CDD1" s="243"/>
      <c r="CDE1" s="243"/>
      <c r="CDF1" s="243"/>
      <c r="CDG1" s="243"/>
      <c r="CDH1" s="243"/>
      <c r="CDI1" s="243"/>
      <c r="CDJ1" s="243"/>
      <c r="CDK1" s="243"/>
      <c r="CDL1" s="243"/>
      <c r="CDM1" s="243" t="s">
        <v>127</v>
      </c>
      <c r="CDN1" s="243"/>
      <c r="CDO1" s="243"/>
      <c r="CDP1" s="243"/>
      <c r="CDQ1" s="243"/>
      <c r="CDR1" s="243"/>
      <c r="CDS1" s="243"/>
      <c r="CDT1" s="243"/>
      <c r="CDU1" s="243"/>
      <c r="CDV1" s="243"/>
      <c r="CDW1" s="243"/>
      <c r="CDX1" s="243"/>
      <c r="CDY1" s="243"/>
      <c r="CDZ1" s="243"/>
      <c r="CEA1" s="243"/>
      <c r="CEB1" s="243"/>
      <c r="CEC1" s="243" t="s">
        <v>127</v>
      </c>
      <c r="CED1" s="243"/>
      <c r="CEE1" s="243"/>
      <c r="CEF1" s="243"/>
      <c r="CEG1" s="243"/>
      <c r="CEH1" s="243"/>
      <c r="CEI1" s="243"/>
      <c r="CEJ1" s="243"/>
      <c r="CEK1" s="243"/>
      <c r="CEL1" s="243"/>
      <c r="CEM1" s="243"/>
      <c r="CEN1" s="243"/>
      <c r="CEO1" s="243"/>
      <c r="CEP1" s="243"/>
      <c r="CEQ1" s="243"/>
      <c r="CER1" s="243"/>
      <c r="CES1" s="243" t="s">
        <v>127</v>
      </c>
      <c r="CET1" s="243"/>
      <c r="CEU1" s="243"/>
      <c r="CEV1" s="243"/>
      <c r="CEW1" s="243"/>
      <c r="CEX1" s="243"/>
      <c r="CEY1" s="243"/>
      <c r="CEZ1" s="243"/>
      <c r="CFA1" s="243"/>
      <c r="CFB1" s="243"/>
      <c r="CFC1" s="243"/>
      <c r="CFD1" s="243"/>
      <c r="CFE1" s="243"/>
      <c r="CFF1" s="243"/>
      <c r="CFG1" s="243"/>
      <c r="CFH1" s="243"/>
      <c r="CFI1" s="243" t="s">
        <v>127</v>
      </c>
      <c r="CFJ1" s="243"/>
      <c r="CFK1" s="243"/>
      <c r="CFL1" s="243"/>
      <c r="CFM1" s="243"/>
      <c r="CFN1" s="243"/>
      <c r="CFO1" s="243"/>
      <c r="CFP1" s="243"/>
      <c r="CFQ1" s="243"/>
      <c r="CFR1" s="243"/>
      <c r="CFS1" s="243"/>
      <c r="CFT1" s="243"/>
      <c r="CFU1" s="243"/>
      <c r="CFV1" s="243"/>
      <c r="CFW1" s="243"/>
      <c r="CFX1" s="243"/>
      <c r="CFY1" s="243" t="s">
        <v>127</v>
      </c>
      <c r="CFZ1" s="243"/>
      <c r="CGA1" s="243"/>
      <c r="CGB1" s="243"/>
      <c r="CGC1" s="243"/>
      <c r="CGD1" s="243"/>
      <c r="CGE1" s="243"/>
      <c r="CGF1" s="243"/>
      <c r="CGG1" s="243"/>
      <c r="CGH1" s="243"/>
      <c r="CGI1" s="243"/>
      <c r="CGJ1" s="243"/>
      <c r="CGK1" s="243"/>
      <c r="CGL1" s="243"/>
      <c r="CGM1" s="243"/>
      <c r="CGN1" s="243"/>
      <c r="CGO1" s="243" t="s">
        <v>127</v>
      </c>
      <c r="CGP1" s="243"/>
      <c r="CGQ1" s="243"/>
      <c r="CGR1" s="243"/>
      <c r="CGS1" s="243"/>
      <c r="CGT1" s="243"/>
      <c r="CGU1" s="243"/>
      <c r="CGV1" s="243"/>
      <c r="CGW1" s="243"/>
      <c r="CGX1" s="243"/>
      <c r="CGY1" s="243"/>
      <c r="CGZ1" s="243"/>
      <c r="CHA1" s="243"/>
      <c r="CHB1" s="243"/>
      <c r="CHC1" s="243"/>
      <c r="CHD1" s="243"/>
      <c r="CHE1" s="243" t="s">
        <v>127</v>
      </c>
      <c r="CHF1" s="243"/>
      <c r="CHG1" s="243"/>
      <c r="CHH1" s="243"/>
      <c r="CHI1" s="243"/>
      <c r="CHJ1" s="243"/>
      <c r="CHK1" s="243"/>
      <c r="CHL1" s="243"/>
      <c r="CHM1" s="243"/>
      <c r="CHN1" s="243"/>
      <c r="CHO1" s="243"/>
      <c r="CHP1" s="243"/>
      <c r="CHQ1" s="243"/>
      <c r="CHR1" s="243"/>
      <c r="CHS1" s="243"/>
      <c r="CHT1" s="243"/>
      <c r="CHU1" s="243" t="s">
        <v>127</v>
      </c>
      <c r="CHV1" s="243"/>
      <c r="CHW1" s="243"/>
      <c r="CHX1" s="243"/>
      <c r="CHY1" s="243"/>
      <c r="CHZ1" s="243"/>
      <c r="CIA1" s="243"/>
      <c r="CIB1" s="243"/>
      <c r="CIC1" s="243"/>
      <c r="CID1" s="243"/>
      <c r="CIE1" s="243"/>
      <c r="CIF1" s="243"/>
      <c r="CIG1" s="243"/>
      <c r="CIH1" s="243"/>
      <c r="CII1" s="243"/>
      <c r="CIJ1" s="243"/>
      <c r="CIK1" s="243" t="s">
        <v>127</v>
      </c>
      <c r="CIL1" s="243"/>
      <c r="CIM1" s="243"/>
      <c r="CIN1" s="243"/>
      <c r="CIO1" s="243"/>
      <c r="CIP1" s="243"/>
      <c r="CIQ1" s="243"/>
      <c r="CIR1" s="243"/>
      <c r="CIS1" s="243"/>
      <c r="CIT1" s="243"/>
      <c r="CIU1" s="243"/>
      <c r="CIV1" s="243"/>
      <c r="CIW1" s="243"/>
      <c r="CIX1" s="243"/>
      <c r="CIY1" s="243"/>
      <c r="CIZ1" s="243"/>
      <c r="CJA1" s="243" t="s">
        <v>127</v>
      </c>
      <c r="CJB1" s="243"/>
      <c r="CJC1" s="243"/>
      <c r="CJD1" s="243"/>
      <c r="CJE1" s="243"/>
      <c r="CJF1" s="243"/>
      <c r="CJG1" s="243"/>
      <c r="CJH1" s="243"/>
      <c r="CJI1" s="243"/>
      <c r="CJJ1" s="243"/>
      <c r="CJK1" s="243"/>
      <c r="CJL1" s="243"/>
      <c r="CJM1" s="243"/>
      <c r="CJN1" s="243"/>
      <c r="CJO1" s="243"/>
      <c r="CJP1" s="243"/>
      <c r="CJQ1" s="243" t="s">
        <v>127</v>
      </c>
      <c r="CJR1" s="243"/>
      <c r="CJS1" s="243"/>
      <c r="CJT1" s="243"/>
      <c r="CJU1" s="243"/>
      <c r="CJV1" s="243"/>
      <c r="CJW1" s="243"/>
      <c r="CJX1" s="243"/>
      <c r="CJY1" s="243"/>
      <c r="CJZ1" s="243"/>
      <c r="CKA1" s="243"/>
      <c r="CKB1" s="243"/>
      <c r="CKC1" s="243"/>
      <c r="CKD1" s="243"/>
      <c r="CKE1" s="243"/>
      <c r="CKF1" s="243"/>
      <c r="CKG1" s="243" t="s">
        <v>127</v>
      </c>
      <c r="CKH1" s="243"/>
      <c r="CKI1" s="243"/>
      <c r="CKJ1" s="243"/>
      <c r="CKK1" s="243"/>
      <c r="CKL1" s="243"/>
      <c r="CKM1" s="243"/>
      <c r="CKN1" s="243"/>
      <c r="CKO1" s="243"/>
      <c r="CKP1" s="243"/>
      <c r="CKQ1" s="243"/>
      <c r="CKR1" s="243"/>
      <c r="CKS1" s="243"/>
      <c r="CKT1" s="243"/>
      <c r="CKU1" s="243"/>
      <c r="CKV1" s="243"/>
      <c r="CKW1" s="243" t="s">
        <v>127</v>
      </c>
      <c r="CKX1" s="243"/>
      <c r="CKY1" s="243"/>
      <c r="CKZ1" s="243"/>
      <c r="CLA1" s="243"/>
      <c r="CLB1" s="243"/>
      <c r="CLC1" s="243"/>
      <c r="CLD1" s="243"/>
      <c r="CLE1" s="243"/>
      <c r="CLF1" s="243"/>
      <c r="CLG1" s="243"/>
      <c r="CLH1" s="243"/>
      <c r="CLI1" s="243"/>
      <c r="CLJ1" s="243"/>
      <c r="CLK1" s="243"/>
      <c r="CLL1" s="243"/>
      <c r="CLM1" s="243" t="s">
        <v>127</v>
      </c>
      <c r="CLN1" s="243"/>
      <c r="CLO1" s="243"/>
      <c r="CLP1" s="243"/>
      <c r="CLQ1" s="243"/>
      <c r="CLR1" s="243"/>
      <c r="CLS1" s="243"/>
      <c r="CLT1" s="243"/>
      <c r="CLU1" s="243"/>
      <c r="CLV1" s="243"/>
      <c r="CLW1" s="243"/>
      <c r="CLX1" s="243"/>
      <c r="CLY1" s="243"/>
      <c r="CLZ1" s="243"/>
      <c r="CMA1" s="243"/>
      <c r="CMB1" s="243"/>
      <c r="CMC1" s="243" t="s">
        <v>127</v>
      </c>
      <c r="CMD1" s="243"/>
      <c r="CME1" s="243"/>
      <c r="CMF1" s="243"/>
      <c r="CMG1" s="243"/>
      <c r="CMH1" s="243"/>
      <c r="CMI1" s="243"/>
      <c r="CMJ1" s="243"/>
      <c r="CMK1" s="243"/>
      <c r="CML1" s="243"/>
      <c r="CMM1" s="243"/>
      <c r="CMN1" s="243"/>
      <c r="CMO1" s="243"/>
      <c r="CMP1" s="243"/>
      <c r="CMQ1" s="243"/>
      <c r="CMR1" s="243"/>
      <c r="CMS1" s="243" t="s">
        <v>127</v>
      </c>
      <c r="CMT1" s="243"/>
      <c r="CMU1" s="243"/>
      <c r="CMV1" s="243"/>
      <c r="CMW1" s="243"/>
      <c r="CMX1" s="243"/>
      <c r="CMY1" s="243"/>
      <c r="CMZ1" s="243"/>
      <c r="CNA1" s="243"/>
      <c r="CNB1" s="243"/>
      <c r="CNC1" s="243"/>
      <c r="CND1" s="243"/>
      <c r="CNE1" s="243"/>
      <c r="CNF1" s="243"/>
      <c r="CNG1" s="243"/>
      <c r="CNH1" s="243"/>
      <c r="CNI1" s="243" t="s">
        <v>127</v>
      </c>
      <c r="CNJ1" s="243"/>
      <c r="CNK1" s="243"/>
      <c r="CNL1" s="243"/>
      <c r="CNM1" s="243"/>
      <c r="CNN1" s="243"/>
      <c r="CNO1" s="243"/>
      <c r="CNP1" s="243"/>
      <c r="CNQ1" s="243"/>
      <c r="CNR1" s="243"/>
      <c r="CNS1" s="243"/>
      <c r="CNT1" s="243"/>
      <c r="CNU1" s="243"/>
      <c r="CNV1" s="243"/>
      <c r="CNW1" s="243"/>
      <c r="CNX1" s="243"/>
      <c r="CNY1" s="243" t="s">
        <v>127</v>
      </c>
      <c r="CNZ1" s="243"/>
      <c r="COA1" s="243"/>
      <c r="COB1" s="243"/>
      <c r="COC1" s="243"/>
      <c r="COD1" s="243"/>
      <c r="COE1" s="243"/>
      <c r="COF1" s="243"/>
      <c r="COG1" s="243"/>
      <c r="COH1" s="243"/>
      <c r="COI1" s="243"/>
      <c r="COJ1" s="243"/>
      <c r="COK1" s="243"/>
      <c r="COL1" s="243"/>
      <c r="COM1" s="243"/>
      <c r="CON1" s="243"/>
      <c r="COO1" s="243" t="s">
        <v>127</v>
      </c>
      <c r="COP1" s="243"/>
      <c r="COQ1" s="243"/>
      <c r="COR1" s="243"/>
      <c r="COS1" s="243"/>
      <c r="COT1" s="243"/>
      <c r="COU1" s="243"/>
      <c r="COV1" s="243"/>
      <c r="COW1" s="243"/>
      <c r="COX1" s="243"/>
      <c r="COY1" s="243"/>
      <c r="COZ1" s="243"/>
      <c r="CPA1" s="243"/>
      <c r="CPB1" s="243"/>
      <c r="CPC1" s="243"/>
      <c r="CPD1" s="243"/>
      <c r="CPE1" s="243" t="s">
        <v>127</v>
      </c>
      <c r="CPF1" s="243"/>
      <c r="CPG1" s="243"/>
      <c r="CPH1" s="243"/>
      <c r="CPI1" s="243"/>
      <c r="CPJ1" s="243"/>
      <c r="CPK1" s="243"/>
      <c r="CPL1" s="243"/>
      <c r="CPM1" s="243"/>
      <c r="CPN1" s="243"/>
      <c r="CPO1" s="243"/>
      <c r="CPP1" s="243"/>
      <c r="CPQ1" s="243"/>
      <c r="CPR1" s="243"/>
      <c r="CPS1" s="243"/>
      <c r="CPT1" s="243"/>
      <c r="CPU1" s="243" t="s">
        <v>127</v>
      </c>
      <c r="CPV1" s="243"/>
      <c r="CPW1" s="243"/>
      <c r="CPX1" s="243"/>
      <c r="CPY1" s="243"/>
      <c r="CPZ1" s="243"/>
      <c r="CQA1" s="243"/>
      <c r="CQB1" s="243"/>
      <c r="CQC1" s="243"/>
      <c r="CQD1" s="243"/>
      <c r="CQE1" s="243"/>
      <c r="CQF1" s="243"/>
      <c r="CQG1" s="243"/>
      <c r="CQH1" s="243"/>
      <c r="CQI1" s="243"/>
      <c r="CQJ1" s="243"/>
      <c r="CQK1" s="243" t="s">
        <v>127</v>
      </c>
      <c r="CQL1" s="243"/>
      <c r="CQM1" s="243"/>
      <c r="CQN1" s="243"/>
      <c r="CQO1" s="243"/>
      <c r="CQP1" s="243"/>
      <c r="CQQ1" s="243"/>
      <c r="CQR1" s="243"/>
      <c r="CQS1" s="243"/>
      <c r="CQT1" s="243"/>
      <c r="CQU1" s="243"/>
      <c r="CQV1" s="243"/>
      <c r="CQW1" s="243"/>
      <c r="CQX1" s="243"/>
      <c r="CQY1" s="243"/>
      <c r="CQZ1" s="243"/>
      <c r="CRA1" s="243" t="s">
        <v>127</v>
      </c>
      <c r="CRB1" s="243"/>
      <c r="CRC1" s="243"/>
      <c r="CRD1" s="243"/>
      <c r="CRE1" s="243"/>
      <c r="CRF1" s="243"/>
      <c r="CRG1" s="243"/>
      <c r="CRH1" s="243"/>
      <c r="CRI1" s="243"/>
      <c r="CRJ1" s="243"/>
      <c r="CRK1" s="243"/>
      <c r="CRL1" s="243"/>
      <c r="CRM1" s="243"/>
      <c r="CRN1" s="243"/>
      <c r="CRO1" s="243"/>
      <c r="CRP1" s="243"/>
      <c r="CRQ1" s="243" t="s">
        <v>127</v>
      </c>
      <c r="CRR1" s="243"/>
      <c r="CRS1" s="243"/>
      <c r="CRT1" s="243"/>
      <c r="CRU1" s="243"/>
      <c r="CRV1" s="243"/>
      <c r="CRW1" s="243"/>
      <c r="CRX1" s="243"/>
      <c r="CRY1" s="243"/>
      <c r="CRZ1" s="243"/>
      <c r="CSA1" s="243"/>
      <c r="CSB1" s="243"/>
      <c r="CSC1" s="243"/>
      <c r="CSD1" s="243"/>
      <c r="CSE1" s="243"/>
      <c r="CSF1" s="243"/>
      <c r="CSG1" s="243" t="s">
        <v>127</v>
      </c>
      <c r="CSH1" s="243"/>
      <c r="CSI1" s="243"/>
      <c r="CSJ1" s="243"/>
      <c r="CSK1" s="243"/>
      <c r="CSL1" s="243"/>
      <c r="CSM1" s="243"/>
      <c r="CSN1" s="243"/>
      <c r="CSO1" s="243"/>
      <c r="CSP1" s="243"/>
      <c r="CSQ1" s="243"/>
      <c r="CSR1" s="243"/>
      <c r="CSS1" s="243"/>
      <c r="CST1" s="243"/>
      <c r="CSU1" s="243"/>
      <c r="CSV1" s="243"/>
      <c r="CSW1" s="243" t="s">
        <v>127</v>
      </c>
      <c r="CSX1" s="243"/>
      <c r="CSY1" s="243"/>
      <c r="CSZ1" s="243"/>
      <c r="CTA1" s="243"/>
      <c r="CTB1" s="243"/>
      <c r="CTC1" s="243"/>
      <c r="CTD1" s="243"/>
      <c r="CTE1" s="243"/>
      <c r="CTF1" s="243"/>
      <c r="CTG1" s="243"/>
      <c r="CTH1" s="243"/>
      <c r="CTI1" s="243"/>
      <c r="CTJ1" s="243"/>
      <c r="CTK1" s="243"/>
      <c r="CTL1" s="243"/>
      <c r="CTM1" s="243" t="s">
        <v>127</v>
      </c>
      <c r="CTN1" s="243"/>
      <c r="CTO1" s="243"/>
      <c r="CTP1" s="243"/>
      <c r="CTQ1" s="243"/>
      <c r="CTR1" s="243"/>
      <c r="CTS1" s="243"/>
      <c r="CTT1" s="243"/>
      <c r="CTU1" s="243"/>
      <c r="CTV1" s="243"/>
      <c r="CTW1" s="243"/>
      <c r="CTX1" s="243"/>
      <c r="CTY1" s="243"/>
      <c r="CTZ1" s="243"/>
      <c r="CUA1" s="243"/>
      <c r="CUB1" s="243"/>
      <c r="CUC1" s="243" t="s">
        <v>127</v>
      </c>
      <c r="CUD1" s="243"/>
      <c r="CUE1" s="243"/>
      <c r="CUF1" s="243"/>
      <c r="CUG1" s="243"/>
      <c r="CUH1" s="243"/>
      <c r="CUI1" s="243"/>
      <c r="CUJ1" s="243"/>
      <c r="CUK1" s="243"/>
      <c r="CUL1" s="243"/>
      <c r="CUM1" s="243"/>
      <c r="CUN1" s="243"/>
      <c r="CUO1" s="243"/>
      <c r="CUP1" s="243"/>
      <c r="CUQ1" s="243"/>
      <c r="CUR1" s="243"/>
      <c r="CUS1" s="243" t="s">
        <v>127</v>
      </c>
      <c r="CUT1" s="243"/>
      <c r="CUU1" s="243"/>
      <c r="CUV1" s="243"/>
      <c r="CUW1" s="243"/>
      <c r="CUX1" s="243"/>
      <c r="CUY1" s="243"/>
      <c r="CUZ1" s="243"/>
      <c r="CVA1" s="243"/>
      <c r="CVB1" s="243"/>
      <c r="CVC1" s="243"/>
      <c r="CVD1" s="243"/>
      <c r="CVE1" s="243"/>
      <c r="CVF1" s="243"/>
      <c r="CVG1" s="243"/>
      <c r="CVH1" s="243"/>
      <c r="CVI1" s="243" t="s">
        <v>127</v>
      </c>
      <c r="CVJ1" s="243"/>
      <c r="CVK1" s="243"/>
      <c r="CVL1" s="243"/>
      <c r="CVM1" s="243"/>
      <c r="CVN1" s="243"/>
      <c r="CVO1" s="243"/>
      <c r="CVP1" s="243"/>
      <c r="CVQ1" s="243"/>
      <c r="CVR1" s="243"/>
      <c r="CVS1" s="243"/>
      <c r="CVT1" s="243"/>
      <c r="CVU1" s="243"/>
      <c r="CVV1" s="243"/>
      <c r="CVW1" s="243"/>
      <c r="CVX1" s="243"/>
      <c r="CVY1" s="243" t="s">
        <v>127</v>
      </c>
      <c r="CVZ1" s="243"/>
      <c r="CWA1" s="243"/>
      <c r="CWB1" s="243"/>
      <c r="CWC1" s="243"/>
      <c r="CWD1" s="243"/>
      <c r="CWE1" s="243"/>
      <c r="CWF1" s="243"/>
      <c r="CWG1" s="243"/>
      <c r="CWH1" s="243"/>
      <c r="CWI1" s="243"/>
      <c r="CWJ1" s="243"/>
      <c r="CWK1" s="243"/>
      <c r="CWL1" s="243"/>
      <c r="CWM1" s="243"/>
      <c r="CWN1" s="243"/>
      <c r="CWO1" s="243" t="s">
        <v>127</v>
      </c>
      <c r="CWP1" s="243"/>
      <c r="CWQ1" s="243"/>
      <c r="CWR1" s="243"/>
      <c r="CWS1" s="243"/>
      <c r="CWT1" s="243"/>
      <c r="CWU1" s="243"/>
      <c r="CWV1" s="243"/>
      <c r="CWW1" s="243"/>
      <c r="CWX1" s="243"/>
      <c r="CWY1" s="243"/>
      <c r="CWZ1" s="243"/>
      <c r="CXA1" s="243"/>
      <c r="CXB1" s="243"/>
      <c r="CXC1" s="243"/>
      <c r="CXD1" s="243"/>
      <c r="CXE1" s="243" t="s">
        <v>127</v>
      </c>
      <c r="CXF1" s="243"/>
      <c r="CXG1" s="243"/>
      <c r="CXH1" s="243"/>
      <c r="CXI1" s="243"/>
      <c r="CXJ1" s="243"/>
      <c r="CXK1" s="243"/>
      <c r="CXL1" s="243"/>
      <c r="CXM1" s="243"/>
      <c r="CXN1" s="243"/>
      <c r="CXO1" s="243"/>
      <c r="CXP1" s="243"/>
      <c r="CXQ1" s="243"/>
      <c r="CXR1" s="243"/>
      <c r="CXS1" s="243"/>
      <c r="CXT1" s="243"/>
      <c r="CXU1" s="243" t="s">
        <v>127</v>
      </c>
      <c r="CXV1" s="243"/>
      <c r="CXW1" s="243"/>
      <c r="CXX1" s="243"/>
      <c r="CXY1" s="243"/>
      <c r="CXZ1" s="243"/>
      <c r="CYA1" s="243"/>
      <c r="CYB1" s="243"/>
      <c r="CYC1" s="243"/>
      <c r="CYD1" s="243"/>
      <c r="CYE1" s="243"/>
      <c r="CYF1" s="243"/>
      <c r="CYG1" s="243"/>
      <c r="CYH1" s="243"/>
      <c r="CYI1" s="243"/>
      <c r="CYJ1" s="243"/>
      <c r="CYK1" s="243" t="s">
        <v>127</v>
      </c>
      <c r="CYL1" s="243"/>
      <c r="CYM1" s="243"/>
      <c r="CYN1" s="243"/>
      <c r="CYO1" s="243"/>
      <c r="CYP1" s="243"/>
      <c r="CYQ1" s="243"/>
      <c r="CYR1" s="243"/>
      <c r="CYS1" s="243"/>
      <c r="CYT1" s="243"/>
      <c r="CYU1" s="243"/>
      <c r="CYV1" s="243"/>
      <c r="CYW1" s="243"/>
      <c r="CYX1" s="243"/>
      <c r="CYY1" s="243"/>
      <c r="CYZ1" s="243"/>
      <c r="CZA1" s="243" t="s">
        <v>127</v>
      </c>
      <c r="CZB1" s="243"/>
      <c r="CZC1" s="243"/>
      <c r="CZD1" s="243"/>
      <c r="CZE1" s="243"/>
      <c r="CZF1" s="243"/>
      <c r="CZG1" s="243"/>
      <c r="CZH1" s="243"/>
      <c r="CZI1" s="243"/>
      <c r="CZJ1" s="243"/>
      <c r="CZK1" s="243"/>
      <c r="CZL1" s="243"/>
      <c r="CZM1" s="243"/>
      <c r="CZN1" s="243"/>
      <c r="CZO1" s="243"/>
      <c r="CZP1" s="243"/>
      <c r="CZQ1" s="243" t="s">
        <v>127</v>
      </c>
      <c r="CZR1" s="243"/>
      <c r="CZS1" s="243"/>
      <c r="CZT1" s="243"/>
      <c r="CZU1" s="243"/>
      <c r="CZV1" s="243"/>
      <c r="CZW1" s="243"/>
      <c r="CZX1" s="243"/>
      <c r="CZY1" s="243"/>
      <c r="CZZ1" s="243"/>
      <c r="DAA1" s="243"/>
      <c r="DAB1" s="243"/>
      <c r="DAC1" s="243"/>
      <c r="DAD1" s="243"/>
      <c r="DAE1" s="243"/>
      <c r="DAF1" s="243"/>
      <c r="DAG1" s="243" t="s">
        <v>127</v>
      </c>
      <c r="DAH1" s="243"/>
      <c r="DAI1" s="243"/>
      <c r="DAJ1" s="243"/>
      <c r="DAK1" s="243"/>
      <c r="DAL1" s="243"/>
      <c r="DAM1" s="243"/>
      <c r="DAN1" s="243"/>
      <c r="DAO1" s="243"/>
      <c r="DAP1" s="243"/>
      <c r="DAQ1" s="243"/>
      <c r="DAR1" s="243"/>
      <c r="DAS1" s="243"/>
      <c r="DAT1" s="243"/>
      <c r="DAU1" s="243"/>
      <c r="DAV1" s="243"/>
      <c r="DAW1" s="243" t="s">
        <v>127</v>
      </c>
      <c r="DAX1" s="243"/>
      <c r="DAY1" s="243"/>
      <c r="DAZ1" s="243"/>
      <c r="DBA1" s="243"/>
      <c r="DBB1" s="243"/>
      <c r="DBC1" s="243"/>
      <c r="DBD1" s="243"/>
      <c r="DBE1" s="243"/>
      <c r="DBF1" s="243"/>
      <c r="DBG1" s="243"/>
      <c r="DBH1" s="243"/>
      <c r="DBI1" s="243"/>
      <c r="DBJ1" s="243"/>
      <c r="DBK1" s="243"/>
      <c r="DBL1" s="243"/>
      <c r="DBM1" s="243" t="s">
        <v>127</v>
      </c>
      <c r="DBN1" s="243"/>
      <c r="DBO1" s="243"/>
      <c r="DBP1" s="243"/>
      <c r="DBQ1" s="243"/>
      <c r="DBR1" s="243"/>
      <c r="DBS1" s="243"/>
      <c r="DBT1" s="243"/>
      <c r="DBU1" s="243"/>
      <c r="DBV1" s="243"/>
      <c r="DBW1" s="243"/>
      <c r="DBX1" s="243"/>
      <c r="DBY1" s="243"/>
      <c r="DBZ1" s="243"/>
      <c r="DCA1" s="243"/>
      <c r="DCB1" s="243"/>
      <c r="DCC1" s="243" t="s">
        <v>127</v>
      </c>
      <c r="DCD1" s="243"/>
      <c r="DCE1" s="243"/>
      <c r="DCF1" s="243"/>
      <c r="DCG1" s="243"/>
      <c r="DCH1" s="243"/>
      <c r="DCI1" s="243"/>
      <c r="DCJ1" s="243"/>
      <c r="DCK1" s="243"/>
      <c r="DCL1" s="243"/>
      <c r="DCM1" s="243"/>
      <c r="DCN1" s="243"/>
      <c r="DCO1" s="243"/>
      <c r="DCP1" s="243"/>
      <c r="DCQ1" s="243"/>
      <c r="DCR1" s="243"/>
      <c r="DCS1" s="243" t="s">
        <v>127</v>
      </c>
      <c r="DCT1" s="243"/>
      <c r="DCU1" s="243"/>
      <c r="DCV1" s="243"/>
      <c r="DCW1" s="243"/>
      <c r="DCX1" s="243"/>
      <c r="DCY1" s="243"/>
      <c r="DCZ1" s="243"/>
      <c r="DDA1" s="243"/>
      <c r="DDB1" s="243"/>
      <c r="DDC1" s="243"/>
      <c r="DDD1" s="243"/>
      <c r="DDE1" s="243"/>
      <c r="DDF1" s="243"/>
      <c r="DDG1" s="243"/>
      <c r="DDH1" s="243"/>
      <c r="DDI1" s="243" t="s">
        <v>127</v>
      </c>
      <c r="DDJ1" s="243"/>
      <c r="DDK1" s="243"/>
      <c r="DDL1" s="243"/>
      <c r="DDM1" s="243"/>
      <c r="DDN1" s="243"/>
      <c r="DDO1" s="243"/>
      <c r="DDP1" s="243"/>
      <c r="DDQ1" s="243"/>
      <c r="DDR1" s="243"/>
      <c r="DDS1" s="243"/>
      <c r="DDT1" s="243"/>
      <c r="DDU1" s="243"/>
      <c r="DDV1" s="243"/>
      <c r="DDW1" s="243"/>
      <c r="DDX1" s="243"/>
      <c r="DDY1" s="243" t="s">
        <v>127</v>
      </c>
      <c r="DDZ1" s="243"/>
      <c r="DEA1" s="243"/>
      <c r="DEB1" s="243"/>
      <c r="DEC1" s="243"/>
      <c r="DED1" s="243"/>
      <c r="DEE1" s="243"/>
      <c r="DEF1" s="243"/>
      <c r="DEG1" s="243"/>
      <c r="DEH1" s="243"/>
      <c r="DEI1" s="243"/>
      <c r="DEJ1" s="243"/>
      <c r="DEK1" s="243"/>
      <c r="DEL1" s="243"/>
      <c r="DEM1" s="243"/>
      <c r="DEN1" s="243"/>
      <c r="DEO1" s="243" t="s">
        <v>127</v>
      </c>
      <c r="DEP1" s="243"/>
      <c r="DEQ1" s="243"/>
      <c r="DER1" s="243"/>
      <c r="DES1" s="243"/>
      <c r="DET1" s="243"/>
      <c r="DEU1" s="243"/>
      <c r="DEV1" s="243"/>
      <c r="DEW1" s="243"/>
      <c r="DEX1" s="243"/>
      <c r="DEY1" s="243"/>
      <c r="DEZ1" s="243"/>
      <c r="DFA1" s="243"/>
      <c r="DFB1" s="243"/>
      <c r="DFC1" s="243"/>
      <c r="DFD1" s="243"/>
      <c r="DFE1" s="243" t="s">
        <v>127</v>
      </c>
      <c r="DFF1" s="243"/>
      <c r="DFG1" s="243"/>
      <c r="DFH1" s="243"/>
      <c r="DFI1" s="243"/>
      <c r="DFJ1" s="243"/>
      <c r="DFK1" s="243"/>
      <c r="DFL1" s="243"/>
      <c r="DFM1" s="243"/>
      <c r="DFN1" s="243"/>
      <c r="DFO1" s="243"/>
      <c r="DFP1" s="243"/>
      <c r="DFQ1" s="243"/>
      <c r="DFR1" s="243"/>
      <c r="DFS1" s="243"/>
      <c r="DFT1" s="243"/>
      <c r="DFU1" s="243" t="s">
        <v>127</v>
      </c>
      <c r="DFV1" s="243"/>
      <c r="DFW1" s="243"/>
      <c r="DFX1" s="243"/>
      <c r="DFY1" s="243"/>
      <c r="DFZ1" s="243"/>
      <c r="DGA1" s="243"/>
      <c r="DGB1" s="243"/>
      <c r="DGC1" s="243"/>
      <c r="DGD1" s="243"/>
      <c r="DGE1" s="243"/>
      <c r="DGF1" s="243"/>
      <c r="DGG1" s="243"/>
      <c r="DGH1" s="243"/>
      <c r="DGI1" s="243"/>
      <c r="DGJ1" s="243"/>
      <c r="DGK1" s="243" t="s">
        <v>127</v>
      </c>
      <c r="DGL1" s="243"/>
      <c r="DGM1" s="243"/>
      <c r="DGN1" s="243"/>
      <c r="DGO1" s="243"/>
      <c r="DGP1" s="243"/>
      <c r="DGQ1" s="243"/>
      <c r="DGR1" s="243"/>
      <c r="DGS1" s="243"/>
      <c r="DGT1" s="243"/>
      <c r="DGU1" s="243"/>
      <c r="DGV1" s="243"/>
      <c r="DGW1" s="243"/>
      <c r="DGX1" s="243"/>
      <c r="DGY1" s="243"/>
      <c r="DGZ1" s="243"/>
      <c r="DHA1" s="243" t="s">
        <v>127</v>
      </c>
      <c r="DHB1" s="243"/>
      <c r="DHC1" s="243"/>
      <c r="DHD1" s="243"/>
      <c r="DHE1" s="243"/>
      <c r="DHF1" s="243"/>
      <c r="DHG1" s="243"/>
      <c r="DHH1" s="243"/>
      <c r="DHI1" s="243"/>
      <c r="DHJ1" s="243"/>
      <c r="DHK1" s="243"/>
      <c r="DHL1" s="243"/>
      <c r="DHM1" s="243"/>
      <c r="DHN1" s="243"/>
      <c r="DHO1" s="243"/>
      <c r="DHP1" s="243"/>
      <c r="DHQ1" s="243" t="s">
        <v>127</v>
      </c>
      <c r="DHR1" s="243"/>
      <c r="DHS1" s="243"/>
      <c r="DHT1" s="243"/>
      <c r="DHU1" s="243"/>
      <c r="DHV1" s="243"/>
      <c r="DHW1" s="243"/>
      <c r="DHX1" s="243"/>
      <c r="DHY1" s="243"/>
      <c r="DHZ1" s="243"/>
      <c r="DIA1" s="243"/>
      <c r="DIB1" s="243"/>
      <c r="DIC1" s="243"/>
      <c r="DID1" s="243"/>
      <c r="DIE1" s="243"/>
      <c r="DIF1" s="243"/>
      <c r="DIG1" s="243" t="s">
        <v>127</v>
      </c>
      <c r="DIH1" s="243"/>
      <c r="DII1" s="243"/>
      <c r="DIJ1" s="243"/>
      <c r="DIK1" s="243"/>
      <c r="DIL1" s="243"/>
      <c r="DIM1" s="243"/>
      <c r="DIN1" s="243"/>
      <c r="DIO1" s="243"/>
      <c r="DIP1" s="243"/>
      <c r="DIQ1" s="243"/>
      <c r="DIR1" s="243"/>
      <c r="DIS1" s="243"/>
      <c r="DIT1" s="243"/>
      <c r="DIU1" s="243"/>
      <c r="DIV1" s="243"/>
      <c r="DIW1" s="243" t="s">
        <v>127</v>
      </c>
      <c r="DIX1" s="243"/>
      <c r="DIY1" s="243"/>
      <c r="DIZ1" s="243"/>
      <c r="DJA1" s="243"/>
      <c r="DJB1" s="243"/>
      <c r="DJC1" s="243"/>
      <c r="DJD1" s="243"/>
      <c r="DJE1" s="243"/>
      <c r="DJF1" s="243"/>
      <c r="DJG1" s="243"/>
      <c r="DJH1" s="243"/>
      <c r="DJI1" s="243"/>
      <c r="DJJ1" s="243"/>
      <c r="DJK1" s="243"/>
      <c r="DJL1" s="243"/>
      <c r="DJM1" s="243" t="s">
        <v>127</v>
      </c>
      <c r="DJN1" s="243"/>
      <c r="DJO1" s="243"/>
      <c r="DJP1" s="243"/>
      <c r="DJQ1" s="243"/>
      <c r="DJR1" s="243"/>
      <c r="DJS1" s="243"/>
      <c r="DJT1" s="243"/>
      <c r="DJU1" s="243"/>
      <c r="DJV1" s="243"/>
      <c r="DJW1" s="243"/>
      <c r="DJX1" s="243"/>
      <c r="DJY1" s="243"/>
      <c r="DJZ1" s="243"/>
      <c r="DKA1" s="243"/>
      <c r="DKB1" s="243"/>
      <c r="DKC1" s="243" t="s">
        <v>127</v>
      </c>
      <c r="DKD1" s="243"/>
      <c r="DKE1" s="243"/>
      <c r="DKF1" s="243"/>
      <c r="DKG1" s="243"/>
      <c r="DKH1" s="243"/>
      <c r="DKI1" s="243"/>
      <c r="DKJ1" s="243"/>
      <c r="DKK1" s="243"/>
      <c r="DKL1" s="243"/>
      <c r="DKM1" s="243"/>
      <c r="DKN1" s="243"/>
      <c r="DKO1" s="243"/>
      <c r="DKP1" s="243"/>
      <c r="DKQ1" s="243"/>
      <c r="DKR1" s="243"/>
      <c r="DKS1" s="243" t="s">
        <v>127</v>
      </c>
      <c r="DKT1" s="243"/>
      <c r="DKU1" s="243"/>
      <c r="DKV1" s="243"/>
      <c r="DKW1" s="243"/>
      <c r="DKX1" s="243"/>
      <c r="DKY1" s="243"/>
      <c r="DKZ1" s="243"/>
      <c r="DLA1" s="243"/>
      <c r="DLB1" s="243"/>
      <c r="DLC1" s="243"/>
      <c r="DLD1" s="243"/>
      <c r="DLE1" s="243"/>
      <c r="DLF1" s="243"/>
      <c r="DLG1" s="243"/>
      <c r="DLH1" s="243"/>
      <c r="DLI1" s="243" t="s">
        <v>127</v>
      </c>
      <c r="DLJ1" s="243"/>
      <c r="DLK1" s="243"/>
      <c r="DLL1" s="243"/>
      <c r="DLM1" s="243"/>
      <c r="DLN1" s="243"/>
      <c r="DLO1" s="243"/>
      <c r="DLP1" s="243"/>
      <c r="DLQ1" s="243"/>
      <c r="DLR1" s="243"/>
      <c r="DLS1" s="243"/>
      <c r="DLT1" s="243"/>
      <c r="DLU1" s="243"/>
      <c r="DLV1" s="243"/>
      <c r="DLW1" s="243"/>
      <c r="DLX1" s="243"/>
      <c r="DLY1" s="243" t="s">
        <v>127</v>
      </c>
      <c r="DLZ1" s="243"/>
      <c r="DMA1" s="243"/>
      <c r="DMB1" s="243"/>
      <c r="DMC1" s="243"/>
      <c r="DMD1" s="243"/>
      <c r="DME1" s="243"/>
      <c r="DMF1" s="243"/>
      <c r="DMG1" s="243"/>
      <c r="DMH1" s="243"/>
      <c r="DMI1" s="243"/>
      <c r="DMJ1" s="243"/>
      <c r="DMK1" s="243"/>
      <c r="DML1" s="243"/>
      <c r="DMM1" s="243"/>
      <c r="DMN1" s="243"/>
      <c r="DMO1" s="243" t="s">
        <v>127</v>
      </c>
      <c r="DMP1" s="243"/>
      <c r="DMQ1" s="243"/>
      <c r="DMR1" s="243"/>
      <c r="DMS1" s="243"/>
      <c r="DMT1" s="243"/>
      <c r="DMU1" s="243"/>
      <c r="DMV1" s="243"/>
      <c r="DMW1" s="243"/>
      <c r="DMX1" s="243"/>
      <c r="DMY1" s="243"/>
      <c r="DMZ1" s="243"/>
      <c r="DNA1" s="243"/>
      <c r="DNB1" s="243"/>
      <c r="DNC1" s="243"/>
      <c r="DND1" s="243"/>
      <c r="DNE1" s="243" t="s">
        <v>127</v>
      </c>
      <c r="DNF1" s="243"/>
      <c r="DNG1" s="243"/>
      <c r="DNH1" s="243"/>
      <c r="DNI1" s="243"/>
      <c r="DNJ1" s="243"/>
      <c r="DNK1" s="243"/>
      <c r="DNL1" s="243"/>
      <c r="DNM1" s="243"/>
      <c r="DNN1" s="243"/>
      <c r="DNO1" s="243"/>
      <c r="DNP1" s="243"/>
      <c r="DNQ1" s="243"/>
      <c r="DNR1" s="243"/>
      <c r="DNS1" s="243"/>
      <c r="DNT1" s="243"/>
      <c r="DNU1" s="243" t="s">
        <v>127</v>
      </c>
      <c r="DNV1" s="243"/>
      <c r="DNW1" s="243"/>
      <c r="DNX1" s="243"/>
      <c r="DNY1" s="243"/>
      <c r="DNZ1" s="243"/>
      <c r="DOA1" s="243"/>
      <c r="DOB1" s="243"/>
      <c r="DOC1" s="243"/>
      <c r="DOD1" s="243"/>
      <c r="DOE1" s="243"/>
      <c r="DOF1" s="243"/>
      <c r="DOG1" s="243"/>
      <c r="DOH1" s="243"/>
      <c r="DOI1" s="243"/>
      <c r="DOJ1" s="243"/>
      <c r="DOK1" s="243" t="s">
        <v>127</v>
      </c>
      <c r="DOL1" s="243"/>
      <c r="DOM1" s="243"/>
      <c r="DON1" s="243"/>
      <c r="DOO1" s="243"/>
      <c r="DOP1" s="243"/>
      <c r="DOQ1" s="243"/>
      <c r="DOR1" s="243"/>
      <c r="DOS1" s="243"/>
      <c r="DOT1" s="243"/>
      <c r="DOU1" s="243"/>
      <c r="DOV1" s="243"/>
      <c r="DOW1" s="243"/>
      <c r="DOX1" s="243"/>
      <c r="DOY1" s="243"/>
      <c r="DOZ1" s="243"/>
      <c r="DPA1" s="243" t="s">
        <v>127</v>
      </c>
      <c r="DPB1" s="243"/>
      <c r="DPC1" s="243"/>
      <c r="DPD1" s="243"/>
      <c r="DPE1" s="243"/>
      <c r="DPF1" s="243"/>
      <c r="DPG1" s="243"/>
      <c r="DPH1" s="243"/>
      <c r="DPI1" s="243"/>
      <c r="DPJ1" s="243"/>
      <c r="DPK1" s="243"/>
      <c r="DPL1" s="243"/>
      <c r="DPM1" s="243"/>
      <c r="DPN1" s="243"/>
      <c r="DPO1" s="243"/>
      <c r="DPP1" s="243"/>
      <c r="DPQ1" s="243" t="s">
        <v>127</v>
      </c>
      <c r="DPR1" s="243"/>
      <c r="DPS1" s="243"/>
      <c r="DPT1" s="243"/>
      <c r="DPU1" s="243"/>
      <c r="DPV1" s="243"/>
      <c r="DPW1" s="243"/>
      <c r="DPX1" s="243"/>
      <c r="DPY1" s="243"/>
      <c r="DPZ1" s="243"/>
      <c r="DQA1" s="243"/>
      <c r="DQB1" s="243"/>
      <c r="DQC1" s="243"/>
      <c r="DQD1" s="243"/>
      <c r="DQE1" s="243"/>
      <c r="DQF1" s="243"/>
      <c r="DQG1" s="243" t="s">
        <v>127</v>
      </c>
      <c r="DQH1" s="243"/>
      <c r="DQI1" s="243"/>
      <c r="DQJ1" s="243"/>
      <c r="DQK1" s="243"/>
      <c r="DQL1" s="243"/>
      <c r="DQM1" s="243"/>
      <c r="DQN1" s="243"/>
      <c r="DQO1" s="243"/>
      <c r="DQP1" s="243"/>
      <c r="DQQ1" s="243"/>
      <c r="DQR1" s="243"/>
      <c r="DQS1" s="243"/>
      <c r="DQT1" s="243"/>
      <c r="DQU1" s="243"/>
      <c r="DQV1" s="243"/>
      <c r="DQW1" s="243" t="s">
        <v>127</v>
      </c>
      <c r="DQX1" s="243"/>
      <c r="DQY1" s="243"/>
      <c r="DQZ1" s="243"/>
      <c r="DRA1" s="243"/>
      <c r="DRB1" s="243"/>
      <c r="DRC1" s="243"/>
      <c r="DRD1" s="243"/>
      <c r="DRE1" s="243"/>
      <c r="DRF1" s="243"/>
      <c r="DRG1" s="243"/>
      <c r="DRH1" s="243"/>
      <c r="DRI1" s="243"/>
      <c r="DRJ1" s="243"/>
      <c r="DRK1" s="243"/>
      <c r="DRL1" s="243"/>
      <c r="DRM1" s="243" t="s">
        <v>127</v>
      </c>
      <c r="DRN1" s="243"/>
      <c r="DRO1" s="243"/>
      <c r="DRP1" s="243"/>
      <c r="DRQ1" s="243"/>
      <c r="DRR1" s="243"/>
      <c r="DRS1" s="243"/>
      <c r="DRT1" s="243"/>
      <c r="DRU1" s="243"/>
      <c r="DRV1" s="243"/>
      <c r="DRW1" s="243"/>
      <c r="DRX1" s="243"/>
      <c r="DRY1" s="243"/>
      <c r="DRZ1" s="243"/>
      <c r="DSA1" s="243"/>
      <c r="DSB1" s="243"/>
      <c r="DSC1" s="243" t="s">
        <v>127</v>
      </c>
      <c r="DSD1" s="243"/>
      <c r="DSE1" s="243"/>
      <c r="DSF1" s="243"/>
      <c r="DSG1" s="243"/>
      <c r="DSH1" s="243"/>
      <c r="DSI1" s="243"/>
      <c r="DSJ1" s="243"/>
      <c r="DSK1" s="243"/>
      <c r="DSL1" s="243"/>
      <c r="DSM1" s="243"/>
      <c r="DSN1" s="243"/>
      <c r="DSO1" s="243"/>
      <c r="DSP1" s="243"/>
      <c r="DSQ1" s="243"/>
      <c r="DSR1" s="243"/>
      <c r="DSS1" s="243" t="s">
        <v>127</v>
      </c>
      <c r="DST1" s="243"/>
      <c r="DSU1" s="243"/>
      <c r="DSV1" s="243"/>
      <c r="DSW1" s="243"/>
      <c r="DSX1" s="243"/>
      <c r="DSY1" s="243"/>
      <c r="DSZ1" s="243"/>
      <c r="DTA1" s="243"/>
      <c r="DTB1" s="243"/>
      <c r="DTC1" s="243"/>
      <c r="DTD1" s="243"/>
      <c r="DTE1" s="243"/>
      <c r="DTF1" s="243"/>
      <c r="DTG1" s="243"/>
      <c r="DTH1" s="243"/>
      <c r="DTI1" s="243" t="s">
        <v>127</v>
      </c>
      <c r="DTJ1" s="243"/>
      <c r="DTK1" s="243"/>
      <c r="DTL1" s="243"/>
      <c r="DTM1" s="243"/>
      <c r="DTN1" s="243"/>
      <c r="DTO1" s="243"/>
      <c r="DTP1" s="243"/>
      <c r="DTQ1" s="243"/>
      <c r="DTR1" s="243"/>
      <c r="DTS1" s="243"/>
      <c r="DTT1" s="243"/>
      <c r="DTU1" s="243"/>
      <c r="DTV1" s="243"/>
      <c r="DTW1" s="243"/>
      <c r="DTX1" s="243"/>
      <c r="DTY1" s="243" t="s">
        <v>127</v>
      </c>
      <c r="DTZ1" s="243"/>
      <c r="DUA1" s="243"/>
      <c r="DUB1" s="243"/>
      <c r="DUC1" s="243"/>
      <c r="DUD1" s="243"/>
      <c r="DUE1" s="243"/>
      <c r="DUF1" s="243"/>
      <c r="DUG1" s="243"/>
      <c r="DUH1" s="243"/>
      <c r="DUI1" s="243"/>
      <c r="DUJ1" s="243"/>
      <c r="DUK1" s="243"/>
      <c r="DUL1" s="243"/>
      <c r="DUM1" s="243"/>
      <c r="DUN1" s="243"/>
      <c r="DUO1" s="243" t="s">
        <v>127</v>
      </c>
      <c r="DUP1" s="243"/>
      <c r="DUQ1" s="243"/>
      <c r="DUR1" s="243"/>
      <c r="DUS1" s="243"/>
      <c r="DUT1" s="243"/>
      <c r="DUU1" s="243"/>
      <c r="DUV1" s="243"/>
      <c r="DUW1" s="243"/>
      <c r="DUX1" s="243"/>
      <c r="DUY1" s="243"/>
      <c r="DUZ1" s="243"/>
      <c r="DVA1" s="243"/>
      <c r="DVB1" s="243"/>
      <c r="DVC1" s="243"/>
      <c r="DVD1" s="243"/>
      <c r="DVE1" s="243" t="s">
        <v>127</v>
      </c>
      <c r="DVF1" s="243"/>
      <c r="DVG1" s="243"/>
      <c r="DVH1" s="243"/>
      <c r="DVI1" s="243"/>
      <c r="DVJ1" s="243"/>
      <c r="DVK1" s="243"/>
      <c r="DVL1" s="243"/>
      <c r="DVM1" s="243"/>
      <c r="DVN1" s="243"/>
      <c r="DVO1" s="243"/>
      <c r="DVP1" s="243"/>
      <c r="DVQ1" s="243"/>
      <c r="DVR1" s="243"/>
      <c r="DVS1" s="243"/>
      <c r="DVT1" s="243"/>
      <c r="DVU1" s="243" t="s">
        <v>127</v>
      </c>
      <c r="DVV1" s="243"/>
      <c r="DVW1" s="243"/>
      <c r="DVX1" s="243"/>
      <c r="DVY1" s="243"/>
      <c r="DVZ1" s="243"/>
      <c r="DWA1" s="243"/>
      <c r="DWB1" s="243"/>
      <c r="DWC1" s="243"/>
      <c r="DWD1" s="243"/>
      <c r="DWE1" s="243"/>
      <c r="DWF1" s="243"/>
      <c r="DWG1" s="243"/>
      <c r="DWH1" s="243"/>
      <c r="DWI1" s="243"/>
      <c r="DWJ1" s="243"/>
      <c r="DWK1" s="243" t="s">
        <v>127</v>
      </c>
      <c r="DWL1" s="243"/>
      <c r="DWM1" s="243"/>
      <c r="DWN1" s="243"/>
      <c r="DWO1" s="243"/>
      <c r="DWP1" s="243"/>
      <c r="DWQ1" s="243"/>
      <c r="DWR1" s="243"/>
      <c r="DWS1" s="243"/>
      <c r="DWT1" s="243"/>
      <c r="DWU1" s="243"/>
      <c r="DWV1" s="243"/>
      <c r="DWW1" s="243"/>
      <c r="DWX1" s="243"/>
      <c r="DWY1" s="243"/>
      <c r="DWZ1" s="243"/>
      <c r="DXA1" s="243" t="s">
        <v>127</v>
      </c>
      <c r="DXB1" s="243"/>
      <c r="DXC1" s="243"/>
      <c r="DXD1" s="243"/>
      <c r="DXE1" s="243"/>
      <c r="DXF1" s="243"/>
      <c r="DXG1" s="243"/>
      <c r="DXH1" s="243"/>
      <c r="DXI1" s="243"/>
      <c r="DXJ1" s="243"/>
      <c r="DXK1" s="243"/>
      <c r="DXL1" s="243"/>
      <c r="DXM1" s="243"/>
      <c r="DXN1" s="243"/>
      <c r="DXO1" s="243"/>
      <c r="DXP1" s="243"/>
      <c r="DXQ1" s="243" t="s">
        <v>127</v>
      </c>
      <c r="DXR1" s="243"/>
      <c r="DXS1" s="243"/>
      <c r="DXT1" s="243"/>
      <c r="DXU1" s="243"/>
      <c r="DXV1" s="243"/>
      <c r="DXW1" s="243"/>
      <c r="DXX1" s="243"/>
      <c r="DXY1" s="243"/>
      <c r="DXZ1" s="243"/>
      <c r="DYA1" s="243"/>
      <c r="DYB1" s="243"/>
      <c r="DYC1" s="243"/>
      <c r="DYD1" s="243"/>
      <c r="DYE1" s="243"/>
      <c r="DYF1" s="243"/>
      <c r="DYG1" s="243" t="s">
        <v>127</v>
      </c>
      <c r="DYH1" s="243"/>
      <c r="DYI1" s="243"/>
      <c r="DYJ1" s="243"/>
      <c r="DYK1" s="243"/>
      <c r="DYL1" s="243"/>
      <c r="DYM1" s="243"/>
      <c r="DYN1" s="243"/>
      <c r="DYO1" s="243"/>
      <c r="DYP1" s="243"/>
      <c r="DYQ1" s="243"/>
      <c r="DYR1" s="243"/>
      <c r="DYS1" s="243"/>
      <c r="DYT1" s="243"/>
      <c r="DYU1" s="243"/>
      <c r="DYV1" s="243"/>
      <c r="DYW1" s="243" t="s">
        <v>127</v>
      </c>
      <c r="DYX1" s="243"/>
      <c r="DYY1" s="243"/>
      <c r="DYZ1" s="243"/>
      <c r="DZA1" s="243"/>
      <c r="DZB1" s="243"/>
      <c r="DZC1" s="243"/>
      <c r="DZD1" s="243"/>
      <c r="DZE1" s="243"/>
      <c r="DZF1" s="243"/>
      <c r="DZG1" s="243"/>
      <c r="DZH1" s="243"/>
      <c r="DZI1" s="243"/>
      <c r="DZJ1" s="243"/>
      <c r="DZK1" s="243"/>
      <c r="DZL1" s="243"/>
      <c r="DZM1" s="243" t="s">
        <v>127</v>
      </c>
      <c r="DZN1" s="243"/>
      <c r="DZO1" s="243"/>
      <c r="DZP1" s="243"/>
      <c r="DZQ1" s="243"/>
      <c r="DZR1" s="243"/>
      <c r="DZS1" s="243"/>
      <c r="DZT1" s="243"/>
      <c r="DZU1" s="243"/>
      <c r="DZV1" s="243"/>
      <c r="DZW1" s="243"/>
      <c r="DZX1" s="243"/>
      <c r="DZY1" s="243"/>
      <c r="DZZ1" s="243"/>
      <c r="EAA1" s="243"/>
      <c r="EAB1" s="243"/>
      <c r="EAC1" s="243" t="s">
        <v>127</v>
      </c>
      <c r="EAD1" s="243"/>
      <c r="EAE1" s="243"/>
      <c r="EAF1" s="243"/>
      <c r="EAG1" s="243"/>
      <c r="EAH1" s="243"/>
      <c r="EAI1" s="243"/>
      <c r="EAJ1" s="243"/>
      <c r="EAK1" s="243"/>
      <c r="EAL1" s="243"/>
      <c r="EAM1" s="243"/>
      <c r="EAN1" s="243"/>
      <c r="EAO1" s="243"/>
      <c r="EAP1" s="243"/>
      <c r="EAQ1" s="243"/>
      <c r="EAR1" s="243"/>
      <c r="EAS1" s="243" t="s">
        <v>127</v>
      </c>
      <c r="EAT1" s="243"/>
      <c r="EAU1" s="243"/>
      <c r="EAV1" s="243"/>
      <c r="EAW1" s="243"/>
      <c r="EAX1" s="243"/>
      <c r="EAY1" s="243"/>
      <c r="EAZ1" s="243"/>
      <c r="EBA1" s="243"/>
      <c r="EBB1" s="243"/>
      <c r="EBC1" s="243"/>
      <c r="EBD1" s="243"/>
      <c r="EBE1" s="243"/>
      <c r="EBF1" s="243"/>
      <c r="EBG1" s="243"/>
      <c r="EBH1" s="243"/>
      <c r="EBI1" s="243" t="s">
        <v>127</v>
      </c>
      <c r="EBJ1" s="243"/>
      <c r="EBK1" s="243"/>
      <c r="EBL1" s="243"/>
      <c r="EBM1" s="243"/>
      <c r="EBN1" s="243"/>
      <c r="EBO1" s="243"/>
      <c r="EBP1" s="243"/>
      <c r="EBQ1" s="243"/>
      <c r="EBR1" s="243"/>
      <c r="EBS1" s="243"/>
      <c r="EBT1" s="243"/>
      <c r="EBU1" s="243"/>
      <c r="EBV1" s="243"/>
      <c r="EBW1" s="243"/>
      <c r="EBX1" s="243"/>
      <c r="EBY1" s="243" t="s">
        <v>127</v>
      </c>
      <c r="EBZ1" s="243"/>
      <c r="ECA1" s="243"/>
      <c r="ECB1" s="243"/>
      <c r="ECC1" s="243"/>
      <c r="ECD1" s="243"/>
      <c r="ECE1" s="243"/>
      <c r="ECF1" s="243"/>
      <c r="ECG1" s="243"/>
      <c r="ECH1" s="243"/>
      <c r="ECI1" s="243"/>
      <c r="ECJ1" s="243"/>
      <c r="ECK1" s="243"/>
      <c r="ECL1" s="243"/>
      <c r="ECM1" s="243"/>
      <c r="ECN1" s="243"/>
      <c r="ECO1" s="243" t="s">
        <v>127</v>
      </c>
      <c r="ECP1" s="243"/>
      <c r="ECQ1" s="243"/>
      <c r="ECR1" s="243"/>
      <c r="ECS1" s="243"/>
      <c r="ECT1" s="243"/>
      <c r="ECU1" s="243"/>
      <c r="ECV1" s="243"/>
      <c r="ECW1" s="243"/>
      <c r="ECX1" s="243"/>
      <c r="ECY1" s="243"/>
      <c r="ECZ1" s="243"/>
      <c r="EDA1" s="243"/>
      <c r="EDB1" s="243"/>
      <c r="EDC1" s="243"/>
      <c r="EDD1" s="243"/>
      <c r="EDE1" s="243" t="s">
        <v>127</v>
      </c>
      <c r="EDF1" s="243"/>
      <c r="EDG1" s="243"/>
      <c r="EDH1" s="243"/>
      <c r="EDI1" s="243"/>
      <c r="EDJ1" s="243"/>
      <c r="EDK1" s="243"/>
      <c r="EDL1" s="243"/>
      <c r="EDM1" s="243"/>
      <c r="EDN1" s="243"/>
      <c r="EDO1" s="243"/>
      <c r="EDP1" s="243"/>
      <c r="EDQ1" s="243"/>
      <c r="EDR1" s="243"/>
      <c r="EDS1" s="243"/>
      <c r="EDT1" s="243"/>
      <c r="EDU1" s="243" t="s">
        <v>127</v>
      </c>
      <c r="EDV1" s="243"/>
      <c r="EDW1" s="243"/>
      <c r="EDX1" s="243"/>
      <c r="EDY1" s="243"/>
      <c r="EDZ1" s="243"/>
      <c r="EEA1" s="243"/>
      <c r="EEB1" s="243"/>
      <c r="EEC1" s="243"/>
      <c r="EED1" s="243"/>
      <c r="EEE1" s="243"/>
      <c r="EEF1" s="243"/>
      <c r="EEG1" s="243"/>
      <c r="EEH1" s="243"/>
      <c r="EEI1" s="243"/>
      <c r="EEJ1" s="243"/>
      <c r="EEK1" s="243" t="s">
        <v>127</v>
      </c>
      <c r="EEL1" s="243"/>
      <c r="EEM1" s="243"/>
      <c r="EEN1" s="243"/>
      <c r="EEO1" s="243"/>
      <c r="EEP1" s="243"/>
      <c r="EEQ1" s="243"/>
      <c r="EER1" s="243"/>
      <c r="EES1" s="243"/>
      <c r="EET1" s="243"/>
      <c r="EEU1" s="243"/>
      <c r="EEV1" s="243"/>
      <c r="EEW1" s="243"/>
      <c r="EEX1" s="243"/>
      <c r="EEY1" s="243"/>
      <c r="EEZ1" s="243"/>
      <c r="EFA1" s="243" t="s">
        <v>127</v>
      </c>
      <c r="EFB1" s="243"/>
      <c r="EFC1" s="243"/>
      <c r="EFD1" s="243"/>
      <c r="EFE1" s="243"/>
      <c r="EFF1" s="243"/>
      <c r="EFG1" s="243"/>
      <c r="EFH1" s="243"/>
      <c r="EFI1" s="243"/>
      <c r="EFJ1" s="243"/>
      <c r="EFK1" s="243"/>
      <c r="EFL1" s="243"/>
      <c r="EFM1" s="243"/>
      <c r="EFN1" s="243"/>
      <c r="EFO1" s="243"/>
      <c r="EFP1" s="243"/>
      <c r="EFQ1" s="243" t="s">
        <v>127</v>
      </c>
      <c r="EFR1" s="243"/>
      <c r="EFS1" s="243"/>
      <c r="EFT1" s="243"/>
      <c r="EFU1" s="243"/>
      <c r="EFV1" s="243"/>
      <c r="EFW1" s="243"/>
      <c r="EFX1" s="243"/>
      <c r="EFY1" s="243"/>
      <c r="EFZ1" s="243"/>
      <c r="EGA1" s="243"/>
      <c r="EGB1" s="243"/>
      <c r="EGC1" s="243"/>
      <c r="EGD1" s="243"/>
      <c r="EGE1" s="243"/>
      <c r="EGF1" s="243"/>
      <c r="EGG1" s="243" t="s">
        <v>127</v>
      </c>
      <c r="EGH1" s="243"/>
      <c r="EGI1" s="243"/>
      <c r="EGJ1" s="243"/>
      <c r="EGK1" s="243"/>
      <c r="EGL1" s="243"/>
      <c r="EGM1" s="243"/>
      <c r="EGN1" s="243"/>
      <c r="EGO1" s="243"/>
      <c r="EGP1" s="243"/>
      <c r="EGQ1" s="243"/>
      <c r="EGR1" s="243"/>
      <c r="EGS1" s="243"/>
      <c r="EGT1" s="243"/>
      <c r="EGU1" s="243"/>
      <c r="EGV1" s="243"/>
      <c r="EGW1" s="243" t="s">
        <v>127</v>
      </c>
      <c r="EGX1" s="243"/>
      <c r="EGY1" s="243"/>
      <c r="EGZ1" s="243"/>
      <c r="EHA1" s="243"/>
      <c r="EHB1" s="243"/>
      <c r="EHC1" s="243"/>
      <c r="EHD1" s="243"/>
      <c r="EHE1" s="243"/>
      <c r="EHF1" s="243"/>
      <c r="EHG1" s="243"/>
      <c r="EHH1" s="243"/>
      <c r="EHI1" s="243"/>
      <c r="EHJ1" s="243"/>
      <c r="EHK1" s="243"/>
      <c r="EHL1" s="243"/>
      <c r="EHM1" s="243" t="s">
        <v>127</v>
      </c>
      <c r="EHN1" s="243"/>
      <c r="EHO1" s="243"/>
      <c r="EHP1" s="243"/>
      <c r="EHQ1" s="243"/>
      <c r="EHR1" s="243"/>
      <c r="EHS1" s="243"/>
      <c r="EHT1" s="243"/>
      <c r="EHU1" s="243"/>
      <c r="EHV1" s="243"/>
      <c r="EHW1" s="243"/>
      <c r="EHX1" s="243"/>
      <c r="EHY1" s="243"/>
      <c r="EHZ1" s="243"/>
      <c r="EIA1" s="243"/>
      <c r="EIB1" s="243"/>
      <c r="EIC1" s="243" t="s">
        <v>127</v>
      </c>
      <c r="EID1" s="243"/>
      <c r="EIE1" s="243"/>
      <c r="EIF1" s="243"/>
      <c r="EIG1" s="243"/>
      <c r="EIH1" s="243"/>
      <c r="EII1" s="243"/>
      <c r="EIJ1" s="243"/>
      <c r="EIK1" s="243"/>
      <c r="EIL1" s="243"/>
      <c r="EIM1" s="243"/>
      <c r="EIN1" s="243"/>
      <c r="EIO1" s="243"/>
      <c r="EIP1" s="243"/>
      <c r="EIQ1" s="243"/>
      <c r="EIR1" s="243"/>
      <c r="EIS1" s="243" t="s">
        <v>127</v>
      </c>
      <c r="EIT1" s="243"/>
      <c r="EIU1" s="243"/>
      <c r="EIV1" s="243"/>
      <c r="EIW1" s="243"/>
      <c r="EIX1" s="243"/>
      <c r="EIY1" s="243"/>
      <c r="EIZ1" s="243"/>
      <c r="EJA1" s="243"/>
      <c r="EJB1" s="243"/>
      <c r="EJC1" s="243"/>
      <c r="EJD1" s="243"/>
      <c r="EJE1" s="243"/>
      <c r="EJF1" s="243"/>
      <c r="EJG1" s="243"/>
      <c r="EJH1" s="243"/>
      <c r="EJI1" s="243" t="s">
        <v>127</v>
      </c>
      <c r="EJJ1" s="243"/>
      <c r="EJK1" s="243"/>
      <c r="EJL1" s="243"/>
      <c r="EJM1" s="243"/>
      <c r="EJN1" s="243"/>
      <c r="EJO1" s="243"/>
      <c r="EJP1" s="243"/>
      <c r="EJQ1" s="243"/>
      <c r="EJR1" s="243"/>
      <c r="EJS1" s="243"/>
      <c r="EJT1" s="243"/>
      <c r="EJU1" s="243"/>
      <c r="EJV1" s="243"/>
      <c r="EJW1" s="243"/>
      <c r="EJX1" s="243"/>
      <c r="EJY1" s="243" t="s">
        <v>127</v>
      </c>
      <c r="EJZ1" s="243"/>
      <c r="EKA1" s="243"/>
      <c r="EKB1" s="243"/>
      <c r="EKC1" s="243"/>
      <c r="EKD1" s="243"/>
      <c r="EKE1" s="243"/>
      <c r="EKF1" s="243"/>
      <c r="EKG1" s="243"/>
      <c r="EKH1" s="243"/>
      <c r="EKI1" s="243"/>
      <c r="EKJ1" s="243"/>
      <c r="EKK1" s="243"/>
      <c r="EKL1" s="243"/>
      <c r="EKM1" s="243"/>
      <c r="EKN1" s="243"/>
      <c r="EKO1" s="243" t="s">
        <v>127</v>
      </c>
      <c r="EKP1" s="243"/>
      <c r="EKQ1" s="243"/>
      <c r="EKR1" s="243"/>
      <c r="EKS1" s="243"/>
      <c r="EKT1" s="243"/>
      <c r="EKU1" s="243"/>
      <c r="EKV1" s="243"/>
      <c r="EKW1" s="243"/>
      <c r="EKX1" s="243"/>
      <c r="EKY1" s="243"/>
      <c r="EKZ1" s="243"/>
      <c r="ELA1" s="243"/>
      <c r="ELB1" s="243"/>
      <c r="ELC1" s="243"/>
      <c r="ELD1" s="243"/>
      <c r="ELE1" s="243" t="s">
        <v>127</v>
      </c>
      <c r="ELF1" s="243"/>
      <c r="ELG1" s="243"/>
      <c r="ELH1" s="243"/>
      <c r="ELI1" s="243"/>
      <c r="ELJ1" s="243"/>
      <c r="ELK1" s="243"/>
      <c r="ELL1" s="243"/>
      <c r="ELM1" s="243"/>
      <c r="ELN1" s="243"/>
      <c r="ELO1" s="243"/>
      <c r="ELP1" s="243"/>
      <c r="ELQ1" s="243"/>
      <c r="ELR1" s="243"/>
      <c r="ELS1" s="243"/>
      <c r="ELT1" s="243"/>
      <c r="ELU1" s="243" t="s">
        <v>127</v>
      </c>
      <c r="ELV1" s="243"/>
      <c r="ELW1" s="243"/>
      <c r="ELX1" s="243"/>
      <c r="ELY1" s="243"/>
      <c r="ELZ1" s="243"/>
      <c r="EMA1" s="243"/>
      <c r="EMB1" s="243"/>
      <c r="EMC1" s="243"/>
      <c r="EMD1" s="243"/>
      <c r="EME1" s="243"/>
      <c r="EMF1" s="243"/>
      <c r="EMG1" s="243"/>
      <c r="EMH1" s="243"/>
      <c r="EMI1" s="243"/>
      <c r="EMJ1" s="243"/>
      <c r="EMK1" s="243" t="s">
        <v>127</v>
      </c>
      <c r="EML1" s="243"/>
      <c r="EMM1" s="243"/>
      <c r="EMN1" s="243"/>
      <c r="EMO1" s="243"/>
      <c r="EMP1" s="243"/>
      <c r="EMQ1" s="243"/>
      <c r="EMR1" s="243"/>
      <c r="EMS1" s="243"/>
      <c r="EMT1" s="243"/>
      <c r="EMU1" s="243"/>
      <c r="EMV1" s="243"/>
      <c r="EMW1" s="243"/>
      <c r="EMX1" s="243"/>
      <c r="EMY1" s="243"/>
      <c r="EMZ1" s="243"/>
      <c r="ENA1" s="243" t="s">
        <v>127</v>
      </c>
      <c r="ENB1" s="243"/>
      <c r="ENC1" s="243"/>
      <c r="END1" s="243"/>
      <c r="ENE1" s="243"/>
      <c r="ENF1" s="243"/>
      <c r="ENG1" s="243"/>
      <c r="ENH1" s="243"/>
      <c r="ENI1" s="243"/>
      <c r="ENJ1" s="243"/>
      <c r="ENK1" s="243"/>
      <c r="ENL1" s="243"/>
      <c r="ENM1" s="243"/>
      <c r="ENN1" s="243"/>
      <c r="ENO1" s="243"/>
      <c r="ENP1" s="243"/>
      <c r="ENQ1" s="243" t="s">
        <v>127</v>
      </c>
      <c r="ENR1" s="243"/>
      <c r="ENS1" s="243"/>
      <c r="ENT1" s="243"/>
      <c r="ENU1" s="243"/>
      <c r="ENV1" s="243"/>
      <c r="ENW1" s="243"/>
      <c r="ENX1" s="243"/>
      <c r="ENY1" s="243"/>
      <c r="ENZ1" s="243"/>
      <c r="EOA1" s="243"/>
      <c r="EOB1" s="243"/>
      <c r="EOC1" s="243"/>
      <c r="EOD1" s="243"/>
      <c r="EOE1" s="243"/>
      <c r="EOF1" s="243"/>
      <c r="EOG1" s="243" t="s">
        <v>127</v>
      </c>
      <c r="EOH1" s="243"/>
      <c r="EOI1" s="243"/>
      <c r="EOJ1" s="243"/>
      <c r="EOK1" s="243"/>
      <c r="EOL1" s="243"/>
      <c r="EOM1" s="243"/>
      <c r="EON1" s="243"/>
      <c r="EOO1" s="243"/>
      <c r="EOP1" s="243"/>
      <c r="EOQ1" s="243"/>
      <c r="EOR1" s="243"/>
      <c r="EOS1" s="243"/>
      <c r="EOT1" s="243"/>
      <c r="EOU1" s="243"/>
      <c r="EOV1" s="243"/>
      <c r="EOW1" s="243" t="s">
        <v>127</v>
      </c>
      <c r="EOX1" s="243"/>
      <c r="EOY1" s="243"/>
      <c r="EOZ1" s="243"/>
      <c r="EPA1" s="243"/>
      <c r="EPB1" s="243"/>
      <c r="EPC1" s="243"/>
      <c r="EPD1" s="243"/>
      <c r="EPE1" s="243"/>
      <c r="EPF1" s="243"/>
      <c r="EPG1" s="243"/>
      <c r="EPH1" s="243"/>
      <c r="EPI1" s="243"/>
      <c r="EPJ1" s="243"/>
      <c r="EPK1" s="243"/>
      <c r="EPL1" s="243"/>
      <c r="EPM1" s="243" t="s">
        <v>127</v>
      </c>
      <c r="EPN1" s="243"/>
      <c r="EPO1" s="243"/>
      <c r="EPP1" s="243"/>
      <c r="EPQ1" s="243"/>
      <c r="EPR1" s="243"/>
      <c r="EPS1" s="243"/>
      <c r="EPT1" s="243"/>
      <c r="EPU1" s="243"/>
      <c r="EPV1" s="243"/>
      <c r="EPW1" s="243"/>
      <c r="EPX1" s="243"/>
      <c r="EPY1" s="243"/>
      <c r="EPZ1" s="243"/>
      <c r="EQA1" s="243"/>
      <c r="EQB1" s="243"/>
      <c r="EQC1" s="243" t="s">
        <v>127</v>
      </c>
      <c r="EQD1" s="243"/>
      <c r="EQE1" s="243"/>
      <c r="EQF1" s="243"/>
      <c r="EQG1" s="243"/>
      <c r="EQH1" s="243"/>
      <c r="EQI1" s="243"/>
      <c r="EQJ1" s="243"/>
      <c r="EQK1" s="243"/>
      <c r="EQL1" s="243"/>
      <c r="EQM1" s="243"/>
      <c r="EQN1" s="243"/>
      <c r="EQO1" s="243"/>
      <c r="EQP1" s="243"/>
      <c r="EQQ1" s="243"/>
      <c r="EQR1" s="243"/>
      <c r="EQS1" s="243" t="s">
        <v>127</v>
      </c>
      <c r="EQT1" s="243"/>
      <c r="EQU1" s="243"/>
      <c r="EQV1" s="243"/>
      <c r="EQW1" s="243"/>
      <c r="EQX1" s="243"/>
      <c r="EQY1" s="243"/>
      <c r="EQZ1" s="243"/>
      <c r="ERA1" s="243"/>
      <c r="ERB1" s="243"/>
      <c r="ERC1" s="243"/>
      <c r="ERD1" s="243"/>
      <c r="ERE1" s="243"/>
      <c r="ERF1" s="243"/>
      <c r="ERG1" s="243"/>
      <c r="ERH1" s="243"/>
      <c r="ERI1" s="243" t="s">
        <v>127</v>
      </c>
      <c r="ERJ1" s="243"/>
      <c r="ERK1" s="243"/>
      <c r="ERL1" s="243"/>
      <c r="ERM1" s="243"/>
      <c r="ERN1" s="243"/>
      <c r="ERO1" s="243"/>
      <c r="ERP1" s="243"/>
      <c r="ERQ1" s="243"/>
      <c r="ERR1" s="243"/>
      <c r="ERS1" s="243"/>
      <c r="ERT1" s="243"/>
      <c r="ERU1" s="243"/>
      <c r="ERV1" s="243"/>
      <c r="ERW1" s="243"/>
      <c r="ERX1" s="243"/>
      <c r="ERY1" s="243" t="s">
        <v>127</v>
      </c>
      <c r="ERZ1" s="243"/>
      <c r="ESA1" s="243"/>
      <c r="ESB1" s="243"/>
      <c r="ESC1" s="243"/>
      <c r="ESD1" s="243"/>
      <c r="ESE1" s="243"/>
      <c r="ESF1" s="243"/>
      <c r="ESG1" s="243"/>
      <c r="ESH1" s="243"/>
      <c r="ESI1" s="243"/>
      <c r="ESJ1" s="243"/>
      <c r="ESK1" s="243"/>
      <c r="ESL1" s="243"/>
      <c r="ESM1" s="243"/>
      <c r="ESN1" s="243"/>
      <c r="ESO1" s="243" t="s">
        <v>127</v>
      </c>
      <c r="ESP1" s="243"/>
      <c r="ESQ1" s="243"/>
      <c r="ESR1" s="243"/>
      <c r="ESS1" s="243"/>
      <c r="EST1" s="243"/>
      <c r="ESU1" s="243"/>
      <c r="ESV1" s="243"/>
      <c r="ESW1" s="243"/>
      <c r="ESX1" s="243"/>
      <c r="ESY1" s="243"/>
      <c r="ESZ1" s="243"/>
      <c r="ETA1" s="243"/>
      <c r="ETB1" s="243"/>
      <c r="ETC1" s="243"/>
      <c r="ETD1" s="243"/>
      <c r="ETE1" s="243" t="s">
        <v>127</v>
      </c>
      <c r="ETF1" s="243"/>
      <c r="ETG1" s="243"/>
      <c r="ETH1" s="243"/>
      <c r="ETI1" s="243"/>
      <c r="ETJ1" s="243"/>
      <c r="ETK1" s="243"/>
      <c r="ETL1" s="243"/>
      <c r="ETM1" s="243"/>
      <c r="ETN1" s="243"/>
      <c r="ETO1" s="243"/>
      <c r="ETP1" s="243"/>
      <c r="ETQ1" s="243"/>
      <c r="ETR1" s="243"/>
      <c r="ETS1" s="243"/>
      <c r="ETT1" s="243"/>
      <c r="ETU1" s="243" t="s">
        <v>127</v>
      </c>
      <c r="ETV1" s="243"/>
      <c r="ETW1" s="243"/>
      <c r="ETX1" s="243"/>
      <c r="ETY1" s="243"/>
      <c r="ETZ1" s="243"/>
      <c r="EUA1" s="243"/>
      <c r="EUB1" s="243"/>
      <c r="EUC1" s="243"/>
      <c r="EUD1" s="243"/>
      <c r="EUE1" s="243"/>
      <c r="EUF1" s="243"/>
      <c r="EUG1" s="243"/>
      <c r="EUH1" s="243"/>
      <c r="EUI1" s="243"/>
      <c r="EUJ1" s="243"/>
      <c r="EUK1" s="243" t="s">
        <v>127</v>
      </c>
      <c r="EUL1" s="243"/>
      <c r="EUM1" s="243"/>
      <c r="EUN1" s="243"/>
      <c r="EUO1" s="243"/>
      <c r="EUP1" s="243"/>
      <c r="EUQ1" s="243"/>
      <c r="EUR1" s="243"/>
      <c r="EUS1" s="243"/>
      <c r="EUT1" s="243"/>
      <c r="EUU1" s="243"/>
      <c r="EUV1" s="243"/>
      <c r="EUW1" s="243"/>
      <c r="EUX1" s="243"/>
      <c r="EUY1" s="243"/>
      <c r="EUZ1" s="243"/>
      <c r="EVA1" s="243" t="s">
        <v>127</v>
      </c>
      <c r="EVB1" s="243"/>
      <c r="EVC1" s="243"/>
      <c r="EVD1" s="243"/>
      <c r="EVE1" s="243"/>
      <c r="EVF1" s="243"/>
      <c r="EVG1" s="243"/>
      <c r="EVH1" s="243"/>
      <c r="EVI1" s="243"/>
      <c r="EVJ1" s="243"/>
      <c r="EVK1" s="243"/>
      <c r="EVL1" s="243"/>
      <c r="EVM1" s="243"/>
      <c r="EVN1" s="243"/>
      <c r="EVO1" s="243"/>
      <c r="EVP1" s="243"/>
      <c r="EVQ1" s="243" t="s">
        <v>127</v>
      </c>
      <c r="EVR1" s="243"/>
      <c r="EVS1" s="243"/>
      <c r="EVT1" s="243"/>
      <c r="EVU1" s="243"/>
      <c r="EVV1" s="243"/>
      <c r="EVW1" s="243"/>
      <c r="EVX1" s="243"/>
      <c r="EVY1" s="243"/>
      <c r="EVZ1" s="243"/>
      <c r="EWA1" s="243"/>
      <c r="EWB1" s="243"/>
      <c r="EWC1" s="243"/>
      <c r="EWD1" s="243"/>
      <c r="EWE1" s="243"/>
      <c r="EWF1" s="243"/>
      <c r="EWG1" s="243" t="s">
        <v>127</v>
      </c>
      <c r="EWH1" s="243"/>
      <c r="EWI1" s="243"/>
      <c r="EWJ1" s="243"/>
      <c r="EWK1" s="243"/>
      <c r="EWL1" s="243"/>
      <c r="EWM1" s="243"/>
      <c r="EWN1" s="243"/>
      <c r="EWO1" s="243"/>
      <c r="EWP1" s="243"/>
      <c r="EWQ1" s="243"/>
      <c r="EWR1" s="243"/>
      <c r="EWS1" s="243"/>
      <c r="EWT1" s="243"/>
      <c r="EWU1" s="243"/>
      <c r="EWV1" s="243"/>
      <c r="EWW1" s="243" t="s">
        <v>127</v>
      </c>
      <c r="EWX1" s="243"/>
      <c r="EWY1" s="243"/>
      <c r="EWZ1" s="243"/>
      <c r="EXA1" s="243"/>
      <c r="EXB1" s="243"/>
      <c r="EXC1" s="243"/>
      <c r="EXD1" s="243"/>
      <c r="EXE1" s="243"/>
      <c r="EXF1" s="243"/>
      <c r="EXG1" s="243"/>
      <c r="EXH1" s="243"/>
      <c r="EXI1" s="243"/>
      <c r="EXJ1" s="243"/>
      <c r="EXK1" s="243"/>
      <c r="EXL1" s="243"/>
      <c r="EXM1" s="243" t="s">
        <v>127</v>
      </c>
      <c r="EXN1" s="243"/>
      <c r="EXO1" s="243"/>
      <c r="EXP1" s="243"/>
      <c r="EXQ1" s="243"/>
      <c r="EXR1" s="243"/>
      <c r="EXS1" s="243"/>
      <c r="EXT1" s="243"/>
      <c r="EXU1" s="243"/>
      <c r="EXV1" s="243"/>
      <c r="EXW1" s="243"/>
      <c r="EXX1" s="243"/>
      <c r="EXY1" s="243"/>
      <c r="EXZ1" s="243"/>
      <c r="EYA1" s="243"/>
      <c r="EYB1" s="243"/>
      <c r="EYC1" s="243" t="s">
        <v>127</v>
      </c>
      <c r="EYD1" s="243"/>
      <c r="EYE1" s="243"/>
      <c r="EYF1" s="243"/>
      <c r="EYG1" s="243"/>
      <c r="EYH1" s="243"/>
      <c r="EYI1" s="243"/>
      <c r="EYJ1" s="243"/>
      <c r="EYK1" s="243"/>
      <c r="EYL1" s="243"/>
      <c r="EYM1" s="243"/>
      <c r="EYN1" s="243"/>
      <c r="EYO1" s="243"/>
      <c r="EYP1" s="243"/>
      <c r="EYQ1" s="243"/>
      <c r="EYR1" s="243"/>
      <c r="EYS1" s="243" t="s">
        <v>127</v>
      </c>
      <c r="EYT1" s="243"/>
      <c r="EYU1" s="243"/>
      <c r="EYV1" s="243"/>
      <c r="EYW1" s="243"/>
      <c r="EYX1" s="243"/>
      <c r="EYY1" s="243"/>
      <c r="EYZ1" s="243"/>
      <c r="EZA1" s="243"/>
      <c r="EZB1" s="243"/>
      <c r="EZC1" s="243"/>
      <c r="EZD1" s="243"/>
      <c r="EZE1" s="243"/>
      <c r="EZF1" s="243"/>
      <c r="EZG1" s="243"/>
      <c r="EZH1" s="243"/>
      <c r="EZI1" s="243" t="s">
        <v>127</v>
      </c>
      <c r="EZJ1" s="243"/>
      <c r="EZK1" s="243"/>
      <c r="EZL1" s="243"/>
      <c r="EZM1" s="243"/>
      <c r="EZN1" s="243"/>
      <c r="EZO1" s="243"/>
      <c r="EZP1" s="243"/>
      <c r="EZQ1" s="243"/>
      <c r="EZR1" s="243"/>
      <c r="EZS1" s="243"/>
      <c r="EZT1" s="243"/>
      <c r="EZU1" s="243"/>
      <c r="EZV1" s="243"/>
      <c r="EZW1" s="243"/>
      <c r="EZX1" s="243"/>
      <c r="EZY1" s="243" t="s">
        <v>127</v>
      </c>
      <c r="EZZ1" s="243"/>
      <c r="FAA1" s="243"/>
      <c r="FAB1" s="243"/>
      <c r="FAC1" s="243"/>
      <c r="FAD1" s="243"/>
      <c r="FAE1" s="243"/>
      <c r="FAF1" s="243"/>
      <c r="FAG1" s="243"/>
      <c r="FAH1" s="243"/>
      <c r="FAI1" s="243"/>
      <c r="FAJ1" s="243"/>
      <c r="FAK1" s="243"/>
      <c r="FAL1" s="243"/>
      <c r="FAM1" s="243"/>
      <c r="FAN1" s="243"/>
      <c r="FAO1" s="243" t="s">
        <v>127</v>
      </c>
      <c r="FAP1" s="243"/>
      <c r="FAQ1" s="243"/>
      <c r="FAR1" s="243"/>
      <c r="FAS1" s="243"/>
      <c r="FAT1" s="243"/>
      <c r="FAU1" s="243"/>
      <c r="FAV1" s="243"/>
      <c r="FAW1" s="243"/>
      <c r="FAX1" s="243"/>
      <c r="FAY1" s="243"/>
      <c r="FAZ1" s="243"/>
      <c r="FBA1" s="243"/>
      <c r="FBB1" s="243"/>
      <c r="FBC1" s="243"/>
      <c r="FBD1" s="243"/>
      <c r="FBE1" s="243" t="s">
        <v>127</v>
      </c>
      <c r="FBF1" s="243"/>
      <c r="FBG1" s="243"/>
      <c r="FBH1" s="243"/>
      <c r="FBI1" s="243"/>
      <c r="FBJ1" s="243"/>
      <c r="FBK1" s="243"/>
      <c r="FBL1" s="243"/>
      <c r="FBM1" s="243"/>
      <c r="FBN1" s="243"/>
      <c r="FBO1" s="243"/>
      <c r="FBP1" s="243"/>
      <c r="FBQ1" s="243"/>
      <c r="FBR1" s="243"/>
      <c r="FBS1" s="243"/>
      <c r="FBT1" s="243"/>
      <c r="FBU1" s="243" t="s">
        <v>127</v>
      </c>
      <c r="FBV1" s="243"/>
      <c r="FBW1" s="243"/>
      <c r="FBX1" s="243"/>
      <c r="FBY1" s="243"/>
      <c r="FBZ1" s="243"/>
      <c r="FCA1" s="243"/>
      <c r="FCB1" s="243"/>
      <c r="FCC1" s="243"/>
      <c r="FCD1" s="243"/>
      <c r="FCE1" s="243"/>
      <c r="FCF1" s="243"/>
      <c r="FCG1" s="243"/>
      <c r="FCH1" s="243"/>
      <c r="FCI1" s="243"/>
      <c r="FCJ1" s="243"/>
      <c r="FCK1" s="243" t="s">
        <v>127</v>
      </c>
      <c r="FCL1" s="243"/>
      <c r="FCM1" s="243"/>
      <c r="FCN1" s="243"/>
      <c r="FCO1" s="243"/>
      <c r="FCP1" s="243"/>
      <c r="FCQ1" s="243"/>
      <c r="FCR1" s="243"/>
      <c r="FCS1" s="243"/>
      <c r="FCT1" s="243"/>
      <c r="FCU1" s="243"/>
      <c r="FCV1" s="243"/>
      <c r="FCW1" s="243"/>
      <c r="FCX1" s="243"/>
      <c r="FCY1" s="243"/>
      <c r="FCZ1" s="243"/>
      <c r="FDA1" s="243" t="s">
        <v>127</v>
      </c>
      <c r="FDB1" s="243"/>
      <c r="FDC1" s="243"/>
      <c r="FDD1" s="243"/>
      <c r="FDE1" s="243"/>
      <c r="FDF1" s="243"/>
      <c r="FDG1" s="243"/>
      <c r="FDH1" s="243"/>
      <c r="FDI1" s="243"/>
      <c r="FDJ1" s="243"/>
      <c r="FDK1" s="243"/>
      <c r="FDL1" s="243"/>
      <c r="FDM1" s="243"/>
      <c r="FDN1" s="243"/>
      <c r="FDO1" s="243"/>
      <c r="FDP1" s="243"/>
      <c r="FDQ1" s="243" t="s">
        <v>127</v>
      </c>
      <c r="FDR1" s="243"/>
      <c r="FDS1" s="243"/>
      <c r="FDT1" s="243"/>
      <c r="FDU1" s="243"/>
      <c r="FDV1" s="243"/>
      <c r="FDW1" s="243"/>
      <c r="FDX1" s="243"/>
      <c r="FDY1" s="243"/>
      <c r="FDZ1" s="243"/>
      <c r="FEA1" s="243"/>
      <c r="FEB1" s="243"/>
      <c r="FEC1" s="243"/>
      <c r="FED1" s="243"/>
      <c r="FEE1" s="243"/>
      <c r="FEF1" s="243"/>
      <c r="FEG1" s="243" t="s">
        <v>127</v>
      </c>
      <c r="FEH1" s="243"/>
      <c r="FEI1" s="243"/>
      <c r="FEJ1" s="243"/>
      <c r="FEK1" s="243"/>
      <c r="FEL1" s="243"/>
      <c r="FEM1" s="243"/>
      <c r="FEN1" s="243"/>
      <c r="FEO1" s="243"/>
      <c r="FEP1" s="243"/>
      <c r="FEQ1" s="243"/>
      <c r="FER1" s="243"/>
      <c r="FES1" s="243"/>
      <c r="FET1" s="243"/>
      <c r="FEU1" s="243"/>
      <c r="FEV1" s="243"/>
      <c r="FEW1" s="243" t="s">
        <v>127</v>
      </c>
      <c r="FEX1" s="243"/>
      <c r="FEY1" s="243"/>
      <c r="FEZ1" s="243"/>
      <c r="FFA1" s="243"/>
      <c r="FFB1" s="243"/>
      <c r="FFC1" s="243"/>
      <c r="FFD1" s="243"/>
      <c r="FFE1" s="243"/>
      <c r="FFF1" s="243"/>
      <c r="FFG1" s="243"/>
      <c r="FFH1" s="243"/>
      <c r="FFI1" s="243"/>
      <c r="FFJ1" s="243"/>
      <c r="FFK1" s="243"/>
      <c r="FFL1" s="243"/>
      <c r="FFM1" s="243" t="s">
        <v>127</v>
      </c>
      <c r="FFN1" s="243"/>
      <c r="FFO1" s="243"/>
      <c r="FFP1" s="243"/>
      <c r="FFQ1" s="243"/>
      <c r="FFR1" s="243"/>
      <c r="FFS1" s="243"/>
      <c r="FFT1" s="243"/>
      <c r="FFU1" s="243"/>
      <c r="FFV1" s="243"/>
      <c r="FFW1" s="243"/>
      <c r="FFX1" s="243"/>
      <c r="FFY1" s="243"/>
      <c r="FFZ1" s="243"/>
      <c r="FGA1" s="243"/>
      <c r="FGB1" s="243"/>
      <c r="FGC1" s="243" t="s">
        <v>127</v>
      </c>
      <c r="FGD1" s="243"/>
      <c r="FGE1" s="243"/>
      <c r="FGF1" s="243"/>
      <c r="FGG1" s="243"/>
      <c r="FGH1" s="243"/>
      <c r="FGI1" s="243"/>
      <c r="FGJ1" s="243"/>
      <c r="FGK1" s="243"/>
      <c r="FGL1" s="243"/>
      <c r="FGM1" s="243"/>
      <c r="FGN1" s="243"/>
      <c r="FGO1" s="243"/>
      <c r="FGP1" s="243"/>
      <c r="FGQ1" s="243"/>
      <c r="FGR1" s="243"/>
      <c r="FGS1" s="243" t="s">
        <v>127</v>
      </c>
      <c r="FGT1" s="243"/>
      <c r="FGU1" s="243"/>
      <c r="FGV1" s="243"/>
      <c r="FGW1" s="243"/>
      <c r="FGX1" s="243"/>
      <c r="FGY1" s="243"/>
      <c r="FGZ1" s="243"/>
      <c r="FHA1" s="243"/>
      <c r="FHB1" s="243"/>
      <c r="FHC1" s="243"/>
      <c r="FHD1" s="243"/>
      <c r="FHE1" s="243"/>
      <c r="FHF1" s="243"/>
      <c r="FHG1" s="243"/>
      <c r="FHH1" s="243"/>
      <c r="FHI1" s="243" t="s">
        <v>127</v>
      </c>
      <c r="FHJ1" s="243"/>
      <c r="FHK1" s="243"/>
      <c r="FHL1" s="243"/>
      <c r="FHM1" s="243"/>
      <c r="FHN1" s="243"/>
      <c r="FHO1" s="243"/>
      <c r="FHP1" s="243"/>
      <c r="FHQ1" s="243"/>
      <c r="FHR1" s="243"/>
      <c r="FHS1" s="243"/>
      <c r="FHT1" s="243"/>
      <c r="FHU1" s="243"/>
      <c r="FHV1" s="243"/>
      <c r="FHW1" s="243"/>
      <c r="FHX1" s="243"/>
      <c r="FHY1" s="243" t="s">
        <v>127</v>
      </c>
      <c r="FHZ1" s="243"/>
      <c r="FIA1" s="243"/>
      <c r="FIB1" s="243"/>
      <c r="FIC1" s="243"/>
      <c r="FID1" s="243"/>
      <c r="FIE1" s="243"/>
      <c r="FIF1" s="243"/>
      <c r="FIG1" s="243"/>
      <c r="FIH1" s="243"/>
      <c r="FII1" s="243"/>
      <c r="FIJ1" s="243"/>
      <c r="FIK1" s="243"/>
      <c r="FIL1" s="243"/>
      <c r="FIM1" s="243"/>
      <c r="FIN1" s="243"/>
      <c r="FIO1" s="243" t="s">
        <v>127</v>
      </c>
      <c r="FIP1" s="243"/>
      <c r="FIQ1" s="243"/>
      <c r="FIR1" s="243"/>
      <c r="FIS1" s="243"/>
      <c r="FIT1" s="243"/>
      <c r="FIU1" s="243"/>
      <c r="FIV1" s="243"/>
      <c r="FIW1" s="243"/>
      <c r="FIX1" s="243"/>
      <c r="FIY1" s="243"/>
      <c r="FIZ1" s="243"/>
      <c r="FJA1" s="243"/>
      <c r="FJB1" s="243"/>
      <c r="FJC1" s="243"/>
      <c r="FJD1" s="243"/>
      <c r="FJE1" s="243" t="s">
        <v>127</v>
      </c>
      <c r="FJF1" s="243"/>
      <c r="FJG1" s="243"/>
      <c r="FJH1" s="243"/>
      <c r="FJI1" s="243"/>
      <c r="FJJ1" s="243"/>
      <c r="FJK1" s="243"/>
      <c r="FJL1" s="243"/>
      <c r="FJM1" s="243"/>
      <c r="FJN1" s="243"/>
      <c r="FJO1" s="243"/>
      <c r="FJP1" s="243"/>
      <c r="FJQ1" s="243"/>
      <c r="FJR1" s="243"/>
      <c r="FJS1" s="243"/>
      <c r="FJT1" s="243"/>
      <c r="FJU1" s="243" t="s">
        <v>127</v>
      </c>
      <c r="FJV1" s="243"/>
      <c r="FJW1" s="243"/>
      <c r="FJX1" s="243"/>
      <c r="FJY1" s="243"/>
      <c r="FJZ1" s="243"/>
      <c r="FKA1" s="243"/>
      <c r="FKB1" s="243"/>
      <c r="FKC1" s="243"/>
      <c r="FKD1" s="243"/>
      <c r="FKE1" s="243"/>
      <c r="FKF1" s="243"/>
      <c r="FKG1" s="243"/>
      <c r="FKH1" s="243"/>
      <c r="FKI1" s="243"/>
      <c r="FKJ1" s="243"/>
      <c r="FKK1" s="243" t="s">
        <v>127</v>
      </c>
      <c r="FKL1" s="243"/>
      <c r="FKM1" s="243"/>
      <c r="FKN1" s="243"/>
      <c r="FKO1" s="243"/>
      <c r="FKP1" s="243"/>
      <c r="FKQ1" s="243"/>
      <c r="FKR1" s="243"/>
      <c r="FKS1" s="243"/>
      <c r="FKT1" s="243"/>
      <c r="FKU1" s="243"/>
      <c r="FKV1" s="243"/>
      <c r="FKW1" s="243"/>
      <c r="FKX1" s="243"/>
      <c r="FKY1" s="243"/>
      <c r="FKZ1" s="243"/>
      <c r="FLA1" s="243" t="s">
        <v>127</v>
      </c>
      <c r="FLB1" s="243"/>
      <c r="FLC1" s="243"/>
      <c r="FLD1" s="243"/>
      <c r="FLE1" s="243"/>
      <c r="FLF1" s="243"/>
      <c r="FLG1" s="243"/>
      <c r="FLH1" s="243"/>
      <c r="FLI1" s="243"/>
      <c r="FLJ1" s="243"/>
      <c r="FLK1" s="243"/>
      <c r="FLL1" s="243"/>
      <c r="FLM1" s="243"/>
      <c r="FLN1" s="243"/>
      <c r="FLO1" s="243"/>
      <c r="FLP1" s="243"/>
      <c r="FLQ1" s="243" t="s">
        <v>127</v>
      </c>
      <c r="FLR1" s="243"/>
      <c r="FLS1" s="243"/>
      <c r="FLT1" s="243"/>
      <c r="FLU1" s="243"/>
      <c r="FLV1" s="243"/>
      <c r="FLW1" s="243"/>
      <c r="FLX1" s="243"/>
      <c r="FLY1" s="243"/>
      <c r="FLZ1" s="243"/>
      <c r="FMA1" s="243"/>
      <c r="FMB1" s="243"/>
      <c r="FMC1" s="243"/>
      <c r="FMD1" s="243"/>
      <c r="FME1" s="243"/>
      <c r="FMF1" s="243"/>
      <c r="FMG1" s="243" t="s">
        <v>127</v>
      </c>
      <c r="FMH1" s="243"/>
      <c r="FMI1" s="243"/>
      <c r="FMJ1" s="243"/>
      <c r="FMK1" s="243"/>
      <c r="FML1" s="243"/>
      <c r="FMM1" s="243"/>
      <c r="FMN1" s="243"/>
      <c r="FMO1" s="243"/>
      <c r="FMP1" s="243"/>
      <c r="FMQ1" s="243"/>
      <c r="FMR1" s="243"/>
      <c r="FMS1" s="243"/>
      <c r="FMT1" s="243"/>
      <c r="FMU1" s="243"/>
      <c r="FMV1" s="243"/>
      <c r="FMW1" s="243" t="s">
        <v>127</v>
      </c>
      <c r="FMX1" s="243"/>
      <c r="FMY1" s="243"/>
      <c r="FMZ1" s="243"/>
      <c r="FNA1" s="243"/>
      <c r="FNB1" s="243"/>
      <c r="FNC1" s="243"/>
      <c r="FND1" s="243"/>
      <c r="FNE1" s="243"/>
      <c r="FNF1" s="243"/>
      <c r="FNG1" s="243"/>
      <c r="FNH1" s="243"/>
      <c r="FNI1" s="243"/>
      <c r="FNJ1" s="243"/>
      <c r="FNK1" s="243"/>
      <c r="FNL1" s="243"/>
      <c r="FNM1" s="243" t="s">
        <v>127</v>
      </c>
      <c r="FNN1" s="243"/>
      <c r="FNO1" s="243"/>
      <c r="FNP1" s="243"/>
      <c r="FNQ1" s="243"/>
      <c r="FNR1" s="243"/>
      <c r="FNS1" s="243"/>
      <c r="FNT1" s="243"/>
      <c r="FNU1" s="243"/>
      <c r="FNV1" s="243"/>
      <c r="FNW1" s="243"/>
      <c r="FNX1" s="243"/>
      <c r="FNY1" s="243"/>
      <c r="FNZ1" s="243"/>
      <c r="FOA1" s="243"/>
      <c r="FOB1" s="243"/>
      <c r="FOC1" s="243" t="s">
        <v>127</v>
      </c>
      <c r="FOD1" s="243"/>
      <c r="FOE1" s="243"/>
      <c r="FOF1" s="243"/>
      <c r="FOG1" s="243"/>
      <c r="FOH1" s="243"/>
      <c r="FOI1" s="243"/>
      <c r="FOJ1" s="243"/>
      <c r="FOK1" s="243"/>
      <c r="FOL1" s="243"/>
      <c r="FOM1" s="243"/>
      <c r="FON1" s="243"/>
      <c r="FOO1" s="243"/>
      <c r="FOP1" s="243"/>
      <c r="FOQ1" s="243"/>
      <c r="FOR1" s="243"/>
      <c r="FOS1" s="243" t="s">
        <v>127</v>
      </c>
      <c r="FOT1" s="243"/>
      <c r="FOU1" s="243"/>
      <c r="FOV1" s="243"/>
      <c r="FOW1" s="243"/>
      <c r="FOX1" s="243"/>
      <c r="FOY1" s="243"/>
      <c r="FOZ1" s="243"/>
      <c r="FPA1" s="243"/>
      <c r="FPB1" s="243"/>
      <c r="FPC1" s="243"/>
      <c r="FPD1" s="243"/>
      <c r="FPE1" s="243"/>
      <c r="FPF1" s="243"/>
      <c r="FPG1" s="243"/>
      <c r="FPH1" s="243"/>
      <c r="FPI1" s="243" t="s">
        <v>127</v>
      </c>
      <c r="FPJ1" s="243"/>
      <c r="FPK1" s="243"/>
      <c r="FPL1" s="243"/>
      <c r="FPM1" s="243"/>
      <c r="FPN1" s="243"/>
      <c r="FPO1" s="243"/>
      <c r="FPP1" s="243"/>
      <c r="FPQ1" s="243"/>
      <c r="FPR1" s="243"/>
      <c r="FPS1" s="243"/>
      <c r="FPT1" s="243"/>
      <c r="FPU1" s="243"/>
      <c r="FPV1" s="243"/>
      <c r="FPW1" s="243"/>
      <c r="FPX1" s="243"/>
      <c r="FPY1" s="243" t="s">
        <v>127</v>
      </c>
      <c r="FPZ1" s="243"/>
      <c r="FQA1" s="243"/>
      <c r="FQB1" s="243"/>
      <c r="FQC1" s="243"/>
      <c r="FQD1" s="243"/>
      <c r="FQE1" s="243"/>
      <c r="FQF1" s="243"/>
      <c r="FQG1" s="243"/>
      <c r="FQH1" s="243"/>
      <c r="FQI1" s="243"/>
      <c r="FQJ1" s="243"/>
      <c r="FQK1" s="243"/>
      <c r="FQL1" s="243"/>
      <c r="FQM1" s="243"/>
      <c r="FQN1" s="243"/>
      <c r="FQO1" s="243" t="s">
        <v>127</v>
      </c>
      <c r="FQP1" s="243"/>
      <c r="FQQ1" s="243"/>
      <c r="FQR1" s="243"/>
      <c r="FQS1" s="243"/>
      <c r="FQT1" s="243"/>
      <c r="FQU1" s="243"/>
      <c r="FQV1" s="243"/>
      <c r="FQW1" s="243"/>
      <c r="FQX1" s="243"/>
      <c r="FQY1" s="243"/>
      <c r="FQZ1" s="243"/>
      <c r="FRA1" s="243"/>
      <c r="FRB1" s="243"/>
      <c r="FRC1" s="243"/>
      <c r="FRD1" s="243"/>
      <c r="FRE1" s="243" t="s">
        <v>127</v>
      </c>
      <c r="FRF1" s="243"/>
      <c r="FRG1" s="243"/>
      <c r="FRH1" s="243"/>
      <c r="FRI1" s="243"/>
      <c r="FRJ1" s="243"/>
      <c r="FRK1" s="243"/>
      <c r="FRL1" s="243"/>
      <c r="FRM1" s="243"/>
      <c r="FRN1" s="243"/>
      <c r="FRO1" s="243"/>
      <c r="FRP1" s="243"/>
      <c r="FRQ1" s="243"/>
      <c r="FRR1" s="243"/>
      <c r="FRS1" s="243"/>
      <c r="FRT1" s="243"/>
      <c r="FRU1" s="243" t="s">
        <v>127</v>
      </c>
      <c r="FRV1" s="243"/>
      <c r="FRW1" s="243"/>
      <c r="FRX1" s="243"/>
      <c r="FRY1" s="243"/>
      <c r="FRZ1" s="243"/>
      <c r="FSA1" s="243"/>
      <c r="FSB1" s="243"/>
      <c r="FSC1" s="243"/>
      <c r="FSD1" s="243"/>
      <c r="FSE1" s="243"/>
      <c r="FSF1" s="243"/>
      <c r="FSG1" s="243"/>
      <c r="FSH1" s="243"/>
      <c r="FSI1" s="243"/>
      <c r="FSJ1" s="243"/>
      <c r="FSK1" s="243" t="s">
        <v>127</v>
      </c>
      <c r="FSL1" s="243"/>
      <c r="FSM1" s="243"/>
      <c r="FSN1" s="243"/>
      <c r="FSO1" s="243"/>
      <c r="FSP1" s="243"/>
      <c r="FSQ1" s="243"/>
      <c r="FSR1" s="243"/>
      <c r="FSS1" s="243"/>
      <c r="FST1" s="243"/>
      <c r="FSU1" s="243"/>
      <c r="FSV1" s="243"/>
      <c r="FSW1" s="243"/>
      <c r="FSX1" s="243"/>
      <c r="FSY1" s="243"/>
      <c r="FSZ1" s="243"/>
      <c r="FTA1" s="243" t="s">
        <v>127</v>
      </c>
      <c r="FTB1" s="243"/>
      <c r="FTC1" s="243"/>
      <c r="FTD1" s="243"/>
      <c r="FTE1" s="243"/>
      <c r="FTF1" s="243"/>
      <c r="FTG1" s="243"/>
      <c r="FTH1" s="243"/>
      <c r="FTI1" s="243"/>
      <c r="FTJ1" s="243"/>
      <c r="FTK1" s="243"/>
      <c r="FTL1" s="243"/>
      <c r="FTM1" s="243"/>
      <c r="FTN1" s="243"/>
      <c r="FTO1" s="243"/>
      <c r="FTP1" s="243"/>
      <c r="FTQ1" s="243" t="s">
        <v>127</v>
      </c>
      <c r="FTR1" s="243"/>
      <c r="FTS1" s="243"/>
      <c r="FTT1" s="243"/>
      <c r="FTU1" s="243"/>
      <c r="FTV1" s="243"/>
      <c r="FTW1" s="243"/>
      <c r="FTX1" s="243"/>
      <c r="FTY1" s="243"/>
      <c r="FTZ1" s="243"/>
      <c r="FUA1" s="243"/>
      <c r="FUB1" s="243"/>
      <c r="FUC1" s="243"/>
      <c r="FUD1" s="243"/>
      <c r="FUE1" s="243"/>
      <c r="FUF1" s="243"/>
      <c r="FUG1" s="243" t="s">
        <v>127</v>
      </c>
      <c r="FUH1" s="243"/>
      <c r="FUI1" s="243"/>
      <c r="FUJ1" s="243"/>
      <c r="FUK1" s="243"/>
      <c r="FUL1" s="243"/>
      <c r="FUM1" s="243"/>
      <c r="FUN1" s="243"/>
      <c r="FUO1" s="243"/>
      <c r="FUP1" s="243"/>
      <c r="FUQ1" s="243"/>
      <c r="FUR1" s="243"/>
      <c r="FUS1" s="243"/>
      <c r="FUT1" s="243"/>
      <c r="FUU1" s="243"/>
      <c r="FUV1" s="243"/>
      <c r="FUW1" s="243" t="s">
        <v>127</v>
      </c>
      <c r="FUX1" s="243"/>
      <c r="FUY1" s="243"/>
      <c r="FUZ1" s="243"/>
      <c r="FVA1" s="243"/>
      <c r="FVB1" s="243"/>
      <c r="FVC1" s="243"/>
      <c r="FVD1" s="243"/>
      <c r="FVE1" s="243"/>
      <c r="FVF1" s="243"/>
      <c r="FVG1" s="243"/>
      <c r="FVH1" s="243"/>
      <c r="FVI1" s="243"/>
      <c r="FVJ1" s="243"/>
      <c r="FVK1" s="243"/>
      <c r="FVL1" s="243"/>
      <c r="FVM1" s="243" t="s">
        <v>127</v>
      </c>
      <c r="FVN1" s="243"/>
      <c r="FVO1" s="243"/>
      <c r="FVP1" s="243"/>
      <c r="FVQ1" s="243"/>
      <c r="FVR1" s="243"/>
      <c r="FVS1" s="243"/>
      <c r="FVT1" s="243"/>
      <c r="FVU1" s="243"/>
      <c r="FVV1" s="243"/>
      <c r="FVW1" s="243"/>
      <c r="FVX1" s="243"/>
      <c r="FVY1" s="243"/>
      <c r="FVZ1" s="243"/>
      <c r="FWA1" s="243"/>
      <c r="FWB1" s="243"/>
      <c r="FWC1" s="243" t="s">
        <v>127</v>
      </c>
      <c r="FWD1" s="243"/>
      <c r="FWE1" s="243"/>
      <c r="FWF1" s="243"/>
      <c r="FWG1" s="243"/>
      <c r="FWH1" s="243"/>
      <c r="FWI1" s="243"/>
      <c r="FWJ1" s="243"/>
      <c r="FWK1" s="243"/>
      <c r="FWL1" s="243"/>
      <c r="FWM1" s="243"/>
      <c r="FWN1" s="243"/>
      <c r="FWO1" s="243"/>
      <c r="FWP1" s="243"/>
      <c r="FWQ1" s="243"/>
      <c r="FWR1" s="243"/>
      <c r="FWS1" s="243" t="s">
        <v>127</v>
      </c>
      <c r="FWT1" s="243"/>
      <c r="FWU1" s="243"/>
      <c r="FWV1" s="243"/>
      <c r="FWW1" s="243"/>
      <c r="FWX1" s="243"/>
      <c r="FWY1" s="243"/>
      <c r="FWZ1" s="243"/>
      <c r="FXA1" s="243"/>
      <c r="FXB1" s="243"/>
      <c r="FXC1" s="243"/>
      <c r="FXD1" s="243"/>
      <c r="FXE1" s="243"/>
      <c r="FXF1" s="243"/>
      <c r="FXG1" s="243"/>
      <c r="FXH1" s="243"/>
      <c r="FXI1" s="243" t="s">
        <v>127</v>
      </c>
      <c r="FXJ1" s="243"/>
      <c r="FXK1" s="243"/>
      <c r="FXL1" s="243"/>
      <c r="FXM1" s="243"/>
      <c r="FXN1" s="243"/>
      <c r="FXO1" s="243"/>
      <c r="FXP1" s="243"/>
      <c r="FXQ1" s="243"/>
      <c r="FXR1" s="243"/>
      <c r="FXS1" s="243"/>
      <c r="FXT1" s="243"/>
      <c r="FXU1" s="243"/>
      <c r="FXV1" s="243"/>
      <c r="FXW1" s="243"/>
      <c r="FXX1" s="243"/>
      <c r="FXY1" s="243" t="s">
        <v>127</v>
      </c>
      <c r="FXZ1" s="243"/>
      <c r="FYA1" s="243"/>
      <c r="FYB1" s="243"/>
      <c r="FYC1" s="243"/>
      <c r="FYD1" s="243"/>
      <c r="FYE1" s="243"/>
      <c r="FYF1" s="243"/>
      <c r="FYG1" s="243"/>
      <c r="FYH1" s="243"/>
      <c r="FYI1" s="243"/>
      <c r="FYJ1" s="243"/>
      <c r="FYK1" s="243"/>
      <c r="FYL1" s="243"/>
      <c r="FYM1" s="243"/>
      <c r="FYN1" s="243"/>
      <c r="FYO1" s="243" t="s">
        <v>127</v>
      </c>
      <c r="FYP1" s="243"/>
      <c r="FYQ1" s="243"/>
      <c r="FYR1" s="243"/>
      <c r="FYS1" s="243"/>
      <c r="FYT1" s="243"/>
      <c r="FYU1" s="243"/>
      <c r="FYV1" s="243"/>
      <c r="FYW1" s="243"/>
      <c r="FYX1" s="243"/>
      <c r="FYY1" s="243"/>
      <c r="FYZ1" s="243"/>
      <c r="FZA1" s="243"/>
      <c r="FZB1" s="243"/>
      <c r="FZC1" s="243"/>
      <c r="FZD1" s="243"/>
      <c r="FZE1" s="243" t="s">
        <v>127</v>
      </c>
      <c r="FZF1" s="243"/>
      <c r="FZG1" s="243"/>
      <c r="FZH1" s="243"/>
      <c r="FZI1" s="243"/>
      <c r="FZJ1" s="243"/>
      <c r="FZK1" s="243"/>
      <c r="FZL1" s="243"/>
      <c r="FZM1" s="243"/>
      <c r="FZN1" s="243"/>
      <c r="FZO1" s="243"/>
      <c r="FZP1" s="243"/>
      <c r="FZQ1" s="243"/>
      <c r="FZR1" s="243"/>
      <c r="FZS1" s="243"/>
      <c r="FZT1" s="243"/>
      <c r="FZU1" s="243" t="s">
        <v>127</v>
      </c>
      <c r="FZV1" s="243"/>
      <c r="FZW1" s="243"/>
      <c r="FZX1" s="243"/>
      <c r="FZY1" s="243"/>
      <c r="FZZ1" s="243"/>
      <c r="GAA1" s="243"/>
      <c r="GAB1" s="243"/>
      <c r="GAC1" s="243"/>
      <c r="GAD1" s="243"/>
      <c r="GAE1" s="243"/>
      <c r="GAF1" s="243"/>
      <c r="GAG1" s="243"/>
      <c r="GAH1" s="243"/>
      <c r="GAI1" s="243"/>
      <c r="GAJ1" s="243"/>
      <c r="GAK1" s="243" t="s">
        <v>127</v>
      </c>
      <c r="GAL1" s="243"/>
      <c r="GAM1" s="243"/>
      <c r="GAN1" s="243"/>
      <c r="GAO1" s="243"/>
      <c r="GAP1" s="243"/>
      <c r="GAQ1" s="243"/>
      <c r="GAR1" s="243"/>
      <c r="GAS1" s="243"/>
      <c r="GAT1" s="243"/>
      <c r="GAU1" s="243"/>
      <c r="GAV1" s="243"/>
      <c r="GAW1" s="243"/>
      <c r="GAX1" s="243"/>
      <c r="GAY1" s="243"/>
      <c r="GAZ1" s="243"/>
      <c r="GBA1" s="243" t="s">
        <v>127</v>
      </c>
      <c r="GBB1" s="243"/>
      <c r="GBC1" s="243"/>
      <c r="GBD1" s="243"/>
      <c r="GBE1" s="243"/>
      <c r="GBF1" s="243"/>
      <c r="GBG1" s="243"/>
      <c r="GBH1" s="243"/>
      <c r="GBI1" s="243"/>
      <c r="GBJ1" s="243"/>
      <c r="GBK1" s="243"/>
      <c r="GBL1" s="243"/>
      <c r="GBM1" s="243"/>
      <c r="GBN1" s="243"/>
      <c r="GBO1" s="243"/>
      <c r="GBP1" s="243"/>
      <c r="GBQ1" s="243" t="s">
        <v>127</v>
      </c>
      <c r="GBR1" s="243"/>
      <c r="GBS1" s="243"/>
      <c r="GBT1" s="243"/>
      <c r="GBU1" s="243"/>
      <c r="GBV1" s="243"/>
      <c r="GBW1" s="243"/>
      <c r="GBX1" s="243"/>
      <c r="GBY1" s="243"/>
      <c r="GBZ1" s="243"/>
      <c r="GCA1" s="243"/>
      <c r="GCB1" s="243"/>
      <c r="GCC1" s="243"/>
      <c r="GCD1" s="243"/>
      <c r="GCE1" s="243"/>
      <c r="GCF1" s="243"/>
      <c r="GCG1" s="243" t="s">
        <v>127</v>
      </c>
      <c r="GCH1" s="243"/>
      <c r="GCI1" s="243"/>
      <c r="GCJ1" s="243"/>
      <c r="GCK1" s="243"/>
      <c r="GCL1" s="243"/>
      <c r="GCM1" s="243"/>
      <c r="GCN1" s="243"/>
      <c r="GCO1" s="243"/>
      <c r="GCP1" s="243"/>
      <c r="GCQ1" s="243"/>
      <c r="GCR1" s="243"/>
      <c r="GCS1" s="243"/>
      <c r="GCT1" s="243"/>
      <c r="GCU1" s="243"/>
      <c r="GCV1" s="243"/>
      <c r="GCW1" s="243" t="s">
        <v>127</v>
      </c>
      <c r="GCX1" s="243"/>
      <c r="GCY1" s="243"/>
      <c r="GCZ1" s="243"/>
      <c r="GDA1" s="243"/>
      <c r="GDB1" s="243"/>
      <c r="GDC1" s="243"/>
      <c r="GDD1" s="243"/>
      <c r="GDE1" s="243"/>
      <c r="GDF1" s="243"/>
      <c r="GDG1" s="243"/>
      <c r="GDH1" s="243"/>
      <c r="GDI1" s="243"/>
      <c r="GDJ1" s="243"/>
      <c r="GDK1" s="243"/>
      <c r="GDL1" s="243"/>
      <c r="GDM1" s="243" t="s">
        <v>127</v>
      </c>
      <c r="GDN1" s="243"/>
      <c r="GDO1" s="243"/>
      <c r="GDP1" s="243"/>
      <c r="GDQ1" s="243"/>
      <c r="GDR1" s="243"/>
      <c r="GDS1" s="243"/>
      <c r="GDT1" s="243"/>
      <c r="GDU1" s="243"/>
      <c r="GDV1" s="243"/>
      <c r="GDW1" s="243"/>
      <c r="GDX1" s="243"/>
      <c r="GDY1" s="243"/>
      <c r="GDZ1" s="243"/>
      <c r="GEA1" s="243"/>
      <c r="GEB1" s="243"/>
      <c r="GEC1" s="243" t="s">
        <v>127</v>
      </c>
      <c r="GED1" s="243"/>
      <c r="GEE1" s="243"/>
      <c r="GEF1" s="243"/>
      <c r="GEG1" s="243"/>
      <c r="GEH1" s="243"/>
      <c r="GEI1" s="243"/>
      <c r="GEJ1" s="243"/>
      <c r="GEK1" s="243"/>
      <c r="GEL1" s="243"/>
      <c r="GEM1" s="243"/>
      <c r="GEN1" s="243"/>
      <c r="GEO1" s="243"/>
      <c r="GEP1" s="243"/>
      <c r="GEQ1" s="243"/>
      <c r="GER1" s="243"/>
      <c r="GES1" s="243" t="s">
        <v>127</v>
      </c>
      <c r="GET1" s="243"/>
      <c r="GEU1" s="243"/>
      <c r="GEV1" s="243"/>
      <c r="GEW1" s="243"/>
      <c r="GEX1" s="243"/>
      <c r="GEY1" s="243"/>
      <c r="GEZ1" s="243"/>
      <c r="GFA1" s="243"/>
      <c r="GFB1" s="243"/>
      <c r="GFC1" s="243"/>
      <c r="GFD1" s="243"/>
      <c r="GFE1" s="243"/>
      <c r="GFF1" s="243"/>
      <c r="GFG1" s="243"/>
      <c r="GFH1" s="243"/>
      <c r="GFI1" s="243" t="s">
        <v>127</v>
      </c>
      <c r="GFJ1" s="243"/>
      <c r="GFK1" s="243"/>
      <c r="GFL1" s="243"/>
      <c r="GFM1" s="243"/>
      <c r="GFN1" s="243"/>
      <c r="GFO1" s="243"/>
      <c r="GFP1" s="243"/>
      <c r="GFQ1" s="243"/>
      <c r="GFR1" s="243"/>
      <c r="GFS1" s="243"/>
      <c r="GFT1" s="243"/>
      <c r="GFU1" s="243"/>
      <c r="GFV1" s="243"/>
      <c r="GFW1" s="243"/>
      <c r="GFX1" s="243"/>
      <c r="GFY1" s="243" t="s">
        <v>127</v>
      </c>
      <c r="GFZ1" s="243"/>
      <c r="GGA1" s="243"/>
      <c r="GGB1" s="243"/>
      <c r="GGC1" s="243"/>
      <c r="GGD1" s="243"/>
      <c r="GGE1" s="243"/>
      <c r="GGF1" s="243"/>
      <c r="GGG1" s="243"/>
      <c r="GGH1" s="243"/>
      <c r="GGI1" s="243"/>
      <c r="GGJ1" s="243"/>
      <c r="GGK1" s="243"/>
      <c r="GGL1" s="243"/>
      <c r="GGM1" s="243"/>
      <c r="GGN1" s="243"/>
      <c r="GGO1" s="243" t="s">
        <v>127</v>
      </c>
      <c r="GGP1" s="243"/>
      <c r="GGQ1" s="243"/>
      <c r="GGR1" s="243"/>
      <c r="GGS1" s="243"/>
      <c r="GGT1" s="243"/>
      <c r="GGU1" s="243"/>
      <c r="GGV1" s="243"/>
      <c r="GGW1" s="243"/>
      <c r="GGX1" s="243"/>
      <c r="GGY1" s="243"/>
      <c r="GGZ1" s="243"/>
      <c r="GHA1" s="243"/>
      <c r="GHB1" s="243"/>
      <c r="GHC1" s="243"/>
      <c r="GHD1" s="243"/>
      <c r="GHE1" s="243" t="s">
        <v>127</v>
      </c>
      <c r="GHF1" s="243"/>
      <c r="GHG1" s="243"/>
      <c r="GHH1" s="243"/>
      <c r="GHI1" s="243"/>
      <c r="GHJ1" s="243"/>
      <c r="GHK1" s="243"/>
      <c r="GHL1" s="243"/>
      <c r="GHM1" s="243"/>
      <c r="GHN1" s="243"/>
      <c r="GHO1" s="243"/>
      <c r="GHP1" s="243"/>
      <c r="GHQ1" s="243"/>
      <c r="GHR1" s="243"/>
      <c r="GHS1" s="243"/>
      <c r="GHT1" s="243"/>
      <c r="GHU1" s="243" t="s">
        <v>127</v>
      </c>
      <c r="GHV1" s="243"/>
      <c r="GHW1" s="243"/>
      <c r="GHX1" s="243"/>
      <c r="GHY1" s="243"/>
      <c r="GHZ1" s="243"/>
      <c r="GIA1" s="243"/>
      <c r="GIB1" s="243"/>
      <c r="GIC1" s="243"/>
      <c r="GID1" s="243"/>
      <c r="GIE1" s="243"/>
      <c r="GIF1" s="243"/>
      <c r="GIG1" s="243"/>
      <c r="GIH1" s="243"/>
      <c r="GII1" s="243"/>
      <c r="GIJ1" s="243"/>
      <c r="GIK1" s="243" t="s">
        <v>127</v>
      </c>
      <c r="GIL1" s="243"/>
      <c r="GIM1" s="243"/>
      <c r="GIN1" s="243"/>
      <c r="GIO1" s="243"/>
      <c r="GIP1" s="243"/>
      <c r="GIQ1" s="243"/>
      <c r="GIR1" s="243"/>
      <c r="GIS1" s="243"/>
      <c r="GIT1" s="243"/>
      <c r="GIU1" s="243"/>
      <c r="GIV1" s="243"/>
      <c r="GIW1" s="243"/>
      <c r="GIX1" s="243"/>
      <c r="GIY1" s="243"/>
      <c r="GIZ1" s="243"/>
      <c r="GJA1" s="243" t="s">
        <v>127</v>
      </c>
      <c r="GJB1" s="243"/>
      <c r="GJC1" s="243"/>
      <c r="GJD1" s="243"/>
      <c r="GJE1" s="243"/>
      <c r="GJF1" s="243"/>
      <c r="GJG1" s="243"/>
      <c r="GJH1" s="243"/>
      <c r="GJI1" s="243"/>
      <c r="GJJ1" s="243"/>
      <c r="GJK1" s="243"/>
      <c r="GJL1" s="243"/>
      <c r="GJM1" s="243"/>
      <c r="GJN1" s="243"/>
      <c r="GJO1" s="243"/>
      <c r="GJP1" s="243"/>
      <c r="GJQ1" s="243" t="s">
        <v>127</v>
      </c>
      <c r="GJR1" s="243"/>
      <c r="GJS1" s="243"/>
      <c r="GJT1" s="243"/>
      <c r="GJU1" s="243"/>
      <c r="GJV1" s="243"/>
      <c r="GJW1" s="243"/>
      <c r="GJX1" s="243"/>
      <c r="GJY1" s="243"/>
      <c r="GJZ1" s="243"/>
      <c r="GKA1" s="243"/>
      <c r="GKB1" s="243"/>
      <c r="GKC1" s="243"/>
      <c r="GKD1" s="243"/>
      <c r="GKE1" s="243"/>
      <c r="GKF1" s="243"/>
      <c r="GKG1" s="243" t="s">
        <v>127</v>
      </c>
      <c r="GKH1" s="243"/>
      <c r="GKI1" s="243"/>
      <c r="GKJ1" s="243"/>
      <c r="GKK1" s="243"/>
      <c r="GKL1" s="243"/>
      <c r="GKM1" s="243"/>
      <c r="GKN1" s="243"/>
      <c r="GKO1" s="243"/>
      <c r="GKP1" s="243"/>
      <c r="GKQ1" s="243"/>
      <c r="GKR1" s="243"/>
      <c r="GKS1" s="243"/>
      <c r="GKT1" s="243"/>
      <c r="GKU1" s="243"/>
      <c r="GKV1" s="243"/>
      <c r="GKW1" s="243" t="s">
        <v>127</v>
      </c>
      <c r="GKX1" s="243"/>
      <c r="GKY1" s="243"/>
      <c r="GKZ1" s="243"/>
      <c r="GLA1" s="243"/>
      <c r="GLB1" s="243"/>
      <c r="GLC1" s="243"/>
      <c r="GLD1" s="243"/>
      <c r="GLE1" s="243"/>
      <c r="GLF1" s="243"/>
      <c r="GLG1" s="243"/>
      <c r="GLH1" s="243"/>
      <c r="GLI1" s="243"/>
      <c r="GLJ1" s="243"/>
      <c r="GLK1" s="243"/>
      <c r="GLL1" s="243"/>
      <c r="GLM1" s="243" t="s">
        <v>127</v>
      </c>
      <c r="GLN1" s="243"/>
      <c r="GLO1" s="243"/>
      <c r="GLP1" s="243"/>
      <c r="GLQ1" s="243"/>
      <c r="GLR1" s="243"/>
      <c r="GLS1" s="243"/>
      <c r="GLT1" s="243"/>
      <c r="GLU1" s="243"/>
      <c r="GLV1" s="243"/>
      <c r="GLW1" s="243"/>
      <c r="GLX1" s="243"/>
      <c r="GLY1" s="243"/>
      <c r="GLZ1" s="243"/>
      <c r="GMA1" s="243"/>
      <c r="GMB1" s="243"/>
      <c r="GMC1" s="243" t="s">
        <v>127</v>
      </c>
      <c r="GMD1" s="243"/>
      <c r="GME1" s="243"/>
      <c r="GMF1" s="243"/>
      <c r="GMG1" s="243"/>
      <c r="GMH1" s="243"/>
      <c r="GMI1" s="243"/>
      <c r="GMJ1" s="243"/>
      <c r="GMK1" s="243"/>
      <c r="GML1" s="243"/>
      <c r="GMM1" s="243"/>
      <c r="GMN1" s="243"/>
      <c r="GMO1" s="243"/>
      <c r="GMP1" s="243"/>
      <c r="GMQ1" s="243"/>
      <c r="GMR1" s="243"/>
      <c r="GMS1" s="243" t="s">
        <v>127</v>
      </c>
      <c r="GMT1" s="243"/>
      <c r="GMU1" s="243"/>
      <c r="GMV1" s="243"/>
      <c r="GMW1" s="243"/>
      <c r="GMX1" s="243"/>
      <c r="GMY1" s="243"/>
      <c r="GMZ1" s="243"/>
      <c r="GNA1" s="243"/>
      <c r="GNB1" s="243"/>
      <c r="GNC1" s="243"/>
      <c r="GND1" s="243"/>
      <c r="GNE1" s="243"/>
      <c r="GNF1" s="243"/>
      <c r="GNG1" s="243"/>
      <c r="GNH1" s="243"/>
      <c r="GNI1" s="243" t="s">
        <v>127</v>
      </c>
      <c r="GNJ1" s="243"/>
      <c r="GNK1" s="243"/>
      <c r="GNL1" s="243"/>
      <c r="GNM1" s="243"/>
      <c r="GNN1" s="243"/>
      <c r="GNO1" s="243"/>
      <c r="GNP1" s="243"/>
      <c r="GNQ1" s="243"/>
      <c r="GNR1" s="243"/>
      <c r="GNS1" s="243"/>
      <c r="GNT1" s="243"/>
      <c r="GNU1" s="243"/>
      <c r="GNV1" s="243"/>
      <c r="GNW1" s="243"/>
      <c r="GNX1" s="243"/>
      <c r="GNY1" s="243" t="s">
        <v>127</v>
      </c>
      <c r="GNZ1" s="243"/>
      <c r="GOA1" s="243"/>
      <c r="GOB1" s="243"/>
      <c r="GOC1" s="243"/>
      <c r="GOD1" s="243"/>
      <c r="GOE1" s="243"/>
      <c r="GOF1" s="243"/>
      <c r="GOG1" s="243"/>
      <c r="GOH1" s="243"/>
      <c r="GOI1" s="243"/>
      <c r="GOJ1" s="243"/>
      <c r="GOK1" s="243"/>
      <c r="GOL1" s="243"/>
      <c r="GOM1" s="243"/>
      <c r="GON1" s="243"/>
      <c r="GOO1" s="243" t="s">
        <v>127</v>
      </c>
      <c r="GOP1" s="243"/>
      <c r="GOQ1" s="243"/>
      <c r="GOR1" s="243"/>
      <c r="GOS1" s="243"/>
      <c r="GOT1" s="243"/>
      <c r="GOU1" s="243"/>
      <c r="GOV1" s="243"/>
      <c r="GOW1" s="243"/>
      <c r="GOX1" s="243"/>
      <c r="GOY1" s="243"/>
      <c r="GOZ1" s="243"/>
      <c r="GPA1" s="243"/>
      <c r="GPB1" s="243"/>
      <c r="GPC1" s="243"/>
      <c r="GPD1" s="243"/>
      <c r="GPE1" s="243" t="s">
        <v>127</v>
      </c>
      <c r="GPF1" s="243"/>
      <c r="GPG1" s="243"/>
      <c r="GPH1" s="243"/>
      <c r="GPI1" s="243"/>
      <c r="GPJ1" s="243"/>
      <c r="GPK1" s="243"/>
      <c r="GPL1" s="243"/>
      <c r="GPM1" s="243"/>
      <c r="GPN1" s="243"/>
      <c r="GPO1" s="243"/>
      <c r="GPP1" s="243"/>
      <c r="GPQ1" s="243"/>
      <c r="GPR1" s="243"/>
      <c r="GPS1" s="243"/>
      <c r="GPT1" s="243"/>
      <c r="GPU1" s="243" t="s">
        <v>127</v>
      </c>
      <c r="GPV1" s="243"/>
      <c r="GPW1" s="243"/>
      <c r="GPX1" s="243"/>
      <c r="GPY1" s="243"/>
      <c r="GPZ1" s="243"/>
      <c r="GQA1" s="243"/>
      <c r="GQB1" s="243"/>
      <c r="GQC1" s="243"/>
      <c r="GQD1" s="243"/>
      <c r="GQE1" s="243"/>
      <c r="GQF1" s="243"/>
      <c r="GQG1" s="243"/>
      <c r="GQH1" s="243"/>
      <c r="GQI1" s="243"/>
      <c r="GQJ1" s="243"/>
      <c r="GQK1" s="243" t="s">
        <v>127</v>
      </c>
      <c r="GQL1" s="243"/>
      <c r="GQM1" s="243"/>
      <c r="GQN1" s="243"/>
      <c r="GQO1" s="243"/>
      <c r="GQP1" s="243"/>
      <c r="GQQ1" s="243"/>
      <c r="GQR1" s="243"/>
      <c r="GQS1" s="243"/>
      <c r="GQT1" s="243"/>
      <c r="GQU1" s="243"/>
      <c r="GQV1" s="243"/>
      <c r="GQW1" s="243"/>
      <c r="GQX1" s="243"/>
      <c r="GQY1" s="243"/>
      <c r="GQZ1" s="243"/>
      <c r="GRA1" s="243" t="s">
        <v>127</v>
      </c>
      <c r="GRB1" s="243"/>
      <c r="GRC1" s="243"/>
      <c r="GRD1" s="243"/>
      <c r="GRE1" s="243"/>
      <c r="GRF1" s="243"/>
      <c r="GRG1" s="243"/>
      <c r="GRH1" s="243"/>
      <c r="GRI1" s="243"/>
      <c r="GRJ1" s="243"/>
      <c r="GRK1" s="243"/>
      <c r="GRL1" s="243"/>
      <c r="GRM1" s="243"/>
      <c r="GRN1" s="243"/>
      <c r="GRO1" s="243"/>
      <c r="GRP1" s="243"/>
      <c r="GRQ1" s="243" t="s">
        <v>127</v>
      </c>
      <c r="GRR1" s="243"/>
      <c r="GRS1" s="243"/>
      <c r="GRT1" s="243"/>
      <c r="GRU1" s="243"/>
      <c r="GRV1" s="243"/>
      <c r="GRW1" s="243"/>
      <c r="GRX1" s="243"/>
      <c r="GRY1" s="243"/>
      <c r="GRZ1" s="243"/>
      <c r="GSA1" s="243"/>
      <c r="GSB1" s="243"/>
      <c r="GSC1" s="243"/>
      <c r="GSD1" s="243"/>
      <c r="GSE1" s="243"/>
      <c r="GSF1" s="243"/>
      <c r="GSG1" s="243" t="s">
        <v>127</v>
      </c>
      <c r="GSH1" s="243"/>
      <c r="GSI1" s="243"/>
      <c r="GSJ1" s="243"/>
      <c r="GSK1" s="243"/>
      <c r="GSL1" s="243"/>
      <c r="GSM1" s="243"/>
      <c r="GSN1" s="243"/>
      <c r="GSO1" s="243"/>
      <c r="GSP1" s="243"/>
      <c r="GSQ1" s="243"/>
      <c r="GSR1" s="243"/>
      <c r="GSS1" s="243"/>
      <c r="GST1" s="243"/>
      <c r="GSU1" s="243"/>
      <c r="GSV1" s="243"/>
      <c r="GSW1" s="243" t="s">
        <v>127</v>
      </c>
      <c r="GSX1" s="243"/>
      <c r="GSY1" s="243"/>
      <c r="GSZ1" s="243"/>
      <c r="GTA1" s="243"/>
      <c r="GTB1" s="243"/>
      <c r="GTC1" s="243"/>
      <c r="GTD1" s="243"/>
      <c r="GTE1" s="243"/>
      <c r="GTF1" s="243"/>
      <c r="GTG1" s="243"/>
      <c r="GTH1" s="243"/>
      <c r="GTI1" s="243"/>
      <c r="GTJ1" s="243"/>
      <c r="GTK1" s="243"/>
      <c r="GTL1" s="243"/>
      <c r="GTM1" s="243" t="s">
        <v>127</v>
      </c>
      <c r="GTN1" s="243"/>
      <c r="GTO1" s="243"/>
      <c r="GTP1" s="243"/>
      <c r="GTQ1" s="243"/>
      <c r="GTR1" s="243"/>
      <c r="GTS1" s="243"/>
      <c r="GTT1" s="243"/>
      <c r="GTU1" s="243"/>
      <c r="GTV1" s="243"/>
      <c r="GTW1" s="243"/>
      <c r="GTX1" s="243"/>
      <c r="GTY1" s="243"/>
      <c r="GTZ1" s="243"/>
      <c r="GUA1" s="243"/>
      <c r="GUB1" s="243"/>
      <c r="GUC1" s="243" t="s">
        <v>127</v>
      </c>
      <c r="GUD1" s="243"/>
      <c r="GUE1" s="243"/>
      <c r="GUF1" s="243"/>
      <c r="GUG1" s="243"/>
      <c r="GUH1" s="243"/>
      <c r="GUI1" s="243"/>
      <c r="GUJ1" s="243"/>
      <c r="GUK1" s="243"/>
      <c r="GUL1" s="243"/>
      <c r="GUM1" s="243"/>
      <c r="GUN1" s="243"/>
      <c r="GUO1" s="243"/>
      <c r="GUP1" s="243"/>
      <c r="GUQ1" s="243"/>
      <c r="GUR1" s="243"/>
      <c r="GUS1" s="243" t="s">
        <v>127</v>
      </c>
      <c r="GUT1" s="243"/>
      <c r="GUU1" s="243"/>
      <c r="GUV1" s="243"/>
      <c r="GUW1" s="243"/>
      <c r="GUX1" s="243"/>
      <c r="GUY1" s="243"/>
      <c r="GUZ1" s="243"/>
      <c r="GVA1" s="243"/>
      <c r="GVB1" s="243"/>
      <c r="GVC1" s="243"/>
      <c r="GVD1" s="243"/>
      <c r="GVE1" s="243"/>
      <c r="GVF1" s="243"/>
      <c r="GVG1" s="243"/>
      <c r="GVH1" s="243"/>
      <c r="GVI1" s="243" t="s">
        <v>127</v>
      </c>
      <c r="GVJ1" s="243"/>
      <c r="GVK1" s="243"/>
      <c r="GVL1" s="243"/>
      <c r="GVM1" s="243"/>
      <c r="GVN1" s="243"/>
      <c r="GVO1" s="243"/>
      <c r="GVP1" s="243"/>
      <c r="GVQ1" s="243"/>
      <c r="GVR1" s="243"/>
      <c r="GVS1" s="243"/>
      <c r="GVT1" s="243"/>
      <c r="GVU1" s="243"/>
      <c r="GVV1" s="243"/>
      <c r="GVW1" s="243"/>
      <c r="GVX1" s="243"/>
      <c r="GVY1" s="243" t="s">
        <v>127</v>
      </c>
      <c r="GVZ1" s="243"/>
      <c r="GWA1" s="243"/>
      <c r="GWB1" s="243"/>
      <c r="GWC1" s="243"/>
      <c r="GWD1" s="243"/>
      <c r="GWE1" s="243"/>
      <c r="GWF1" s="243"/>
      <c r="GWG1" s="243"/>
      <c r="GWH1" s="243"/>
      <c r="GWI1" s="243"/>
      <c r="GWJ1" s="243"/>
      <c r="GWK1" s="243"/>
      <c r="GWL1" s="243"/>
      <c r="GWM1" s="243"/>
      <c r="GWN1" s="243"/>
      <c r="GWO1" s="243" t="s">
        <v>127</v>
      </c>
      <c r="GWP1" s="243"/>
      <c r="GWQ1" s="243"/>
      <c r="GWR1" s="243"/>
      <c r="GWS1" s="243"/>
      <c r="GWT1" s="243"/>
      <c r="GWU1" s="243"/>
      <c r="GWV1" s="243"/>
      <c r="GWW1" s="243"/>
      <c r="GWX1" s="243"/>
      <c r="GWY1" s="243"/>
      <c r="GWZ1" s="243"/>
      <c r="GXA1" s="243"/>
      <c r="GXB1" s="243"/>
      <c r="GXC1" s="243"/>
      <c r="GXD1" s="243"/>
      <c r="GXE1" s="243" t="s">
        <v>127</v>
      </c>
      <c r="GXF1" s="243"/>
      <c r="GXG1" s="243"/>
      <c r="GXH1" s="243"/>
      <c r="GXI1" s="243"/>
      <c r="GXJ1" s="243"/>
      <c r="GXK1" s="243"/>
      <c r="GXL1" s="243"/>
      <c r="GXM1" s="243"/>
      <c r="GXN1" s="243"/>
      <c r="GXO1" s="243"/>
      <c r="GXP1" s="243"/>
      <c r="GXQ1" s="243"/>
      <c r="GXR1" s="243"/>
      <c r="GXS1" s="243"/>
      <c r="GXT1" s="243"/>
      <c r="GXU1" s="243" t="s">
        <v>127</v>
      </c>
      <c r="GXV1" s="243"/>
      <c r="GXW1" s="243"/>
      <c r="GXX1" s="243"/>
      <c r="GXY1" s="243"/>
      <c r="GXZ1" s="243"/>
      <c r="GYA1" s="243"/>
      <c r="GYB1" s="243"/>
      <c r="GYC1" s="243"/>
      <c r="GYD1" s="243"/>
      <c r="GYE1" s="243"/>
      <c r="GYF1" s="243"/>
      <c r="GYG1" s="243"/>
      <c r="GYH1" s="243"/>
      <c r="GYI1" s="243"/>
      <c r="GYJ1" s="243"/>
      <c r="GYK1" s="243" t="s">
        <v>127</v>
      </c>
      <c r="GYL1" s="243"/>
      <c r="GYM1" s="243"/>
      <c r="GYN1" s="243"/>
      <c r="GYO1" s="243"/>
      <c r="GYP1" s="243"/>
      <c r="GYQ1" s="243"/>
      <c r="GYR1" s="243"/>
      <c r="GYS1" s="243"/>
      <c r="GYT1" s="243"/>
      <c r="GYU1" s="243"/>
      <c r="GYV1" s="243"/>
      <c r="GYW1" s="243"/>
      <c r="GYX1" s="243"/>
      <c r="GYY1" s="243"/>
      <c r="GYZ1" s="243"/>
      <c r="GZA1" s="243" t="s">
        <v>127</v>
      </c>
      <c r="GZB1" s="243"/>
      <c r="GZC1" s="243"/>
      <c r="GZD1" s="243"/>
      <c r="GZE1" s="243"/>
      <c r="GZF1" s="243"/>
      <c r="GZG1" s="243"/>
      <c r="GZH1" s="243"/>
      <c r="GZI1" s="243"/>
      <c r="GZJ1" s="243"/>
      <c r="GZK1" s="243"/>
      <c r="GZL1" s="243"/>
      <c r="GZM1" s="243"/>
      <c r="GZN1" s="243"/>
      <c r="GZO1" s="243"/>
      <c r="GZP1" s="243"/>
      <c r="GZQ1" s="243" t="s">
        <v>127</v>
      </c>
      <c r="GZR1" s="243"/>
      <c r="GZS1" s="243"/>
      <c r="GZT1" s="243"/>
      <c r="GZU1" s="243"/>
      <c r="GZV1" s="243"/>
      <c r="GZW1" s="243"/>
      <c r="GZX1" s="243"/>
      <c r="GZY1" s="243"/>
      <c r="GZZ1" s="243"/>
      <c r="HAA1" s="243"/>
      <c r="HAB1" s="243"/>
      <c r="HAC1" s="243"/>
      <c r="HAD1" s="243"/>
      <c r="HAE1" s="243"/>
      <c r="HAF1" s="243"/>
      <c r="HAG1" s="243" t="s">
        <v>127</v>
      </c>
      <c r="HAH1" s="243"/>
      <c r="HAI1" s="243"/>
      <c r="HAJ1" s="243"/>
      <c r="HAK1" s="243"/>
      <c r="HAL1" s="243"/>
      <c r="HAM1" s="243"/>
      <c r="HAN1" s="243"/>
      <c r="HAO1" s="243"/>
      <c r="HAP1" s="243"/>
      <c r="HAQ1" s="243"/>
      <c r="HAR1" s="243"/>
      <c r="HAS1" s="243"/>
      <c r="HAT1" s="243"/>
      <c r="HAU1" s="243"/>
      <c r="HAV1" s="243"/>
      <c r="HAW1" s="243" t="s">
        <v>127</v>
      </c>
      <c r="HAX1" s="243"/>
      <c r="HAY1" s="243"/>
      <c r="HAZ1" s="243"/>
      <c r="HBA1" s="243"/>
      <c r="HBB1" s="243"/>
      <c r="HBC1" s="243"/>
      <c r="HBD1" s="243"/>
      <c r="HBE1" s="243"/>
      <c r="HBF1" s="243"/>
      <c r="HBG1" s="243"/>
      <c r="HBH1" s="243"/>
      <c r="HBI1" s="243"/>
      <c r="HBJ1" s="243"/>
      <c r="HBK1" s="243"/>
      <c r="HBL1" s="243"/>
      <c r="HBM1" s="243" t="s">
        <v>127</v>
      </c>
      <c r="HBN1" s="243"/>
      <c r="HBO1" s="243"/>
      <c r="HBP1" s="243"/>
      <c r="HBQ1" s="243"/>
      <c r="HBR1" s="243"/>
      <c r="HBS1" s="243"/>
      <c r="HBT1" s="243"/>
      <c r="HBU1" s="243"/>
      <c r="HBV1" s="243"/>
      <c r="HBW1" s="243"/>
      <c r="HBX1" s="243"/>
      <c r="HBY1" s="243"/>
      <c r="HBZ1" s="243"/>
      <c r="HCA1" s="243"/>
      <c r="HCB1" s="243"/>
      <c r="HCC1" s="243" t="s">
        <v>127</v>
      </c>
      <c r="HCD1" s="243"/>
      <c r="HCE1" s="243"/>
      <c r="HCF1" s="243"/>
      <c r="HCG1" s="243"/>
      <c r="HCH1" s="243"/>
      <c r="HCI1" s="243"/>
      <c r="HCJ1" s="243"/>
      <c r="HCK1" s="243"/>
      <c r="HCL1" s="243"/>
      <c r="HCM1" s="243"/>
      <c r="HCN1" s="243"/>
      <c r="HCO1" s="243"/>
      <c r="HCP1" s="243"/>
      <c r="HCQ1" s="243"/>
      <c r="HCR1" s="243"/>
      <c r="HCS1" s="243" t="s">
        <v>127</v>
      </c>
      <c r="HCT1" s="243"/>
      <c r="HCU1" s="243"/>
      <c r="HCV1" s="243"/>
      <c r="HCW1" s="243"/>
      <c r="HCX1" s="243"/>
      <c r="HCY1" s="243"/>
      <c r="HCZ1" s="243"/>
      <c r="HDA1" s="243"/>
      <c r="HDB1" s="243"/>
      <c r="HDC1" s="243"/>
      <c r="HDD1" s="243"/>
      <c r="HDE1" s="243"/>
      <c r="HDF1" s="243"/>
      <c r="HDG1" s="243"/>
      <c r="HDH1" s="243"/>
      <c r="HDI1" s="243" t="s">
        <v>127</v>
      </c>
      <c r="HDJ1" s="243"/>
      <c r="HDK1" s="243"/>
      <c r="HDL1" s="243"/>
      <c r="HDM1" s="243"/>
      <c r="HDN1" s="243"/>
      <c r="HDO1" s="243"/>
      <c r="HDP1" s="243"/>
      <c r="HDQ1" s="243"/>
      <c r="HDR1" s="243"/>
      <c r="HDS1" s="243"/>
      <c r="HDT1" s="243"/>
      <c r="HDU1" s="243"/>
      <c r="HDV1" s="243"/>
      <c r="HDW1" s="243"/>
      <c r="HDX1" s="243"/>
      <c r="HDY1" s="243" t="s">
        <v>127</v>
      </c>
      <c r="HDZ1" s="243"/>
      <c r="HEA1" s="243"/>
      <c r="HEB1" s="243"/>
      <c r="HEC1" s="243"/>
      <c r="HED1" s="243"/>
      <c r="HEE1" s="243"/>
      <c r="HEF1" s="243"/>
      <c r="HEG1" s="243"/>
      <c r="HEH1" s="243"/>
      <c r="HEI1" s="243"/>
      <c r="HEJ1" s="243"/>
      <c r="HEK1" s="243"/>
      <c r="HEL1" s="243"/>
      <c r="HEM1" s="243"/>
      <c r="HEN1" s="243"/>
      <c r="HEO1" s="243" t="s">
        <v>127</v>
      </c>
      <c r="HEP1" s="243"/>
      <c r="HEQ1" s="243"/>
      <c r="HER1" s="243"/>
      <c r="HES1" s="243"/>
      <c r="HET1" s="243"/>
      <c r="HEU1" s="243"/>
      <c r="HEV1" s="243"/>
      <c r="HEW1" s="243"/>
      <c r="HEX1" s="243"/>
      <c r="HEY1" s="243"/>
      <c r="HEZ1" s="243"/>
      <c r="HFA1" s="243"/>
      <c r="HFB1" s="243"/>
      <c r="HFC1" s="243"/>
      <c r="HFD1" s="243"/>
      <c r="HFE1" s="243" t="s">
        <v>127</v>
      </c>
      <c r="HFF1" s="243"/>
      <c r="HFG1" s="243"/>
      <c r="HFH1" s="243"/>
      <c r="HFI1" s="243"/>
      <c r="HFJ1" s="243"/>
      <c r="HFK1" s="243"/>
      <c r="HFL1" s="243"/>
      <c r="HFM1" s="243"/>
      <c r="HFN1" s="243"/>
      <c r="HFO1" s="243"/>
      <c r="HFP1" s="243"/>
      <c r="HFQ1" s="243"/>
      <c r="HFR1" s="243"/>
      <c r="HFS1" s="243"/>
      <c r="HFT1" s="243"/>
      <c r="HFU1" s="243" t="s">
        <v>127</v>
      </c>
      <c r="HFV1" s="243"/>
      <c r="HFW1" s="243"/>
      <c r="HFX1" s="243"/>
      <c r="HFY1" s="243"/>
      <c r="HFZ1" s="243"/>
      <c r="HGA1" s="243"/>
      <c r="HGB1" s="243"/>
      <c r="HGC1" s="243"/>
      <c r="HGD1" s="243"/>
      <c r="HGE1" s="243"/>
      <c r="HGF1" s="243"/>
      <c r="HGG1" s="243"/>
      <c r="HGH1" s="243"/>
      <c r="HGI1" s="243"/>
      <c r="HGJ1" s="243"/>
      <c r="HGK1" s="243" t="s">
        <v>127</v>
      </c>
      <c r="HGL1" s="243"/>
      <c r="HGM1" s="243"/>
      <c r="HGN1" s="243"/>
      <c r="HGO1" s="243"/>
      <c r="HGP1" s="243"/>
      <c r="HGQ1" s="243"/>
      <c r="HGR1" s="243"/>
      <c r="HGS1" s="243"/>
      <c r="HGT1" s="243"/>
      <c r="HGU1" s="243"/>
      <c r="HGV1" s="243"/>
      <c r="HGW1" s="243"/>
      <c r="HGX1" s="243"/>
      <c r="HGY1" s="243"/>
      <c r="HGZ1" s="243"/>
      <c r="HHA1" s="243" t="s">
        <v>127</v>
      </c>
      <c r="HHB1" s="243"/>
      <c r="HHC1" s="243"/>
      <c r="HHD1" s="243"/>
      <c r="HHE1" s="243"/>
      <c r="HHF1" s="243"/>
      <c r="HHG1" s="243"/>
      <c r="HHH1" s="243"/>
      <c r="HHI1" s="243"/>
      <c r="HHJ1" s="243"/>
      <c r="HHK1" s="243"/>
      <c r="HHL1" s="243"/>
      <c r="HHM1" s="243"/>
      <c r="HHN1" s="243"/>
      <c r="HHO1" s="243"/>
      <c r="HHP1" s="243"/>
      <c r="HHQ1" s="243" t="s">
        <v>127</v>
      </c>
      <c r="HHR1" s="243"/>
      <c r="HHS1" s="243"/>
      <c r="HHT1" s="243"/>
      <c r="HHU1" s="243"/>
      <c r="HHV1" s="243"/>
      <c r="HHW1" s="243"/>
      <c r="HHX1" s="243"/>
      <c r="HHY1" s="243"/>
      <c r="HHZ1" s="243"/>
      <c r="HIA1" s="243"/>
      <c r="HIB1" s="243"/>
      <c r="HIC1" s="243"/>
      <c r="HID1" s="243"/>
      <c r="HIE1" s="243"/>
      <c r="HIF1" s="243"/>
      <c r="HIG1" s="243" t="s">
        <v>127</v>
      </c>
      <c r="HIH1" s="243"/>
      <c r="HII1" s="243"/>
      <c r="HIJ1" s="243"/>
      <c r="HIK1" s="243"/>
      <c r="HIL1" s="243"/>
      <c r="HIM1" s="243"/>
      <c r="HIN1" s="243"/>
      <c r="HIO1" s="243"/>
      <c r="HIP1" s="243"/>
      <c r="HIQ1" s="243"/>
      <c r="HIR1" s="243"/>
      <c r="HIS1" s="243"/>
      <c r="HIT1" s="243"/>
      <c r="HIU1" s="243"/>
      <c r="HIV1" s="243"/>
      <c r="HIW1" s="243" t="s">
        <v>127</v>
      </c>
      <c r="HIX1" s="243"/>
      <c r="HIY1" s="243"/>
      <c r="HIZ1" s="243"/>
      <c r="HJA1" s="243"/>
      <c r="HJB1" s="243"/>
      <c r="HJC1" s="243"/>
      <c r="HJD1" s="243"/>
      <c r="HJE1" s="243"/>
      <c r="HJF1" s="243"/>
      <c r="HJG1" s="243"/>
      <c r="HJH1" s="243"/>
      <c r="HJI1" s="243"/>
      <c r="HJJ1" s="243"/>
      <c r="HJK1" s="243"/>
      <c r="HJL1" s="243"/>
      <c r="HJM1" s="243" t="s">
        <v>127</v>
      </c>
      <c r="HJN1" s="243"/>
      <c r="HJO1" s="243"/>
      <c r="HJP1" s="243"/>
      <c r="HJQ1" s="243"/>
      <c r="HJR1" s="243"/>
      <c r="HJS1" s="243"/>
      <c r="HJT1" s="243"/>
      <c r="HJU1" s="243"/>
      <c r="HJV1" s="243"/>
      <c r="HJW1" s="243"/>
      <c r="HJX1" s="243"/>
      <c r="HJY1" s="243"/>
      <c r="HJZ1" s="243"/>
      <c r="HKA1" s="243"/>
      <c r="HKB1" s="243"/>
      <c r="HKC1" s="243" t="s">
        <v>127</v>
      </c>
      <c r="HKD1" s="243"/>
      <c r="HKE1" s="243"/>
      <c r="HKF1" s="243"/>
      <c r="HKG1" s="243"/>
      <c r="HKH1" s="243"/>
      <c r="HKI1" s="243"/>
      <c r="HKJ1" s="243"/>
      <c r="HKK1" s="243"/>
      <c r="HKL1" s="243"/>
      <c r="HKM1" s="243"/>
      <c r="HKN1" s="243"/>
      <c r="HKO1" s="243"/>
      <c r="HKP1" s="243"/>
      <c r="HKQ1" s="243"/>
      <c r="HKR1" s="243"/>
      <c r="HKS1" s="243" t="s">
        <v>127</v>
      </c>
      <c r="HKT1" s="243"/>
      <c r="HKU1" s="243"/>
      <c r="HKV1" s="243"/>
      <c r="HKW1" s="243"/>
      <c r="HKX1" s="243"/>
      <c r="HKY1" s="243"/>
      <c r="HKZ1" s="243"/>
      <c r="HLA1" s="243"/>
      <c r="HLB1" s="243"/>
      <c r="HLC1" s="243"/>
      <c r="HLD1" s="243"/>
      <c r="HLE1" s="243"/>
      <c r="HLF1" s="243"/>
      <c r="HLG1" s="243"/>
      <c r="HLH1" s="243"/>
      <c r="HLI1" s="243" t="s">
        <v>127</v>
      </c>
      <c r="HLJ1" s="243"/>
      <c r="HLK1" s="243"/>
      <c r="HLL1" s="243"/>
      <c r="HLM1" s="243"/>
      <c r="HLN1" s="243"/>
      <c r="HLO1" s="243"/>
      <c r="HLP1" s="243"/>
      <c r="HLQ1" s="243"/>
      <c r="HLR1" s="243"/>
      <c r="HLS1" s="243"/>
      <c r="HLT1" s="243"/>
      <c r="HLU1" s="243"/>
      <c r="HLV1" s="243"/>
      <c r="HLW1" s="243"/>
      <c r="HLX1" s="243"/>
      <c r="HLY1" s="243" t="s">
        <v>127</v>
      </c>
      <c r="HLZ1" s="243"/>
      <c r="HMA1" s="243"/>
      <c r="HMB1" s="243"/>
      <c r="HMC1" s="243"/>
      <c r="HMD1" s="243"/>
      <c r="HME1" s="243"/>
      <c r="HMF1" s="243"/>
      <c r="HMG1" s="243"/>
      <c r="HMH1" s="243"/>
      <c r="HMI1" s="243"/>
      <c r="HMJ1" s="243"/>
      <c r="HMK1" s="243"/>
      <c r="HML1" s="243"/>
      <c r="HMM1" s="243"/>
      <c r="HMN1" s="243"/>
      <c r="HMO1" s="243" t="s">
        <v>127</v>
      </c>
      <c r="HMP1" s="243"/>
      <c r="HMQ1" s="243"/>
      <c r="HMR1" s="243"/>
      <c r="HMS1" s="243"/>
      <c r="HMT1" s="243"/>
      <c r="HMU1" s="243"/>
      <c r="HMV1" s="243"/>
      <c r="HMW1" s="243"/>
      <c r="HMX1" s="243"/>
      <c r="HMY1" s="243"/>
      <c r="HMZ1" s="243"/>
      <c r="HNA1" s="243"/>
      <c r="HNB1" s="243"/>
      <c r="HNC1" s="243"/>
      <c r="HND1" s="243"/>
      <c r="HNE1" s="243" t="s">
        <v>127</v>
      </c>
      <c r="HNF1" s="243"/>
      <c r="HNG1" s="243"/>
      <c r="HNH1" s="243"/>
      <c r="HNI1" s="243"/>
      <c r="HNJ1" s="243"/>
      <c r="HNK1" s="243"/>
      <c r="HNL1" s="243"/>
      <c r="HNM1" s="243"/>
      <c r="HNN1" s="243"/>
      <c r="HNO1" s="243"/>
      <c r="HNP1" s="243"/>
      <c r="HNQ1" s="243"/>
      <c r="HNR1" s="243"/>
      <c r="HNS1" s="243"/>
      <c r="HNT1" s="243"/>
      <c r="HNU1" s="243" t="s">
        <v>127</v>
      </c>
      <c r="HNV1" s="243"/>
      <c r="HNW1" s="243"/>
      <c r="HNX1" s="243"/>
      <c r="HNY1" s="243"/>
      <c r="HNZ1" s="243"/>
      <c r="HOA1" s="243"/>
      <c r="HOB1" s="243"/>
      <c r="HOC1" s="243"/>
      <c r="HOD1" s="243"/>
      <c r="HOE1" s="243"/>
      <c r="HOF1" s="243"/>
      <c r="HOG1" s="243"/>
      <c r="HOH1" s="243"/>
      <c r="HOI1" s="243"/>
      <c r="HOJ1" s="243"/>
      <c r="HOK1" s="243" t="s">
        <v>127</v>
      </c>
      <c r="HOL1" s="243"/>
      <c r="HOM1" s="243"/>
      <c r="HON1" s="243"/>
      <c r="HOO1" s="243"/>
      <c r="HOP1" s="243"/>
      <c r="HOQ1" s="243"/>
      <c r="HOR1" s="243"/>
      <c r="HOS1" s="243"/>
      <c r="HOT1" s="243"/>
      <c r="HOU1" s="243"/>
      <c r="HOV1" s="243"/>
      <c r="HOW1" s="243"/>
      <c r="HOX1" s="243"/>
      <c r="HOY1" s="243"/>
      <c r="HOZ1" s="243"/>
      <c r="HPA1" s="243" t="s">
        <v>127</v>
      </c>
      <c r="HPB1" s="243"/>
      <c r="HPC1" s="243"/>
      <c r="HPD1" s="243"/>
      <c r="HPE1" s="243"/>
      <c r="HPF1" s="243"/>
      <c r="HPG1" s="243"/>
      <c r="HPH1" s="243"/>
      <c r="HPI1" s="243"/>
      <c r="HPJ1" s="243"/>
      <c r="HPK1" s="243"/>
      <c r="HPL1" s="243"/>
      <c r="HPM1" s="243"/>
      <c r="HPN1" s="243"/>
      <c r="HPO1" s="243"/>
      <c r="HPP1" s="243"/>
      <c r="HPQ1" s="243" t="s">
        <v>127</v>
      </c>
      <c r="HPR1" s="243"/>
      <c r="HPS1" s="243"/>
      <c r="HPT1" s="243"/>
      <c r="HPU1" s="243"/>
      <c r="HPV1" s="243"/>
      <c r="HPW1" s="243"/>
      <c r="HPX1" s="243"/>
      <c r="HPY1" s="243"/>
      <c r="HPZ1" s="243"/>
      <c r="HQA1" s="243"/>
      <c r="HQB1" s="243"/>
      <c r="HQC1" s="243"/>
      <c r="HQD1" s="243"/>
      <c r="HQE1" s="243"/>
      <c r="HQF1" s="243"/>
      <c r="HQG1" s="243" t="s">
        <v>127</v>
      </c>
      <c r="HQH1" s="243"/>
      <c r="HQI1" s="243"/>
      <c r="HQJ1" s="243"/>
      <c r="HQK1" s="243"/>
      <c r="HQL1" s="243"/>
      <c r="HQM1" s="243"/>
      <c r="HQN1" s="243"/>
      <c r="HQO1" s="243"/>
      <c r="HQP1" s="243"/>
      <c r="HQQ1" s="243"/>
      <c r="HQR1" s="243"/>
      <c r="HQS1" s="243"/>
      <c r="HQT1" s="243"/>
      <c r="HQU1" s="243"/>
      <c r="HQV1" s="243"/>
      <c r="HQW1" s="243" t="s">
        <v>127</v>
      </c>
      <c r="HQX1" s="243"/>
      <c r="HQY1" s="243"/>
      <c r="HQZ1" s="243"/>
      <c r="HRA1" s="243"/>
      <c r="HRB1" s="243"/>
      <c r="HRC1" s="243"/>
      <c r="HRD1" s="243"/>
      <c r="HRE1" s="243"/>
      <c r="HRF1" s="243"/>
      <c r="HRG1" s="243"/>
      <c r="HRH1" s="243"/>
      <c r="HRI1" s="243"/>
      <c r="HRJ1" s="243"/>
      <c r="HRK1" s="243"/>
      <c r="HRL1" s="243"/>
      <c r="HRM1" s="243" t="s">
        <v>127</v>
      </c>
      <c r="HRN1" s="243"/>
      <c r="HRO1" s="243"/>
      <c r="HRP1" s="243"/>
      <c r="HRQ1" s="243"/>
      <c r="HRR1" s="243"/>
      <c r="HRS1" s="243"/>
      <c r="HRT1" s="243"/>
      <c r="HRU1" s="243"/>
      <c r="HRV1" s="243"/>
      <c r="HRW1" s="243"/>
      <c r="HRX1" s="243"/>
      <c r="HRY1" s="243"/>
      <c r="HRZ1" s="243"/>
      <c r="HSA1" s="243"/>
      <c r="HSB1" s="243"/>
      <c r="HSC1" s="243" t="s">
        <v>127</v>
      </c>
      <c r="HSD1" s="243"/>
      <c r="HSE1" s="243"/>
      <c r="HSF1" s="243"/>
      <c r="HSG1" s="243"/>
      <c r="HSH1" s="243"/>
      <c r="HSI1" s="243"/>
      <c r="HSJ1" s="243"/>
      <c r="HSK1" s="243"/>
      <c r="HSL1" s="243"/>
      <c r="HSM1" s="243"/>
      <c r="HSN1" s="243"/>
      <c r="HSO1" s="243"/>
      <c r="HSP1" s="243"/>
      <c r="HSQ1" s="243"/>
      <c r="HSR1" s="243"/>
      <c r="HSS1" s="243" t="s">
        <v>127</v>
      </c>
      <c r="HST1" s="243"/>
      <c r="HSU1" s="243"/>
      <c r="HSV1" s="243"/>
      <c r="HSW1" s="243"/>
      <c r="HSX1" s="243"/>
      <c r="HSY1" s="243"/>
      <c r="HSZ1" s="243"/>
      <c r="HTA1" s="243"/>
      <c r="HTB1" s="243"/>
      <c r="HTC1" s="243"/>
      <c r="HTD1" s="243"/>
      <c r="HTE1" s="243"/>
      <c r="HTF1" s="243"/>
      <c r="HTG1" s="243"/>
      <c r="HTH1" s="243"/>
      <c r="HTI1" s="243" t="s">
        <v>127</v>
      </c>
      <c r="HTJ1" s="243"/>
      <c r="HTK1" s="243"/>
      <c r="HTL1" s="243"/>
      <c r="HTM1" s="243"/>
      <c r="HTN1" s="243"/>
      <c r="HTO1" s="243"/>
      <c r="HTP1" s="243"/>
      <c r="HTQ1" s="243"/>
      <c r="HTR1" s="243"/>
      <c r="HTS1" s="243"/>
      <c r="HTT1" s="243"/>
      <c r="HTU1" s="243"/>
      <c r="HTV1" s="243"/>
      <c r="HTW1" s="243"/>
      <c r="HTX1" s="243"/>
      <c r="HTY1" s="243" t="s">
        <v>127</v>
      </c>
      <c r="HTZ1" s="243"/>
      <c r="HUA1" s="243"/>
      <c r="HUB1" s="243"/>
      <c r="HUC1" s="243"/>
      <c r="HUD1" s="243"/>
      <c r="HUE1" s="243"/>
      <c r="HUF1" s="243"/>
      <c r="HUG1" s="243"/>
      <c r="HUH1" s="243"/>
      <c r="HUI1" s="243"/>
      <c r="HUJ1" s="243"/>
      <c r="HUK1" s="243"/>
      <c r="HUL1" s="243"/>
      <c r="HUM1" s="243"/>
      <c r="HUN1" s="243"/>
      <c r="HUO1" s="243" t="s">
        <v>127</v>
      </c>
      <c r="HUP1" s="243"/>
      <c r="HUQ1" s="243"/>
      <c r="HUR1" s="243"/>
      <c r="HUS1" s="243"/>
      <c r="HUT1" s="243"/>
      <c r="HUU1" s="243"/>
      <c r="HUV1" s="243"/>
      <c r="HUW1" s="243"/>
      <c r="HUX1" s="243"/>
      <c r="HUY1" s="243"/>
      <c r="HUZ1" s="243"/>
      <c r="HVA1" s="243"/>
      <c r="HVB1" s="243"/>
      <c r="HVC1" s="243"/>
      <c r="HVD1" s="243"/>
      <c r="HVE1" s="243" t="s">
        <v>127</v>
      </c>
      <c r="HVF1" s="243"/>
      <c r="HVG1" s="243"/>
      <c r="HVH1" s="243"/>
      <c r="HVI1" s="243"/>
      <c r="HVJ1" s="243"/>
      <c r="HVK1" s="243"/>
      <c r="HVL1" s="243"/>
      <c r="HVM1" s="243"/>
      <c r="HVN1" s="243"/>
      <c r="HVO1" s="243"/>
      <c r="HVP1" s="243"/>
      <c r="HVQ1" s="243"/>
      <c r="HVR1" s="243"/>
      <c r="HVS1" s="243"/>
      <c r="HVT1" s="243"/>
      <c r="HVU1" s="243" t="s">
        <v>127</v>
      </c>
      <c r="HVV1" s="243"/>
      <c r="HVW1" s="243"/>
      <c r="HVX1" s="243"/>
      <c r="HVY1" s="243"/>
      <c r="HVZ1" s="243"/>
      <c r="HWA1" s="243"/>
      <c r="HWB1" s="243"/>
      <c r="HWC1" s="243"/>
      <c r="HWD1" s="243"/>
      <c r="HWE1" s="243"/>
      <c r="HWF1" s="243"/>
      <c r="HWG1" s="243"/>
      <c r="HWH1" s="243"/>
      <c r="HWI1" s="243"/>
      <c r="HWJ1" s="243"/>
      <c r="HWK1" s="243" t="s">
        <v>127</v>
      </c>
      <c r="HWL1" s="243"/>
      <c r="HWM1" s="243"/>
      <c r="HWN1" s="243"/>
      <c r="HWO1" s="243"/>
      <c r="HWP1" s="243"/>
      <c r="HWQ1" s="243"/>
      <c r="HWR1" s="243"/>
      <c r="HWS1" s="243"/>
      <c r="HWT1" s="243"/>
      <c r="HWU1" s="243"/>
      <c r="HWV1" s="243"/>
      <c r="HWW1" s="243"/>
      <c r="HWX1" s="243"/>
      <c r="HWY1" s="243"/>
      <c r="HWZ1" s="243"/>
      <c r="HXA1" s="243" t="s">
        <v>127</v>
      </c>
      <c r="HXB1" s="243"/>
      <c r="HXC1" s="243"/>
      <c r="HXD1" s="243"/>
      <c r="HXE1" s="243"/>
      <c r="HXF1" s="243"/>
      <c r="HXG1" s="243"/>
      <c r="HXH1" s="243"/>
      <c r="HXI1" s="243"/>
      <c r="HXJ1" s="243"/>
      <c r="HXK1" s="243"/>
      <c r="HXL1" s="243"/>
      <c r="HXM1" s="243"/>
      <c r="HXN1" s="243"/>
      <c r="HXO1" s="243"/>
      <c r="HXP1" s="243"/>
      <c r="HXQ1" s="243" t="s">
        <v>127</v>
      </c>
      <c r="HXR1" s="243"/>
      <c r="HXS1" s="243"/>
      <c r="HXT1" s="243"/>
      <c r="HXU1" s="243"/>
      <c r="HXV1" s="243"/>
      <c r="HXW1" s="243"/>
      <c r="HXX1" s="243"/>
      <c r="HXY1" s="243"/>
      <c r="HXZ1" s="243"/>
      <c r="HYA1" s="243"/>
      <c r="HYB1" s="243"/>
      <c r="HYC1" s="243"/>
      <c r="HYD1" s="243"/>
      <c r="HYE1" s="243"/>
      <c r="HYF1" s="243"/>
      <c r="HYG1" s="243" t="s">
        <v>127</v>
      </c>
      <c r="HYH1" s="243"/>
      <c r="HYI1" s="243"/>
      <c r="HYJ1" s="243"/>
      <c r="HYK1" s="243"/>
      <c r="HYL1" s="243"/>
      <c r="HYM1" s="243"/>
      <c r="HYN1" s="243"/>
      <c r="HYO1" s="243"/>
      <c r="HYP1" s="243"/>
      <c r="HYQ1" s="243"/>
      <c r="HYR1" s="243"/>
      <c r="HYS1" s="243"/>
      <c r="HYT1" s="243"/>
      <c r="HYU1" s="243"/>
      <c r="HYV1" s="243"/>
      <c r="HYW1" s="243" t="s">
        <v>127</v>
      </c>
      <c r="HYX1" s="243"/>
      <c r="HYY1" s="243"/>
      <c r="HYZ1" s="243"/>
      <c r="HZA1" s="243"/>
      <c r="HZB1" s="243"/>
      <c r="HZC1" s="243"/>
      <c r="HZD1" s="243"/>
      <c r="HZE1" s="243"/>
      <c r="HZF1" s="243"/>
      <c r="HZG1" s="243"/>
      <c r="HZH1" s="243"/>
      <c r="HZI1" s="243"/>
      <c r="HZJ1" s="243"/>
      <c r="HZK1" s="243"/>
      <c r="HZL1" s="243"/>
      <c r="HZM1" s="243" t="s">
        <v>127</v>
      </c>
      <c r="HZN1" s="243"/>
      <c r="HZO1" s="243"/>
      <c r="HZP1" s="243"/>
      <c r="HZQ1" s="243"/>
      <c r="HZR1" s="243"/>
      <c r="HZS1" s="243"/>
      <c r="HZT1" s="243"/>
      <c r="HZU1" s="243"/>
      <c r="HZV1" s="243"/>
      <c r="HZW1" s="243"/>
      <c r="HZX1" s="243"/>
      <c r="HZY1" s="243"/>
      <c r="HZZ1" s="243"/>
      <c r="IAA1" s="243"/>
      <c r="IAB1" s="243"/>
      <c r="IAC1" s="243" t="s">
        <v>127</v>
      </c>
      <c r="IAD1" s="243"/>
      <c r="IAE1" s="243"/>
      <c r="IAF1" s="243"/>
      <c r="IAG1" s="243"/>
      <c r="IAH1" s="243"/>
      <c r="IAI1" s="243"/>
      <c r="IAJ1" s="243"/>
      <c r="IAK1" s="243"/>
      <c r="IAL1" s="243"/>
      <c r="IAM1" s="243"/>
      <c r="IAN1" s="243"/>
      <c r="IAO1" s="243"/>
      <c r="IAP1" s="243"/>
      <c r="IAQ1" s="243"/>
      <c r="IAR1" s="243"/>
      <c r="IAS1" s="243" t="s">
        <v>127</v>
      </c>
      <c r="IAT1" s="243"/>
      <c r="IAU1" s="243"/>
      <c r="IAV1" s="243"/>
      <c r="IAW1" s="243"/>
      <c r="IAX1" s="243"/>
      <c r="IAY1" s="243"/>
      <c r="IAZ1" s="243"/>
      <c r="IBA1" s="243"/>
      <c r="IBB1" s="243"/>
      <c r="IBC1" s="243"/>
      <c r="IBD1" s="243"/>
      <c r="IBE1" s="243"/>
      <c r="IBF1" s="243"/>
      <c r="IBG1" s="243"/>
      <c r="IBH1" s="243"/>
      <c r="IBI1" s="243" t="s">
        <v>127</v>
      </c>
      <c r="IBJ1" s="243"/>
      <c r="IBK1" s="243"/>
      <c r="IBL1" s="243"/>
      <c r="IBM1" s="243"/>
      <c r="IBN1" s="243"/>
      <c r="IBO1" s="243"/>
      <c r="IBP1" s="243"/>
      <c r="IBQ1" s="243"/>
      <c r="IBR1" s="243"/>
      <c r="IBS1" s="243"/>
      <c r="IBT1" s="243"/>
      <c r="IBU1" s="243"/>
      <c r="IBV1" s="243"/>
      <c r="IBW1" s="243"/>
      <c r="IBX1" s="243"/>
      <c r="IBY1" s="243" t="s">
        <v>127</v>
      </c>
      <c r="IBZ1" s="243"/>
      <c r="ICA1" s="243"/>
      <c r="ICB1" s="243"/>
      <c r="ICC1" s="243"/>
      <c r="ICD1" s="243"/>
      <c r="ICE1" s="243"/>
      <c r="ICF1" s="243"/>
      <c r="ICG1" s="243"/>
      <c r="ICH1" s="243"/>
      <c r="ICI1" s="243"/>
      <c r="ICJ1" s="243"/>
      <c r="ICK1" s="243"/>
      <c r="ICL1" s="243"/>
      <c r="ICM1" s="243"/>
      <c r="ICN1" s="243"/>
      <c r="ICO1" s="243" t="s">
        <v>127</v>
      </c>
      <c r="ICP1" s="243"/>
      <c r="ICQ1" s="243"/>
      <c r="ICR1" s="243"/>
      <c r="ICS1" s="243"/>
      <c r="ICT1" s="243"/>
      <c r="ICU1" s="243"/>
      <c r="ICV1" s="243"/>
      <c r="ICW1" s="243"/>
      <c r="ICX1" s="243"/>
      <c r="ICY1" s="243"/>
      <c r="ICZ1" s="243"/>
      <c r="IDA1" s="243"/>
      <c r="IDB1" s="243"/>
      <c r="IDC1" s="243"/>
      <c r="IDD1" s="243"/>
      <c r="IDE1" s="243" t="s">
        <v>127</v>
      </c>
      <c r="IDF1" s="243"/>
      <c r="IDG1" s="243"/>
      <c r="IDH1" s="243"/>
      <c r="IDI1" s="243"/>
      <c r="IDJ1" s="243"/>
      <c r="IDK1" s="243"/>
      <c r="IDL1" s="243"/>
      <c r="IDM1" s="243"/>
      <c r="IDN1" s="243"/>
      <c r="IDO1" s="243"/>
      <c r="IDP1" s="243"/>
      <c r="IDQ1" s="243"/>
      <c r="IDR1" s="243"/>
      <c r="IDS1" s="243"/>
      <c r="IDT1" s="243"/>
      <c r="IDU1" s="243" t="s">
        <v>127</v>
      </c>
      <c r="IDV1" s="243"/>
      <c r="IDW1" s="243"/>
      <c r="IDX1" s="243"/>
      <c r="IDY1" s="243"/>
      <c r="IDZ1" s="243"/>
      <c r="IEA1" s="243"/>
      <c r="IEB1" s="243"/>
      <c r="IEC1" s="243"/>
      <c r="IED1" s="243"/>
      <c r="IEE1" s="243"/>
      <c r="IEF1" s="243"/>
      <c r="IEG1" s="243"/>
      <c r="IEH1" s="243"/>
      <c r="IEI1" s="243"/>
      <c r="IEJ1" s="243"/>
      <c r="IEK1" s="243" t="s">
        <v>127</v>
      </c>
      <c r="IEL1" s="243"/>
      <c r="IEM1" s="243"/>
      <c r="IEN1" s="243"/>
      <c r="IEO1" s="243"/>
      <c r="IEP1" s="243"/>
      <c r="IEQ1" s="243"/>
      <c r="IER1" s="243"/>
      <c r="IES1" s="243"/>
      <c r="IET1" s="243"/>
      <c r="IEU1" s="243"/>
      <c r="IEV1" s="243"/>
      <c r="IEW1" s="243"/>
      <c r="IEX1" s="243"/>
      <c r="IEY1" s="243"/>
      <c r="IEZ1" s="243"/>
      <c r="IFA1" s="243" t="s">
        <v>127</v>
      </c>
      <c r="IFB1" s="243"/>
      <c r="IFC1" s="243"/>
      <c r="IFD1" s="243"/>
      <c r="IFE1" s="243"/>
      <c r="IFF1" s="243"/>
      <c r="IFG1" s="243"/>
      <c r="IFH1" s="243"/>
      <c r="IFI1" s="243"/>
      <c r="IFJ1" s="243"/>
      <c r="IFK1" s="243"/>
      <c r="IFL1" s="243"/>
      <c r="IFM1" s="243"/>
      <c r="IFN1" s="243"/>
      <c r="IFO1" s="243"/>
      <c r="IFP1" s="243"/>
      <c r="IFQ1" s="243" t="s">
        <v>127</v>
      </c>
      <c r="IFR1" s="243"/>
      <c r="IFS1" s="243"/>
      <c r="IFT1" s="243"/>
      <c r="IFU1" s="243"/>
      <c r="IFV1" s="243"/>
      <c r="IFW1" s="243"/>
      <c r="IFX1" s="243"/>
      <c r="IFY1" s="243"/>
      <c r="IFZ1" s="243"/>
      <c r="IGA1" s="243"/>
      <c r="IGB1" s="243"/>
      <c r="IGC1" s="243"/>
      <c r="IGD1" s="243"/>
      <c r="IGE1" s="243"/>
      <c r="IGF1" s="243"/>
      <c r="IGG1" s="243" t="s">
        <v>127</v>
      </c>
      <c r="IGH1" s="243"/>
      <c r="IGI1" s="243"/>
      <c r="IGJ1" s="243"/>
      <c r="IGK1" s="243"/>
      <c r="IGL1" s="243"/>
      <c r="IGM1" s="243"/>
      <c r="IGN1" s="243"/>
      <c r="IGO1" s="243"/>
      <c r="IGP1" s="243"/>
      <c r="IGQ1" s="243"/>
      <c r="IGR1" s="243"/>
      <c r="IGS1" s="243"/>
      <c r="IGT1" s="243"/>
      <c r="IGU1" s="243"/>
      <c r="IGV1" s="243"/>
      <c r="IGW1" s="243" t="s">
        <v>127</v>
      </c>
      <c r="IGX1" s="243"/>
      <c r="IGY1" s="243"/>
      <c r="IGZ1" s="243"/>
      <c r="IHA1" s="243"/>
      <c r="IHB1" s="243"/>
      <c r="IHC1" s="243"/>
      <c r="IHD1" s="243"/>
      <c r="IHE1" s="243"/>
      <c r="IHF1" s="243"/>
      <c r="IHG1" s="243"/>
      <c r="IHH1" s="243"/>
      <c r="IHI1" s="243"/>
      <c r="IHJ1" s="243"/>
      <c r="IHK1" s="243"/>
      <c r="IHL1" s="243"/>
      <c r="IHM1" s="243" t="s">
        <v>127</v>
      </c>
      <c r="IHN1" s="243"/>
      <c r="IHO1" s="243"/>
      <c r="IHP1" s="243"/>
      <c r="IHQ1" s="243"/>
      <c r="IHR1" s="243"/>
      <c r="IHS1" s="243"/>
      <c r="IHT1" s="243"/>
      <c r="IHU1" s="243"/>
      <c r="IHV1" s="243"/>
      <c r="IHW1" s="243"/>
      <c r="IHX1" s="243"/>
      <c r="IHY1" s="243"/>
      <c r="IHZ1" s="243"/>
      <c r="IIA1" s="243"/>
      <c r="IIB1" s="243"/>
      <c r="IIC1" s="243" t="s">
        <v>127</v>
      </c>
      <c r="IID1" s="243"/>
      <c r="IIE1" s="243"/>
      <c r="IIF1" s="243"/>
      <c r="IIG1" s="243"/>
      <c r="IIH1" s="243"/>
      <c r="III1" s="243"/>
      <c r="IIJ1" s="243"/>
      <c r="IIK1" s="243"/>
      <c r="IIL1" s="243"/>
      <c r="IIM1" s="243"/>
      <c r="IIN1" s="243"/>
      <c r="IIO1" s="243"/>
      <c r="IIP1" s="243"/>
      <c r="IIQ1" s="243"/>
      <c r="IIR1" s="243"/>
      <c r="IIS1" s="243" t="s">
        <v>127</v>
      </c>
      <c r="IIT1" s="243"/>
      <c r="IIU1" s="243"/>
      <c r="IIV1" s="243"/>
      <c r="IIW1" s="243"/>
      <c r="IIX1" s="243"/>
      <c r="IIY1" s="243"/>
      <c r="IIZ1" s="243"/>
      <c r="IJA1" s="243"/>
      <c r="IJB1" s="243"/>
      <c r="IJC1" s="243"/>
      <c r="IJD1" s="243"/>
      <c r="IJE1" s="243"/>
      <c r="IJF1" s="243"/>
      <c r="IJG1" s="243"/>
      <c r="IJH1" s="243"/>
      <c r="IJI1" s="243" t="s">
        <v>127</v>
      </c>
      <c r="IJJ1" s="243"/>
      <c r="IJK1" s="243"/>
      <c r="IJL1" s="243"/>
      <c r="IJM1" s="243"/>
      <c r="IJN1" s="243"/>
      <c r="IJO1" s="243"/>
      <c r="IJP1" s="243"/>
      <c r="IJQ1" s="243"/>
      <c r="IJR1" s="243"/>
      <c r="IJS1" s="243"/>
      <c r="IJT1" s="243"/>
      <c r="IJU1" s="243"/>
      <c r="IJV1" s="243"/>
      <c r="IJW1" s="243"/>
      <c r="IJX1" s="243"/>
      <c r="IJY1" s="243" t="s">
        <v>127</v>
      </c>
      <c r="IJZ1" s="243"/>
      <c r="IKA1" s="243"/>
      <c r="IKB1" s="243"/>
      <c r="IKC1" s="243"/>
      <c r="IKD1" s="243"/>
      <c r="IKE1" s="243"/>
      <c r="IKF1" s="243"/>
      <c r="IKG1" s="243"/>
      <c r="IKH1" s="243"/>
      <c r="IKI1" s="243"/>
      <c r="IKJ1" s="243"/>
      <c r="IKK1" s="243"/>
      <c r="IKL1" s="243"/>
      <c r="IKM1" s="243"/>
      <c r="IKN1" s="243"/>
      <c r="IKO1" s="243" t="s">
        <v>127</v>
      </c>
      <c r="IKP1" s="243"/>
      <c r="IKQ1" s="243"/>
      <c r="IKR1" s="243"/>
      <c r="IKS1" s="243"/>
      <c r="IKT1" s="243"/>
      <c r="IKU1" s="243"/>
      <c r="IKV1" s="243"/>
      <c r="IKW1" s="243"/>
      <c r="IKX1" s="243"/>
      <c r="IKY1" s="243"/>
      <c r="IKZ1" s="243"/>
      <c r="ILA1" s="243"/>
      <c r="ILB1" s="243"/>
      <c r="ILC1" s="243"/>
      <c r="ILD1" s="243"/>
      <c r="ILE1" s="243" t="s">
        <v>127</v>
      </c>
      <c r="ILF1" s="243"/>
      <c r="ILG1" s="243"/>
      <c r="ILH1" s="243"/>
      <c r="ILI1" s="243"/>
      <c r="ILJ1" s="243"/>
      <c r="ILK1" s="243"/>
      <c r="ILL1" s="243"/>
      <c r="ILM1" s="243"/>
      <c r="ILN1" s="243"/>
      <c r="ILO1" s="243"/>
      <c r="ILP1" s="243"/>
      <c r="ILQ1" s="243"/>
      <c r="ILR1" s="243"/>
      <c r="ILS1" s="243"/>
      <c r="ILT1" s="243"/>
      <c r="ILU1" s="243" t="s">
        <v>127</v>
      </c>
      <c r="ILV1" s="243"/>
      <c r="ILW1" s="243"/>
      <c r="ILX1" s="243"/>
      <c r="ILY1" s="243"/>
      <c r="ILZ1" s="243"/>
      <c r="IMA1" s="243"/>
      <c r="IMB1" s="243"/>
      <c r="IMC1" s="243"/>
      <c r="IMD1" s="243"/>
      <c r="IME1" s="243"/>
      <c r="IMF1" s="243"/>
      <c r="IMG1" s="243"/>
      <c r="IMH1" s="243"/>
      <c r="IMI1" s="243"/>
      <c r="IMJ1" s="243"/>
      <c r="IMK1" s="243" t="s">
        <v>127</v>
      </c>
      <c r="IML1" s="243"/>
      <c r="IMM1" s="243"/>
      <c r="IMN1" s="243"/>
      <c r="IMO1" s="243"/>
      <c r="IMP1" s="243"/>
      <c r="IMQ1" s="243"/>
      <c r="IMR1" s="243"/>
      <c r="IMS1" s="243"/>
      <c r="IMT1" s="243"/>
      <c r="IMU1" s="243"/>
      <c r="IMV1" s="243"/>
      <c r="IMW1" s="243"/>
      <c r="IMX1" s="243"/>
      <c r="IMY1" s="243"/>
      <c r="IMZ1" s="243"/>
      <c r="INA1" s="243" t="s">
        <v>127</v>
      </c>
      <c r="INB1" s="243"/>
      <c r="INC1" s="243"/>
      <c r="IND1" s="243"/>
      <c r="INE1" s="243"/>
      <c r="INF1" s="243"/>
      <c r="ING1" s="243"/>
      <c r="INH1" s="243"/>
      <c r="INI1" s="243"/>
      <c r="INJ1" s="243"/>
      <c r="INK1" s="243"/>
      <c r="INL1" s="243"/>
      <c r="INM1" s="243"/>
      <c r="INN1" s="243"/>
      <c r="INO1" s="243"/>
      <c r="INP1" s="243"/>
      <c r="INQ1" s="243" t="s">
        <v>127</v>
      </c>
      <c r="INR1" s="243"/>
      <c r="INS1" s="243"/>
      <c r="INT1" s="243"/>
      <c r="INU1" s="243"/>
      <c r="INV1" s="243"/>
      <c r="INW1" s="243"/>
      <c r="INX1" s="243"/>
      <c r="INY1" s="243"/>
      <c r="INZ1" s="243"/>
      <c r="IOA1" s="243"/>
      <c r="IOB1" s="243"/>
      <c r="IOC1" s="243"/>
      <c r="IOD1" s="243"/>
      <c r="IOE1" s="243"/>
      <c r="IOF1" s="243"/>
      <c r="IOG1" s="243" t="s">
        <v>127</v>
      </c>
      <c r="IOH1" s="243"/>
      <c r="IOI1" s="243"/>
      <c r="IOJ1" s="243"/>
      <c r="IOK1" s="243"/>
      <c r="IOL1" s="243"/>
      <c r="IOM1" s="243"/>
      <c r="ION1" s="243"/>
      <c r="IOO1" s="243"/>
      <c r="IOP1" s="243"/>
      <c r="IOQ1" s="243"/>
      <c r="IOR1" s="243"/>
      <c r="IOS1" s="243"/>
      <c r="IOT1" s="243"/>
      <c r="IOU1" s="243"/>
      <c r="IOV1" s="243"/>
      <c r="IOW1" s="243" t="s">
        <v>127</v>
      </c>
      <c r="IOX1" s="243"/>
      <c r="IOY1" s="243"/>
      <c r="IOZ1" s="243"/>
      <c r="IPA1" s="243"/>
      <c r="IPB1" s="243"/>
      <c r="IPC1" s="243"/>
      <c r="IPD1" s="243"/>
      <c r="IPE1" s="243"/>
      <c r="IPF1" s="243"/>
      <c r="IPG1" s="243"/>
      <c r="IPH1" s="243"/>
      <c r="IPI1" s="243"/>
      <c r="IPJ1" s="243"/>
      <c r="IPK1" s="243"/>
      <c r="IPL1" s="243"/>
      <c r="IPM1" s="243" t="s">
        <v>127</v>
      </c>
      <c r="IPN1" s="243"/>
      <c r="IPO1" s="243"/>
      <c r="IPP1" s="243"/>
      <c r="IPQ1" s="243"/>
      <c r="IPR1" s="243"/>
      <c r="IPS1" s="243"/>
      <c r="IPT1" s="243"/>
      <c r="IPU1" s="243"/>
      <c r="IPV1" s="243"/>
      <c r="IPW1" s="243"/>
      <c r="IPX1" s="243"/>
      <c r="IPY1" s="243"/>
      <c r="IPZ1" s="243"/>
      <c r="IQA1" s="243"/>
      <c r="IQB1" s="243"/>
      <c r="IQC1" s="243" t="s">
        <v>127</v>
      </c>
      <c r="IQD1" s="243"/>
      <c r="IQE1" s="243"/>
      <c r="IQF1" s="243"/>
      <c r="IQG1" s="243"/>
      <c r="IQH1" s="243"/>
      <c r="IQI1" s="243"/>
      <c r="IQJ1" s="243"/>
      <c r="IQK1" s="243"/>
      <c r="IQL1" s="243"/>
      <c r="IQM1" s="243"/>
      <c r="IQN1" s="243"/>
      <c r="IQO1" s="243"/>
      <c r="IQP1" s="243"/>
      <c r="IQQ1" s="243"/>
      <c r="IQR1" s="243"/>
      <c r="IQS1" s="243" t="s">
        <v>127</v>
      </c>
      <c r="IQT1" s="243"/>
      <c r="IQU1" s="243"/>
      <c r="IQV1" s="243"/>
      <c r="IQW1" s="243"/>
      <c r="IQX1" s="243"/>
      <c r="IQY1" s="243"/>
      <c r="IQZ1" s="243"/>
      <c r="IRA1" s="243"/>
      <c r="IRB1" s="243"/>
      <c r="IRC1" s="243"/>
      <c r="IRD1" s="243"/>
      <c r="IRE1" s="243"/>
      <c r="IRF1" s="243"/>
      <c r="IRG1" s="243"/>
      <c r="IRH1" s="243"/>
      <c r="IRI1" s="243" t="s">
        <v>127</v>
      </c>
      <c r="IRJ1" s="243"/>
      <c r="IRK1" s="243"/>
      <c r="IRL1" s="243"/>
      <c r="IRM1" s="243"/>
      <c r="IRN1" s="243"/>
      <c r="IRO1" s="243"/>
      <c r="IRP1" s="243"/>
      <c r="IRQ1" s="243"/>
      <c r="IRR1" s="243"/>
      <c r="IRS1" s="243"/>
      <c r="IRT1" s="243"/>
      <c r="IRU1" s="243"/>
      <c r="IRV1" s="243"/>
      <c r="IRW1" s="243"/>
      <c r="IRX1" s="243"/>
      <c r="IRY1" s="243" t="s">
        <v>127</v>
      </c>
      <c r="IRZ1" s="243"/>
      <c r="ISA1" s="243"/>
      <c r="ISB1" s="243"/>
      <c r="ISC1" s="243"/>
      <c r="ISD1" s="243"/>
      <c r="ISE1" s="243"/>
      <c r="ISF1" s="243"/>
      <c r="ISG1" s="243"/>
      <c r="ISH1" s="243"/>
      <c r="ISI1" s="243"/>
      <c r="ISJ1" s="243"/>
      <c r="ISK1" s="243"/>
      <c r="ISL1" s="243"/>
      <c r="ISM1" s="243"/>
      <c r="ISN1" s="243"/>
      <c r="ISO1" s="243" t="s">
        <v>127</v>
      </c>
      <c r="ISP1" s="243"/>
      <c r="ISQ1" s="243"/>
      <c r="ISR1" s="243"/>
      <c r="ISS1" s="243"/>
      <c r="IST1" s="243"/>
      <c r="ISU1" s="243"/>
      <c r="ISV1" s="243"/>
      <c r="ISW1" s="243"/>
      <c r="ISX1" s="243"/>
      <c r="ISY1" s="243"/>
      <c r="ISZ1" s="243"/>
      <c r="ITA1" s="243"/>
      <c r="ITB1" s="243"/>
      <c r="ITC1" s="243"/>
      <c r="ITD1" s="243"/>
      <c r="ITE1" s="243" t="s">
        <v>127</v>
      </c>
      <c r="ITF1" s="243"/>
      <c r="ITG1" s="243"/>
      <c r="ITH1" s="243"/>
      <c r="ITI1" s="243"/>
      <c r="ITJ1" s="243"/>
      <c r="ITK1" s="243"/>
      <c r="ITL1" s="243"/>
      <c r="ITM1" s="243"/>
      <c r="ITN1" s="243"/>
      <c r="ITO1" s="243"/>
      <c r="ITP1" s="243"/>
      <c r="ITQ1" s="243"/>
      <c r="ITR1" s="243"/>
      <c r="ITS1" s="243"/>
      <c r="ITT1" s="243"/>
      <c r="ITU1" s="243" t="s">
        <v>127</v>
      </c>
      <c r="ITV1" s="243"/>
      <c r="ITW1" s="243"/>
      <c r="ITX1" s="243"/>
      <c r="ITY1" s="243"/>
      <c r="ITZ1" s="243"/>
      <c r="IUA1" s="243"/>
      <c r="IUB1" s="243"/>
      <c r="IUC1" s="243"/>
      <c r="IUD1" s="243"/>
      <c r="IUE1" s="243"/>
      <c r="IUF1" s="243"/>
      <c r="IUG1" s="243"/>
      <c r="IUH1" s="243"/>
      <c r="IUI1" s="243"/>
      <c r="IUJ1" s="243"/>
      <c r="IUK1" s="243" t="s">
        <v>127</v>
      </c>
      <c r="IUL1" s="243"/>
      <c r="IUM1" s="243"/>
      <c r="IUN1" s="243"/>
      <c r="IUO1" s="243"/>
      <c r="IUP1" s="243"/>
      <c r="IUQ1" s="243"/>
      <c r="IUR1" s="243"/>
      <c r="IUS1" s="243"/>
      <c r="IUT1" s="243"/>
      <c r="IUU1" s="243"/>
      <c r="IUV1" s="243"/>
      <c r="IUW1" s="243"/>
      <c r="IUX1" s="243"/>
      <c r="IUY1" s="243"/>
      <c r="IUZ1" s="243"/>
      <c r="IVA1" s="243" t="s">
        <v>127</v>
      </c>
      <c r="IVB1" s="243"/>
      <c r="IVC1" s="243"/>
      <c r="IVD1" s="243"/>
      <c r="IVE1" s="243"/>
      <c r="IVF1" s="243"/>
      <c r="IVG1" s="243"/>
      <c r="IVH1" s="243"/>
      <c r="IVI1" s="243"/>
      <c r="IVJ1" s="243"/>
      <c r="IVK1" s="243"/>
      <c r="IVL1" s="243"/>
      <c r="IVM1" s="243"/>
      <c r="IVN1" s="243"/>
      <c r="IVO1" s="243"/>
      <c r="IVP1" s="243"/>
      <c r="IVQ1" s="243" t="s">
        <v>127</v>
      </c>
      <c r="IVR1" s="243"/>
      <c r="IVS1" s="243"/>
      <c r="IVT1" s="243"/>
      <c r="IVU1" s="243"/>
      <c r="IVV1" s="243"/>
      <c r="IVW1" s="243"/>
      <c r="IVX1" s="243"/>
      <c r="IVY1" s="243"/>
      <c r="IVZ1" s="243"/>
      <c r="IWA1" s="243"/>
      <c r="IWB1" s="243"/>
      <c r="IWC1" s="243"/>
      <c r="IWD1" s="243"/>
      <c r="IWE1" s="243"/>
      <c r="IWF1" s="243"/>
      <c r="IWG1" s="243" t="s">
        <v>127</v>
      </c>
      <c r="IWH1" s="243"/>
      <c r="IWI1" s="243"/>
      <c r="IWJ1" s="243"/>
      <c r="IWK1" s="243"/>
      <c r="IWL1" s="243"/>
      <c r="IWM1" s="243"/>
      <c r="IWN1" s="243"/>
      <c r="IWO1" s="243"/>
      <c r="IWP1" s="243"/>
      <c r="IWQ1" s="243"/>
      <c r="IWR1" s="243"/>
      <c r="IWS1" s="243"/>
      <c r="IWT1" s="243"/>
      <c r="IWU1" s="243"/>
      <c r="IWV1" s="243"/>
      <c r="IWW1" s="243" t="s">
        <v>127</v>
      </c>
      <c r="IWX1" s="243"/>
      <c r="IWY1" s="243"/>
      <c r="IWZ1" s="243"/>
      <c r="IXA1" s="243"/>
      <c r="IXB1" s="243"/>
      <c r="IXC1" s="243"/>
      <c r="IXD1" s="243"/>
      <c r="IXE1" s="243"/>
      <c r="IXF1" s="243"/>
      <c r="IXG1" s="243"/>
      <c r="IXH1" s="243"/>
      <c r="IXI1" s="243"/>
      <c r="IXJ1" s="243"/>
      <c r="IXK1" s="243"/>
      <c r="IXL1" s="243"/>
      <c r="IXM1" s="243" t="s">
        <v>127</v>
      </c>
      <c r="IXN1" s="243"/>
      <c r="IXO1" s="243"/>
      <c r="IXP1" s="243"/>
      <c r="IXQ1" s="243"/>
      <c r="IXR1" s="243"/>
      <c r="IXS1" s="243"/>
      <c r="IXT1" s="243"/>
      <c r="IXU1" s="243"/>
      <c r="IXV1" s="243"/>
      <c r="IXW1" s="243"/>
      <c r="IXX1" s="243"/>
      <c r="IXY1" s="243"/>
      <c r="IXZ1" s="243"/>
      <c r="IYA1" s="243"/>
      <c r="IYB1" s="243"/>
      <c r="IYC1" s="243" t="s">
        <v>127</v>
      </c>
      <c r="IYD1" s="243"/>
      <c r="IYE1" s="243"/>
      <c r="IYF1" s="243"/>
      <c r="IYG1" s="243"/>
      <c r="IYH1" s="243"/>
      <c r="IYI1" s="243"/>
      <c r="IYJ1" s="243"/>
      <c r="IYK1" s="243"/>
      <c r="IYL1" s="243"/>
      <c r="IYM1" s="243"/>
      <c r="IYN1" s="243"/>
      <c r="IYO1" s="243"/>
      <c r="IYP1" s="243"/>
      <c r="IYQ1" s="243"/>
      <c r="IYR1" s="243"/>
      <c r="IYS1" s="243" t="s">
        <v>127</v>
      </c>
      <c r="IYT1" s="243"/>
      <c r="IYU1" s="243"/>
      <c r="IYV1" s="243"/>
      <c r="IYW1" s="243"/>
      <c r="IYX1" s="243"/>
      <c r="IYY1" s="243"/>
      <c r="IYZ1" s="243"/>
      <c r="IZA1" s="243"/>
      <c r="IZB1" s="243"/>
      <c r="IZC1" s="243"/>
      <c r="IZD1" s="243"/>
      <c r="IZE1" s="243"/>
      <c r="IZF1" s="243"/>
      <c r="IZG1" s="243"/>
      <c r="IZH1" s="243"/>
      <c r="IZI1" s="243" t="s">
        <v>127</v>
      </c>
      <c r="IZJ1" s="243"/>
      <c r="IZK1" s="243"/>
      <c r="IZL1" s="243"/>
      <c r="IZM1" s="243"/>
      <c r="IZN1" s="243"/>
      <c r="IZO1" s="243"/>
      <c r="IZP1" s="243"/>
      <c r="IZQ1" s="243"/>
      <c r="IZR1" s="243"/>
      <c r="IZS1" s="243"/>
      <c r="IZT1" s="243"/>
      <c r="IZU1" s="243"/>
      <c r="IZV1" s="243"/>
      <c r="IZW1" s="243"/>
      <c r="IZX1" s="243"/>
      <c r="IZY1" s="243" t="s">
        <v>127</v>
      </c>
      <c r="IZZ1" s="243"/>
      <c r="JAA1" s="243"/>
      <c r="JAB1" s="243"/>
      <c r="JAC1" s="243"/>
      <c r="JAD1" s="243"/>
      <c r="JAE1" s="243"/>
      <c r="JAF1" s="243"/>
      <c r="JAG1" s="243"/>
      <c r="JAH1" s="243"/>
      <c r="JAI1" s="243"/>
      <c r="JAJ1" s="243"/>
      <c r="JAK1" s="243"/>
      <c r="JAL1" s="243"/>
      <c r="JAM1" s="243"/>
      <c r="JAN1" s="243"/>
      <c r="JAO1" s="243" t="s">
        <v>127</v>
      </c>
      <c r="JAP1" s="243"/>
      <c r="JAQ1" s="243"/>
      <c r="JAR1" s="243"/>
      <c r="JAS1" s="243"/>
      <c r="JAT1" s="243"/>
      <c r="JAU1" s="243"/>
      <c r="JAV1" s="243"/>
      <c r="JAW1" s="243"/>
      <c r="JAX1" s="243"/>
      <c r="JAY1" s="243"/>
      <c r="JAZ1" s="243"/>
      <c r="JBA1" s="243"/>
      <c r="JBB1" s="243"/>
      <c r="JBC1" s="243"/>
      <c r="JBD1" s="243"/>
      <c r="JBE1" s="243" t="s">
        <v>127</v>
      </c>
      <c r="JBF1" s="243"/>
      <c r="JBG1" s="243"/>
      <c r="JBH1" s="243"/>
      <c r="JBI1" s="243"/>
      <c r="JBJ1" s="243"/>
      <c r="JBK1" s="243"/>
      <c r="JBL1" s="243"/>
      <c r="JBM1" s="243"/>
      <c r="JBN1" s="243"/>
      <c r="JBO1" s="243"/>
      <c r="JBP1" s="243"/>
      <c r="JBQ1" s="243"/>
      <c r="JBR1" s="243"/>
      <c r="JBS1" s="243"/>
      <c r="JBT1" s="243"/>
      <c r="JBU1" s="243" t="s">
        <v>127</v>
      </c>
      <c r="JBV1" s="243"/>
      <c r="JBW1" s="243"/>
      <c r="JBX1" s="243"/>
      <c r="JBY1" s="243"/>
      <c r="JBZ1" s="243"/>
      <c r="JCA1" s="243"/>
      <c r="JCB1" s="243"/>
      <c r="JCC1" s="243"/>
      <c r="JCD1" s="243"/>
      <c r="JCE1" s="243"/>
      <c r="JCF1" s="243"/>
      <c r="JCG1" s="243"/>
      <c r="JCH1" s="243"/>
      <c r="JCI1" s="243"/>
      <c r="JCJ1" s="243"/>
      <c r="JCK1" s="243" t="s">
        <v>127</v>
      </c>
      <c r="JCL1" s="243"/>
      <c r="JCM1" s="243"/>
      <c r="JCN1" s="243"/>
      <c r="JCO1" s="243"/>
      <c r="JCP1" s="243"/>
      <c r="JCQ1" s="243"/>
      <c r="JCR1" s="243"/>
      <c r="JCS1" s="243"/>
      <c r="JCT1" s="243"/>
      <c r="JCU1" s="243"/>
      <c r="JCV1" s="243"/>
      <c r="JCW1" s="243"/>
      <c r="JCX1" s="243"/>
      <c r="JCY1" s="243"/>
      <c r="JCZ1" s="243"/>
      <c r="JDA1" s="243" t="s">
        <v>127</v>
      </c>
      <c r="JDB1" s="243"/>
      <c r="JDC1" s="243"/>
      <c r="JDD1" s="243"/>
      <c r="JDE1" s="243"/>
      <c r="JDF1" s="243"/>
      <c r="JDG1" s="243"/>
      <c r="JDH1" s="243"/>
      <c r="JDI1" s="243"/>
      <c r="JDJ1" s="243"/>
      <c r="JDK1" s="243"/>
      <c r="JDL1" s="243"/>
      <c r="JDM1" s="243"/>
      <c r="JDN1" s="243"/>
      <c r="JDO1" s="243"/>
      <c r="JDP1" s="243"/>
      <c r="JDQ1" s="243" t="s">
        <v>127</v>
      </c>
      <c r="JDR1" s="243"/>
      <c r="JDS1" s="243"/>
      <c r="JDT1" s="243"/>
      <c r="JDU1" s="243"/>
      <c r="JDV1" s="243"/>
      <c r="JDW1" s="243"/>
      <c r="JDX1" s="243"/>
      <c r="JDY1" s="243"/>
      <c r="JDZ1" s="243"/>
      <c r="JEA1" s="243"/>
      <c r="JEB1" s="243"/>
      <c r="JEC1" s="243"/>
      <c r="JED1" s="243"/>
      <c r="JEE1" s="243"/>
      <c r="JEF1" s="243"/>
      <c r="JEG1" s="243" t="s">
        <v>127</v>
      </c>
      <c r="JEH1" s="243"/>
      <c r="JEI1" s="243"/>
      <c r="JEJ1" s="243"/>
      <c r="JEK1" s="243"/>
      <c r="JEL1" s="243"/>
      <c r="JEM1" s="243"/>
      <c r="JEN1" s="243"/>
      <c r="JEO1" s="243"/>
      <c r="JEP1" s="243"/>
      <c r="JEQ1" s="243"/>
      <c r="JER1" s="243"/>
      <c r="JES1" s="243"/>
      <c r="JET1" s="243"/>
      <c r="JEU1" s="243"/>
      <c r="JEV1" s="243"/>
      <c r="JEW1" s="243" t="s">
        <v>127</v>
      </c>
      <c r="JEX1" s="243"/>
      <c r="JEY1" s="243"/>
      <c r="JEZ1" s="243"/>
      <c r="JFA1" s="243"/>
      <c r="JFB1" s="243"/>
      <c r="JFC1" s="243"/>
      <c r="JFD1" s="243"/>
      <c r="JFE1" s="243"/>
      <c r="JFF1" s="243"/>
      <c r="JFG1" s="243"/>
      <c r="JFH1" s="243"/>
      <c r="JFI1" s="243"/>
      <c r="JFJ1" s="243"/>
      <c r="JFK1" s="243"/>
      <c r="JFL1" s="243"/>
      <c r="JFM1" s="243" t="s">
        <v>127</v>
      </c>
      <c r="JFN1" s="243"/>
      <c r="JFO1" s="243"/>
      <c r="JFP1" s="243"/>
      <c r="JFQ1" s="243"/>
      <c r="JFR1" s="243"/>
      <c r="JFS1" s="243"/>
      <c r="JFT1" s="243"/>
      <c r="JFU1" s="243"/>
      <c r="JFV1" s="243"/>
      <c r="JFW1" s="243"/>
      <c r="JFX1" s="243"/>
      <c r="JFY1" s="243"/>
      <c r="JFZ1" s="243"/>
      <c r="JGA1" s="243"/>
      <c r="JGB1" s="243"/>
      <c r="JGC1" s="243" t="s">
        <v>127</v>
      </c>
      <c r="JGD1" s="243"/>
      <c r="JGE1" s="243"/>
      <c r="JGF1" s="243"/>
      <c r="JGG1" s="243"/>
      <c r="JGH1" s="243"/>
      <c r="JGI1" s="243"/>
      <c r="JGJ1" s="243"/>
      <c r="JGK1" s="243"/>
      <c r="JGL1" s="243"/>
      <c r="JGM1" s="243"/>
      <c r="JGN1" s="243"/>
      <c r="JGO1" s="243"/>
      <c r="JGP1" s="243"/>
      <c r="JGQ1" s="243"/>
      <c r="JGR1" s="243"/>
      <c r="JGS1" s="243" t="s">
        <v>127</v>
      </c>
      <c r="JGT1" s="243"/>
      <c r="JGU1" s="243"/>
      <c r="JGV1" s="243"/>
      <c r="JGW1" s="243"/>
      <c r="JGX1" s="243"/>
      <c r="JGY1" s="243"/>
      <c r="JGZ1" s="243"/>
      <c r="JHA1" s="243"/>
      <c r="JHB1" s="243"/>
      <c r="JHC1" s="243"/>
      <c r="JHD1" s="243"/>
      <c r="JHE1" s="243"/>
      <c r="JHF1" s="243"/>
      <c r="JHG1" s="243"/>
      <c r="JHH1" s="243"/>
      <c r="JHI1" s="243" t="s">
        <v>127</v>
      </c>
      <c r="JHJ1" s="243"/>
      <c r="JHK1" s="243"/>
      <c r="JHL1" s="243"/>
      <c r="JHM1" s="243"/>
      <c r="JHN1" s="243"/>
      <c r="JHO1" s="243"/>
      <c r="JHP1" s="243"/>
      <c r="JHQ1" s="243"/>
      <c r="JHR1" s="243"/>
      <c r="JHS1" s="243"/>
      <c r="JHT1" s="243"/>
      <c r="JHU1" s="243"/>
      <c r="JHV1" s="243"/>
      <c r="JHW1" s="243"/>
      <c r="JHX1" s="243"/>
      <c r="JHY1" s="243" t="s">
        <v>127</v>
      </c>
      <c r="JHZ1" s="243"/>
      <c r="JIA1" s="243"/>
      <c r="JIB1" s="243"/>
      <c r="JIC1" s="243"/>
      <c r="JID1" s="243"/>
      <c r="JIE1" s="243"/>
      <c r="JIF1" s="243"/>
      <c r="JIG1" s="243"/>
      <c r="JIH1" s="243"/>
      <c r="JII1" s="243"/>
      <c r="JIJ1" s="243"/>
      <c r="JIK1" s="243"/>
      <c r="JIL1" s="243"/>
      <c r="JIM1" s="243"/>
      <c r="JIN1" s="243"/>
      <c r="JIO1" s="243" t="s">
        <v>127</v>
      </c>
      <c r="JIP1" s="243"/>
      <c r="JIQ1" s="243"/>
      <c r="JIR1" s="243"/>
      <c r="JIS1" s="243"/>
      <c r="JIT1" s="243"/>
      <c r="JIU1" s="243"/>
      <c r="JIV1" s="243"/>
      <c r="JIW1" s="243"/>
      <c r="JIX1" s="243"/>
      <c r="JIY1" s="243"/>
      <c r="JIZ1" s="243"/>
      <c r="JJA1" s="243"/>
      <c r="JJB1" s="243"/>
      <c r="JJC1" s="243"/>
      <c r="JJD1" s="243"/>
      <c r="JJE1" s="243" t="s">
        <v>127</v>
      </c>
      <c r="JJF1" s="243"/>
      <c r="JJG1" s="243"/>
      <c r="JJH1" s="243"/>
      <c r="JJI1" s="243"/>
      <c r="JJJ1" s="243"/>
      <c r="JJK1" s="243"/>
      <c r="JJL1" s="243"/>
      <c r="JJM1" s="243"/>
      <c r="JJN1" s="243"/>
      <c r="JJO1" s="243"/>
      <c r="JJP1" s="243"/>
      <c r="JJQ1" s="243"/>
      <c r="JJR1" s="243"/>
      <c r="JJS1" s="243"/>
      <c r="JJT1" s="243"/>
      <c r="JJU1" s="243" t="s">
        <v>127</v>
      </c>
      <c r="JJV1" s="243"/>
      <c r="JJW1" s="243"/>
      <c r="JJX1" s="243"/>
      <c r="JJY1" s="243"/>
      <c r="JJZ1" s="243"/>
      <c r="JKA1" s="243"/>
      <c r="JKB1" s="243"/>
      <c r="JKC1" s="243"/>
      <c r="JKD1" s="243"/>
      <c r="JKE1" s="243"/>
      <c r="JKF1" s="243"/>
      <c r="JKG1" s="243"/>
      <c r="JKH1" s="243"/>
      <c r="JKI1" s="243"/>
      <c r="JKJ1" s="243"/>
      <c r="JKK1" s="243" t="s">
        <v>127</v>
      </c>
      <c r="JKL1" s="243"/>
      <c r="JKM1" s="243"/>
      <c r="JKN1" s="243"/>
      <c r="JKO1" s="243"/>
      <c r="JKP1" s="243"/>
      <c r="JKQ1" s="243"/>
      <c r="JKR1" s="243"/>
      <c r="JKS1" s="243"/>
      <c r="JKT1" s="243"/>
      <c r="JKU1" s="243"/>
      <c r="JKV1" s="243"/>
      <c r="JKW1" s="243"/>
      <c r="JKX1" s="243"/>
      <c r="JKY1" s="243"/>
      <c r="JKZ1" s="243"/>
      <c r="JLA1" s="243" t="s">
        <v>127</v>
      </c>
      <c r="JLB1" s="243"/>
      <c r="JLC1" s="243"/>
      <c r="JLD1" s="243"/>
      <c r="JLE1" s="243"/>
      <c r="JLF1" s="243"/>
      <c r="JLG1" s="243"/>
      <c r="JLH1" s="243"/>
      <c r="JLI1" s="243"/>
      <c r="JLJ1" s="243"/>
      <c r="JLK1" s="243"/>
      <c r="JLL1" s="243"/>
      <c r="JLM1" s="243"/>
      <c r="JLN1" s="243"/>
      <c r="JLO1" s="243"/>
      <c r="JLP1" s="243"/>
      <c r="JLQ1" s="243" t="s">
        <v>127</v>
      </c>
      <c r="JLR1" s="243"/>
      <c r="JLS1" s="243"/>
      <c r="JLT1" s="243"/>
      <c r="JLU1" s="243"/>
      <c r="JLV1" s="243"/>
      <c r="JLW1" s="243"/>
      <c r="JLX1" s="243"/>
      <c r="JLY1" s="243"/>
      <c r="JLZ1" s="243"/>
      <c r="JMA1" s="243"/>
      <c r="JMB1" s="243"/>
      <c r="JMC1" s="243"/>
      <c r="JMD1" s="243"/>
      <c r="JME1" s="243"/>
      <c r="JMF1" s="243"/>
      <c r="JMG1" s="243" t="s">
        <v>127</v>
      </c>
      <c r="JMH1" s="243"/>
      <c r="JMI1" s="243"/>
      <c r="JMJ1" s="243"/>
      <c r="JMK1" s="243"/>
      <c r="JML1" s="243"/>
      <c r="JMM1" s="243"/>
      <c r="JMN1" s="243"/>
      <c r="JMO1" s="243"/>
      <c r="JMP1" s="243"/>
      <c r="JMQ1" s="243"/>
      <c r="JMR1" s="243"/>
      <c r="JMS1" s="243"/>
      <c r="JMT1" s="243"/>
      <c r="JMU1" s="243"/>
      <c r="JMV1" s="243"/>
      <c r="JMW1" s="243" t="s">
        <v>127</v>
      </c>
      <c r="JMX1" s="243"/>
      <c r="JMY1" s="243"/>
      <c r="JMZ1" s="243"/>
      <c r="JNA1" s="243"/>
      <c r="JNB1" s="243"/>
      <c r="JNC1" s="243"/>
      <c r="JND1" s="243"/>
      <c r="JNE1" s="243"/>
      <c r="JNF1" s="243"/>
      <c r="JNG1" s="243"/>
      <c r="JNH1" s="243"/>
      <c r="JNI1" s="243"/>
      <c r="JNJ1" s="243"/>
      <c r="JNK1" s="243"/>
      <c r="JNL1" s="243"/>
      <c r="JNM1" s="243" t="s">
        <v>127</v>
      </c>
      <c r="JNN1" s="243"/>
      <c r="JNO1" s="243"/>
      <c r="JNP1" s="243"/>
      <c r="JNQ1" s="243"/>
      <c r="JNR1" s="243"/>
      <c r="JNS1" s="243"/>
      <c r="JNT1" s="243"/>
      <c r="JNU1" s="243"/>
      <c r="JNV1" s="243"/>
      <c r="JNW1" s="243"/>
      <c r="JNX1" s="243"/>
      <c r="JNY1" s="243"/>
      <c r="JNZ1" s="243"/>
      <c r="JOA1" s="243"/>
      <c r="JOB1" s="243"/>
      <c r="JOC1" s="243" t="s">
        <v>127</v>
      </c>
      <c r="JOD1" s="243"/>
      <c r="JOE1" s="243"/>
      <c r="JOF1" s="243"/>
      <c r="JOG1" s="243"/>
      <c r="JOH1" s="243"/>
      <c r="JOI1" s="243"/>
      <c r="JOJ1" s="243"/>
      <c r="JOK1" s="243"/>
      <c r="JOL1" s="243"/>
      <c r="JOM1" s="243"/>
      <c r="JON1" s="243"/>
      <c r="JOO1" s="243"/>
      <c r="JOP1" s="243"/>
      <c r="JOQ1" s="243"/>
      <c r="JOR1" s="243"/>
      <c r="JOS1" s="243" t="s">
        <v>127</v>
      </c>
      <c r="JOT1" s="243"/>
      <c r="JOU1" s="243"/>
      <c r="JOV1" s="243"/>
      <c r="JOW1" s="243"/>
      <c r="JOX1" s="243"/>
      <c r="JOY1" s="243"/>
      <c r="JOZ1" s="243"/>
      <c r="JPA1" s="243"/>
      <c r="JPB1" s="243"/>
      <c r="JPC1" s="243"/>
      <c r="JPD1" s="243"/>
      <c r="JPE1" s="243"/>
      <c r="JPF1" s="243"/>
      <c r="JPG1" s="243"/>
      <c r="JPH1" s="243"/>
      <c r="JPI1" s="243" t="s">
        <v>127</v>
      </c>
      <c r="JPJ1" s="243"/>
      <c r="JPK1" s="243"/>
      <c r="JPL1" s="243"/>
      <c r="JPM1" s="243"/>
      <c r="JPN1" s="243"/>
      <c r="JPO1" s="243"/>
      <c r="JPP1" s="243"/>
      <c r="JPQ1" s="243"/>
      <c r="JPR1" s="243"/>
      <c r="JPS1" s="243"/>
      <c r="JPT1" s="243"/>
      <c r="JPU1" s="243"/>
      <c r="JPV1" s="243"/>
      <c r="JPW1" s="243"/>
      <c r="JPX1" s="243"/>
      <c r="JPY1" s="243" t="s">
        <v>127</v>
      </c>
      <c r="JPZ1" s="243"/>
      <c r="JQA1" s="243"/>
      <c r="JQB1" s="243"/>
      <c r="JQC1" s="243"/>
      <c r="JQD1" s="243"/>
      <c r="JQE1" s="243"/>
      <c r="JQF1" s="243"/>
      <c r="JQG1" s="243"/>
      <c r="JQH1" s="243"/>
      <c r="JQI1" s="243"/>
      <c r="JQJ1" s="243"/>
      <c r="JQK1" s="243"/>
      <c r="JQL1" s="243"/>
      <c r="JQM1" s="243"/>
      <c r="JQN1" s="243"/>
      <c r="JQO1" s="243" t="s">
        <v>127</v>
      </c>
      <c r="JQP1" s="243"/>
      <c r="JQQ1" s="243"/>
      <c r="JQR1" s="243"/>
      <c r="JQS1" s="243"/>
      <c r="JQT1" s="243"/>
      <c r="JQU1" s="243"/>
      <c r="JQV1" s="243"/>
      <c r="JQW1" s="243"/>
      <c r="JQX1" s="243"/>
      <c r="JQY1" s="243"/>
      <c r="JQZ1" s="243"/>
      <c r="JRA1" s="243"/>
      <c r="JRB1" s="243"/>
      <c r="JRC1" s="243"/>
      <c r="JRD1" s="243"/>
      <c r="JRE1" s="243" t="s">
        <v>127</v>
      </c>
      <c r="JRF1" s="243"/>
      <c r="JRG1" s="243"/>
      <c r="JRH1" s="243"/>
      <c r="JRI1" s="243"/>
      <c r="JRJ1" s="243"/>
      <c r="JRK1" s="243"/>
      <c r="JRL1" s="243"/>
      <c r="JRM1" s="243"/>
      <c r="JRN1" s="243"/>
      <c r="JRO1" s="243"/>
      <c r="JRP1" s="243"/>
      <c r="JRQ1" s="243"/>
      <c r="JRR1" s="243"/>
      <c r="JRS1" s="243"/>
      <c r="JRT1" s="243"/>
      <c r="JRU1" s="243" t="s">
        <v>127</v>
      </c>
      <c r="JRV1" s="243"/>
      <c r="JRW1" s="243"/>
      <c r="JRX1" s="243"/>
      <c r="JRY1" s="243"/>
      <c r="JRZ1" s="243"/>
      <c r="JSA1" s="243"/>
      <c r="JSB1" s="243"/>
      <c r="JSC1" s="243"/>
      <c r="JSD1" s="243"/>
      <c r="JSE1" s="243"/>
      <c r="JSF1" s="243"/>
      <c r="JSG1" s="243"/>
      <c r="JSH1" s="243"/>
      <c r="JSI1" s="243"/>
      <c r="JSJ1" s="243"/>
      <c r="JSK1" s="243" t="s">
        <v>127</v>
      </c>
      <c r="JSL1" s="243"/>
      <c r="JSM1" s="243"/>
      <c r="JSN1" s="243"/>
      <c r="JSO1" s="243"/>
      <c r="JSP1" s="243"/>
      <c r="JSQ1" s="243"/>
      <c r="JSR1" s="243"/>
      <c r="JSS1" s="243"/>
      <c r="JST1" s="243"/>
      <c r="JSU1" s="243"/>
      <c r="JSV1" s="243"/>
      <c r="JSW1" s="243"/>
      <c r="JSX1" s="243"/>
      <c r="JSY1" s="243"/>
      <c r="JSZ1" s="243"/>
      <c r="JTA1" s="243" t="s">
        <v>127</v>
      </c>
      <c r="JTB1" s="243"/>
      <c r="JTC1" s="243"/>
      <c r="JTD1" s="243"/>
      <c r="JTE1" s="243"/>
      <c r="JTF1" s="243"/>
      <c r="JTG1" s="243"/>
      <c r="JTH1" s="243"/>
      <c r="JTI1" s="243"/>
      <c r="JTJ1" s="243"/>
      <c r="JTK1" s="243"/>
      <c r="JTL1" s="243"/>
      <c r="JTM1" s="243"/>
      <c r="JTN1" s="243"/>
      <c r="JTO1" s="243"/>
      <c r="JTP1" s="243"/>
      <c r="JTQ1" s="243" t="s">
        <v>127</v>
      </c>
      <c r="JTR1" s="243"/>
      <c r="JTS1" s="243"/>
      <c r="JTT1" s="243"/>
      <c r="JTU1" s="243"/>
      <c r="JTV1" s="243"/>
      <c r="JTW1" s="243"/>
      <c r="JTX1" s="243"/>
      <c r="JTY1" s="243"/>
      <c r="JTZ1" s="243"/>
      <c r="JUA1" s="243"/>
      <c r="JUB1" s="243"/>
      <c r="JUC1" s="243"/>
      <c r="JUD1" s="243"/>
      <c r="JUE1" s="243"/>
      <c r="JUF1" s="243"/>
      <c r="JUG1" s="243" t="s">
        <v>127</v>
      </c>
      <c r="JUH1" s="243"/>
      <c r="JUI1" s="243"/>
      <c r="JUJ1" s="243"/>
      <c r="JUK1" s="243"/>
      <c r="JUL1" s="243"/>
      <c r="JUM1" s="243"/>
      <c r="JUN1" s="243"/>
      <c r="JUO1" s="243"/>
      <c r="JUP1" s="243"/>
      <c r="JUQ1" s="243"/>
      <c r="JUR1" s="243"/>
      <c r="JUS1" s="243"/>
      <c r="JUT1" s="243"/>
      <c r="JUU1" s="243"/>
      <c r="JUV1" s="243"/>
      <c r="JUW1" s="243" t="s">
        <v>127</v>
      </c>
      <c r="JUX1" s="243"/>
      <c r="JUY1" s="243"/>
      <c r="JUZ1" s="243"/>
      <c r="JVA1" s="243"/>
      <c r="JVB1" s="243"/>
      <c r="JVC1" s="243"/>
      <c r="JVD1" s="243"/>
      <c r="JVE1" s="243"/>
      <c r="JVF1" s="243"/>
      <c r="JVG1" s="243"/>
      <c r="JVH1" s="243"/>
      <c r="JVI1" s="243"/>
      <c r="JVJ1" s="243"/>
      <c r="JVK1" s="243"/>
      <c r="JVL1" s="243"/>
      <c r="JVM1" s="243" t="s">
        <v>127</v>
      </c>
      <c r="JVN1" s="243"/>
      <c r="JVO1" s="243"/>
      <c r="JVP1" s="243"/>
      <c r="JVQ1" s="243"/>
      <c r="JVR1" s="243"/>
      <c r="JVS1" s="243"/>
      <c r="JVT1" s="243"/>
      <c r="JVU1" s="243"/>
      <c r="JVV1" s="243"/>
      <c r="JVW1" s="243"/>
      <c r="JVX1" s="243"/>
      <c r="JVY1" s="243"/>
      <c r="JVZ1" s="243"/>
      <c r="JWA1" s="243"/>
      <c r="JWB1" s="243"/>
      <c r="JWC1" s="243" t="s">
        <v>127</v>
      </c>
      <c r="JWD1" s="243"/>
      <c r="JWE1" s="243"/>
      <c r="JWF1" s="243"/>
      <c r="JWG1" s="243"/>
      <c r="JWH1" s="243"/>
      <c r="JWI1" s="243"/>
      <c r="JWJ1" s="243"/>
      <c r="JWK1" s="243"/>
      <c r="JWL1" s="243"/>
      <c r="JWM1" s="243"/>
      <c r="JWN1" s="243"/>
      <c r="JWO1" s="243"/>
      <c r="JWP1" s="243"/>
      <c r="JWQ1" s="243"/>
      <c r="JWR1" s="243"/>
      <c r="JWS1" s="243" t="s">
        <v>127</v>
      </c>
      <c r="JWT1" s="243"/>
      <c r="JWU1" s="243"/>
      <c r="JWV1" s="243"/>
      <c r="JWW1" s="243"/>
      <c r="JWX1" s="243"/>
      <c r="JWY1" s="243"/>
      <c r="JWZ1" s="243"/>
      <c r="JXA1" s="243"/>
      <c r="JXB1" s="243"/>
      <c r="JXC1" s="243"/>
      <c r="JXD1" s="243"/>
      <c r="JXE1" s="243"/>
      <c r="JXF1" s="243"/>
      <c r="JXG1" s="243"/>
      <c r="JXH1" s="243"/>
      <c r="JXI1" s="243" t="s">
        <v>127</v>
      </c>
      <c r="JXJ1" s="243"/>
      <c r="JXK1" s="243"/>
      <c r="JXL1" s="243"/>
      <c r="JXM1" s="243"/>
      <c r="JXN1" s="243"/>
      <c r="JXO1" s="243"/>
      <c r="JXP1" s="243"/>
      <c r="JXQ1" s="243"/>
      <c r="JXR1" s="243"/>
      <c r="JXS1" s="243"/>
      <c r="JXT1" s="243"/>
      <c r="JXU1" s="243"/>
      <c r="JXV1" s="243"/>
      <c r="JXW1" s="243"/>
      <c r="JXX1" s="243"/>
      <c r="JXY1" s="243" t="s">
        <v>127</v>
      </c>
      <c r="JXZ1" s="243"/>
      <c r="JYA1" s="243"/>
      <c r="JYB1" s="243"/>
      <c r="JYC1" s="243"/>
      <c r="JYD1" s="243"/>
      <c r="JYE1" s="243"/>
      <c r="JYF1" s="243"/>
      <c r="JYG1" s="243"/>
      <c r="JYH1" s="243"/>
      <c r="JYI1" s="243"/>
      <c r="JYJ1" s="243"/>
      <c r="JYK1" s="243"/>
      <c r="JYL1" s="243"/>
      <c r="JYM1" s="243"/>
      <c r="JYN1" s="243"/>
      <c r="JYO1" s="243" t="s">
        <v>127</v>
      </c>
      <c r="JYP1" s="243"/>
      <c r="JYQ1" s="243"/>
      <c r="JYR1" s="243"/>
      <c r="JYS1" s="243"/>
      <c r="JYT1" s="243"/>
      <c r="JYU1" s="243"/>
      <c r="JYV1" s="243"/>
      <c r="JYW1" s="243"/>
      <c r="JYX1" s="243"/>
      <c r="JYY1" s="243"/>
      <c r="JYZ1" s="243"/>
      <c r="JZA1" s="243"/>
      <c r="JZB1" s="243"/>
      <c r="JZC1" s="243"/>
      <c r="JZD1" s="243"/>
      <c r="JZE1" s="243" t="s">
        <v>127</v>
      </c>
      <c r="JZF1" s="243"/>
      <c r="JZG1" s="243"/>
      <c r="JZH1" s="243"/>
      <c r="JZI1" s="243"/>
      <c r="JZJ1" s="243"/>
      <c r="JZK1" s="243"/>
      <c r="JZL1" s="243"/>
      <c r="JZM1" s="243"/>
      <c r="JZN1" s="243"/>
      <c r="JZO1" s="243"/>
      <c r="JZP1" s="243"/>
      <c r="JZQ1" s="243"/>
      <c r="JZR1" s="243"/>
      <c r="JZS1" s="243"/>
      <c r="JZT1" s="243"/>
      <c r="JZU1" s="243" t="s">
        <v>127</v>
      </c>
      <c r="JZV1" s="243"/>
      <c r="JZW1" s="243"/>
      <c r="JZX1" s="243"/>
      <c r="JZY1" s="243"/>
      <c r="JZZ1" s="243"/>
      <c r="KAA1" s="243"/>
      <c r="KAB1" s="243"/>
      <c r="KAC1" s="243"/>
      <c r="KAD1" s="243"/>
      <c r="KAE1" s="243"/>
      <c r="KAF1" s="243"/>
      <c r="KAG1" s="243"/>
      <c r="KAH1" s="243"/>
      <c r="KAI1" s="243"/>
      <c r="KAJ1" s="243"/>
      <c r="KAK1" s="243" t="s">
        <v>127</v>
      </c>
      <c r="KAL1" s="243"/>
      <c r="KAM1" s="243"/>
      <c r="KAN1" s="243"/>
      <c r="KAO1" s="243"/>
      <c r="KAP1" s="243"/>
      <c r="KAQ1" s="243"/>
      <c r="KAR1" s="243"/>
      <c r="KAS1" s="243"/>
      <c r="KAT1" s="243"/>
      <c r="KAU1" s="243"/>
      <c r="KAV1" s="243"/>
      <c r="KAW1" s="243"/>
      <c r="KAX1" s="243"/>
      <c r="KAY1" s="243"/>
      <c r="KAZ1" s="243"/>
      <c r="KBA1" s="243" t="s">
        <v>127</v>
      </c>
      <c r="KBB1" s="243"/>
      <c r="KBC1" s="243"/>
      <c r="KBD1" s="243"/>
      <c r="KBE1" s="243"/>
      <c r="KBF1" s="243"/>
      <c r="KBG1" s="243"/>
      <c r="KBH1" s="243"/>
      <c r="KBI1" s="243"/>
      <c r="KBJ1" s="243"/>
      <c r="KBK1" s="243"/>
      <c r="KBL1" s="243"/>
      <c r="KBM1" s="243"/>
      <c r="KBN1" s="243"/>
      <c r="KBO1" s="243"/>
      <c r="KBP1" s="243"/>
      <c r="KBQ1" s="243" t="s">
        <v>127</v>
      </c>
      <c r="KBR1" s="243"/>
      <c r="KBS1" s="243"/>
      <c r="KBT1" s="243"/>
      <c r="KBU1" s="243"/>
      <c r="KBV1" s="243"/>
      <c r="KBW1" s="243"/>
      <c r="KBX1" s="243"/>
      <c r="KBY1" s="243"/>
      <c r="KBZ1" s="243"/>
      <c r="KCA1" s="243"/>
      <c r="KCB1" s="243"/>
      <c r="KCC1" s="243"/>
      <c r="KCD1" s="243"/>
      <c r="KCE1" s="243"/>
      <c r="KCF1" s="243"/>
      <c r="KCG1" s="243" t="s">
        <v>127</v>
      </c>
      <c r="KCH1" s="243"/>
      <c r="KCI1" s="243"/>
      <c r="KCJ1" s="243"/>
      <c r="KCK1" s="243"/>
      <c r="KCL1" s="243"/>
      <c r="KCM1" s="243"/>
      <c r="KCN1" s="243"/>
      <c r="KCO1" s="243"/>
      <c r="KCP1" s="243"/>
      <c r="KCQ1" s="243"/>
      <c r="KCR1" s="243"/>
      <c r="KCS1" s="243"/>
      <c r="KCT1" s="243"/>
      <c r="KCU1" s="243"/>
      <c r="KCV1" s="243"/>
      <c r="KCW1" s="243" t="s">
        <v>127</v>
      </c>
      <c r="KCX1" s="243"/>
      <c r="KCY1" s="243"/>
      <c r="KCZ1" s="243"/>
      <c r="KDA1" s="243"/>
      <c r="KDB1" s="243"/>
      <c r="KDC1" s="243"/>
      <c r="KDD1" s="243"/>
      <c r="KDE1" s="243"/>
      <c r="KDF1" s="243"/>
      <c r="KDG1" s="243"/>
      <c r="KDH1" s="243"/>
      <c r="KDI1" s="243"/>
      <c r="KDJ1" s="243"/>
      <c r="KDK1" s="243"/>
      <c r="KDL1" s="243"/>
      <c r="KDM1" s="243" t="s">
        <v>127</v>
      </c>
      <c r="KDN1" s="243"/>
      <c r="KDO1" s="243"/>
      <c r="KDP1" s="243"/>
      <c r="KDQ1" s="243"/>
      <c r="KDR1" s="243"/>
      <c r="KDS1" s="243"/>
      <c r="KDT1" s="243"/>
      <c r="KDU1" s="243"/>
      <c r="KDV1" s="243"/>
      <c r="KDW1" s="243"/>
      <c r="KDX1" s="243"/>
      <c r="KDY1" s="243"/>
      <c r="KDZ1" s="243"/>
      <c r="KEA1" s="243"/>
      <c r="KEB1" s="243"/>
      <c r="KEC1" s="243" t="s">
        <v>127</v>
      </c>
      <c r="KED1" s="243"/>
      <c r="KEE1" s="243"/>
      <c r="KEF1" s="243"/>
      <c r="KEG1" s="243"/>
      <c r="KEH1" s="243"/>
      <c r="KEI1" s="243"/>
      <c r="KEJ1" s="243"/>
      <c r="KEK1" s="243"/>
      <c r="KEL1" s="243"/>
      <c r="KEM1" s="243"/>
      <c r="KEN1" s="243"/>
      <c r="KEO1" s="243"/>
      <c r="KEP1" s="243"/>
      <c r="KEQ1" s="243"/>
      <c r="KER1" s="243"/>
      <c r="KES1" s="243" t="s">
        <v>127</v>
      </c>
      <c r="KET1" s="243"/>
      <c r="KEU1" s="243"/>
      <c r="KEV1" s="243"/>
      <c r="KEW1" s="243"/>
      <c r="KEX1" s="243"/>
      <c r="KEY1" s="243"/>
      <c r="KEZ1" s="243"/>
      <c r="KFA1" s="243"/>
      <c r="KFB1" s="243"/>
      <c r="KFC1" s="243"/>
      <c r="KFD1" s="243"/>
      <c r="KFE1" s="243"/>
      <c r="KFF1" s="243"/>
      <c r="KFG1" s="243"/>
      <c r="KFH1" s="243"/>
      <c r="KFI1" s="243" t="s">
        <v>127</v>
      </c>
      <c r="KFJ1" s="243"/>
      <c r="KFK1" s="243"/>
      <c r="KFL1" s="243"/>
      <c r="KFM1" s="243"/>
      <c r="KFN1" s="243"/>
      <c r="KFO1" s="243"/>
      <c r="KFP1" s="243"/>
      <c r="KFQ1" s="243"/>
      <c r="KFR1" s="243"/>
      <c r="KFS1" s="243"/>
      <c r="KFT1" s="243"/>
      <c r="KFU1" s="243"/>
      <c r="KFV1" s="243"/>
      <c r="KFW1" s="243"/>
      <c r="KFX1" s="243"/>
      <c r="KFY1" s="243" t="s">
        <v>127</v>
      </c>
      <c r="KFZ1" s="243"/>
      <c r="KGA1" s="243"/>
      <c r="KGB1" s="243"/>
      <c r="KGC1" s="243"/>
      <c r="KGD1" s="243"/>
      <c r="KGE1" s="243"/>
      <c r="KGF1" s="243"/>
      <c r="KGG1" s="243"/>
      <c r="KGH1" s="243"/>
      <c r="KGI1" s="243"/>
      <c r="KGJ1" s="243"/>
      <c r="KGK1" s="243"/>
      <c r="KGL1" s="243"/>
      <c r="KGM1" s="243"/>
      <c r="KGN1" s="243"/>
      <c r="KGO1" s="243" t="s">
        <v>127</v>
      </c>
      <c r="KGP1" s="243"/>
      <c r="KGQ1" s="243"/>
      <c r="KGR1" s="243"/>
      <c r="KGS1" s="243"/>
      <c r="KGT1" s="243"/>
      <c r="KGU1" s="243"/>
      <c r="KGV1" s="243"/>
      <c r="KGW1" s="243"/>
      <c r="KGX1" s="243"/>
      <c r="KGY1" s="243"/>
      <c r="KGZ1" s="243"/>
      <c r="KHA1" s="243"/>
      <c r="KHB1" s="243"/>
      <c r="KHC1" s="243"/>
      <c r="KHD1" s="243"/>
      <c r="KHE1" s="243" t="s">
        <v>127</v>
      </c>
      <c r="KHF1" s="243"/>
      <c r="KHG1" s="243"/>
      <c r="KHH1" s="243"/>
      <c r="KHI1" s="243"/>
      <c r="KHJ1" s="243"/>
      <c r="KHK1" s="243"/>
      <c r="KHL1" s="243"/>
      <c r="KHM1" s="243"/>
      <c r="KHN1" s="243"/>
      <c r="KHO1" s="243"/>
      <c r="KHP1" s="243"/>
      <c r="KHQ1" s="243"/>
      <c r="KHR1" s="243"/>
      <c r="KHS1" s="243"/>
      <c r="KHT1" s="243"/>
      <c r="KHU1" s="243" t="s">
        <v>127</v>
      </c>
      <c r="KHV1" s="243"/>
      <c r="KHW1" s="243"/>
      <c r="KHX1" s="243"/>
      <c r="KHY1" s="243"/>
      <c r="KHZ1" s="243"/>
      <c r="KIA1" s="243"/>
      <c r="KIB1" s="243"/>
      <c r="KIC1" s="243"/>
      <c r="KID1" s="243"/>
      <c r="KIE1" s="243"/>
      <c r="KIF1" s="243"/>
      <c r="KIG1" s="243"/>
      <c r="KIH1" s="243"/>
      <c r="KII1" s="243"/>
      <c r="KIJ1" s="243"/>
      <c r="KIK1" s="243" t="s">
        <v>127</v>
      </c>
      <c r="KIL1" s="243"/>
      <c r="KIM1" s="243"/>
      <c r="KIN1" s="243"/>
      <c r="KIO1" s="243"/>
      <c r="KIP1" s="243"/>
      <c r="KIQ1" s="243"/>
      <c r="KIR1" s="243"/>
      <c r="KIS1" s="243"/>
      <c r="KIT1" s="243"/>
      <c r="KIU1" s="243"/>
      <c r="KIV1" s="243"/>
      <c r="KIW1" s="243"/>
      <c r="KIX1" s="243"/>
      <c r="KIY1" s="243"/>
      <c r="KIZ1" s="243"/>
      <c r="KJA1" s="243" t="s">
        <v>127</v>
      </c>
      <c r="KJB1" s="243"/>
      <c r="KJC1" s="243"/>
      <c r="KJD1" s="243"/>
      <c r="KJE1" s="243"/>
      <c r="KJF1" s="243"/>
      <c r="KJG1" s="243"/>
      <c r="KJH1" s="243"/>
      <c r="KJI1" s="243"/>
      <c r="KJJ1" s="243"/>
      <c r="KJK1" s="243"/>
      <c r="KJL1" s="243"/>
      <c r="KJM1" s="243"/>
      <c r="KJN1" s="243"/>
      <c r="KJO1" s="243"/>
      <c r="KJP1" s="243"/>
      <c r="KJQ1" s="243" t="s">
        <v>127</v>
      </c>
      <c r="KJR1" s="243"/>
      <c r="KJS1" s="243"/>
      <c r="KJT1" s="243"/>
      <c r="KJU1" s="243"/>
      <c r="KJV1" s="243"/>
      <c r="KJW1" s="243"/>
      <c r="KJX1" s="243"/>
      <c r="KJY1" s="243"/>
      <c r="KJZ1" s="243"/>
      <c r="KKA1" s="243"/>
      <c r="KKB1" s="243"/>
      <c r="KKC1" s="243"/>
      <c r="KKD1" s="243"/>
      <c r="KKE1" s="243"/>
      <c r="KKF1" s="243"/>
      <c r="KKG1" s="243" t="s">
        <v>127</v>
      </c>
      <c r="KKH1" s="243"/>
      <c r="KKI1" s="243"/>
      <c r="KKJ1" s="243"/>
      <c r="KKK1" s="243"/>
      <c r="KKL1" s="243"/>
      <c r="KKM1" s="243"/>
      <c r="KKN1" s="243"/>
      <c r="KKO1" s="243"/>
      <c r="KKP1" s="243"/>
      <c r="KKQ1" s="243"/>
      <c r="KKR1" s="243"/>
      <c r="KKS1" s="243"/>
      <c r="KKT1" s="243"/>
      <c r="KKU1" s="243"/>
      <c r="KKV1" s="243"/>
      <c r="KKW1" s="243" t="s">
        <v>127</v>
      </c>
      <c r="KKX1" s="243"/>
      <c r="KKY1" s="243"/>
      <c r="KKZ1" s="243"/>
      <c r="KLA1" s="243"/>
      <c r="KLB1" s="243"/>
      <c r="KLC1" s="243"/>
      <c r="KLD1" s="243"/>
      <c r="KLE1" s="243"/>
      <c r="KLF1" s="243"/>
      <c r="KLG1" s="243"/>
      <c r="KLH1" s="243"/>
      <c r="KLI1" s="243"/>
      <c r="KLJ1" s="243"/>
      <c r="KLK1" s="243"/>
      <c r="KLL1" s="243"/>
      <c r="KLM1" s="243" t="s">
        <v>127</v>
      </c>
      <c r="KLN1" s="243"/>
      <c r="KLO1" s="243"/>
      <c r="KLP1" s="243"/>
      <c r="KLQ1" s="243"/>
      <c r="KLR1" s="243"/>
      <c r="KLS1" s="243"/>
      <c r="KLT1" s="243"/>
      <c r="KLU1" s="243"/>
      <c r="KLV1" s="243"/>
      <c r="KLW1" s="243"/>
      <c r="KLX1" s="243"/>
      <c r="KLY1" s="243"/>
      <c r="KLZ1" s="243"/>
      <c r="KMA1" s="243"/>
      <c r="KMB1" s="243"/>
      <c r="KMC1" s="243" t="s">
        <v>127</v>
      </c>
      <c r="KMD1" s="243"/>
      <c r="KME1" s="243"/>
      <c r="KMF1" s="243"/>
      <c r="KMG1" s="243"/>
      <c r="KMH1" s="243"/>
      <c r="KMI1" s="243"/>
      <c r="KMJ1" s="243"/>
      <c r="KMK1" s="243"/>
      <c r="KML1" s="243"/>
      <c r="KMM1" s="243"/>
      <c r="KMN1" s="243"/>
      <c r="KMO1" s="243"/>
      <c r="KMP1" s="243"/>
      <c r="KMQ1" s="243"/>
      <c r="KMR1" s="243"/>
      <c r="KMS1" s="243" t="s">
        <v>127</v>
      </c>
      <c r="KMT1" s="243"/>
      <c r="KMU1" s="243"/>
      <c r="KMV1" s="243"/>
      <c r="KMW1" s="243"/>
      <c r="KMX1" s="243"/>
      <c r="KMY1" s="243"/>
      <c r="KMZ1" s="243"/>
      <c r="KNA1" s="243"/>
      <c r="KNB1" s="243"/>
      <c r="KNC1" s="243"/>
      <c r="KND1" s="243"/>
      <c r="KNE1" s="243"/>
      <c r="KNF1" s="243"/>
      <c r="KNG1" s="243"/>
      <c r="KNH1" s="243"/>
      <c r="KNI1" s="243" t="s">
        <v>127</v>
      </c>
      <c r="KNJ1" s="243"/>
      <c r="KNK1" s="243"/>
      <c r="KNL1" s="243"/>
      <c r="KNM1" s="243"/>
      <c r="KNN1" s="243"/>
      <c r="KNO1" s="243"/>
      <c r="KNP1" s="243"/>
      <c r="KNQ1" s="243"/>
      <c r="KNR1" s="243"/>
      <c r="KNS1" s="243"/>
      <c r="KNT1" s="243"/>
      <c r="KNU1" s="243"/>
      <c r="KNV1" s="243"/>
      <c r="KNW1" s="243"/>
      <c r="KNX1" s="243"/>
      <c r="KNY1" s="243" t="s">
        <v>127</v>
      </c>
      <c r="KNZ1" s="243"/>
      <c r="KOA1" s="243"/>
      <c r="KOB1" s="243"/>
      <c r="KOC1" s="243"/>
      <c r="KOD1" s="243"/>
      <c r="KOE1" s="243"/>
      <c r="KOF1" s="243"/>
      <c r="KOG1" s="243"/>
      <c r="KOH1" s="243"/>
      <c r="KOI1" s="243"/>
      <c r="KOJ1" s="243"/>
      <c r="KOK1" s="243"/>
      <c r="KOL1" s="243"/>
      <c r="KOM1" s="243"/>
      <c r="KON1" s="243"/>
      <c r="KOO1" s="243" t="s">
        <v>127</v>
      </c>
      <c r="KOP1" s="243"/>
      <c r="KOQ1" s="243"/>
      <c r="KOR1" s="243"/>
      <c r="KOS1" s="243"/>
      <c r="KOT1" s="243"/>
      <c r="KOU1" s="243"/>
      <c r="KOV1" s="243"/>
      <c r="KOW1" s="243"/>
      <c r="KOX1" s="243"/>
      <c r="KOY1" s="243"/>
      <c r="KOZ1" s="243"/>
      <c r="KPA1" s="243"/>
      <c r="KPB1" s="243"/>
      <c r="KPC1" s="243"/>
      <c r="KPD1" s="243"/>
      <c r="KPE1" s="243" t="s">
        <v>127</v>
      </c>
      <c r="KPF1" s="243"/>
      <c r="KPG1" s="243"/>
      <c r="KPH1" s="243"/>
      <c r="KPI1" s="243"/>
      <c r="KPJ1" s="243"/>
      <c r="KPK1" s="243"/>
      <c r="KPL1" s="243"/>
      <c r="KPM1" s="243"/>
      <c r="KPN1" s="243"/>
      <c r="KPO1" s="243"/>
      <c r="KPP1" s="243"/>
      <c r="KPQ1" s="243"/>
      <c r="KPR1" s="243"/>
      <c r="KPS1" s="243"/>
      <c r="KPT1" s="243"/>
      <c r="KPU1" s="243" t="s">
        <v>127</v>
      </c>
      <c r="KPV1" s="243"/>
      <c r="KPW1" s="243"/>
      <c r="KPX1" s="243"/>
      <c r="KPY1" s="243"/>
      <c r="KPZ1" s="243"/>
      <c r="KQA1" s="243"/>
      <c r="KQB1" s="243"/>
      <c r="KQC1" s="243"/>
      <c r="KQD1" s="243"/>
      <c r="KQE1" s="243"/>
      <c r="KQF1" s="243"/>
      <c r="KQG1" s="243"/>
      <c r="KQH1" s="243"/>
      <c r="KQI1" s="243"/>
      <c r="KQJ1" s="243"/>
      <c r="KQK1" s="243" t="s">
        <v>127</v>
      </c>
      <c r="KQL1" s="243"/>
      <c r="KQM1" s="243"/>
      <c r="KQN1" s="243"/>
      <c r="KQO1" s="243"/>
      <c r="KQP1" s="243"/>
      <c r="KQQ1" s="243"/>
      <c r="KQR1" s="243"/>
      <c r="KQS1" s="243"/>
      <c r="KQT1" s="243"/>
      <c r="KQU1" s="243"/>
      <c r="KQV1" s="243"/>
      <c r="KQW1" s="243"/>
      <c r="KQX1" s="243"/>
      <c r="KQY1" s="243"/>
      <c r="KQZ1" s="243"/>
      <c r="KRA1" s="243" t="s">
        <v>127</v>
      </c>
      <c r="KRB1" s="243"/>
      <c r="KRC1" s="243"/>
      <c r="KRD1" s="243"/>
      <c r="KRE1" s="243"/>
      <c r="KRF1" s="243"/>
      <c r="KRG1" s="243"/>
      <c r="KRH1" s="243"/>
      <c r="KRI1" s="243"/>
      <c r="KRJ1" s="243"/>
      <c r="KRK1" s="243"/>
      <c r="KRL1" s="243"/>
      <c r="KRM1" s="243"/>
      <c r="KRN1" s="243"/>
      <c r="KRO1" s="243"/>
      <c r="KRP1" s="243"/>
      <c r="KRQ1" s="243" t="s">
        <v>127</v>
      </c>
      <c r="KRR1" s="243"/>
      <c r="KRS1" s="243"/>
      <c r="KRT1" s="243"/>
      <c r="KRU1" s="243"/>
      <c r="KRV1" s="243"/>
      <c r="KRW1" s="243"/>
      <c r="KRX1" s="243"/>
      <c r="KRY1" s="243"/>
      <c r="KRZ1" s="243"/>
      <c r="KSA1" s="243"/>
      <c r="KSB1" s="243"/>
      <c r="KSC1" s="243"/>
      <c r="KSD1" s="243"/>
      <c r="KSE1" s="243"/>
      <c r="KSF1" s="243"/>
      <c r="KSG1" s="243" t="s">
        <v>127</v>
      </c>
      <c r="KSH1" s="243"/>
      <c r="KSI1" s="243"/>
      <c r="KSJ1" s="243"/>
      <c r="KSK1" s="243"/>
      <c r="KSL1" s="243"/>
      <c r="KSM1" s="243"/>
      <c r="KSN1" s="243"/>
      <c r="KSO1" s="243"/>
      <c r="KSP1" s="243"/>
      <c r="KSQ1" s="243"/>
      <c r="KSR1" s="243"/>
      <c r="KSS1" s="243"/>
      <c r="KST1" s="243"/>
      <c r="KSU1" s="243"/>
      <c r="KSV1" s="243"/>
      <c r="KSW1" s="243" t="s">
        <v>127</v>
      </c>
      <c r="KSX1" s="243"/>
      <c r="KSY1" s="243"/>
      <c r="KSZ1" s="243"/>
      <c r="KTA1" s="243"/>
      <c r="KTB1" s="243"/>
      <c r="KTC1" s="243"/>
      <c r="KTD1" s="243"/>
      <c r="KTE1" s="243"/>
      <c r="KTF1" s="243"/>
      <c r="KTG1" s="243"/>
      <c r="KTH1" s="243"/>
      <c r="KTI1" s="243"/>
      <c r="KTJ1" s="243"/>
      <c r="KTK1" s="243"/>
      <c r="KTL1" s="243"/>
      <c r="KTM1" s="243" t="s">
        <v>127</v>
      </c>
      <c r="KTN1" s="243"/>
      <c r="KTO1" s="243"/>
      <c r="KTP1" s="243"/>
      <c r="KTQ1" s="243"/>
      <c r="KTR1" s="243"/>
      <c r="KTS1" s="243"/>
      <c r="KTT1" s="243"/>
      <c r="KTU1" s="243"/>
      <c r="KTV1" s="243"/>
      <c r="KTW1" s="243"/>
      <c r="KTX1" s="243"/>
      <c r="KTY1" s="243"/>
      <c r="KTZ1" s="243"/>
      <c r="KUA1" s="243"/>
      <c r="KUB1" s="243"/>
      <c r="KUC1" s="243" t="s">
        <v>127</v>
      </c>
      <c r="KUD1" s="243"/>
      <c r="KUE1" s="243"/>
      <c r="KUF1" s="243"/>
      <c r="KUG1" s="243"/>
      <c r="KUH1" s="243"/>
      <c r="KUI1" s="243"/>
      <c r="KUJ1" s="243"/>
      <c r="KUK1" s="243"/>
      <c r="KUL1" s="243"/>
      <c r="KUM1" s="243"/>
      <c r="KUN1" s="243"/>
      <c r="KUO1" s="243"/>
      <c r="KUP1" s="243"/>
      <c r="KUQ1" s="243"/>
      <c r="KUR1" s="243"/>
      <c r="KUS1" s="243" t="s">
        <v>127</v>
      </c>
      <c r="KUT1" s="243"/>
      <c r="KUU1" s="243"/>
      <c r="KUV1" s="243"/>
      <c r="KUW1" s="243"/>
      <c r="KUX1" s="243"/>
      <c r="KUY1" s="243"/>
      <c r="KUZ1" s="243"/>
      <c r="KVA1" s="243"/>
      <c r="KVB1" s="243"/>
      <c r="KVC1" s="243"/>
      <c r="KVD1" s="243"/>
      <c r="KVE1" s="243"/>
      <c r="KVF1" s="243"/>
      <c r="KVG1" s="243"/>
      <c r="KVH1" s="243"/>
      <c r="KVI1" s="243" t="s">
        <v>127</v>
      </c>
      <c r="KVJ1" s="243"/>
      <c r="KVK1" s="243"/>
      <c r="KVL1" s="243"/>
      <c r="KVM1" s="243"/>
      <c r="KVN1" s="243"/>
      <c r="KVO1" s="243"/>
      <c r="KVP1" s="243"/>
      <c r="KVQ1" s="243"/>
      <c r="KVR1" s="243"/>
      <c r="KVS1" s="243"/>
      <c r="KVT1" s="243"/>
      <c r="KVU1" s="243"/>
      <c r="KVV1" s="243"/>
      <c r="KVW1" s="243"/>
      <c r="KVX1" s="243"/>
      <c r="KVY1" s="243" t="s">
        <v>127</v>
      </c>
      <c r="KVZ1" s="243"/>
      <c r="KWA1" s="243"/>
      <c r="KWB1" s="243"/>
      <c r="KWC1" s="243"/>
      <c r="KWD1" s="243"/>
      <c r="KWE1" s="243"/>
      <c r="KWF1" s="243"/>
      <c r="KWG1" s="243"/>
      <c r="KWH1" s="243"/>
      <c r="KWI1" s="243"/>
      <c r="KWJ1" s="243"/>
      <c r="KWK1" s="243"/>
      <c r="KWL1" s="243"/>
      <c r="KWM1" s="243"/>
      <c r="KWN1" s="243"/>
      <c r="KWO1" s="243" t="s">
        <v>127</v>
      </c>
      <c r="KWP1" s="243"/>
      <c r="KWQ1" s="243"/>
      <c r="KWR1" s="243"/>
      <c r="KWS1" s="243"/>
      <c r="KWT1" s="243"/>
      <c r="KWU1" s="243"/>
      <c r="KWV1" s="243"/>
      <c r="KWW1" s="243"/>
      <c r="KWX1" s="243"/>
      <c r="KWY1" s="243"/>
      <c r="KWZ1" s="243"/>
      <c r="KXA1" s="243"/>
      <c r="KXB1" s="243"/>
      <c r="KXC1" s="243"/>
      <c r="KXD1" s="243"/>
      <c r="KXE1" s="243" t="s">
        <v>127</v>
      </c>
      <c r="KXF1" s="243"/>
      <c r="KXG1" s="243"/>
      <c r="KXH1" s="243"/>
      <c r="KXI1" s="243"/>
      <c r="KXJ1" s="243"/>
      <c r="KXK1" s="243"/>
      <c r="KXL1" s="243"/>
      <c r="KXM1" s="243"/>
      <c r="KXN1" s="243"/>
      <c r="KXO1" s="243"/>
      <c r="KXP1" s="243"/>
      <c r="KXQ1" s="243"/>
      <c r="KXR1" s="243"/>
      <c r="KXS1" s="243"/>
      <c r="KXT1" s="243"/>
      <c r="KXU1" s="243" t="s">
        <v>127</v>
      </c>
      <c r="KXV1" s="243"/>
      <c r="KXW1" s="243"/>
      <c r="KXX1" s="243"/>
      <c r="KXY1" s="243"/>
      <c r="KXZ1" s="243"/>
      <c r="KYA1" s="243"/>
      <c r="KYB1" s="243"/>
      <c r="KYC1" s="243"/>
      <c r="KYD1" s="243"/>
      <c r="KYE1" s="243"/>
      <c r="KYF1" s="243"/>
      <c r="KYG1" s="243"/>
      <c r="KYH1" s="243"/>
      <c r="KYI1" s="243"/>
      <c r="KYJ1" s="243"/>
      <c r="KYK1" s="243" t="s">
        <v>127</v>
      </c>
      <c r="KYL1" s="243"/>
      <c r="KYM1" s="243"/>
      <c r="KYN1" s="243"/>
      <c r="KYO1" s="243"/>
      <c r="KYP1" s="243"/>
      <c r="KYQ1" s="243"/>
      <c r="KYR1" s="243"/>
      <c r="KYS1" s="243"/>
      <c r="KYT1" s="243"/>
      <c r="KYU1" s="243"/>
      <c r="KYV1" s="243"/>
      <c r="KYW1" s="243"/>
      <c r="KYX1" s="243"/>
      <c r="KYY1" s="243"/>
      <c r="KYZ1" s="243"/>
      <c r="KZA1" s="243" t="s">
        <v>127</v>
      </c>
      <c r="KZB1" s="243"/>
      <c r="KZC1" s="243"/>
      <c r="KZD1" s="243"/>
      <c r="KZE1" s="243"/>
      <c r="KZF1" s="243"/>
      <c r="KZG1" s="243"/>
      <c r="KZH1" s="243"/>
      <c r="KZI1" s="243"/>
      <c r="KZJ1" s="243"/>
      <c r="KZK1" s="243"/>
      <c r="KZL1" s="243"/>
      <c r="KZM1" s="243"/>
      <c r="KZN1" s="243"/>
      <c r="KZO1" s="243"/>
      <c r="KZP1" s="243"/>
      <c r="KZQ1" s="243" t="s">
        <v>127</v>
      </c>
      <c r="KZR1" s="243"/>
      <c r="KZS1" s="243"/>
      <c r="KZT1" s="243"/>
      <c r="KZU1" s="243"/>
      <c r="KZV1" s="243"/>
      <c r="KZW1" s="243"/>
      <c r="KZX1" s="243"/>
      <c r="KZY1" s="243"/>
      <c r="KZZ1" s="243"/>
      <c r="LAA1" s="243"/>
      <c r="LAB1" s="243"/>
      <c r="LAC1" s="243"/>
      <c r="LAD1" s="243"/>
      <c r="LAE1" s="243"/>
      <c r="LAF1" s="243"/>
      <c r="LAG1" s="243" t="s">
        <v>127</v>
      </c>
      <c r="LAH1" s="243"/>
      <c r="LAI1" s="243"/>
      <c r="LAJ1" s="243"/>
      <c r="LAK1" s="243"/>
      <c r="LAL1" s="243"/>
      <c r="LAM1" s="243"/>
      <c r="LAN1" s="243"/>
      <c r="LAO1" s="243"/>
      <c r="LAP1" s="243"/>
      <c r="LAQ1" s="243"/>
      <c r="LAR1" s="243"/>
      <c r="LAS1" s="243"/>
      <c r="LAT1" s="243"/>
      <c r="LAU1" s="243"/>
      <c r="LAV1" s="243"/>
      <c r="LAW1" s="243" t="s">
        <v>127</v>
      </c>
      <c r="LAX1" s="243"/>
      <c r="LAY1" s="243"/>
      <c r="LAZ1" s="243"/>
      <c r="LBA1" s="243"/>
      <c r="LBB1" s="243"/>
      <c r="LBC1" s="243"/>
      <c r="LBD1" s="243"/>
      <c r="LBE1" s="243"/>
      <c r="LBF1" s="243"/>
      <c r="LBG1" s="243"/>
      <c r="LBH1" s="243"/>
      <c r="LBI1" s="243"/>
      <c r="LBJ1" s="243"/>
      <c r="LBK1" s="243"/>
      <c r="LBL1" s="243"/>
      <c r="LBM1" s="243" t="s">
        <v>127</v>
      </c>
      <c r="LBN1" s="243"/>
      <c r="LBO1" s="243"/>
      <c r="LBP1" s="243"/>
      <c r="LBQ1" s="243"/>
      <c r="LBR1" s="243"/>
      <c r="LBS1" s="243"/>
      <c r="LBT1" s="243"/>
      <c r="LBU1" s="243"/>
      <c r="LBV1" s="243"/>
      <c r="LBW1" s="243"/>
      <c r="LBX1" s="243"/>
      <c r="LBY1" s="243"/>
      <c r="LBZ1" s="243"/>
      <c r="LCA1" s="243"/>
      <c r="LCB1" s="243"/>
      <c r="LCC1" s="243" t="s">
        <v>127</v>
      </c>
      <c r="LCD1" s="243"/>
      <c r="LCE1" s="243"/>
      <c r="LCF1" s="243"/>
      <c r="LCG1" s="243"/>
      <c r="LCH1" s="243"/>
      <c r="LCI1" s="243"/>
      <c r="LCJ1" s="243"/>
      <c r="LCK1" s="243"/>
      <c r="LCL1" s="243"/>
      <c r="LCM1" s="243"/>
      <c r="LCN1" s="243"/>
      <c r="LCO1" s="243"/>
      <c r="LCP1" s="243"/>
      <c r="LCQ1" s="243"/>
      <c r="LCR1" s="243"/>
      <c r="LCS1" s="243" t="s">
        <v>127</v>
      </c>
      <c r="LCT1" s="243"/>
      <c r="LCU1" s="243"/>
      <c r="LCV1" s="243"/>
      <c r="LCW1" s="243"/>
      <c r="LCX1" s="243"/>
      <c r="LCY1" s="243"/>
      <c r="LCZ1" s="243"/>
      <c r="LDA1" s="243"/>
      <c r="LDB1" s="243"/>
      <c r="LDC1" s="243"/>
      <c r="LDD1" s="243"/>
      <c r="LDE1" s="243"/>
      <c r="LDF1" s="243"/>
      <c r="LDG1" s="243"/>
      <c r="LDH1" s="243"/>
      <c r="LDI1" s="243" t="s">
        <v>127</v>
      </c>
      <c r="LDJ1" s="243"/>
      <c r="LDK1" s="243"/>
      <c r="LDL1" s="243"/>
      <c r="LDM1" s="243"/>
      <c r="LDN1" s="243"/>
      <c r="LDO1" s="243"/>
      <c r="LDP1" s="243"/>
      <c r="LDQ1" s="243"/>
      <c r="LDR1" s="243"/>
      <c r="LDS1" s="243"/>
      <c r="LDT1" s="243"/>
      <c r="LDU1" s="243"/>
      <c r="LDV1" s="243"/>
      <c r="LDW1" s="243"/>
      <c r="LDX1" s="243"/>
      <c r="LDY1" s="243" t="s">
        <v>127</v>
      </c>
      <c r="LDZ1" s="243"/>
      <c r="LEA1" s="243"/>
      <c r="LEB1" s="243"/>
      <c r="LEC1" s="243"/>
      <c r="LED1" s="243"/>
      <c r="LEE1" s="243"/>
      <c r="LEF1" s="243"/>
      <c r="LEG1" s="243"/>
      <c r="LEH1" s="243"/>
      <c r="LEI1" s="243"/>
      <c r="LEJ1" s="243"/>
      <c r="LEK1" s="243"/>
      <c r="LEL1" s="243"/>
      <c r="LEM1" s="243"/>
      <c r="LEN1" s="243"/>
      <c r="LEO1" s="243" t="s">
        <v>127</v>
      </c>
      <c r="LEP1" s="243"/>
      <c r="LEQ1" s="243"/>
      <c r="LER1" s="243"/>
      <c r="LES1" s="243"/>
      <c r="LET1" s="243"/>
      <c r="LEU1" s="243"/>
      <c r="LEV1" s="243"/>
      <c r="LEW1" s="243"/>
      <c r="LEX1" s="243"/>
      <c r="LEY1" s="243"/>
      <c r="LEZ1" s="243"/>
      <c r="LFA1" s="243"/>
      <c r="LFB1" s="243"/>
      <c r="LFC1" s="243"/>
      <c r="LFD1" s="243"/>
      <c r="LFE1" s="243" t="s">
        <v>127</v>
      </c>
      <c r="LFF1" s="243"/>
      <c r="LFG1" s="243"/>
      <c r="LFH1" s="243"/>
      <c r="LFI1" s="243"/>
      <c r="LFJ1" s="243"/>
      <c r="LFK1" s="243"/>
      <c r="LFL1" s="243"/>
      <c r="LFM1" s="243"/>
      <c r="LFN1" s="243"/>
      <c r="LFO1" s="243"/>
      <c r="LFP1" s="243"/>
      <c r="LFQ1" s="243"/>
      <c r="LFR1" s="243"/>
      <c r="LFS1" s="243"/>
      <c r="LFT1" s="243"/>
      <c r="LFU1" s="243" t="s">
        <v>127</v>
      </c>
      <c r="LFV1" s="243"/>
      <c r="LFW1" s="243"/>
      <c r="LFX1" s="243"/>
      <c r="LFY1" s="243"/>
      <c r="LFZ1" s="243"/>
      <c r="LGA1" s="243"/>
      <c r="LGB1" s="243"/>
      <c r="LGC1" s="243"/>
      <c r="LGD1" s="243"/>
      <c r="LGE1" s="243"/>
      <c r="LGF1" s="243"/>
      <c r="LGG1" s="243"/>
      <c r="LGH1" s="243"/>
      <c r="LGI1" s="243"/>
      <c r="LGJ1" s="243"/>
      <c r="LGK1" s="243" t="s">
        <v>127</v>
      </c>
      <c r="LGL1" s="243"/>
      <c r="LGM1" s="243"/>
      <c r="LGN1" s="243"/>
      <c r="LGO1" s="243"/>
      <c r="LGP1" s="243"/>
      <c r="LGQ1" s="243"/>
      <c r="LGR1" s="243"/>
      <c r="LGS1" s="243"/>
      <c r="LGT1" s="243"/>
      <c r="LGU1" s="243"/>
      <c r="LGV1" s="243"/>
      <c r="LGW1" s="243"/>
      <c r="LGX1" s="243"/>
      <c r="LGY1" s="243"/>
      <c r="LGZ1" s="243"/>
      <c r="LHA1" s="243" t="s">
        <v>127</v>
      </c>
      <c r="LHB1" s="243"/>
      <c r="LHC1" s="243"/>
      <c r="LHD1" s="243"/>
      <c r="LHE1" s="243"/>
      <c r="LHF1" s="243"/>
      <c r="LHG1" s="243"/>
      <c r="LHH1" s="243"/>
      <c r="LHI1" s="243"/>
      <c r="LHJ1" s="243"/>
      <c r="LHK1" s="243"/>
      <c r="LHL1" s="243"/>
      <c r="LHM1" s="243"/>
      <c r="LHN1" s="243"/>
      <c r="LHO1" s="243"/>
      <c r="LHP1" s="243"/>
      <c r="LHQ1" s="243" t="s">
        <v>127</v>
      </c>
      <c r="LHR1" s="243"/>
      <c r="LHS1" s="243"/>
      <c r="LHT1" s="243"/>
      <c r="LHU1" s="243"/>
      <c r="LHV1" s="243"/>
      <c r="LHW1" s="243"/>
      <c r="LHX1" s="243"/>
      <c r="LHY1" s="243"/>
      <c r="LHZ1" s="243"/>
      <c r="LIA1" s="243"/>
      <c r="LIB1" s="243"/>
      <c r="LIC1" s="243"/>
      <c r="LID1" s="243"/>
      <c r="LIE1" s="243"/>
      <c r="LIF1" s="243"/>
      <c r="LIG1" s="243" t="s">
        <v>127</v>
      </c>
      <c r="LIH1" s="243"/>
      <c r="LII1" s="243"/>
      <c r="LIJ1" s="243"/>
      <c r="LIK1" s="243"/>
      <c r="LIL1" s="243"/>
      <c r="LIM1" s="243"/>
      <c r="LIN1" s="243"/>
      <c r="LIO1" s="243"/>
      <c r="LIP1" s="243"/>
      <c r="LIQ1" s="243"/>
      <c r="LIR1" s="243"/>
      <c r="LIS1" s="243"/>
      <c r="LIT1" s="243"/>
      <c r="LIU1" s="243"/>
      <c r="LIV1" s="243"/>
      <c r="LIW1" s="243" t="s">
        <v>127</v>
      </c>
      <c r="LIX1" s="243"/>
      <c r="LIY1" s="243"/>
      <c r="LIZ1" s="243"/>
      <c r="LJA1" s="243"/>
      <c r="LJB1" s="243"/>
      <c r="LJC1" s="243"/>
      <c r="LJD1" s="243"/>
      <c r="LJE1" s="243"/>
      <c r="LJF1" s="243"/>
      <c r="LJG1" s="243"/>
      <c r="LJH1" s="243"/>
      <c r="LJI1" s="243"/>
      <c r="LJJ1" s="243"/>
      <c r="LJK1" s="243"/>
      <c r="LJL1" s="243"/>
      <c r="LJM1" s="243" t="s">
        <v>127</v>
      </c>
      <c r="LJN1" s="243"/>
      <c r="LJO1" s="243"/>
      <c r="LJP1" s="243"/>
      <c r="LJQ1" s="243"/>
      <c r="LJR1" s="243"/>
      <c r="LJS1" s="243"/>
      <c r="LJT1" s="243"/>
      <c r="LJU1" s="243"/>
      <c r="LJV1" s="243"/>
      <c r="LJW1" s="243"/>
      <c r="LJX1" s="243"/>
      <c r="LJY1" s="243"/>
      <c r="LJZ1" s="243"/>
      <c r="LKA1" s="243"/>
      <c r="LKB1" s="243"/>
      <c r="LKC1" s="243" t="s">
        <v>127</v>
      </c>
      <c r="LKD1" s="243"/>
      <c r="LKE1" s="243"/>
      <c r="LKF1" s="243"/>
      <c r="LKG1" s="243"/>
      <c r="LKH1" s="243"/>
      <c r="LKI1" s="243"/>
      <c r="LKJ1" s="243"/>
      <c r="LKK1" s="243"/>
      <c r="LKL1" s="243"/>
      <c r="LKM1" s="243"/>
      <c r="LKN1" s="243"/>
      <c r="LKO1" s="243"/>
      <c r="LKP1" s="243"/>
      <c r="LKQ1" s="243"/>
      <c r="LKR1" s="243"/>
      <c r="LKS1" s="243" t="s">
        <v>127</v>
      </c>
      <c r="LKT1" s="243"/>
      <c r="LKU1" s="243"/>
      <c r="LKV1" s="243"/>
      <c r="LKW1" s="243"/>
      <c r="LKX1" s="243"/>
      <c r="LKY1" s="243"/>
      <c r="LKZ1" s="243"/>
      <c r="LLA1" s="243"/>
      <c r="LLB1" s="243"/>
      <c r="LLC1" s="243"/>
      <c r="LLD1" s="243"/>
      <c r="LLE1" s="243"/>
      <c r="LLF1" s="243"/>
      <c r="LLG1" s="243"/>
      <c r="LLH1" s="243"/>
      <c r="LLI1" s="243" t="s">
        <v>127</v>
      </c>
      <c r="LLJ1" s="243"/>
      <c r="LLK1" s="243"/>
      <c r="LLL1" s="243"/>
      <c r="LLM1" s="243"/>
      <c r="LLN1" s="243"/>
      <c r="LLO1" s="243"/>
      <c r="LLP1" s="243"/>
      <c r="LLQ1" s="243"/>
      <c r="LLR1" s="243"/>
      <c r="LLS1" s="243"/>
      <c r="LLT1" s="243"/>
      <c r="LLU1" s="243"/>
      <c r="LLV1" s="243"/>
      <c r="LLW1" s="243"/>
      <c r="LLX1" s="243"/>
      <c r="LLY1" s="243" t="s">
        <v>127</v>
      </c>
      <c r="LLZ1" s="243"/>
      <c r="LMA1" s="243"/>
      <c r="LMB1" s="243"/>
      <c r="LMC1" s="243"/>
      <c r="LMD1" s="243"/>
      <c r="LME1" s="243"/>
      <c r="LMF1" s="243"/>
      <c r="LMG1" s="243"/>
      <c r="LMH1" s="243"/>
      <c r="LMI1" s="243"/>
      <c r="LMJ1" s="243"/>
      <c r="LMK1" s="243"/>
      <c r="LML1" s="243"/>
      <c r="LMM1" s="243"/>
      <c r="LMN1" s="243"/>
      <c r="LMO1" s="243" t="s">
        <v>127</v>
      </c>
      <c r="LMP1" s="243"/>
      <c r="LMQ1" s="243"/>
      <c r="LMR1" s="243"/>
      <c r="LMS1" s="243"/>
      <c r="LMT1" s="243"/>
      <c r="LMU1" s="243"/>
      <c r="LMV1" s="243"/>
      <c r="LMW1" s="243"/>
      <c r="LMX1" s="243"/>
      <c r="LMY1" s="243"/>
      <c r="LMZ1" s="243"/>
      <c r="LNA1" s="243"/>
      <c r="LNB1" s="243"/>
      <c r="LNC1" s="243"/>
      <c r="LND1" s="243"/>
      <c r="LNE1" s="243" t="s">
        <v>127</v>
      </c>
      <c r="LNF1" s="243"/>
      <c r="LNG1" s="243"/>
      <c r="LNH1" s="243"/>
      <c r="LNI1" s="243"/>
      <c r="LNJ1" s="243"/>
      <c r="LNK1" s="243"/>
      <c r="LNL1" s="243"/>
      <c r="LNM1" s="243"/>
      <c r="LNN1" s="243"/>
      <c r="LNO1" s="243"/>
      <c r="LNP1" s="243"/>
      <c r="LNQ1" s="243"/>
      <c r="LNR1" s="243"/>
      <c r="LNS1" s="243"/>
      <c r="LNT1" s="243"/>
      <c r="LNU1" s="243" t="s">
        <v>127</v>
      </c>
      <c r="LNV1" s="243"/>
      <c r="LNW1" s="243"/>
      <c r="LNX1" s="243"/>
      <c r="LNY1" s="243"/>
      <c r="LNZ1" s="243"/>
      <c r="LOA1" s="243"/>
      <c r="LOB1" s="243"/>
      <c r="LOC1" s="243"/>
      <c r="LOD1" s="243"/>
      <c r="LOE1" s="243"/>
      <c r="LOF1" s="243"/>
      <c r="LOG1" s="243"/>
      <c r="LOH1" s="243"/>
      <c r="LOI1" s="243"/>
      <c r="LOJ1" s="243"/>
      <c r="LOK1" s="243" t="s">
        <v>127</v>
      </c>
      <c r="LOL1" s="243"/>
      <c r="LOM1" s="243"/>
      <c r="LON1" s="243"/>
      <c r="LOO1" s="243"/>
      <c r="LOP1" s="243"/>
      <c r="LOQ1" s="243"/>
      <c r="LOR1" s="243"/>
      <c r="LOS1" s="243"/>
      <c r="LOT1" s="243"/>
      <c r="LOU1" s="243"/>
      <c r="LOV1" s="243"/>
      <c r="LOW1" s="243"/>
      <c r="LOX1" s="243"/>
      <c r="LOY1" s="243"/>
      <c r="LOZ1" s="243"/>
      <c r="LPA1" s="243" t="s">
        <v>127</v>
      </c>
      <c r="LPB1" s="243"/>
      <c r="LPC1" s="243"/>
      <c r="LPD1" s="243"/>
      <c r="LPE1" s="243"/>
      <c r="LPF1" s="243"/>
      <c r="LPG1" s="243"/>
      <c r="LPH1" s="243"/>
      <c r="LPI1" s="243"/>
      <c r="LPJ1" s="243"/>
      <c r="LPK1" s="243"/>
      <c r="LPL1" s="243"/>
      <c r="LPM1" s="243"/>
      <c r="LPN1" s="243"/>
      <c r="LPO1" s="243"/>
      <c r="LPP1" s="243"/>
      <c r="LPQ1" s="243" t="s">
        <v>127</v>
      </c>
      <c r="LPR1" s="243"/>
      <c r="LPS1" s="243"/>
      <c r="LPT1" s="243"/>
      <c r="LPU1" s="243"/>
      <c r="LPV1" s="243"/>
      <c r="LPW1" s="243"/>
      <c r="LPX1" s="243"/>
      <c r="LPY1" s="243"/>
      <c r="LPZ1" s="243"/>
      <c r="LQA1" s="243"/>
      <c r="LQB1" s="243"/>
      <c r="LQC1" s="243"/>
      <c r="LQD1" s="243"/>
      <c r="LQE1" s="243"/>
      <c r="LQF1" s="243"/>
      <c r="LQG1" s="243" t="s">
        <v>127</v>
      </c>
      <c r="LQH1" s="243"/>
      <c r="LQI1" s="243"/>
      <c r="LQJ1" s="243"/>
      <c r="LQK1" s="243"/>
      <c r="LQL1" s="243"/>
      <c r="LQM1" s="243"/>
      <c r="LQN1" s="243"/>
      <c r="LQO1" s="243"/>
      <c r="LQP1" s="243"/>
      <c r="LQQ1" s="243"/>
      <c r="LQR1" s="243"/>
      <c r="LQS1" s="243"/>
      <c r="LQT1" s="243"/>
      <c r="LQU1" s="243"/>
      <c r="LQV1" s="243"/>
      <c r="LQW1" s="243" t="s">
        <v>127</v>
      </c>
      <c r="LQX1" s="243"/>
      <c r="LQY1" s="243"/>
      <c r="LQZ1" s="243"/>
      <c r="LRA1" s="243"/>
      <c r="LRB1" s="243"/>
      <c r="LRC1" s="243"/>
      <c r="LRD1" s="243"/>
      <c r="LRE1" s="243"/>
      <c r="LRF1" s="243"/>
      <c r="LRG1" s="243"/>
      <c r="LRH1" s="243"/>
      <c r="LRI1" s="243"/>
      <c r="LRJ1" s="243"/>
      <c r="LRK1" s="243"/>
      <c r="LRL1" s="243"/>
      <c r="LRM1" s="243" t="s">
        <v>127</v>
      </c>
      <c r="LRN1" s="243"/>
      <c r="LRO1" s="243"/>
      <c r="LRP1" s="243"/>
      <c r="LRQ1" s="243"/>
      <c r="LRR1" s="243"/>
      <c r="LRS1" s="243"/>
      <c r="LRT1" s="243"/>
      <c r="LRU1" s="243"/>
      <c r="LRV1" s="243"/>
      <c r="LRW1" s="243"/>
      <c r="LRX1" s="243"/>
      <c r="LRY1" s="243"/>
      <c r="LRZ1" s="243"/>
      <c r="LSA1" s="243"/>
      <c r="LSB1" s="243"/>
      <c r="LSC1" s="243" t="s">
        <v>127</v>
      </c>
      <c r="LSD1" s="243"/>
      <c r="LSE1" s="243"/>
      <c r="LSF1" s="243"/>
      <c r="LSG1" s="243"/>
      <c r="LSH1" s="243"/>
      <c r="LSI1" s="243"/>
      <c r="LSJ1" s="243"/>
      <c r="LSK1" s="243"/>
      <c r="LSL1" s="243"/>
      <c r="LSM1" s="243"/>
      <c r="LSN1" s="243"/>
      <c r="LSO1" s="243"/>
      <c r="LSP1" s="243"/>
      <c r="LSQ1" s="243"/>
      <c r="LSR1" s="243"/>
      <c r="LSS1" s="243" t="s">
        <v>127</v>
      </c>
      <c r="LST1" s="243"/>
      <c r="LSU1" s="243"/>
      <c r="LSV1" s="243"/>
      <c r="LSW1" s="243"/>
      <c r="LSX1" s="243"/>
      <c r="LSY1" s="243"/>
      <c r="LSZ1" s="243"/>
      <c r="LTA1" s="243"/>
      <c r="LTB1" s="243"/>
      <c r="LTC1" s="243"/>
      <c r="LTD1" s="243"/>
      <c r="LTE1" s="243"/>
      <c r="LTF1" s="243"/>
      <c r="LTG1" s="243"/>
      <c r="LTH1" s="243"/>
      <c r="LTI1" s="243" t="s">
        <v>127</v>
      </c>
      <c r="LTJ1" s="243"/>
      <c r="LTK1" s="243"/>
      <c r="LTL1" s="243"/>
      <c r="LTM1" s="243"/>
      <c r="LTN1" s="243"/>
      <c r="LTO1" s="243"/>
      <c r="LTP1" s="243"/>
      <c r="LTQ1" s="243"/>
      <c r="LTR1" s="243"/>
      <c r="LTS1" s="243"/>
      <c r="LTT1" s="243"/>
      <c r="LTU1" s="243"/>
      <c r="LTV1" s="243"/>
      <c r="LTW1" s="243"/>
      <c r="LTX1" s="243"/>
      <c r="LTY1" s="243" t="s">
        <v>127</v>
      </c>
      <c r="LTZ1" s="243"/>
      <c r="LUA1" s="243"/>
      <c r="LUB1" s="243"/>
      <c r="LUC1" s="243"/>
      <c r="LUD1" s="243"/>
      <c r="LUE1" s="243"/>
      <c r="LUF1" s="243"/>
      <c r="LUG1" s="243"/>
      <c r="LUH1" s="243"/>
      <c r="LUI1" s="243"/>
      <c r="LUJ1" s="243"/>
      <c r="LUK1" s="243"/>
      <c r="LUL1" s="243"/>
      <c r="LUM1" s="243"/>
      <c r="LUN1" s="243"/>
      <c r="LUO1" s="243" t="s">
        <v>127</v>
      </c>
      <c r="LUP1" s="243"/>
      <c r="LUQ1" s="243"/>
      <c r="LUR1" s="243"/>
      <c r="LUS1" s="243"/>
      <c r="LUT1" s="243"/>
      <c r="LUU1" s="243"/>
      <c r="LUV1" s="243"/>
      <c r="LUW1" s="243"/>
      <c r="LUX1" s="243"/>
      <c r="LUY1" s="243"/>
      <c r="LUZ1" s="243"/>
      <c r="LVA1" s="243"/>
      <c r="LVB1" s="243"/>
      <c r="LVC1" s="243"/>
      <c r="LVD1" s="243"/>
      <c r="LVE1" s="243" t="s">
        <v>127</v>
      </c>
      <c r="LVF1" s="243"/>
      <c r="LVG1" s="243"/>
      <c r="LVH1" s="243"/>
      <c r="LVI1" s="243"/>
      <c r="LVJ1" s="243"/>
      <c r="LVK1" s="243"/>
      <c r="LVL1" s="243"/>
      <c r="LVM1" s="243"/>
      <c r="LVN1" s="243"/>
      <c r="LVO1" s="243"/>
      <c r="LVP1" s="243"/>
      <c r="LVQ1" s="243"/>
      <c r="LVR1" s="243"/>
      <c r="LVS1" s="243"/>
      <c r="LVT1" s="243"/>
      <c r="LVU1" s="243" t="s">
        <v>127</v>
      </c>
      <c r="LVV1" s="243"/>
      <c r="LVW1" s="243"/>
      <c r="LVX1" s="243"/>
      <c r="LVY1" s="243"/>
      <c r="LVZ1" s="243"/>
      <c r="LWA1" s="243"/>
      <c r="LWB1" s="243"/>
      <c r="LWC1" s="243"/>
      <c r="LWD1" s="243"/>
      <c r="LWE1" s="243"/>
      <c r="LWF1" s="243"/>
      <c r="LWG1" s="243"/>
      <c r="LWH1" s="243"/>
      <c r="LWI1" s="243"/>
      <c r="LWJ1" s="243"/>
      <c r="LWK1" s="243" t="s">
        <v>127</v>
      </c>
      <c r="LWL1" s="243"/>
      <c r="LWM1" s="243"/>
      <c r="LWN1" s="243"/>
      <c r="LWO1" s="243"/>
      <c r="LWP1" s="243"/>
      <c r="LWQ1" s="243"/>
      <c r="LWR1" s="243"/>
      <c r="LWS1" s="243"/>
      <c r="LWT1" s="243"/>
      <c r="LWU1" s="243"/>
      <c r="LWV1" s="243"/>
      <c r="LWW1" s="243"/>
      <c r="LWX1" s="243"/>
      <c r="LWY1" s="243"/>
      <c r="LWZ1" s="243"/>
      <c r="LXA1" s="243" t="s">
        <v>127</v>
      </c>
      <c r="LXB1" s="243"/>
      <c r="LXC1" s="243"/>
      <c r="LXD1" s="243"/>
      <c r="LXE1" s="243"/>
      <c r="LXF1" s="243"/>
      <c r="LXG1" s="243"/>
      <c r="LXH1" s="243"/>
      <c r="LXI1" s="243"/>
      <c r="LXJ1" s="243"/>
      <c r="LXK1" s="243"/>
      <c r="LXL1" s="243"/>
      <c r="LXM1" s="243"/>
      <c r="LXN1" s="243"/>
      <c r="LXO1" s="243"/>
      <c r="LXP1" s="243"/>
      <c r="LXQ1" s="243" t="s">
        <v>127</v>
      </c>
      <c r="LXR1" s="243"/>
      <c r="LXS1" s="243"/>
      <c r="LXT1" s="243"/>
      <c r="LXU1" s="243"/>
      <c r="LXV1" s="243"/>
      <c r="LXW1" s="243"/>
      <c r="LXX1" s="243"/>
      <c r="LXY1" s="243"/>
      <c r="LXZ1" s="243"/>
      <c r="LYA1" s="243"/>
      <c r="LYB1" s="243"/>
      <c r="LYC1" s="243"/>
      <c r="LYD1" s="243"/>
      <c r="LYE1" s="243"/>
      <c r="LYF1" s="243"/>
      <c r="LYG1" s="243" t="s">
        <v>127</v>
      </c>
      <c r="LYH1" s="243"/>
      <c r="LYI1" s="243"/>
      <c r="LYJ1" s="243"/>
      <c r="LYK1" s="243"/>
      <c r="LYL1" s="243"/>
      <c r="LYM1" s="243"/>
      <c r="LYN1" s="243"/>
      <c r="LYO1" s="243"/>
      <c r="LYP1" s="243"/>
      <c r="LYQ1" s="243"/>
      <c r="LYR1" s="243"/>
      <c r="LYS1" s="243"/>
      <c r="LYT1" s="243"/>
      <c r="LYU1" s="243"/>
      <c r="LYV1" s="243"/>
      <c r="LYW1" s="243" t="s">
        <v>127</v>
      </c>
      <c r="LYX1" s="243"/>
      <c r="LYY1" s="243"/>
      <c r="LYZ1" s="243"/>
      <c r="LZA1" s="243"/>
      <c r="LZB1" s="243"/>
      <c r="LZC1" s="243"/>
      <c r="LZD1" s="243"/>
      <c r="LZE1" s="243"/>
      <c r="LZF1" s="243"/>
      <c r="LZG1" s="243"/>
      <c r="LZH1" s="243"/>
      <c r="LZI1" s="243"/>
      <c r="LZJ1" s="243"/>
      <c r="LZK1" s="243"/>
      <c r="LZL1" s="243"/>
      <c r="LZM1" s="243" t="s">
        <v>127</v>
      </c>
      <c r="LZN1" s="243"/>
      <c r="LZO1" s="243"/>
      <c r="LZP1" s="243"/>
      <c r="LZQ1" s="243"/>
      <c r="LZR1" s="243"/>
      <c r="LZS1" s="243"/>
      <c r="LZT1" s="243"/>
      <c r="LZU1" s="243"/>
      <c r="LZV1" s="243"/>
      <c r="LZW1" s="243"/>
      <c r="LZX1" s="243"/>
      <c r="LZY1" s="243"/>
      <c r="LZZ1" s="243"/>
      <c r="MAA1" s="243"/>
      <c r="MAB1" s="243"/>
      <c r="MAC1" s="243" t="s">
        <v>127</v>
      </c>
      <c r="MAD1" s="243"/>
      <c r="MAE1" s="243"/>
      <c r="MAF1" s="243"/>
      <c r="MAG1" s="243"/>
      <c r="MAH1" s="243"/>
      <c r="MAI1" s="243"/>
      <c r="MAJ1" s="243"/>
      <c r="MAK1" s="243"/>
      <c r="MAL1" s="243"/>
      <c r="MAM1" s="243"/>
      <c r="MAN1" s="243"/>
      <c r="MAO1" s="243"/>
      <c r="MAP1" s="243"/>
      <c r="MAQ1" s="243"/>
      <c r="MAR1" s="243"/>
      <c r="MAS1" s="243" t="s">
        <v>127</v>
      </c>
      <c r="MAT1" s="243"/>
      <c r="MAU1" s="243"/>
      <c r="MAV1" s="243"/>
      <c r="MAW1" s="243"/>
      <c r="MAX1" s="243"/>
      <c r="MAY1" s="243"/>
      <c r="MAZ1" s="243"/>
      <c r="MBA1" s="243"/>
      <c r="MBB1" s="243"/>
      <c r="MBC1" s="243"/>
      <c r="MBD1" s="243"/>
      <c r="MBE1" s="243"/>
      <c r="MBF1" s="243"/>
      <c r="MBG1" s="243"/>
      <c r="MBH1" s="243"/>
      <c r="MBI1" s="243" t="s">
        <v>127</v>
      </c>
      <c r="MBJ1" s="243"/>
      <c r="MBK1" s="243"/>
      <c r="MBL1" s="243"/>
      <c r="MBM1" s="243"/>
      <c r="MBN1" s="243"/>
      <c r="MBO1" s="243"/>
      <c r="MBP1" s="243"/>
      <c r="MBQ1" s="243"/>
      <c r="MBR1" s="243"/>
      <c r="MBS1" s="243"/>
      <c r="MBT1" s="243"/>
      <c r="MBU1" s="243"/>
      <c r="MBV1" s="243"/>
      <c r="MBW1" s="243"/>
      <c r="MBX1" s="243"/>
      <c r="MBY1" s="243" t="s">
        <v>127</v>
      </c>
      <c r="MBZ1" s="243"/>
      <c r="MCA1" s="243"/>
      <c r="MCB1" s="243"/>
      <c r="MCC1" s="243"/>
      <c r="MCD1" s="243"/>
      <c r="MCE1" s="243"/>
      <c r="MCF1" s="243"/>
      <c r="MCG1" s="243"/>
      <c r="MCH1" s="243"/>
      <c r="MCI1" s="243"/>
      <c r="MCJ1" s="243"/>
      <c r="MCK1" s="243"/>
      <c r="MCL1" s="243"/>
      <c r="MCM1" s="243"/>
      <c r="MCN1" s="243"/>
      <c r="MCO1" s="243" t="s">
        <v>127</v>
      </c>
      <c r="MCP1" s="243"/>
      <c r="MCQ1" s="243"/>
      <c r="MCR1" s="243"/>
      <c r="MCS1" s="243"/>
      <c r="MCT1" s="243"/>
      <c r="MCU1" s="243"/>
      <c r="MCV1" s="243"/>
      <c r="MCW1" s="243"/>
      <c r="MCX1" s="243"/>
      <c r="MCY1" s="243"/>
      <c r="MCZ1" s="243"/>
      <c r="MDA1" s="243"/>
      <c r="MDB1" s="243"/>
      <c r="MDC1" s="243"/>
      <c r="MDD1" s="243"/>
      <c r="MDE1" s="243" t="s">
        <v>127</v>
      </c>
      <c r="MDF1" s="243"/>
      <c r="MDG1" s="243"/>
      <c r="MDH1" s="243"/>
      <c r="MDI1" s="243"/>
      <c r="MDJ1" s="243"/>
      <c r="MDK1" s="243"/>
      <c r="MDL1" s="243"/>
      <c r="MDM1" s="243"/>
      <c r="MDN1" s="243"/>
      <c r="MDO1" s="243"/>
      <c r="MDP1" s="243"/>
      <c r="MDQ1" s="243"/>
      <c r="MDR1" s="243"/>
      <c r="MDS1" s="243"/>
      <c r="MDT1" s="243"/>
      <c r="MDU1" s="243" t="s">
        <v>127</v>
      </c>
      <c r="MDV1" s="243"/>
      <c r="MDW1" s="243"/>
      <c r="MDX1" s="243"/>
      <c r="MDY1" s="243"/>
      <c r="MDZ1" s="243"/>
      <c r="MEA1" s="243"/>
      <c r="MEB1" s="243"/>
      <c r="MEC1" s="243"/>
      <c r="MED1" s="243"/>
      <c r="MEE1" s="243"/>
      <c r="MEF1" s="243"/>
      <c r="MEG1" s="243"/>
      <c r="MEH1" s="243"/>
      <c r="MEI1" s="243"/>
      <c r="MEJ1" s="243"/>
      <c r="MEK1" s="243" t="s">
        <v>127</v>
      </c>
      <c r="MEL1" s="243"/>
      <c r="MEM1" s="243"/>
      <c r="MEN1" s="243"/>
      <c r="MEO1" s="243"/>
      <c r="MEP1" s="243"/>
      <c r="MEQ1" s="243"/>
      <c r="MER1" s="243"/>
      <c r="MES1" s="243"/>
      <c r="MET1" s="243"/>
      <c r="MEU1" s="243"/>
      <c r="MEV1" s="243"/>
      <c r="MEW1" s="243"/>
      <c r="MEX1" s="243"/>
      <c r="MEY1" s="243"/>
      <c r="MEZ1" s="243"/>
      <c r="MFA1" s="243" t="s">
        <v>127</v>
      </c>
      <c r="MFB1" s="243"/>
      <c r="MFC1" s="243"/>
      <c r="MFD1" s="243"/>
      <c r="MFE1" s="243"/>
      <c r="MFF1" s="243"/>
      <c r="MFG1" s="243"/>
      <c r="MFH1" s="243"/>
      <c r="MFI1" s="243"/>
      <c r="MFJ1" s="243"/>
      <c r="MFK1" s="243"/>
      <c r="MFL1" s="243"/>
      <c r="MFM1" s="243"/>
      <c r="MFN1" s="243"/>
      <c r="MFO1" s="243"/>
      <c r="MFP1" s="243"/>
      <c r="MFQ1" s="243" t="s">
        <v>127</v>
      </c>
      <c r="MFR1" s="243"/>
      <c r="MFS1" s="243"/>
      <c r="MFT1" s="243"/>
      <c r="MFU1" s="243"/>
      <c r="MFV1" s="243"/>
      <c r="MFW1" s="243"/>
      <c r="MFX1" s="243"/>
      <c r="MFY1" s="243"/>
      <c r="MFZ1" s="243"/>
      <c r="MGA1" s="243"/>
      <c r="MGB1" s="243"/>
      <c r="MGC1" s="243"/>
      <c r="MGD1" s="243"/>
      <c r="MGE1" s="243"/>
      <c r="MGF1" s="243"/>
      <c r="MGG1" s="243" t="s">
        <v>127</v>
      </c>
      <c r="MGH1" s="243"/>
      <c r="MGI1" s="243"/>
      <c r="MGJ1" s="243"/>
      <c r="MGK1" s="243"/>
      <c r="MGL1" s="243"/>
      <c r="MGM1" s="243"/>
      <c r="MGN1" s="243"/>
      <c r="MGO1" s="243"/>
      <c r="MGP1" s="243"/>
      <c r="MGQ1" s="243"/>
      <c r="MGR1" s="243"/>
      <c r="MGS1" s="243"/>
      <c r="MGT1" s="243"/>
      <c r="MGU1" s="243"/>
      <c r="MGV1" s="243"/>
      <c r="MGW1" s="243" t="s">
        <v>127</v>
      </c>
      <c r="MGX1" s="243"/>
      <c r="MGY1" s="243"/>
      <c r="MGZ1" s="243"/>
      <c r="MHA1" s="243"/>
      <c r="MHB1" s="243"/>
      <c r="MHC1" s="243"/>
      <c r="MHD1" s="243"/>
      <c r="MHE1" s="243"/>
      <c r="MHF1" s="243"/>
      <c r="MHG1" s="243"/>
      <c r="MHH1" s="243"/>
      <c r="MHI1" s="243"/>
      <c r="MHJ1" s="243"/>
      <c r="MHK1" s="243"/>
      <c r="MHL1" s="243"/>
      <c r="MHM1" s="243" t="s">
        <v>127</v>
      </c>
      <c r="MHN1" s="243"/>
      <c r="MHO1" s="243"/>
      <c r="MHP1" s="243"/>
      <c r="MHQ1" s="243"/>
      <c r="MHR1" s="243"/>
      <c r="MHS1" s="243"/>
      <c r="MHT1" s="243"/>
      <c r="MHU1" s="243"/>
      <c r="MHV1" s="243"/>
      <c r="MHW1" s="243"/>
      <c r="MHX1" s="243"/>
      <c r="MHY1" s="243"/>
      <c r="MHZ1" s="243"/>
      <c r="MIA1" s="243"/>
      <c r="MIB1" s="243"/>
      <c r="MIC1" s="243" t="s">
        <v>127</v>
      </c>
      <c r="MID1" s="243"/>
      <c r="MIE1" s="243"/>
      <c r="MIF1" s="243"/>
      <c r="MIG1" s="243"/>
      <c r="MIH1" s="243"/>
      <c r="MII1" s="243"/>
      <c r="MIJ1" s="243"/>
      <c r="MIK1" s="243"/>
      <c r="MIL1" s="243"/>
      <c r="MIM1" s="243"/>
      <c r="MIN1" s="243"/>
      <c r="MIO1" s="243"/>
      <c r="MIP1" s="243"/>
      <c r="MIQ1" s="243"/>
      <c r="MIR1" s="243"/>
      <c r="MIS1" s="243" t="s">
        <v>127</v>
      </c>
      <c r="MIT1" s="243"/>
      <c r="MIU1" s="243"/>
      <c r="MIV1" s="243"/>
      <c r="MIW1" s="243"/>
      <c r="MIX1" s="243"/>
      <c r="MIY1" s="243"/>
      <c r="MIZ1" s="243"/>
      <c r="MJA1" s="243"/>
      <c r="MJB1" s="243"/>
      <c r="MJC1" s="243"/>
      <c r="MJD1" s="243"/>
      <c r="MJE1" s="243"/>
      <c r="MJF1" s="243"/>
      <c r="MJG1" s="243"/>
      <c r="MJH1" s="243"/>
      <c r="MJI1" s="243" t="s">
        <v>127</v>
      </c>
      <c r="MJJ1" s="243"/>
      <c r="MJK1" s="243"/>
      <c r="MJL1" s="243"/>
      <c r="MJM1" s="243"/>
      <c r="MJN1" s="243"/>
      <c r="MJO1" s="243"/>
      <c r="MJP1" s="243"/>
      <c r="MJQ1" s="243"/>
      <c r="MJR1" s="243"/>
      <c r="MJS1" s="243"/>
      <c r="MJT1" s="243"/>
      <c r="MJU1" s="243"/>
      <c r="MJV1" s="243"/>
      <c r="MJW1" s="243"/>
      <c r="MJX1" s="243"/>
      <c r="MJY1" s="243" t="s">
        <v>127</v>
      </c>
      <c r="MJZ1" s="243"/>
      <c r="MKA1" s="243"/>
      <c r="MKB1" s="243"/>
      <c r="MKC1" s="243"/>
      <c r="MKD1" s="243"/>
      <c r="MKE1" s="243"/>
      <c r="MKF1" s="243"/>
      <c r="MKG1" s="243"/>
      <c r="MKH1" s="243"/>
      <c r="MKI1" s="243"/>
      <c r="MKJ1" s="243"/>
      <c r="MKK1" s="243"/>
      <c r="MKL1" s="243"/>
      <c r="MKM1" s="243"/>
      <c r="MKN1" s="243"/>
      <c r="MKO1" s="243" t="s">
        <v>127</v>
      </c>
      <c r="MKP1" s="243"/>
      <c r="MKQ1" s="243"/>
      <c r="MKR1" s="243"/>
      <c r="MKS1" s="243"/>
      <c r="MKT1" s="243"/>
      <c r="MKU1" s="243"/>
      <c r="MKV1" s="243"/>
      <c r="MKW1" s="243"/>
      <c r="MKX1" s="243"/>
      <c r="MKY1" s="243"/>
      <c r="MKZ1" s="243"/>
      <c r="MLA1" s="243"/>
      <c r="MLB1" s="243"/>
      <c r="MLC1" s="243"/>
      <c r="MLD1" s="243"/>
      <c r="MLE1" s="243" t="s">
        <v>127</v>
      </c>
      <c r="MLF1" s="243"/>
      <c r="MLG1" s="243"/>
      <c r="MLH1" s="243"/>
      <c r="MLI1" s="243"/>
      <c r="MLJ1" s="243"/>
      <c r="MLK1" s="243"/>
      <c r="MLL1" s="243"/>
      <c r="MLM1" s="243"/>
      <c r="MLN1" s="243"/>
      <c r="MLO1" s="243"/>
      <c r="MLP1" s="243"/>
      <c r="MLQ1" s="243"/>
      <c r="MLR1" s="243"/>
      <c r="MLS1" s="243"/>
      <c r="MLT1" s="243"/>
      <c r="MLU1" s="243" t="s">
        <v>127</v>
      </c>
      <c r="MLV1" s="243"/>
      <c r="MLW1" s="243"/>
      <c r="MLX1" s="243"/>
      <c r="MLY1" s="243"/>
      <c r="MLZ1" s="243"/>
      <c r="MMA1" s="243"/>
      <c r="MMB1" s="243"/>
      <c r="MMC1" s="243"/>
      <c r="MMD1" s="243"/>
      <c r="MME1" s="243"/>
      <c r="MMF1" s="243"/>
      <c r="MMG1" s="243"/>
      <c r="MMH1" s="243"/>
      <c r="MMI1" s="243"/>
      <c r="MMJ1" s="243"/>
      <c r="MMK1" s="243" t="s">
        <v>127</v>
      </c>
      <c r="MML1" s="243"/>
      <c r="MMM1" s="243"/>
      <c r="MMN1" s="243"/>
      <c r="MMO1" s="243"/>
      <c r="MMP1" s="243"/>
      <c r="MMQ1" s="243"/>
      <c r="MMR1" s="243"/>
      <c r="MMS1" s="243"/>
      <c r="MMT1" s="243"/>
      <c r="MMU1" s="243"/>
      <c r="MMV1" s="243"/>
      <c r="MMW1" s="243"/>
      <c r="MMX1" s="243"/>
      <c r="MMY1" s="243"/>
      <c r="MMZ1" s="243"/>
      <c r="MNA1" s="243" t="s">
        <v>127</v>
      </c>
      <c r="MNB1" s="243"/>
      <c r="MNC1" s="243"/>
      <c r="MND1" s="243"/>
      <c r="MNE1" s="243"/>
      <c r="MNF1" s="243"/>
      <c r="MNG1" s="243"/>
      <c r="MNH1" s="243"/>
      <c r="MNI1" s="243"/>
      <c r="MNJ1" s="243"/>
      <c r="MNK1" s="243"/>
      <c r="MNL1" s="243"/>
      <c r="MNM1" s="243"/>
      <c r="MNN1" s="243"/>
      <c r="MNO1" s="243"/>
      <c r="MNP1" s="243"/>
      <c r="MNQ1" s="243" t="s">
        <v>127</v>
      </c>
      <c r="MNR1" s="243"/>
      <c r="MNS1" s="243"/>
      <c r="MNT1" s="243"/>
      <c r="MNU1" s="243"/>
      <c r="MNV1" s="243"/>
      <c r="MNW1" s="243"/>
      <c r="MNX1" s="243"/>
      <c r="MNY1" s="243"/>
      <c r="MNZ1" s="243"/>
      <c r="MOA1" s="243"/>
      <c r="MOB1" s="243"/>
      <c r="MOC1" s="243"/>
      <c r="MOD1" s="243"/>
      <c r="MOE1" s="243"/>
      <c r="MOF1" s="243"/>
      <c r="MOG1" s="243" t="s">
        <v>127</v>
      </c>
      <c r="MOH1" s="243"/>
      <c r="MOI1" s="243"/>
      <c r="MOJ1" s="243"/>
      <c r="MOK1" s="243"/>
      <c r="MOL1" s="243"/>
      <c r="MOM1" s="243"/>
      <c r="MON1" s="243"/>
      <c r="MOO1" s="243"/>
      <c r="MOP1" s="243"/>
      <c r="MOQ1" s="243"/>
      <c r="MOR1" s="243"/>
      <c r="MOS1" s="243"/>
      <c r="MOT1" s="243"/>
      <c r="MOU1" s="243"/>
      <c r="MOV1" s="243"/>
      <c r="MOW1" s="243" t="s">
        <v>127</v>
      </c>
      <c r="MOX1" s="243"/>
      <c r="MOY1" s="243"/>
      <c r="MOZ1" s="243"/>
      <c r="MPA1" s="243"/>
      <c r="MPB1" s="243"/>
      <c r="MPC1" s="243"/>
      <c r="MPD1" s="243"/>
      <c r="MPE1" s="243"/>
      <c r="MPF1" s="243"/>
      <c r="MPG1" s="243"/>
      <c r="MPH1" s="243"/>
      <c r="MPI1" s="243"/>
      <c r="MPJ1" s="243"/>
      <c r="MPK1" s="243"/>
      <c r="MPL1" s="243"/>
      <c r="MPM1" s="243" t="s">
        <v>127</v>
      </c>
      <c r="MPN1" s="243"/>
      <c r="MPO1" s="243"/>
      <c r="MPP1" s="243"/>
      <c r="MPQ1" s="243"/>
      <c r="MPR1" s="243"/>
      <c r="MPS1" s="243"/>
      <c r="MPT1" s="243"/>
      <c r="MPU1" s="243"/>
      <c r="MPV1" s="243"/>
      <c r="MPW1" s="243"/>
      <c r="MPX1" s="243"/>
      <c r="MPY1" s="243"/>
      <c r="MPZ1" s="243"/>
      <c r="MQA1" s="243"/>
      <c r="MQB1" s="243"/>
      <c r="MQC1" s="243" t="s">
        <v>127</v>
      </c>
      <c r="MQD1" s="243"/>
      <c r="MQE1" s="243"/>
      <c r="MQF1" s="243"/>
      <c r="MQG1" s="243"/>
      <c r="MQH1" s="243"/>
      <c r="MQI1" s="243"/>
      <c r="MQJ1" s="243"/>
      <c r="MQK1" s="243"/>
      <c r="MQL1" s="243"/>
      <c r="MQM1" s="243"/>
      <c r="MQN1" s="243"/>
      <c r="MQO1" s="243"/>
      <c r="MQP1" s="243"/>
      <c r="MQQ1" s="243"/>
      <c r="MQR1" s="243"/>
      <c r="MQS1" s="243" t="s">
        <v>127</v>
      </c>
      <c r="MQT1" s="243"/>
      <c r="MQU1" s="243"/>
      <c r="MQV1" s="243"/>
      <c r="MQW1" s="243"/>
      <c r="MQX1" s="243"/>
      <c r="MQY1" s="243"/>
      <c r="MQZ1" s="243"/>
      <c r="MRA1" s="243"/>
      <c r="MRB1" s="243"/>
      <c r="MRC1" s="243"/>
      <c r="MRD1" s="243"/>
      <c r="MRE1" s="243"/>
      <c r="MRF1" s="243"/>
      <c r="MRG1" s="243"/>
      <c r="MRH1" s="243"/>
      <c r="MRI1" s="243" t="s">
        <v>127</v>
      </c>
      <c r="MRJ1" s="243"/>
      <c r="MRK1" s="243"/>
      <c r="MRL1" s="243"/>
      <c r="MRM1" s="243"/>
      <c r="MRN1" s="243"/>
      <c r="MRO1" s="243"/>
      <c r="MRP1" s="243"/>
      <c r="MRQ1" s="243"/>
      <c r="MRR1" s="243"/>
      <c r="MRS1" s="243"/>
      <c r="MRT1" s="243"/>
      <c r="MRU1" s="243"/>
      <c r="MRV1" s="243"/>
      <c r="MRW1" s="243"/>
      <c r="MRX1" s="243"/>
      <c r="MRY1" s="243" t="s">
        <v>127</v>
      </c>
      <c r="MRZ1" s="243"/>
      <c r="MSA1" s="243"/>
      <c r="MSB1" s="243"/>
      <c r="MSC1" s="243"/>
      <c r="MSD1" s="243"/>
      <c r="MSE1" s="243"/>
      <c r="MSF1" s="243"/>
      <c r="MSG1" s="243"/>
      <c r="MSH1" s="243"/>
      <c r="MSI1" s="243"/>
      <c r="MSJ1" s="243"/>
      <c r="MSK1" s="243"/>
      <c r="MSL1" s="243"/>
      <c r="MSM1" s="243"/>
      <c r="MSN1" s="243"/>
      <c r="MSO1" s="243" t="s">
        <v>127</v>
      </c>
      <c r="MSP1" s="243"/>
      <c r="MSQ1" s="243"/>
      <c r="MSR1" s="243"/>
      <c r="MSS1" s="243"/>
      <c r="MST1" s="243"/>
      <c r="MSU1" s="243"/>
      <c r="MSV1" s="243"/>
      <c r="MSW1" s="243"/>
      <c r="MSX1" s="243"/>
      <c r="MSY1" s="243"/>
      <c r="MSZ1" s="243"/>
      <c r="MTA1" s="243"/>
      <c r="MTB1" s="243"/>
      <c r="MTC1" s="243"/>
      <c r="MTD1" s="243"/>
      <c r="MTE1" s="243" t="s">
        <v>127</v>
      </c>
      <c r="MTF1" s="243"/>
      <c r="MTG1" s="243"/>
      <c r="MTH1" s="243"/>
      <c r="MTI1" s="243"/>
      <c r="MTJ1" s="243"/>
      <c r="MTK1" s="243"/>
      <c r="MTL1" s="243"/>
      <c r="MTM1" s="243"/>
      <c r="MTN1" s="243"/>
      <c r="MTO1" s="243"/>
      <c r="MTP1" s="243"/>
      <c r="MTQ1" s="243"/>
      <c r="MTR1" s="243"/>
      <c r="MTS1" s="243"/>
      <c r="MTT1" s="243"/>
      <c r="MTU1" s="243" t="s">
        <v>127</v>
      </c>
      <c r="MTV1" s="243"/>
      <c r="MTW1" s="243"/>
      <c r="MTX1" s="243"/>
      <c r="MTY1" s="243"/>
      <c r="MTZ1" s="243"/>
      <c r="MUA1" s="243"/>
      <c r="MUB1" s="243"/>
      <c r="MUC1" s="243"/>
      <c r="MUD1" s="243"/>
      <c r="MUE1" s="243"/>
      <c r="MUF1" s="243"/>
      <c r="MUG1" s="243"/>
      <c r="MUH1" s="243"/>
      <c r="MUI1" s="243"/>
      <c r="MUJ1" s="243"/>
      <c r="MUK1" s="243" t="s">
        <v>127</v>
      </c>
      <c r="MUL1" s="243"/>
      <c r="MUM1" s="243"/>
      <c r="MUN1" s="243"/>
      <c r="MUO1" s="243"/>
      <c r="MUP1" s="243"/>
      <c r="MUQ1" s="243"/>
      <c r="MUR1" s="243"/>
      <c r="MUS1" s="243"/>
      <c r="MUT1" s="243"/>
      <c r="MUU1" s="243"/>
      <c r="MUV1" s="243"/>
      <c r="MUW1" s="243"/>
      <c r="MUX1" s="243"/>
      <c r="MUY1" s="243"/>
      <c r="MUZ1" s="243"/>
      <c r="MVA1" s="243" t="s">
        <v>127</v>
      </c>
      <c r="MVB1" s="243"/>
      <c r="MVC1" s="243"/>
      <c r="MVD1" s="243"/>
      <c r="MVE1" s="243"/>
      <c r="MVF1" s="243"/>
      <c r="MVG1" s="243"/>
      <c r="MVH1" s="243"/>
      <c r="MVI1" s="243"/>
      <c r="MVJ1" s="243"/>
      <c r="MVK1" s="243"/>
      <c r="MVL1" s="243"/>
      <c r="MVM1" s="243"/>
      <c r="MVN1" s="243"/>
      <c r="MVO1" s="243"/>
      <c r="MVP1" s="243"/>
      <c r="MVQ1" s="243" t="s">
        <v>127</v>
      </c>
      <c r="MVR1" s="243"/>
      <c r="MVS1" s="243"/>
      <c r="MVT1" s="243"/>
      <c r="MVU1" s="243"/>
      <c r="MVV1" s="243"/>
      <c r="MVW1" s="243"/>
      <c r="MVX1" s="243"/>
      <c r="MVY1" s="243"/>
      <c r="MVZ1" s="243"/>
      <c r="MWA1" s="243"/>
      <c r="MWB1" s="243"/>
      <c r="MWC1" s="243"/>
      <c r="MWD1" s="243"/>
      <c r="MWE1" s="243"/>
      <c r="MWF1" s="243"/>
      <c r="MWG1" s="243" t="s">
        <v>127</v>
      </c>
      <c r="MWH1" s="243"/>
      <c r="MWI1" s="243"/>
      <c r="MWJ1" s="243"/>
      <c r="MWK1" s="243"/>
      <c r="MWL1" s="243"/>
      <c r="MWM1" s="243"/>
      <c r="MWN1" s="243"/>
      <c r="MWO1" s="243"/>
      <c r="MWP1" s="243"/>
      <c r="MWQ1" s="243"/>
      <c r="MWR1" s="243"/>
      <c r="MWS1" s="243"/>
      <c r="MWT1" s="243"/>
      <c r="MWU1" s="243"/>
      <c r="MWV1" s="243"/>
      <c r="MWW1" s="243" t="s">
        <v>127</v>
      </c>
      <c r="MWX1" s="243"/>
      <c r="MWY1" s="243"/>
      <c r="MWZ1" s="243"/>
      <c r="MXA1" s="243"/>
      <c r="MXB1" s="243"/>
      <c r="MXC1" s="243"/>
      <c r="MXD1" s="243"/>
      <c r="MXE1" s="243"/>
      <c r="MXF1" s="243"/>
      <c r="MXG1" s="243"/>
      <c r="MXH1" s="243"/>
      <c r="MXI1" s="243"/>
      <c r="MXJ1" s="243"/>
      <c r="MXK1" s="243"/>
      <c r="MXL1" s="243"/>
      <c r="MXM1" s="243" t="s">
        <v>127</v>
      </c>
      <c r="MXN1" s="243"/>
      <c r="MXO1" s="243"/>
      <c r="MXP1" s="243"/>
      <c r="MXQ1" s="243"/>
      <c r="MXR1" s="243"/>
      <c r="MXS1" s="243"/>
      <c r="MXT1" s="243"/>
      <c r="MXU1" s="243"/>
      <c r="MXV1" s="243"/>
      <c r="MXW1" s="243"/>
      <c r="MXX1" s="243"/>
      <c r="MXY1" s="243"/>
      <c r="MXZ1" s="243"/>
      <c r="MYA1" s="243"/>
      <c r="MYB1" s="243"/>
      <c r="MYC1" s="243" t="s">
        <v>127</v>
      </c>
      <c r="MYD1" s="243"/>
      <c r="MYE1" s="243"/>
      <c r="MYF1" s="243"/>
      <c r="MYG1" s="243"/>
      <c r="MYH1" s="243"/>
      <c r="MYI1" s="243"/>
      <c r="MYJ1" s="243"/>
      <c r="MYK1" s="243"/>
      <c r="MYL1" s="243"/>
      <c r="MYM1" s="243"/>
      <c r="MYN1" s="243"/>
      <c r="MYO1" s="243"/>
      <c r="MYP1" s="243"/>
      <c r="MYQ1" s="243"/>
      <c r="MYR1" s="243"/>
      <c r="MYS1" s="243" t="s">
        <v>127</v>
      </c>
      <c r="MYT1" s="243"/>
      <c r="MYU1" s="243"/>
      <c r="MYV1" s="243"/>
      <c r="MYW1" s="243"/>
      <c r="MYX1" s="243"/>
      <c r="MYY1" s="243"/>
      <c r="MYZ1" s="243"/>
      <c r="MZA1" s="243"/>
      <c r="MZB1" s="243"/>
      <c r="MZC1" s="243"/>
      <c r="MZD1" s="243"/>
      <c r="MZE1" s="243"/>
      <c r="MZF1" s="243"/>
      <c r="MZG1" s="243"/>
      <c r="MZH1" s="243"/>
      <c r="MZI1" s="243" t="s">
        <v>127</v>
      </c>
      <c r="MZJ1" s="243"/>
      <c r="MZK1" s="243"/>
      <c r="MZL1" s="243"/>
      <c r="MZM1" s="243"/>
      <c r="MZN1" s="243"/>
      <c r="MZO1" s="243"/>
      <c r="MZP1" s="243"/>
      <c r="MZQ1" s="243"/>
      <c r="MZR1" s="243"/>
      <c r="MZS1" s="243"/>
      <c r="MZT1" s="243"/>
      <c r="MZU1" s="243"/>
      <c r="MZV1" s="243"/>
      <c r="MZW1" s="243"/>
      <c r="MZX1" s="243"/>
      <c r="MZY1" s="243" t="s">
        <v>127</v>
      </c>
      <c r="MZZ1" s="243"/>
      <c r="NAA1" s="243"/>
      <c r="NAB1" s="243"/>
      <c r="NAC1" s="243"/>
      <c r="NAD1" s="243"/>
      <c r="NAE1" s="243"/>
      <c r="NAF1" s="243"/>
      <c r="NAG1" s="243"/>
      <c r="NAH1" s="243"/>
      <c r="NAI1" s="243"/>
      <c r="NAJ1" s="243"/>
      <c r="NAK1" s="243"/>
      <c r="NAL1" s="243"/>
      <c r="NAM1" s="243"/>
      <c r="NAN1" s="243"/>
      <c r="NAO1" s="243" t="s">
        <v>127</v>
      </c>
      <c r="NAP1" s="243"/>
      <c r="NAQ1" s="243"/>
      <c r="NAR1" s="243"/>
      <c r="NAS1" s="243"/>
      <c r="NAT1" s="243"/>
      <c r="NAU1" s="243"/>
      <c r="NAV1" s="243"/>
      <c r="NAW1" s="243"/>
      <c r="NAX1" s="243"/>
      <c r="NAY1" s="243"/>
      <c r="NAZ1" s="243"/>
      <c r="NBA1" s="243"/>
      <c r="NBB1" s="243"/>
      <c r="NBC1" s="243"/>
      <c r="NBD1" s="243"/>
      <c r="NBE1" s="243" t="s">
        <v>127</v>
      </c>
      <c r="NBF1" s="243"/>
      <c r="NBG1" s="243"/>
      <c r="NBH1" s="243"/>
      <c r="NBI1" s="243"/>
      <c r="NBJ1" s="243"/>
      <c r="NBK1" s="243"/>
      <c r="NBL1" s="243"/>
      <c r="NBM1" s="243"/>
      <c r="NBN1" s="243"/>
      <c r="NBO1" s="243"/>
      <c r="NBP1" s="243"/>
      <c r="NBQ1" s="243"/>
      <c r="NBR1" s="243"/>
      <c r="NBS1" s="243"/>
      <c r="NBT1" s="243"/>
      <c r="NBU1" s="243" t="s">
        <v>127</v>
      </c>
      <c r="NBV1" s="243"/>
      <c r="NBW1" s="243"/>
      <c r="NBX1" s="243"/>
      <c r="NBY1" s="243"/>
      <c r="NBZ1" s="243"/>
      <c r="NCA1" s="243"/>
      <c r="NCB1" s="243"/>
      <c r="NCC1" s="243"/>
      <c r="NCD1" s="243"/>
      <c r="NCE1" s="243"/>
      <c r="NCF1" s="243"/>
      <c r="NCG1" s="243"/>
      <c r="NCH1" s="243"/>
      <c r="NCI1" s="243"/>
      <c r="NCJ1" s="243"/>
      <c r="NCK1" s="243" t="s">
        <v>127</v>
      </c>
      <c r="NCL1" s="243"/>
      <c r="NCM1" s="243"/>
      <c r="NCN1" s="243"/>
      <c r="NCO1" s="243"/>
      <c r="NCP1" s="243"/>
      <c r="NCQ1" s="243"/>
      <c r="NCR1" s="243"/>
      <c r="NCS1" s="243"/>
      <c r="NCT1" s="243"/>
      <c r="NCU1" s="243"/>
      <c r="NCV1" s="243"/>
      <c r="NCW1" s="243"/>
      <c r="NCX1" s="243"/>
      <c r="NCY1" s="243"/>
      <c r="NCZ1" s="243"/>
      <c r="NDA1" s="243" t="s">
        <v>127</v>
      </c>
      <c r="NDB1" s="243"/>
      <c r="NDC1" s="243"/>
      <c r="NDD1" s="243"/>
      <c r="NDE1" s="243"/>
      <c r="NDF1" s="243"/>
      <c r="NDG1" s="243"/>
      <c r="NDH1" s="243"/>
      <c r="NDI1" s="243"/>
      <c r="NDJ1" s="243"/>
      <c r="NDK1" s="243"/>
      <c r="NDL1" s="243"/>
      <c r="NDM1" s="243"/>
      <c r="NDN1" s="243"/>
      <c r="NDO1" s="243"/>
      <c r="NDP1" s="243"/>
      <c r="NDQ1" s="243" t="s">
        <v>127</v>
      </c>
      <c r="NDR1" s="243"/>
      <c r="NDS1" s="243"/>
      <c r="NDT1" s="243"/>
      <c r="NDU1" s="243"/>
      <c r="NDV1" s="243"/>
      <c r="NDW1" s="243"/>
      <c r="NDX1" s="243"/>
      <c r="NDY1" s="243"/>
      <c r="NDZ1" s="243"/>
      <c r="NEA1" s="243"/>
      <c r="NEB1" s="243"/>
      <c r="NEC1" s="243"/>
      <c r="NED1" s="243"/>
      <c r="NEE1" s="243"/>
      <c r="NEF1" s="243"/>
      <c r="NEG1" s="243" t="s">
        <v>127</v>
      </c>
      <c r="NEH1" s="243"/>
      <c r="NEI1" s="243"/>
      <c r="NEJ1" s="243"/>
      <c r="NEK1" s="243"/>
      <c r="NEL1" s="243"/>
      <c r="NEM1" s="243"/>
      <c r="NEN1" s="243"/>
      <c r="NEO1" s="243"/>
      <c r="NEP1" s="243"/>
      <c r="NEQ1" s="243"/>
      <c r="NER1" s="243"/>
      <c r="NES1" s="243"/>
      <c r="NET1" s="243"/>
      <c r="NEU1" s="243"/>
      <c r="NEV1" s="243"/>
      <c r="NEW1" s="243" t="s">
        <v>127</v>
      </c>
      <c r="NEX1" s="243"/>
      <c r="NEY1" s="243"/>
      <c r="NEZ1" s="243"/>
      <c r="NFA1" s="243"/>
      <c r="NFB1" s="243"/>
      <c r="NFC1" s="243"/>
      <c r="NFD1" s="243"/>
      <c r="NFE1" s="243"/>
      <c r="NFF1" s="243"/>
      <c r="NFG1" s="243"/>
      <c r="NFH1" s="243"/>
      <c r="NFI1" s="243"/>
      <c r="NFJ1" s="243"/>
      <c r="NFK1" s="243"/>
      <c r="NFL1" s="243"/>
      <c r="NFM1" s="243" t="s">
        <v>127</v>
      </c>
      <c r="NFN1" s="243"/>
      <c r="NFO1" s="243"/>
      <c r="NFP1" s="243"/>
      <c r="NFQ1" s="243"/>
      <c r="NFR1" s="243"/>
      <c r="NFS1" s="243"/>
      <c r="NFT1" s="243"/>
      <c r="NFU1" s="243"/>
      <c r="NFV1" s="243"/>
      <c r="NFW1" s="243"/>
      <c r="NFX1" s="243"/>
      <c r="NFY1" s="243"/>
      <c r="NFZ1" s="243"/>
      <c r="NGA1" s="243"/>
      <c r="NGB1" s="243"/>
      <c r="NGC1" s="243" t="s">
        <v>127</v>
      </c>
      <c r="NGD1" s="243"/>
      <c r="NGE1" s="243"/>
      <c r="NGF1" s="243"/>
      <c r="NGG1" s="243"/>
      <c r="NGH1" s="243"/>
      <c r="NGI1" s="243"/>
      <c r="NGJ1" s="243"/>
      <c r="NGK1" s="243"/>
      <c r="NGL1" s="243"/>
      <c r="NGM1" s="243"/>
      <c r="NGN1" s="243"/>
      <c r="NGO1" s="243"/>
      <c r="NGP1" s="243"/>
      <c r="NGQ1" s="243"/>
      <c r="NGR1" s="243"/>
      <c r="NGS1" s="243" t="s">
        <v>127</v>
      </c>
      <c r="NGT1" s="243"/>
      <c r="NGU1" s="243"/>
      <c r="NGV1" s="243"/>
      <c r="NGW1" s="243"/>
      <c r="NGX1" s="243"/>
      <c r="NGY1" s="243"/>
      <c r="NGZ1" s="243"/>
      <c r="NHA1" s="243"/>
      <c r="NHB1" s="243"/>
      <c r="NHC1" s="243"/>
      <c r="NHD1" s="243"/>
      <c r="NHE1" s="243"/>
      <c r="NHF1" s="243"/>
      <c r="NHG1" s="243"/>
      <c r="NHH1" s="243"/>
      <c r="NHI1" s="243" t="s">
        <v>127</v>
      </c>
      <c r="NHJ1" s="243"/>
      <c r="NHK1" s="243"/>
      <c r="NHL1" s="243"/>
      <c r="NHM1" s="243"/>
      <c r="NHN1" s="243"/>
      <c r="NHO1" s="243"/>
      <c r="NHP1" s="243"/>
      <c r="NHQ1" s="243"/>
      <c r="NHR1" s="243"/>
      <c r="NHS1" s="243"/>
      <c r="NHT1" s="243"/>
      <c r="NHU1" s="243"/>
      <c r="NHV1" s="243"/>
      <c r="NHW1" s="243"/>
      <c r="NHX1" s="243"/>
      <c r="NHY1" s="243" t="s">
        <v>127</v>
      </c>
      <c r="NHZ1" s="243"/>
      <c r="NIA1" s="243"/>
      <c r="NIB1" s="243"/>
      <c r="NIC1" s="243"/>
      <c r="NID1" s="243"/>
      <c r="NIE1" s="243"/>
      <c r="NIF1" s="243"/>
      <c r="NIG1" s="243"/>
      <c r="NIH1" s="243"/>
      <c r="NII1" s="243"/>
      <c r="NIJ1" s="243"/>
      <c r="NIK1" s="243"/>
      <c r="NIL1" s="243"/>
      <c r="NIM1" s="243"/>
      <c r="NIN1" s="243"/>
      <c r="NIO1" s="243" t="s">
        <v>127</v>
      </c>
      <c r="NIP1" s="243"/>
      <c r="NIQ1" s="243"/>
      <c r="NIR1" s="243"/>
      <c r="NIS1" s="243"/>
      <c r="NIT1" s="243"/>
      <c r="NIU1" s="243"/>
      <c r="NIV1" s="243"/>
      <c r="NIW1" s="243"/>
      <c r="NIX1" s="243"/>
      <c r="NIY1" s="243"/>
      <c r="NIZ1" s="243"/>
      <c r="NJA1" s="243"/>
      <c r="NJB1" s="243"/>
      <c r="NJC1" s="243"/>
      <c r="NJD1" s="243"/>
      <c r="NJE1" s="243" t="s">
        <v>127</v>
      </c>
      <c r="NJF1" s="243"/>
      <c r="NJG1" s="243"/>
      <c r="NJH1" s="243"/>
      <c r="NJI1" s="243"/>
      <c r="NJJ1" s="243"/>
      <c r="NJK1" s="243"/>
      <c r="NJL1" s="243"/>
      <c r="NJM1" s="243"/>
      <c r="NJN1" s="243"/>
      <c r="NJO1" s="243"/>
      <c r="NJP1" s="243"/>
      <c r="NJQ1" s="243"/>
      <c r="NJR1" s="243"/>
      <c r="NJS1" s="243"/>
      <c r="NJT1" s="243"/>
      <c r="NJU1" s="243" t="s">
        <v>127</v>
      </c>
      <c r="NJV1" s="243"/>
      <c r="NJW1" s="243"/>
      <c r="NJX1" s="243"/>
      <c r="NJY1" s="243"/>
      <c r="NJZ1" s="243"/>
      <c r="NKA1" s="243"/>
      <c r="NKB1" s="243"/>
      <c r="NKC1" s="243"/>
      <c r="NKD1" s="243"/>
      <c r="NKE1" s="243"/>
      <c r="NKF1" s="243"/>
      <c r="NKG1" s="243"/>
      <c r="NKH1" s="243"/>
      <c r="NKI1" s="243"/>
      <c r="NKJ1" s="243"/>
      <c r="NKK1" s="243" t="s">
        <v>127</v>
      </c>
      <c r="NKL1" s="243"/>
      <c r="NKM1" s="243"/>
      <c r="NKN1" s="243"/>
      <c r="NKO1" s="243"/>
      <c r="NKP1" s="243"/>
      <c r="NKQ1" s="243"/>
      <c r="NKR1" s="243"/>
      <c r="NKS1" s="243"/>
      <c r="NKT1" s="243"/>
      <c r="NKU1" s="243"/>
      <c r="NKV1" s="243"/>
      <c r="NKW1" s="243"/>
      <c r="NKX1" s="243"/>
      <c r="NKY1" s="243"/>
      <c r="NKZ1" s="243"/>
      <c r="NLA1" s="243" t="s">
        <v>127</v>
      </c>
      <c r="NLB1" s="243"/>
      <c r="NLC1" s="243"/>
      <c r="NLD1" s="243"/>
      <c r="NLE1" s="243"/>
      <c r="NLF1" s="243"/>
      <c r="NLG1" s="243"/>
      <c r="NLH1" s="243"/>
      <c r="NLI1" s="243"/>
      <c r="NLJ1" s="243"/>
      <c r="NLK1" s="243"/>
      <c r="NLL1" s="243"/>
      <c r="NLM1" s="243"/>
      <c r="NLN1" s="243"/>
      <c r="NLO1" s="243"/>
      <c r="NLP1" s="243"/>
      <c r="NLQ1" s="243" t="s">
        <v>127</v>
      </c>
      <c r="NLR1" s="243"/>
      <c r="NLS1" s="243"/>
      <c r="NLT1" s="243"/>
      <c r="NLU1" s="243"/>
      <c r="NLV1" s="243"/>
      <c r="NLW1" s="243"/>
      <c r="NLX1" s="243"/>
      <c r="NLY1" s="243"/>
      <c r="NLZ1" s="243"/>
      <c r="NMA1" s="243"/>
      <c r="NMB1" s="243"/>
      <c r="NMC1" s="243"/>
      <c r="NMD1" s="243"/>
      <c r="NME1" s="243"/>
      <c r="NMF1" s="243"/>
      <c r="NMG1" s="243" t="s">
        <v>127</v>
      </c>
      <c r="NMH1" s="243"/>
      <c r="NMI1" s="243"/>
      <c r="NMJ1" s="243"/>
      <c r="NMK1" s="243"/>
      <c r="NML1" s="243"/>
      <c r="NMM1" s="243"/>
      <c r="NMN1" s="243"/>
      <c r="NMO1" s="243"/>
      <c r="NMP1" s="243"/>
      <c r="NMQ1" s="243"/>
      <c r="NMR1" s="243"/>
      <c r="NMS1" s="243"/>
      <c r="NMT1" s="243"/>
      <c r="NMU1" s="243"/>
      <c r="NMV1" s="243"/>
      <c r="NMW1" s="243" t="s">
        <v>127</v>
      </c>
      <c r="NMX1" s="243"/>
      <c r="NMY1" s="243"/>
      <c r="NMZ1" s="243"/>
      <c r="NNA1" s="243"/>
      <c r="NNB1" s="243"/>
      <c r="NNC1" s="243"/>
      <c r="NND1" s="243"/>
      <c r="NNE1" s="243"/>
      <c r="NNF1" s="243"/>
      <c r="NNG1" s="243"/>
      <c r="NNH1" s="243"/>
      <c r="NNI1" s="243"/>
      <c r="NNJ1" s="243"/>
      <c r="NNK1" s="243"/>
      <c r="NNL1" s="243"/>
      <c r="NNM1" s="243" t="s">
        <v>127</v>
      </c>
      <c r="NNN1" s="243"/>
      <c r="NNO1" s="243"/>
      <c r="NNP1" s="243"/>
      <c r="NNQ1" s="243"/>
      <c r="NNR1" s="243"/>
      <c r="NNS1" s="243"/>
      <c r="NNT1" s="243"/>
      <c r="NNU1" s="243"/>
      <c r="NNV1" s="243"/>
      <c r="NNW1" s="243"/>
      <c r="NNX1" s="243"/>
      <c r="NNY1" s="243"/>
      <c r="NNZ1" s="243"/>
      <c r="NOA1" s="243"/>
      <c r="NOB1" s="243"/>
      <c r="NOC1" s="243" t="s">
        <v>127</v>
      </c>
      <c r="NOD1" s="243"/>
      <c r="NOE1" s="243"/>
      <c r="NOF1" s="243"/>
      <c r="NOG1" s="243"/>
      <c r="NOH1" s="243"/>
      <c r="NOI1" s="243"/>
      <c r="NOJ1" s="243"/>
      <c r="NOK1" s="243"/>
      <c r="NOL1" s="243"/>
      <c r="NOM1" s="243"/>
      <c r="NON1" s="243"/>
      <c r="NOO1" s="243"/>
      <c r="NOP1" s="243"/>
      <c r="NOQ1" s="243"/>
      <c r="NOR1" s="243"/>
      <c r="NOS1" s="243" t="s">
        <v>127</v>
      </c>
      <c r="NOT1" s="243"/>
      <c r="NOU1" s="243"/>
      <c r="NOV1" s="243"/>
      <c r="NOW1" s="243"/>
      <c r="NOX1" s="243"/>
      <c r="NOY1" s="243"/>
      <c r="NOZ1" s="243"/>
      <c r="NPA1" s="243"/>
      <c r="NPB1" s="243"/>
      <c r="NPC1" s="243"/>
      <c r="NPD1" s="243"/>
      <c r="NPE1" s="243"/>
      <c r="NPF1" s="243"/>
      <c r="NPG1" s="243"/>
      <c r="NPH1" s="243"/>
      <c r="NPI1" s="243" t="s">
        <v>127</v>
      </c>
      <c r="NPJ1" s="243"/>
      <c r="NPK1" s="243"/>
      <c r="NPL1" s="243"/>
      <c r="NPM1" s="243"/>
      <c r="NPN1" s="243"/>
      <c r="NPO1" s="243"/>
      <c r="NPP1" s="243"/>
      <c r="NPQ1" s="243"/>
      <c r="NPR1" s="243"/>
      <c r="NPS1" s="243"/>
      <c r="NPT1" s="243"/>
      <c r="NPU1" s="243"/>
      <c r="NPV1" s="243"/>
      <c r="NPW1" s="243"/>
      <c r="NPX1" s="243"/>
      <c r="NPY1" s="243" t="s">
        <v>127</v>
      </c>
      <c r="NPZ1" s="243"/>
      <c r="NQA1" s="243"/>
      <c r="NQB1" s="243"/>
      <c r="NQC1" s="243"/>
      <c r="NQD1" s="243"/>
      <c r="NQE1" s="243"/>
      <c r="NQF1" s="243"/>
      <c r="NQG1" s="243"/>
      <c r="NQH1" s="243"/>
      <c r="NQI1" s="243"/>
      <c r="NQJ1" s="243"/>
      <c r="NQK1" s="243"/>
      <c r="NQL1" s="243"/>
      <c r="NQM1" s="243"/>
      <c r="NQN1" s="243"/>
      <c r="NQO1" s="243" t="s">
        <v>127</v>
      </c>
      <c r="NQP1" s="243"/>
      <c r="NQQ1" s="243"/>
      <c r="NQR1" s="243"/>
      <c r="NQS1" s="243"/>
      <c r="NQT1" s="243"/>
      <c r="NQU1" s="243"/>
      <c r="NQV1" s="243"/>
      <c r="NQW1" s="243"/>
      <c r="NQX1" s="243"/>
      <c r="NQY1" s="243"/>
      <c r="NQZ1" s="243"/>
      <c r="NRA1" s="243"/>
      <c r="NRB1" s="243"/>
      <c r="NRC1" s="243"/>
      <c r="NRD1" s="243"/>
      <c r="NRE1" s="243" t="s">
        <v>127</v>
      </c>
      <c r="NRF1" s="243"/>
      <c r="NRG1" s="243"/>
      <c r="NRH1" s="243"/>
      <c r="NRI1" s="243"/>
      <c r="NRJ1" s="243"/>
      <c r="NRK1" s="243"/>
      <c r="NRL1" s="243"/>
      <c r="NRM1" s="243"/>
      <c r="NRN1" s="243"/>
      <c r="NRO1" s="243"/>
      <c r="NRP1" s="243"/>
      <c r="NRQ1" s="243"/>
      <c r="NRR1" s="243"/>
      <c r="NRS1" s="243"/>
      <c r="NRT1" s="243"/>
      <c r="NRU1" s="243" t="s">
        <v>127</v>
      </c>
      <c r="NRV1" s="243"/>
      <c r="NRW1" s="243"/>
      <c r="NRX1" s="243"/>
      <c r="NRY1" s="243"/>
      <c r="NRZ1" s="243"/>
      <c r="NSA1" s="243"/>
      <c r="NSB1" s="243"/>
      <c r="NSC1" s="243"/>
      <c r="NSD1" s="243"/>
      <c r="NSE1" s="243"/>
      <c r="NSF1" s="243"/>
      <c r="NSG1" s="243"/>
      <c r="NSH1" s="243"/>
      <c r="NSI1" s="243"/>
      <c r="NSJ1" s="243"/>
      <c r="NSK1" s="243" t="s">
        <v>127</v>
      </c>
      <c r="NSL1" s="243"/>
      <c r="NSM1" s="243"/>
      <c r="NSN1" s="243"/>
      <c r="NSO1" s="243"/>
      <c r="NSP1" s="243"/>
      <c r="NSQ1" s="243"/>
      <c r="NSR1" s="243"/>
      <c r="NSS1" s="243"/>
      <c r="NST1" s="243"/>
      <c r="NSU1" s="243"/>
      <c r="NSV1" s="243"/>
      <c r="NSW1" s="243"/>
      <c r="NSX1" s="243"/>
      <c r="NSY1" s="243"/>
      <c r="NSZ1" s="243"/>
      <c r="NTA1" s="243" t="s">
        <v>127</v>
      </c>
      <c r="NTB1" s="243"/>
      <c r="NTC1" s="243"/>
      <c r="NTD1" s="243"/>
      <c r="NTE1" s="243"/>
      <c r="NTF1" s="243"/>
      <c r="NTG1" s="243"/>
      <c r="NTH1" s="243"/>
      <c r="NTI1" s="243"/>
      <c r="NTJ1" s="243"/>
      <c r="NTK1" s="243"/>
      <c r="NTL1" s="243"/>
      <c r="NTM1" s="243"/>
      <c r="NTN1" s="243"/>
      <c r="NTO1" s="243"/>
      <c r="NTP1" s="243"/>
      <c r="NTQ1" s="243" t="s">
        <v>127</v>
      </c>
      <c r="NTR1" s="243"/>
      <c r="NTS1" s="243"/>
      <c r="NTT1" s="243"/>
      <c r="NTU1" s="243"/>
      <c r="NTV1" s="243"/>
      <c r="NTW1" s="243"/>
      <c r="NTX1" s="243"/>
      <c r="NTY1" s="243"/>
      <c r="NTZ1" s="243"/>
      <c r="NUA1" s="243"/>
      <c r="NUB1" s="243"/>
      <c r="NUC1" s="243"/>
      <c r="NUD1" s="243"/>
      <c r="NUE1" s="243"/>
      <c r="NUF1" s="243"/>
      <c r="NUG1" s="243" t="s">
        <v>127</v>
      </c>
      <c r="NUH1" s="243"/>
      <c r="NUI1" s="243"/>
      <c r="NUJ1" s="243"/>
      <c r="NUK1" s="243"/>
      <c r="NUL1" s="243"/>
      <c r="NUM1" s="243"/>
      <c r="NUN1" s="243"/>
      <c r="NUO1" s="243"/>
      <c r="NUP1" s="243"/>
      <c r="NUQ1" s="243"/>
      <c r="NUR1" s="243"/>
      <c r="NUS1" s="243"/>
      <c r="NUT1" s="243"/>
      <c r="NUU1" s="243"/>
      <c r="NUV1" s="243"/>
      <c r="NUW1" s="243" t="s">
        <v>127</v>
      </c>
      <c r="NUX1" s="243"/>
      <c r="NUY1" s="243"/>
      <c r="NUZ1" s="243"/>
      <c r="NVA1" s="243"/>
      <c r="NVB1" s="243"/>
      <c r="NVC1" s="243"/>
      <c r="NVD1" s="243"/>
      <c r="NVE1" s="243"/>
      <c r="NVF1" s="243"/>
      <c r="NVG1" s="243"/>
      <c r="NVH1" s="243"/>
      <c r="NVI1" s="243"/>
      <c r="NVJ1" s="243"/>
      <c r="NVK1" s="243"/>
      <c r="NVL1" s="243"/>
      <c r="NVM1" s="243" t="s">
        <v>127</v>
      </c>
      <c r="NVN1" s="243"/>
      <c r="NVO1" s="243"/>
      <c r="NVP1" s="243"/>
      <c r="NVQ1" s="243"/>
      <c r="NVR1" s="243"/>
      <c r="NVS1" s="243"/>
      <c r="NVT1" s="243"/>
      <c r="NVU1" s="243"/>
      <c r="NVV1" s="243"/>
      <c r="NVW1" s="243"/>
      <c r="NVX1" s="243"/>
      <c r="NVY1" s="243"/>
      <c r="NVZ1" s="243"/>
      <c r="NWA1" s="243"/>
      <c r="NWB1" s="243"/>
      <c r="NWC1" s="243" t="s">
        <v>127</v>
      </c>
      <c r="NWD1" s="243"/>
      <c r="NWE1" s="243"/>
      <c r="NWF1" s="243"/>
      <c r="NWG1" s="243"/>
      <c r="NWH1" s="243"/>
      <c r="NWI1" s="243"/>
      <c r="NWJ1" s="243"/>
      <c r="NWK1" s="243"/>
      <c r="NWL1" s="243"/>
      <c r="NWM1" s="243"/>
      <c r="NWN1" s="243"/>
      <c r="NWO1" s="243"/>
      <c r="NWP1" s="243"/>
      <c r="NWQ1" s="243"/>
      <c r="NWR1" s="243"/>
      <c r="NWS1" s="243" t="s">
        <v>127</v>
      </c>
      <c r="NWT1" s="243"/>
      <c r="NWU1" s="243"/>
      <c r="NWV1" s="243"/>
      <c r="NWW1" s="243"/>
      <c r="NWX1" s="243"/>
      <c r="NWY1" s="243"/>
      <c r="NWZ1" s="243"/>
      <c r="NXA1" s="243"/>
      <c r="NXB1" s="243"/>
      <c r="NXC1" s="243"/>
      <c r="NXD1" s="243"/>
      <c r="NXE1" s="243"/>
      <c r="NXF1" s="243"/>
      <c r="NXG1" s="243"/>
      <c r="NXH1" s="243"/>
      <c r="NXI1" s="243" t="s">
        <v>127</v>
      </c>
      <c r="NXJ1" s="243"/>
      <c r="NXK1" s="243"/>
      <c r="NXL1" s="243"/>
      <c r="NXM1" s="243"/>
      <c r="NXN1" s="243"/>
      <c r="NXO1" s="243"/>
      <c r="NXP1" s="243"/>
      <c r="NXQ1" s="243"/>
      <c r="NXR1" s="243"/>
      <c r="NXS1" s="243"/>
      <c r="NXT1" s="243"/>
      <c r="NXU1" s="243"/>
      <c r="NXV1" s="243"/>
      <c r="NXW1" s="243"/>
      <c r="NXX1" s="243"/>
      <c r="NXY1" s="243" t="s">
        <v>127</v>
      </c>
      <c r="NXZ1" s="243"/>
      <c r="NYA1" s="243"/>
      <c r="NYB1" s="243"/>
      <c r="NYC1" s="243"/>
      <c r="NYD1" s="243"/>
      <c r="NYE1" s="243"/>
      <c r="NYF1" s="243"/>
      <c r="NYG1" s="243"/>
      <c r="NYH1" s="243"/>
      <c r="NYI1" s="243"/>
      <c r="NYJ1" s="243"/>
      <c r="NYK1" s="243"/>
      <c r="NYL1" s="243"/>
      <c r="NYM1" s="243"/>
      <c r="NYN1" s="243"/>
      <c r="NYO1" s="243" t="s">
        <v>127</v>
      </c>
      <c r="NYP1" s="243"/>
      <c r="NYQ1" s="243"/>
      <c r="NYR1" s="243"/>
      <c r="NYS1" s="243"/>
      <c r="NYT1" s="243"/>
      <c r="NYU1" s="243"/>
      <c r="NYV1" s="243"/>
      <c r="NYW1" s="243"/>
      <c r="NYX1" s="243"/>
      <c r="NYY1" s="243"/>
      <c r="NYZ1" s="243"/>
      <c r="NZA1" s="243"/>
      <c r="NZB1" s="243"/>
      <c r="NZC1" s="243"/>
      <c r="NZD1" s="243"/>
      <c r="NZE1" s="243" t="s">
        <v>127</v>
      </c>
      <c r="NZF1" s="243"/>
      <c r="NZG1" s="243"/>
      <c r="NZH1" s="243"/>
      <c r="NZI1" s="243"/>
      <c r="NZJ1" s="243"/>
      <c r="NZK1" s="243"/>
      <c r="NZL1" s="243"/>
      <c r="NZM1" s="243"/>
      <c r="NZN1" s="243"/>
      <c r="NZO1" s="243"/>
      <c r="NZP1" s="243"/>
      <c r="NZQ1" s="243"/>
      <c r="NZR1" s="243"/>
      <c r="NZS1" s="243"/>
      <c r="NZT1" s="243"/>
      <c r="NZU1" s="243" t="s">
        <v>127</v>
      </c>
      <c r="NZV1" s="243"/>
      <c r="NZW1" s="243"/>
      <c r="NZX1" s="243"/>
      <c r="NZY1" s="243"/>
      <c r="NZZ1" s="243"/>
      <c r="OAA1" s="243"/>
      <c r="OAB1" s="243"/>
      <c r="OAC1" s="243"/>
      <c r="OAD1" s="243"/>
      <c r="OAE1" s="243"/>
      <c r="OAF1" s="243"/>
      <c r="OAG1" s="243"/>
      <c r="OAH1" s="243"/>
      <c r="OAI1" s="243"/>
      <c r="OAJ1" s="243"/>
      <c r="OAK1" s="243" t="s">
        <v>127</v>
      </c>
      <c r="OAL1" s="243"/>
      <c r="OAM1" s="243"/>
      <c r="OAN1" s="243"/>
      <c r="OAO1" s="243"/>
      <c r="OAP1" s="243"/>
      <c r="OAQ1" s="243"/>
      <c r="OAR1" s="243"/>
      <c r="OAS1" s="243"/>
      <c r="OAT1" s="243"/>
      <c r="OAU1" s="243"/>
      <c r="OAV1" s="243"/>
      <c r="OAW1" s="243"/>
      <c r="OAX1" s="243"/>
      <c r="OAY1" s="243"/>
      <c r="OAZ1" s="243"/>
      <c r="OBA1" s="243" t="s">
        <v>127</v>
      </c>
      <c r="OBB1" s="243"/>
      <c r="OBC1" s="243"/>
      <c r="OBD1" s="243"/>
      <c r="OBE1" s="243"/>
      <c r="OBF1" s="243"/>
      <c r="OBG1" s="243"/>
      <c r="OBH1" s="243"/>
      <c r="OBI1" s="243"/>
      <c r="OBJ1" s="243"/>
      <c r="OBK1" s="243"/>
      <c r="OBL1" s="243"/>
      <c r="OBM1" s="243"/>
      <c r="OBN1" s="243"/>
      <c r="OBO1" s="243"/>
      <c r="OBP1" s="243"/>
      <c r="OBQ1" s="243" t="s">
        <v>127</v>
      </c>
      <c r="OBR1" s="243"/>
      <c r="OBS1" s="243"/>
      <c r="OBT1" s="243"/>
      <c r="OBU1" s="243"/>
      <c r="OBV1" s="243"/>
      <c r="OBW1" s="243"/>
      <c r="OBX1" s="243"/>
      <c r="OBY1" s="243"/>
      <c r="OBZ1" s="243"/>
      <c r="OCA1" s="243"/>
      <c r="OCB1" s="243"/>
      <c r="OCC1" s="243"/>
      <c r="OCD1" s="243"/>
      <c r="OCE1" s="243"/>
      <c r="OCF1" s="243"/>
      <c r="OCG1" s="243" t="s">
        <v>127</v>
      </c>
      <c r="OCH1" s="243"/>
      <c r="OCI1" s="243"/>
      <c r="OCJ1" s="243"/>
      <c r="OCK1" s="243"/>
      <c r="OCL1" s="243"/>
      <c r="OCM1" s="243"/>
      <c r="OCN1" s="243"/>
      <c r="OCO1" s="243"/>
      <c r="OCP1" s="243"/>
      <c r="OCQ1" s="243"/>
      <c r="OCR1" s="243"/>
      <c r="OCS1" s="243"/>
      <c r="OCT1" s="243"/>
      <c r="OCU1" s="243"/>
      <c r="OCV1" s="243"/>
      <c r="OCW1" s="243" t="s">
        <v>127</v>
      </c>
      <c r="OCX1" s="243"/>
      <c r="OCY1" s="243"/>
      <c r="OCZ1" s="243"/>
      <c r="ODA1" s="243"/>
      <c r="ODB1" s="243"/>
      <c r="ODC1" s="243"/>
      <c r="ODD1" s="243"/>
      <c r="ODE1" s="243"/>
      <c r="ODF1" s="243"/>
      <c r="ODG1" s="243"/>
      <c r="ODH1" s="243"/>
      <c r="ODI1" s="243"/>
      <c r="ODJ1" s="243"/>
      <c r="ODK1" s="243"/>
      <c r="ODL1" s="243"/>
      <c r="ODM1" s="243" t="s">
        <v>127</v>
      </c>
      <c r="ODN1" s="243"/>
      <c r="ODO1" s="243"/>
      <c r="ODP1" s="243"/>
      <c r="ODQ1" s="243"/>
      <c r="ODR1" s="243"/>
      <c r="ODS1" s="243"/>
      <c r="ODT1" s="243"/>
      <c r="ODU1" s="243"/>
      <c r="ODV1" s="243"/>
      <c r="ODW1" s="243"/>
      <c r="ODX1" s="243"/>
      <c r="ODY1" s="243"/>
      <c r="ODZ1" s="243"/>
      <c r="OEA1" s="243"/>
      <c r="OEB1" s="243"/>
      <c r="OEC1" s="243" t="s">
        <v>127</v>
      </c>
      <c r="OED1" s="243"/>
      <c r="OEE1" s="243"/>
      <c r="OEF1" s="243"/>
      <c r="OEG1" s="243"/>
      <c r="OEH1" s="243"/>
      <c r="OEI1" s="243"/>
      <c r="OEJ1" s="243"/>
      <c r="OEK1" s="243"/>
      <c r="OEL1" s="243"/>
      <c r="OEM1" s="243"/>
      <c r="OEN1" s="243"/>
      <c r="OEO1" s="243"/>
      <c r="OEP1" s="243"/>
      <c r="OEQ1" s="243"/>
      <c r="OER1" s="243"/>
      <c r="OES1" s="243" t="s">
        <v>127</v>
      </c>
      <c r="OET1" s="243"/>
      <c r="OEU1" s="243"/>
      <c r="OEV1" s="243"/>
      <c r="OEW1" s="243"/>
      <c r="OEX1" s="243"/>
      <c r="OEY1" s="243"/>
      <c r="OEZ1" s="243"/>
      <c r="OFA1" s="243"/>
      <c r="OFB1" s="243"/>
      <c r="OFC1" s="243"/>
      <c r="OFD1" s="243"/>
      <c r="OFE1" s="243"/>
      <c r="OFF1" s="243"/>
      <c r="OFG1" s="243"/>
      <c r="OFH1" s="243"/>
      <c r="OFI1" s="243" t="s">
        <v>127</v>
      </c>
      <c r="OFJ1" s="243"/>
      <c r="OFK1" s="243"/>
      <c r="OFL1" s="243"/>
      <c r="OFM1" s="243"/>
      <c r="OFN1" s="243"/>
      <c r="OFO1" s="243"/>
      <c r="OFP1" s="243"/>
      <c r="OFQ1" s="243"/>
      <c r="OFR1" s="243"/>
      <c r="OFS1" s="243"/>
      <c r="OFT1" s="243"/>
      <c r="OFU1" s="243"/>
      <c r="OFV1" s="243"/>
      <c r="OFW1" s="243"/>
      <c r="OFX1" s="243"/>
      <c r="OFY1" s="243" t="s">
        <v>127</v>
      </c>
      <c r="OFZ1" s="243"/>
      <c r="OGA1" s="243"/>
      <c r="OGB1" s="243"/>
      <c r="OGC1" s="243"/>
      <c r="OGD1" s="243"/>
      <c r="OGE1" s="243"/>
      <c r="OGF1" s="243"/>
      <c r="OGG1" s="243"/>
      <c r="OGH1" s="243"/>
      <c r="OGI1" s="243"/>
      <c r="OGJ1" s="243"/>
      <c r="OGK1" s="243"/>
      <c r="OGL1" s="243"/>
      <c r="OGM1" s="243"/>
      <c r="OGN1" s="243"/>
      <c r="OGO1" s="243" t="s">
        <v>127</v>
      </c>
      <c r="OGP1" s="243"/>
      <c r="OGQ1" s="243"/>
      <c r="OGR1" s="243"/>
      <c r="OGS1" s="243"/>
      <c r="OGT1" s="243"/>
      <c r="OGU1" s="243"/>
      <c r="OGV1" s="243"/>
      <c r="OGW1" s="243"/>
      <c r="OGX1" s="243"/>
      <c r="OGY1" s="243"/>
      <c r="OGZ1" s="243"/>
      <c r="OHA1" s="243"/>
      <c r="OHB1" s="243"/>
      <c r="OHC1" s="243"/>
      <c r="OHD1" s="243"/>
      <c r="OHE1" s="243" t="s">
        <v>127</v>
      </c>
      <c r="OHF1" s="243"/>
      <c r="OHG1" s="243"/>
      <c r="OHH1" s="243"/>
      <c r="OHI1" s="243"/>
      <c r="OHJ1" s="243"/>
      <c r="OHK1" s="243"/>
      <c r="OHL1" s="243"/>
      <c r="OHM1" s="243"/>
      <c r="OHN1" s="243"/>
      <c r="OHO1" s="243"/>
      <c r="OHP1" s="243"/>
      <c r="OHQ1" s="243"/>
      <c r="OHR1" s="243"/>
      <c r="OHS1" s="243"/>
      <c r="OHT1" s="243"/>
      <c r="OHU1" s="243" t="s">
        <v>127</v>
      </c>
      <c r="OHV1" s="243"/>
      <c r="OHW1" s="243"/>
      <c r="OHX1" s="243"/>
      <c r="OHY1" s="243"/>
      <c r="OHZ1" s="243"/>
      <c r="OIA1" s="243"/>
      <c r="OIB1" s="243"/>
      <c r="OIC1" s="243"/>
      <c r="OID1" s="243"/>
      <c r="OIE1" s="243"/>
      <c r="OIF1" s="243"/>
      <c r="OIG1" s="243"/>
      <c r="OIH1" s="243"/>
      <c r="OII1" s="243"/>
      <c r="OIJ1" s="243"/>
      <c r="OIK1" s="243" t="s">
        <v>127</v>
      </c>
      <c r="OIL1" s="243"/>
      <c r="OIM1" s="243"/>
      <c r="OIN1" s="243"/>
      <c r="OIO1" s="243"/>
      <c r="OIP1" s="243"/>
      <c r="OIQ1" s="243"/>
      <c r="OIR1" s="243"/>
      <c r="OIS1" s="243"/>
      <c r="OIT1" s="243"/>
      <c r="OIU1" s="243"/>
      <c r="OIV1" s="243"/>
      <c r="OIW1" s="243"/>
      <c r="OIX1" s="243"/>
      <c r="OIY1" s="243"/>
      <c r="OIZ1" s="243"/>
      <c r="OJA1" s="243" t="s">
        <v>127</v>
      </c>
      <c r="OJB1" s="243"/>
      <c r="OJC1" s="243"/>
      <c r="OJD1" s="243"/>
      <c r="OJE1" s="243"/>
      <c r="OJF1" s="243"/>
      <c r="OJG1" s="243"/>
      <c r="OJH1" s="243"/>
      <c r="OJI1" s="243"/>
      <c r="OJJ1" s="243"/>
      <c r="OJK1" s="243"/>
      <c r="OJL1" s="243"/>
      <c r="OJM1" s="243"/>
      <c r="OJN1" s="243"/>
      <c r="OJO1" s="243"/>
      <c r="OJP1" s="243"/>
      <c r="OJQ1" s="243" t="s">
        <v>127</v>
      </c>
      <c r="OJR1" s="243"/>
      <c r="OJS1" s="243"/>
      <c r="OJT1" s="243"/>
      <c r="OJU1" s="243"/>
      <c r="OJV1" s="243"/>
      <c r="OJW1" s="243"/>
      <c r="OJX1" s="243"/>
      <c r="OJY1" s="243"/>
      <c r="OJZ1" s="243"/>
      <c r="OKA1" s="243"/>
      <c r="OKB1" s="243"/>
      <c r="OKC1" s="243"/>
      <c r="OKD1" s="243"/>
      <c r="OKE1" s="243"/>
      <c r="OKF1" s="243"/>
      <c r="OKG1" s="243" t="s">
        <v>127</v>
      </c>
      <c r="OKH1" s="243"/>
      <c r="OKI1" s="243"/>
      <c r="OKJ1" s="243"/>
      <c r="OKK1" s="243"/>
      <c r="OKL1" s="243"/>
      <c r="OKM1" s="243"/>
      <c r="OKN1" s="243"/>
      <c r="OKO1" s="243"/>
      <c r="OKP1" s="243"/>
      <c r="OKQ1" s="243"/>
      <c r="OKR1" s="243"/>
      <c r="OKS1" s="243"/>
      <c r="OKT1" s="243"/>
      <c r="OKU1" s="243"/>
      <c r="OKV1" s="243"/>
      <c r="OKW1" s="243" t="s">
        <v>127</v>
      </c>
      <c r="OKX1" s="243"/>
      <c r="OKY1" s="243"/>
      <c r="OKZ1" s="243"/>
      <c r="OLA1" s="243"/>
      <c r="OLB1" s="243"/>
      <c r="OLC1" s="243"/>
      <c r="OLD1" s="243"/>
      <c r="OLE1" s="243"/>
      <c r="OLF1" s="243"/>
      <c r="OLG1" s="243"/>
      <c r="OLH1" s="243"/>
      <c r="OLI1" s="243"/>
      <c r="OLJ1" s="243"/>
      <c r="OLK1" s="243"/>
      <c r="OLL1" s="243"/>
      <c r="OLM1" s="243" t="s">
        <v>127</v>
      </c>
      <c r="OLN1" s="243"/>
      <c r="OLO1" s="243"/>
      <c r="OLP1" s="243"/>
      <c r="OLQ1" s="243"/>
      <c r="OLR1" s="243"/>
      <c r="OLS1" s="243"/>
      <c r="OLT1" s="243"/>
      <c r="OLU1" s="243"/>
      <c r="OLV1" s="243"/>
      <c r="OLW1" s="243"/>
      <c r="OLX1" s="243"/>
      <c r="OLY1" s="243"/>
      <c r="OLZ1" s="243"/>
      <c r="OMA1" s="243"/>
      <c r="OMB1" s="243"/>
      <c r="OMC1" s="243" t="s">
        <v>127</v>
      </c>
      <c r="OMD1" s="243"/>
      <c r="OME1" s="243"/>
      <c r="OMF1" s="243"/>
      <c r="OMG1" s="243"/>
      <c r="OMH1" s="243"/>
      <c r="OMI1" s="243"/>
      <c r="OMJ1" s="243"/>
      <c r="OMK1" s="243"/>
      <c r="OML1" s="243"/>
      <c r="OMM1" s="243"/>
      <c r="OMN1" s="243"/>
      <c r="OMO1" s="243"/>
      <c r="OMP1" s="243"/>
      <c r="OMQ1" s="243"/>
      <c r="OMR1" s="243"/>
      <c r="OMS1" s="243" t="s">
        <v>127</v>
      </c>
      <c r="OMT1" s="243"/>
      <c r="OMU1" s="243"/>
      <c r="OMV1" s="243"/>
      <c r="OMW1" s="243"/>
      <c r="OMX1" s="243"/>
      <c r="OMY1" s="243"/>
      <c r="OMZ1" s="243"/>
      <c r="ONA1" s="243"/>
      <c r="ONB1" s="243"/>
      <c r="ONC1" s="243"/>
      <c r="OND1" s="243"/>
      <c r="ONE1" s="243"/>
      <c r="ONF1" s="243"/>
      <c r="ONG1" s="243"/>
      <c r="ONH1" s="243"/>
      <c r="ONI1" s="243" t="s">
        <v>127</v>
      </c>
      <c r="ONJ1" s="243"/>
      <c r="ONK1" s="243"/>
      <c r="ONL1" s="243"/>
      <c r="ONM1" s="243"/>
      <c r="ONN1" s="243"/>
      <c r="ONO1" s="243"/>
      <c r="ONP1" s="243"/>
      <c r="ONQ1" s="243"/>
      <c r="ONR1" s="243"/>
      <c r="ONS1" s="243"/>
      <c r="ONT1" s="243"/>
      <c r="ONU1" s="243"/>
      <c r="ONV1" s="243"/>
      <c r="ONW1" s="243"/>
      <c r="ONX1" s="243"/>
      <c r="ONY1" s="243" t="s">
        <v>127</v>
      </c>
      <c r="ONZ1" s="243"/>
      <c r="OOA1" s="243"/>
      <c r="OOB1" s="243"/>
      <c r="OOC1" s="243"/>
      <c r="OOD1" s="243"/>
      <c r="OOE1" s="243"/>
      <c r="OOF1" s="243"/>
      <c r="OOG1" s="243"/>
      <c r="OOH1" s="243"/>
      <c r="OOI1" s="243"/>
      <c r="OOJ1" s="243"/>
      <c r="OOK1" s="243"/>
      <c r="OOL1" s="243"/>
      <c r="OOM1" s="243"/>
      <c r="OON1" s="243"/>
      <c r="OOO1" s="243" t="s">
        <v>127</v>
      </c>
      <c r="OOP1" s="243"/>
      <c r="OOQ1" s="243"/>
      <c r="OOR1" s="243"/>
      <c r="OOS1" s="243"/>
      <c r="OOT1" s="243"/>
      <c r="OOU1" s="243"/>
      <c r="OOV1" s="243"/>
      <c r="OOW1" s="243"/>
      <c r="OOX1" s="243"/>
      <c r="OOY1" s="243"/>
      <c r="OOZ1" s="243"/>
      <c r="OPA1" s="243"/>
      <c r="OPB1" s="243"/>
      <c r="OPC1" s="243"/>
      <c r="OPD1" s="243"/>
      <c r="OPE1" s="243" t="s">
        <v>127</v>
      </c>
      <c r="OPF1" s="243"/>
      <c r="OPG1" s="243"/>
      <c r="OPH1" s="243"/>
      <c r="OPI1" s="243"/>
      <c r="OPJ1" s="243"/>
      <c r="OPK1" s="243"/>
      <c r="OPL1" s="243"/>
      <c r="OPM1" s="243"/>
      <c r="OPN1" s="243"/>
      <c r="OPO1" s="243"/>
      <c r="OPP1" s="243"/>
      <c r="OPQ1" s="243"/>
      <c r="OPR1" s="243"/>
      <c r="OPS1" s="243"/>
      <c r="OPT1" s="243"/>
      <c r="OPU1" s="243" t="s">
        <v>127</v>
      </c>
      <c r="OPV1" s="243"/>
      <c r="OPW1" s="243"/>
      <c r="OPX1" s="243"/>
      <c r="OPY1" s="243"/>
      <c r="OPZ1" s="243"/>
      <c r="OQA1" s="243"/>
      <c r="OQB1" s="243"/>
      <c r="OQC1" s="243"/>
      <c r="OQD1" s="243"/>
      <c r="OQE1" s="243"/>
      <c r="OQF1" s="243"/>
      <c r="OQG1" s="243"/>
      <c r="OQH1" s="243"/>
      <c r="OQI1" s="243"/>
      <c r="OQJ1" s="243"/>
      <c r="OQK1" s="243" t="s">
        <v>127</v>
      </c>
      <c r="OQL1" s="243"/>
      <c r="OQM1" s="243"/>
      <c r="OQN1" s="243"/>
      <c r="OQO1" s="243"/>
      <c r="OQP1" s="243"/>
      <c r="OQQ1" s="243"/>
      <c r="OQR1" s="243"/>
      <c r="OQS1" s="243"/>
      <c r="OQT1" s="243"/>
      <c r="OQU1" s="243"/>
      <c r="OQV1" s="243"/>
      <c r="OQW1" s="243"/>
      <c r="OQX1" s="243"/>
      <c r="OQY1" s="243"/>
      <c r="OQZ1" s="243"/>
      <c r="ORA1" s="243" t="s">
        <v>127</v>
      </c>
      <c r="ORB1" s="243"/>
      <c r="ORC1" s="243"/>
      <c r="ORD1" s="243"/>
      <c r="ORE1" s="243"/>
      <c r="ORF1" s="243"/>
      <c r="ORG1" s="243"/>
      <c r="ORH1" s="243"/>
      <c r="ORI1" s="243"/>
      <c r="ORJ1" s="243"/>
      <c r="ORK1" s="243"/>
      <c r="ORL1" s="243"/>
      <c r="ORM1" s="243"/>
      <c r="ORN1" s="243"/>
      <c r="ORO1" s="243"/>
      <c r="ORP1" s="243"/>
      <c r="ORQ1" s="243" t="s">
        <v>127</v>
      </c>
      <c r="ORR1" s="243"/>
      <c r="ORS1" s="243"/>
      <c r="ORT1" s="243"/>
      <c r="ORU1" s="243"/>
      <c r="ORV1" s="243"/>
      <c r="ORW1" s="243"/>
      <c r="ORX1" s="243"/>
      <c r="ORY1" s="243"/>
      <c r="ORZ1" s="243"/>
      <c r="OSA1" s="243"/>
      <c r="OSB1" s="243"/>
      <c r="OSC1" s="243"/>
      <c r="OSD1" s="243"/>
      <c r="OSE1" s="243"/>
      <c r="OSF1" s="243"/>
      <c r="OSG1" s="243" t="s">
        <v>127</v>
      </c>
      <c r="OSH1" s="243"/>
      <c r="OSI1" s="243"/>
      <c r="OSJ1" s="243"/>
      <c r="OSK1" s="243"/>
      <c r="OSL1" s="243"/>
      <c r="OSM1" s="243"/>
      <c r="OSN1" s="243"/>
      <c r="OSO1" s="243"/>
      <c r="OSP1" s="243"/>
      <c r="OSQ1" s="243"/>
      <c r="OSR1" s="243"/>
      <c r="OSS1" s="243"/>
      <c r="OST1" s="243"/>
      <c r="OSU1" s="243"/>
      <c r="OSV1" s="243"/>
      <c r="OSW1" s="243" t="s">
        <v>127</v>
      </c>
      <c r="OSX1" s="243"/>
      <c r="OSY1" s="243"/>
      <c r="OSZ1" s="243"/>
      <c r="OTA1" s="243"/>
      <c r="OTB1" s="243"/>
      <c r="OTC1" s="243"/>
      <c r="OTD1" s="243"/>
      <c r="OTE1" s="243"/>
      <c r="OTF1" s="243"/>
      <c r="OTG1" s="243"/>
      <c r="OTH1" s="243"/>
      <c r="OTI1" s="243"/>
      <c r="OTJ1" s="243"/>
      <c r="OTK1" s="243"/>
      <c r="OTL1" s="243"/>
      <c r="OTM1" s="243" t="s">
        <v>127</v>
      </c>
      <c r="OTN1" s="243"/>
      <c r="OTO1" s="243"/>
      <c r="OTP1" s="243"/>
      <c r="OTQ1" s="243"/>
      <c r="OTR1" s="243"/>
      <c r="OTS1" s="243"/>
      <c r="OTT1" s="243"/>
      <c r="OTU1" s="243"/>
      <c r="OTV1" s="243"/>
      <c r="OTW1" s="243"/>
      <c r="OTX1" s="243"/>
      <c r="OTY1" s="243"/>
      <c r="OTZ1" s="243"/>
      <c r="OUA1" s="243"/>
      <c r="OUB1" s="243"/>
      <c r="OUC1" s="243" t="s">
        <v>127</v>
      </c>
      <c r="OUD1" s="243"/>
      <c r="OUE1" s="243"/>
      <c r="OUF1" s="243"/>
      <c r="OUG1" s="243"/>
      <c r="OUH1" s="243"/>
      <c r="OUI1" s="243"/>
      <c r="OUJ1" s="243"/>
      <c r="OUK1" s="243"/>
      <c r="OUL1" s="243"/>
      <c r="OUM1" s="243"/>
      <c r="OUN1" s="243"/>
      <c r="OUO1" s="243"/>
      <c r="OUP1" s="243"/>
      <c r="OUQ1" s="243"/>
      <c r="OUR1" s="243"/>
      <c r="OUS1" s="243" t="s">
        <v>127</v>
      </c>
      <c r="OUT1" s="243"/>
      <c r="OUU1" s="243"/>
      <c r="OUV1" s="243"/>
      <c r="OUW1" s="243"/>
      <c r="OUX1" s="243"/>
      <c r="OUY1" s="243"/>
      <c r="OUZ1" s="243"/>
      <c r="OVA1" s="243"/>
      <c r="OVB1" s="243"/>
      <c r="OVC1" s="243"/>
      <c r="OVD1" s="243"/>
      <c r="OVE1" s="243"/>
      <c r="OVF1" s="243"/>
      <c r="OVG1" s="243"/>
      <c r="OVH1" s="243"/>
      <c r="OVI1" s="243" t="s">
        <v>127</v>
      </c>
      <c r="OVJ1" s="243"/>
      <c r="OVK1" s="243"/>
      <c r="OVL1" s="243"/>
      <c r="OVM1" s="243"/>
      <c r="OVN1" s="243"/>
      <c r="OVO1" s="243"/>
      <c r="OVP1" s="243"/>
      <c r="OVQ1" s="243"/>
      <c r="OVR1" s="243"/>
      <c r="OVS1" s="243"/>
      <c r="OVT1" s="243"/>
      <c r="OVU1" s="243"/>
      <c r="OVV1" s="243"/>
      <c r="OVW1" s="243"/>
      <c r="OVX1" s="243"/>
      <c r="OVY1" s="243" t="s">
        <v>127</v>
      </c>
      <c r="OVZ1" s="243"/>
      <c r="OWA1" s="243"/>
      <c r="OWB1" s="243"/>
      <c r="OWC1" s="243"/>
      <c r="OWD1" s="243"/>
      <c r="OWE1" s="243"/>
      <c r="OWF1" s="243"/>
      <c r="OWG1" s="243"/>
      <c r="OWH1" s="243"/>
      <c r="OWI1" s="243"/>
      <c r="OWJ1" s="243"/>
      <c r="OWK1" s="243"/>
      <c r="OWL1" s="243"/>
      <c r="OWM1" s="243"/>
      <c r="OWN1" s="243"/>
      <c r="OWO1" s="243" t="s">
        <v>127</v>
      </c>
      <c r="OWP1" s="243"/>
      <c r="OWQ1" s="243"/>
      <c r="OWR1" s="243"/>
      <c r="OWS1" s="243"/>
      <c r="OWT1" s="243"/>
      <c r="OWU1" s="243"/>
      <c r="OWV1" s="243"/>
      <c r="OWW1" s="243"/>
      <c r="OWX1" s="243"/>
      <c r="OWY1" s="243"/>
      <c r="OWZ1" s="243"/>
      <c r="OXA1" s="243"/>
      <c r="OXB1" s="243"/>
      <c r="OXC1" s="243"/>
      <c r="OXD1" s="243"/>
      <c r="OXE1" s="243" t="s">
        <v>127</v>
      </c>
      <c r="OXF1" s="243"/>
      <c r="OXG1" s="243"/>
      <c r="OXH1" s="243"/>
      <c r="OXI1" s="243"/>
      <c r="OXJ1" s="243"/>
      <c r="OXK1" s="243"/>
      <c r="OXL1" s="243"/>
      <c r="OXM1" s="243"/>
      <c r="OXN1" s="243"/>
      <c r="OXO1" s="243"/>
      <c r="OXP1" s="243"/>
      <c r="OXQ1" s="243"/>
      <c r="OXR1" s="243"/>
      <c r="OXS1" s="243"/>
      <c r="OXT1" s="243"/>
      <c r="OXU1" s="243" t="s">
        <v>127</v>
      </c>
      <c r="OXV1" s="243"/>
      <c r="OXW1" s="243"/>
      <c r="OXX1" s="243"/>
      <c r="OXY1" s="243"/>
      <c r="OXZ1" s="243"/>
      <c r="OYA1" s="243"/>
      <c r="OYB1" s="243"/>
      <c r="OYC1" s="243"/>
      <c r="OYD1" s="243"/>
      <c r="OYE1" s="243"/>
      <c r="OYF1" s="243"/>
      <c r="OYG1" s="243"/>
      <c r="OYH1" s="243"/>
      <c r="OYI1" s="243"/>
      <c r="OYJ1" s="243"/>
      <c r="OYK1" s="243" t="s">
        <v>127</v>
      </c>
      <c r="OYL1" s="243"/>
      <c r="OYM1" s="243"/>
      <c r="OYN1" s="243"/>
      <c r="OYO1" s="243"/>
      <c r="OYP1" s="243"/>
      <c r="OYQ1" s="243"/>
      <c r="OYR1" s="243"/>
      <c r="OYS1" s="243"/>
      <c r="OYT1" s="243"/>
      <c r="OYU1" s="243"/>
      <c r="OYV1" s="243"/>
      <c r="OYW1" s="243"/>
      <c r="OYX1" s="243"/>
      <c r="OYY1" s="243"/>
      <c r="OYZ1" s="243"/>
      <c r="OZA1" s="243" t="s">
        <v>127</v>
      </c>
      <c r="OZB1" s="243"/>
      <c r="OZC1" s="243"/>
      <c r="OZD1" s="243"/>
      <c r="OZE1" s="243"/>
      <c r="OZF1" s="243"/>
      <c r="OZG1" s="243"/>
      <c r="OZH1" s="243"/>
      <c r="OZI1" s="243"/>
      <c r="OZJ1" s="243"/>
      <c r="OZK1" s="243"/>
      <c r="OZL1" s="243"/>
      <c r="OZM1" s="243"/>
      <c r="OZN1" s="243"/>
      <c r="OZO1" s="243"/>
      <c r="OZP1" s="243"/>
      <c r="OZQ1" s="243" t="s">
        <v>127</v>
      </c>
      <c r="OZR1" s="243"/>
      <c r="OZS1" s="243"/>
      <c r="OZT1" s="243"/>
      <c r="OZU1" s="243"/>
      <c r="OZV1" s="243"/>
      <c r="OZW1" s="243"/>
      <c r="OZX1" s="243"/>
      <c r="OZY1" s="243"/>
      <c r="OZZ1" s="243"/>
      <c r="PAA1" s="243"/>
      <c r="PAB1" s="243"/>
      <c r="PAC1" s="243"/>
      <c r="PAD1" s="243"/>
      <c r="PAE1" s="243"/>
      <c r="PAF1" s="243"/>
      <c r="PAG1" s="243" t="s">
        <v>127</v>
      </c>
      <c r="PAH1" s="243"/>
      <c r="PAI1" s="243"/>
      <c r="PAJ1" s="243"/>
      <c r="PAK1" s="243"/>
      <c r="PAL1" s="243"/>
      <c r="PAM1" s="243"/>
      <c r="PAN1" s="243"/>
      <c r="PAO1" s="243"/>
      <c r="PAP1" s="243"/>
      <c r="PAQ1" s="243"/>
      <c r="PAR1" s="243"/>
      <c r="PAS1" s="243"/>
      <c r="PAT1" s="243"/>
      <c r="PAU1" s="243"/>
      <c r="PAV1" s="243"/>
      <c r="PAW1" s="243" t="s">
        <v>127</v>
      </c>
      <c r="PAX1" s="243"/>
      <c r="PAY1" s="243"/>
      <c r="PAZ1" s="243"/>
      <c r="PBA1" s="243"/>
      <c r="PBB1" s="243"/>
      <c r="PBC1" s="243"/>
      <c r="PBD1" s="243"/>
      <c r="PBE1" s="243"/>
      <c r="PBF1" s="243"/>
      <c r="PBG1" s="243"/>
      <c r="PBH1" s="243"/>
      <c r="PBI1" s="243"/>
      <c r="PBJ1" s="243"/>
      <c r="PBK1" s="243"/>
      <c r="PBL1" s="243"/>
      <c r="PBM1" s="243" t="s">
        <v>127</v>
      </c>
      <c r="PBN1" s="243"/>
      <c r="PBO1" s="243"/>
      <c r="PBP1" s="243"/>
      <c r="PBQ1" s="243"/>
      <c r="PBR1" s="243"/>
      <c r="PBS1" s="243"/>
      <c r="PBT1" s="243"/>
      <c r="PBU1" s="243"/>
      <c r="PBV1" s="243"/>
      <c r="PBW1" s="243"/>
      <c r="PBX1" s="243"/>
      <c r="PBY1" s="243"/>
      <c r="PBZ1" s="243"/>
      <c r="PCA1" s="243"/>
      <c r="PCB1" s="243"/>
      <c r="PCC1" s="243" t="s">
        <v>127</v>
      </c>
      <c r="PCD1" s="243"/>
      <c r="PCE1" s="243"/>
      <c r="PCF1" s="243"/>
      <c r="PCG1" s="243"/>
      <c r="PCH1" s="243"/>
      <c r="PCI1" s="243"/>
      <c r="PCJ1" s="243"/>
      <c r="PCK1" s="243"/>
      <c r="PCL1" s="243"/>
      <c r="PCM1" s="243"/>
      <c r="PCN1" s="243"/>
      <c r="PCO1" s="243"/>
      <c r="PCP1" s="243"/>
      <c r="PCQ1" s="243"/>
      <c r="PCR1" s="243"/>
      <c r="PCS1" s="243" t="s">
        <v>127</v>
      </c>
      <c r="PCT1" s="243"/>
      <c r="PCU1" s="243"/>
      <c r="PCV1" s="243"/>
      <c r="PCW1" s="243"/>
      <c r="PCX1" s="243"/>
      <c r="PCY1" s="243"/>
      <c r="PCZ1" s="243"/>
      <c r="PDA1" s="243"/>
      <c r="PDB1" s="243"/>
      <c r="PDC1" s="243"/>
      <c r="PDD1" s="243"/>
      <c r="PDE1" s="243"/>
      <c r="PDF1" s="243"/>
      <c r="PDG1" s="243"/>
      <c r="PDH1" s="243"/>
      <c r="PDI1" s="243" t="s">
        <v>127</v>
      </c>
      <c r="PDJ1" s="243"/>
      <c r="PDK1" s="243"/>
      <c r="PDL1" s="243"/>
      <c r="PDM1" s="243"/>
      <c r="PDN1" s="243"/>
      <c r="PDO1" s="243"/>
      <c r="PDP1" s="243"/>
      <c r="PDQ1" s="243"/>
      <c r="PDR1" s="243"/>
      <c r="PDS1" s="243"/>
      <c r="PDT1" s="243"/>
      <c r="PDU1" s="243"/>
      <c r="PDV1" s="243"/>
      <c r="PDW1" s="243"/>
      <c r="PDX1" s="243"/>
      <c r="PDY1" s="243" t="s">
        <v>127</v>
      </c>
      <c r="PDZ1" s="243"/>
      <c r="PEA1" s="243"/>
      <c r="PEB1" s="243"/>
      <c r="PEC1" s="243"/>
      <c r="PED1" s="243"/>
      <c r="PEE1" s="243"/>
      <c r="PEF1" s="243"/>
      <c r="PEG1" s="243"/>
      <c r="PEH1" s="243"/>
      <c r="PEI1" s="243"/>
      <c r="PEJ1" s="243"/>
      <c r="PEK1" s="243"/>
      <c r="PEL1" s="243"/>
      <c r="PEM1" s="243"/>
      <c r="PEN1" s="243"/>
      <c r="PEO1" s="243" t="s">
        <v>127</v>
      </c>
      <c r="PEP1" s="243"/>
      <c r="PEQ1" s="243"/>
      <c r="PER1" s="243"/>
      <c r="PES1" s="243"/>
      <c r="PET1" s="243"/>
      <c r="PEU1" s="243"/>
      <c r="PEV1" s="243"/>
      <c r="PEW1" s="243"/>
      <c r="PEX1" s="243"/>
      <c r="PEY1" s="243"/>
      <c r="PEZ1" s="243"/>
      <c r="PFA1" s="243"/>
      <c r="PFB1" s="243"/>
      <c r="PFC1" s="243"/>
      <c r="PFD1" s="243"/>
      <c r="PFE1" s="243" t="s">
        <v>127</v>
      </c>
      <c r="PFF1" s="243"/>
      <c r="PFG1" s="243"/>
      <c r="PFH1" s="243"/>
      <c r="PFI1" s="243"/>
      <c r="PFJ1" s="243"/>
      <c r="PFK1" s="243"/>
      <c r="PFL1" s="243"/>
      <c r="PFM1" s="243"/>
      <c r="PFN1" s="243"/>
      <c r="PFO1" s="243"/>
      <c r="PFP1" s="243"/>
      <c r="PFQ1" s="243"/>
      <c r="PFR1" s="243"/>
      <c r="PFS1" s="243"/>
      <c r="PFT1" s="243"/>
      <c r="PFU1" s="243" t="s">
        <v>127</v>
      </c>
      <c r="PFV1" s="243"/>
      <c r="PFW1" s="243"/>
      <c r="PFX1" s="243"/>
      <c r="PFY1" s="243"/>
      <c r="PFZ1" s="243"/>
      <c r="PGA1" s="243"/>
      <c r="PGB1" s="243"/>
      <c r="PGC1" s="243"/>
      <c r="PGD1" s="243"/>
      <c r="PGE1" s="243"/>
      <c r="PGF1" s="243"/>
      <c r="PGG1" s="243"/>
      <c r="PGH1" s="243"/>
      <c r="PGI1" s="243"/>
      <c r="PGJ1" s="243"/>
      <c r="PGK1" s="243" t="s">
        <v>127</v>
      </c>
      <c r="PGL1" s="243"/>
      <c r="PGM1" s="243"/>
      <c r="PGN1" s="243"/>
      <c r="PGO1" s="243"/>
      <c r="PGP1" s="243"/>
      <c r="PGQ1" s="243"/>
      <c r="PGR1" s="243"/>
      <c r="PGS1" s="243"/>
      <c r="PGT1" s="243"/>
      <c r="PGU1" s="243"/>
      <c r="PGV1" s="243"/>
      <c r="PGW1" s="243"/>
      <c r="PGX1" s="243"/>
      <c r="PGY1" s="243"/>
      <c r="PGZ1" s="243"/>
      <c r="PHA1" s="243" t="s">
        <v>127</v>
      </c>
      <c r="PHB1" s="243"/>
      <c r="PHC1" s="243"/>
      <c r="PHD1" s="243"/>
      <c r="PHE1" s="243"/>
      <c r="PHF1" s="243"/>
      <c r="PHG1" s="243"/>
      <c r="PHH1" s="243"/>
      <c r="PHI1" s="243"/>
      <c r="PHJ1" s="243"/>
      <c r="PHK1" s="243"/>
      <c r="PHL1" s="243"/>
      <c r="PHM1" s="243"/>
      <c r="PHN1" s="243"/>
      <c r="PHO1" s="243"/>
      <c r="PHP1" s="243"/>
      <c r="PHQ1" s="243" t="s">
        <v>127</v>
      </c>
      <c r="PHR1" s="243"/>
      <c r="PHS1" s="243"/>
      <c r="PHT1" s="243"/>
      <c r="PHU1" s="243"/>
      <c r="PHV1" s="243"/>
      <c r="PHW1" s="243"/>
      <c r="PHX1" s="243"/>
      <c r="PHY1" s="243"/>
      <c r="PHZ1" s="243"/>
      <c r="PIA1" s="243"/>
      <c r="PIB1" s="243"/>
      <c r="PIC1" s="243"/>
      <c r="PID1" s="243"/>
      <c r="PIE1" s="243"/>
      <c r="PIF1" s="243"/>
      <c r="PIG1" s="243" t="s">
        <v>127</v>
      </c>
      <c r="PIH1" s="243"/>
      <c r="PII1" s="243"/>
      <c r="PIJ1" s="243"/>
      <c r="PIK1" s="243"/>
      <c r="PIL1" s="243"/>
      <c r="PIM1" s="243"/>
      <c r="PIN1" s="243"/>
      <c r="PIO1" s="243"/>
      <c r="PIP1" s="243"/>
      <c r="PIQ1" s="243"/>
      <c r="PIR1" s="243"/>
      <c r="PIS1" s="243"/>
      <c r="PIT1" s="243"/>
      <c r="PIU1" s="243"/>
      <c r="PIV1" s="243"/>
      <c r="PIW1" s="243" t="s">
        <v>127</v>
      </c>
      <c r="PIX1" s="243"/>
      <c r="PIY1" s="243"/>
      <c r="PIZ1" s="243"/>
      <c r="PJA1" s="243"/>
      <c r="PJB1" s="243"/>
      <c r="PJC1" s="243"/>
      <c r="PJD1" s="243"/>
      <c r="PJE1" s="243"/>
      <c r="PJF1" s="243"/>
      <c r="PJG1" s="243"/>
      <c r="PJH1" s="243"/>
      <c r="PJI1" s="243"/>
      <c r="PJJ1" s="243"/>
      <c r="PJK1" s="243"/>
      <c r="PJL1" s="243"/>
      <c r="PJM1" s="243" t="s">
        <v>127</v>
      </c>
      <c r="PJN1" s="243"/>
      <c r="PJO1" s="243"/>
      <c r="PJP1" s="243"/>
      <c r="PJQ1" s="243"/>
      <c r="PJR1" s="243"/>
      <c r="PJS1" s="243"/>
      <c r="PJT1" s="243"/>
      <c r="PJU1" s="243"/>
      <c r="PJV1" s="243"/>
      <c r="PJW1" s="243"/>
      <c r="PJX1" s="243"/>
      <c r="PJY1" s="243"/>
      <c r="PJZ1" s="243"/>
      <c r="PKA1" s="243"/>
      <c r="PKB1" s="243"/>
      <c r="PKC1" s="243" t="s">
        <v>127</v>
      </c>
      <c r="PKD1" s="243"/>
      <c r="PKE1" s="243"/>
      <c r="PKF1" s="243"/>
      <c r="PKG1" s="243"/>
      <c r="PKH1" s="243"/>
      <c r="PKI1" s="243"/>
      <c r="PKJ1" s="243"/>
      <c r="PKK1" s="243"/>
      <c r="PKL1" s="243"/>
      <c r="PKM1" s="243"/>
      <c r="PKN1" s="243"/>
      <c r="PKO1" s="243"/>
      <c r="PKP1" s="243"/>
      <c r="PKQ1" s="243"/>
      <c r="PKR1" s="243"/>
      <c r="PKS1" s="243" t="s">
        <v>127</v>
      </c>
      <c r="PKT1" s="243"/>
      <c r="PKU1" s="243"/>
      <c r="PKV1" s="243"/>
      <c r="PKW1" s="243"/>
      <c r="PKX1" s="243"/>
      <c r="PKY1" s="243"/>
      <c r="PKZ1" s="243"/>
      <c r="PLA1" s="243"/>
      <c r="PLB1" s="243"/>
      <c r="PLC1" s="243"/>
      <c r="PLD1" s="243"/>
      <c r="PLE1" s="243"/>
      <c r="PLF1" s="243"/>
      <c r="PLG1" s="243"/>
      <c r="PLH1" s="243"/>
      <c r="PLI1" s="243" t="s">
        <v>127</v>
      </c>
      <c r="PLJ1" s="243"/>
      <c r="PLK1" s="243"/>
      <c r="PLL1" s="243"/>
      <c r="PLM1" s="243"/>
      <c r="PLN1" s="243"/>
      <c r="PLO1" s="243"/>
      <c r="PLP1" s="243"/>
      <c r="PLQ1" s="243"/>
      <c r="PLR1" s="243"/>
      <c r="PLS1" s="243"/>
      <c r="PLT1" s="243"/>
      <c r="PLU1" s="243"/>
      <c r="PLV1" s="243"/>
      <c r="PLW1" s="243"/>
      <c r="PLX1" s="243"/>
      <c r="PLY1" s="243" t="s">
        <v>127</v>
      </c>
      <c r="PLZ1" s="243"/>
      <c r="PMA1" s="243"/>
      <c r="PMB1" s="243"/>
      <c r="PMC1" s="243"/>
      <c r="PMD1" s="243"/>
      <c r="PME1" s="243"/>
      <c r="PMF1" s="243"/>
      <c r="PMG1" s="243"/>
      <c r="PMH1" s="243"/>
      <c r="PMI1" s="243"/>
      <c r="PMJ1" s="243"/>
      <c r="PMK1" s="243"/>
      <c r="PML1" s="243"/>
      <c r="PMM1" s="243"/>
      <c r="PMN1" s="243"/>
      <c r="PMO1" s="243" t="s">
        <v>127</v>
      </c>
      <c r="PMP1" s="243"/>
      <c r="PMQ1" s="243"/>
      <c r="PMR1" s="243"/>
      <c r="PMS1" s="243"/>
      <c r="PMT1" s="243"/>
      <c r="PMU1" s="243"/>
      <c r="PMV1" s="243"/>
      <c r="PMW1" s="243"/>
      <c r="PMX1" s="243"/>
      <c r="PMY1" s="243"/>
      <c r="PMZ1" s="243"/>
      <c r="PNA1" s="243"/>
      <c r="PNB1" s="243"/>
      <c r="PNC1" s="243"/>
      <c r="PND1" s="243"/>
      <c r="PNE1" s="243" t="s">
        <v>127</v>
      </c>
      <c r="PNF1" s="243"/>
      <c r="PNG1" s="243"/>
      <c r="PNH1" s="243"/>
      <c r="PNI1" s="243"/>
      <c r="PNJ1" s="243"/>
      <c r="PNK1" s="243"/>
      <c r="PNL1" s="243"/>
      <c r="PNM1" s="243"/>
      <c r="PNN1" s="243"/>
      <c r="PNO1" s="243"/>
      <c r="PNP1" s="243"/>
      <c r="PNQ1" s="243"/>
      <c r="PNR1" s="243"/>
      <c r="PNS1" s="243"/>
      <c r="PNT1" s="243"/>
      <c r="PNU1" s="243" t="s">
        <v>127</v>
      </c>
      <c r="PNV1" s="243"/>
      <c r="PNW1" s="243"/>
      <c r="PNX1" s="243"/>
      <c r="PNY1" s="243"/>
      <c r="PNZ1" s="243"/>
      <c r="POA1" s="243"/>
      <c r="POB1" s="243"/>
      <c r="POC1" s="243"/>
      <c r="POD1" s="243"/>
      <c r="POE1" s="243"/>
      <c r="POF1" s="243"/>
      <c r="POG1" s="243"/>
      <c r="POH1" s="243"/>
      <c r="POI1" s="243"/>
      <c r="POJ1" s="243"/>
      <c r="POK1" s="243" t="s">
        <v>127</v>
      </c>
      <c r="POL1" s="243"/>
      <c r="POM1" s="243"/>
      <c r="PON1" s="243"/>
      <c r="POO1" s="243"/>
      <c r="POP1" s="243"/>
      <c r="POQ1" s="243"/>
      <c r="POR1" s="243"/>
      <c r="POS1" s="243"/>
      <c r="POT1" s="243"/>
      <c r="POU1" s="243"/>
      <c r="POV1" s="243"/>
      <c r="POW1" s="243"/>
      <c r="POX1" s="243"/>
      <c r="POY1" s="243"/>
      <c r="POZ1" s="243"/>
      <c r="PPA1" s="243" t="s">
        <v>127</v>
      </c>
      <c r="PPB1" s="243"/>
      <c r="PPC1" s="243"/>
      <c r="PPD1" s="243"/>
      <c r="PPE1" s="243"/>
      <c r="PPF1" s="243"/>
      <c r="PPG1" s="243"/>
      <c r="PPH1" s="243"/>
      <c r="PPI1" s="243"/>
      <c r="PPJ1" s="243"/>
      <c r="PPK1" s="243"/>
      <c r="PPL1" s="243"/>
      <c r="PPM1" s="243"/>
      <c r="PPN1" s="243"/>
      <c r="PPO1" s="243"/>
      <c r="PPP1" s="243"/>
      <c r="PPQ1" s="243" t="s">
        <v>127</v>
      </c>
      <c r="PPR1" s="243"/>
      <c r="PPS1" s="243"/>
      <c r="PPT1" s="243"/>
      <c r="PPU1" s="243"/>
      <c r="PPV1" s="243"/>
      <c r="PPW1" s="243"/>
      <c r="PPX1" s="243"/>
      <c r="PPY1" s="243"/>
      <c r="PPZ1" s="243"/>
      <c r="PQA1" s="243"/>
      <c r="PQB1" s="243"/>
      <c r="PQC1" s="243"/>
      <c r="PQD1" s="243"/>
      <c r="PQE1" s="243"/>
      <c r="PQF1" s="243"/>
      <c r="PQG1" s="243" t="s">
        <v>127</v>
      </c>
      <c r="PQH1" s="243"/>
      <c r="PQI1" s="243"/>
      <c r="PQJ1" s="243"/>
      <c r="PQK1" s="243"/>
      <c r="PQL1" s="243"/>
      <c r="PQM1" s="243"/>
      <c r="PQN1" s="243"/>
      <c r="PQO1" s="243"/>
      <c r="PQP1" s="243"/>
      <c r="PQQ1" s="243"/>
      <c r="PQR1" s="243"/>
      <c r="PQS1" s="243"/>
      <c r="PQT1" s="243"/>
      <c r="PQU1" s="243"/>
      <c r="PQV1" s="243"/>
      <c r="PQW1" s="243" t="s">
        <v>127</v>
      </c>
      <c r="PQX1" s="243"/>
      <c r="PQY1" s="243"/>
      <c r="PQZ1" s="243"/>
      <c r="PRA1" s="243"/>
      <c r="PRB1" s="243"/>
      <c r="PRC1" s="243"/>
      <c r="PRD1" s="243"/>
      <c r="PRE1" s="243"/>
      <c r="PRF1" s="243"/>
      <c r="PRG1" s="243"/>
      <c r="PRH1" s="243"/>
      <c r="PRI1" s="243"/>
      <c r="PRJ1" s="243"/>
      <c r="PRK1" s="243"/>
      <c r="PRL1" s="243"/>
      <c r="PRM1" s="243" t="s">
        <v>127</v>
      </c>
      <c r="PRN1" s="243"/>
      <c r="PRO1" s="243"/>
      <c r="PRP1" s="243"/>
      <c r="PRQ1" s="243"/>
      <c r="PRR1" s="243"/>
      <c r="PRS1" s="243"/>
      <c r="PRT1" s="243"/>
      <c r="PRU1" s="243"/>
      <c r="PRV1" s="243"/>
      <c r="PRW1" s="243"/>
      <c r="PRX1" s="243"/>
      <c r="PRY1" s="243"/>
      <c r="PRZ1" s="243"/>
      <c r="PSA1" s="243"/>
      <c r="PSB1" s="243"/>
      <c r="PSC1" s="243" t="s">
        <v>127</v>
      </c>
      <c r="PSD1" s="243"/>
      <c r="PSE1" s="243"/>
      <c r="PSF1" s="243"/>
      <c r="PSG1" s="243"/>
      <c r="PSH1" s="243"/>
      <c r="PSI1" s="243"/>
      <c r="PSJ1" s="243"/>
      <c r="PSK1" s="243"/>
      <c r="PSL1" s="243"/>
      <c r="PSM1" s="243"/>
      <c r="PSN1" s="243"/>
      <c r="PSO1" s="243"/>
      <c r="PSP1" s="243"/>
      <c r="PSQ1" s="243"/>
      <c r="PSR1" s="243"/>
      <c r="PSS1" s="243" t="s">
        <v>127</v>
      </c>
      <c r="PST1" s="243"/>
      <c r="PSU1" s="243"/>
      <c r="PSV1" s="243"/>
      <c r="PSW1" s="243"/>
      <c r="PSX1" s="243"/>
      <c r="PSY1" s="243"/>
      <c r="PSZ1" s="243"/>
      <c r="PTA1" s="243"/>
      <c r="PTB1" s="243"/>
      <c r="PTC1" s="243"/>
      <c r="PTD1" s="243"/>
      <c r="PTE1" s="243"/>
      <c r="PTF1" s="243"/>
      <c r="PTG1" s="243"/>
      <c r="PTH1" s="243"/>
      <c r="PTI1" s="243" t="s">
        <v>127</v>
      </c>
      <c r="PTJ1" s="243"/>
      <c r="PTK1" s="243"/>
      <c r="PTL1" s="243"/>
      <c r="PTM1" s="243"/>
      <c r="PTN1" s="243"/>
      <c r="PTO1" s="243"/>
      <c r="PTP1" s="243"/>
      <c r="PTQ1" s="243"/>
      <c r="PTR1" s="243"/>
      <c r="PTS1" s="243"/>
      <c r="PTT1" s="243"/>
      <c r="PTU1" s="243"/>
      <c r="PTV1" s="243"/>
      <c r="PTW1" s="243"/>
      <c r="PTX1" s="243"/>
      <c r="PTY1" s="243" t="s">
        <v>127</v>
      </c>
      <c r="PTZ1" s="243"/>
      <c r="PUA1" s="243"/>
      <c r="PUB1" s="243"/>
      <c r="PUC1" s="243"/>
      <c r="PUD1" s="243"/>
      <c r="PUE1" s="243"/>
      <c r="PUF1" s="243"/>
      <c r="PUG1" s="243"/>
      <c r="PUH1" s="243"/>
      <c r="PUI1" s="243"/>
      <c r="PUJ1" s="243"/>
      <c r="PUK1" s="243"/>
      <c r="PUL1" s="243"/>
      <c r="PUM1" s="243"/>
      <c r="PUN1" s="243"/>
      <c r="PUO1" s="243" t="s">
        <v>127</v>
      </c>
      <c r="PUP1" s="243"/>
      <c r="PUQ1" s="243"/>
      <c r="PUR1" s="243"/>
      <c r="PUS1" s="243"/>
      <c r="PUT1" s="243"/>
      <c r="PUU1" s="243"/>
      <c r="PUV1" s="243"/>
      <c r="PUW1" s="243"/>
      <c r="PUX1" s="243"/>
      <c r="PUY1" s="243"/>
      <c r="PUZ1" s="243"/>
      <c r="PVA1" s="243"/>
      <c r="PVB1" s="243"/>
      <c r="PVC1" s="243"/>
      <c r="PVD1" s="243"/>
      <c r="PVE1" s="243" t="s">
        <v>127</v>
      </c>
      <c r="PVF1" s="243"/>
      <c r="PVG1" s="243"/>
      <c r="PVH1" s="243"/>
      <c r="PVI1" s="243"/>
      <c r="PVJ1" s="243"/>
      <c r="PVK1" s="243"/>
      <c r="PVL1" s="243"/>
      <c r="PVM1" s="243"/>
      <c r="PVN1" s="243"/>
      <c r="PVO1" s="243"/>
      <c r="PVP1" s="243"/>
      <c r="PVQ1" s="243"/>
      <c r="PVR1" s="243"/>
      <c r="PVS1" s="243"/>
      <c r="PVT1" s="243"/>
      <c r="PVU1" s="243" t="s">
        <v>127</v>
      </c>
      <c r="PVV1" s="243"/>
      <c r="PVW1" s="243"/>
      <c r="PVX1" s="243"/>
      <c r="PVY1" s="243"/>
      <c r="PVZ1" s="243"/>
      <c r="PWA1" s="243"/>
      <c r="PWB1" s="243"/>
      <c r="PWC1" s="243"/>
      <c r="PWD1" s="243"/>
      <c r="PWE1" s="243"/>
      <c r="PWF1" s="243"/>
      <c r="PWG1" s="243"/>
      <c r="PWH1" s="243"/>
      <c r="PWI1" s="243"/>
      <c r="PWJ1" s="243"/>
      <c r="PWK1" s="243" t="s">
        <v>127</v>
      </c>
      <c r="PWL1" s="243"/>
      <c r="PWM1" s="243"/>
      <c r="PWN1" s="243"/>
      <c r="PWO1" s="243"/>
      <c r="PWP1" s="243"/>
      <c r="PWQ1" s="243"/>
      <c r="PWR1" s="243"/>
      <c r="PWS1" s="243"/>
      <c r="PWT1" s="243"/>
      <c r="PWU1" s="243"/>
      <c r="PWV1" s="243"/>
      <c r="PWW1" s="243"/>
      <c r="PWX1" s="243"/>
      <c r="PWY1" s="243"/>
      <c r="PWZ1" s="243"/>
      <c r="PXA1" s="243" t="s">
        <v>127</v>
      </c>
      <c r="PXB1" s="243"/>
      <c r="PXC1" s="243"/>
      <c r="PXD1" s="243"/>
      <c r="PXE1" s="243"/>
      <c r="PXF1" s="243"/>
      <c r="PXG1" s="243"/>
      <c r="PXH1" s="243"/>
      <c r="PXI1" s="243"/>
      <c r="PXJ1" s="243"/>
      <c r="PXK1" s="243"/>
      <c r="PXL1" s="243"/>
      <c r="PXM1" s="243"/>
      <c r="PXN1" s="243"/>
      <c r="PXO1" s="243"/>
      <c r="PXP1" s="243"/>
      <c r="PXQ1" s="243" t="s">
        <v>127</v>
      </c>
      <c r="PXR1" s="243"/>
      <c r="PXS1" s="243"/>
      <c r="PXT1" s="243"/>
      <c r="PXU1" s="243"/>
      <c r="PXV1" s="243"/>
      <c r="PXW1" s="243"/>
      <c r="PXX1" s="243"/>
      <c r="PXY1" s="243"/>
      <c r="PXZ1" s="243"/>
      <c r="PYA1" s="243"/>
      <c r="PYB1" s="243"/>
      <c r="PYC1" s="243"/>
      <c r="PYD1" s="243"/>
      <c r="PYE1" s="243"/>
      <c r="PYF1" s="243"/>
      <c r="PYG1" s="243" t="s">
        <v>127</v>
      </c>
      <c r="PYH1" s="243"/>
      <c r="PYI1" s="243"/>
      <c r="PYJ1" s="243"/>
      <c r="PYK1" s="243"/>
      <c r="PYL1" s="243"/>
      <c r="PYM1" s="243"/>
      <c r="PYN1" s="243"/>
      <c r="PYO1" s="243"/>
      <c r="PYP1" s="243"/>
      <c r="PYQ1" s="243"/>
      <c r="PYR1" s="243"/>
      <c r="PYS1" s="243"/>
      <c r="PYT1" s="243"/>
      <c r="PYU1" s="243"/>
      <c r="PYV1" s="243"/>
      <c r="PYW1" s="243" t="s">
        <v>127</v>
      </c>
      <c r="PYX1" s="243"/>
      <c r="PYY1" s="243"/>
      <c r="PYZ1" s="243"/>
      <c r="PZA1" s="243"/>
      <c r="PZB1" s="243"/>
      <c r="PZC1" s="243"/>
      <c r="PZD1" s="243"/>
      <c r="PZE1" s="243"/>
      <c r="PZF1" s="243"/>
      <c r="PZG1" s="243"/>
      <c r="PZH1" s="243"/>
      <c r="PZI1" s="243"/>
      <c r="PZJ1" s="243"/>
      <c r="PZK1" s="243"/>
      <c r="PZL1" s="243"/>
      <c r="PZM1" s="243" t="s">
        <v>127</v>
      </c>
      <c r="PZN1" s="243"/>
      <c r="PZO1" s="243"/>
      <c r="PZP1" s="243"/>
      <c r="PZQ1" s="243"/>
      <c r="PZR1" s="243"/>
      <c r="PZS1" s="243"/>
      <c r="PZT1" s="243"/>
      <c r="PZU1" s="243"/>
      <c r="PZV1" s="243"/>
      <c r="PZW1" s="243"/>
      <c r="PZX1" s="243"/>
      <c r="PZY1" s="243"/>
      <c r="PZZ1" s="243"/>
      <c r="QAA1" s="243"/>
      <c r="QAB1" s="243"/>
      <c r="QAC1" s="243" t="s">
        <v>127</v>
      </c>
      <c r="QAD1" s="243"/>
      <c r="QAE1" s="243"/>
      <c r="QAF1" s="243"/>
      <c r="QAG1" s="243"/>
      <c r="QAH1" s="243"/>
      <c r="QAI1" s="243"/>
      <c r="QAJ1" s="243"/>
      <c r="QAK1" s="243"/>
      <c r="QAL1" s="243"/>
      <c r="QAM1" s="243"/>
      <c r="QAN1" s="243"/>
      <c r="QAO1" s="243"/>
      <c r="QAP1" s="243"/>
      <c r="QAQ1" s="243"/>
      <c r="QAR1" s="243"/>
      <c r="QAS1" s="243" t="s">
        <v>127</v>
      </c>
      <c r="QAT1" s="243"/>
      <c r="QAU1" s="243"/>
      <c r="QAV1" s="243"/>
      <c r="QAW1" s="243"/>
      <c r="QAX1" s="243"/>
      <c r="QAY1" s="243"/>
      <c r="QAZ1" s="243"/>
      <c r="QBA1" s="243"/>
      <c r="QBB1" s="243"/>
      <c r="QBC1" s="243"/>
      <c r="QBD1" s="243"/>
      <c r="QBE1" s="243"/>
      <c r="QBF1" s="243"/>
      <c r="QBG1" s="243"/>
      <c r="QBH1" s="243"/>
      <c r="QBI1" s="243" t="s">
        <v>127</v>
      </c>
      <c r="QBJ1" s="243"/>
      <c r="QBK1" s="243"/>
      <c r="QBL1" s="243"/>
      <c r="QBM1" s="243"/>
      <c r="QBN1" s="243"/>
      <c r="QBO1" s="243"/>
      <c r="QBP1" s="243"/>
      <c r="QBQ1" s="243"/>
      <c r="QBR1" s="243"/>
      <c r="QBS1" s="243"/>
      <c r="QBT1" s="243"/>
      <c r="QBU1" s="243"/>
      <c r="QBV1" s="243"/>
      <c r="QBW1" s="243"/>
      <c r="QBX1" s="243"/>
      <c r="QBY1" s="243" t="s">
        <v>127</v>
      </c>
      <c r="QBZ1" s="243"/>
      <c r="QCA1" s="243"/>
      <c r="QCB1" s="243"/>
      <c r="QCC1" s="243"/>
      <c r="QCD1" s="243"/>
      <c r="QCE1" s="243"/>
      <c r="QCF1" s="243"/>
      <c r="QCG1" s="243"/>
      <c r="QCH1" s="243"/>
      <c r="QCI1" s="243"/>
      <c r="QCJ1" s="243"/>
      <c r="QCK1" s="243"/>
      <c r="QCL1" s="243"/>
      <c r="QCM1" s="243"/>
      <c r="QCN1" s="243"/>
      <c r="QCO1" s="243" t="s">
        <v>127</v>
      </c>
      <c r="QCP1" s="243"/>
      <c r="QCQ1" s="243"/>
      <c r="QCR1" s="243"/>
      <c r="QCS1" s="243"/>
      <c r="QCT1" s="243"/>
      <c r="QCU1" s="243"/>
      <c r="QCV1" s="243"/>
      <c r="QCW1" s="243"/>
      <c r="QCX1" s="243"/>
      <c r="QCY1" s="243"/>
      <c r="QCZ1" s="243"/>
      <c r="QDA1" s="243"/>
      <c r="QDB1" s="243"/>
      <c r="QDC1" s="243"/>
      <c r="QDD1" s="243"/>
      <c r="QDE1" s="243" t="s">
        <v>127</v>
      </c>
      <c r="QDF1" s="243"/>
      <c r="QDG1" s="243"/>
      <c r="QDH1" s="243"/>
      <c r="QDI1" s="243"/>
      <c r="QDJ1" s="243"/>
      <c r="QDK1" s="243"/>
      <c r="QDL1" s="243"/>
      <c r="QDM1" s="243"/>
      <c r="QDN1" s="243"/>
      <c r="QDO1" s="243"/>
      <c r="QDP1" s="243"/>
      <c r="QDQ1" s="243"/>
      <c r="QDR1" s="243"/>
      <c r="QDS1" s="243"/>
      <c r="QDT1" s="243"/>
      <c r="QDU1" s="243" t="s">
        <v>127</v>
      </c>
      <c r="QDV1" s="243"/>
      <c r="QDW1" s="243"/>
      <c r="QDX1" s="243"/>
      <c r="QDY1" s="243"/>
      <c r="QDZ1" s="243"/>
      <c r="QEA1" s="243"/>
      <c r="QEB1" s="243"/>
      <c r="QEC1" s="243"/>
      <c r="QED1" s="243"/>
      <c r="QEE1" s="243"/>
      <c r="QEF1" s="243"/>
      <c r="QEG1" s="243"/>
      <c r="QEH1" s="243"/>
      <c r="QEI1" s="243"/>
      <c r="QEJ1" s="243"/>
      <c r="QEK1" s="243" t="s">
        <v>127</v>
      </c>
      <c r="QEL1" s="243"/>
      <c r="QEM1" s="243"/>
      <c r="QEN1" s="243"/>
      <c r="QEO1" s="243"/>
      <c r="QEP1" s="243"/>
      <c r="QEQ1" s="243"/>
      <c r="QER1" s="243"/>
      <c r="QES1" s="243"/>
      <c r="QET1" s="243"/>
      <c r="QEU1" s="243"/>
      <c r="QEV1" s="243"/>
      <c r="QEW1" s="243"/>
      <c r="QEX1" s="243"/>
      <c r="QEY1" s="243"/>
      <c r="QEZ1" s="243"/>
      <c r="QFA1" s="243" t="s">
        <v>127</v>
      </c>
      <c r="QFB1" s="243"/>
      <c r="QFC1" s="243"/>
      <c r="QFD1" s="243"/>
      <c r="QFE1" s="243"/>
      <c r="QFF1" s="243"/>
      <c r="QFG1" s="243"/>
      <c r="QFH1" s="243"/>
      <c r="QFI1" s="243"/>
      <c r="QFJ1" s="243"/>
      <c r="QFK1" s="243"/>
      <c r="QFL1" s="243"/>
      <c r="QFM1" s="243"/>
      <c r="QFN1" s="243"/>
      <c r="QFO1" s="243"/>
      <c r="QFP1" s="243"/>
      <c r="QFQ1" s="243" t="s">
        <v>127</v>
      </c>
      <c r="QFR1" s="243"/>
      <c r="QFS1" s="243"/>
      <c r="QFT1" s="243"/>
      <c r="QFU1" s="243"/>
      <c r="QFV1" s="243"/>
      <c r="QFW1" s="243"/>
      <c r="QFX1" s="243"/>
      <c r="QFY1" s="243"/>
      <c r="QFZ1" s="243"/>
      <c r="QGA1" s="243"/>
      <c r="QGB1" s="243"/>
      <c r="QGC1" s="243"/>
      <c r="QGD1" s="243"/>
      <c r="QGE1" s="243"/>
      <c r="QGF1" s="243"/>
      <c r="QGG1" s="243" t="s">
        <v>127</v>
      </c>
      <c r="QGH1" s="243"/>
      <c r="QGI1" s="243"/>
      <c r="QGJ1" s="243"/>
      <c r="QGK1" s="243"/>
      <c r="QGL1" s="243"/>
      <c r="QGM1" s="243"/>
      <c r="QGN1" s="243"/>
      <c r="QGO1" s="243"/>
      <c r="QGP1" s="243"/>
      <c r="QGQ1" s="243"/>
      <c r="QGR1" s="243"/>
      <c r="QGS1" s="243"/>
      <c r="QGT1" s="243"/>
      <c r="QGU1" s="243"/>
      <c r="QGV1" s="243"/>
      <c r="QGW1" s="243" t="s">
        <v>127</v>
      </c>
      <c r="QGX1" s="243"/>
      <c r="QGY1" s="243"/>
      <c r="QGZ1" s="243"/>
      <c r="QHA1" s="243"/>
      <c r="QHB1" s="243"/>
      <c r="QHC1" s="243"/>
      <c r="QHD1" s="243"/>
      <c r="QHE1" s="243"/>
      <c r="QHF1" s="243"/>
      <c r="QHG1" s="243"/>
      <c r="QHH1" s="243"/>
      <c r="QHI1" s="243"/>
      <c r="QHJ1" s="243"/>
      <c r="QHK1" s="243"/>
      <c r="QHL1" s="243"/>
      <c r="QHM1" s="243" t="s">
        <v>127</v>
      </c>
      <c r="QHN1" s="243"/>
      <c r="QHO1" s="243"/>
      <c r="QHP1" s="243"/>
      <c r="QHQ1" s="243"/>
      <c r="QHR1" s="243"/>
      <c r="QHS1" s="243"/>
      <c r="QHT1" s="243"/>
      <c r="QHU1" s="243"/>
      <c r="QHV1" s="243"/>
      <c r="QHW1" s="243"/>
      <c r="QHX1" s="243"/>
      <c r="QHY1" s="243"/>
      <c r="QHZ1" s="243"/>
      <c r="QIA1" s="243"/>
      <c r="QIB1" s="243"/>
      <c r="QIC1" s="243" t="s">
        <v>127</v>
      </c>
      <c r="QID1" s="243"/>
      <c r="QIE1" s="243"/>
      <c r="QIF1" s="243"/>
      <c r="QIG1" s="243"/>
      <c r="QIH1" s="243"/>
      <c r="QII1" s="243"/>
      <c r="QIJ1" s="243"/>
      <c r="QIK1" s="243"/>
      <c r="QIL1" s="243"/>
      <c r="QIM1" s="243"/>
      <c r="QIN1" s="243"/>
      <c r="QIO1" s="243"/>
      <c r="QIP1" s="243"/>
      <c r="QIQ1" s="243"/>
      <c r="QIR1" s="243"/>
      <c r="QIS1" s="243" t="s">
        <v>127</v>
      </c>
      <c r="QIT1" s="243"/>
      <c r="QIU1" s="243"/>
      <c r="QIV1" s="243"/>
      <c r="QIW1" s="243"/>
      <c r="QIX1" s="243"/>
      <c r="QIY1" s="243"/>
      <c r="QIZ1" s="243"/>
      <c r="QJA1" s="243"/>
      <c r="QJB1" s="243"/>
      <c r="QJC1" s="243"/>
      <c r="QJD1" s="243"/>
      <c r="QJE1" s="243"/>
      <c r="QJF1" s="243"/>
      <c r="QJG1" s="243"/>
      <c r="QJH1" s="243"/>
      <c r="QJI1" s="243" t="s">
        <v>127</v>
      </c>
      <c r="QJJ1" s="243"/>
      <c r="QJK1" s="243"/>
      <c r="QJL1" s="243"/>
      <c r="QJM1" s="243"/>
      <c r="QJN1" s="243"/>
      <c r="QJO1" s="243"/>
      <c r="QJP1" s="243"/>
      <c r="QJQ1" s="243"/>
      <c r="QJR1" s="243"/>
      <c r="QJS1" s="243"/>
      <c r="QJT1" s="243"/>
      <c r="QJU1" s="243"/>
      <c r="QJV1" s="243"/>
      <c r="QJW1" s="243"/>
      <c r="QJX1" s="243"/>
      <c r="QJY1" s="243" t="s">
        <v>127</v>
      </c>
      <c r="QJZ1" s="243"/>
      <c r="QKA1" s="243"/>
      <c r="QKB1" s="243"/>
      <c r="QKC1" s="243"/>
      <c r="QKD1" s="243"/>
      <c r="QKE1" s="243"/>
      <c r="QKF1" s="243"/>
      <c r="QKG1" s="243"/>
      <c r="QKH1" s="243"/>
      <c r="QKI1" s="243"/>
      <c r="QKJ1" s="243"/>
      <c r="QKK1" s="243"/>
      <c r="QKL1" s="243"/>
      <c r="QKM1" s="243"/>
      <c r="QKN1" s="243"/>
      <c r="QKO1" s="243" t="s">
        <v>127</v>
      </c>
      <c r="QKP1" s="243"/>
      <c r="QKQ1" s="243"/>
      <c r="QKR1" s="243"/>
      <c r="QKS1" s="243"/>
      <c r="QKT1" s="243"/>
      <c r="QKU1" s="243"/>
      <c r="QKV1" s="243"/>
      <c r="QKW1" s="243"/>
      <c r="QKX1" s="243"/>
      <c r="QKY1" s="243"/>
      <c r="QKZ1" s="243"/>
      <c r="QLA1" s="243"/>
      <c r="QLB1" s="243"/>
      <c r="QLC1" s="243"/>
      <c r="QLD1" s="243"/>
      <c r="QLE1" s="243" t="s">
        <v>127</v>
      </c>
      <c r="QLF1" s="243"/>
      <c r="QLG1" s="243"/>
      <c r="QLH1" s="243"/>
      <c r="QLI1" s="243"/>
      <c r="QLJ1" s="243"/>
      <c r="QLK1" s="243"/>
      <c r="QLL1" s="243"/>
      <c r="QLM1" s="243"/>
      <c r="QLN1" s="243"/>
      <c r="QLO1" s="243"/>
      <c r="QLP1" s="243"/>
      <c r="QLQ1" s="243"/>
      <c r="QLR1" s="243"/>
      <c r="QLS1" s="243"/>
      <c r="QLT1" s="243"/>
      <c r="QLU1" s="243" t="s">
        <v>127</v>
      </c>
      <c r="QLV1" s="243"/>
      <c r="QLW1" s="243"/>
      <c r="QLX1" s="243"/>
      <c r="QLY1" s="243"/>
      <c r="QLZ1" s="243"/>
      <c r="QMA1" s="243"/>
      <c r="QMB1" s="243"/>
      <c r="QMC1" s="243"/>
      <c r="QMD1" s="243"/>
      <c r="QME1" s="243"/>
      <c r="QMF1" s="243"/>
      <c r="QMG1" s="243"/>
      <c r="QMH1" s="243"/>
      <c r="QMI1" s="243"/>
      <c r="QMJ1" s="243"/>
      <c r="QMK1" s="243" t="s">
        <v>127</v>
      </c>
      <c r="QML1" s="243"/>
      <c r="QMM1" s="243"/>
      <c r="QMN1" s="243"/>
      <c r="QMO1" s="243"/>
      <c r="QMP1" s="243"/>
      <c r="QMQ1" s="243"/>
      <c r="QMR1" s="243"/>
      <c r="QMS1" s="243"/>
      <c r="QMT1" s="243"/>
      <c r="QMU1" s="243"/>
      <c r="QMV1" s="243"/>
      <c r="QMW1" s="243"/>
      <c r="QMX1" s="243"/>
      <c r="QMY1" s="243"/>
      <c r="QMZ1" s="243"/>
      <c r="QNA1" s="243" t="s">
        <v>127</v>
      </c>
      <c r="QNB1" s="243"/>
      <c r="QNC1" s="243"/>
      <c r="QND1" s="243"/>
      <c r="QNE1" s="243"/>
      <c r="QNF1" s="243"/>
      <c r="QNG1" s="243"/>
      <c r="QNH1" s="243"/>
      <c r="QNI1" s="243"/>
      <c r="QNJ1" s="243"/>
      <c r="QNK1" s="243"/>
      <c r="QNL1" s="243"/>
      <c r="QNM1" s="243"/>
      <c r="QNN1" s="243"/>
      <c r="QNO1" s="243"/>
      <c r="QNP1" s="243"/>
      <c r="QNQ1" s="243" t="s">
        <v>127</v>
      </c>
      <c r="QNR1" s="243"/>
      <c r="QNS1" s="243"/>
      <c r="QNT1" s="243"/>
      <c r="QNU1" s="243"/>
      <c r="QNV1" s="243"/>
      <c r="QNW1" s="243"/>
      <c r="QNX1" s="243"/>
      <c r="QNY1" s="243"/>
      <c r="QNZ1" s="243"/>
      <c r="QOA1" s="243"/>
      <c r="QOB1" s="243"/>
      <c r="QOC1" s="243"/>
      <c r="QOD1" s="243"/>
      <c r="QOE1" s="243"/>
      <c r="QOF1" s="243"/>
      <c r="QOG1" s="243" t="s">
        <v>127</v>
      </c>
      <c r="QOH1" s="243"/>
      <c r="QOI1" s="243"/>
      <c r="QOJ1" s="243"/>
      <c r="QOK1" s="243"/>
      <c r="QOL1" s="243"/>
      <c r="QOM1" s="243"/>
      <c r="QON1" s="243"/>
      <c r="QOO1" s="243"/>
      <c r="QOP1" s="243"/>
      <c r="QOQ1" s="243"/>
      <c r="QOR1" s="243"/>
      <c r="QOS1" s="243"/>
      <c r="QOT1" s="243"/>
      <c r="QOU1" s="243"/>
      <c r="QOV1" s="243"/>
      <c r="QOW1" s="243" t="s">
        <v>127</v>
      </c>
      <c r="QOX1" s="243"/>
      <c r="QOY1" s="243"/>
      <c r="QOZ1" s="243"/>
      <c r="QPA1" s="243"/>
      <c r="QPB1" s="243"/>
      <c r="QPC1" s="243"/>
      <c r="QPD1" s="243"/>
      <c r="QPE1" s="243"/>
      <c r="QPF1" s="243"/>
      <c r="QPG1" s="243"/>
      <c r="QPH1" s="243"/>
      <c r="QPI1" s="243"/>
      <c r="QPJ1" s="243"/>
      <c r="QPK1" s="243"/>
      <c r="QPL1" s="243"/>
      <c r="QPM1" s="243" t="s">
        <v>127</v>
      </c>
      <c r="QPN1" s="243"/>
      <c r="QPO1" s="243"/>
      <c r="QPP1" s="243"/>
      <c r="QPQ1" s="243"/>
      <c r="QPR1" s="243"/>
      <c r="QPS1" s="243"/>
      <c r="QPT1" s="243"/>
      <c r="QPU1" s="243"/>
      <c r="QPV1" s="243"/>
      <c r="QPW1" s="243"/>
      <c r="QPX1" s="243"/>
      <c r="QPY1" s="243"/>
      <c r="QPZ1" s="243"/>
      <c r="QQA1" s="243"/>
      <c r="QQB1" s="243"/>
      <c r="QQC1" s="243" t="s">
        <v>127</v>
      </c>
      <c r="QQD1" s="243"/>
      <c r="QQE1" s="243"/>
      <c r="QQF1" s="243"/>
      <c r="QQG1" s="243"/>
      <c r="QQH1" s="243"/>
      <c r="QQI1" s="243"/>
      <c r="QQJ1" s="243"/>
      <c r="QQK1" s="243"/>
      <c r="QQL1" s="243"/>
      <c r="QQM1" s="243"/>
      <c r="QQN1" s="243"/>
      <c r="QQO1" s="243"/>
      <c r="QQP1" s="243"/>
      <c r="QQQ1" s="243"/>
      <c r="QQR1" s="243"/>
      <c r="QQS1" s="243" t="s">
        <v>127</v>
      </c>
      <c r="QQT1" s="243"/>
      <c r="QQU1" s="243"/>
      <c r="QQV1" s="243"/>
      <c r="QQW1" s="243"/>
      <c r="QQX1" s="243"/>
      <c r="QQY1" s="243"/>
      <c r="QQZ1" s="243"/>
      <c r="QRA1" s="243"/>
      <c r="QRB1" s="243"/>
      <c r="QRC1" s="243"/>
      <c r="QRD1" s="243"/>
      <c r="QRE1" s="243"/>
      <c r="QRF1" s="243"/>
      <c r="QRG1" s="243"/>
      <c r="QRH1" s="243"/>
      <c r="QRI1" s="243" t="s">
        <v>127</v>
      </c>
      <c r="QRJ1" s="243"/>
      <c r="QRK1" s="243"/>
      <c r="QRL1" s="243"/>
      <c r="QRM1" s="243"/>
      <c r="QRN1" s="243"/>
      <c r="QRO1" s="243"/>
      <c r="QRP1" s="243"/>
      <c r="QRQ1" s="243"/>
      <c r="QRR1" s="243"/>
      <c r="QRS1" s="243"/>
      <c r="QRT1" s="243"/>
      <c r="QRU1" s="243"/>
      <c r="QRV1" s="243"/>
      <c r="QRW1" s="243"/>
      <c r="QRX1" s="243"/>
      <c r="QRY1" s="243" t="s">
        <v>127</v>
      </c>
      <c r="QRZ1" s="243"/>
      <c r="QSA1" s="243"/>
      <c r="QSB1" s="243"/>
      <c r="QSC1" s="243"/>
      <c r="QSD1" s="243"/>
      <c r="QSE1" s="243"/>
      <c r="QSF1" s="243"/>
      <c r="QSG1" s="243"/>
      <c r="QSH1" s="243"/>
      <c r="QSI1" s="243"/>
      <c r="QSJ1" s="243"/>
      <c r="QSK1" s="243"/>
      <c r="QSL1" s="243"/>
      <c r="QSM1" s="243"/>
      <c r="QSN1" s="243"/>
      <c r="QSO1" s="243" t="s">
        <v>127</v>
      </c>
      <c r="QSP1" s="243"/>
      <c r="QSQ1" s="243"/>
      <c r="QSR1" s="243"/>
      <c r="QSS1" s="243"/>
      <c r="QST1" s="243"/>
      <c r="QSU1" s="243"/>
      <c r="QSV1" s="243"/>
      <c r="QSW1" s="243"/>
      <c r="QSX1" s="243"/>
      <c r="QSY1" s="243"/>
      <c r="QSZ1" s="243"/>
      <c r="QTA1" s="243"/>
      <c r="QTB1" s="243"/>
      <c r="QTC1" s="243"/>
      <c r="QTD1" s="243"/>
      <c r="QTE1" s="243" t="s">
        <v>127</v>
      </c>
      <c r="QTF1" s="243"/>
      <c r="QTG1" s="243"/>
      <c r="QTH1" s="243"/>
      <c r="QTI1" s="243"/>
      <c r="QTJ1" s="243"/>
      <c r="QTK1" s="243"/>
      <c r="QTL1" s="243"/>
      <c r="QTM1" s="243"/>
      <c r="QTN1" s="243"/>
      <c r="QTO1" s="243"/>
      <c r="QTP1" s="243"/>
      <c r="QTQ1" s="243"/>
      <c r="QTR1" s="243"/>
      <c r="QTS1" s="243"/>
      <c r="QTT1" s="243"/>
      <c r="QTU1" s="243" t="s">
        <v>127</v>
      </c>
      <c r="QTV1" s="243"/>
      <c r="QTW1" s="243"/>
      <c r="QTX1" s="243"/>
      <c r="QTY1" s="243"/>
      <c r="QTZ1" s="243"/>
      <c r="QUA1" s="243"/>
      <c r="QUB1" s="243"/>
      <c r="QUC1" s="243"/>
      <c r="QUD1" s="243"/>
      <c r="QUE1" s="243"/>
      <c r="QUF1" s="243"/>
      <c r="QUG1" s="243"/>
      <c r="QUH1" s="243"/>
      <c r="QUI1" s="243"/>
      <c r="QUJ1" s="243"/>
      <c r="QUK1" s="243" t="s">
        <v>127</v>
      </c>
      <c r="QUL1" s="243"/>
      <c r="QUM1" s="243"/>
      <c r="QUN1" s="243"/>
      <c r="QUO1" s="243"/>
      <c r="QUP1" s="243"/>
      <c r="QUQ1" s="243"/>
      <c r="QUR1" s="243"/>
      <c r="QUS1" s="243"/>
      <c r="QUT1" s="243"/>
      <c r="QUU1" s="243"/>
      <c r="QUV1" s="243"/>
      <c r="QUW1" s="243"/>
      <c r="QUX1" s="243"/>
      <c r="QUY1" s="243"/>
      <c r="QUZ1" s="243"/>
      <c r="QVA1" s="243" t="s">
        <v>127</v>
      </c>
      <c r="QVB1" s="243"/>
      <c r="QVC1" s="243"/>
      <c r="QVD1" s="243"/>
      <c r="QVE1" s="243"/>
      <c r="QVF1" s="243"/>
      <c r="QVG1" s="243"/>
      <c r="QVH1" s="243"/>
      <c r="QVI1" s="243"/>
      <c r="QVJ1" s="243"/>
      <c r="QVK1" s="243"/>
      <c r="QVL1" s="243"/>
      <c r="QVM1" s="243"/>
      <c r="QVN1" s="243"/>
      <c r="QVO1" s="243"/>
      <c r="QVP1" s="243"/>
      <c r="QVQ1" s="243" t="s">
        <v>127</v>
      </c>
      <c r="QVR1" s="243"/>
      <c r="QVS1" s="243"/>
      <c r="QVT1" s="243"/>
      <c r="QVU1" s="243"/>
      <c r="QVV1" s="243"/>
      <c r="QVW1" s="243"/>
      <c r="QVX1" s="243"/>
      <c r="QVY1" s="243"/>
      <c r="QVZ1" s="243"/>
      <c r="QWA1" s="243"/>
      <c r="QWB1" s="243"/>
      <c r="QWC1" s="243"/>
      <c r="QWD1" s="243"/>
      <c r="QWE1" s="243"/>
      <c r="QWF1" s="243"/>
      <c r="QWG1" s="243" t="s">
        <v>127</v>
      </c>
      <c r="QWH1" s="243"/>
      <c r="QWI1" s="243"/>
      <c r="QWJ1" s="243"/>
      <c r="QWK1" s="243"/>
      <c r="QWL1" s="243"/>
      <c r="QWM1" s="243"/>
      <c r="QWN1" s="243"/>
      <c r="QWO1" s="243"/>
      <c r="QWP1" s="243"/>
      <c r="QWQ1" s="243"/>
      <c r="QWR1" s="243"/>
      <c r="QWS1" s="243"/>
      <c r="QWT1" s="243"/>
      <c r="QWU1" s="243"/>
      <c r="QWV1" s="243"/>
      <c r="QWW1" s="243" t="s">
        <v>127</v>
      </c>
      <c r="QWX1" s="243"/>
      <c r="QWY1" s="243"/>
      <c r="QWZ1" s="243"/>
      <c r="QXA1" s="243"/>
      <c r="QXB1" s="243"/>
      <c r="QXC1" s="243"/>
      <c r="QXD1" s="243"/>
      <c r="QXE1" s="243"/>
      <c r="QXF1" s="243"/>
      <c r="QXG1" s="243"/>
      <c r="QXH1" s="243"/>
      <c r="QXI1" s="243"/>
      <c r="QXJ1" s="243"/>
      <c r="QXK1" s="243"/>
      <c r="QXL1" s="243"/>
      <c r="QXM1" s="243" t="s">
        <v>127</v>
      </c>
      <c r="QXN1" s="243"/>
      <c r="QXO1" s="243"/>
      <c r="QXP1" s="243"/>
      <c r="QXQ1" s="243"/>
      <c r="QXR1" s="243"/>
      <c r="QXS1" s="243"/>
      <c r="QXT1" s="243"/>
      <c r="QXU1" s="243"/>
      <c r="QXV1" s="243"/>
      <c r="QXW1" s="243"/>
      <c r="QXX1" s="243"/>
      <c r="QXY1" s="243"/>
      <c r="QXZ1" s="243"/>
      <c r="QYA1" s="243"/>
      <c r="QYB1" s="243"/>
      <c r="QYC1" s="243" t="s">
        <v>127</v>
      </c>
      <c r="QYD1" s="243"/>
      <c r="QYE1" s="243"/>
      <c r="QYF1" s="243"/>
      <c r="QYG1" s="243"/>
      <c r="QYH1" s="243"/>
      <c r="QYI1" s="243"/>
      <c r="QYJ1" s="243"/>
      <c r="QYK1" s="243"/>
      <c r="QYL1" s="243"/>
      <c r="QYM1" s="243"/>
      <c r="QYN1" s="243"/>
      <c r="QYO1" s="243"/>
      <c r="QYP1" s="243"/>
      <c r="QYQ1" s="243"/>
      <c r="QYR1" s="243"/>
      <c r="QYS1" s="243" t="s">
        <v>127</v>
      </c>
      <c r="QYT1" s="243"/>
      <c r="QYU1" s="243"/>
      <c r="QYV1" s="243"/>
      <c r="QYW1" s="243"/>
      <c r="QYX1" s="243"/>
      <c r="QYY1" s="243"/>
      <c r="QYZ1" s="243"/>
      <c r="QZA1" s="243"/>
      <c r="QZB1" s="243"/>
      <c r="QZC1" s="243"/>
      <c r="QZD1" s="243"/>
      <c r="QZE1" s="243"/>
      <c r="QZF1" s="243"/>
      <c r="QZG1" s="243"/>
      <c r="QZH1" s="243"/>
      <c r="QZI1" s="243" t="s">
        <v>127</v>
      </c>
      <c r="QZJ1" s="243"/>
      <c r="QZK1" s="243"/>
      <c r="QZL1" s="243"/>
      <c r="QZM1" s="243"/>
      <c r="QZN1" s="243"/>
      <c r="QZO1" s="243"/>
      <c r="QZP1" s="243"/>
      <c r="QZQ1" s="243"/>
      <c r="QZR1" s="243"/>
      <c r="QZS1" s="243"/>
      <c r="QZT1" s="243"/>
      <c r="QZU1" s="243"/>
      <c r="QZV1" s="243"/>
      <c r="QZW1" s="243"/>
      <c r="QZX1" s="243"/>
      <c r="QZY1" s="243" t="s">
        <v>127</v>
      </c>
      <c r="QZZ1" s="243"/>
      <c r="RAA1" s="243"/>
      <c r="RAB1" s="243"/>
      <c r="RAC1" s="243"/>
      <c r="RAD1" s="243"/>
      <c r="RAE1" s="243"/>
      <c r="RAF1" s="243"/>
      <c r="RAG1" s="243"/>
      <c r="RAH1" s="243"/>
      <c r="RAI1" s="243"/>
      <c r="RAJ1" s="243"/>
      <c r="RAK1" s="243"/>
      <c r="RAL1" s="243"/>
      <c r="RAM1" s="243"/>
      <c r="RAN1" s="243"/>
      <c r="RAO1" s="243" t="s">
        <v>127</v>
      </c>
      <c r="RAP1" s="243"/>
      <c r="RAQ1" s="243"/>
      <c r="RAR1" s="243"/>
      <c r="RAS1" s="243"/>
      <c r="RAT1" s="243"/>
      <c r="RAU1" s="243"/>
      <c r="RAV1" s="243"/>
      <c r="RAW1" s="243"/>
      <c r="RAX1" s="243"/>
      <c r="RAY1" s="243"/>
      <c r="RAZ1" s="243"/>
      <c r="RBA1" s="243"/>
      <c r="RBB1" s="243"/>
      <c r="RBC1" s="243"/>
      <c r="RBD1" s="243"/>
      <c r="RBE1" s="243" t="s">
        <v>127</v>
      </c>
      <c r="RBF1" s="243"/>
      <c r="RBG1" s="243"/>
      <c r="RBH1" s="243"/>
      <c r="RBI1" s="243"/>
      <c r="RBJ1" s="243"/>
      <c r="RBK1" s="243"/>
      <c r="RBL1" s="243"/>
      <c r="RBM1" s="243"/>
      <c r="RBN1" s="243"/>
      <c r="RBO1" s="243"/>
      <c r="RBP1" s="243"/>
      <c r="RBQ1" s="243"/>
      <c r="RBR1" s="243"/>
      <c r="RBS1" s="243"/>
      <c r="RBT1" s="243"/>
      <c r="RBU1" s="243" t="s">
        <v>127</v>
      </c>
      <c r="RBV1" s="243"/>
      <c r="RBW1" s="243"/>
      <c r="RBX1" s="243"/>
      <c r="RBY1" s="243"/>
      <c r="RBZ1" s="243"/>
      <c r="RCA1" s="243"/>
      <c r="RCB1" s="243"/>
      <c r="RCC1" s="243"/>
      <c r="RCD1" s="243"/>
      <c r="RCE1" s="243"/>
      <c r="RCF1" s="243"/>
      <c r="RCG1" s="243"/>
      <c r="RCH1" s="243"/>
      <c r="RCI1" s="243"/>
      <c r="RCJ1" s="243"/>
      <c r="RCK1" s="243" t="s">
        <v>127</v>
      </c>
      <c r="RCL1" s="243"/>
      <c r="RCM1" s="243"/>
      <c r="RCN1" s="243"/>
      <c r="RCO1" s="243"/>
      <c r="RCP1" s="243"/>
      <c r="RCQ1" s="243"/>
      <c r="RCR1" s="243"/>
      <c r="RCS1" s="243"/>
      <c r="RCT1" s="243"/>
      <c r="RCU1" s="243"/>
      <c r="RCV1" s="243"/>
      <c r="RCW1" s="243"/>
      <c r="RCX1" s="243"/>
      <c r="RCY1" s="243"/>
      <c r="RCZ1" s="243"/>
      <c r="RDA1" s="243" t="s">
        <v>127</v>
      </c>
      <c r="RDB1" s="243"/>
      <c r="RDC1" s="243"/>
      <c r="RDD1" s="243"/>
      <c r="RDE1" s="243"/>
      <c r="RDF1" s="243"/>
      <c r="RDG1" s="243"/>
      <c r="RDH1" s="243"/>
      <c r="RDI1" s="243"/>
      <c r="RDJ1" s="243"/>
      <c r="RDK1" s="243"/>
      <c r="RDL1" s="243"/>
      <c r="RDM1" s="243"/>
      <c r="RDN1" s="243"/>
      <c r="RDO1" s="243"/>
      <c r="RDP1" s="243"/>
      <c r="RDQ1" s="243" t="s">
        <v>127</v>
      </c>
      <c r="RDR1" s="243"/>
      <c r="RDS1" s="243"/>
      <c r="RDT1" s="243"/>
      <c r="RDU1" s="243"/>
      <c r="RDV1" s="243"/>
      <c r="RDW1" s="243"/>
      <c r="RDX1" s="243"/>
      <c r="RDY1" s="243"/>
      <c r="RDZ1" s="243"/>
      <c r="REA1" s="243"/>
      <c r="REB1" s="243"/>
      <c r="REC1" s="243"/>
      <c r="RED1" s="243"/>
      <c r="REE1" s="243"/>
      <c r="REF1" s="243"/>
      <c r="REG1" s="243" t="s">
        <v>127</v>
      </c>
      <c r="REH1" s="243"/>
      <c r="REI1" s="243"/>
      <c r="REJ1" s="243"/>
      <c r="REK1" s="243"/>
      <c r="REL1" s="243"/>
      <c r="REM1" s="243"/>
      <c r="REN1" s="243"/>
      <c r="REO1" s="243"/>
      <c r="REP1" s="243"/>
      <c r="REQ1" s="243"/>
      <c r="RER1" s="243"/>
      <c r="RES1" s="243"/>
      <c r="RET1" s="243"/>
      <c r="REU1" s="243"/>
      <c r="REV1" s="243"/>
      <c r="REW1" s="243" t="s">
        <v>127</v>
      </c>
      <c r="REX1" s="243"/>
      <c r="REY1" s="243"/>
      <c r="REZ1" s="243"/>
      <c r="RFA1" s="243"/>
      <c r="RFB1" s="243"/>
      <c r="RFC1" s="243"/>
      <c r="RFD1" s="243"/>
      <c r="RFE1" s="243"/>
      <c r="RFF1" s="243"/>
      <c r="RFG1" s="243"/>
      <c r="RFH1" s="243"/>
      <c r="RFI1" s="243"/>
      <c r="RFJ1" s="243"/>
      <c r="RFK1" s="243"/>
      <c r="RFL1" s="243"/>
      <c r="RFM1" s="243" t="s">
        <v>127</v>
      </c>
      <c r="RFN1" s="243"/>
      <c r="RFO1" s="243"/>
      <c r="RFP1" s="243"/>
      <c r="RFQ1" s="243"/>
      <c r="RFR1" s="243"/>
      <c r="RFS1" s="243"/>
      <c r="RFT1" s="243"/>
      <c r="RFU1" s="243"/>
      <c r="RFV1" s="243"/>
      <c r="RFW1" s="243"/>
      <c r="RFX1" s="243"/>
      <c r="RFY1" s="243"/>
      <c r="RFZ1" s="243"/>
      <c r="RGA1" s="243"/>
      <c r="RGB1" s="243"/>
      <c r="RGC1" s="243" t="s">
        <v>127</v>
      </c>
      <c r="RGD1" s="243"/>
      <c r="RGE1" s="243"/>
      <c r="RGF1" s="243"/>
      <c r="RGG1" s="243"/>
      <c r="RGH1" s="243"/>
      <c r="RGI1" s="243"/>
      <c r="RGJ1" s="243"/>
      <c r="RGK1" s="243"/>
      <c r="RGL1" s="243"/>
      <c r="RGM1" s="243"/>
      <c r="RGN1" s="243"/>
      <c r="RGO1" s="243"/>
      <c r="RGP1" s="243"/>
      <c r="RGQ1" s="243"/>
      <c r="RGR1" s="243"/>
      <c r="RGS1" s="243" t="s">
        <v>127</v>
      </c>
      <c r="RGT1" s="243"/>
      <c r="RGU1" s="243"/>
      <c r="RGV1" s="243"/>
      <c r="RGW1" s="243"/>
      <c r="RGX1" s="243"/>
      <c r="RGY1" s="243"/>
      <c r="RGZ1" s="243"/>
      <c r="RHA1" s="243"/>
      <c r="RHB1" s="243"/>
      <c r="RHC1" s="243"/>
      <c r="RHD1" s="243"/>
      <c r="RHE1" s="243"/>
      <c r="RHF1" s="243"/>
      <c r="RHG1" s="243"/>
      <c r="RHH1" s="243"/>
      <c r="RHI1" s="243" t="s">
        <v>127</v>
      </c>
      <c r="RHJ1" s="243"/>
      <c r="RHK1" s="243"/>
      <c r="RHL1" s="243"/>
      <c r="RHM1" s="243"/>
      <c r="RHN1" s="243"/>
      <c r="RHO1" s="243"/>
      <c r="RHP1" s="243"/>
      <c r="RHQ1" s="243"/>
      <c r="RHR1" s="243"/>
      <c r="RHS1" s="243"/>
      <c r="RHT1" s="243"/>
      <c r="RHU1" s="243"/>
      <c r="RHV1" s="243"/>
      <c r="RHW1" s="243"/>
      <c r="RHX1" s="243"/>
      <c r="RHY1" s="243" t="s">
        <v>127</v>
      </c>
      <c r="RHZ1" s="243"/>
      <c r="RIA1" s="243"/>
      <c r="RIB1" s="243"/>
      <c r="RIC1" s="243"/>
      <c r="RID1" s="243"/>
      <c r="RIE1" s="243"/>
      <c r="RIF1" s="243"/>
      <c r="RIG1" s="243"/>
      <c r="RIH1" s="243"/>
      <c r="RII1" s="243"/>
      <c r="RIJ1" s="243"/>
      <c r="RIK1" s="243"/>
      <c r="RIL1" s="243"/>
      <c r="RIM1" s="243"/>
      <c r="RIN1" s="243"/>
      <c r="RIO1" s="243" t="s">
        <v>127</v>
      </c>
      <c r="RIP1" s="243"/>
      <c r="RIQ1" s="243"/>
      <c r="RIR1" s="243"/>
      <c r="RIS1" s="243"/>
      <c r="RIT1" s="243"/>
      <c r="RIU1" s="243"/>
      <c r="RIV1" s="243"/>
      <c r="RIW1" s="243"/>
      <c r="RIX1" s="243"/>
      <c r="RIY1" s="243"/>
      <c r="RIZ1" s="243"/>
      <c r="RJA1" s="243"/>
      <c r="RJB1" s="243"/>
      <c r="RJC1" s="243"/>
      <c r="RJD1" s="243"/>
      <c r="RJE1" s="243" t="s">
        <v>127</v>
      </c>
      <c r="RJF1" s="243"/>
      <c r="RJG1" s="243"/>
      <c r="RJH1" s="243"/>
      <c r="RJI1" s="243"/>
      <c r="RJJ1" s="243"/>
      <c r="RJK1" s="243"/>
      <c r="RJL1" s="243"/>
      <c r="RJM1" s="243"/>
      <c r="RJN1" s="243"/>
      <c r="RJO1" s="243"/>
      <c r="RJP1" s="243"/>
      <c r="RJQ1" s="243"/>
      <c r="RJR1" s="243"/>
      <c r="RJS1" s="243"/>
      <c r="RJT1" s="243"/>
      <c r="RJU1" s="243" t="s">
        <v>127</v>
      </c>
      <c r="RJV1" s="243"/>
      <c r="RJW1" s="243"/>
      <c r="RJX1" s="243"/>
      <c r="RJY1" s="243"/>
      <c r="RJZ1" s="243"/>
      <c r="RKA1" s="243"/>
      <c r="RKB1" s="243"/>
      <c r="RKC1" s="243"/>
      <c r="RKD1" s="243"/>
      <c r="RKE1" s="243"/>
      <c r="RKF1" s="243"/>
      <c r="RKG1" s="243"/>
      <c r="RKH1" s="243"/>
      <c r="RKI1" s="243"/>
      <c r="RKJ1" s="243"/>
      <c r="RKK1" s="243" t="s">
        <v>127</v>
      </c>
      <c r="RKL1" s="243"/>
      <c r="RKM1" s="243"/>
      <c r="RKN1" s="243"/>
      <c r="RKO1" s="243"/>
      <c r="RKP1" s="243"/>
      <c r="RKQ1" s="243"/>
      <c r="RKR1" s="243"/>
      <c r="RKS1" s="243"/>
      <c r="RKT1" s="243"/>
      <c r="RKU1" s="243"/>
      <c r="RKV1" s="243"/>
      <c r="RKW1" s="243"/>
      <c r="RKX1" s="243"/>
      <c r="RKY1" s="243"/>
      <c r="RKZ1" s="243"/>
      <c r="RLA1" s="243" t="s">
        <v>127</v>
      </c>
      <c r="RLB1" s="243"/>
      <c r="RLC1" s="243"/>
      <c r="RLD1" s="243"/>
      <c r="RLE1" s="243"/>
      <c r="RLF1" s="243"/>
      <c r="RLG1" s="243"/>
      <c r="RLH1" s="243"/>
      <c r="RLI1" s="243"/>
      <c r="RLJ1" s="243"/>
      <c r="RLK1" s="243"/>
      <c r="RLL1" s="243"/>
      <c r="RLM1" s="243"/>
      <c r="RLN1" s="243"/>
      <c r="RLO1" s="243"/>
      <c r="RLP1" s="243"/>
      <c r="RLQ1" s="243" t="s">
        <v>127</v>
      </c>
      <c r="RLR1" s="243"/>
      <c r="RLS1" s="243"/>
      <c r="RLT1" s="243"/>
      <c r="RLU1" s="243"/>
      <c r="RLV1" s="243"/>
      <c r="RLW1" s="243"/>
      <c r="RLX1" s="243"/>
      <c r="RLY1" s="243"/>
      <c r="RLZ1" s="243"/>
      <c r="RMA1" s="243"/>
      <c r="RMB1" s="243"/>
      <c r="RMC1" s="243"/>
      <c r="RMD1" s="243"/>
      <c r="RME1" s="243"/>
      <c r="RMF1" s="243"/>
      <c r="RMG1" s="243" t="s">
        <v>127</v>
      </c>
      <c r="RMH1" s="243"/>
      <c r="RMI1" s="243"/>
      <c r="RMJ1" s="243"/>
      <c r="RMK1" s="243"/>
      <c r="RML1" s="243"/>
      <c r="RMM1" s="243"/>
      <c r="RMN1" s="243"/>
      <c r="RMO1" s="243"/>
      <c r="RMP1" s="243"/>
      <c r="RMQ1" s="243"/>
      <c r="RMR1" s="243"/>
      <c r="RMS1" s="243"/>
      <c r="RMT1" s="243"/>
      <c r="RMU1" s="243"/>
      <c r="RMV1" s="243"/>
      <c r="RMW1" s="243" t="s">
        <v>127</v>
      </c>
      <c r="RMX1" s="243"/>
      <c r="RMY1" s="243"/>
      <c r="RMZ1" s="243"/>
      <c r="RNA1" s="243"/>
      <c r="RNB1" s="243"/>
      <c r="RNC1" s="243"/>
      <c r="RND1" s="243"/>
      <c r="RNE1" s="243"/>
      <c r="RNF1" s="243"/>
      <c r="RNG1" s="243"/>
      <c r="RNH1" s="243"/>
      <c r="RNI1" s="243"/>
      <c r="RNJ1" s="243"/>
      <c r="RNK1" s="243"/>
      <c r="RNL1" s="243"/>
      <c r="RNM1" s="243" t="s">
        <v>127</v>
      </c>
      <c r="RNN1" s="243"/>
      <c r="RNO1" s="243"/>
      <c r="RNP1" s="243"/>
      <c r="RNQ1" s="243"/>
      <c r="RNR1" s="243"/>
      <c r="RNS1" s="243"/>
      <c r="RNT1" s="243"/>
      <c r="RNU1" s="243"/>
      <c r="RNV1" s="243"/>
      <c r="RNW1" s="243"/>
      <c r="RNX1" s="243"/>
      <c r="RNY1" s="243"/>
      <c r="RNZ1" s="243"/>
      <c r="ROA1" s="243"/>
      <c r="ROB1" s="243"/>
      <c r="ROC1" s="243" t="s">
        <v>127</v>
      </c>
      <c r="ROD1" s="243"/>
      <c r="ROE1" s="243"/>
      <c r="ROF1" s="243"/>
      <c r="ROG1" s="243"/>
      <c r="ROH1" s="243"/>
      <c r="ROI1" s="243"/>
      <c r="ROJ1" s="243"/>
      <c r="ROK1" s="243"/>
      <c r="ROL1" s="243"/>
      <c r="ROM1" s="243"/>
      <c r="RON1" s="243"/>
      <c r="ROO1" s="243"/>
      <c r="ROP1" s="243"/>
      <c r="ROQ1" s="243"/>
      <c r="ROR1" s="243"/>
      <c r="ROS1" s="243" t="s">
        <v>127</v>
      </c>
      <c r="ROT1" s="243"/>
      <c r="ROU1" s="243"/>
      <c r="ROV1" s="243"/>
      <c r="ROW1" s="243"/>
      <c r="ROX1" s="243"/>
      <c r="ROY1" s="243"/>
      <c r="ROZ1" s="243"/>
      <c r="RPA1" s="243"/>
      <c r="RPB1" s="243"/>
      <c r="RPC1" s="243"/>
      <c r="RPD1" s="243"/>
      <c r="RPE1" s="243"/>
      <c r="RPF1" s="243"/>
      <c r="RPG1" s="243"/>
      <c r="RPH1" s="243"/>
      <c r="RPI1" s="243" t="s">
        <v>127</v>
      </c>
      <c r="RPJ1" s="243"/>
      <c r="RPK1" s="243"/>
      <c r="RPL1" s="243"/>
      <c r="RPM1" s="243"/>
      <c r="RPN1" s="243"/>
      <c r="RPO1" s="243"/>
      <c r="RPP1" s="243"/>
      <c r="RPQ1" s="243"/>
      <c r="RPR1" s="243"/>
      <c r="RPS1" s="243"/>
      <c r="RPT1" s="243"/>
      <c r="RPU1" s="243"/>
      <c r="RPV1" s="243"/>
      <c r="RPW1" s="243"/>
      <c r="RPX1" s="243"/>
      <c r="RPY1" s="243" t="s">
        <v>127</v>
      </c>
      <c r="RPZ1" s="243"/>
      <c r="RQA1" s="243"/>
      <c r="RQB1" s="243"/>
      <c r="RQC1" s="243"/>
      <c r="RQD1" s="243"/>
      <c r="RQE1" s="243"/>
      <c r="RQF1" s="243"/>
      <c r="RQG1" s="243"/>
      <c r="RQH1" s="243"/>
      <c r="RQI1" s="243"/>
      <c r="RQJ1" s="243"/>
      <c r="RQK1" s="243"/>
      <c r="RQL1" s="243"/>
      <c r="RQM1" s="243"/>
      <c r="RQN1" s="243"/>
      <c r="RQO1" s="243" t="s">
        <v>127</v>
      </c>
      <c r="RQP1" s="243"/>
      <c r="RQQ1" s="243"/>
      <c r="RQR1" s="243"/>
      <c r="RQS1" s="243"/>
      <c r="RQT1" s="243"/>
      <c r="RQU1" s="243"/>
      <c r="RQV1" s="243"/>
      <c r="RQW1" s="243"/>
      <c r="RQX1" s="243"/>
      <c r="RQY1" s="243"/>
      <c r="RQZ1" s="243"/>
      <c r="RRA1" s="243"/>
      <c r="RRB1" s="243"/>
      <c r="RRC1" s="243"/>
      <c r="RRD1" s="243"/>
      <c r="RRE1" s="243" t="s">
        <v>127</v>
      </c>
      <c r="RRF1" s="243"/>
      <c r="RRG1" s="243"/>
      <c r="RRH1" s="243"/>
      <c r="RRI1" s="243"/>
      <c r="RRJ1" s="243"/>
      <c r="RRK1" s="243"/>
      <c r="RRL1" s="243"/>
      <c r="RRM1" s="243"/>
      <c r="RRN1" s="243"/>
      <c r="RRO1" s="243"/>
      <c r="RRP1" s="243"/>
      <c r="RRQ1" s="243"/>
      <c r="RRR1" s="243"/>
      <c r="RRS1" s="243"/>
      <c r="RRT1" s="243"/>
      <c r="RRU1" s="243" t="s">
        <v>127</v>
      </c>
      <c r="RRV1" s="243"/>
      <c r="RRW1" s="243"/>
      <c r="RRX1" s="243"/>
      <c r="RRY1" s="243"/>
      <c r="RRZ1" s="243"/>
      <c r="RSA1" s="243"/>
      <c r="RSB1" s="243"/>
      <c r="RSC1" s="243"/>
      <c r="RSD1" s="243"/>
      <c r="RSE1" s="243"/>
      <c r="RSF1" s="243"/>
      <c r="RSG1" s="243"/>
      <c r="RSH1" s="243"/>
      <c r="RSI1" s="243"/>
      <c r="RSJ1" s="243"/>
      <c r="RSK1" s="243" t="s">
        <v>127</v>
      </c>
      <c r="RSL1" s="243"/>
      <c r="RSM1" s="243"/>
      <c r="RSN1" s="243"/>
      <c r="RSO1" s="243"/>
      <c r="RSP1" s="243"/>
      <c r="RSQ1" s="243"/>
      <c r="RSR1" s="243"/>
      <c r="RSS1" s="243"/>
      <c r="RST1" s="243"/>
      <c r="RSU1" s="243"/>
      <c r="RSV1" s="243"/>
      <c r="RSW1" s="243"/>
      <c r="RSX1" s="243"/>
      <c r="RSY1" s="243"/>
      <c r="RSZ1" s="243"/>
      <c r="RTA1" s="243" t="s">
        <v>127</v>
      </c>
      <c r="RTB1" s="243"/>
      <c r="RTC1" s="243"/>
      <c r="RTD1" s="243"/>
      <c r="RTE1" s="243"/>
      <c r="RTF1" s="243"/>
      <c r="RTG1" s="243"/>
      <c r="RTH1" s="243"/>
      <c r="RTI1" s="243"/>
      <c r="RTJ1" s="243"/>
      <c r="RTK1" s="243"/>
      <c r="RTL1" s="243"/>
      <c r="RTM1" s="243"/>
      <c r="RTN1" s="243"/>
      <c r="RTO1" s="243"/>
      <c r="RTP1" s="243"/>
      <c r="RTQ1" s="243" t="s">
        <v>127</v>
      </c>
      <c r="RTR1" s="243"/>
      <c r="RTS1" s="243"/>
      <c r="RTT1" s="243"/>
      <c r="RTU1" s="243"/>
      <c r="RTV1" s="243"/>
      <c r="RTW1" s="243"/>
      <c r="RTX1" s="243"/>
      <c r="RTY1" s="243"/>
      <c r="RTZ1" s="243"/>
      <c r="RUA1" s="243"/>
      <c r="RUB1" s="243"/>
      <c r="RUC1" s="243"/>
      <c r="RUD1" s="243"/>
      <c r="RUE1" s="243"/>
      <c r="RUF1" s="243"/>
      <c r="RUG1" s="243" t="s">
        <v>127</v>
      </c>
      <c r="RUH1" s="243"/>
      <c r="RUI1" s="243"/>
      <c r="RUJ1" s="243"/>
      <c r="RUK1" s="243"/>
      <c r="RUL1" s="243"/>
      <c r="RUM1" s="243"/>
      <c r="RUN1" s="243"/>
      <c r="RUO1" s="243"/>
      <c r="RUP1" s="243"/>
      <c r="RUQ1" s="243"/>
      <c r="RUR1" s="243"/>
      <c r="RUS1" s="243"/>
      <c r="RUT1" s="243"/>
      <c r="RUU1" s="243"/>
      <c r="RUV1" s="243"/>
      <c r="RUW1" s="243" t="s">
        <v>127</v>
      </c>
      <c r="RUX1" s="243"/>
      <c r="RUY1" s="243"/>
      <c r="RUZ1" s="243"/>
      <c r="RVA1" s="243"/>
      <c r="RVB1" s="243"/>
      <c r="RVC1" s="243"/>
      <c r="RVD1" s="243"/>
      <c r="RVE1" s="243"/>
      <c r="RVF1" s="243"/>
      <c r="RVG1" s="243"/>
      <c r="RVH1" s="243"/>
      <c r="RVI1" s="243"/>
      <c r="RVJ1" s="243"/>
      <c r="RVK1" s="243"/>
      <c r="RVL1" s="243"/>
      <c r="RVM1" s="243" t="s">
        <v>127</v>
      </c>
      <c r="RVN1" s="243"/>
      <c r="RVO1" s="243"/>
      <c r="RVP1" s="243"/>
      <c r="RVQ1" s="243"/>
      <c r="RVR1" s="243"/>
      <c r="RVS1" s="243"/>
      <c r="RVT1" s="243"/>
      <c r="RVU1" s="243"/>
      <c r="RVV1" s="243"/>
      <c r="RVW1" s="243"/>
      <c r="RVX1" s="243"/>
      <c r="RVY1" s="243"/>
      <c r="RVZ1" s="243"/>
      <c r="RWA1" s="243"/>
      <c r="RWB1" s="243"/>
      <c r="RWC1" s="243" t="s">
        <v>127</v>
      </c>
      <c r="RWD1" s="243"/>
      <c r="RWE1" s="243"/>
      <c r="RWF1" s="243"/>
      <c r="RWG1" s="243"/>
      <c r="RWH1" s="243"/>
      <c r="RWI1" s="243"/>
      <c r="RWJ1" s="243"/>
      <c r="RWK1" s="243"/>
      <c r="RWL1" s="243"/>
      <c r="RWM1" s="243"/>
      <c r="RWN1" s="243"/>
      <c r="RWO1" s="243"/>
      <c r="RWP1" s="243"/>
      <c r="RWQ1" s="243"/>
      <c r="RWR1" s="243"/>
      <c r="RWS1" s="243" t="s">
        <v>127</v>
      </c>
      <c r="RWT1" s="243"/>
      <c r="RWU1" s="243"/>
      <c r="RWV1" s="243"/>
      <c r="RWW1" s="243"/>
      <c r="RWX1" s="243"/>
      <c r="RWY1" s="243"/>
      <c r="RWZ1" s="243"/>
      <c r="RXA1" s="243"/>
      <c r="RXB1" s="243"/>
      <c r="RXC1" s="243"/>
      <c r="RXD1" s="243"/>
      <c r="RXE1" s="243"/>
      <c r="RXF1" s="243"/>
      <c r="RXG1" s="243"/>
      <c r="RXH1" s="243"/>
      <c r="RXI1" s="243" t="s">
        <v>127</v>
      </c>
      <c r="RXJ1" s="243"/>
      <c r="RXK1" s="243"/>
      <c r="RXL1" s="243"/>
      <c r="RXM1" s="243"/>
      <c r="RXN1" s="243"/>
      <c r="RXO1" s="243"/>
      <c r="RXP1" s="243"/>
      <c r="RXQ1" s="243"/>
      <c r="RXR1" s="243"/>
      <c r="RXS1" s="243"/>
      <c r="RXT1" s="243"/>
      <c r="RXU1" s="243"/>
      <c r="RXV1" s="243"/>
      <c r="RXW1" s="243"/>
      <c r="RXX1" s="243"/>
      <c r="RXY1" s="243" t="s">
        <v>127</v>
      </c>
      <c r="RXZ1" s="243"/>
      <c r="RYA1" s="243"/>
      <c r="RYB1" s="243"/>
      <c r="RYC1" s="243"/>
      <c r="RYD1" s="243"/>
      <c r="RYE1" s="243"/>
      <c r="RYF1" s="243"/>
      <c r="RYG1" s="243"/>
      <c r="RYH1" s="243"/>
      <c r="RYI1" s="243"/>
      <c r="RYJ1" s="243"/>
      <c r="RYK1" s="243"/>
      <c r="RYL1" s="243"/>
      <c r="RYM1" s="243"/>
      <c r="RYN1" s="243"/>
      <c r="RYO1" s="243" t="s">
        <v>127</v>
      </c>
      <c r="RYP1" s="243"/>
      <c r="RYQ1" s="243"/>
      <c r="RYR1" s="243"/>
      <c r="RYS1" s="243"/>
      <c r="RYT1" s="243"/>
      <c r="RYU1" s="243"/>
      <c r="RYV1" s="243"/>
      <c r="RYW1" s="243"/>
      <c r="RYX1" s="243"/>
      <c r="RYY1" s="243"/>
      <c r="RYZ1" s="243"/>
      <c r="RZA1" s="243"/>
      <c r="RZB1" s="243"/>
      <c r="RZC1" s="243"/>
      <c r="RZD1" s="243"/>
      <c r="RZE1" s="243" t="s">
        <v>127</v>
      </c>
      <c r="RZF1" s="243"/>
      <c r="RZG1" s="243"/>
      <c r="RZH1" s="243"/>
      <c r="RZI1" s="243"/>
      <c r="RZJ1" s="243"/>
      <c r="RZK1" s="243"/>
      <c r="RZL1" s="243"/>
      <c r="RZM1" s="243"/>
      <c r="RZN1" s="243"/>
      <c r="RZO1" s="243"/>
      <c r="RZP1" s="243"/>
      <c r="RZQ1" s="243"/>
      <c r="RZR1" s="243"/>
      <c r="RZS1" s="243"/>
      <c r="RZT1" s="243"/>
      <c r="RZU1" s="243" t="s">
        <v>127</v>
      </c>
      <c r="RZV1" s="243"/>
      <c r="RZW1" s="243"/>
      <c r="RZX1" s="243"/>
      <c r="RZY1" s="243"/>
      <c r="RZZ1" s="243"/>
      <c r="SAA1" s="243"/>
      <c r="SAB1" s="243"/>
      <c r="SAC1" s="243"/>
      <c r="SAD1" s="243"/>
      <c r="SAE1" s="243"/>
      <c r="SAF1" s="243"/>
      <c r="SAG1" s="243"/>
      <c r="SAH1" s="243"/>
      <c r="SAI1" s="243"/>
      <c r="SAJ1" s="243"/>
      <c r="SAK1" s="243" t="s">
        <v>127</v>
      </c>
      <c r="SAL1" s="243"/>
      <c r="SAM1" s="243"/>
      <c r="SAN1" s="243"/>
      <c r="SAO1" s="243"/>
      <c r="SAP1" s="243"/>
      <c r="SAQ1" s="243"/>
      <c r="SAR1" s="243"/>
      <c r="SAS1" s="243"/>
      <c r="SAT1" s="243"/>
      <c r="SAU1" s="243"/>
      <c r="SAV1" s="243"/>
      <c r="SAW1" s="243"/>
      <c r="SAX1" s="243"/>
      <c r="SAY1" s="243"/>
      <c r="SAZ1" s="243"/>
      <c r="SBA1" s="243" t="s">
        <v>127</v>
      </c>
      <c r="SBB1" s="243"/>
      <c r="SBC1" s="243"/>
      <c r="SBD1" s="243"/>
      <c r="SBE1" s="243"/>
      <c r="SBF1" s="243"/>
      <c r="SBG1" s="243"/>
      <c r="SBH1" s="243"/>
      <c r="SBI1" s="243"/>
      <c r="SBJ1" s="243"/>
      <c r="SBK1" s="243"/>
      <c r="SBL1" s="243"/>
      <c r="SBM1" s="243"/>
      <c r="SBN1" s="243"/>
      <c r="SBO1" s="243"/>
      <c r="SBP1" s="243"/>
      <c r="SBQ1" s="243" t="s">
        <v>127</v>
      </c>
      <c r="SBR1" s="243"/>
      <c r="SBS1" s="243"/>
      <c r="SBT1" s="243"/>
      <c r="SBU1" s="243"/>
      <c r="SBV1" s="243"/>
      <c r="SBW1" s="243"/>
      <c r="SBX1" s="243"/>
      <c r="SBY1" s="243"/>
      <c r="SBZ1" s="243"/>
      <c r="SCA1" s="243"/>
      <c r="SCB1" s="243"/>
      <c r="SCC1" s="243"/>
      <c r="SCD1" s="243"/>
      <c r="SCE1" s="243"/>
      <c r="SCF1" s="243"/>
      <c r="SCG1" s="243" t="s">
        <v>127</v>
      </c>
      <c r="SCH1" s="243"/>
      <c r="SCI1" s="243"/>
      <c r="SCJ1" s="243"/>
      <c r="SCK1" s="243"/>
      <c r="SCL1" s="243"/>
      <c r="SCM1" s="243"/>
      <c r="SCN1" s="243"/>
      <c r="SCO1" s="243"/>
      <c r="SCP1" s="243"/>
      <c r="SCQ1" s="243"/>
      <c r="SCR1" s="243"/>
      <c r="SCS1" s="243"/>
      <c r="SCT1" s="243"/>
      <c r="SCU1" s="243"/>
      <c r="SCV1" s="243"/>
      <c r="SCW1" s="243" t="s">
        <v>127</v>
      </c>
      <c r="SCX1" s="243"/>
      <c r="SCY1" s="243"/>
      <c r="SCZ1" s="243"/>
      <c r="SDA1" s="243"/>
      <c r="SDB1" s="243"/>
      <c r="SDC1" s="243"/>
      <c r="SDD1" s="243"/>
      <c r="SDE1" s="243"/>
      <c r="SDF1" s="243"/>
      <c r="SDG1" s="243"/>
      <c r="SDH1" s="243"/>
      <c r="SDI1" s="243"/>
      <c r="SDJ1" s="243"/>
      <c r="SDK1" s="243"/>
      <c r="SDL1" s="243"/>
      <c r="SDM1" s="243" t="s">
        <v>127</v>
      </c>
      <c r="SDN1" s="243"/>
      <c r="SDO1" s="243"/>
      <c r="SDP1" s="243"/>
      <c r="SDQ1" s="243"/>
      <c r="SDR1" s="243"/>
      <c r="SDS1" s="243"/>
      <c r="SDT1" s="243"/>
      <c r="SDU1" s="243"/>
      <c r="SDV1" s="243"/>
      <c r="SDW1" s="243"/>
      <c r="SDX1" s="243"/>
      <c r="SDY1" s="243"/>
      <c r="SDZ1" s="243"/>
      <c r="SEA1" s="243"/>
      <c r="SEB1" s="243"/>
      <c r="SEC1" s="243" t="s">
        <v>127</v>
      </c>
      <c r="SED1" s="243"/>
      <c r="SEE1" s="243"/>
      <c r="SEF1" s="243"/>
      <c r="SEG1" s="243"/>
      <c r="SEH1" s="243"/>
      <c r="SEI1" s="243"/>
      <c r="SEJ1" s="243"/>
      <c r="SEK1" s="243"/>
      <c r="SEL1" s="243"/>
      <c r="SEM1" s="243"/>
      <c r="SEN1" s="243"/>
      <c r="SEO1" s="243"/>
      <c r="SEP1" s="243"/>
      <c r="SEQ1" s="243"/>
      <c r="SER1" s="243"/>
      <c r="SES1" s="243" t="s">
        <v>127</v>
      </c>
      <c r="SET1" s="243"/>
      <c r="SEU1" s="243"/>
      <c r="SEV1" s="243"/>
      <c r="SEW1" s="243"/>
      <c r="SEX1" s="243"/>
      <c r="SEY1" s="243"/>
      <c r="SEZ1" s="243"/>
      <c r="SFA1" s="243"/>
      <c r="SFB1" s="243"/>
      <c r="SFC1" s="243"/>
      <c r="SFD1" s="243"/>
      <c r="SFE1" s="243"/>
      <c r="SFF1" s="243"/>
      <c r="SFG1" s="243"/>
      <c r="SFH1" s="243"/>
      <c r="SFI1" s="243" t="s">
        <v>127</v>
      </c>
      <c r="SFJ1" s="243"/>
      <c r="SFK1" s="243"/>
      <c r="SFL1" s="243"/>
      <c r="SFM1" s="243"/>
      <c r="SFN1" s="243"/>
      <c r="SFO1" s="243"/>
      <c r="SFP1" s="243"/>
      <c r="SFQ1" s="243"/>
      <c r="SFR1" s="243"/>
      <c r="SFS1" s="243"/>
      <c r="SFT1" s="243"/>
      <c r="SFU1" s="243"/>
      <c r="SFV1" s="243"/>
      <c r="SFW1" s="243"/>
      <c r="SFX1" s="243"/>
      <c r="SFY1" s="243" t="s">
        <v>127</v>
      </c>
      <c r="SFZ1" s="243"/>
      <c r="SGA1" s="243"/>
      <c r="SGB1" s="243"/>
      <c r="SGC1" s="243"/>
      <c r="SGD1" s="243"/>
      <c r="SGE1" s="243"/>
      <c r="SGF1" s="243"/>
      <c r="SGG1" s="243"/>
      <c r="SGH1" s="243"/>
      <c r="SGI1" s="243"/>
      <c r="SGJ1" s="243"/>
      <c r="SGK1" s="243"/>
      <c r="SGL1" s="243"/>
      <c r="SGM1" s="243"/>
      <c r="SGN1" s="243"/>
      <c r="SGO1" s="243" t="s">
        <v>127</v>
      </c>
      <c r="SGP1" s="243"/>
      <c r="SGQ1" s="243"/>
      <c r="SGR1" s="243"/>
      <c r="SGS1" s="243"/>
      <c r="SGT1" s="243"/>
      <c r="SGU1" s="243"/>
      <c r="SGV1" s="243"/>
      <c r="SGW1" s="243"/>
      <c r="SGX1" s="243"/>
      <c r="SGY1" s="243"/>
      <c r="SGZ1" s="243"/>
      <c r="SHA1" s="243"/>
      <c r="SHB1" s="243"/>
      <c r="SHC1" s="243"/>
      <c r="SHD1" s="243"/>
      <c r="SHE1" s="243" t="s">
        <v>127</v>
      </c>
      <c r="SHF1" s="243"/>
      <c r="SHG1" s="243"/>
      <c r="SHH1" s="243"/>
      <c r="SHI1" s="243"/>
      <c r="SHJ1" s="243"/>
      <c r="SHK1" s="243"/>
      <c r="SHL1" s="243"/>
      <c r="SHM1" s="243"/>
      <c r="SHN1" s="243"/>
      <c r="SHO1" s="243"/>
      <c r="SHP1" s="243"/>
      <c r="SHQ1" s="243"/>
      <c r="SHR1" s="243"/>
      <c r="SHS1" s="243"/>
      <c r="SHT1" s="243"/>
      <c r="SHU1" s="243" t="s">
        <v>127</v>
      </c>
      <c r="SHV1" s="243"/>
      <c r="SHW1" s="243"/>
      <c r="SHX1" s="243"/>
      <c r="SHY1" s="243"/>
      <c r="SHZ1" s="243"/>
      <c r="SIA1" s="243"/>
      <c r="SIB1" s="243"/>
      <c r="SIC1" s="243"/>
      <c r="SID1" s="243"/>
      <c r="SIE1" s="243"/>
      <c r="SIF1" s="243"/>
      <c r="SIG1" s="243"/>
      <c r="SIH1" s="243"/>
      <c r="SII1" s="243"/>
      <c r="SIJ1" s="243"/>
      <c r="SIK1" s="243" t="s">
        <v>127</v>
      </c>
      <c r="SIL1" s="243"/>
      <c r="SIM1" s="243"/>
      <c r="SIN1" s="243"/>
      <c r="SIO1" s="243"/>
      <c r="SIP1" s="243"/>
      <c r="SIQ1" s="243"/>
      <c r="SIR1" s="243"/>
      <c r="SIS1" s="243"/>
      <c r="SIT1" s="243"/>
      <c r="SIU1" s="243"/>
      <c r="SIV1" s="243"/>
      <c r="SIW1" s="243"/>
      <c r="SIX1" s="243"/>
      <c r="SIY1" s="243"/>
      <c r="SIZ1" s="243"/>
      <c r="SJA1" s="243" t="s">
        <v>127</v>
      </c>
      <c r="SJB1" s="243"/>
      <c r="SJC1" s="243"/>
      <c r="SJD1" s="243"/>
      <c r="SJE1" s="243"/>
      <c r="SJF1" s="243"/>
      <c r="SJG1" s="243"/>
      <c r="SJH1" s="243"/>
      <c r="SJI1" s="243"/>
      <c r="SJJ1" s="243"/>
      <c r="SJK1" s="243"/>
      <c r="SJL1" s="243"/>
      <c r="SJM1" s="243"/>
      <c r="SJN1" s="243"/>
      <c r="SJO1" s="243"/>
      <c r="SJP1" s="243"/>
      <c r="SJQ1" s="243" t="s">
        <v>127</v>
      </c>
      <c r="SJR1" s="243"/>
      <c r="SJS1" s="243"/>
      <c r="SJT1" s="243"/>
      <c r="SJU1" s="243"/>
      <c r="SJV1" s="243"/>
      <c r="SJW1" s="243"/>
      <c r="SJX1" s="243"/>
      <c r="SJY1" s="243"/>
      <c r="SJZ1" s="243"/>
      <c r="SKA1" s="243"/>
      <c r="SKB1" s="243"/>
      <c r="SKC1" s="243"/>
      <c r="SKD1" s="243"/>
      <c r="SKE1" s="243"/>
      <c r="SKF1" s="243"/>
      <c r="SKG1" s="243" t="s">
        <v>127</v>
      </c>
      <c r="SKH1" s="243"/>
      <c r="SKI1" s="243"/>
      <c r="SKJ1" s="243"/>
      <c r="SKK1" s="243"/>
      <c r="SKL1" s="243"/>
      <c r="SKM1" s="243"/>
      <c r="SKN1" s="243"/>
      <c r="SKO1" s="243"/>
      <c r="SKP1" s="243"/>
      <c r="SKQ1" s="243"/>
      <c r="SKR1" s="243"/>
      <c r="SKS1" s="243"/>
      <c r="SKT1" s="243"/>
      <c r="SKU1" s="243"/>
      <c r="SKV1" s="243"/>
      <c r="SKW1" s="243" t="s">
        <v>127</v>
      </c>
      <c r="SKX1" s="243"/>
      <c r="SKY1" s="243"/>
      <c r="SKZ1" s="243"/>
      <c r="SLA1" s="243"/>
      <c r="SLB1" s="243"/>
      <c r="SLC1" s="243"/>
      <c r="SLD1" s="243"/>
      <c r="SLE1" s="243"/>
      <c r="SLF1" s="243"/>
      <c r="SLG1" s="243"/>
      <c r="SLH1" s="243"/>
      <c r="SLI1" s="243"/>
      <c r="SLJ1" s="243"/>
      <c r="SLK1" s="243"/>
      <c r="SLL1" s="243"/>
      <c r="SLM1" s="243" t="s">
        <v>127</v>
      </c>
      <c r="SLN1" s="243"/>
      <c r="SLO1" s="243"/>
      <c r="SLP1" s="243"/>
      <c r="SLQ1" s="243"/>
      <c r="SLR1" s="243"/>
      <c r="SLS1" s="243"/>
      <c r="SLT1" s="243"/>
      <c r="SLU1" s="243"/>
      <c r="SLV1" s="243"/>
      <c r="SLW1" s="243"/>
      <c r="SLX1" s="243"/>
      <c r="SLY1" s="243"/>
      <c r="SLZ1" s="243"/>
      <c r="SMA1" s="243"/>
      <c r="SMB1" s="243"/>
      <c r="SMC1" s="243" t="s">
        <v>127</v>
      </c>
      <c r="SMD1" s="243"/>
      <c r="SME1" s="243"/>
      <c r="SMF1" s="243"/>
      <c r="SMG1" s="243"/>
      <c r="SMH1" s="243"/>
      <c r="SMI1" s="243"/>
      <c r="SMJ1" s="243"/>
      <c r="SMK1" s="243"/>
      <c r="SML1" s="243"/>
      <c r="SMM1" s="243"/>
      <c r="SMN1" s="243"/>
      <c r="SMO1" s="243"/>
      <c r="SMP1" s="243"/>
      <c r="SMQ1" s="243"/>
      <c r="SMR1" s="243"/>
      <c r="SMS1" s="243" t="s">
        <v>127</v>
      </c>
      <c r="SMT1" s="243"/>
      <c r="SMU1" s="243"/>
      <c r="SMV1" s="243"/>
      <c r="SMW1" s="243"/>
      <c r="SMX1" s="243"/>
      <c r="SMY1" s="243"/>
      <c r="SMZ1" s="243"/>
      <c r="SNA1" s="243"/>
      <c r="SNB1" s="243"/>
      <c r="SNC1" s="243"/>
      <c r="SND1" s="243"/>
      <c r="SNE1" s="243"/>
      <c r="SNF1" s="243"/>
      <c r="SNG1" s="243"/>
      <c r="SNH1" s="243"/>
      <c r="SNI1" s="243" t="s">
        <v>127</v>
      </c>
      <c r="SNJ1" s="243"/>
      <c r="SNK1" s="243"/>
      <c r="SNL1" s="243"/>
      <c r="SNM1" s="243"/>
      <c r="SNN1" s="243"/>
      <c r="SNO1" s="243"/>
      <c r="SNP1" s="243"/>
      <c r="SNQ1" s="243"/>
      <c r="SNR1" s="243"/>
      <c r="SNS1" s="243"/>
      <c r="SNT1" s="243"/>
      <c r="SNU1" s="243"/>
      <c r="SNV1" s="243"/>
      <c r="SNW1" s="243"/>
      <c r="SNX1" s="243"/>
      <c r="SNY1" s="243" t="s">
        <v>127</v>
      </c>
      <c r="SNZ1" s="243"/>
      <c r="SOA1" s="243"/>
      <c r="SOB1" s="243"/>
      <c r="SOC1" s="243"/>
      <c r="SOD1" s="243"/>
      <c r="SOE1" s="243"/>
      <c r="SOF1" s="243"/>
      <c r="SOG1" s="243"/>
      <c r="SOH1" s="243"/>
      <c r="SOI1" s="243"/>
      <c r="SOJ1" s="243"/>
      <c r="SOK1" s="243"/>
      <c r="SOL1" s="243"/>
      <c r="SOM1" s="243"/>
      <c r="SON1" s="243"/>
      <c r="SOO1" s="243" t="s">
        <v>127</v>
      </c>
      <c r="SOP1" s="243"/>
      <c r="SOQ1" s="243"/>
      <c r="SOR1" s="243"/>
      <c r="SOS1" s="243"/>
      <c r="SOT1" s="243"/>
      <c r="SOU1" s="243"/>
      <c r="SOV1" s="243"/>
      <c r="SOW1" s="243"/>
      <c r="SOX1" s="243"/>
      <c r="SOY1" s="243"/>
      <c r="SOZ1" s="243"/>
      <c r="SPA1" s="243"/>
      <c r="SPB1" s="243"/>
      <c r="SPC1" s="243"/>
      <c r="SPD1" s="243"/>
      <c r="SPE1" s="243" t="s">
        <v>127</v>
      </c>
      <c r="SPF1" s="243"/>
      <c r="SPG1" s="243"/>
      <c r="SPH1" s="243"/>
      <c r="SPI1" s="243"/>
      <c r="SPJ1" s="243"/>
      <c r="SPK1" s="243"/>
      <c r="SPL1" s="243"/>
      <c r="SPM1" s="243"/>
      <c r="SPN1" s="243"/>
      <c r="SPO1" s="243"/>
      <c r="SPP1" s="243"/>
      <c r="SPQ1" s="243"/>
      <c r="SPR1" s="243"/>
      <c r="SPS1" s="243"/>
      <c r="SPT1" s="243"/>
      <c r="SPU1" s="243" t="s">
        <v>127</v>
      </c>
      <c r="SPV1" s="243"/>
      <c r="SPW1" s="243"/>
      <c r="SPX1" s="243"/>
      <c r="SPY1" s="243"/>
      <c r="SPZ1" s="243"/>
      <c r="SQA1" s="243"/>
      <c r="SQB1" s="243"/>
      <c r="SQC1" s="243"/>
      <c r="SQD1" s="243"/>
      <c r="SQE1" s="243"/>
      <c r="SQF1" s="243"/>
      <c r="SQG1" s="243"/>
      <c r="SQH1" s="243"/>
      <c r="SQI1" s="243"/>
      <c r="SQJ1" s="243"/>
      <c r="SQK1" s="243" t="s">
        <v>127</v>
      </c>
      <c r="SQL1" s="243"/>
      <c r="SQM1" s="243"/>
      <c r="SQN1" s="243"/>
      <c r="SQO1" s="243"/>
      <c r="SQP1" s="243"/>
      <c r="SQQ1" s="243"/>
      <c r="SQR1" s="243"/>
      <c r="SQS1" s="243"/>
      <c r="SQT1" s="243"/>
      <c r="SQU1" s="243"/>
      <c r="SQV1" s="243"/>
      <c r="SQW1" s="243"/>
      <c r="SQX1" s="243"/>
      <c r="SQY1" s="243"/>
      <c r="SQZ1" s="243"/>
      <c r="SRA1" s="243" t="s">
        <v>127</v>
      </c>
      <c r="SRB1" s="243"/>
      <c r="SRC1" s="243"/>
      <c r="SRD1" s="243"/>
      <c r="SRE1" s="243"/>
      <c r="SRF1" s="243"/>
      <c r="SRG1" s="243"/>
      <c r="SRH1" s="243"/>
      <c r="SRI1" s="243"/>
      <c r="SRJ1" s="243"/>
      <c r="SRK1" s="243"/>
      <c r="SRL1" s="243"/>
      <c r="SRM1" s="243"/>
      <c r="SRN1" s="243"/>
      <c r="SRO1" s="243"/>
      <c r="SRP1" s="243"/>
      <c r="SRQ1" s="243" t="s">
        <v>127</v>
      </c>
      <c r="SRR1" s="243"/>
      <c r="SRS1" s="243"/>
      <c r="SRT1" s="243"/>
      <c r="SRU1" s="243"/>
      <c r="SRV1" s="243"/>
      <c r="SRW1" s="243"/>
      <c r="SRX1" s="243"/>
      <c r="SRY1" s="243"/>
      <c r="SRZ1" s="243"/>
      <c r="SSA1" s="243"/>
      <c r="SSB1" s="243"/>
      <c r="SSC1" s="243"/>
      <c r="SSD1" s="243"/>
      <c r="SSE1" s="243"/>
      <c r="SSF1" s="243"/>
      <c r="SSG1" s="243" t="s">
        <v>127</v>
      </c>
      <c r="SSH1" s="243"/>
      <c r="SSI1" s="243"/>
      <c r="SSJ1" s="243"/>
      <c r="SSK1" s="243"/>
      <c r="SSL1" s="243"/>
      <c r="SSM1" s="243"/>
      <c r="SSN1" s="243"/>
      <c r="SSO1" s="243"/>
      <c r="SSP1" s="243"/>
      <c r="SSQ1" s="243"/>
      <c r="SSR1" s="243"/>
      <c r="SSS1" s="243"/>
      <c r="SST1" s="243"/>
      <c r="SSU1" s="243"/>
      <c r="SSV1" s="243"/>
      <c r="SSW1" s="243" t="s">
        <v>127</v>
      </c>
      <c r="SSX1" s="243"/>
      <c r="SSY1" s="243"/>
      <c r="SSZ1" s="243"/>
      <c r="STA1" s="243"/>
      <c r="STB1" s="243"/>
      <c r="STC1" s="243"/>
      <c r="STD1" s="243"/>
      <c r="STE1" s="243"/>
      <c r="STF1" s="243"/>
      <c r="STG1" s="243"/>
      <c r="STH1" s="243"/>
      <c r="STI1" s="243"/>
      <c r="STJ1" s="243"/>
      <c r="STK1" s="243"/>
      <c r="STL1" s="243"/>
      <c r="STM1" s="243" t="s">
        <v>127</v>
      </c>
      <c r="STN1" s="243"/>
      <c r="STO1" s="243"/>
      <c r="STP1" s="243"/>
      <c r="STQ1" s="243"/>
      <c r="STR1" s="243"/>
      <c r="STS1" s="243"/>
      <c r="STT1" s="243"/>
      <c r="STU1" s="243"/>
      <c r="STV1" s="243"/>
      <c r="STW1" s="243"/>
      <c r="STX1" s="243"/>
      <c r="STY1" s="243"/>
      <c r="STZ1" s="243"/>
      <c r="SUA1" s="243"/>
      <c r="SUB1" s="243"/>
      <c r="SUC1" s="243" t="s">
        <v>127</v>
      </c>
      <c r="SUD1" s="243"/>
      <c r="SUE1" s="243"/>
      <c r="SUF1" s="243"/>
      <c r="SUG1" s="243"/>
      <c r="SUH1" s="243"/>
      <c r="SUI1" s="243"/>
      <c r="SUJ1" s="243"/>
      <c r="SUK1" s="243"/>
      <c r="SUL1" s="243"/>
      <c r="SUM1" s="243"/>
      <c r="SUN1" s="243"/>
      <c r="SUO1" s="243"/>
      <c r="SUP1" s="243"/>
      <c r="SUQ1" s="243"/>
      <c r="SUR1" s="243"/>
      <c r="SUS1" s="243" t="s">
        <v>127</v>
      </c>
      <c r="SUT1" s="243"/>
      <c r="SUU1" s="243"/>
      <c r="SUV1" s="243"/>
      <c r="SUW1" s="243"/>
      <c r="SUX1" s="243"/>
      <c r="SUY1" s="243"/>
      <c r="SUZ1" s="243"/>
      <c r="SVA1" s="243"/>
      <c r="SVB1" s="243"/>
      <c r="SVC1" s="243"/>
      <c r="SVD1" s="243"/>
      <c r="SVE1" s="243"/>
      <c r="SVF1" s="243"/>
      <c r="SVG1" s="243"/>
      <c r="SVH1" s="243"/>
      <c r="SVI1" s="243" t="s">
        <v>127</v>
      </c>
      <c r="SVJ1" s="243"/>
      <c r="SVK1" s="243"/>
      <c r="SVL1" s="243"/>
      <c r="SVM1" s="243"/>
      <c r="SVN1" s="243"/>
      <c r="SVO1" s="243"/>
      <c r="SVP1" s="243"/>
      <c r="SVQ1" s="243"/>
      <c r="SVR1" s="243"/>
      <c r="SVS1" s="243"/>
      <c r="SVT1" s="243"/>
      <c r="SVU1" s="243"/>
      <c r="SVV1" s="243"/>
      <c r="SVW1" s="243"/>
      <c r="SVX1" s="243"/>
      <c r="SVY1" s="243" t="s">
        <v>127</v>
      </c>
      <c r="SVZ1" s="243"/>
      <c r="SWA1" s="243"/>
      <c r="SWB1" s="243"/>
      <c r="SWC1" s="243"/>
      <c r="SWD1" s="243"/>
      <c r="SWE1" s="243"/>
      <c r="SWF1" s="243"/>
      <c r="SWG1" s="243"/>
      <c r="SWH1" s="243"/>
      <c r="SWI1" s="243"/>
      <c r="SWJ1" s="243"/>
      <c r="SWK1" s="243"/>
      <c r="SWL1" s="243"/>
      <c r="SWM1" s="243"/>
      <c r="SWN1" s="243"/>
      <c r="SWO1" s="243" t="s">
        <v>127</v>
      </c>
      <c r="SWP1" s="243"/>
      <c r="SWQ1" s="243"/>
      <c r="SWR1" s="243"/>
      <c r="SWS1" s="243"/>
      <c r="SWT1" s="243"/>
      <c r="SWU1" s="243"/>
      <c r="SWV1" s="243"/>
      <c r="SWW1" s="243"/>
      <c r="SWX1" s="243"/>
      <c r="SWY1" s="243"/>
      <c r="SWZ1" s="243"/>
      <c r="SXA1" s="243"/>
      <c r="SXB1" s="243"/>
      <c r="SXC1" s="243"/>
      <c r="SXD1" s="243"/>
      <c r="SXE1" s="243" t="s">
        <v>127</v>
      </c>
      <c r="SXF1" s="243"/>
      <c r="SXG1" s="243"/>
      <c r="SXH1" s="243"/>
      <c r="SXI1" s="243"/>
      <c r="SXJ1" s="243"/>
      <c r="SXK1" s="243"/>
      <c r="SXL1" s="243"/>
      <c r="SXM1" s="243"/>
      <c r="SXN1" s="243"/>
      <c r="SXO1" s="243"/>
      <c r="SXP1" s="243"/>
      <c r="SXQ1" s="243"/>
      <c r="SXR1" s="243"/>
      <c r="SXS1" s="243"/>
      <c r="SXT1" s="243"/>
      <c r="SXU1" s="243" t="s">
        <v>127</v>
      </c>
      <c r="SXV1" s="243"/>
      <c r="SXW1" s="243"/>
      <c r="SXX1" s="243"/>
      <c r="SXY1" s="243"/>
      <c r="SXZ1" s="243"/>
      <c r="SYA1" s="243"/>
      <c r="SYB1" s="243"/>
      <c r="SYC1" s="243"/>
      <c r="SYD1" s="243"/>
      <c r="SYE1" s="243"/>
      <c r="SYF1" s="243"/>
      <c r="SYG1" s="243"/>
      <c r="SYH1" s="243"/>
      <c r="SYI1" s="243"/>
      <c r="SYJ1" s="243"/>
      <c r="SYK1" s="243" t="s">
        <v>127</v>
      </c>
      <c r="SYL1" s="243"/>
      <c r="SYM1" s="243"/>
      <c r="SYN1" s="243"/>
      <c r="SYO1" s="243"/>
      <c r="SYP1" s="243"/>
      <c r="SYQ1" s="243"/>
      <c r="SYR1" s="243"/>
      <c r="SYS1" s="243"/>
      <c r="SYT1" s="243"/>
      <c r="SYU1" s="243"/>
      <c r="SYV1" s="243"/>
      <c r="SYW1" s="243"/>
      <c r="SYX1" s="243"/>
      <c r="SYY1" s="243"/>
      <c r="SYZ1" s="243"/>
      <c r="SZA1" s="243" t="s">
        <v>127</v>
      </c>
      <c r="SZB1" s="243"/>
      <c r="SZC1" s="243"/>
      <c r="SZD1" s="243"/>
      <c r="SZE1" s="243"/>
      <c r="SZF1" s="243"/>
      <c r="SZG1" s="243"/>
      <c r="SZH1" s="243"/>
      <c r="SZI1" s="243"/>
      <c r="SZJ1" s="243"/>
      <c r="SZK1" s="243"/>
      <c r="SZL1" s="243"/>
      <c r="SZM1" s="243"/>
      <c r="SZN1" s="243"/>
      <c r="SZO1" s="243"/>
      <c r="SZP1" s="243"/>
      <c r="SZQ1" s="243" t="s">
        <v>127</v>
      </c>
      <c r="SZR1" s="243"/>
      <c r="SZS1" s="243"/>
      <c r="SZT1" s="243"/>
      <c r="SZU1" s="243"/>
      <c r="SZV1" s="243"/>
      <c r="SZW1" s="243"/>
      <c r="SZX1" s="243"/>
      <c r="SZY1" s="243"/>
      <c r="SZZ1" s="243"/>
      <c r="TAA1" s="243"/>
      <c r="TAB1" s="243"/>
      <c r="TAC1" s="243"/>
      <c r="TAD1" s="243"/>
      <c r="TAE1" s="243"/>
      <c r="TAF1" s="243"/>
      <c r="TAG1" s="243" t="s">
        <v>127</v>
      </c>
      <c r="TAH1" s="243"/>
      <c r="TAI1" s="243"/>
      <c r="TAJ1" s="243"/>
      <c r="TAK1" s="243"/>
      <c r="TAL1" s="243"/>
      <c r="TAM1" s="243"/>
      <c r="TAN1" s="243"/>
      <c r="TAO1" s="243"/>
      <c r="TAP1" s="243"/>
      <c r="TAQ1" s="243"/>
      <c r="TAR1" s="243"/>
      <c r="TAS1" s="243"/>
      <c r="TAT1" s="243"/>
      <c r="TAU1" s="243"/>
      <c r="TAV1" s="243"/>
      <c r="TAW1" s="243" t="s">
        <v>127</v>
      </c>
      <c r="TAX1" s="243"/>
      <c r="TAY1" s="243"/>
      <c r="TAZ1" s="243"/>
      <c r="TBA1" s="243"/>
      <c r="TBB1" s="243"/>
      <c r="TBC1" s="243"/>
      <c r="TBD1" s="243"/>
      <c r="TBE1" s="243"/>
      <c r="TBF1" s="243"/>
      <c r="TBG1" s="243"/>
      <c r="TBH1" s="243"/>
      <c r="TBI1" s="243"/>
      <c r="TBJ1" s="243"/>
      <c r="TBK1" s="243"/>
      <c r="TBL1" s="243"/>
      <c r="TBM1" s="243" t="s">
        <v>127</v>
      </c>
      <c r="TBN1" s="243"/>
      <c r="TBO1" s="243"/>
      <c r="TBP1" s="243"/>
      <c r="TBQ1" s="243"/>
      <c r="TBR1" s="243"/>
      <c r="TBS1" s="243"/>
      <c r="TBT1" s="243"/>
      <c r="TBU1" s="243"/>
      <c r="TBV1" s="243"/>
      <c r="TBW1" s="243"/>
      <c r="TBX1" s="243"/>
      <c r="TBY1" s="243"/>
      <c r="TBZ1" s="243"/>
      <c r="TCA1" s="243"/>
      <c r="TCB1" s="243"/>
      <c r="TCC1" s="243" t="s">
        <v>127</v>
      </c>
      <c r="TCD1" s="243"/>
      <c r="TCE1" s="243"/>
      <c r="TCF1" s="243"/>
      <c r="TCG1" s="243"/>
      <c r="TCH1" s="243"/>
      <c r="TCI1" s="243"/>
      <c r="TCJ1" s="243"/>
      <c r="TCK1" s="243"/>
      <c r="TCL1" s="243"/>
      <c r="TCM1" s="243"/>
      <c r="TCN1" s="243"/>
      <c r="TCO1" s="243"/>
      <c r="TCP1" s="243"/>
      <c r="TCQ1" s="243"/>
      <c r="TCR1" s="243"/>
      <c r="TCS1" s="243" t="s">
        <v>127</v>
      </c>
      <c r="TCT1" s="243"/>
      <c r="TCU1" s="243"/>
      <c r="TCV1" s="243"/>
      <c r="TCW1" s="243"/>
      <c r="TCX1" s="243"/>
      <c r="TCY1" s="243"/>
      <c r="TCZ1" s="243"/>
      <c r="TDA1" s="243"/>
      <c r="TDB1" s="243"/>
      <c r="TDC1" s="243"/>
      <c r="TDD1" s="243"/>
      <c r="TDE1" s="243"/>
      <c r="TDF1" s="243"/>
      <c r="TDG1" s="243"/>
      <c r="TDH1" s="243"/>
      <c r="TDI1" s="243" t="s">
        <v>127</v>
      </c>
      <c r="TDJ1" s="243"/>
      <c r="TDK1" s="243"/>
      <c r="TDL1" s="243"/>
      <c r="TDM1" s="243"/>
      <c r="TDN1" s="243"/>
      <c r="TDO1" s="243"/>
      <c r="TDP1" s="243"/>
      <c r="TDQ1" s="243"/>
      <c r="TDR1" s="243"/>
      <c r="TDS1" s="243"/>
      <c r="TDT1" s="243"/>
      <c r="TDU1" s="243"/>
      <c r="TDV1" s="243"/>
      <c r="TDW1" s="243"/>
      <c r="TDX1" s="243"/>
      <c r="TDY1" s="243" t="s">
        <v>127</v>
      </c>
      <c r="TDZ1" s="243"/>
      <c r="TEA1" s="243"/>
      <c r="TEB1" s="243"/>
      <c r="TEC1" s="243"/>
      <c r="TED1" s="243"/>
      <c r="TEE1" s="243"/>
      <c r="TEF1" s="243"/>
      <c r="TEG1" s="243"/>
      <c r="TEH1" s="243"/>
      <c r="TEI1" s="243"/>
      <c r="TEJ1" s="243"/>
      <c r="TEK1" s="243"/>
      <c r="TEL1" s="243"/>
      <c r="TEM1" s="243"/>
      <c r="TEN1" s="243"/>
      <c r="TEO1" s="243" t="s">
        <v>127</v>
      </c>
      <c r="TEP1" s="243"/>
      <c r="TEQ1" s="243"/>
      <c r="TER1" s="243"/>
      <c r="TES1" s="243"/>
      <c r="TET1" s="243"/>
      <c r="TEU1" s="243"/>
      <c r="TEV1" s="243"/>
      <c r="TEW1" s="243"/>
      <c r="TEX1" s="243"/>
      <c r="TEY1" s="243"/>
      <c r="TEZ1" s="243"/>
      <c r="TFA1" s="243"/>
      <c r="TFB1" s="243"/>
      <c r="TFC1" s="243"/>
      <c r="TFD1" s="243"/>
      <c r="TFE1" s="243" t="s">
        <v>127</v>
      </c>
      <c r="TFF1" s="243"/>
      <c r="TFG1" s="243"/>
      <c r="TFH1" s="243"/>
      <c r="TFI1" s="243"/>
      <c r="TFJ1" s="243"/>
      <c r="TFK1" s="243"/>
      <c r="TFL1" s="243"/>
      <c r="TFM1" s="243"/>
      <c r="TFN1" s="243"/>
      <c r="TFO1" s="243"/>
      <c r="TFP1" s="243"/>
      <c r="TFQ1" s="243"/>
      <c r="TFR1" s="243"/>
      <c r="TFS1" s="243"/>
      <c r="TFT1" s="243"/>
      <c r="TFU1" s="243" t="s">
        <v>127</v>
      </c>
      <c r="TFV1" s="243"/>
      <c r="TFW1" s="243"/>
      <c r="TFX1" s="243"/>
      <c r="TFY1" s="243"/>
      <c r="TFZ1" s="243"/>
      <c r="TGA1" s="243"/>
      <c r="TGB1" s="243"/>
      <c r="TGC1" s="243"/>
      <c r="TGD1" s="243"/>
      <c r="TGE1" s="243"/>
      <c r="TGF1" s="243"/>
      <c r="TGG1" s="243"/>
      <c r="TGH1" s="243"/>
      <c r="TGI1" s="243"/>
      <c r="TGJ1" s="243"/>
      <c r="TGK1" s="243" t="s">
        <v>127</v>
      </c>
      <c r="TGL1" s="243"/>
      <c r="TGM1" s="243"/>
      <c r="TGN1" s="243"/>
      <c r="TGO1" s="243"/>
      <c r="TGP1" s="243"/>
      <c r="TGQ1" s="243"/>
      <c r="TGR1" s="243"/>
      <c r="TGS1" s="243"/>
      <c r="TGT1" s="243"/>
      <c r="TGU1" s="243"/>
      <c r="TGV1" s="243"/>
      <c r="TGW1" s="243"/>
      <c r="TGX1" s="243"/>
      <c r="TGY1" s="243"/>
      <c r="TGZ1" s="243"/>
      <c r="THA1" s="243" t="s">
        <v>127</v>
      </c>
      <c r="THB1" s="243"/>
      <c r="THC1" s="243"/>
      <c r="THD1" s="243"/>
      <c r="THE1" s="243"/>
      <c r="THF1" s="243"/>
      <c r="THG1" s="243"/>
      <c r="THH1" s="243"/>
      <c r="THI1" s="243"/>
      <c r="THJ1" s="243"/>
      <c r="THK1" s="243"/>
      <c r="THL1" s="243"/>
      <c r="THM1" s="243"/>
      <c r="THN1" s="243"/>
      <c r="THO1" s="243"/>
      <c r="THP1" s="243"/>
      <c r="THQ1" s="243" t="s">
        <v>127</v>
      </c>
      <c r="THR1" s="243"/>
      <c r="THS1" s="243"/>
      <c r="THT1" s="243"/>
      <c r="THU1" s="243"/>
      <c r="THV1" s="243"/>
      <c r="THW1" s="243"/>
      <c r="THX1" s="243"/>
      <c r="THY1" s="243"/>
      <c r="THZ1" s="243"/>
      <c r="TIA1" s="243"/>
      <c r="TIB1" s="243"/>
      <c r="TIC1" s="243"/>
      <c r="TID1" s="243"/>
      <c r="TIE1" s="243"/>
      <c r="TIF1" s="243"/>
      <c r="TIG1" s="243" t="s">
        <v>127</v>
      </c>
      <c r="TIH1" s="243"/>
      <c r="TII1" s="243"/>
      <c r="TIJ1" s="243"/>
      <c r="TIK1" s="243"/>
      <c r="TIL1" s="243"/>
      <c r="TIM1" s="243"/>
      <c r="TIN1" s="243"/>
      <c r="TIO1" s="243"/>
      <c r="TIP1" s="243"/>
      <c r="TIQ1" s="243"/>
      <c r="TIR1" s="243"/>
      <c r="TIS1" s="243"/>
      <c r="TIT1" s="243"/>
      <c r="TIU1" s="243"/>
      <c r="TIV1" s="243"/>
      <c r="TIW1" s="243" t="s">
        <v>127</v>
      </c>
      <c r="TIX1" s="243"/>
      <c r="TIY1" s="243"/>
      <c r="TIZ1" s="243"/>
      <c r="TJA1" s="243"/>
      <c r="TJB1" s="243"/>
      <c r="TJC1" s="243"/>
      <c r="TJD1" s="243"/>
      <c r="TJE1" s="243"/>
      <c r="TJF1" s="243"/>
      <c r="TJG1" s="243"/>
      <c r="TJH1" s="243"/>
      <c r="TJI1" s="243"/>
      <c r="TJJ1" s="243"/>
      <c r="TJK1" s="243"/>
      <c r="TJL1" s="243"/>
      <c r="TJM1" s="243" t="s">
        <v>127</v>
      </c>
      <c r="TJN1" s="243"/>
      <c r="TJO1" s="243"/>
      <c r="TJP1" s="243"/>
      <c r="TJQ1" s="243"/>
      <c r="TJR1" s="243"/>
      <c r="TJS1" s="243"/>
      <c r="TJT1" s="243"/>
      <c r="TJU1" s="243"/>
      <c r="TJV1" s="243"/>
      <c r="TJW1" s="243"/>
      <c r="TJX1" s="243"/>
      <c r="TJY1" s="243"/>
      <c r="TJZ1" s="243"/>
      <c r="TKA1" s="243"/>
      <c r="TKB1" s="243"/>
      <c r="TKC1" s="243" t="s">
        <v>127</v>
      </c>
      <c r="TKD1" s="243"/>
      <c r="TKE1" s="243"/>
      <c r="TKF1" s="243"/>
      <c r="TKG1" s="243"/>
      <c r="TKH1" s="243"/>
      <c r="TKI1" s="243"/>
      <c r="TKJ1" s="243"/>
      <c r="TKK1" s="243"/>
      <c r="TKL1" s="243"/>
      <c r="TKM1" s="243"/>
      <c r="TKN1" s="243"/>
      <c r="TKO1" s="243"/>
      <c r="TKP1" s="243"/>
      <c r="TKQ1" s="243"/>
      <c r="TKR1" s="243"/>
      <c r="TKS1" s="243" t="s">
        <v>127</v>
      </c>
      <c r="TKT1" s="243"/>
      <c r="TKU1" s="243"/>
      <c r="TKV1" s="243"/>
      <c r="TKW1" s="243"/>
      <c r="TKX1" s="243"/>
      <c r="TKY1" s="243"/>
      <c r="TKZ1" s="243"/>
      <c r="TLA1" s="243"/>
      <c r="TLB1" s="243"/>
      <c r="TLC1" s="243"/>
      <c r="TLD1" s="243"/>
      <c r="TLE1" s="243"/>
      <c r="TLF1" s="243"/>
      <c r="TLG1" s="243"/>
      <c r="TLH1" s="243"/>
      <c r="TLI1" s="243" t="s">
        <v>127</v>
      </c>
      <c r="TLJ1" s="243"/>
      <c r="TLK1" s="243"/>
      <c r="TLL1" s="243"/>
      <c r="TLM1" s="243"/>
      <c r="TLN1" s="243"/>
      <c r="TLO1" s="243"/>
      <c r="TLP1" s="243"/>
      <c r="TLQ1" s="243"/>
      <c r="TLR1" s="243"/>
      <c r="TLS1" s="243"/>
      <c r="TLT1" s="243"/>
      <c r="TLU1" s="243"/>
      <c r="TLV1" s="243"/>
      <c r="TLW1" s="243"/>
      <c r="TLX1" s="243"/>
      <c r="TLY1" s="243" t="s">
        <v>127</v>
      </c>
      <c r="TLZ1" s="243"/>
      <c r="TMA1" s="243"/>
      <c r="TMB1" s="243"/>
      <c r="TMC1" s="243"/>
      <c r="TMD1" s="243"/>
      <c r="TME1" s="243"/>
      <c r="TMF1" s="243"/>
      <c r="TMG1" s="243"/>
      <c r="TMH1" s="243"/>
      <c r="TMI1" s="243"/>
      <c r="TMJ1" s="243"/>
      <c r="TMK1" s="243"/>
      <c r="TML1" s="243"/>
      <c r="TMM1" s="243"/>
      <c r="TMN1" s="243"/>
      <c r="TMO1" s="243" t="s">
        <v>127</v>
      </c>
      <c r="TMP1" s="243"/>
      <c r="TMQ1" s="243"/>
      <c r="TMR1" s="243"/>
      <c r="TMS1" s="243"/>
      <c r="TMT1" s="243"/>
      <c r="TMU1" s="243"/>
      <c r="TMV1" s="243"/>
      <c r="TMW1" s="243"/>
      <c r="TMX1" s="243"/>
      <c r="TMY1" s="243"/>
      <c r="TMZ1" s="243"/>
      <c r="TNA1" s="243"/>
      <c r="TNB1" s="243"/>
      <c r="TNC1" s="243"/>
      <c r="TND1" s="243"/>
      <c r="TNE1" s="243" t="s">
        <v>127</v>
      </c>
      <c r="TNF1" s="243"/>
      <c r="TNG1" s="243"/>
      <c r="TNH1" s="243"/>
      <c r="TNI1" s="243"/>
      <c r="TNJ1" s="243"/>
      <c r="TNK1" s="243"/>
      <c r="TNL1" s="243"/>
      <c r="TNM1" s="243"/>
      <c r="TNN1" s="243"/>
      <c r="TNO1" s="243"/>
      <c r="TNP1" s="243"/>
      <c r="TNQ1" s="243"/>
      <c r="TNR1" s="243"/>
      <c r="TNS1" s="243"/>
      <c r="TNT1" s="243"/>
      <c r="TNU1" s="243" t="s">
        <v>127</v>
      </c>
      <c r="TNV1" s="243"/>
      <c r="TNW1" s="243"/>
      <c r="TNX1" s="243"/>
      <c r="TNY1" s="243"/>
      <c r="TNZ1" s="243"/>
      <c r="TOA1" s="243"/>
      <c r="TOB1" s="243"/>
      <c r="TOC1" s="243"/>
      <c r="TOD1" s="243"/>
      <c r="TOE1" s="243"/>
      <c r="TOF1" s="243"/>
      <c r="TOG1" s="243"/>
      <c r="TOH1" s="243"/>
      <c r="TOI1" s="243"/>
      <c r="TOJ1" s="243"/>
      <c r="TOK1" s="243" t="s">
        <v>127</v>
      </c>
      <c r="TOL1" s="243"/>
      <c r="TOM1" s="243"/>
      <c r="TON1" s="243"/>
      <c r="TOO1" s="243"/>
      <c r="TOP1" s="243"/>
      <c r="TOQ1" s="243"/>
      <c r="TOR1" s="243"/>
      <c r="TOS1" s="243"/>
      <c r="TOT1" s="243"/>
      <c r="TOU1" s="243"/>
      <c r="TOV1" s="243"/>
      <c r="TOW1" s="243"/>
      <c r="TOX1" s="243"/>
      <c r="TOY1" s="243"/>
      <c r="TOZ1" s="243"/>
      <c r="TPA1" s="243" t="s">
        <v>127</v>
      </c>
      <c r="TPB1" s="243"/>
      <c r="TPC1" s="243"/>
      <c r="TPD1" s="243"/>
      <c r="TPE1" s="243"/>
      <c r="TPF1" s="243"/>
      <c r="TPG1" s="243"/>
      <c r="TPH1" s="243"/>
      <c r="TPI1" s="243"/>
      <c r="TPJ1" s="243"/>
      <c r="TPK1" s="243"/>
      <c r="TPL1" s="243"/>
      <c r="TPM1" s="243"/>
      <c r="TPN1" s="243"/>
      <c r="TPO1" s="243"/>
      <c r="TPP1" s="243"/>
      <c r="TPQ1" s="243" t="s">
        <v>127</v>
      </c>
      <c r="TPR1" s="243"/>
      <c r="TPS1" s="243"/>
      <c r="TPT1" s="243"/>
      <c r="TPU1" s="243"/>
      <c r="TPV1" s="243"/>
      <c r="TPW1" s="243"/>
      <c r="TPX1" s="243"/>
      <c r="TPY1" s="243"/>
      <c r="TPZ1" s="243"/>
      <c r="TQA1" s="243"/>
      <c r="TQB1" s="243"/>
      <c r="TQC1" s="243"/>
      <c r="TQD1" s="243"/>
      <c r="TQE1" s="243"/>
      <c r="TQF1" s="243"/>
      <c r="TQG1" s="243" t="s">
        <v>127</v>
      </c>
      <c r="TQH1" s="243"/>
      <c r="TQI1" s="243"/>
      <c r="TQJ1" s="243"/>
      <c r="TQK1" s="243"/>
      <c r="TQL1" s="243"/>
      <c r="TQM1" s="243"/>
      <c r="TQN1" s="243"/>
      <c r="TQO1" s="243"/>
      <c r="TQP1" s="243"/>
      <c r="TQQ1" s="243"/>
      <c r="TQR1" s="243"/>
      <c r="TQS1" s="243"/>
      <c r="TQT1" s="243"/>
      <c r="TQU1" s="243"/>
      <c r="TQV1" s="243"/>
      <c r="TQW1" s="243" t="s">
        <v>127</v>
      </c>
      <c r="TQX1" s="243"/>
      <c r="TQY1" s="243"/>
      <c r="TQZ1" s="243"/>
      <c r="TRA1" s="243"/>
      <c r="TRB1" s="243"/>
      <c r="TRC1" s="243"/>
      <c r="TRD1" s="243"/>
      <c r="TRE1" s="243"/>
      <c r="TRF1" s="243"/>
      <c r="TRG1" s="243"/>
      <c r="TRH1" s="243"/>
      <c r="TRI1" s="243"/>
      <c r="TRJ1" s="243"/>
      <c r="TRK1" s="243"/>
      <c r="TRL1" s="243"/>
      <c r="TRM1" s="243" t="s">
        <v>127</v>
      </c>
      <c r="TRN1" s="243"/>
      <c r="TRO1" s="243"/>
      <c r="TRP1" s="243"/>
      <c r="TRQ1" s="243"/>
      <c r="TRR1" s="243"/>
      <c r="TRS1" s="243"/>
      <c r="TRT1" s="243"/>
      <c r="TRU1" s="243"/>
      <c r="TRV1" s="243"/>
      <c r="TRW1" s="243"/>
      <c r="TRX1" s="243"/>
      <c r="TRY1" s="243"/>
      <c r="TRZ1" s="243"/>
      <c r="TSA1" s="243"/>
      <c r="TSB1" s="243"/>
      <c r="TSC1" s="243" t="s">
        <v>127</v>
      </c>
      <c r="TSD1" s="243"/>
      <c r="TSE1" s="243"/>
      <c r="TSF1" s="243"/>
      <c r="TSG1" s="243"/>
      <c r="TSH1" s="243"/>
      <c r="TSI1" s="243"/>
      <c r="TSJ1" s="243"/>
      <c r="TSK1" s="243"/>
      <c r="TSL1" s="243"/>
      <c r="TSM1" s="243"/>
      <c r="TSN1" s="243"/>
      <c r="TSO1" s="243"/>
      <c r="TSP1" s="243"/>
      <c r="TSQ1" s="243"/>
      <c r="TSR1" s="243"/>
      <c r="TSS1" s="243" t="s">
        <v>127</v>
      </c>
      <c r="TST1" s="243"/>
      <c r="TSU1" s="243"/>
      <c r="TSV1" s="243"/>
      <c r="TSW1" s="243"/>
      <c r="TSX1" s="243"/>
      <c r="TSY1" s="243"/>
      <c r="TSZ1" s="243"/>
      <c r="TTA1" s="243"/>
      <c r="TTB1" s="243"/>
      <c r="TTC1" s="243"/>
      <c r="TTD1" s="243"/>
      <c r="TTE1" s="243"/>
      <c r="TTF1" s="243"/>
      <c r="TTG1" s="243"/>
      <c r="TTH1" s="243"/>
      <c r="TTI1" s="243" t="s">
        <v>127</v>
      </c>
      <c r="TTJ1" s="243"/>
      <c r="TTK1" s="243"/>
      <c r="TTL1" s="243"/>
      <c r="TTM1" s="243"/>
      <c r="TTN1" s="243"/>
      <c r="TTO1" s="243"/>
      <c r="TTP1" s="243"/>
      <c r="TTQ1" s="243"/>
      <c r="TTR1" s="243"/>
      <c r="TTS1" s="243"/>
      <c r="TTT1" s="243"/>
      <c r="TTU1" s="243"/>
      <c r="TTV1" s="243"/>
      <c r="TTW1" s="243"/>
      <c r="TTX1" s="243"/>
      <c r="TTY1" s="243" t="s">
        <v>127</v>
      </c>
      <c r="TTZ1" s="243"/>
      <c r="TUA1" s="243"/>
      <c r="TUB1" s="243"/>
      <c r="TUC1" s="243"/>
      <c r="TUD1" s="243"/>
      <c r="TUE1" s="243"/>
      <c r="TUF1" s="243"/>
      <c r="TUG1" s="243"/>
      <c r="TUH1" s="243"/>
      <c r="TUI1" s="243"/>
      <c r="TUJ1" s="243"/>
      <c r="TUK1" s="243"/>
      <c r="TUL1" s="243"/>
      <c r="TUM1" s="243"/>
      <c r="TUN1" s="243"/>
      <c r="TUO1" s="243" t="s">
        <v>127</v>
      </c>
      <c r="TUP1" s="243"/>
      <c r="TUQ1" s="243"/>
      <c r="TUR1" s="243"/>
      <c r="TUS1" s="243"/>
      <c r="TUT1" s="243"/>
      <c r="TUU1" s="243"/>
      <c r="TUV1" s="243"/>
      <c r="TUW1" s="243"/>
      <c r="TUX1" s="243"/>
      <c r="TUY1" s="243"/>
      <c r="TUZ1" s="243"/>
      <c r="TVA1" s="243"/>
      <c r="TVB1" s="243"/>
      <c r="TVC1" s="243"/>
      <c r="TVD1" s="243"/>
      <c r="TVE1" s="243" t="s">
        <v>127</v>
      </c>
      <c r="TVF1" s="243"/>
      <c r="TVG1" s="243"/>
      <c r="TVH1" s="243"/>
      <c r="TVI1" s="243"/>
      <c r="TVJ1" s="243"/>
      <c r="TVK1" s="243"/>
      <c r="TVL1" s="243"/>
      <c r="TVM1" s="243"/>
      <c r="TVN1" s="243"/>
      <c r="TVO1" s="243"/>
      <c r="TVP1" s="243"/>
      <c r="TVQ1" s="243"/>
      <c r="TVR1" s="243"/>
      <c r="TVS1" s="243"/>
      <c r="TVT1" s="243"/>
      <c r="TVU1" s="243" t="s">
        <v>127</v>
      </c>
      <c r="TVV1" s="243"/>
      <c r="TVW1" s="243"/>
      <c r="TVX1" s="243"/>
      <c r="TVY1" s="243"/>
      <c r="TVZ1" s="243"/>
      <c r="TWA1" s="243"/>
      <c r="TWB1" s="243"/>
      <c r="TWC1" s="243"/>
      <c r="TWD1" s="243"/>
      <c r="TWE1" s="243"/>
      <c r="TWF1" s="243"/>
      <c r="TWG1" s="243"/>
      <c r="TWH1" s="243"/>
      <c r="TWI1" s="243"/>
      <c r="TWJ1" s="243"/>
      <c r="TWK1" s="243" t="s">
        <v>127</v>
      </c>
      <c r="TWL1" s="243"/>
      <c r="TWM1" s="243"/>
      <c r="TWN1" s="243"/>
      <c r="TWO1" s="243"/>
      <c r="TWP1" s="243"/>
      <c r="TWQ1" s="243"/>
      <c r="TWR1" s="243"/>
      <c r="TWS1" s="243"/>
      <c r="TWT1" s="243"/>
      <c r="TWU1" s="243"/>
      <c r="TWV1" s="243"/>
      <c r="TWW1" s="243"/>
      <c r="TWX1" s="243"/>
      <c r="TWY1" s="243"/>
      <c r="TWZ1" s="243"/>
      <c r="TXA1" s="243" t="s">
        <v>127</v>
      </c>
      <c r="TXB1" s="243"/>
      <c r="TXC1" s="243"/>
      <c r="TXD1" s="243"/>
      <c r="TXE1" s="243"/>
      <c r="TXF1" s="243"/>
      <c r="TXG1" s="243"/>
      <c r="TXH1" s="243"/>
      <c r="TXI1" s="243"/>
      <c r="TXJ1" s="243"/>
      <c r="TXK1" s="243"/>
      <c r="TXL1" s="243"/>
      <c r="TXM1" s="243"/>
      <c r="TXN1" s="243"/>
      <c r="TXO1" s="243"/>
      <c r="TXP1" s="243"/>
      <c r="TXQ1" s="243" t="s">
        <v>127</v>
      </c>
      <c r="TXR1" s="243"/>
      <c r="TXS1" s="243"/>
      <c r="TXT1" s="243"/>
      <c r="TXU1" s="243"/>
      <c r="TXV1" s="243"/>
      <c r="TXW1" s="243"/>
      <c r="TXX1" s="243"/>
      <c r="TXY1" s="243"/>
      <c r="TXZ1" s="243"/>
      <c r="TYA1" s="243"/>
      <c r="TYB1" s="243"/>
      <c r="TYC1" s="243"/>
      <c r="TYD1" s="243"/>
      <c r="TYE1" s="243"/>
      <c r="TYF1" s="243"/>
      <c r="TYG1" s="243" t="s">
        <v>127</v>
      </c>
      <c r="TYH1" s="243"/>
      <c r="TYI1" s="243"/>
      <c r="TYJ1" s="243"/>
      <c r="TYK1" s="243"/>
      <c r="TYL1" s="243"/>
      <c r="TYM1" s="243"/>
      <c r="TYN1" s="243"/>
      <c r="TYO1" s="243"/>
      <c r="TYP1" s="243"/>
      <c r="TYQ1" s="243"/>
      <c r="TYR1" s="243"/>
      <c r="TYS1" s="243"/>
      <c r="TYT1" s="243"/>
      <c r="TYU1" s="243"/>
      <c r="TYV1" s="243"/>
      <c r="TYW1" s="243" t="s">
        <v>127</v>
      </c>
      <c r="TYX1" s="243"/>
      <c r="TYY1" s="243"/>
      <c r="TYZ1" s="243"/>
      <c r="TZA1" s="243"/>
      <c r="TZB1" s="243"/>
      <c r="TZC1" s="243"/>
      <c r="TZD1" s="243"/>
      <c r="TZE1" s="243"/>
      <c r="TZF1" s="243"/>
      <c r="TZG1" s="243"/>
      <c r="TZH1" s="243"/>
      <c r="TZI1" s="243"/>
      <c r="TZJ1" s="243"/>
      <c r="TZK1" s="243"/>
      <c r="TZL1" s="243"/>
      <c r="TZM1" s="243" t="s">
        <v>127</v>
      </c>
      <c r="TZN1" s="243"/>
      <c r="TZO1" s="243"/>
      <c r="TZP1" s="243"/>
      <c r="TZQ1" s="243"/>
      <c r="TZR1" s="243"/>
      <c r="TZS1" s="243"/>
      <c r="TZT1" s="243"/>
      <c r="TZU1" s="243"/>
      <c r="TZV1" s="243"/>
      <c r="TZW1" s="243"/>
      <c r="TZX1" s="243"/>
      <c r="TZY1" s="243"/>
      <c r="TZZ1" s="243"/>
      <c r="UAA1" s="243"/>
      <c r="UAB1" s="243"/>
      <c r="UAC1" s="243" t="s">
        <v>127</v>
      </c>
      <c r="UAD1" s="243"/>
      <c r="UAE1" s="243"/>
      <c r="UAF1" s="243"/>
      <c r="UAG1" s="243"/>
      <c r="UAH1" s="243"/>
      <c r="UAI1" s="243"/>
      <c r="UAJ1" s="243"/>
      <c r="UAK1" s="243"/>
      <c r="UAL1" s="243"/>
      <c r="UAM1" s="243"/>
      <c r="UAN1" s="243"/>
      <c r="UAO1" s="243"/>
      <c r="UAP1" s="243"/>
      <c r="UAQ1" s="243"/>
      <c r="UAR1" s="243"/>
      <c r="UAS1" s="243" t="s">
        <v>127</v>
      </c>
      <c r="UAT1" s="243"/>
      <c r="UAU1" s="243"/>
      <c r="UAV1" s="243"/>
      <c r="UAW1" s="243"/>
      <c r="UAX1" s="243"/>
      <c r="UAY1" s="243"/>
      <c r="UAZ1" s="243"/>
      <c r="UBA1" s="243"/>
      <c r="UBB1" s="243"/>
      <c r="UBC1" s="243"/>
      <c r="UBD1" s="243"/>
      <c r="UBE1" s="243"/>
      <c r="UBF1" s="243"/>
      <c r="UBG1" s="243"/>
      <c r="UBH1" s="243"/>
      <c r="UBI1" s="243" t="s">
        <v>127</v>
      </c>
      <c r="UBJ1" s="243"/>
      <c r="UBK1" s="243"/>
      <c r="UBL1" s="243"/>
      <c r="UBM1" s="243"/>
      <c r="UBN1" s="243"/>
      <c r="UBO1" s="243"/>
      <c r="UBP1" s="243"/>
      <c r="UBQ1" s="243"/>
      <c r="UBR1" s="243"/>
      <c r="UBS1" s="243"/>
      <c r="UBT1" s="243"/>
      <c r="UBU1" s="243"/>
      <c r="UBV1" s="243"/>
      <c r="UBW1" s="243"/>
      <c r="UBX1" s="243"/>
      <c r="UBY1" s="243" t="s">
        <v>127</v>
      </c>
      <c r="UBZ1" s="243"/>
      <c r="UCA1" s="243"/>
      <c r="UCB1" s="243"/>
      <c r="UCC1" s="243"/>
      <c r="UCD1" s="243"/>
      <c r="UCE1" s="243"/>
      <c r="UCF1" s="243"/>
      <c r="UCG1" s="243"/>
      <c r="UCH1" s="243"/>
      <c r="UCI1" s="243"/>
      <c r="UCJ1" s="243"/>
      <c r="UCK1" s="243"/>
      <c r="UCL1" s="243"/>
      <c r="UCM1" s="243"/>
      <c r="UCN1" s="243"/>
      <c r="UCO1" s="243" t="s">
        <v>127</v>
      </c>
      <c r="UCP1" s="243"/>
      <c r="UCQ1" s="243"/>
      <c r="UCR1" s="243"/>
      <c r="UCS1" s="243"/>
      <c r="UCT1" s="243"/>
      <c r="UCU1" s="243"/>
      <c r="UCV1" s="243"/>
      <c r="UCW1" s="243"/>
      <c r="UCX1" s="243"/>
      <c r="UCY1" s="243"/>
      <c r="UCZ1" s="243"/>
      <c r="UDA1" s="243"/>
      <c r="UDB1" s="243"/>
      <c r="UDC1" s="243"/>
      <c r="UDD1" s="243"/>
      <c r="UDE1" s="243" t="s">
        <v>127</v>
      </c>
      <c r="UDF1" s="243"/>
      <c r="UDG1" s="243"/>
      <c r="UDH1" s="243"/>
      <c r="UDI1" s="243"/>
      <c r="UDJ1" s="243"/>
      <c r="UDK1" s="243"/>
      <c r="UDL1" s="243"/>
      <c r="UDM1" s="243"/>
      <c r="UDN1" s="243"/>
      <c r="UDO1" s="243"/>
      <c r="UDP1" s="243"/>
      <c r="UDQ1" s="243"/>
      <c r="UDR1" s="243"/>
      <c r="UDS1" s="243"/>
      <c r="UDT1" s="243"/>
      <c r="UDU1" s="243" t="s">
        <v>127</v>
      </c>
      <c r="UDV1" s="243"/>
      <c r="UDW1" s="243"/>
      <c r="UDX1" s="243"/>
      <c r="UDY1" s="243"/>
      <c r="UDZ1" s="243"/>
      <c r="UEA1" s="243"/>
      <c r="UEB1" s="243"/>
      <c r="UEC1" s="243"/>
      <c r="UED1" s="243"/>
      <c r="UEE1" s="243"/>
      <c r="UEF1" s="243"/>
      <c r="UEG1" s="243"/>
      <c r="UEH1" s="243"/>
      <c r="UEI1" s="243"/>
      <c r="UEJ1" s="243"/>
      <c r="UEK1" s="243" t="s">
        <v>127</v>
      </c>
      <c r="UEL1" s="243"/>
      <c r="UEM1" s="243"/>
      <c r="UEN1" s="243"/>
      <c r="UEO1" s="243"/>
      <c r="UEP1" s="243"/>
      <c r="UEQ1" s="243"/>
      <c r="UER1" s="243"/>
      <c r="UES1" s="243"/>
      <c r="UET1" s="243"/>
      <c r="UEU1" s="243"/>
      <c r="UEV1" s="243"/>
      <c r="UEW1" s="243"/>
      <c r="UEX1" s="243"/>
      <c r="UEY1" s="243"/>
      <c r="UEZ1" s="243"/>
      <c r="UFA1" s="243" t="s">
        <v>127</v>
      </c>
      <c r="UFB1" s="243"/>
      <c r="UFC1" s="243"/>
      <c r="UFD1" s="243"/>
      <c r="UFE1" s="243"/>
      <c r="UFF1" s="243"/>
      <c r="UFG1" s="243"/>
      <c r="UFH1" s="243"/>
      <c r="UFI1" s="243"/>
      <c r="UFJ1" s="243"/>
      <c r="UFK1" s="243"/>
      <c r="UFL1" s="243"/>
      <c r="UFM1" s="243"/>
      <c r="UFN1" s="243"/>
      <c r="UFO1" s="243"/>
      <c r="UFP1" s="243"/>
      <c r="UFQ1" s="243" t="s">
        <v>127</v>
      </c>
      <c r="UFR1" s="243"/>
      <c r="UFS1" s="243"/>
      <c r="UFT1" s="243"/>
      <c r="UFU1" s="243"/>
      <c r="UFV1" s="243"/>
      <c r="UFW1" s="243"/>
      <c r="UFX1" s="243"/>
      <c r="UFY1" s="243"/>
      <c r="UFZ1" s="243"/>
      <c r="UGA1" s="243"/>
      <c r="UGB1" s="243"/>
      <c r="UGC1" s="243"/>
      <c r="UGD1" s="243"/>
      <c r="UGE1" s="243"/>
      <c r="UGF1" s="243"/>
      <c r="UGG1" s="243" t="s">
        <v>127</v>
      </c>
      <c r="UGH1" s="243"/>
      <c r="UGI1" s="243"/>
      <c r="UGJ1" s="243"/>
      <c r="UGK1" s="243"/>
      <c r="UGL1" s="243"/>
      <c r="UGM1" s="243"/>
      <c r="UGN1" s="243"/>
      <c r="UGO1" s="243"/>
      <c r="UGP1" s="243"/>
      <c r="UGQ1" s="243"/>
      <c r="UGR1" s="243"/>
      <c r="UGS1" s="243"/>
      <c r="UGT1" s="243"/>
      <c r="UGU1" s="243"/>
      <c r="UGV1" s="243"/>
      <c r="UGW1" s="243" t="s">
        <v>127</v>
      </c>
      <c r="UGX1" s="243"/>
      <c r="UGY1" s="243"/>
      <c r="UGZ1" s="243"/>
      <c r="UHA1" s="243"/>
      <c r="UHB1" s="243"/>
      <c r="UHC1" s="243"/>
      <c r="UHD1" s="243"/>
      <c r="UHE1" s="243"/>
      <c r="UHF1" s="243"/>
      <c r="UHG1" s="243"/>
      <c r="UHH1" s="243"/>
      <c r="UHI1" s="243"/>
      <c r="UHJ1" s="243"/>
      <c r="UHK1" s="243"/>
      <c r="UHL1" s="243"/>
      <c r="UHM1" s="243" t="s">
        <v>127</v>
      </c>
      <c r="UHN1" s="243"/>
      <c r="UHO1" s="243"/>
      <c r="UHP1" s="243"/>
      <c r="UHQ1" s="243"/>
      <c r="UHR1" s="243"/>
      <c r="UHS1" s="243"/>
      <c r="UHT1" s="243"/>
      <c r="UHU1" s="243"/>
      <c r="UHV1" s="243"/>
      <c r="UHW1" s="243"/>
      <c r="UHX1" s="243"/>
      <c r="UHY1" s="243"/>
      <c r="UHZ1" s="243"/>
      <c r="UIA1" s="243"/>
      <c r="UIB1" s="243"/>
      <c r="UIC1" s="243" t="s">
        <v>127</v>
      </c>
      <c r="UID1" s="243"/>
      <c r="UIE1" s="243"/>
      <c r="UIF1" s="243"/>
      <c r="UIG1" s="243"/>
      <c r="UIH1" s="243"/>
      <c r="UII1" s="243"/>
      <c r="UIJ1" s="243"/>
      <c r="UIK1" s="243"/>
      <c r="UIL1" s="243"/>
      <c r="UIM1" s="243"/>
      <c r="UIN1" s="243"/>
      <c r="UIO1" s="243"/>
      <c r="UIP1" s="243"/>
      <c r="UIQ1" s="243"/>
      <c r="UIR1" s="243"/>
      <c r="UIS1" s="243" t="s">
        <v>127</v>
      </c>
      <c r="UIT1" s="243"/>
      <c r="UIU1" s="243"/>
      <c r="UIV1" s="243"/>
      <c r="UIW1" s="243"/>
      <c r="UIX1" s="243"/>
      <c r="UIY1" s="243"/>
      <c r="UIZ1" s="243"/>
      <c r="UJA1" s="243"/>
      <c r="UJB1" s="243"/>
      <c r="UJC1" s="243"/>
      <c r="UJD1" s="243"/>
      <c r="UJE1" s="243"/>
      <c r="UJF1" s="243"/>
      <c r="UJG1" s="243"/>
      <c r="UJH1" s="243"/>
      <c r="UJI1" s="243" t="s">
        <v>127</v>
      </c>
      <c r="UJJ1" s="243"/>
      <c r="UJK1" s="243"/>
      <c r="UJL1" s="243"/>
      <c r="UJM1" s="243"/>
      <c r="UJN1" s="243"/>
      <c r="UJO1" s="243"/>
      <c r="UJP1" s="243"/>
      <c r="UJQ1" s="243"/>
      <c r="UJR1" s="243"/>
      <c r="UJS1" s="243"/>
      <c r="UJT1" s="243"/>
      <c r="UJU1" s="243"/>
      <c r="UJV1" s="243"/>
      <c r="UJW1" s="243"/>
      <c r="UJX1" s="243"/>
      <c r="UJY1" s="243" t="s">
        <v>127</v>
      </c>
      <c r="UJZ1" s="243"/>
      <c r="UKA1" s="243"/>
      <c r="UKB1" s="243"/>
      <c r="UKC1" s="243"/>
      <c r="UKD1" s="243"/>
      <c r="UKE1" s="243"/>
      <c r="UKF1" s="243"/>
      <c r="UKG1" s="243"/>
      <c r="UKH1" s="243"/>
      <c r="UKI1" s="243"/>
      <c r="UKJ1" s="243"/>
      <c r="UKK1" s="243"/>
      <c r="UKL1" s="243"/>
      <c r="UKM1" s="243"/>
      <c r="UKN1" s="243"/>
      <c r="UKO1" s="243" t="s">
        <v>127</v>
      </c>
      <c r="UKP1" s="243"/>
      <c r="UKQ1" s="243"/>
      <c r="UKR1" s="243"/>
      <c r="UKS1" s="243"/>
      <c r="UKT1" s="243"/>
      <c r="UKU1" s="243"/>
      <c r="UKV1" s="243"/>
      <c r="UKW1" s="243"/>
      <c r="UKX1" s="243"/>
      <c r="UKY1" s="243"/>
      <c r="UKZ1" s="243"/>
      <c r="ULA1" s="243"/>
      <c r="ULB1" s="243"/>
      <c r="ULC1" s="243"/>
      <c r="ULD1" s="243"/>
      <c r="ULE1" s="243" t="s">
        <v>127</v>
      </c>
      <c r="ULF1" s="243"/>
      <c r="ULG1" s="243"/>
      <c r="ULH1" s="243"/>
      <c r="ULI1" s="243"/>
      <c r="ULJ1" s="243"/>
      <c r="ULK1" s="243"/>
      <c r="ULL1" s="243"/>
      <c r="ULM1" s="243"/>
      <c r="ULN1" s="243"/>
      <c r="ULO1" s="243"/>
      <c r="ULP1" s="243"/>
      <c r="ULQ1" s="243"/>
      <c r="ULR1" s="243"/>
      <c r="ULS1" s="243"/>
      <c r="ULT1" s="243"/>
      <c r="ULU1" s="243" t="s">
        <v>127</v>
      </c>
      <c r="ULV1" s="243"/>
      <c r="ULW1" s="243"/>
      <c r="ULX1" s="243"/>
      <c r="ULY1" s="243"/>
      <c r="ULZ1" s="243"/>
      <c r="UMA1" s="243"/>
      <c r="UMB1" s="243"/>
      <c r="UMC1" s="243"/>
      <c r="UMD1" s="243"/>
      <c r="UME1" s="243"/>
      <c r="UMF1" s="243"/>
      <c r="UMG1" s="243"/>
      <c r="UMH1" s="243"/>
      <c r="UMI1" s="243"/>
      <c r="UMJ1" s="243"/>
      <c r="UMK1" s="243" t="s">
        <v>127</v>
      </c>
      <c r="UML1" s="243"/>
      <c r="UMM1" s="243"/>
      <c r="UMN1" s="243"/>
      <c r="UMO1" s="243"/>
      <c r="UMP1" s="243"/>
      <c r="UMQ1" s="243"/>
      <c r="UMR1" s="243"/>
      <c r="UMS1" s="243"/>
      <c r="UMT1" s="243"/>
      <c r="UMU1" s="243"/>
      <c r="UMV1" s="243"/>
      <c r="UMW1" s="243"/>
      <c r="UMX1" s="243"/>
      <c r="UMY1" s="243"/>
      <c r="UMZ1" s="243"/>
      <c r="UNA1" s="243" t="s">
        <v>127</v>
      </c>
      <c r="UNB1" s="243"/>
      <c r="UNC1" s="243"/>
      <c r="UND1" s="243"/>
      <c r="UNE1" s="243"/>
      <c r="UNF1" s="243"/>
      <c r="UNG1" s="243"/>
      <c r="UNH1" s="243"/>
      <c r="UNI1" s="243"/>
      <c r="UNJ1" s="243"/>
      <c r="UNK1" s="243"/>
      <c r="UNL1" s="243"/>
      <c r="UNM1" s="243"/>
      <c r="UNN1" s="243"/>
      <c r="UNO1" s="243"/>
      <c r="UNP1" s="243"/>
      <c r="UNQ1" s="243" t="s">
        <v>127</v>
      </c>
      <c r="UNR1" s="243"/>
      <c r="UNS1" s="243"/>
      <c r="UNT1" s="243"/>
      <c r="UNU1" s="243"/>
      <c r="UNV1" s="243"/>
      <c r="UNW1" s="243"/>
      <c r="UNX1" s="243"/>
      <c r="UNY1" s="243"/>
      <c r="UNZ1" s="243"/>
      <c r="UOA1" s="243"/>
      <c r="UOB1" s="243"/>
      <c r="UOC1" s="243"/>
      <c r="UOD1" s="243"/>
      <c r="UOE1" s="243"/>
      <c r="UOF1" s="243"/>
      <c r="UOG1" s="243" t="s">
        <v>127</v>
      </c>
      <c r="UOH1" s="243"/>
      <c r="UOI1" s="243"/>
      <c r="UOJ1" s="243"/>
      <c r="UOK1" s="243"/>
      <c r="UOL1" s="243"/>
      <c r="UOM1" s="243"/>
      <c r="UON1" s="243"/>
      <c r="UOO1" s="243"/>
      <c r="UOP1" s="243"/>
      <c r="UOQ1" s="243"/>
      <c r="UOR1" s="243"/>
      <c r="UOS1" s="243"/>
      <c r="UOT1" s="243"/>
      <c r="UOU1" s="243"/>
      <c r="UOV1" s="243"/>
      <c r="UOW1" s="243" t="s">
        <v>127</v>
      </c>
      <c r="UOX1" s="243"/>
      <c r="UOY1" s="243"/>
      <c r="UOZ1" s="243"/>
      <c r="UPA1" s="243"/>
      <c r="UPB1" s="243"/>
      <c r="UPC1" s="243"/>
      <c r="UPD1" s="243"/>
      <c r="UPE1" s="243"/>
      <c r="UPF1" s="243"/>
      <c r="UPG1" s="243"/>
      <c r="UPH1" s="243"/>
      <c r="UPI1" s="243"/>
      <c r="UPJ1" s="243"/>
      <c r="UPK1" s="243"/>
      <c r="UPL1" s="243"/>
      <c r="UPM1" s="243" t="s">
        <v>127</v>
      </c>
      <c r="UPN1" s="243"/>
      <c r="UPO1" s="243"/>
      <c r="UPP1" s="243"/>
      <c r="UPQ1" s="243"/>
      <c r="UPR1" s="243"/>
      <c r="UPS1" s="243"/>
      <c r="UPT1" s="243"/>
      <c r="UPU1" s="243"/>
      <c r="UPV1" s="243"/>
      <c r="UPW1" s="243"/>
      <c r="UPX1" s="243"/>
      <c r="UPY1" s="243"/>
      <c r="UPZ1" s="243"/>
      <c r="UQA1" s="243"/>
      <c r="UQB1" s="243"/>
      <c r="UQC1" s="243" t="s">
        <v>127</v>
      </c>
      <c r="UQD1" s="243"/>
      <c r="UQE1" s="243"/>
      <c r="UQF1" s="243"/>
      <c r="UQG1" s="243"/>
      <c r="UQH1" s="243"/>
      <c r="UQI1" s="243"/>
      <c r="UQJ1" s="243"/>
      <c r="UQK1" s="243"/>
      <c r="UQL1" s="243"/>
      <c r="UQM1" s="243"/>
      <c r="UQN1" s="243"/>
      <c r="UQO1" s="243"/>
      <c r="UQP1" s="243"/>
      <c r="UQQ1" s="243"/>
      <c r="UQR1" s="243"/>
      <c r="UQS1" s="243" t="s">
        <v>127</v>
      </c>
      <c r="UQT1" s="243"/>
      <c r="UQU1" s="243"/>
      <c r="UQV1" s="243"/>
      <c r="UQW1" s="243"/>
      <c r="UQX1" s="243"/>
      <c r="UQY1" s="243"/>
      <c r="UQZ1" s="243"/>
      <c r="URA1" s="243"/>
      <c r="URB1" s="243"/>
      <c r="URC1" s="243"/>
      <c r="URD1" s="243"/>
      <c r="URE1" s="243"/>
      <c r="URF1" s="243"/>
      <c r="URG1" s="243"/>
      <c r="URH1" s="243"/>
      <c r="URI1" s="243" t="s">
        <v>127</v>
      </c>
      <c r="URJ1" s="243"/>
      <c r="URK1" s="243"/>
      <c r="URL1" s="243"/>
      <c r="URM1" s="243"/>
      <c r="URN1" s="243"/>
      <c r="URO1" s="243"/>
      <c r="URP1" s="243"/>
      <c r="URQ1" s="243"/>
      <c r="URR1" s="243"/>
      <c r="URS1" s="243"/>
      <c r="URT1" s="243"/>
      <c r="URU1" s="243"/>
      <c r="URV1" s="243"/>
      <c r="URW1" s="243"/>
      <c r="URX1" s="243"/>
      <c r="URY1" s="243" t="s">
        <v>127</v>
      </c>
      <c r="URZ1" s="243"/>
      <c r="USA1" s="243"/>
      <c r="USB1" s="243"/>
      <c r="USC1" s="243"/>
      <c r="USD1" s="243"/>
      <c r="USE1" s="243"/>
      <c r="USF1" s="243"/>
      <c r="USG1" s="243"/>
      <c r="USH1" s="243"/>
      <c r="USI1" s="243"/>
      <c r="USJ1" s="243"/>
      <c r="USK1" s="243"/>
      <c r="USL1" s="243"/>
      <c r="USM1" s="243"/>
      <c r="USN1" s="243"/>
      <c r="USO1" s="243" t="s">
        <v>127</v>
      </c>
      <c r="USP1" s="243"/>
      <c r="USQ1" s="243"/>
      <c r="USR1" s="243"/>
      <c r="USS1" s="243"/>
      <c r="UST1" s="243"/>
      <c r="USU1" s="243"/>
      <c r="USV1" s="243"/>
      <c r="USW1" s="243"/>
      <c r="USX1" s="243"/>
      <c r="USY1" s="243"/>
      <c r="USZ1" s="243"/>
      <c r="UTA1" s="243"/>
      <c r="UTB1" s="243"/>
      <c r="UTC1" s="243"/>
      <c r="UTD1" s="243"/>
      <c r="UTE1" s="243" t="s">
        <v>127</v>
      </c>
      <c r="UTF1" s="243"/>
      <c r="UTG1" s="243"/>
      <c r="UTH1" s="243"/>
      <c r="UTI1" s="243"/>
      <c r="UTJ1" s="243"/>
      <c r="UTK1" s="243"/>
      <c r="UTL1" s="243"/>
      <c r="UTM1" s="243"/>
      <c r="UTN1" s="243"/>
      <c r="UTO1" s="243"/>
      <c r="UTP1" s="243"/>
      <c r="UTQ1" s="243"/>
      <c r="UTR1" s="243"/>
      <c r="UTS1" s="243"/>
      <c r="UTT1" s="243"/>
      <c r="UTU1" s="243" t="s">
        <v>127</v>
      </c>
      <c r="UTV1" s="243"/>
      <c r="UTW1" s="243"/>
      <c r="UTX1" s="243"/>
      <c r="UTY1" s="243"/>
      <c r="UTZ1" s="243"/>
      <c r="UUA1" s="243"/>
      <c r="UUB1" s="243"/>
      <c r="UUC1" s="243"/>
      <c r="UUD1" s="243"/>
      <c r="UUE1" s="243"/>
      <c r="UUF1" s="243"/>
      <c r="UUG1" s="243"/>
      <c r="UUH1" s="243"/>
      <c r="UUI1" s="243"/>
      <c r="UUJ1" s="243"/>
      <c r="UUK1" s="243" t="s">
        <v>127</v>
      </c>
      <c r="UUL1" s="243"/>
      <c r="UUM1" s="243"/>
      <c r="UUN1" s="243"/>
      <c r="UUO1" s="243"/>
      <c r="UUP1" s="243"/>
      <c r="UUQ1" s="243"/>
      <c r="UUR1" s="243"/>
      <c r="UUS1" s="243"/>
      <c r="UUT1" s="243"/>
      <c r="UUU1" s="243"/>
      <c r="UUV1" s="243"/>
      <c r="UUW1" s="243"/>
      <c r="UUX1" s="243"/>
      <c r="UUY1" s="243"/>
      <c r="UUZ1" s="243"/>
      <c r="UVA1" s="243" t="s">
        <v>127</v>
      </c>
      <c r="UVB1" s="243"/>
      <c r="UVC1" s="243"/>
      <c r="UVD1" s="243"/>
      <c r="UVE1" s="243"/>
      <c r="UVF1" s="243"/>
      <c r="UVG1" s="243"/>
      <c r="UVH1" s="243"/>
      <c r="UVI1" s="243"/>
      <c r="UVJ1" s="243"/>
      <c r="UVK1" s="243"/>
      <c r="UVL1" s="243"/>
      <c r="UVM1" s="243"/>
      <c r="UVN1" s="243"/>
      <c r="UVO1" s="243"/>
      <c r="UVP1" s="243"/>
      <c r="UVQ1" s="243" t="s">
        <v>127</v>
      </c>
      <c r="UVR1" s="243"/>
      <c r="UVS1" s="243"/>
      <c r="UVT1" s="243"/>
      <c r="UVU1" s="243"/>
      <c r="UVV1" s="243"/>
      <c r="UVW1" s="243"/>
      <c r="UVX1" s="243"/>
      <c r="UVY1" s="243"/>
      <c r="UVZ1" s="243"/>
      <c r="UWA1" s="243"/>
      <c r="UWB1" s="243"/>
      <c r="UWC1" s="243"/>
      <c r="UWD1" s="243"/>
      <c r="UWE1" s="243"/>
      <c r="UWF1" s="243"/>
      <c r="UWG1" s="243" t="s">
        <v>127</v>
      </c>
      <c r="UWH1" s="243"/>
      <c r="UWI1" s="243"/>
      <c r="UWJ1" s="243"/>
      <c r="UWK1" s="243"/>
      <c r="UWL1" s="243"/>
      <c r="UWM1" s="243"/>
      <c r="UWN1" s="243"/>
      <c r="UWO1" s="243"/>
      <c r="UWP1" s="243"/>
      <c r="UWQ1" s="243"/>
      <c r="UWR1" s="243"/>
      <c r="UWS1" s="243"/>
      <c r="UWT1" s="243"/>
      <c r="UWU1" s="243"/>
      <c r="UWV1" s="243"/>
      <c r="UWW1" s="243" t="s">
        <v>127</v>
      </c>
      <c r="UWX1" s="243"/>
      <c r="UWY1" s="243"/>
      <c r="UWZ1" s="243"/>
      <c r="UXA1" s="243"/>
      <c r="UXB1" s="243"/>
      <c r="UXC1" s="243"/>
      <c r="UXD1" s="243"/>
      <c r="UXE1" s="243"/>
      <c r="UXF1" s="243"/>
      <c r="UXG1" s="243"/>
      <c r="UXH1" s="243"/>
      <c r="UXI1" s="243"/>
      <c r="UXJ1" s="243"/>
      <c r="UXK1" s="243"/>
      <c r="UXL1" s="243"/>
      <c r="UXM1" s="243" t="s">
        <v>127</v>
      </c>
      <c r="UXN1" s="243"/>
      <c r="UXO1" s="243"/>
      <c r="UXP1" s="243"/>
      <c r="UXQ1" s="243"/>
      <c r="UXR1" s="243"/>
      <c r="UXS1" s="243"/>
      <c r="UXT1" s="243"/>
      <c r="UXU1" s="243"/>
      <c r="UXV1" s="243"/>
      <c r="UXW1" s="243"/>
      <c r="UXX1" s="243"/>
      <c r="UXY1" s="243"/>
      <c r="UXZ1" s="243"/>
      <c r="UYA1" s="243"/>
      <c r="UYB1" s="243"/>
      <c r="UYC1" s="243" t="s">
        <v>127</v>
      </c>
      <c r="UYD1" s="243"/>
      <c r="UYE1" s="243"/>
      <c r="UYF1" s="243"/>
      <c r="UYG1" s="243"/>
      <c r="UYH1" s="243"/>
      <c r="UYI1" s="243"/>
      <c r="UYJ1" s="243"/>
      <c r="UYK1" s="243"/>
      <c r="UYL1" s="243"/>
      <c r="UYM1" s="243"/>
      <c r="UYN1" s="243"/>
      <c r="UYO1" s="243"/>
      <c r="UYP1" s="243"/>
      <c r="UYQ1" s="243"/>
      <c r="UYR1" s="243"/>
      <c r="UYS1" s="243" t="s">
        <v>127</v>
      </c>
      <c r="UYT1" s="243"/>
      <c r="UYU1" s="243"/>
      <c r="UYV1" s="243"/>
      <c r="UYW1" s="243"/>
      <c r="UYX1" s="243"/>
      <c r="UYY1" s="243"/>
      <c r="UYZ1" s="243"/>
      <c r="UZA1" s="243"/>
      <c r="UZB1" s="243"/>
      <c r="UZC1" s="243"/>
      <c r="UZD1" s="243"/>
      <c r="UZE1" s="243"/>
      <c r="UZF1" s="243"/>
      <c r="UZG1" s="243"/>
      <c r="UZH1" s="243"/>
      <c r="UZI1" s="243" t="s">
        <v>127</v>
      </c>
      <c r="UZJ1" s="243"/>
      <c r="UZK1" s="243"/>
      <c r="UZL1" s="243"/>
      <c r="UZM1" s="243"/>
      <c r="UZN1" s="243"/>
      <c r="UZO1" s="243"/>
      <c r="UZP1" s="243"/>
      <c r="UZQ1" s="243"/>
      <c r="UZR1" s="243"/>
      <c r="UZS1" s="243"/>
      <c r="UZT1" s="243"/>
      <c r="UZU1" s="243"/>
      <c r="UZV1" s="243"/>
      <c r="UZW1" s="243"/>
      <c r="UZX1" s="243"/>
      <c r="UZY1" s="243" t="s">
        <v>127</v>
      </c>
      <c r="UZZ1" s="243"/>
      <c r="VAA1" s="243"/>
      <c r="VAB1" s="243"/>
      <c r="VAC1" s="243"/>
      <c r="VAD1" s="243"/>
      <c r="VAE1" s="243"/>
      <c r="VAF1" s="243"/>
      <c r="VAG1" s="243"/>
      <c r="VAH1" s="243"/>
      <c r="VAI1" s="243"/>
      <c r="VAJ1" s="243"/>
      <c r="VAK1" s="243"/>
      <c r="VAL1" s="243"/>
      <c r="VAM1" s="243"/>
      <c r="VAN1" s="243"/>
      <c r="VAO1" s="243" t="s">
        <v>127</v>
      </c>
      <c r="VAP1" s="243"/>
      <c r="VAQ1" s="243"/>
      <c r="VAR1" s="243"/>
      <c r="VAS1" s="243"/>
      <c r="VAT1" s="243"/>
      <c r="VAU1" s="243"/>
      <c r="VAV1" s="243"/>
      <c r="VAW1" s="243"/>
      <c r="VAX1" s="243"/>
      <c r="VAY1" s="243"/>
      <c r="VAZ1" s="243"/>
      <c r="VBA1" s="243"/>
      <c r="VBB1" s="243"/>
      <c r="VBC1" s="243"/>
      <c r="VBD1" s="243"/>
      <c r="VBE1" s="243" t="s">
        <v>127</v>
      </c>
      <c r="VBF1" s="243"/>
      <c r="VBG1" s="243"/>
      <c r="VBH1" s="243"/>
      <c r="VBI1" s="243"/>
      <c r="VBJ1" s="243"/>
      <c r="VBK1" s="243"/>
      <c r="VBL1" s="243"/>
      <c r="VBM1" s="243"/>
      <c r="VBN1" s="243"/>
      <c r="VBO1" s="243"/>
      <c r="VBP1" s="243"/>
      <c r="VBQ1" s="243"/>
      <c r="VBR1" s="243"/>
      <c r="VBS1" s="243"/>
      <c r="VBT1" s="243"/>
      <c r="VBU1" s="243" t="s">
        <v>127</v>
      </c>
      <c r="VBV1" s="243"/>
      <c r="VBW1" s="243"/>
      <c r="VBX1" s="243"/>
      <c r="VBY1" s="243"/>
      <c r="VBZ1" s="243"/>
      <c r="VCA1" s="243"/>
      <c r="VCB1" s="243"/>
      <c r="VCC1" s="243"/>
      <c r="VCD1" s="243"/>
      <c r="VCE1" s="243"/>
      <c r="VCF1" s="243"/>
      <c r="VCG1" s="243"/>
      <c r="VCH1" s="243"/>
      <c r="VCI1" s="243"/>
      <c r="VCJ1" s="243"/>
      <c r="VCK1" s="243" t="s">
        <v>127</v>
      </c>
      <c r="VCL1" s="243"/>
      <c r="VCM1" s="243"/>
      <c r="VCN1" s="243"/>
      <c r="VCO1" s="243"/>
      <c r="VCP1" s="243"/>
      <c r="VCQ1" s="243"/>
      <c r="VCR1" s="243"/>
      <c r="VCS1" s="243"/>
      <c r="VCT1" s="243"/>
      <c r="VCU1" s="243"/>
      <c r="VCV1" s="243"/>
      <c r="VCW1" s="243"/>
      <c r="VCX1" s="243"/>
      <c r="VCY1" s="243"/>
      <c r="VCZ1" s="243"/>
      <c r="VDA1" s="243" t="s">
        <v>127</v>
      </c>
      <c r="VDB1" s="243"/>
      <c r="VDC1" s="243"/>
      <c r="VDD1" s="243"/>
      <c r="VDE1" s="243"/>
      <c r="VDF1" s="243"/>
      <c r="VDG1" s="243"/>
      <c r="VDH1" s="243"/>
      <c r="VDI1" s="243"/>
      <c r="VDJ1" s="243"/>
      <c r="VDK1" s="243"/>
      <c r="VDL1" s="243"/>
      <c r="VDM1" s="243"/>
      <c r="VDN1" s="243"/>
      <c r="VDO1" s="243"/>
      <c r="VDP1" s="243"/>
      <c r="VDQ1" s="243" t="s">
        <v>127</v>
      </c>
      <c r="VDR1" s="243"/>
      <c r="VDS1" s="243"/>
      <c r="VDT1" s="243"/>
      <c r="VDU1" s="243"/>
      <c r="VDV1" s="243"/>
      <c r="VDW1" s="243"/>
      <c r="VDX1" s="243"/>
      <c r="VDY1" s="243"/>
      <c r="VDZ1" s="243"/>
      <c r="VEA1" s="243"/>
      <c r="VEB1" s="243"/>
      <c r="VEC1" s="243"/>
      <c r="VED1" s="243"/>
      <c r="VEE1" s="243"/>
      <c r="VEF1" s="243"/>
      <c r="VEG1" s="243" t="s">
        <v>127</v>
      </c>
      <c r="VEH1" s="243"/>
      <c r="VEI1" s="243"/>
      <c r="VEJ1" s="243"/>
      <c r="VEK1" s="243"/>
      <c r="VEL1" s="243"/>
      <c r="VEM1" s="243"/>
      <c r="VEN1" s="243"/>
      <c r="VEO1" s="243"/>
      <c r="VEP1" s="243"/>
      <c r="VEQ1" s="243"/>
      <c r="VER1" s="243"/>
      <c r="VES1" s="243"/>
      <c r="VET1" s="243"/>
      <c r="VEU1" s="243"/>
      <c r="VEV1" s="243"/>
      <c r="VEW1" s="243" t="s">
        <v>127</v>
      </c>
      <c r="VEX1" s="243"/>
      <c r="VEY1" s="243"/>
      <c r="VEZ1" s="243"/>
      <c r="VFA1" s="243"/>
      <c r="VFB1" s="243"/>
      <c r="VFC1" s="243"/>
      <c r="VFD1" s="243"/>
      <c r="VFE1" s="243"/>
      <c r="VFF1" s="243"/>
      <c r="VFG1" s="243"/>
      <c r="VFH1" s="243"/>
      <c r="VFI1" s="243"/>
      <c r="VFJ1" s="243"/>
      <c r="VFK1" s="243"/>
      <c r="VFL1" s="243"/>
      <c r="VFM1" s="243" t="s">
        <v>127</v>
      </c>
      <c r="VFN1" s="243"/>
      <c r="VFO1" s="243"/>
      <c r="VFP1" s="243"/>
      <c r="VFQ1" s="243"/>
      <c r="VFR1" s="243"/>
      <c r="VFS1" s="243"/>
      <c r="VFT1" s="243"/>
      <c r="VFU1" s="243"/>
      <c r="VFV1" s="243"/>
      <c r="VFW1" s="243"/>
      <c r="VFX1" s="243"/>
      <c r="VFY1" s="243"/>
      <c r="VFZ1" s="243"/>
      <c r="VGA1" s="243"/>
      <c r="VGB1" s="243"/>
      <c r="VGC1" s="243" t="s">
        <v>127</v>
      </c>
      <c r="VGD1" s="243"/>
      <c r="VGE1" s="243"/>
      <c r="VGF1" s="243"/>
      <c r="VGG1" s="243"/>
      <c r="VGH1" s="243"/>
      <c r="VGI1" s="243"/>
      <c r="VGJ1" s="243"/>
      <c r="VGK1" s="243"/>
      <c r="VGL1" s="243"/>
      <c r="VGM1" s="243"/>
      <c r="VGN1" s="243"/>
      <c r="VGO1" s="243"/>
      <c r="VGP1" s="243"/>
      <c r="VGQ1" s="243"/>
      <c r="VGR1" s="243"/>
      <c r="VGS1" s="243" t="s">
        <v>127</v>
      </c>
      <c r="VGT1" s="243"/>
      <c r="VGU1" s="243"/>
      <c r="VGV1" s="243"/>
      <c r="VGW1" s="243"/>
      <c r="VGX1" s="243"/>
      <c r="VGY1" s="243"/>
      <c r="VGZ1" s="243"/>
      <c r="VHA1" s="243"/>
      <c r="VHB1" s="243"/>
      <c r="VHC1" s="243"/>
      <c r="VHD1" s="243"/>
      <c r="VHE1" s="243"/>
      <c r="VHF1" s="243"/>
      <c r="VHG1" s="243"/>
      <c r="VHH1" s="243"/>
      <c r="VHI1" s="243" t="s">
        <v>127</v>
      </c>
      <c r="VHJ1" s="243"/>
      <c r="VHK1" s="243"/>
      <c r="VHL1" s="243"/>
      <c r="VHM1" s="243"/>
      <c r="VHN1" s="243"/>
      <c r="VHO1" s="243"/>
      <c r="VHP1" s="243"/>
      <c r="VHQ1" s="243"/>
      <c r="VHR1" s="243"/>
      <c r="VHS1" s="243"/>
      <c r="VHT1" s="243"/>
      <c r="VHU1" s="243"/>
      <c r="VHV1" s="243"/>
      <c r="VHW1" s="243"/>
      <c r="VHX1" s="243"/>
      <c r="VHY1" s="243" t="s">
        <v>127</v>
      </c>
      <c r="VHZ1" s="243"/>
      <c r="VIA1" s="243"/>
      <c r="VIB1" s="243"/>
      <c r="VIC1" s="243"/>
      <c r="VID1" s="243"/>
      <c r="VIE1" s="243"/>
      <c r="VIF1" s="243"/>
      <c r="VIG1" s="243"/>
      <c r="VIH1" s="243"/>
      <c r="VII1" s="243"/>
      <c r="VIJ1" s="243"/>
      <c r="VIK1" s="243"/>
      <c r="VIL1" s="243"/>
      <c r="VIM1" s="243"/>
      <c r="VIN1" s="243"/>
      <c r="VIO1" s="243" t="s">
        <v>127</v>
      </c>
      <c r="VIP1" s="243"/>
      <c r="VIQ1" s="243"/>
      <c r="VIR1" s="243"/>
      <c r="VIS1" s="243"/>
      <c r="VIT1" s="243"/>
      <c r="VIU1" s="243"/>
      <c r="VIV1" s="243"/>
      <c r="VIW1" s="243"/>
      <c r="VIX1" s="243"/>
      <c r="VIY1" s="243"/>
      <c r="VIZ1" s="243"/>
      <c r="VJA1" s="243"/>
      <c r="VJB1" s="243"/>
      <c r="VJC1" s="243"/>
      <c r="VJD1" s="243"/>
      <c r="VJE1" s="243" t="s">
        <v>127</v>
      </c>
      <c r="VJF1" s="243"/>
      <c r="VJG1" s="243"/>
      <c r="VJH1" s="243"/>
      <c r="VJI1" s="243"/>
      <c r="VJJ1" s="243"/>
      <c r="VJK1" s="243"/>
      <c r="VJL1" s="243"/>
      <c r="VJM1" s="243"/>
      <c r="VJN1" s="243"/>
      <c r="VJO1" s="243"/>
      <c r="VJP1" s="243"/>
      <c r="VJQ1" s="243"/>
      <c r="VJR1" s="243"/>
      <c r="VJS1" s="243"/>
      <c r="VJT1" s="243"/>
      <c r="VJU1" s="243" t="s">
        <v>127</v>
      </c>
      <c r="VJV1" s="243"/>
      <c r="VJW1" s="243"/>
      <c r="VJX1" s="243"/>
      <c r="VJY1" s="243"/>
      <c r="VJZ1" s="243"/>
      <c r="VKA1" s="243"/>
      <c r="VKB1" s="243"/>
      <c r="VKC1" s="243"/>
      <c r="VKD1" s="243"/>
      <c r="VKE1" s="243"/>
      <c r="VKF1" s="243"/>
      <c r="VKG1" s="243"/>
      <c r="VKH1" s="243"/>
      <c r="VKI1" s="243"/>
      <c r="VKJ1" s="243"/>
      <c r="VKK1" s="243" t="s">
        <v>127</v>
      </c>
      <c r="VKL1" s="243"/>
      <c r="VKM1" s="243"/>
      <c r="VKN1" s="243"/>
      <c r="VKO1" s="243"/>
      <c r="VKP1" s="243"/>
      <c r="VKQ1" s="243"/>
      <c r="VKR1" s="243"/>
      <c r="VKS1" s="243"/>
      <c r="VKT1" s="243"/>
      <c r="VKU1" s="243"/>
      <c r="VKV1" s="243"/>
      <c r="VKW1" s="243"/>
      <c r="VKX1" s="243"/>
      <c r="VKY1" s="243"/>
      <c r="VKZ1" s="243"/>
      <c r="VLA1" s="243" t="s">
        <v>127</v>
      </c>
      <c r="VLB1" s="243"/>
      <c r="VLC1" s="243"/>
      <c r="VLD1" s="243"/>
      <c r="VLE1" s="243"/>
      <c r="VLF1" s="243"/>
      <c r="VLG1" s="243"/>
      <c r="VLH1" s="243"/>
      <c r="VLI1" s="243"/>
      <c r="VLJ1" s="243"/>
      <c r="VLK1" s="243"/>
      <c r="VLL1" s="243"/>
      <c r="VLM1" s="243"/>
      <c r="VLN1" s="243"/>
      <c r="VLO1" s="243"/>
      <c r="VLP1" s="243"/>
      <c r="VLQ1" s="243" t="s">
        <v>127</v>
      </c>
      <c r="VLR1" s="243"/>
      <c r="VLS1" s="243"/>
      <c r="VLT1" s="243"/>
      <c r="VLU1" s="243"/>
      <c r="VLV1" s="243"/>
      <c r="VLW1" s="243"/>
      <c r="VLX1" s="243"/>
      <c r="VLY1" s="243"/>
      <c r="VLZ1" s="243"/>
      <c r="VMA1" s="243"/>
      <c r="VMB1" s="243"/>
      <c r="VMC1" s="243"/>
      <c r="VMD1" s="243"/>
      <c r="VME1" s="243"/>
      <c r="VMF1" s="243"/>
      <c r="VMG1" s="243" t="s">
        <v>127</v>
      </c>
      <c r="VMH1" s="243"/>
      <c r="VMI1" s="243"/>
      <c r="VMJ1" s="243"/>
      <c r="VMK1" s="243"/>
      <c r="VML1" s="243"/>
      <c r="VMM1" s="243"/>
      <c r="VMN1" s="243"/>
      <c r="VMO1" s="243"/>
      <c r="VMP1" s="243"/>
      <c r="VMQ1" s="243"/>
      <c r="VMR1" s="243"/>
      <c r="VMS1" s="243"/>
      <c r="VMT1" s="243"/>
      <c r="VMU1" s="243"/>
      <c r="VMV1" s="243"/>
      <c r="VMW1" s="243" t="s">
        <v>127</v>
      </c>
      <c r="VMX1" s="243"/>
      <c r="VMY1" s="243"/>
      <c r="VMZ1" s="243"/>
      <c r="VNA1" s="243"/>
      <c r="VNB1" s="243"/>
      <c r="VNC1" s="243"/>
      <c r="VND1" s="243"/>
      <c r="VNE1" s="243"/>
      <c r="VNF1" s="243"/>
      <c r="VNG1" s="243"/>
      <c r="VNH1" s="243"/>
      <c r="VNI1" s="243"/>
      <c r="VNJ1" s="243"/>
      <c r="VNK1" s="243"/>
      <c r="VNL1" s="243"/>
      <c r="VNM1" s="243" t="s">
        <v>127</v>
      </c>
      <c r="VNN1" s="243"/>
      <c r="VNO1" s="243"/>
      <c r="VNP1" s="243"/>
      <c r="VNQ1" s="243"/>
      <c r="VNR1" s="243"/>
      <c r="VNS1" s="243"/>
      <c r="VNT1" s="243"/>
      <c r="VNU1" s="243"/>
      <c r="VNV1" s="243"/>
      <c r="VNW1" s="243"/>
      <c r="VNX1" s="243"/>
      <c r="VNY1" s="243"/>
      <c r="VNZ1" s="243"/>
      <c r="VOA1" s="243"/>
      <c r="VOB1" s="243"/>
      <c r="VOC1" s="243" t="s">
        <v>127</v>
      </c>
      <c r="VOD1" s="243"/>
      <c r="VOE1" s="243"/>
      <c r="VOF1" s="243"/>
      <c r="VOG1" s="243"/>
      <c r="VOH1" s="243"/>
      <c r="VOI1" s="243"/>
      <c r="VOJ1" s="243"/>
      <c r="VOK1" s="243"/>
      <c r="VOL1" s="243"/>
      <c r="VOM1" s="243"/>
      <c r="VON1" s="243"/>
      <c r="VOO1" s="243"/>
      <c r="VOP1" s="243"/>
      <c r="VOQ1" s="243"/>
      <c r="VOR1" s="243"/>
      <c r="VOS1" s="243" t="s">
        <v>127</v>
      </c>
      <c r="VOT1" s="243"/>
      <c r="VOU1" s="243"/>
      <c r="VOV1" s="243"/>
      <c r="VOW1" s="243"/>
      <c r="VOX1" s="243"/>
      <c r="VOY1" s="243"/>
      <c r="VOZ1" s="243"/>
      <c r="VPA1" s="243"/>
      <c r="VPB1" s="243"/>
      <c r="VPC1" s="243"/>
      <c r="VPD1" s="243"/>
      <c r="VPE1" s="243"/>
      <c r="VPF1" s="243"/>
      <c r="VPG1" s="243"/>
      <c r="VPH1" s="243"/>
      <c r="VPI1" s="243" t="s">
        <v>127</v>
      </c>
      <c r="VPJ1" s="243"/>
      <c r="VPK1" s="243"/>
      <c r="VPL1" s="243"/>
      <c r="VPM1" s="243"/>
      <c r="VPN1" s="243"/>
      <c r="VPO1" s="243"/>
      <c r="VPP1" s="243"/>
      <c r="VPQ1" s="243"/>
      <c r="VPR1" s="243"/>
      <c r="VPS1" s="243"/>
      <c r="VPT1" s="243"/>
      <c r="VPU1" s="243"/>
      <c r="VPV1" s="243"/>
      <c r="VPW1" s="243"/>
      <c r="VPX1" s="243"/>
      <c r="VPY1" s="243" t="s">
        <v>127</v>
      </c>
      <c r="VPZ1" s="243"/>
      <c r="VQA1" s="243"/>
      <c r="VQB1" s="243"/>
      <c r="VQC1" s="243"/>
      <c r="VQD1" s="243"/>
      <c r="VQE1" s="243"/>
      <c r="VQF1" s="243"/>
      <c r="VQG1" s="243"/>
      <c r="VQH1" s="243"/>
      <c r="VQI1" s="243"/>
      <c r="VQJ1" s="243"/>
      <c r="VQK1" s="243"/>
      <c r="VQL1" s="243"/>
      <c r="VQM1" s="243"/>
      <c r="VQN1" s="243"/>
      <c r="VQO1" s="243" t="s">
        <v>127</v>
      </c>
      <c r="VQP1" s="243"/>
      <c r="VQQ1" s="243"/>
      <c r="VQR1" s="243"/>
      <c r="VQS1" s="243"/>
      <c r="VQT1" s="243"/>
      <c r="VQU1" s="243"/>
      <c r="VQV1" s="243"/>
      <c r="VQW1" s="243"/>
      <c r="VQX1" s="243"/>
      <c r="VQY1" s="243"/>
      <c r="VQZ1" s="243"/>
      <c r="VRA1" s="243"/>
      <c r="VRB1" s="243"/>
      <c r="VRC1" s="243"/>
      <c r="VRD1" s="243"/>
      <c r="VRE1" s="243" t="s">
        <v>127</v>
      </c>
      <c r="VRF1" s="243"/>
      <c r="VRG1" s="243"/>
      <c r="VRH1" s="243"/>
      <c r="VRI1" s="243"/>
      <c r="VRJ1" s="243"/>
      <c r="VRK1" s="243"/>
      <c r="VRL1" s="243"/>
      <c r="VRM1" s="243"/>
      <c r="VRN1" s="243"/>
      <c r="VRO1" s="243"/>
      <c r="VRP1" s="243"/>
      <c r="VRQ1" s="243"/>
      <c r="VRR1" s="243"/>
      <c r="VRS1" s="243"/>
      <c r="VRT1" s="243"/>
      <c r="VRU1" s="243" t="s">
        <v>127</v>
      </c>
      <c r="VRV1" s="243"/>
      <c r="VRW1" s="243"/>
      <c r="VRX1" s="243"/>
      <c r="VRY1" s="243"/>
      <c r="VRZ1" s="243"/>
      <c r="VSA1" s="243"/>
      <c r="VSB1" s="243"/>
      <c r="VSC1" s="243"/>
      <c r="VSD1" s="243"/>
      <c r="VSE1" s="243"/>
      <c r="VSF1" s="243"/>
      <c r="VSG1" s="243"/>
      <c r="VSH1" s="243"/>
      <c r="VSI1" s="243"/>
      <c r="VSJ1" s="243"/>
      <c r="VSK1" s="243" t="s">
        <v>127</v>
      </c>
      <c r="VSL1" s="243"/>
      <c r="VSM1" s="243"/>
      <c r="VSN1" s="243"/>
      <c r="VSO1" s="243"/>
      <c r="VSP1" s="243"/>
      <c r="VSQ1" s="243"/>
      <c r="VSR1" s="243"/>
      <c r="VSS1" s="243"/>
      <c r="VST1" s="243"/>
      <c r="VSU1" s="243"/>
      <c r="VSV1" s="243"/>
      <c r="VSW1" s="243"/>
      <c r="VSX1" s="243"/>
      <c r="VSY1" s="243"/>
      <c r="VSZ1" s="243"/>
      <c r="VTA1" s="243" t="s">
        <v>127</v>
      </c>
      <c r="VTB1" s="243"/>
      <c r="VTC1" s="243"/>
      <c r="VTD1" s="243"/>
      <c r="VTE1" s="243"/>
      <c r="VTF1" s="243"/>
      <c r="VTG1" s="243"/>
      <c r="VTH1" s="243"/>
      <c r="VTI1" s="243"/>
      <c r="VTJ1" s="243"/>
      <c r="VTK1" s="243"/>
      <c r="VTL1" s="243"/>
      <c r="VTM1" s="243"/>
      <c r="VTN1" s="243"/>
      <c r="VTO1" s="243"/>
      <c r="VTP1" s="243"/>
      <c r="VTQ1" s="243" t="s">
        <v>127</v>
      </c>
      <c r="VTR1" s="243"/>
      <c r="VTS1" s="243"/>
      <c r="VTT1" s="243"/>
      <c r="VTU1" s="243"/>
      <c r="VTV1" s="243"/>
      <c r="VTW1" s="243"/>
      <c r="VTX1" s="243"/>
      <c r="VTY1" s="243"/>
      <c r="VTZ1" s="243"/>
      <c r="VUA1" s="243"/>
      <c r="VUB1" s="243"/>
      <c r="VUC1" s="243"/>
      <c r="VUD1" s="243"/>
      <c r="VUE1" s="243"/>
      <c r="VUF1" s="243"/>
      <c r="VUG1" s="243" t="s">
        <v>127</v>
      </c>
      <c r="VUH1" s="243"/>
      <c r="VUI1" s="243"/>
      <c r="VUJ1" s="243"/>
      <c r="VUK1" s="243"/>
      <c r="VUL1" s="243"/>
      <c r="VUM1" s="243"/>
      <c r="VUN1" s="243"/>
      <c r="VUO1" s="243"/>
      <c r="VUP1" s="243"/>
      <c r="VUQ1" s="243"/>
      <c r="VUR1" s="243"/>
      <c r="VUS1" s="243"/>
      <c r="VUT1" s="243"/>
      <c r="VUU1" s="243"/>
      <c r="VUV1" s="243"/>
      <c r="VUW1" s="243" t="s">
        <v>127</v>
      </c>
      <c r="VUX1" s="243"/>
      <c r="VUY1" s="243"/>
      <c r="VUZ1" s="243"/>
      <c r="VVA1" s="243"/>
      <c r="VVB1" s="243"/>
      <c r="VVC1" s="243"/>
      <c r="VVD1" s="243"/>
      <c r="VVE1" s="243"/>
      <c r="VVF1" s="243"/>
      <c r="VVG1" s="243"/>
      <c r="VVH1" s="243"/>
      <c r="VVI1" s="243"/>
      <c r="VVJ1" s="243"/>
      <c r="VVK1" s="243"/>
      <c r="VVL1" s="243"/>
      <c r="VVM1" s="243" t="s">
        <v>127</v>
      </c>
      <c r="VVN1" s="243"/>
      <c r="VVO1" s="243"/>
      <c r="VVP1" s="243"/>
      <c r="VVQ1" s="243"/>
      <c r="VVR1" s="243"/>
      <c r="VVS1" s="243"/>
      <c r="VVT1" s="243"/>
      <c r="VVU1" s="243"/>
      <c r="VVV1" s="243"/>
      <c r="VVW1" s="243"/>
      <c r="VVX1" s="243"/>
      <c r="VVY1" s="243"/>
      <c r="VVZ1" s="243"/>
      <c r="VWA1" s="243"/>
      <c r="VWB1" s="243"/>
      <c r="VWC1" s="243" t="s">
        <v>127</v>
      </c>
      <c r="VWD1" s="243"/>
      <c r="VWE1" s="243"/>
      <c r="VWF1" s="243"/>
      <c r="VWG1" s="243"/>
      <c r="VWH1" s="243"/>
      <c r="VWI1" s="243"/>
      <c r="VWJ1" s="243"/>
      <c r="VWK1" s="243"/>
      <c r="VWL1" s="243"/>
      <c r="VWM1" s="243"/>
      <c r="VWN1" s="243"/>
      <c r="VWO1" s="243"/>
      <c r="VWP1" s="243"/>
      <c r="VWQ1" s="243"/>
      <c r="VWR1" s="243"/>
      <c r="VWS1" s="243" t="s">
        <v>127</v>
      </c>
      <c r="VWT1" s="243"/>
      <c r="VWU1" s="243"/>
      <c r="VWV1" s="243"/>
      <c r="VWW1" s="243"/>
      <c r="VWX1" s="243"/>
      <c r="VWY1" s="243"/>
      <c r="VWZ1" s="243"/>
      <c r="VXA1" s="243"/>
      <c r="VXB1" s="243"/>
      <c r="VXC1" s="243"/>
      <c r="VXD1" s="243"/>
      <c r="VXE1" s="243"/>
      <c r="VXF1" s="243"/>
      <c r="VXG1" s="243"/>
      <c r="VXH1" s="243"/>
      <c r="VXI1" s="243" t="s">
        <v>127</v>
      </c>
      <c r="VXJ1" s="243"/>
      <c r="VXK1" s="243"/>
      <c r="VXL1" s="243"/>
      <c r="VXM1" s="243"/>
      <c r="VXN1" s="243"/>
      <c r="VXO1" s="243"/>
      <c r="VXP1" s="243"/>
      <c r="VXQ1" s="243"/>
      <c r="VXR1" s="243"/>
      <c r="VXS1" s="243"/>
      <c r="VXT1" s="243"/>
      <c r="VXU1" s="243"/>
      <c r="VXV1" s="243"/>
      <c r="VXW1" s="243"/>
      <c r="VXX1" s="243"/>
      <c r="VXY1" s="243" t="s">
        <v>127</v>
      </c>
      <c r="VXZ1" s="243"/>
      <c r="VYA1" s="243"/>
      <c r="VYB1" s="243"/>
      <c r="VYC1" s="243"/>
      <c r="VYD1" s="243"/>
      <c r="VYE1" s="243"/>
      <c r="VYF1" s="243"/>
      <c r="VYG1" s="243"/>
      <c r="VYH1" s="243"/>
      <c r="VYI1" s="243"/>
      <c r="VYJ1" s="243"/>
      <c r="VYK1" s="243"/>
      <c r="VYL1" s="243"/>
      <c r="VYM1" s="243"/>
      <c r="VYN1" s="243"/>
      <c r="VYO1" s="243" t="s">
        <v>127</v>
      </c>
      <c r="VYP1" s="243"/>
      <c r="VYQ1" s="243"/>
      <c r="VYR1" s="243"/>
      <c r="VYS1" s="243"/>
      <c r="VYT1" s="243"/>
      <c r="VYU1" s="243"/>
      <c r="VYV1" s="243"/>
      <c r="VYW1" s="243"/>
      <c r="VYX1" s="243"/>
      <c r="VYY1" s="243"/>
      <c r="VYZ1" s="243"/>
      <c r="VZA1" s="243"/>
      <c r="VZB1" s="243"/>
      <c r="VZC1" s="243"/>
      <c r="VZD1" s="243"/>
      <c r="VZE1" s="243" t="s">
        <v>127</v>
      </c>
      <c r="VZF1" s="243"/>
      <c r="VZG1" s="243"/>
      <c r="VZH1" s="243"/>
      <c r="VZI1" s="243"/>
      <c r="VZJ1" s="243"/>
      <c r="VZK1" s="243"/>
      <c r="VZL1" s="243"/>
      <c r="VZM1" s="243"/>
      <c r="VZN1" s="243"/>
      <c r="VZO1" s="243"/>
      <c r="VZP1" s="243"/>
      <c r="VZQ1" s="243"/>
      <c r="VZR1" s="243"/>
      <c r="VZS1" s="243"/>
      <c r="VZT1" s="243"/>
      <c r="VZU1" s="243" t="s">
        <v>127</v>
      </c>
      <c r="VZV1" s="243"/>
      <c r="VZW1" s="243"/>
      <c r="VZX1" s="243"/>
      <c r="VZY1" s="243"/>
      <c r="VZZ1" s="243"/>
      <c r="WAA1" s="243"/>
      <c r="WAB1" s="243"/>
      <c r="WAC1" s="243"/>
      <c r="WAD1" s="243"/>
      <c r="WAE1" s="243"/>
      <c r="WAF1" s="243"/>
      <c r="WAG1" s="243"/>
      <c r="WAH1" s="243"/>
      <c r="WAI1" s="243"/>
      <c r="WAJ1" s="243"/>
      <c r="WAK1" s="243" t="s">
        <v>127</v>
      </c>
      <c r="WAL1" s="243"/>
      <c r="WAM1" s="243"/>
      <c r="WAN1" s="243"/>
      <c r="WAO1" s="243"/>
      <c r="WAP1" s="243"/>
      <c r="WAQ1" s="243"/>
      <c r="WAR1" s="243"/>
      <c r="WAS1" s="243"/>
      <c r="WAT1" s="243"/>
      <c r="WAU1" s="243"/>
      <c r="WAV1" s="243"/>
      <c r="WAW1" s="243"/>
      <c r="WAX1" s="243"/>
      <c r="WAY1" s="243"/>
      <c r="WAZ1" s="243"/>
      <c r="WBA1" s="243" t="s">
        <v>127</v>
      </c>
      <c r="WBB1" s="243"/>
      <c r="WBC1" s="243"/>
      <c r="WBD1" s="243"/>
      <c r="WBE1" s="243"/>
      <c r="WBF1" s="243"/>
      <c r="WBG1" s="243"/>
      <c r="WBH1" s="243"/>
      <c r="WBI1" s="243"/>
      <c r="WBJ1" s="243"/>
      <c r="WBK1" s="243"/>
      <c r="WBL1" s="243"/>
      <c r="WBM1" s="243"/>
      <c r="WBN1" s="243"/>
      <c r="WBO1" s="243"/>
      <c r="WBP1" s="243"/>
      <c r="WBQ1" s="243" t="s">
        <v>127</v>
      </c>
      <c r="WBR1" s="243"/>
      <c r="WBS1" s="243"/>
      <c r="WBT1" s="243"/>
      <c r="WBU1" s="243"/>
      <c r="WBV1" s="243"/>
      <c r="WBW1" s="243"/>
      <c r="WBX1" s="243"/>
      <c r="WBY1" s="243"/>
      <c r="WBZ1" s="243"/>
      <c r="WCA1" s="243"/>
      <c r="WCB1" s="243"/>
      <c r="WCC1" s="243"/>
      <c r="WCD1" s="243"/>
      <c r="WCE1" s="243"/>
      <c r="WCF1" s="243"/>
      <c r="WCG1" s="243" t="s">
        <v>127</v>
      </c>
      <c r="WCH1" s="243"/>
      <c r="WCI1" s="243"/>
      <c r="WCJ1" s="243"/>
      <c r="WCK1" s="243"/>
      <c r="WCL1" s="243"/>
      <c r="WCM1" s="243"/>
      <c r="WCN1" s="243"/>
      <c r="WCO1" s="243"/>
      <c r="WCP1" s="243"/>
      <c r="WCQ1" s="243"/>
      <c r="WCR1" s="243"/>
      <c r="WCS1" s="243"/>
      <c r="WCT1" s="243"/>
      <c r="WCU1" s="243"/>
      <c r="WCV1" s="243"/>
      <c r="WCW1" s="243" t="s">
        <v>127</v>
      </c>
      <c r="WCX1" s="243"/>
      <c r="WCY1" s="243"/>
      <c r="WCZ1" s="243"/>
      <c r="WDA1" s="243"/>
      <c r="WDB1" s="243"/>
      <c r="WDC1" s="243"/>
      <c r="WDD1" s="243"/>
      <c r="WDE1" s="243"/>
      <c r="WDF1" s="243"/>
      <c r="WDG1" s="243"/>
      <c r="WDH1" s="243"/>
      <c r="WDI1" s="243"/>
      <c r="WDJ1" s="243"/>
      <c r="WDK1" s="243"/>
      <c r="WDL1" s="243"/>
      <c r="WDM1" s="243" t="s">
        <v>127</v>
      </c>
      <c r="WDN1" s="243"/>
      <c r="WDO1" s="243"/>
      <c r="WDP1" s="243"/>
      <c r="WDQ1" s="243"/>
      <c r="WDR1" s="243"/>
      <c r="WDS1" s="243"/>
      <c r="WDT1" s="243"/>
      <c r="WDU1" s="243"/>
      <c r="WDV1" s="243"/>
      <c r="WDW1" s="243"/>
      <c r="WDX1" s="243"/>
      <c r="WDY1" s="243"/>
      <c r="WDZ1" s="243"/>
      <c r="WEA1" s="243"/>
      <c r="WEB1" s="243"/>
      <c r="WEC1" s="243" t="s">
        <v>127</v>
      </c>
      <c r="WED1" s="243"/>
      <c r="WEE1" s="243"/>
      <c r="WEF1" s="243"/>
      <c r="WEG1" s="243"/>
      <c r="WEH1" s="243"/>
      <c r="WEI1" s="243"/>
      <c r="WEJ1" s="243"/>
      <c r="WEK1" s="243"/>
      <c r="WEL1" s="243"/>
      <c r="WEM1" s="243"/>
      <c r="WEN1" s="243"/>
      <c r="WEO1" s="243"/>
      <c r="WEP1" s="243"/>
      <c r="WEQ1" s="243"/>
      <c r="WER1" s="243"/>
      <c r="WES1" s="243" t="s">
        <v>127</v>
      </c>
      <c r="WET1" s="243"/>
      <c r="WEU1" s="243"/>
      <c r="WEV1" s="243"/>
      <c r="WEW1" s="243"/>
      <c r="WEX1" s="243"/>
      <c r="WEY1" s="243"/>
      <c r="WEZ1" s="243"/>
      <c r="WFA1" s="243"/>
      <c r="WFB1" s="243"/>
      <c r="WFC1" s="243"/>
      <c r="WFD1" s="243"/>
      <c r="WFE1" s="243"/>
      <c r="WFF1" s="243"/>
      <c r="WFG1" s="243"/>
      <c r="WFH1" s="243"/>
      <c r="WFI1" s="243" t="s">
        <v>127</v>
      </c>
      <c r="WFJ1" s="243"/>
      <c r="WFK1" s="243"/>
      <c r="WFL1" s="243"/>
      <c r="WFM1" s="243"/>
      <c r="WFN1" s="243"/>
      <c r="WFO1" s="243"/>
      <c r="WFP1" s="243"/>
      <c r="WFQ1" s="243"/>
      <c r="WFR1" s="243"/>
      <c r="WFS1" s="243"/>
      <c r="WFT1" s="243"/>
      <c r="WFU1" s="243"/>
      <c r="WFV1" s="243"/>
      <c r="WFW1" s="243"/>
      <c r="WFX1" s="243"/>
      <c r="WFY1" s="243" t="s">
        <v>127</v>
      </c>
      <c r="WFZ1" s="243"/>
      <c r="WGA1" s="243"/>
      <c r="WGB1" s="243"/>
      <c r="WGC1" s="243"/>
      <c r="WGD1" s="243"/>
      <c r="WGE1" s="243"/>
      <c r="WGF1" s="243"/>
      <c r="WGG1" s="243"/>
      <c r="WGH1" s="243"/>
      <c r="WGI1" s="243"/>
      <c r="WGJ1" s="243"/>
      <c r="WGK1" s="243"/>
      <c r="WGL1" s="243"/>
      <c r="WGM1" s="243"/>
      <c r="WGN1" s="243"/>
      <c r="WGO1" s="243" t="s">
        <v>127</v>
      </c>
      <c r="WGP1" s="243"/>
      <c r="WGQ1" s="243"/>
      <c r="WGR1" s="243"/>
      <c r="WGS1" s="243"/>
      <c r="WGT1" s="243"/>
      <c r="WGU1" s="243"/>
      <c r="WGV1" s="243"/>
      <c r="WGW1" s="243"/>
      <c r="WGX1" s="243"/>
      <c r="WGY1" s="243"/>
      <c r="WGZ1" s="243"/>
      <c r="WHA1" s="243"/>
      <c r="WHB1" s="243"/>
      <c r="WHC1" s="243"/>
      <c r="WHD1" s="243"/>
      <c r="WHE1" s="243" t="s">
        <v>127</v>
      </c>
      <c r="WHF1" s="243"/>
      <c r="WHG1" s="243"/>
      <c r="WHH1" s="243"/>
      <c r="WHI1" s="243"/>
      <c r="WHJ1" s="243"/>
      <c r="WHK1" s="243"/>
      <c r="WHL1" s="243"/>
      <c r="WHM1" s="243"/>
      <c r="WHN1" s="243"/>
      <c r="WHO1" s="243"/>
      <c r="WHP1" s="243"/>
      <c r="WHQ1" s="243"/>
      <c r="WHR1" s="243"/>
      <c r="WHS1" s="243"/>
      <c r="WHT1" s="243"/>
      <c r="WHU1" s="243" t="s">
        <v>127</v>
      </c>
      <c r="WHV1" s="243"/>
      <c r="WHW1" s="243"/>
      <c r="WHX1" s="243"/>
      <c r="WHY1" s="243"/>
      <c r="WHZ1" s="243"/>
      <c r="WIA1" s="243"/>
      <c r="WIB1" s="243"/>
      <c r="WIC1" s="243"/>
      <c r="WID1" s="243"/>
      <c r="WIE1" s="243"/>
      <c r="WIF1" s="243"/>
      <c r="WIG1" s="243"/>
      <c r="WIH1" s="243"/>
      <c r="WII1" s="243"/>
      <c r="WIJ1" s="243"/>
      <c r="WIK1" s="243" t="s">
        <v>127</v>
      </c>
      <c r="WIL1" s="243"/>
      <c r="WIM1" s="243"/>
      <c r="WIN1" s="243"/>
      <c r="WIO1" s="243"/>
      <c r="WIP1" s="243"/>
      <c r="WIQ1" s="243"/>
      <c r="WIR1" s="243"/>
      <c r="WIS1" s="243"/>
      <c r="WIT1" s="243"/>
      <c r="WIU1" s="243"/>
      <c r="WIV1" s="243"/>
      <c r="WIW1" s="243"/>
      <c r="WIX1" s="243"/>
      <c r="WIY1" s="243"/>
      <c r="WIZ1" s="243"/>
      <c r="WJA1" s="243" t="s">
        <v>127</v>
      </c>
      <c r="WJB1" s="243"/>
      <c r="WJC1" s="243"/>
      <c r="WJD1" s="243"/>
      <c r="WJE1" s="243"/>
      <c r="WJF1" s="243"/>
      <c r="WJG1" s="243"/>
      <c r="WJH1" s="243"/>
      <c r="WJI1" s="243"/>
      <c r="WJJ1" s="243"/>
      <c r="WJK1" s="243"/>
      <c r="WJL1" s="243"/>
      <c r="WJM1" s="243"/>
      <c r="WJN1" s="243"/>
      <c r="WJO1" s="243"/>
      <c r="WJP1" s="243"/>
      <c r="WJQ1" s="243" t="s">
        <v>127</v>
      </c>
      <c r="WJR1" s="243"/>
      <c r="WJS1" s="243"/>
      <c r="WJT1" s="243"/>
      <c r="WJU1" s="243"/>
      <c r="WJV1" s="243"/>
      <c r="WJW1" s="243"/>
      <c r="WJX1" s="243"/>
      <c r="WJY1" s="243"/>
      <c r="WJZ1" s="243"/>
      <c r="WKA1" s="243"/>
      <c r="WKB1" s="243"/>
      <c r="WKC1" s="243"/>
      <c r="WKD1" s="243"/>
      <c r="WKE1" s="243"/>
      <c r="WKF1" s="243"/>
      <c r="WKG1" s="243" t="s">
        <v>127</v>
      </c>
      <c r="WKH1" s="243"/>
      <c r="WKI1" s="243"/>
      <c r="WKJ1" s="243"/>
      <c r="WKK1" s="243"/>
      <c r="WKL1" s="243"/>
      <c r="WKM1" s="243"/>
      <c r="WKN1" s="243"/>
      <c r="WKO1" s="243"/>
      <c r="WKP1" s="243"/>
      <c r="WKQ1" s="243"/>
      <c r="WKR1" s="243"/>
      <c r="WKS1" s="243"/>
      <c r="WKT1" s="243"/>
      <c r="WKU1" s="243"/>
      <c r="WKV1" s="243"/>
      <c r="WKW1" s="243" t="s">
        <v>127</v>
      </c>
      <c r="WKX1" s="243"/>
      <c r="WKY1" s="243"/>
      <c r="WKZ1" s="243"/>
      <c r="WLA1" s="243"/>
      <c r="WLB1" s="243"/>
      <c r="WLC1" s="243"/>
      <c r="WLD1" s="243"/>
      <c r="WLE1" s="243"/>
      <c r="WLF1" s="243"/>
      <c r="WLG1" s="243"/>
      <c r="WLH1" s="243"/>
      <c r="WLI1" s="243"/>
      <c r="WLJ1" s="243"/>
      <c r="WLK1" s="243"/>
      <c r="WLL1" s="243"/>
      <c r="WLM1" s="243" t="s">
        <v>127</v>
      </c>
      <c r="WLN1" s="243"/>
      <c r="WLO1" s="243"/>
      <c r="WLP1" s="243"/>
      <c r="WLQ1" s="243"/>
      <c r="WLR1" s="243"/>
      <c r="WLS1" s="243"/>
      <c r="WLT1" s="243"/>
      <c r="WLU1" s="243"/>
      <c r="WLV1" s="243"/>
      <c r="WLW1" s="243"/>
      <c r="WLX1" s="243"/>
      <c r="WLY1" s="243"/>
      <c r="WLZ1" s="243"/>
      <c r="WMA1" s="243"/>
      <c r="WMB1" s="243"/>
      <c r="WMC1" s="243" t="s">
        <v>127</v>
      </c>
      <c r="WMD1" s="243"/>
      <c r="WME1" s="243"/>
      <c r="WMF1" s="243"/>
      <c r="WMG1" s="243"/>
      <c r="WMH1" s="243"/>
      <c r="WMI1" s="243"/>
      <c r="WMJ1" s="243"/>
      <c r="WMK1" s="243"/>
      <c r="WML1" s="243"/>
      <c r="WMM1" s="243"/>
      <c r="WMN1" s="243"/>
      <c r="WMO1" s="243"/>
      <c r="WMP1" s="243"/>
      <c r="WMQ1" s="243"/>
      <c r="WMR1" s="243"/>
      <c r="WMS1" s="243" t="s">
        <v>127</v>
      </c>
      <c r="WMT1" s="243"/>
      <c r="WMU1" s="243"/>
      <c r="WMV1" s="243"/>
      <c r="WMW1" s="243"/>
      <c r="WMX1" s="243"/>
      <c r="WMY1" s="243"/>
      <c r="WMZ1" s="243"/>
      <c r="WNA1" s="243"/>
      <c r="WNB1" s="243"/>
      <c r="WNC1" s="243"/>
      <c r="WND1" s="243"/>
      <c r="WNE1" s="243"/>
      <c r="WNF1" s="243"/>
      <c r="WNG1" s="243"/>
      <c r="WNH1" s="243"/>
      <c r="WNI1" s="243" t="s">
        <v>127</v>
      </c>
      <c r="WNJ1" s="243"/>
      <c r="WNK1" s="243"/>
      <c r="WNL1" s="243"/>
      <c r="WNM1" s="243"/>
      <c r="WNN1" s="243"/>
      <c r="WNO1" s="243"/>
      <c r="WNP1" s="243"/>
      <c r="WNQ1" s="243"/>
      <c r="WNR1" s="243"/>
      <c r="WNS1" s="243"/>
      <c r="WNT1" s="243"/>
      <c r="WNU1" s="243"/>
      <c r="WNV1" s="243"/>
      <c r="WNW1" s="243"/>
      <c r="WNX1" s="243"/>
      <c r="WNY1" s="243" t="s">
        <v>127</v>
      </c>
      <c r="WNZ1" s="243"/>
      <c r="WOA1" s="243"/>
      <c r="WOB1" s="243"/>
      <c r="WOC1" s="243"/>
      <c r="WOD1" s="243"/>
      <c r="WOE1" s="243"/>
      <c r="WOF1" s="243"/>
      <c r="WOG1" s="243"/>
      <c r="WOH1" s="243"/>
      <c r="WOI1" s="243"/>
      <c r="WOJ1" s="243"/>
      <c r="WOK1" s="243"/>
      <c r="WOL1" s="243"/>
      <c r="WOM1" s="243"/>
      <c r="WON1" s="243"/>
      <c r="WOO1" s="243" t="s">
        <v>127</v>
      </c>
      <c r="WOP1" s="243"/>
      <c r="WOQ1" s="243"/>
      <c r="WOR1" s="243"/>
      <c r="WOS1" s="243"/>
      <c r="WOT1" s="243"/>
      <c r="WOU1" s="243"/>
      <c r="WOV1" s="243"/>
      <c r="WOW1" s="243"/>
      <c r="WOX1" s="243"/>
      <c r="WOY1" s="243"/>
      <c r="WOZ1" s="243"/>
      <c r="WPA1" s="243"/>
      <c r="WPB1" s="243"/>
      <c r="WPC1" s="243"/>
      <c r="WPD1" s="243"/>
      <c r="WPE1" s="243" t="s">
        <v>127</v>
      </c>
      <c r="WPF1" s="243"/>
      <c r="WPG1" s="243"/>
      <c r="WPH1" s="243"/>
      <c r="WPI1" s="243"/>
      <c r="WPJ1" s="243"/>
      <c r="WPK1" s="243"/>
      <c r="WPL1" s="243"/>
      <c r="WPM1" s="243"/>
      <c r="WPN1" s="243"/>
      <c r="WPO1" s="243"/>
      <c r="WPP1" s="243"/>
      <c r="WPQ1" s="243"/>
      <c r="WPR1" s="243"/>
      <c r="WPS1" s="243"/>
      <c r="WPT1" s="243"/>
      <c r="WPU1" s="243" t="s">
        <v>127</v>
      </c>
      <c r="WPV1" s="243"/>
      <c r="WPW1" s="243"/>
      <c r="WPX1" s="243"/>
      <c r="WPY1" s="243"/>
      <c r="WPZ1" s="243"/>
      <c r="WQA1" s="243"/>
      <c r="WQB1" s="243"/>
      <c r="WQC1" s="243"/>
      <c r="WQD1" s="243"/>
      <c r="WQE1" s="243"/>
      <c r="WQF1" s="243"/>
      <c r="WQG1" s="243"/>
      <c r="WQH1" s="243"/>
      <c r="WQI1" s="243"/>
      <c r="WQJ1" s="243"/>
      <c r="WQK1" s="243" t="s">
        <v>127</v>
      </c>
      <c r="WQL1" s="243"/>
      <c r="WQM1" s="243"/>
      <c r="WQN1" s="243"/>
      <c r="WQO1" s="243"/>
      <c r="WQP1" s="243"/>
      <c r="WQQ1" s="243"/>
      <c r="WQR1" s="243"/>
      <c r="WQS1" s="243"/>
      <c r="WQT1" s="243"/>
      <c r="WQU1" s="243"/>
      <c r="WQV1" s="243"/>
      <c r="WQW1" s="243"/>
      <c r="WQX1" s="243"/>
      <c r="WQY1" s="243"/>
      <c r="WQZ1" s="243"/>
      <c r="WRA1" s="243" t="s">
        <v>127</v>
      </c>
      <c r="WRB1" s="243"/>
      <c r="WRC1" s="243"/>
      <c r="WRD1" s="243"/>
      <c r="WRE1" s="243"/>
      <c r="WRF1" s="243"/>
      <c r="WRG1" s="243"/>
      <c r="WRH1" s="243"/>
      <c r="WRI1" s="243"/>
      <c r="WRJ1" s="243"/>
      <c r="WRK1" s="243"/>
      <c r="WRL1" s="243"/>
      <c r="WRM1" s="243"/>
      <c r="WRN1" s="243"/>
      <c r="WRO1" s="243"/>
      <c r="WRP1" s="243"/>
      <c r="WRQ1" s="243" t="s">
        <v>127</v>
      </c>
      <c r="WRR1" s="243"/>
      <c r="WRS1" s="243"/>
      <c r="WRT1" s="243"/>
      <c r="WRU1" s="243"/>
      <c r="WRV1" s="243"/>
      <c r="WRW1" s="243"/>
      <c r="WRX1" s="243"/>
      <c r="WRY1" s="243"/>
      <c r="WRZ1" s="243"/>
      <c r="WSA1" s="243"/>
      <c r="WSB1" s="243"/>
      <c r="WSC1" s="243"/>
      <c r="WSD1" s="243"/>
      <c r="WSE1" s="243"/>
      <c r="WSF1" s="243"/>
      <c r="WSG1" s="243" t="s">
        <v>127</v>
      </c>
      <c r="WSH1" s="243"/>
      <c r="WSI1" s="243"/>
      <c r="WSJ1" s="243"/>
      <c r="WSK1" s="243"/>
      <c r="WSL1" s="243"/>
      <c r="WSM1" s="243"/>
      <c r="WSN1" s="243"/>
      <c r="WSO1" s="243"/>
      <c r="WSP1" s="243"/>
      <c r="WSQ1" s="243"/>
      <c r="WSR1" s="243"/>
      <c r="WSS1" s="243"/>
      <c r="WST1" s="243"/>
      <c r="WSU1" s="243"/>
      <c r="WSV1" s="243"/>
      <c r="WSW1" s="243" t="s">
        <v>127</v>
      </c>
      <c r="WSX1" s="243"/>
      <c r="WSY1" s="243"/>
      <c r="WSZ1" s="243"/>
      <c r="WTA1" s="243"/>
      <c r="WTB1" s="243"/>
      <c r="WTC1" s="243"/>
      <c r="WTD1" s="243"/>
      <c r="WTE1" s="243"/>
      <c r="WTF1" s="243"/>
      <c r="WTG1" s="243"/>
      <c r="WTH1" s="243"/>
      <c r="WTI1" s="243"/>
      <c r="WTJ1" s="243"/>
      <c r="WTK1" s="243"/>
      <c r="WTL1" s="243"/>
      <c r="WTM1" s="243" t="s">
        <v>127</v>
      </c>
      <c r="WTN1" s="243"/>
      <c r="WTO1" s="243"/>
      <c r="WTP1" s="243"/>
      <c r="WTQ1" s="243"/>
      <c r="WTR1" s="243"/>
      <c r="WTS1" s="243"/>
      <c r="WTT1" s="243"/>
      <c r="WTU1" s="243"/>
      <c r="WTV1" s="243"/>
      <c r="WTW1" s="243"/>
      <c r="WTX1" s="243"/>
      <c r="WTY1" s="243"/>
      <c r="WTZ1" s="243"/>
      <c r="WUA1" s="243"/>
      <c r="WUB1" s="243"/>
      <c r="WUC1" s="243" t="s">
        <v>127</v>
      </c>
      <c r="WUD1" s="243"/>
      <c r="WUE1" s="243"/>
      <c r="WUF1" s="243"/>
      <c r="WUG1" s="243"/>
      <c r="WUH1" s="243"/>
      <c r="WUI1" s="243"/>
      <c r="WUJ1" s="243"/>
      <c r="WUK1" s="243"/>
      <c r="WUL1" s="243"/>
      <c r="WUM1" s="243"/>
      <c r="WUN1" s="243"/>
      <c r="WUO1" s="243"/>
      <c r="WUP1" s="243"/>
      <c r="WUQ1" s="243"/>
      <c r="WUR1" s="243"/>
      <c r="WUS1" s="243" t="s">
        <v>127</v>
      </c>
      <c r="WUT1" s="243"/>
      <c r="WUU1" s="243"/>
      <c r="WUV1" s="243"/>
      <c r="WUW1" s="243"/>
      <c r="WUX1" s="243"/>
      <c r="WUY1" s="243"/>
      <c r="WUZ1" s="243"/>
      <c r="WVA1" s="243"/>
      <c r="WVB1" s="243"/>
      <c r="WVC1" s="243"/>
      <c r="WVD1" s="243"/>
      <c r="WVE1" s="243"/>
      <c r="WVF1" s="243"/>
      <c r="WVG1" s="243"/>
      <c r="WVH1" s="243"/>
      <c r="WVI1" s="243" t="s">
        <v>127</v>
      </c>
      <c r="WVJ1" s="243"/>
      <c r="WVK1" s="243"/>
      <c r="WVL1" s="243"/>
      <c r="WVM1" s="243"/>
      <c r="WVN1" s="243"/>
      <c r="WVO1" s="243"/>
      <c r="WVP1" s="243"/>
      <c r="WVQ1" s="243"/>
      <c r="WVR1" s="243"/>
      <c r="WVS1" s="243"/>
      <c r="WVT1" s="243"/>
      <c r="WVU1" s="243"/>
      <c r="WVV1" s="243"/>
      <c r="WVW1" s="243"/>
      <c r="WVX1" s="243"/>
      <c r="WVY1" s="243" t="s">
        <v>127</v>
      </c>
      <c r="WVZ1" s="243"/>
      <c r="WWA1" s="243"/>
      <c r="WWB1" s="243"/>
      <c r="WWC1" s="243"/>
      <c r="WWD1" s="243"/>
      <c r="WWE1" s="243"/>
      <c r="WWF1" s="243"/>
      <c r="WWG1" s="243"/>
      <c r="WWH1" s="243"/>
      <c r="WWI1" s="243"/>
      <c r="WWJ1" s="243"/>
      <c r="WWK1" s="243"/>
      <c r="WWL1" s="243"/>
      <c r="WWM1" s="243"/>
      <c r="WWN1" s="243"/>
      <c r="WWO1" s="243" t="s">
        <v>127</v>
      </c>
      <c r="WWP1" s="243"/>
      <c r="WWQ1" s="243"/>
      <c r="WWR1" s="243"/>
      <c r="WWS1" s="243"/>
      <c r="WWT1" s="243"/>
      <c r="WWU1" s="243"/>
      <c r="WWV1" s="243"/>
      <c r="WWW1" s="243"/>
      <c r="WWX1" s="243"/>
      <c r="WWY1" s="243"/>
      <c r="WWZ1" s="243"/>
      <c r="WXA1" s="243"/>
      <c r="WXB1" s="243"/>
      <c r="WXC1" s="243"/>
      <c r="WXD1" s="243"/>
      <c r="WXE1" s="243" t="s">
        <v>127</v>
      </c>
      <c r="WXF1" s="243"/>
      <c r="WXG1" s="243"/>
      <c r="WXH1" s="243"/>
      <c r="WXI1" s="243"/>
      <c r="WXJ1" s="243"/>
      <c r="WXK1" s="243"/>
      <c r="WXL1" s="243"/>
      <c r="WXM1" s="243"/>
      <c r="WXN1" s="243"/>
      <c r="WXO1" s="243"/>
      <c r="WXP1" s="243"/>
      <c r="WXQ1" s="243"/>
      <c r="WXR1" s="243"/>
      <c r="WXS1" s="243"/>
      <c r="WXT1" s="243"/>
      <c r="WXU1" s="243" t="s">
        <v>127</v>
      </c>
      <c r="WXV1" s="243"/>
      <c r="WXW1" s="243"/>
      <c r="WXX1" s="243"/>
      <c r="WXY1" s="243"/>
      <c r="WXZ1" s="243"/>
      <c r="WYA1" s="243"/>
      <c r="WYB1" s="243"/>
      <c r="WYC1" s="243"/>
      <c r="WYD1" s="243"/>
      <c r="WYE1" s="243"/>
      <c r="WYF1" s="243"/>
      <c r="WYG1" s="243"/>
      <c r="WYH1" s="243"/>
      <c r="WYI1" s="243"/>
      <c r="WYJ1" s="243"/>
      <c r="WYK1" s="243" t="s">
        <v>127</v>
      </c>
      <c r="WYL1" s="243"/>
      <c r="WYM1" s="243"/>
      <c r="WYN1" s="243"/>
      <c r="WYO1" s="243"/>
      <c r="WYP1" s="243"/>
      <c r="WYQ1" s="243"/>
      <c r="WYR1" s="243"/>
      <c r="WYS1" s="243"/>
      <c r="WYT1" s="243"/>
      <c r="WYU1" s="243"/>
      <c r="WYV1" s="243"/>
      <c r="WYW1" s="243"/>
      <c r="WYX1" s="243"/>
      <c r="WYY1" s="243"/>
      <c r="WYZ1" s="243"/>
      <c r="WZA1" s="243" t="s">
        <v>127</v>
      </c>
      <c r="WZB1" s="243"/>
      <c r="WZC1" s="243"/>
      <c r="WZD1" s="243"/>
      <c r="WZE1" s="243"/>
      <c r="WZF1" s="243"/>
      <c r="WZG1" s="243"/>
      <c r="WZH1" s="243"/>
      <c r="WZI1" s="243"/>
      <c r="WZJ1" s="243"/>
      <c r="WZK1" s="243"/>
      <c r="WZL1" s="243"/>
      <c r="WZM1" s="243"/>
      <c r="WZN1" s="243"/>
      <c r="WZO1" s="243"/>
      <c r="WZP1" s="243"/>
      <c r="WZQ1" s="243" t="s">
        <v>127</v>
      </c>
      <c r="WZR1" s="243"/>
      <c r="WZS1" s="243"/>
      <c r="WZT1" s="243"/>
      <c r="WZU1" s="243"/>
      <c r="WZV1" s="243"/>
      <c r="WZW1" s="243"/>
      <c r="WZX1" s="243"/>
      <c r="WZY1" s="243"/>
      <c r="WZZ1" s="243"/>
      <c r="XAA1" s="243"/>
      <c r="XAB1" s="243"/>
      <c r="XAC1" s="243"/>
      <c r="XAD1" s="243"/>
      <c r="XAE1" s="243"/>
      <c r="XAF1" s="243"/>
      <c r="XAG1" s="243" t="s">
        <v>127</v>
      </c>
      <c r="XAH1" s="243"/>
      <c r="XAI1" s="243"/>
      <c r="XAJ1" s="243"/>
      <c r="XAK1" s="243"/>
      <c r="XAL1" s="243"/>
      <c r="XAM1" s="243"/>
      <c r="XAN1" s="243"/>
      <c r="XAO1" s="243"/>
      <c r="XAP1" s="243"/>
      <c r="XAQ1" s="243"/>
      <c r="XAR1" s="243"/>
      <c r="XAS1" s="243"/>
      <c r="XAT1" s="243"/>
      <c r="XAU1" s="243"/>
      <c r="XAV1" s="243"/>
      <c r="XAW1" s="243" t="s">
        <v>127</v>
      </c>
      <c r="XAX1" s="243"/>
      <c r="XAY1" s="243"/>
      <c r="XAZ1" s="243"/>
      <c r="XBA1" s="243"/>
      <c r="XBB1" s="243"/>
      <c r="XBC1" s="243"/>
      <c r="XBD1" s="243"/>
      <c r="XBE1" s="243"/>
      <c r="XBF1" s="243"/>
      <c r="XBG1" s="243"/>
      <c r="XBH1" s="243"/>
      <c r="XBI1" s="243"/>
      <c r="XBJ1" s="243"/>
      <c r="XBK1" s="243"/>
      <c r="XBL1" s="243"/>
      <c r="XBM1" s="243" t="s">
        <v>127</v>
      </c>
      <c r="XBN1" s="243"/>
      <c r="XBO1" s="243"/>
      <c r="XBP1" s="243"/>
      <c r="XBQ1" s="243"/>
      <c r="XBR1" s="243"/>
      <c r="XBS1" s="243"/>
      <c r="XBT1" s="243"/>
      <c r="XBU1" s="243"/>
      <c r="XBV1" s="243"/>
      <c r="XBW1" s="243"/>
      <c r="XBX1" s="243"/>
      <c r="XBY1" s="243"/>
      <c r="XBZ1" s="243"/>
      <c r="XCA1" s="243"/>
      <c r="XCB1" s="243"/>
      <c r="XCC1" s="243" t="s">
        <v>127</v>
      </c>
      <c r="XCD1" s="243"/>
      <c r="XCE1" s="243"/>
      <c r="XCF1" s="243"/>
      <c r="XCG1" s="243"/>
      <c r="XCH1" s="243"/>
      <c r="XCI1" s="243"/>
      <c r="XCJ1" s="243"/>
      <c r="XCK1" s="243"/>
      <c r="XCL1" s="243"/>
      <c r="XCM1" s="243"/>
      <c r="XCN1" s="243"/>
      <c r="XCO1" s="243"/>
      <c r="XCP1" s="243"/>
      <c r="XCQ1" s="243"/>
      <c r="XCR1" s="243"/>
      <c r="XCS1" s="243" t="s">
        <v>127</v>
      </c>
      <c r="XCT1" s="243"/>
      <c r="XCU1" s="243"/>
      <c r="XCV1" s="243"/>
      <c r="XCW1" s="243"/>
      <c r="XCX1" s="243"/>
      <c r="XCY1" s="243"/>
      <c r="XCZ1" s="243"/>
      <c r="XDA1" s="243"/>
      <c r="XDB1" s="243"/>
      <c r="XDC1" s="243"/>
      <c r="XDD1" s="243"/>
      <c r="XDE1" s="243"/>
      <c r="XDF1" s="243"/>
      <c r="XDG1" s="243"/>
      <c r="XDH1" s="243"/>
      <c r="XDI1" s="243" t="s">
        <v>127</v>
      </c>
      <c r="XDJ1" s="243"/>
      <c r="XDK1" s="243"/>
      <c r="XDL1" s="243"/>
      <c r="XDM1" s="243"/>
      <c r="XDN1" s="243"/>
      <c r="XDO1" s="243"/>
      <c r="XDP1" s="243"/>
      <c r="XDQ1" s="243"/>
      <c r="XDR1" s="243"/>
      <c r="XDS1" s="243"/>
      <c r="XDT1" s="243"/>
      <c r="XDU1" s="243"/>
      <c r="XDV1" s="243"/>
      <c r="XDW1" s="243"/>
      <c r="XDX1" s="243"/>
      <c r="XDY1" s="243" t="s">
        <v>127</v>
      </c>
      <c r="XDZ1" s="243"/>
      <c r="XEA1" s="243"/>
      <c r="XEB1" s="243"/>
      <c r="XEC1" s="243"/>
      <c r="XED1" s="243"/>
      <c r="XEE1" s="243"/>
      <c r="XEF1" s="243"/>
      <c r="XEG1" s="243"/>
      <c r="XEH1" s="243"/>
      <c r="XEI1" s="243"/>
      <c r="XEJ1" s="243"/>
      <c r="XEK1" s="243"/>
      <c r="XEL1" s="243"/>
      <c r="XEM1" s="243"/>
      <c r="XEN1" s="243"/>
      <c r="XEO1" s="243" t="s">
        <v>127</v>
      </c>
      <c r="XEP1" s="243"/>
      <c r="XEQ1" s="243"/>
      <c r="XER1" s="243"/>
      <c r="XES1" s="243"/>
      <c r="XET1" s="243"/>
      <c r="XEU1" s="243"/>
      <c r="XEV1" s="243"/>
      <c r="XEW1" s="243"/>
      <c r="XEX1" s="243"/>
      <c r="XEY1" s="243"/>
      <c r="XEZ1" s="243"/>
      <c r="XFA1" s="243"/>
      <c r="XFB1" s="243"/>
      <c r="XFC1" s="243"/>
      <c r="XFD1" s="243"/>
    </row>
    <row r="2" spans="1:16384" ht="20.25" customHeight="1" x14ac:dyDescent="0.25">
      <c r="A2" s="14"/>
      <c r="B2" s="15"/>
      <c r="C2" s="16"/>
      <c r="D2" s="15"/>
      <c r="E2" s="15"/>
      <c r="F2" s="15"/>
      <c r="G2" s="15"/>
      <c r="H2" s="15"/>
      <c r="I2" s="6"/>
      <c r="J2" s="6"/>
      <c r="K2" s="6"/>
      <c r="L2" s="15"/>
      <c r="M2" s="15"/>
      <c r="N2" s="6"/>
      <c r="O2" s="15"/>
      <c r="P2" s="53" t="str">
        <f>锅炉工段!P2</f>
        <v>日  期：2024年9月10日</v>
      </c>
      <c r="Q2" s="14"/>
      <c r="R2" s="15"/>
      <c r="S2" s="16"/>
      <c r="T2" s="15"/>
      <c r="U2" s="15"/>
      <c r="V2" s="15"/>
      <c r="W2" s="15"/>
      <c r="X2" s="15"/>
      <c r="Y2" s="6"/>
      <c r="Z2" s="6"/>
      <c r="AA2" s="6"/>
      <c r="AB2" s="15"/>
      <c r="AC2" s="15"/>
      <c r="AD2" s="6"/>
      <c r="AE2" s="15"/>
      <c r="AF2" s="53" t="str">
        <f>[4]利润表!$P$2</f>
        <v>日  期：2012年9月15日</v>
      </c>
      <c r="AG2" s="14"/>
      <c r="AH2" s="15"/>
      <c r="AI2" s="16"/>
      <c r="AJ2" s="15"/>
      <c r="AK2" s="15"/>
      <c r="AL2" s="15"/>
      <c r="AM2" s="15"/>
      <c r="AN2" s="15"/>
      <c r="AO2" s="6"/>
      <c r="AP2" s="6"/>
      <c r="AQ2" s="6"/>
      <c r="AR2" s="15"/>
      <c r="AS2" s="15"/>
      <c r="AT2" s="6"/>
      <c r="AU2" s="15"/>
      <c r="AV2" s="53" t="str">
        <f>[4]利润表!$P$2</f>
        <v>日  期：2012年9月15日</v>
      </c>
      <c r="AW2" s="14"/>
      <c r="AX2" s="15"/>
      <c r="AY2" s="16"/>
      <c r="AZ2" s="15"/>
      <c r="BA2" s="15"/>
      <c r="BB2" s="15"/>
      <c r="BC2" s="15"/>
      <c r="BD2" s="15"/>
      <c r="BE2" s="6"/>
      <c r="BF2" s="6"/>
      <c r="BG2" s="6"/>
      <c r="BH2" s="15"/>
      <c r="BI2" s="15"/>
      <c r="BJ2" s="6"/>
      <c r="BK2" s="15"/>
      <c r="BL2" s="53" t="str">
        <f>[4]利润表!$P$2</f>
        <v>日  期：2012年9月15日</v>
      </c>
      <c r="BM2" s="14"/>
      <c r="BN2" s="15"/>
      <c r="BO2" s="16"/>
      <c r="BP2" s="15"/>
      <c r="BQ2" s="15"/>
      <c r="BR2" s="15"/>
      <c r="BS2" s="15"/>
      <c r="BT2" s="15"/>
      <c r="BU2" s="6"/>
      <c r="BV2" s="6"/>
      <c r="BW2" s="6"/>
      <c r="BX2" s="15"/>
      <c r="BY2" s="15"/>
      <c r="BZ2" s="6"/>
      <c r="CA2" s="15"/>
      <c r="CB2" s="53" t="str">
        <f>[4]利润表!$P$2</f>
        <v>日  期：2012年9月15日</v>
      </c>
      <c r="CC2" s="14"/>
      <c r="CD2" s="15"/>
      <c r="CE2" s="16"/>
      <c r="CF2" s="15"/>
      <c r="CG2" s="15"/>
      <c r="CH2" s="15"/>
      <c r="CI2" s="15"/>
      <c r="CJ2" s="15"/>
      <c r="CK2" s="6"/>
      <c r="CL2" s="6"/>
      <c r="CM2" s="6"/>
      <c r="CN2" s="15"/>
      <c r="CO2" s="15"/>
      <c r="CP2" s="6"/>
      <c r="CQ2" s="15"/>
      <c r="CR2" s="53" t="str">
        <f>[4]利润表!$P$2</f>
        <v>日  期：2012年9月15日</v>
      </c>
      <c r="CS2" s="14"/>
      <c r="CT2" s="15"/>
      <c r="CU2" s="16"/>
      <c r="CV2" s="15"/>
      <c r="CW2" s="15"/>
      <c r="CX2" s="15"/>
      <c r="CY2" s="15"/>
      <c r="CZ2" s="15"/>
      <c r="DA2" s="6"/>
      <c r="DB2" s="6"/>
      <c r="DC2" s="6"/>
      <c r="DD2" s="15"/>
      <c r="DE2" s="15"/>
      <c r="DF2" s="6"/>
      <c r="DG2" s="15"/>
      <c r="DH2" s="53" t="str">
        <f>[4]利润表!$P$2</f>
        <v>日  期：2012年9月15日</v>
      </c>
      <c r="DI2" s="14"/>
      <c r="DJ2" s="15"/>
      <c r="DK2" s="16"/>
      <c r="DL2" s="15"/>
      <c r="DM2" s="15"/>
      <c r="DN2" s="15"/>
      <c r="DO2" s="15"/>
      <c r="DP2" s="15"/>
      <c r="DQ2" s="6"/>
      <c r="DR2" s="6"/>
      <c r="DS2" s="6"/>
      <c r="DT2" s="15"/>
      <c r="DU2" s="15"/>
      <c r="DV2" s="6"/>
      <c r="DW2" s="15"/>
      <c r="DX2" s="53" t="str">
        <f>[4]利润表!$P$2</f>
        <v>日  期：2012年9月15日</v>
      </c>
      <c r="DY2" s="14"/>
      <c r="DZ2" s="15"/>
      <c r="EA2" s="16"/>
      <c r="EB2" s="15"/>
      <c r="EC2" s="15"/>
      <c r="ED2" s="15"/>
      <c r="EE2" s="15"/>
      <c r="EF2" s="15"/>
      <c r="EG2" s="6"/>
      <c r="EH2" s="6"/>
      <c r="EI2" s="6"/>
      <c r="EJ2" s="15"/>
      <c r="EK2" s="15"/>
      <c r="EL2" s="6"/>
      <c r="EM2" s="15"/>
      <c r="EN2" s="53" t="str">
        <f>[4]利润表!$P$2</f>
        <v>日  期：2012年9月15日</v>
      </c>
      <c r="EO2" s="14"/>
      <c r="EP2" s="15"/>
      <c r="EQ2" s="16"/>
      <c r="ER2" s="15"/>
      <c r="ES2" s="15"/>
      <c r="ET2" s="15"/>
      <c r="EU2" s="15"/>
      <c r="EV2" s="15"/>
      <c r="EW2" s="6"/>
      <c r="EX2" s="6"/>
      <c r="EY2" s="6"/>
      <c r="EZ2" s="15"/>
      <c r="FA2" s="15"/>
      <c r="FB2" s="6"/>
      <c r="FC2" s="15"/>
      <c r="FD2" s="53" t="str">
        <f>[4]利润表!$P$2</f>
        <v>日  期：2012年9月15日</v>
      </c>
      <c r="FE2" s="14"/>
      <c r="FF2" s="15"/>
      <c r="FG2" s="16"/>
      <c r="FH2" s="15"/>
      <c r="FI2" s="15"/>
      <c r="FJ2" s="15"/>
      <c r="FK2" s="15"/>
      <c r="FL2" s="15"/>
      <c r="FM2" s="6"/>
      <c r="FN2" s="6"/>
      <c r="FO2" s="6"/>
      <c r="FP2" s="15"/>
      <c r="FQ2" s="15"/>
      <c r="FR2" s="6"/>
      <c r="FS2" s="15"/>
      <c r="FT2" s="53" t="str">
        <f>[4]利润表!$P$2</f>
        <v>日  期：2012年9月15日</v>
      </c>
      <c r="FU2" s="14"/>
      <c r="FV2" s="15"/>
      <c r="FW2" s="16"/>
      <c r="FX2" s="15"/>
      <c r="FY2" s="15"/>
      <c r="FZ2" s="15"/>
      <c r="GA2" s="15"/>
      <c r="GB2" s="15"/>
      <c r="GC2" s="6"/>
      <c r="GD2" s="6"/>
      <c r="GE2" s="6"/>
      <c r="GF2" s="15"/>
      <c r="GG2" s="15"/>
      <c r="GH2" s="6"/>
      <c r="GI2" s="15"/>
      <c r="GJ2" s="53" t="str">
        <f>[4]利润表!$P$2</f>
        <v>日  期：2012年9月15日</v>
      </c>
      <c r="GK2" s="14"/>
      <c r="GL2" s="15"/>
      <c r="GM2" s="16"/>
      <c r="GN2" s="15"/>
      <c r="GO2" s="15"/>
      <c r="GP2" s="15"/>
      <c r="GQ2" s="15"/>
      <c r="GR2" s="15"/>
      <c r="GS2" s="6"/>
      <c r="GT2" s="6"/>
      <c r="GU2" s="6"/>
      <c r="GV2" s="15"/>
      <c r="GW2" s="15"/>
      <c r="GX2" s="6"/>
      <c r="GY2" s="15"/>
      <c r="GZ2" s="53" t="str">
        <f>[4]利润表!$P$2</f>
        <v>日  期：2012年9月15日</v>
      </c>
      <c r="HA2" s="14"/>
      <c r="HB2" s="15"/>
      <c r="HC2" s="16"/>
      <c r="HD2" s="15"/>
      <c r="HE2" s="15"/>
      <c r="HF2" s="15"/>
      <c r="HG2" s="15"/>
      <c r="HH2" s="15"/>
      <c r="HI2" s="6"/>
      <c r="HJ2" s="6"/>
      <c r="HK2" s="6"/>
      <c r="HL2" s="15"/>
      <c r="HM2" s="15"/>
      <c r="HN2" s="6"/>
      <c r="HO2" s="15"/>
      <c r="HP2" s="53" t="str">
        <f>[4]利润表!$P$2</f>
        <v>日  期：2012年9月15日</v>
      </c>
      <c r="HQ2" s="14"/>
      <c r="HR2" s="15"/>
      <c r="HS2" s="16"/>
      <c r="HT2" s="15"/>
      <c r="HU2" s="15"/>
      <c r="HV2" s="15"/>
      <c r="HW2" s="15"/>
      <c r="HX2" s="15"/>
      <c r="HY2" s="6"/>
      <c r="HZ2" s="6"/>
      <c r="IA2" s="6"/>
      <c r="IB2" s="15"/>
      <c r="IC2" s="15"/>
      <c r="ID2" s="6"/>
      <c r="IE2" s="15"/>
      <c r="IF2" s="53" t="str">
        <f>[4]利润表!$P$2</f>
        <v>日  期：2012年9月15日</v>
      </c>
      <c r="IG2" s="14"/>
      <c r="IH2" s="15"/>
      <c r="II2" s="16"/>
      <c r="IJ2" s="15"/>
      <c r="IK2" s="15"/>
      <c r="IL2" s="15"/>
      <c r="IM2" s="15"/>
      <c r="IN2" s="15"/>
      <c r="IO2" s="6"/>
      <c r="IP2" s="6"/>
      <c r="IQ2" s="6"/>
      <c r="IR2" s="15"/>
      <c r="IS2" s="15"/>
      <c r="IT2" s="6"/>
      <c r="IU2" s="15"/>
      <c r="IV2" s="53" t="str">
        <f>[4]利润表!$P$2</f>
        <v>日  期：2012年9月15日</v>
      </c>
      <c r="IW2" s="14"/>
      <c r="IX2" s="15"/>
      <c r="IY2" s="16"/>
      <c r="IZ2" s="15"/>
      <c r="JA2" s="15"/>
      <c r="JB2" s="15"/>
      <c r="JC2" s="15"/>
      <c r="JD2" s="15"/>
      <c r="JE2" s="6"/>
      <c r="JF2" s="6"/>
      <c r="JG2" s="6"/>
      <c r="JH2" s="15"/>
      <c r="JI2" s="15"/>
      <c r="JJ2" s="6"/>
      <c r="JK2" s="15"/>
      <c r="JL2" s="53" t="str">
        <f>[4]利润表!$P$2</f>
        <v>日  期：2012年9月15日</v>
      </c>
      <c r="JM2" s="14"/>
      <c r="JN2" s="15"/>
      <c r="JO2" s="16"/>
      <c r="JP2" s="15"/>
      <c r="JQ2" s="15"/>
      <c r="JR2" s="15"/>
      <c r="JS2" s="15"/>
      <c r="JT2" s="15"/>
      <c r="JU2" s="6"/>
      <c r="JV2" s="6"/>
      <c r="JW2" s="6"/>
      <c r="JX2" s="15"/>
      <c r="JY2" s="15"/>
      <c r="JZ2" s="6"/>
      <c r="KA2" s="15"/>
      <c r="KB2" s="53" t="str">
        <f>[4]利润表!$P$2</f>
        <v>日  期：2012年9月15日</v>
      </c>
      <c r="KC2" s="14"/>
      <c r="KD2" s="15"/>
      <c r="KE2" s="16"/>
      <c r="KF2" s="15"/>
      <c r="KG2" s="15"/>
      <c r="KH2" s="15"/>
      <c r="KI2" s="15"/>
      <c r="KJ2" s="15"/>
      <c r="KK2" s="6"/>
      <c r="KL2" s="6"/>
      <c r="KM2" s="6"/>
      <c r="KN2" s="15"/>
      <c r="KO2" s="15"/>
      <c r="KP2" s="6"/>
      <c r="KQ2" s="15"/>
      <c r="KR2" s="53" t="str">
        <f>[4]利润表!$P$2</f>
        <v>日  期：2012年9月15日</v>
      </c>
      <c r="KS2" s="14"/>
      <c r="KT2" s="15"/>
      <c r="KU2" s="16"/>
      <c r="KV2" s="15"/>
      <c r="KW2" s="15"/>
      <c r="KX2" s="15"/>
      <c r="KY2" s="15"/>
      <c r="KZ2" s="15"/>
      <c r="LA2" s="6"/>
      <c r="LB2" s="6"/>
      <c r="LC2" s="6"/>
      <c r="LD2" s="15"/>
      <c r="LE2" s="15"/>
      <c r="LF2" s="6"/>
      <c r="LG2" s="15"/>
      <c r="LH2" s="53" t="str">
        <f>[4]利润表!$P$2</f>
        <v>日  期：2012年9月15日</v>
      </c>
      <c r="LI2" s="14"/>
      <c r="LJ2" s="15"/>
      <c r="LK2" s="16"/>
      <c r="LL2" s="15"/>
      <c r="LM2" s="15"/>
      <c r="LN2" s="15"/>
      <c r="LO2" s="15"/>
      <c r="LP2" s="15"/>
      <c r="LQ2" s="6"/>
      <c r="LR2" s="6"/>
      <c r="LS2" s="6"/>
      <c r="LT2" s="15"/>
      <c r="LU2" s="15"/>
      <c r="LV2" s="6"/>
      <c r="LW2" s="15"/>
      <c r="LX2" s="53" t="str">
        <f>[4]利润表!$P$2</f>
        <v>日  期：2012年9月15日</v>
      </c>
      <c r="LY2" s="14"/>
      <c r="LZ2" s="15"/>
      <c r="MA2" s="16"/>
      <c r="MB2" s="15"/>
      <c r="MC2" s="15"/>
      <c r="MD2" s="15"/>
      <c r="ME2" s="15"/>
      <c r="MF2" s="15"/>
      <c r="MG2" s="6"/>
      <c r="MH2" s="6"/>
      <c r="MI2" s="6"/>
      <c r="MJ2" s="15"/>
      <c r="MK2" s="15"/>
      <c r="ML2" s="6"/>
      <c r="MM2" s="15"/>
      <c r="MN2" s="53" t="str">
        <f>[4]利润表!$P$2</f>
        <v>日  期：2012年9月15日</v>
      </c>
      <c r="MO2" s="14"/>
      <c r="MP2" s="15"/>
      <c r="MQ2" s="16"/>
      <c r="MR2" s="15"/>
      <c r="MS2" s="15"/>
      <c r="MT2" s="15"/>
      <c r="MU2" s="15"/>
      <c r="MV2" s="15"/>
      <c r="MW2" s="6"/>
      <c r="MX2" s="6"/>
      <c r="MY2" s="6"/>
      <c r="MZ2" s="15"/>
      <c r="NA2" s="15"/>
      <c r="NB2" s="6"/>
      <c r="NC2" s="15"/>
      <c r="ND2" s="53" t="str">
        <f>[4]利润表!$P$2</f>
        <v>日  期：2012年9月15日</v>
      </c>
      <c r="NE2" s="14"/>
      <c r="NF2" s="15"/>
      <c r="NG2" s="16"/>
      <c r="NH2" s="15"/>
      <c r="NI2" s="15"/>
      <c r="NJ2" s="15"/>
      <c r="NK2" s="15"/>
      <c r="NL2" s="15"/>
      <c r="NM2" s="6"/>
      <c r="NN2" s="6"/>
      <c r="NO2" s="6"/>
      <c r="NP2" s="15"/>
      <c r="NQ2" s="15"/>
      <c r="NR2" s="6"/>
      <c r="NS2" s="15"/>
      <c r="NT2" s="53" t="str">
        <f>[4]利润表!$P$2</f>
        <v>日  期：2012年9月15日</v>
      </c>
      <c r="NU2" s="14"/>
      <c r="NV2" s="15"/>
      <c r="NW2" s="16"/>
      <c r="NX2" s="15"/>
      <c r="NY2" s="15"/>
      <c r="NZ2" s="15"/>
      <c r="OA2" s="15"/>
      <c r="OB2" s="15"/>
      <c r="OC2" s="6"/>
      <c r="OD2" s="6"/>
      <c r="OE2" s="6"/>
      <c r="OF2" s="15"/>
      <c r="OG2" s="15"/>
      <c r="OH2" s="6"/>
      <c r="OI2" s="15"/>
      <c r="OJ2" s="53" t="str">
        <f>[4]利润表!$P$2</f>
        <v>日  期：2012年9月15日</v>
      </c>
      <c r="OK2" s="14"/>
      <c r="OL2" s="15"/>
      <c r="OM2" s="16"/>
      <c r="ON2" s="15"/>
      <c r="OO2" s="15"/>
      <c r="OP2" s="15"/>
      <c r="OQ2" s="15"/>
      <c r="OR2" s="15"/>
      <c r="OS2" s="6"/>
      <c r="OT2" s="6"/>
      <c r="OU2" s="6"/>
      <c r="OV2" s="15"/>
      <c r="OW2" s="15"/>
      <c r="OX2" s="6"/>
      <c r="OY2" s="15"/>
      <c r="OZ2" s="53" t="str">
        <f>[4]利润表!$P$2</f>
        <v>日  期：2012年9月15日</v>
      </c>
      <c r="PA2" s="14"/>
      <c r="PB2" s="15"/>
      <c r="PC2" s="16"/>
      <c r="PD2" s="15"/>
      <c r="PE2" s="15"/>
      <c r="PF2" s="15"/>
      <c r="PG2" s="15"/>
      <c r="PH2" s="15"/>
      <c r="PI2" s="6"/>
      <c r="PJ2" s="6"/>
      <c r="PK2" s="6"/>
      <c r="PL2" s="15"/>
      <c r="PM2" s="15"/>
      <c r="PN2" s="6"/>
      <c r="PO2" s="15"/>
      <c r="PP2" s="53" t="str">
        <f>[4]利润表!$P$2</f>
        <v>日  期：2012年9月15日</v>
      </c>
      <c r="PQ2" s="14"/>
      <c r="PR2" s="15"/>
      <c r="PS2" s="16"/>
      <c r="PT2" s="15"/>
      <c r="PU2" s="15"/>
      <c r="PV2" s="15"/>
      <c r="PW2" s="15"/>
      <c r="PX2" s="15"/>
      <c r="PY2" s="6"/>
      <c r="PZ2" s="6"/>
      <c r="QA2" s="6"/>
      <c r="QB2" s="15"/>
      <c r="QC2" s="15"/>
      <c r="QD2" s="6"/>
      <c r="QE2" s="15"/>
      <c r="QF2" s="53" t="str">
        <f>[4]利润表!$P$2</f>
        <v>日  期：2012年9月15日</v>
      </c>
      <c r="QG2" s="14"/>
      <c r="QH2" s="15"/>
      <c r="QI2" s="16"/>
      <c r="QJ2" s="15"/>
      <c r="QK2" s="15"/>
      <c r="QL2" s="15"/>
      <c r="QM2" s="15"/>
      <c r="QN2" s="15"/>
      <c r="QO2" s="6"/>
      <c r="QP2" s="6"/>
      <c r="QQ2" s="6"/>
      <c r="QR2" s="15"/>
      <c r="QS2" s="15"/>
      <c r="QT2" s="6"/>
      <c r="QU2" s="15"/>
      <c r="QV2" s="53" t="str">
        <f>[4]利润表!$P$2</f>
        <v>日  期：2012年9月15日</v>
      </c>
      <c r="QW2" s="14"/>
      <c r="QX2" s="15"/>
      <c r="QY2" s="16"/>
      <c r="QZ2" s="15"/>
      <c r="RA2" s="15"/>
      <c r="RB2" s="15"/>
      <c r="RC2" s="15"/>
      <c r="RD2" s="15"/>
      <c r="RE2" s="6"/>
      <c r="RF2" s="6"/>
      <c r="RG2" s="6"/>
      <c r="RH2" s="15"/>
      <c r="RI2" s="15"/>
      <c r="RJ2" s="6"/>
      <c r="RK2" s="15"/>
      <c r="RL2" s="53" t="str">
        <f>[4]利润表!$P$2</f>
        <v>日  期：2012年9月15日</v>
      </c>
      <c r="RM2" s="14"/>
      <c r="RN2" s="15"/>
      <c r="RO2" s="16"/>
      <c r="RP2" s="15"/>
      <c r="RQ2" s="15"/>
      <c r="RR2" s="15"/>
      <c r="RS2" s="15"/>
      <c r="RT2" s="15"/>
      <c r="RU2" s="6"/>
      <c r="RV2" s="6"/>
      <c r="RW2" s="6"/>
      <c r="RX2" s="15"/>
      <c r="RY2" s="15"/>
      <c r="RZ2" s="6"/>
      <c r="SA2" s="15"/>
      <c r="SB2" s="53" t="str">
        <f>[4]利润表!$P$2</f>
        <v>日  期：2012年9月15日</v>
      </c>
      <c r="SC2" s="14"/>
      <c r="SD2" s="15"/>
      <c r="SE2" s="16"/>
      <c r="SF2" s="15"/>
      <c r="SG2" s="15"/>
      <c r="SH2" s="15"/>
      <c r="SI2" s="15"/>
      <c r="SJ2" s="15"/>
      <c r="SK2" s="6"/>
      <c r="SL2" s="6"/>
      <c r="SM2" s="6"/>
      <c r="SN2" s="15"/>
      <c r="SO2" s="15"/>
      <c r="SP2" s="6"/>
      <c r="SQ2" s="15"/>
      <c r="SR2" s="53" t="str">
        <f>[4]利润表!$P$2</f>
        <v>日  期：2012年9月15日</v>
      </c>
      <c r="SS2" s="14"/>
      <c r="ST2" s="15"/>
      <c r="SU2" s="16"/>
      <c r="SV2" s="15"/>
      <c r="SW2" s="15"/>
      <c r="SX2" s="15"/>
      <c r="SY2" s="15"/>
      <c r="SZ2" s="15"/>
      <c r="TA2" s="6"/>
      <c r="TB2" s="6"/>
      <c r="TC2" s="6"/>
      <c r="TD2" s="15"/>
      <c r="TE2" s="15"/>
      <c r="TF2" s="6"/>
      <c r="TG2" s="15"/>
      <c r="TH2" s="53" t="str">
        <f>[4]利润表!$P$2</f>
        <v>日  期：2012年9月15日</v>
      </c>
      <c r="TI2" s="14"/>
      <c r="TJ2" s="15"/>
      <c r="TK2" s="16"/>
      <c r="TL2" s="15"/>
      <c r="TM2" s="15"/>
      <c r="TN2" s="15"/>
      <c r="TO2" s="15"/>
      <c r="TP2" s="15"/>
      <c r="TQ2" s="6"/>
      <c r="TR2" s="6"/>
      <c r="TS2" s="6"/>
      <c r="TT2" s="15"/>
      <c r="TU2" s="15"/>
      <c r="TV2" s="6"/>
      <c r="TW2" s="15"/>
      <c r="TX2" s="53" t="str">
        <f>[4]利润表!$P$2</f>
        <v>日  期：2012年9月15日</v>
      </c>
      <c r="TY2" s="14"/>
      <c r="TZ2" s="15"/>
      <c r="UA2" s="16"/>
      <c r="UB2" s="15"/>
      <c r="UC2" s="15"/>
      <c r="UD2" s="15"/>
      <c r="UE2" s="15"/>
      <c r="UF2" s="15"/>
      <c r="UG2" s="6"/>
      <c r="UH2" s="6"/>
      <c r="UI2" s="6"/>
      <c r="UJ2" s="15"/>
      <c r="UK2" s="15"/>
      <c r="UL2" s="6"/>
      <c r="UM2" s="15"/>
      <c r="UN2" s="53" t="str">
        <f>[4]利润表!$P$2</f>
        <v>日  期：2012年9月15日</v>
      </c>
      <c r="UO2" s="14"/>
      <c r="UP2" s="15"/>
      <c r="UQ2" s="16"/>
      <c r="UR2" s="15"/>
      <c r="US2" s="15"/>
      <c r="UT2" s="15"/>
      <c r="UU2" s="15"/>
      <c r="UV2" s="15"/>
      <c r="UW2" s="6"/>
      <c r="UX2" s="6"/>
      <c r="UY2" s="6"/>
      <c r="UZ2" s="15"/>
      <c r="VA2" s="15"/>
      <c r="VB2" s="6"/>
      <c r="VC2" s="15"/>
      <c r="VD2" s="53" t="str">
        <f>[4]利润表!$P$2</f>
        <v>日  期：2012年9月15日</v>
      </c>
      <c r="VE2" s="14"/>
      <c r="VF2" s="15"/>
      <c r="VG2" s="16"/>
      <c r="VH2" s="15"/>
      <c r="VI2" s="15"/>
      <c r="VJ2" s="15"/>
      <c r="VK2" s="15"/>
      <c r="VL2" s="15"/>
      <c r="VM2" s="6"/>
      <c r="VN2" s="6"/>
      <c r="VO2" s="6"/>
      <c r="VP2" s="15"/>
      <c r="VQ2" s="15"/>
      <c r="VR2" s="6"/>
      <c r="VS2" s="15"/>
      <c r="VT2" s="53" t="str">
        <f>[4]利润表!$P$2</f>
        <v>日  期：2012年9月15日</v>
      </c>
      <c r="VU2" s="14"/>
      <c r="VV2" s="15"/>
      <c r="VW2" s="16"/>
      <c r="VX2" s="15"/>
      <c r="VY2" s="15"/>
      <c r="VZ2" s="15"/>
      <c r="WA2" s="15"/>
      <c r="WB2" s="15"/>
      <c r="WC2" s="6"/>
      <c r="WD2" s="6"/>
      <c r="WE2" s="6"/>
      <c r="WF2" s="15"/>
      <c r="WG2" s="15"/>
      <c r="WH2" s="6"/>
      <c r="WI2" s="15"/>
      <c r="WJ2" s="53" t="str">
        <f>[4]利润表!$P$2</f>
        <v>日  期：2012年9月15日</v>
      </c>
      <c r="WK2" s="14"/>
      <c r="WL2" s="15"/>
      <c r="WM2" s="16"/>
      <c r="WN2" s="15"/>
      <c r="WO2" s="15"/>
      <c r="WP2" s="15"/>
      <c r="WQ2" s="15"/>
      <c r="WR2" s="15"/>
      <c r="WS2" s="6"/>
      <c r="WT2" s="6"/>
      <c r="WU2" s="6"/>
      <c r="WV2" s="15"/>
      <c r="WW2" s="15"/>
      <c r="WX2" s="6"/>
      <c r="WY2" s="15"/>
      <c r="WZ2" s="53" t="str">
        <f>[4]利润表!$P$2</f>
        <v>日  期：2012年9月15日</v>
      </c>
      <c r="XA2" s="14"/>
      <c r="XB2" s="15"/>
      <c r="XC2" s="16"/>
      <c r="XD2" s="15"/>
      <c r="XE2" s="15"/>
      <c r="XF2" s="15"/>
      <c r="XG2" s="15"/>
      <c r="XH2" s="15"/>
      <c r="XI2" s="6"/>
      <c r="XJ2" s="6"/>
      <c r="XK2" s="6"/>
      <c r="XL2" s="15"/>
      <c r="XM2" s="15"/>
      <c r="XN2" s="6"/>
      <c r="XO2" s="15"/>
      <c r="XP2" s="53" t="str">
        <f>[4]利润表!$P$2</f>
        <v>日  期：2012年9月15日</v>
      </c>
      <c r="XQ2" s="14"/>
      <c r="XR2" s="15"/>
      <c r="XS2" s="16"/>
      <c r="XT2" s="15"/>
      <c r="XU2" s="15"/>
      <c r="XV2" s="15"/>
      <c r="XW2" s="15"/>
      <c r="XX2" s="15"/>
      <c r="XY2" s="6"/>
      <c r="XZ2" s="6"/>
      <c r="YA2" s="6"/>
      <c r="YB2" s="15"/>
      <c r="YC2" s="15"/>
      <c r="YD2" s="6"/>
      <c r="YE2" s="15"/>
      <c r="YF2" s="53" t="str">
        <f>[4]利润表!$P$2</f>
        <v>日  期：2012年9月15日</v>
      </c>
      <c r="YG2" s="14"/>
      <c r="YH2" s="15"/>
      <c r="YI2" s="16"/>
      <c r="YJ2" s="15"/>
      <c r="YK2" s="15"/>
      <c r="YL2" s="15"/>
      <c r="YM2" s="15"/>
      <c r="YN2" s="15"/>
      <c r="YO2" s="6"/>
      <c r="YP2" s="6"/>
      <c r="YQ2" s="6"/>
      <c r="YR2" s="15"/>
      <c r="YS2" s="15"/>
      <c r="YT2" s="6"/>
      <c r="YU2" s="15"/>
      <c r="YV2" s="53" t="str">
        <f>[4]利润表!$P$2</f>
        <v>日  期：2012年9月15日</v>
      </c>
      <c r="YW2" s="14"/>
      <c r="YX2" s="15"/>
      <c r="YY2" s="16"/>
      <c r="YZ2" s="15"/>
      <c r="ZA2" s="15"/>
      <c r="ZB2" s="15"/>
      <c r="ZC2" s="15"/>
      <c r="ZD2" s="15"/>
      <c r="ZE2" s="6"/>
      <c r="ZF2" s="6"/>
      <c r="ZG2" s="6"/>
      <c r="ZH2" s="15"/>
      <c r="ZI2" s="15"/>
      <c r="ZJ2" s="6"/>
      <c r="ZK2" s="15"/>
      <c r="ZL2" s="53" t="str">
        <f>[4]利润表!$P$2</f>
        <v>日  期：2012年9月15日</v>
      </c>
      <c r="ZM2" s="14"/>
      <c r="ZN2" s="15"/>
      <c r="ZO2" s="16"/>
      <c r="ZP2" s="15"/>
      <c r="ZQ2" s="15"/>
      <c r="ZR2" s="15"/>
      <c r="ZS2" s="15"/>
      <c r="ZT2" s="15"/>
      <c r="ZU2" s="6"/>
      <c r="ZV2" s="6"/>
      <c r="ZW2" s="6"/>
      <c r="ZX2" s="15"/>
      <c r="ZY2" s="15"/>
      <c r="ZZ2" s="6"/>
      <c r="AAA2" s="15"/>
      <c r="AAB2" s="53" t="str">
        <f>[4]利润表!$P$2</f>
        <v>日  期：2012年9月15日</v>
      </c>
      <c r="AAC2" s="14"/>
      <c r="AAD2" s="15"/>
      <c r="AAE2" s="16"/>
      <c r="AAF2" s="15"/>
      <c r="AAG2" s="15"/>
      <c r="AAH2" s="15"/>
      <c r="AAI2" s="15"/>
      <c r="AAJ2" s="15"/>
      <c r="AAK2" s="6"/>
      <c r="AAL2" s="6"/>
      <c r="AAM2" s="6"/>
      <c r="AAN2" s="15"/>
      <c r="AAO2" s="15"/>
      <c r="AAP2" s="6"/>
      <c r="AAQ2" s="15"/>
      <c r="AAR2" s="53" t="str">
        <f>[4]利润表!$P$2</f>
        <v>日  期：2012年9月15日</v>
      </c>
      <c r="AAS2" s="14"/>
      <c r="AAT2" s="15"/>
      <c r="AAU2" s="16"/>
      <c r="AAV2" s="15"/>
      <c r="AAW2" s="15"/>
      <c r="AAX2" s="15"/>
      <c r="AAY2" s="15"/>
      <c r="AAZ2" s="15"/>
      <c r="ABA2" s="6"/>
      <c r="ABB2" s="6"/>
      <c r="ABC2" s="6"/>
      <c r="ABD2" s="15"/>
      <c r="ABE2" s="15"/>
      <c r="ABF2" s="6"/>
      <c r="ABG2" s="15"/>
      <c r="ABH2" s="53" t="str">
        <f>[4]利润表!$P$2</f>
        <v>日  期：2012年9月15日</v>
      </c>
      <c r="ABI2" s="14"/>
      <c r="ABJ2" s="15"/>
      <c r="ABK2" s="16"/>
      <c r="ABL2" s="15"/>
      <c r="ABM2" s="15"/>
      <c r="ABN2" s="15"/>
      <c r="ABO2" s="15"/>
      <c r="ABP2" s="15"/>
      <c r="ABQ2" s="6"/>
      <c r="ABR2" s="6"/>
      <c r="ABS2" s="6"/>
      <c r="ABT2" s="15"/>
      <c r="ABU2" s="15"/>
      <c r="ABV2" s="6"/>
      <c r="ABW2" s="15"/>
      <c r="ABX2" s="53" t="str">
        <f>[4]利润表!$P$2</f>
        <v>日  期：2012年9月15日</v>
      </c>
      <c r="ABY2" s="14"/>
      <c r="ABZ2" s="15"/>
      <c r="ACA2" s="16"/>
      <c r="ACB2" s="15"/>
      <c r="ACC2" s="15"/>
      <c r="ACD2" s="15"/>
      <c r="ACE2" s="15"/>
      <c r="ACF2" s="15"/>
      <c r="ACG2" s="6"/>
      <c r="ACH2" s="6"/>
      <c r="ACI2" s="6"/>
      <c r="ACJ2" s="15"/>
      <c r="ACK2" s="15"/>
      <c r="ACL2" s="6"/>
      <c r="ACM2" s="15"/>
      <c r="ACN2" s="53" t="str">
        <f>[4]利润表!$P$2</f>
        <v>日  期：2012年9月15日</v>
      </c>
      <c r="ACO2" s="14"/>
      <c r="ACP2" s="15"/>
      <c r="ACQ2" s="16"/>
      <c r="ACR2" s="15"/>
      <c r="ACS2" s="15"/>
      <c r="ACT2" s="15"/>
      <c r="ACU2" s="15"/>
      <c r="ACV2" s="15"/>
      <c r="ACW2" s="6"/>
      <c r="ACX2" s="6"/>
      <c r="ACY2" s="6"/>
      <c r="ACZ2" s="15"/>
      <c r="ADA2" s="15"/>
      <c r="ADB2" s="6"/>
      <c r="ADC2" s="15"/>
      <c r="ADD2" s="53" t="str">
        <f>[4]利润表!$P$2</f>
        <v>日  期：2012年9月15日</v>
      </c>
      <c r="ADE2" s="14"/>
      <c r="ADF2" s="15"/>
      <c r="ADG2" s="16"/>
      <c r="ADH2" s="15"/>
      <c r="ADI2" s="15"/>
      <c r="ADJ2" s="15"/>
      <c r="ADK2" s="15"/>
      <c r="ADL2" s="15"/>
      <c r="ADM2" s="6"/>
      <c r="ADN2" s="6"/>
      <c r="ADO2" s="6"/>
      <c r="ADP2" s="15"/>
      <c r="ADQ2" s="15"/>
      <c r="ADR2" s="6"/>
      <c r="ADS2" s="15"/>
      <c r="ADT2" s="53" t="str">
        <f>[4]利润表!$P$2</f>
        <v>日  期：2012年9月15日</v>
      </c>
      <c r="ADU2" s="14"/>
      <c r="ADV2" s="15"/>
      <c r="ADW2" s="16"/>
      <c r="ADX2" s="15"/>
      <c r="ADY2" s="15"/>
      <c r="ADZ2" s="15"/>
      <c r="AEA2" s="15"/>
      <c r="AEB2" s="15"/>
      <c r="AEC2" s="6"/>
      <c r="AED2" s="6"/>
      <c r="AEE2" s="6"/>
      <c r="AEF2" s="15"/>
      <c r="AEG2" s="15"/>
      <c r="AEH2" s="6"/>
      <c r="AEI2" s="15"/>
      <c r="AEJ2" s="53" t="str">
        <f>[4]利润表!$P$2</f>
        <v>日  期：2012年9月15日</v>
      </c>
      <c r="AEK2" s="14"/>
      <c r="AEL2" s="15"/>
      <c r="AEM2" s="16"/>
      <c r="AEN2" s="15"/>
      <c r="AEO2" s="15"/>
      <c r="AEP2" s="15"/>
      <c r="AEQ2" s="15"/>
      <c r="AER2" s="15"/>
      <c r="AES2" s="6"/>
      <c r="AET2" s="6"/>
      <c r="AEU2" s="6"/>
      <c r="AEV2" s="15"/>
      <c r="AEW2" s="15"/>
      <c r="AEX2" s="6"/>
      <c r="AEY2" s="15"/>
      <c r="AEZ2" s="53" t="str">
        <f>[4]利润表!$P$2</f>
        <v>日  期：2012年9月15日</v>
      </c>
      <c r="AFA2" s="14"/>
      <c r="AFB2" s="15"/>
      <c r="AFC2" s="16"/>
      <c r="AFD2" s="15"/>
      <c r="AFE2" s="15"/>
      <c r="AFF2" s="15"/>
      <c r="AFG2" s="15"/>
      <c r="AFH2" s="15"/>
      <c r="AFI2" s="6"/>
      <c r="AFJ2" s="6"/>
      <c r="AFK2" s="6"/>
      <c r="AFL2" s="15"/>
      <c r="AFM2" s="15"/>
      <c r="AFN2" s="6"/>
      <c r="AFO2" s="15"/>
      <c r="AFP2" s="53" t="str">
        <f>[4]利润表!$P$2</f>
        <v>日  期：2012年9月15日</v>
      </c>
      <c r="AFQ2" s="14"/>
      <c r="AFR2" s="15"/>
      <c r="AFS2" s="16"/>
      <c r="AFT2" s="15"/>
      <c r="AFU2" s="15"/>
      <c r="AFV2" s="15"/>
      <c r="AFW2" s="15"/>
      <c r="AFX2" s="15"/>
      <c r="AFY2" s="6"/>
      <c r="AFZ2" s="6"/>
      <c r="AGA2" s="6"/>
      <c r="AGB2" s="15"/>
      <c r="AGC2" s="15"/>
      <c r="AGD2" s="6"/>
      <c r="AGE2" s="15"/>
      <c r="AGF2" s="53" t="str">
        <f>[4]利润表!$P$2</f>
        <v>日  期：2012年9月15日</v>
      </c>
      <c r="AGG2" s="14"/>
      <c r="AGH2" s="15"/>
      <c r="AGI2" s="16"/>
      <c r="AGJ2" s="15"/>
      <c r="AGK2" s="15"/>
      <c r="AGL2" s="15"/>
      <c r="AGM2" s="15"/>
      <c r="AGN2" s="15"/>
      <c r="AGO2" s="6"/>
      <c r="AGP2" s="6"/>
      <c r="AGQ2" s="6"/>
      <c r="AGR2" s="15"/>
      <c r="AGS2" s="15"/>
      <c r="AGT2" s="6"/>
      <c r="AGU2" s="15"/>
      <c r="AGV2" s="53" t="str">
        <f>[4]利润表!$P$2</f>
        <v>日  期：2012年9月15日</v>
      </c>
      <c r="AGW2" s="14"/>
      <c r="AGX2" s="15"/>
      <c r="AGY2" s="16"/>
      <c r="AGZ2" s="15"/>
      <c r="AHA2" s="15"/>
      <c r="AHB2" s="15"/>
      <c r="AHC2" s="15"/>
      <c r="AHD2" s="15"/>
      <c r="AHE2" s="6"/>
      <c r="AHF2" s="6"/>
      <c r="AHG2" s="6"/>
      <c r="AHH2" s="15"/>
      <c r="AHI2" s="15"/>
      <c r="AHJ2" s="6"/>
      <c r="AHK2" s="15"/>
      <c r="AHL2" s="53" t="str">
        <f>[4]利润表!$P$2</f>
        <v>日  期：2012年9月15日</v>
      </c>
      <c r="AHM2" s="14"/>
      <c r="AHN2" s="15"/>
      <c r="AHO2" s="16"/>
      <c r="AHP2" s="15"/>
      <c r="AHQ2" s="15"/>
      <c r="AHR2" s="15"/>
      <c r="AHS2" s="15"/>
      <c r="AHT2" s="15"/>
      <c r="AHU2" s="6"/>
      <c r="AHV2" s="6"/>
      <c r="AHW2" s="6"/>
      <c r="AHX2" s="15"/>
      <c r="AHY2" s="15"/>
      <c r="AHZ2" s="6"/>
      <c r="AIA2" s="15"/>
      <c r="AIB2" s="53" t="str">
        <f>[4]利润表!$P$2</f>
        <v>日  期：2012年9月15日</v>
      </c>
      <c r="AIC2" s="14"/>
      <c r="AID2" s="15"/>
      <c r="AIE2" s="16"/>
      <c r="AIF2" s="15"/>
      <c r="AIG2" s="15"/>
      <c r="AIH2" s="15"/>
      <c r="AII2" s="15"/>
      <c r="AIJ2" s="15"/>
      <c r="AIK2" s="6"/>
      <c r="AIL2" s="6"/>
      <c r="AIM2" s="6"/>
      <c r="AIN2" s="15"/>
      <c r="AIO2" s="15"/>
      <c r="AIP2" s="6"/>
      <c r="AIQ2" s="15"/>
      <c r="AIR2" s="53" t="str">
        <f>[4]利润表!$P$2</f>
        <v>日  期：2012年9月15日</v>
      </c>
      <c r="AIS2" s="14"/>
      <c r="AIT2" s="15"/>
      <c r="AIU2" s="16"/>
      <c r="AIV2" s="15"/>
      <c r="AIW2" s="15"/>
      <c r="AIX2" s="15"/>
      <c r="AIY2" s="15"/>
      <c r="AIZ2" s="15"/>
      <c r="AJA2" s="6"/>
      <c r="AJB2" s="6"/>
      <c r="AJC2" s="6"/>
      <c r="AJD2" s="15"/>
      <c r="AJE2" s="15"/>
      <c r="AJF2" s="6"/>
      <c r="AJG2" s="15"/>
      <c r="AJH2" s="53" t="str">
        <f>[4]利润表!$P$2</f>
        <v>日  期：2012年9月15日</v>
      </c>
      <c r="AJI2" s="14"/>
      <c r="AJJ2" s="15"/>
      <c r="AJK2" s="16"/>
      <c r="AJL2" s="15"/>
      <c r="AJM2" s="15"/>
      <c r="AJN2" s="15"/>
      <c r="AJO2" s="15"/>
      <c r="AJP2" s="15"/>
      <c r="AJQ2" s="6"/>
      <c r="AJR2" s="6"/>
      <c r="AJS2" s="6"/>
      <c r="AJT2" s="15"/>
      <c r="AJU2" s="15"/>
      <c r="AJV2" s="6"/>
      <c r="AJW2" s="15"/>
      <c r="AJX2" s="53" t="str">
        <f>[4]利润表!$P$2</f>
        <v>日  期：2012年9月15日</v>
      </c>
      <c r="AJY2" s="14"/>
      <c r="AJZ2" s="15"/>
      <c r="AKA2" s="16"/>
      <c r="AKB2" s="15"/>
      <c r="AKC2" s="15"/>
      <c r="AKD2" s="15"/>
      <c r="AKE2" s="15"/>
      <c r="AKF2" s="15"/>
      <c r="AKG2" s="6"/>
      <c r="AKH2" s="6"/>
      <c r="AKI2" s="6"/>
      <c r="AKJ2" s="15"/>
      <c r="AKK2" s="15"/>
      <c r="AKL2" s="6"/>
      <c r="AKM2" s="15"/>
      <c r="AKN2" s="53" t="str">
        <f>[4]利润表!$P$2</f>
        <v>日  期：2012年9月15日</v>
      </c>
      <c r="AKO2" s="14"/>
      <c r="AKP2" s="15"/>
      <c r="AKQ2" s="16"/>
      <c r="AKR2" s="15"/>
      <c r="AKS2" s="15"/>
      <c r="AKT2" s="15"/>
      <c r="AKU2" s="15"/>
      <c r="AKV2" s="15"/>
      <c r="AKW2" s="6"/>
      <c r="AKX2" s="6"/>
      <c r="AKY2" s="6"/>
      <c r="AKZ2" s="15"/>
      <c r="ALA2" s="15"/>
      <c r="ALB2" s="6"/>
      <c r="ALC2" s="15"/>
      <c r="ALD2" s="53" t="str">
        <f>[4]利润表!$P$2</f>
        <v>日  期：2012年9月15日</v>
      </c>
      <c r="ALE2" s="14"/>
      <c r="ALF2" s="15"/>
      <c r="ALG2" s="16"/>
      <c r="ALH2" s="15"/>
      <c r="ALI2" s="15"/>
      <c r="ALJ2" s="15"/>
      <c r="ALK2" s="15"/>
      <c r="ALL2" s="15"/>
      <c r="ALM2" s="6"/>
      <c r="ALN2" s="6"/>
      <c r="ALO2" s="6"/>
      <c r="ALP2" s="15"/>
      <c r="ALQ2" s="15"/>
      <c r="ALR2" s="6"/>
      <c r="ALS2" s="15"/>
      <c r="ALT2" s="53" t="str">
        <f>[4]利润表!$P$2</f>
        <v>日  期：2012年9月15日</v>
      </c>
      <c r="ALU2" s="14"/>
      <c r="ALV2" s="15"/>
      <c r="ALW2" s="16"/>
      <c r="ALX2" s="15"/>
      <c r="ALY2" s="15"/>
      <c r="ALZ2" s="15"/>
      <c r="AMA2" s="15"/>
      <c r="AMB2" s="15"/>
      <c r="AMC2" s="6"/>
      <c r="AMD2" s="6"/>
      <c r="AME2" s="6"/>
      <c r="AMF2" s="15"/>
      <c r="AMG2" s="15"/>
      <c r="AMH2" s="6"/>
      <c r="AMI2" s="15"/>
      <c r="AMJ2" s="53" t="str">
        <f>[4]利润表!$P$2</f>
        <v>日  期：2012年9月15日</v>
      </c>
      <c r="AMK2" s="14"/>
      <c r="AML2" s="15"/>
      <c r="AMM2" s="16"/>
      <c r="AMN2" s="15"/>
      <c r="AMO2" s="15"/>
      <c r="AMP2" s="15"/>
      <c r="AMQ2" s="15"/>
      <c r="AMR2" s="15"/>
      <c r="AMS2" s="6"/>
      <c r="AMT2" s="6"/>
      <c r="AMU2" s="6"/>
      <c r="AMV2" s="15"/>
      <c r="AMW2" s="15"/>
      <c r="AMX2" s="6"/>
      <c r="AMY2" s="15"/>
      <c r="AMZ2" s="53" t="str">
        <f>[4]利润表!$P$2</f>
        <v>日  期：2012年9月15日</v>
      </c>
      <c r="ANA2" s="14"/>
      <c r="ANB2" s="15"/>
      <c r="ANC2" s="16"/>
      <c r="AND2" s="15"/>
      <c r="ANE2" s="15"/>
      <c r="ANF2" s="15"/>
      <c r="ANG2" s="15"/>
      <c r="ANH2" s="15"/>
      <c r="ANI2" s="6"/>
      <c r="ANJ2" s="6"/>
      <c r="ANK2" s="6"/>
      <c r="ANL2" s="15"/>
      <c r="ANM2" s="15"/>
      <c r="ANN2" s="6"/>
      <c r="ANO2" s="15"/>
      <c r="ANP2" s="53" t="str">
        <f>[4]利润表!$P$2</f>
        <v>日  期：2012年9月15日</v>
      </c>
      <c r="ANQ2" s="14"/>
      <c r="ANR2" s="15"/>
      <c r="ANS2" s="16"/>
      <c r="ANT2" s="15"/>
      <c r="ANU2" s="15"/>
      <c r="ANV2" s="15"/>
      <c r="ANW2" s="15"/>
      <c r="ANX2" s="15"/>
      <c r="ANY2" s="6"/>
      <c r="ANZ2" s="6"/>
      <c r="AOA2" s="6"/>
      <c r="AOB2" s="15"/>
      <c r="AOC2" s="15"/>
      <c r="AOD2" s="6"/>
      <c r="AOE2" s="15"/>
      <c r="AOF2" s="53" t="str">
        <f>[4]利润表!$P$2</f>
        <v>日  期：2012年9月15日</v>
      </c>
      <c r="AOG2" s="14"/>
      <c r="AOH2" s="15"/>
      <c r="AOI2" s="16"/>
      <c r="AOJ2" s="15"/>
      <c r="AOK2" s="15"/>
      <c r="AOL2" s="15"/>
      <c r="AOM2" s="15"/>
      <c r="AON2" s="15"/>
      <c r="AOO2" s="6"/>
      <c r="AOP2" s="6"/>
      <c r="AOQ2" s="6"/>
      <c r="AOR2" s="15"/>
      <c r="AOS2" s="15"/>
      <c r="AOT2" s="6"/>
      <c r="AOU2" s="15"/>
      <c r="AOV2" s="53" t="str">
        <f>[4]利润表!$P$2</f>
        <v>日  期：2012年9月15日</v>
      </c>
      <c r="AOW2" s="14"/>
      <c r="AOX2" s="15"/>
      <c r="AOY2" s="16"/>
      <c r="AOZ2" s="15"/>
      <c r="APA2" s="15"/>
      <c r="APB2" s="15"/>
      <c r="APC2" s="15"/>
      <c r="APD2" s="15"/>
      <c r="APE2" s="6"/>
      <c r="APF2" s="6"/>
      <c r="APG2" s="6"/>
      <c r="APH2" s="15"/>
      <c r="API2" s="15"/>
      <c r="APJ2" s="6"/>
      <c r="APK2" s="15"/>
      <c r="APL2" s="53" t="str">
        <f>[4]利润表!$P$2</f>
        <v>日  期：2012年9月15日</v>
      </c>
      <c r="APM2" s="14"/>
      <c r="APN2" s="15"/>
      <c r="APO2" s="16"/>
      <c r="APP2" s="15"/>
      <c r="APQ2" s="15"/>
      <c r="APR2" s="15"/>
      <c r="APS2" s="15"/>
      <c r="APT2" s="15"/>
      <c r="APU2" s="6"/>
      <c r="APV2" s="6"/>
      <c r="APW2" s="6"/>
      <c r="APX2" s="15"/>
      <c r="APY2" s="15"/>
      <c r="APZ2" s="6"/>
      <c r="AQA2" s="15"/>
      <c r="AQB2" s="53" t="str">
        <f>[4]利润表!$P$2</f>
        <v>日  期：2012年9月15日</v>
      </c>
      <c r="AQC2" s="14"/>
      <c r="AQD2" s="15"/>
      <c r="AQE2" s="16"/>
      <c r="AQF2" s="15"/>
      <c r="AQG2" s="15"/>
      <c r="AQH2" s="15"/>
      <c r="AQI2" s="15"/>
      <c r="AQJ2" s="15"/>
      <c r="AQK2" s="6"/>
      <c r="AQL2" s="6"/>
      <c r="AQM2" s="6"/>
      <c r="AQN2" s="15"/>
      <c r="AQO2" s="15"/>
      <c r="AQP2" s="6"/>
      <c r="AQQ2" s="15"/>
      <c r="AQR2" s="53" t="str">
        <f>[4]利润表!$P$2</f>
        <v>日  期：2012年9月15日</v>
      </c>
      <c r="AQS2" s="14"/>
      <c r="AQT2" s="15"/>
      <c r="AQU2" s="16"/>
      <c r="AQV2" s="15"/>
      <c r="AQW2" s="15"/>
      <c r="AQX2" s="15"/>
      <c r="AQY2" s="15"/>
      <c r="AQZ2" s="15"/>
      <c r="ARA2" s="6"/>
      <c r="ARB2" s="6"/>
      <c r="ARC2" s="6"/>
      <c r="ARD2" s="15"/>
      <c r="ARE2" s="15"/>
      <c r="ARF2" s="6"/>
      <c r="ARG2" s="15"/>
      <c r="ARH2" s="53" t="str">
        <f>[4]利润表!$P$2</f>
        <v>日  期：2012年9月15日</v>
      </c>
      <c r="ARI2" s="14"/>
      <c r="ARJ2" s="15"/>
      <c r="ARK2" s="16"/>
      <c r="ARL2" s="15"/>
      <c r="ARM2" s="15"/>
      <c r="ARN2" s="15"/>
      <c r="ARO2" s="15"/>
      <c r="ARP2" s="15"/>
      <c r="ARQ2" s="6"/>
      <c r="ARR2" s="6"/>
      <c r="ARS2" s="6"/>
      <c r="ART2" s="15"/>
      <c r="ARU2" s="15"/>
      <c r="ARV2" s="6"/>
      <c r="ARW2" s="15"/>
      <c r="ARX2" s="53" t="str">
        <f>[4]利润表!$P$2</f>
        <v>日  期：2012年9月15日</v>
      </c>
      <c r="ARY2" s="14"/>
      <c r="ARZ2" s="15"/>
      <c r="ASA2" s="16"/>
      <c r="ASB2" s="15"/>
      <c r="ASC2" s="15"/>
      <c r="ASD2" s="15"/>
      <c r="ASE2" s="15"/>
      <c r="ASF2" s="15"/>
      <c r="ASG2" s="6"/>
      <c r="ASH2" s="6"/>
      <c r="ASI2" s="6"/>
      <c r="ASJ2" s="15"/>
      <c r="ASK2" s="15"/>
      <c r="ASL2" s="6"/>
      <c r="ASM2" s="15"/>
      <c r="ASN2" s="53" t="str">
        <f>[4]利润表!$P$2</f>
        <v>日  期：2012年9月15日</v>
      </c>
      <c r="ASO2" s="14"/>
      <c r="ASP2" s="15"/>
      <c r="ASQ2" s="16"/>
      <c r="ASR2" s="15"/>
      <c r="ASS2" s="15"/>
      <c r="AST2" s="15"/>
      <c r="ASU2" s="15"/>
      <c r="ASV2" s="15"/>
      <c r="ASW2" s="6"/>
      <c r="ASX2" s="6"/>
      <c r="ASY2" s="6"/>
      <c r="ASZ2" s="15"/>
      <c r="ATA2" s="15"/>
      <c r="ATB2" s="6"/>
      <c r="ATC2" s="15"/>
      <c r="ATD2" s="53" t="str">
        <f>[4]利润表!$P$2</f>
        <v>日  期：2012年9月15日</v>
      </c>
      <c r="ATE2" s="14"/>
      <c r="ATF2" s="15"/>
      <c r="ATG2" s="16"/>
      <c r="ATH2" s="15"/>
      <c r="ATI2" s="15"/>
      <c r="ATJ2" s="15"/>
      <c r="ATK2" s="15"/>
      <c r="ATL2" s="15"/>
      <c r="ATM2" s="6"/>
      <c r="ATN2" s="6"/>
      <c r="ATO2" s="6"/>
      <c r="ATP2" s="15"/>
      <c r="ATQ2" s="15"/>
      <c r="ATR2" s="6"/>
      <c r="ATS2" s="15"/>
      <c r="ATT2" s="53" t="str">
        <f>[4]利润表!$P$2</f>
        <v>日  期：2012年9月15日</v>
      </c>
      <c r="ATU2" s="14"/>
      <c r="ATV2" s="15"/>
      <c r="ATW2" s="16"/>
      <c r="ATX2" s="15"/>
      <c r="ATY2" s="15"/>
      <c r="ATZ2" s="15"/>
      <c r="AUA2" s="15"/>
      <c r="AUB2" s="15"/>
      <c r="AUC2" s="6"/>
      <c r="AUD2" s="6"/>
      <c r="AUE2" s="6"/>
      <c r="AUF2" s="15"/>
      <c r="AUG2" s="15"/>
      <c r="AUH2" s="6"/>
      <c r="AUI2" s="15"/>
      <c r="AUJ2" s="53" t="str">
        <f>[4]利润表!$P$2</f>
        <v>日  期：2012年9月15日</v>
      </c>
      <c r="AUK2" s="14"/>
      <c r="AUL2" s="15"/>
      <c r="AUM2" s="16"/>
      <c r="AUN2" s="15"/>
      <c r="AUO2" s="15"/>
      <c r="AUP2" s="15"/>
      <c r="AUQ2" s="15"/>
      <c r="AUR2" s="15"/>
      <c r="AUS2" s="6"/>
      <c r="AUT2" s="6"/>
      <c r="AUU2" s="6"/>
      <c r="AUV2" s="15"/>
      <c r="AUW2" s="15"/>
      <c r="AUX2" s="6"/>
      <c r="AUY2" s="15"/>
      <c r="AUZ2" s="53" t="str">
        <f>[4]利润表!$P$2</f>
        <v>日  期：2012年9月15日</v>
      </c>
      <c r="AVA2" s="14"/>
      <c r="AVB2" s="15"/>
      <c r="AVC2" s="16"/>
      <c r="AVD2" s="15"/>
      <c r="AVE2" s="15"/>
      <c r="AVF2" s="15"/>
      <c r="AVG2" s="15"/>
      <c r="AVH2" s="15"/>
      <c r="AVI2" s="6"/>
      <c r="AVJ2" s="6"/>
      <c r="AVK2" s="6"/>
      <c r="AVL2" s="15"/>
      <c r="AVM2" s="15"/>
      <c r="AVN2" s="6"/>
      <c r="AVO2" s="15"/>
      <c r="AVP2" s="53" t="str">
        <f>[4]利润表!$P$2</f>
        <v>日  期：2012年9月15日</v>
      </c>
      <c r="AVQ2" s="14"/>
      <c r="AVR2" s="15"/>
      <c r="AVS2" s="16"/>
      <c r="AVT2" s="15"/>
      <c r="AVU2" s="15"/>
      <c r="AVV2" s="15"/>
      <c r="AVW2" s="15"/>
      <c r="AVX2" s="15"/>
      <c r="AVY2" s="6"/>
      <c r="AVZ2" s="6"/>
      <c r="AWA2" s="6"/>
      <c r="AWB2" s="15"/>
      <c r="AWC2" s="15"/>
      <c r="AWD2" s="6"/>
      <c r="AWE2" s="15"/>
      <c r="AWF2" s="53" t="str">
        <f>[4]利润表!$P$2</f>
        <v>日  期：2012年9月15日</v>
      </c>
      <c r="AWG2" s="14"/>
      <c r="AWH2" s="15"/>
      <c r="AWI2" s="16"/>
      <c r="AWJ2" s="15"/>
      <c r="AWK2" s="15"/>
      <c r="AWL2" s="15"/>
      <c r="AWM2" s="15"/>
      <c r="AWN2" s="15"/>
      <c r="AWO2" s="6"/>
      <c r="AWP2" s="6"/>
      <c r="AWQ2" s="6"/>
      <c r="AWR2" s="15"/>
      <c r="AWS2" s="15"/>
      <c r="AWT2" s="6"/>
      <c r="AWU2" s="15"/>
      <c r="AWV2" s="53" t="str">
        <f>[4]利润表!$P$2</f>
        <v>日  期：2012年9月15日</v>
      </c>
      <c r="AWW2" s="14"/>
      <c r="AWX2" s="15"/>
      <c r="AWY2" s="16"/>
      <c r="AWZ2" s="15"/>
      <c r="AXA2" s="15"/>
      <c r="AXB2" s="15"/>
      <c r="AXC2" s="15"/>
      <c r="AXD2" s="15"/>
      <c r="AXE2" s="6"/>
      <c r="AXF2" s="6"/>
      <c r="AXG2" s="6"/>
      <c r="AXH2" s="15"/>
      <c r="AXI2" s="15"/>
      <c r="AXJ2" s="6"/>
      <c r="AXK2" s="15"/>
      <c r="AXL2" s="53" t="str">
        <f>[4]利润表!$P$2</f>
        <v>日  期：2012年9月15日</v>
      </c>
      <c r="AXM2" s="14"/>
      <c r="AXN2" s="15"/>
      <c r="AXO2" s="16"/>
      <c r="AXP2" s="15"/>
      <c r="AXQ2" s="15"/>
      <c r="AXR2" s="15"/>
      <c r="AXS2" s="15"/>
      <c r="AXT2" s="15"/>
      <c r="AXU2" s="6"/>
      <c r="AXV2" s="6"/>
      <c r="AXW2" s="6"/>
      <c r="AXX2" s="15"/>
      <c r="AXY2" s="15"/>
      <c r="AXZ2" s="6"/>
      <c r="AYA2" s="15"/>
      <c r="AYB2" s="53" t="str">
        <f>[4]利润表!$P$2</f>
        <v>日  期：2012年9月15日</v>
      </c>
      <c r="AYC2" s="14"/>
      <c r="AYD2" s="15"/>
      <c r="AYE2" s="16"/>
      <c r="AYF2" s="15"/>
      <c r="AYG2" s="15"/>
      <c r="AYH2" s="15"/>
      <c r="AYI2" s="15"/>
      <c r="AYJ2" s="15"/>
      <c r="AYK2" s="6"/>
      <c r="AYL2" s="6"/>
      <c r="AYM2" s="6"/>
      <c r="AYN2" s="15"/>
      <c r="AYO2" s="15"/>
      <c r="AYP2" s="6"/>
      <c r="AYQ2" s="15"/>
      <c r="AYR2" s="53" t="str">
        <f>[4]利润表!$P$2</f>
        <v>日  期：2012年9月15日</v>
      </c>
      <c r="AYS2" s="14"/>
      <c r="AYT2" s="15"/>
      <c r="AYU2" s="16"/>
      <c r="AYV2" s="15"/>
      <c r="AYW2" s="15"/>
      <c r="AYX2" s="15"/>
      <c r="AYY2" s="15"/>
      <c r="AYZ2" s="15"/>
      <c r="AZA2" s="6"/>
      <c r="AZB2" s="6"/>
      <c r="AZC2" s="6"/>
      <c r="AZD2" s="15"/>
      <c r="AZE2" s="15"/>
      <c r="AZF2" s="6"/>
      <c r="AZG2" s="15"/>
      <c r="AZH2" s="53" t="str">
        <f>[4]利润表!$P$2</f>
        <v>日  期：2012年9月15日</v>
      </c>
      <c r="AZI2" s="14"/>
      <c r="AZJ2" s="15"/>
      <c r="AZK2" s="16"/>
      <c r="AZL2" s="15"/>
      <c r="AZM2" s="15"/>
      <c r="AZN2" s="15"/>
      <c r="AZO2" s="15"/>
      <c r="AZP2" s="15"/>
      <c r="AZQ2" s="6"/>
      <c r="AZR2" s="6"/>
      <c r="AZS2" s="6"/>
      <c r="AZT2" s="15"/>
      <c r="AZU2" s="15"/>
      <c r="AZV2" s="6"/>
      <c r="AZW2" s="15"/>
      <c r="AZX2" s="53" t="str">
        <f>[4]利润表!$P$2</f>
        <v>日  期：2012年9月15日</v>
      </c>
      <c r="AZY2" s="14"/>
      <c r="AZZ2" s="15"/>
      <c r="BAA2" s="16"/>
      <c r="BAB2" s="15"/>
      <c r="BAC2" s="15"/>
      <c r="BAD2" s="15"/>
      <c r="BAE2" s="15"/>
      <c r="BAF2" s="15"/>
      <c r="BAG2" s="6"/>
      <c r="BAH2" s="6"/>
      <c r="BAI2" s="6"/>
      <c r="BAJ2" s="15"/>
      <c r="BAK2" s="15"/>
      <c r="BAL2" s="6"/>
      <c r="BAM2" s="15"/>
      <c r="BAN2" s="53" t="str">
        <f>[4]利润表!$P$2</f>
        <v>日  期：2012年9月15日</v>
      </c>
      <c r="BAO2" s="14"/>
      <c r="BAP2" s="15"/>
      <c r="BAQ2" s="16"/>
      <c r="BAR2" s="15"/>
      <c r="BAS2" s="15"/>
      <c r="BAT2" s="15"/>
      <c r="BAU2" s="15"/>
      <c r="BAV2" s="15"/>
      <c r="BAW2" s="6"/>
      <c r="BAX2" s="6"/>
      <c r="BAY2" s="6"/>
      <c r="BAZ2" s="15"/>
      <c r="BBA2" s="15"/>
      <c r="BBB2" s="6"/>
      <c r="BBC2" s="15"/>
      <c r="BBD2" s="53" t="str">
        <f>[4]利润表!$P$2</f>
        <v>日  期：2012年9月15日</v>
      </c>
      <c r="BBE2" s="14"/>
      <c r="BBF2" s="15"/>
      <c r="BBG2" s="16"/>
      <c r="BBH2" s="15"/>
      <c r="BBI2" s="15"/>
      <c r="BBJ2" s="15"/>
      <c r="BBK2" s="15"/>
      <c r="BBL2" s="15"/>
      <c r="BBM2" s="6"/>
      <c r="BBN2" s="6"/>
      <c r="BBO2" s="6"/>
      <c r="BBP2" s="15"/>
      <c r="BBQ2" s="15"/>
      <c r="BBR2" s="6"/>
      <c r="BBS2" s="15"/>
      <c r="BBT2" s="53" t="str">
        <f>[4]利润表!$P$2</f>
        <v>日  期：2012年9月15日</v>
      </c>
      <c r="BBU2" s="14"/>
      <c r="BBV2" s="15"/>
      <c r="BBW2" s="16"/>
      <c r="BBX2" s="15"/>
      <c r="BBY2" s="15"/>
      <c r="BBZ2" s="15"/>
      <c r="BCA2" s="15"/>
      <c r="BCB2" s="15"/>
      <c r="BCC2" s="6"/>
      <c r="BCD2" s="6"/>
      <c r="BCE2" s="6"/>
      <c r="BCF2" s="15"/>
      <c r="BCG2" s="15"/>
      <c r="BCH2" s="6"/>
      <c r="BCI2" s="15"/>
      <c r="BCJ2" s="53" t="str">
        <f>[4]利润表!$P$2</f>
        <v>日  期：2012年9月15日</v>
      </c>
      <c r="BCK2" s="14"/>
      <c r="BCL2" s="15"/>
      <c r="BCM2" s="16"/>
      <c r="BCN2" s="15"/>
      <c r="BCO2" s="15"/>
      <c r="BCP2" s="15"/>
      <c r="BCQ2" s="15"/>
      <c r="BCR2" s="15"/>
      <c r="BCS2" s="6"/>
      <c r="BCT2" s="6"/>
      <c r="BCU2" s="6"/>
      <c r="BCV2" s="15"/>
      <c r="BCW2" s="15"/>
      <c r="BCX2" s="6"/>
      <c r="BCY2" s="15"/>
      <c r="BCZ2" s="53" t="str">
        <f>[4]利润表!$P$2</f>
        <v>日  期：2012年9月15日</v>
      </c>
      <c r="BDA2" s="14"/>
      <c r="BDB2" s="15"/>
      <c r="BDC2" s="16"/>
      <c r="BDD2" s="15"/>
      <c r="BDE2" s="15"/>
      <c r="BDF2" s="15"/>
      <c r="BDG2" s="15"/>
      <c r="BDH2" s="15"/>
      <c r="BDI2" s="6"/>
      <c r="BDJ2" s="6"/>
      <c r="BDK2" s="6"/>
      <c r="BDL2" s="15"/>
      <c r="BDM2" s="15"/>
      <c r="BDN2" s="6"/>
      <c r="BDO2" s="15"/>
      <c r="BDP2" s="53" t="str">
        <f>[4]利润表!$P$2</f>
        <v>日  期：2012年9月15日</v>
      </c>
      <c r="BDQ2" s="14"/>
      <c r="BDR2" s="15"/>
      <c r="BDS2" s="16"/>
      <c r="BDT2" s="15"/>
      <c r="BDU2" s="15"/>
      <c r="BDV2" s="15"/>
      <c r="BDW2" s="15"/>
      <c r="BDX2" s="15"/>
      <c r="BDY2" s="6"/>
      <c r="BDZ2" s="6"/>
      <c r="BEA2" s="6"/>
      <c r="BEB2" s="15"/>
      <c r="BEC2" s="15"/>
      <c r="BED2" s="6"/>
      <c r="BEE2" s="15"/>
      <c r="BEF2" s="53" t="str">
        <f>[4]利润表!$P$2</f>
        <v>日  期：2012年9月15日</v>
      </c>
      <c r="BEG2" s="14"/>
      <c r="BEH2" s="15"/>
      <c r="BEI2" s="16"/>
      <c r="BEJ2" s="15"/>
      <c r="BEK2" s="15"/>
      <c r="BEL2" s="15"/>
      <c r="BEM2" s="15"/>
      <c r="BEN2" s="15"/>
      <c r="BEO2" s="6"/>
      <c r="BEP2" s="6"/>
      <c r="BEQ2" s="6"/>
      <c r="BER2" s="15"/>
      <c r="BES2" s="15"/>
      <c r="BET2" s="6"/>
      <c r="BEU2" s="15"/>
      <c r="BEV2" s="53" t="str">
        <f>[4]利润表!$P$2</f>
        <v>日  期：2012年9月15日</v>
      </c>
      <c r="BEW2" s="14"/>
      <c r="BEX2" s="15"/>
      <c r="BEY2" s="16"/>
      <c r="BEZ2" s="15"/>
      <c r="BFA2" s="15"/>
      <c r="BFB2" s="15"/>
      <c r="BFC2" s="15"/>
      <c r="BFD2" s="15"/>
      <c r="BFE2" s="6"/>
      <c r="BFF2" s="6"/>
      <c r="BFG2" s="6"/>
      <c r="BFH2" s="15"/>
      <c r="BFI2" s="15"/>
      <c r="BFJ2" s="6"/>
      <c r="BFK2" s="15"/>
      <c r="BFL2" s="53" t="str">
        <f>[4]利润表!$P$2</f>
        <v>日  期：2012年9月15日</v>
      </c>
      <c r="BFM2" s="14"/>
      <c r="BFN2" s="15"/>
      <c r="BFO2" s="16"/>
      <c r="BFP2" s="15"/>
      <c r="BFQ2" s="15"/>
      <c r="BFR2" s="15"/>
      <c r="BFS2" s="15"/>
      <c r="BFT2" s="15"/>
      <c r="BFU2" s="6"/>
      <c r="BFV2" s="6"/>
      <c r="BFW2" s="6"/>
      <c r="BFX2" s="15"/>
      <c r="BFY2" s="15"/>
      <c r="BFZ2" s="6"/>
      <c r="BGA2" s="15"/>
      <c r="BGB2" s="53" t="str">
        <f>[4]利润表!$P$2</f>
        <v>日  期：2012年9月15日</v>
      </c>
      <c r="BGC2" s="14"/>
      <c r="BGD2" s="15"/>
      <c r="BGE2" s="16"/>
      <c r="BGF2" s="15"/>
      <c r="BGG2" s="15"/>
      <c r="BGH2" s="15"/>
      <c r="BGI2" s="15"/>
      <c r="BGJ2" s="15"/>
      <c r="BGK2" s="6"/>
      <c r="BGL2" s="6"/>
      <c r="BGM2" s="6"/>
      <c r="BGN2" s="15"/>
      <c r="BGO2" s="15"/>
      <c r="BGP2" s="6"/>
      <c r="BGQ2" s="15"/>
      <c r="BGR2" s="53" t="str">
        <f>[4]利润表!$P$2</f>
        <v>日  期：2012年9月15日</v>
      </c>
      <c r="BGS2" s="14"/>
      <c r="BGT2" s="15"/>
      <c r="BGU2" s="16"/>
      <c r="BGV2" s="15"/>
      <c r="BGW2" s="15"/>
      <c r="BGX2" s="15"/>
      <c r="BGY2" s="15"/>
      <c r="BGZ2" s="15"/>
      <c r="BHA2" s="6"/>
      <c r="BHB2" s="6"/>
      <c r="BHC2" s="6"/>
      <c r="BHD2" s="15"/>
      <c r="BHE2" s="15"/>
      <c r="BHF2" s="6"/>
      <c r="BHG2" s="15"/>
      <c r="BHH2" s="53" t="str">
        <f>[4]利润表!$P$2</f>
        <v>日  期：2012年9月15日</v>
      </c>
      <c r="BHI2" s="14"/>
      <c r="BHJ2" s="15"/>
      <c r="BHK2" s="16"/>
      <c r="BHL2" s="15"/>
      <c r="BHM2" s="15"/>
      <c r="BHN2" s="15"/>
      <c r="BHO2" s="15"/>
      <c r="BHP2" s="15"/>
      <c r="BHQ2" s="6"/>
      <c r="BHR2" s="6"/>
      <c r="BHS2" s="6"/>
      <c r="BHT2" s="15"/>
      <c r="BHU2" s="15"/>
      <c r="BHV2" s="6"/>
      <c r="BHW2" s="15"/>
      <c r="BHX2" s="53" t="str">
        <f>[4]利润表!$P$2</f>
        <v>日  期：2012年9月15日</v>
      </c>
      <c r="BHY2" s="14"/>
      <c r="BHZ2" s="15"/>
      <c r="BIA2" s="16"/>
      <c r="BIB2" s="15"/>
      <c r="BIC2" s="15"/>
      <c r="BID2" s="15"/>
      <c r="BIE2" s="15"/>
      <c r="BIF2" s="15"/>
      <c r="BIG2" s="6"/>
      <c r="BIH2" s="6"/>
      <c r="BII2" s="6"/>
      <c r="BIJ2" s="15"/>
      <c r="BIK2" s="15"/>
      <c r="BIL2" s="6"/>
      <c r="BIM2" s="15"/>
      <c r="BIN2" s="53" t="str">
        <f>[4]利润表!$P$2</f>
        <v>日  期：2012年9月15日</v>
      </c>
      <c r="BIO2" s="14"/>
      <c r="BIP2" s="15"/>
      <c r="BIQ2" s="16"/>
      <c r="BIR2" s="15"/>
      <c r="BIS2" s="15"/>
      <c r="BIT2" s="15"/>
      <c r="BIU2" s="15"/>
      <c r="BIV2" s="15"/>
      <c r="BIW2" s="6"/>
      <c r="BIX2" s="6"/>
      <c r="BIY2" s="6"/>
      <c r="BIZ2" s="15"/>
      <c r="BJA2" s="15"/>
      <c r="BJB2" s="6"/>
      <c r="BJC2" s="15"/>
      <c r="BJD2" s="53" t="str">
        <f>[4]利润表!$P$2</f>
        <v>日  期：2012年9月15日</v>
      </c>
      <c r="BJE2" s="14"/>
      <c r="BJF2" s="15"/>
      <c r="BJG2" s="16"/>
      <c r="BJH2" s="15"/>
      <c r="BJI2" s="15"/>
      <c r="BJJ2" s="15"/>
      <c r="BJK2" s="15"/>
      <c r="BJL2" s="15"/>
      <c r="BJM2" s="6"/>
      <c r="BJN2" s="6"/>
      <c r="BJO2" s="6"/>
      <c r="BJP2" s="15"/>
      <c r="BJQ2" s="15"/>
      <c r="BJR2" s="6"/>
      <c r="BJS2" s="15"/>
      <c r="BJT2" s="53" t="str">
        <f>[4]利润表!$P$2</f>
        <v>日  期：2012年9月15日</v>
      </c>
      <c r="BJU2" s="14"/>
      <c r="BJV2" s="15"/>
      <c r="BJW2" s="16"/>
      <c r="BJX2" s="15"/>
      <c r="BJY2" s="15"/>
      <c r="BJZ2" s="15"/>
      <c r="BKA2" s="15"/>
      <c r="BKB2" s="15"/>
      <c r="BKC2" s="6"/>
      <c r="BKD2" s="6"/>
      <c r="BKE2" s="6"/>
      <c r="BKF2" s="15"/>
      <c r="BKG2" s="15"/>
      <c r="BKH2" s="6"/>
      <c r="BKI2" s="15"/>
      <c r="BKJ2" s="53" t="str">
        <f>[4]利润表!$P$2</f>
        <v>日  期：2012年9月15日</v>
      </c>
      <c r="BKK2" s="14"/>
      <c r="BKL2" s="15"/>
      <c r="BKM2" s="16"/>
      <c r="BKN2" s="15"/>
      <c r="BKO2" s="15"/>
      <c r="BKP2" s="15"/>
      <c r="BKQ2" s="15"/>
      <c r="BKR2" s="15"/>
      <c r="BKS2" s="6"/>
      <c r="BKT2" s="6"/>
      <c r="BKU2" s="6"/>
      <c r="BKV2" s="15"/>
      <c r="BKW2" s="15"/>
      <c r="BKX2" s="6"/>
      <c r="BKY2" s="15"/>
      <c r="BKZ2" s="53" t="str">
        <f>[4]利润表!$P$2</f>
        <v>日  期：2012年9月15日</v>
      </c>
      <c r="BLA2" s="14"/>
      <c r="BLB2" s="15"/>
      <c r="BLC2" s="16"/>
      <c r="BLD2" s="15"/>
      <c r="BLE2" s="15"/>
      <c r="BLF2" s="15"/>
      <c r="BLG2" s="15"/>
      <c r="BLH2" s="15"/>
      <c r="BLI2" s="6"/>
      <c r="BLJ2" s="6"/>
      <c r="BLK2" s="6"/>
      <c r="BLL2" s="15"/>
      <c r="BLM2" s="15"/>
      <c r="BLN2" s="6"/>
      <c r="BLO2" s="15"/>
      <c r="BLP2" s="53" t="str">
        <f>[4]利润表!$P$2</f>
        <v>日  期：2012年9月15日</v>
      </c>
      <c r="BLQ2" s="14"/>
      <c r="BLR2" s="15"/>
      <c r="BLS2" s="16"/>
      <c r="BLT2" s="15"/>
      <c r="BLU2" s="15"/>
      <c r="BLV2" s="15"/>
      <c r="BLW2" s="15"/>
      <c r="BLX2" s="15"/>
      <c r="BLY2" s="6"/>
      <c r="BLZ2" s="6"/>
      <c r="BMA2" s="6"/>
      <c r="BMB2" s="15"/>
      <c r="BMC2" s="15"/>
      <c r="BMD2" s="6"/>
      <c r="BME2" s="15"/>
      <c r="BMF2" s="53" t="str">
        <f>[4]利润表!$P$2</f>
        <v>日  期：2012年9月15日</v>
      </c>
      <c r="BMG2" s="14"/>
      <c r="BMH2" s="15"/>
      <c r="BMI2" s="16"/>
      <c r="BMJ2" s="15"/>
      <c r="BMK2" s="15"/>
      <c r="BML2" s="15"/>
      <c r="BMM2" s="15"/>
      <c r="BMN2" s="15"/>
      <c r="BMO2" s="6"/>
      <c r="BMP2" s="6"/>
      <c r="BMQ2" s="6"/>
      <c r="BMR2" s="15"/>
      <c r="BMS2" s="15"/>
      <c r="BMT2" s="6"/>
      <c r="BMU2" s="15"/>
      <c r="BMV2" s="53" t="str">
        <f>[4]利润表!$P$2</f>
        <v>日  期：2012年9月15日</v>
      </c>
      <c r="BMW2" s="14"/>
      <c r="BMX2" s="15"/>
      <c r="BMY2" s="16"/>
      <c r="BMZ2" s="15"/>
      <c r="BNA2" s="15"/>
      <c r="BNB2" s="15"/>
      <c r="BNC2" s="15"/>
      <c r="BND2" s="15"/>
      <c r="BNE2" s="6"/>
      <c r="BNF2" s="6"/>
      <c r="BNG2" s="6"/>
      <c r="BNH2" s="15"/>
      <c r="BNI2" s="15"/>
      <c r="BNJ2" s="6"/>
      <c r="BNK2" s="15"/>
      <c r="BNL2" s="53" t="str">
        <f>[4]利润表!$P$2</f>
        <v>日  期：2012年9月15日</v>
      </c>
      <c r="BNM2" s="14"/>
      <c r="BNN2" s="15"/>
      <c r="BNO2" s="16"/>
      <c r="BNP2" s="15"/>
      <c r="BNQ2" s="15"/>
      <c r="BNR2" s="15"/>
      <c r="BNS2" s="15"/>
      <c r="BNT2" s="15"/>
      <c r="BNU2" s="6"/>
      <c r="BNV2" s="6"/>
      <c r="BNW2" s="6"/>
      <c r="BNX2" s="15"/>
      <c r="BNY2" s="15"/>
      <c r="BNZ2" s="6"/>
      <c r="BOA2" s="15"/>
      <c r="BOB2" s="53" t="str">
        <f>[4]利润表!$P$2</f>
        <v>日  期：2012年9月15日</v>
      </c>
      <c r="BOC2" s="14"/>
      <c r="BOD2" s="15"/>
      <c r="BOE2" s="16"/>
      <c r="BOF2" s="15"/>
      <c r="BOG2" s="15"/>
      <c r="BOH2" s="15"/>
      <c r="BOI2" s="15"/>
      <c r="BOJ2" s="15"/>
      <c r="BOK2" s="6"/>
      <c r="BOL2" s="6"/>
      <c r="BOM2" s="6"/>
      <c r="BON2" s="15"/>
      <c r="BOO2" s="15"/>
      <c r="BOP2" s="6"/>
      <c r="BOQ2" s="15"/>
      <c r="BOR2" s="53" t="str">
        <f>[4]利润表!$P$2</f>
        <v>日  期：2012年9月15日</v>
      </c>
      <c r="BOS2" s="14"/>
      <c r="BOT2" s="15"/>
      <c r="BOU2" s="16"/>
      <c r="BOV2" s="15"/>
      <c r="BOW2" s="15"/>
      <c r="BOX2" s="15"/>
      <c r="BOY2" s="15"/>
      <c r="BOZ2" s="15"/>
      <c r="BPA2" s="6"/>
      <c r="BPB2" s="6"/>
      <c r="BPC2" s="6"/>
      <c r="BPD2" s="15"/>
      <c r="BPE2" s="15"/>
      <c r="BPF2" s="6"/>
      <c r="BPG2" s="15"/>
      <c r="BPH2" s="53" t="str">
        <f>[4]利润表!$P$2</f>
        <v>日  期：2012年9月15日</v>
      </c>
      <c r="BPI2" s="14"/>
      <c r="BPJ2" s="15"/>
      <c r="BPK2" s="16"/>
      <c r="BPL2" s="15"/>
      <c r="BPM2" s="15"/>
      <c r="BPN2" s="15"/>
      <c r="BPO2" s="15"/>
      <c r="BPP2" s="15"/>
      <c r="BPQ2" s="6"/>
      <c r="BPR2" s="6"/>
      <c r="BPS2" s="6"/>
      <c r="BPT2" s="15"/>
      <c r="BPU2" s="15"/>
      <c r="BPV2" s="6"/>
      <c r="BPW2" s="15"/>
      <c r="BPX2" s="53" t="str">
        <f>[4]利润表!$P$2</f>
        <v>日  期：2012年9月15日</v>
      </c>
      <c r="BPY2" s="14"/>
      <c r="BPZ2" s="15"/>
      <c r="BQA2" s="16"/>
      <c r="BQB2" s="15"/>
      <c r="BQC2" s="15"/>
      <c r="BQD2" s="15"/>
      <c r="BQE2" s="15"/>
      <c r="BQF2" s="15"/>
      <c r="BQG2" s="6"/>
      <c r="BQH2" s="6"/>
      <c r="BQI2" s="6"/>
      <c r="BQJ2" s="15"/>
      <c r="BQK2" s="15"/>
      <c r="BQL2" s="6"/>
      <c r="BQM2" s="15"/>
      <c r="BQN2" s="53" t="str">
        <f>[4]利润表!$P$2</f>
        <v>日  期：2012年9月15日</v>
      </c>
      <c r="BQO2" s="14"/>
      <c r="BQP2" s="15"/>
      <c r="BQQ2" s="16"/>
      <c r="BQR2" s="15"/>
      <c r="BQS2" s="15"/>
      <c r="BQT2" s="15"/>
      <c r="BQU2" s="15"/>
      <c r="BQV2" s="15"/>
      <c r="BQW2" s="6"/>
      <c r="BQX2" s="6"/>
      <c r="BQY2" s="6"/>
      <c r="BQZ2" s="15"/>
      <c r="BRA2" s="15"/>
      <c r="BRB2" s="6"/>
      <c r="BRC2" s="15"/>
      <c r="BRD2" s="53" t="str">
        <f>[4]利润表!$P$2</f>
        <v>日  期：2012年9月15日</v>
      </c>
      <c r="BRE2" s="14"/>
      <c r="BRF2" s="15"/>
      <c r="BRG2" s="16"/>
      <c r="BRH2" s="15"/>
      <c r="BRI2" s="15"/>
      <c r="BRJ2" s="15"/>
      <c r="BRK2" s="15"/>
      <c r="BRL2" s="15"/>
      <c r="BRM2" s="6"/>
      <c r="BRN2" s="6"/>
      <c r="BRO2" s="6"/>
      <c r="BRP2" s="15"/>
      <c r="BRQ2" s="15"/>
      <c r="BRR2" s="6"/>
      <c r="BRS2" s="15"/>
      <c r="BRT2" s="53" t="str">
        <f>[4]利润表!$P$2</f>
        <v>日  期：2012年9月15日</v>
      </c>
      <c r="BRU2" s="14"/>
      <c r="BRV2" s="15"/>
      <c r="BRW2" s="16"/>
      <c r="BRX2" s="15"/>
      <c r="BRY2" s="15"/>
      <c r="BRZ2" s="15"/>
      <c r="BSA2" s="15"/>
      <c r="BSB2" s="15"/>
      <c r="BSC2" s="6"/>
      <c r="BSD2" s="6"/>
      <c r="BSE2" s="6"/>
      <c r="BSF2" s="15"/>
      <c r="BSG2" s="15"/>
      <c r="BSH2" s="6"/>
      <c r="BSI2" s="15"/>
      <c r="BSJ2" s="53" t="str">
        <f>[4]利润表!$P$2</f>
        <v>日  期：2012年9月15日</v>
      </c>
      <c r="BSK2" s="14"/>
      <c r="BSL2" s="15"/>
      <c r="BSM2" s="16"/>
      <c r="BSN2" s="15"/>
      <c r="BSO2" s="15"/>
      <c r="BSP2" s="15"/>
      <c r="BSQ2" s="15"/>
      <c r="BSR2" s="15"/>
      <c r="BSS2" s="6"/>
      <c r="BST2" s="6"/>
      <c r="BSU2" s="6"/>
      <c r="BSV2" s="15"/>
      <c r="BSW2" s="15"/>
      <c r="BSX2" s="6"/>
      <c r="BSY2" s="15"/>
      <c r="BSZ2" s="53" t="str">
        <f>[4]利润表!$P$2</f>
        <v>日  期：2012年9月15日</v>
      </c>
      <c r="BTA2" s="14"/>
      <c r="BTB2" s="15"/>
      <c r="BTC2" s="16"/>
      <c r="BTD2" s="15"/>
      <c r="BTE2" s="15"/>
      <c r="BTF2" s="15"/>
      <c r="BTG2" s="15"/>
      <c r="BTH2" s="15"/>
      <c r="BTI2" s="6"/>
      <c r="BTJ2" s="6"/>
      <c r="BTK2" s="6"/>
      <c r="BTL2" s="15"/>
      <c r="BTM2" s="15"/>
      <c r="BTN2" s="6"/>
      <c r="BTO2" s="15"/>
      <c r="BTP2" s="53" t="str">
        <f>[4]利润表!$P$2</f>
        <v>日  期：2012年9月15日</v>
      </c>
      <c r="BTQ2" s="14"/>
      <c r="BTR2" s="15"/>
      <c r="BTS2" s="16"/>
      <c r="BTT2" s="15"/>
      <c r="BTU2" s="15"/>
      <c r="BTV2" s="15"/>
      <c r="BTW2" s="15"/>
      <c r="BTX2" s="15"/>
      <c r="BTY2" s="6"/>
      <c r="BTZ2" s="6"/>
      <c r="BUA2" s="6"/>
      <c r="BUB2" s="15"/>
      <c r="BUC2" s="15"/>
      <c r="BUD2" s="6"/>
      <c r="BUE2" s="15"/>
      <c r="BUF2" s="53" t="str">
        <f>[4]利润表!$P$2</f>
        <v>日  期：2012年9月15日</v>
      </c>
      <c r="BUG2" s="14"/>
      <c r="BUH2" s="15"/>
      <c r="BUI2" s="16"/>
      <c r="BUJ2" s="15"/>
      <c r="BUK2" s="15"/>
      <c r="BUL2" s="15"/>
      <c r="BUM2" s="15"/>
      <c r="BUN2" s="15"/>
      <c r="BUO2" s="6"/>
      <c r="BUP2" s="6"/>
      <c r="BUQ2" s="6"/>
      <c r="BUR2" s="15"/>
      <c r="BUS2" s="15"/>
      <c r="BUT2" s="6"/>
      <c r="BUU2" s="15"/>
      <c r="BUV2" s="53" t="str">
        <f>[4]利润表!$P$2</f>
        <v>日  期：2012年9月15日</v>
      </c>
      <c r="BUW2" s="14"/>
      <c r="BUX2" s="15"/>
      <c r="BUY2" s="16"/>
      <c r="BUZ2" s="15"/>
      <c r="BVA2" s="15"/>
      <c r="BVB2" s="15"/>
      <c r="BVC2" s="15"/>
      <c r="BVD2" s="15"/>
      <c r="BVE2" s="6"/>
      <c r="BVF2" s="6"/>
      <c r="BVG2" s="6"/>
      <c r="BVH2" s="15"/>
      <c r="BVI2" s="15"/>
      <c r="BVJ2" s="6"/>
      <c r="BVK2" s="15"/>
      <c r="BVL2" s="53" t="str">
        <f>[4]利润表!$P$2</f>
        <v>日  期：2012年9月15日</v>
      </c>
      <c r="BVM2" s="14"/>
      <c r="BVN2" s="15"/>
      <c r="BVO2" s="16"/>
      <c r="BVP2" s="15"/>
      <c r="BVQ2" s="15"/>
      <c r="BVR2" s="15"/>
      <c r="BVS2" s="15"/>
      <c r="BVT2" s="15"/>
      <c r="BVU2" s="6"/>
      <c r="BVV2" s="6"/>
      <c r="BVW2" s="6"/>
      <c r="BVX2" s="15"/>
      <c r="BVY2" s="15"/>
      <c r="BVZ2" s="6"/>
      <c r="BWA2" s="15"/>
      <c r="BWB2" s="53" t="str">
        <f>[4]利润表!$P$2</f>
        <v>日  期：2012年9月15日</v>
      </c>
      <c r="BWC2" s="14"/>
      <c r="BWD2" s="15"/>
      <c r="BWE2" s="16"/>
      <c r="BWF2" s="15"/>
      <c r="BWG2" s="15"/>
      <c r="BWH2" s="15"/>
      <c r="BWI2" s="15"/>
      <c r="BWJ2" s="15"/>
      <c r="BWK2" s="6"/>
      <c r="BWL2" s="6"/>
      <c r="BWM2" s="6"/>
      <c r="BWN2" s="15"/>
      <c r="BWO2" s="15"/>
      <c r="BWP2" s="6"/>
      <c r="BWQ2" s="15"/>
      <c r="BWR2" s="53" t="str">
        <f>[4]利润表!$P$2</f>
        <v>日  期：2012年9月15日</v>
      </c>
      <c r="BWS2" s="14"/>
      <c r="BWT2" s="15"/>
      <c r="BWU2" s="16"/>
      <c r="BWV2" s="15"/>
      <c r="BWW2" s="15"/>
      <c r="BWX2" s="15"/>
      <c r="BWY2" s="15"/>
      <c r="BWZ2" s="15"/>
      <c r="BXA2" s="6"/>
      <c r="BXB2" s="6"/>
      <c r="BXC2" s="6"/>
      <c r="BXD2" s="15"/>
      <c r="BXE2" s="15"/>
      <c r="BXF2" s="6"/>
      <c r="BXG2" s="15"/>
      <c r="BXH2" s="53" t="str">
        <f>[4]利润表!$P$2</f>
        <v>日  期：2012年9月15日</v>
      </c>
      <c r="BXI2" s="14"/>
      <c r="BXJ2" s="15"/>
      <c r="BXK2" s="16"/>
      <c r="BXL2" s="15"/>
      <c r="BXM2" s="15"/>
      <c r="BXN2" s="15"/>
      <c r="BXO2" s="15"/>
      <c r="BXP2" s="15"/>
      <c r="BXQ2" s="6"/>
      <c r="BXR2" s="6"/>
      <c r="BXS2" s="6"/>
      <c r="BXT2" s="15"/>
      <c r="BXU2" s="15"/>
      <c r="BXV2" s="6"/>
      <c r="BXW2" s="15"/>
      <c r="BXX2" s="53" t="str">
        <f>[4]利润表!$P$2</f>
        <v>日  期：2012年9月15日</v>
      </c>
      <c r="BXY2" s="14"/>
      <c r="BXZ2" s="15"/>
      <c r="BYA2" s="16"/>
      <c r="BYB2" s="15"/>
      <c r="BYC2" s="15"/>
      <c r="BYD2" s="15"/>
      <c r="BYE2" s="15"/>
      <c r="BYF2" s="15"/>
      <c r="BYG2" s="6"/>
      <c r="BYH2" s="6"/>
      <c r="BYI2" s="6"/>
      <c r="BYJ2" s="15"/>
      <c r="BYK2" s="15"/>
      <c r="BYL2" s="6"/>
      <c r="BYM2" s="15"/>
      <c r="BYN2" s="53" t="str">
        <f>[4]利润表!$P$2</f>
        <v>日  期：2012年9月15日</v>
      </c>
      <c r="BYO2" s="14"/>
      <c r="BYP2" s="15"/>
      <c r="BYQ2" s="16"/>
      <c r="BYR2" s="15"/>
      <c r="BYS2" s="15"/>
      <c r="BYT2" s="15"/>
      <c r="BYU2" s="15"/>
      <c r="BYV2" s="15"/>
      <c r="BYW2" s="6"/>
      <c r="BYX2" s="6"/>
      <c r="BYY2" s="6"/>
      <c r="BYZ2" s="15"/>
      <c r="BZA2" s="15"/>
      <c r="BZB2" s="6"/>
      <c r="BZC2" s="15"/>
      <c r="BZD2" s="53" t="str">
        <f>[4]利润表!$P$2</f>
        <v>日  期：2012年9月15日</v>
      </c>
      <c r="BZE2" s="14"/>
      <c r="BZF2" s="15"/>
      <c r="BZG2" s="16"/>
      <c r="BZH2" s="15"/>
      <c r="BZI2" s="15"/>
      <c r="BZJ2" s="15"/>
      <c r="BZK2" s="15"/>
      <c r="BZL2" s="15"/>
      <c r="BZM2" s="6"/>
      <c r="BZN2" s="6"/>
      <c r="BZO2" s="6"/>
      <c r="BZP2" s="15"/>
      <c r="BZQ2" s="15"/>
      <c r="BZR2" s="6"/>
      <c r="BZS2" s="15"/>
      <c r="BZT2" s="53" t="str">
        <f>[4]利润表!$P$2</f>
        <v>日  期：2012年9月15日</v>
      </c>
      <c r="BZU2" s="14"/>
      <c r="BZV2" s="15"/>
      <c r="BZW2" s="16"/>
      <c r="BZX2" s="15"/>
      <c r="BZY2" s="15"/>
      <c r="BZZ2" s="15"/>
      <c r="CAA2" s="15"/>
      <c r="CAB2" s="15"/>
      <c r="CAC2" s="6"/>
      <c r="CAD2" s="6"/>
      <c r="CAE2" s="6"/>
      <c r="CAF2" s="15"/>
      <c r="CAG2" s="15"/>
      <c r="CAH2" s="6"/>
      <c r="CAI2" s="15"/>
      <c r="CAJ2" s="53" t="str">
        <f>[4]利润表!$P$2</f>
        <v>日  期：2012年9月15日</v>
      </c>
      <c r="CAK2" s="14"/>
      <c r="CAL2" s="15"/>
      <c r="CAM2" s="16"/>
      <c r="CAN2" s="15"/>
      <c r="CAO2" s="15"/>
      <c r="CAP2" s="15"/>
      <c r="CAQ2" s="15"/>
      <c r="CAR2" s="15"/>
      <c r="CAS2" s="6"/>
      <c r="CAT2" s="6"/>
      <c r="CAU2" s="6"/>
      <c r="CAV2" s="15"/>
      <c r="CAW2" s="15"/>
      <c r="CAX2" s="6"/>
      <c r="CAY2" s="15"/>
      <c r="CAZ2" s="53" t="str">
        <f>[4]利润表!$P$2</f>
        <v>日  期：2012年9月15日</v>
      </c>
      <c r="CBA2" s="14"/>
      <c r="CBB2" s="15"/>
      <c r="CBC2" s="16"/>
      <c r="CBD2" s="15"/>
      <c r="CBE2" s="15"/>
      <c r="CBF2" s="15"/>
      <c r="CBG2" s="15"/>
      <c r="CBH2" s="15"/>
      <c r="CBI2" s="6"/>
      <c r="CBJ2" s="6"/>
      <c r="CBK2" s="6"/>
      <c r="CBL2" s="15"/>
      <c r="CBM2" s="15"/>
      <c r="CBN2" s="6"/>
      <c r="CBO2" s="15"/>
      <c r="CBP2" s="53" t="str">
        <f>[4]利润表!$P$2</f>
        <v>日  期：2012年9月15日</v>
      </c>
      <c r="CBQ2" s="14"/>
      <c r="CBR2" s="15"/>
      <c r="CBS2" s="16"/>
      <c r="CBT2" s="15"/>
      <c r="CBU2" s="15"/>
      <c r="CBV2" s="15"/>
      <c r="CBW2" s="15"/>
      <c r="CBX2" s="15"/>
      <c r="CBY2" s="6"/>
      <c r="CBZ2" s="6"/>
      <c r="CCA2" s="6"/>
      <c r="CCB2" s="15"/>
      <c r="CCC2" s="15"/>
      <c r="CCD2" s="6"/>
      <c r="CCE2" s="15"/>
      <c r="CCF2" s="53" t="str">
        <f>[4]利润表!$P$2</f>
        <v>日  期：2012年9月15日</v>
      </c>
      <c r="CCG2" s="14"/>
      <c r="CCH2" s="15"/>
      <c r="CCI2" s="16"/>
      <c r="CCJ2" s="15"/>
      <c r="CCK2" s="15"/>
      <c r="CCL2" s="15"/>
      <c r="CCM2" s="15"/>
      <c r="CCN2" s="15"/>
      <c r="CCO2" s="6"/>
      <c r="CCP2" s="6"/>
      <c r="CCQ2" s="6"/>
      <c r="CCR2" s="15"/>
      <c r="CCS2" s="15"/>
      <c r="CCT2" s="6"/>
      <c r="CCU2" s="15"/>
      <c r="CCV2" s="53" t="str">
        <f>[4]利润表!$P$2</f>
        <v>日  期：2012年9月15日</v>
      </c>
      <c r="CCW2" s="14"/>
      <c r="CCX2" s="15"/>
      <c r="CCY2" s="16"/>
      <c r="CCZ2" s="15"/>
      <c r="CDA2" s="15"/>
      <c r="CDB2" s="15"/>
      <c r="CDC2" s="15"/>
      <c r="CDD2" s="15"/>
      <c r="CDE2" s="6"/>
      <c r="CDF2" s="6"/>
      <c r="CDG2" s="6"/>
      <c r="CDH2" s="15"/>
      <c r="CDI2" s="15"/>
      <c r="CDJ2" s="6"/>
      <c r="CDK2" s="15"/>
      <c r="CDL2" s="53" t="str">
        <f>[4]利润表!$P$2</f>
        <v>日  期：2012年9月15日</v>
      </c>
      <c r="CDM2" s="14"/>
      <c r="CDN2" s="15"/>
      <c r="CDO2" s="16"/>
      <c r="CDP2" s="15"/>
      <c r="CDQ2" s="15"/>
      <c r="CDR2" s="15"/>
      <c r="CDS2" s="15"/>
      <c r="CDT2" s="15"/>
      <c r="CDU2" s="6"/>
      <c r="CDV2" s="6"/>
      <c r="CDW2" s="6"/>
      <c r="CDX2" s="15"/>
      <c r="CDY2" s="15"/>
      <c r="CDZ2" s="6"/>
      <c r="CEA2" s="15"/>
      <c r="CEB2" s="53" t="str">
        <f>[4]利润表!$P$2</f>
        <v>日  期：2012年9月15日</v>
      </c>
      <c r="CEC2" s="14"/>
      <c r="CED2" s="15"/>
      <c r="CEE2" s="16"/>
      <c r="CEF2" s="15"/>
      <c r="CEG2" s="15"/>
      <c r="CEH2" s="15"/>
      <c r="CEI2" s="15"/>
      <c r="CEJ2" s="15"/>
      <c r="CEK2" s="6"/>
      <c r="CEL2" s="6"/>
      <c r="CEM2" s="6"/>
      <c r="CEN2" s="15"/>
      <c r="CEO2" s="15"/>
      <c r="CEP2" s="6"/>
      <c r="CEQ2" s="15"/>
      <c r="CER2" s="53" t="str">
        <f>[4]利润表!$P$2</f>
        <v>日  期：2012年9月15日</v>
      </c>
      <c r="CES2" s="14"/>
      <c r="CET2" s="15"/>
      <c r="CEU2" s="16"/>
      <c r="CEV2" s="15"/>
      <c r="CEW2" s="15"/>
      <c r="CEX2" s="15"/>
      <c r="CEY2" s="15"/>
      <c r="CEZ2" s="15"/>
      <c r="CFA2" s="6"/>
      <c r="CFB2" s="6"/>
      <c r="CFC2" s="6"/>
      <c r="CFD2" s="15"/>
      <c r="CFE2" s="15"/>
      <c r="CFF2" s="6"/>
      <c r="CFG2" s="15"/>
      <c r="CFH2" s="53" t="str">
        <f>[4]利润表!$P$2</f>
        <v>日  期：2012年9月15日</v>
      </c>
      <c r="CFI2" s="14"/>
      <c r="CFJ2" s="15"/>
      <c r="CFK2" s="16"/>
      <c r="CFL2" s="15"/>
      <c r="CFM2" s="15"/>
      <c r="CFN2" s="15"/>
      <c r="CFO2" s="15"/>
      <c r="CFP2" s="15"/>
      <c r="CFQ2" s="6"/>
      <c r="CFR2" s="6"/>
      <c r="CFS2" s="6"/>
      <c r="CFT2" s="15"/>
      <c r="CFU2" s="15"/>
      <c r="CFV2" s="6"/>
      <c r="CFW2" s="15"/>
      <c r="CFX2" s="53" t="str">
        <f>[4]利润表!$P$2</f>
        <v>日  期：2012年9月15日</v>
      </c>
      <c r="CFY2" s="14"/>
      <c r="CFZ2" s="15"/>
      <c r="CGA2" s="16"/>
      <c r="CGB2" s="15"/>
      <c r="CGC2" s="15"/>
      <c r="CGD2" s="15"/>
      <c r="CGE2" s="15"/>
      <c r="CGF2" s="15"/>
      <c r="CGG2" s="6"/>
      <c r="CGH2" s="6"/>
      <c r="CGI2" s="6"/>
      <c r="CGJ2" s="15"/>
      <c r="CGK2" s="15"/>
      <c r="CGL2" s="6"/>
      <c r="CGM2" s="15"/>
      <c r="CGN2" s="53" t="str">
        <f>[4]利润表!$P$2</f>
        <v>日  期：2012年9月15日</v>
      </c>
      <c r="CGO2" s="14"/>
      <c r="CGP2" s="15"/>
      <c r="CGQ2" s="16"/>
      <c r="CGR2" s="15"/>
      <c r="CGS2" s="15"/>
      <c r="CGT2" s="15"/>
      <c r="CGU2" s="15"/>
      <c r="CGV2" s="15"/>
      <c r="CGW2" s="6"/>
      <c r="CGX2" s="6"/>
      <c r="CGY2" s="6"/>
      <c r="CGZ2" s="15"/>
      <c r="CHA2" s="15"/>
      <c r="CHB2" s="6"/>
      <c r="CHC2" s="15"/>
      <c r="CHD2" s="53" t="str">
        <f>[4]利润表!$P$2</f>
        <v>日  期：2012年9月15日</v>
      </c>
      <c r="CHE2" s="14"/>
      <c r="CHF2" s="15"/>
      <c r="CHG2" s="16"/>
      <c r="CHH2" s="15"/>
      <c r="CHI2" s="15"/>
      <c r="CHJ2" s="15"/>
      <c r="CHK2" s="15"/>
      <c r="CHL2" s="15"/>
      <c r="CHM2" s="6"/>
      <c r="CHN2" s="6"/>
      <c r="CHO2" s="6"/>
      <c r="CHP2" s="15"/>
      <c r="CHQ2" s="15"/>
      <c r="CHR2" s="6"/>
      <c r="CHS2" s="15"/>
      <c r="CHT2" s="53" t="str">
        <f>[4]利润表!$P$2</f>
        <v>日  期：2012年9月15日</v>
      </c>
      <c r="CHU2" s="14"/>
      <c r="CHV2" s="15"/>
      <c r="CHW2" s="16"/>
      <c r="CHX2" s="15"/>
      <c r="CHY2" s="15"/>
      <c r="CHZ2" s="15"/>
      <c r="CIA2" s="15"/>
      <c r="CIB2" s="15"/>
      <c r="CIC2" s="6"/>
      <c r="CID2" s="6"/>
      <c r="CIE2" s="6"/>
      <c r="CIF2" s="15"/>
      <c r="CIG2" s="15"/>
      <c r="CIH2" s="6"/>
      <c r="CII2" s="15"/>
      <c r="CIJ2" s="53" t="str">
        <f>[4]利润表!$P$2</f>
        <v>日  期：2012年9月15日</v>
      </c>
      <c r="CIK2" s="14"/>
      <c r="CIL2" s="15"/>
      <c r="CIM2" s="16"/>
      <c r="CIN2" s="15"/>
      <c r="CIO2" s="15"/>
      <c r="CIP2" s="15"/>
      <c r="CIQ2" s="15"/>
      <c r="CIR2" s="15"/>
      <c r="CIS2" s="6"/>
      <c r="CIT2" s="6"/>
      <c r="CIU2" s="6"/>
      <c r="CIV2" s="15"/>
      <c r="CIW2" s="15"/>
      <c r="CIX2" s="6"/>
      <c r="CIY2" s="15"/>
      <c r="CIZ2" s="53" t="str">
        <f>[4]利润表!$P$2</f>
        <v>日  期：2012年9月15日</v>
      </c>
      <c r="CJA2" s="14"/>
      <c r="CJB2" s="15"/>
      <c r="CJC2" s="16"/>
      <c r="CJD2" s="15"/>
      <c r="CJE2" s="15"/>
      <c r="CJF2" s="15"/>
      <c r="CJG2" s="15"/>
      <c r="CJH2" s="15"/>
      <c r="CJI2" s="6"/>
      <c r="CJJ2" s="6"/>
      <c r="CJK2" s="6"/>
      <c r="CJL2" s="15"/>
      <c r="CJM2" s="15"/>
      <c r="CJN2" s="6"/>
      <c r="CJO2" s="15"/>
      <c r="CJP2" s="53" t="str">
        <f>[4]利润表!$P$2</f>
        <v>日  期：2012年9月15日</v>
      </c>
      <c r="CJQ2" s="14"/>
      <c r="CJR2" s="15"/>
      <c r="CJS2" s="16"/>
      <c r="CJT2" s="15"/>
      <c r="CJU2" s="15"/>
      <c r="CJV2" s="15"/>
      <c r="CJW2" s="15"/>
      <c r="CJX2" s="15"/>
      <c r="CJY2" s="6"/>
      <c r="CJZ2" s="6"/>
      <c r="CKA2" s="6"/>
      <c r="CKB2" s="15"/>
      <c r="CKC2" s="15"/>
      <c r="CKD2" s="6"/>
      <c r="CKE2" s="15"/>
      <c r="CKF2" s="53" t="str">
        <f>[4]利润表!$P$2</f>
        <v>日  期：2012年9月15日</v>
      </c>
      <c r="CKG2" s="14"/>
      <c r="CKH2" s="15"/>
      <c r="CKI2" s="16"/>
      <c r="CKJ2" s="15"/>
      <c r="CKK2" s="15"/>
      <c r="CKL2" s="15"/>
      <c r="CKM2" s="15"/>
      <c r="CKN2" s="15"/>
      <c r="CKO2" s="6"/>
      <c r="CKP2" s="6"/>
      <c r="CKQ2" s="6"/>
      <c r="CKR2" s="15"/>
      <c r="CKS2" s="15"/>
      <c r="CKT2" s="6"/>
      <c r="CKU2" s="15"/>
      <c r="CKV2" s="53" t="str">
        <f>[4]利润表!$P$2</f>
        <v>日  期：2012年9月15日</v>
      </c>
      <c r="CKW2" s="14"/>
      <c r="CKX2" s="15"/>
      <c r="CKY2" s="16"/>
      <c r="CKZ2" s="15"/>
      <c r="CLA2" s="15"/>
      <c r="CLB2" s="15"/>
      <c r="CLC2" s="15"/>
      <c r="CLD2" s="15"/>
      <c r="CLE2" s="6"/>
      <c r="CLF2" s="6"/>
      <c r="CLG2" s="6"/>
      <c r="CLH2" s="15"/>
      <c r="CLI2" s="15"/>
      <c r="CLJ2" s="6"/>
      <c r="CLK2" s="15"/>
      <c r="CLL2" s="53" t="str">
        <f>[4]利润表!$P$2</f>
        <v>日  期：2012年9月15日</v>
      </c>
      <c r="CLM2" s="14"/>
      <c r="CLN2" s="15"/>
      <c r="CLO2" s="16"/>
      <c r="CLP2" s="15"/>
      <c r="CLQ2" s="15"/>
      <c r="CLR2" s="15"/>
      <c r="CLS2" s="15"/>
      <c r="CLT2" s="15"/>
      <c r="CLU2" s="6"/>
      <c r="CLV2" s="6"/>
      <c r="CLW2" s="6"/>
      <c r="CLX2" s="15"/>
      <c r="CLY2" s="15"/>
      <c r="CLZ2" s="6"/>
      <c r="CMA2" s="15"/>
      <c r="CMB2" s="53" t="str">
        <f>[4]利润表!$P$2</f>
        <v>日  期：2012年9月15日</v>
      </c>
      <c r="CMC2" s="14"/>
      <c r="CMD2" s="15"/>
      <c r="CME2" s="16"/>
      <c r="CMF2" s="15"/>
      <c r="CMG2" s="15"/>
      <c r="CMH2" s="15"/>
      <c r="CMI2" s="15"/>
      <c r="CMJ2" s="15"/>
      <c r="CMK2" s="6"/>
      <c r="CML2" s="6"/>
      <c r="CMM2" s="6"/>
      <c r="CMN2" s="15"/>
      <c r="CMO2" s="15"/>
      <c r="CMP2" s="6"/>
      <c r="CMQ2" s="15"/>
      <c r="CMR2" s="53" t="str">
        <f>[4]利润表!$P$2</f>
        <v>日  期：2012年9月15日</v>
      </c>
      <c r="CMS2" s="14"/>
      <c r="CMT2" s="15"/>
      <c r="CMU2" s="16"/>
      <c r="CMV2" s="15"/>
      <c r="CMW2" s="15"/>
      <c r="CMX2" s="15"/>
      <c r="CMY2" s="15"/>
      <c r="CMZ2" s="15"/>
      <c r="CNA2" s="6"/>
      <c r="CNB2" s="6"/>
      <c r="CNC2" s="6"/>
      <c r="CND2" s="15"/>
      <c r="CNE2" s="15"/>
      <c r="CNF2" s="6"/>
      <c r="CNG2" s="15"/>
      <c r="CNH2" s="53" t="str">
        <f>[4]利润表!$P$2</f>
        <v>日  期：2012年9月15日</v>
      </c>
      <c r="CNI2" s="14"/>
      <c r="CNJ2" s="15"/>
      <c r="CNK2" s="16"/>
      <c r="CNL2" s="15"/>
      <c r="CNM2" s="15"/>
      <c r="CNN2" s="15"/>
      <c r="CNO2" s="15"/>
      <c r="CNP2" s="15"/>
      <c r="CNQ2" s="6"/>
      <c r="CNR2" s="6"/>
      <c r="CNS2" s="6"/>
      <c r="CNT2" s="15"/>
      <c r="CNU2" s="15"/>
      <c r="CNV2" s="6"/>
      <c r="CNW2" s="15"/>
      <c r="CNX2" s="53" t="str">
        <f>[4]利润表!$P$2</f>
        <v>日  期：2012年9月15日</v>
      </c>
      <c r="CNY2" s="14"/>
      <c r="CNZ2" s="15"/>
      <c r="COA2" s="16"/>
      <c r="COB2" s="15"/>
      <c r="COC2" s="15"/>
      <c r="COD2" s="15"/>
      <c r="COE2" s="15"/>
      <c r="COF2" s="15"/>
      <c r="COG2" s="6"/>
      <c r="COH2" s="6"/>
      <c r="COI2" s="6"/>
      <c r="COJ2" s="15"/>
      <c r="COK2" s="15"/>
      <c r="COL2" s="6"/>
      <c r="COM2" s="15"/>
      <c r="CON2" s="53" t="str">
        <f>[4]利润表!$P$2</f>
        <v>日  期：2012年9月15日</v>
      </c>
      <c r="COO2" s="14"/>
      <c r="COP2" s="15"/>
      <c r="COQ2" s="16"/>
      <c r="COR2" s="15"/>
      <c r="COS2" s="15"/>
      <c r="COT2" s="15"/>
      <c r="COU2" s="15"/>
      <c r="COV2" s="15"/>
      <c r="COW2" s="6"/>
      <c r="COX2" s="6"/>
      <c r="COY2" s="6"/>
      <c r="COZ2" s="15"/>
      <c r="CPA2" s="15"/>
      <c r="CPB2" s="6"/>
      <c r="CPC2" s="15"/>
      <c r="CPD2" s="53" t="str">
        <f>[4]利润表!$P$2</f>
        <v>日  期：2012年9月15日</v>
      </c>
      <c r="CPE2" s="14"/>
      <c r="CPF2" s="15"/>
      <c r="CPG2" s="16"/>
      <c r="CPH2" s="15"/>
      <c r="CPI2" s="15"/>
      <c r="CPJ2" s="15"/>
      <c r="CPK2" s="15"/>
      <c r="CPL2" s="15"/>
      <c r="CPM2" s="6"/>
      <c r="CPN2" s="6"/>
      <c r="CPO2" s="6"/>
      <c r="CPP2" s="15"/>
      <c r="CPQ2" s="15"/>
      <c r="CPR2" s="6"/>
      <c r="CPS2" s="15"/>
      <c r="CPT2" s="53" t="str">
        <f>[4]利润表!$P$2</f>
        <v>日  期：2012年9月15日</v>
      </c>
      <c r="CPU2" s="14"/>
      <c r="CPV2" s="15"/>
      <c r="CPW2" s="16"/>
      <c r="CPX2" s="15"/>
      <c r="CPY2" s="15"/>
      <c r="CPZ2" s="15"/>
      <c r="CQA2" s="15"/>
      <c r="CQB2" s="15"/>
      <c r="CQC2" s="6"/>
      <c r="CQD2" s="6"/>
      <c r="CQE2" s="6"/>
      <c r="CQF2" s="15"/>
      <c r="CQG2" s="15"/>
      <c r="CQH2" s="6"/>
      <c r="CQI2" s="15"/>
      <c r="CQJ2" s="53" t="str">
        <f>[4]利润表!$P$2</f>
        <v>日  期：2012年9月15日</v>
      </c>
      <c r="CQK2" s="14"/>
      <c r="CQL2" s="15"/>
      <c r="CQM2" s="16"/>
      <c r="CQN2" s="15"/>
      <c r="CQO2" s="15"/>
      <c r="CQP2" s="15"/>
      <c r="CQQ2" s="15"/>
      <c r="CQR2" s="15"/>
      <c r="CQS2" s="6"/>
      <c r="CQT2" s="6"/>
      <c r="CQU2" s="6"/>
      <c r="CQV2" s="15"/>
      <c r="CQW2" s="15"/>
      <c r="CQX2" s="6"/>
      <c r="CQY2" s="15"/>
      <c r="CQZ2" s="53" t="str">
        <f>[4]利润表!$P$2</f>
        <v>日  期：2012年9月15日</v>
      </c>
      <c r="CRA2" s="14"/>
      <c r="CRB2" s="15"/>
      <c r="CRC2" s="16"/>
      <c r="CRD2" s="15"/>
      <c r="CRE2" s="15"/>
      <c r="CRF2" s="15"/>
      <c r="CRG2" s="15"/>
      <c r="CRH2" s="15"/>
      <c r="CRI2" s="6"/>
      <c r="CRJ2" s="6"/>
      <c r="CRK2" s="6"/>
      <c r="CRL2" s="15"/>
      <c r="CRM2" s="15"/>
      <c r="CRN2" s="6"/>
      <c r="CRO2" s="15"/>
      <c r="CRP2" s="53" t="str">
        <f>[4]利润表!$P$2</f>
        <v>日  期：2012年9月15日</v>
      </c>
      <c r="CRQ2" s="14"/>
      <c r="CRR2" s="15"/>
      <c r="CRS2" s="16"/>
      <c r="CRT2" s="15"/>
      <c r="CRU2" s="15"/>
      <c r="CRV2" s="15"/>
      <c r="CRW2" s="15"/>
      <c r="CRX2" s="15"/>
      <c r="CRY2" s="6"/>
      <c r="CRZ2" s="6"/>
      <c r="CSA2" s="6"/>
      <c r="CSB2" s="15"/>
      <c r="CSC2" s="15"/>
      <c r="CSD2" s="6"/>
      <c r="CSE2" s="15"/>
      <c r="CSF2" s="53" t="str">
        <f>[4]利润表!$P$2</f>
        <v>日  期：2012年9月15日</v>
      </c>
      <c r="CSG2" s="14"/>
      <c r="CSH2" s="15"/>
      <c r="CSI2" s="16"/>
      <c r="CSJ2" s="15"/>
      <c r="CSK2" s="15"/>
      <c r="CSL2" s="15"/>
      <c r="CSM2" s="15"/>
      <c r="CSN2" s="15"/>
      <c r="CSO2" s="6"/>
      <c r="CSP2" s="6"/>
      <c r="CSQ2" s="6"/>
      <c r="CSR2" s="15"/>
      <c r="CSS2" s="15"/>
      <c r="CST2" s="6"/>
      <c r="CSU2" s="15"/>
      <c r="CSV2" s="53" t="str">
        <f>[4]利润表!$P$2</f>
        <v>日  期：2012年9月15日</v>
      </c>
      <c r="CSW2" s="14"/>
      <c r="CSX2" s="15"/>
      <c r="CSY2" s="16"/>
      <c r="CSZ2" s="15"/>
      <c r="CTA2" s="15"/>
      <c r="CTB2" s="15"/>
      <c r="CTC2" s="15"/>
      <c r="CTD2" s="15"/>
      <c r="CTE2" s="6"/>
      <c r="CTF2" s="6"/>
      <c r="CTG2" s="6"/>
      <c r="CTH2" s="15"/>
      <c r="CTI2" s="15"/>
      <c r="CTJ2" s="6"/>
      <c r="CTK2" s="15"/>
      <c r="CTL2" s="53" t="str">
        <f>[4]利润表!$P$2</f>
        <v>日  期：2012年9月15日</v>
      </c>
      <c r="CTM2" s="14"/>
      <c r="CTN2" s="15"/>
      <c r="CTO2" s="16"/>
      <c r="CTP2" s="15"/>
      <c r="CTQ2" s="15"/>
      <c r="CTR2" s="15"/>
      <c r="CTS2" s="15"/>
      <c r="CTT2" s="15"/>
      <c r="CTU2" s="6"/>
      <c r="CTV2" s="6"/>
      <c r="CTW2" s="6"/>
      <c r="CTX2" s="15"/>
      <c r="CTY2" s="15"/>
      <c r="CTZ2" s="6"/>
      <c r="CUA2" s="15"/>
      <c r="CUB2" s="53" t="str">
        <f>[4]利润表!$P$2</f>
        <v>日  期：2012年9月15日</v>
      </c>
      <c r="CUC2" s="14"/>
      <c r="CUD2" s="15"/>
      <c r="CUE2" s="16"/>
      <c r="CUF2" s="15"/>
      <c r="CUG2" s="15"/>
      <c r="CUH2" s="15"/>
      <c r="CUI2" s="15"/>
      <c r="CUJ2" s="15"/>
      <c r="CUK2" s="6"/>
      <c r="CUL2" s="6"/>
      <c r="CUM2" s="6"/>
      <c r="CUN2" s="15"/>
      <c r="CUO2" s="15"/>
      <c r="CUP2" s="6"/>
      <c r="CUQ2" s="15"/>
      <c r="CUR2" s="53" t="str">
        <f>[4]利润表!$P$2</f>
        <v>日  期：2012年9月15日</v>
      </c>
      <c r="CUS2" s="14"/>
      <c r="CUT2" s="15"/>
      <c r="CUU2" s="16"/>
      <c r="CUV2" s="15"/>
      <c r="CUW2" s="15"/>
      <c r="CUX2" s="15"/>
      <c r="CUY2" s="15"/>
      <c r="CUZ2" s="15"/>
      <c r="CVA2" s="6"/>
      <c r="CVB2" s="6"/>
      <c r="CVC2" s="6"/>
      <c r="CVD2" s="15"/>
      <c r="CVE2" s="15"/>
      <c r="CVF2" s="6"/>
      <c r="CVG2" s="15"/>
      <c r="CVH2" s="53" t="str">
        <f>[4]利润表!$P$2</f>
        <v>日  期：2012年9月15日</v>
      </c>
      <c r="CVI2" s="14"/>
      <c r="CVJ2" s="15"/>
      <c r="CVK2" s="16"/>
      <c r="CVL2" s="15"/>
      <c r="CVM2" s="15"/>
      <c r="CVN2" s="15"/>
      <c r="CVO2" s="15"/>
      <c r="CVP2" s="15"/>
      <c r="CVQ2" s="6"/>
      <c r="CVR2" s="6"/>
      <c r="CVS2" s="6"/>
      <c r="CVT2" s="15"/>
      <c r="CVU2" s="15"/>
      <c r="CVV2" s="6"/>
      <c r="CVW2" s="15"/>
      <c r="CVX2" s="53" t="str">
        <f>[4]利润表!$P$2</f>
        <v>日  期：2012年9月15日</v>
      </c>
      <c r="CVY2" s="14"/>
      <c r="CVZ2" s="15"/>
      <c r="CWA2" s="16"/>
      <c r="CWB2" s="15"/>
      <c r="CWC2" s="15"/>
      <c r="CWD2" s="15"/>
      <c r="CWE2" s="15"/>
      <c r="CWF2" s="15"/>
      <c r="CWG2" s="6"/>
      <c r="CWH2" s="6"/>
      <c r="CWI2" s="6"/>
      <c r="CWJ2" s="15"/>
      <c r="CWK2" s="15"/>
      <c r="CWL2" s="6"/>
      <c r="CWM2" s="15"/>
      <c r="CWN2" s="53" t="str">
        <f>[4]利润表!$P$2</f>
        <v>日  期：2012年9月15日</v>
      </c>
      <c r="CWO2" s="14"/>
      <c r="CWP2" s="15"/>
      <c r="CWQ2" s="16"/>
      <c r="CWR2" s="15"/>
      <c r="CWS2" s="15"/>
      <c r="CWT2" s="15"/>
      <c r="CWU2" s="15"/>
      <c r="CWV2" s="15"/>
      <c r="CWW2" s="6"/>
      <c r="CWX2" s="6"/>
      <c r="CWY2" s="6"/>
      <c r="CWZ2" s="15"/>
      <c r="CXA2" s="15"/>
      <c r="CXB2" s="6"/>
      <c r="CXC2" s="15"/>
      <c r="CXD2" s="53" t="str">
        <f>[4]利润表!$P$2</f>
        <v>日  期：2012年9月15日</v>
      </c>
      <c r="CXE2" s="14"/>
      <c r="CXF2" s="15"/>
      <c r="CXG2" s="16"/>
      <c r="CXH2" s="15"/>
      <c r="CXI2" s="15"/>
      <c r="CXJ2" s="15"/>
      <c r="CXK2" s="15"/>
      <c r="CXL2" s="15"/>
      <c r="CXM2" s="6"/>
      <c r="CXN2" s="6"/>
      <c r="CXO2" s="6"/>
      <c r="CXP2" s="15"/>
      <c r="CXQ2" s="15"/>
      <c r="CXR2" s="6"/>
      <c r="CXS2" s="15"/>
      <c r="CXT2" s="53" t="str">
        <f>[4]利润表!$P$2</f>
        <v>日  期：2012年9月15日</v>
      </c>
      <c r="CXU2" s="14"/>
      <c r="CXV2" s="15"/>
      <c r="CXW2" s="16"/>
      <c r="CXX2" s="15"/>
      <c r="CXY2" s="15"/>
      <c r="CXZ2" s="15"/>
      <c r="CYA2" s="15"/>
      <c r="CYB2" s="15"/>
      <c r="CYC2" s="6"/>
      <c r="CYD2" s="6"/>
      <c r="CYE2" s="6"/>
      <c r="CYF2" s="15"/>
      <c r="CYG2" s="15"/>
      <c r="CYH2" s="6"/>
      <c r="CYI2" s="15"/>
      <c r="CYJ2" s="53" t="str">
        <f>[4]利润表!$P$2</f>
        <v>日  期：2012年9月15日</v>
      </c>
      <c r="CYK2" s="14"/>
      <c r="CYL2" s="15"/>
      <c r="CYM2" s="16"/>
      <c r="CYN2" s="15"/>
      <c r="CYO2" s="15"/>
      <c r="CYP2" s="15"/>
      <c r="CYQ2" s="15"/>
      <c r="CYR2" s="15"/>
      <c r="CYS2" s="6"/>
      <c r="CYT2" s="6"/>
      <c r="CYU2" s="6"/>
      <c r="CYV2" s="15"/>
      <c r="CYW2" s="15"/>
      <c r="CYX2" s="6"/>
      <c r="CYY2" s="15"/>
      <c r="CYZ2" s="53" t="str">
        <f>[4]利润表!$P$2</f>
        <v>日  期：2012年9月15日</v>
      </c>
      <c r="CZA2" s="14"/>
      <c r="CZB2" s="15"/>
      <c r="CZC2" s="16"/>
      <c r="CZD2" s="15"/>
      <c r="CZE2" s="15"/>
      <c r="CZF2" s="15"/>
      <c r="CZG2" s="15"/>
      <c r="CZH2" s="15"/>
      <c r="CZI2" s="6"/>
      <c r="CZJ2" s="6"/>
      <c r="CZK2" s="6"/>
      <c r="CZL2" s="15"/>
      <c r="CZM2" s="15"/>
      <c r="CZN2" s="6"/>
      <c r="CZO2" s="15"/>
      <c r="CZP2" s="53" t="str">
        <f>[4]利润表!$P$2</f>
        <v>日  期：2012年9月15日</v>
      </c>
      <c r="CZQ2" s="14"/>
      <c r="CZR2" s="15"/>
      <c r="CZS2" s="16"/>
      <c r="CZT2" s="15"/>
      <c r="CZU2" s="15"/>
      <c r="CZV2" s="15"/>
      <c r="CZW2" s="15"/>
      <c r="CZX2" s="15"/>
      <c r="CZY2" s="6"/>
      <c r="CZZ2" s="6"/>
      <c r="DAA2" s="6"/>
      <c r="DAB2" s="15"/>
      <c r="DAC2" s="15"/>
      <c r="DAD2" s="6"/>
      <c r="DAE2" s="15"/>
      <c r="DAF2" s="53" t="str">
        <f>[4]利润表!$P$2</f>
        <v>日  期：2012年9月15日</v>
      </c>
      <c r="DAG2" s="14"/>
      <c r="DAH2" s="15"/>
      <c r="DAI2" s="16"/>
      <c r="DAJ2" s="15"/>
      <c r="DAK2" s="15"/>
      <c r="DAL2" s="15"/>
      <c r="DAM2" s="15"/>
      <c r="DAN2" s="15"/>
      <c r="DAO2" s="6"/>
      <c r="DAP2" s="6"/>
      <c r="DAQ2" s="6"/>
      <c r="DAR2" s="15"/>
      <c r="DAS2" s="15"/>
      <c r="DAT2" s="6"/>
      <c r="DAU2" s="15"/>
      <c r="DAV2" s="53" t="str">
        <f>[4]利润表!$P$2</f>
        <v>日  期：2012年9月15日</v>
      </c>
      <c r="DAW2" s="14"/>
      <c r="DAX2" s="15"/>
      <c r="DAY2" s="16"/>
      <c r="DAZ2" s="15"/>
      <c r="DBA2" s="15"/>
      <c r="DBB2" s="15"/>
      <c r="DBC2" s="15"/>
      <c r="DBD2" s="15"/>
      <c r="DBE2" s="6"/>
      <c r="DBF2" s="6"/>
      <c r="DBG2" s="6"/>
      <c r="DBH2" s="15"/>
      <c r="DBI2" s="15"/>
      <c r="DBJ2" s="6"/>
      <c r="DBK2" s="15"/>
      <c r="DBL2" s="53" t="str">
        <f>[4]利润表!$P$2</f>
        <v>日  期：2012年9月15日</v>
      </c>
      <c r="DBM2" s="14"/>
      <c r="DBN2" s="15"/>
      <c r="DBO2" s="16"/>
      <c r="DBP2" s="15"/>
      <c r="DBQ2" s="15"/>
      <c r="DBR2" s="15"/>
      <c r="DBS2" s="15"/>
      <c r="DBT2" s="15"/>
      <c r="DBU2" s="6"/>
      <c r="DBV2" s="6"/>
      <c r="DBW2" s="6"/>
      <c r="DBX2" s="15"/>
      <c r="DBY2" s="15"/>
      <c r="DBZ2" s="6"/>
      <c r="DCA2" s="15"/>
      <c r="DCB2" s="53" t="str">
        <f>[4]利润表!$P$2</f>
        <v>日  期：2012年9月15日</v>
      </c>
      <c r="DCC2" s="14"/>
      <c r="DCD2" s="15"/>
      <c r="DCE2" s="16"/>
      <c r="DCF2" s="15"/>
      <c r="DCG2" s="15"/>
      <c r="DCH2" s="15"/>
      <c r="DCI2" s="15"/>
      <c r="DCJ2" s="15"/>
      <c r="DCK2" s="6"/>
      <c r="DCL2" s="6"/>
      <c r="DCM2" s="6"/>
      <c r="DCN2" s="15"/>
      <c r="DCO2" s="15"/>
      <c r="DCP2" s="6"/>
      <c r="DCQ2" s="15"/>
      <c r="DCR2" s="53" t="str">
        <f>[4]利润表!$P$2</f>
        <v>日  期：2012年9月15日</v>
      </c>
      <c r="DCS2" s="14"/>
      <c r="DCT2" s="15"/>
      <c r="DCU2" s="16"/>
      <c r="DCV2" s="15"/>
      <c r="DCW2" s="15"/>
      <c r="DCX2" s="15"/>
      <c r="DCY2" s="15"/>
      <c r="DCZ2" s="15"/>
      <c r="DDA2" s="6"/>
      <c r="DDB2" s="6"/>
      <c r="DDC2" s="6"/>
      <c r="DDD2" s="15"/>
      <c r="DDE2" s="15"/>
      <c r="DDF2" s="6"/>
      <c r="DDG2" s="15"/>
      <c r="DDH2" s="53" t="str">
        <f>[4]利润表!$P$2</f>
        <v>日  期：2012年9月15日</v>
      </c>
      <c r="DDI2" s="14"/>
      <c r="DDJ2" s="15"/>
      <c r="DDK2" s="16"/>
      <c r="DDL2" s="15"/>
      <c r="DDM2" s="15"/>
      <c r="DDN2" s="15"/>
      <c r="DDO2" s="15"/>
      <c r="DDP2" s="15"/>
      <c r="DDQ2" s="6"/>
      <c r="DDR2" s="6"/>
      <c r="DDS2" s="6"/>
      <c r="DDT2" s="15"/>
      <c r="DDU2" s="15"/>
      <c r="DDV2" s="6"/>
      <c r="DDW2" s="15"/>
      <c r="DDX2" s="53" t="str">
        <f>[4]利润表!$P$2</f>
        <v>日  期：2012年9月15日</v>
      </c>
      <c r="DDY2" s="14"/>
      <c r="DDZ2" s="15"/>
      <c r="DEA2" s="16"/>
      <c r="DEB2" s="15"/>
      <c r="DEC2" s="15"/>
      <c r="DED2" s="15"/>
      <c r="DEE2" s="15"/>
      <c r="DEF2" s="15"/>
      <c r="DEG2" s="6"/>
      <c r="DEH2" s="6"/>
      <c r="DEI2" s="6"/>
      <c r="DEJ2" s="15"/>
      <c r="DEK2" s="15"/>
      <c r="DEL2" s="6"/>
      <c r="DEM2" s="15"/>
      <c r="DEN2" s="53" t="str">
        <f>[4]利润表!$P$2</f>
        <v>日  期：2012年9月15日</v>
      </c>
      <c r="DEO2" s="14"/>
      <c r="DEP2" s="15"/>
      <c r="DEQ2" s="16"/>
      <c r="DER2" s="15"/>
      <c r="DES2" s="15"/>
      <c r="DET2" s="15"/>
      <c r="DEU2" s="15"/>
      <c r="DEV2" s="15"/>
      <c r="DEW2" s="6"/>
      <c r="DEX2" s="6"/>
      <c r="DEY2" s="6"/>
      <c r="DEZ2" s="15"/>
      <c r="DFA2" s="15"/>
      <c r="DFB2" s="6"/>
      <c r="DFC2" s="15"/>
      <c r="DFD2" s="53" t="str">
        <f>[4]利润表!$P$2</f>
        <v>日  期：2012年9月15日</v>
      </c>
      <c r="DFE2" s="14"/>
      <c r="DFF2" s="15"/>
      <c r="DFG2" s="16"/>
      <c r="DFH2" s="15"/>
      <c r="DFI2" s="15"/>
      <c r="DFJ2" s="15"/>
      <c r="DFK2" s="15"/>
      <c r="DFL2" s="15"/>
      <c r="DFM2" s="6"/>
      <c r="DFN2" s="6"/>
      <c r="DFO2" s="6"/>
      <c r="DFP2" s="15"/>
      <c r="DFQ2" s="15"/>
      <c r="DFR2" s="6"/>
      <c r="DFS2" s="15"/>
      <c r="DFT2" s="53" t="str">
        <f>[4]利润表!$P$2</f>
        <v>日  期：2012年9月15日</v>
      </c>
      <c r="DFU2" s="14"/>
      <c r="DFV2" s="15"/>
      <c r="DFW2" s="16"/>
      <c r="DFX2" s="15"/>
      <c r="DFY2" s="15"/>
      <c r="DFZ2" s="15"/>
      <c r="DGA2" s="15"/>
      <c r="DGB2" s="15"/>
      <c r="DGC2" s="6"/>
      <c r="DGD2" s="6"/>
      <c r="DGE2" s="6"/>
      <c r="DGF2" s="15"/>
      <c r="DGG2" s="15"/>
      <c r="DGH2" s="6"/>
      <c r="DGI2" s="15"/>
      <c r="DGJ2" s="53" t="str">
        <f>[4]利润表!$P$2</f>
        <v>日  期：2012年9月15日</v>
      </c>
      <c r="DGK2" s="14"/>
      <c r="DGL2" s="15"/>
      <c r="DGM2" s="16"/>
      <c r="DGN2" s="15"/>
      <c r="DGO2" s="15"/>
      <c r="DGP2" s="15"/>
      <c r="DGQ2" s="15"/>
      <c r="DGR2" s="15"/>
      <c r="DGS2" s="6"/>
      <c r="DGT2" s="6"/>
      <c r="DGU2" s="6"/>
      <c r="DGV2" s="15"/>
      <c r="DGW2" s="15"/>
      <c r="DGX2" s="6"/>
      <c r="DGY2" s="15"/>
      <c r="DGZ2" s="53" t="str">
        <f>[4]利润表!$P$2</f>
        <v>日  期：2012年9月15日</v>
      </c>
      <c r="DHA2" s="14"/>
      <c r="DHB2" s="15"/>
      <c r="DHC2" s="16"/>
      <c r="DHD2" s="15"/>
      <c r="DHE2" s="15"/>
      <c r="DHF2" s="15"/>
      <c r="DHG2" s="15"/>
      <c r="DHH2" s="15"/>
      <c r="DHI2" s="6"/>
      <c r="DHJ2" s="6"/>
      <c r="DHK2" s="6"/>
      <c r="DHL2" s="15"/>
      <c r="DHM2" s="15"/>
      <c r="DHN2" s="6"/>
      <c r="DHO2" s="15"/>
      <c r="DHP2" s="53" t="str">
        <f>[4]利润表!$P$2</f>
        <v>日  期：2012年9月15日</v>
      </c>
      <c r="DHQ2" s="14"/>
      <c r="DHR2" s="15"/>
      <c r="DHS2" s="16"/>
      <c r="DHT2" s="15"/>
      <c r="DHU2" s="15"/>
      <c r="DHV2" s="15"/>
      <c r="DHW2" s="15"/>
      <c r="DHX2" s="15"/>
      <c r="DHY2" s="6"/>
      <c r="DHZ2" s="6"/>
      <c r="DIA2" s="6"/>
      <c r="DIB2" s="15"/>
      <c r="DIC2" s="15"/>
      <c r="DID2" s="6"/>
      <c r="DIE2" s="15"/>
      <c r="DIF2" s="53" t="str">
        <f>[4]利润表!$P$2</f>
        <v>日  期：2012年9月15日</v>
      </c>
      <c r="DIG2" s="14"/>
      <c r="DIH2" s="15"/>
      <c r="DII2" s="16"/>
      <c r="DIJ2" s="15"/>
      <c r="DIK2" s="15"/>
      <c r="DIL2" s="15"/>
      <c r="DIM2" s="15"/>
      <c r="DIN2" s="15"/>
      <c r="DIO2" s="6"/>
      <c r="DIP2" s="6"/>
      <c r="DIQ2" s="6"/>
      <c r="DIR2" s="15"/>
      <c r="DIS2" s="15"/>
      <c r="DIT2" s="6"/>
      <c r="DIU2" s="15"/>
      <c r="DIV2" s="53" t="str">
        <f>[4]利润表!$P$2</f>
        <v>日  期：2012年9月15日</v>
      </c>
      <c r="DIW2" s="14"/>
      <c r="DIX2" s="15"/>
      <c r="DIY2" s="16"/>
      <c r="DIZ2" s="15"/>
      <c r="DJA2" s="15"/>
      <c r="DJB2" s="15"/>
      <c r="DJC2" s="15"/>
      <c r="DJD2" s="15"/>
      <c r="DJE2" s="6"/>
      <c r="DJF2" s="6"/>
      <c r="DJG2" s="6"/>
      <c r="DJH2" s="15"/>
      <c r="DJI2" s="15"/>
      <c r="DJJ2" s="6"/>
      <c r="DJK2" s="15"/>
      <c r="DJL2" s="53" t="str">
        <f>[4]利润表!$P$2</f>
        <v>日  期：2012年9月15日</v>
      </c>
      <c r="DJM2" s="14"/>
      <c r="DJN2" s="15"/>
      <c r="DJO2" s="16"/>
      <c r="DJP2" s="15"/>
      <c r="DJQ2" s="15"/>
      <c r="DJR2" s="15"/>
      <c r="DJS2" s="15"/>
      <c r="DJT2" s="15"/>
      <c r="DJU2" s="6"/>
      <c r="DJV2" s="6"/>
      <c r="DJW2" s="6"/>
      <c r="DJX2" s="15"/>
      <c r="DJY2" s="15"/>
      <c r="DJZ2" s="6"/>
      <c r="DKA2" s="15"/>
      <c r="DKB2" s="53" t="str">
        <f>[4]利润表!$P$2</f>
        <v>日  期：2012年9月15日</v>
      </c>
      <c r="DKC2" s="14"/>
      <c r="DKD2" s="15"/>
      <c r="DKE2" s="16"/>
      <c r="DKF2" s="15"/>
      <c r="DKG2" s="15"/>
      <c r="DKH2" s="15"/>
      <c r="DKI2" s="15"/>
      <c r="DKJ2" s="15"/>
      <c r="DKK2" s="6"/>
      <c r="DKL2" s="6"/>
      <c r="DKM2" s="6"/>
      <c r="DKN2" s="15"/>
      <c r="DKO2" s="15"/>
      <c r="DKP2" s="6"/>
      <c r="DKQ2" s="15"/>
      <c r="DKR2" s="53" t="str">
        <f>[4]利润表!$P$2</f>
        <v>日  期：2012年9月15日</v>
      </c>
      <c r="DKS2" s="14"/>
      <c r="DKT2" s="15"/>
      <c r="DKU2" s="16"/>
      <c r="DKV2" s="15"/>
      <c r="DKW2" s="15"/>
      <c r="DKX2" s="15"/>
      <c r="DKY2" s="15"/>
      <c r="DKZ2" s="15"/>
      <c r="DLA2" s="6"/>
      <c r="DLB2" s="6"/>
      <c r="DLC2" s="6"/>
      <c r="DLD2" s="15"/>
      <c r="DLE2" s="15"/>
      <c r="DLF2" s="6"/>
      <c r="DLG2" s="15"/>
      <c r="DLH2" s="53" t="str">
        <f>[4]利润表!$P$2</f>
        <v>日  期：2012年9月15日</v>
      </c>
      <c r="DLI2" s="14"/>
      <c r="DLJ2" s="15"/>
      <c r="DLK2" s="16"/>
      <c r="DLL2" s="15"/>
      <c r="DLM2" s="15"/>
      <c r="DLN2" s="15"/>
      <c r="DLO2" s="15"/>
      <c r="DLP2" s="15"/>
      <c r="DLQ2" s="6"/>
      <c r="DLR2" s="6"/>
      <c r="DLS2" s="6"/>
      <c r="DLT2" s="15"/>
      <c r="DLU2" s="15"/>
      <c r="DLV2" s="6"/>
      <c r="DLW2" s="15"/>
      <c r="DLX2" s="53" t="str">
        <f>[4]利润表!$P$2</f>
        <v>日  期：2012年9月15日</v>
      </c>
      <c r="DLY2" s="14"/>
      <c r="DLZ2" s="15"/>
      <c r="DMA2" s="16"/>
      <c r="DMB2" s="15"/>
      <c r="DMC2" s="15"/>
      <c r="DMD2" s="15"/>
      <c r="DME2" s="15"/>
      <c r="DMF2" s="15"/>
      <c r="DMG2" s="6"/>
      <c r="DMH2" s="6"/>
      <c r="DMI2" s="6"/>
      <c r="DMJ2" s="15"/>
      <c r="DMK2" s="15"/>
      <c r="DML2" s="6"/>
      <c r="DMM2" s="15"/>
      <c r="DMN2" s="53" t="str">
        <f>[4]利润表!$P$2</f>
        <v>日  期：2012年9月15日</v>
      </c>
      <c r="DMO2" s="14"/>
      <c r="DMP2" s="15"/>
      <c r="DMQ2" s="16"/>
      <c r="DMR2" s="15"/>
      <c r="DMS2" s="15"/>
      <c r="DMT2" s="15"/>
      <c r="DMU2" s="15"/>
      <c r="DMV2" s="15"/>
      <c r="DMW2" s="6"/>
      <c r="DMX2" s="6"/>
      <c r="DMY2" s="6"/>
      <c r="DMZ2" s="15"/>
      <c r="DNA2" s="15"/>
      <c r="DNB2" s="6"/>
      <c r="DNC2" s="15"/>
      <c r="DND2" s="53" t="str">
        <f>[4]利润表!$P$2</f>
        <v>日  期：2012年9月15日</v>
      </c>
      <c r="DNE2" s="14"/>
      <c r="DNF2" s="15"/>
      <c r="DNG2" s="16"/>
      <c r="DNH2" s="15"/>
      <c r="DNI2" s="15"/>
      <c r="DNJ2" s="15"/>
      <c r="DNK2" s="15"/>
      <c r="DNL2" s="15"/>
      <c r="DNM2" s="6"/>
      <c r="DNN2" s="6"/>
      <c r="DNO2" s="6"/>
      <c r="DNP2" s="15"/>
      <c r="DNQ2" s="15"/>
      <c r="DNR2" s="6"/>
      <c r="DNS2" s="15"/>
      <c r="DNT2" s="53" t="str">
        <f>[4]利润表!$P$2</f>
        <v>日  期：2012年9月15日</v>
      </c>
      <c r="DNU2" s="14"/>
      <c r="DNV2" s="15"/>
      <c r="DNW2" s="16"/>
      <c r="DNX2" s="15"/>
      <c r="DNY2" s="15"/>
      <c r="DNZ2" s="15"/>
      <c r="DOA2" s="15"/>
      <c r="DOB2" s="15"/>
      <c r="DOC2" s="6"/>
      <c r="DOD2" s="6"/>
      <c r="DOE2" s="6"/>
      <c r="DOF2" s="15"/>
      <c r="DOG2" s="15"/>
      <c r="DOH2" s="6"/>
      <c r="DOI2" s="15"/>
      <c r="DOJ2" s="53" t="str">
        <f>[4]利润表!$P$2</f>
        <v>日  期：2012年9月15日</v>
      </c>
      <c r="DOK2" s="14"/>
      <c r="DOL2" s="15"/>
      <c r="DOM2" s="16"/>
      <c r="DON2" s="15"/>
      <c r="DOO2" s="15"/>
      <c r="DOP2" s="15"/>
      <c r="DOQ2" s="15"/>
      <c r="DOR2" s="15"/>
      <c r="DOS2" s="6"/>
      <c r="DOT2" s="6"/>
      <c r="DOU2" s="6"/>
      <c r="DOV2" s="15"/>
      <c r="DOW2" s="15"/>
      <c r="DOX2" s="6"/>
      <c r="DOY2" s="15"/>
      <c r="DOZ2" s="53" t="str">
        <f>[4]利润表!$P$2</f>
        <v>日  期：2012年9月15日</v>
      </c>
      <c r="DPA2" s="14"/>
      <c r="DPB2" s="15"/>
      <c r="DPC2" s="16"/>
      <c r="DPD2" s="15"/>
      <c r="DPE2" s="15"/>
      <c r="DPF2" s="15"/>
      <c r="DPG2" s="15"/>
      <c r="DPH2" s="15"/>
      <c r="DPI2" s="6"/>
      <c r="DPJ2" s="6"/>
      <c r="DPK2" s="6"/>
      <c r="DPL2" s="15"/>
      <c r="DPM2" s="15"/>
      <c r="DPN2" s="6"/>
      <c r="DPO2" s="15"/>
      <c r="DPP2" s="53" t="str">
        <f>[4]利润表!$P$2</f>
        <v>日  期：2012年9月15日</v>
      </c>
      <c r="DPQ2" s="14"/>
      <c r="DPR2" s="15"/>
      <c r="DPS2" s="16"/>
      <c r="DPT2" s="15"/>
      <c r="DPU2" s="15"/>
      <c r="DPV2" s="15"/>
      <c r="DPW2" s="15"/>
      <c r="DPX2" s="15"/>
      <c r="DPY2" s="6"/>
      <c r="DPZ2" s="6"/>
      <c r="DQA2" s="6"/>
      <c r="DQB2" s="15"/>
      <c r="DQC2" s="15"/>
      <c r="DQD2" s="6"/>
      <c r="DQE2" s="15"/>
      <c r="DQF2" s="53" t="str">
        <f>[4]利润表!$P$2</f>
        <v>日  期：2012年9月15日</v>
      </c>
      <c r="DQG2" s="14"/>
      <c r="DQH2" s="15"/>
      <c r="DQI2" s="16"/>
      <c r="DQJ2" s="15"/>
      <c r="DQK2" s="15"/>
      <c r="DQL2" s="15"/>
      <c r="DQM2" s="15"/>
      <c r="DQN2" s="15"/>
      <c r="DQO2" s="6"/>
      <c r="DQP2" s="6"/>
      <c r="DQQ2" s="6"/>
      <c r="DQR2" s="15"/>
      <c r="DQS2" s="15"/>
      <c r="DQT2" s="6"/>
      <c r="DQU2" s="15"/>
      <c r="DQV2" s="53" t="str">
        <f>[4]利润表!$P$2</f>
        <v>日  期：2012年9月15日</v>
      </c>
      <c r="DQW2" s="14"/>
      <c r="DQX2" s="15"/>
      <c r="DQY2" s="16"/>
      <c r="DQZ2" s="15"/>
      <c r="DRA2" s="15"/>
      <c r="DRB2" s="15"/>
      <c r="DRC2" s="15"/>
      <c r="DRD2" s="15"/>
      <c r="DRE2" s="6"/>
      <c r="DRF2" s="6"/>
      <c r="DRG2" s="6"/>
      <c r="DRH2" s="15"/>
      <c r="DRI2" s="15"/>
      <c r="DRJ2" s="6"/>
      <c r="DRK2" s="15"/>
      <c r="DRL2" s="53" t="str">
        <f>[4]利润表!$P$2</f>
        <v>日  期：2012年9月15日</v>
      </c>
      <c r="DRM2" s="14"/>
      <c r="DRN2" s="15"/>
      <c r="DRO2" s="16"/>
      <c r="DRP2" s="15"/>
      <c r="DRQ2" s="15"/>
      <c r="DRR2" s="15"/>
      <c r="DRS2" s="15"/>
      <c r="DRT2" s="15"/>
      <c r="DRU2" s="6"/>
      <c r="DRV2" s="6"/>
      <c r="DRW2" s="6"/>
      <c r="DRX2" s="15"/>
      <c r="DRY2" s="15"/>
      <c r="DRZ2" s="6"/>
      <c r="DSA2" s="15"/>
      <c r="DSB2" s="53" t="str">
        <f>[4]利润表!$P$2</f>
        <v>日  期：2012年9月15日</v>
      </c>
      <c r="DSC2" s="14"/>
      <c r="DSD2" s="15"/>
      <c r="DSE2" s="16"/>
      <c r="DSF2" s="15"/>
      <c r="DSG2" s="15"/>
      <c r="DSH2" s="15"/>
      <c r="DSI2" s="15"/>
      <c r="DSJ2" s="15"/>
      <c r="DSK2" s="6"/>
      <c r="DSL2" s="6"/>
      <c r="DSM2" s="6"/>
      <c r="DSN2" s="15"/>
      <c r="DSO2" s="15"/>
      <c r="DSP2" s="6"/>
      <c r="DSQ2" s="15"/>
      <c r="DSR2" s="53" t="str">
        <f>[4]利润表!$P$2</f>
        <v>日  期：2012年9月15日</v>
      </c>
      <c r="DSS2" s="14"/>
      <c r="DST2" s="15"/>
      <c r="DSU2" s="16"/>
      <c r="DSV2" s="15"/>
      <c r="DSW2" s="15"/>
      <c r="DSX2" s="15"/>
      <c r="DSY2" s="15"/>
      <c r="DSZ2" s="15"/>
      <c r="DTA2" s="6"/>
      <c r="DTB2" s="6"/>
      <c r="DTC2" s="6"/>
      <c r="DTD2" s="15"/>
      <c r="DTE2" s="15"/>
      <c r="DTF2" s="6"/>
      <c r="DTG2" s="15"/>
      <c r="DTH2" s="53" t="str">
        <f>[4]利润表!$P$2</f>
        <v>日  期：2012年9月15日</v>
      </c>
      <c r="DTI2" s="14"/>
      <c r="DTJ2" s="15"/>
      <c r="DTK2" s="16"/>
      <c r="DTL2" s="15"/>
      <c r="DTM2" s="15"/>
      <c r="DTN2" s="15"/>
      <c r="DTO2" s="15"/>
      <c r="DTP2" s="15"/>
      <c r="DTQ2" s="6"/>
      <c r="DTR2" s="6"/>
      <c r="DTS2" s="6"/>
      <c r="DTT2" s="15"/>
      <c r="DTU2" s="15"/>
      <c r="DTV2" s="6"/>
      <c r="DTW2" s="15"/>
      <c r="DTX2" s="53" t="str">
        <f>[4]利润表!$P$2</f>
        <v>日  期：2012年9月15日</v>
      </c>
      <c r="DTY2" s="14"/>
      <c r="DTZ2" s="15"/>
      <c r="DUA2" s="16"/>
      <c r="DUB2" s="15"/>
      <c r="DUC2" s="15"/>
      <c r="DUD2" s="15"/>
      <c r="DUE2" s="15"/>
      <c r="DUF2" s="15"/>
      <c r="DUG2" s="6"/>
      <c r="DUH2" s="6"/>
      <c r="DUI2" s="6"/>
      <c r="DUJ2" s="15"/>
      <c r="DUK2" s="15"/>
      <c r="DUL2" s="6"/>
      <c r="DUM2" s="15"/>
      <c r="DUN2" s="53" t="str">
        <f>[4]利润表!$P$2</f>
        <v>日  期：2012年9月15日</v>
      </c>
      <c r="DUO2" s="14"/>
      <c r="DUP2" s="15"/>
      <c r="DUQ2" s="16"/>
      <c r="DUR2" s="15"/>
      <c r="DUS2" s="15"/>
      <c r="DUT2" s="15"/>
      <c r="DUU2" s="15"/>
      <c r="DUV2" s="15"/>
      <c r="DUW2" s="6"/>
      <c r="DUX2" s="6"/>
      <c r="DUY2" s="6"/>
      <c r="DUZ2" s="15"/>
      <c r="DVA2" s="15"/>
      <c r="DVB2" s="6"/>
      <c r="DVC2" s="15"/>
      <c r="DVD2" s="53" t="str">
        <f>[4]利润表!$P$2</f>
        <v>日  期：2012年9月15日</v>
      </c>
      <c r="DVE2" s="14"/>
      <c r="DVF2" s="15"/>
      <c r="DVG2" s="16"/>
      <c r="DVH2" s="15"/>
      <c r="DVI2" s="15"/>
      <c r="DVJ2" s="15"/>
      <c r="DVK2" s="15"/>
      <c r="DVL2" s="15"/>
      <c r="DVM2" s="6"/>
      <c r="DVN2" s="6"/>
      <c r="DVO2" s="6"/>
      <c r="DVP2" s="15"/>
      <c r="DVQ2" s="15"/>
      <c r="DVR2" s="6"/>
      <c r="DVS2" s="15"/>
      <c r="DVT2" s="53" t="str">
        <f>[4]利润表!$P$2</f>
        <v>日  期：2012年9月15日</v>
      </c>
      <c r="DVU2" s="14"/>
      <c r="DVV2" s="15"/>
      <c r="DVW2" s="16"/>
      <c r="DVX2" s="15"/>
      <c r="DVY2" s="15"/>
      <c r="DVZ2" s="15"/>
      <c r="DWA2" s="15"/>
      <c r="DWB2" s="15"/>
      <c r="DWC2" s="6"/>
      <c r="DWD2" s="6"/>
      <c r="DWE2" s="6"/>
      <c r="DWF2" s="15"/>
      <c r="DWG2" s="15"/>
      <c r="DWH2" s="6"/>
      <c r="DWI2" s="15"/>
      <c r="DWJ2" s="53" t="str">
        <f>[4]利润表!$P$2</f>
        <v>日  期：2012年9月15日</v>
      </c>
      <c r="DWK2" s="14"/>
      <c r="DWL2" s="15"/>
      <c r="DWM2" s="16"/>
      <c r="DWN2" s="15"/>
      <c r="DWO2" s="15"/>
      <c r="DWP2" s="15"/>
      <c r="DWQ2" s="15"/>
      <c r="DWR2" s="15"/>
      <c r="DWS2" s="6"/>
      <c r="DWT2" s="6"/>
      <c r="DWU2" s="6"/>
      <c r="DWV2" s="15"/>
      <c r="DWW2" s="15"/>
      <c r="DWX2" s="6"/>
      <c r="DWY2" s="15"/>
      <c r="DWZ2" s="53" t="str">
        <f>[4]利润表!$P$2</f>
        <v>日  期：2012年9月15日</v>
      </c>
      <c r="DXA2" s="14"/>
      <c r="DXB2" s="15"/>
      <c r="DXC2" s="16"/>
      <c r="DXD2" s="15"/>
      <c r="DXE2" s="15"/>
      <c r="DXF2" s="15"/>
      <c r="DXG2" s="15"/>
      <c r="DXH2" s="15"/>
      <c r="DXI2" s="6"/>
      <c r="DXJ2" s="6"/>
      <c r="DXK2" s="6"/>
      <c r="DXL2" s="15"/>
      <c r="DXM2" s="15"/>
      <c r="DXN2" s="6"/>
      <c r="DXO2" s="15"/>
      <c r="DXP2" s="53" t="str">
        <f>[4]利润表!$P$2</f>
        <v>日  期：2012年9月15日</v>
      </c>
      <c r="DXQ2" s="14"/>
      <c r="DXR2" s="15"/>
      <c r="DXS2" s="16"/>
      <c r="DXT2" s="15"/>
      <c r="DXU2" s="15"/>
      <c r="DXV2" s="15"/>
      <c r="DXW2" s="15"/>
      <c r="DXX2" s="15"/>
      <c r="DXY2" s="6"/>
      <c r="DXZ2" s="6"/>
      <c r="DYA2" s="6"/>
      <c r="DYB2" s="15"/>
      <c r="DYC2" s="15"/>
      <c r="DYD2" s="6"/>
      <c r="DYE2" s="15"/>
      <c r="DYF2" s="53" t="str">
        <f>[4]利润表!$P$2</f>
        <v>日  期：2012年9月15日</v>
      </c>
      <c r="DYG2" s="14"/>
      <c r="DYH2" s="15"/>
      <c r="DYI2" s="16"/>
      <c r="DYJ2" s="15"/>
      <c r="DYK2" s="15"/>
      <c r="DYL2" s="15"/>
      <c r="DYM2" s="15"/>
      <c r="DYN2" s="15"/>
      <c r="DYO2" s="6"/>
      <c r="DYP2" s="6"/>
      <c r="DYQ2" s="6"/>
      <c r="DYR2" s="15"/>
      <c r="DYS2" s="15"/>
      <c r="DYT2" s="6"/>
      <c r="DYU2" s="15"/>
      <c r="DYV2" s="53" t="str">
        <f>[4]利润表!$P$2</f>
        <v>日  期：2012年9月15日</v>
      </c>
      <c r="DYW2" s="14"/>
      <c r="DYX2" s="15"/>
      <c r="DYY2" s="16"/>
      <c r="DYZ2" s="15"/>
      <c r="DZA2" s="15"/>
      <c r="DZB2" s="15"/>
      <c r="DZC2" s="15"/>
      <c r="DZD2" s="15"/>
      <c r="DZE2" s="6"/>
      <c r="DZF2" s="6"/>
      <c r="DZG2" s="6"/>
      <c r="DZH2" s="15"/>
      <c r="DZI2" s="15"/>
      <c r="DZJ2" s="6"/>
      <c r="DZK2" s="15"/>
      <c r="DZL2" s="53" t="str">
        <f>[4]利润表!$P$2</f>
        <v>日  期：2012年9月15日</v>
      </c>
      <c r="DZM2" s="14"/>
      <c r="DZN2" s="15"/>
      <c r="DZO2" s="16"/>
      <c r="DZP2" s="15"/>
      <c r="DZQ2" s="15"/>
      <c r="DZR2" s="15"/>
      <c r="DZS2" s="15"/>
      <c r="DZT2" s="15"/>
      <c r="DZU2" s="6"/>
      <c r="DZV2" s="6"/>
      <c r="DZW2" s="6"/>
      <c r="DZX2" s="15"/>
      <c r="DZY2" s="15"/>
      <c r="DZZ2" s="6"/>
      <c r="EAA2" s="15"/>
      <c r="EAB2" s="53" t="str">
        <f>[4]利润表!$P$2</f>
        <v>日  期：2012年9月15日</v>
      </c>
      <c r="EAC2" s="14"/>
      <c r="EAD2" s="15"/>
      <c r="EAE2" s="16"/>
      <c r="EAF2" s="15"/>
      <c r="EAG2" s="15"/>
      <c r="EAH2" s="15"/>
      <c r="EAI2" s="15"/>
      <c r="EAJ2" s="15"/>
      <c r="EAK2" s="6"/>
      <c r="EAL2" s="6"/>
      <c r="EAM2" s="6"/>
      <c r="EAN2" s="15"/>
      <c r="EAO2" s="15"/>
      <c r="EAP2" s="6"/>
      <c r="EAQ2" s="15"/>
      <c r="EAR2" s="53" t="str">
        <f>[4]利润表!$P$2</f>
        <v>日  期：2012年9月15日</v>
      </c>
      <c r="EAS2" s="14"/>
      <c r="EAT2" s="15"/>
      <c r="EAU2" s="16"/>
      <c r="EAV2" s="15"/>
      <c r="EAW2" s="15"/>
      <c r="EAX2" s="15"/>
      <c r="EAY2" s="15"/>
      <c r="EAZ2" s="15"/>
      <c r="EBA2" s="6"/>
      <c r="EBB2" s="6"/>
      <c r="EBC2" s="6"/>
      <c r="EBD2" s="15"/>
      <c r="EBE2" s="15"/>
      <c r="EBF2" s="6"/>
      <c r="EBG2" s="15"/>
      <c r="EBH2" s="53" t="str">
        <f>[4]利润表!$P$2</f>
        <v>日  期：2012年9月15日</v>
      </c>
      <c r="EBI2" s="14"/>
      <c r="EBJ2" s="15"/>
      <c r="EBK2" s="16"/>
      <c r="EBL2" s="15"/>
      <c r="EBM2" s="15"/>
      <c r="EBN2" s="15"/>
      <c r="EBO2" s="15"/>
      <c r="EBP2" s="15"/>
      <c r="EBQ2" s="6"/>
      <c r="EBR2" s="6"/>
      <c r="EBS2" s="6"/>
      <c r="EBT2" s="15"/>
      <c r="EBU2" s="15"/>
      <c r="EBV2" s="6"/>
      <c r="EBW2" s="15"/>
      <c r="EBX2" s="53" t="str">
        <f>[4]利润表!$P$2</f>
        <v>日  期：2012年9月15日</v>
      </c>
      <c r="EBY2" s="14"/>
      <c r="EBZ2" s="15"/>
      <c r="ECA2" s="16"/>
      <c r="ECB2" s="15"/>
      <c r="ECC2" s="15"/>
      <c r="ECD2" s="15"/>
      <c r="ECE2" s="15"/>
      <c r="ECF2" s="15"/>
      <c r="ECG2" s="6"/>
      <c r="ECH2" s="6"/>
      <c r="ECI2" s="6"/>
      <c r="ECJ2" s="15"/>
      <c r="ECK2" s="15"/>
      <c r="ECL2" s="6"/>
      <c r="ECM2" s="15"/>
      <c r="ECN2" s="53" t="str">
        <f>[4]利润表!$P$2</f>
        <v>日  期：2012年9月15日</v>
      </c>
      <c r="ECO2" s="14"/>
      <c r="ECP2" s="15"/>
      <c r="ECQ2" s="16"/>
      <c r="ECR2" s="15"/>
      <c r="ECS2" s="15"/>
      <c r="ECT2" s="15"/>
      <c r="ECU2" s="15"/>
      <c r="ECV2" s="15"/>
      <c r="ECW2" s="6"/>
      <c r="ECX2" s="6"/>
      <c r="ECY2" s="6"/>
      <c r="ECZ2" s="15"/>
      <c r="EDA2" s="15"/>
      <c r="EDB2" s="6"/>
      <c r="EDC2" s="15"/>
      <c r="EDD2" s="53" t="str">
        <f>[4]利润表!$P$2</f>
        <v>日  期：2012年9月15日</v>
      </c>
      <c r="EDE2" s="14"/>
      <c r="EDF2" s="15"/>
      <c r="EDG2" s="16"/>
      <c r="EDH2" s="15"/>
      <c r="EDI2" s="15"/>
      <c r="EDJ2" s="15"/>
      <c r="EDK2" s="15"/>
      <c r="EDL2" s="15"/>
      <c r="EDM2" s="6"/>
      <c r="EDN2" s="6"/>
      <c r="EDO2" s="6"/>
      <c r="EDP2" s="15"/>
      <c r="EDQ2" s="15"/>
      <c r="EDR2" s="6"/>
      <c r="EDS2" s="15"/>
      <c r="EDT2" s="53" t="str">
        <f>[4]利润表!$P$2</f>
        <v>日  期：2012年9月15日</v>
      </c>
      <c r="EDU2" s="14"/>
      <c r="EDV2" s="15"/>
      <c r="EDW2" s="16"/>
      <c r="EDX2" s="15"/>
      <c r="EDY2" s="15"/>
      <c r="EDZ2" s="15"/>
      <c r="EEA2" s="15"/>
      <c r="EEB2" s="15"/>
      <c r="EEC2" s="6"/>
      <c r="EED2" s="6"/>
      <c r="EEE2" s="6"/>
      <c r="EEF2" s="15"/>
      <c r="EEG2" s="15"/>
      <c r="EEH2" s="6"/>
      <c r="EEI2" s="15"/>
      <c r="EEJ2" s="53" t="str">
        <f>[4]利润表!$P$2</f>
        <v>日  期：2012年9月15日</v>
      </c>
      <c r="EEK2" s="14"/>
      <c r="EEL2" s="15"/>
      <c r="EEM2" s="16"/>
      <c r="EEN2" s="15"/>
      <c r="EEO2" s="15"/>
      <c r="EEP2" s="15"/>
      <c r="EEQ2" s="15"/>
      <c r="EER2" s="15"/>
      <c r="EES2" s="6"/>
      <c r="EET2" s="6"/>
      <c r="EEU2" s="6"/>
      <c r="EEV2" s="15"/>
      <c r="EEW2" s="15"/>
      <c r="EEX2" s="6"/>
      <c r="EEY2" s="15"/>
      <c r="EEZ2" s="53" t="str">
        <f>[4]利润表!$P$2</f>
        <v>日  期：2012年9月15日</v>
      </c>
      <c r="EFA2" s="14"/>
      <c r="EFB2" s="15"/>
      <c r="EFC2" s="16"/>
      <c r="EFD2" s="15"/>
      <c r="EFE2" s="15"/>
      <c r="EFF2" s="15"/>
      <c r="EFG2" s="15"/>
      <c r="EFH2" s="15"/>
      <c r="EFI2" s="6"/>
      <c r="EFJ2" s="6"/>
      <c r="EFK2" s="6"/>
      <c r="EFL2" s="15"/>
      <c r="EFM2" s="15"/>
      <c r="EFN2" s="6"/>
      <c r="EFO2" s="15"/>
      <c r="EFP2" s="53" t="str">
        <f>[4]利润表!$P$2</f>
        <v>日  期：2012年9月15日</v>
      </c>
      <c r="EFQ2" s="14"/>
      <c r="EFR2" s="15"/>
      <c r="EFS2" s="16"/>
      <c r="EFT2" s="15"/>
      <c r="EFU2" s="15"/>
      <c r="EFV2" s="15"/>
      <c r="EFW2" s="15"/>
      <c r="EFX2" s="15"/>
      <c r="EFY2" s="6"/>
      <c r="EFZ2" s="6"/>
      <c r="EGA2" s="6"/>
      <c r="EGB2" s="15"/>
      <c r="EGC2" s="15"/>
      <c r="EGD2" s="6"/>
      <c r="EGE2" s="15"/>
      <c r="EGF2" s="53" t="str">
        <f>[4]利润表!$P$2</f>
        <v>日  期：2012年9月15日</v>
      </c>
      <c r="EGG2" s="14"/>
      <c r="EGH2" s="15"/>
      <c r="EGI2" s="16"/>
      <c r="EGJ2" s="15"/>
      <c r="EGK2" s="15"/>
      <c r="EGL2" s="15"/>
      <c r="EGM2" s="15"/>
      <c r="EGN2" s="15"/>
      <c r="EGO2" s="6"/>
      <c r="EGP2" s="6"/>
      <c r="EGQ2" s="6"/>
      <c r="EGR2" s="15"/>
      <c r="EGS2" s="15"/>
      <c r="EGT2" s="6"/>
      <c r="EGU2" s="15"/>
      <c r="EGV2" s="53" t="str">
        <f>[4]利润表!$P$2</f>
        <v>日  期：2012年9月15日</v>
      </c>
      <c r="EGW2" s="14"/>
      <c r="EGX2" s="15"/>
      <c r="EGY2" s="16"/>
      <c r="EGZ2" s="15"/>
      <c r="EHA2" s="15"/>
      <c r="EHB2" s="15"/>
      <c r="EHC2" s="15"/>
      <c r="EHD2" s="15"/>
      <c r="EHE2" s="6"/>
      <c r="EHF2" s="6"/>
      <c r="EHG2" s="6"/>
      <c r="EHH2" s="15"/>
      <c r="EHI2" s="15"/>
      <c r="EHJ2" s="6"/>
      <c r="EHK2" s="15"/>
      <c r="EHL2" s="53" t="str">
        <f>[4]利润表!$P$2</f>
        <v>日  期：2012年9月15日</v>
      </c>
      <c r="EHM2" s="14"/>
      <c r="EHN2" s="15"/>
      <c r="EHO2" s="16"/>
      <c r="EHP2" s="15"/>
      <c r="EHQ2" s="15"/>
      <c r="EHR2" s="15"/>
      <c r="EHS2" s="15"/>
      <c r="EHT2" s="15"/>
      <c r="EHU2" s="6"/>
      <c r="EHV2" s="6"/>
      <c r="EHW2" s="6"/>
      <c r="EHX2" s="15"/>
      <c r="EHY2" s="15"/>
      <c r="EHZ2" s="6"/>
      <c r="EIA2" s="15"/>
      <c r="EIB2" s="53" t="str">
        <f>[4]利润表!$P$2</f>
        <v>日  期：2012年9月15日</v>
      </c>
      <c r="EIC2" s="14"/>
      <c r="EID2" s="15"/>
      <c r="EIE2" s="16"/>
      <c r="EIF2" s="15"/>
      <c r="EIG2" s="15"/>
      <c r="EIH2" s="15"/>
      <c r="EII2" s="15"/>
      <c r="EIJ2" s="15"/>
      <c r="EIK2" s="6"/>
      <c r="EIL2" s="6"/>
      <c r="EIM2" s="6"/>
      <c r="EIN2" s="15"/>
      <c r="EIO2" s="15"/>
      <c r="EIP2" s="6"/>
      <c r="EIQ2" s="15"/>
      <c r="EIR2" s="53" t="str">
        <f>[4]利润表!$P$2</f>
        <v>日  期：2012年9月15日</v>
      </c>
      <c r="EIS2" s="14"/>
      <c r="EIT2" s="15"/>
      <c r="EIU2" s="16"/>
      <c r="EIV2" s="15"/>
      <c r="EIW2" s="15"/>
      <c r="EIX2" s="15"/>
      <c r="EIY2" s="15"/>
      <c r="EIZ2" s="15"/>
      <c r="EJA2" s="6"/>
      <c r="EJB2" s="6"/>
      <c r="EJC2" s="6"/>
      <c r="EJD2" s="15"/>
      <c r="EJE2" s="15"/>
      <c r="EJF2" s="6"/>
      <c r="EJG2" s="15"/>
      <c r="EJH2" s="53" t="str">
        <f>[4]利润表!$P$2</f>
        <v>日  期：2012年9月15日</v>
      </c>
      <c r="EJI2" s="14"/>
      <c r="EJJ2" s="15"/>
      <c r="EJK2" s="16"/>
      <c r="EJL2" s="15"/>
      <c r="EJM2" s="15"/>
      <c r="EJN2" s="15"/>
      <c r="EJO2" s="15"/>
      <c r="EJP2" s="15"/>
      <c r="EJQ2" s="6"/>
      <c r="EJR2" s="6"/>
      <c r="EJS2" s="6"/>
      <c r="EJT2" s="15"/>
      <c r="EJU2" s="15"/>
      <c r="EJV2" s="6"/>
      <c r="EJW2" s="15"/>
      <c r="EJX2" s="53" t="str">
        <f>[4]利润表!$P$2</f>
        <v>日  期：2012年9月15日</v>
      </c>
      <c r="EJY2" s="14"/>
      <c r="EJZ2" s="15"/>
      <c r="EKA2" s="16"/>
      <c r="EKB2" s="15"/>
      <c r="EKC2" s="15"/>
      <c r="EKD2" s="15"/>
      <c r="EKE2" s="15"/>
      <c r="EKF2" s="15"/>
      <c r="EKG2" s="6"/>
      <c r="EKH2" s="6"/>
      <c r="EKI2" s="6"/>
      <c r="EKJ2" s="15"/>
      <c r="EKK2" s="15"/>
      <c r="EKL2" s="6"/>
      <c r="EKM2" s="15"/>
      <c r="EKN2" s="53" t="str">
        <f>[4]利润表!$P$2</f>
        <v>日  期：2012年9月15日</v>
      </c>
      <c r="EKO2" s="14"/>
      <c r="EKP2" s="15"/>
      <c r="EKQ2" s="16"/>
      <c r="EKR2" s="15"/>
      <c r="EKS2" s="15"/>
      <c r="EKT2" s="15"/>
      <c r="EKU2" s="15"/>
      <c r="EKV2" s="15"/>
      <c r="EKW2" s="6"/>
      <c r="EKX2" s="6"/>
      <c r="EKY2" s="6"/>
      <c r="EKZ2" s="15"/>
      <c r="ELA2" s="15"/>
      <c r="ELB2" s="6"/>
      <c r="ELC2" s="15"/>
      <c r="ELD2" s="53" t="str">
        <f>[4]利润表!$P$2</f>
        <v>日  期：2012年9月15日</v>
      </c>
      <c r="ELE2" s="14"/>
      <c r="ELF2" s="15"/>
      <c r="ELG2" s="16"/>
      <c r="ELH2" s="15"/>
      <c r="ELI2" s="15"/>
      <c r="ELJ2" s="15"/>
      <c r="ELK2" s="15"/>
      <c r="ELL2" s="15"/>
      <c r="ELM2" s="6"/>
      <c r="ELN2" s="6"/>
      <c r="ELO2" s="6"/>
      <c r="ELP2" s="15"/>
      <c r="ELQ2" s="15"/>
      <c r="ELR2" s="6"/>
      <c r="ELS2" s="15"/>
      <c r="ELT2" s="53" t="str">
        <f>[4]利润表!$P$2</f>
        <v>日  期：2012年9月15日</v>
      </c>
      <c r="ELU2" s="14"/>
      <c r="ELV2" s="15"/>
      <c r="ELW2" s="16"/>
      <c r="ELX2" s="15"/>
      <c r="ELY2" s="15"/>
      <c r="ELZ2" s="15"/>
      <c r="EMA2" s="15"/>
      <c r="EMB2" s="15"/>
      <c r="EMC2" s="6"/>
      <c r="EMD2" s="6"/>
      <c r="EME2" s="6"/>
      <c r="EMF2" s="15"/>
      <c r="EMG2" s="15"/>
      <c r="EMH2" s="6"/>
      <c r="EMI2" s="15"/>
      <c r="EMJ2" s="53" t="str">
        <f>[4]利润表!$P$2</f>
        <v>日  期：2012年9月15日</v>
      </c>
      <c r="EMK2" s="14"/>
      <c r="EML2" s="15"/>
      <c r="EMM2" s="16"/>
      <c r="EMN2" s="15"/>
      <c r="EMO2" s="15"/>
      <c r="EMP2" s="15"/>
      <c r="EMQ2" s="15"/>
      <c r="EMR2" s="15"/>
      <c r="EMS2" s="6"/>
      <c r="EMT2" s="6"/>
      <c r="EMU2" s="6"/>
      <c r="EMV2" s="15"/>
      <c r="EMW2" s="15"/>
      <c r="EMX2" s="6"/>
      <c r="EMY2" s="15"/>
      <c r="EMZ2" s="53" t="str">
        <f>[4]利润表!$P$2</f>
        <v>日  期：2012年9月15日</v>
      </c>
      <c r="ENA2" s="14"/>
      <c r="ENB2" s="15"/>
      <c r="ENC2" s="16"/>
      <c r="END2" s="15"/>
      <c r="ENE2" s="15"/>
      <c r="ENF2" s="15"/>
      <c r="ENG2" s="15"/>
      <c r="ENH2" s="15"/>
      <c r="ENI2" s="6"/>
      <c r="ENJ2" s="6"/>
      <c r="ENK2" s="6"/>
      <c r="ENL2" s="15"/>
      <c r="ENM2" s="15"/>
      <c r="ENN2" s="6"/>
      <c r="ENO2" s="15"/>
      <c r="ENP2" s="53" t="str">
        <f>[4]利润表!$P$2</f>
        <v>日  期：2012年9月15日</v>
      </c>
      <c r="ENQ2" s="14"/>
      <c r="ENR2" s="15"/>
      <c r="ENS2" s="16"/>
      <c r="ENT2" s="15"/>
      <c r="ENU2" s="15"/>
      <c r="ENV2" s="15"/>
      <c r="ENW2" s="15"/>
      <c r="ENX2" s="15"/>
      <c r="ENY2" s="6"/>
      <c r="ENZ2" s="6"/>
      <c r="EOA2" s="6"/>
      <c r="EOB2" s="15"/>
      <c r="EOC2" s="15"/>
      <c r="EOD2" s="6"/>
      <c r="EOE2" s="15"/>
      <c r="EOF2" s="53" t="str">
        <f>[4]利润表!$P$2</f>
        <v>日  期：2012年9月15日</v>
      </c>
      <c r="EOG2" s="14"/>
      <c r="EOH2" s="15"/>
      <c r="EOI2" s="16"/>
      <c r="EOJ2" s="15"/>
      <c r="EOK2" s="15"/>
      <c r="EOL2" s="15"/>
      <c r="EOM2" s="15"/>
      <c r="EON2" s="15"/>
      <c r="EOO2" s="6"/>
      <c r="EOP2" s="6"/>
      <c r="EOQ2" s="6"/>
      <c r="EOR2" s="15"/>
      <c r="EOS2" s="15"/>
      <c r="EOT2" s="6"/>
      <c r="EOU2" s="15"/>
      <c r="EOV2" s="53" t="str">
        <f>[4]利润表!$P$2</f>
        <v>日  期：2012年9月15日</v>
      </c>
      <c r="EOW2" s="14"/>
      <c r="EOX2" s="15"/>
      <c r="EOY2" s="16"/>
      <c r="EOZ2" s="15"/>
      <c r="EPA2" s="15"/>
      <c r="EPB2" s="15"/>
      <c r="EPC2" s="15"/>
      <c r="EPD2" s="15"/>
      <c r="EPE2" s="6"/>
      <c r="EPF2" s="6"/>
      <c r="EPG2" s="6"/>
      <c r="EPH2" s="15"/>
      <c r="EPI2" s="15"/>
      <c r="EPJ2" s="6"/>
      <c r="EPK2" s="15"/>
      <c r="EPL2" s="53" t="str">
        <f>[4]利润表!$P$2</f>
        <v>日  期：2012年9月15日</v>
      </c>
      <c r="EPM2" s="14"/>
      <c r="EPN2" s="15"/>
      <c r="EPO2" s="16"/>
      <c r="EPP2" s="15"/>
      <c r="EPQ2" s="15"/>
      <c r="EPR2" s="15"/>
      <c r="EPS2" s="15"/>
      <c r="EPT2" s="15"/>
      <c r="EPU2" s="6"/>
      <c r="EPV2" s="6"/>
      <c r="EPW2" s="6"/>
      <c r="EPX2" s="15"/>
      <c r="EPY2" s="15"/>
      <c r="EPZ2" s="6"/>
      <c r="EQA2" s="15"/>
      <c r="EQB2" s="53" t="str">
        <f>[4]利润表!$P$2</f>
        <v>日  期：2012年9月15日</v>
      </c>
      <c r="EQC2" s="14"/>
      <c r="EQD2" s="15"/>
      <c r="EQE2" s="16"/>
      <c r="EQF2" s="15"/>
      <c r="EQG2" s="15"/>
      <c r="EQH2" s="15"/>
      <c r="EQI2" s="15"/>
      <c r="EQJ2" s="15"/>
      <c r="EQK2" s="6"/>
      <c r="EQL2" s="6"/>
      <c r="EQM2" s="6"/>
      <c r="EQN2" s="15"/>
      <c r="EQO2" s="15"/>
      <c r="EQP2" s="6"/>
      <c r="EQQ2" s="15"/>
      <c r="EQR2" s="53" t="str">
        <f>[4]利润表!$P$2</f>
        <v>日  期：2012年9月15日</v>
      </c>
      <c r="EQS2" s="14"/>
      <c r="EQT2" s="15"/>
      <c r="EQU2" s="16"/>
      <c r="EQV2" s="15"/>
      <c r="EQW2" s="15"/>
      <c r="EQX2" s="15"/>
      <c r="EQY2" s="15"/>
      <c r="EQZ2" s="15"/>
      <c r="ERA2" s="6"/>
      <c r="ERB2" s="6"/>
      <c r="ERC2" s="6"/>
      <c r="ERD2" s="15"/>
      <c r="ERE2" s="15"/>
      <c r="ERF2" s="6"/>
      <c r="ERG2" s="15"/>
      <c r="ERH2" s="53" t="str">
        <f>[4]利润表!$P$2</f>
        <v>日  期：2012年9月15日</v>
      </c>
      <c r="ERI2" s="14"/>
      <c r="ERJ2" s="15"/>
      <c r="ERK2" s="16"/>
      <c r="ERL2" s="15"/>
      <c r="ERM2" s="15"/>
      <c r="ERN2" s="15"/>
      <c r="ERO2" s="15"/>
      <c r="ERP2" s="15"/>
      <c r="ERQ2" s="6"/>
      <c r="ERR2" s="6"/>
      <c r="ERS2" s="6"/>
      <c r="ERT2" s="15"/>
      <c r="ERU2" s="15"/>
      <c r="ERV2" s="6"/>
      <c r="ERW2" s="15"/>
      <c r="ERX2" s="53" t="str">
        <f>[4]利润表!$P$2</f>
        <v>日  期：2012年9月15日</v>
      </c>
      <c r="ERY2" s="14"/>
      <c r="ERZ2" s="15"/>
      <c r="ESA2" s="16"/>
      <c r="ESB2" s="15"/>
      <c r="ESC2" s="15"/>
      <c r="ESD2" s="15"/>
      <c r="ESE2" s="15"/>
      <c r="ESF2" s="15"/>
      <c r="ESG2" s="6"/>
      <c r="ESH2" s="6"/>
      <c r="ESI2" s="6"/>
      <c r="ESJ2" s="15"/>
      <c r="ESK2" s="15"/>
      <c r="ESL2" s="6"/>
      <c r="ESM2" s="15"/>
      <c r="ESN2" s="53" t="str">
        <f>[4]利润表!$P$2</f>
        <v>日  期：2012年9月15日</v>
      </c>
      <c r="ESO2" s="14"/>
      <c r="ESP2" s="15"/>
      <c r="ESQ2" s="16"/>
      <c r="ESR2" s="15"/>
      <c r="ESS2" s="15"/>
      <c r="EST2" s="15"/>
      <c r="ESU2" s="15"/>
      <c r="ESV2" s="15"/>
      <c r="ESW2" s="6"/>
      <c r="ESX2" s="6"/>
      <c r="ESY2" s="6"/>
      <c r="ESZ2" s="15"/>
      <c r="ETA2" s="15"/>
      <c r="ETB2" s="6"/>
      <c r="ETC2" s="15"/>
      <c r="ETD2" s="53" t="str">
        <f>[4]利润表!$P$2</f>
        <v>日  期：2012年9月15日</v>
      </c>
      <c r="ETE2" s="14"/>
      <c r="ETF2" s="15"/>
      <c r="ETG2" s="16"/>
      <c r="ETH2" s="15"/>
      <c r="ETI2" s="15"/>
      <c r="ETJ2" s="15"/>
      <c r="ETK2" s="15"/>
      <c r="ETL2" s="15"/>
      <c r="ETM2" s="6"/>
      <c r="ETN2" s="6"/>
      <c r="ETO2" s="6"/>
      <c r="ETP2" s="15"/>
      <c r="ETQ2" s="15"/>
      <c r="ETR2" s="6"/>
      <c r="ETS2" s="15"/>
      <c r="ETT2" s="53" t="str">
        <f>[4]利润表!$P$2</f>
        <v>日  期：2012年9月15日</v>
      </c>
      <c r="ETU2" s="14"/>
      <c r="ETV2" s="15"/>
      <c r="ETW2" s="16"/>
      <c r="ETX2" s="15"/>
      <c r="ETY2" s="15"/>
      <c r="ETZ2" s="15"/>
      <c r="EUA2" s="15"/>
      <c r="EUB2" s="15"/>
      <c r="EUC2" s="6"/>
      <c r="EUD2" s="6"/>
      <c r="EUE2" s="6"/>
      <c r="EUF2" s="15"/>
      <c r="EUG2" s="15"/>
      <c r="EUH2" s="6"/>
      <c r="EUI2" s="15"/>
      <c r="EUJ2" s="53" t="str">
        <f>[4]利润表!$P$2</f>
        <v>日  期：2012年9月15日</v>
      </c>
      <c r="EUK2" s="14"/>
      <c r="EUL2" s="15"/>
      <c r="EUM2" s="16"/>
      <c r="EUN2" s="15"/>
      <c r="EUO2" s="15"/>
      <c r="EUP2" s="15"/>
      <c r="EUQ2" s="15"/>
      <c r="EUR2" s="15"/>
      <c r="EUS2" s="6"/>
      <c r="EUT2" s="6"/>
      <c r="EUU2" s="6"/>
      <c r="EUV2" s="15"/>
      <c r="EUW2" s="15"/>
      <c r="EUX2" s="6"/>
      <c r="EUY2" s="15"/>
      <c r="EUZ2" s="53" t="str">
        <f>[4]利润表!$P$2</f>
        <v>日  期：2012年9月15日</v>
      </c>
      <c r="EVA2" s="14"/>
      <c r="EVB2" s="15"/>
      <c r="EVC2" s="16"/>
      <c r="EVD2" s="15"/>
      <c r="EVE2" s="15"/>
      <c r="EVF2" s="15"/>
      <c r="EVG2" s="15"/>
      <c r="EVH2" s="15"/>
      <c r="EVI2" s="6"/>
      <c r="EVJ2" s="6"/>
      <c r="EVK2" s="6"/>
      <c r="EVL2" s="15"/>
      <c r="EVM2" s="15"/>
      <c r="EVN2" s="6"/>
      <c r="EVO2" s="15"/>
      <c r="EVP2" s="53" t="str">
        <f>[4]利润表!$P$2</f>
        <v>日  期：2012年9月15日</v>
      </c>
      <c r="EVQ2" s="14"/>
      <c r="EVR2" s="15"/>
      <c r="EVS2" s="16"/>
      <c r="EVT2" s="15"/>
      <c r="EVU2" s="15"/>
      <c r="EVV2" s="15"/>
      <c r="EVW2" s="15"/>
      <c r="EVX2" s="15"/>
      <c r="EVY2" s="6"/>
      <c r="EVZ2" s="6"/>
      <c r="EWA2" s="6"/>
      <c r="EWB2" s="15"/>
      <c r="EWC2" s="15"/>
      <c r="EWD2" s="6"/>
      <c r="EWE2" s="15"/>
      <c r="EWF2" s="53" t="str">
        <f>[4]利润表!$P$2</f>
        <v>日  期：2012年9月15日</v>
      </c>
      <c r="EWG2" s="14"/>
      <c r="EWH2" s="15"/>
      <c r="EWI2" s="16"/>
      <c r="EWJ2" s="15"/>
      <c r="EWK2" s="15"/>
      <c r="EWL2" s="15"/>
      <c r="EWM2" s="15"/>
      <c r="EWN2" s="15"/>
      <c r="EWO2" s="6"/>
      <c r="EWP2" s="6"/>
      <c r="EWQ2" s="6"/>
      <c r="EWR2" s="15"/>
      <c r="EWS2" s="15"/>
      <c r="EWT2" s="6"/>
      <c r="EWU2" s="15"/>
      <c r="EWV2" s="53" t="str">
        <f>[4]利润表!$P$2</f>
        <v>日  期：2012年9月15日</v>
      </c>
      <c r="EWW2" s="14"/>
      <c r="EWX2" s="15"/>
      <c r="EWY2" s="16"/>
      <c r="EWZ2" s="15"/>
      <c r="EXA2" s="15"/>
      <c r="EXB2" s="15"/>
      <c r="EXC2" s="15"/>
      <c r="EXD2" s="15"/>
      <c r="EXE2" s="6"/>
      <c r="EXF2" s="6"/>
      <c r="EXG2" s="6"/>
      <c r="EXH2" s="15"/>
      <c r="EXI2" s="15"/>
      <c r="EXJ2" s="6"/>
      <c r="EXK2" s="15"/>
      <c r="EXL2" s="53" t="str">
        <f>[4]利润表!$P$2</f>
        <v>日  期：2012年9月15日</v>
      </c>
      <c r="EXM2" s="14"/>
      <c r="EXN2" s="15"/>
      <c r="EXO2" s="16"/>
      <c r="EXP2" s="15"/>
      <c r="EXQ2" s="15"/>
      <c r="EXR2" s="15"/>
      <c r="EXS2" s="15"/>
      <c r="EXT2" s="15"/>
      <c r="EXU2" s="6"/>
      <c r="EXV2" s="6"/>
      <c r="EXW2" s="6"/>
      <c r="EXX2" s="15"/>
      <c r="EXY2" s="15"/>
      <c r="EXZ2" s="6"/>
      <c r="EYA2" s="15"/>
      <c r="EYB2" s="53" t="str">
        <f>[4]利润表!$P$2</f>
        <v>日  期：2012年9月15日</v>
      </c>
      <c r="EYC2" s="14"/>
      <c r="EYD2" s="15"/>
      <c r="EYE2" s="16"/>
      <c r="EYF2" s="15"/>
      <c r="EYG2" s="15"/>
      <c r="EYH2" s="15"/>
      <c r="EYI2" s="15"/>
      <c r="EYJ2" s="15"/>
      <c r="EYK2" s="6"/>
      <c r="EYL2" s="6"/>
      <c r="EYM2" s="6"/>
      <c r="EYN2" s="15"/>
      <c r="EYO2" s="15"/>
      <c r="EYP2" s="6"/>
      <c r="EYQ2" s="15"/>
      <c r="EYR2" s="53" t="str">
        <f>[4]利润表!$P$2</f>
        <v>日  期：2012年9月15日</v>
      </c>
      <c r="EYS2" s="14"/>
      <c r="EYT2" s="15"/>
      <c r="EYU2" s="16"/>
      <c r="EYV2" s="15"/>
      <c r="EYW2" s="15"/>
      <c r="EYX2" s="15"/>
      <c r="EYY2" s="15"/>
      <c r="EYZ2" s="15"/>
      <c r="EZA2" s="6"/>
      <c r="EZB2" s="6"/>
      <c r="EZC2" s="6"/>
      <c r="EZD2" s="15"/>
      <c r="EZE2" s="15"/>
      <c r="EZF2" s="6"/>
      <c r="EZG2" s="15"/>
      <c r="EZH2" s="53" t="str">
        <f>[4]利润表!$P$2</f>
        <v>日  期：2012年9月15日</v>
      </c>
      <c r="EZI2" s="14"/>
      <c r="EZJ2" s="15"/>
      <c r="EZK2" s="16"/>
      <c r="EZL2" s="15"/>
      <c r="EZM2" s="15"/>
      <c r="EZN2" s="15"/>
      <c r="EZO2" s="15"/>
      <c r="EZP2" s="15"/>
      <c r="EZQ2" s="6"/>
      <c r="EZR2" s="6"/>
      <c r="EZS2" s="6"/>
      <c r="EZT2" s="15"/>
      <c r="EZU2" s="15"/>
      <c r="EZV2" s="6"/>
      <c r="EZW2" s="15"/>
      <c r="EZX2" s="53" t="str">
        <f>[4]利润表!$P$2</f>
        <v>日  期：2012年9月15日</v>
      </c>
      <c r="EZY2" s="14"/>
      <c r="EZZ2" s="15"/>
      <c r="FAA2" s="16"/>
      <c r="FAB2" s="15"/>
      <c r="FAC2" s="15"/>
      <c r="FAD2" s="15"/>
      <c r="FAE2" s="15"/>
      <c r="FAF2" s="15"/>
      <c r="FAG2" s="6"/>
      <c r="FAH2" s="6"/>
      <c r="FAI2" s="6"/>
      <c r="FAJ2" s="15"/>
      <c r="FAK2" s="15"/>
      <c r="FAL2" s="6"/>
      <c r="FAM2" s="15"/>
      <c r="FAN2" s="53" t="str">
        <f>[4]利润表!$P$2</f>
        <v>日  期：2012年9月15日</v>
      </c>
      <c r="FAO2" s="14"/>
      <c r="FAP2" s="15"/>
      <c r="FAQ2" s="16"/>
      <c r="FAR2" s="15"/>
      <c r="FAS2" s="15"/>
      <c r="FAT2" s="15"/>
      <c r="FAU2" s="15"/>
      <c r="FAV2" s="15"/>
      <c r="FAW2" s="6"/>
      <c r="FAX2" s="6"/>
      <c r="FAY2" s="6"/>
      <c r="FAZ2" s="15"/>
      <c r="FBA2" s="15"/>
      <c r="FBB2" s="6"/>
      <c r="FBC2" s="15"/>
      <c r="FBD2" s="53" t="str">
        <f>[4]利润表!$P$2</f>
        <v>日  期：2012年9月15日</v>
      </c>
      <c r="FBE2" s="14"/>
      <c r="FBF2" s="15"/>
      <c r="FBG2" s="16"/>
      <c r="FBH2" s="15"/>
      <c r="FBI2" s="15"/>
      <c r="FBJ2" s="15"/>
      <c r="FBK2" s="15"/>
      <c r="FBL2" s="15"/>
      <c r="FBM2" s="6"/>
      <c r="FBN2" s="6"/>
      <c r="FBO2" s="6"/>
      <c r="FBP2" s="15"/>
      <c r="FBQ2" s="15"/>
      <c r="FBR2" s="6"/>
      <c r="FBS2" s="15"/>
      <c r="FBT2" s="53" t="str">
        <f>[4]利润表!$P$2</f>
        <v>日  期：2012年9月15日</v>
      </c>
      <c r="FBU2" s="14"/>
      <c r="FBV2" s="15"/>
      <c r="FBW2" s="16"/>
      <c r="FBX2" s="15"/>
      <c r="FBY2" s="15"/>
      <c r="FBZ2" s="15"/>
      <c r="FCA2" s="15"/>
      <c r="FCB2" s="15"/>
      <c r="FCC2" s="6"/>
      <c r="FCD2" s="6"/>
      <c r="FCE2" s="6"/>
      <c r="FCF2" s="15"/>
      <c r="FCG2" s="15"/>
      <c r="FCH2" s="6"/>
      <c r="FCI2" s="15"/>
      <c r="FCJ2" s="53" t="str">
        <f>[4]利润表!$P$2</f>
        <v>日  期：2012年9月15日</v>
      </c>
      <c r="FCK2" s="14"/>
      <c r="FCL2" s="15"/>
      <c r="FCM2" s="16"/>
      <c r="FCN2" s="15"/>
      <c r="FCO2" s="15"/>
      <c r="FCP2" s="15"/>
      <c r="FCQ2" s="15"/>
      <c r="FCR2" s="15"/>
      <c r="FCS2" s="6"/>
      <c r="FCT2" s="6"/>
      <c r="FCU2" s="6"/>
      <c r="FCV2" s="15"/>
      <c r="FCW2" s="15"/>
      <c r="FCX2" s="6"/>
      <c r="FCY2" s="15"/>
      <c r="FCZ2" s="53" t="str">
        <f>[4]利润表!$P$2</f>
        <v>日  期：2012年9月15日</v>
      </c>
      <c r="FDA2" s="14"/>
      <c r="FDB2" s="15"/>
      <c r="FDC2" s="16"/>
      <c r="FDD2" s="15"/>
      <c r="FDE2" s="15"/>
      <c r="FDF2" s="15"/>
      <c r="FDG2" s="15"/>
      <c r="FDH2" s="15"/>
      <c r="FDI2" s="6"/>
      <c r="FDJ2" s="6"/>
      <c r="FDK2" s="6"/>
      <c r="FDL2" s="15"/>
      <c r="FDM2" s="15"/>
      <c r="FDN2" s="6"/>
      <c r="FDO2" s="15"/>
      <c r="FDP2" s="53" t="str">
        <f>[4]利润表!$P$2</f>
        <v>日  期：2012年9月15日</v>
      </c>
      <c r="FDQ2" s="14"/>
      <c r="FDR2" s="15"/>
      <c r="FDS2" s="16"/>
      <c r="FDT2" s="15"/>
      <c r="FDU2" s="15"/>
      <c r="FDV2" s="15"/>
      <c r="FDW2" s="15"/>
      <c r="FDX2" s="15"/>
      <c r="FDY2" s="6"/>
      <c r="FDZ2" s="6"/>
      <c r="FEA2" s="6"/>
      <c r="FEB2" s="15"/>
      <c r="FEC2" s="15"/>
      <c r="FED2" s="6"/>
      <c r="FEE2" s="15"/>
      <c r="FEF2" s="53" t="str">
        <f>[4]利润表!$P$2</f>
        <v>日  期：2012年9月15日</v>
      </c>
      <c r="FEG2" s="14"/>
      <c r="FEH2" s="15"/>
      <c r="FEI2" s="16"/>
      <c r="FEJ2" s="15"/>
      <c r="FEK2" s="15"/>
      <c r="FEL2" s="15"/>
      <c r="FEM2" s="15"/>
      <c r="FEN2" s="15"/>
      <c r="FEO2" s="6"/>
      <c r="FEP2" s="6"/>
      <c r="FEQ2" s="6"/>
      <c r="FER2" s="15"/>
      <c r="FES2" s="15"/>
      <c r="FET2" s="6"/>
      <c r="FEU2" s="15"/>
      <c r="FEV2" s="53" t="str">
        <f>[4]利润表!$P$2</f>
        <v>日  期：2012年9月15日</v>
      </c>
      <c r="FEW2" s="14"/>
      <c r="FEX2" s="15"/>
      <c r="FEY2" s="16"/>
      <c r="FEZ2" s="15"/>
      <c r="FFA2" s="15"/>
      <c r="FFB2" s="15"/>
      <c r="FFC2" s="15"/>
      <c r="FFD2" s="15"/>
      <c r="FFE2" s="6"/>
      <c r="FFF2" s="6"/>
      <c r="FFG2" s="6"/>
      <c r="FFH2" s="15"/>
      <c r="FFI2" s="15"/>
      <c r="FFJ2" s="6"/>
      <c r="FFK2" s="15"/>
      <c r="FFL2" s="53" t="str">
        <f>[4]利润表!$P$2</f>
        <v>日  期：2012年9月15日</v>
      </c>
      <c r="FFM2" s="14"/>
      <c r="FFN2" s="15"/>
      <c r="FFO2" s="16"/>
      <c r="FFP2" s="15"/>
      <c r="FFQ2" s="15"/>
      <c r="FFR2" s="15"/>
      <c r="FFS2" s="15"/>
      <c r="FFT2" s="15"/>
      <c r="FFU2" s="6"/>
      <c r="FFV2" s="6"/>
      <c r="FFW2" s="6"/>
      <c r="FFX2" s="15"/>
      <c r="FFY2" s="15"/>
      <c r="FFZ2" s="6"/>
      <c r="FGA2" s="15"/>
      <c r="FGB2" s="53" t="str">
        <f>[4]利润表!$P$2</f>
        <v>日  期：2012年9月15日</v>
      </c>
      <c r="FGC2" s="14"/>
      <c r="FGD2" s="15"/>
      <c r="FGE2" s="16"/>
      <c r="FGF2" s="15"/>
      <c r="FGG2" s="15"/>
      <c r="FGH2" s="15"/>
      <c r="FGI2" s="15"/>
      <c r="FGJ2" s="15"/>
      <c r="FGK2" s="6"/>
      <c r="FGL2" s="6"/>
      <c r="FGM2" s="6"/>
      <c r="FGN2" s="15"/>
      <c r="FGO2" s="15"/>
      <c r="FGP2" s="6"/>
      <c r="FGQ2" s="15"/>
      <c r="FGR2" s="53" t="str">
        <f>[4]利润表!$P$2</f>
        <v>日  期：2012年9月15日</v>
      </c>
      <c r="FGS2" s="14"/>
      <c r="FGT2" s="15"/>
      <c r="FGU2" s="16"/>
      <c r="FGV2" s="15"/>
      <c r="FGW2" s="15"/>
      <c r="FGX2" s="15"/>
      <c r="FGY2" s="15"/>
      <c r="FGZ2" s="15"/>
      <c r="FHA2" s="6"/>
      <c r="FHB2" s="6"/>
      <c r="FHC2" s="6"/>
      <c r="FHD2" s="15"/>
      <c r="FHE2" s="15"/>
      <c r="FHF2" s="6"/>
      <c r="FHG2" s="15"/>
      <c r="FHH2" s="53" t="str">
        <f>[4]利润表!$P$2</f>
        <v>日  期：2012年9月15日</v>
      </c>
      <c r="FHI2" s="14"/>
      <c r="FHJ2" s="15"/>
      <c r="FHK2" s="16"/>
      <c r="FHL2" s="15"/>
      <c r="FHM2" s="15"/>
      <c r="FHN2" s="15"/>
      <c r="FHO2" s="15"/>
      <c r="FHP2" s="15"/>
      <c r="FHQ2" s="6"/>
      <c r="FHR2" s="6"/>
      <c r="FHS2" s="6"/>
      <c r="FHT2" s="15"/>
      <c r="FHU2" s="15"/>
      <c r="FHV2" s="6"/>
      <c r="FHW2" s="15"/>
      <c r="FHX2" s="53" t="str">
        <f>[4]利润表!$P$2</f>
        <v>日  期：2012年9月15日</v>
      </c>
      <c r="FHY2" s="14"/>
      <c r="FHZ2" s="15"/>
      <c r="FIA2" s="16"/>
      <c r="FIB2" s="15"/>
      <c r="FIC2" s="15"/>
      <c r="FID2" s="15"/>
      <c r="FIE2" s="15"/>
      <c r="FIF2" s="15"/>
      <c r="FIG2" s="6"/>
      <c r="FIH2" s="6"/>
      <c r="FII2" s="6"/>
      <c r="FIJ2" s="15"/>
      <c r="FIK2" s="15"/>
      <c r="FIL2" s="6"/>
      <c r="FIM2" s="15"/>
      <c r="FIN2" s="53" t="str">
        <f>[4]利润表!$P$2</f>
        <v>日  期：2012年9月15日</v>
      </c>
      <c r="FIO2" s="14"/>
      <c r="FIP2" s="15"/>
      <c r="FIQ2" s="16"/>
      <c r="FIR2" s="15"/>
      <c r="FIS2" s="15"/>
      <c r="FIT2" s="15"/>
      <c r="FIU2" s="15"/>
      <c r="FIV2" s="15"/>
      <c r="FIW2" s="6"/>
      <c r="FIX2" s="6"/>
      <c r="FIY2" s="6"/>
      <c r="FIZ2" s="15"/>
      <c r="FJA2" s="15"/>
      <c r="FJB2" s="6"/>
      <c r="FJC2" s="15"/>
      <c r="FJD2" s="53" t="str">
        <f>[4]利润表!$P$2</f>
        <v>日  期：2012年9月15日</v>
      </c>
      <c r="FJE2" s="14"/>
      <c r="FJF2" s="15"/>
      <c r="FJG2" s="16"/>
      <c r="FJH2" s="15"/>
      <c r="FJI2" s="15"/>
      <c r="FJJ2" s="15"/>
      <c r="FJK2" s="15"/>
      <c r="FJL2" s="15"/>
      <c r="FJM2" s="6"/>
      <c r="FJN2" s="6"/>
      <c r="FJO2" s="6"/>
      <c r="FJP2" s="15"/>
      <c r="FJQ2" s="15"/>
      <c r="FJR2" s="6"/>
      <c r="FJS2" s="15"/>
      <c r="FJT2" s="53" t="str">
        <f>[4]利润表!$P$2</f>
        <v>日  期：2012年9月15日</v>
      </c>
      <c r="FJU2" s="14"/>
      <c r="FJV2" s="15"/>
      <c r="FJW2" s="16"/>
      <c r="FJX2" s="15"/>
      <c r="FJY2" s="15"/>
      <c r="FJZ2" s="15"/>
      <c r="FKA2" s="15"/>
      <c r="FKB2" s="15"/>
      <c r="FKC2" s="6"/>
      <c r="FKD2" s="6"/>
      <c r="FKE2" s="6"/>
      <c r="FKF2" s="15"/>
      <c r="FKG2" s="15"/>
      <c r="FKH2" s="6"/>
      <c r="FKI2" s="15"/>
      <c r="FKJ2" s="53" t="str">
        <f>[4]利润表!$P$2</f>
        <v>日  期：2012年9月15日</v>
      </c>
      <c r="FKK2" s="14"/>
      <c r="FKL2" s="15"/>
      <c r="FKM2" s="16"/>
      <c r="FKN2" s="15"/>
      <c r="FKO2" s="15"/>
      <c r="FKP2" s="15"/>
      <c r="FKQ2" s="15"/>
      <c r="FKR2" s="15"/>
      <c r="FKS2" s="6"/>
      <c r="FKT2" s="6"/>
      <c r="FKU2" s="6"/>
      <c r="FKV2" s="15"/>
      <c r="FKW2" s="15"/>
      <c r="FKX2" s="6"/>
      <c r="FKY2" s="15"/>
      <c r="FKZ2" s="53" t="str">
        <f>[4]利润表!$P$2</f>
        <v>日  期：2012年9月15日</v>
      </c>
      <c r="FLA2" s="14"/>
      <c r="FLB2" s="15"/>
      <c r="FLC2" s="16"/>
      <c r="FLD2" s="15"/>
      <c r="FLE2" s="15"/>
      <c r="FLF2" s="15"/>
      <c r="FLG2" s="15"/>
      <c r="FLH2" s="15"/>
      <c r="FLI2" s="6"/>
      <c r="FLJ2" s="6"/>
      <c r="FLK2" s="6"/>
      <c r="FLL2" s="15"/>
      <c r="FLM2" s="15"/>
      <c r="FLN2" s="6"/>
      <c r="FLO2" s="15"/>
      <c r="FLP2" s="53" t="str">
        <f>[4]利润表!$P$2</f>
        <v>日  期：2012年9月15日</v>
      </c>
      <c r="FLQ2" s="14"/>
      <c r="FLR2" s="15"/>
      <c r="FLS2" s="16"/>
      <c r="FLT2" s="15"/>
      <c r="FLU2" s="15"/>
      <c r="FLV2" s="15"/>
      <c r="FLW2" s="15"/>
      <c r="FLX2" s="15"/>
      <c r="FLY2" s="6"/>
      <c r="FLZ2" s="6"/>
      <c r="FMA2" s="6"/>
      <c r="FMB2" s="15"/>
      <c r="FMC2" s="15"/>
      <c r="FMD2" s="6"/>
      <c r="FME2" s="15"/>
      <c r="FMF2" s="53" t="str">
        <f>[4]利润表!$P$2</f>
        <v>日  期：2012年9月15日</v>
      </c>
      <c r="FMG2" s="14"/>
      <c r="FMH2" s="15"/>
      <c r="FMI2" s="16"/>
      <c r="FMJ2" s="15"/>
      <c r="FMK2" s="15"/>
      <c r="FML2" s="15"/>
      <c r="FMM2" s="15"/>
      <c r="FMN2" s="15"/>
      <c r="FMO2" s="6"/>
      <c r="FMP2" s="6"/>
      <c r="FMQ2" s="6"/>
      <c r="FMR2" s="15"/>
      <c r="FMS2" s="15"/>
      <c r="FMT2" s="6"/>
      <c r="FMU2" s="15"/>
      <c r="FMV2" s="53" t="str">
        <f>[4]利润表!$P$2</f>
        <v>日  期：2012年9月15日</v>
      </c>
      <c r="FMW2" s="14"/>
      <c r="FMX2" s="15"/>
      <c r="FMY2" s="16"/>
      <c r="FMZ2" s="15"/>
      <c r="FNA2" s="15"/>
      <c r="FNB2" s="15"/>
      <c r="FNC2" s="15"/>
      <c r="FND2" s="15"/>
      <c r="FNE2" s="6"/>
      <c r="FNF2" s="6"/>
      <c r="FNG2" s="6"/>
      <c r="FNH2" s="15"/>
      <c r="FNI2" s="15"/>
      <c r="FNJ2" s="6"/>
      <c r="FNK2" s="15"/>
      <c r="FNL2" s="53" t="str">
        <f>[4]利润表!$P$2</f>
        <v>日  期：2012年9月15日</v>
      </c>
      <c r="FNM2" s="14"/>
      <c r="FNN2" s="15"/>
      <c r="FNO2" s="16"/>
      <c r="FNP2" s="15"/>
      <c r="FNQ2" s="15"/>
      <c r="FNR2" s="15"/>
      <c r="FNS2" s="15"/>
      <c r="FNT2" s="15"/>
      <c r="FNU2" s="6"/>
      <c r="FNV2" s="6"/>
      <c r="FNW2" s="6"/>
      <c r="FNX2" s="15"/>
      <c r="FNY2" s="15"/>
      <c r="FNZ2" s="6"/>
      <c r="FOA2" s="15"/>
      <c r="FOB2" s="53" t="str">
        <f>[4]利润表!$P$2</f>
        <v>日  期：2012年9月15日</v>
      </c>
      <c r="FOC2" s="14"/>
      <c r="FOD2" s="15"/>
      <c r="FOE2" s="16"/>
      <c r="FOF2" s="15"/>
      <c r="FOG2" s="15"/>
      <c r="FOH2" s="15"/>
      <c r="FOI2" s="15"/>
      <c r="FOJ2" s="15"/>
      <c r="FOK2" s="6"/>
      <c r="FOL2" s="6"/>
      <c r="FOM2" s="6"/>
      <c r="FON2" s="15"/>
      <c r="FOO2" s="15"/>
      <c r="FOP2" s="6"/>
      <c r="FOQ2" s="15"/>
      <c r="FOR2" s="53" t="str">
        <f>[4]利润表!$P$2</f>
        <v>日  期：2012年9月15日</v>
      </c>
      <c r="FOS2" s="14"/>
      <c r="FOT2" s="15"/>
      <c r="FOU2" s="16"/>
      <c r="FOV2" s="15"/>
      <c r="FOW2" s="15"/>
      <c r="FOX2" s="15"/>
      <c r="FOY2" s="15"/>
      <c r="FOZ2" s="15"/>
      <c r="FPA2" s="6"/>
      <c r="FPB2" s="6"/>
      <c r="FPC2" s="6"/>
      <c r="FPD2" s="15"/>
      <c r="FPE2" s="15"/>
      <c r="FPF2" s="6"/>
      <c r="FPG2" s="15"/>
      <c r="FPH2" s="53" t="str">
        <f>[4]利润表!$P$2</f>
        <v>日  期：2012年9月15日</v>
      </c>
      <c r="FPI2" s="14"/>
      <c r="FPJ2" s="15"/>
      <c r="FPK2" s="16"/>
      <c r="FPL2" s="15"/>
      <c r="FPM2" s="15"/>
      <c r="FPN2" s="15"/>
      <c r="FPO2" s="15"/>
      <c r="FPP2" s="15"/>
      <c r="FPQ2" s="6"/>
      <c r="FPR2" s="6"/>
      <c r="FPS2" s="6"/>
      <c r="FPT2" s="15"/>
      <c r="FPU2" s="15"/>
      <c r="FPV2" s="6"/>
      <c r="FPW2" s="15"/>
      <c r="FPX2" s="53" t="str">
        <f>[4]利润表!$P$2</f>
        <v>日  期：2012年9月15日</v>
      </c>
      <c r="FPY2" s="14"/>
      <c r="FPZ2" s="15"/>
      <c r="FQA2" s="16"/>
      <c r="FQB2" s="15"/>
      <c r="FQC2" s="15"/>
      <c r="FQD2" s="15"/>
      <c r="FQE2" s="15"/>
      <c r="FQF2" s="15"/>
      <c r="FQG2" s="6"/>
      <c r="FQH2" s="6"/>
      <c r="FQI2" s="6"/>
      <c r="FQJ2" s="15"/>
      <c r="FQK2" s="15"/>
      <c r="FQL2" s="6"/>
      <c r="FQM2" s="15"/>
      <c r="FQN2" s="53" t="str">
        <f>[4]利润表!$P$2</f>
        <v>日  期：2012年9月15日</v>
      </c>
      <c r="FQO2" s="14"/>
      <c r="FQP2" s="15"/>
      <c r="FQQ2" s="16"/>
      <c r="FQR2" s="15"/>
      <c r="FQS2" s="15"/>
      <c r="FQT2" s="15"/>
      <c r="FQU2" s="15"/>
      <c r="FQV2" s="15"/>
      <c r="FQW2" s="6"/>
      <c r="FQX2" s="6"/>
      <c r="FQY2" s="6"/>
      <c r="FQZ2" s="15"/>
      <c r="FRA2" s="15"/>
      <c r="FRB2" s="6"/>
      <c r="FRC2" s="15"/>
      <c r="FRD2" s="53" t="str">
        <f>[4]利润表!$P$2</f>
        <v>日  期：2012年9月15日</v>
      </c>
      <c r="FRE2" s="14"/>
      <c r="FRF2" s="15"/>
      <c r="FRG2" s="16"/>
      <c r="FRH2" s="15"/>
      <c r="FRI2" s="15"/>
      <c r="FRJ2" s="15"/>
      <c r="FRK2" s="15"/>
      <c r="FRL2" s="15"/>
      <c r="FRM2" s="6"/>
      <c r="FRN2" s="6"/>
      <c r="FRO2" s="6"/>
      <c r="FRP2" s="15"/>
      <c r="FRQ2" s="15"/>
      <c r="FRR2" s="6"/>
      <c r="FRS2" s="15"/>
      <c r="FRT2" s="53" t="str">
        <f>[4]利润表!$P$2</f>
        <v>日  期：2012年9月15日</v>
      </c>
      <c r="FRU2" s="14"/>
      <c r="FRV2" s="15"/>
      <c r="FRW2" s="16"/>
      <c r="FRX2" s="15"/>
      <c r="FRY2" s="15"/>
      <c r="FRZ2" s="15"/>
      <c r="FSA2" s="15"/>
      <c r="FSB2" s="15"/>
      <c r="FSC2" s="6"/>
      <c r="FSD2" s="6"/>
      <c r="FSE2" s="6"/>
      <c r="FSF2" s="15"/>
      <c r="FSG2" s="15"/>
      <c r="FSH2" s="6"/>
      <c r="FSI2" s="15"/>
      <c r="FSJ2" s="53" t="str">
        <f>[4]利润表!$P$2</f>
        <v>日  期：2012年9月15日</v>
      </c>
      <c r="FSK2" s="14"/>
      <c r="FSL2" s="15"/>
      <c r="FSM2" s="16"/>
      <c r="FSN2" s="15"/>
      <c r="FSO2" s="15"/>
      <c r="FSP2" s="15"/>
      <c r="FSQ2" s="15"/>
      <c r="FSR2" s="15"/>
      <c r="FSS2" s="6"/>
      <c r="FST2" s="6"/>
      <c r="FSU2" s="6"/>
      <c r="FSV2" s="15"/>
      <c r="FSW2" s="15"/>
      <c r="FSX2" s="6"/>
      <c r="FSY2" s="15"/>
      <c r="FSZ2" s="53" t="str">
        <f>[4]利润表!$P$2</f>
        <v>日  期：2012年9月15日</v>
      </c>
      <c r="FTA2" s="14"/>
      <c r="FTB2" s="15"/>
      <c r="FTC2" s="16"/>
      <c r="FTD2" s="15"/>
      <c r="FTE2" s="15"/>
      <c r="FTF2" s="15"/>
      <c r="FTG2" s="15"/>
      <c r="FTH2" s="15"/>
      <c r="FTI2" s="6"/>
      <c r="FTJ2" s="6"/>
      <c r="FTK2" s="6"/>
      <c r="FTL2" s="15"/>
      <c r="FTM2" s="15"/>
      <c r="FTN2" s="6"/>
      <c r="FTO2" s="15"/>
      <c r="FTP2" s="53" t="str">
        <f>[4]利润表!$P$2</f>
        <v>日  期：2012年9月15日</v>
      </c>
      <c r="FTQ2" s="14"/>
      <c r="FTR2" s="15"/>
      <c r="FTS2" s="16"/>
      <c r="FTT2" s="15"/>
      <c r="FTU2" s="15"/>
      <c r="FTV2" s="15"/>
      <c r="FTW2" s="15"/>
      <c r="FTX2" s="15"/>
      <c r="FTY2" s="6"/>
      <c r="FTZ2" s="6"/>
      <c r="FUA2" s="6"/>
      <c r="FUB2" s="15"/>
      <c r="FUC2" s="15"/>
      <c r="FUD2" s="6"/>
      <c r="FUE2" s="15"/>
      <c r="FUF2" s="53" t="str">
        <f>[4]利润表!$P$2</f>
        <v>日  期：2012年9月15日</v>
      </c>
      <c r="FUG2" s="14"/>
      <c r="FUH2" s="15"/>
      <c r="FUI2" s="16"/>
      <c r="FUJ2" s="15"/>
      <c r="FUK2" s="15"/>
      <c r="FUL2" s="15"/>
      <c r="FUM2" s="15"/>
      <c r="FUN2" s="15"/>
      <c r="FUO2" s="6"/>
      <c r="FUP2" s="6"/>
      <c r="FUQ2" s="6"/>
      <c r="FUR2" s="15"/>
      <c r="FUS2" s="15"/>
      <c r="FUT2" s="6"/>
      <c r="FUU2" s="15"/>
      <c r="FUV2" s="53" t="str">
        <f>[4]利润表!$P$2</f>
        <v>日  期：2012年9月15日</v>
      </c>
      <c r="FUW2" s="14"/>
      <c r="FUX2" s="15"/>
      <c r="FUY2" s="16"/>
      <c r="FUZ2" s="15"/>
      <c r="FVA2" s="15"/>
      <c r="FVB2" s="15"/>
      <c r="FVC2" s="15"/>
      <c r="FVD2" s="15"/>
      <c r="FVE2" s="6"/>
      <c r="FVF2" s="6"/>
      <c r="FVG2" s="6"/>
      <c r="FVH2" s="15"/>
      <c r="FVI2" s="15"/>
      <c r="FVJ2" s="6"/>
      <c r="FVK2" s="15"/>
      <c r="FVL2" s="53" t="str">
        <f>[4]利润表!$P$2</f>
        <v>日  期：2012年9月15日</v>
      </c>
      <c r="FVM2" s="14"/>
      <c r="FVN2" s="15"/>
      <c r="FVO2" s="16"/>
      <c r="FVP2" s="15"/>
      <c r="FVQ2" s="15"/>
      <c r="FVR2" s="15"/>
      <c r="FVS2" s="15"/>
      <c r="FVT2" s="15"/>
      <c r="FVU2" s="6"/>
      <c r="FVV2" s="6"/>
      <c r="FVW2" s="6"/>
      <c r="FVX2" s="15"/>
      <c r="FVY2" s="15"/>
      <c r="FVZ2" s="6"/>
      <c r="FWA2" s="15"/>
      <c r="FWB2" s="53" t="str">
        <f>[4]利润表!$P$2</f>
        <v>日  期：2012年9月15日</v>
      </c>
      <c r="FWC2" s="14"/>
      <c r="FWD2" s="15"/>
      <c r="FWE2" s="16"/>
      <c r="FWF2" s="15"/>
      <c r="FWG2" s="15"/>
      <c r="FWH2" s="15"/>
      <c r="FWI2" s="15"/>
      <c r="FWJ2" s="15"/>
      <c r="FWK2" s="6"/>
      <c r="FWL2" s="6"/>
      <c r="FWM2" s="6"/>
      <c r="FWN2" s="15"/>
      <c r="FWO2" s="15"/>
      <c r="FWP2" s="6"/>
      <c r="FWQ2" s="15"/>
      <c r="FWR2" s="53" t="str">
        <f>[4]利润表!$P$2</f>
        <v>日  期：2012年9月15日</v>
      </c>
      <c r="FWS2" s="14"/>
      <c r="FWT2" s="15"/>
      <c r="FWU2" s="16"/>
      <c r="FWV2" s="15"/>
      <c r="FWW2" s="15"/>
      <c r="FWX2" s="15"/>
      <c r="FWY2" s="15"/>
      <c r="FWZ2" s="15"/>
      <c r="FXA2" s="6"/>
      <c r="FXB2" s="6"/>
      <c r="FXC2" s="6"/>
      <c r="FXD2" s="15"/>
      <c r="FXE2" s="15"/>
      <c r="FXF2" s="6"/>
      <c r="FXG2" s="15"/>
      <c r="FXH2" s="53" t="str">
        <f>[4]利润表!$P$2</f>
        <v>日  期：2012年9月15日</v>
      </c>
      <c r="FXI2" s="14"/>
      <c r="FXJ2" s="15"/>
      <c r="FXK2" s="16"/>
      <c r="FXL2" s="15"/>
      <c r="FXM2" s="15"/>
      <c r="FXN2" s="15"/>
      <c r="FXO2" s="15"/>
      <c r="FXP2" s="15"/>
      <c r="FXQ2" s="6"/>
      <c r="FXR2" s="6"/>
      <c r="FXS2" s="6"/>
      <c r="FXT2" s="15"/>
      <c r="FXU2" s="15"/>
      <c r="FXV2" s="6"/>
      <c r="FXW2" s="15"/>
      <c r="FXX2" s="53" t="str">
        <f>[4]利润表!$P$2</f>
        <v>日  期：2012年9月15日</v>
      </c>
      <c r="FXY2" s="14"/>
      <c r="FXZ2" s="15"/>
      <c r="FYA2" s="16"/>
      <c r="FYB2" s="15"/>
      <c r="FYC2" s="15"/>
      <c r="FYD2" s="15"/>
      <c r="FYE2" s="15"/>
      <c r="FYF2" s="15"/>
      <c r="FYG2" s="6"/>
      <c r="FYH2" s="6"/>
      <c r="FYI2" s="6"/>
      <c r="FYJ2" s="15"/>
      <c r="FYK2" s="15"/>
      <c r="FYL2" s="6"/>
      <c r="FYM2" s="15"/>
      <c r="FYN2" s="53" t="str">
        <f>[4]利润表!$P$2</f>
        <v>日  期：2012年9月15日</v>
      </c>
      <c r="FYO2" s="14"/>
      <c r="FYP2" s="15"/>
      <c r="FYQ2" s="16"/>
      <c r="FYR2" s="15"/>
      <c r="FYS2" s="15"/>
      <c r="FYT2" s="15"/>
      <c r="FYU2" s="15"/>
      <c r="FYV2" s="15"/>
      <c r="FYW2" s="6"/>
      <c r="FYX2" s="6"/>
      <c r="FYY2" s="6"/>
      <c r="FYZ2" s="15"/>
      <c r="FZA2" s="15"/>
      <c r="FZB2" s="6"/>
      <c r="FZC2" s="15"/>
      <c r="FZD2" s="53" t="str">
        <f>[4]利润表!$P$2</f>
        <v>日  期：2012年9月15日</v>
      </c>
      <c r="FZE2" s="14"/>
      <c r="FZF2" s="15"/>
      <c r="FZG2" s="16"/>
      <c r="FZH2" s="15"/>
      <c r="FZI2" s="15"/>
      <c r="FZJ2" s="15"/>
      <c r="FZK2" s="15"/>
      <c r="FZL2" s="15"/>
      <c r="FZM2" s="6"/>
      <c r="FZN2" s="6"/>
      <c r="FZO2" s="6"/>
      <c r="FZP2" s="15"/>
      <c r="FZQ2" s="15"/>
      <c r="FZR2" s="6"/>
      <c r="FZS2" s="15"/>
      <c r="FZT2" s="53" t="str">
        <f>[4]利润表!$P$2</f>
        <v>日  期：2012年9月15日</v>
      </c>
      <c r="FZU2" s="14"/>
      <c r="FZV2" s="15"/>
      <c r="FZW2" s="16"/>
      <c r="FZX2" s="15"/>
      <c r="FZY2" s="15"/>
      <c r="FZZ2" s="15"/>
      <c r="GAA2" s="15"/>
      <c r="GAB2" s="15"/>
      <c r="GAC2" s="6"/>
      <c r="GAD2" s="6"/>
      <c r="GAE2" s="6"/>
      <c r="GAF2" s="15"/>
      <c r="GAG2" s="15"/>
      <c r="GAH2" s="6"/>
      <c r="GAI2" s="15"/>
      <c r="GAJ2" s="53" t="str">
        <f>[4]利润表!$P$2</f>
        <v>日  期：2012年9月15日</v>
      </c>
      <c r="GAK2" s="14"/>
      <c r="GAL2" s="15"/>
      <c r="GAM2" s="16"/>
      <c r="GAN2" s="15"/>
      <c r="GAO2" s="15"/>
      <c r="GAP2" s="15"/>
      <c r="GAQ2" s="15"/>
      <c r="GAR2" s="15"/>
      <c r="GAS2" s="6"/>
      <c r="GAT2" s="6"/>
      <c r="GAU2" s="6"/>
      <c r="GAV2" s="15"/>
      <c r="GAW2" s="15"/>
      <c r="GAX2" s="6"/>
      <c r="GAY2" s="15"/>
      <c r="GAZ2" s="53" t="str">
        <f>[4]利润表!$P$2</f>
        <v>日  期：2012年9月15日</v>
      </c>
      <c r="GBA2" s="14"/>
      <c r="GBB2" s="15"/>
      <c r="GBC2" s="16"/>
      <c r="GBD2" s="15"/>
      <c r="GBE2" s="15"/>
      <c r="GBF2" s="15"/>
      <c r="GBG2" s="15"/>
      <c r="GBH2" s="15"/>
      <c r="GBI2" s="6"/>
      <c r="GBJ2" s="6"/>
      <c r="GBK2" s="6"/>
      <c r="GBL2" s="15"/>
      <c r="GBM2" s="15"/>
      <c r="GBN2" s="6"/>
      <c r="GBO2" s="15"/>
      <c r="GBP2" s="53" t="str">
        <f>[4]利润表!$P$2</f>
        <v>日  期：2012年9月15日</v>
      </c>
      <c r="GBQ2" s="14"/>
      <c r="GBR2" s="15"/>
      <c r="GBS2" s="16"/>
      <c r="GBT2" s="15"/>
      <c r="GBU2" s="15"/>
      <c r="GBV2" s="15"/>
      <c r="GBW2" s="15"/>
      <c r="GBX2" s="15"/>
      <c r="GBY2" s="6"/>
      <c r="GBZ2" s="6"/>
      <c r="GCA2" s="6"/>
      <c r="GCB2" s="15"/>
      <c r="GCC2" s="15"/>
      <c r="GCD2" s="6"/>
      <c r="GCE2" s="15"/>
      <c r="GCF2" s="53" t="str">
        <f>[4]利润表!$P$2</f>
        <v>日  期：2012年9月15日</v>
      </c>
      <c r="GCG2" s="14"/>
      <c r="GCH2" s="15"/>
      <c r="GCI2" s="16"/>
      <c r="GCJ2" s="15"/>
      <c r="GCK2" s="15"/>
      <c r="GCL2" s="15"/>
      <c r="GCM2" s="15"/>
      <c r="GCN2" s="15"/>
      <c r="GCO2" s="6"/>
      <c r="GCP2" s="6"/>
      <c r="GCQ2" s="6"/>
      <c r="GCR2" s="15"/>
      <c r="GCS2" s="15"/>
      <c r="GCT2" s="6"/>
      <c r="GCU2" s="15"/>
      <c r="GCV2" s="53" t="str">
        <f>[4]利润表!$P$2</f>
        <v>日  期：2012年9月15日</v>
      </c>
      <c r="GCW2" s="14"/>
      <c r="GCX2" s="15"/>
      <c r="GCY2" s="16"/>
      <c r="GCZ2" s="15"/>
      <c r="GDA2" s="15"/>
      <c r="GDB2" s="15"/>
      <c r="GDC2" s="15"/>
      <c r="GDD2" s="15"/>
      <c r="GDE2" s="6"/>
      <c r="GDF2" s="6"/>
      <c r="GDG2" s="6"/>
      <c r="GDH2" s="15"/>
      <c r="GDI2" s="15"/>
      <c r="GDJ2" s="6"/>
      <c r="GDK2" s="15"/>
      <c r="GDL2" s="53" t="str">
        <f>[4]利润表!$P$2</f>
        <v>日  期：2012年9月15日</v>
      </c>
      <c r="GDM2" s="14"/>
      <c r="GDN2" s="15"/>
      <c r="GDO2" s="16"/>
      <c r="GDP2" s="15"/>
      <c r="GDQ2" s="15"/>
      <c r="GDR2" s="15"/>
      <c r="GDS2" s="15"/>
      <c r="GDT2" s="15"/>
      <c r="GDU2" s="6"/>
      <c r="GDV2" s="6"/>
      <c r="GDW2" s="6"/>
      <c r="GDX2" s="15"/>
      <c r="GDY2" s="15"/>
      <c r="GDZ2" s="6"/>
      <c r="GEA2" s="15"/>
      <c r="GEB2" s="53" t="str">
        <f>[4]利润表!$P$2</f>
        <v>日  期：2012年9月15日</v>
      </c>
      <c r="GEC2" s="14"/>
      <c r="GED2" s="15"/>
      <c r="GEE2" s="16"/>
      <c r="GEF2" s="15"/>
      <c r="GEG2" s="15"/>
      <c r="GEH2" s="15"/>
      <c r="GEI2" s="15"/>
      <c r="GEJ2" s="15"/>
      <c r="GEK2" s="6"/>
      <c r="GEL2" s="6"/>
      <c r="GEM2" s="6"/>
      <c r="GEN2" s="15"/>
      <c r="GEO2" s="15"/>
      <c r="GEP2" s="6"/>
      <c r="GEQ2" s="15"/>
      <c r="GER2" s="53" t="str">
        <f>[4]利润表!$P$2</f>
        <v>日  期：2012年9月15日</v>
      </c>
      <c r="GES2" s="14"/>
      <c r="GET2" s="15"/>
      <c r="GEU2" s="16"/>
      <c r="GEV2" s="15"/>
      <c r="GEW2" s="15"/>
      <c r="GEX2" s="15"/>
      <c r="GEY2" s="15"/>
      <c r="GEZ2" s="15"/>
      <c r="GFA2" s="6"/>
      <c r="GFB2" s="6"/>
      <c r="GFC2" s="6"/>
      <c r="GFD2" s="15"/>
      <c r="GFE2" s="15"/>
      <c r="GFF2" s="6"/>
      <c r="GFG2" s="15"/>
      <c r="GFH2" s="53" t="str">
        <f>[4]利润表!$P$2</f>
        <v>日  期：2012年9月15日</v>
      </c>
      <c r="GFI2" s="14"/>
      <c r="GFJ2" s="15"/>
      <c r="GFK2" s="16"/>
      <c r="GFL2" s="15"/>
      <c r="GFM2" s="15"/>
      <c r="GFN2" s="15"/>
      <c r="GFO2" s="15"/>
      <c r="GFP2" s="15"/>
      <c r="GFQ2" s="6"/>
      <c r="GFR2" s="6"/>
      <c r="GFS2" s="6"/>
      <c r="GFT2" s="15"/>
      <c r="GFU2" s="15"/>
      <c r="GFV2" s="6"/>
      <c r="GFW2" s="15"/>
      <c r="GFX2" s="53" t="str">
        <f>[4]利润表!$P$2</f>
        <v>日  期：2012年9月15日</v>
      </c>
      <c r="GFY2" s="14"/>
      <c r="GFZ2" s="15"/>
      <c r="GGA2" s="16"/>
      <c r="GGB2" s="15"/>
      <c r="GGC2" s="15"/>
      <c r="GGD2" s="15"/>
      <c r="GGE2" s="15"/>
      <c r="GGF2" s="15"/>
      <c r="GGG2" s="6"/>
      <c r="GGH2" s="6"/>
      <c r="GGI2" s="6"/>
      <c r="GGJ2" s="15"/>
      <c r="GGK2" s="15"/>
      <c r="GGL2" s="6"/>
      <c r="GGM2" s="15"/>
      <c r="GGN2" s="53" t="str">
        <f>[4]利润表!$P$2</f>
        <v>日  期：2012年9月15日</v>
      </c>
      <c r="GGO2" s="14"/>
      <c r="GGP2" s="15"/>
      <c r="GGQ2" s="16"/>
      <c r="GGR2" s="15"/>
      <c r="GGS2" s="15"/>
      <c r="GGT2" s="15"/>
      <c r="GGU2" s="15"/>
      <c r="GGV2" s="15"/>
      <c r="GGW2" s="6"/>
      <c r="GGX2" s="6"/>
      <c r="GGY2" s="6"/>
      <c r="GGZ2" s="15"/>
      <c r="GHA2" s="15"/>
      <c r="GHB2" s="6"/>
      <c r="GHC2" s="15"/>
      <c r="GHD2" s="53" t="str">
        <f>[4]利润表!$P$2</f>
        <v>日  期：2012年9月15日</v>
      </c>
      <c r="GHE2" s="14"/>
      <c r="GHF2" s="15"/>
      <c r="GHG2" s="16"/>
      <c r="GHH2" s="15"/>
      <c r="GHI2" s="15"/>
      <c r="GHJ2" s="15"/>
      <c r="GHK2" s="15"/>
      <c r="GHL2" s="15"/>
      <c r="GHM2" s="6"/>
      <c r="GHN2" s="6"/>
      <c r="GHO2" s="6"/>
      <c r="GHP2" s="15"/>
      <c r="GHQ2" s="15"/>
      <c r="GHR2" s="6"/>
      <c r="GHS2" s="15"/>
      <c r="GHT2" s="53" t="str">
        <f>[4]利润表!$P$2</f>
        <v>日  期：2012年9月15日</v>
      </c>
      <c r="GHU2" s="14"/>
      <c r="GHV2" s="15"/>
      <c r="GHW2" s="16"/>
      <c r="GHX2" s="15"/>
      <c r="GHY2" s="15"/>
      <c r="GHZ2" s="15"/>
      <c r="GIA2" s="15"/>
      <c r="GIB2" s="15"/>
      <c r="GIC2" s="6"/>
      <c r="GID2" s="6"/>
      <c r="GIE2" s="6"/>
      <c r="GIF2" s="15"/>
      <c r="GIG2" s="15"/>
      <c r="GIH2" s="6"/>
      <c r="GII2" s="15"/>
      <c r="GIJ2" s="53" t="str">
        <f>[4]利润表!$P$2</f>
        <v>日  期：2012年9月15日</v>
      </c>
      <c r="GIK2" s="14"/>
      <c r="GIL2" s="15"/>
      <c r="GIM2" s="16"/>
      <c r="GIN2" s="15"/>
      <c r="GIO2" s="15"/>
      <c r="GIP2" s="15"/>
      <c r="GIQ2" s="15"/>
      <c r="GIR2" s="15"/>
      <c r="GIS2" s="6"/>
      <c r="GIT2" s="6"/>
      <c r="GIU2" s="6"/>
      <c r="GIV2" s="15"/>
      <c r="GIW2" s="15"/>
      <c r="GIX2" s="6"/>
      <c r="GIY2" s="15"/>
      <c r="GIZ2" s="53" t="str">
        <f>[4]利润表!$P$2</f>
        <v>日  期：2012年9月15日</v>
      </c>
      <c r="GJA2" s="14"/>
      <c r="GJB2" s="15"/>
      <c r="GJC2" s="16"/>
      <c r="GJD2" s="15"/>
      <c r="GJE2" s="15"/>
      <c r="GJF2" s="15"/>
      <c r="GJG2" s="15"/>
      <c r="GJH2" s="15"/>
      <c r="GJI2" s="6"/>
      <c r="GJJ2" s="6"/>
      <c r="GJK2" s="6"/>
      <c r="GJL2" s="15"/>
      <c r="GJM2" s="15"/>
      <c r="GJN2" s="6"/>
      <c r="GJO2" s="15"/>
      <c r="GJP2" s="53" t="str">
        <f>[4]利润表!$P$2</f>
        <v>日  期：2012年9月15日</v>
      </c>
      <c r="GJQ2" s="14"/>
      <c r="GJR2" s="15"/>
      <c r="GJS2" s="16"/>
      <c r="GJT2" s="15"/>
      <c r="GJU2" s="15"/>
      <c r="GJV2" s="15"/>
      <c r="GJW2" s="15"/>
      <c r="GJX2" s="15"/>
      <c r="GJY2" s="6"/>
      <c r="GJZ2" s="6"/>
      <c r="GKA2" s="6"/>
      <c r="GKB2" s="15"/>
      <c r="GKC2" s="15"/>
      <c r="GKD2" s="6"/>
      <c r="GKE2" s="15"/>
      <c r="GKF2" s="53" t="str">
        <f>[4]利润表!$P$2</f>
        <v>日  期：2012年9月15日</v>
      </c>
      <c r="GKG2" s="14"/>
      <c r="GKH2" s="15"/>
      <c r="GKI2" s="16"/>
      <c r="GKJ2" s="15"/>
      <c r="GKK2" s="15"/>
      <c r="GKL2" s="15"/>
      <c r="GKM2" s="15"/>
      <c r="GKN2" s="15"/>
      <c r="GKO2" s="6"/>
      <c r="GKP2" s="6"/>
      <c r="GKQ2" s="6"/>
      <c r="GKR2" s="15"/>
      <c r="GKS2" s="15"/>
      <c r="GKT2" s="6"/>
      <c r="GKU2" s="15"/>
      <c r="GKV2" s="53" t="str">
        <f>[4]利润表!$P$2</f>
        <v>日  期：2012年9月15日</v>
      </c>
      <c r="GKW2" s="14"/>
      <c r="GKX2" s="15"/>
      <c r="GKY2" s="16"/>
      <c r="GKZ2" s="15"/>
      <c r="GLA2" s="15"/>
      <c r="GLB2" s="15"/>
      <c r="GLC2" s="15"/>
      <c r="GLD2" s="15"/>
      <c r="GLE2" s="6"/>
      <c r="GLF2" s="6"/>
      <c r="GLG2" s="6"/>
      <c r="GLH2" s="15"/>
      <c r="GLI2" s="15"/>
      <c r="GLJ2" s="6"/>
      <c r="GLK2" s="15"/>
      <c r="GLL2" s="53" t="str">
        <f>[4]利润表!$P$2</f>
        <v>日  期：2012年9月15日</v>
      </c>
      <c r="GLM2" s="14"/>
      <c r="GLN2" s="15"/>
      <c r="GLO2" s="16"/>
      <c r="GLP2" s="15"/>
      <c r="GLQ2" s="15"/>
      <c r="GLR2" s="15"/>
      <c r="GLS2" s="15"/>
      <c r="GLT2" s="15"/>
      <c r="GLU2" s="6"/>
      <c r="GLV2" s="6"/>
      <c r="GLW2" s="6"/>
      <c r="GLX2" s="15"/>
      <c r="GLY2" s="15"/>
      <c r="GLZ2" s="6"/>
      <c r="GMA2" s="15"/>
      <c r="GMB2" s="53" t="str">
        <f>[4]利润表!$P$2</f>
        <v>日  期：2012年9月15日</v>
      </c>
      <c r="GMC2" s="14"/>
      <c r="GMD2" s="15"/>
      <c r="GME2" s="16"/>
      <c r="GMF2" s="15"/>
      <c r="GMG2" s="15"/>
      <c r="GMH2" s="15"/>
      <c r="GMI2" s="15"/>
      <c r="GMJ2" s="15"/>
      <c r="GMK2" s="6"/>
      <c r="GML2" s="6"/>
      <c r="GMM2" s="6"/>
      <c r="GMN2" s="15"/>
      <c r="GMO2" s="15"/>
      <c r="GMP2" s="6"/>
      <c r="GMQ2" s="15"/>
      <c r="GMR2" s="53" t="str">
        <f>[4]利润表!$P$2</f>
        <v>日  期：2012年9月15日</v>
      </c>
      <c r="GMS2" s="14"/>
      <c r="GMT2" s="15"/>
      <c r="GMU2" s="16"/>
      <c r="GMV2" s="15"/>
      <c r="GMW2" s="15"/>
      <c r="GMX2" s="15"/>
      <c r="GMY2" s="15"/>
      <c r="GMZ2" s="15"/>
      <c r="GNA2" s="6"/>
      <c r="GNB2" s="6"/>
      <c r="GNC2" s="6"/>
      <c r="GND2" s="15"/>
      <c r="GNE2" s="15"/>
      <c r="GNF2" s="6"/>
      <c r="GNG2" s="15"/>
      <c r="GNH2" s="53" t="str">
        <f>[4]利润表!$P$2</f>
        <v>日  期：2012年9月15日</v>
      </c>
      <c r="GNI2" s="14"/>
      <c r="GNJ2" s="15"/>
      <c r="GNK2" s="16"/>
      <c r="GNL2" s="15"/>
      <c r="GNM2" s="15"/>
      <c r="GNN2" s="15"/>
      <c r="GNO2" s="15"/>
      <c r="GNP2" s="15"/>
      <c r="GNQ2" s="6"/>
      <c r="GNR2" s="6"/>
      <c r="GNS2" s="6"/>
      <c r="GNT2" s="15"/>
      <c r="GNU2" s="15"/>
      <c r="GNV2" s="6"/>
      <c r="GNW2" s="15"/>
      <c r="GNX2" s="53" t="str">
        <f>[4]利润表!$P$2</f>
        <v>日  期：2012年9月15日</v>
      </c>
      <c r="GNY2" s="14"/>
      <c r="GNZ2" s="15"/>
      <c r="GOA2" s="16"/>
      <c r="GOB2" s="15"/>
      <c r="GOC2" s="15"/>
      <c r="GOD2" s="15"/>
      <c r="GOE2" s="15"/>
      <c r="GOF2" s="15"/>
      <c r="GOG2" s="6"/>
      <c r="GOH2" s="6"/>
      <c r="GOI2" s="6"/>
      <c r="GOJ2" s="15"/>
      <c r="GOK2" s="15"/>
      <c r="GOL2" s="6"/>
      <c r="GOM2" s="15"/>
      <c r="GON2" s="53" t="str">
        <f>[4]利润表!$P$2</f>
        <v>日  期：2012年9月15日</v>
      </c>
      <c r="GOO2" s="14"/>
      <c r="GOP2" s="15"/>
      <c r="GOQ2" s="16"/>
      <c r="GOR2" s="15"/>
      <c r="GOS2" s="15"/>
      <c r="GOT2" s="15"/>
      <c r="GOU2" s="15"/>
      <c r="GOV2" s="15"/>
      <c r="GOW2" s="6"/>
      <c r="GOX2" s="6"/>
      <c r="GOY2" s="6"/>
      <c r="GOZ2" s="15"/>
      <c r="GPA2" s="15"/>
      <c r="GPB2" s="6"/>
      <c r="GPC2" s="15"/>
      <c r="GPD2" s="53" t="str">
        <f>[4]利润表!$P$2</f>
        <v>日  期：2012年9月15日</v>
      </c>
      <c r="GPE2" s="14"/>
      <c r="GPF2" s="15"/>
      <c r="GPG2" s="16"/>
      <c r="GPH2" s="15"/>
      <c r="GPI2" s="15"/>
      <c r="GPJ2" s="15"/>
      <c r="GPK2" s="15"/>
      <c r="GPL2" s="15"/>
      <c r="GPM2" s="6"/>
      <c r="GPN2" s="6"/>
      <c r="GPO2" s="6"/>
      <c r="GPP2" s="15"/>
      <c r="GPQ2" s="15"/>
      <c r="GPR2" s="6"/>
      <c r="GPS2" s="15"/>
      <c r="GPT2" s="53" t="str">
        <f>[4]利润表!$P$2</f>
        <v>日  期：2012年9月15日</v>
      </c>
      <c r="GPU2" s="14"/>
      <c r="GPV2" s="15"/>
      <c r="GPW2" s="16"/>
      <c r="GPX2" s="15"/>
      <c r="GPY2" s="15"/>
      <c r="GPZ2" s="15"/>
      <c r="GQA2" s="15"/>
      <c r="GQB2" s="15"/>
      <c r="GQC2" s="6"/>
      <c r="GQD2" s="6"/>
      <c r="GQE2" s="6"/>
      <c r="GQF2" s="15"/>
      <c r="GQG2" s="15"/>
      <c r="GQH2" s="6"/>
      <c r="GQI2" s="15"/>
      <c r="GQJ2" s="53" t="str">
        <f>[4]利润表!$P$2</f>
        <v>日  期：2012年9月15日</v>
      </c>
      <c r="GQK2" s="14"/>
      <c r="GQL2" s="15"/>
      <c r="GQM2" s="16"/>
      <c r="GQN2" s="15"/>
      <c r="GQO2" s="15"/>
      <c r="GQP2" s="15"/>
      <c r="GQQ2" s="15"/>
      <c r="GQR2" s="15"/>
      <c r="GQS2" s="6"/>
      <c r="GQT2" s="6"/>
      <c r="GQU2" s="6"/>
      <c r="GQV2" s="15"/>
      <c r="GQW2" s="15"/>
      <c r="GQX2" s="6"/>
      <c r="GQY2" s="15"/>
      <c r="GQZ2" s="53" t="str">
        <f>[4]利润表!$P$2</f>
        <v>日  期：2012年9月15日</v>
      </c>
      <c r="GRA2" s="14"/>
      <c r="GRB2" s="15"/>
      <c r="GRC2" s="16"/>
      <c r="GRD2" s="15"/>
      <c r="GRE2" s="15"/>
      <c r="GRF2" s="15"/>
      <c r="GRG2" s="15"/>
      <c r="GRH2" s="15"/>
      <c r="GRI2" s="6"/>
      <c r="GRJ2" s="6"/>
      <c r="GRK2" s="6"/>
      <c r="GRL2" s="15"/>
      <c r="GRM2" s="15"/>
      <c r="GRN2" s="6"/>
      <c r="GRO2" s="15"/>
      <c r="GRP2" s="53" t="str">
        <f>[4]利润表!$P$2</f>
        <v>日  期：2012年9月15日</v>
      </c>
      <c r="GRQ2" s="14"/>
      <c r="GRR2" s="15"/>
      <c r="GRS2" s="16"/>
      <c r="GRT2" s="15"/>
      <c r="GRU2" s="15"/>
      <c r="GRV2" s="15"/>
      <c r="GRW2" s="15"/>
      <c r="GRX2" s="15"/>
      <c r="GRY2" s="6"/>
      <c r="GRZ2" s="6"/>
      <c r="GSA2" s="6"/>
      <c r="GSB2" s="15"/>
      <c r="GSC2" s="15"/>
      <c r="GSD2" s="6"/>
      <c r="GSE2" s="15"/>
      <c r="GSF2" s="53" t="str">
        <f>[4]利润表!$P$2</f>
        <v>日  期：2012年9月15日</v>
      </c>
      <c r="GSG2" s="14"/>
      <c r="GSH2" s="15"/>
      <c r="GSI2" s="16"/>
      <c r="GSJ2" s="15"/>
      <c r="GSK2" s="15"/>
      <c r="GSL2" s="15"/>
      <c r="GSM2" s="15"/>
      <c r="GSN2" s="15"/>
      <c r="GSO2" s="6"/>
      <c r="GSP2" s="6"/>
      <c r="GSQ2" s="6"/>
      <c r="GSR2" s="15"/>
      <c r="GSS2" s="15"/>
      <c r="GST2" s="6"/>
      <c r="GSU2" s="15"/>
      <c r="GSV2" s="53" t="str">
        <f>[4]利润表!$P$2</f>
        <v>日  期：2012年9月15日</v>
      </c>
      <c r="GSW2" s="14"/>
      <c r="GSX2" s="15"/>
      <c r="GSY2" s="16"/>
      <c r="GSZ2" s="15"/>
      <c r="GTA2" s="15"/>
      <c r="GTB2" s="15"/>
      <c r="GTC2" s="15"/>
      <c r="GTD2" s="15"/>
      <c r="GTE2" s="6"/>
      <c r="GTF2" s="6"/>
      <c r="GTG2" s="6"/>
      <c r="GTH2" s="15"/>
      <c r="GTI2" s="15"/>
      <c r="GTJ2" s="6"/>
      <c r="GTK2" s="15"/>
      <c r="GTL2" s="53" t="str">
        <f>[4]利润表!$P$2</f>
        <v>日  期：2012年9月15日</v>
      </c>
      <c r="GTM2" s="14"/>
      <c r="GTN2" s="15"/>
      <c r="GTO2" s="16"/>
      <c r="GTP2" s="15"/>
      <c r="GTQ2" s="15"/>
      <c r="GTR2" s="15"/>
      <c r="GTS2" s="15"/>
      <c r="GTT2" s="15"/>
      <c r="GTU2" s="6"/>
      <c r="GTV2" s="6"/>
      <c r="GTW2" s="6"/>
      <c r="GTX2" s="15"/>
      <c r="GTY2" s="15"/>
      <c r="GTZ2" s="6"/>
      <c r="GUA2" s="15"/>
      <c r="GUB2" s="53" t="str">
        <f>[4]利润表!$P$2</f>
        <v>日  期：2012年9月15日</v>
      </c>
      <c r="GUC2" s="14"/>
      <c r="GUD2" s="15"/>
      <c r="GUE2" s="16"/>
      <c r="GUF2" s="15"/>
      <c r="GUG2" s="15"/>
      <c r="GUH2" s="15"/>
      <c r="GUI2" s="15"/>
      <c r="GUJ2" s="15"/>
      <c r="GUK2" s="6"/>
      <c r="GUL2" s="6"/>
      <c r="GUM2" s="6"/>
      <c r="GUN2" s="15"/>
      <c r="GUO2" s="15"/>
      <c r="GUP2" s="6"/>
      <c r="GUQ2" s="15"/>
      <c r="GUR2" s="53" t="str">
        <f>[4]利润表!$P$2</f>
        <v>日  期：2012年9月15日</v>
      </c>
      <c r="GUS2" s="14"/>
      <c r="GUT2" s="15"/>
      <c r="GUU2" s="16"/>
      <c r="GUV2" s="15"/>
      <c r="GUW2" s="15"/>
      <c r="GUX2" s="15"/>
      <c r="GUY2" s="15"/>
      <c r="GUZ2" s="15"/>
      <c r="GVA2" s="6"/>
      <c r="GVB2" s="6"/>
      <c r="GVC2" s="6"/>
      <c r="GVD2" s="15"/>
      <c r="GVE2" s="15"/>
      <c r="GVF2" s="6"/>
      <c r="GVG2" s="15"/>
      <c r="GVH2" s="53" t="str">
        <f>[4]利润表!$P$2</f>
        <v>日  期：2012年9月15日</v>
      </c>
      <c r="GVI2" s="14"/>
      <c r="GVJ2" s="15"/>
      <c r="GVK2" s="16"/>
      <c r="GVL2" s="15"/>
      <c r="GVM2" s="15"/>
      <c r="GVN2" s="15"/>
      <c r="GVO2" s="15"/>
      <c r="GVP2" s="15"/>
      <c r="GVQ2" s="6"/>
      <c r="GVR2" s="6"/>
      <c r="GVS2" s="6"/>
      <c r="GVT2" s="15"/>
      <c r="GVU2" s="15"/>
      <c r="GVV2" s="6"/>
      <c r="GVW2" s="15"/>
      <c r="GVX2" s="53" t="str">
        <f>[4]利润表!$P$2</f>
        <v>日  期：2012年9月15日</v>
      </c>
      <c r="GVY2" s="14"/>
      <c r="GVZ2" s="15"/>
      <c r="GWA2" s="16"/>
      <c r="GWB2" s="15"/>
      <c r="GWC2" s="15"/>
      <c r="GWD2" s="15"/>
      <c r="GWE2" s="15"/>
      <c r="GWF2" s="15"/>
      <c r="GWG2" s="6"/>
      <c r="GWH2" s="6"/>
      <c r="GWI2" s="6"/>
      <c r="GWJ2" s="15"/>
      <c r="GWK2" s="15"/>
      <c r="GWL2" s="6"/>
      <c r="GWM2" s="15"/>
      <c r="GWN2" s="53" t="str">
        <f>[4]利润表!$P$2</f>
        <v>日  期：2012年9月15日</v>
      </c>
      <c r="GWO2" s="14"/>
      <c r="GWP2" s="15"/>
      <c r="GWQ2" s="16"/>
      <c r="GWR2" s="15"/>
      <c r="GWS2" s="15"/>
      <c r="GWT2" s="15"/>
      <c r="GWU2" s="15"/>
      <c r="GWV2" s="15"/>
      <c r="GWW2" s="6"/>
      <c r="GWX2" s="6"/>
      <c r="GWY2" s="6"/>
      <c r="GWZ2" s="15"/>
      <c r="GXA2" s="15"/>
      <c r="GXB2" s="6"/>
      <c r="GXC2" s="15"/>
      <c r="GXD2" s="53" t="str">
        <f>[4]利润表!$P$2</f>
        <v>日  期：2012年9月15日</v>
      </c>
      <c r="GXE2" s="14"/>
      <c r="GXF2" s="15"/>
      <c r="GXG2" s="16"/>
      <c r="GXH2" s="15"/>
      <c r="GXI2" s="15"/>
      <c r="GXJ2" s="15"/>
      <c r="GXK2" s="15"/>
      <c r="GXL2" s="15"/>
      <c r="GXM2" s="6"/>
      <c r="GXN2" s="6"/>
      <c r="GXO2" s="6"/>
      <c r="GXP2" s="15"/>
      <c r="GXQ2" s="15"/>
      <c r="GXR2" s="6"/>
      <c r="GXS2" s="15"/>
      <c r="GXT2" s="53" t="str">
        <f>[4]利润表!$P$2</f>
        <v>日  期：2012年9月15日</v>
      </c>
      <c r="GXU2" s="14"/>
      <c r="GXV2" s="15"/>
      <c r="GXW2" s="16"/>
      <c r="GXX2" s="15"/>
      <c r="GXY2" s="15"/>
      <c r="GXZ2" s="15"/>
      <c r="GYA2" s="15"/>
      <c r="GYB2" s="15"/>
      <c r="GYC2" s="6"/>
      <c r="GYD2" s="6"/>
      <c r="GYE2" s="6"/>
      <c r="GYF2" s="15"/>
      <c r="GYG2" s="15"/>
      <c r="GYH2" s="6"/>
      <c r="GYI2" s="15"/>
      <c r="GYJ2" s="53" t="str">
        <f>[4]利润表!$P$2</f>
        <v>日  期：2012年9月15日</v>
      </c>
      <c r="GYK2" s="14"/>
      <c r="GYL2" s="15"/>
      <c r="GYM2" s="16"/>
      <c r="GYN2" s="15"/>
      <c r="GYO2" s="15"/>
      <c r="GYP2" s="15"/>
      <c r="GYQ2" s="15"/>
      <c r="GYR2" s="15"/>
      <c r="GYS2" s="6"/>
      <c r="GYT2" s="6"/>
      <c r="GYU2" s="6"/>
      <c r="GYV2" s="15"/>
      <c r="GYW2" s="15"/>
      <c r="GYX2" s="6"/>
      <c r="GYY2" s="15"/>
      <c r="GYZ2" s="53" t="str">
        <f>[4]利润表!$P$2</f>
        <v>日  期：2012年9月15日</v>
      </c>
      <c r="GZA2" s="14"/>
      <c r="GZB2" s="15"/>
      <c r="GZC2" s="16"/>
      <c r="GZD2" s="15"/>
      <c r="GZE2" s="15"/>
      <c r="GZF2" s="15"/>
      <c r="GZG2" s="15"/>
      <c r="GZH2" s="15"/>
      <c r="GZI2" s="6"/>
      <c r="GZJ2" s="6"/>
      <c r="GZK2" s="6"/>
      <c r="GZL2" s="15"/>
      <c r="GZM2" s="15"/>
      <c r="GZN2" s="6"/>
      <c r="GZO2" s="15"/>
      <c r="GZP2" s="53" t="str">
        <f>[4]利润表!$P$2</f>
        <v>日  期：2012年9月15日</v>
      </c>
      <c r="GZQ2" s="14"/>
      <c r="GZR2" s="15"/>
      <c r="GZS2" s="16"/>
      <c r="GZT2" s="15"/>
      <c r="GZU2" s="15"/>
      <c r="GZV2" s="15"/>
      <c r="GZW2" s="15"/>
      <c r="GZX2" s="15"/>
      <c r="GZY2" s="6"/>
      <c r="GZZ2" s="6"/>
      <c r="HAA2" s="6"/>
      <c r="HAB2" s="15"/>
      <c r="HAC2" s="15"/>
      <c r="HAD2" s="6"/>
      <c r="HAE2" s="15"/>
      <c r="HAF2" s="53" t="str">
        <f>[4]利润表!$P$2</f>
        <v>日  期：2012年9月15日</v>
      </c>
      <c r="HAG2" s="14"/>
      <c r="HAH2" s="15"/>
      <c r="HAI2" s="16"/>
      <c r="HAJ2" s="15"/>
      <c r="HAK2" s="15"/>
      <c r="HAL2" s="15"/>
      <c r="HAM2" s="15"/>
      <c r="HAN2" s="15"/>
      <c r="HAO2" s="6"/>
      <c r="HAP2" s="6"/>
      <c r="HAQ2" s="6"/>
      <c r="HAR2" s="15"/>
      <c r="HAS2" s="15"/>
      <c r="HAT2" s="6"/>
      <c r="HAU2" s="15"/>
      <c r="HAV2" s="53" t="str">
        <f>[4]利润表!$P$2</f>
        <v>日  期：2012年9月15日</v>
      </c>
      <c r="HAW2" s="14"/>
      <c r="HAX2" s="15"/>
      <c r="HAY2" s="16"/>
      <c r="HAZ2" s="15"/>
      <c r="HBA2" s="15"/>
      <c r="HBB2" s="15"/>
      <c r="HBC2" s="15"/>
      <c r="HBD2" s="15"/>
      <c r="HBE2" s="6"/>
      <c r="HBF2" s="6"/>
      <c r="HBG2" s="6"/>
      <c r="HBH2" s="15"/>
      <c r="HBI2" s="15"/>
      <c r="HBJ2" s="6"/>
      <c r="HBK2" s="15"/>
      <c r="HBL2" s="53" t="str">
        <f>[4]利润表!$P$2</f>
        <v>日  期：2012年9月15日</v>
      </c>
      <c r="HBM2" s="14"/>
      <c r="HBN2" s="15"/>
      <c r="HBO2" s="16"/>
      <c r="HBP2" s="15"/>
      <c r="HBQ2" s="15"/>
      <c r="HBR2" s="15"/>
      <c r="HBS2" s="15"/>
      <c r="HBT2" s="15"/>
      <c r="HBU2" s="6"/>
      <c r="HBV2" s="6"/>
      <c r="HBW2" s="6"/>
      <c r="HBX2" s="15"/>
      <c r="HBY2" s="15"/>
      <c r="HBZ2" s="6"/>
      <c r="HCA2" s="15"/>
      <c r="HCB2" s="53" t="str">
        <f>[4]利润表!$P$2</f>
        <v>日  期：2012年9月15日</v>
      </c>
      <c r="HCC2" s="14"/>
      <c r="HCD2" s="15"/>
      <c r="HCE2" s="16"/>
      <c r="HCF2" s="15"/>
      <c r="HCG2" s="15"/>
      <c r="HCH2" s="15"/>
      <c r="HCI2" s="15"/>
      <c r="HCJ2" s="15"/>
      <c r="HCK2" s="6"/>
      <c r="HCL2" s="6"/>
      <c r="HCM2" s="6"/>
      <c r="HCN2" s="15"/>
      <c r="HCO2" s="15"/>
      <c r="HCP2" s="6"/>
      <c r="HCQ2" s="15"/>
      <c r="HCR2" s="53" t="str">
        <f>[4]利润表!$P$2</f>
        <v>日  期：2012年9月15日</v>
      </c>
      <c r="HCS2" s="14"/>
      <c r="HCT2" s="15"/>
      <c r="HCU2" s="16"/>
      <c r="HCV2" s="15"/>
      <c r="HCW2" s="15"/>
      <c r="HCX2" s="15"/>
      <c r="HCY2" s="15"/>
      <c r="HCZ2" s="15"/>
      <c r="HDA2" s="6"/>
      <c r="HDB2" s="6"/>
      <c r="HDC2" s="6"/>
      <c r="HDD2" s="15"/>
      <c r="HDE2" s="15"/>
      <c r="HDF2" s="6"/>
      <c r="HDG2" s="15"/>
      <c r="HDH2" s="53" t="str">
        <f>[4]利润表!$P$2</f>
        <v>日  期：2012年9月15日</v>
      </c>
      <c r="HDI2" s="14"/>
      <c r="HDJ2" s="15"/>
      <c r="HDK2" s="16"/>
      <c r="HDL2" s="15"/>
      <c r="HDM2" s="15"/>
      <c r="HDN2" s="15"/>
      <c r="HDO2" s="15"/>
      <c r="HDP2" s="15"/>
      <c r="HDQ2" s="6"/>
      <c r="HDR2" s="6"/>
      <c r="HDS2" s="6"/>
      <c r="HDT2" s="15"/>
      <c r="HDU2" s="15"/>
      <c r="HDV2" s="6"/>
      <c r="HDW2" s="15"/>
      <c r="HDX2" s="53" t="str">
        <f>[4]利润表!$P$2</f>
        <v>日  期：2012年9月15日</v>
      </c>
      <c r="HDY2" s="14"/>
      <c r="HDZ2" s="15"/>
      <c r="HEA2" s="16"/>
      <c r="HEB2" s="15"/>
      <c r="HEC2" s="15"/>
      <c r="HED2" s="15"/>
      <c r="HEE2" s="15"/>
      <c r="HEF2" s="15"/>
      <c r="HEG2" s="6"/>
      <c r="HEH2" s="6"/>
      <c r="HEI2" s="6"/>
      <c r="HEJ2" s="15"/>
      <c r="HEK2" s="15"/>
      <c r="HEL2" s="6"/>
      <c r="HEM2" s="15"/>
      <c r="HEN2" s="53" t="str">
        <f>[4]利润表!$P$2</f>
        <v>日  期：2012年9月15日</v>
      </c>
      <c r="HEO2" s="14"/>
      <c r="HEP2" s="15"/>
      <c r="HEQ2" s="16"/>
      <c r="HER2" s="15"/>
      <c r="HES2" s="15"/>
      <c r="HET2" s="15"/>
      <c r="HEU2" s="15"/>
      <c r="HEV2" s="15"/>
      <c r="HEW2" s="6"/>
      <c r="HEX2" s="6"/>
      <c r="HEY2" s="6"/>
      <c r="HEZ2" s="15"/>
      <c r="HFA2" s="15"/>
      <c r="HFB2" s="6"/>
      <c r="HFC2" s="15"/>
      <c r="HFD2" s="53" t="str">
        <f>[4]利润表!$P$2</f>
        <v>日  期：2012年9月15日</v>
      </c>
      <c r="HFE2" s="14"/>
      <c r="HFF2" s="15"/>
      <c r="HFG2" s="16"/>
      <c r="HFH2" s="15"/>
      <c r="HFI2" s="15"/>
      <c r="HFJ2" s="15"/>
      <c r="HFK2" s="15"/>
      <c r="HFL2" s="15"/>
      <c r="HFM2" s="6"/>
      <c r="HFN2" s="6"/>
      <c r="HFO2" s="6"/>
      <c r="HFP2" s="15"/>
      <c r="HFQ2" s="15"/>
      <c r="HFR2" s="6"/>
      <c r="HFS2" s="15"/>
      <c r="HFT2" s="53" t="str">
        <f>[4]利润表!$P$2</f>
        <v>日  期：2012年9月15日</v>
      </c>
      <c r="HFU2" s="14"/>
      <c r="HFV2" s="15"/>
      <c r="HFW2" s="16"/>
      <c r="HFX2" s="15"/>
      <c r="HFY2" s="15"/>
      <c r="HFZ2" s="15"/>
      <c r="HGA2" s="15"/>
      <c r="HGB2" s="15"/>
      <c r="HGC2" s="6"/>
      <c r="HGD2" s="6"/>
      <c r="HGE2" s="6"/>
      <c r="HGF2" s="15"/>
      <c r="HGG2" s="15"/>
      <c r="HGH2" s="6"/>
      <c r="HGI2" s="15"/>
      <c r="HGJ2" s="53" t="str">
        <f>[4]利润表!$P$2</f>
        <v>日  期：2012年9月15日</v>
      </c>
      <c r="HGK2" s="14"/>
      <c r="HGL2" s="15"/>
      <c r="HGM2" s="16"/>
      <c r="HGN2" s="15"/>
      <c r="HGO2" s="15"/>
      <c r="HGP2" s="15"/>
      <c r="HGQ2" s="15"/>
      <c r="HGR2" s="15"/>
      <c r="HGS2" s="6"/>
      <c r="HGT2" s="6"/>
      <c r="HGU2" s="6"/>
      <c r="HGV2" s="15"/>
      <c r="HGW2" s="15"/>
      <c r="HGX2" s="6"/>
      <c r="HGY2" s="15"/>
      <c r="HGZ2" s="53" t="str">
        <f>[4]利润表!$P$2</f>
        <v>日  期：2012年9月15日</v>
      </c>
      <c r="HHA2" s="14"/>
      <c r="HHB2" s="15"/>
      <c r="HHC2" s="16"/>
      <c r="HHD2" s="15"/>
      <c r="HHE2" s="15"/>
      <c r="HHF2" s="15"/>
      <c r="HHG2" s="15"/>
      <c r="HHH2" s="15"/>
      <c r="HHI2" s="6"/>
      <c r="HHJ2" s="6"/>
      <c r="HHK2" s="6"/>
      <c r="HHL2" s="15"/>
      <c r="HHM2" s="15"/>
      <c r="HHN2" s="6"/>
      <c r="HHO2" s="15"/>
      <c r="HHP2" s="53" t="str">
        <f>[4]利润表!$P$2</f>
        <v>日  期：2012年9月15日</v>
      </c>
      <c r="HHQ2" s="14"/>
      <c r="HHR2" s="15"/>
      <c r="HHS2" s="16"/>
      <c r="HHT2" s="15"/>
      <c r="HHU2" s="15"/>
      <c r="HHV2" s="15"/>
      <c r="HHW2" s="15"/>
      <c r="HHX2" s="15"/>
      <c r="HHY2" s="6"/>
      <c r="HHZ2" s="6"/>
      <c r="HIA2" s="6"/>
      <c r="HIB2" s="15"/>
      <c r="HIC2" s="15"/>
      <c r="HID2" s="6"/>
      <c r="HIE2" s="15"/>
      <c r="HIF2" s="53" t="str">
        <f>[4]利润表!$P$2</f>
        <v>日  期：2012年9月15日</v>
      </c>
      <c r="HIG2" s="14"/>
      <c r="HIH2" s="15"/>
      <c r="HII2" s="16"/>
      <c r="HIJ2" s="15"/>
      <c r="HIK2" s="15"/>
      <c r="HIL2" s="15"/>
      <c r="HIM2" s="15"/>
      <c r="HIN2" s="15"/>
      <c r="HIO2" s="6"/>
      <c r="HIP2" s="6"/>
      <c r="HIQ2" s="6"/>
      <c r="HIR2" s="15"/>
      <c r="HIS2" s="15"/>
      <c r="HIT2" s="6"/>
      <c r="HIU2" s="15"/>
      <c r="HIV2" s="53" t="str">
        <f>[4]利润表!$P$2</f>
        <v>日  期：2012年9月15日</v>
      </c>
      <c r="HIW2" s="14"/>
      <c r="HIX2" s="15"/>
      <c r="HIY2" s="16"/>
      <c r="HIZ2" s="15"/>
      <c r="HJA2" s="15"/>
      <c r="HJB2" s="15"/>
      <c r="HJC2" s="15"/>
      <c r="HJD2" s="15"/>
      <c r="HJE2" s="6"/>
      <c r="HJF2" s="6"/>
      <c r="HJG2" s="6"/>
      <c r="HJH2" s="15"/>
      <c r="HJI2" s="15"/>
      <c r="HJJ2" s="6"/>
      <c r="HJK2" s="15"/>
      <c r="HJL2" s="53" t="str">
        <f>[4]利润表!$P$2</f>
        <v>日  期：2012年9月15日</v>
      </c>
      <c r="HJM2" s="14"/>
      <c r="HJN2" s="15"/>
      <c r="HJO2" s="16"/>
      <c r="HJP2" s="15"/>
      <c r="HJQ2" s="15"/>
      <c r="HJR2" s="15"/>
      <c r="HJS2" s="15"/>
      <c r="HJT2" s="15"/>
      <c r="HJU2" s="6"/>
      <c r="HJV2" s="6"/>
      <c r="HJW2" s="6"/>
      <c r="HJX2" s="15"/>
      <c r="HJY2" s="15"/>
      <c r="HJZ2" s="6"/>
      <c r="HKA2" s="15"/>
      <c r="HKB2" s="53" t="str">
        <f>[4]利润表!$P$2</f>
        <v>日  期：2012年9月15日</v>
      </c>
      <c r="HKC2" s="14"/>
      <c r="HKD2" s="15"/>
      <c r="HKE2" s="16"/>
      <c r="HKF2" s="15"/>
      <c r="HKG2" s="15"/>
      <c r="HKH2" s="15"/>
      <c r="HKI2" s="15"/>
      <c r="HKJ2" s="15"/>
      <c r="HKK2" s="6"/>
      <c r="HKL2" s="6"/>
      <c r="HKM2" s="6"/>
      <c r="HKN2" s="15"/>
      <c r="HKO2" s="15"/>
      <c r="HKP2" s="6"/>
      <c r="HKQ2" s="15"/>
      <c r="HKR2" s="53" t="str">
        <f>[4]利润表!$P$2</f>
        <v>日  期：2012年9月15日</v>
      </c>
      <c r="HKS2" s="14"/>
      <c r="HKT2" s="15"/>
      <c r="HKU2" s="16"/>
      <c r="HKV2" s="15"/>
      <c r="HKW2" s="15"/>
      <c r="HKX2" s="15"/>
      <c r="HKY2" s="15"/>
      <c r="HKZ2" s="15"/>
      <c r="HLA2" s="6"/>
      <c r="HLB2" s="6"/>
      <c r="HLC2" s="6"/>
      <c r="HLD2" s="15"/>
      <c r="HLE2" s="15"/>
      <c r="HLF2" s="6"/>
      <c r="HLG2" s="15"/>
      <c r="HLH2" s="53" t="str">
        <f>[4]利润表!$P$2</f>
        <v>日  期：2012年9月15日</v>
      </c>
      <c r="HLI2" s="14"/>
      <c r="HLJ2" s="15"/>
      <c r="HLK2" s="16"/>
      <c r="HLL2" s="15"/>
      <c r="HLM2" s="15"/>
      <c r="HLN2" s="15"/>
      <c r="HLO2" s="15"/>
      <c r="HLP2" s="15"/>
      <c r="HLQ2" s="6"/>
      <c r="HLR2" s="6"/>
      <c r="HLS2" s="6"/>
      <c r="HLT2" s="15"/>
      <c r="HLU2" s="15"/>
      <c r="HLV2" s="6"/>
      <c r="HLW2" s="15"/>
      <c r="HLX2" s="53" t="str">
        <f>[4]利润表!$P$2</f>
        <v>日  期：2012年9月15日</v>
      </c>
      <c r="HLY2" s="14"/>
      <c r="HLZ2" s="15"/>
      <c r="HMA2" s="16"/>
      <c r="HMB2" s="15"/>
      <c r="HMC2" s="15"/>
      <c r="HMD2" s="15"/>
      <c r="HME2" s="15"/>
      <c r="HMF2" s="15"/>
      <c r="HMG2" s="6"/>
      <c r="HMH2" s="6"/>
      <c r="HMI2" s="6"/>
      <c r="HMJ2" s="15"/>
      <c r="HMK2" s="15"/>
      <c r="HML2" s="6"/>
      <c r="HMM2" s="15"/>
      <c r="HMN2" s="53" t="str">
        <f>[4]利润表!$P$2</f>
        <v>日  期：2012年9月15日</v>
      </c>
      <c r="HMO2" s="14"/>
      <c r="HMP2" s="15"/>
      <c r="HMQ2" s="16"/>
      <c r="HMR2" s="15"/>
      <c r="HMS2" s="15"/>
      <c r="HMT2" s="15"/>
      <c r="HMU2" s="15"/>
      <c r="HMV2" s="15"/>
      <c r="HMW2" s="6"/>
      <c r="HMX2" s="6"/>
      <c r="HMY2" s="6"/>
      <c r="HMZ2" s="15"/>
      <c r="HNA2" s="15"/>
      <c r="HNB2" s="6"/>
      <c r="HNC2" s="15"/>
      <c r="HND2" s="53" t="str">
        <f>[4]利润表!$P$2</f>
        <v>日  期：2012年9月15日</v>
      </c>
      <c r="HNE2" s="14"/>
      <c r="HNF2" s="15"/>
      <c r="HNG2" s="16"/>
      <c r="HNH2" s="15"/>
      <c r="HNI2" s="15"/>
      <c r="HNJ2" s="15"/>
      <c r="HNK2" s="15"/>
      <c r="HNL2" s="15"/>
      <c r="HNM2" s="6"/>
      <c r="HNN2" s="6"/>
      <c r="HNO2" s="6"/>
      <c r="HNP2" s="15"/>
      <c r="HNQ2" s="15"/>
      <c r="HNR2" s="6"/>
      <c r="HNS2" s="15"/>
      <c r="HNT2" s="53" t="str">
        <f>[4]利润表!$P$2</f>
        <v>日  期：2012年9月15日</v>
      </c>
      <c r="HNU2" s="14"/>
      <c r="HNV2" s="15"/>
      <c r="HNW2" s="16"/>
      <c r="HNX2" s="15"/>
      <c r="HNY2" s="15"/>
      <c r="HNZ2" s="15"/>
      <c r="HOA2" s="15"/>
      <c r="HOB2" s="15"/>
      <c r="HOC2" s="6"/>
      <c r="HOD2" s="6"/>
      <c r="HOE2" s="6"/>
      <c r="HOF2" s="15"/>
      <c r="HOG2" s="15"/>
      <c r="HOH2" s="6"/>
      <c r="HOI2" s="15"/>
      <c r="HOJ2" s="53" t="str">
        <f>[4]利润表!$P$2</f>
        <v>日  期：2012年9月15日</v>
      </c>
      <c r="HOK2" s="14"/>
      <c r="HOL2" s="15"/>
      <c r="HOM2" s="16"/>
      <c r="HON2" s="15"/>
      <c r="HOO2" s="15"/>
      <c r="HOP2" s="15"/>
      <c r="HOQ2" s="15"/>
      <c r="HOR2" s="15"/>
      <c r="HOS2" s="6"/>
      <c r="HOT2" s="6"/>
      <c r="HOU2" s="6"/>
      <c r="HOV2" s="15"/>
      <c r="HOW2" s="15"/>
      <c r="HOX2" s="6"/>
      <c r="HOY2" s="15"/>
      <c r="HOZ2" s="53" t="str">
        <f>[4]利润表!$P$2</f>
        <v>日  期：2012年9月15日</v>
      </c>
      <c r="HPA2" s="14"/>
      <c r="HPB2" s="15"/>
      <c r="HPC2" s="16"/>
      <c r="HPD2" s="15"/>
      <c r="HPE2" s="15"/>
      <c r="HPF2" s="15"/>
      <c r="HPG2" s="15"/>
      <c r="HPH2" s="15"/>
      <c r="HPI2" s="6"/>
      <c r="HPJ2" s="6"/>
      <c r="HPK2" s="6"/>
      <c r="HPL2" s="15"/>
      <c r="HPM2" s="15"/>
      <c r="HPN2" s="6"/>
      <c r="HPO2" s="15"/>
      <c r="HPP2" s="53" t="str">
        <f>[4]利润表!$P$2</f>
        <v>日  期：2012年9月15日</v>
      </c>
      <c r="HPQ2" s="14"/>
      <c r="HPR2" s="15"/>
      <c r="HPS2" s="16"/>
      <c r="HPT2" s="15"/>
      <c r="HPU2" s="15"/>
      <c r="HPV2" s="15"/>
      <c r="HPW2" s="15"/>
      <c r="HPX2" s="15"/>
      <c r="HPY2" s="6"/>
      <c r="HPZ2" s="6"/>
      <c r="HQA2" s="6"/>
      <c r="HQB2" s="15"/>
      <c r="HQC2" s="15"/>
      <c r="HQD2" s="6"/>
      <c r="HQE2" s="15"/>
      <c r="HQF2" s="53" t="str">
        <f>[4]利润表!$P$2</f>
        <v>日  期：2012年9月15日</v>
      </c>
      <c r="HQG2" s="14"/>
      <c r="HQH2" s="15"/>
      <c r="HQI2" s="16"/>
      <c r="HQJ2" s="15"/>
      <c r="HQK2" s="15"/>
      <c r="HQL2" s="15"/>
      <c r="HQM2" s="15"/>
      <c r="HQN2" s="15"/>
      <c r="HQO2" s="6"/>
      <c r="HQP2" s="6"/>
      <c r="HQQ2" s="6"/>
      <c r="HQR2" s="15"/>
      <c r="HQS2" s="15"/>
      <c r="HQT2" s="6"/>
      <c r="HQU2" s="15"/>
      <c r="HQV2" s="53" t="str">
        <f>[4]利润表!$P$2</f>
        <v>日  期：2012年9月15日</v>
      </c>
      <c r="HQW2" s="14"/>
      <c r="HQX2" s="15"/>
      <c r="HQY2" s="16"/>
      <c r="HQZ2" s="15"/>
      <c r="HRA2" s="15"/>
      <c r="HRB2" s="15"/>
      <c r="HRC2" s="15"/>
      <c r="HRD2" s="15"/>
      <c r="HRE2" s="6"/>
      <c r="HRF2" s="6"/>
      <c r="HRG2" s="6"/>
      <c r="HRH2" s="15"/>
      <c r="HRI2" s="15"/>
      <c r="HRJ2" s="6"/>
      <c r="HRK2" s="15"/>
      <c r="HRL2" s="53" t="str">
        <f>[4]利润表!$P$2</f>
        <v>日  期：2012年9月15日</v>
      </c>
      <c r="HRM2" s="14"/>
      <c r="HRN2" s="15"/>
      <c r="HRO2" s="16"/>
      <c r="HRP2" s="15"/>
      <c r="HRQ2" s="15"/>
      <c r="HRR2" s="15"/>
      <c r="HRS2" s="15"/>
      <c r="HRT2" s="15"/>
      <c r="HRU2" s="6"/>
      <c r="HRV2" s="6"/>
      <c r="HRW2" s="6"/>
      <c r="HRX2" s="15"/>
      <c r="HRY2" s="15"/>
      <c r="HRZ2" s="6"/>
      <c r="HSA2" s="15"/>
      <c r="HSB2" s="53" t="str">
        <f>[4]利润表!$P$2</f>
        <v>日  期：2012年9月15日</v>
      </c>
      <c r="HSC2" s="14"/>
      <c r="HSD2" s="15"/>
      <c r="HSE2" s="16"/>
      <c r="HSF2" s="15"/>
      <c r="HSG2" s="15"/>
      <c r="HSH2" s="15"/>
      <c r="HSI2" s="15"/>
      <c r="HSJ2" s="15"/>
      <c r="HSK2" s="6"/>
      <c r="HSL2" s="6"/>
      <c r="HSM2" s="6"/>
      <c r="HSN2" s="15"/>
      <c r="HSO2" s="15"/>
      <c r="HSP2" s="6"/>
      <c r="HSQ2" s="15"/>
      <c r="HSR2" s="53" t="str">
        <f>[4]利润表!$P$2</f>
        <v>日  期：2012年9月15日</v>
      </c>
      <c r="HSS2" s="14"/>
      <c r="HST2" s="15"/>
      <c r="HSU2" s="16"/>
      <c r="HSV2" s="15"/>
      <c r="HSW2" s="15"/>
      <c r="HSX2" s="15"/>
      <c r="HSY2" s="15"/>
      <c r="HSZ2" s="15"/>
      <c r="HTA2" s="6"/>
      <c r="HTB2" s="6"/>
      <c r="HTC2" s="6"/>
      <c r="HTD2" s="15"/>
      <c r="HTE2" s="15"/>
      <c r="HTF2" s="6"/>
      <c r="HTG2" s="15"/>
      <c r="HTH2" s="53" t="str">
        <f>[4]利润表!$P$2</f>
        <v>日  期：2012年9月15日</v>
      </c>
      <c r="HTI2" s="14"/>
      <c r="HTJ2" s="15"/>
      <c r="HTK2" s="16"/>
      <c r="HTL2" s="15"/>
      <c r="HTM2" s="15"/>
      <c r="HTN2" s="15"/>
      <c r="HTO2" s="15"/>
      <c r="HTP2" s="15"/>
      <c r="HTQ2" s="6"/>
      <c r="HTR2" s="6"/>
      <c r="HTS2" s="6"/>
      <c r="HTT2" s="15"/>
      <c r="HTU2" s="15"/>
      <c r="HTV2" s="6"/>
      <c r="HTW2" s="15"/>
      <c r="HTX2" s="53" t="str">
        <f>[4]利润表!$P$2</f>
        <v>日  期：2012年9月15日</v>
      </c>
      <c r="HTY2" s="14"/>
      <c r="HTZ2" s="15"/>
      <c r="HUA2" s="16"/>
      <c r="HUB2" s="15"/>
      <c r="HUC2" s="15"/>
      <c r="HUD2" s="15"/>
      <c r="HUE2" s="15"/>
      <c r="HUF2" s="15"/>
      <c r="HUG2" s="6"/>
      <c r="HUH2" s="6"/>
      <c r="HUI2" s="6"/>
      <c r="HUJ2" s="15"/>
      <c r="HUK2" s="15"/>
      <c r="HUL2" s="6"/>
      <c r="HUM2" s="15"/>
      <c r="HUN2" s="53" t="str">
        <f>[4]利润表!$P$2</f>
        <v>日  期：2012年9月15日</v>
      </c>
      <c r="HUO2" s="14"/>
      <c r="HUP2" s="15"/>
      <c r="HUQ2" s="16"/>
      <c r="HUR2" s="15"/>
      <c r="HUS2" s="15"/>
      <c r="HUT2" s="15"/>
      <c r="HUU2" s="15"/>
      <c r="HUV2" s="15"/>
      <c r="HUW2" s="6"/>
      <c r="HUX2" s="6"/>
      <c r="HUY2" s="6"/>
      <c r="HUZ2" s="15"/>
      <c r="HVA2" s="15"/>
      <c r="HVB2" s="6"/>
      <c r="HVC2" s="15"/>
      <c r="HVD2" s="53" t="str">
        <f>[4]利润表!$P$2</f>
        <v>日  期：2012年9月15日</v>
      </c>
      <c r="HVE2" s="14"/>
      <c r="HVF2" s="15"/>
      <c r="HVG2" s="16"/>
      <c r="HVH2" s="15"/>
      <c r="HVI2" s="15"/>
      <c r="HVJ2" s="15"/>
      <c r="HVK2" s="15"/>
      <c r="HVL2" s="15"/>
      <c r="HVM2" s="6"/>
      <c r="HVN2" s="6"/>
      <c r="HVO2" s="6"/>
      <c r="HVP2" s="15"/>
      <c r="HVQ2" s="15"/>
      <c r="HVR2" s="6"/>
      <c r="HVS2" s="15"/>
      <c r="HVT2" s="53" t="str">
        <f>[4]利润表!$P$2</f>
        <v>日  期：2012年9月15日</v>
      </c>
      <c r="HVU2" s="14"/>
      <c r="HVV2" s="15"/>
      <c r="HVW2" s="16"/>
      <c r="HVX2" s="15"/>
      <c r="HVY2" s="15"/>
      <c r="HVZ2" s="15"/>
      <c r="HWA2" s="15"/>
      <c r="HWB2" s="15"/>
      <c r="HWC2" s="6"/>
      <c r="HWD2" s="6"/>
      <c r="HWE2" s="6"/>
      <c r="HWF2" s="15"/>
      <c r="HWG2" s="15"/>
      <c r="HWH2" s="6"/>
      <c r="HWI2" s="15"/>
      <c r="HWJ2" s="53" t="str">
        <f>[4]利润表!$P$2</f>
        <v>日  期：2012年9月15日</v>
      </c>
      <c r="HWK2" s="14"/>
      <c r="HWL2" s="15"/>
      <c r="HWM2" s="16"/>
      <c r="HWN2" s="15"/>
      <c r="HWO2" s="15"/>
      <c r="HWP2" s="15"/>
      <c r="HWQ2" s="15"/>
      <c r="HWR2" s="15"/>
      <c r="HWS2" s="6"/>
      <c r="HWT2" s="6"/>
      <c r="HWU2" s="6"/>
      <c r="HWV2" s="15"/>
      <c r="HWW2" s="15"/>
      <c r="HWX2" s="6"/>
      <c r="HWY2" s="15"/>
      <c r="HWZ2" s="53" t="str">
        <f>[4]利润表!$P$2</f>
        <v>日  期：2012年9月15日</v>
      </c>
      <c r="HXA2" s="14"/>
      <c r="HXB2" s="15"/>
      <c r="HXC2" s="16"/>
      <c r="HXD2" s="15"/>
      <c r="HXE2" s="15"/>
      <c r="HXF2" s="15"/>
      <c r="HXG2" s="15"/>
      <c r="HXH2" s="15"/>
      <c r="HXI2" s="6"/>
      <c r="HXJ2" s="6"/>
      <c r="HXK2" s="6"/>
      <c r="HXL2" s="15"/>
      <c r="HXM2" s="15"/>
      <c r="HXN2" s="6"/>
      <c r="HXO2" s="15"/>
      <c r="HXP2" s="53" t="str">
        <f>[4]利润表!$P$2</f>
        <v>日  期：2012年9月15日</v>
      </c>
      <c r="HXQ2" s="14"/>
      <c r="HXR2" s="15"/>
      <c r="HXS2" s="16"/>
      <c r="HXT2" s="15"/>
      <c r="HXU2" s="15"/>
      <c r="HXV2" s="15"/>
      <c r="HXW2" s="15"/>
      <c r="HXX2" s="15"/>
      <c r="HXY2" s="6"/>
      <c r="HXZ2" s="6"/>
      <c r="HYA2" s="6"/>
      <c r="HYB2" s="15"/>
      <c r="HYC2" s="15"/>
      <c r="HYD2" s="6"/>
      <c r="HYE2" s="15"/>
      <c r="HYF2" s="53" t="str">
        <f>[4]利润表!$P$2</f>
        <v>日  期：2012年9月15日</v>
      </c>
      <c r="HYG2" s="14"/>
      <c r="HYH2" s="15"/>
      <c r="HYI2" s="16"/>
      <c r="HYJ2" s="15"/>
      <c r="HYK2" s="15"/>
      <c r="HYL2" s="15"/>
      <c r="HYM2" s="15"/>
      <c r="HYN2" s="15"/>
      <c r="HYO2" s="6"/>
      <c r="HYP2" s="6"/>
      <c r="HYQ2" s="6"/>
      <c r="HYR2" s="15"/>
      <c r="HYS2" s="15"/>
      <c r="HYT2" s="6"/>
      <c r="HYU2" s="15"/>
      <c r="HYV2" s="53" t="str">
        <f>[4]利润表!$P$2</f>
        <v>日  期：2012年9月15日</v>
      </c>
      <c r="HYW2" s="14"/>
      <c r="HYX2" s="15"/>
      <c r="HYY2" s="16"/>
      <c r="HYZ2" s="15"/>
      <c r="HZA2" s="15"/>
      <c r="HZB2" s="15"/>
      <c r="HZC2" s="15"/>
      <c r="HZD2" s="15"/>
      <c r="HZE2" s="6"/>
      <c r="HZF2" s="6"/>
      <c r="HZG2" s="6"/>
      <c r="HZH2" s="15"/>
      <c r="HZI2" s="15"/>
      <c r="HZJ2" s="6"/>
      <c r="HZK2" s="15"/>
      <c r="HZL2" s="53" t="str">
        <f>[4]利润表!$P$2</f>
        <v>日  期：2012年9月15日</v>
      </c>
      <c r="HZM2" s="14"/>
      <c r="HZN2" s="15"/>
      <c r="HZO2" s="16"/>
      <c r="HZP2" s="15"/>
      <c r="HZQ2" s="15"/>
      <c r="HZR2" s="15"/>
      <c r="HZS2" s="15"/>
      <c r="HZT2" s="15"/>
      <c r="HZU2" s="6"/>
      <c r="HZV2" s="6"/>
      <c r="HZW2" s="6"/>
      <c r="HZX2" s="15"/>
      <c r="HZY2" s="15"/>
      <c r="HZZ2" s="6"/>
      <c r="IAA2" s="15"/>
      <c r="IAB2" s="53" t="str">
        <f>[4]利润表!$P$2</f>
        <v>日  期：2012年9月15日</v>
      </c>
      <c r="IAC2" s="14"/>
      <c r="IAD2" s="15"/>
      <c r="IAE2" s="16"/>
      <c r="IAF2" s="15"/>
      <c r="IAG2" s="15"/>
      <c r="IAH2" s="15"/>
      <c r="IAI2" s="15"/>
      <c r="IAJ2" s="15"/>
      <c r="IAK2" s="6"/>
      <c r="IAL2" s="6"/>
      <c r="IAM2" s="6"/>
      <c r="IAN2" s="15"/>
      <c r="IAO2" s="15"/>
      <c r="IAP2" s="6"/>
      <c r="IAQ2" s="15"/>
      <c r="IAR2" s="53" t="str">
        <f>[4]利润表!$P$2</f>
        <v>日  期：2012年9月15日</v>
      </c>
      <c r="IAS2" s="14"/>
      <c r="IAT2" s="15"/>
      <c r="IAU2" s="16"/>
      <c r="IAV2" s="15"/>
      <c r="IAW2" s="15"/>
      <c r="IAX2" s="15"/>
      <c r="IAY2" s="15"/>
      <c r="IAZ2" s="15"/>
      <c r="IBA2" s="6"/>
      <c r="IBB2" s="6"/>
      <c r="IBC2" s="6"/>
      <c r="IBD2" s="15"/>
      <c r="IBE2" s="15"/>
      <c r="IBF2" s="6"/>
      <c r="IBG2" s="15"/>
      <c r="IBH2" s="53" t="str">
        <f>[4]利润表!$P$2</f>
        <v>日  期：2012年9月15日</v>
      </c>
      <c r="IBI2" s="14"/>
      <c r="IBJ2" s="15"/>
      <c r="IBK2" s="16"/>
      <c r="IBL2" s="15"/>
      <c r="IBM2" s="15"/>
      <c r="IBN2" s="15"/>
      <c r="IBO2" s="15"/>
      <c r="IBP2" s="15"/>
      <c r="IBQ2" s="6"/>
      <c r="IBR2" s="6"/>
      <c r="IBS2" s="6"/>
      <c r="IBT2" s="15"/>
      <c r="IBU2" s="15"/>
      <c r="IBV2" s="6"/>
      <c r="IBW2" s="15"/>
      <c r="IBX2" s="53" t="str">
        <f>[4]利润表!$P$2</f>
        <v>日  期：2012年9月15日</v>
      </c>
      <c r="IBY2" s="14"/>
      <c r="IBZ2" s="15"/>
      <c r="ICA2" s="16"/>
      <c r="ICB2" s="15"/>
      <c r="ICC2" s="15"/>
      <c r="ICD2" s="15"/>
      <c r="ICE2" s="15"/>
      <c r="ICF2" s="15"/>
      <c r="ICG2" s="6"/>
      <c r="ICH2" s="6"/>
      <c r="ICI2" s="6"/>
      <c r="ICJ2" s="15"/>
      <c r="ICK2" s="15"/>
      <c r="ICL2" s="6"/>
      <c r="ICM2" s="15"/>
      <c r="ICN2" s="53" t="str">
        <f>[4]利润表!$P$2</f>
        <v>日  期：2012年9月15日</v>
      </c>
      <c r="ICO2" s="14"/>
      <c r="ICP2" s="15"/>
      <c r="ICQ2" s="16"/>
      <c r="ICR2" s="15"/>
      <c r="ICS2" s="15"/>
      <c r="ICT2" s="15"/>
      <c r="ICU2" s="15"/>
      <c r="ICV2" s="15"/>
      <c r="ICW2" s="6"/>
      <c r="ICX2" s="6"/>
      <c r="ICY2" s="6"/>
      <c r="ICZ2" s="15"/>
      <c r="IDA2" s="15"/>
      <c r="IDB2" s="6"/>
      <c r="IDC2" s="15"/>
      <c r="IDD2" s="53" t="str">
        <f>[4]利润表!$P$2</f>
        <v>日  期：2012年9月15日</v>
      </c>
      <c r="IDE2" s="14"/>
      <c r="IDF2" s="15"/>
      <c r="IDG2" s="16"/>
      <c r="IDH2" s="15"/>
      <c r="IDI2" s="15"/>
      <c r="IDJ2" s="15"/>
      <c r="IDK2" s="15"/>
      <c r="IDL2" s="15"/>
      <c r="IDM2" s="6"/>
      <c r="IDN2" s="6"/>
      <c r="IDO2" s="6"/>
      <c r="IDP2" s="15"/>
      <c r="IDQ2" s="15"/>
      <c r="IDR2" s="6"/>
      <c r="IDS2" s="15"/>
      <c r="IDT2" s="53" t="str">
        <f>[4]利润表!$P$2</f>
        <v>日  期：2012年9月15日</v>
      </c>
      <c r="IDU2" s="14"/>
      <c r="IDV2" s="15"/>
      <c r="IDW2" s="16"/>
      <c r="IDX2" s="15"/>
      <c r="IDY2" s="15"/>
      <c r="IDZ2" s="15"/>
      <c r="IEA2" s="15"/>
      <c r="IEB2" s="15"/>
      <c r="IEC2" s="6"/>
      <c r="IED2" s="6"/>
      <c r="IEE2" s="6"/>
      <c r="IEF2" s="15"/>
      <c r="IEG2" s="15"/>
      <c r="IEH2" s="6"/>
      <c r="IEI2" s="15"/>
      <c r="IEJ2" s="53" t="str">
        <f>[4]利润表!$P$2</f>
        <v>日  期：2012年9月15日</v>
      </c>
      <c r="IEK2" s="14"/>
      <c r="IEL2" s="15"/>
      <c r="IEM2" s="16"/>
      <c r="IEN2" s="15"/>
      <c r="IEO2" s="15"/>
      <c r="IEP2" s="15"/>
      <c r="IEQ2" s="15"/>
      <c r="IER2" s="15"/>
      <c r="IES2" s="6"/>
      <c r="IET2" s="6"/>
      <c r="IEU2" s="6"/>
      <c r="IEV2" s="15"/>
      <c r="IEW2" s="15"/>
      <c r="IEX2" s="6"/>
      <c r="IEY2" s="15"/>
      <c r="IEZ2" s="53" t="str">
        <f>[4]利润表!$P$2</f>
        <v>日  期：2012年9月15日</v>
      </c>
      <c r="IFA2" s="14"/>
      <c r="IFB2" s="15"/>
      <c r="IFC2" s="16"/>
      <c r="IFD2" s="15"/>
      <c r="IFE2" s="15"/>
      <c r="IFF2" s="15"/>
      <c r="IFG2" s="15"/>
      <c r="IFH2" s="15"/>
      <c r="IFI2" s="6"/>
      <c r="IFJ2" s="6"/>
      <c r="IFK2" s="6"/>
      <c r="IFL2" s="15"/>
      <c r="IFM2" s="15"/>
      <c r="IFN2" s="6"/>
      <c r="IFO2" s="15"/>
      <c r="IFP2" s="53" t="str">
        <f>[4]利润表!$P$2</f>
        <v>日  期：2012年9月15日</v>
      </c>
      <c r="IFQ2" s="14"/>
      <c r="IFR2" s="15"/>
      <c r="IFS2" s="16"/>
      <c r="IFT2" s="15"/>
      <c r="IFU2" s="15"/>
      <c r="IFV2" s="15"/>
      <c r="IFW2" s="15"/>
      <c r="IFX2" s="15"/>
      <c r="IFY2" s="6"/>
      <c r="IFZ2" s="6"/>
      <c r="IGA2" s="6"/>
      <c r="IGB2" s="15"/>
      <c r="IGC2" s="15"/>
      <c r="IGD2" s="6"/>
      <c r="IGE2" s="15"/>
      <c r="IGF2" s="53" t="str">
        <f>[4]利润表!$P$2</f>
        <v>日  期：2012年9月15日</v>
      </c>
      <c r="IGG2" s="14"/>
      <c r="IGH2" s="15"/>
      <c r="IGI2" s="16"/>
      <c r="IGJ2" s="15"/>
      <c r="IGK2" s="15"/>
      <c r="IGL2" s="15"/>
      <c r="IGM2" s="15"/>
      <c r="IGN2" s="15"/>
      <c r="IGO2" s="6"/>
      <c r="IGP2" s="6"/>
      <c r="IGQ2" s="6"/>
      <c r="IGR2" s="15"/>
      <c r="IGS2" s="15"/>
      <c r="IGT2" s="6"/>
      <c r="IGU2" s="15"/>
      <c r="IGV2" s="53" t="str">
        <f>[4]利润表!$P$2</f>
        <v>日  期：2012年9月15日</v>
      </c>
      <c r="IGW2" s="14"/>
      <c r="IGX2" s="15"/>
      <c r="IGY2" s="16"/>
      <c r="IGZ2" s="15"/>
      <c r="IHA2" s="15"/>
      <c r="IHB2" s="15"/>
      <c r="IHC2" s="15"/>
      <c r="IHD2" s="15"/>
      <c r="IHE2" s="6"/>
      <c r="IHF2" s="6"/>
      <c r="IHG2" s="6"/>
      <c r="IHH2" s="15"/>
      <c r="IHI2" s="15"/>
      <c r="IHJ2" s="6"/>
      <c r="IHK2" s="15"/>
      <c r="IHL2" s="53" t="str">
        <f>[4]利润表!$P$2</f>
        <v>日  期：2012年9月15日</v>
      </c>
      <c r="IHM2" s="14"/>
      <c r="IHN2" s="15"/>
      <c r="IHO2" s="16"/>
      <c r="IHP2" s="15"/>
      <c r="IHQ2" s="15"/>
      <c r="IHR2" s="15"/>
      <c r="IHS2" s="15"/>
      <c r="IHT2" s="15"/>
      <c r="IHU2" s="6"/>
      <c r="IHV2" s="6"/>
      <c r="IHW2" s="6"/>
      <c r="IHX2" s="15"/>
      <c r="IHY2" s="15"/>
      <c r="IHZ2" s="6"/>
      <c r="IIA2" s="15"/>
      <c r="IIB2" s="53" t="str">
        <f>[4]利润表!$P$2</f>
        <v>日  期：2012年9月15日</v>
      </c>
      <c r="IIC2" s="14"/>
      <c r="IID2" s="15"/>
      <c r="IIE2" s="16"/>
      <c r="IIF2" s="15"/>
      <c r="IIG2" s="15"/>
      <c r="IIH2" s="15"/>
      <c r="III2" s="15"/>
      <c r="IIJ2" s="15"/>
      <c r="IIK2" s="6"/>
      <c r="IIL2" s="6"/>
      <c r="IIM2" s="6"/>
      <c r="IIN2" s="15"/>
      <c r="IIO2" s="15"/>
      <c r="IIP2" s="6"/>
      <c r="IIQ2" s="15"/>
      <c r="IIR2" s="53" t="str">
        <f>[4]利润表!$P$2</f>
        <v>日  期：2012年9月15日</v>
      </c>
      <c r="IIS2" s="14"/>
      <c r="IIT2" s="15"/>
      <c r="IIU2" s="16"/>
      <c r="IIV2" s="15"/>
      <c r="IIW2" s="15"/>
      <c r="IIX2" s="15"/>
      <c r="IIY2" s="15"/>
      <c r="IIZ2" s="15"/>
      <c r="IJA2" s="6"/>
      <c r="IJB2" s="6"/>
      <c r="IJC2" s="6"/>
      <c r="IJD2" s="15"/>
      <c r="IJE2" s="15"/>
      <c r="IJF2" s="6"/>
      <c r="IJG2" s="15"/>
      <c r="IJH2" s="53" t="str">
        <f>[4]利润表!$P$2</f>
        <v>日  期：2012年9月15日</v>
      </c>
      <c r="IJI2" s="14"/>
      <c r="IJJ2" s="15"/>
      <c r="IJK2" s="16"/>
      <c r="IJL2" s="15"/>
      <c r="IJM2" s="15"/>
      <c r="IJN2" s="15"/>
      <c r="IJO2" s="15"/>
      <c r="IJP2" s="15"/>
      <c r="IJQ2" s="6"/>
      <c r="IJR2" s="6"/>
      <c r="IJS2" s="6"/>
      <c r="IJT2" s="15"/>
      <c r="IJU2" s="15"/>
      <c r="IJV2" s="6"/>
      <c r="IJW2" s="15"/>
      <c r="IJX2" s="53" t="str">
        <f>[4]利润表!$P$2</f>
        <v>日  期：2012年9月15日</v>
      </c>
      <c r="IJY2" s="14"/>
      <c r="IJZ2" s="15"/>
      <c r="IKA2" s="16"/>
      <c r="IKB2" s="15"/>
      <c r="IKC2" s="15"/>
      <c r="IKD2" s="15"/>
      <c r="IKE2" s="15"/>
      <c r="IKF2" s="15"/>
      <c r="IKG2" s="6"/>
      <c r="IKH2" s="6"/>
      <c r="IKI2" s="6"/>
      <c r="IKJ2" s="15"/>
      <c r="IKK2" s="15"/>
      <c r="IKL2" s="6"/>
      <c r="IKM2" s="15"/>
      <c r="IKN2" s="53" t="str">
        <f>[4]利润表!$P$2</f>
        <v>日  期：2012年9月15日</v>
      </c>
      <c r="IKO2" s="14"/>
      <c r="IKP2" s="15"/>
      <c r="IKQ2" s="16"/>
      <c r="IKR2" s="15"/>
      <c r="IKS2" s="15"/>
      <c r="IKT2" s="15"/>
      <c r="IKU2" s="15"/>
      <c r="IKV2" s="15"/>
      <c r="IKW2" s="6"/>
      <c r="IKX2" s="6"/>
      <c r="IKY2" s="6"/>
      <c r="IKZ2" s="15"/>
      <c r="ILA2" s="15"/>
      <c r="ILB2" s="6"/>
      <c r="ILC2" s="15"/>
      <c r="ILD2" s="53" t="str">
        <f>[4]利润表!$P$2</f>
        <v>日  期：2012年9月15日</v>
      </c>
      <c r="ILE2" s="14"/>
      <c r="ILF2" s="15"/>
      <c r="ILG2" s="16"/>
      <c r="ILH2" s="15"/>
      <c r="ILI2" s="15"/>
      <c r="ILJ2" s="15"/>
      <c r="ILK2" s="15"/>
      <c r="ILL2" s="15"/>
      <c r="ILM2" s="6"/>
      <c r="ILN2" s="6"/>
      <c r="ILO2" s="6"/>
      <c r="ILP2" s="15"/>
      <c r="ILQ2" s="15"/>
      <c r="ILR2" s="6"/>
      <c r="ILS2" s="15"/>
      <c r="ILT2" s="53" t="str">
        <f>[4]利润表!$P$2</f>
        <v>日  期：2012年9月15日</v>
      </c>
      <c r="ILU2" s="14"/>
      <c r="ILV2" s="15"/>
      <c r="ILW2" s="16"/>
      <c r="ILX2" s="15"/>
      <c r="ILY2" s="15"/>
      <c r="ILZ2" s="15"/>
      <c r="IMA2" s="15"/>
      <c r="IMB2" s="15"/>
      <c r="IMC2" s="6"/>
      <c r="IMD2" s="6"/>
      <c r="IME2" s="6"/>
      <c r="IMF2" s="15"/>
      <c r="IMG2" s="15"/>
      <c r="IMH2" s="6"/>
      <c r="IMI2" s="15"/>
      <c r="IMJ2" s="53" t="str">
        <f>[4]利润表!$P$2</f>
        <v>日  期：2012年9月15日</v>
      </c>
      <c r="IMK2" s="14"/>
      <c r="IML2" s="15"/>
      <c r="IMM2" s="16"/>
      <c r="IMN2" s="15"/>
      <c r="IMO2" s="15"/>
      <c r="IMP2" s="15"/>
      <c r="IMQ2" s="15"/>
      <c r="IMR2" s="15"/>
      <c r="IMS2" s="6"/>
      <c r="IMT2" s="6"/>
      <c r="IMU2" s="6"/>
      <c r="IMV2" s="15"/>
      <c r="IMW2" s="15"/>
      <c r="IMX2" s="6"/>
      <c r="IMY2" s="15"/>
      <c r="IMZ2" s="53" t="str">
        <f>[4]利润表!$P$2</f>
        <v>日  期：2012年9月15日</v>
      </c>
      <c r="INA2" s="14"/>
      <c r="INB2" s="15"/>
      <c r="INC2" s="16"/>
      <c r="IND2" s="15"/>
      <c r="INE2" s="15"/>
      <c r="INF2" s="15"/>
      <c r="ING2" s="15"/>
      <c r="INH2" s="15"/>
      <c r="INI2" s="6"/>
      <c r="INJ2" s="6"/>
      <c r="INK2" s="6"/>
      <c r="INL2" s="15"/>
      <c r="INM2" s="15"/>
      <c r="INN2" s="6"/>
      <c r="INO2" s="15"/>
      <c r="INP2" s="53" t="str">
        <f>[4]利润表!$P$2</f>
        <v>日  期：2012年9月15日</v>
      </c>
      <c r="INQ2" s="14"/>
      <c r="INR2" s="15"/>
      <c r="INS2" s="16"/>
      <c r="INT2" s="15"/>
      <c r="INU2" s="15"/>
      <c r="INV2" s="15"/>
      <c r="INW2" s="15"/>
      <c r="INX2" s="15"/>
      <c r="INY2" s="6"/>
      <c r="INZ2" s="6"/>
      <c r="IOA2" s="6"/>
      <c r="IOB2" s="15"/>
      <c r="IOC2" s="15"/>
      <c r="IOD2" s="6"/>
      <c r="IOE2" s="15"/>
      <c r="IOF2" s="53" t="str">
        <f>[4]利润表!$P$2</f>
        <v>日  期：2012年9月15日</v>
      </c>
      <c r="IOG2" s="14"/>
      <c r="IOH2" s="15"/>
      <c r="IOI2" s="16"/>
      <c r="IOJ2" s="15"/>
      <c r="IOK2" s="15"/>
      <c r="IOL2" s="15"/>
      <c r="IOM2" s="15"/>
      <c r="ION2" s="15"/>
      <c r="IOO2" s="6"/>
      <c r="IOP2" s="6"/>
      <c r="IOQ2" s="6"/>
      <c r="IOR2" s="15"/>
      <c r="IOS2" s="15"/>
      <c r="IOT2" s="6"/>
      <c r="IOU2" s="15"/>
      <c r="IOV2" s="53" t="str">
        <f>[4]利润表!$P$2</f>
        <v>日  期：2012年9月15日</v>
      </c>
      <c r="IOW2" s="14"/>
      <c r="IOX2" s="15"/>
      <c r="IOY2" s="16"/>
      <c r="IOZ2" s="15"/>
      <c r="IPA2" s="15"/>
      <c r="IPB2" s="15"/>
      <c r="IPC2" s="15"/>
      <c r="IPD2" s="15"/>
      <c r="IPE2" s="6"/>
      <c r="IPF2" s="6"/>
      <c r="IPG2" s="6"/>
      <c r="IPH2" s="15"/>
      <c r="IPI2" s="15"/>
      <c r="IPJ2" s="6"/>
      <c r="IPK2" s="15"/>
      <c r="IPL2" s="53" t="str">
        <f>[4]利润表!$P$2</f>
        <v>日  期：2012年9月15日</v>
      </c>
      <c r="IPM2" s="14"/>
      <c r="IPN2" s="15"/>
      <c r="IPO2" s="16"/>
      <c r="IPP2" s="15"/>
      <c r="IPQ2" s="15"/>
      <c r="IPR2" s="15"/>
      <c r="IPS2" s="15"/>
      <c r="IPT2" s="15"/>
      <c r="IPU2" s="6"/>
      <c r="IPV2" s="6"/>
      <c r="IPW2" s="6"/>
      <c r="IPX2" s="15"/>
      <c r="IPY2" s="15"/>
      <c r="IPZ2" s="6"/>
      <c r="IQA2" s="15"/>
      <c r="IQB2" s="53" t="str">
        <f>[4]利润表!$P$2</f>
        <v>日  期：2012年9月15日</v>
      </c>
      <c r="IQC2" s="14"/>
      <c r="IQD2" s="15"/>
      <c r="IQE2" s="16"/>
      <c r="IQF2" s="15"/>
      <c r="IQG2" s="15"/>
      <c r="IQH2" s="15"/>
      <c r="IQI2" s="15"/>
      <c r="IQJ2" s="15"/>
      <c r="IQK2" s="6"/>
      <c r="IQL2" s="6"/>
      <c r="IQM2" s="6"/>
      <c r="IQN2" s="15"/>
      <c r="IQO2" s="15"/>
      <c r="IQP2" s="6"/>
      <c r="IQQ2" s="15"/>
      <c r="IQR2" s="53" t="str">
        <f>[4]利润表!$P$2</f>
        <v>日  期：2012年9月15日</v>
      </c>
      <c r="IQS2" s="14"/>
      <c r="IQT2" s="15"/>
      <c r="IQU2" s="16"/>
      <c r="IQV2" s="15"/>
      <c r="IQW2" s="15"/>
      <c r="IQX2" s="15"/>
      <c r="IQY2" s="15"/>
      <c r="IQZ2" s="15"/>
      <c r="IRA2" s="6"/>
      <c r="IRB2" s="6"/>
      <c r="IRC2" s="6"/>
      <c r="IRD2" s="15"/>
      <c r="IRE2" s="15"/>
      <c r="IRF2" s="6"/>
      <c r="IRG2" s="15"/>
      <c r="IRH2" s="53" t="str">
        <f>[4]利润表!$P$2</f>
        <v>日  期：2012年9月15日</v>
      </c>
      <c r="IRI2" s="14"/>
      <c r="IRJ2" s="15"/>
      <c r="IRK2" s="16"/>
      <c r="IRL2" s="15"/>
      <c r="IRM2" s="15"/>
      <c r="IRN2" s="15"/>
      <c r="IRO2" s="15"/>
      <c r="IRP2" s="15"/>
      <c r="IRQ2" s="6"/>
      <c r="IRR2" s="6"/>
      <c r="IRS2" s="6"/>
      <c r="IRT2" s="15"/>
      <c r="IRU2" s="15"/>
      <c r="IRV2" s="6"/>
      <c r="IRW2" s="15"/>
      <c r="IRX2" s="53" t="str">
        <f>[4]利润表!$P$2</f>
        <v>日  期：2012年9月15日</v>
      </c>
      <c r="IRY2" s="14"/>
      <c r="IRZ2" s="15"/>
      <c r="ISA2" s="16"/>
      <c r="ISB2" s="15"/>
      <c r="ISC2" s="15"/>
      <c r="ISD2" s="15"/>
      <c r="ISE2" s="15"/>
      <c r="ISF2" s="15"/>
      <c r="ISG2" s="6"/>
      <c r="ISH2" s="6"/>
      <c r="ISI2" s="6"/>
      <c r="ISJ2" s="15"/>
      <c r="ISK2" s="15"/>
      <c r="ISL2" s="6"/>
      <c r="ISM2" s="15"/>
      <c r="ISN2" s="53" t="str">
        <f>[4]利润表!$P$2</f>
        <v>日  期：2012年9月15日</v>
      </c>
      <c r="ISO2" s="14"/>
      <c r="ISP2" s="15"/>
      <c r="ISQ2" s="16"/>
      <c r="ISR2" s="15"/>
      <c r="ISS2" s="15"/>
      <c r="IST2" s="15"/>
      <c r="ISU2" s="15"/>
      <c r="ISV2" s="15"/>
      <c r="ISW2" s="6"/>
      <c r="ISX2" s="6"/>
      <c r="ISY2" s="6"/>
      <c r="ISZ2" s="15"/>
      <c r="ITA2" s="15"/>
      <c r="ITB2" s="6"/>
      <c r="ITC2" s="15"/>
      <c r="ITD2" s="53" t="str">
        <f>[4]利润表!$P$2</f>
        <v>日  期：2012年9月15日</v>
      </c>
      <c r="ITE2" s="14"/>
      <c r="ITF2" s="15"/>
      <c r="ITG2" s="16"/>
      <c r="ITH2" s="15"/>
      <c r="ITI2" s="15"/>
      <c r="ITJ2" s="15"/>
      <c r="ITK2" s="15"/>
      <c r="ITL2" s="15"/>
      <c r="ITM2" s="6"/>
      <c r="ITN2" s="6"/>
      <c r="ITO2" s="6"/>
      <c r="ITP2" s="15"/>
      <c r="ITQ2" s="15"/>
      <c r="ITR2" s="6"/>
      <c r="ITS2" s="15"/>
      <c r="ITT2" s="53" t="str">
        <f>[4]利润表!$P$2</f>
        <v>日  期：2012年9月15日</v>
      </c>
      <c r="ITU2" s="14"/>
      <c r="ITV2" s="15"/>
      <c r="ITW2" s="16"/>
      <c r="ITX2" s="15"/>
      <c r="ITY2" s="15"/>
      <c r="ITZ2" s="15"/>
      <c r="IUA2" s="15"/>
      <c r="IUB2" s="15"/>
      <c r="IUC2" s="6"/>
      <c r="IUD2" s="6"/>
      <c r="IUE2" s="6"/>
      <c r="IUF2" s="15"/>
      <c r="IUG2" s="15"/>
      <c r="IUH2" s="6"/>
      <c r="IUI2" s="15"/>
      <c r="IUJ2" s="53" t="str">
        <f>[4]利润表!$P$2</f>
        <v>日  期：2012年9月15日</v>
      </c>
      <c r="IUK2" s="14"/>
      <c r="IUL2" s="15"/>
      <c r="IUM2" s="16"/>
      <c r="IUN2" s="15"/>
      <c r="IUO2" s="15"/>
      <c r="IUP2" s="15"/>
      <c r="IUQ2" s="15"/>
      <c r="IUR2" s="15"/>
      <c r="IUS2" s="6"/>
      <c r="IUT2" s="6"/>
      <c r="IUU2" s="6"/>
      <c r="IUV2" s="15"/>
      <c r="IUW2" s="15"/>
      <c r="IUX2" s="6"/>
      <c r="IUY2" s="15"/>
      <c r="IUZ2" s="53" t="str">
        <f>[4]利润表!$P$2</f>
        <v>日  期：2012年9月15日</v>
      </c>
      <c r="IVA2" s="14"/>
      <c r="IVB2" s="15"/>
      <c r="IVC2" s="16"/>
      <c r="IVD2" s="15"/>
      <c r="IVE2" s="15"/>
      <c r="IVF2" s="15"/>
      <c r="IVG2" s="15"/>
      <c r="IVH2" s="15"/>
      <c r="IVI2" s="6"/>
      <c r="IVJ2" s="6"/>
      <c r="IVK2" s="6"/>
      <c r="IVL2" s="15"/>
      <c r="IVM2" s="15"/>
      <c r="IVN2" s="6"/>
      <c r="IVO2" s="15"/>
      <c r="IVP2" s="53" t="str">
        <f>[4]利润表!$P$2</f>
        <v>日  期：2012年9月15日</v>
      </c>
      <c r="IVQ2" s="14"/>
      <c r="IVR2" s="15"/>
      <c r="IVS2" s="16"/>
      <c r="IVT2" s="15"/>
      <c r="IVU2" s="15"/>
      <c r="IVV2" s="15"/>
      <c r="IVW2" s="15"/>
      <c r="IVX2" s="15"/>
      <c r="IVY2" s="6"/>
      <c r="IVZ2" s="6"/>
      <c r="IWA2" s="6"/>
      <c r="IWB2" s="15"/>
      <c r="IWC2" s="15"/>
      <c r="IWD2" s="6"/>
      <c r="IWE2" s="15"/>
      <c r="IWF2" s="53" t="str">
        <f>[4]利润表!$P$2</f>
        <v>日  期：2012年9月15日</v>
      </c>
      <c r="IWG2" s="14"/>
      <c r="IWH2" s="15"/>
      <c r="IWI2" s="16"/>
      <c r="IWJ2" s="15"/>
      <c r="IWK2" s="15"/>
      <c r="IWL2" s="15"/>
      <c r="IWM2" s="15"/>
      <c r="IWN2" s="15"/>
      <c r="IWO2" s="6"/>
      <c r="IWP2" s="6"/>
      <c r="IWQ2" s="6"/>
      <c r="IWR2" s="15"/>
      <c r="IWS2" s="15"/>
      <c r="IWT2" s="6"/>
      <c r="IWU2" s="15"/>
      <c r="IWV2" s="53" t="str">
        <f>[4]利润表!$P$2</f>
        <v>日  期：2012年9月15日</v>
      </c>
      <c r="IWW2" s="14"/>
      <c r="IWX2" s="15"/>
      <c r="IWY2" s="16"/>
      <c r="IWZ2" s="15"/>
      <c r="IXA2" s="15"/>
      <c r="IXB2" s="15"/>
      <c r="IXC2" s="15"/>
      <c r="IXD2" s="15"/>
      <c r="IXE2" s="6"/>
      <c r="IXF2" s="6"/>
      <c r="IXG2" s="6"/>
      <c r="IXH2" s="15"/>
      <c r="IXI2" s="15"/>
      <c r="IXJ2" s="6"/>
      <c r="IXK2" s="15"/>
      <c r="IXL2" s="53" t="str">
        <f>[4]利润表!$P$2</f>
        <v>日  期：2012年9月15日</v>
      </c>
      <c r="IXM2" s="14"/>
      <c r="IXN2" s="15"/>
      <c r="IXO2" s="16"/>
      <c r="IXP2" s="15"/>
      <c r="IXQ2" s="15"/>
      <c r="IXR2" s="15"/>
      <c r="IXS2" s="15"/>
      <c r="IXT2" s="15"/>
      <c r="IXU2" s="6"/>
      <c r="IXV2" s="6"/>
      <c r="IXW2" s="6"/>
      <c r="IXX2" s="15"/>
      <c r="IXY2" s="15"/>
      <c r="IXZ2" s="6"/>
      <c r="IYA2" s="15"/>
      <c r="IYB2" s="53" t="str">
        <f>[4]利润表!$P$2</f>
        <v>日  期：2012年9月15日</v>
      </c>
      <c r="IYC2" s="14"/>
      <c r="IYD2" s="15"/>
      <c r="IYE2" s="16"/>
      <c r="IYF2" s="15"/>
      <c r="IYG2" s="15"/>
      <c r="IYH2" s="15"/>
      <c r="IYI2" s="15"/>
      <c r="IYJ2" s="15"/>
      <c r="IYK2" s="6"/>
      <c r="IYL2" s="6"/>
      <c r="IYM2" s="6"/>
      <c r="IYN2" s="15"/>
      <c r="IYO2" s="15"/>
      <c r="IYP2" s="6"/>
      <c r="IYQ2" s="15"/>
      <c r="IYR2" s="53" t="str">
        <f>[4]利润表!$P$2</f>
        <v>日  期：2012年9月15日</v>
      </c>
      <c r="IYS2" s="14"/>
      <c r="IYT2" s="15"/>
      <c r="IYU2" s="16"/>
      <c r="IYV2" s="15"/>
      <c r="IYW2" s="15"/>
      <c r="IYX2" s="15"/>
      <c r="IYY2" s="15"/>
      <c r="IYZ2" s="15"/>
      <c r="IZA2" s="6"/>
      <c r="IZB2" s="6"/>
      <c r="IZC2" s="6"/>
      <c r="IZD2" s="15"/>
      <c r="IZE2" s="15"/>
      <c r="IZF2" s="6"/>
      <c r="IZG2" s="15"/>
      <c r="IZH2" s="53" t="str">
        <f>[4]利润表!$P$2</f>
        <v>日  期：2012年9月15日</v>
      </c>
      <c r="IZI2" s="14"/>
      <c r="IZJ2" s="15"/>
      <c r="IZK2" s="16"/>
      <c r="IZL2" s="15"/>
      <c r="IZM2" s="15"/>
      <c r="IZN2" s="15"/>
      <c r="IZO2" s="15"/>
      <c r="IZP2" s="15"/>
      <c r="IZQ2" s="6"/>
      <c r="IZR2" s="6"/>
      <c r="IZS2" s="6"/>
      <c r="IZT2" s="15"/>
      <c r="IZU2" s="15"/>
      <c r="IZV2" s="6"/>
      <c r="IZW2" s="15"/>
      <c r="IZX2" s="53" t="str">
        <f>[4]利润表!$P$2</f>
        <v>日  期：2012年9月15日</v>
      </c>
      <c r="IZY2" s="14"/>
      <c r="IZZ2" s="15"/>
      <c r="JAA2" s="16"/>
      <c r="JAB2" s="15"/>
      <c r="JAC2" s="15"/>
      <c r="JAD2" s="15"/>
      <c r="JAE2" s="15"/>
      <c r="JAF2" s="15"/>
      <c r="JAG2" s="6"/>
      <c r="JAH2" s="6"/>
      <c r="JAI2" s="6"/>
      <c r="JAJ2" s="15"/>
      <c r="JAK2" s="15"/>
      <c r="JAL2" s="6"/>
      <c r="JAM2" s="15"/>
      <c r="JAN2" s="53" t="str">
        <f>[4]利润表!$P$2</f>
        <v>日  期：2012年9月15日</v>
      </c>
      <c r="JAO2" s="14"/>
      <c r="JAP2" s="15"/>
      <c r="JAQ2" s="16"/>
      <c r="JAR2" s="15"/>
      <c r="JAS2" s="15"/>
      <c r="JAT2" s="15"/>
      <c r="JAU2" s="15"/>
      <c r="JAV2" s="15"/>
      <c r="JAW2" s="6"/>
      <c r="JAX2" s="6"/>
      <c r="JAY2" s="6"/>
      <c r="JAZ2" s="15"/>
      <c r="JBA2" s="15"/>
      <c r="JBB2" s="6"/>
      <c r="JBC2" s="15"/>
      <c r="JBD2" s="53" t="str">
        <f>[4]利润表!$P$2</f>
        <v>日  期：2012年9月15日</v>
      </c>
      <c r="JBE2" s="14"/>
      <c r="JBF2" s="15"/>
      <c r="JBG2" s="16"/>
      <c r="JBH2" s="15"/>
      <c r="JBI2" s="15"/>
      <c r="JBJ2" s="15"/>
      <c r="JBK2" s="15"/>
      <c r="JBL2" s="15"/>
      <c r="JBM2" s="6"/>
      <c r="JBN2" s="6"/>
      <c r="JBO2" s="6"/>
      <c r="JBP2" s="15"/>
      <c r="JBQ2" s="15"/>
      <c r="JBR2" s="6"/>
      <c r="JBS2" s="15"/>
      <c r="JBT2" s="53" t="str">
        <f>[4]利润表!$P$2</f>
        <v>日  期：2012年9月15日</v>
      </c>
      <c r="JBU2" s="14"/>
      <c r="JBV2" s="15"/>
      <c r="JBW2" s="16"/>
      <c r="JBX2" s="15"/>
      <c r="JBY2" s="15"/>
      <c r="JBZ2" s="15"/>
      <c r="JCA2" s="15"/>
      <c r="JCB2" s="15"/>
      <c r="JCC2" s="6"/>
      <c r="JCD2" s="6"/>
      <c r="JCE2" s="6"/>
      <c r="JCF2" s="15"/>
      <c r="JCG2" s="15"/>
      <c r="JCH2" s="6"/>
      <c r="JCI2" s="15"/>
      <c r="JCJ2" s="53" t="str">
        <f>[4]利润表!$P$2</f>
        <v>日  期：2012年9月15日</v>
      </c>
      <c r="JCK2" s="14"/>
      <c r="JCL2" s="15"/>
      <c r="JCM2" s="16"/>
      <c r="JCN2" s="15"/>
      <c r="JCO2" s="15"/>
      <c r="JCP2" s="15"/>
      <c r="JCQ2" s="15"/>
      <c r="JCR2" s="15"/>
      <c r="JCS2" s="6"/>
      <c r="JCT2" s="6"/>
      <c r="JCU2" s="6"/>
      <c r="JCV2" s="15"/>
      <c r="JCW2" s="15"/>
      <c r="JCX2" s="6"/>
      <c r="JCY2" s="15"/>
      <c r="JCZ2" s="53" t="str">
        <f>[4]利润表!$P$2</f>
        <v>日  期：2012年9月15日</v>
      </c>
      <c r="JDA2" s="14"/>
      <c r="JDB2" s="15"/>
      <c r="JDC2" s="16"/>
      <c r="JDD2" s="15"/>
      <c r="JDE2" s="15"/>
      <c r="JDF2" s="15"/>
      <c r="JDG2" s="15"/>
      <c r="JDH2" s="15"/>
      <c r="JDI2" s="6"/>
      <c r="JDJ2" s="6"/>
      <c r="JDK2" s="6"/>
      <c r="JDL2" s="15"/>
      <c r="JDM2" s="15"/>
      <c r="JDN2" s="6"/>
      <c r="JDO2" s="15"/>
      <c r="JDP2" s="53" t="str">
        <f>[4]利润表!$P$2</f>
        <v>日  期：2012年9月15日</v>
      </c>
      <c r="JDQ2" s="14"/>
      <c r="JDR2" s="15"/>
      <c r="JDS2" s="16"/>
      <c r="JDT2" s="15"/>
      <c r="JDU2" s="15"/>
      <c r="JDV2" s="15"/>
      <c r="JDW2" s="15"/>
      <c r="JDX2" s="15"/>
      <c r="JDY2" s="6"/>
      <c r="JDZ2" s="6"/>
      <c r="JEA2" s="6"/>
      <c r="JEB2" s="15"/>
      <c r="JEC2" s="15"/>
      <c r="JED2" s="6"/>
      <c r="JEE2" s="15"/>
      <c r="JEF2" s="53" t="str">
        <f>[4]利润表!$P$2</f>
        <v>日  期：2012年9月15日</v>
      </c>
      <c r="JEG2" s="14"/>
      <c r="JEH2" s="15"/>
      <c r="JEI2" s="16"/>
      <c r="JEJ2" s="15"/>
      <c r="JEK2" s="15"/>
      <c r="JEL2" s="15"/>
      <c r="JEM2" s="15"/>
      <c r="JEN2" s="15"/>
      <c r="JEO2" s="6"/>
      <c r="JEP2" s="6"/>
      <c r="JEQ2" s="6"/>
      <c r="JER2" s="15"/>
      <c r="JES2" s="15"/>
      <c r="JET2" s="6"/>
      <c r="JEU2" s="15"/>
      <c r="JEV2" s="53" t="str">
        <f>[4]利润表!$P$2</f>
        <v>日  期：2012年9月15日</v>
      </c>
      <c r="JEW2" s="14"/>
      <c r="JEX2" s="15"/>
      <c r="JEY2" s="16"/>
      <c r="JEZ2" s="15"/>
      <c r="JFA2" s="15"/>
      <c r="JFB2" s="15"/>
      <c r="JFC2" s="15"/>
      <c r="JFD2" s="15"/>
      <c r="JFE2" s="6"/>
      <c r="JFF2" s="6"/>
      <c r="JFG2" s="6"/>
      <c r="JFH2" s="15"/>
      <c r="JFI2" s="15"/>
      <c r="JFJ2" s="6"/>
      <c r="JFK2" s="15"/>
      <c r="JFL2" s="53" t="str">
        <f>[4]利润表!$P$2</f>
        <v>日  期：2012年9月15日</v>
      </c>
      <c r="JFM2" s="14"/>
      <c r="JFN2" s="15"/>
      <c r="JFO2" s="16"/>
      <c r="JFP2" s="15"/>
      <c r="JFQ2" s="15"/>
      <c r="JFR2" s="15"/>
      <c r="JFS2" s="15"/>
      <c r="JFT2" s="15"/>
      <c r="JFU2" s="6"/>
      <c r="JFV2" s="6"/>
      <c r="JFW2" s="6"/>
      <c r="JFX2" s="15"/>
      <c r="JFY2" s="15"/>
      <c r="JFZ2" s="6"/>
      <c r="JGA2" s="15"/>
      <c r="JGB2" s="53" t="str">
        <f>[4]利润表!$P$2</f>
        <v>日  期：2012年9月15日</v>
      </c>
      <c r="JGC2" s="14"/>
      <c r="JGD2" s="15"/>
      <c r="JGE2" s="16"/>
      <c r="JGF2" s="15"/>
      <c r="JGG2" s="15"/>
      <c r="JGH2" s="15"/>
      <c r="JGI2" s="15"/>
      <c r="JGJ2" s="15"/>
      <c r="JGK2" s="6"/>
      <c r="JGL2" s="6"/>
      <c r="JGM2" s="6"/>
      <c r="JGN2" s="15"/>
      <c r="JGO2" s="15"/>
      <c r="JGP2" s="6"/>
      <c r="JGQ2" s="15"/>
      <c r="JGR2" s="53" t="str">
        <f>[4]利润表!$P$2</f>
        <v>日  期：2012年9月15日</v>
      </c>
      <c r="JGS2" s="14"/>
      <c r="JGT2" s="15"/>
      <c r="JGU2" s="16"/>
      <c r="JGV2" s="15"/>
      <c r="JGW2" s="15"/>
      <c r="JGX2" s="15"/>
      <c r="JGY2" s="15"/>
      <c r="JGZ2" s="15"/>
      <c r="JHA2" s="6"/>
      <c r="JHB2" s="6"/>
      <c r="JHC2" s="6"/>
      <c r="JHD2" s="15"/>
      <c r="JHE2" s="15"/>
      <c r="JHF2" s="6"/>
      <c r="JHG2" s="15"/>
      <c r="JHH2" s="53" t="str">
        <f>[4]利润表!$P$2</f>
        <v>日  期：2012年9月15日</v>
      </c>
      <c r="JHI2" s="14"/>
      <c r="JHJ2" s="15"/>
      <c r="JHK2" s="16"/>
      <c r="JHL2" s="15"/>
      <c r="JHM2" s="15"/>
      <c r="JHN2" s="15"/>
      <c r="JHO2" s="15"/>
      <c r="JHP2" s="15"/>
      <c r="JHQ2" s="6"/>
      <c r="JHR2" s="6"/>
      <c r="JHS2" s="6"/>
      <c r="JHT2" s="15"/>
      <c r="JHU2" s="15"/>
      <c r="JHV2" s="6"/>
      <c r="JHW2" s="15"/>
      <c r="JHX2" s="53" t="str">
        <f>[4]利润表!$P$2</f>
        <v>日  期：2012年9月15日</v>
      </c>
      <c r="JHY2" s="14"/>
      <c r="JHZ2" s="15"/>
      <c r="JIA2" s="16"/>
      <c r="JIB2" s="15"/>
      <c r="JIC2" s="15"/>
      <c r="JID2" s="15"/>
      <c r="JIE2" s="15"/>
      <c r="JIF2" s="15"/>
      <c r="JIG2" s="6"/>
      <c r="JIH2" s="6"/>
      <c r="JII2" s="6"/>
      <c r="JIJ2" s="15"/>
      <c r="JIK2" s="15"/>
      <c r="JIL2" s="6"/>
      <c r="JIM2" s="15"/>
      <c r="JIN2" s="53" t="str">
        <f>[4]利润表!$P$2</f>
        <v>日  期：2012年9月15日</v>
      </c>
      <c r="JIO2" s="14"/>
      <c r="JIP2" s="15"/>
      <c r="JIQ2" s="16"/>
      <c r="JIR2" s="15"/>
      <c r="JIS2" s="15"/>
      <c r="JIT2" s="15"/>
      <c r="JIU2" s="15"/>
      <c r="JIV2" s="15"/>
      <c r="JIW2" s="6"/>
      <c r="JIX2" s="6"/>
      <c r="JIY2" s="6"/>
      <c r="JIZ2" s="15"/>
      <c r="JJA2" s="15"/>
      <c r="JJB2" s="6"/>
      <c r="JJC2" s="15"/>
      <c r="JJD2" s="53" t="str">
        <f>[4]利润表!$P$2</f>
        <v>日  期：2012年9月15日</v>
      </c>
      <c r="JJE2" s="14"/>
      <c r="JJF2" s="15"/>
      <c r="JJG2" s="16"/>
      <c r="JJH2" s="15"/>
      <c r="JJI2" s="15"/>
      <c r="JJJ2" s="15"/>
      <c r="JJK2" s="15"/>
      <c r="JJL2" s="15"/>
      <c r="JJM2" s="6"/>
      <c r="JJN2" s="6"/>
      <c r="JJO2" s="6"/>
      <c r="JJP2" s="15"/>
      <c r="JJQ2" s="15"/>
      <c r="JJR2" s="6"/>
      <c r="JJS2" s="15"/>
      <c r="JJT2" s="53" t="str">
        <f>[4]利润表!$P$2</f>
        <v>日  期：2012年9月15日</v>
      </c>
      <c r="JJU2" s="14"/>
      <c r="JJV2" s="15"/>
      <c r="JJW2" s="16"/>
      <c r="JJX2" s="15"/>
      <c r="JJY2" s="15"/>
      <c r="JJZ2" s="15"/>
      <c r="JKA2" s="15"/>
      <c r="JKB2" s="15"/>
      <c r="JKC2" s="6"/>
      <c r="JKD2" s="6"/>
      <c r="JKE2" s="6"/>
      <c r="JKF2" s="15"/>
      <c r="JKG2" s="15"/>
      <c r="JKH2" s="6"/>
      <c r="JKI2" s="15"/>
      <c r="JKJ2" s="53" t="str">
        <f>[4]利润表!$P$2</f>
        <v>日  期：2012年9月15日</v>
      </c>
      <c r="JKK2" s="14"/>
      <c r="JKL2" s="15"/>
      <c r="JKM2" s="16"/>
      <c r="JKN2" s="15"/>
      <c r="JKO2" s="15"/>
      <c r="JKP2" s="15"/>
      <c r="JKQ2" s="15"/>
      <c r="JKR2" s="15"/>
      <c r="JKS2" s="6"/>
      <c r="JKT2" s="6"/>
      <c r="JKU2" s="6"/>
      <c r="JKV2" s="15"/>
      <c r="JKW2" s="15"/>
      <c r="JKX2" s="6"/>
      <c r="JKY2" s="15"/>
      <c r="JKZ2" s="53" t="str">
        <f>[4]利润表!$P$2</f>
        <v>日  期：2012年9月15日</v>
      </c>
      <c r="JLA2" s="14"/>
      <c r="JLB2" s="15"/>
      <c r="JLC2" s="16"/>
      <c r="JLD2" s="15"/>
      <c r="JLE2" s="15"/>
      <c r="JLF2" s="15"/>
      <c r="JLG2" s="15"/>
      <c r="JLH2" s="15"/>
      <c r="JLI2" s="6"/>
      <c r="JLJ2" s="6"/>
      <c r="JLK2" s="6"/>
      <c r="JLL2" s="15"/>
      <c r="JLM2" s="15"/>
      <c r="JLN2" s="6"/>
      <c r="JLO2" s="15"/>
      <c r="JLP2" s="53" t="str">
        <f>[4]利润表!$P$2</f>
        <v>日  期：2012年9月15日</v>
      </c>
      <c r="JLQ2" s="14"/>
      <c r="JLR2" s="15"/>
      <c r="JLS2" s="16"/>
      <c r="JLT2" s="15"/>
      <c r="JLU2" s="15"/>
      <c r="JLV2" s="15"/>
      <c r="JLW2" s="15"/>
      <c r="JLX2" s="15"/>
      <c r="JLY2" s="6"/>
      <c r="JLZ2" s="6"/>
      <c r="JMA2" s="6"/>
      <c r="JMB2" s="15"/>
      <c r="JMC2" s="15"/>
      <c r="JMD2" s="6"/>
      <c r="JME2" s="15"/>
      <c r="JMF2" s="53" t="str">
        <f>[4]利润表!$P$2</f>
        <v>日  期：2012年9月15日</v>
      </c>
      <c r="JMG2" s="14"/>
      <c r="JMH2" s="15"/>
      <c r="JMI2" s="16"/>
      <c r="JMJ2" s="15"/>
      <c r="JMK2" s="15"/>
      <c r="JML2" s="15"/>
      <c r="JMM2" s="15"/>
      <c r="JMN2" s="15"/>
      <c r="JMO2" s="6"/>
      <c r="JMP2" s="6"/>
      <c r="JMQ2" s="6"/>
      <c r="JMR2" s="15"/>
      <c r="JMS2" s="15"/>
      <c r="JMT2" s="6"/>
      <c r="JMU2" s="15"/>
      <c r="JMV2" s="53" t="str">
        <f>[4]利润表!$P$2</f>
        <v>日  期：2012年9月15日</v>
      </c>
      <c r="JMW2" s="14"/>
      <c r="JMX2" s="15"/>
      <c r="JMY2" s="16"/>
      <c r="JMZ2" s="15"/>
      <c r="JNA2" s="15"/>
      <c r="JNB2" s="15"/>
      <c r="JNC2" s="15"/>
      <c r="JND2" s="15"/>
      <c r="JNE2" s="6"/>
      <c r="JNF2" s="6"/>
      <c r="JNG2" s="6"/>
      <c r="JNH2" s="15"/>
      <c r="JNI2" s="15"/>
      <c r="JNJ2" s="6"/>
      <c r="JNK2" s="15"/>
      <c r="JNL2" s="53" t="str">
        <f>[4]利润表!$P$2</f>
        <v>日  期：2012年9月15日</v>
      </c>
      <c r="JNM2" s="14"/>
      <c r="JNN2" s="15"/>
      <c r="JNO2" s="16"/>
      <c r="JNP2" s="15"/>
      <c r="JNQ2" s="15"/>
      <c r="JNR2" s="15"/>
      <c r="JNS2" s="15"/>
      <c r="JNT2" s="15"/>
      <c r="JNU2" s="6"/>
      <c r="JNV2" s="6"/>
      <c r="JNW2" s="6"/>
      <c r="JNX2" s="15"/>
      <c r="JNY2" s="15"/>
      <c r="JNZ2" s="6"/>
      <c r="JOA2" s="15"/>
      <c r="JOB2" s="53" t="str">
        <f>[4]利润表!$P$2</f>
        <v>日  期：2012年9月15日</v>
      </c>
      <c r="JOC2" s="14"/>
      <c r="JOD2" s="15"/>
      <c r="JOE2" s="16"/>
      <c r="JOF2" s="15"/>
      <c r="JOG2" s="15"/>
      <c r="JOH2" s="15"/>
      <c r="JOI2" s="15"/>
      <c r="JOJ2" s="15"/>
      <c r="JOK2" s="6"/>
      <c r="JOL2" s="6"/>
      <c r="JOM2" s="6"/>
      <c r="JON2" s="15"/>
      <c r="JOO2" s="15"/>
      <c r="JOP2" s="6"/>
      <c r="JOQ2" s="15"/>
      <c r="JOR2" s="53" t="str">
        <f>[4]利润表!$P$2</f>
        <v>日  期：2012年9月15日</v>
      </c>
      <c r="JOS2" s="14"/>
      <c r="JOT2" s="15"/>
      <c r="JOU2" s="16"/>
      <c r="JOV2" s="15"/>
      <c r="JOW2" s="15"/>
      <c r="JOX2" s="15"/>
      <c r="JOY2" s="15"/>
      <c r="JOZ2" s="15"/>
      <c r="JPA2" s="6"/>
      <c r="JPB2" s="6"/>
      <c r="JPC2" s="6"/>
      <c r="JPD2" s="15"/>
      <c r="JPE2" s="15"/>
      <c r="JPF2" s="6"/>
      <c r="JPG2" s="15"/>
      <c r="JPH2" s="53" t="str">
        <f>[4]利润表!$P$2</f>
        <v>日  期：2012年9月15日</v>
      </c>
      <c r="JPI2" s="14"/>
      <c r="JPJ2" s="15"/>
      <c r="JPK2" s="16"/>
      <c r="JPL2" s="15"/>
      <c r="JPM2" s="15"/>
      <c r="JPN2" s="15"/>
      <c r="JPO2" s="15"/>
      <c r="JPP2" s="15"/>
      <c r="JPQ2" s="6"/>
      <c r="JPR2" s="6"/>
      <c r="JPS2" s="6"/>
      <c r="JPT2" s="15"/>
      <c r="JPU2" s="15"/>
      <c r="JPV2" s="6"/>
      <c r="JPW2" s="15"/>
      <c r="JPX2" s="53" t="str">
        <f>[4]利润表!$P$2</f>
        <v>日  期：2012年9月15日</v>
      </c>
      <c r="JPY2" s="14"/>
      <c r="JPZ2" s="15"/>
      <c r="JQA2" s="16"/>
      <c r="JQB2" s="15"/>
      <c r="JQC2" s="15"/>
      <c r="JQD2" s="15"/>
      <c r="JQE2" s="15"/>
      <c r="JQF2" s="15"/>
      <c r="JQG2" s="6"/>
      <c r="JQH2" s="6"/>
      <c r="JQI2" s="6"/>
      <c r="JQJ2" s="15"/>
      <c r="JQK2" s="15"/>
      <c r="JQL2" s="6"/>
      <c r="JQM2" s="15"/>
      <c r="JQN2" s="53" t="str">
        <f>[4]利润表!$P$2</f>
        <v>日  期：2012年9月15日</v>
      </c>
      <c r="JQO2" s="14"/>
      <c r="JQP2" s="15"/>
      <c r="JQQ2" s="16"/>
      <c r="JQR2" s="15"/>
      <c r="JQS2" s="15"/>
      <c r="JQT2" s="15"/>
      <c r="JQU2" s="15"/>
      <c r="JQV2" s="15"/>
      <c r="JQW2" s="6"/>
      <c r="JQX2" s="6"/>
      <c r="JQY2" s="6"/>
      <c r="JQZ2" s="15"/>
      <c r="JRA2" s="15"/>
      <c r="JRB2" s="6"/>
      <c r="JRC2" s="15"/>
      <c r="JRD2" s="53" t="str">
        <f>[4]利润表!$P$2</f>
        <v>日  期：2012年9月15日</v>
      </c>
      <c r="JRE2" s="14"/>
      <c r="JRF2" s="15"/>
      <c r="JRG2" s="16"/>
      <c r="JRH2" s="15"/>
      <c r="JRI2" s="15"/>
      <c r="JRJ2" s="15"/>
      <c r="JRK2" s="15"/>
      <c r="JRL2" s="15"/>
      <c r="JRM2" s="6"/>
      <c r="JRN2" s="6"/>
      <c r="JRO2" s="6"/>
      <c r="JRP2" s="15"/>
      <c r="JRQ2" s="15"/>
      <c r="JRR2" s="6"/>
      <c r="JRS2" s="15"/>
      <c r="JRT2" s="53" t="str">
        <f>[4]利润表!$P$2</f>
        <v>日  期：2012年9月15日</v>
      </c>
      <c r="JRU2" s="14"/>
      <c r="JRV2" s="15"/>
      <c r="JRW2" s="16"/>
      <c r="JRX2" s="15"/>
      <c r="JRY2" s="15"/>
      <c r="JRZ2" s="15"/>
      <c r="JSA2" s="15"/>
      <c r="JSB2" s="15"/>
      <c r="JSC2" s="6"/>
      <c r="JSD2" s="6"/>
      <c r="JSE2" s="6"/>
      <c r="JSF2" s="15"/>
      <c r="JSG2" s="15"/>
      <c r="JSH2" s="6"/>
      <c r="JSI2" s="15"/>
      <c r="JSJ2" s="53" t="str">
        <f>[4]利润表!$P$2</f>
        <v>日  期：2012年9月15日</v>
      </c>
      <c r="JSK2" s="14"/>
      <c r="JSL2" s="15"/>
      <c r="JSM2" s="16"/>
      <c r="JSN2" s="15"/>
      <c r="JSO2" s="15"/>
      <c r="JSP2" s="15"/>
      <c r="JSQ2" s="15"/>
      <c r="JSR2" s="15"/>
      <c r="JSS2" s="6"/>
      <c r="JST2" s="6"/>
      <c r="JSU2" s="6"/>
      <c r="JSV2" s="15"/>
      <c r="JSW2" s="15"/>
      <c r="JSX2" s="6"/>
      <c r="JSY2" s="15"/>
      <c r="JSZ2" s="53" t="str">
        <f>[4]利润表!$P$2</f>
        <v>日  期：2012年9月15日</v>
      </c>
      <c r="JTA2" s="14"/>
      <c r="JTB2" s="15"/>
      <c r="JTC2" s="16"/>
      <c r="JTD2" s="15"/>
      <c r="JTE2" s="15"/>
      <c r="JTF2" s="15"/>
      <c r="JTG2" s="15"/>
      <c r="JTH2" s="15"/>
      <c r="JTI2" s="6"/>
      <c r="JTJ2" s="6"/>
      <c r="JTK2" s="6"/>
      <c r="JTL2" s="15"/>
      <c r="JTM2" s="15"/>
      <c r="JTN2" s="6"/>
      <c r="JTO2" s="15"/>
      <c r="JTP2" s="53" t="str">
        <f>[4]利润表!$P$2</f>
        <v>日  期：2012年9月15日</v>
      </c>
      <c r="JTQ2" s="14"/>
      <c r="JTR2" s="15"/>
      <c r="JTS2" s="16"/>
      <c r="JTT2" s="15"/>
      <c r="JTU2" s="15"/>
      <c r="JTV2" s="15"/>
      <c r="JTW2" s="15"/>
      <c r="JTX2" s="15"/>
      <c r="JTY2" s="6"/>
      <c r="JTZ2" s="6"/>
      <c r="JUA2" s="6"/>
      <c r="JUB2" s="15"/>
      <c r="JUC2" s="15"/>
      <c r="JUD2" s="6"/>
      <c r="JUE2" s="15"/>
      <c r="JUF2" s="53" t="str">
        <f>[4]利润表!$P$2</f>
        <v>日  期：2012年9月15日</v>
      </c>
      <c r="JUG2" s="14"/>
      <c r="JUH2" s="15"/>
      <c r="JUI2" s="16"/>
      <c r="JUJ2" s="15"/>
      <c r="JUK2" s="15"/>
      <c r="JUL2" s="15"/>
      <c r="JUM2" s="15"/>
      <c r="JUN2" s="15"/>
      <c r="JUO2" s="6"/>
      <c r="JUP2" s="6"/>
      <c r="JUQ2" s="6"/>
      <c r="JUR2" s="15"/>
      <c r="JUS2" s="15"/>
      <c r="JUT2" s="6"/>
      <c r="JUU2" s="15"/>
      <c r="JUV2" s="53" t="str">
        <f>[4]利润表!$P$2</f>
        <v>日  期：2012年9月15日</v>
      </c>
      <c r="JUW2" s="14"/>
      <c r="JUX2" s="15"/>
      <c r="JUY2" s="16"/>
      <c r="JUZ2" s="15"/>
      <c r="JVA2" s="15"/>
      <c r="JVB2" s="15"/>
      <c r="JVC2" s="15"/>
      <c r="JVD2" s="15"/>
      <c r="JVE2" s="6"/>
      <c r="JVF2" s="6"/>
      <c r="JVG2" s="6"/>
      <c r="JVH2" s="15"/>
      <c r="JVI2" s="15"/>
      <c r="JVJ2" s="6"/>
      <c r="JVK2" s="15"/>
      <c r="JVL2" s="53" t="str">
        <f>[4]利润表!$P$2</f>
        <v>日  期：2012年9月15日</v>
      </c>
      <c r="JVM2" s="14"/>
      <c r="JVN2" s="15"/>
      <c r="JVO2" s="16"/>
      <c r="JVP2" s="15"/>
      <c r="JVQ2" s="15"/>
      <c r="JVR2" s="15"/>
      <c r="JVS2" s="15"/>
      <c r="JVT2" s="15"/>
      <c r="JVU2" s="6"/>
      <c r="JVV2" s="6"/>
      <c r="JVW2" s="6"/>
      <c r="JVX2" s="15"/>
      <c r="JVY2" s="15"/>
      <c r="JVZ2" s="6"/>
      <c r="JWA2" s="15"/>
      <c r="JWB2" s="53" t="str">
        <f>[4]利润表!$P$2</f>
        <v>日  期：2012年9月15日</v>
      </c>
      <c r="JWC2" s="14"/>
      <c r="JWD2" s="15"/>
      <c r="JWE2" s="16"/>
      <c r="JWF2" s="15"/>
      <c r="JWG2" s="15"/>
      <c r="JWH2" s="15"/>
      <c r="JWI2" s="15"/>
      <c r="JWJ2" s="15"/>
      <c r="JWK2" s="6"/>
      <c r="JWL2" s="6"/>
      <c r="JWM2" s="6"/>
      <c r="JWN2" s="15"/>
      <c r="JWO2" s="15"/>
      <c r="JWP2" s="6"/>
      <c r="JWQ2" s="15"/>
      <c r="JWR2" s="53" t="str">
        <f>[4]利润表!$P$2</f>
        <v>日  期：2012年9月15日</v>
      </c>
      <c r="JWS2" s="14"/>
      <c r="JWT2" s="15"/>
      <c r="JWU2" s="16"/>
      <c r="JWV2" s="15"/>
      <c r="JWW2" s="15"/>
      <c r="JWX2" s="15"/>
      <c r="JWY2" s="15"/>
      <c r="JWZ2" s="15"/>
      <c r="JXA2" s="6"/>
      <c r="JXB2" s="6"/>
      <c r="JXC2" s="6"/>
      <c r="JXD2" s="15"/>
      <c r="JXE2" s="15"/>
      <c r="JXF2" s="6"/>
      <c r="JXG2" s="15"/>
      <c r="JXH2" s="53" t="str">
        <f>[4]利润表!$P$2</f>
        <v>日  期：2012年9月15日</v>
      </c>
      <c r="JXI2" s="14"/>
      <c r="JXJ2" s="15"/>
      <c r="JXK2" s="16"/>
      <c r="JXL2" s="15"/>
      <c r="JXM2" s="15"/>
      <c r="JXN2" s="15"/>
      <c r="JXO2" s="15"/>
      <c r="JXP2" s="15"/>
      <c r="JXQ2" s="6"/>
      <c r="JXR2" s="6"/>
      <c r="JXS2" s="6"/>
      <c r="JXT2" s="15"/>
      <c r="JXU2" s="15"/>
      <c r="JXV2" s="6"/>
      <c r="JXW2" s="15"/>
      <c r="JXX2" s="53" t="str">
        <f>[4]利润表!$P$2</f>
        <v>日  期：2012年9月15日</v>
      </c>
      <c r="JXY2" s="14"/>
      <c r="JXZ2" s="15"/>
      <c r="JYA2" s="16"/>
      <c r="JYB2" s="15"/>
      <c r="JYC2" s="15"/>
      <c r="JYD2" s="15"/>
      <c r="JYE2" s="15"/>
      <c r="JYF2" s="15"/>
      <c r="JYG2" s="6"/>
      <c r="JYH2" s="6"/>
      <c r="JYI2" s="6"/>
      <c r="JYJ2" s="15"/>
      <c r="JYK2" s="15"/>
      <c r="JYL2" s="6"/>
      <c r="JYM2" s="15"/>
      <c r="JYN2" s="53" t="str">
        <f>[4]利润表!$P$2</f>
        <v>日  期：2012年9月15日</v>
      </c>
      <c r="JYO2" s="14"/>
      <c r="JYP2" s="15"/>
      <c r="JYQ2" s="16"/>
      <c r="JYR2" s="15"/>
      <c r="JYS2" s="15"/>
      <c r="JYT2" s="15"/>
      <c r="JYU2" s="15"/>
      <c r="JYV2" s="15"/>
      <c r="JYW2" s="6"/>
      <c r="JYX2" s="6"/>
      <c r="JYY2" s="6"/>
      <c r="JYZ2" s="15"/>
      <c r="JZA2" s="15"/>
      <c r="JZB2" s="6"/>
      <c r="JZC2" s="15"/>
      <c r="JZD2" s="53" t="str">
        <f>[4]利润表!$P$2</f>
        <v>日  期：2012年9月15日</v>
      </c>
      <c r="JZE2" s="14"/>
      <c r="JZF2" s="15"/>
      <c r="JZG2" s="16"/>
      <c r="JZH2" s="15"/>
      <c r="JZI2" s="15"/>
      <c r="JZJ2" s="15"/>
      <c r="JZK2" s="15"/>
      <c r="JZL2" s="15"/>
      <c r="JZM2" s="6"/>
      <c r="JZN2" s="6"/>
      <c r="JZO2" s="6"/>
      <c r="JZP2" s="15"/>
      <c r="JZQ2" s="15"/>
      <c r="JZR2" s="6"/>
      <c r="JZS2" s="15"/>
      <c r="JZT2" s="53" t="str">
        <f>[4]利润表!$P$2</f>
        <v>日  期：2012年9月15日</v>
      </c>
      <c r="JZU2" s="14"/>
      <c r="JZV2" s="15"/>
      <c r="JZW2" s="16"/>
      <c r="JZX2" s="15"/>
      <c r="JZY2" s="15"/>
      <c r="JZZ2" s="15"/>
      <c r="KAA2" s="15"/>
      <c r="KAB2" s="15"/>
      <c r="KAC2" s="6"/>
      <c r="KAD2" s="6"/>
      <c r="KAE2" s="6"/>
      <c r="KAF2" s="15"/>
      <c r="KAG2" s="15"/>
      <c r="KAH2" s="6"/>
      <c r="KAI2" s="15"/>
      <c r="KAJ2" s="53" t="str">
        <f>[4]利润表!$P$2</f>
        <v>日  期：2012年9月15日</v>
      </c>
      <c r="KAK2" s="14"/>
      <c r="KAL2" s="15"/>
      <c r="KAM2" s="16"/>
      <c r="KAN2" s="15"/>
      <c r="KAO2" s="15"/>
      <c r="KAP2" s="15"/>
      <c r="KAQ2" s="15"/>
      <c r="KAR2" s="15"/>
      <c r="KAS2" s="6"/>
      <c r="KAT2" s="6"/>
      <c r="KAU2" s="6"/>
      <c r="KAV2" s="15"/>
      <c r="KAW2" s="15"/>
      <c r="KAX2" s="6"/>
      <c r="KAY2" s="15"/>
      <c r="KAZ2" s="53" t="str">
        <f>[4]利润表!$P$2</f>
        <v>日  期：2012年9月15日</v>
      </c>
      <c r="KBA2" s="14"/>
      <c r="KBB2" s="15"/>
      <c r="KBC2" s="16"/>
      <c r="KBD2" s="15"/>
      <c r="KBE2" s="15"/>
      <c r="KBF2" s="15"/>
      <c r="KBG2" s="15"/>
      <c r="KBH2" s="15"/>
      <c r="KBI2" s="6"/>
      <c r="KBJ2" s="6"/>
      <c r="KBK2" s="6"/>
      <c r="KBL2" s="15"/>
      <c r="KBM2" s="15"/>
      <c r="KBN2" s="6"/>
      <c r="KBO2" s="15"/>
      <c r="KBP2" s="53" t="str">
        <f>[4]利润表!$P$2</f>
        <v>日  期：2012年9月15日</v>
      </c>
      <c r="KBQ2" s="14"/>
      <c r="KBR2" s="15"/>
      <c r="KBS2" s="16"/>
      <c r="KBT2" s="15"/>
      <c r="KBU2" s="15"/>
      <c r="KBV2" s="15"/>
      <c r="KBW2" s="15"/>
      <c r="KBX2" s="15"/>
      <c r="KBY2" s="6"/>
      <c r="KBZ2" s="6"/>
      <c r="KCA2" s="6"/>
      <c r="KCB2" s="15"/>
      <c r="KCC2" s="15"/>
      <c r="KCD2" s="6"/>
      <c r="KCE2" s="15"/>
      <c r="KCF2" s="53" t="str">
        <f>[4]利润表!$P$2</f>
        <v>日  期：2012年9月15日</v>
      </c>
      <c r="KCG2" s="14"/>
      <c r="KCH2" s="15"/>
      <c r="KCI2" s="16"/>
      <c r="KCJ2" s="15"/>
      <c r="KCK2" s="15"/>
      <c r="KCL2" s="15"/>
      <c r="KCM2" s="15"/>
      <c r="KCN2" s="15"/>
      <c r="KCO2" s="6"/>
      <c r="KCP2" s="6"/>
      <c r="KCQ2" s="6"/>
      <c r="KCR2" s="15"/>
      <c r="KCS2" s="15"/>
      <c r="KCT2" s="6"/>
      <c r="KCU2" s="15"/>
      <c r="KCV2" s="53" t="str">
        <f>[4]利润表!$P$2</f>
        <v>日  期：2012年9月15日</v>
      </c>
      <c r="KCW2" s="14"/>
      <c r="KCX2" s="15"/>
      <c r="KCY2" s="16"/>
      <c r="KCZ2" s="15"/>
      <c r="KDA2" s="15"/>
      <c r="KDB2" s="15"/>
      <c r="KDC2" s="15"/>
      <c r="KDD2" s="15"/>
      <c r="KDE2" s="6"/>
      <c r="KDF2" s="6"/>
      <c r="KDG2" s="6"/>
      <c r="KDH2" s="15"/>
      <c r="KDI2" s="15"/>
      <c r="KDJ2" s="6"/>
      <c r="KDK2" s="15"/>
      <c r="KDL2" s="53" t="str">
        <f>[4]利润表!$P$2</f>
        <v>日  期：2012年9月15日</v>
      </c>
      <c r="KDM2" s="14"/>
      <c r="KDN2" s="15"/>
      <c r="KDO2" s="16"/>
      <c r="KDP2" s="15"/>
      <c r="KDQ2" s="15"/>
      <c r="KDR2" s="15"/>
      <c r="KDS2" s="15"/>
      <c r="KDT2" s="15"/>
      <c r="KDU2" s="6"/>
      <c r="KDV2" s="6"/>
      <c r="KDW2" s="6"/>
      <c r="KDX2" s="15"/>
      <c r="KDY2" s="15"/>
      <c r="KDZ2" s="6"/>
      <c r="KEA2" s="15"/>
      <c r="KEB2" s="53" t="str">
        <f>[4]利润表!$P$2</f>
        <v>日  期：2012年9月15日</v>
      </c>
      <c r="KEC2" s="14"/>
      <c r="KED2" s="15"/>
      <c r="KEE2" s="16"/>
      <c r="KEF2" s="15"/>
      <c r="KEG2" s="15"/>
      <c r="KEH2" s="15"/>
      <c r="KEI2" s="15"/>
      <c r="KEJ2" s="15"/>
      <c r="KEK2" s="6"/>
      <c r="KEL2" s="6"/>
      <c r="KEM2" s="6"/>
      <c r="KEN2" s="15"/>
      <c r="KEO2" s="15"/>
      <c r="KEP2" s="6"/>
      <c r="KEQ2" s="15"/>
      <c r="KER2" s="53" t="str">
        <f>[4]利润表!$P$2</f>
        <v>日  期：2012年9月15日</v>
      </c>
      <c r="KES2" s="14"/>
      <c r="KET2" s="15"/>
      <c r="KEU2" s="16"/>
      <c r="KEV2" s="15"/>
      <c r="KEW2" s="15"/>
      <c r="KEX2" s="15"/>
      <c r="KEY2" s="15"/>
      <c r="KEZ2" s="15"/>
      <c r="KFA2" s="6"/>
      <c r="KFB2" s="6"/>
      <c r="KFC2" s="6"/>
      <c r="KFD2" s="15"/>
      <c r="KFE2" s="15"/>
      <c r="KFF2" s="6"/>
      <c r="KFG2" s="15"/>
      <c r="KFH2" s="53" t="str">
        <f>[4]利润表!$P$2</f>
        <v>日  期：2012年9月15日</v>
      </c>
      <c r="KFI2" s="14"/>
      <c r="KFJ2" s="15"/>
      <c r="KFK2" s="16"/>
      <c r="KFL2" s="15"/>
      <c r="KFM2" s="15"/>
      <c r="KFN2" s="15"/>
      <c r="KFO2" s="15"/>
      <c r="KFP2" s="15"/>
      <c r="KFQ2" s="6"/>
      <c r="KFR2" s="6"/>
      <c r="KFS2" s="6"/>
      <c r="KFT2" s="15"/>
      <c r="KFU2" s="15"/>
      <c r="KFV2" s="6"/>
      <c r="KFW2" s="15"/>
      <c r="KFX2" s="53" t="str">
        <f>[4]利润表!$P$2</f>
        <v>日  期：2012年9月15日</v>
      </c>
      <c r="KFY2" s="14"/>
      <c r="KFZ2" s="15"/>
      <c r="KGA2" s="16"/>
      <c r="KGB2" s="15"/>
      <c r="KGC2" s="15"/>
      <c r="KGD2" s="15"/>
      <c r="KGE2" s="15"/>
      <c r="KGF2" s="15"/>
      <c r="KGG2" s="6"/>
      <c r="KGH2" s="6"/>
      <c r="KGI2" s="6"/>
      <c r="KGJ2" s="15"/>
      <c r="KGK2" s="15"/>
      <c r="KGL2" s="6"/>
      <c r="KGM2" s="15"/>
      <c r="KGN2" s="53" t="str">
        <f>[4]利润表!$P$2</f>
        <v>日  期：2012年9月15日</v>
      </c>
      <c r="KGO2" s="14"/>
      <c r="KGP2" s="15"/>
      <c r="KGQ2" s="16"/>
      <c r="KGR2" s="15"/>
      <c r="KGS2" s="15"/>
      <c r="KGT2" s="15"/>
      <c r="KGU2" s="15"/>
      <c r="KGV2" s="15"/>
      <c r="KGW2" s="6"/>
      <c r="KGX2" s="6"/>
      <c r="KGY2" s="6"/>
      <c r="KGZ2" s="15"/>
      <c r="KHA2" s="15"/>
      <c r="KHB2" s="6"/>
      <c r="KHC2" s="15"/>
      <c r="KHD2" s="53" t="str">
        <f>[4]利润表!$P$2</f>
        <v>日  期：2012年9月15日</v>
      </c>
      <c r="KHE2" s="14"/>
      <c r="KHF2" s="15"/>
      <c r="KHG2" s="16"/>
      <c r="KHH2" s="15"/>
      <c r="KHI2" s="15"/>
      <c r="KHJ2" s="15"/>
      <c r="KHK2" s="15"/>
      <c r="KHL2" s="15"/>
      <c r="KHM2" s="6"/>
      <c r="KHN2" s="6"/>
      <c r="KHO2" s="6"/>
      <c r="KHP2" s="15"/>
      <c r="KHQ2" s="15"/>
      <c r="KHR2" s="6"/>
      <c r="KHS2" s="15"/>
      <c r="KHT2" s="53" t="str">
        <f>[4]利润表!$P$2</f>
        <v>日  期：2012年9月15日</v>
      </c>
      <c r="KHU2" s="14"/>
      <c r="KHV2" s="15"/>
      <c r="KHW2" s="16"/>
      <c r="KHX2" s="15"/>
      <c r="KHY2" s="15"/>
      <c r="KHZ2" s="15"/>
      <c r="KIA2" s="15"/>
      <c r="KIB2" s="15"/>
      <c r="KIC2" s="6"/>
      <c r="KID2" s="6"/>
      <c r="KIE2" s="6"/>
      <c r="KIF2" s="15"/>
      <c r="KIG2" s="15"/>
      <c r="KIH2" s="6"/>
      <c r="KII2" s="15"/>
      <c r="KIJ2" s="53" t="str">
        <f>[4]利润表!$P$2</f>
        <v>日  期：2012年9月15日</v>
      </c>
      <c r="KIK2" s="14"/>
      <c r="KIL2" s="15"/>
      <c r="KIM2" s="16"/>
      <c r="KIN2" s="15"/>
      <c r="KIO2" s="15"/>
      <c r="KIP2" s="15"/>
      <c r="KIQ2" s="15"/>
      <c r="KIR2" s="15"/>
      <c r="KIS2" s="6"/>
      <c r="KIT2" s="6"/>
      <c r="KIU2" s="6"/>
      <c r="KIV2" s="15"/>
      <c r="KIW2" s="15"/>
      <c r="KIX2" s="6"/>
      <c r="KIY2" s="15"/>
      <c r="KIZ2" s="53" t="str">
        <f>[4]利润表!$P$2</f>
        <v>日  期：2012年9月15日</v>
      </c>
      <c r="KJA2" s="14"/>
      <c r="KJB2" s="15"/>
      <c r="KJC2" s="16"/>
      <c r="KJD2" s="15"/>
      <c r="KJE2" s="15"/>
      <c r="KJF2" s="15"/>
      <c r="KJG2" s="15"/>
      <c r="KJH2" s="15"/>
      <c r="KJI2" s="6"/>
      <c r="KJJ2" s="6"/>
      <c r="KJK2" s="6"/>
      <c r="KJL2" s="15"/>
      <c r="KJM2" s="15"/>
      <c r="KJN2" s="6"/>
      <c r="KJO2" s="15"/>
      <c r="KJP2" s="53" t="str">
        <f>[4]利润表!$P$2</f>
        <v>日  期：2012年9月15日</v>
      </c>
      <c r="KJQ2" s="14"/>
      <c r="KJR2" s="15"/>
      <c r="KJS2" s="16"/>
      <c r="KJT2" s="15"/>
      <c r="KJU2" s="15"/>
      <c r="KJV2" s="15"/>
      <c r="KJW2" s="15"/>
      <c r="KJX2" s="15"/>
      <c r="KJY2" s="6"/>
      <c r="KJZ2" s="6"/>
      <c r="KKA2" s="6"/>
      <c r="KKB2" s="15"/>
      <c r="KKC2" s="15"/>
      <c r="KKD2" s="6"/>
      <c r="KKE2" s="15"/>
      <c r="KKF2" s="53" t="str">
        <f>[4]利润表!$P$2</f>
        <v>日  期：2012年9月15日</v>
      </c>
      <c r="KKG2" s="14"/>
      <c r="KKH2" s="15"/>
      <c r="KKI2" s="16"/>
      <c r="KKJ2" s="15"/>
      <c r="KKK2" s="15"/>
      <c r="KKL2" s="15"/>
      <c r="KKM2" s="15"/>
      <c r="KKN2" s="15"/>
      <c r="KKO2" s="6"/>
      <c r="KKP2" s="6"/>
      <c r="KKQ2" s="6"/>
      <c r="KKR2" s="15"/>
      <c r="KKS2" s="15"/>
      <c r="KKT2" s="6"/>
      <c r="KKU2" s="15"/>
      <c r="KKV2" s="53" t="str">
        <f>[4]利润表!$P$2</f>
        <v>日  期：2012年9月15日</v>
      </c>
      <c r="KKW2" s="14"/>
      <c r="KKX2" s="15"/>
      <c r="KKY2" s="16"/>
      <c r="KKZ2" s="15"/>
      <c r="KLA2" s="15"/>
      <c r="KLB2" s="15"/>
      <c r="KLC2" s="15"/>
      <c r="KLD2" s="15"/>
      <c r="KLE2" s="6"/>
      <c r="KLF2" s="6"/>
      <c r="KLG2" s="6"/>
      <c r="KLH2" s="15"/>
      <c r="KLI2" s="15"/>
      <c r="KLJ2" s="6"/>
      <c r="KLK2" s="15"/>
      <c r="KLL2" s="53" t="str">
        <f>[4]利润表!$P$2</f>
        <v>日  期：2012年9月15日</v>
      </c>
      <c r="KLM2" s="14"/>
      <c r="KLN2" s="15"/>
      <c r="KLO2" s="16"/>
      <c r="KLP2" s="15"/>
      <c r="KLQ2" s="15"/>
      <c r="KLR2" s="15"/>
      <c r="KLS2" s="15"/>
      <c r="KLT2" s="15"/>
      <c r="KLU2" s="6"/>
      <c r="KLV2" s="6"/>
      <c r="KLW2" s="6"/>
      <c r="KLX2" s="15"/>
      <c r="KLY2" s="15"/>
      <c r="KLZ2" s="6"/>
      <c r="KMA2" s="15"/>
      <c r="KMB2" s="53" t="str">
        <f>[4]利润表!$P$2</f>
        <v>日  期：2012年9月15日</v>
      </c>
      <c r="KMC2" s="14"/>
      <c r="KMD2" s="15"/>
      <c r="KME2" s="16"/>
      <c r="KMF2" s="15"/>
      <c r="KMG2" s="15"/>
      <c r="KMH2" s="15"/>
      <c r="KMI2" s="15"/>
      <c r="KMJ2" s="15"/>
      <c r="KMK2" s="6"/>
      <c r="KML2" s="6"/>
      <c r="KMM2" s="6"/>
      <c r="KMN2" s="15"/>
      <c r="KMO2" s="15"/>
      <c r="KMP2" s="6"/>
      <c r="KMQ2" s="15"/>
      <c r="KMR2" s="53" t="str">
        <f>[4]利润表!$P$2</f>
        <v>日  期：2012年9月15日</v>
      </c>
      <c r="KMS2" s="14"/>
      <c r="KMT2" s="15"/>
      <c r="KMU2" s="16"/>
      <c r="KMV2" s="15"/>
      <c r="KMW2" s="15"/>
      <c r="KMX2" s="15"/>
      <c r="KMY2" s="15"/>
      <c r="KMZ2" s="15"/>
      <c r="KNA2" s="6"/>
      <c r="KNB2" s="6"/>
      <c r="KNC2" s="6"/>
      <c r="KND2" s="15"/>
      <c r="KNE2" s="15"/>
      <c r="KNF2" s="6"/>
      <c r="KNG2" s="15"/>
      <c r="KNH2" s="53" t="str">
        <f>[4]利润表!$P$2</f>
        <v>日  期：2012年9月15日</v>
      </c>
      <c r="KNI2" s="14"/>
      <c r="KNJ2" s="15"/>
      <c r="KNK2" s="16"/>
      <c r="KNL2" s="15"/>
      <c r="KNM2" s="15"/>
      <c r="KNN2" s="15"/>
      <c r="KNO2" s="15"/>
      <c r="KNP2" s="15"/>
      <c r="KNQ2" s="6"/>
      <c r="KNR2" s="6"/>
      <c r="KNS2" s="6"/>
      <c r="KNT2" s="15"/>
      <c r="KNU2" s="15"/>
      <c r="KNV2" s="6"/>
      <c r="KNW2" s="15"/>
      <c r="KNX2" s="53" t="str">
        <f>[4]利润表!$P$2</f>
        <v>日  期：2012年9月15日</v>
      </c>
      <c r="KNY2" s="14"/>
      <c r="KNZ2" s="15"/>
      <c r="KOA2" s="16"/>
      <c r="KOB2" s="15"/>
      <c r="KOC2" s="15"/>
      <c r="KOD2" s="15"/>
      <c r="KOE2" s="15"/>
      <c r="KOF2" s="15"/>
      <c r="KOG2" s="6"/>
      <c r="KOH2" s="6"/>
      <c r="KOI2" s="6"/>
      <c r="KOJ2" s="15"/>
      <c r="KOK2" s="15"/>
      <c r="KOL2" s="6"/>
      <c r="KOM2" s="15"/>
      <c r="KON2" s="53" t="str">
        <f>[4]利润表!$P$2</f>
        <v>日  期：2012年9月15日</v>
      </c>
      <c r="KOO2" s="14"/>
      <c r="KOP2" s="15"/>
      <c r="KOQ2" s="16"/>
      <c r="KOR2" s="15"/>
      <c r="KOS2" s="15"/>
      <c r="KOT2" s="15"/>
      <c r="KOU2" s="15"/>
      <c r="KOV2" s="15"/>
      <c r="KOW2" s="6"/>
      <c r="KOX2" s="6"/>
      <c r="KOY2" s="6"/>
      <c r="KOZ2" s="15"/>
      <c r="KPA2" s="15"/>
      <c r="KPB2" s="6"/>
      <c r="KPC2" s="15"/>
      <c r="KPD2" s="53" t="str">
        <f>[4]利润表!$P$2</f>
        <v>日  期：2012年9月15日</v>
      </c>
      <c r="KPE2" s="14"/>
      <c r="KPF2" s="15"/>
      <c r="KPG2" s="16"/>
      <c r="KPH2" s="15"/>
      <c r="KPI2" s="15"/>
      <c r="KPJ2" s="15"/>
      <c r="KPK2" s="15"/>
      <c r="KPL2" s="15"/>
      <c r="KPM2" s="6"/>
      <c r="KPN2" s="6"/>
      <c r="KPO2" s="6"/>
      <c r="KPP2" s="15"/>
      <c r="KPQ2" s="15"/>
      <c r="KPR2" s="6"/>
      <c r="KPS2" s="15"/>
      <c r="KPT2" s="53" t="str">
        <f>[4]利润表!$P$2</f>
        <v>日  期：2012年9月15日</v>
      </c>
      <c r="KPU2" s="14"/>
      <c r="KPV2" s="15"/>
      <c r="KPW2" s="16"/>
      <c r="KPX2" s="15"/>
      <c r="KPY2" s="15"/>
      <c r="KPZ2" s="15"/>
      <c r="KQA2" s="15"/>
      <c r="KQB2" s="15"/>
      <c r="KQC2" s="6"/>
      <c r="KQD2" s="6"/>
      <c r="KQE2" s="6"/>
      <c r="KQF2" s="15"/>
      <c r="KQG2" s="15"/>
      <c r="KQH2" s="6"/>
      <c r="KQI2" s="15"/>
      <c r="KQJ2" s="53" t="str">
        <f>[4]利润表!$P$2</f>
        <v>日  期：2012年9月15日</v>
      </c>
      <c r="KQK2" s="14"/>
      <c r="KQL2" s="15"/>
      <c r="KQM2" s="16"/>
      <c r="KQN2" s="15"/>
      <c r="KQO2" s="15"/>
      <c r="KQP2" s="15"/>
      <c r="KQQ2" s="15"/>
      <c r="KQR2" s="15"/>
      <c r="KQS2" s="6"/>
      <c r="KQT2" s="6"/>
      <c r="KQU2" s="6"/>
      <c r="KQV2" s="15"/>
      <c r="KQW2" s="15"/>
      <c r="KQX2" s="6"/>
      <c r="KQY2" s="15"/>
      <c r="KQZ2" s="53" t="str">
        <f>[4]利润表!$P$2</f>
        <v>日  期：2012年9月15日</v>
      </c>
      <c r="KRA2" s="14"/>
      <c r="KRB2" s="15"/>
      <c r="KRC2" s="16"/>
      <c r="KRD2" s="15"/>
      <c r="KRE2" s="15"/>
      <c r="KRF2" s="15"/>
      <c r="KRG2" s="15"/>
      <c r="KRH2" s="15"/>
      <c r="KRI2" s="6"/>
      <c r="KRJ2" s="6"/>
      <c r="KRK2" s="6"/>
      <c r="KRL2" s="15"/>
      <c r="KRM2" s="15"/>
      <c r="KRN2" s="6"/>
      <c r="KRO2" s="15"/>
      <c r="KRP2" s="53" t="str">
        <f>[4]利润表!$P$2</f>
        <v>日  期：2012年9月15日</v>
      </c>
      <c r="KRQ2" s="14"/>
      <c r="KRR2" s="15"/>
      <c r="KRS2" s="16"/>
      <c r="KRT2" s="15"/>
      <c r="KRU2" s="15"/>
      <c r="KRV2" s="15"/>
      <c r="KRW2" s="15"/>
      <c r="KRX2" s="15"/>
      <c r="KRY2" s="6"/>
      <c r="KRZ2" s="6"/>
      <c r="KSA2" s="6"/>
      <c r="KSB2" s="15"/>
      <c r="KSC2" s="15"/>
      <c r="KSD2" s="6"/>
      <c r="KSE2" s="15"/>
      <c r="KSF2" s="53" t="str">
        <f>[4]利润表!$P$2</f>
        <v>日  期：2012年9月15日</v>
      </c>
      <c r="KSG2" s="14"/>
      <c r="KSH2" s="15"/>
      <c r="KSI2" s="16"/>
      <c r="KSJ2" s="15"/>
      <c r="KSK2" s="15"/>
      <c r="KSL2" s="15"/>
      <c r="KSM2" s="15"/>
      <c r="KSN2" s="15"/>
      <c r="KSO2" s="6"/>
      <c r="KSP2" s="6"/>
      <c r="KSQ2" s="6"/>
      <c r="KSR2" s="15"/>
      <c r="KSS2" s="15"/>
      <c r="KST2" s="6"/>
      <c r="KSU2" s="15"/>
      <c r="KSV2" s="53" t="str">
        <f>[4]利润表!$P$2</f>
        <v>日  期：2012年9月15日</v>
      </c>
      <c r="KSW2" s="14"/>
      <c r="KSX2" s="15"/>
      <c r="KSY2" s="16"/>
      <c r="KSZ2" s="15"/>
      <c r="KTA2" s="15"/>
      <c r="KTB2" s="15"/>
      <c r="KTC2" s="15"/>
      <c r="KTD2" s="15"/>
      <c r="KTE2" s="6"/>
      <c r="KTF2" s="6"/>
      <c r="KTG2" s="6"/>
      <c r="KTH2" s="15"/>
      <c r="KTI2" s="15"/>
      <c r="KTJ2" s="6"/>
      <c r="KTK2" s="15"/>
      <c r="KTL2" s="53" t="str">
        <f>[4]利润表!$P$2</f>
        <v>日  期：2012年9月15日</v>
      </c>
      <c r="KTM2" s="14"/>
      <c r="KTN2" s="15"/>
      <c r="KTO2" s="16"/>
      <c r="KTP2" s="15"/>
      <c r="KTQ2" s="15"/>
      <c r="KTR2" s="15"/>
      <c r="KTS2" s="15"/>
      <c r="KTT2" s="15"/>
      <c r="KTU2" s="6"/>
      <c r="KTV2" s="6"/>
      <c r="KTW2" s="6"/>
      <c r="KTX2" s="15"/>
      <c r="KTY2" s="15"/>
      <c r="KTZ2" s="6"/>
      <c r="KUA2" s="15"/>
      <c r="KUB2" s="53" t="str">
        <f>[4]利润表!$P$2</f>
        <v>日  期：2012年9月15日</v>
      </c>
      <c r="KUC2" s="14"/>
      <c r="KUD2" s="15"/>
      <c r="KUE2" s="16"/>
      <c r="KUF2" s="15"/>
      <c r="KUG2" s="15"/>
      <c r="KUH2" s="15"/>
      <c r="KUI2" s="15"/>
      <c r="KUJ2" s="15"/>
      <c r="KUK2" s="6"/>
      <c r="KUL2" s="6"/>
      <c r="KUM2" s="6"/>
      <c r="KUN2" s="15"/>
      <c r="KUO2" s="15"/>
      <c r="KUP2" s="6"/>
      <c r="KUQ2" s="15"/>
      <c r="KUR2" s="53" t="str">
        <f>[4]利润表!$P$2</f>
        <v>日  期：2012年9月15日</v>
      </c>
      <c r="KUS2" s="14"/>
      <c r="KUT2" s="15"/>
      <c r="KUU2" s="16"/>
      <c r="KUV2" s="15"/>
      <c r="KUW2" s="15"/>
      <c r="KUX2" s="15"/>
      <c r="KUY2" s="15"/>
      <c r="KUZ2" s="15"/>
      <c r="KVA2" s="6"/>
      <c r="KVB2" s="6"/>
      <c r="KVC2" s="6"/>
      <c r="KVD2" s="15"/>
      <c r="KVE2" s="15"/>
      <c r="KVF2" s="6"/>
      <c r="KVG2" s="15"/>
      <c r="KVH2" s="53" t="str">
        <f>[4]利润表!$P$2</f>
        <v>日  期：2012年9月15日</v>
      </c>
      <c r="KVI2" s="14"/>
      <c r="KVJ2" s="15"/>
      <c r="KVK2" s="16"/>
      <c r="KVL2" s="15"/>
      <c r="KVM2" s="15"/>
      <c r="KVN2" s="15"/>
      <c r="KVO2" s="15"/>
      <c r="KVP2" s="15"/>
      <c r="KVQ2" s="6"/>
      <c r="KVR2" s="6"/>
      <c r="KVS2" s="6"/>
      <c r="KVT2" s="15"/>
      <c r="KVU2" s="15"/>
      <c r="KVV2" s="6"/>
      <c r="KVW2" s="15"/>
      <c r="KVX2" s="53" t="str">
        <f>[4]利润表!$P$2</f>
        <v>日  期：2012年9月15日</v>
      </c>
      <c r="KVY2" s="14"/>
      <c r="KVZ2" s="15"/>
      <c r="KWA2" s="16"/>
      <c r="KWB2" s="15"/>
      <c r="KWC2" s="15"/>
      <c r="KWD2" s="15"/>
      <c r="KWE2" s="15"/>
      <c r="KWF2" s="15"/>
      <c r="KWG2" s="6"/>
      <c r="KWH2" s="6"/>
      <c r="KWI2" s="6"/>
      <c r="KWJ2" s="15"/>
      <c r="KWK2" s="15"/>
      <c r="KWL2" s="6"/>
      <c r="KWM2" s="15"/>
      <c r="KWN2" s="53" t="str">
        <f>[4]利润表!$P$2</f>
        <v>日  期：2012年9月15日</v>
      </c>
      <c r="KWO2" s="14"/>
      <c r="KWP2" s="15"/>
      <c r="KWQ2" s="16"/>
      <c r="KWR2" s="15"/>
      <c r="KWS2" s="15"/>
      <c r="KWT2" s="15"/>
      <c r="KWU2" s="15"/>
      <c r="KWV2" s="15"/>
      <c r="KWW2" s="6"/>
      <c r="KWX2" s="6"/>
      <c r="KWY2" s="6"/>
      <c r="KWZ2" s="15"/>
      <c r="KXA2" s="15"/>
      <c r="KXB2" s="6"/>
      <c r="KXC2" s="15"/>
      <c r="KXD2" s="53" t="str">
        <f>[4]利润表!$P$2</f>
        <v>日  期：2012年9月15日</v>
      </c>
      <c r="KXE2" s="14"/>
      <c r="KXF2" s="15"/>
      <c r="KXG2" s="16"/>
      <c r="KXH2" s="15"/>
      <c r="KXI2" s="15"/>
      <c r="KXJ2" s="15"/>
      <c r="KXK2" s="15"/>
      <c r="KXL2" s="15"/>
      <c r="KXM2" s="6"/>
      <c r="KXN2" s="6"/>
      <c r="KXO2" s="6"/>
      <c r="KXP2" s="15"/>
      <c r="KXQ2" s="15"/>
      <c r="KXR2" s="6"/>
      <c r="KXS2" s="15"/>
      <c r="KXT2" s="53" t="str">
        <f>[4]利润表!$P$2</f>
        <v>日  期：2012年9月15日</v>
      </c>
      <c r="KXU2" s="14"/>
      <c r="KXV2" s="15"/>
      <c r="KXW2" s="16"/>
      <c r="KXX2" s="15"/>
      <c r="KXY2" s="15"/>
      <c r="KXZ2" s="15"/>
      <c r="KYA2" s="15"/>
      <c r="KYB2" s="15"/>
      <c r="KYC2" s="6"/>
      <c r="KYD2" s="6"/>
      <c r="KYE2" s="6"/>
      <c r="KYF2" s="15"/>
      <c r="KYG2" s="15"/>
      <c r="KYH2" s="6"/>
      <c r="KYI2" s="15"/>
      <c r="KYJ2" s="53" t="str">
        <f>[4]利润表!$P$2</f>
        <v>日  期：2012年9月15日</v>
      </c>
      <c r="KYK2" s="14"/>
      <c r="KYL2" s="15"/>
      <c r="KYM2" s="16"/>
      <c r="KYN2" s="15"/>
      <c r="KYO2" s="15"/>
      <c r="KYP2" s="15"/>
      <c r="KYQ2" s="15"/>
      <c r="KYR2" s="15"/>
      <c r="KYS2" s="6"/>
      <c r="KYT2" s="6"/>
      <c r="KYU2" s="6"/>
      <c r="KYV2" s="15"/>
      <c r="KYW2" s="15"/>
      <c r="KYX2" s="6"/>
      <c r="KYY2" s="15"/>
      <c r="KYZ2" s="53" t="str">
        <f>[4]利润表!$P$2</f>
        <v>日  期：2012年9月15日</v>
      </c>
      <c r="KZA2" s="14"/>
      <c r="KZB2" s="15"/>
      <c r="KZC2" s="16"/>
      <c r="KZD2" s="15"/>
      <c r="KZE2" s="15"/>
      <c r="KZF2" s="15"/>
      <c r="KZG2" s="15"/>
      <c r="KZH2" s="15"/>
      <c r="KZI2" s="6"/>
      <c r="KZJ2" s="6"/>
      <c r="KZK2" s="6"/>
      <c r="KZL2" s="15"/>
      <c r="KZM2" s="15"/>
      <c r="KZN2" s="6"/>
      <c r="KZO2" s="15"/>
      <c r="KZP2" s="53" t="str">
        <f>[4]利润表!$P$2</f>
        <v>日  期：2012年9月15日</v>
      </c>
      <c r="KZQ2" s="14"/>
      <c r="KZR2" s="15"/>
      <c r="KZS2" s="16"/>
      <c r="KZT2" s="15"/>
      <c r="KZU2" s="15"/>
      <c r="KZV2" s="15"/>
      <c r="KZW2" s="15"/>
      <c r="KZX2" s="15"/>
      <c r="KZY2" s="6"/>
      <c r="KZZ2" s="6"/>
      <c r="LAA2" s="6"/>
      <c r="LAB2" s="15"/>
      <c r="LAC2" s="15"/>
      <c r="LAD2" s="6"/>
      <c r="LAE2" s="15"/>
      <c r="LAF2" s="53" t="str">
        <f>[4]利润表!$P$2</f>
        <v>日  期：2012年9月15日</v>
      </c>
      <c r="LAG2" s="14"/>
      <c r="LAH2" s="15"/>
      <c r="LAI2" s="16"/>
      <c r="LAJ2" s="15"/>
      <c r="LAK2" s="15"/>
      <c r="LAL2" s="15"/>
      <c r="LAM2" s="15"/>
      <c r="LAN2" s="15"/>
      <c r="LAO2" s="6"/>
      <c r="LAP2" s="6"/>
      <c r="LAQ2" s="6"/>
      <c r="LAR2" s="15"/>
      <c r="LAS2" s="15"/>
      <c r="LAT2" s="6"/>
      <c r="LAU2" s="15"/>
      <c r="LAV2" s="53" t="str">
        <f>[4]利润表!$P$2</f>
        <v>日  期：2012年9月15日</v>
      </c>
      <c r="LAW2" s="14"/>
      <c r="LAX2" s="15"/>
      <c r="LAY2" s="16"/>
      <c r="LAZ2" s="15"/>
      <c r="LBA2" s="15"/>
      <c r="LBB2" s="15"/>
      <c r="LBC2" s="15"/>
      <c r="LBD2" s="15"/>
      <c r="LBE2" s="6"/>
      <c r="LBF2" s="6"/>
      <c r="LBG2" s="6"/>
      <c r="LBH2" s="15"/>
      <c r="LBI2" s="15"/>
      <c r="LBJ2" s="6"/>
      <c r="LBK2" s="15"/>
      <c r="LBL2" s="53" t="str">
        <f>[4]利润表!$P$2</f>
        <v>日  期：2012年9月15日</v>
      </c>
      <c r="LBM2" s="14"/>
      <c r="LBN2" s="15"/>
      <c r="LBO2" s="16"/>
      <c r="LBP2" s="15"/>
      <c r="LBQ2" s="15"/>
      <c r="LBR2" s="15"/>
      <c r="LBS2" s="15"/>
      <c r="LBT2" s="15"/>
      <c r="LBU2" s="6"/>
      <c r="LBV2" s="6"/>
      <c r="LBW2" s="6"/>
      <c r="LBX2" s="15"/>
      <c r="LBY2" s="15"/>
      <c r="LBZ2" s="6"/>
      <c r="LCA2" s="15"/>
      <c r="LCB2" s="53" t="str">
        <f>[4]利润表!$P$2</f>
        <v>日  期：2012年9月15日</v>
      </c>
      <c r="LCC2" s="14"/>
      <c r="LCD2" s="15"/>
      <c r="LCE2" s="16"/>
      <c r="LCF2" s="15"/>
      <c r="LCG2" s="15"/>
      <c r="LCH2" s="15"/>
      <c r="LCI2" s="15"/>
      <c r="LCJ2" s="15"/>
      <c r="LCK2" s="6"/>
      <c r="LCL2" s="6"/>
      <c r="LCM2" s="6"/>
      <c r="LCN2" s="15"/>
      <c r="LCO2" s="15"/>
      <c r="LCP2" s="6"/>
      <c r="LCQ2" s="15"/>
      <c r="LCR2" s="53" t="str">
        <f>[4]利润表!$P$2</f>
        <v>日  期：2012年9月15日</v>
      </c>
      <c r="LCS2" s="14"/>
      <c r="LCT2" s="15"/>
      <c r="LCU2" s="16"/>
      <c r="LCV2" s="15"/>
      <c r="LCW2" s="15"/>
      <c r="LCX2" s="15"/>
      <c r="LCY2" s="15"/>
      <c r="LCZ2" s="15"/>
      <c r="LDA2" s="6"/>
      <c r="LDB2" s="6"/>
      <c r="LDC2" s="6"/>
      <c r="LDD2" s="15"/>
      <c r="LDE2" s="15"/>
      <c r="LDF2" s="6"/>
      <c r="LDG2" s="15"/>
      <c r="LDH2" s="53" t="str">
        <f>[4]利润表!$P$2</f>
        <v>日  期：2012年9月15日</v>
      </c>
      <c r="LDI2" s="14"/>
      <c r="LDJ2" s="15"/>
      <c r="LDK2" s="16"/>
      <c r="LDL2" s="15"/>
      <c r="LDM2" s="15"/>
      <c r="LDN2" s="15"/>
      <c r="LDO2" s="15"/>
      <c r="LDP2" s="15"/>
      <c r="LDQ2" s="6"/>
      <c r="LDR2" s="6"/>
      <c r="LDS2" s="6"/>
      <c r="LDT2" s="15"/>
      <c r="LDU2" s="15"/>
      <c r="LDV2" s="6"/>
      <c r="LDW2" s="15"/>
      <c r="LDX2" s="53" t="str">
        <f>[4]利润表!$P$2</f>
        <v>日  期：2012年9月15日</v>
      </c>
      <c r="LDY2" s="14"/>
      <c r="LDZ2" s="15"/>
      <c r="LEA2" s="16"/>
      <c r="LEB2" s="15"/>
      <c r="LEC2" s="15"/>
      <c r="LED2" s="15"/>
      <c r="LEE2" s="15"/>
      <c r="LEF2" s="15"/>
      <c r="LEG2" s="6"/>
      <c r="LEH2" s="6"/>
      <c r="LEI2" s="6"/>
      <c r="LEJ2" s="15"/>
      <c r="LEK2" s="15"/>
      <c r="LEL2" s="6"/>
      <c r="LEM2" s="15"/>
      <c r="LEN2" s="53" t="str">
        <f>[4]利润表!$P$2</f>
        <v>日  期：2012年9月15日</v>
      </c>
      <c r="LEO2" s="14"/>
      <c r="LEP2" s="15"/>
      <c r="LEQ2" s="16"/>
      <c r="LER2" s="15"/>
      <c r="LES2" s="15"/>
      <c r="LET2" s="15"/>
      <c r="LEU2" s="15"/>
      <c r="LEV2" s="15"/>
      <c r="LEW2" s="6"/>
      <c r="LEX2" s="6"/>
      <c r="LEY2" s="6"/>
      <c r="LEZ2" s="15"/>
      <c r="LFA2" s="15"/>
      <c r="LFB2" s="6"/>
      <c r="LFC2" s="15"/>
      <c r="LFD2" s="53" t="str">
        <f>[4]利润表!$P$2</f>
        <v>日  期：2012年9月15日</v>
      </c>
      <c r="LFE2" s="14"/>
      <c r="LFF2" s="15"/>
      <c r="LFG2" s="16"/>
      <c r="LFH2" s="15"/>
      <c r="LFI2" s="15"/>
      <c r="LFJ2" s="15"/>
      <c r="LFK2" s="15"/>
      <c r="LFL2" s="15"/>
      <c r="LFM2" s="6"/>
      <c r="LFN2" s="6"/>
      <c r="LFO2" s="6"/>
      <c r="LFP2" s="15"/>
      <c r="LFQ2" s="15"/>
      <c r="LFR2" s="6"/>
      <c r="LFS2" s="15"/>
      <c r="LFT2" s="53" t="str">
        <f>[4]利润表!$P$2</f>
        <v>日  期：2012年9月15日</v>
      </c>
      <c r="LFU2" s="14"/>
      <c r="LFV2" s="15"/>
      <c r="LFW2" s="16"/>
      <c r="LFX2" s="15"/>
      <c r="LFY2" s="15"/>
      <c r="LFZ2" s="15"/>
      <c r="LGA2" s="15"/>
      <c r="LGB2" s="15"/>
      <c r="LGC2" s="6"/>
      <c r="LGD2" s="6"/>
      <c r="LGE2" s="6"/>
      <c r="LGF2" s="15"/>
      <c r="LGG2" s="15"/>
      <c r="LGH2" s="6"/>
      <c r="LGI2" s="15"/>
      <c r="LGJ2" s="53" t="str">
        <f>[4]利润表!$P$2</f>
        <v>日  期：2012年9月15日</v>
      </c>
      <c r="LGK2" s="14"/>
      <c r="LGL2" s="15"/>
      <c r="LGM2" s="16"/>
      <c r="LGN2" s="15"/>
      <c r="LGO2" s="15"/>
      <c r="LGP2" s="15"/>
      <c r="LGQ2" s="15"/>
      <c r="LGR2" s="15"/>
      <c r="LGS2" s="6"/>
      <c r="LGT2" s="6"/>
      <c r="LGU2" s="6"/>
      <c r="LGV2" s="15"/>
      <c r="LGW2" s="15"/>
      <c r="LGX2" s="6"/>
      <c r="LGY2" s="15"/>
      <c r="LGZ2" s="53" t="str">
        <f>[4]利润表!$P$2</f>
        <v>日  期：2012年9月15日</v>
      </c>
      <c r="LHA2" s="14"/>
      <c r="LHB2" s="15"/>
      <c r="LHC2" s="16"/>
      <c r="LHD2" s="15"/>
      <c r="LHE2" s="15"/>
      <c r="LHF2" s="15"/>
      <c r="LHG2" s="15"/>
      <c r="LHH2" s="15"/>
      <c r="LHI2" s="6"/>
      <c r="LHJ2" s="6"/>
      <c r="LHK2" s="6"/>
      <c r="LHL2" s="15"/>
      <c r="LHM2" s="15"/>
      <c r="LHN2" s="6"/>
      <c r="LHO2" s="15"/>
      <c r="LHP2" s="53" t="str">
        <f>[4]利润表!$P$2</f>
        <v>日  期：2012年9月15日</v>
      </c>
      <c r="LHQ2" s="14"/>
      <c r="LHR2" s="15"/>
      <c r="LHS2" s="16"/>
      <c r="LHT2" s="15"/>
      <c r="LHU2" s="15"/>
      <c r="LHV2" s="15"/>
      <c r="LHW2" s="15"/>
      <c r="LHX2" s="15"/>
      <c r="LHY2" s="6"/>
      <c r="LHZ2" s="6"/>
      <c r="LIA2" s="6"/>
      <c r="LIB2" s="15"/>
      <c r="LIC2" s="15"/>
      <c r="LID2" s="6"/>
      <c r="LIE2" s="15"/>
      <c r="LIF2" s="53" t="str">
        <f>[4]利润表!$P$2</f>
        <v>日  期：2012年9月15日</v>
      </c>
      <c r="LIG2" s="14"/>
      <c r="LIH2" s="15"/>
      <c r="LII2" s="16"/>
      <c r="LIJ2" s="15"/>
      <c r="LIK2" s="15"/>
      <c r="LIL2" s="15"/>
      <c r="LIM2" s="15"/>
      <c r="LIN2" s="15"/>
      <c r="LIO2" s="6"/>
      <c r="LIP2" s="6"/>
      <c r="LIQ2" s="6"/>
      <c r="LIR2" s="15"/>
      <c r="LIS2" s="15"/>
      <c r="LIT2" s="6"/>
      <c r="LIU2" s="15"/>
      <c r="LIV2" s="53" t="str">
        <f>[4]利润表!$P$2</f>
        <v>日  期：2012年9月15日</v>
      </c>
      <c r="LIW2" s="14"/>
      <c r="LIX2" s="15"/>
      <c r="LIY2" s="16"/>
      <c r="LIZ2" s="15"/>
      <c r="LJA2" s="15"/>
      <c r="LJB2" s="15"/>
      <c r="LJC2" s="15"/>
      <c r="LJD2" s="15"/>
      <c r="LJE2" s="6"/>
      <c r="LJF2" s="6"/>
      <c r="LJG2" s="6"/>
      <c r="LJH2" s="15"/>
      <c r="LJI2" s="15"/>
      <c r="LJJ2" s="6"/>
      <c r="LJK2" s="15"/>
      <c r="LJL2" s="53" t="str">
        <f>[4]利润表!$P$2</f>
        <v>日  期：2012年9月15日</v>
      </c>
      <c r="LJM2" s="14"/>
      <c r="LJN2" s="15"/>
      <c r="LJO2" s="16"/>
      <c r="LJP2" s="15"/>
      <c r="LJQ2" s="15"/>
      <c r="LJR2" s="15"/>
      <c r="LJS2" s="15"/>
      <c r="LJT2" s="15"/>
      <c r="LJU2" s="6"/>
      <c r="LJV2" s="6"/>
      <c r="LJW2" s="6"/>
      <c r="LJX2" s="15"/>
      <c r="LJY2" s="15"/>
      <c r="LJZ2" s="6"/>
      <c r="LKA2" s="15"/>
      <c r="LKB2" s="53" t="str">
        <f>[4]利润表!$P$2</f>
        <v>日  期：2012年9月15日</v>
      </c>
      <c r="LKC2" s="14"/>
      <c r="LKD2" s="15"/>
      <c r="LKE2" s="16"/>
      <c r="LKF2" s="15"/>
      <c r="LKG2" s="15"/>
      <c r="LKH2" s="15"/>
      <c r="LKI2" s="15"/>
      <c r="LKJ2" s="15"/>
      <c r="LKK2" s="6"/>
      <c r="LKL2" s="6"/>
      <c r="LKM2" s="6"/>
      <c r="LKN2" s="15"/>
      <c r="LKO2" s="15"/>
      <c r="LKP2" s="6"/>
      <c r="LKQ2" s="15"/>
      <c r="LKR2" s="53" t="str">
        <f>[4]利润表!$P$2</f>
        <v>日  期：2012年9月15日</v>
      </c>
      <c r="LKS2" s="14"/>
      <c r="LKT2" s="15"/>
      <c r="LKU2" s="16"/>
      <c r="LKV2" s="15"/>
      <c r="LKW2" s="15"/>
      <c r="LKX2" s="15"/>
      <c r="LKY2" s="15"/>
      <c r="LKZ2" s="15"/>
      <c r="LLA2" s="6"/>
      <c r="LLB2" s="6"/>
      <c r="LLC2" s="6"/>
      <c r="LLD2" s="15"/>
      <c r="LLE2" s="15"/>
      <c r="LLF2" s="6"/>
      <c r="LLG2" s="15"/>
      <c r="LLH2" s="53" t="str">
        <f>[4]利润表!$P$2</f>
        <v>日  期：2012年9月15日</v>
      </c>
      <c r="LLI2" s="14"/>
      <c r="LLJ2" s="15"/>
      <c r="LLK2" s="16"/>
      <c r="LLL2" s="15"/>
      <c r="LLM2" s="15"/>
      <c r="LLN2" s="15"/>
      <c r="LLO2" s="15"/>
      <c r="LLP2" s="15"/>
      <c r="LLQ2" s="6"/>
      <c r="LLR2" s="6"/>
      <c r="LLS2" s="6"/>
      <c r="LLT2" s="15"/>
      <c r="LLU2" s="15"/>
      <c r="LLV2" s="6"/>
      <c r="LLW2" s="15"/>
      <c r="LLX2" s="53" t="str">
        <f>[4]利润表!$P$2</f>
        <v>日  期：2012年9月15日</v>
      </c>
      <c r="LLY2" s="14"/>
      <c r="LLZ2" s="15"/>
      <c r="LMA2" s="16"/>
      <c r="LMB2" s="15"/>
      <c r="LMC2" s="15"/>
      <c r="LMD2" s="15"/>
      <c r="LME2" s="15"/>
      <c r="LMF2" s="15"/>
      <c r="LMG2" s="6"/>
      <c r="LMH2" s="6"/>
      <c r="LMI2" s="6"/>
      <c r="LMJ2" s="15"/>
      <c r="LMK2" s="15"/>
      <c r="LML2" s="6"/>
      <c r="LMM2" s="15"/>
      <c r="LMN2" s="53" t="str">
        <f>[4]利润表!$P$2</f>
        <v>日  期：2012年9月15日</v>
      </c>
      <c r="LMO2" s="14"/>
      <c r="LMP2" s="15"/>
      <c r="LMQ2" s="16"/>
      <c r="LMR2" s="15"/>
      <c r="LMS2" s="15"/>
      <c r="LMT2" s="15"/>
      <c r="LMU2" s="15"/>
      <c r="LMV2" s="15"/>
      <c r="LMW2" s="6"/>
      <c r="LMX2" s="6"/>
      <c r="LMY2" s="6"/>
      <c r="LMZ2" s="15"/>
      <c r="LNA2" s="15"/>
      <c r="LNB2" s="6"/>
      <c r="LNC2" s="15"/>
      <c r="LND2" s="53" t="str">
        <f>[4]利润表!$P$2</f>
        <v>日  期：2012年9月15日</v>
      </c>
      <c r="LNE2" s="14"/>
      <c r="LNF2" s="15"/>
      <c r="LNG2" s="16"/>
      <c r="LNH2" s="15"/>
      <c r="LNI2" s="15"/>
      <c r="LNJ2" s="15"/>
      <c r="LNK2" s="15"/>
      <c r="LNL2" s="15"/>
      <c r="LNM2" s="6"/>
      <c r="LNN2" s="6"/>
      <c r="LNO2" s="6"/>
      <c r="LNP2" s="15"/>
      <c r="LNQ2" s="15"/>
      <c r="LNR2" s="6"/>
      <c r="LNS2" s="15"/>
      <c r="LNT2" s="53" t="str">
        <f>[4]利润表!$P$2</f>
        <v>日  期：2012年9月15日</v>
      </c>
      <c r="LNU2" s="14"/>
      <c r="LNV2" s="15"/>
      <c r="LNW2" s="16"/>
      <c r="LNX2" s="15"/>
      <c r="LNY2" s="15"/>
      <c r="LNZ2" s="15"/>
      <c r="LOA2" s="15"/>
      <c r="LOB2" s="15"/>
      <c r="LOC2" s="6"/>
      <c r="LOD2" s="6"/>
      <c r="LOE2" s="6"/>
      <c r="LOF2" s="15"/>
      <c r="LOG2" s="15"/>
      <c r="LOH2" s="6"/>
      <c r="LOI2" s="15"/>
      <c r="LOJ2" s="53" t="str">
        <f>[4]利润表!$P$2</f>
        <v>日  期：2012年9月15日</v>
      </c>
      <c r="LOK2" s="14"/>
      <c r="LOL2" s="15"/>
      <c r="LOM2" s="16"/>
      <c r="LON2" s="15"/>
      <c r="LOO2" s="15"/>
      <c r="LOP2" s="15"/>
      <c r="LOQ2" s="15"/>
      <c r="LOR2" s="15"/>
      <c r="LOS2" s="6"/>
      <c r="LOT2" s="6"/>
      <c r="LOU2" s="6"/>
      <c r="LOV2" s="15"/>
      <c r="LOW2" s="15"/>
      <c r="LOX2" s="6"/>
      <c r="LOY2" s="15"/>
      <c r="LOZ2" s="53" t="str">
        <f>[4]利润表!$P$2</f>
        <v>日  期：2012年9月15日</v>
      </c>
      <c r="LPA2" s="14"/>
      <c r="LPB2" s="15"/>
      <c r="LPC2" s="16"/>
      <c r="LPD2" s="15"/>
      <c r="LPE2" s="15"/>
      <c r="LPF2" s="15"/>
      <c r="LPG2" s="15"/>
      <c r="LPH2" s="15"/>
      <c r="LPI2" s="6"/>
      <c r="LPJ2" s="6"/>
      <c r="LPK2" s="6"/>
      <c r="LPL2" s="15"/>
      <c r="LPM2" s="15"/>
      <c r="LPN2" s="6"/>
      <c r="LPO2" s="15"/>
      <c r="LPP2" s="53" t="str">
        <f>[4]利润表!$P$2</f>
        <v>日  期：2012年9月15日</v>
      </c>
      <c r="LPQ2" s="14"/>
      <c r="LPR2" s="15"/>
      <c r="LPS2" s="16"/>
      <c r="LPT2" s="15"/>
      <c r="LPU2" s="15"/>
      <c r="LPV2" s="15"/>
      <c r="LPW2" s="15"/>
      <c r="LPX2" s="15"/>
      <c r="LPY2" s="6"/>
      <c r="LPZ2" s="6"/>
      <c r="LQA2" s="6"/>
      <c r="LQB2" s="15"/>
      <c r="LQC2" s="15"/>
      <c r="LQD2" s="6"/>
      <c r="LQE2" s="15"/>
      <c r="LQF2" s="53" t="str">
        <f>[4]利润表!$P$2</f>
        <v>日  期：2012年9月15日</v>
      </c>
      <c r="LQG2" s="14"/>
      <c r="LQH2" s="15"/>
      <c r="LQI2" s="16"/>
      <c r="LQJ2" s="15"/>
      <c r="LQK2" s="15"/>
      <c r="LQL2" s="15"/>
      <c r="LQM2" s="15"/>
      <c r="LQN2" s="15"/>
      <c r="LQO2" s="6"/>
      <c r="LQP2" s="6"/>
      <c r="LQQ2" s="6"/>
      <c r="LQR2" s="15"/>
      <c r="LQS2" s="15"/>
      <c r="LQT2" s="6"/>
      <c r="LQU2" s="15"/>
      <c r="LQV2" s="53" t="str">
        <f>[4]利润表!$P$2</f>
        <v>日  期：2012年9月15日</v>
      </c>
      <c r="LQW2" s="14"/>
      <c r="LQX2" s="15"/>
      <c r="LQY2" s="16"/>
      <c r="LQZ2" s="15"/>
      <c r="LRA2" s="15"/>
      <c r="LRB2" s="15"/>
      <c r="LRC2" s="15"/>
      <c r="LRD2" s="15"/>
      <c r="LRE2" s="6"/>
      <c r="LRF2" s="6"/>
      <c r="LRG2" s="6"/>
      <c r="LRH2" s="15"/>
      <c r="LRI2" s="15"/>
      <c r="LRJ2" s="6"/>
      <c r="LRK2" s="15"/>
      <c r="LRL2" s="53" t="str">
        <f>[4]利润表!$P$2</f>
        <v>日  期：2012年9月15日</v>
      </c>
      <c r="LRM2" s="14"/>
      <c r="LRN2" s="15"/>
      <c r="LRO2" s="16"/>
      <c r="LRP2" s="15"/>
      <c r="LRQ2" s="15"/>
      <c r="LRR2" s="15"/>
      <c r="LRS2" s="15"/>
      <c r="LRT2" s="15"/>
      <c r="LRU2" s="6"/>
      <c r="LRV2" s="6"/>
      <c r="LRW2" s="6"/>
      <c r="LRX2" s="15"/>
      <c r="LRY2" s="15"/>
      <c r="LRZ2" s="6"/>
      <c r="LSA2" s="15"/>
      <c r="LSB2" s="53" t="str">
        <f>[4]利润表!$P$2</f>
        <v>日  期：2012年9月15日</v>
      </c>
      <c r="LSC2" s="14"/>
      <c r="LSD2" s="15"/>
      <c r="LSE2" s="16"/>
      <c r="LSF2" s="15"/>
      <c r="LSG2" s="15"/>
      <c r="LSH2" s="15"/>
      <c r="LSI2" s="15"/>
      <c r="LSJ2" s="15"/>
      <c r="LSK2" s="6"/>
      <c r="LSL2" s="6"/>
      <c r="LSM2" s="6"/>
      <c r="LSN2" s="15"/>
      <c r="LSO2" s="15"/>
      <c r="LSP2" s="6"/>
      <c r="LSQ2" s="15"/>
      <c r="LSR2" s="53" t="str">
        <f>[4]利润表!$P$2</f>
        <v>日  期：2012年9月15日</v>
      </c>
      <c r="LSS2" s="14"/>
      <c r="LST2" s="15"/>
      <c r="LSU2" s="16"/>
      <c r="LSV2" s="15"/>
      <c r="LSW2" s="15"/>
      <c r="LSX2" s="15"/>
      <c r="LSY2" s="15"/>
      <c r="LSZ2" s="15"/>
      <c r="LTA2" s="6"/>
      <c r="LTB2" s="6"/>
      <c r="LTC2" s="6"/>
      <c r="LTD2" s="15"/>
      <c r="LTE2" s="15"/>
      <c r="LTF2" s="6"/>
      <c r="LTG2" s="15"/>
      <c r="LTH2" s="53" t="str">
        <f>[4]利润表!$P$2</f>
        <v>日  期：2012年9月15日</v>
      </c>
      <c r="LTI2" s="14"/>
      <c r="LTJ2" s="15"/>
      <c r="LTK2" s="16"/>
      <c r="LTL2" s="15"/>
      <c r="LTM2" s="15"/>
      <c r="LTN2" s="15"/>
      <c r="LTO2" s="15"/>
      <c r="LTP2" s="15"/>
      <c r="LTQ2" s="6"/>
      <c r="LTR2" s="6"/>
      <c r="LTS2" s="6"/>
      <c r="LTT2" s="15"/>
      <c r="LTU2" s="15"/>
      <c r="LTV2" s="6"/>
      <c r="LTW2" s="15"/>
      <c r="LTX2" s="53" t="str">
        <f>[4]利润表!$P$2</f>
        <v>日  期：2012年9月15日</v>
      </c>
      <c r="LTY2" s="14"/>
      <c r="LTZ2" s="15"/>
      <c r="LUA2" s="16"/>
      <c r="LUB2" s="15"/>
      <c r="LUC2" s="15"/>
      <c r="LUD2" s="15"/>
      <c r="LUE2" s="15"/>
      <c r="LUF2" s="15"/>
      <c r="LUG2" s="6"/>
      <c r="LUH2" s="6"/>
      <c r="LUI2" s="6"/>
      <c r="LUJ2" s="15"/>
      <c r="LUK2" s="15"/>
      <c r="LUL2" s="6"/>
      <c r="LUM2" s="15"/>
      <c r="LUN2" s="53" t="str">
        <f>[4]利润表!$P$2</f>
        <v>日  期：2012年9月15日</v>
      </c>
      <c r="LUO2" s="14"/>
      <c r="LUP2" s="15"/>
      <c r="LUQ2" s="16"/>
      <c r="LUR2" s="15"/>
      <c r="LUS2" s="15"/>
      <c r="LUT2" s="15"/>
      <c r="LUU2" s="15"/>
      <c r="LUV2" s="15"/>
      <c r="LUW2" s="6"/>
      <c r="LUX2" s="6"/>
      <c r="LUY2" s="6"/>
      <c r="LUZ2" s="15"/>
      <c r="LVA2" s="15"/>
      <c r="LVB2" s="6"/>
      <c r="LVC2" s="15"/>
      <c r="LVD2" s="53" t="str">
        <f>[4]利润表!$P$2</f>
        <v>日  期：2012年9月15日</v>
      </c>
      <c r="LVE2" s="14"/>
      <c r="LVF2" s="15"/>
      <c r="LVG2" s="16"/>
      <c r="LVH2" s="15"/>
      <c r="LVI2" s="15"/>
      <c r="LVJ2" s="15"/>
      <c r="LVK2" s="15"/>
      <c r="LVL2" s="15"/>
      <c r="LVM2" s="6"/>
      <c r="LVN2" s="6"/>
      <c r="LVO2" s="6"/>
      <c r="LVP2" s="15"/>
      <c r="LVQ2" s="15"/>
      <c r="LVR2" s="6"/>
      <c r="LVS2" s="15"/>
      <c r="LVT2" s="53" t="str">
        <f>[4]利润表!$P$2</f>
        <v>日  期：2012年9月15日</v>
      </c>
      <c r="LVU2" s="14"/>
      <c r="LVV2" s="15"/>
      <c r="LVW2" s="16"/>
      <c r="LVX2" s="15"/>
      <c r="LVY2" s="15"/>
      <c r="LVZ2" s="15"/>
      <c r="LWA2" s="15"/>
      <c r="LWB2" s="15"/>
      <c r="LWC2" s="6"/>
      <c r="LWD2" s="6"/>
      <c r="LWE2" s="6"/>
      <c r="LWF2" s="15"/>
      <c r="LWG2" s="15"/>
      <c r="LWH2" s="6"/>
      <c r="LWI2" s="15"/>
      <c r="LWJ2" s="53" t="str">
        <f>[4]利润表!$P$2</f>
        <v>日  期：2012年9月15日</v>
      </c>
      <c r="LWK2" s="14"/>
      <c r="LWL2" s="15"/>
      <c r="LWM2" s="16"/>
      <c r="LWN2" s="15"/>
      <c r="LWO2" s="15"/>
      <c r="LWP2" s="15"/>
      <c r="LWQ2" s="15"/>
      <c r="LWR2" s="15"/>
      <c r="LWS2" s="6"/>
      <c r="LWT2" s="6"/>
      <c r="LWU2" s="6"/>
      <c r="LWV2" s="15"/>
      <c r="LWW2" s="15"/>
      <c r="LWX2" s="6"/>
      <c r="LWY2" s="15"/>
      <c r="LWZ2" s="53" t="str">
        <f>[4]利润表!$P$2</f>
        <v>日  期：2012年9月15日</v>
      </c>
      <c r="LXA2" s="14"/>
      <c r="LXB2" s="15"/>
      <c r="LXC2" s="16"/>
      <c r="LXD2" s="15"/>
      <c r="LXE2" s="15"/>
      <c r="LXF2" s="15"/>
      <c r="LXG2" s="15"/>
      <c r="LXH2" s="15"/>
      <c r="LXI2" s="6"/>
      <c r="LXJ2" s="6"/>
      <c r="LXK2" s="6"/>
      <c r="LXL2" s="15"/>
      <c r="LXM2" s="15"/>
      <c r="LXN2" s="6"/>
      <c r="LXO2" s="15"/>
      <c r="LXP2" s="53" t="str">
        <f>[4]利润表!$P$2</f>
        <v>日  期：2012年9月15日</v>
      </c>
      <c r="LXQ2" s="14"/>
      <c r="LXR2" s="15"/>
      <c r="LXS2" s="16"/>
      <c r="LXT2" s="15"/>
      <c r="LXU2" s="15"/>
      <c r="LXV2" s="15"/>
      <c r="LXW2" s="15"/>
      <c r="LXX2" s="15"/>
      <c r="LXY2" s="6"/>
      <c r="LXZ2" s="6"/>
      <c r="LYA2" s="6"/>
      <c r="LYB2" s="15"/>
      <c r="LYC2" s="15"/>
      <c r="LYD2" s="6"/>
      <c r="LYE2" s="15"/>
      <c r="LYF2" s="53" t="str">
        <f>[4]利润表!$P$2</f>
        <v>日  期：2012年9月15日</v>
      </c>
      <c r="LYG2" s="14"/>
      <c r="LYH2" s="15"/>
      <c r="LYI2" s="16"/>
      <c r="LYJ2" s="15"/>
      <c r="LYK2" s="15"/>
      <c r="LYL2" s="15"/>
      <c r="LYM2" s="15"/>
      <c r="LYN2" s="15"/>
      <c r="LYO2" s="6"/>
      <c r="LYP2" s="6"/>
      <c r="LYQ2" s="6"/>
      <c r="LYR2" s="15"/>
      <c r="LYS2" s="15"/>
      <c r="LYT2" s="6"/>
      <c r="LYU2" s="15"/>
      <c r="LYV2" s="53" t="str">
        <f>[4]利润表!$P$2</f>
        <v>日  期：2012年9月15日</v>
      </c>
      <c r="LYW2" s="14"/>
      <c r="LYX2" s="15"/>
      <c r="LYY2" s="16"/>
      <c r="LYZ2" s="15"/>
      <c r="LZA2" s="15"/>
      <c r="LZB2" s="15"/>
      <c r="LZC2" s="15"/>
      <c r="LZD2" s="15"/>
      <c r="LZE2" s="6"/>
      <c r="LZF2" s="6"/>
      <c r="LZG2" s="6"/>
      <c r="LZH2" s="15"/>
      <c r="LZI2" s="15"/>
      <c r="LZJ2" s="6"/>
      <c r="LZK2" s="15"/>
      <c r="LZL2" s="53" t="str">
        <f>[4]利润表!$P$2</f>
        <v>日  期：2012年9月15日</v>
      </c>
      <c r="LZM2" s="14"/>
      <c r="LZN2" s="15"/>
      <c r="LZO2" s="16"/>
      <c r="LZP2" s="15"/>
      <c r="LZQ2" s="15"/>
      <c r="LZR2" s="15"/>
      <c r="LZS2" s="15"/>
      <c r="LZT2" s="15"/>
      <c r="LZU2" s="6"/>
      <c r="LZV2" s="6"/>
      <c r="LZW2" s="6"/>
      <c r="LZX2" s="15"/>
      <c r="LZY2" s="15"/>
      <c r="LZZ2" s="6"/>
      <c r="MAA2" s="15"/>
      <c r="MAB2" s="53" t="str">
        <f>[4]利润表!$P$2</f>
        <v>日  期：2012年9月15日</v>
      </c>
      <c r="MAC2" s="14"/>
      <c r="MAD2" s="15"/>
      <c r="MAE2" s="16"/>
      <c r="MAF2" s="15"/>
      <c r="MAG2" s="15"/>
      <c r="MAH2" s="15"/>
      <c r="MAI2" s="15"/>
      <c r="MAJ2" s="15"/>
      <c r="MAK2" s="6"/>
      <c r="MAL2" s="6"/>
      <c r="MAM2" s="6"/>
      <c r="MAN2" s="15"/>
      <c r="MAO2" s="15"/>
      <c r="MAP2" s="6"/>
      <c r="MAQ2" s="15"/>
      <c r="MAR2" s="53" t="str">
        <f>[4]利润表!$P$2</f>
        <v>日  期：2012年9月15日</v>
      </c>
      <c r="MAS2" s="14"/>
      <c r="MAT2" s="15"/>
      <c r="MAU2" s="16"/>
      <c r="MAV2" s="15"/>
      <c r="MAW2" s="15"/>
      <c r="MAX2" s="15"/>
      <c r="MAY2" s="15"/>
      <c r="MAZ2" s="15"/>
      <c r="MBA2" s="6"/>
      <c r="MBB2" s="6"/>
      <c r="MBC2" s="6"/>
      <c r="MBD2" s="15"/>
      <c r="MBE2" s="15"/>
      <c r="MBF2" s="6"/>
      <c r="MBG2" s="15"/>
      <c r="MBH2" s="53" t="str">
        <f>[4]利润表!$P$2</f>
        <v>日  期：2012年9月15日</v>
      </c>
      <c r="MBI2" s="14"/>
      <c r="MBJ2" s="15"/>
      <c r="MBK2" s="16"/>
      <c r="MBL2" s="15"/>
      <c r="MBM2" s="15"/>
      <c r="MBN2" s="15"/>
      <c r="MBO2" s="15"/>
      <c r="MBP2" s="15"/>
      <c r="MBQ2" s="6"/>
      <c r="MBR2" s="6"/>
      <c r="MBS2" s="6"/>
      <c r="MBT2" s="15"/>
      <c r="MBU2" s="15"/>
      <c r="MBV2" s="6"/>
      <c r="MBW2" s="15"/>
      <c r="MBX2" s="53" t="str">
        <f>[4]利润表!$P$2</f>
        <v>日  期：2012年9月15日</v>
      </c>
      <c r="MBY2" s="14"/>
      <c r="MBZ2" s="15"/>
      <c r="MCA2" s="16"/>
      <c r="MCB2" s="15"/>
      <c r="MCC2" s="15"/>
      <c r="MCD2" s="15"/>
      <c r="MCE2" s="15"/>
      <c r="MCF2" s="15"/>
      <c r="MCG2" s="6"/>
      <c r="MCH2" s="6"/>
      <c r="MCI2" s="6"/>
      <c r="MCJ2" s="15"/>
      <c r="MCK2" s="15"/>
      <c r="MCL2" s="6"/>
      <c r="MCM2" s="15"/>
      <c r="MCN2" s="53" t="str">
        <f>[4]利润表!$P$2</f>
        <v>日  期：2012年9月15日</v>
      </c>
      <c r="MCO2" s="14"/>
      <c r="MCP2" s="15"/>
      <c r="MCQ2" s="16"/>
      <c r="MCR2" s="15"/>
      <c r="MCS2" s="15"/>
      <c r="MCT2" s="15"/>
      <c r="MCU2" s="15"/>
      <c r="MCV2" s="15"/>
      <c r="MCW2" s="6"/>
      <c r="MCX2" s="6"/>
      <c r="MCY2" s="6"/>
      <c r="MCZ2" s="15"/>
      <c r="MDA2" s="15"/>
      <c r="MDB2" s="6"/>
      <c r="MDC2" s="15"/>
      <c r="MDD2" s="53" t="str">
        <f>[4]利润表!$P$2</f>
        <v>日  期：2012年9月15日</v>
      </c>
      <c r="MDE2" s="14"/>
      <c r="MDF2" s="15"/>
      <c r="MDG2" s="16"/>
      <c r="MDH2" s="15"/>
      <c r="MDI2" s="15"/>
      <c r="MDJ2" s="15"/>
      <c r="MDK2" s="15"/>
      <c r="MDL2" s="15"/>
      <c r="MDM2" s="6"/>
      <c r="MDN2" s="6"/>
      <c r="MDO2" s="6"/>
      <c r="MDP2" s="15"/>
      <c r="MDQ2" s="15"/>
      <c r="MDR2" s="6"/>
      <c r="MDS2" s="15"/>
      <c r="MDT2" s="53" t="str">
        <f>[4]利润表!$P$2</f>
        <v>日  期：2012年9月15日</v>
      </c>
      <c r="MDU2" s="14"/>
      <c r="MDV2" s="15"/>
      <c r="MDW2" s="16"/>
      <c r="MDX2" s="15"/>
      <c r="MDY2" s="15"/>
      <c r="MDZ2" s="15"/>
      <c r="MEA2" s="15"/>
      <c r="MEB2" s="15"/>
      <c r="MEC2" s="6"/>
      <c r="MED2" s="6"/>
      <c r="MEE2" s="6"/>
      <c r="MEF2" s="15"/>
      <c r="MEG2" s="15"/>
      <c r="MEH2" s="6"/>
      <c r="MEI2" s="15"/>
      <c r="MEJ2" s="53" t="str">
        <f>[4]利润表!$P$2</f>
        <v>日  期：2012年9月15日</v>
      </c>
      <c r="MEK2" s="14"/>
      <c r="MEL2" s="15"/>
      <c r="MEM2" s="16"/>
      <c r="MEN2" s="15"/>
      <c r="MEO2" s="15"/>
      <c r="MEP2" s="15"/>
      <c r="MEQ2" s="15"/>
      <c r="MER2" s="15"/>
      <c r="MES2" s="6"/>
      <c r="MET2" s="6"/>
      <c r="MEU2" s="6"/>
      <c r="MEV2" s="15"/>
      <c r="MEW2" s="15"/>
      <c r="MEX2" s="6"/>
      <c r="MEY2" s="15"/>
      <c r="MEZ2" s="53" t="str">
        <f>[4]利润表!$P$2</f>
        <v>日  期：2012年9月15日</v>
      </c>
      <c r="MFA2" s="14"/>
      <c r="MFB2" s="15"/>
      <c r="MFC2" s="16"/>
      <c r="MFD2" s="15"/>
      <c r="MFE2" s="15"/>
      <c r="MFF2" s="15"/>
      <c r="MFG2" s="15"/>
      <c r="MFH2" s="15"/>
      <c r="MFI2" s="6"/>
      <c r="MFJ2" s="6"/>
      <c r="MFK2" s="6"/>
      <c r="MFL2" s="15"/>
      <c r="MFM2" s="15"/>
      <c r="MFN2" s="6"/>
      <c r="MFO2" s="15"/>
      <c r="MFP2" s="53" t="str">
        <f>[4]利润表!$P$2</f>
        <v>日  期：2012年9月15日</v>
      </c>
      <c r="MFQ2" s="14"/>
      <c r="MFR2" s="15"/>
      <c r="MFS2" s="16"/>
      <c r="MFT2" s="15"/>
      <c r="MFU2" s="15"/>
      <c r="MFV2" s="15"/>
      <c r="MFW2" s="15"/>
      <c r="MFX2" s="15"/>
      <c r="MFY2" s="6"/>
      <c r="MFZ2" s="6"/>
      <c r="MGA2" s="6"/>
      <c r="MGB2" s="15"/>
      <c r="MGC2" s="15"/>
      <c r="MGD2" s="6"/>
      <c r="MGE2" s="15"/>
      <c r="MGF2" s="53" t="str">
        <f>[4]利润表!$P$2</f>
        <v>日  期：2012年9月15日</v>
      </c>
      <c r="MGG2" s="14"/>
      <c r="MGH2" s="15"/>
      <c r="MGI2" s="16"/>
      <c r="MGJ2" s="15"/>
      <c r="MGK2" s="15"/>
      <c r="MGL2" s="15"/>
      <c r="MGM2" s="15"/>
      <c r="MGN2" s="15"/>
      <c r="MGO2" s="6"/>
      <c r="MGP2" s="6"/>
      <c r="MGQ2" s="6"/>
      <c r="MGR2" s="15"/>
      <c r="MGS2" s="15"/>
      <c r="MGT2" s="6"/>
      <c r="MGU2" s="15"/>
      <c r="MGV2" s="53" t="str">
        <f>[4]利润表!$P$2</f>
        <v>日  期：2012年9月15日</v>
      </c>
      <c r="MGW2" s="14"/>
      <c r="MGX2" s="15"/>
      <c r="MGY2" s="16"/>
      <c r="MGZ2" s="15"/>
      <c r="MHA2" s="15"/>
      <c r="MHB2" s="15"/>
      <c r="MHC2" s="15"/>
      <c r="MHD2" s="15"/>
      <c r="MHE2" s="6"/>
      <c r="MHF2" s="6"/>
      <c r="MHG2" s="6"/>
      <c r="MHH2" s="15"/>
      <c r="MHI2" s="15"/>
      <c r="MHJ2" s="6"/>
      <c r="MHK2" s="15"/>
      <c r="MHL2" s="53" t="str">
        <f>[4]利润表!$P$2</f>
        <v>日  期：2012年9月15日</v>
      </c>
      <c r="MHM2" s="14"/>
      <c r="MHN2" s="15"/>
      <c r="MHO2" s="16"/>
      <c r="MHP2" s="15"/>
      <c r="MHQ2" s="15"/>
      <c r="MHR2" s="15"/>
      <c r="MHS2" s="15"/>
      <c r="MHT2" s="15"/>
      <c r="MHU2" s="6"/>
      <c r="MHV2" s="6"/>
      <c r="MHW2" s="6"/>
      <c r="MHX2" s="15"/>
      <c r="MHY2" s="15"/>
      <c r="MHZ2" s="6"/>
      <c r="MIA2" s="15"/>
      <c r="MIB2" s="53" t="str">
        <f>[4]利润表!$P$2</f>
        <v>日  期：2012年9月15日</v>
      </c>
      <c r="MIC2" s="14"/>
      <c r="MID2" s="15"/>
      <c r="MIE2" s="16"/>
      <c r="MIF2" s="15"/>
      <c r="MIG2" s="15"/>
      <c r="MIH2" s="15"/>
      <c r="MII2" s="15"/>
      <c r="MIJ2" s="15"/>
      <c r="MIK2" s="6"/>
      <c r="MIL2" s="6"/>
      <c r="MIM2" s="6"/>
      <c r="MIN2" s="15"/>
      <c r="MIO2" s="15"/>
      <c r="MIP2" s="6"/>
      <c r="MIQ2" s="15"/>
      <c r="MIR2" s="53" t="str">
        <f>[4]利润表!$P$2</f>
        <v>日  期：2012年9月15日</v>
      </c>
      <c r="MIS2" s="14"/>
      <c r="MIT2" s="15"/>
      <c r="MIU2" s="16"/>
      <c r="MIV2" s="15"/>
      <c r="MIW2" s="15"/>
      <c r="MIX2" s="15"/>
      <c r="MIY2" s="15"/>
      <c r="MIZ2" s="15"/>
      <c r="MJA2" s="6"/>
      <c r="MJB2" s="6"/>
      <c r="MJC2" s="6"/>
      <c r="MJD2" s="15"/>
      <c r="MJE2" s="15"/>
      <c r="MJF2" s="6"/>
      <c r="MJG2" s="15"/>
      <c r="MJH2" s="53" t="str">
        <f>[4]利润表!$P$2</f>
        <v>日  期：2012年9月15日</v>
      </c>
      <c r="MJI2" s="14"/>
      <c r="MJJ2" s="15"/>
      <c r="MJK2" s="16"/>
      <c r="MJL2" s="15"/>
      <c r="MJM2" s="15"/>
      <c r="MJN2" s="15"/>
      <c r="MJO2" s="15"/>
      <c r="MJP2" s="15"/>
      <c r="MJQ2" s="6"/>
      <c r="MJR2" s="6"/>
      <c r="MJS2" s="6"/>
      <c r="MJT2" s="15"/>
      <c r="MJU2" s="15"/>
      <c r="MJV2" s="6"/>
      <c r="MJW2" s="15"/>
      <c r="MJX2" s="53" t="str">
        <f>[4]利润表!$P$2</f>
        <v>日  期：2012年9月15日</v>
      </c>
      <c r="MJY2" s="14"/>
      <c r="MJZ2" s="15"/>
      <c r="MKA2" s="16"/>
      <c r="MKB2" s="15"/>
      <c r="MKC2" s="15"/>
      <c r="MKD2" s="15"/>
      <c r="MKE2" s="15"/>
      <c r="MKF2" s="15"/>
      <c r="MKG2" s="6"/>
      <c r="MKH2" s="6"/>
      <c r="MKI2" s="6"/>
      <c r="MKJ2" s="15"/>
      <c r="MKK2" s="15"/>
      <c r="MKL2" s="6"/>
      <c r="MKM2" s="15"/>
      <c r="MKN2" s="53" t="str">
        <f>[4]利润表!$P$2</f>
        <v>日  期：2012年9月15日</v>
      </c>
      <c r="MKO2" s="14"/>
      <c r="MKP2" s="15"/>
      <c r="MKQ2" s="16"/>
      <c r="MKR2" s="15"/>
      <c r="MKS2" s="15"/>
      <c r="MKT2" s="15"/>
      <c r="MKU2" s="15"/>
      <c r="MKV2" s="15"/>
      <c r="MKW2" s="6"/>
      <c r="MKX2" s="6"/>
      <c r="MKY2" s="6"/>
      <c r="MKZ2" s="15"/>
      <c r="MLA2" s="15"/>
      <c r="MLB2" s="6"/>
      <c r="MLC2" s="15"/>
      <c r="MLD2" s="53" t="str">
        <f>[4]利润表!$P$2</f>
        <v>日  期：2012年9月15日</v>
      </c>
      <c r="MLE2" s="14"/>
      <c r="MLF2" s="15"/>
      <c r="MLG2" s="16"/>
      <c r="MLH2" s="15"/>
      <c r="MLI2" s="15"/>
      <c r="MLJ2" s="15"/>
      <c r="MLK2" s="15"/>
      <c r="MLL2" s="15"/>
      <c r="MLM2" s="6"/>
      <c r="MLN2" s="6"/>
      <c r="MLO2" s="6"/>
      <c r="MLP2" s="15"/>
      <c r="MLQ2" s="15"/>
      <c r="MLR2" s="6"/>
      <c r="MLS2" s="15"/>
      <c r="MLT2" s="53" t="str">
        <f>[4]利润表!$P$2</f>
        <v>日  期：2012年9月15日</v>
      </c>
      <c r="MLU2" s="14"/>
      <c r="MLV2" s="15"/>
      <c r="MLW2" s="16"/>
      <c r="MLX2" s="15"/>
      <c r="MLY2" s="15"/>
      <c r="MLZ2" s="15"/>
      <c r="MMA2" s="15"/>
      <c r="MMB2" s="15"/>
      <c r="MMC2" s="6"/>
      <c r="MMD2" s="6"/>
      <c r="MME2" s="6"/>
      <c r="MMF2" s="15"/>
      <c r="MMG2" s="15"/>
      <c r="MMH2" s="6"/>
      <c r="MMI2" s="15"/>
      <c r="MMJ2" s="53" t="str">
        <f>[4]利润表!$P$2</f>
        <v>日  期：2012年9月15日</v>
      </c>
      <c r="MMK2" s="14"/>
      <c r="MML2" s="15"/>
      <c r="MMM2" s="16"/>
      <c r="MMN2" s="15"/>
      <c r="MMO2" s="15"/>
      <c r="MMP2" s="15"/>
      <c r="MMQ2" s="15"/>
      <c r="MMR2" s="15"/>
      <c r="MMS2" s="6"/>
      <c r="MMT2" s="6"/>
      <c r="MMU2" s="6"/>
      <c r="MMV2" s="15"/>
      <c r="MMW2" s="15"/>
      <c r="MMX2" s="6"/>
      <c r="MMY2" s="15"/>
      <c r="MMZ2" s="53" t="str">
        <f>[4]利润表!$P$2</f>
        <v>日  期：2012年9月15日</v>
      </c>
      <c r="MNA2" s="14"/>
      <c r="MNB2" s="15"/>
      <c r="MNC2" s="16"/>
      <c r="MND2" s="15"/>
      <c r="MNE2" s="15"/>
      <c r="MNF2" s="15"/>
      <c r="MNG2" s="15"/>
      <c r="MNH2" s="15"/>
      <c r="MNI2" s="6"/>
      <c r="MNJ2" s="6"/>
      <c r="MNK2" s="6"/>
      <c r="MNL2" s="15"/>
      <c r="MNM2" s="15"/>
      <c r="MNN2" s="6"/>
      <c r="MNO2" s="15"/>
      <c r="MNP2" s="53" t="str">
        <f>[4]利润表!$P$2</f>
        <v>日  期：2012年9月15日</v>
      </c>
      <c r="MNQ2" s="14"/>
      <c r="MNR2" s="15"/>
      <c r="MNS2" s="16"/>
      <c r="MNT2" s="15"/>
      <c r="MNU2" s="15"/>
      <c r="MNV2" s="15"/>
      <c r="MNW2" s="15"/>
      <c r="MNX2" s="15"/>
      <c r="MNY2" s="6"/>
      <c r="MNZ2" s="6"/>
      <c r="MOA2" s="6"/>
      <c r="MOB2" s="15"/>
      <c r="MOC2" s="15"/>
      <c r="MOD2" s="6"/>
      <c r="MOE2" s="15"/>
      <c r="MOF2" s="53" t="str">
        <f>[4]利润表!$P$2</f>
        <v>日  期：2012年9月15日</v>
      </c>
      <c r="MOG2" s="14"/>
      <c r="MOH2" s="15"/>
      <c r="MOI2" s="16"/>
      <c r="MOJ2" s="15"/>
      <c r="MOK2" s="15"/>
      <c r="MOL2" s="15"/>
      <c r="MOM2" s="15"/>
      <c r="MON2" s="15"/>
      <c r="MOO2" s="6"/>
      <c r="MOP2" s="6"/>
      <c r="MOQ2" s="6"/>
      <c r="MOR2" s="15"/>
      <c r="MOS2" s="15"/>
      <c r="MOT2" s="6"/>
      <c r="MOU2" s="15"/>
      <c r="MOV2" s="53" t="str">
        <f>[4]利润表!$P$2</f>
        <v>日  期：2012年9月15日</v>
      </c>
      <c r="MOW2" s="14"/>
      <c r="MOX2" s="15"/>
      <c r="MOY2" s="16"/>
      <c r="MOZ2" s="15"/>
      <c r="MPA2" s="15"/>
      <c r="MPB2" s="15"/>
      <c r="MPC2" s="15"/>
      <c r="MPD2" s="15"/>
      <c r="MPE2" s="6"/>
      <c r="MPF2" s="6"/>
      <c r="MPG2" s="6"/>
      <c r="MPH2" s="15"/>
      <c r="MPI2" s="15"/>
      <c r="MPJ2" s="6"/>
      <c r="MPK2" s="15"/>
      <c r="MPL2" s="53" t="str">
        <f>[4]利润表!$P$2</f>
        <v>日  期：2012年9月15日</v>
      </c>
      <c r="MPM2" s="14"/>
      <c r="MPN2" s="15"/>
      <c r="MPO2" s="16"/>
      <c r="MPP2" s="15"/>
      <c r="MPQ2" s="15"/>
      <c r="MPR2" s="15"/>
      <c r="MPS2" s="15"/>
      <c r="MPT2" s="15"/>
      <c r="MPU2" s="6"/>
      <c r="MPV2" s="6"/>
      <c r="MPW2" s="6"/>
      <c r="MPX2" s="15"/>
      <c r="MPY2" s="15"/>
      <c r="MPZ2" s="6"/>
      <c r="MQA2" s="15"/>
      <c r="MQB2" s="53" t="str">
        <f>[4]利润表!$P$2</f>
        <v>日  期：2012年9月15日</v>
      </c>
      <c r="MQC2" s="14"/>
      <c r="MQD2" s="15"/>
      <c r="MQE2" s="16"/>
      <c r="MQF2" s="15"/>
      <c r="MQG2" s="15"/>
      <c r="MQH2" s="15"/>
      <c r="MQI2" s="15"/>
      <c r="MQJ2" s="15"/>
      <c r="MQK2" s="6"/>
      <c r="MQL2" s="6"/>
      <c r="MQM2" s="6"/>
      <c r="MQN2" s="15"/>
      <c r="MQO2" s="15"/>
      <c r="MQP2" s="6"/>
      <c r="MQQ2" s="15"/>
      <c r="MQR2" s="53" t="str">
        <f>[4]利润表!$P$2</f>
        <v>日  期：2012年9月15日</v>
      </c>
      <c r="MQS2" s="14"/>
      <c r="MQT2" s="15"/>
      <c r="MQU2" s="16"/>
      <c r="MQV2" s="15"/>
      <c r="MQW2" s="15"/>
      <c r="MQX2" s="15"/>
      <c r="MQY2" s="15"/>
      <c r="MQZ2" s="15"/>
      <c r="MRA2" s="6"/>
      <c r="MRB2" s="6"/>
      <c r="MRC2" s="6"/>
      <c r="MRD2" s="15"/>
      <c r="MRE2" s="15"/>
      <c r="MRF2" s="6"/>
      <c r="MRG2" s="15"/>
      <c r="MRH2" s="53" t="str">
        <f>[4]利润表!$P$2</f>
        <v>日  期：2012年9月15日</v>
      </c>
      <c r="MRI2" s="14"/>
      <c r="MRJ2" s="15"/>
      <c r="MRK2" s="16"/>
      <c r="MRL2" s="15"/>
      <c r="MRM2" s="15"/>
      <c r="MRN2" s="15"/>
      <c r="MRO2" s="15"/>
      <c r="MRP2" s="15"/>
      <c r="MRQ2" s="6"/>
      <c r="MRR2" s="6"/>
      <c r="MRS2" s="6"/>
      <c r="MRT2" s="15"/>
      <c r="MRU2" s="15"/>
      <c r="MRV2" s="6"/>
      <c r="MRW2" s="15"/>
      <c r="MRX2" s="53" t="str">
        <f>[4]利润表!$P$2</f>
        <v>日  期：2012年9月15日</v>
      </c>
      <c r="MRY2" s="14"/>
      <c r="MRZ2" s="15"/>
      <c r="MSA2" s="16"/>
      <c r="MSB2" s="15"/>
      <c r="MSC2" s="15"/>
      <c r="MSD2" s="15"/>
      <c r="MSE2" s="15"/>
      <c r="MSF2" s="15"/>
      <c r="MSG2" s="6"/>
      <c r="MSH2" s="6"/>
      <c r="MSI2" s="6"/>
      <c r="MSJ2" s="15"/>
      <c r="MSK2" s="15"/>
      <c r="MSL2" s="6"/>
      <c r="MSM2" s="15"/>
      <c r="MSN2" s="53" t="str">
        <f>[4]利润表!$P$2</f>
        <v>日  期：2012年9月15日</v>
      </c>
      <c r="MSO2" s="14"/>
      <c r="MSP2" s="15"/>
      <c r="MSQ2" s="16"/>
      <c r="MSR2" s="15"/>
      <c r="MSS2" s="15"/>
      <c r="MST2" s="15"/>
      <c r="MSU2" s="15"/>
      <c r="MSV2" s="15"/>
      <c r="MSW2" s="6"/>
      <c r="MSX2" s="6"/>
      <c r="MSY2" s="6"/>
      <c r="MSZ2" s="15"/>
      <c r="MTA2" s="15"/>
      <c r="MTB2" s="6"/>
      <c r="MTC2" s="15"/>
      <c r="MTD2" s="53" t="str">
        <f>[4]利润表!$P$2</f>
        <v>日  期：2012年9月15日</v>
      </c>
      <c r="MTE2" s="14"/>
      <c r="MTF2" s="15"/>
      <c r="MTG2" s="16"/>
      <c r="MTH2" s="15"/>
      <c r="MTI2" s="15"/>
      <c r="MTJ2" s="15"/>
      <c r="MTK2" s="15"/>
      <c r="MTL2" s="15"/>
      <c r="MTM2" s="6"/>
      <c r="MTN2" s="6"/>
      <c r="MTO2" s="6"/>
      <c r="MTP2" s="15"/>
      <c r="MTQ2" s="15"/>
      <c r="MTR2" s="6"/>
      <c r="MTS2" s="15"/>
      <c r="MTT2" s="53" t="str">
        <f>[4]利润表!$P$2</f>
        <v>日  期：2012年9月15日</v>
      </c>
      <c r="MTU2" s="14"/>
      <c r="MTV2" s="15"/>
      <c r="MTW2" s="16"/>
      <c r="MTX2" s="15"/>
      <c r="MTY2" s="15"/>
      <c r="MTZ2" s="15"/>
      <c r="MUA2" s="15"/>
      <c r="MUB2" s="15"/>
      <c r="MUC2" s="6"/>
      <c r="MUD2" s="6"/>
      <c r="MUE2" s="6"/>
      <c r="MUF2" s="15"/>
      <c r="MUG2" s="15"/>
      <c r="MUH2" s="6"/>
      <c r="MUI2" s="15"/>
      <c r="MUJ2" s="53" t="str">
        <f>[4]利润表!$P$2</f>
        <v>日  期：2012年9月15日</v>
      </c>
      <c r="MUK2" s="14"/>
      <c r="MUL2" s="15"/>
      <c r="MUM2" s="16"/>
      <c r="MUN2" s="15"/>
      <c r="MUO2" s="15"/>
      <c r="MUP2" s="15"/>
      <c r="MUQ2" s="15"/>
      <c r="MUR2" s="15"/>
      <c r="MUS2" s="6"/>
      <c r="MUT2" s="6"/>
      <c r="MUU2" s="6"/>
      <c r="MUV2" s="15"/>
      <c r="MUW2" s="15"/>
      <c r="MUX2" s="6"/>
      <c r="MUY2" s="15"/>
      <c r="MUZ2" s="53" t="str">
        <f>[4]利润表!$P$2</f>
        <v>日  期：2012年9月15日</v>
      </c>
      <c r="MVA2" s="14"/>
      <c r="MVB2" s="15"/>
      <c r="MVC2" s="16"/>
      <c r="MVD2" s="15"/>
      <c r="MVE2" s="15"/>
      <c r="MVF2" s="15"/>
      <c r="MVG2" s="15"/>
      <c r="MVH2" s="15"/>
      <c r="MVI2" s="6"/>
      <c r="MVJ2" s="6"/>
      <c r="MVK2" s="6"/>
      <c r="MVL2" s="15"/>
      <c r="MVM2" s="15"/>
      <c r="MVN2" s="6"/>
      <c r="MVO2" s="15"/>
      <c r="MVP2" s="53" t="str">
        <f>[4]利润表!$P$2</f>
        <v>日  期：2012年9月15日</v>
      </c>
      <c r="MVQ2" s="14"/>
      <c r="MVR2" s="15"/>
      <c r="MVS2" s="16"/>
      <c r="MVT2" s="15"/>
      <c r="MVU2" s="15"/>
      <c r="MVV2" s="15"/>
      <c r="MVW2" s="15"/>
      <c r="MVX2" s="15"/>
      <c r="MVY2" s="6"/>
      <c r="MVZ2" s="6"/>
      <c r="MWA2" s="6"/>
      <c r="MWB2" s="15"/>
      <c r="MWC2" s="15"/>
      <c r="MWD2" s="6"/>
      <c r="MWE2" s="15"/>
      <c r="MWF2" s="53" t="str">
        <f>[4]利润表!$P$2</f>
        <v>日  期：2012年9月15日</v>
      </c>
      <c r="MWG2" s="14"/>
      <c r="MWH2" s="15"/>
      <c r="MWI2" s="16"/>
      <c r="MWJ2" s="15"/>
      <c r="MWK2" s="15"/>
      <c r="MWL2" s="15"/>
      <c r="MWM2" s="15"/>
      <c r="MWN2" s="15"/>
      <c r="MWO2" s="6"/>
      <c r="MWP2" s="6"/>
      <c r="MWQ2" s="6"/>
      <c r="MWR2" s="15"/>
      <c r="MWS2" s="15"/>
      <c r="MWT2" s="6"/>
      <c r="MWU2" s="15"/>
      <c r="MWV2" s="53" t="str">
        <f>[4]利润表!$P$2</f>
        <v>日  期：2012年9月15日</v>
      </c>
      <c r="MWW2" s="14"/>
      <c r="MWX2" s="15"/>
      <c r="MWY2" s="16"/>
      <c r="MWZ2" s="15"/>
      <c r="MXA2" s="15"/>
      <c r="MXB2" s="15"/>
      <c r="MXC2" s="15"/>
      <c r="MXD2" s="15"/>
      <c r="MXE2" s="6"/>
      <c r="MXF2" s="6"/>
      <c r="MXG2" s="6"/>
      <c r="MXH2" s="15"/>
      <c r="MXI2" s="15"/>
      <c r="MXJ2" s="6"/>
      <c r="MXK2" s="15"/>
      <c r="MXL2" s="53" t="str">
        <f>[4]利润表!$P$2</f>
        <v>日  期：2012年9月15日</v>
      </c>
      <c r="MXM2" s="14"/>
      <c r="MXN2" s="15"/>
      <c r="MXO2" s="16"/>
      <c r="MXP2" s="15"/>
      <c r="MXQ2" s="15"/>
      <c r="MXR2" s="15"/>
      <c r="MXS2" s="15"/>
      <c r="MXT2" s="15"/>
      <c r="MXU2" s="6"/>
      <c r="MXV2" s="6"/>
      <c r="MXW2" s="6"/>
      <c r="MXX2" s="15"/>
      <c r="MXY2" s="15"/>
      <c r="MXZ2" s="6"/>
      <c r="MYA2" s="15"/>
      <c r="MYB2" s="53" t="str">
        <f>[4]利润表!$P$2</f>
        <v>日  期：2012年9月15日</v>
      </c>
      <c r="MYC2" s="14"/>
      <c r="MYD2" s="15"/>
      <c r="MYE2" s="16"/>
      <c r="MYF2" s="15"/>
      <c r="MYG2" s="15"/>
      <c r="MYH2" s="15"/>
      <c r="MYI2" s="15"/>
      <c r="MYJ2" s="15"/>
      <c r="MYK2" s="6"/>
      <c r="MYL2" s="6"/>
      <c r="MYM2" s="6"/>
      <c r="MYN2" s="15"/>
      <c r="MYO2" s="15"/>
      <c r="MYP2" s="6"/>
      <c r="MYQ2" s="15"/>
      <c r="MYR2" s="53" t="str">
        <f>[4]利润表!$P$2</f>
        <v>日  期：2012年9月15日</v>
      </c>
      <c r="MYS2" s="14"/>
      <c r="MYT2" s="15"/>
      <c r="MYU2" s="16"/>
      <c r="MYV2" s="15"/>
      <c r="MYW2" s="15"/>
      <c r="MYX2" s="15"/>
      <c r="MYY2" s="15"/>
      <c r="MYZ2" s="15"/>
      <c r="MZA2" s="6"/>
      <c r="MZB2" s="6"/>
      <c r="MZC2" s="6"/>
      <c r="MZD2" s="15"/>
      <c r="MZE2" s="15"/>
      <c r="MZF2" s="6"/>
      <c r="MZG2" s="15"/>
      <c r="MZH2" s="53" t="str">
        <f>[4]利润表!$P$2</f>
        <v>日  期：2012年9月15日</v>
      </c>
      <c r="MZI2" s="14"/>
      <c r="MZJ2" s="15"/>
      <c r="MZK2" s="16"/>
      <c r="MZL2" s="15"/>
      <c r="MZM2" s="15"/>
      <c r="MZN2" s="15"/>
      <c r="MZO2" s="15"/>
      <c r="MZP2" s="15"/>
      <c r="MZQ2" s="6"/>
      <c r="MZR2" s="6"/>
      <c r="MZS2" s="6"/>
      <c r="MZT2" s="15"/>
      <c r="MZU2" s="15"/>
      <c r="MZV2" s="6"/>
      <c r="MZW2" s="15"/>
      <c r="MZX2" s="53" t="str">
        <f>[4]利润表!$P$2</f>
        <v>日  期：2012年9月15日</v>
      </c>
      <c r="MZY2" s="14"/>
      <c r="MZZ2" s="15"/>
      <c r="NAA2" s="16"/>
      <c r="NAB2" s="15"/>
      <c r="NAC2" s="15"/>
      <c r="NAD2" s="15"/>
      <c r="NAE2" s="15"/>
      <c r="NAF2" s="15"/>
      <c r="NAG2" s="6"/>
      <c r="NAH2" s="6"/>
      <c r="NAI2" s="6"/>
      <c r="NAJ2" s="15"/>
      <c r="NAK2" s="15"/>
      <c r="NAL2" s="6"/>
      <c r="NAM2" s="15"/>
      <c r="NAN2" s="53" t="str">
        <f>[4]利润表!$P$2</f>
        <v>日  期：2012年9月15日</v>
      </c>
      <c r="NAO2" s="14"/>
      <c r="NAP2" s="15"/>
      <c r="NAQ2" s="16"/>
      <c r="NAR2" s="15"/>
      <c r="NAS2" s="15"/>
      <c r="NAT2" s="15"/>
      <c r="NAU2" s="15"/>
      <c r="NAV2" s="15"/>
      <c r="NAW2" s="6"/>
      <c r="NAX2" s="6"/>
      <c r="NAY2" s="6"/>
      <c r="NAZ2" s="15"/>
      <c r="NBA2" s="15"/>
      <c r="NBB2" s="6"/>
      <c r="NBC2" s="15"/>
      <c r="NBD2" s="53" t="str">
        <f>[4]利润表!$P$2</f>
        <v>日  期：2012年9月15日</v>
      </c>
      <c r="NBE2" s="14"/>
      <c r="NBF2" s="15"/>
      <c r="NBG2" s="16"/>
      <c r="NBH2" s="15"/>
      <c r="NBI2" s="15"/>
      <c r="NBJ2" s="15"/>
      <c r="NBK2" s="15"/>
      <c r="NBL2" s="15"/>
      <c r="NBM2" s="6"/>
      <c r="NBN2" s="6"/>
      <c r="NBO2" s="6"/>
      <c r="NBP2" s="15"/>
      <c r="NBQ2" s="15"/>
      <c r="NBR2" s="6"/>
      <c r="NBS2" s="15"/>
      <c r="NBT2" s="53" t="str">
        <f>[4]利润表!$P$2</f>
        <v>日  期：2012年9月15日</v>
      </c>
      <c r="NBU2" s="14"/>
      <c r="NBV2" s="15"/>
      <c r="NBW2" s="16"/>
      <c r="NBX2" s="15"/>
      <c r="NBY2" s="15"/>
      <c r="NBZ2" s="15"/>
      <c r="NCA2" s="15"/>
      <c r="NCB2" s="15"/>
      <c r="NCC2" s="6"/>
      <c r="NCD2" s="6"/>
      <c r="NCE2" s="6"/>
      <c r="NCF2" s="15"/>
      <c r="NCG2" s="15"/>
      <c r="NCH2" s="6"/>
      <c r="NCI2" s="15"/>
      <c r="NCJ2" s="53" t="str">
        <f>[4]利润表!$P$2</f>
        <v>日  期：2012年9月15日</v>
      </c>
      <c r="NCK2" s="14"/>
      <c r="NCL2" s="15"/>
      <c r="NCM2" s="16"/>
      <c r="NCN2" s="15"/>
      <c r="NCO2" s="15"/>
      <c r="NCP2" s="15"/>
      <c r="NCQ2" s="15"/>
      <c r="NCR2" s="15"/>
      <c r="NCS2" s="6"/>
      <c r="NCT2" s="6"/>
      <c r="NCU2" s="6"/>
      <c r="NCV2" s="15"/>
      <c r="NCW2" s="15"/>
      <c r="NCX2" s="6"/>
      <c r="NCY2" s="15"/>
      <c r="NCZ2" s="53" t="str">
        <f>[4]利润表!$P$2</f>
        <v>日  期：2012年9月15日</v>
      </c>
      <c r="NDA2" s="14"/>
      <c r="NDB2" s="15"/>
      <c r="NDC2" s="16"/>
      <c r="NDD2" s="15"/>
      <c r="NDE2" s="15"/>
      <c r="NDF2" s="15"/>
      <c r="NDG2" s="15"/>
      <c r="NDH2" s="15"/>
      <c r="NDI2" s="6"/>
      <c r="NDJ2" s="6"/>
      <c r="NDK2" s="6"/>
      <c r="NDL2" s="15"/>
      <c r="NDM2" s="15"/>
      <c r="NDN2" s="6"/>
      <c r="NDO2" s="15"/>
      <c r="NDP2" s="53" t="str">
        <f>[4]利润表!$P$2</f>
        <v>日  期：2012年9月15日</v>
      </c>
      <c r="NDQ2" s="14"/>
      <c r="NDR2" s="15"/>
      <c r="NDS2" s="16"/>
      <c r="NDT2" s="15"/>
      <c r="NDU2" s="15"/>
      <c r="NDV2" s="15"/>
      <c r="NDW2" s="15"/>
      <c r="NDX2" s="15"/>
      <c r="NDY2" s="6"/>
      <c r="NDZ2" s="6"/>
      <c r="NEA2" s="6"/>
      <c r="NEB2" s="15"/>
      <c r="NEC2" s="15"/>
      <c r="NED2" s="6"/>
      <c r="NEE2" s="15"/>
      <c r="NEF2" s="53" t="str">
        <f>[4]利润表!$P$2</f>
        <v>日  期：2012年9月15日</v>
      </c>
      <c r="NEG2" s="14"/>
      <c r="NEH2" s="15"/>
      <c r="NEI2" s="16"/>
      <c r="NEJ2" s="15"/>
      <c r="NEK2" s="15"/>
      <c r="NEL2" s="15"/>
      <c r="NEM2" s="15"/>
      <c r="NEN2" s="15"/>
      <c r="NEO2" s="6"/>
      <c r="NEP2" s="6"/>
      <c r="NEQ2" s="6"/>
      <c r="NER2" s="15"/>
      <c r="NES2" s="15"/>
      <c r="NET2" s="6"/>
      <c r="NEU2" s="15"/>
      <c r="NEV2" s="53" t="str">
        <f>[4]利润表!$P$2</f>
        <v>日  期：2012年9月15日</v>
      </c>
      <c r="NEW2" s="14"/>
      <c r="NEX2" s="15"/>
      <c r="NEY2" s="16"/>
      <c r="NEZ2" s="15"/>
      <c r="NFA2" s="15"/>
      <c r="NFB2" s="15"/>
      <c r="NFC2" s="15"/>
      <c r="NFD2" s="15"/>
      <c r="NFE2" s="6"/>
      <c r="NFF2" s="6"/>
      <c r="NFG2" s="6"/>
      <c r="NFH2" s="15"/>
      <c r="NFI2" s="15"/>
      <c r="NFJ2" s="6"/>
      <c r="NFK2" s="15"/>
      <c r="NFL2" s="53" t="str">
        <f>[4]利润表!$P$2</f>
        <v>日  期：2012年9月15日</v>
      </c>
      <c r="NFM2" s="14"/>
      <c r="NFN2" s="15"/>
      <c r="NFO2" s="16"/>
      <c r="NFP2" s="15"/>
      <c r="NFQ2" s="15"/>
      <c r="NFR2" s="15"/>
      <c r="NFS2" s="15"/>
      <c r="NFT2" s="15"/>
      <c r="NFU2" s="6"/>
      <c r="NFV2" s="6"/>
      <c r="NFW2" s="6"/>
      <c r="NFX2" s="15"/>
      <c r="NFY2" s="15"/>
      <c r="NFZ2" s="6"/>
      <c r="NGA2" s="15"/>
      <c r="NGB2" s="53" t="str">
        <f>[4]利润表!$P$2</f>
        <v>日  期：2012年9月15日</v>
      </c>
      <c r="NGC2" s="14"/>
      <c r="NGD2" s="15"/>
      <c r="NGE2" s="16"/>
      <c r="NGF2" s="15"/>
      <c r="NGG2" s="15"/>
      <c r="NGH2" s="15"/>
      <c r="NGI2" s="15"/>
      <c r="NGJ2" s="15"/>
      <c r="NGK2" s="6"/>
      <c r="NGL2" s="6"/>
      <c r="NGM2" s="6"/>
      <c r="NGN2" s="15"/>
      <c r="NGO2" s="15"/>
      <c r="NGP2" s="6"/>
      <c r="NGQ2" s="15"/>
      <c r="NGR2" s="53" t="str">
        <f>[4]利润表!$P$2</f>
        <v>日  期：2012年9月15日</v>
      </c>
      <c r="NGS2" s="14"/>
      <c r="NGT2" s="15"/>
      <c r="NGU2" s="16"/>
      <c r="NGV2" s="15"/>
      <c r="NGW2" s="15"/>
      <c r="NGX2" s="15"/>
      <c r="NGY2" s="15"/>
      <c r="NGZ2" s="15"/>
      <c r="NHA2" s="6"/>
      <c r="NHB2" s="6"/>
      <c r="NHC2" s="6"/>
      <c r="NHD2" s="15"/>
      <c r="NHE2" s="15"/>
      <c r="NHF2" s="6"/>
      <c r="NHG2" s="15"/>
      <c r="NHH2" s="53" t="str">
        <f>[4]利润表!$P$2</f>
        <v>日  期：2012年9月15日</v>
      </c>
      <c r="NHI2" s="14"/>
      <c r="NHJ2" s="15"/>
      <c r="NHK2" s="16"/>
      <c r="NHL2" s="15"/>
      <c r="NHM2" s="15"/>
      <c r="NHN2" s="15"/>
      <c r="NHO2" s="15"/>
      <c r="NHP2" s="15"/>
      <c r="NHQ2" s="6"/>
      <c r="NHR2" s="6"/>
      <c r="NHS2" s="6"/>
      <c r="NHT2" s="15"/>
      <c r="NHU2" s="15"/>
      <c r="NHV2" s="6"/>
      <c r="NHW2" s="15"/>
      <c r="NHX2" s="53" t="str">
        <f>[4]利润表!$P$2</f>
        <v>日  期：2012年9月15日</v>
      </c>
      <c r="NHY2" s="14"/>
      <c r="NHZ2" s="15"/>
      <c r="NIA2" s="16"/>
      <c r="NIB2" s="15"/>
      <c r="NIC2" s="15"/>
      <c r="NID2" s="15"/>
      <c r="NIE2" s="15"/>
      <c r="NIF2" s="15"/>
      <c r="NIG2" s="6"/>
      <c r="NIH2" s="6"/>
      <c r="NII2" s="6"/>
      <c r="NIJ2" s="15"/>
      <c r="NIK2" s="15"/>
      <c r="NIL2" s="6"/>
      <c r="NIM2" s="15"/>
      <c r="NIN2" s="53" t="str">
        <f>[4]利润表!$P$2</f>
        <v>日  期：2012年9月15日</v>
      </c>
      <c r="NIO2" s="14"/>
      <c r="NIP2" s="15"/>
      <c r="NIQ2" s="16"/>
      <c r="NIR2" s="15"/>
      <c r="NIS2" s="15"/>
      <c r="NIT2" s="15"/>
      <c r="NIU2" s="15"/>
      <c r="NIV2" s="15"/>
      <c r="NIW2" s="6"/>
      <c r="NIX2" s="6"/>
      <c r="NIY2" s="6"/>
      <c r="NIZ2" s="15"/>
      <c r="NJA2" s="15"/>
      <c r="NJB2" s="6"/>
      <c r="NJC2" s="15"/>
      <c r="NJD2" s="53" t="str">
        <f>[4]利润表!$P$2</f>
        <v>日  期：2012年9月15日</v>
      </c>
      <c r="NJE2" s="14"/>
      <c r="NJF2" s="15"/>
      <c r="NJG2" s="16"/>
      <c r="NJH2" s="15"/>
      <c r="NJI2" s="15"/>
      <c r="NJJ2" s="15"/>
      <c r="NJK2" s="15"/>
      <c r="NJL2" s="15"/>
      <c r="NJM2" s="6"/>
      <c r="NJN2" s="6"/>
      <c r="NJO2" s="6"/>
      <c r="NJP2" s="15"/>
      <c r="NJQ2" s="15"/>
      <c r="NJR2" s="6"/>
      <c r="NJS2" s="15"/>
      <c r="NJT2" s="53" t="str">
        <f>[4]利润表!$P$2</f>
        <v>日  期：2012年9月15日</v>
      </c>
      <c r="NJU2" s="14"/>
      <c r="NJV2" s="15"/>
      <c r="NJW2" s="16"/>
      <c r="NJX2" s="15"/>
      <c r="NJY2" s="15"/>
      <c r="NJZ2" s="15"/>
      <c r="NKA2" s="15"/>
      <c r="NKB2" s="15"/>
      <c r="NKC2" s="6"/>
      <c r="NKD2" s="6"/>
      <c r="NKE2" s="6"/>
      <c r="NKF2" s="15"/>
      <c r="NKG2" s="15"/>
      <c r="NKH2" s="6"/>
      <c r="NKI2" s="15"/>
      <c r="NKJ2" s="53" t="str">
        <f>[4]利润表!$P$2</f>
        <v>日  期：2012年9月15日</v>
      </c>
      <c r="NKK2" s="14"/>
      <c r="NKL2" s="15"/>
      <c r="NKM2" s="16"/>
      <c r="NKN2" s="15"/>
      <c r="NKO2" s="15"/>
      <c r="NKP2" s="15"/>
      <c r="NKQ2" s="15"/>
      <c r="NKR2" s="15"/>
      <c r="NKS2" s="6"/>
      <c r="NKT2" s="6"/>
      <c r="NKU2" s="6"/>
      <c r="NKV2" s="15"/>
      <c r="NKW2" s="15"/>
      <c r="NKX2" s="6"/>
      <c r="NKY2" s="15"/>
      <c r="NKZ2" s="53" t="str">
        <f>[4]利润表!$P$2</f>
        <v>日  期：2012年9月15日</v>
      </c>
      <c r="NLA2" s="14"/>
      <c r="NLB2" s="15"/>
      <c r="NLC2" s="16"/>
      <c r="NLD2" s="15"/>
      <c r="NLE2" s="15"/>
      <c r="NLF2" s="15"/>
      <c r="NLG2" s="15"/>
      <c r="NLH2" s="15"/>
      <c r="NLI2" s="6"/>
      <c r="NLJ2" s="6"/>
      <c r="NLK2" s="6"/>
      <c r="NLL2" s="15"/>
      <c r="NLM2" s="15"/>
      <c r="NLN2" s="6"/>
      <c r="NLO2" s="15"/>
      <c r="NLP2" s="53" t="str">
        <f>[4]利润表!$P$2</f>
        <v>日  期：2012年9月15日</v>
      </c>
      <c r="NLQ2" s="14"/>
      <c r="NLR2" s="15"/>
      <c r="NLS2" s="16"/>
      <c r="NLT2" s="15"/>
      <c r="NLU2" s="15"/>
      <c r="NLV2" s="15"/>
      <c r="NLW2" s="15"/>
      <c r="NLX2" s="15"/>
      <c r="NLY2" s="6"/>
      <c r="NLZ2" s="6"/>
      <c r="NMA2" s="6"/>
      <c r="NMB2" s="15"/>
      <c r="NMC2" s="15"/>
      <c r="NMD2" s="6"/>
      <c r="NME2" s="15"/>
      <c r="NMF2" s="53" t="str">
        <f>[4]利润表!$P$2</f>
        <v>日  期：2012年9月15日</v>
      </c>
      <c r="NMG2" s="14"/>
      <c r="NMH2" s="15"/>
      <c r="NMI2" s="16"/>
      <c r="NMJ2" s="15"/>
      <c r="NMK2" s="15"/>
      <c r="NML2" s="15"/>
      <c r="NMM2" s="15"/>
      <c r="NMN2" s="15"/>
      <c r="NMO2" s="6"/>
      <c r="NMP2" s="6"/>
      <c r="NMQ2" s="6"/>
      <c r="NMR2" s="15"/>
      <c r="NMS2" s="15"/>
      <c r="NMT2" s="6"/>
      <c r="NMU2" s="15"/>
      <c r="NMV2" s="53" t="str">
        <f>[4]利润表!$P$2</f>
        <v>日  期：2012年9月15日</v>
      </c>
      <c r="NMW2" s="14"/>
      <c r="NMX2" s="15"/>
      <c r="NMY2" s="16"/>
      <c r="NMZ2" s="15"/>
      <c r="NNA2" s="15"/>
      <c r="NNB2" s="15"/>
      <c r="NNC2" s="15"/>
      <c r="NND2" s="15"/>
      <c r="NNE2" s="6"/>
      <c r="NNF2" s="6"/>
      <c r="NNG2" s="6"/>
      <c r="NNH2" s="15"/>
      <c r="NNI2" s="15"/>
      <c r="NNJ2" s="6"/>
      <c r="NNK2" s="15"/>
      <c r="NNL2" s="53" t="str">
        <f>[4]利润表!$P$2</f>
        <v>日  期：2012年9月15日</v>
      </c>
      <c r="NNM2" s="14"/>
      <c r="NNN2" s="15"/>
      <c r="NNO2" s="16"/>
      <c r="NNP2" s="15"/>
      <c r="NNQ2" s="15"/>
      <c r="NNR2" s="15"/>
      <c r="NNS2" s="15"/>
      <c r="NNT2" s="15"/>
      <c r="NNU2" s="6"/>
      <c r="NNV2" s="6"/>
      <c r="NNW2" s="6"/>
      <c r="NNX2" s="15"/>
      <c r="NNY2" s="15"/>
      <c r="NNZ2" s="6"/>
      <c r="NOA2" s="15"/>
      <c r="NOB2" s="53" t="str">
        <f>[4]利润表!$P$2</f>
        <v>日  期：2012年9月15日</v>
      </c>
      <c r="NOC2" s="14"/>
      <c r="NOD2" s="15"/>
      <c r="NOE2" s="16"/>
      <c r="NOF2" s="15"/>
      <c r="NOG2" s="15"/>
      <c r="NOH2" s="15"/>
      <c r="NOI2" s="15"/>
      <c r="NOJ2" s="15"/>
      <c r="NOK2" s="6"/>
      <c r="NOL2" s="6"/>
      <c r="NOM2" s="6"/>
      <c r="NON2" s="15"/>
      <c r="NOO2" s="15"/>
      <c r="NOP2" s="6"/>
      <c r="NOQ2" s="15"/>
      <c r="NOR2" s="53" t="str">
        <f>[4]利润表!$P$2</f>
        <v>日  期：2012年9月15日</v>
      </c>
      <c r="NOS2" s="14"/>
      <c r="NOT2" s="15"/>
      <c r="NOU2" s="16"/>
      <c r="NOV2" s="15"/>
      <c r="NOW2" s="15"/>
      <c r="NOX2" s="15"/>
      <c r="NOY2" s="15"/>
      <c r="NOZ2" s="15"/>
      <c r="NPA2" s="6"/>
      <c r="NPB2" s="6"/>
      <c r="NPC2" s="6"/>
      <c r="NPD2" s="15"/>
      <c r="NPE2" s="15"/>
      <c r="NPF2" s="6"/>
      <c r="NPG2" s="15"/>
      <c r="NPH2" s="53" t="str">
        <f>[4]利润表!$P$2</f>
        <v>日  期：2012年9月15日</v>
      </c>
      <c r="NPI2" s="14"/>
      <c r="NPJ2" s="15"/>
      <c r="NPK2" s="16"/>
      <c r="NPL2" s="15"/>
      <c r="NPM2" s="15"/>
      <c r="NPN2" s="15"/>
      <c r="NPO2" s="15"/>
      <c r="NPP2" s="15"/>
      <c r="NPQ2" s="6"/>
      <c r="NPR2" s="6"/>
      <c r="NPS2" s="6"/>
      <c r="NPT2" s="15"/>
      <c r="NPU2" s="15"/>
      <c r="NPV2" s="6"/>
      <c r="NPW2" s="15"/>
      <c r="NPX2" s="53" t="str">
        <f>[4]利润表!$P$2</f>
        <v>日  期：2012年9月15日</v>
      </c>
      <c r="NPY2" s="14"/>
      <c r="NPZ2" s="15"/>
      <c r="NQA2" s="16"/>
      <c r="NQB2" s="15"/>
      <c r="NQC2" s="15"/>
      <c r="NQD2" s="15"/>
      <c r="NQE2" s="15"/>
      <c r="NQF2" s="15"/>
      <c r="NQG2" s="6"/>
      <c r="NQH2" s="6"/>
      <c r="NQI2" s="6"/>
      <c r="NQJ2" s="15"/>
      <c r="NQK2" s="15"/>
      <c r="NQL2" s="6"/>
      <c r="NQM2" s="15"/>
      <c r="NQN2" s="53" t="str">
        <f>[4]利润表!$P$2</f>
        <v>日  期：2012年9月15日</v>
      </c>
      <c r="NQO2" s="14"/>
      <c r="NQP2" s="15"/>
      <c r="NQQ2" s="16"/>
      <c r="NQR2" s="15"/>
      <c r="NQS2" s="15"/>
      <c r="NQT2" s="15"/>
      <c r="NQU2" s="15"/>
      <c r="NQV2" s="15"/>
      <c r="NQW2" s="6"/>
      <c r="NQX2" s="6"/>
      <c r="NQY2" s="6"/>
      <c r="NQZ2" s="15"/>
      <c r="NRA2" s="15"/>
      <c r="NRB2" s="6"/>
      <c r="NRC2" s="15"/>
      <c r="NRD2" s="53" t="str">
        <f>[4]利润表!$P$2</f>
        <v>日  期：2012年9月15日</v>
      </c>
      <c r="NRE2" s="14"/>
      <c r="NRF2" s="15"/>
      <c r="NRG2" s="16"/>
      <c r="NRH2" s="15"/>
      <c r="NRI2" s="15"/>
      <c r="NRJ2" s="15"/>
      <c r="NRK2" s="15"/>
      <c r="NRL2" s="15"/>
      <c r="NRM2" s="6"/>
      <c r="NRN2" s="6"/>
      <c r="NRO2" s="6"/>
      <c r="NRP2" s="15"/>
      <c r="NRQ2" s="15"/>
      <c r="NRR2" s="6"/>
      <c r="NRS2" s="15"/>
      <c r="NRT2" s="53" t="str">
        <f>[4]利润表!$P$2</f>
        <v>日  期：2012年9月15日</v>
      </c>
      <c r="NRU2" s="14"/>
      <c r="NRV2" s="15"/>
      <c r="NRW2" s="16"/>
      <c r="NRX2" s="15"/>
      <c r="NRY2" s="15"/>
      <c r="NRZ2" s="15"/>
      <c r="NSA2" s="15"/>
      <c r="NSB2" s="15"/>
      <c r="NSC2" s="6"/>
      <c r="NSD2" s="6"/>
      <c r="NSE2" s="6"/>
      <c r="NSF2" s="15"/>
      <c r="NSG2" s="15"/>
      <c r="NSH2" s="6"/>
      <c r="NSI2" s="15"/>
      <c r="NSJ2" s="53" t="str">
        <f>[4]利润表!$P$2</f>
        <v>日  期：2012年9月15日</v>
      </c>
      <c r="NSK2" s="14"/>
      <c r="NSL2" s="15"/>
      <c r="NSM2" s="16"/>
      <c r="NSN2" s="15"/>
      <c r="NSO2" s="15"/>
      <c r="NSP2" s="15"/>
      <c r="NSQ2" s="15"/>
      <c r="NSR2" s="15"/>
      <c r="NSS2" s="6"/>
      <c r="NST2" s="6"/>
      <c r="NSU2" s="6"/>
      <c r="NSV2" s="15"/>
      <c r="NSW2" s="15"/>
      <c r="NSX2" s="6"/>
      <c r="NSY2" s="15"/>
      <c r="NSZ2" s="53" t="str">
        <f>[4]利润表!$P$2</f>
        <v>日  期：2012年9月15日</v>
      </c>
      <c r="NTA2" s="14"/>
      <c r="NTB2" s="15"/>
      <c r="NTC2" s="16"/>
      <c r="NTD2" s="15"/>
      <c r="NTE2" s="15"/>
      <c r="NTF2" s="15"/>
      <c r="NTG2" s="15"/>
      <c r="NTH2" s="15"/>
      <c r="NTI2" s="6"/>
      <c r="NTJ2" s="6"/>
      <c r="NTK2" s="6"/>
      <c r="NTL2" s="15"/>
      <c r="NTM2" s="15"/>
      <c r="NTN2" s="6"/>
      <c r="NTO2" s="15"/>
      <c r="NTP2" s="53" t="str">
        <f>[4]利润表!$P$2</f>
        <v>日  期：2012年9月15日</v>
      </c>
      <c r="NTQ2" s="14"/>
      <c r="NTR2" s="15"/>
      <c r="NTS2" s="16"/>
      <c r="NTT2" s="15"/>
      <c r="NTU2" s="15"/>
      <c r="NTV2" s="15"/>
      <c r="NTW2" s="15"/>
      <c r="NTX2" s="15"/>
      <c r="NTY2" s="6"/>
      <c r="NTZ2" s="6"/>
      <c r="NUA2" s="6"/>
      <c r="NUB2" s="15"/>
      <c r="NUC2" s="15"/>
      <c r="NUD2" s="6"/>
      <c r="NUE2" s="15"/>
      <c r="NUF2" s="53" t="str">
        <f>[4]利润表!$P$2</f>
        <v>日  期：2012年9月15日</v>
      </c>
      <c r="NUG2" s="14"/>
      <c r="NUH2" s="15"/>
      <c r="NUI2" s="16"/>
      <c r="NUJ2" s="15"/>
      <c r="NUK2" s="15"/>
      <c r="NUL2" s="15"/>
      <c r="NUM2" s="15"/>
      <c r="NUN2" s="15"/>
      <c r="NUO2" s="6"/>
      <c r="NUP2" s="6"/>
      <c r="NUQ2" s="6"/>
      <c r="NUR2" s="15"/>
      <c r="NUS2" s="15"/>
      <c r="NUT2" s="6"/>
      <c r="NUU2" s="15"/>
      <c r="NUV2" s="53" t="str">
        <f>[4]利润表!$P$2</f>
        <v>日  期：2012年9月15日</v>
      </c>
      <c r="NUW2" s="14"/>
      <c r="NUX2" s="15"/>
      <c r="NUY2" s="16"/>
      <c r="NUZ2" s="15"/>
      <c r="NVA2" s="15"/>
      <c r="NVB2" s="15"/>
      <c r="NVC2" s="15"/>
      <c r="NVD2" s="15"/>
      <c r="NVE2" s="6"/>
      <c r="NVF2" s="6"/>
      <c r="NVG2" s="6"/>
      <c r="NVH2" s="15"/>
      <c r="NVI2" s="15"/>
      <c r="NVJ2" s="6"/>
      <c r="NVK2" s="15"/>
      <c r="NVL2" s="53" t="str">
        <f>[4]利润表!$P$2</f>
        <v>日  期：2012年9月15日</v>
      </c>
      <c r="NVM2" s="14"/>
      <c r="NVN2" s="15"/>
      <c r="NVO2" s="16"/>
      <c r="NVP2" s="15"/>
      <c r="NVQ2" s="15"/>
      <c r="NVR2" s="15"/>
      <c r="NVS2" s="15"/>
      <c r="NVT2" s="15"/>
      <c r="NVU2" s="6"/>
      <c r="NVV2" s="6"/>
      <c r="NVW2" s="6"/>
      <c r="NVX2" s="15"/>
      <c r="NVY2" s="15"/>
      <c r="NVZ2" s="6"/>
      <c r="NWA2" s="15"/>
      <c r="NWB2" s="53" t="str">
        <f>[4]利润表!$P$2</f>
        <v>日  期：2012年9月15日</v>
      </c>
      <c r="NWC2" s="14"/>
      <c r="NWD2" s="15"/>
      <c r="NWE2" s="16"/>
      <c r="NWF2" s="15"/>
      <c r="NWG2" s="15"/>
      <c r="NWH2" s="15"/>
      <c r="NWI2" s="15"/>
      <c r="NWJ2" s="15"/>
      <c r="NWK2" s="6"/>
      <c r="NWL2" s="6"/>
      <c r="NWM2" s="6"/>
      <c r="NWN2" s="15"/>
      <c r="NWO2" s="15"/>
      <c r="NWP2" s="6"/>
      <c r="NWQ2" s="15"/>
      <c r="NWR2" s="53" t="str">
        <f>[4]利润表!$P$2</f>
        <v>日  期：2012年9月15日</v>
      </c>
      <c r="NWS2" s="14"/>
      <c r="NWT2" s="15"/>
      <c r="NWU2" s="16"/>
      <c r="NWV2" s="15"/>
      <c r="NWW2" s="15"/>
      <c r="NWX2" s="15"/>
      <c r="NWY2" s="15"/>
      <c r="NWZ2" s="15"/>
      <c r="NXA2" s="6"/>
      <c r="NXB2" s="6"/>
      <c r="NXC2" s="6"/>
      <c r="NXD2" s="15"/>
      <c r="NXE2" s="15"/>
      <c r="NXF2" s="6"/>
      <c r="NXG2" s="15"/>
      <c r="NXH2" s="53" t="str">
        <f>[4]利润表!$P$2</f>
        <v>日  期：2012年9月15日</v>
      </c>
      <c r="NXI2" s="14"/>
      <c r="NXJ2" s="15"/>
      <c r="NXK2" s="16"/>
      <c r="NXL2" s="15"/>
      <c r="NXM2" s="15"/>
      <c r="NXN2" s="15"/>
      <c r="NXO2" s="15"/>
      <c r="NXP2" s="15"/>
      <c r="NXQ2" s="6"/>
      <c r="NXR2" s="6"/>
      <c r="NXS2" s="6"/>
      <c r="NXT2" s="15"/>
      <c r="NXU2" s="15"/>
      <c r="NXV2" s="6"/>
      <c r="NXW2" s="15"/>
      <c r="NXX2" s="53" t="str">
        <f>[4]利润表!$P$2</f>
        <v>日  期：2012年9月15日</v>
      </c>
      <c r="NXY2" s="14"/>
      <c r="NXZ2" s="15"/>
      <c r="NYA2" s="16"/>
      <c r="NYB2" s="15"/>
      <c r="NYC2" s="15"/>
      <c r="NYD2" s="15"/>
      <c r="NYE2" s="15"/>
      <c r="NYF2" s="15"/>
      <c r="NYG2" s="6"/>
      <c r="NYH2" s="6"/>
      <c r="NYI2" s="6"/>
      <c r="NYJ2" s="15"/>
      <c r="NYK2" s="15"/>
      <c r="NYL2" s="6"/>
      <c r="NYM2" s="15"/>
      <c r="NYN2" s="53" t="str">
        <f>[4]利润表!$P$2</f>
        <v>日  期：2012年9月15日</v>
      </c>
      <c r="NYO2" s="14"/>
      <c r="NYP2" s="15"/>
      <c r="NYQ2" s="16"/>
      <c r="NYR2" s="15"/>
      <c r="NYS2" s="15"/>
      <c r="NYT2" s="15"/>
      <c r="NYU2" s="15"/>
      <c r="NYV2" s="15"/>
      <c r="NYW2" s="6"/>
      <c r="NYX2" s="6"/>
      <c r="NYY2" s="6"/>
      <c r="NYZ2" s="15"/>
      <c r="NZA2" s="15"/>
      <c r="NZB2" s="6"/>
      <c r="NZC2" s="15"/>
      <c r="NZD2" s="53" t="str">
        <f>[4]利润表!$P$2</f>
        <v>日  期：2012年9月15日</v>
      </c>
      <c r="NZE2" s="14"/>
      <c r="NZF2" s="15"/>
      <c r="NZG2" s="16"/>
      <c r="NZH2" s="15"/>
      <c r="NZI2" s="15"/>
      <c r="NZJ2" s="15"/>
      <c r="NZK2" s="15"/>
      <c r="NZL2" s="15"/>
      <c r="NZM2" s="6"/>
      <c r="NZN2" s="6"/>
      <c r="NZO2" s="6"/>
      <c r="NZP2" s="15"/>
      <c r="NZQ2" s="15"/>
      <c r="NZR2" s="6"/>
      <c r="NZS2" s="15"/>
      <c r="NZT2" s="53" t="str">
        <f>[4]利润表!$P$2</f>
        <v>日  期：2012年9月15日</v>
      </c>
      <c r="NZU2" s="14"/>
      <c r="NZV2" s="15"/>
      <c r="NZW2" s="16"/>
      <c r="NZX2" s="15"/>
      <c r="NZY2" s="15"/>
      <c r="NZZ2" s="15"/>
      <c r="OAA2" s="15"/>
      <c r="OAB2" s="15"/>
      <c r="OAC2" s="6"/>
      <c r="OAD2" s="6"/>
      <c r="OAE2" s="6"/>
      <c r="OAF2" s="15"/>
      <c r="OAG2" s="15"/>
      <c r="OAH2" s="6"/>
      <c r="OAI2" s="15"/>
      <c r="OAJ2" s="53" t="str">
        <f>[4]利润表!$P$2</f>
        <v>日  期：2012年9月15日</v>
      </c>
      <c r="OAK2" s="14"/>
      <c r="OAL2" s="15"/>
      <c r="OAM2" s="16"/>
      <c r="OAN2" s="15"/>
      <c r="OAO2" s="15"/>
      <c r="OAP2" s="15"/>
      <c r="OAQ2" s="15"/>
      <c r="OAR2" s="15"/>
      <c r="OAS2" s="6"/>
      <c r="OAT2" s="6"/>
      <c r="OAU2" s="6"/>
      <c r="OAV2" s="15"/>
      <c r="OAW2" s="15"/>
      <c r="OAX2" s="6"/>
      <c r="OAY2" s="15"/>
      <c r="OAZ2" s="53" t="str">
        <f>[4]利润表!$P$2</f>
        <v>日  期：2012年9月15日</v>
      </c>
      <c r="OBA2" s="14"/>
      <c r="OBB2" s="15"/>
      <c r="OBC2" s="16"/>
      <c r="OBD2" s="15"/>
      <c r="OBE2" s="15"/>
      <c r="OBF2" s="15"/>
      <c r="OBG2" s="15"/>
      <c r="OBH2" s="15"/>
      <c r="OBI2" s="6"/>
      <c r="OBJ2" s="6"/>
      <c r="OBK2" s="6"/>
      <c r="OBL2" s="15"/>
      <c r="OBM2" s="15"/>
      <c r="OBN2" s="6"/>
      <c r="OBO2" s="15"/>
      <c r="OBP2" s="53" t="str">
        <f>[4]利润表!$P$2</f>
        <v>日  期：2012年9月15日</v>
      </c>
      <c r="OBQ2" s="14"/>
      <c r="OBR2" s="15"/>
      <c r="OBS2" s="16"/>
      <c r="OBT2" s="15"/>
      <c r="OBU2" s="15"/>
      <c r="OBV2" s="15"/>
      <c r="OBW2" s="15"/>
      <c r="OBX2" s="15"/>
      <c r="OBY2" s="6"/>
      <c r="OBZ2" s="6"/>
      <c r="OCA2" s="6"/>
      <c r="OCB2" s="15"/>
      <c r="OCC2" s="15"/>
      <c r="OCD2" s="6"/>
      <c r="OCE2" s="15"/>
      <c r="OCF2" s="53" t="str">
        <f>[4]利润表!$P$2</f>
        <v>日  期：2012年9月15日</v>
      </c>
      <c r="OCG2" s="14"/>
      <c r="OCH2" s="15"/>
      <c r="OCI2" s="16"/>
      <c r="OCJ2" s="15"/>
      <c r="OCK2" s="15"/>
      <c r="OCL2" s="15"/>
      <c r="OCM2" s="15"/>
      <c r="OCN2" s="15"/>
      <c r="OCO2" s="6"/>
      <c r="OCP2" s="6"/>
      <c r="OCQ2" s="6"/>
      <c r="OCR2" s="15"/>
      <c r="OCS2" s="15"/>
      <c r="OCT2" s="6"/>
      <c r="OCU2" s="15"/>
      <c r="OCV2" s="53" t="str">
        <f>[4]利润表!$P$2</f>
        <v>日  期：2012年9月15日</v>
      </c>
      <c r="OCW2" s="14"/>
      <c r="OCX2" s="15"/>
      <c r="OCY2" s="16"/>
      <c r="OCZ2" s="15"/>
      <c r="ODA2" s="15"/>
      <c r="ODB2" s="15"/>
      <c r="ODC2" s="15"/>
      <c r="ODD2" s="15"/>
      <c r="ODE2" s="6"/>
      <c r="ODF2" s="6"/>
      <c r="ODG2" s="6"/>
      <c r="ODH2" s="15"/>
      <c r="ODI2" s="15"/>
      <c r="ODJ2" s="6"/>
      <c r="ODK2" s="15"/>
      <c r="ODL2" s="53" t="str">
        <f>[4]利润表!$P$2</f>
        <v>日  期：2012年9月15日</v>
      </c>
      <c r="ODM2" s="14"/>
      <c r="ODN2" s="15"/>
      <c r="ODO2" s="16"/>
      <c r="ODP2" s="15"/>
      <c r="ODQ2" s="15"/>
      <c r="ODR2" s="15"/>
      <c r="ODS2" s="15"/>
      <c r="ODT2" s="15"/>
      <c r="ODU2" s="6"/>
      <c r="ODV2" s="6"/>
      <c r="ODW2" s="6"/>
      <c r="ODX2" s="15"/>
      <c r="ODY2" s="15"/>
      <c r="ODZ2" s="6"/>
      <c r="OEA2" s="15"/>
      <c r="OEB2" s="53" t="str">
        <f>[4]利润表!$P$2</f>
        <v>日  期：2012年9月15日</v>
      </c>
      <c r="OEC2" s="14"/>
      <c r="OED2" s="15"/>
      <c r="OEE2" s="16"/>
      <c r="OEF2" s="15"/>
      <c r="OEG2" s="15"/>
      <c r="OEH2" s="15"/>
      <c r="OEI2" s="15"/>
      <c r="OEJ2" s="15"/>
      <c r="OEK2" s="6"/>
      <c r="OEL2" s="6"/>
      <c r="OEM2" s="6"/>
      <c r="OEN2" s="15"/>
      <c r="OEO2" s="15"/>
      <c r="OEP2" s="6"/>
      <c r="OEQ2" s="15"/>
      <c r="OER2" s="53" t="str">
        <f>[4]利润表!$P$2</f>
        <v>日  期：2012年9月15日</v>
      </c>
      <c r="OES2" s="14"/>
      <c r="OET2" s="15"/>
      <c r="OEU2" s="16"/>
      <c r="OEV2" s="15"/>
      <c r="OEW2" s="15"/>
      <c r="OEX2" s="15"/>
      <c r="OEY2" s="15"/>
      <c r="OEZ2" s="15"/>
      <c r="OFA2" s="6"/>
      <c r="OFB2" s="6"/>
      <c r="OFC2" s="6"/>
      <c r="OFD2" s="15"/>
      <c r="OFE2" s="15"/>
      <c r="OFF2" s="6"/>
      <c r="OFG2" s="15"/>
      <c r="OFH2" s="53" t="str">
        <f>[4]利润表!$P$2</f>
        <v>日  期：2012年9月15日</v>
      </c>
      <c r="OFI2" s="14"/>
      <c r="OFJ2" s="15"/>
      <c r="OFK2" s="16"/>
      <c r="OFL2" s="15"/>
      <c r="OFM2" s="15"/>
      <c r="OFN2" s="15"/>
      <c r="OFO2" s="15"/>
      <c r="OFP2" s="15"/>
      <c r="OFQ2" s="6"/>
      <c r="OFR2" s="6"/>
      <c r="OFS2" s="6"/>
      <c r="OFT2" s="15"/>
      <c r="OFU2" s="15"/>
      <c r="OFV2" s="6"/>
      <c r="OFW2" s="15"/>
      <c r="OFX2" s="53" t="str">
        <f>[4]利润表!$P$2</f>
        <v>日  期：2012年9月15日</v>
      </c>
      <c r="OFY2" s="14"/>
      <c r="OFZ2" s="15"/>
      <c r="OGA2" s="16"/>
      <c r="OGB2" s="15"/>
      <c r="OGC2" s="15"/>
      <c r="OGD2" s="15"/>
      <c r="OGE2" s="15"/>
      <c r="OGF2" s="15"/>
      <c r="OGG2" s="6"/>
      <c r="OGH2" s="6"/>
      <c r="OGI2" s="6"/>
      <c r="OGJ2" s="15"/>
      <c r="OGK2" s="15"/>
      <c r="OGL2" s="6"/>
      <c r="OGM2" s="15"/>
      <c r="OGN2" s="53" t="str">
        <f>[4]利润表!$P$2</f>
        <v>日  期：2012年9月15日</v>
      </c>
      <c r="OGO2" s="14"/>
      <c r="OGP2" s="15"/>
      <c r="OGQ2" s="16"/>
      <c r="OGR2" s="15"/>
      <c r="OGS2" s="15"/>
      <c r="OGT2" s="15"/>
      <c r="OGU2" s="15"/>
      <c r="OGV2" s="15"/>
      <c r="OGW2" s="6"/>
      <c r="OGX2" s="6"/>
      <c r="OGY2" s="6"/>
      <c r="OGZ2" s="15"/>
      <c r="OHA2" s="15"/>
      <c r="OHB2" s="6"/>
      <c r="OHC2" s="15"/>
      <c r="OHD2" s="53" t="str">
        <f>[4]利润表!$P$2</f>
        <v>日  期：2012年9月15日</v>
      </c>
      <c r="OHE2" s="14"/>
      <c r="OHF2" s="15"/>
      <c r="OHG2" s="16"/>
      <c r="OHH2" s="15"/>
      <c r="OHI2" s="15"/>
      <c r="OHJ2" s="15"/>
      <c r="OHK2" s="15"/>
      <c r="OHL2" s="15"/>
      <c r="OHM2" s="6"/>
      <c r="OHN2" s="6"/>
      <c r="OHO2" s="6"/>
      <c r="OHP2" s="15"/>
      <c r="OHQ2" s="15"/>
      <c r="OHR2" s="6"/>
      <c r="OHS2" s="15"/>
      <c r="OHT2" s="53" t="str">
        <f>[4]利润表!$P$2</f>
        <v>日  期：2012年9月15日</v>
      </c>
      <c r="OHU2" s="14"/>
      <c r="OHV2" s="15"/>
      <c r="OHW2" s="16"/>
      <c r="OHX2" s="15"/>
      <c r="OHY2" s="15"/>
      <c r="OHZ2" s="15"/>
      <c r="OIA2" s="15"/>
      <c r="OIB2" s="15"/>
      <c r="OIC2" s="6"/>
      <c r="OID2" s="6"/>
      <c r="OIE2" s="6"/>
      <c r="OIF2" s="15"/>
      <c r="OIG2" s="15"/>
      <c r="OIH2" s="6"/>
      <c r="OII2" s="15"/>
      <c r="OIJ2" s="53" t="str">
        <f>[4]利润表!$P$2</f>
        <v>日  期：2012年9月15日</v>
      </c>
      <c r="OIK2" s="14"/>
      <c r="OIL2" s="15"/>
      <c r="OIM2" s="16"/>
      <c r="OIN2" s="15"/>
      <c r="OIO2" s="15"/>
      <c r="OIP2" s="15"/>
      <c r="OIQ2" s="15"/>
      <c r="OIR2" s="15"/>
      <c r="OIS2" s="6"/>
      <c r="OIT2" s="6"/>
      <c r="OIU2" s="6"/>
      <c r="OIV2" s="15"/>
      <c r="OIW2" s="15"/>
      <c r="OIX2" s="6"/>
      <c r="OIY2" s="15"/>
      <c r="OIZ2" s="53" t="str">
        <f>[4]利润表!$P$2</f>
        <v>日  期：2012年9月15日</v>
      </c>
      <c r="OJA2" s="14"/>
      <c r="OJB2" s="15"/>
      <c r="OJC2" s="16"/>
      <c r="OJD2" s="15"/>
      <c r="OJE2" s="15"/>
      <c r="OJF2" s="15"/>
      <c r="OJG2" s="15"/>
      <c r="OJH2" s="15"/>
      <c r="OJI2" s="6"/>
      <c r="OJJ2" s="6"/>
      <c r="OJK2" s="6"/>
      <c r="OJL2" s="15"/>
      <c r="OJM2" s="15"/>
      <c r="OJN2" s="6"/>
      <c r="OJO2" s="15"/>
      <c r="OJP2" s="53" t="str">
        <f>[4]利润表!$P$2</f>
        <v>日  期：2012年9月15日</v>
      </c>
      <c r="OJQ2" s="14"/>
      <c r="OJR2" s="15"/>
      <c r="OJS2" s="16"/>
      <c r="OJT2" s="15"/>
      <c r="OJU2" s="15"/>
      <c r="OJV2" s="15"/>
      <c r="OJW2" s="15"/>
      <c r="OJX2" s="15"/>
      <c r="OJY2" s="6"/>
      <c r="OJZ2" s="6"/>
      <c r="OKA2" s="6"/>
      <c r="OKB2" s="15"/>
      <c r="OKC2" s="15"/>
      <c r="OKD2" s="6"/>
      <c r="OKE2" s="15"/>
      <c r="OKF2" s="53" t="str">
        <f>[4]利润表!$P$2</f>
        <v>日  期：2012年9月15日</v>
      </c>
      <c r="OKG2" s="14"/>
      <c r="OKH2" s="15"/>
      <c r="OKI2" s="16"/>
      <c r="OKJ2" s="15"/>
      <c r="OKK2" s="15"/>
      <c r="OKL2" s="15"/>
      <c r="OKM2" s="15"/>
      <c r="OKN2" s="15"/>
      <c r="OKO2" s="6"/>
      <c r="OKP2" s="6"/>
      <c r="OKQ2" s="6"/>
      <c r="OKR2" s="15"/>
      <c r="OKS2" s="15"/>
      <c r="OKT2" s="6"/>
      <c r="OKU2" s="15"/>
      <c r="OKV2" s="53" t="str">
        <f>[4]利润表!$P$2</f>
        <v>日  期：2012年9月15日</v>
      </c>
      <c r="OKW2" s="14"/>
      <c r="OKX2" s="15"/>
      <c r="OKY2" s="16"/>
      <c r="OKZ2" s="15"/>
      <c r="OLA2" s="15"/>
      <c r="OLB2" s="15"/>
      <c r="OLC2" s="15"/>
      <c r="OLD2" s="15"/>
      <c r="OLE2" s="6"/>
      <c r="OLF2" s="6"/>
      <c r="OLG2" s="6"/>
      <c r="OLH2" s="15"/>
      <c r="OLI2" s="15"/>
      <c r="OLJ2" s="6"/>
      <c r="OLK2" s="15"/>
      <c r="OLL2" s="53" t="str">
        <f>[4]利润表!$P$2</f>
        <v>日  期：2012年9月15日</v>
      </c>
      <c r="OLM2" s="14"/>
      <c r="OLN2" s="15"/>
      <c r="OLO2" s="16"/>
      <c r="OLP2" s="15"/>
      <c r="OLQ2" s="15"/>
      <c r="OLR2" s="15"/>
      <c r="OLS2" s="15"/>
      <c r="OLT2" s="15"/>
      <c r="OLU2" s="6"/>
      <c r="OLV2" s="6"/>
      <c r="OLW2" s="6"/>
      <c r="OLX2" s="15"/>
      <c r="OLY2" s="15"/>
      <c r="OLZ2" s="6"/>
      <c r="OMA2" s="15"/>
      <c r="OMB2" s="53" t="str">
        <f>[4]利润表!$P$2</f>
        <v>日  期：2012年9月15日</v>
      </c>
      <c r="OMC2" s="14"/>
      <c r="OMD2" s="15"/>
      <c r="OME2" s="16"/>
      <c r="OMF2" s="15"/>
      <c r="OMG2" s="15"/>
      <c r="OMH2" s="15"/>
      <c r="OMI2" s="15"/>
      <c r="OMJ2" s="15"/>
      <c r="OMK2" s="6"/>
      <c r="OML2" s="6"/>
      <c r="OMM2" s="6"/>
      <c r="OMN2" s="15"/>
      <c r="OMO2" s="15"/>
      <c r="OMP2" s="6"/>
      <c r="OMQ2" s="15"/>
      <c r="OMR2" s="53" t="str">
        <f>[4]利润表!$P$2</f>
        <v>日  期：2012年9月15日</v>
      </c>
      <c r="OMS2" s="14"/>
      <c r="OMT2" s="15"/>
      <c r="OMU2" s="16"/>
      <c r="OMV2" s="15"/>
      <c r="OMW2" s="15"/>
      <c r="OMX2" s="15"/>
      <c r="OMY2" s="15"/>
      <c r="OMZ2" s="15"/>
      <c r="ONA2" s="6"/>
      <c r="ONB2" s="6"/>
      <c r="ONC2" s="6"/>
      <c r="OND2" s="15"/>
      <c r="ONE2" s="15"/>
      <c r="ONF2" s="6"/>
      <c r="ONG2" s="15"/>
      <c r="ONH2" s="53" t="str">
        <f>[4]利润表!$P$2</f>
        <v>日  期：2012年9月15日</v>
      </c>
      <c r="ONI2" s="14"/>
      <c r="ONJ2" s="15"/>
      <c r="ONK2" s="16"/>
      <c r="ONL2" s="15"/>
      <c r="ONM2" s="15"/>
      <c r="ONN2" s="15"/>
      <c r="ONO2" s="15"/>
      <c r="ONP2" s="15"/>
      <c r="ONQ2" s="6"/>
      <c r="ONR2" s="6"/>
      <c r="ONS2" s="6"/>
      <c r="ONT2" s="15"/>
      <c r="ONU2" s="15"/>
      <c r="ONV2" s="6"/>
      <c r="ONW2" s="15"/>
      <c r="ONX2" s="53" t="str">
        <f>[4]利润表!$P$2</f>
        <v>日  期：2012年9月15日</v>
      </c>
      <c r="ONY2" s="14"/>
      <c r="ONZ2" s="15"/>
      <c r="OOA2" s="16"/>
      <c r="OOB2" s="15"/>
      <c r="OOC2" s="15"/>
      <c r="OOD2" s="15"/>
      <c r="OOE2" s="15"/>
      <c r="OOF2" s="15"/>
      <c r="OOG2" s="6"/>
      <c r="OOH2" s="6"/>
      <c r="OOI2" s="6"/>
      <c r="OOJ2" s="15"/>
      <c r="OOK2" s="15"/>
      <c r="OOL2" s="6"/>
      <c r="OOM2" s="15"/>
      <c r="OON2" s="53" t="str">
        <f>[4]利润表!$P$2</f>
        <v>日  期：2012年9月15日</v>
      </c>
      <c r="OOO2" s="14"/>
      <c r="OOP2" s="15"/>
      <c r="OOQ2" s="16"/>
      <c r="OOR2" s="15"/>
      <c r="OOS2" s="15"/>
      <c r="OOT2" s="15"/>
      <c r="OOU2" s="15"/>
      <c r="OOV2" s="15"/>
      <c r="OOW2" s="6"/>
      <c r="OOX2" s="6"/>
      <c r="OOY2" s="6"/>
      <c r="OOZ2" s="15"/>
      <c r="OPA2" s="15"/>
      <c r="OPB2" s="6"/>
      <c r="OPC2" s="15"/>
      <c r="OPD2" s="53" t="str">
        <f>[4]利润表!$P$2</f>
        <v>日  期：2012年9月15日</v>
      </c>
      <c r="OPE2" s="14"/>
      <c r="OPF2" s="15"/>
      <c r="OPG2" s="16"/>
      <c r="OPH2" s="15"/>
      <c r="OPI2" s="15"/>
      <c r="OPJ2" s="15"/>
      <c r="OPK2" s="15"/>
      <c r="OPL2" s="15"/>
      <c r="OPM2" s="6"/>
      <c r="OPN2" s="6"/>
      <c r="OPO2" s="6"/>
      <c r="OPP2" s="15"/>
      <c r="OPQ2" s="15"/>
      <c r="OPR2" s="6"/>
      <c r="OPS2" s="15"/>
      <c r="OPT2" s="53" t="str">
        <f>[4]利润表!$P$2</f>
        <v>日  期：2012年9月15日</v>
      </c>
      <c r="OPU2" s="14"/>
      <c r="OPV2" s="15"/>
      <c r="OPW2" s="16"/>
      <c r="OPX2" s="15"/>
      <c r="OPY2" s="15"/>
      <c r="OPZ2" s="15"/>
      <c r="OQA2" s="15"/>
      <c r="OQB2" s="15"/>
      <c r="OQC2" s="6"/>
      <c r="OQD2" s="6"/>
      <c r="OQE2" s="6"/>
      <c r="OQF2" s="15"/>
      <c r="OQG2" s="15"/>
      <c r="OQH2" s="6"/>
      <c r="OQI2" s="15"/>
      <c r="OQJ2" s="53" t="str">
        <f>[4]利润表!$P$2</f>
        <v>日  期：2012年9月15日</v>
      </c>
      <c r="OQK2" s="14"/>
      <c r="OQL2" s="15"/>
      <c r="OQM2" s="16"/>
      <c r="OQN2" s="15"/>
      <c r="OQO2" s="15"/>
      <c r="OQP2" s="15"/>
      <c r="OQQ2" s="15"/>
      <c r="OQR2" s="15"/>
      <c r="OQS2" s="6"/>
      <c r="OQT2" s="6"/>
      <c r="OQU2" s="6"/>
      <c r="OQV2" s="15"/>
      <c r="OQW2" s="15"/>
      <c r="OQX2" s="6"/>
      <c r="OQY2" s="15"/>
      <c r="OQZ2" s="53" t="str">
        <f>[4]利润表!$P$2</f>
        <v>日  期：2012年9月15日</v>
      </c>
      <c r="ORA2" s="14"/>
      <c r="ORB2" s="15"/>
      <c r="ORC2" s="16"/>
      <c r="ORD2" s="15"/>
      <c r="ORE2" s="15"/>
      <c r="ORF2" s="15"/>
      <c r="ORG2" s="15"/>
      <c r="ORH2" s="15"/>
      <c r="ORI2" s="6"/>
      <c r="ORJ2" s="6"/>
      <c r="ORK2" s="6"/>
      <c r="ORL2" s="15"/>
      <c r="ORM2" s="15"/>
      <c r="ORN2" s="6"/>
      <c r="ORO2" s="15"/>
      <c r="ORP2" s="53" t="str">
        <f>[4]利润表!$P$2</f>
        <v>日  期：2012年9月15日</v>
      </c>
      <c r="ORQ2" s="14"/>
      <c r="ORR2" s="15"/>
      <c r="ORS2" s="16"/>
      <c r="ORT2" s="15"/>
      <c r="ORU2" s="15"/>
      <c r="ORV2" s="15"/>
      <c r="ORW2" s="15"/>
      <c r="ORX2" s="15"/>
      <c r="ORY2" s="6"/>
      <c r="ORZ2" s="6"/>
      <c r="OSA2" s="6"/>
      <c r="OSB2" s="15"/>
      <c r="OSC2" s="15"/>
      <c r="OSD2" s="6"/>
      <c r="OSE2" s="15"/>
      <c r="OSF2" s="53" t="str">
        <f>[4]利润表!$P$2</f>
        <v>日  期：2012年9月15日</v>
      </c>
      <c r="OSG2" s="14"/>
      <c r="OSH2" s="15"/>
      <c r="OSI2" s="16"/>
      <c r="OSJ2" s="15"/>
      <c r="OSK2" s="15"/>
      <c r="OSL2" s="15"/>
      <c r="OSM2" s="15"/>
      <c r="OSN2" s="15"/>
      <c r="OSO2" s="6"/>
      <c r="OSP2" s="6"/>
      <c r="OSQ2" s="6"/>
      <c r="OSR2" s="15"/>
      <c r="OSS2" s="15"/>
      <c r="OST2" s="6"/>
      <c r="OSU2" s="15"/>
      <c r="OSV2" s="53" t="str">
        <f>[4]利润表!$P$2</f>
        <v>日  期：2012年9月15日</v>
      </c>
      <c r="OSW2" s="14"/>
      <c r="OSX2" s="15"/>
      <c r="OSY2" s="16"/>
      <c r="OSZ2" s="15"/>
      <c r="OTA2" s="15"/>
      <c r="OTB2" s="15"/>
      <c r="OTC2" s="15"/>
      <c r="OTD2" s="15"/>
      <c r="OTE2" s="6"/>
      <c r="OTF2" s="6"/>
      <c r="OTG2" s="6"/>
      <c r="OTH2" s="15"/>
      <c r="OTI2" s="15"/>
      <c r="OTJ2" s="6"/>
      <c r="OTK2" s="15"/>
      <c r="OTL2" s="53" t="str">
        <f>[4]利润表!$P$2</f>
        <v>日  期：2012年9月15日</v>
      </c>
      <c r="OTM2" s="14"/>
      <c r="OTN2" s="15"/>
      <c r="OTO2" s="16"/>
      <c r="OTP2" s="15"/>
      <c r="OTQ2" s="15"/>
      <c r="OTR2" s="15"/>
      <c r="OTS2" s="15"/>
      <c r="OTT2" s="15"/>
      <c r="OTU2" s="6"/>
      <c r="OTV2" s="6"/>
      <c r="OTW2" s="6"/>
      <c r="OTX2" s="15"/>
      <c r="OTY2" s="15"/>
      <c r="OTZ2" s="6"/>
      <c r="OUA2" s="15"/>
      <c r="OUB2" s="53" t="str">
        <f>[4]利润表!$P$2</f>
        <v>日  期：2012年9月15日</v>
      </c>
      <c r="OUC2" s="14"/>
      <c r="OUD2" s="15"/>
      <c r="OUE2" s="16"/>
      <c r="OUF2" s="15"/>
      <c r="OUG2" s="15"/>
      <c r="OUH2" s="15"/>
      <c r="OUI2" s="15"/>
      <c r="OUJ2" s="15"/>
      <c r="OUK2" s="6"/>
      <c r="OUL2" s="6"/>
      <c r="OUM2" s="6"/>
      <c r="OUN2" s="15"/>
      <c r="OUO2" s="15"/>
      <c r="OUP2" s="6"/>
      <c r="OUQ2" s="15"/>
      <c r="OUR2" s="53" t="str">
        <f>[4]利润表!$P$2</f>
        <v>日  期：2012年9月15日</v>
      </c>
      <c r="OUS2" s="14"/>
      <c r="OUT2" s="15"/>
      <c r="OUU2" s="16"/>
      <c r="OUV2" s="15"/>
      <c r="OUW2" s="15"/>
      <c r="OUX2" s="15"/>
      <c r="OUY2" s="15"/>
      <c r="OUZ2" s="15"/>
      <c r="OVA2" s="6"/>
      <c r="OVB2" s="6"/>
      <c r="OVC2" s="6"/>
      <c r="OVD2" s="15"/>
      <c r="OVE2" s="15"/>
      <c r="OVF2" s="6"/>
      <c r="OVG2" s="15"/>
      <c r="OVH2" s="53" t="str">
        <f>[4]利润表!$P$2</f>
        <v>日  期：2012年9月15日</v>
      </c>
      <c r="OVI2" s="14"/>
      <c r="OVJ2" s="15"/>
      <c r="OVK2" s="16"/>
      <c r="OVL2" s="15"/>
      <c r="OVM2" s="15"/>
      <c r="OVN2" s="15"/>
      <c r="OVO2" s="15"/>
      <c r="OVP2" s="15"/>
      <c r="OVQ2" s="6"/>
      <c r="OVR2" s="6"/>
      <c r="OVS2" s="6"/>
      <c r="OVT2" s="15"/>
      <c r="OVU2" s="15"/>
      <c r="OVV2" s="6"/>
      <c r="OVW2" s="15"/>
      <c r="OVX2" s="53" t="str">
        <f>[4]利润表!$P$2</f>
        <v>日  期：2012年9月15日</v>
      </c>
      <c r="OVY2" s="14"/>
      <c r="OVZ2" s="15"/>
      <c r="OWA2" s="16"/>
      <c r="OWB2" s="15"/>
      <c r="OWC2" s="15"/>
      <c r="OWD2" s="15"/>
      <c r="OWE2" s="15"/>
      <c r="OWF2" s="15"/>
      <c r="OWG2" s="6"/>
      <c r="OWH2" s="6"/>
      <c r="OWI2" s="6"/>
      <c r="OWJ2" s="15"/>
      <c r="OWK2" s="15"/>
      <c r="OWL2" s="6"/>
      <c r="OWM2" s="15"/>
      <c r="OWN2" s="53" t="str">
        <f>[4]利润表!$P$2</f>
        <v>日  期：2012年9月15日</v>
      </c>
      <c r="OWO2" s="14"/>
      <c r="OWP2" s="15"/>
      <c r="OWQ2" s="16"/>
      <c r="OWR2" s="15"/>
      <c r="OWS2" s="15"/>
      <c r="OWT2" s="15"/>
      <c r="OWU2" s="15"/>
      <c r="OWV2" s="15"/>
      <c r="OWW2" s="6"/>
      <c r="OWX2" s="6"/>
      <c r="OWY2" s="6"/>
      <c r="OWZ2" s="15"/>
      <c r="OXA2" s="15"/>
      <c r="OXB2" s="6"/>
      <c r="OXC2" s="15"/>
      <c r="OXD2" s="53" t="str">
        <f>[4]利润表!$P$2</f>
        <v>日  期：2012年9月15日</v>
      </c>
      <c r="OXE2" s="14"/>
      <c r="OXF2" s="15"/>
      <c r="OXG2" s="16"/>
      <c r="OXH2" s="15"/>
      <c r="OXI2" s="15"/>
      <c r="OXJ2" s="15"/>
      <c r="OXK2" s="15"/>
      <c r="OXL2" s="15"/>
      <c r="OXM2" s="6"/>
      <c r="OXN2" s="6"/>
      <c r="OXO2" s="6"/>
      <c r="OXP2" s="15"/>
      <c r="OXQ2" s="15"/>
      <c r="OXR2" s="6"/>
      <c r="OXS2" s="15"/>
      <c r="OXT2" s="53" t="str">
        <f>[4]利润表!$P$2</f>
        <v>日  期：2012年9月15日</v>
      </c>
      <c r="OXU2" s="14"/>
      <c r="OXV2" s="15"/>
      <c r="OXW2" s="16"/>
      <c r="OXX2" s="15"/>
      <c r="OXY2" s="15"/>
      <c r="OXZ2" s="15"/>
      <c r="OYA2" s="15"/>
      <c r="OYB2" s="15"/>
      <c r="OYC2" s="6"/>
      <c r="OYD2" s="6"/>
      <c r="OYE2" s="6"/>
      <c r="OYF2" s="15"/>
      <c r="OYG2" s="15"/>
      <c r="OYH2" s="6"/>
      <c r="OYI2" s="15"/>
      <c r="OYJ2" s="53" t="str">
        <f>[4]利润表!$P$2</f>
        <v>日  期：2012年9月15日</v>
      </c>
      <c r="OYK2" s="14"/>
      <c r="OYL2" s="15"/>
      <c r="OYM2" s="16"/>
      <c r="OYN2" s="15"/>
      <c r="OYO2" s="15"/>
      <c r="OYP2" s="15"/>
      <c r="OYQ2" s="15"/>
      <c r="OYR2" s="15"/>
      <c r="OYS2" s="6"/>
      <c r="OYT2" s="6"/>
      <c r="OYU2" s="6"/>
      <c r="OYV2" s="15"/>
      <c r="OYW2" s="15"/>
      <c r="OYX2" s="6"/>
      <c r="OYY2" s="15"/>
      <c r="OYZ2" s="53" t="str">
        <f>[4]利润表!$P$2</f>
        <v>日  期：2012年9月15日</v>
      </c>
      <c r="OZA2" s="14"/>
      <c r="OZB2" s="15"/>
      <c r="OZC2" s="16"/>
      <c r="OZD2" s="15"/>
      <c r="OZE2" s="15"/>
      <c r="OZF2" s="15"/>
      <c r="OZG2" s="15"/>
      <c r="OZH2" s="15"/>
      <c r="OZI2" s="6"/>
      <c r="OZJ2" s="6"/>
      <c r="OZK2" s="6"/>
      <c r="OZL2" s="15"/>
      <c r="OZM2" s="15"/>
      <c r="OZN2" s="6"/>
      <c r="OZO2" s="15"/>
      <c r="OZP2" s="53" t="str">
        <f>[4]利润表!$P$2</f>
        <v>日  期：2012年9月15日</v>
      </c>
      <c r="OZQ2" s="14"/>
      <c r="OZR2" s="15"/>
      <c r="OZS2" s="16"/>
      <c r="OZT2" s="15"/>
      <c r="OZU2" s="15"/>
      <c r="OZV2" s="15"/>
      <c r="OZW2" s="15"/>
      <c r="OZX2" s="15"/>
      <c r="OZY2" s="6"/>
      <c r="OZZ2" s="6"/>
      <c r="PAA2" s="6"/>
      <c r="PAB2" s="15"/>
      <c r="PAC2" s="15"/>
      <c r="PAD2" s="6"/>
      <c r="PAE2" s="15"/>
      <c r="PAF2" s="53" t="str">
        <f>[4]利润表!$P$2</f>
        <v>日  期：2012年9月15日</v>
      </c>
      <c r="PAG2" s="14"/>
      <c r="PAH2" s="15"/>
      <c r="PAI2" s="16"/>
      <c r="PAJ2" s="15"/>
      <c r="PAK2" s="15"/>
      <c r="PAL2" s="15"/>
      <c r="PAM2" s="15"/>
      <c r="PAN2" s="15"/>
      <c r="PAO2" s="6"/>
      <c r="PAP2" s="6"/>
      <c r="PAQ2" s="6"/>
      <c r="PAR2" s="15"/>
      <c r="PAS2" s="15"/>
      <c r="PAT2" s="6"/>
      <c r="PAU2" s="15"/>
      <c r="PAV2" s="53" t="str">
        <f>[4]利润表!$P$2</f>
        <v>日  期：2012年9月15日</v>
      </c>
      <c r="PAW2" s="14"/>
      <c r="PAX2" s="15"/>
      <c r="PAY2" s="16"/>
      <c r="PAZ2" s="15"/>
      <c r="PBA2" s="15"/>
      <c r="PBB2" s="15"/>
      <c r="PBC2" s="15"/>
      <c r="PBD2" s="15"/>
      <c r="PBE2" s="6"/>
      <c r="PBF2" s="6"/>
      <c r="PBG2" s="6"/>
      <c r="PBH2" s="15"/>
      <c r="PBI2" s="15"/>
      <c r="PBJ2" s="6"/>
      <c r="PBK2" s="15"/>
      <c r="PBL2" s="53" t="str">
        <f>[4]利润表!$P$2</f>
        <v>日  期：2012年9月15日</v>
      </c>
      <c r="PBM2" s="14"/>
      <c r="PBN2" s="15"/>
      <c r="PBO2" s="16"/>
      <c r="PBP2" s="15"/>
      <c r="PBQ2" s="15"/>
      <c r="PBR2" s="15"/>
      <c r="PBS2" s="15"/>
      <c r="PBT2" s="15"/>
      <c r="PBU2" s="6"/>
      <c r="PBV2" s="6"/>
      <c r="PBW2" s="6"/>
      <c r="PBX2" s="15"/>
      <c r="PBY2" s="15"/>
      <c r="PBZ2" s="6"/>
      <c r="PCA2" s="15"/>
      <c r="PCB2" s="53" t="str">
        <f>[4]利润表!$P$2</f>
        <v>日  期：2012年9月15日</v>
      </c>
      <c r="PCC2" s="14"/>
      <c r="PCD2" s="15"/>
      <c r="PCE2" s="16"/>
      <c r="PCF2" s="15"/>
      <c r="PCG2" s="15"/>
      <c r="PCH2" s="15"/>
      <c r="PCI2" s="15"/>
      <c r="PCJ2" s="15"/>
      <c r="PCK2" s="6"/>
      <c r="PCL2" s="6"/>
      <c r="PCM2" s="6"/>
      <c r="PCN2" s="15"/>
      <c r="PCO2" s="15"/>
      <c r="PCP2" s="6"/>
      <c r="PCQ2" s="15"/>
      <c r="PCR2" s="53" t="str">
        <f>[4]利润表!$P$2</f>
        <v>日  期：2012年9月15日</v>
      </c>
      <c r="PCS2" s="14"/>
      <c r="PCT2" s="15"/>
      <c r="PCU2" s="16"/>
      <c r="PCV2" s="15"/>
      <c r="PCW2" s="15"/>
      <c r="PCX2" s="15"/>
      <c r="PCY2" s="15"/>
      <c r="PCZ2" s="15"/>
      <c r="PDA2" s="6"/>
      <c r="PDB2" s="6"/>
      <c r="PDC2" s="6"/>
      <c r="PDD2" s="15"/>
      <c r="PDE2" s="15"/>
      <c r="PDF2" s="6"/>
      <c r="PDG2" s="15"/>
      <c r="PDH2" s="53" t="str">
        <f>[4]利润表!$P$2</f>
        <v>日  期：2012年9月15日</v>
      </c>
      <c r="PDI2" s="14"/>
      <c r="PDJ2" s="15"/>
      <c r="PDK2" s="16"/>
      <c r="PDL2" s="15"/>
      <c r="PDM2" s="15"/>
      <c r="PDN2" s="15"/>
      <c r="PDO2" s="15"/>
      <c r="PDP2" s="15"/>
      <c r="PDQ2" s="6"/>
      <c r="PDR2" s="6"/>
      <c r="PDS2" s="6"/>
      <c r="PDT2" s="15"/>
      <c r="PDU2" s="15"/>
      <c r="PDV2" s="6"/>
      <c r="PDW2" s="15"/>
      <c r="PDX2" s="53" t="str">
        <f>[4]利润表!$P$2</f>
        <v>日  期：2012年9月15日</v>
      </c>
      <c r="PDY2" s="14"/>
      <c r="PDZ2" s="15"/>
      <c r="PEA2" s="16"/>
      <c r="PEB2" s="15"/>
      <c r="PEC2" s="15"/>
      <c r="PED2" s="15"/>
      <c r="PEE2" s="15"/>
      <c r="PEF2" s="15"/>
      <c r="PEG2" s="6"/>
      <c r="PEH2" s="6"/>
      <c r="PEI2" s="6"/>
      <c r="PEJ2" s="15"/>
      <c r="PEK2" s="15"/>
      <c r="PEL2" s="6"/>
      <c r="PEM2" s="15"/>
      <c r="PEN2" s="53" t="str">
        <f>[4]利润表!$P$2</f>
        <v>日  期：2012年9月15日</v>
      </c>
      <c r="PEO2" s="14"/>
      <c r="PEP2" s="15"/>
      <c r="PEQ2" s="16"/>
      <c r="PER2" s="15"/>
      <c r="PES2" s="15"/>
      <c r="PET2" s="15"/>
      <c r="PEU2" s="15"/>
      <c r="PEV2" s="15"/>
      <c r="PEW2" s="6"/>
      <c r="PEX2" s="6"/>
      <c r="PEY2" s="6"/>
      <c r="PEZ2" s="15"/>
      <c r="PFA2" s="15"/>
      <c r="PFB2" s="6"/>
      <c r="PFC2" s="15"/>
      <c r="PFD2" s="53" t="str">
        <f>[4]利润表!$P$2</f>
        <v>日  期：2012年9月15日</v>
      </c>
      <c r="PFE2" s="14"/>
      <c r="PFF2" s="15"/>
      <c r="PFG2" s="16"/>
      <c r="PFH2" s="15"/>
      <c r="PFI2" s="15"/>
      <c r="PFJ2" s="15"/>
      <c r="PFK2" s="15"/>
      <c r="PFL2" s="15"/>
      <c r="PFM2" s="6"/>
      <c r="PFN2" s="6"/>
      <c r="PFO2" s="6"/>
      <c r="PFP2" s="15"/>
      <c r="PFQ2" s="15"/>
      <c r="PFR2" s="6"/>
      <c r="PFS2" s="15"/>
      <c r="PFT2" s="53" t="str">
        <f>[4]利润表!$P$2</f>
        <v>日  期：2012年9月15日</v>
      </c>
      <c r="PFU2" s="14"/>
      <c r="PFV2" s="15"/>
      <c r="PFW2" s="16"/>
      <c r="PFX2" s="15"/>
      <c r="PFY2" s="15"/>
      <c r="PFZ2" s="15"/>
      <c r="PGA2" s="15"/>
      <c r="PGB2" s="15"/>
      <c r="PGC2" s="6"/>
      <c r="PGD2" s="6"/>
      <c r="PGE2" s="6"/>
      <c r="PGF2" s="15"/>
      <c r="PGG2" s="15"/>
      <c r="PGH2" s="6"/>
      <c r="PGI2" s="15"/>
      <c r="PGJ2" s="53" t="str">
        <f>[4]利润表!$P$2</f>
        <v>日  期：2012年9月15日</v>
      </c>
      <c r="PGK2" s="14"/>
      <c r="PGL2" s="15"/>
      <c r="PGM2" s="16"/>
      <c r="PGN2" s="15"/>
      <c r="PGO2" s="15"/>
      <c r="PGP2" s="15"/>
      <c r="PGQ2" s="15"/>
      <c r="PGR2" s="15"/>
      <c r="PGS2" s="6"/>
      <c r="PGT2" s="6"/>
      <c r="PGU2" s="6"/>
      <c r="PGV2" s="15"/>
      <c r="PGW2" s="15"/>
      <c r="PGX2" s="6"/>
      <c r="PGY2" s="15"/>
      <c r="PGZ2" s="53" t="str">
        <f>[4]利润表!$P$2</f>
        <v>日  期：2012年9月15日</v>
      </c>
      <c r="PHA2" s="14"/>
      <c r="PHB2" s="15"/>
      <c r="PHC2" s="16"/>
      <c r="PHD2" s="15"/>
      <c r="PHE2" s="15"/>
      <c r="PHF2" s="15"/>
      <c r="PHG2" s="15"/>
      <c r="PHH2" s="15"/>
      <c r="PHI2" s="6"/>
      <c r="PHJ2" s="6"/>
      <c r="PHK2" s="6"/>
      <c r="PHL2" s="15"/>
      <c r="PHM2" s="15"/>
      <c r="PHN2" s="6"/>
      <c r="PHO2" s="15"/>
      <c r="PHP2" s="53" t="str">
        <f>[4]利润表!$P$2</f>
        <v>日  期：2012年9月15日</v>
      </c>
      <c r="PHQ2" s="14"/>
      <c r="PHR2" s="15"/>
      <c r="PHS2" s="16"/>
      <c r="PHT2" s="15"/>
      <c r="PHU2" s="15"/>
      <c r="PHV2" s="15"/>
      <c r="PHW2" s="15"/>
      <c r="PHX2" s="15"/>
      <c r="PHY2" s="6"/>
      <c r="PHZ2" s="6"/>
      <c r="PIA2" s="6"/>
      <c r="PIB2" s="15"/>
      <c r="PIC2" s="15"/>
      <c r="PID2" s="6"/>
      <c r="PIE2" s="15"/>
      <c r="PIF2" s="53" t="str">
        <f>[4]利润表!$P$2</f>
        <v>日  期：2012年9月15日</v>
      </c>
      <c r="PIG2" s="14"/>
      <c r="PIH2" s="15"/>
      <c r="PII2" s="16"/>
      <c r="PIJ2" s="15"/>
      <c r="PIK2" s="15"/>
      <c r="PIL2" s="15"/>
      <c r="PIM2" s="15"/>
      <c r="PIN2" s="15"/>
      <c r="PIO2" s="6"/>
      <c r="PIP2" s="6"/>
      <c r="PIQ2" s="6"/>
      <c r="PIR2" s="15"/>
      <c r="PIS2" s="15"/>
      <c r="PIT2" s="6"/>
      <c r="PIU2" s="15"/>
      <c r="PIV2" s="53" t="str">
        <f>[4]利润表!$P$2</f>
        <v>日  期：2012年9月15日</v>
      </c>
      <c r="PIW2" s="14"/>
      <c r="PIX2" s="15"/>
      <c r="PIY2" s="16"/>
      <c r="PIZ2" s="15"/>
      <c r="PJA2" s="15"/>
      <c r="PJB2" s="15"/>
      <c r="PJC2" s="15"/>
      <c r="PJD2" s="15"/>
      <c r="PJE2" s="6"/>
      <c r="PJF2" s="6"/>
      <c r="PJG2" s="6"/>
      <c r="PJH2" s="15"/>
      <c r="PJI2" s="15"/>
      <c r="PJJ2" s="6"/>
      <c r="PJK2" s="15"/>
      <c r="PJL2" s="53" t="str">
        <f>[4]利润表!$P$2</f>
        <v>日  期：2012年9月15日</v>
      </c>
      <c r="PJM2" s="14"/>
      <c r="PJN2" s="15"/>
      <c r="PJO2" s="16"/>
      <c r="PJP2" s="15"/>
      <c r="PJQ2" s="15"/>
      <c r="PJR2" s="15"/>
      <c r="PJS2" s="15"/>
      <c r="PJT2" s="15"/>
      <c r="PJU2" s="6"/>
      <c r="PJV2" s="6"/>
      <c r="PJW2" s="6"/>
      <c r="PJX2" s="15"/>
      <c r="PJY2" s="15"/>
      <c r="PJZ2" s="6"/>
      <c r="PKA2" s="15"/>
      <c r="PKB2" s="53" t="str">
        <f>[4]利润表!$P$2</f>
        <v>日  期：2012年9月15日</v>
      </c>
      <c r="PKC2" s="14"/>
      <c r="PKD2" s="15"/>
      <c r="PKE2" s="16"/>
      <c r="PKF2" s="15"/>
      <c r="PKG2" s="15"/>
      <c r="PKH2" s="15"/>
      <c r="PKI2" s="15"/>
      <c r="PKJ2" s="15"/>
      <c r="PKK2" s="6"/>
      <c r="PKL2" s="6"/>
      <c r="PKM2" s="6"/>
      <c r="PKN2" s="15"/>
      <c r="PKO2" s="15"/>
      <c r="PKP2" s="6"/>
      <c r="PKQ2" s="15"/>
      <c r="PKR2" s="53" t="str">
        <f>[4]利润表!$P$2</f>
        <v>日  期：2012年9月15日</v>
      </c>
      <c r="PKS2" s="14"/>
      <c r="PKT2" s="15"/>
      <c r="PKU2" s="16"/>
      <c r="PKV2" s="15"/>
      <c r="PKW2" s="15"/>
      <c r="PKX2" s="15"/>
      <c r="PKY2" s="15"/>
      <c r="PKZ2" s="15"/>
      <c r="PLA2" s="6"/>
      <c r="PLB2" s="6"/>
      <c r="PLC2" s="6"/>
      <c r="PLD2" s="15"/>
      <c r="PLE2" s="15"/>
      <c r="PLF2" s="6"/>
      <c r="PLG2" s="15"/>
      <c r="PLH2" s="53" t="str">
        <f>[4]利润表!$P$2</f>
        <v>日  期：2012年9月15日</v>
      </c>
      <c r="PLI2" s="14"/>
      <c r="PLJ2" s="15"/>
      <c r="PLK2" s="16"/>
      <c r="PLL2" s="15"/>
      <c r="PLM2" s="15"/>
      <c r="PLN2" s="15"/>
      <c r="PLO2" s="15"/>
      <c r="PLP2" s="15"/>
      <c r="PLQ2" s="6"/>
      <c r="PLR2" s="6"/>
      <c r="PLS2" s="6"/>
      <c r="PLT2" s="15"/>
      <c r="PLU2" s="15"/>
      <c r="PLV2" s="6"/>
      <c r="PLW2" s="15"/>
      <c r="PLX2" s="53" t="str">
        <f>[4]利润表!$P$2</f>
        <v>日  期：2012年9月15日</v>
      </c>
      <c r="PLY2" s="14"/>
      <c r="PLZ2" s="15"/>
      <c r="PMA2" s="16"/>
      <c r="PMB2" s="15"/>
      <c r="PMC2" s="15"/>
      <c r="PMD2" s="15"/>
      <c r="PME2" s="15"/>
      <c r="PMF2" s="15"/>
      <c r="PMG2" s="6"/>
      <c r="PMH2" s="6"/>
      <c r="PMI2" s="6"/>
      <c r="PMJ2" s="15"/>
      <c r="PMK2" s="15"/>
      <c r="PML2" s="6"/>
      <c r="PMM2" s="15"/>
      <c r="PMN2" s="53" t="str">
        <f>[4]利润表!$P$2</f>
        <v>日  期：2012年9月15日</v>
      </c>
      <c r="PMO2" s="14"/>
      <c r="PMP2" s="15"/>
      <c r="PMQ2" s="16"/>
      <c r="PMR2" s="15"/>
      <c r="PMS2" s="15"/>
      <c r="PMT2" s="15"/>
      <c r="PMU2" s="15"/>
      <c r="PMV2" s="15"/>
      <c r="PMW2" s="6"/>
      <c r="PMX2" s="6"/>
      <c r="PMY2" s="6"/>
      <c r="PMZ2" s="15"/>
      <c r="PNA2" s="15"/>
      <c r="PNB2" s="6"/>
      <c r="PNC2" s="15"/>
      <c r="PND2" s="53" t="str">
        <f>[4]利润表!$P$2</f>
        <v>日  期：2012年9月15日</v>
      </c>
      <c r="PNE2" s="14"/>
      <c r="PNF2" s="15"/>
      <c r="PNG2" s="16"/>
      <c r="PNH2" s="15"/>
      <c r="PNI2" s="15"/>
      <c r="PNJ2" s="15"/>
      <c r="PNK2" s="15"/>
      <c r="PNL2" s="15"/>
      <c r="PNM2" s="6"/>
      <c r="PNN2" s="6"/>
      <c r="PNO2" s="6"/>
      <c r="PNP2" s="15"/>
      <c r="PNQ2" s="15"/>
      <c r="PNR2" s="6"/>
      <c r="PNS2" s="15"/>
      <c r="PNT2" s="53" t="str">
        <f>[4]利润表!$P$2</f>
        <v>日  期：2012年9月15日</v>
      </c>
      <c r="PNU2" s="14"/>
      <c r="PNV2" s="15"/>
      <c r="PNW2" s="16"/>
      <c r="PNX2" s="15"/>
      <c r="PNY2" s="15"/>
      <c r="PNZ2" s="15"/>
      <c r="POA2" s="15"/>
      <c r="POB2" s="15"/>
      <c r="POC2" s="6"/>
      <c r="POD2" s="6"/>
      <c r="POE2" s="6"/>
      <c r="POF2" s="15"/>
      <c r="POG2" s="15"/>
      <c r="POH2" s="6"/>
      <c r="POI2" s="15"/>
      <c r="POJ2" s="53" t="str">
        <f>[4]利润表!$P$2</f>
        <v>日  期：2012年9月15日</v>
      </c>
      <c r="POK2" s="14"/>
      <c r="POL2" s="15"/>
      <c r="POM2" s="16"/>
      <c r="PON2" s="15"/>
      <c r="POO2" s="15"/>
      <c r="POP2" s="15"/>
      <c r="POQ2" s="15"/>
      <c r="POR2" s="15"/>
      <c r="POS2" s="6"/>
      <c r="POT2" s="6"/>
      <c r="POU2" s="6"/>
      <c r="POV2" s="15"/>
      <c r="POW2" s="15"/>
      <c r="POX2" s="6"/>
      <c r="POY2" s="15"/>
      <c r="POZ2" s="53" t="str">
        <f>[4]利润表!$P$2</f>
        <v>日  期：2012年9月15日</v>
      </c>
      <c r="PPA2" s="14"/>
      <c r="PPB2" s="15"/>
      <c r="PPC2" s="16"/>
      <c r="PPD2" s="15"/>
      <c r="PPE2" s="15"/>
      <c r="PPF2" s="15"/>
      <c r="PPG2" s="15"/>
      <c r="PPH2" s="15"/>
      <c r="PPI2" s="6"/>
      <c r="PPJ2" s="6"/>
      <c r="PPK2" s="6"/>
      <c r="PPL2" s="15"/>
      <c r="PPM2" s="15"/>
      <c r="PPN2" s="6"/>
      <c r="PPO2" s="15"/>
      <c r="PPP2" s="53" t="str">
        <f>[4]利润表!$P$2</f>
        <v>日  期：2012年9月15日</v>
      </c>
      <c r="PPQ2" s="14"/>
      <c r="PPR2" s="15"/>
      <c r="PPS2" s="16"/>
      <c r="PPT2" s="15"/>
      <c r="PPU2" s="15"/>
      <c r="PPV2" s="15"/>
      <c r="PPW2" s="15"/>
      <c r="PPX2" s="15"/>
      <c r="PPY2" s="6"/>
      <c r="PPZ2" s="6"/>
      <c r="PQA2" s="6"/>
      <c r="PQB2" s="15"/>
      <c r="PQC2" s="15"/>
      <c r="PQD2" s="6"/>
      <c r="PQE2" s="15"/>
      <c r="PQF2" s="53" t="str">
        <f>[4]利润表!$P$2</f>
        <v>日  期：2012年9月15日</v>
      </c>
      <c r="PQG2" s="14"/>
      <c r="PQH2" s="15"/>
      <c r="PQI2" s="16"/>
      <c r="PQJ2" s="15"/>
      <c r="PQK2" s="15"/>
      <c r="PQL2" s="15"/>
      <c r="PQM2" s="15"/>
      <c r="PQN2" s="15"/>
      <c r="PQO2" s="6"/>
      <c r="PQP2" s="6"/>
      <c r="PQQ2" s="6"/>
      <c r="PQR2" s="15"/>
      <c r="PQS2" s="15"/>
      <c r="PQT2" s="6"/>
      <c r="PQU2" s="15"/>
      <c r="PQV2" s="53" t="str">
        <f>[4]利润表!$P$2</f>
        <v>日  期：2012年9月15日</v>
      </c>
      <c r="PQW2" s="14"/>
      <c r="PQX2" s="15"/>
      <c r="PQY2" s="16"/>
      <c r="PQZ2" s="15"/>
      <c r="PRA2" s="15"/>
      <c r="PRB2" s="15"/>
      <c r="PRC2" s="15"/>
      <c r="PRD2" s="15"/>
      <c r="PRE2" s="6"/>
      <c r="PRF2" s="6"/>
      <c r="PRG2" s="6"/>
      <c r="PRH2" s="15"/>
      <c r="PRI2" s="15"/>
      <c r="PRJ2" s="6"/>
      <c r="PRK2" s="15"/>
      <c r="PRL2" s="53" t="str">
        <f>[4]利润表!$P$2</f>
        <v>日  期：2012年9月15日</v>
      </c>
      <c r="PRM2" s="14"/>
      <c r="PRN2" s="15"/>
      <c r="PRO2" s="16"/>
      <c r="PRP2" s="15"/>
      <c r="PRQ2" s="15"/>
      <c r="PRR2" s="15"/>
      <c r="PRS2" s="15"/>
      <c r="PRT2" s="15"/>
      <c r="PRU2" s="6"/>
      <c r="PRV2" s="6"/>
      <c r="PRW2" s="6"/>
      <c r="PRX2" s="15"/>
      <c r="PRY2" s="15"/>
      <c r="PRZ2" s="6"/>
      <c r="PSA2" s="15"/>
      <c r="PSB2" s="53" t="str">
        <f>[4]利润表!$P$2</f>
        <v>日  期：2012年9月15日</v>
      </c>
      <c r="PSC2" s="14"/>
      <c r="PSD2" s="15"/>
      <c r="PSE2" s="16"/>
      <c r="PSF2" s="15"/>
      <c r="PSG2" s="15"/>
      <c r="PSH2" s="15"/>
      <c r="PSI2" s="15"/>
      <c r="PSJ2" s="15"/>
      <c r="PSK2" s="6"/>
      <c r="PSL2" s="6"/>
      <c r="PSM2" s="6"/>
      <c r="PSN2" s="15"/>
      <c r="PSO2" s="15"/>
      <c r="PSP2" s="6"/>
      <c r="PSQ2" s="15"/>
      <c r="PSR2" s="53" t="str">
        <f>[4]利润表!$P$2</f>
        <v>日  期：2012年9月15日</v>
      </c>
      <c r="PSS2" s="14"/>
      <c r="PST2" s="15"/>
      <c r="PSU2" s="16"/>
      <c r="PSV2" s="15"/>
      <c r="PSW2" s="15"/>
      <c r="PSX2" s="15"/>
      <c r="PSY2" s="15"/>
      <c r="PSZ2" s="15"/>
      <c r="PTA2" s="6"/>
      <c r="PTB2" s="6"/>
      <c r="PTC2" s="6"/>
      <c r="PTD2" s="15"/>
      <c r="PTE2" s="15"/>
      <c r="PTF2" s="6"/>
      <c r="PTG2" s="15"/>
      <c r="PTH2" s="53" t="str">
        <f>[4]利润表!$P$2</f>
        <v>日  期：2012年9月15日</v>
      </c>
      <c r="PTI2" s="14"/>
      <c r="PTJ2" s="15"/>
      <c r="PTK2" s="16"/>
      <c r="PTL2" s="15"/>
      <c r="PTM2" s="15"/>
      <c r="PTN2" s="15"/>
      <c r="PTO2" s="15"/>
      <c r="PTP2" s="15"/>
      <c r="PTQ2" s="6"/>
      <c r="PTR2" s="6"/>
      <c r="PTS2" s="6"/>
      <c r="PTT2" s="15"/>
      <c r="PTU2" s="15"/>
      <c r="PTV2" s="6"/>
      <c r="PTW2" s="15"/>
      <c r="PTX2" s="53" t="str">
        <f>[4]利润表!$P$2</f>
        <v>日  期：2012年9月15日</v>
      </c>
      <c r="PTY2" s="14"/>
      <c r="PTZ2" s="15"/>
      <c r="PUA2" s="16"/>
      <c r="PUB2" s="15"/>
      <c r="PUC2" s="15"/>
      <c r="PUD2" s="15"/>
      <c r="PUE2" s="15"/>
      <c r="PUF2" s="15"/>
      <c r="PUG2" s="6"/>
      <c r="PUH2" s="6"/>
      <c r="PUI2" s="6"/>
      <c r="PUJ2" s="15"/>
      <c r="PUK2" s="15"/>
      <c r="PUL2" s="6"/>
      <c r="PUM2" s="15"/>
      <c r="PUN2" s="53" t="str">
        <f>[4]利润表!$P$2</f>
        <v>日  期：2012年9月15日</v>
      </c>
      <c r="PUO2" s="14"/>
      <c r="PUP2" s="15"/>
      <c r="PUQ2" s="16"/>
      <c r="PUR2" s="15"/>
      <c r="PUS2" s="15"/>
      <c r="PUT2" s="15"/>
      <c r="PUU2" s="15"/>
      <c r="PUV2" s="15"/>
      <c r="PUW2" s="6"/>
      <c r="PUX2" s="6"/>
      <c r="PUY2" s="6"/>
      <c r="PUZ2" s="15"/>
      <c r="PVA2" s="15"/>
      <c r="PVB2" s="6"/>
      <c r="PVC2" s="15"/>
      <c r="PVD2" s="53" t="str">
        <f>[4]利润表!$P$2</f>
        <v>日  期：2012年9月15日</v>
      </c>
      <c r="PVE2" s="14"/>
      <c r="PVF2" s="15"/>
      <c r="PVG2" s="16"/>
      <c r="PVH2" s="15"/>
      <c r="PVI2" s="15"/>
      <c r="PVJ2" s="15"/>
      <c r="PVK2" s="15"/>
      <c r="PVL2" s="15"/>
      <c r="PVM2" s="6"/>
      <c r="PVN2" s="6"/>
      <c r="PVO2" s="6"/>
      <c r="PVP2" s="15"/>
      <c r="PVQ2" s="15"/>
      <c r="PVR2" s="6"/>
      <c r="PVS2" s="15"/>
      <c r="PVT2" s="53" t="str">
        <f>[4]利润表!$P$2</f>
        <v>日  期：2012年9月15日</v>
      </c>
      <c r="PVU2" s="14"/>
      <c r="PVV2" s="15"/>
      <c r="PVW2" s="16"/>
      <c r="PVX2" s="15"/>
      <c r="PVY2" s="15"/>
      <c r="PVZ2" s="15"/>
      <c r="PWA2" s="15"/>
      <c r="PWB2" s="15"/>
      <c r="PWC2" s="6"/>
      <c r="PWD2" s="6"/>
      <c r="PWE2" s="6"/>
      <c r="PWF2" s="15"/>
      <c r="PWG2" s="15"/>
      <c r="PWH2" s="6"/>
      <c r="PWI2" s="15"/>
      <c r="PWJ2" s="53" t="str">
        <f>[4]利润表!$P$2</f>
        <v>日  期：2012年9月15日</v>
      </c>
      <c r="PWK2" s="14"/>
      <c r="PWL2" s="15"/>
      <c r="PWM2" s="16"/>
      <c r="PWN2" s="15"/>
      <c r="PWO2" s="15"/>
      <c r="PWP2" s="15"/>
      <c r="PWQ2" s="15"/>
      <c r="PWR2" s="15"/>
      <c r="PWS2" s="6"/>
      <c r="PWT2" s="6"/>
      <c r="PWU2" s="6"/>
      <c r="PWV2" s="15"/>
      <c r="PWW2" s="15"/>
      <c r="PWX2" s="6"/>
      <c r="PWY2" s="15"/>
      <c r="PWZ2" s="53" t="str">
        <f>[4]利润表!$P$2</f>
        <v>日  期：2012年9月15日</v>
      </c>
      <c r="PXA2" s="14"/>
      <c r="PXB2" s="15"/>
      <c r="PXC2" s="16"/>
      <c r="PXD2" s="15"/>
      <c r="PXE2" s="15"/>
      <c r="PXF2" s="15"/>
      <c r="PXG2" s="15"/>
      <c r="PXH2" s="15"/>
      <c r="PXI2" s="6"/>
      <c r="PXJ2" s="6"/>
      <c r="PXK2" s="6"/>
      <c r="PXL2" s="15"/>
      <c r="PXM2" s="15"/>
      <c r="PXN2" s="6"/>
      <c r="PXO2" s="15"/>
      <c r="PXP2" s="53" t="str">
        <f>[4]利润表!$P$2</f>
        <v>日  期：2012年9月15日</v>
      </c>
      <c r="PXQ2" s="14"/>
      <c r="PXR2" s="15"/>
      <c r="PXS2" s="16"/>
      <c r="PXT2" s="15"/>
      <c r="PXU2" s="15"/>
      <c r="PXV2" s="15"/>
      <c r="PXW2" s="15"/>
      <c r="PXX2" s="15"/>
      <c r="PXY2" s="6"/>
      <c r="PXZ2" s="6"/>
      <c r="PYA2" s="6"/>
      <c r="PYB2" s="15"/>
      <c r="PYC2" s="15"/>
      <c r="PYD2" s="6"/>
      <c r="PYE2" s="15"/>
      <c r="PYF2" s="53" t="str">
        <f>[4]利润表!$P$2</f>
        <v>日  期：2012年9月15日</v>
      </c>
      <c r="PYG2" s="14"/>
      <c r="PYH2" s="15"/>
      <c r="PYI2" s="16"/>
      <c r="PYJ2" s="15"/>
      <c r="PYK2" s="15"/>
      <c r="PYL2" s="15"/>
      <c r="PYM2" s="15"/>
      <c r="PYN2" s="15"/>
      <c r="PYO2" s="6"/>
      <c r="PYP2" s="6"/>
      <c r="PYQ2" s="6"/>
      <c r="PYR2" s="15"/>
      <c r="PYS2" s="15"/>
      <c r="PYT2" s="6"/>
      <c r="PYU2" s="15"/>
      <c r="PYV2" s="53" t="str">
        <f>[4]利润表!$P$2</f>
        <v>日  期：2012年9月15日</v>
      </c>
      <c r="PYW2" s="14"/>
      <c r="PYX2" s="15"/>
      <c r="PYY2" s="16"/>
      <c r="PYZ2" s="15"/>
      <c r="PZA2" s="15"/>
      <c r="PZB2" s="15"/>
      <c r="PZC2" s="15"/>
      <c r="PZD2" s="15"/>
      <c r="PZE2" s="6"/>
      <c r="PZF2" s="6"/>
      <c r="PZG2" s="6"/>
      <c r="PZH2" s="15"/>
      <c r="PZI2" s="15"/>
      <c r="PZJ2" s="6"/>
      <c r="PZK2" s="15"/>
      <c r="PZL2" s="53" t="str">
        <f>[4]利润表!$P$2</f>
        <v>日  期：2012年9月15日</v>
      </c>
      <c r="PZM2" s="14"/>
      <c r="PZN2" s="15"/>
      <c r="PZO2" s="16"/>
      <c r="PZP2" s="15"/>
      <c r="PZQ2" s="15"/>
      <c r="PZR2" s="15"/>
      <c r="PZS2" s="15"/>
      <c r="PZT2" s="15"/>
      <c r="PZU2" s="6"/>
      <c r="PZV2" s="6"/>
      <c r="PZW2" s="6"/>
      <c r="PZX2" s="15"/>
      <c r="PZY2" s="15"/>
      <c r="PZZ2" s="6"/>
      <c r="QAA2" s="15"/>
      <c r="QAB2" s="53" t="str">
        <f>[4]利润表!$P$2</f>
        <v>日  期：2012年9月15日</v>
      </c>
      <c r="QAC2" s="14"/>
      <c r="QAD2" s="15"/>
      <c r="QAE2" s="16"/>
      <c r="QAF2" s="15"/>
      <c r="QAG2" s="15"/>
      <c r="QAH2" s="15"/>
      <c r="QAI2" s="15"/>
      <c r="QAJ2" s="15"/>
      <c r="QAK2" s="6"/>
      <c r="QAL2" s="6"/>
      <c r="QAM2" s="6"/>
      <c r="QAN2" s="15"/>
      <c r="QAO2" s="15"/>
      <c r="QAP2" s="6"/>
      <c r="QAQ2" s="15"/>
      <c r="QAR2" s="53" t="str">
        <f>[4]利润表!$P$2</f>
        <v>日  期：2012年9月15日</v>
      </c>
      <c r="QAS2" s="14"/>
      <c r="QAT2" s="15"/>
      <c r="QAU2" s="16"/>
      <c r="QAV2" s="15"/>
      <c r="QAW2" s="15"/>
      <c r="QAX2" s="15"/>
      <c r="QAY2" s="15"/>
      <c r="QAZ2" s="15"/>
      <c r="QBA2" s="6"/>
      <c r="QBB2" s="6"/>
      <c r="QBC2" s="6"/>
      <c r="QBD2" s="15"/>
      <c r="QBE2" s="15"/>
      <c r="QBF2" s="6"/>
      <c r="QBG2" s="15"/>
      <c r="QBH2" s="53" t="str">
        <f>[4]利润表!$P$2</f>
        <v>日  期：2012年9月15日</v>
      </c>
      <c r="QBI2" s="14"/>
      <c r="QBJ2" s="15"/>
      <c r="QBK2" s="16"/>
      <c r="QBL2" s="15"/>
      <c r="QBM2" s="15"/>
      <c r="QBN2" s="15"/>
      <c r="QBO2" s="15"/>
      <c r="QBP2" s="15"/>
      <c r="QBQ2" s="6"/>
      <c r="QBR2" s="6"/>
      <c r="QBS2" s="6"/>
      <c r="QBT2" s="15"/>
      <c r="QBU2" s="15"/>
      <c r="QBV2" s="6"/>
      <c r="QBW2" s="15"/>
      <c r="QBX2" s="53" t="str">
        <f>[4]利润表!$P$2</f>
        <v>日  期：2012年9月15日</v>
      </c>
      <c r="QBY2" s="14"/>
      <c r="QBZ2" s="15"/>
      <c r="QCA2" s="16"/>
      <c r="QCB2" s="15"/>
      <c r="QCC2" s="15"/>
      <c r="QCD2" s="15"/>
      <c r="QCE2" s="15"/>
      <c r="QCF2" s="15"/>
      <c r="QCG2" s="6"/>
      <c r="QCH2" s="6"/>
      <c r="QCI2" s="6"/>
      <c r="QCJ2" s="15"/>
      <c r="QCK2" s="15"/>
      <c r="QCL2" s="6"/>
      <c r="QCM2" s="15"/>
      <c r="QCN2" s="53" t="str">
        <f>[4]利润表!$P$2</f>
        <v>日  期：2012年9月15日</v>
      </c>
      <c r="QCO2" s="14"/>
      <c r="QCP2" s="15"/>
      <c r="QCQ2" s="16"/>
      <c r="QCR2" s="15"/>
      <c r="QCS2" s="15"/>
      <c r="QCT2" s="15"/>
      <c r="QCU2" s="15"/>
      <c r="QCV2" s="15"/>
      <c r="QCW2" s="6"/>
      <c r="QCX2" s="6"/>
      <c r="QCY2" s="6"/>
      <c r="QCZ2" s="15"/>
      <c r="QDA2" s="15"/>
      <c r="QDB2" s="6"/>
      <c r="QDC2" s="15"/>
      <c r="QDD2" s="53" t="str">
        <f>[4]利润表!$P$2</f>
        <v>日  期：2012年9月15日</v>
      </c>
      <c r="QDE2" s="14"/>
      <c r="QDF2" s="15"/>
      <c r="QDG2" s="16"/>
      <c r="QDH2" s="15"/>
      <c r="QDI2" s="15"/>
      <c r="QDJ2" s="15"/>
      <c r="QDK2" s="15"/>
      <c r="QDL2" s="15"/>
      <c r="QDM2" s="6"/>
      <c r="QDN2" s="6"/>
      <c r="QDO2" s="6"/>
      <c r="QDP2" s="15"/>
      <c r="QDQ2" s="15"/>
      <c r="QDR2" s="6"/>
      <c r="QDS2" s="15"/>
      <c r="QDT2" s="53" t="str">
        <f>[4]利润表!$P$2</f>
        <v>日  期：2012年9月15日</v>
      </c>
      <c r="QDU2" s="14"/>
      <c r="QDV2" s="15"/>
      <c r="QDW2" s="16"/>
      <c r="QDX2" s="15"/>
      <c r="QDY2" s="15"/>
      <c r="QDZ2" s="15"/>
      <c r="QEA2" s="15"/>
      <c r="QEB2" s="15"/>
      <c r="QEC2" s="6"/>
      <c r="QED2" s="6"/>
      <c r="QEE2" s="6"/>
      <c r="QEF2" s="15"/>
      <c r="QEG2" s="15"/>
      <c r="QEH2" s="6"/>
      <c r="QEI2" s="15"/>
      <c r="QEJ2" s="53" t="str">
        <f>[4]利润表!$P$2</f>
        <v>日  期：2012年9月15日</v>
      </c>
      <c r="QEK2" s="14"/>
      <c r="QEL2" s="15"/>
      <c r="QEM2" s="16"/>
      <c r="QEN2" s="15"/>
      <c r="QEO2" s="15"/>
      <c r="QEP2" s="15"/>
      <c r="QEQ2" s="15"/>
      <c r="QER2" s="15"/>
      <c r="QES2" s="6"/>
      <c r="QET2" s="6"/>
      <c r="QEU2" s="6"/>
      <c r="QEV2" s="15"/>
      <c r="QEW2" s="15"/>
      <c r="QEX2" s="6"/>
      <c r="QEY2" s="15"/>
      <c r="QEZ2" s="53" t="str">
        <f>[4]利润表!$P$2</f>
        <v>日  期：2012年9月15日</v>
      </c>
      <c r="QFA2" s="14"/>
      <c r="QFB2" s="15"/>
      <c r="QFC2" s="16"/>
      <c r="QFD2" s="15"/>
      <c r="QFE2" s="15"/>
      <c r="QFF2" s="15"/>
      <c r="QFG2" s="15"/>
      <c r="QFH2" s="15"/>
      <c r="QFI2" s="6"/>
      <c r="QFJ2" s="6"/>
      <c r="QFK2" s="6"/>
      <c r="QFL2" s="15"/>
      <c r="QFM2" s="15"/>
      <c r="QFN2" s="6"/>
      <c r="QFO2" s="15"/>
      <c r="QFP2" s="53" t="str">
        <f>[4]利润表!$P$2</f>
        <v>日  期：2012年9月15日</v>
      </c>
      <c r="QFQ2" s="14"/>
      <c r="QFR2" s="15"/>
      <c r="QFS2" s="16"/>
      <c r="QFT2" s="15"/>
      <c r="QFU2" s="15"/>
      <c r="QFV2" s="15"/>
      <c r="QFW2" s="15"/>
      <c r="QFX2" s="15"/>
      <c r="QFY2" s="6"/>
      <c r="QFZ2" s="6"/>
      <c r="QGA2" s="6"/>
      <c r="QGB2" s="15"/>
      <c r="QGC2" s="15"/>
      <c r="QGD2" s="6"/>
      <c r="QGE2" s="15"/>
      <c r="QGF2" s="53" t="str">
        <f>[4]利润表!$P$2</f>
        <v>日  期：2012年9月15日</v>
      </c>
      <c r="QGG2" s="14"/>
      <c r="QGH2" s="15"/>
      <c r="QGI2" s="16"/>
      <c r="QGJ2" s="15"/>
      <c r="QGK2" s="15"/>
      <c r="QGL2" s="15"/>
      <c r="QGM2" s="15"/>
      <c r="QGN2" s="15"/>
      <c r="QGO2" s="6"/>
      <c r="QGP2" s="6"/>
      <c r="QGQ2" s="6"/>
      <c r="QGR2" s="15"/>
      <c r="QGS2" s="15"/>
      <c r="QGT2" s="6"/>
      <c r="QGU2" s="15"/>
      <c r="QGV2" s="53" t="str">
        <f>[4]利润表!$P$2</f>
        <v>日  期：2012年9月15日</v>
      </c>
      <c r="QGW2" s="14"/>
      <c r="QGX2" s="15"/>
      <c r="QGY2" s="16"/>
      <c r="QGZ2" s="15"/>
      <c r="QHA2" s="15"/>
      <c r="QHB2" s="15"/>
      <c r="QHC2" s="15"/>
      <c r="QHD2" s="15"/>
      <c r="QHE2" s="6"/>
      <c r="QHF2" s="6"/>
      <c r="QHG2" s="6"/>
      <c r="QHH2" s="15"/>
      <c r="QHI2" s="15"/>
      <c r="QHJ2" s="6"/>
      <c r="QHK2" s="15"/>
      <c r="QHL2" s="53" t="str">
        <f>[4]利润表!$P$2</f>
        <v>日  期：2012年9月15日</v>
      </c>
      <c r="QHM2" s="14"/>
      <c r="QHN2" s="15"/>
      <c r="QHO2" s="16"/>
      <c r="QHP2" s="15"/>
      <c r="QHQ2" s="15"/>
      <c r="QHR2" s="15"/>
      <c r="QHS2" s="15"/>
      <c r="QHT2" s="15"/>
      <c r="QHU2" s="6"/>
      <c r="QHV2" s="6"/>
      <c r="QHW2" s="6"/>
      <c r="QHX2" s="15"/>
      <c r="QHY2" s="15"/>
      <c r="QHZ2" s="6"/>
      <c r="QIA2" s="15"/>
      <c r="QIB2" s="53" t="str">
        <f>[4]利润表!$P$2</f>
        <v>日  期：2012年9月15日</v>
      </c>
      <c r="QIC2" s="14"/>
      <c r="QID2" s="15"/>
      <c r="QIE2" s="16"/>
      <c r="QIF2" s="15"/>
      <c r="QIG2" s="15"/>
      <c r="QIH2" s="15"/>
      <c r="QII2" s="15"/>
      <c r="QIJ2" s="15"/>
      <c r="QIK2" s="6"/>
      <c r="QIL2" s="6"/>
      <c r="QIM2" s="6"/>
      <c r="QIN2" s="15"/>
      <c r="QIO2" s="15"/>
      <c r="QIP2" s="6"/>
      <c r="QIQ2" s="15"/>
      <c r="QIR2" s="53" t="str">
        <f>[4]利润表!$P$2</f>
        <v>日  期：2012年9月15日</v>
      </c>
      <c r="QIS2" s="14"/>
      <c r="QIT2" s="15"/>
      <c r="QIU2" s="16"/>
      <c r="QIV2" s="15"/>
      <c r="QIW2" s="15"/>
      <c r="QIX2" s="15"/>
      <c r="QIY2" s="15"/>
      <c r="QIZ2" s="15"/>
      <c r="QJA2" s="6"/>
      <c r="QJB2" s="6"/>
      <c r="QJC2" s="6"/>
      <c r="QJD2" s="15"/>
      <c r="QJE2" s="15"/>
      <c r="QJF2" s="6"/>
      <c r="QJG2" s="15"/>
      <c r="QJH2" s="53" t="str">
        <f>[4]利润表!$P$2</f>
        <v>日  期：2012年9月15日</v>
      </c>
      <c r="QJI2" s="14"/>
      <c r="QJJ2" s="15"/>
      <c r="QJK2" s="16"/>
      <c r="QJL2" s="15"/>
      <c r="QJM2" s="15"/>
      <c r="QJN2" s="15"/>
      <c r="QJO2" s="15"/>
      <c r="QJP2" s="15"/>
      <c r="QJQ2" s="6"/>
      <c r="QJR2" s="6"/>
      <c r="QJS2" s="6"/>
      <c r="QJT2" s="15"/>
      <c r="QJU2" s="15"/>
      <c r="QJV2" s="6"/>
      <c r="QJW2" s="15"/>
      <c r="QJX2" s="53" t="str">
        <f>[4]利润表!$P$2</f>
        <v>日  期：2012年9月15日</v>
      </c>
      <c r="QJY2" s="14"/>
      <c r="QJZ2" s="15"/>
      <c r="QKA2" s="16"/>
      <c r="QKB2" s="15"/>
      <c r="QKC2" s="15"/>
      <c r="QKD2" s="15"/>
      <c r="QKE2" s="15"/>
      <c r="QKF2" s="15"/>
      <c r="QKG2" s="6"/>
      <c r="QKH2" s="6"/>
      <c r="QKI2" s="6"/>
      <c r="QKJ2" s="15"/>
      <c r="QKK2" s="15"/>
      <c r="QKL2" s="6"/>
      <c r="QKM2" s="15"/>
      <c r="QKN2" s="53" t="str">
        <f>[4]利润表!$P$2</f>
        <v>日  期：2012年9月15日</v>
      </c>
      <c r="QKO2" s="14"/>
      <c r="QKP2" s="15"/>
      <c r="QKQ2" s="16"/>
      <c r="QKR2" s="15"/>
      <c r="QKS2" s="15"/>
      <c r="QKT2" s="15"/>
      <c r="QKU2" s="15"/>
      <c r="QKV2" s="15"/>
      <c r="QKW2" s="6"/>
      <c r="QKX2" s="6"/>
      <c r="QKY2" s="6"/>
      <c r="QKZ2" s="15"/>
      <c r="QLA2" s="15"/>
      <c r="QLB2" s="6"/>
      <c r="QLC2" s="15"/>
      <c r="QLD2" s="53" t="str">
        <f>[4]利润表!$P$2</f>
        <v>日  期：2012年9月15日</v>
      </c>
      <c r="QLE2" s="14"/>
      <c r="QLF2" s="15"/>
      <c r="QLG2" s="16"/>
      <c r="QLH2" s="15"/>
      <c r="QLI2" s="15"/>
      <c r="QLJ2" s="15"/>
      <c r="QLK2" s="15"/>
      <c r="QLL2" s="15"/>
      <c r="QLM2" s="6"/>
      <c r="QLN2" s="6"/>
      <c r="QLO2" s="6"/>
      <c r="QLP2" s="15"/>
      <c r="QLQ2" s="15"/>
      <c r="QLR2" s="6"/>
      <c r="QLS2" s="15"/>
      <c r="QLT2" s="53" t="str">
        <f>[4]利润表!$P$2</f>
        <v>日  期：2012年9月15日</v>
      </c>
      <c r="QLU2" s="14"/>
      <c r="QLV2" s="15"/>
      <c r="QLW2" s="16"/>
      <c r="QLX2" s="15"/>
      <c r="QLY2" s="15"/>
      <c r="QLZ2" s="15"/>
      <c r="QMA2" s="15"/>
      <c r="QMB2" s="15"/>
      <c r="QMC2" s="6"/>
      <c r="QMD2" s="6"/>
      <c r="QME2" s="6"/>
      <c r="QMF2" s="15"/>
      <c r="QMG2" s="15"/>
      <c r="QMH2" s="6"/>
      <c r="QMI2" s="15"/>
      <c r="QMJ2" s="53" t="str">
        <f>[4]利润表!$P$2</f>
        <v>日  期：2012年9月15日</v>
      </c>
      <c r="QMK2" s="14"/>
      <c r="QML2" s="15"/>
      <c r="QMM2" s="16"/>
      <c r="QMN2" s="15"/>
      <c r="QMO2" s="15"/>
      <c r="QMP2" s="15"/>
      <c r="QMQ2" s="15"/>
      <c r="QMR2" s="15"/>
      <c r="QMS2" s="6"/>
      <c r="QMT2" s="6"/>
      <c r="QMU2" s="6"/>
      <c r="QMV2" s="15"/>
      <c r="QMW2" s="15"/>
      <c r="QMX2" s="6"/>
      <c r="QMY2" s="15"/>
      <c r="QMZ2" s="53" t="str">
        <f>[4]利润表!$P$2</f>
        <v>日  期：2012年9月15日</v>
      </c>
      <c r="QNA2" s="14"/>
      <c r="QNB2" s="15"/>
      <c r="QNC2" s="16"/>
      <c r="QND2" s="15"/>
      <c r="QNE2" s="15"/>
      <c r="QNF2" s="15"/>
      <c r="QNG2" s="15"/>
      <c r="QNH2" s="15"/>
      <c r="QNI2" s="6"/>
      <c r="QNJ2" s="6"/>
      <c r="QNK2" s="6"/>
      <c r="QNL2" s="15"/>
      <c r="QNM2" s="15"/>
      <c r="QNN2" s="6"/>
      <c r="QNO2" s="15"/>
      <c r="QNP2" s="53" t="str">
        <f>[4]利润表!$P$2</f>
        <v>日  期：2012年9月15日</v>
      </c>
      <c r="QNQ2" s="14"/>
      <c r="QNR2" s="15"/>
      <c r="QNS2" s="16"/>
      <c r="QNT2" s="15"/>
      <c r="QNU2" s="15"/>
      <c r="QNV2" s="15"/>
      <c r="QNW2" s="15"/>
      <c r="QNX2" s="15"/>
      <c r="QNY2" s="6"/>
      <c r="QNZ2" s="6"/>
      <c r="QOA2" s="6"/>
      <c r="QOB2" s="15"/>
      <c r="QOC2" s="15"/>
      <c r="QOD2" s="6"/>
      <c r="QOE2" s="15"/>
      <c r="QOF2" s="53" t="str">
        <f>[4]利润表!$P$2</f>
        <v>日  期：2012年9月15日</v>
      </c>
      <c r="QOG2" s="14"/>
      <c r="QOH2" s="15"/>
      <c r="QOI2" s="16"/>
      <c r="QOJ2" s="15"/>
      <c r="QOK2" s="15"/>
      <c r="QOL2" s="15"/>
      <c r="QOM2" s="15"/>
      <c r="QON2" s="15"/>
      <c r="QOO2" s="6"/>
      <c r="QOP2" s="6"/>
      <c r="QOQ2" s="6"/>
      <c r="QOR2" s="15"/>
      <c r="QOS2" s="15"/>
      <c r="QOT2" s="6"/>
      <c r="QOU2" s="15"/>
      <c r="QOV2" s="53" t="str">
        <f>[4]利润表!$P$2</f>
        <v>日  期：2012年9月15日</v>
      </c>
      <c r="QOW2" s="14"/>
      <c r="QOX2" s="15"/>
      <c r="QOY2" s="16"/>
      <c r="QOZ2" s="15"/>
      <c r="QPA2" s="15"/>
      <c r="QPB2" s="15"/>
      <c r="QPC2" s="15"/>
      <c r="QPD2" s="15"/>
      <c r="QPE2" s="6"/>
      <c r="QPF2" s="6"/>
      <c r="QPG2" s="6"/>
      <c r="QPH2" s="15"/>
      <c r="QPI2" s="15"/>
      <c r="QPJ2" s="6"/>
      <c r="QPK2" s="15"/>
      <c r="QPL2" s="53" t="str">
        <f>[4]利润表!$P$2</f>
        <v>日  期：2012年9月15日</v>
      </c>
      <c r="QPM2" s="14"/>
      <c r="QPN2" s="15"/>
      <c r="QPO2" s="16"/>
      <c r="QPP2" s="15"/>
      <c r="QPQ2" s="15"/>
      <c r="QPR2" s="15"/>
      <c r="QPS2" s="15"/>
      <c r="QPT2" s="15"/>
      <c r="QPU2" s="6"/>
      <c r="QPV2" s="6"/>
      <c r="QPW2" s="6"/>
      <c r="QPX2" s="15"/>
      <c r="QPY2" s="15"/>
      <c r="QPZ2" s="6"/>
      <c r="QQA2" s="15"/>
      <c r="QQB2" s="53" t="str">
        <f>[4]利润表!$P$2</f>
        <v>日  期：2012年9月15日</v>
      </c>
      <c r="QQC2" s="14"/>
      <c r="QQD2" s="15"/>
      <c r="QQE2" s="16"/>
      <c r="QQF2" s="15"/>
      <c r="QQG2" s="15"/>
      <c r="QQH2" s="15"/>
      <c r="QQI2" s="15"/>
      <c r="QQJ2" s="15"/>
      <c r="QQK2" s="6"/>
      <c r="QQL2" s="6"/>
      <c r="QQM2" s="6"/>
      <c r="QQN2" s="15"/>
      <c r="QQO2" s="15"/>
      <c r="QQP2" s="6"/>
      <c r="QQQ2" s="15"/>
      <c r="QQR2" s="53" t="str">
        <f>[4]利润表!$P$2</f>
        <v>日  期：2012年9月15日</v>
      </c>
      <c r="QQS2" s="14"/>
      <c r="QQT2" s="15"/>
      <c r="QQU2" s="16"/>
      <c r="QQV2" s="15"/>
      <c r="QQW2" s="15"/>
      <c r="QQX2" s="15"/>
      <c r="QQY2" s="15"/>
      <c r="QQZ2" s="15"/>
      <c r="QRA2" s="6"/>
      <c r="QRB2" s="6"/>
      <c r="QRC2" s="6"/>
      <c r="QRD2" s="15"/>
      <c r="QRE2" s="15"/>
      <c r="QRF2" s="6"/>
      <c r="QRG2" s="15"/>
      <c r="QRH2" s="53" t="str">
        <f>[4]利润表!$P$2</f>
        <v>日  期：2012年9月15日</v>
      </c>
      <c r="QRI2" s="14"/>
      <c r="QRJ2" s="15"/>
      <c r="QRK2" s="16"/>
      <c r="QRL2" s="15"/>
      <c r="QRM2" s="15"/>
      <c r="QRN2" s="15"/>
      <c r="QRO2" s="15"/>
      <c r="QRP2" s="15"/>
      <c r="QRQ2" s="6"/>
      <c r="QRR2" s="6"/>
      <c r="QRS2" s="6"/>
      <c r="QRT2" s="15"/>
      <c r="QRU2" s="15"/>
      <c r="QRV2" s="6"/>
      <c r="QRW2" s="15"/>
      <c r="QRX2" s="53" t="str">
        <f>[4]利润表!$P$2</f>
        <v>日  期：2012年9月15日</v>
      </c>
      <c r="QRY2" s="14"/>
      <c r="QRZ2" s="15"/>
      <c r="QSA2" s="16"/>
      <c r="QSB2" s="15"/>
      <c r="QSC2" s="15"/>
      <c r="QSD2" s="15"/>
      <c r="QSE2" s="15"/>
      <c r="QSF2" s="15"/>
      <c r="QSG2" s="6"/>
      <c r="QSH2" s="6"/>
      <c r="QSI2" s="6"/>
      <c r="QSJ2" s="15"/>
      <c r="QSK2" s="15"/>
      <c r="QSL2" s="6"/>
      <c r="QSM2" s="15"/>
      <c r="QSN2" s="53" t="str">
        <f>[4]利润表!$P$2</f>
        <v>日  期：2012年9月15日</v>
      </c>
      <c r="QSO2" s="14"/>
      <c r="QSP2" s="15"/>
      <c r="QSQ2" s="16"/>
      <c r="QSR2" s="15"/>
      <c r="QSS2" s="15"/>
      <c r="QST2" s="15"/>
      <c r="QSU2" s="15"/>
      <c r="QSV2" s="15"/>
      <c r="QSW2" s="6"/>
      <c r="QSX2" s="6"/>
      <c r="QSY2" s="6"/>
      <c r="QSZ2" s="15"/>
      <c r="QTA2" s="15"/>
      <c r="QTB2" s="6"/>
      <c r="QTC2" s="15"/>
      <c r="QTD2" s="53" t="str">
        <f>[4]利润表!$P$2</f>
        <v>日  期：2012年9月15日</v>
      </c>
      <c r="QTE2" s="14"/>
      <c r="QTF2" s="15"/>
      <c r="QTG2" s="16"/>
      <c r="QTH2" s="15"/>
      <c r="QTI2" s="15"/>
      <c r="QTJ2" s="15"/>
      <c r="QTK2" s="15"/>
      <c r="QTL2" s="15"/>
      <c r="QTM2" s="6"/>
      <c r="QTN2" s="6"/>
      <c r="QTO2" s="6"/>
      <c r="QTP2" s="15"/>
      <c r="QTQ2" s="15"/>
      <c r="QTR2" s="6"/>
      <c r="QTS2" s="15"/>
      <c r="QTT2" s="53" t="str">
        <f>[4]利润表!$P$2</f>
        <v>日  期：2012年9月15日</v>
      </c>
      <c r="QTU2" s="14"/>
      <c r="QTV2" s="15"/>
      <c r="QTW2" s="16"/>
      <c r="QTX2" s="15"/>
      <c r="QTY2" s="15"/>
      <c r="QTZ2" s="15"/>
      <c r="QUA2" s="15"/>
      <c r="QUB2" s="15"/>
      <c r="QUC2" s="6"/>
      <c r="QUD2" s="6"/>
      <c r="QUE2" s="6"/>
      <c r="QUF2" s="15"/>
      <c r="QUG2" s="15"/>
      <c r="QUH2" s="6"/>
      <c r="QUI2" s="15"/>
      <c r="QUJ2" s="53" t="str">
        <f>[4]利润表!$P$2</f>
        <v>日  期：2012年9月15日</v>
      </c>
      <c r="QUK2" s="14"/>
      <c r="QUL2" s="15"/>
      <c r="QUM2" s="16"/>
      <c r="QUN2" s="15"/>
      <c r="QUO2" s="15"/>
      <c r="QUP2" s="15"/>
      <c r="QUQ2" s="15"/>
      <c r="QUR2" s="15"/>
      <c r="QUS2" s="6"/>
      <c r="QUT2" s="6"/>
      <c r="QUU2" s="6"/>
      <c r="QUV2" s="15"/>
      <c r="QUW2" s="15"/>
      <c r="QUX2" s="6"/>
      <c r="QUY2" s="15"/>
      <c r="QUZ2" s="53" t="str">
        <f>[4]利润表!$P$2</f>
        <v>日  期：2012年9月15日</v>
      </c>
      <c r="QVA2" s="14"/>
      <c r="QVB2" s="15"/>
      <c r="QVC2" s="16"/>
      <c r="QVD2" s="15"/>
      <c r="QVE2" s="15"/>
      <c r="QVF2" s="15"/>
      <c r="QVG2" s="15"/>
      <c r="QVH2" s="15"/>
      <c r="QVI2" s="6"/>
      <c r="QVJ2" s="6"/>
      <c r="QVK2" s="6"/>
      <c r="QVL2" s="15"/>
      <c r="QVM2" s="15"/>
      <c r="QVN2" s="6"/>
      <c r="QVO2" s="15"/>
      <c r="QVP2" s="53" t="str">
        <f>[4]利润表!$P$2</f>
        <v>日  期：2012年9月15日</v>
      </c>
      <c r="QVQ2" s="14"/>
      <c r="QVR2" s="15"/>
      <c r="QVS2" s="16"/>
      <c r="QVT2" s="15"/>
      <c r="QVU2" s="15"/>
      <c r="QVV2" s="15"/>
      <c r="QVW2" s="15"/>
      <c r="QVX2" s="15"/>
      <c r="QVY2" s="6"/>
      <c r="QVZ2" s="6"/>
      <c r="QWA2" s="6"/>
      <c r="QWB2" s="15"/>
      <c r="QWC2" s="15"/>
      <c r="QWD2" s="6"/>
      <c r="QWE2" s="15"/>
      <c r="QWF2" s="53" t="str">
        <f>[4]利润表!$P$2</f>
        <v>日  期：2012年9月15日</v>
      </c>
      <c r="QWG2" s="14"/>
      <c r="QWH2" s="15"/>
      <c r="QWI2" s="16"/>
      <c r="QWJ2" s="15"/>
      <c r="QWK2" s="15"/>
      <c r="QWL2" s="15"/>
      <c r="QWM2" s="15"/>
      <c r="QWN2" s="15"/>
      <c r="QWO2" s="6"/>
      <c r="QWP2" s="6"/>
      <c r="QWQ2" s="6"/>
      <c r="QWR2" s="15"/>
      <c r="QWS2" s="15"/>
      <c r="QWT2" s="6"/>
      <c r="QWU2" s="15"/>
      <c r="QWV2" s="53" t="str">
        <f>[4]利润表!$P$2</f>
        <v>日  期：2012年9月15日</v>
      </c>
      <c r="QWW2" s="14"/>
      <c r="QWX2" s="15"/>
      <c r="QWY2" s="16"/>
      <c r="QWZ2" s="15"/>
      <c r="QXA2" s="15"/>
      <c r="QXB2" s="15"/>
      <c r="QXC2" s="15"/>
      <c r="QXD2" s="15"/>
      <c r="QXE2" s="6"/>
      <c r="QXF2" s="6"/>
      <c r="QXG2" s="6"/>
      <c r="QXH2" s="15"/>
      <c r="QXI2" s="15"/>
      <c r="QXJ2" s="6"/>
      <c r="QXK2" s="15"/>
      <c r="QXL2" s="53" t="str">
        <f>[4]利润表!$P$2</f>
        <v>日  期：2012年9月15日</v>
      </c>
      <c r="QXM2" s="14"/>
      <c r="QXN2" s="15"/>
      <c r="QXO2" s="16"/>
      <c r="QXP2" s="15"/>
      <c r="QXQ2" s="15"/>
      <c r="QXR2" s="15"/>
      <c r="QXS2" s="15"/>
      <c r="QXT2" s="15"/>
      <c r="QXU2" s="6"/>
      <c r="QXV2" s="6"/>
      <c r="QXW2" s="6"/>
      <c r="QXX2" s="15"/>
      <c r="QXY2" s="15"/>
      <c r="QXZ2" s="6"/>
      <c r="QYA2" s="15"/>
      <c r="QYB2" s="53" t="str">
        <f>[4]利润表!$P$2</f>
        <v>日  期：2012年9月15日</v>
      </c>
      <c r="QYC2" s="14"/>
      <c r="QYD2" s="15"/>
      <c r="QYE2" s="16"/>
      <c r="QYF2" s="15"/>
      <c r="QYG2" s="15"/>
      <c r="QYH2" s="15"/>
      <c r="QYI2" s="15"/>
      <c r="QYJ2" s="15"/>
      <c r="QYK2" s="6"/>
      <c r="QYL2" s="6"/>
      <c r="QYM2" s="6"/>
      <c r="QYN2" s="15"/>
      <c r="QYO2" s="15"/>
      <c r="QYP2" s="6"/>
      <c r="QYQ2" s="15"/>
      <c r="QYR2" s="53" t="str">
        <f>[4]利润表!$P$2</f>
        <v>日  期：2012年9月15日</v>
      </c>
      <c r="QYS2" s="14"/>
      <c r="QYT2" s="15"/>
      <c r="QYU2" s="16"/>
      <c r="QYV2" s="15"/>
      <c r="QYW2" s="15"/>
      <c r="QYX2" s="15"/>
      <c r="QYY2" s="15"/>
      <c r="QYZ2" s="15"/>
      <c r="QZA2" s="6"/>
      <c r="QZB2" s="6"/>
      <c r="QZC2" s="6"/>
      <c r="QZD2" s="15"/>
      <c r="QZE2" s="15"/>
      <c r="QZF2" s="6"/>
      <c r="QZG2" s="15"/>
      <c r="QZH2" s="53" t="str">
        <f>[4]利润表!$P$2</f>
        <v>日  期：2012年9月15日</v>
      </c>
      <c r="QZI2" s="14"/>
      <c r="QZJ2" s="15"/>
      <c r="QZK2" s="16"/>
      <c r="QZL2" s="15"/>
      <c r="QZM2" s="15"/>
      <c r="QZN2" s="15"/>
      <c r="QZO2" s="15"/>
      <c r="QZP2" s="15"/>
      <c r="QZQ2" s="6"/>
      <c r="QZR2" s="6"/>
      <c r="QZS2" s="6"/>
      <c r="QZT2" s="15"/>
      <c r="QZU2" s="15"/>
      <c r="QZV2" s="6"/>
      <c r="QZW2" s="15"/>
      <c r="QZX2" s="53" t="str">
        <f>[4]利润表!$P$2</f>
        <v>日  期：2012年9月15日</v>
      </c>
      <c r="QZY2" s="14"/>
      <c r="QZZ2" s="15"/>
      <c r="RAA2" s="16"/>
      <c r="RAB2" s="15"/>
      <c r="RAC2" s="15"/>
      <c r="RAD2" s="15"/>
      <c r="RAE2" s="15"/>
      <c r="RAF2" s="15"/>
      <c r="RAG2" s="6"/>
      <c r="RAH2" s="6"/>
      <c r="RAI2" s="6"/>
      <c r="RAJ2" s="15"/>
      <c r="RAK2" s="15"/>
      <c r="RAL2" s="6"/>
      <c r="RAM2" s="15"/>
      <c r="RAN2" s="53" t="str">
        <f>[4]利润表!$P$2</f>
        <v>日  期：2012年9月15日</v>
      </c>
      <c r="RAO2" s="14"/>
      <c r="RAP2" s="15"/>
      <c r="RAQ2" s="16"/>
      <c r="RAR2" s="15"/>
      <c r="RAS2" s="15"/>
      <c r="RAT2" s="15"/>
      <c r="RAU2" s="15"/>
      <c r="RAV2" s="15"/>
      <c r="RAW2" s="6"/>
      <c r="RAX2" s="6"/>
      <c r="RAY2" s="6"/>
      <c r="RAZ2" s="15"/>
      <c r="RBA2" s="15"/>
      <c r="RBB2" s="6"/>
      <c r="RBC2" s="15"/>
      <c r="RBD2" s="53" t="str">
        <f>[4]利润表!$P$2</f>
        <v>日  期：2012年9月15日</v>
      </c>
      <c r="RBE2" s="14"/>
      <c r="RBF2" s="15"/>
      <c r="RBG2" s="16"/>
      <c r="RBH2" s="15"/>
      <c r="RBI2" s="15"/>
      <c r="RBJ2" s="15"/>
      <c r="RBK2" s="15"/>
      <c r="RBL2" s="15"/>
      <c r="RBM2" s="6"/>
      <c r="RBN2" s="6"/>
      <c r="RBO2" s="6"/>
      <c r="RBP2" s="15"/>
      <c r="RBQ2" s="15"/>
      <c r="RBR2" s="6"/>
      <c r="RBS2" s="15"/>
      <c r="RBT2" s="53" t="str">
        <f>[4]利润表!$P$2</f>
        <v>日  期：2012年9月15日</v>
      </c>
      <c r="RBU2" s="14"/>
      <c r="RBV2" s="15"/>
      <c r="RBW2" s="16"/>
      <c r="RBX2" s="15"/>
      <c r="RBY2" s="15"/>
      <c r="RBZ2" s="15"/>
      <c r="RCA2" s="15"/>
      <c r="RCB2" s="15"/>
      <c r="RCC2" s="6"/>
      <c r="RCD2" s="6"/>
      <c r="RCE2" s="6"/>
      <c r="RCF2" s="15"/>
      <c r="RCG2" s="15"/>
      <c r="RCH2" s="6"/>
      <c r="RCI2" s="15"/>
      <c r="RCJ2" s="53" t="str">
        <f>[4]利润表!$P$2</f>
        <v>日  期：2012年9月15日</v>
      </c>
      <c r="RCK2" s="14"/>
      <c r="RCL2" s="15"/>
      <c r="RCM2" s="16"/>
      <c r="RCN2" s="15"/>
      <c r="RCO2" s="15"/>
      <c r="RCP2" s="15"/>
      <c r="RCQ2" s="15"/>
      <c r="RCR2" s="15"/>
      <c r="RCS2" s="6"/>
      <c r="RCT2" s="6"/>
      <c r="RCU2" s="6"/>
      <c r="RCV2" s="15"/>
      <c r="RCW2" s="15"/>
      <c r="RCX2" s="6"/>
      <c r="RCY2" s="15"/>
      <c r="RCZ2" s="53" t="str">
        <f>[4]利润表!$P$2</f>
        <v>日  期：2012年9月15日</v>
      </c>
      <c r="RDA2" s="14"/>
      <c r="RDB2" s="15"/>
      <c r="RDC2" s="16"/>
      <c r="RDD2" s="15"/>
      <c r="RDE2" s="15"/>
      <c r="RDF2" s="15"/>
      <c r="RDG2" s="15"/>
      <c r="RDH2" s="15"/>
      <c r="RDI2" s="6"/>
      <c r="RDJ2" s="6"/>
      <c r="RDK2" s="6"/>
      <c r="RDL2" s="15"/>
      <c r="RDM2" s="15"/>
      <c r="RDN2" s="6"/>
      <c r="RDO2" s="15"/>
      <c r="RDP2" s="53" t="str">
        <f>[4]利润表!$P$2</f>
        <v>日  期：2012年9月15日</v>
      </c>
      <c r="RDQ2" s="14"/>
      <c r="RDR2" s="15"/>
      <c r="RDS2" s="16"/>
      <c r="RDT2" s="15"/>
      <c r="RDU2" s="15"/>
      <c r="RDV2" s="15"/>
      <c r="RDW2" s="15"/>
      <c r="RDX2" s="15"/>
      <c r="RDY2" s="6"/>
      <c r="RDZ2" s="6"/>
      <c r="REA2" s="6"/>
      <c r="REB2" s="15"/>
      <c r="REC2" s="15"/>
      <c r="RED2" s="6"/>
      <c r="REE2" s="15"/>
      <c r="REF2" s="53" t="str">
        <f>[4]利润表!$P$2</f>
        <v>日  期：2012年9月15日</v>
      </c>
      <c r="REG2" s="14"/>
      <c r="REH2" s="15"/>
      <c r="REI2" s="16"/>
      <c r="REJ2" s="15"/>
      <c r="REK2" s="15"/>
      <c r="REL2" s="15"/>
      <c r="REM2" s="15"/>
      <c r="REN2" s="15"/>
      <c r="REO2" s="6"/>
      <c r="REP2" s="6"/>
      <c r="REQ2" s="6"/>
      <c r="RER2" s="15"/>
      <c r="RES2" s="15"/>
      <c r="RET2" s="6"/>
      <c r="REU2" s="15"/>
      <c r="REV2" s="53" t="str">
        <f>[4]利润表!$P$2</f>
        <v>日  期：2012年9月15日</v>
      </c>
      <c r="REW2" s="14"/>
      <c r="REX2" s="15"/>
      <c r="REY2" s="16"/>
      <c r="REZ2" s="15"/>
      <c r="RFA2" s="15"/>
      <c r="RFB2" s="15"/>
      <c r="RFC2" s="15"/>
      <c r="RFD2" s="15"/>
      <c r="RFE2" s="6"/>
      <c r="RFF2" s="6"/>
      <c r="RFG2" s="6"/>
      <c r="RFH2" s="15"/>
      <c r="RFI2" s="15"/>
      <c r="RFJ2" s="6"/>
      <c r="RFK2" s="15"/>
      <c r="RFL2" s="53" t="str">
        <f>[4]利润表!$P$2</f>
        <v>日  期：2012年9月15日</v>
      </c>
      <c r="RFM2" s="14"/>
      <c r="RFN2" s="15"/>
      <c r="RFO2" s="16"/>
      <c r="RFP2" s="15"/>
      <c r="RFQ2" s="15"/>
      <c r="RFR2" s="15"/>
      <c r="RFS2" s="15"/>
      <c r="RFT2" s="15"/>
      <c r="RFU2" s="6"/>
      <c r="RFV2" s="6"/>
      <c r="RFW2" s="6"/>
      <c r="RFX2" s="15"/>
      <c r="RFY2" s="15"/>
      <c r="RFZ2" s="6"/>
      <c r="RGA2" s="15"/>
      <c r="RGB2" s="53" t="str">
        <f>[4]利润表!$P$2</f>
        <v>日  期：2012年9月15日</v>
      </c>
      <c r="RGC2" s="14"/>
      <c r="RGD2" s="15"/>
      <c r="RGE2" s="16"/>
      <c r="RGF2" s="15"/>
      <c r="RGG2" s="15"/>
      <c r="RGH2" s="15"/>
      <c r="RGI2" s="15"/>
      <c r="RGJ2" s="15"/>
      <c r="RGK2" s="6"/>
      <c r="RGL2" s="6"/>
      <c r="RGM2" s="6"/>
      <c r="RGN2" s="15"/>
      <c r="RGO2" s="15"/>
      <c r="RGP2" s="6"/>
      <c r="RGQ2" s="15"/>
      <c r="RGR2" s="53" t="str">
        <f>[4]利润表!$P$2</f>
        <v>日  期：2012年9月15日</v>
      </c>
      <c r="RGS2" s="14"/>
      <c r="RGT2" s="15"/>
      <c r="RGU2" s="16"/>
      <c r="RGV2" s="15"/>
      <c r="RGW2" s="15"/>
      <c r="RGX2" s="15"/>
      <c r="RGY2" s="15"/>
      <c r="RGZ2" s="15"/>
      <c r="RHA2" s="6"/>
      <c r="RHB2" s="6"/>
      <c r="RHC2" s="6"/>
      <c r="RHD2" s="15"/>
      <c r="RHE2" s="15"/>
      <c r="RHF2" s="6"/>
      <c r="RHG2" s="15"/>
      <c r="RHH2" s="53" t="str">
        <f>[4]利润表!$P$2</f>
        <v>日  期：2012年9月15日</v>
      </c>
      <c r="RHI2" s="14"/>
      <c r="RHJ2" s="15"/>
      <c r="RHK2" s="16"/>
      <c r="RHL2" s="15"/>
      <c r="RHM2" s="15"/>
      <c r="RHN2" s="15"/>
      <c r="RHO2" s="15"/>
      <c r="RHP2" s="15"/>
      <c r="RHQ2" s="6"/>
      <c r="RHR2" s="6"/>
      <c r="RHS2" s="6"/>
      <c r="RHT2" s="15"/>
      <c r="RHU2" s="15"/>
      <c r="RHV2" s="6"/>
      <c r="RHW2" s="15"/>
      <c r="RHX2" s="53" t="str">
        <f>[4]利润表!$P$2</f>
        <v>日  期：2012年9月15日</v>
      </c>
      <c r="RHY2" s="14"/>
      <c r="RHZ2" s="15"/>
      <c r="RIA2" s="16"/>
      <c r="RIB2" s="15"/>
      <c r="RIC2" s="15"/>
      <c r="RID2" s="15"/>
      <c r="RIE2" s="15"/>
      <c r="RIF2" s="15"/>
      <c r="RIG2" s="6"/>
      <c r="RIH2" s="6"/>
      <c r="RII2" s="6"/>
      <c r="RIJ2" s="15"/>
      <c r="RIK2" s="15"/>
      <c r="RIL2" s="6"/>
      <c r="RIM2" s="15"/>
      <c r="RIN2" s="53" t="str">
        <f>[4]利润表!$P$2</f>
        <v>日  期：2012年9月15日</v>
      </c>
      <c r="RIO2" s="14"/>
      <c r="RIP2" s="15"/>
      <c r="RIQ2" s="16"/>
      <c r="RIR2" s="15"/>
      <c r="RIS2" s="15"/>
      <c r="RIT2" s="15"/>
      <c r="RIU2" s="15"/>
      <c r="RIV2" s="15"/>
      <c r="RIW2" s="6"/>
      <c r="RIX2" s="6"/>
      <c r="RIY2" s="6"/>
      <c r="RIZ2" s="15"/>
      <c r="RJA2" s="15"/>
      <c r="RJB2" s="6"/>
      <c r="RJC2" s="15"/>
      <c r="RJD2" s="53" t="str">
        <f>[4]利润表!$P$2</f>
        <v>日  期：2012年9月15日</v>
      </c>
      <c r="RJE2" s="14"/>
      <c r="RJF2" s="15"/>
      <c r="RJG2" s="16"/>
      <c r="RJH2" s="15"/>
      <c r="RJI2" s="15"/>
      <c r="RJJ2" s="15"/>
      <c r="RJK2" s="15"/>
      <c r="RJL2" s="15"/>
      <c r="RJM2" s="6"/>
      <c r="RJN2" s="6"/>
      <c r="RJO2" s="6"/>
      <c r="RJP2" s="15"/>
      <c r="RJQ2" s="15"/>
      <c r="RJR2" s="6"/>
      <c r="RJS2" s="15"/>
      <c r="RJT2" s="53" t="str">
        <f>[4]利润表!$P$2</f>
        <v>日  期：2012年9月15日</v>
      </c>
      <c r="RJU2" s="14"/>
      <c r="RJV2" s="15"/>
      <c r="RJW2" s="16"/>
      <c r="RJX2" s="15"/>
      <c r="RJY2" s="15"/>
      <c r="RJZ2" s="15"/>
      <c r="RKA2" s="15"/>
      <c r="RKB2" s="15"/>
      <c r="RKC2" s="6"/>
      <c r="RKD2" s="6"/>
      <c r="RKE2" s="6"/>
      <c r="RKF2" s="15"/>
      <c r="RKG2" s="15"/>
      <c r="RKH2" s="6"/>
      <c r="RKI2" s="15"/>
      <c r="RKJ2" s="53" t="str">
        <f>[4]利润表!$P$2</f>
        <v>日  期：2012年9月15日</v>
      </c>
      <c r="RKK2" s="14"/>
      <c r="RKL2" s="15"/>
      <c r="RKM2" s="16"/>
      <c r="RKN2" s="15"/>
      <c r="RKO2" s="15"/>
      <c r="RKP2" s="15"/>
      <c r="RKQ2" s="15"/>
      <c r="RKR2" s="15"/>
      <c r="RKS2" s="6"/>
      <c r="RKT2" s="6"/>
      <c r="RKU2" s="6"/>
      <c r="RKV2" s="15"/>
      <c r="RKW2" s="15"/>
      <c r="RKX2" s="6"/>
      <c r="RKY2" s="15"/>
      <c r="RKZ2" s="53" t="str">
        <f>[4]利润表!$P$2</f>
        <v>日  期：2012年9月15日</v>
      </c>
      <c r="RLA2" s="14"/>
      <c r="RLB2" s="15"/>
      <c r="RLC2" s="16"/>
      <c r="RLD2" s="15"/>
      <c r="RLE2" s="15"/>
      <c r="RLF2" s="15"/>
      <c r="RLG2" s="15"/>
      <c r="RLH2" s="15"/>
      <c r="RLI2" s="6"/>
      <c r="RLJ2" s="6"/>
      <c r="RLK2" s="6"/>
      <c r="RLL2" s="15"/>
      <c r="RLM2" s="15"/>
      <c r="RLN2" s="6"/>
      <c r="RLO2" s="15"/>
      <c r="RLP2" s="53" t="str">
        <f>[4]利润表!$P$2</f>
        <v>日  期：2012年9月15日</v>
      </c>
      <c r="RLQ2" s="14"/>
      <c r="RLR2" s="15"/>
      <c r="RLS2" s="16"/>
      <c r="RLT2" s="15"/>
      <c r="RLU2" s="15"/>
      <c r="RLV2" s="15"/>
      <c r="RLW2" s="15"/>
      <c r="RLX2" s="15"/>
      <c r="RLY2" s="6"/>
      <c r="RLZ2" s="6"/>
      <c r="RMA2" s="6"/>
      <c r="RMB2" s="15"/>
      <c r="RMC2" s="15"/>
      <c r="RMD2" s="6"/>
      <c r="RME2" s="15"/>
      <c r="RMF2" s="53" t="str">
        <f>[4]利润表!$P$2</f>
        <v>日  期：2012年9月15日</v>
      </c>
      <c r="RMG2" s="14"/>
      <c r="RMH2" s="15"/>
      <c r="RMI2" s="16"/>
      <c r="RMJ2" s="15"/>
      <c r="RMK2" s="15"/>
      <c r="RML2" s="15"/>
      <c r="RMM2" s="15"/>
      <c r="RMN2" s="15"/>
      <c r="RMO2" s="6"/>
      <c r="RMP2" s="6"/>
      <c r="RMQ2" s="6"/>
      <c r="RMR2" s="15"/>
      <c r="RMS2" s="15"/>
      <c r="RMT2" s="6"/>
      <c r="RMU2" s="15"/>
      <c r="RMV2" s="53" t="str">
        <f>[4]利润表!$P$2</f>
        <v>日  期：2012年9月15日</v>
      </c>
      <c r="RMW2" s="14"/>
      <c r="RMX2" s="15"/>
      <c r="RMY2" s="16"/>
      <c r="RMZ2" s="15"/>
      <c r="RNA2" s="15"/>
      <c r="RNB2" s="15"/>
      <c r="RNC2" s="15"/>
      <c r="RND2" s="15"/>
      <c r="RNE2" s="6"/>
      <c r="RNF2" s="6"/>
      <c r="RNG2" s="6"/>
      <c r="RNH2" s="15"/>
      <c r="RNI2" s="15"/>
      <c r="RNJ2" s="6"/>
      <c r="RNK2" s="15"/>
      <c r="RNL2" s="53" t="str">
        <f>[4]利润表!$P$2</f>
        <v>日  期：2012年9月15日</v>
      </c>
      <c r="RNM2" s="14"/>
      <c r="RNN2" s="15"/>
      <c r="RNO2" s="16"/>
      <c r="RNP2" s="15"/>
      <c r="RNQ2" s="15"/>
      <c r="RNR2" s="15"/>
      <c r="RNS2" s="15"/>
      <c r="RNT2" s="15"/>
      <c r="RNU2" s="6"/>
      <c r="RNV2" s="6"/>
      <c r="RNW2" s="6"/>
      <c r="RNX2" s="15"/>
      <c r="RNY2" s="15"/>
      <c r="RNZ2" s="6"/>
      <c r="ROA2" s="15"/>
      <c r="ROB2" s="53" t="str">
        <f>[4]利润表!$P$2</f>
        <v>日  期：2012年9月15日</v>
      </c>
      <c r="ROC2" s="14"/>
      <c r="ROD2" s="15"/>
      <c r="ROE2" s="16"/>
      <c r="ROF2" s="15"/>
      <c r="ROG2" s="15"/>
      <c r="ROH2" s="15"/>
      <c r="ROI2" s="15"/>
      <c r="ROJ2" s="15"/>
      <c r="ROK2" s="6"/>
      <c r="ROL2" s="6"/>
      <c r="ROM2" s="6"/>
      <c r="RON2" s="15"/>
      <c r="ROO2" s="15"/>
      <c r="ROP2" s="6"/>
      <c r="ROQ2" s="15"/>
      <c r="ROR2" s="53" t="str">
        <f>[4]利润表!$P$2</f>
        <v>日  期：2012年9月15日</v>
      </c>
      <c r="ROS2" s="14"/>
      <c r="ROT2" s="15"/>
      <c r="ROU2" s="16"/>
      <c r="ROV2" s="15"/>
      <c r="ROW2" s="15"/>
      <c r="ROX2" s="15"/>
      <c r="ROY2" s="15"/>
      <c r="ROZ2" s="15"/>
      <c r="RPA2" s="6"/>
      <c r="RPB2" s="6"/>
      <c r="RPC2" s="6"/>
      <c r="RPD2" s="15"/>
      <c r="RPE2" s="15"/>
      <c r="RPF2" s="6"/>
      <c r="RPG2" s="15"/>
      <c r="RPH2" s="53" t="str">
        <f>[4]利润表!$P$2</f>
        <v>日  期：2012年9月15日</v>
      </c>
      <c r="RPI2" s="14"/>
      <c r="RPJ2" s="15"/>
      <c r="RPK2" s="16"/>
      <c r="RPL2" s="15"/>
      <c r="RPM2" s="15"/>
      <c r="RPN2" s="15"/>
      <c r="RPO2" s="15"/>
      <c r="RPP2" s="15"/>
      <c r="RPQ2" s="6"/>
      <c r="RPR2" s="6"/>
      <c r="RPS2" s="6"/>
      <c r="RPT2" s="15"/>
      <c r="RPU2" s="15"/>
      <c r="RPV2" s="6"/>
      <c r="RPW2" s="15"/>
      <c r="RPX2" s="53" t="str">
        <f>[4]利润表!$P$2</f>
        <v>日  期：2012年9月15日</v>
      </c>
      <c r="RPY2" s="14"/>
      <c r="RPZ2" s="15"/>
      <c r="RQA2" s="16"/>
      <c r="RQB2" s="15"/>
      <c r="RQC2" s="15"/>
      <c r="RQD2" s="15"/>
      <c r="RQE2" s="15"/>
      <c r="RQF2" s="15"/>
      <c r="RQG2" s="6"/>
      <c r="RQH2" s="6"/>
      <c r="RQI2" s="6"/>
      <c r="RQJ2" s="15"/>
      <c r="RQK2" s="15"/>
      <c r="RQL2" s="6"/>
      <c r="RQM2" s="15"/>
      <c r="RQN2" s="53" t="str">
        <f>[4]利润表!$P$2</f>
        <v>日  期：2012年9月15日</v>
      </c>
      <c r="RQO2" s="14"/>
      <c r="RQP2" s="15"/>
      <c r="RQQ2" s="16"/>
      <c r="RQR2" s="15"/>
      <c r="RQS2" s="15"/>
      <c r="RQT2" s="15"/>
      <c r="RQU2" s="15"/>
      <c r="RQV2" s="15"/>
      <c r="RQW2" s="6"/>
      <c r="RQX2" s="6"/>
      <c r="RQY2" s="6"/>
      <c r="RQZ2" s="15"/>
      <c r="RRA2" s="15"/>
      <c r="RRB2" s="6"/>
      <c r="RRC2" s="15"/>
      <c r="RRD2" s="53" t="str">
        <f>[4]利润表!$P$2</f>
        <v>日  期：2012年9月15日</v>
      </c>
      <c r="RRE2" s="14"/>
      <c r="RRF2" s="15"/>
      <c r="RRG2" s="16"/>
      <c r="RRH2" s="15"/>
      <c r="RRI2" s="15"/>
      <c r="RRJ2" s="15"/>
      <c r="RRK2" s="15"/>
      <c r="RRL2" s="15"/>
      <c r="RRM2" s="6"/>
      <c r="RRN2" s="6"/>
      <c r="RRO2" s="6"/>
      <c r="RRP2" s="15"/>
      <c r="RRQ2" s="15"/>
      <c r="RRR2" s="6"/>
      <c r="RRS2" s="15"/>
      <c r="RRT2" s="53" t="str">
        <f>[4]利润表!$P$2</f>
        <v>日  期：2012年9月15日</v>
      </c>
      <c r="RRU2" s="14"/>
      <c r="RRV2" s="15"/>
      <c r="RRW2" s="16"/>
      <c r="RRX2" s="15"/>
      <c r="RRY2" s="15"/>
      <c r="RRZ2" s="15"/>
      <c r="RSA2" s="15"/>
      <c r="RSB2" s="15"/>
      <c r="RSC2" s="6"/>
      <c r="RSD2" s="6"/>
      <c r="RSE2" s="6"/>
      <c r="RSF2" s="15"/>
      <c r="RSG2" s="15"/>
      <c r="RSH2" s="6"/>
      <c r="RSI2" s="15"/>
      <c r="RSJ2" s="53" t="str">
        <f>[4]利润表!$P$2</f>
        <v>日  期：2012年9月15日</v>
      </c>
      <c r="RSK2" s="14"/>
      <c r="RSL2" s="15"/>
      <c r="RSM2" s="16"/>
      <c r="RSN2" s="15"/>
      <c r="RSO2" s="15"/>
      <c r="RSP2" s="15"/>
      <c r="RSQ2" s="15"/>
      <c r="RSR2" s="15"/>
      <c r="RSS2" s="6"/>
      <c r="RST2" s="6"/>
      <c r="RSU2" s="6"/>
      <c r="RSV2" s="15"/>
      <c r="RSW2" s="15"/>
      <c r="RSX2" s="6"/>
      <c r="RSY2" s="15"/>
      <c r="RSZ2" s="53" t="str">
        <f>[4]利润表!$P$2</f>
        <v>日  期：2012年9月15日</v>
      </c>
      <c r="RTA2" s="14"/>
      <c r="RTB2" s="15"/>
      <c r="RTC2" s="16"/>
      <c r="RTD2" s="15"/>
      <c r="RTE2" s="15"/>
      <c r="RTF2" s="15"/>
      <c r="RTG2" s="15"/>
      <c r="RTH2" s="15"/>
      <c r="RTI2" s="6"/>
      <c r="RTJ2" s="6"/>
      <c r="RTK2" s="6"/>
      <c r="RTL2" s="15"/>
      <c r="RTM2" s="15"/>
      <c r="RTN2" s="6"/>
      <c r="RTO2" s="15"/>
      <c r="RTP2" s="53" t="str">
        <f>[4]利润表!$P$2</f>
        <v>日  期：2012年9月15日</v>
      </c>
      <c r="RTQ2" s="14"/>
      <c r="RTR2" s="15"/>
      <c r="RTS2" s="16"/>
      <c r="RTT2" s="15"/>
      <c r="RTU2" s="15"/>
      <c r="RTV2" s="15"/>
      <c r="RTW2" s="15"/>
      <c r="RTX2" s="15"/>
      <c r="RTY2" s="6"/>
      <c r="RTZ2" s="6"/>
      <c r="RUA2" s="6"/>
      <c r="RUB2" s="15"/>
      <c r="RUC2" s="15"/>
      <c r="RUD2" s="6"/>
      <c r="RUE2" s="15"/>
      <c r="RUF2" s="53" t="str">
        <f>[4]利润表!$P$2</f>
        <v>日  期：2012年9月15日</v>
      </c>
      <c r="RUG2" s="14"/>
      <c r="RUH2" s="15"/>
      <c r="RUI2" s="16"/>
      <c r="RUJ2" s="15"/>
      <c r="RUK2" s="15"/>
      <c r="RUL2" s="15"/>
      <c r="RUM2" s="15"/>
      <c r="RUN2" s="15"/>
      <c r="RUO2" s="6"/>
      <c r="RUP2" s="6"/>
      <c r="RUQ2" s="6"/>
      <c r="RUR2" s="15"/>
      <c r="RUS2" s="15"/>
      <c r="RUT2" s="6"/>
      <c r="RUU2" s="15"/>
      <c r="RUV2" s="53" t="str">
        <f>[4]利润表!$P$2</f>
        <v>日  期：2012年9月15日</v>
      </c>
      <c r="RUW2" s="14"/>
      <c r="RUX2" s="15"/>
      <c r="RUY2" s="16"/>
      <c r="RUZ2" s="15"/>
      <c r="RVA2" s="15"/>
      <c r="RVB2" s="15"/>
      <c r="RVC2" s="15"/>
      <c r="RVD2" s="15"/>
      <c r="RVE2" s="6"/>
      <c r="RVF2" s="6"/>
      <c r="RVG2" s="6"/>
      <c r="RVH2" s="15"/>
      <c r="RVI2" s="15"/>
      <c r="RVJ2" s="6"/>
      <c r="RVK2" s="15"/>
      <c r="RVL2" s="53" t="str">
        <f>[4]利润表!$P$2</f>
        <v>日  期：2012年9月15日</v>
      </c>
      <c r="RVM2" s="14"/>
      <c r="RVN2" s="15"/>
      <c r="RVO2" s="16"/>
      <c r="RVP2" s="15"/>
      <c r="RVQ2" s="15"/>
      <c r="RVR2" s="15"/>
      <c r="RVS2" s="15"/>
      <c r="RVT2" s="15"/>
      <c r="RVU2" s="6"/>
      <c r="RVV2" s="6"/>
      <c r="RVW2" s="6"/>
      <c r="RVX2" s="15"/>
      <c r="RVY2" s="15"/>
      <c r="RVZ2" s="6"/>
      <c r="RWA2" s="15"/>
      <c r="RWB2" s="53" t="str">
        <f>[4]利润表!$P$2</f>
        <v>日  期：2012年9月15日</v>
      </c>
      <c r="RWC2" s="14"/>
      <c r="RWD2" s="15"/>
      <c r="RWE2" s="16"/>
      <c r="RWF2" s="15"/>
      <c r="RWG2" s="15"/>
      <c r="RWH2" s="15"/>
      <c r="RWI2" s="15"/>
      <c r="RWJ2" s="15"/>
      <c r="RWK2" s="6"/>
      <c r="RWL2" s="6"/>
      <c r="RWM2" s="6"/>
      <c r="RWN2" s="15"/>
      <c r="RWO2" s="15"/>
      <c r="RWP2" s="6"/>
      <c r="RWQ2" s="15"/>
      <c r="RWR2" s="53" t="str">
        <f>[4]利润表!$P$2</f>
        <v>日  期：2012年9月15日</v>
      </c>
      <c r="RWS2" s="14"/>
      <c r="RWT2" s="15"/>
      <c r="RWU2" s="16"/>
      <c r="RWV2" s="15"/>
      <c r="RWW2" s="15"/>
      <c r="RWX2" s="15"/>
      <c r="RWY2" s="15"/>
      <c r="RWZ2" s="15"/>
      <c r="RXA2" s="6"/>
      <c r="RXB2" s="6"/>
      <c r="RXC2" s="6"/>
      <c r="RXD2" s="15"/>
      <c r="RXE2" s="15"/>
      <c r="RXF2" s="6"/>
      <c r="RXG2" s="15"/>
      <c r="RXH2" s="53" t="str">
        <f>[4]利润表!$P$2</f>
        <v>日  期：2012年9月15日</v>
      </c>
      <c r="RXI2" s="14"/>
      <c r="RXJ2" s="15"/>
      <c r="RXK2" s="16"/>
      <c r="RXL2" s="15"/>
      <c r="RXM2" s="15"/>
      <c r="RXN2" s="15"/>
      <c r="RXO2" s="15"/>
      <c r="RXP2" s="15"/>
      <c r="RXQ2" s="6"/>
      <c r="RXR2" s="6"/>
      <c r="RXS2" s="6"/>
      <c r="RXT2" s="15"/>
      <c r="RXU2" s="15"/>
      <c r="RXV2" s="6"/>
      <c r="RXW2" s="15"/>
      <c r="RXX2" s="53" t="str">
        <f>[4]利润表!$P$2</f>
        <v>日  期：2012年9月15日</v>
      </c>
      <c r="RXY2" s="14"/>
      <c r="RXZ2" s="15"/>
      <c r="RYA2" s="16"/>
      <c r="RYB2" s="15"/>
      <c r="RYC2" s="15"/>
      <c r="RYD2" s="15"/>
      <c r="RYE2" s="15"/>
      <c r="RYF2" s="15"/>
      <c r="RYG2" s="6"/>
      <c r="RYH2" s="6"/>
      <c r="RYI2" s="6"/>
      <c r="RYJ2" s="15"/>
      <c r="RYK2" s="15"/>
      <c r="RYL2" s="6"/>
      <c r="RYM2" s="15"/>
      <c r="RYN2" s="53" t="str">
        <f>[4]利润表!$P$2</f>
        <v>日  期：2012年9月15日</v>
      </c>
      <c r="RYO2" s="14"/>
      <c r="RYP2" s="15"/>
      <c r="RYQ2" s="16"/>
      <c r="RYR2" s="15"/>
      <c r="RYS2" s="15"/>
      <c r="RYT2" s="15"/>
      <c r="RYU2" s="15"/>
      <c r="RYV2" s="15"/>
      <c r="RYW2" s="6"/>
      <c r="RYX2" s="6"/>
      <c r="RYY2" s="6"/>
      <c r="RYZ2" s="15"/>
      <c r="RZA2" s="15"/>
      <c r="RZB2" s="6"/>
      <c r="RZC2" s="15"/>
      <c r="RZD2" s="53" t="str">
        <f>[4]利润表!$P$2</f>
        <v>日  期：2012年9月15日</v>
      </c>
      <c r="RZE2" s="14"/>
      <c r="RZF2" s="15"/>
      <c r="RZG2" s="16"/>
      <c r="RZH2" s="15"/>
      <c r="RZI2" s="15"/>
      <c r="RZJ2" s="15"/>
      <c r="RZK2" s="15"/>
      <c r="RZL2" s="15"/>
      <c r="RZM2" s="6"/>
      <c r="RZN2" s="6"/>
      <c r="RZO2" s="6"/>
      <c r="RZP2" s="15"/>
      <c r="RZQ2" s="15"/>
      <c r="RZR2" s="6"/>
      <c r="RZS2" s="15"/>
      <c r="RZT2" s="53" t="str">
        <f>[4]利润表!$P$2</f>
        <v>日  期：2012年9月15日</v>
      </c>
      <c r="RZU2" s="14"/>
      <c r="RZV2" s="15"/>
      <c r="RZW2" s="16"/>
      <c r="RZX2" s="15"/>
      <c r="RZY2" s="15"/>
      <c r="RZZ2" s="15"/>
      <c r="SAA2" s="15"/>
      <c r="SAB2" s="15"/>
      <c r="SAC2" s="6"/>
      <c r="SAD2" s="6"/>
      <c r="SAE2" s="6"/>
      <c r="SAF2" s="15"/>
      <c r="SAG2" s="15"/>
      <c r="SAH2" s="6"/>
      <c r="SAI2" s="15"/>
      <c r="SAJ2" s="53" t="str">
        <f>[4]利润表!$P$2</f>
        <v>日  期：2012年9月15日</v>
      </c>
      <c r="SAK2" s="14"/>
      <c r="SAL2" s="15"/>
      <c r="SAM2" s="16"/>
      <c r="SAN2" s="15"/>
      <c r="SAO2" s="15"/>
      <c r="SAP2" s="15"/>
      <c r="SAQ2" s="15"/>
      <c r="SAR2" s="15"/>
      <c r="SAS2" s="6"/>
      <c r="SAT2" s="6"/>
      <c r="SAU2" s="6"/>
      <c r="SAV2" s="15"/>
      <c r="SAW2" s="15"/>
      <c r="SAX2" s="6"/>
      <c r="SAY2" s="15"/>
      <c r="SAZ2" s="53" t="str">
        <f>[4]利润表!$P$2</f>
        <v>日  期：2012年9月15日</v>
      </c>
      <c r="SBA2" s="14"/>
      <c r="SBB2" s="15"/>
      <c r="SBC2" s="16"/>
      <c r="SBD2" s="15"/>
      <c r="SBE2" s="15"/>
      <c r="SBF2" s="15"/>
      <c r="SBG2" s="15"/>
      <c r="SBH2" s="15"/>
      <c r="SBI2" s="6"/>
      <c r="SBJ2" s="6"/>
      <c r="SBK2" s="6"/>
      <c r="SBL2" s="15"/>
      <c r="SBM2" s="15"/>
      <c r="SBN2" s="6"/>
      <c r="SBO2" s="15"/>
      <c r="SBP2" s="53" t="str">
        <f>[4]利润表!$P$2</f>
        <v>日  期：2012年9月15日</v>
      </c>
      <c r="SBQ2" s="14"/>
      <c r="SBR2" s="15"/>
      <c r="SBS2" s="16"/>
      <c r="SBT2" s="15"/>
      <c r="SBU2" s="15"/>
      <c r="SBV2" s="15"/>
      <c r="SBW2" s="15"/>
      <c r="SBX2" s="15"/>
      <c r="SBY2" s="6"/>
      <c r="SBZ2" s="6"/>
      <c r="SCA2" s="6"/>
      <c r="SCB2" s="15"/>
      <c r="SCC2" s="15"/>
      <c r="SCD2" s="6"/>
      <c r="SCE2" s="15"/>
      <c r="SCF2" s="53" t="str">
        <f>[4]利润表!$P$2</f>
        <v>日  期：2012年9月15日</v>
      </c>
      <c r="SCG2" s="14"/>
      <c r="SCH2" s="15"/>
      <c r="SCI2" s="16"/>
      <c r="SCJ2" s="15"/>
      <c r="SCK2" s="15"/>
      <c r="SCL2" s="15"/>
      <c r="SCM2" s="15"/>
      <c r="SCN2" s="15"/>
      <c r="SCO2" s="6"/>
      <c r="SCP2" s="6"/>
      <c r="SCQ2" s="6"/>
      <c r="SCR2" s="15"/>
      <c r="SCS2" s="15"/>
      <c r="SCT2" s="6"/>
      <c r="SCU2" s="15"/>
      <c r="SCV2" s="53" t="str">
        <f>[4]利润表!$P$2</f>
        <v>日  期：2012年9月15日</v>
      </c>
      <c r="SCW2" s="14"/>
      <c r="SCX2" s="15"/>
      <c r="SCY2" s="16"/>
      <c r="SCZ2" s="15"/>
      <c r="SDA2" s="15"/>
      <c r="SDB2" s="15"/>
      <c r="SDC2" s="15"/>
      <c r="SDD2" s="15"/>
      <c r="SDE2" s="6"/>
      <c r="SDF2" s="6"/>
      <c r="SDG2" s="6"/>
      <c r="SDH2" s="15"/>
      <c r="SDI2" s="15"/>
      <c r="SDJ2" s="6"/>
      <c r="SDK2" s="15"/>
      <c r="SDL2" s="53" t="str">
        <f>[4]利润表!$P$2</f>
        <v>日  期：2012年9月15日</v>
      </c>
      <c r="SDM2" s="14"/>
      <c r="SDN2" s="15"/>
      <c r="SDO2" s="16"/>
      <c r="SDP2" s="15"/>
      <c r="SDQ2" s="15"/>
      <c r="SDR2" s="15"/>
      <c r="SDS2" s="15"/>
      <c r="SDT2" s="15"/>
      <c r="SDU2" s="6"/>
      <c r="SDV2" s="6"/>
      <c r="SDW2" s="6"/>
      <c r="SDX2" s="15"/>
      <c r="SDY2" s="15"/>
      <c r="SDZ2" s="6"/>
      <c r="SEA2" s="15"/>
      <c r="SEB2" s="53" t="str">
        <f>[4]利润表!$P$2</f>
        <v>日  期：2012年9月15日</v>
      </c>
      <c r="SEC2" s="14"/>
      <c r="SED2" s="15"/>
      <c r="SEE2" s="16"/>
      <c r="SEF2" s="15"/>
      <c r="SEG2" s="15"/>
      <c r="SEH2" s="15"/>
      <c r="SEI2" s="15"/>
      <c r="SEJ2" s="15"/>
      <c r="SEK2" s="6"/>
      <c r="SEL2" s="6"/>
      <c r="SEM2" s="6"/>
      <c r="SEN2" s="15"/>
      <c r="SEO2" s="15"/>
      <c r="SEP2" s="6"/>
      <c r="SEQ2" s="15"/>
      <c r="SER2" s="53" t="str">
        <f>[4]利润表!$P$2</f>
        <v>日  期：2012年9月15日</v>
      </c>
      <c r="SES2" s="14"/>
      <c r="SET2" s="15"/>
      <c r="SEU2" s="16"/>
      <c r="SEV2" s="15"/>
      <c r="SEW2" s="15"/>
      <c r="SEX2" s="15"/>
      <c r="SEY2" s="15"/>
      <c r="SEZ2" s="15"/>
      <c r="SFA2" s="6"/>
      <c r="SFB2" s="6"/>
      <c r="SFC2" s="6"/>
      <c r="SFD2" s="15"/>
      <c r="SFE2" s="15"/>
      <c r="SFF2" s="6"/>
      <c r="SFG2" s="15"/>
      <c r="SFH2" s="53" t="str">
        <f>[4]利润表!$P$2</f>
        <v>日  期：2012年9月15日</v>
      </c>
      <c r="SFI2" s="14"/>
      <c r="SFJ2" s="15"/>
      <c r="SFK2" s="16"/>
      <c r="SFL2" s="15"/>
      <c r="SFM2" s="15"/>
      <c r="SFN2" s="15"/>
      <c r="SFO2" s="15"/>
      <c r="SFP2" s="15"/>
      <c r="SFQ2" s="6"/>
      <c r="SFR2" s="6"/>
      <c r="SFS2" s="6"/>
      <c r="SFT2" s="15"/>
      <c r="SFU2" s="15"/>
      <c r="SFV2" s="6"/>
      <c r="SFW2" s="15"/>
      <c r="SFX2" s="53" t="str">
        <f>[4]利润表!$P$2</f>
        <v>日  期：2012年9月15日</v>
      </c>
      <c r="SFY2" s="14"/>
      <c r="SFZ2" s="15"/>
      <c r="SGA2" s="16"/>
      <c r="SGB2" s="15"/>
      <c r="SGC2" s="15"/>
      <c r="SGD2" s="15"/>
      <c r="SGE2" s="15"/>
      <c r="SGF2" s="15"/>
      <c r="SGG2" s="6"/>
      <c r="SGH2" s="6"/>
      <c r="SGI2" s="6"/>
      <c r="SGJ2" s="15"/>
      <c r="SGK2" s="15"/>
      <c r="SGL2" s="6"/>
      <c r="SGM2" s="15"/>
      <c r="SGN2" s="53" t="str">
        <f>[4]利润表!$P$2</f>
        <v>日  期：2012年9月15日</v>
      </c>
      <c r="SGO2" s="14"/>
      <c r="SGP2" s="15"/>
      <c r="SGQ2" s="16"/>
      <c r="SGR2" s="15"/>
      <c r="SGS2" s="15"/>
      <c r="SGT2" s="15"/>
      <c r="SGU2" s="15"/>
      <c r="SGV2" s="15"/>
      <c r="SGW2" s="6"/>
      <c r="SGX2" s="6"/>
      <c r="SGY2" s="6"/>
      <c r="SGZ2" s="15"/>
      <c r="SHA2" s="15"/>
      <c r="SHB2" s="6"/>
      <c r="SHC2" s="15"/>
      <c r="SHD2" s="53" t="str">
        <f>[4]利润表!$P$2</f>
        <v>日  期：2012年9月15日</v>
      </c>
      <c r="SHE2" s="14"/>
      <c r="SHF2" s="15"/>
      <c r="SHG2" s="16"/>
      <c r="SHH2" s="15"/>
      <c r="SHI2" s="15"/>
      <c r="SHJ2" s="15"/>
      <c r="SHK2" s="15"/>
      <c r="SHL2" s="15"/>
      <c r="SHM2" s="6"/>
      <c r="SHN2" s="6"/>
      <c r="SHO2" s="6"/>
      <c r="SHP2" s="15"/>
      <c r="SHQ2" s="15"/>
      <c r="SHR2" s="6"/>
      <c r="SHS2" s="15"/>
      <c r="SHT2" s="53" t="str">
        <f>[4]利润表!$P$2</f>
        <v>日  期：2012年9月15日</v>
      </c>
      <c r="SHU2" s="14"/>
      <c r="SHV2" s="15"/>
      <c r="SHW2" s="16"/>
      <c r="SHX2" s="15"/>
      <c r="SHY2" s="15"/>
      <c r="SHZ2" s="15"/>
      <c r="SIA2" s="15"/>
      <c r="SIB2" s="15"/>
      <c r="SIC2" s="6"/>
      <c r="SID2" s="6"/>
      <c r="SIE2" s="6"/>
      <c r="SIF2" s="15"/>
      <c r="SIG2" s="15"/>
      <c r="SIH2" s="6"/>
      <c r="SII2" s="15"/>
      <c r="SIJ2" s="53" t="str">
        <f>[4]利润表!$P$2</f>
        <v>日  期：2012年9月15日</v>
      </c>
      <c r="SIK2" s="14"/>
      <c r="SIL2" s="15"/>
      <c r="SIM2" s="16"/>
      <c r="SIN2" s="15"/>
      <c r="SIO2" s="15"/>
      <c r="SIP2" s="15"/>
      <c r="SIQ2" s="15"/>
      <c r="SIR2" s="15"/>
      <c r="SIS2" s="6"/>
      <c r="SIT2" s="6"/>
      <c r="SIU2" s="6"/>
      <c r="SIV2" s="15"/>
      <c r="SIW2" s="15"/>
      <c r="SIX2" s="6"/>
      <c r="SIY2" s="15"/>
      <c r="SIZ2" s="53" t="str">
        <f>[4]利润表!$P$2</f>
        <v>日  期：2012年9月15日</v>
      </c>
      <c r="SJA2" s="14"/>
      <c r="SJB2" s="15"/>
      <c r="SJC2" s="16"/>
      <c r="SJD2" s="15"/>
      <c r="SJE2" s="15"/>
      <c r="SJF2" s="15"/>
      <c r="SJG2" s="15"/>
      <c r="SJH2" s="15"/>
      <c r="SJI2" s="6"/>
      <c r="SJJ2" s="6"/>
      <c r="SJK2" s="6"/>
      <c r="SJL2" s="15"/>
      <c r="SJM2" s="15"/>
      <c r="SJN2" s="6"/>
      <c r="SJO2" s="15"/>
      <c r="SJP2" s="53" t="str">
        <f>[4]利润表!$P$2</f>
        <v>日  期：2012年9月15日</v>
      </c>
      <c r="SJQ2" s="14"/>
      <c r="SJR2" s="15"/>
      <c r="SJS2" s="16"/>
      <c r="SJT2" s="15"/>
      <c r="SJU2" s="15"/>
      <c r="SJV2" s="15"/>
      <c r="SJW2" s="15"/>
      <c r="SJX2" s="15"/>
      <c r="SJY2" s="6"/>
      <c r="SJZ2" s="6"/>
      <c r="SKA2" s="6"/>
      <c r="SKB2" s="15"/>
      <c r="SKC2" s="15"/>
      <c r="SKD2" s="6"/>
      <c r="SKE2" s="15"/>
      <c r="SKF2" s="53" t="str">
        <f>[4]利润表!$P$2</f>
        <v>日  期：2012年9月15日</v>
      </c>
      <c r="SKG2" s="14"/>
      <c r="SKH2" s="15"/>
      <c r="SKI2" s="16"/>
      <c r="SKJ2" s="15"/>
      <c r="SKK2" s="15"/>
      <c r="SKL2" s="15"/>
      <c r="SKM2" s="15"/>
      <c r="SKN2" s="15"/>
      <c r="SKO2" s="6"/>
      <c r="SKP2" s="6"/>
      <c r="SKQ2" s="6"/>
      <c r="SKR2" s="15"/>
      <c r="SKS2" s="15"/>
      <c r="SKT2" s="6"/>
      <c r="SKU2" s="15"/>
      <c r="SKV2" s="53" t="str">
        <f>[4]利润表!$P$2</f>
        <v>日  期：2012年9月15日</v>
      </c>
      <c r="SKW2" s="14"/>
      <c r="SKX2" s="15"/>
      <c r="SKY2" s="16"/>
      <c r="SKZ2" s="15"/>
      <c r="SLA2" s="15"/>
      <c r="SLB2" s="15"/>
      <c r="SLC2" s="15"/>
      <c r="SLD2" s="15"/>
      <c r="SLE2" s="6"/>
      <c r="SLF2" s="6"/>
      <c r="SLG2" s="6"/>
      <c r="SLH2" s="15"/>
      <c r="SLI2" s="15"/>
      <c r="SLJ2" s="6"/>
      <c r="SLK2" s="15"/>
      <c r="SLL2" s="53" t="str">
        <f>[4]利润表!$P$2</f>
        <v>日  期：2012年9月15日</v>
      </c>
      <c r="SLM2" s="14"/>
      <c r="SLN2" s="15"/>
      <c r="SLO2" s="16"/>
      <c r="SLP2" s="15"/>
      <c r="SLQ2" s="15"/>
      <c r="SLR2" s="15"/>
      <c r="SLS2" s="15"/>
      <c r="SLT2" s="15"/>
      <c r="SLU2" s="6"/>
      <c r="SLV2" s="6"/>
      <c r="SLW2" s="6"/>
      <c r="SLX2" s="15"/>
      <c r="SLY2" s="15"/>
      <c r="SLZ2" s="6"/>
      <c r="SMA2" s="15"/>
      <c r="SMB2" s="53" t="str">
        <f>[4]利润表!$P$2</f>
        <v>日  期：2012年9月15日</v>
      </c>
      <c r="SMC2" s="14"/>
      <c r="SMD2" s="15"/>
      <c r="SME2" s="16"/>
      <c r="SMF2" s="15"/>
      <c r="SMG2" s="15"/>
      <c r="SMH2" s="15"/>
      <c r="SMI2" s="15"/>
      <c r="SMJ2" s="15"/>
      <c r="SMK2" s="6"/>
      <c r="SML2" s="6"/>
      <c r="SMM2" s="6"/>
      <c r="SMN2" s="15"/>
      <c r="SMO2" s="15"/>
      <c r="SMP2" s="6"/>
      <c r="SMQ2" s="15"/>
      <c r="SMR2" s="53" t="str">
        <f>[4]利润表!$P$2</f>
        <v>日  期：2012年9月15日</v>
      </c>
      <c r="SMS2" s="14"/>
      <c r="SMT2" s="15"/>
      <c r="SMU2" s="16"/>
      <c r="SMV2" s="15"/>
      <c r="SMW2" s="15"/>
      <c r="SMX2" s="15"/>
      <c r="SMY2" s="15"/>
      <c r="SMZ2" s="15"/>
      <c r="SNA2" s="6"/>
      <c r="SNB2" s="6"/>
      <c r="SNC2" s="6"/>
      <c r="SND2" s="15"/>
      <c r="SNE2" s="15"/>
      <c r="SNF2" s="6"/>
      <c r="SNG2" s="15"/>
      <c r="SNH2" s="53" t="str">
        <f>[4]利润表!$P$2</f>
        <v>日  期：2012年9月15日</v>
      </c>
      <c r="SNI2" s="14"/>
      <c r="SNJ2" s="15"/>
      <c r="SNK2" s="16"/>
      <c r="SNL2" s="15"/>
      <c r="SNM2" s="15"/>
      <c r="SNN2" s="15"/>
      <c r="SNO2" s="15"/>
      <c r="SNP2" s="15"/>
      <c r="SNQ2" s="6"/>
      <c r="SNR2" s="6"/>
      <c r="SNS2" s="6"/>
      <c r="SNT2" s="15"/>
      <c r="SNU2" s="15"/>
      <c r="SNV2" s="6"/>
      <c r="SNW2" s="15"/>
      <c r="SNX2" s="53" t="str">
        <f>[4]利润表!$P$2</f>
        <v>日  期：2012年9月15日</v>
      </c>
      <c r="SNY2" s="14"/>
      <c r="SNZ2" s="15"/>
      <c r="SOA2" s="16"/>
      <c r="SOB2" s="15"/>
      <c r="SOC2" s="15"/>
      <c r="SOD2" s="15"/>
      <c r="SOE2" s="15"/>
      <c r="SOF2" s="15"/>
      <c r="SOG2" s="6"/>
      <c r="SOH2" s="6"/>
      <c r="SOI2" s="6"/>
      <c r="SOJ2" s="15"/>
      <c r="SOK2" s="15"/>
      <c r="SOL2" s="6"/>
      <c r="SOM2" s="15"/>
      <c r="SON2" s="53" t="str">
        <f>[4]利润表!$P$2</f>
        <v>日  期：2012年9月15日</v>
      </c>
      <c r="SOO2" s="14"/>
      <c r="SOP2" s="15"/>
      <c r="SOQ2" s="16"/>
      <c r="SOR2" s="15"/>
      <c r="SOS2" s="15"/>
      <c r="SOT2" s="15"/>
      <c r="SOU2" s="15"/>
      <c r="SOV2" s="15"/>
      <c r="SOW2" s="6"/>
      <c r="SOX2" s="6"/>
      <c r="SOY2" s="6"/>
      <c r="SOZ2" s="15"/>
      <c r="SPA2" s="15"/>
      <c r="SPB2" s="6"/>
      <c r="SPC2" s="15"/>
      <c r="SPD2" s="53" t="str">
        <f>[4]利润表!$P$2</f>
        <v>日  期：2012年9月15日</v>
      </c>
      <c r="SPE2" s="14"/>
      <c r="SPF2" s="15"/>
      <c r="SPG2" s="16"/>
      <c r="SPH2" s="15"/>
      <c r="SPI2" s="15"/>
      <c r="SPJ2" s="15"/>
      <c r="SPK2" s="15"/>
      <c r="SPL2" s="15"/>
      <c r="SPM2" s="6"/>
      <c r="SPN2" s="6"/>
      <c r="SPO2" s="6"/>
      <c r="SPP2" s="15"/>
      <c r="SPQ2" s="15"/>
      <c r="SPR2" s="6"/>
      <c r="SPS2" s="15"/>
      <c r="SPT2" s="53" t="str">
        <f>[4]利润表!$P$2</f>
        <v>日  期：2012年9月15日</v>
      </c>
      <c r="SPU2" s="14"/>
      <c r="SPV2" s="15"/>
      <c r="SPW2" s="16"/>
      <c r="SPX2" s="15"/>
      <c r="SPY2" s="15"/>
      <c r="SPZ2" s="15"/>
      <c r="SQA2" s="15"/>
      <c r="SQB2" s="15"/>
      <c r="SQC2" s="6"/>
      <c r="SQD2" s="6"/>
      <c r="SQE2" s="6"/>
      <c r="SQF2" s="15"/>
      <c r="SQG2" s="15"/>
      <c r="SQH2" s="6"/>
      <c r="SQI2" s="15"/>
      <c r="SQJ2" s="53" t="str">
        <f>[4]利润表!$P$2</f>
        <v>日  期：2012年9月15日</v>
      </c>
      <c r="SQK2" s="14"/>
      <c r="SQL2" s="15"/>
      <c r="SQM2" s="16"/>
      <c r="SQN2" s="15"/>
      <c r="SQO2" s="15"/>
      <c r="SQP2" s="15"/>
      <c r="SQQ2" s="15"/>
      <c r="SQR2" s="15"/>
      <c r="SQS2" s="6"/>
      <c r="SQT2" s="6"/>
      <c r="SQU2" s="6"/>
      <c r="SQV2" s="15"/>
      <c r="SQW2" s="15"/>
      <c r="SQX2" s="6"/>
      <c r="SQY2" s="15"/>
      <c r="SQZ2" s="53" t="str">
        <f>[4]利润表!$P$2</f>
        <v>日  期：2012年9月15日</v>
      </c>
      <c r="SRA2" s="14"/>
      <c r="SRB2" s="15"/>
      <c r="SRC2" s="16"/>
      <c r="SRD2" s="15"/>
      <c r="SRE2" s="15"/>
      <c r="SRF2" s="15"/>
      <c r="SRG2" s="15"/>
      <c r="SRH2" s="15"/>
      <c r="SRI2" s="6"/>
      <c r="SRJ2" s="6"/>
      <c r="SRK2" s="6"/>
      <c r="SRL2" s="15"/>
      <c r="SRM2" s="15"/>
      <c r="SRN2" s="6"/>
      <c r="SRO2" s="15"/>
      <c r="SRP2" s="53" t="str">
        <f>[4]利润表!$P$2</f>
        <v>日  期：2012年9月15日</v>
      </c>
      <c r="SRQ2" s="14"/>
      <c r="SRR2" s="15"/>
      <c r="SRS2" s="16"/>
      <c r="SRT2" s="15"/>
      <c r="SRU2" s="15"/>
      <c r="SRV2" s="15"/>
      <c r="SRW2" s="15"/>
      <c r="SRX2" s="15"/>
      <c r="SRY2" s="6"/>
      <c r="SRZ2" s="6"/>
      <c r="SSA2" s="6"/>
      <c r="SSB2" s="15"/>
      <c r="SSC2" s="15"/>
      <c r="SSD2" s="6"/>
      <c r="SSE2" s="15"/>
      <c r="SSF2" s="53" t="str">
        <f>[4]利润表!$P$2</f>
        <v>日  期：2012年9月15日</v>
      </c>
      <c r="SSG2" s="14"/>
      <c r="SSH2" s="15"/>
      <c r="SSI2" s="16"/>
      <c r="SSJ2" s="15"/>
      <c r="SSK2" s="15"/>
      <c r="SSL2" s="15"/>
      <c r="SSM2" s="15"/>
      <c r="SSN2" s="15"/>
      <c r="SSO2" s="6"/>
      <c r="SSP2" s="6"/>
      <c r="SSQ2" s="6"/>
      <c r="SSR2" s="15"/>
      <c r="SSS2" s="15"/>
      <c r="SST2" s="6"/>
      <c r="SSU2" s="15"/>
      <c r="SSV2" s="53" t="str">
        <f>[4]利润表!$P$2</f>
        <v>日  期：2012年9月15日</v>
      </c>
      <c r="SSW2" s="14"/>
      <c r="SSX2" s="15"/>
      <c r="SSY2" s="16"/>
      <c r="SSZ2" s="15"/>
      <c r="STA2" s="15"/>
      <c r="STB2" s="15"/>
      <c r="STC2" s="15"/>
      <c r="STD2" s="15"/>
      <c r="STE2" s="6"/>
      <c r="STF2" s="6"/>
      <c r="STG2" s="6"/>
      <c r="STH2" s="15"/>
      <c r="STI2" s="15"/>
      <c r="STJ2" s="6"/>
      <c r="STK2" s="15"/>
      <c r="STL2" s="53" t="str">
        <f>[4]利润表!$P$2</f>
        <v>日  期：2012年9月15日</v>
      </c>
      <c r="STM2" s="14"/>
      <c r="STN2" s="15"/>
      <c r="STO2" s="16"/>
      <c r="STP2" s="15"/>
      <c r="STQ2" s="15"/>
      <c r="STR2" s="15"/>
      <c r="STS2" s="15"/>
      <c r="STT2" s="15"/>
      <c r="STU2" s="6"/>
      <c r="STV2" s="6"/>
      <c r="STW2" s="6"/>
      <c r="STX2" s="15"/>
      <c r="STY2" s="15"/>
      <c r="STZ2" s="6"/>
      <c r="SUA2" s="15"/>
      <c r="SUB2" s="53" t="str">
        <f>[4]利润表!$P$2</f>
        <v>日  期：2012年9月15日</v>
      </c>
      <c r="SUC2" s="14"/>
      <c r="SUD2" s="15"/>
      <c r="SUE2" s="16"/>
      <c r="SUF2" s="15"/>
      <c r="SUG2" s="15"/>
      <c r="SUH2" s="15"/>
      <c r="SUI2" s="15"/>
      <c r="SUJ2" s="15"/>
      <c r="SUK2" s="6"/>
      <c r="SUL2" s="6"/>
      <c r="SUM2" s="6"/>
      <c r="SUN2" s="15"/>
      <c r="SUO2" s="15"/>
      <c r="SUP2" s="6"/>
      <c r="SUQ2" s="15"/>
      <c r="SUR2" s="53" t="str">
        <f>[4]利润表!$P$2</f>
        <v>日  期：2012年9月15日</v>
      </c>
      <c r="SUS2" s="14"/>
      <c r="SUT2" s="15"/>
      <c r="SUU2" s="16"/>
      <c r="SUV2" s="15"/>
      <c r="SUW2" s="15"/>
      <c r="SUX2" s="15"/>
      <c r="SUY2" s="15"/>
      <c r="SUZ2" s="15"/>
      <c r="SVA2" s="6"/>
      <c r="SVB2" s="6"/>
      <c r="SVC2" s="6"/>
      <c r="SVD2" s="15"/>
      <c r="SVE2" s="15"/>
      <c r="SVF2" s="6"/>
      <c r="SVG2" s="15"/>
      <c r="SVH2" s="53" t="str">
        <f>[4]利润表!$P$2</f>
        <v>日  期：2012年9月15日</v>
      </c>
      <c r="SVI2" s="14"/>
      <c r="SVJ2" s="15"/>
      <c r="SVK2" s="16"/>
      <c r="SVL2" s="15"/>
      <c r="SVM2" s="15"/>
      <c r="SVN2" s="15"/>
      <c r="SVO2" s="15"/>
      <c r="SVP2" s="15"/>
      <c r="SVQ2" s="6"/>
      <c r="SVR2" s="6"/>
      <c r="SVS2" s="6"/>
      <c r="SVT2" s="15"/>
      <c r="SVU2" s="15"/>
      <c r="SVV2" s="6"/>
      <c r="SVW2" s="15"/>
      <c r="SVX2" s="53" t="str">
        <f>[4]利润表!$P$2</f>
        <v>日  期：2012年9月15日</v>
      </c>
      <c r="SVY2" s="14"/>
      <c r="SVZ2" s="15"/>
      <c r="SWA2" s="16"/>
      <c r="SWB2" s="15"/>
      <c r="SWC2" s="15"/>
      <c r="SWD2" s="15"/>
      <c r="SWE2" s="15"/>
      <c r="SWF2" s="15"/>
      <c r="SWG2" s="6"/>
      <c r="SWH2" s="6"/>
      <c r="SWI2" s="6"/>
      <c r="SWJ2" s="15"/>
      <c r="SWK2" s="15"/>
      <c r="SWL2" s="6"/>
      <c r="SWM2" s="15"/>
      <c r="SWN2" s="53" t="str">
        <f>[4]利润表!$P$2</f>
        <v>日  期：2012年9月15日</v>
      </c>
      <c r="SWO2" s="14"/>
      <c r="SWP2" s="15"/>
      <c r="SWQ2" s="16"/>
      <c r="SWR2" s="15"/>
      <c r="SWS2" s="15"/>
      <c r="SWT2" s="15"/>
      <c r="SWU2" s="15"/>
      <c r="SWV2" s="15"/>
      <c r="SWW2" s="6"/>
      <c r="SWX2" s="6"/>
      <c r="SWY2" s="6"/>
      <c r="SWZ2" s="15"/>
      <c r="SXA2" s="15"/>
      <c r="SXB2" s="6"/>
      <c r="SXC2" s="15"/>
      <c r="SXD2" s="53" t="str">
        <f>[4]利润表!$P$2</f>
        <v>日  期：2012年9月15日</v>
      </c>
      <c r="SXE2" s="14"/>
      <c r="SXF2" s="15"/>
      <c r="SXG2" s="16"/>
      <c r="SXH2" s="15"/>
      <c r="SXI2" s="15"/>
      <c r="SXJ2" s="15"/>
      <c r="SXK2" s="15"/>
      <c r="SXL2" s="15"/>
      <c r="SXM2" s="6"/>
      <c r="SXN2" s="6"/>
      <c r="SXO2" s="6"/>
      <c r="SXP2" s="15"/>
      <c r="SXQ2" s="15"/>
      <c r="SXR2" s="6"/>
      <c r="SXS2" s="15"/>
      <c r="SXT2" s="53" t="str">
        <f>[4]利润表!$P$2</f>
        <v>日  期：2012年9月15日</v>
      </c>
      <c r="SXU2" s="14"/>
      <c r="SXV2" s="15"/>
      <c r="SXW2" s="16"/>
      <c r="SXX2" s="15"/>
      <c r="SXY2" s="15"/>
      <c r="SXZ2" s="15"/>
      <c r="SYA2" s="15"/>
      <c r="SYB2" s="15"/>
      <c r="SYC2" s="6"/>
      <c r="SYD2" s="6"/>
      <c r="SYE2" s="6"/>
      <c r="SYF2" s="15"/>
      <c r="SYG2" s="15"/>
      <c r="SYH2" s="6"/>
      <c r="SYI2" s="15"/>
      <c r="SYJ2" s="53" t="str">
        <f>[4]利润表!$P$2</f>
        <v>日  期：2012年9月15日</v>
      </c>
      <c r="SYK2" s="14"/>
      <c r="SYL2" s="15"/>
      <c r="SYM2" s="16"/>
      <c r="SYN2" s="15"/>
      <c r="SYO2" s="15"/>
      <c r="SYP2" s="15"/>
      <c r="SYQ2" s="15"/>
      <c r="SYR2" s="15"/>
      <c r="SYS2" s="6"/>
      <c r="SYT2" s="6"/>
      <c r="SYU2" s="6"/>
      <c r="SYV2" s="15"/>
      <c r="SYW2" s="15"/>
      <c r="SYX2" s="6"/>
      <c r="SYY2" s="15"/>
      <c r="SYZ2" s="53" t="str">
        <f>[4]利润表!$P$2</f>
        <v>日  期：2012年9月15日</v>
      </c>
      <c r="SZA2" s="14"/>
      <c r="SZB2" s="15"/>
      <c r="SZC2" s="16"/>
      <c r="SZD2" s="15"/>
      <c r="SZE2" s="15"/>
      <c r="SZF2" s="15"/>
      <c r="SZG2" s="15"/>
      <c r="SZH2" s="15"/>
      <c r="SZI2" s="6"/>
      <c r="SZJ2" s="6"/>
      <c r="SZK2" s="6"/>
      <c r="SZL2" s="15"/>
      <c r="SZM2" s="15"/>
      <c r="SZN2" s="6"/>
      <c r="SZO2" s="15"/>
      <c r="SZP2" s="53" t="str">
        <f>[4]利润表!$P$2</f>
        <v>日  期：2012年9月15日</v>
      </c>
      <c r="SZQ2" s="14"/>
      <c r="SZR2" s="15"/>
      <c r="SZS2" s="16"/>
      <c r="SZT2" s="15"/>
      <c r="SZU2" s="15"/>
      <c r="SZV2" s="15"/>
      <c r="SZW2" s="15"/>
      <c r="SZX2" s="15"/>
      <c r="SZY2" s="6"/>
      <c r="SZZ2" s="6"/>
      <c r="TAA2" s="6"/>
      <c r="TAB2" s="15"/>
      <c r="TAC2" s="15"/>
      <c r="TAD2" s="6"/>
      <c r="TAE2" s="15"/>
      <c r="TAF2" s="53" t="str">
        <f>[4]利润表!$P$2</f>
        <v>日  期：2012年9月15日</v>
      </c>
      <c r="TAG2" s="14"/>
      <c r="TAH2" s="15"/>
      <c r="TAI2" s="16"/>
      <c r="TAJ2" s="15"/>
      <c r="TAK2" s="15"/>
      <c r="TAL2" s="15"/>
      <c r="TAM2" s="15"/>
      <c r="TAN2" s="15"/>
      <c r="TAO2" s="6"/>
      <c r="TAP2" s="6"/>
      <c r="TAQ2" s="6"/>
      <c r="TAR2" s="15"/>
      <c r="TAS2" s="15"/>
      <c r="TAT2" s="6"/>
      <c r="TAU2" s="15"/>
      <c r="TAV2" s="53" t="str">
        <f>[4]利润表!$P$2</f>
        <v>日  期：2012年9月15日</v>
      </c>
      <c r="TAW2" s="14"/>
      <c r="TAX2" s="15"/>
      <c r="TAY2" s="16"/>
      <c r="TAZ2" s="15"/>
      <c r="TBA2" s="15"/>
      <c r="TBB2" s="15"/>
      <c r="TBC2" s="15"/>
      <c r="TBD2" s="15"/>
      <c r="TBE2" s="6"/>
      <c r="TBF2" s="6"/>
      <c r="TBG2" s="6"/>
      <c r="TBH2" s="15"/>
      <c r="TBI2" s="15"/>
      <c r="TBJ2" s="6"/>
      <c r="TBK2" s="15"/>
      <c r="TBL2" s="53" t="str">
        <f>[4]利润表!$P$2</f>
        <v>日  期：2012年9月15日</v>
      </c>
      <c r="TBM2" s="14"/>
      <c r="TBN2" s="15"/>
      <c r="TBO2" s="16"/>
      <c r="TBP2" s="15"/>
      <c r="TBQ2" s="15"/>
      <c r="TBR2" s="15"/>
      <c r="TBS2" s="15"/>
      <c r="TBT2" s="15"/>
      <c r="TBU2" s="6"/>
      <c r="TBV2" s="6"/>
      <c r="TBW2" s="6"/>
      <c r="TBX2" s="15"/>
      <c r="TBY2" s="15"/>
      <c r="TBZ2" s="6"/>
      <c r="TCA2" s="15"/>
      <c r="TCB2" s="53" t="str">
        <f>[4]利润表!$P$2</f>
        <v>日  期：2012年9月15日</v>
      </c>
      <c r="TCC2" s="14"/>
      <c r="TCD2" s="15"/>
      <c r="TCE2" s="16"/>
      <c r="TCF2" s="15"/>
      <c r="TCG2" s="15"/>
      <c r="TCH2" s="15"/>
      <c r="TCI2" s="15"/>
      <c r="TCJ2" s="15"/>
      <c r="TCK2" s="6"/>
      <c r="TCL2" s="6"/>
      <c r="TCM2" s="6"/>
      <c r="TCN2" s="15"/>
      <c r="TCO2" s="15"/>
      <c r="TCP2" s="6"/>
      <c r="TCQ2" s="15"/>
      <c r="TCR2" s="53" t="str">
        <f>[4]利润表!$P$2</f>
        <v>日  期：2012年9月15日</v>
      </c>
      <c r="TCS2" s="14"/>
      <c r="TCT2" s="15"/>
      <c r="TCU2" s="16"/>
      <c r="TCV2" s="15"/>
      <c r="TCW2" s="15"/>
      <c r="TCX2" s="15"/>
      <c r="TCY2" s="15"/>
      <c r="TCZ2" s="15"/>
      <c r="TDA2" s="6"/>
      <c r="TDB2" s="6"/>
      <c r="TDC2" s="6"/>
      <c r="TDD2" s="15"/>
      <c r="TDE2" s="15"/>
      <c r="TDF2" s="6"/>
      <c r="TDG2" s="15"/>
      <c r="TDH2" s="53" t="str">
        <f>[4]利润表!$P$2</f>
        <v>日  期：2012年9月15日</v>
      </c>
      <c r="TDI2" s="14"/>
      <c r="TDJ2" s="15"/>
      <c r="TDK2" s="16"/>
      <c r="TDL2" s="15"/>
      <c r="TDM2" s="15"/>
      <c r="TDN2" s="15"/>
      <c r="TDO2" s="15"/>
      <c r="TDP2" s="15"/>
      <c r="TDQ2" s="6"/>
      <c r="TDR2" s="6"/>
      <c r="TDS2" s="6"/>
      <c r="TDT2" s="15"/>
      <c r="TDU2" s="15"/>
      <c r="TDV2" s="6"/>
      <c r="TDW2" s="15"/>
      <c r="TDX2" s="53" t="str">
        <f>[4]利润表!$P$2</f>
        <v>日  期：2012年9月15日</v>
      </c>
      <c r="TDY2" s="14"/>
      <c r="TDZ2" s="15"/>
      <c r="TEA2" s="16"/>
      <c r="TEB2" s="15"/>
      <c r="TEC2" s="15"/>
      <c r="TED2" s="15"/>
      <c r="TEE2" s="15"/>
      <c r="TEF2" s="15"/>
      <c r="TEG2" s="6"/>
      <c r="TEH2" s="6"/>
      <c r="TEI2" s="6"/>
      <c r="TEJ2" s="15"/>
      <c r="TEK2" s="15"/>
      <c r="TEL2" s="6"/>
      <c r="TEM2" s="15"/>
      <c r="TEN2" s="53" t="str">
        <f>[4]利润表!$P$2</f>
        <v>日  期：2012年9月15日</v>
      </c>
      <c r="TEO2" s="14"/>
      <c r="TEP2" s="15"/>
      <c r="TEQ2" s="16"/>
      <c r="TER2" s="15"/>
      <c r="TES2" s="15"/>
      <c r="TET2" s="15"/>
      <c r="TEU2" s="15"/>
      <c r="TEV2" s="15"/>
      <c r="TEW2" s="6"/>
      <c r="TEX2" s="6"/>
      <c r="TEY2" s="6"/>
      <c r="TEZ2" s="15"/>
      <c r="TFA2" s="15"/>
      <c r="TFB2" s="6"/>
      <c r="TFC2" s="15"/>
      <c r="TFD2" s="53" t="str">
        <f>[4]利润表!$P$2</f>
        <v>日  期：2012年9月15日</v>
      </c>
      <c r="TFE2" s="14"/>
      <c r="TFF2" s="15"/>
      <c r="TFG2" s="16"/>
      <c r="TFH2" s="15"/>
      <c r="TFI2" s="15"/>
      <c r="TFJ2" s="15"/>
      <c r="TFK2" s="15"/>
      <c r="TFL2" s="15"/>
      <c r="TFM2" s="6"/>
      <c r="TFN2" s="6"/>
      <c r="TFO2" s="6"/>
      <c r="TFP2" s="15"/>
      <c r="TFQ2" s="15"/>
      <c r="TFR2" s="6"/>
      <c r="TFS2" s="15"/>
      <c r="TFT2" s="53" t="str">
        <f>[4]利润表!$P$2</f>
        <v>日  期：2012年9月15日</v>
      </c>
      <c r="TFU2" s="14"/>
      <c r="TFV2" s="15"/>
      <c r="TFW2" s="16"/>
      <c r="TFX2" s="15"/>
      <c r="TFY2" s="15"/>
      <c r="TFZ2" s="15"/>
      <c r="TGA2" s="15"/>
      <c r="TGB2" s="15"/>
      <c r="TGC2" s="6"/>
      <c r="TGD2" s="6"/>
      <c r="TGE2" s="6"/>
      <c r="TGF2" s="15"/>
      <c r="TGG2" s="15"/>
      <c r="TGH2" s="6"/>
      <c r="TGI2" s="15"/>
      <c r="TGJ2" s="53" t="str">
        <f>[4]利润表!$P$2</f>
        <v>日  期：2012年9月15日</v>
      </c>
      <c r="TGK2" s="14"/>
      <c r="TGL2" s="15"/>
      <c r="TGM2" s="16"/>
      <c r="TGN2" s="15"/>
      <c r="TGO2" s="15"/>
      <c r="TGP2" s="15"/>
      <c r="TGQ2" s="15"/>
      <c r="TGR2" s="15"/>
      <c r="TGS2" s="6"/>
      <c r="TGT2" s="6"/>
      <c r="TGU2" s="6"/>
      <c r="TGV2" s="15"/>
      <c r="TGW2" s="15"/>
      <c r="TGX2" s="6"/>
      <c r="TGY2" s="15"/>
      <c r="TGZ2" s="53" t="str">
        <f>[4]利润表!$P$2</f>
        <v>日  期：2012年9月15日</v>
      </c>
      <c r="THA2" s="14"/>
      <c r="THB2" s="15"/>
      <c r="THC2" s="16"/>
      <c r="THD2" s="15"/>
      <c r="THE2" s="15"/>
      <c r="THF2" s="15"/>
      <c r="THG2" s="15"/>
      <c r="THH2" s="15"/>
      <c r="THI2" s="6"/>
      <c r="THJ2" s="6"/>
      <c r="THK2" s="6"/>
      <c r="THL2" s="15"/>
      <c r="THM2" s="15"/>
      <c r="THN2" s="6"/>
      <c r="THO2" s="15"/>
      <c r="THP2" s="53" t="str">
        <f>[4]利润表!$P$2</f>
        <v>日  期：2012年9月15日</v>
      </c>
      <c r="THQ2" s="14"/>
      <c r="THR2" s="15"/>
      <c r="THS2" s="16"/>
      <c r="THT2" s="15"/>
      <c r="THU2" s="15"/>
      <c r="THV2" s="15"/>
      <c r="THW2" s="15"/>
      <c r="THX2" s="15"/>
      <c r="THY2" s="6"/>
      <c r="THZ2" s="6"/>
      <c r="TIA2" s="6"/>
      <c r="TIB2" s="15"/>
      <c r="TIC2" s="15"/>
      <c r="TID2" s="6"/>
      <c r="TIE2" s="15"/>
      <c r="TIF2" s="53" t="str">
        <f>[4]利润表!$P$2</f>
        <v>日  期：2012年9月15日</v>
      </c>
      <c r="TIG2" s="14"/>
      <c r="TIH2" s="15"/>
      <c r="TII2" s="16"/>
      <c r="TIJ2" s="15"/>
      <c r="TIK2" s="15"/>
      <c r="TIL2" s="15"/>
      <c r="TIM2" s="15"/>
      <c r="TIN2" s="15"/>
      <c r="TIO2" s="6"/>
      <c r="TIP2" s="6"/>
      <c r="TIQ2" s="6"/>
      <c r="TIR2" s="15"/>
      <c r="TIS2" s="15"/>
      <c r="TIT2" s="6"/>
      <c r="TIU2" s="15"/>
      <c r="TIV2" s="53" t="str">
        <f>[4]利润表!$P$2</f>
        <v>日  期：2012年9月15日</v>
      </c>
      <c r="TIW2" s="14"/>
      <c r="TIX2" s="15"/>
      <c r="TIY2" s="16"/>
      <c r="TIZ2" s="15"/>
      <c r="TJA2" s="15"/>
      <c r="TJB2" s="15"/>
      <c r="TJC2" s="15"/>
      <c r="TJD2" s="15"/>
      <c r="TJE2" s="6"/>
      <c r="TJF2" s="6"/>
      <c r="TJG2" s="6"/>
      <c r="TJH2" s="15"/>
      <c r="TJI2" s="15"/>
      <c r="TJJ2" s="6"/>
      <c r="TJK2" s="15"/>
      <c r="TJL2" s="53" t="str">
        <f>[4]利润表!$P$2</f>
        <v>日  期：2012年9月15日</v>
      </c>
      <c r="TJM2" s="14"/>
      <c r="TJN2" s="15"/>
      <c r="TJO2" s="16"/>
      <c r="TJP2" s="15"/>
      <c r="TJQ2" s="15"/>
      <c r="TJR2" s="15"/>
      <c r="TJS2" s="15"/>
      <c r="TJT2" s="15"/>
      <c r="TJU2" s="6"/>
      <c r="TJV2" s="6"/>
      <c r="TJW2" s="6"/>
      <c r="TJX2" s="15"/>
      <c r="TJY2" s="15"/>
      <c r="TJZ2" s="6"/>
      <c r="TKA2" s="15"/>
      <c r="TKB2" s="53" t="str">
        <f>[4]利润表!$P$2</f>
        <v>日  期：2012年9月15日</v>
      </c>
      <c r="TKC2" s="14"/>
      <c r="TKD2" s="15"/>
      <c r="TKE2" s="16"/>
      <c r="TKF2" s="15"/>
      <c r="TKG2" s="15"/>
      <c r="TKH2" s="15"/>
      <c r="TKI2" s="15"/>
      <c r="TKJ2" s="15"/>
      <c r="TKK2" s="6"/>
      <c r="TKL2" s="6"/>
      <c r="TKM2" s="6"/>
      <c r="TKN2" s="15"/>
      <c r="TKO2" s="15"/>
      <c r="TKP2" s="6"/>
      <c r="TKQ2" s="15"/>
      <c r="TKR2" s="53" t="str">
        <f>[4]利润表!$P$2</f>
        <v>日  期：2012年9月15日</v>
      </c>
      <c r="TKS2" s="14"/>
      <c r="TKT2" s="15"/>
      <c r="TKU2" s="16"/>
      <c r="TKV2" s="15"/>
      <c r="TKW2" s="15"/>
      <c r="TKX2" s="15"/>
      <c r="TKY2" s="15"/>
      <c r="TKZ2" s="15"/>
      <c r="TLA2" s="6"/>
      <c r="TLB2" s="6"/>
      <c r="TLC2" s="6"/>
      <c r="TLD2" s="15"/>
      <c r="TLE2" s="15"/>
      <c r="TLF2" s="6"/>
      <c r="TLG2" s="15"/>
      <c r="TLH2" s="53" t="str">
        <f>[4]利润表!$P$2</f>
        <v>日  期：2012年9月15日</v>
      </c>
      <c r="TLI2" s="14"/>
      <c r="TLJ2" s="15"/>
      <c r="TLK2" s="16"/>
      <c r="TLL2" s="15"/>
      <c r="TLM2" s="15"/>
      <c r="TLN2" s="15"/>
      <c r="TLO2" s="15"/>
      <c r="TLP2" s="15"/>
      <c r="TLQ2" s="6"/>
      <c r="TLR2" s="6"/>
      <c r="TLS2" s="6"/>
      <c r="TLT2" s="15"/>
      <c r="TLU2" s="15"/>
      <c r="TLV2" s="6"/>
      <c r="TLW2" s="15"/>
      <c r="TLX2" s="53" t="str">
        <f>[4]利润表!$P$2</f>
        <v>日  期：2012年9月15日</v>
      </c>
      <c r="TLY2" s="14"/>
      <c r="TLZ2" s="15"/>
      <c r="TMA2" s="16"/>
      <c r="TMB2" s="15"/>
      <c r="TMC2" s="15"/>
      <c r="TMD2" s="15"/>
      <c r="TME2" s="15"/>
      <c r="TMF2" s="15"/>
      <c r="TMG2" s="6"/>
      <c r="TMH2" s="6"/>
      <c r="TMI2" s="6"/>
      <c r="TMJ2" s="15"/>
      <c r="TMK2" s="15"/>
      <c r="TML2" s="6"/>
      <c r="TMM2" s="15"/>
      <c r="TMN2" s="53" t="str">
        <f>[4]利润表!$P$2</f>
        <v>日  期：2012年9月15日</v>
      </c>
      <c r="TMO2" s="14"/>
      <c r="TMP2" s="15"/>
      <c r="TMQ2" s="16"/>
      <c r="TMR2" s="15"/>
      <c r="TMS2" s="15"/>
      <c r="TMT2" s="15"/>
      <c r="TMU2" s="15"/>
      <c r="TMV2" s="15"/>
      <c r="TMW2" s="6"/>
      <c r="TMX2" s="6"/>
      <c r="TMY2" s="6"/>
      <c r="TMZ2" s="15"/>
      <c r="TNA2" s="15"/>
      <c r="TNB2" s="6"/>
      <c r="TNC2" s="15"/>
      <c r="TND2" s="53" t="str">
        <f>[4]利润表!$P$2</f>
        <v>日  期：2012年9月15日</v>
      </c>
      <c r="TNE2" s="14"/>
      <c r="TNF2" s="15"/>
      <c r="TNG2" s="16"/>
      <c r="TNH2" s="15"/>
      <c r="TNI2" s="15"/>
      <c r="TNJ2" s="15"/>
      <c r="TNK2" s="15"/>
      <c r="TNL2" s="15"/>
      <c r="TNM2" s="6"/>
      <c r="TNN2" s="6"/>
      <c r="TNO2" s="6"/>
      <c r="TNP2" s="15"/>
      <c r="TNQ2" s="15"/>
      <c r="TNR2" s="6"/>
      <c r="TNS2" s="15"/>
      <c r="TNT2" s="53" t="str">
        <f>[4]利润表!$P$2</f>
        <v>日  期：2012年9月15日</v>
      </c>
      <c r="TNU2" s="14"/>
      <c r="TNV2" s="15"/>
      <c r="TNW2" s="16"/>
      <c r="TNX2" s="15"/>
      <c r="TNY2" s="15"/>
      <c r="TNZ2" s="15"/>
      <c r="TOA2" s="15"/>
      <c r="TOB2" s="15"/>
      <c r="TOC2" s="6"/>
      <c r="TOD2" s="6"/>
      <c r="TOE2" s="6"/>
      <c r="TOF2" s="15"/>
      <c r="TOG2" s="15"/>
      <c r="TOH2" s="6"/>
      <c r="TOI2" s="15"/>
      <c r="TOJ2" s="53" t="str">
        <f>[4]利润表!$P$2</f>
        <v>日  期：2012年9月15日</v>
      </c>
      <c r="TOK2" s="14"/>
      <c r="TOL2" s="15"/>
      <c r="TOM2" s="16"/>
      <c r="TON2" s="15"/>
      <c r="TOO2" s="15"/>
      <c r="TOP2" s="15"/>
      <c r="TOQ2" s="15"/>
      <c r="TOR2" s="15"/>
      <c r="TOS2" s="6"/>
      <c r="TOT2" s="6"/>
      <c r="TOU2" s="6"/>
      <c r="TOV2" s="15"/>
      <c r="TOW2" s="15"/>
      <c r="TOX2" s="6"/>
      <c r="TOY2" s="15"/>
      <c r="TOZ2" s="53" t="str">
        <f>[4]利润表!$P$2</f>
        <v>日  期：2012年9月15日</v>
      </c>
      <c r="TPA2" s="14"/>
      <c r="TPB2" s="15"/>
      <c r="TPC2" s="16"/>
      <c r="TPD2" s="15"/>
      <c r="TPE2" s="15"/>
      <c r="TPF2" s="15"/>
      <c r="TPG2" s="15"/>
      <c r="TPH2" s="15"/>
      <c r="TPI2" s="6"/>
      <c r="TPJ2" s="6"/>
      <c r="TPK2" s="6"/>
      <c r="TPL2" s="15"/>
      <c r="TPM2" s="15"/>
      <c r="TPN2" s="6"/>
      <c r="TPO2" s="15"/>
      <c r="TPP2" s="53" t="str">
        <f>[4]利润表!$P$2</f>
        <v>日  期：2012年9月15日</v>
      </c>
      <c r="TPQ2" s="14"/>
      <c r="TPR2" s="15"/>
      <c r="TPS2" s="16"/>
      <c r="TPT2" s="15"/>
      <c r="TPU2" s="15"/>
      <c r="TPV2" s="15"/>
      <c r="TPW2" s="15"/>
      <c r="TPX2" s="15"/>
      <c r="TPY2" s="6"/>
      <c r="TPZ2" s="6"/>
      <c r="TQA2" s="6"/>
      <c r="TQB2" s="15"/>
      <c r="TQC2" s="15"/>
      <c r="TQD2" s="6"/>
      <c r="TQE2" s="15"/>
      <c r="TQF2" s="53" t="str">
        <f>[4]利润表!$P$2</f>
        <v>日  期：2012年9月15日</v>
      </c>
      <c r="TQG2" s="14"/>
      <c r="TQH2" s="15"/>
      <c r="TQI2" s="16"/>
      <c r="TQJ2" s="15"/>
      <c r="TQK2" s="15"/>
      <c r="TQL2" s="15"/>
      <c r="TQM2" s="15"/>
      <c r="TQN2" s="15"/>
      <c r="TQO2" s="6"/>
      <c r="TQP2" s="6"/>
      <c r="TQQ2" s="6"/>
      <c r="TQR2" s="15"/>
      <c r="TQS2" s="15"/>
      <c r="TQT2" s="6"/>
      <c r="TQU2" s="15"/>
      <c r="TQV2" s="53" t="str">
        <f>[4]利润表!$P$2</f>
        <v>日  期：2012年9月15日</v>
      </c>
      <c r="TQW2" s="14"/>
      <c r="TQX2" s="15"/>
      <c r="TQY2" s="16"/>
      <c r="TQZ2" s="15"/>
      <c r="TRA2" s="15"/>
      <c r="TRB2" s="15"/>
      <c r="TRC2" s="15"/>
      <c r="TRD2" s="15"/>
      <c r="TRE2" s="6"/>
      <c r="TRF2" s="6"/>
      <c r="TRG2" s="6"/>
      <c r="TRH2" s="15"/>
      <c r="TRI2" s="15"/>
      <c r="TRJ2" s="6"/>
      <c r="TRK2" s="15"/>
      <c r="TRL2" s="53" t="str">
        <f>[4]利润表!$P$2</f>
        <v>日  期：2012年9月15日</v>
      </c>
      <c r="TRM2" s="14"/>
      <c r="TRN2" s="15"/>
      <c r="TRO2" s="16"/>
      <c r="TRP2" s="15"/>
      <c r="TRQ2" s="15"/>
      <c r="TRR2" s="15"/>
      <c r="TRS2" s="15"/>
      <c r="TRT2" s="15"/>
      <c r="TRU2" s="6"/>
      <c r="TRV2" s="6"/>
      <c r="TRW2" s="6"/>
      <c r="TRX2" s="15"/>
      <c r="TRY2" s="15"/>
      <c r="TRZ2" s="6"/>
      <c r="TSA2" s="15"/>
      <c r="TSB2" s="53" t="str">
        <f>[4]利润表!$P$2</f>
        <v>日  期：2012年9月15日</v>
      </c>
      <c r="TSC2" s="14"/>
      <c r="TSD2" s="15"/>
      <c r="TSE2" s="16"/>
      <c r="TSF2" s="15"/>
      <c r="TSG2" s="15"/>
      <c r="TSH2" s="15"/>
      <c r="TSI2" s="15"/>
      <c r="TSJ2" s="15"/>
      <c r="TSK2" s="6"/>
      <c r="TSL2" s="6"/>
      <c r="TSM2" s="6"/>
      <c r="TSN2" s="15"/>
      <c r="TSO2" s="15"/>
      <c r="TSP2" s="6"/>
      <c r="TSQ2" s="15"/>
      <c r="TSR2" s="53" t="str">
        <f>[4]利润表!$P$2</f>
        <v>日  期：2012年9月15日</v>
      </c>
      <c r="TSS2" s="14"/>
      <c r="TST2" s="15"/>
      <c r="TSU2" s="16"/>
      <c r="TSV2" s="15"/>
      <c r="TSW2" s="15"/>
      <c r="TSX2" s="15"/>
      <c r="TSY2" s="15"/>
      <c r="TSZ2" s="15"/>
      <c r="TTA2" s="6"/>
      <c r="TTB2" s="6"/>
      <c r="TTC2" s="6"/>
      <c r="TTD2" s="15"/>
      <c r="TTE2" s="15"/>
      <c r="TTF2" s="6"/>
      <c r="TTG2" s="15"/>
      <c r="TTH2" s="53" t="str">
        <f>[4]利润表!$P$2</f>
        <v>日  期：2012年9月15日</v>
      </c>
      <c r="TTI2" s="14"/>
      <c r="TTJ2" s="15"/>
      <c r="TTK2" s="16"/>
      <c r="TTL2" s="15"/>
      <c r="TTM2" s="15"/>
      <c r="TTN2" s="15"/>
      <c r="TTO2" s="15"/>
      <c r="TTP2" s="15"/>
      <c r="TTQ2" s="6"/>
      <c r="TTR2" s="6"/>
      <c r="TTS2" s="6"/>
      <c r="TTT2" s="15"/>
      <c r="TTU2" s="15"/>
      <c r="TTV2" s="6"/>
      <c r="TTW2" s="15"/>
      <c r="TTX2" s="53" t="str">
        <f>[4]利润表!$P$2</f>
        <v>日  期：2012年9月15日</v>
      </c>
      <c r="TTY2" s="14"/>
      <c r="TTZ2" s="15"/>
      <c r="TUA2" s="16"/>
      <c r="TUB2" s="15"/>
      <c r="TUC2" s="15"/>
      <c r="TUD2" s="15"/>
      <c r="TUE2" s="15"/>
      <c r="TUF2" s="15"/>
      <c r="TUG2" s="6"/>
      <c r="TUH2" s="6"/>
      <c r="TUI2" s="6"/>
      <c r="TUJ2" s="15"/>
      <c r="TUK2" s="15"/>
      <c r="TUL2" s="6"/>
      <c r="TUM2" s="15"/>
      <c r="TUN2" s="53" t="str">
        <f>[4]利润表!$P$2</f>
        <v>日  期：2012年9月15日</v>
      </c>
      <c r="TUO2" s="14"/>
      <c r="TUP2" s="15"/>
      <c r="TUQ2" s="16"/>
      <c r="TUR2" s="15"/>
      <c r="TUS2" s="15"/>
      <c r="TUT2" s="15"/>
      <c r="TUU2" s="15"/>
      <c r="TUV2" s="15"/>
      <c r="TUW2" s="6"/>
      <c r="TUX2" s="6"/>
      <c r="TUY2" s="6"/>
      <c r="TUZ2" s="15"/>
      <c r="TVA2" s="15"/>
      <c r="TVB2" s="6"/>
      <c r="TVC2" s="15"/>
      <c r="TVD2" s="53" t="str">
        <f>[4]利润表!$P$2</f>
        <v>日  期：2012年9月15日</v>
      </c>
      <c r="TVE2" s="14"/>
      <c r="TVF2" s="15"/>
      <c r="TVG2" s="16"/>
      <c r="TVH2" s="15"/>
      <c r="TVI2" s="15"/>
      <c r="TVJ2" s="15"/>
      <c r="TVK2" s="15"/>
      <c r="TVL2" s="15"/>
      <c r="TVM2" s="6"/>
      <c r="TVN2" s="6"/>
      <c r="TVO2" s="6"/>
      <c r="TVP2" s="15"/>
      <c r="TVQ2" s="15"/>
      <c r="TVR2" s="6"/>
      <c r="TVS2" s="15"/>
      <c r="TVT2" s="53" t="str">
        <f>[4]利润表!$P$2</f>
        <v>日  期：2012年9月15日</v>
      </c>
      <c r="TVU2" s="14"/>
      <c r="TVV2" s="15"/>
      <c r="TVW2" s="16"/>
      <c r="TVX2" s="15"/>
      <c r="TVY2" s="15"/>
      <c r="TVZ2" s="15"/>
      <c r="TWA2" s="15"/>
      <c r="TWB2" s="15"/>
      <c r="TWC2" s="6"/>
      <c r="TWD2" s="6"/>
      <c r="TWE2" s="6"/>
      <c r="TWF2" s="15"/>
      <c r="TWG2" s="15"/>
      <c r="TWH2" s="6"/>
      <c r="TWI2" s="15"/>
      <c r="TWJ2" s="53" t="str">
        <f>[4]利润表!$P$2</f>
        <v>日  期：2012年9月15日</v>
      </c>
      <c r="TWK2" s="14"/>
      <c r="TWL2" s="15"/>
      <c r="TWM2" s="16"/>
      <c r="TWN2" s="15"/>
      <c r="TWO2" s="15"/>
      <c r="TWP2" s="15"/>
      <c r="TWQ2" s="15"/>
      <c r="TWR2" s="15"/>
      <c r="TWS2" s="6"/>
      <c r="TWT2" s="6"/>
      <c r="TWU2" s="6"/>
      <c r="TWV2" s="15"/>
      <c r="TWW2" s="15"/>
      <c r="TWX2" s="6"/>
      <c r="TWY2" s="15"/>
      <c r="TWZ2" s="53" t="str">
        <f>[4]利润表!$P$2</f>
        <v>日  期：2012年9月15日</v>
      </c>
      <c r="TXA2" s="14"/>
      <c r="TXB2" s="15"/>
      <c r="TXC2" s="16"/>
      <c r="TXD2" s="15"/>
      <c r="TXE2" s="15"/>
      <c r="TXF2" s="15"/>
      <c r="TXG2" s="15"/>
      <c r="TXH2" s="15"/>
      <c r="TXI2" s="6"/>
      <c r="TXJ2" s="6"/>
      <c r="TXK2" s="6"/>
      <c r="TXL2" s="15"/>
      <c r="TXM2" s="15"/>
      <c r="TXN2" s="6"/>
      <c r="TXO2" s="15"/>
      <c r="TXP2" s="53" t="str">
        <f>[4]利润表!$P$2</f>
        <v>日  期：2012年9月15日</v>
      </c>
      <c r="TXQ2" s="14"/>
      <c r="TXR2" s="15"/>
      <c r="TXS2" s="16"/>
      <c r="TXT2" s="15"/>
      <c r="TXU2" s="15"/>
      <c r="TXV2" s="15"/>
      <c r="TXW2" s="15"/>
      <c r="TXX2" s="15"/>
      <c r="TXY2" s="6"/>
      <c r="TXZ2" s="6"/>
      <c r="TYA2" s="6"/>
      <c r="TYB2" s="15"/>
      <c r="TYC2" s="15"/>
      <c r="TYD2" s="6"/>
      <c r="TYE2" s="15"/>
      <c r="TYF2" s="53" t="str">
        <f>[4]利润表!$P$2</f>
        <v>日  期：2012年9月15日</v>
      </c>
      <c r="TYG2" s="14"/>
      <c r="TYH2" s="15"/>
      <c r="TYI2" s="16"/>
      <c r="TYJ2" s="15"/>
      <c r="TYK2" s="15"/>
      <c r="TYL2" s="15"/>
      <c r="TYM2" s="15"/>
      <c r="TYN2" s="15"/>
      <c r="TYO2" s="6"/>
      <c r="TYP2" s="6"/>
      <c r="TYQ2" s="6"/>
      <c r="TYR2" s="15"/>
      <c r="TYS2" s="15"/>
      <c r="TYT2" s="6"/>
      <c r="TYU2" s="15"/>
      <c r="TYV2" s="53" t="str">
        <f>[4]利润表!$P$2</f>
        <v>日  期：2012年9月15日</v>
      </c>
      <c r="TYW2" s="14"/>
      <c r="TYX2" s="15"/>
      <c r="TYY2" s="16"/>
      <c r="TYZ2" s="15"/>
      <c r="TZA2" s="15"/>
      <c r="TZB2" s="15"/>
      <c r="TZC2" s="15"/>
      <c r="TZD2" s="15"/>
      <c r="TZE2" s="6"/>
      <c r="TZF2" s="6"/>
      <c r="TZG2" s="6"/>
      <c r="TZH2" s="15"/>
      <c r="TZI2" s="15"/>
      <c r="TZJ2" s="6"/>
      <c r="TZK2" s="15"/>
      <c r="TZL2" s="53" t="str">
        <f>[4]利润表!$P$2</f>
        <v>日  期：2012年9月15日</v>
      </c>
      <c r="TZM2" s="14"/>
      <c r="TZN2" s="15"/>
      <c r="TZO2" s="16"/>
      <c r="TZP2" s="15"/>
      <c r="TZQ2" s="15"/>
      <c r="TZR2" s="15"/>
      <c r="TZS2" s="15"/>
      <c r="TZT2" s="15"/>
      <c r="TZU2" s="6"/>
      <c r="TZV2" s="6"/>
      <c r="TZW2" s="6"/>
      <c r="TZX2" s="15"/>
      <c r="TZY2" s="15"/>
      <c r="TZZ2" s="6"/>
      <c r="UAA2" s="15"/>
      <c r="UAB2" s="53" t="str">
        <f>[4]利润表!$P$2</f>
        <v>日  期：2012年9月15日</v>
      </c>
      <c r="UAC2" s="14"/>
      <c r="UAD2" s="15"/>
      <c r="UAE2" s="16"/>
      <c r="UAF2" s="15"/>
      <c r="UAG2" s="15"/>
      <c r="UAH2" s="15"/>
      <c r="UAI2" s="15"/>
      <c r="UAJ2" s="15"/>
      <c r="UAK2" s="6"/>
      <c r="UAL2" s="6"/>
      <c r="UAM2" s="6"/>
      <c r="UAN2" s="15"/>
      <c r="UAO2" s="15"/>
      <c r="UAP2" s="6"/>
      <c r="UAQ2" s="15"/>
      <c r="UAR2" s="53" t="str">
        <f>[4]利润表!$P$2</f>
        <v>日  期：2012年9月15日</v>
      </c>
      <c r="UAS2" s="14"/>
      <c r="UAT2" s="15"/>
      <c r="UAU2" s="16"/>
      <c r="UAV2" s="15"/>
      <c r="UAW2" s="15"/>
      <c r="UAX2" s="15"/>
      <c r="UAY2" s="15"/>
      <c r="UAZ2" s="15"/>
      <c r="UBA2" s="6"/>
      <c r="UBB2" s="6"/>
      <c r="UBC2" s="6"/>
      <c r="UBD2" s="15"/>
      <c r="UBE2" s="15"/>
      <c r="UBF2" s="6"/>
      <c r="UBG2" s="15"/>
      <c r="UBH2" s="53" t="str">
        <f>[4]利润表!$P$2</f>
        <v>日  期：2012年9月15日</v>
      </c>
      <c r="UBI2" s="14"/>
      <c r="UBJ2" s="15"/>
      <c r="UBK2" s="16"/>
      <c r="UBL2" s="15"/>
      <c r="UBM2" s="15"/>
      <c r="UBN2" s="15"/>
      <c r="UBO2" s="15"/>
      <c r="UBP2" s="15"/>
      <c r="UBQ2" s="6"/>
      <c r="UBR2" s="6"/>
      <c r="UBS2" s="6"/>
      <c r="UBT2" s="15"/>
      <c r="UBU2" s="15"/>
      <c r="UBV2" s="6"/>
      <c r="UBW2" s="15"/>
      <c r="UBX2" s="53" t="str">
        <f>[4]利润表!$P$2</f>
        <v>日  期：2012年9月15日</v>
      </c>
      <c r="UBY2" s="14"/>
      <c r="UBZ2" s="15"/>
      <c r="UCA2" s="16"/>
      <c r="UCB2" s="15"/>
      <c r="UCC2" s="15"/>
      <c r="UCD2" s="15"/>
      <c r="UCE2" s="15"/>
      <c r="UCF2" s="15"/>
      <c r="UCG2" s="6"/>
      <c r="UCH2" s="6"/>
      <c r="UCI2" s="6"/>
      <c r="UCJ2" s="15"/>
      <c r="UCK2" s="15"/>
      <c r="UCL2" s="6"/>
      <c r="UCM2" s="15"/>
      <c r="UCN2" s="53" t="str">
        <f>[4]利润表!$P$2</f>
        <v>日  期：2012年9月15日</v>
      </c>
      <c r="UCO2" s="14"/>
      <c r="UCP2" s="15"/>
      <c r="UCQ2" s="16"/>
      <c r="UCR2" s="15"/>
      <c r="UCS2" s="15"/>
      <c r="UCT2" s="15"/>
      <c r="UCU2" s="15"/>
      <c r="UCV2" s="15"/>
      <c r="UCW2" s="6"/>
      <c r="UCX2" s="6"/>
      <c r="UCY2" s="6"/>
      <c r="UCZ2" s="15"/>
      <c r="UDA2" s="15"/>
      <c r="UDB2" s="6"/>
      <c r="UDC2" s="15"/>
      <c r="UDD2" s="53" t="str">
        <f>[4]利润表!$P$2</f>
        <v>日  期：2012年9月15日</v>
      </c>
      <c r="UDE2" s="14"/>
      <c r="UDF2" s="15"/>
      <c r="UDG2" s="16"/>
      <c r="UDH2" s="15"/>
      <c r="UDI2" s="15"/>
      <c r="UDJ2" s="15"/>
      <c r="UDK2" s="15"/>
      <c r="UDL2" s="15"/>
      <c r="UDM2" s="6"/>
      <c r="UDN2" s="6"/>
      <c r="UDO2" s="6"/>
      <c r="UDP2" s="15"/>
      <c r="UDQ2" s="15"/>
      <c r="UDR2" s="6"/>
      <c r="UDS2" s="15"/>
      <c r="UDT2" s="53" t="str">
        <f>[4]利润表!$P$2</f>
        <v>日  期：2012年9月15日</v>
      </c>
      <c r="UDU2" s="14"/>
      <c r="UDV2" s="15"/>
      <c r="UDW2" s="16"/>
      <c r="UDX2" s="15"/>
      <c r="UDY2" s="15"/>
      <c r="UDZ2" s="15"/>
      <c r="UEA2" s="15"/>
      <c r="UEB2" s="15"/>
      <c r="UEC2" s="6"/>
      <c r="UED2" s="6"/>
      <c r="UEE2" s="6"/>
      <c r="UEF2" s="15"/>
      <c r="UEG2" s="15"/>
      <c r="UEH2" s="6"/>
      <c r="UEI2" s="15"/>
      <c r="UEJ2" s="53" t="str">
        <f>[4]利润表!$P$2</f>
        <v>日  期：2012年9月15日</v>
      </c>
      <c r="UEK2" s="14"/>
      <c r="UEL2" s="15"/>
      <c r="UEM2" s="16"/>
      <c r="UEN2" s="15"/>
      <c r="UEO2" s="15"/>
      <c r="UEP2" s="15"/>
      <c r="UEQ2" s="15"/>
      <c r="UER2" s="15"/>
      <c r="UES2" s="6"/>
      <c r="UET2" s="6"/>
      <c r="UEU2" s="6"/>
      <c r="UEV2" s="15"/>
      <c r="UEW2" s="15"/>
      <c r="UEX2" s="6"/>
      <c r="UEY2" s="15"/>
      <c r="UEZ2" s="53" t="str">
        <f>[4]利润表!$P$2</f>
        <v>日  期：2012年9月15日</v>
      </c>
      <c r="UFA2" s="14"/>
      <c r="UFB2" s="15"/>
      <c r="UFC2" s="16"/>
      <c r="UFD2" s="15"/>
      <c r="UFE2" s="15"/>
      <c r="UFF2" s="15"/>
      <c r="UFG2" s="15"/>
      <c r="UFH2" s="15"/>
      <c r="UFI2" s="6"/>
      <c r="UFJ2" s="6"/>
      <c r="UFK2" s="6"/>
      <c r="UFL2" s="15"/>
      <c r="UFM2" s="15"/>
      <c r="UFN2" s="6"/>
      <c r="UFO2" s="15"/>
      <c r="UFP2" s="53" t="str">
        <f>[4]利润表!$P$2</f>
        <v>日  期：2012年9月15日</v>
      </c>
      <c r="UFQ2" s="14"/>
      <c r="UFR2" s="15"/>
      <c r="UFS2" s="16"/>
      <c r="UFT2" s="15"/>
      <c r="UFU2" s="15"/>
      <c r="UFV2" s="15"/>
      <c r="UFW2" s="15"/>
      <c r="UFX2" s="15"/>
      <c r="UFY2" s="6"/>
      <c r="UFZ2" s="6"/>
      <c r="UGA2" s="6"/>
      <c r="UGB2" s="15"/>
      <c r="UGC2" s="15"/>
      <c r="UGD2" s="6"/>
      <c r="UGE2" s="15"/>
      <c r="UGF2" s="53" t="str">
        <f>[4]利润表!$P$2</f>
        <v>日  期：2012年9月15日</v>
      </c>
      <c r="UGG2" s="14"/>
      <c r="UGH2" s="15"/>
      <c r="UGI2" s="16"/>
      <c r="UGJ2" s="15"/>
      <c r="UGK2" s="15"/>
      <c r="UGL2" s="15"/>
      <c r="UGM2" s="15"/>
      <c r="UGN2" s="15"/>
      <c r="UGO2" s="6"/>
      <c r="UGP2" s="6"/>
      <c r="UGQ2" s="6"/>
      <c r="UGR2" s="15"/>
      <c r="UGS2" s="15"/>
      <c r="UGT2" s="6"/>
      <c r="UGU2" s="15"/>
      <c r="UGV2" s="53" t="str">
        <f>[4]利润表!$P$2</f>
        <v>日  期：2012年9月15日</v>
      </c>
      <c r="UGW2" s="14"/>
      <c r="UGX2" s="15"/>
      <c r="UGY2" s="16"/>
      <c r="UGZ2" s="15"/>
      <c r="UHA2" s="15"/>
      <c r="UHB2" s="15"/>
      <c r="UHC2" s="15"/>
      <c r="UHD2" s="15"/>
      <c r="UHE2" s="6"/>
      <c r="UHF2" s="6"/>
      <c r="UHG2" s="6"/>
      <c r="UHH2" s="15"/>
      <c r="UHI2" s="15"/>
      <c r="UHJ2" s="6"/>
      <c r="UHK2" s="15"/>
      <c r="UHL2" s="53" t="str">
        <f>[4]利润表!$P$2</f>
        <v>日  期：2012年9月15日</v>
      </c>
      <c r="UHM2" s="14"/>
      <c r="UHN2" s="15"/>
      <c r="UHO2" s="16"/>
      <c r="UHP2" s="15"/>
      <c r="UHQ2" s="15"/>
      <c r="UHR2" s="15"/>
      <c r="UHS2" s="15"/>
      <c r="UHT2" s="15"/>
      <c r="UHU2" s="6"/>
      <c r="UHV2" s="6"/>
      <c r="UHW2" s="6"/>
      <c r="UHX2" s="15"/>
      <c r="UHY2" s="15"/>
      <c r="UHZ2" s="6"/>
      <c r="UIA2" s="15"/>
      <c r="UIB2" s="53" t="str">
        <f>[4]利润表!$P$2</f>
        <v>日  期：2012年9月15日</v>
      </c>
      <c r="UIC2" s="14"/>
      <c r="UID2" s="15"/>
      <c r="UIE2" s="16"/>
      <c r="UIF2" s="15"/>
      <c r="UIG2" s="15"/>
      <c r="UIH2" s="15"/>
      <c r="UII2" s="15"/>
      <c r="UIJ2" s="15"/>
      <c r="UIK2" s="6"/>
      <c r="UIL2" s="6"/>
      <c r="UIM2" s="6"/>
      <c r="UIN2" s="15"/>
      <c r="UIO2" s="15"/>
      <c r="UIP2" s="6"/>
      <c r="UIQ2" s="15"/>
      <c r="UIR2" s="53" t="str">
        <f>[4]利润表!$P$2</f>
        <v>日  期：2012年9月15日</v>
      </c>
      <c r="UIS2" s="14"/>
      <c r="UIT2" s="15"/>
      <c r="UIU2" s="16"/>
      <c r="UIV2" s="15"/>
      <c r="UIW2" s="15"/>
      <c r="UIX2" s="15"/>
      <c r="UIY2" s="15"/>
      <c r="UIZ2" s="15"/>
      <c r="UJA2" s="6"/>
      <c r="UJB2" s="6"/>
      <c r="UJC2" s="6"/>
      <c r="UJD2" s="15"/>
      <c r="UJE2" s="15"/>
      <c r="UJF2" s="6"/>
      <c r="UJG2" s="15"/>
      <c r="UJH2" s="53" t="str">
        <f>[4]利润表!$P$2</f>
        <v>日  期：2012年9月15日</v>
      </c>
      <c r="UJI2" s="14"/>
      <c r="UJJ2" s="15"/>
      <c r="UJK2" s="16"/>
      <c r="UJL2" s="15"/>
      <c r="UJM2" s="15"/>
      <c r="UJN2" s="15"/>
      <c r="UJO2" s="15"/>
      <c r="UJP2" s="15"/>
      <c r="UJQ2" s="6"/>
      <c r="UJR2" s="6"/>
      <c r="UJS2" s="6"/>
      <c r="UJT2" s="15"/>
      <c r="UJU2" s="15"/>
      <c r="UJV2" s="6"/>
      <c r="UJW2" s="15"/>
      <c r="UJX2" s="53" t="str">
        <f>[4]利润表!$P$2</f>
        <v>日  期：2012年9月15日</v>
      </c>
      <c r="UJY2" s="14"/>
      <c r="UJZ2" s="15"/>
      <c r="UKA2" s="16"/>
      <c r="UKB2" s="15"/>
      <c r="UKC2" s="15"/>
      <c r="UKD2" s="15"/>
      <c r="UKE2" s="15"/>
      <c r="UKF2" s="15"/>
      <c r="UKG2" s="6"/>
      <c r="UKH2" s="6"/>
      <c r="UKI2" s="6"/>
      <c r="UKJ2" s="15"/>
      <c r="UKK2" s="15"/>
      <c r="UKL2" s="6"/>
      <c r="UKM2" s="15"/>
      <c r="UKN2" s="53" t="str">
        <f>[4]利润表!$P$2</f>
        <v>日  期：2012年9月15日</v>
      </c>
      <c r="UKO2" s="14"/>
      <c r="UKP2" s="15"/>
      <c r="UKQ2" s="16"/>
      <c r="UKR2" s="15"/>
      <c r="UKS2" s="15"/>
      <c r="UKT2" s="15"/>
      <c r="UKU2" s="15"/>
      <c r="UKV2" s="15"/>
      <c r="UKW2" s="6"/>
      <c r="UKX2" s="6"/>
      <c r="UKY2" s="6"/>
      <c r="UKZ2" s="15"/>
      <c r="ULA2" s="15"/>
      <c r="ULB2" s="6"/>
      <c r="ULC2" s="15"/>
      <c r="ULD2" s="53" t="str">
        <f>[4]利润表!$P$2</f>
        <v>日  期：2012年9月15日</v>
      </c>
      <c r="ULE2" s="14"/>
      <c r="ULF2" s="15"/>
      <c r="ULG2" s="16"/>
      <c r="ULH2" s="15"/>
      <c r="ULI2" s="15"/>
      <c r="ULJ2" s="15"/>
      <c r="ULK2" s="15"/>
      <c r="ULL2" s="15"/>
      <c r="ULM2" s="6"/>
      <c r="ULN2" s="6"/>
      <c r="ULO2" s="6"/>
      <c r="ULP2" s="15"/>
      <c r="ULQ2" s="15"/>
      <c r="ULR2" s="6"/>
      <c r="ULS2" s="15"/>
      <c r="ULT2" s="53" t="str">
        <f>[4]利润表!$P$2</f>
        <v>日  期：2012年9月15日</v>
      </c>
      <c r="ULU2" s="14"/>
      <c r="ULV2" s="15"/>
      <c r="ULW2" s="16"/>
      <c r="ULX2" s="15"/>
      <c r="ULY2" s="15"/>
      <c r="ULZ2" s="15"/>
      <c r="UMA2" s="15"/>
      <c r="UMB2" s="15"/>
      <c r="UMC2" s="6"/>
      <c r="UMD2" s="6"/>
      <c r="UME2" s="6"/>
      <c r="UMF2" s="15"/>
      <c r="UMG2" s="15"/>
      <c r="UMH2" s="6"/>
      <c r="UMI2" s="15"/>
      <c r="UMJ2" s="53" t="str">
        <f>[4]利润表!$P$2</f>
        <v>日  期：2012年9月15日</v>
      </c>
      <c r="UMK2" s="14"/>
      <c r="UML2" s="15"/>
      <c r="UMM2" s="16"/>
      <c r="UMN2" s="15"/>
      <c r="UMO2" s="15"/>
      <c r="UMP2" s="15"/>
      <c r="UMQ2" s="15"/>
      <c r="UMR2" s="15"/>
      <c r="UMS2" s="6"/>
      <c r="UMT2" s="6"/>
      <c r="UMU2" s="6"/>
      <c r="UMV2" s="15"/>
      <c r="UMW2" s="15"/>
      <c r="UMX2" s="6"/>
      <c r="UMY2" s="15"/>
      <c r="UMZ2" s="53" t="str">
        <f>[4]利润表!$P$2</f>
        <v>日  期：2012年9月15日</v>
      </c>
      <c r="UNA2" s="14"/>
      <c r="UNB2" s="15"/>
      <c r="UNC2" s="16"/>
      <c r="UND2" s="15"/>
      <c r="UNE2" s="15"/>
      <c r="UNF2" s="15"/>
      <c r="UNG2" s="15"/>
      <c r="UNH2" s="15"/>
      <c r="UNI2" s="6"/>
      <c r="UNJ2" s="6"/>
      <c r="UNK2" s="6"/>
      <c r="UNL2" s="15"/>
      <c r="UNM2" s="15"/>
      <c r="UNN2" s="6"/>
      <c r="UNO2" s="15"/>
      <c r="UNP2" s="53" t="str">
        <f>[4]利润表!$P$2</f>
        <v>日  期：2012年9月15日</v>
      </c>
      <c r="UNQ2" s="14"/>
      <c r="UNR2" s="15"/>
      <c r="UNS2" s="16"/>
      <c r="UNT2" s="15"/>
      <c r="UNU2" s="15"/>
      <c r="UNV2" s="15"/>
      <c r="UNW2" s="15"/>
      <c r="UNX2" s="15"/>
      <c r="UNY2" s="6"/>
      <c r="UNZ2" s="6"/>
      <c r="UOA2" s="6"/>
      <c r="UOB2" s="15"/>
      <c r="UOC2" s="15"/>
      <c r="UOD2" s="6"/>
      <c r="UOE2" s="15"/>
      <c r="UOF2" s="53" t="str">
        <f>[4]利润表!$P$2</f>
        <v>日  期：2012年9月15日</v>
      </c>
      <c r="UOG2" s="14"/>
      <c r="UOH2" s="15"/>
      <c r="UOI2" s="16"/>
      <c r="UOJ2" s="15"/>
      <c r="UOK2" s="15"/>
      <c r="UOL2" s="15"/>
      <c r="UOM2" s="15"/>
      <c r="UON2" s="15"/>
      <c r="UOO2" s="6"/>
      <c r="UOP2" s="6"/>
      <c r="UOQ2" s="6"/>
      <c r="UOR2" s="15"/>
      <c r="UOS2" s="15"/>
      <c r="UOT2" s="6"/>
      <c r="UOU2" s="15"/>
      <c r="UOV2" s="53" t="str">
        <f>[4]利润表!$P$2</f>
        <v>日  期：2012年9月15日</v>
      </c>
      <c r="UOW2" s="14"/>
      <c r="UOX2" s="15"/>
      <c r="UOY2" s="16"/>
      <c r="UOZ2" s="15"/>
      <c r="UPA2" s="15"/>
      <c r="UPB2" s="15"/>
      <c r="UPC2" s="15"/>
      <c r="UPD2" s="15"/>
      <c r="UPE2" s="6"/>
      <c r="UPF2" s="6"/>
      <c r="UPG2" s="6"/>
      <c r="UPH2" s="15"/>
      <c r="UPI2" s="15"/>
      <c r="UPJ2" s="6"/>
      <c r="UPK2" s="15"/>
      <c r="UPL2" s="53" t="str">
        <f>[4]利润表!$P$2</f>
        <v>日  期：2012年9月15日</v>
      </c>
      <c r="UPM2" s="14"/>
      <c r="UPN2" s="15"/>
      <c r="UPO2" s="16"/>
      <c r="UPP2" s="15"/>
      <c r="UPQ2" s="15"/>
      <c r="UPR2" s="15"/>
      <c r="UPS2" s="15"/>
      <c r="UPT2" s="15"/>
      <c r="UPU2" s="6"/>
      <c r="UPV2" s="6"/>
      <c r="UPW2" s="6"/>
      <c r="UPX2" s="15"/>
      <c r="UPY2" s="15"/>
      <c r="UPZ2" s="6"/>
      <c r="UQA2" s="15"/>
      <c r="UQB2" s="53" t="str">
        <f>[4]利润表!$P$2</f>
        <v>日  期：2012年9月15日</v>
      </c>
      <c r="UQC2" s="14"/>
      <c r="UQD2" s="15"/>
      <c r="UQE2" s="16"/>
      <c r="UQF2" s="15"/>
      <c r="UQG2" s="15"/>
      <c r="UQH2" s="15"/>
      <c r="UQI2" s="15"/>
      <c r="UQJ2" s="15"/>
      <c r="UQK2" s="6"/>
      <c r="UQL2" s="6"/>
      <c r="UQM2" s="6"/>
      <c r="UQN2" s="15"/>
      <c r="UQO2" s="15"/>
      <c r="UQP2" s="6"/>
      <c r="UQQ2" s="15"/>
      <c r="UQR2" s="53" t="str">
        <f>[4]利润表!$P$2</f>
        <v>日  期：2012年9月15日</v>
      </c>
      <c r="UQS2" s="14"/>
      <c r="UQT2" s="15"/>
      <c r="UQU2" s="16"/>
      <c r="UQV2" s="15"/>
      <c r="UQW2" s="15"/>
      <c r="UQX2" s="15"/>
      <c r="UQY2" s="15"/>
      <c r="UQZ2" s="15"/>
      <c r="URA2" s="6"/>
      <c r="URB2" s="6"/>
      <c r="URC2" s="6"/>
      <c r="URD2" s="15"/>
      <c r="URE2" s="15"/>
      <c r="URF2" s="6"/>
      <c r="URG2" s="15"/>
      <c r="URH2" s="53" t="str">
        <f>[4]利润表!$P$2</f>
        <v>日  期：2012年9月15日</v>
      </c>
      <c r="URI2" s="14"/>
      <c r="URJ2" s="15"/>
      <c r="URK2" s="16"/>
      <c r="URL2" s="15"/>
      <c r="URM2" s="15"/>
      <c r="URN2" s="15"/>
      <c r="URO2" s="15"/>
      <c r="URP2" s="15"/>
      <c r="URQ2" s="6"/>
      <c r="URR2" s="6"/>
      <c r="URS2" s="6"/>
      <c r="URT2" s="15"/>
      <c r="URU2" s="15"/>
      <c r="URV2" s="6"/>
      <c r="URW2" s="15"/>
      <c r="URX2" s="53" t="str">
        <f>[4]利润表!$P$2</f>
        <v>日  期：2012年9月15日</v>
      </c>
      <c r="URY2" s="14"/>
      <c r="URZ2" s="15"/>
      <c r="USA2" s="16"/>
      <c r="USB2" s="15"/>
      <c r="USC2" s="15"/>
      <c r="USD2" s="15"/>
      <c r="USE2" s="15"/>
      <c r="USF2" s="15"/>
      <c r="USG2" s="6"/>
      <c r="USH2" s="6"/>
      <c r="USI2" s="6"/>
      <c r="USJ2" s="15"/>
      <c r="USK2" s="15"/>
      <c r="USL2" s="6"/>
      <c r="USM2" s="15"/>
      <c r="USN2" s="53" t="str">
        <f>[4]利润表!$P$2</f>
        <v>日  期：2012年9月15日</v>
      </c>
      <c r="USO2" s="14"/>
      <c r="USP2" s="15"/>
      <c r="USQ2" s="16"/>
      <c r="USR2" s="15"/>
      <c r="USS2" s="15"/>
      <c r="UST2" s="15"/>
      <c r="USU2" s="15"/>
      <c r="USV2" s="15"/>
      <c r="USW2" s="6"/>
      <c r="USX2" s="6"/>
      <c r="USY2" s="6"/>
      <c r="USZ2" s="15"/>
      <c r="UTA2" s="15"/>
      <c r="UTB2" s="6"/>
      <c r="UTC2" s="15"/>
      <c r="UTD2" s="53" t="str">
        <f>[4]利润表!$P$2</f>
        <v>日  期：2012年9月15日</v>
      </c>
      <c r="UTE2" s="14"/>
      <c r="UTF2" s="15"/>
      <c r="UTG2" s="16"/>
      <c r="UTH2" s="15"/>
      <c r="UTI2" s="15"/>
      <c r="UTJ2" s="15"/>
      <c r="UTK2" s="15"/>
      <c r="UTL2" s="15"/>
      <c r="UTM2" s="6"/>
      <c r="UTN2" s="6"/>
      <c r="UTO2" s="6"/>
      <c r="UTP2" s="15"/>
      <c r="UTQ2" s="15"/>
      <c r="UTR2" s="6"/>
      <c r="UTS2" s="15"/>
      <c r="UTT2" s="53" t="str">
        <f>[4]利润表!$P$2</f>
        <v>日  期：2012年9月15日</v>
      </c>
      <c r="UTU2" s="14"/>
      <c r="UTV2" s="15"/>
      <c r="UTW2" s="16"/>
      <c r="UTX2" s="15"/>
      <c r="UTY2" s="15"/>
      <c r="UTZ2" s="15"/>
      <c r="UUA2" s="15"/>
      <c r="UUB2" s="15"/>
      <c r="UUC2" s="6"/>
      <c r="UUD2" s="6"/>
      <c r="UUE2" s="6"/>
      <c r="UUF2" s="15"/>
      <c r="UUG2" s="15"/>
      <c r="UUH2" s="6"/>
      <c r="UUI2" s="15"/>
      <c r="UUJ2" s="53" t="str">
        <f>[4]利润表!$P$2</f>
        <v>日  期：2012年9月15日</v>
      </c>
      <c r="UUK2" s="14"/>
      <c r="UUL2" s="15"/>
      <c r="UUM2" s="16"/>
      <c r="UUN2" s="15"/>
      <c r="UUO2" s="15"/>
      <c r="UUP2" s="15"/>
      <c r="UUQ2" s="15"/>
      <c r="UUR2" s="15"/>
      <c r="UUS2" s="6"/>
      <c r="UUT2" s="6"/>
      <c r="UUU2" s="6"/>
      <c r="UUV2" s="15"/>
      <c r="UUW2" s="15"/>
      <c r="UUX2" s="6"/>
      <c r="UUY2" s="15"/>
      <c r="UUZ2" s="53" t="str">
        <f>[4]利润表!$P$2</f>
        <v>日  期：2012年9月15日</v>
      </c>
      <c r="UVA2" s="14"/>
      <c r="UVB2" s="15"/>
      <c r="UVC2" s="16"/>
      <c r="UVD2" s="15"/>
      <c r="UVE2" s="15"/>
      <c r="UVF2" s="15"/>
      <c r="UVG2" s="15"/>
      <c r="UVH2" s="15"/>
      <c r="UVI2" s="6"/>
      <c r="UVJ2" s="6"/>
      <c r="UVK2" s="6"/>
      <c r="UVL2" s="15"/>
      <c r="UVM2" s="15"/>
      <c r="UVN2" s="6"/>
      <c r="UVO2" s="15"/>
      <c r="UVP2" s="53" t="str">
        <f>[4]利润表!$P$2</f>
        <v>日  期：2012年9月15日</v>
      </c>
      <c r="UVQ2" s="14"/>
      <c r="UVR2" s="15"/>
      <c r="UVS2" s="16"/>
      <c r="UVT2" s="15"/>
      <c r="UVU2" s="15"/>
      <c r="UVV2" s="15"/>
      <c r="UVW2" s="15"/>
      <c r="UVX2" s="15"/>
      <c r="UVY2" s="6"/>
      <c r="UVZ2" s="6"/>
      <c r="UWA2" s="6"/>
      <c r="UWB2" s="15"/>
      <c r="UWC2" s="15"/>
      <c r="UWD2" s="6"/>
      <c r="UWE2" s="15"/>
      <c r="UWF2" s="53" t="str">
        <f>[4]利润表!$P$2</f>
        <v>日  期：2012年9月15日</v>
      </c>
      <c r="UWG2" s="14"/>
      <c r="UWH2" s="15"/>
      <c r="UWI2" s="16"/>
      <c r="UWJ2" s="15"/>
      <c r="UWK2" s="15"/>
      <c r="UWL2" s="15"/>
      <c r="UWM2" s="15"/>
      <c r="UWN2" s="15"/>
      <c r="UWO2" s="6"/>
      <c r="UWP2" s="6"/>
      <c r="UWQ2" s="6"/>
      <c r="UWR2" s="15"/>
      <c r="UWS2" s="15"/>
      <c r="UWT2" s="6"/>
      <c r="UWU2" s="15"/>
      <c r="UWV2" s="53" t="str">
        <f>[4]利润表!$P$2</f>
        <v>日  期：2012年9月15日</v>
      </c>
      <c r="UWW2" s="14"/>
      <c r="UWX2" s="15"/>
      <c r="UWY2" s="16"/>
      <c r="UWZ2" s="15"/>
      <c r="UXA2" s="15"/>
      <c r="UXB2" s="15"/>
      <c r="UXC2" s="15"/>
      <c r="UXD2" s="15"/>
      <c r="UXE2" s="6"/>
      <c r="UXF2" s="6"/>
      <c r="UXG2" s="6"/>
      <c r="UXH2" s="15"/>
      <c r="UXI2" s="15"/>
      <c r="UXJ2" s="6"/>
      <c r="UXK2" s="15"/>
      <c r="UXL2" s="53" t="str">
        <f>[4]利润表!$P$2</f>
        <v>日  期：2012年9月15日</v>
      </c>
      <c r="UXM2" s="14"/>
      <c r="UXN2" s="15"/>
      <c r="UXO2" s="16"/>
      <c r="UXP2" s="15"/>
      <c r="UXQ2" s="15"/>
      <c r="UXR2" s="15"/>
      <c r="UXS2" s="15"/>
      <c r="UXT2" s="15"/>
      <c r="UXU2" s="6"/>
      <c r="UXV2" s="6"/>
      <c r="UXW2" s="6"/>
      <c r="UXX2" s="15"/>
      <c r="UXY2" s="15"/>
      <c r="UXZ2" s="6"/>
      <c r="UYA2" s="15"/>
      <c r="UYB2" s="53" t="str">
        <f>[4]利润表!$P$2</f>
        <v>日  期：2012年9月15日</v>
      </c>
      <c r="UYC2" s="14"/>
      <c r="UYD2" s="15"/>
      <c r="UYE2" s="16"/>
      <c r="UYF2" s="15"/>
      <c r="UYG2" s="15"/>
      <c r="UYH2" s="15"/>
      <c r="UYI2" s="15"/>
      <c r="UYJ2" s="15"/>
      <c r="UYK2" s="6"/>
      <c r="UYL2" s="6"/>
      <c r="UYM2" s="6"/>
      <c r="UYN2" s="15"/>
      <c r="UYO2" s="15"/>
      <c r="UYP2" s="6"/>
      <c r="UYQ2" s="15"/>
      <c r="UYR2" s="53" t="str">
        <f>[4]利润表!$P$2</f>
        <v>日  期：2012年9月15日</v>
      </c>
      <c r="UYS2" s="14"/>
      <c r="UYT2" s="15"/>
      <c r="UYU2" s="16"/>
      <c r="UYV2" s="15"/>
      <c r="UYW2" s="15"/>
      <c r="UYX2" s="15"/>
      <c r="UYY2" s="15"/>
      <c r="UYZ2" s="15"/>
      <c r="UZA2" s="6"/>
      <c r="UZB2" s="6"/>
      <c r="UZC2" s="6"/>
      <c r="UZD2" s="15"/>
      <c r="UZE2" s="15"/>
      <c r="UZF2" s="6"/>
      <c r="UZG2" s="15"/>
      <c r="UZH2" s="53" t="str">
        <f>[4]利润表!$P$2</f>
        <v>日  期：2012年9月15日</v>
      </c>
      <c r="UZI2" s="14"/>
      <c r="UZJ2" s="15"/>
      <c r="UZK2" s="16"/>
      <c r="UZL2" s="15"/>
      <c r="UZM2" s="15"/>
      <c r="UZN2" s="15"/>
      <c r="UZO2" s="15"/>
      <c r="UZP2" s="15"/>
      <c r="UZQ2" s="6"/>
      <c r="UZR2" s="6"/>
      <c r="UZS2" s="6"/>
      <c r="UZT2" s="15"/>
      <c r="UZU2" s="15"/>
      <c r="UZV2" s="6"/>
      <c r="UZW2" s="15"/>
      <c r="UZX2" s="53" t="str">
        <f>[4]利润表!$P$2</f>
        <v>日  期：2012年9月15日</v>
      </c>
      <c r="UZY2" s="14"/>
      <c r="UZZ2" s="15"/>
      <c r="VAA2" s="16"/>
      <c r="VAB2" s="15"/>
      <c r="VAC2" s="15"/>
      <c r="VAD2" s="15"/>
      <c r="VAE2" s="15"/>
      <c r="VAF2" s="15"/>
      <c r="VAG2" s="6"/>
      <c r="VAH2" s="6"/>
      <c r="VAI2" s="6"/>
      <c r="VAJ2" s="15"/>
      <c r="VAK2" s="15"/>
      <c r="VAL2" s="6"/>
      <c r="VAM2" s="15"/>
      <c r="VAN2" s="53" t="str">
        <f>[4]利润表!$P$2</f>
        <v>日  期：2012年9月15日</v>
      </c>
      <c r="VAO2" s="14"/>
      <c r="VAP2" s="15"/>
      <c r="VAQ2" s="16"/>
      <c r="VAR2" s="15"/>
      <c r="VAS2" s="15"/>
      <c r="VAT2" s="15"/>
      <c r="VAU2" s="15"/>
      <c r="VAV2" s="15"/>
      <c r="VAW2" s="6"/>
      <c r="VAX2" s="6"/>
      <c r="VAY2" s="6"/>
      <c r="VAZ2" s="15"/>
      <c r="VBA2" s="15"/>
      <c r="VBB2" s="6"/>
      <c r="VBC2" s="15"/>
      <c r="VBD2" s="53" t="str">
        <f>[4]利润表!$P$2</f>
        <v>日  期：2012年9月15日</v>
      </c>
      <c r="VBE2" s="14"/>
      <c r="VBF2" s="15"/>
      <c r="VBG2" s="16"/>
      <c r="VBH2" s="15"/>
      <c r="VBI2" s="15"/>
      <c r="VBJ2" s="15"/>
      <c r="VBK2" s="15"/>
      <c r="VBL2" s="15"/>
      <c r="VBM2" s="6"/>
      <c r="VBN2" s="6"/>
      <c r="VBO2" s="6"/>
      <c r="VBP2" s="15"/>
      <c r="VBQ2" s="15"/>
      <c r="VBR2" s="6"/>
      <c r="VBS2" s="15"/>
      <c r="VBT2" s="53" t="str">
        <f>[4]利润表!$P$2</f>
        <v>日  期：2012年9月15日</v>
      </c>
      <c r="VBU2" s="14"/>
      <c r="VBV2" s="15"/>
      <c r="VBW2" s="16"/>
      <c r="VBX2" s="15"/>
      <c r="VBY2" s="15"/>
      <c r="VBZ2" s="15"/>
      <c r="VCA2" s="15"/>
      <c r="VCB2" s="15"/>
      <c r="VCC2" s="6"/>
      <c r="VCD2" s="6"/>
      <c r="VCE2" s="6"/>
      <c r="VCF2" s="15"/>
      <c r="VCG2" s="15"/>
      <c r="VCH2" s="6"/>
      <c r="VCI2" s="15"/>
      <c r="VCJ2" s="53" t="str">
        <f>[4]利润表!$P$2</f>
        <v>日  期：2012年9月15日</v>
      </c>
      <c r="VCK2" s="14"/>
      <c r="VCL2" s="15"/>
      <c r="VCM2" s="16"/>
      <c r="VCN2" s="15"/>
      <c r="VCO2" s="15"/>
      <c r="VCP2" s="15"/>
      <c r="VCQ2" s="15"/>
      <c r="VCR2" s="15"/>
      <c r="VCS2" s="6"/>
      <c r="VCT2" s="6"/>
      <c r="VCU2" s="6"/>
      <c r="VCV2" s="15"/>
      <c r="VCW2" s="15"/>
      <c r="VCX2" s="6"/>
      <c r="VCY2" s="15"/>
      <c r="VCZ2" s="53" t="str">
        <f>[4]利润表!$P$2</f>
        <v>日  期：2012年9月15日</v>
      </c>
      <c r="VDA2" s="14"/>
      <c r="VDB2" s="15"/>
      <c r="VDC2" s="16"/>
      <c r="VDD2" s="15"/>
      <c r="VDE2" s="15"/>
      <c r="VDF2" s="15"/>
      <c r="VDG2" s="15"/>
      <c r="VDH2" s="15"/>
      <c r="VDI2" s="6"/>
      <c r="VDJ2" s="6"/>
      <c r="VDK2" s="6"/>
      <c r="VDL2" s="15"/>
      <c r="VDM2" s="15"/>
      <c r="VDN2" s="6"/>
      <c r="VDO2" s="15"/>
      <c r="VDP2" s="53" t="str">
        <f>[4]利润表!$P$2</f>
        <v>日  期：2012年9月15日</v>
      </c>
      <c r="VDQ2" s="14"/>
      <c r="VDR2" s="15"/>
      <c r="VDS2" s="16"/>
      <c r="VDT2" s="15"/>
      <c r="VDU2" s="15"/>
      <c r="VDV2" s="15"/>
      <c r="VDW2" s="15"/>
      <c r="VDX2" s="15"/>
      <c r="VDY2" s="6"/>
      <c r="VDZ2" s="6"/>
      <c r="VEA2" s="6"/>
      <c r="VEB2" s="15"/>
      <c r="VEC2" s="15"/>
      <c r="VED2" s="6"/>
      <c r="VEE2" s="15"/>
      <c r="VEF2" s="53" t="str">
        <f>[4]利润表!$P$2</f>
        <v>日  期：2012年9月15日</v>
      </c>
      <c r="VEG2" s="14"/>
      <c r="VEH2" s="15"/>
      <c r="VEI2" s="16"/>
      <c r="VEJ2" s="15"/>
      <c r="VEK2" s="15"/>
      <c r="VEL2" s="15"/>
      <c r="VEM2" s="15"/>
      <c r="VEN2" s="15"/>
      <c r="VEO2" s="6"/>
      <c r="VEP2" s="6"/>
      <c r="VEQ2" s="6"/>
      <c r="VER2" s="15"/>
      <c r="VES2" s="15"/>
      <c r="VET2" s="6"/>
      <c r="VEU2" s="15"/>
      <c r="VEV2" s="53" t="str">
        <f>[4]利润表!$P$2</f>
        <v>日  期：2012年9月15日</v>
      </c>
      <c r="VEW2" s="14"/>
      <c r="VEX2" s="15"/>
      <c r="VEY2" s="16"/>
      <c r="VEZ2" s="15"/>
      <c r="VFA2" s="15"/>
      <c r="VFB2" s="15"/>
      <c r="VFC2" s="15"/>
      <c r="VFD2" s="15"/>
      <c r="VFE2" s="6"/>
      <c r="VFF2" s="6"/>
      <c r="VFG2" s="6"/>
      <c r="VFH2" s="15"/>
      <c r="VFI2" s="15"/>
      <c r="VFJ2" s="6"/>
      <c r="VFK2" s="15"/>
      <c r="VFL2" s="53" t="str">
        <f>[4]利润表!$P$2</f>
        <v>日  期：2012年9月15日</v>
      </c>
      <c r="VFM2" s="14"/>
      <c r="VFN2" s="15"/>
      <c r="VFO2" s="16"/>
      <c r="VFP2" s="15"/>
      <c r="VFQ2" s="15"/>
      <c r="VFR2" s="15"/>
      <c r="VFS2" s="15"/>
      <c r="VFT2" s="15"/>
      <c r="VFU2" s="6"/>
      <c r="VFV2" s="6"/>
      <c r="VFW2" s="6"/>
      <c r="VFX2" s="15"/>
      <c r="VFY2" s="15"/>
      <c r="VFZ2" s="6"/>
      <c r="VGA2" s="15"/>
      <c r="VGB2" s="53" t="str">
        <f>[4]利润表!$P$2</f>
        <v>日  期：2012年9月15日</v>
      </c>
      <c r="VGC2" s="14"/>
      <c r="VGD2" s="15"/>
      <c r="VGE2" s="16"/>
      <c r="VGF2" s="15"/>
      <c r="VGG2" s="15"/>
      <c r="VGH2" s="15"/>
      <c r="VGI2" s="15"/>
      <c r="VGJ2" s="15"/>
      <c r="VGK2" s="6"/>
      <c r="VGL2" s="6"/>
      <c r="VGM2" s="6"/>
      <c r="VGN2" s="15"/>
      <c r="VGO2" s="15"/>
      <c r="VGP2" s="6"/>
      <c r="VGQ2" s="15"/>
      <c r="VGR2" s="53" t="str">
        <f>[4]利润表!$P$2</f>
        <v>日  期：2012年9月15日</v>
      </c>
      <c r="VGS2" s="14"/>
      <c r="VGT2" s="15"/>
      <c r="VGU2" s="16"/>
      <c r="VGV2" s="15"/>
      <c r="VGW2" s="15"/>
      <c r="VGX2" s="15"/>
      <c r="VGY2" s="15"/>
      <c r="VGZ2" s="15"/>
      <c r="VHA2" s="6"/>
      <c r="VHB2" s="6"/>
      <c r="VHC2" s="6"/>
      <c r="VHD2" s="15"/>
      <c r="VHE2" s="15"/>
      <c r="VHF2" s="6"/>
      <c r="VHG2" s="15"/>
      <c r="VHH2" s="53" t="str">
        <f>[4]利润表!$P$2</f>
        <v>日  期：2012年9月15日</v>
      </c>
      <c r="VHI2" s="14"/>
      <c r="VHJ2" s="15"/>
      <c r="VHK2" s="16"/>
      <c r="VHL2" s="15"/>
      <c r="VHM2" s="15"/>
      <c r="VHN2" s="15"/>
      <c r="VHO2" s="15"/>
      <c r="VHP2" s="15"/>
      <c r="VHQ2" s="6"/>
      <c r="VHR2" s="6"/>
      <c r="VHS2" s="6"/>
      <c r="VHT2" s="15"/>
      <c r="VHU2" s="15"/>
      <c r="VHV2" s="6"/>
      <c r="VHW2" s="15"/>
      <c r="VHX2" s="53" t="str">
        <f>[4]利润表!$P$2</f>
        <v>日  期：2012年9月15日</v>
      </c>
      <c r="VHY2" s="14"/>
      <c r="VHZ2" s="15"/>
      <c r="VIA2" s="16"/>
      <c r="VIB2" s="15"/>
      <c r="VIC2" s="15"/>
      <c r="VID2" s="15"/>
      <c r="VIE2" s="15"/>
      <c r="VIF2" s="15"/>
      <c r="VIG2" s="6"/>
      <c r="VIH2" s="6"/>
      <c r="VII2" s="6"/>
      <c r="VIJ2" s="15"/>
      <c r="VIK2" s="15"/>
      <c r="VIL2" s="6"/>
      <c r="VIM2" s="15"/>
      <c r="VIN2" s="53" t="str">
        <f>[4]利润表!$P$2</f>
        <v>日  期：2012年9月15日</v>
      </c>
      <c r="VIO2" s="14"/>
      <c r="VIP2" s="15"/>
      <c r="VIQ2" s="16"/>
      <c r="VIR2" s="15"/>
      <c r="VIS2" s="15"/>
      <c r="VIT2" s="15"/>
      <c r="VIU2" s="15"/>
      <c r="VIV2" s="15"/>
      <c r="VIW2" s="6"/>
      <c r="VIX2" s="6"/>
      <c r="VIY2" s="6"/>
      <c r="VIZ2" s="15"/>
      <c r="VJA2" s="15"/>
      <c r="VJB2" s="6"/>
      <c r="VJC2" s="15"/>
      <c r="VJD2" s="53" t="str">
        <f>[4]利润表!$P$2</f>
        <v>日  期：2012年9月15日</v>
      </c>
      <c r="VJE2" s="14"/>
      <c r="VJF2" s="15"/>
      <c r="VJG2" s="16"/>
      <c r="VJH2" s="15"/>
      <c r="VJI2" s="15"/>
      <c r="VJJ2" s="15"/>
      <c r="VJK2" s="15"/>
      <c r="VJL2" s="15"/>
      <c r="VJM2" s="6"/>
      <c r="VJN2" s="6"/>
      <c r="VJO2" s="6"/>
      <c r="VJP2" s="15"/>
      <c r="VJQ2" s="15"/>
      <c r="VJR2" s="6"/>
      <c r="VJS2" s="15"/>
      <c r="VJT2" s="53" t="str">
        <f>[4]利润表!$P$2</f>
        <v>日  期：2012年9月15日</v>
      </c>
      <c r="VJU2" s="14"/>
      <c r="VJV2" s="15"/>
      <c r="VJW2" s="16"/>
      <c r="VJX2" s="15"/>
      <c r="VJY2" s="15"/>
      <c r="VJZ2" s="15"/>
      <c r="VKA2" s="15"/>
      <c r="VKB2" s="15"/>
      <c r="VKC2" s="6"/>
      <c r="VKD2" s="6"/>
      <c r="VKE2" s="6"/>
      <c r="VKF2" s="15"/>
      <c r="VKG2" s="15"/>
      <c r="VKH2" s="6"/>
      <c r="VKI2" s="15"/>
      <c r="VKJ2" s="53" t="str">
        <f>[4]利润表!$P$2</f>
        <v>日  期：2012年9月15日</v>
      </c>
      <c r="VKK2" s="14"/>
      <c r="VKL2" s="15"/>
      <c r="VKM2" s="16"/>
      <c r="VKN2" s="15"/>
      <c r="VKO2" s="15"/>
      <c r="VKP2" s="15"/>
      <c r="VKQ2" s="15"/>
      <c r="VKR2" s="15"/>
      <c r="VKS2" s="6"/>
      <c r="VKT2" s="6"/>
      <c r="VKU2" s="6"/>
      <c r="VKV2" s="15"/>
      <c r="VKW2" s="15"/>
      <c r="VKX2" s="6"/>
      <c r="VKY2" s="15"/>
      <c r="VKZ2" s="53" t="str">
        <f>[4]利润表!$P$2</f>
        <v>日  期：2012年9月15日</v>
      </c>
      <c r="VLA2" s="14"/>
      <c r="VLB2" s="15"/>
      <c r="VLC2" s="16"/>
      <c r="VLD2" s="15"/>
      <c r="VLE2" s="15"/>
      <c r="VLF2" s="15"/>
      <c r="VLG2" s="15"/>
      <c r="VLH2" s="15"/>
      <c r="VLI2" s="6"/>
      <c r="VLJ2" s="6"/>
      <c r="VLK2" s="6"/>
      <c r="VLL2" s="15"/>
      <c r="VLM2" s="15"/>
      <c r="VLN2" s="6"/>
      <c r="VLO2" s="15"/>
      <c r="VLP2" s="53" t="str">
        <f>[4]利润表!$P$2</f>
        <v>日  期：2012年9月15日</v>
      </c>
      <c r="VLQ2" s="14"/>
      <c r="VLR2" s="15"/>
      <c r="VLS2" s="16"/>
      <c r="VLT2" s="15"/>
      <c r="VLU2" s="15"/>
      <c r="VLV2" s="15"/>
      <c r="VLW2" s="15"/>
      <c r="VLX2" s="15"/>
      <c r="VLY2" s="6"/>
      <c r="VLZ2" s="6"/>
      <c r="VMA2" s="6"/>
      <c r="VMB2" s="15"/>
      <c r="VMC2" s="15"/>
      <c r="VMD2" s="6"/>
      <c r="VME2" s="15"/>
      <c r="VMF2" s="53" t="str">
        <f>[4]利润表!$P$2</f>
        <v>日  期：2012年9月15日</v>
      </c>
      <c r="VMG2" s="14"/>
      <c r="VMH2" s="15"/>
      <c r="VMI2" s="16"/>
      <c r="VMJ2" s="15"/>
      <c r="VMK2" s="15"/>
      <c r="VML2" s="15"/>
      <c r="VMM2" s="15"/>
      <c r="VMN2" s="15"/>
      <c r="VMO2" s="6"/>
      <c r="VMP2" s="6"/>
      <c r="VMQ2" s="6"/>
      <c r="VMR2" s="15"/>
      <c r="VMS2" s="15"/>
      <c r="VMT2" s="6"/>
      <c r="VMU2" s="15"/>
      <c r="VMV2" s="53" t="str">
        <f>[4]利润表!$P$2</f>
        <v>日  期：2012年9月15日</v>
      </c>
      <c r="VMW2" s="14"/>
      <c r="VMX2" s="15"/>
      <c r="VMY2" s="16"/>
      <c r="VMZ2" s="15"/>
      <c r="VNA2" s="15"/>
      <c r="VNB2" s="15"/>
      <c r="VNC2" s="15"/>
      <c r="VND2" s="15"/>
      <c r="VNE2" s="6"/>
      <c r="VNF2" s="6"/>
      <c r="VNG2" s="6"/>
      <c r="VNH2" s="15"/>
      <c r="VNI2" s="15"/>
      <c r="VNJ2" s="6"/>
      <c r="VNK2" s="15"/>
      <c r="VNL2" s="53" t="str">
        <f>[4]利润表!$P$2</f>
        <v>日  期：2012年9月15日</v>
      </c>
      <c r="VNM2" s="14"/>
      <c r="VNN2" s="15"/>
      <c r="VNO2" s="16"/>
      <c r="VNP2" s="15"/>
      <c r="VNQ2" s="15"/>
      <c r="VNR2" s="15"/>
      <c r="VNS2" s="15"/>
      <c r="VNT2" s="15"/>
      <c r="VNU2" s="6"/>
      <c r="VNV2" s="6"/>
      <c r="VNW2" s="6"/>
      <c r="VNX2" s="15"/>
      <c r="VNY2" s="15"/>
      <c r="VNZ2" s="6"/>
      <c r="VOA2" s="15"/>
      <c r="VOB2" s="53" t="str">
        <f>[4]利润表!$P$2</f>
        <v>日  期：2012年9月15日</v>
      </c>
      <c r="VOC2" s="14"/>
      <c r="VOD2" s="15"/>
      <c r="VOE2" s="16"/>
      <c r="VOF2" s="15"/>
      <c r="VOG2" s="15"/>
      <c r="VOH2" s="15"/>
      <c r="VOI2" s="15"/>
      <c r="VOJ2" s="15"/>
      <c r="VOK2" s="6"/>
      <c r="VOL2" s="6"/>
      <c r="VOM2" s="6"/>
      <c r="VON2" s="15"/>
      <c r="VOO2" s="15"/>
      <c r="VOP2" s="6"/>
      <c r="VOQ2" s="15"/>
      <c r="VOR2" s="53" t="str">
        <f>[4]利润表!$P$2</f>
        <v>日  期：2012年9月15日</v>
      </c>
      <c r="VOS2" s="14"/>
      <c r="VOT2" s="15"/>
      <c r="VOU2" s="16"/>
      <c r="VOV2" s="15"/>
      <c r="VOW2" s="15"/>
      <c r="VOX2" s="15"/>
      <c r="VOY2" s="15"/>
      <c r="VOZ2" s="15"/>
      <c r="VPA2" s="6"/>
      <c r="VPB2" s="6"/>
      <c r="VPC2" s="6"/>
      <c r="VPD2" s="15"/>
      <c r="VPE2" s="15"/>
      <c r="VPF2" s="6"/>
      <c r="VPG2" s="15"/>
      <c r="VPH2" s="53" t="str">
        <f>[4]利润表!$P$2</f>
        <v>日  期：2012年9月15日</v>
      </c>
      <c r="VPI2" s="14"/>
      <c r="VPJ2" s="15"/>
      <c r="VPK2" s="16"/>
      <c r="VPL2" s="15"/>
      <c r="VPM2" s="15"/>
      <c r="VPN2" s="15"/>
      <c r="VPO2" s="15"/>
      <c r="VPP2" s="15"/>
      <c r="VPQ2" s="6"/>
      <c r="VPR2" s="6"/>
      <c r="VPS2" s="6"/>
      <c r="VPT2" s="15"/>
      <c r="VPU2" s="15"/>
      <c r="VPV2" s="6"/>
      <c r="VPW2" s="15"/>
      <c r="VPX2" s="53" t="str">
        <f>[4]利润表!$P$2</f>
        <v>日  期：2012年9月15日</v>
      </c>
      <c r="VPY2" s="14"/>
      <c r="VPZ2" s="15"/>
      <c r="VQA2" s="16"/>
      <c r="VQB2" s="15"/>
      <c r="VQC2" s="15"/>
      <c r="VQD2" s="15"/>
      <c r="VQE2" s="15"/>
      <c r="VQF2" s="15"/>
      <c r="VQG2" s="6"/>
      <c r="VQH2" s="6"/>
      <c r="VQI2" s="6"/>
      <c r="VQJ2" s="15"/>
      <c r="VQK2" s="15"/>
      <c r="VQL2" s="6"/>
      <c r="VQM2" s="15"/>
      <c r="VQN2" s="53" t="str">
        <f>[4]利润表!$P$2</f>
        <v>日  期：2012年9月15日</v>
      </c>
      <c r="VQO2" s="14"/>
      <c r="VQP2" s="15"/>
      <c r="VQQ2" s="16"/>
      <c r="VQR2" s="15"/>
      <c r="VQS2" s="15"/>
      <c r="VQT2" s="15"/>
      <c r="VQU2" s="15"/>
      <c r="VQV2" s="15"/>
      <c r="VQW2" s="6"/>
      <c r="VQX2" s="6"/>
      <c r="VQY2" s="6"/>
      <c r="VQZ2" s="15"/>
      <c r="VRA2" s="15"/>
      <c r="VRB2" s="6"/>
      <c r="VRC2" s="15"/>
      <c r="VRD2" s="53" t="str">
        <f>[4]利润表!$P$2</f>
        <v>日  期：2012年9月15日</v>
      </c>
      <c r="VRE2" s="14"/>
      <c r="VRF2" s="15"/>
      <c r="VRG2" s="16"/>
      <c r="VRH2" s="15"/>
      <c r="VRI2" s="15"/>
      <c r="VRJ2" s="15"/>
      <c r="VRK2" s="15"/>
      <c r="VRL2" s="15"/>
      <c r="VRM2" s="6"/>
      <c r="VRN2" s="6"/>
      <c r="VRO2" s="6"/>
      <c r="VRP2" s="15"/>
      <c r="VRQ2" s="15"/>
      <c r="VRR2" s="6"/>
      <c r="VRS2" s="15"/>
      <c r="VRT2" s="53" t="str">
        <f>[4]利润表!$P$2</f>
        <v>日  期：2012年9月15日</v>
      </c>
      <c r="VRU2" s="14"/>
      <c r="VRV2" s="15"/>
      <c r="VRW2" s="16"/>
      <c r="VRX2" s="15"/>
      <c r="VRY2" s="15"/>
      <c r="VRZ2" s="15"/>
      <c r="VSA2" s="15"/>
      <c r="VSB2" s="15"/>
      <c r="VSC2" s="6"/>
      <c r="VSD2" s="6"/>
      <c r="VSE2" s="6"/>
      <c r="VSF2" s="15"/>
      <c r="VSG2" s="15"/>
      <c r="VSH2" s="6"/>
      <c r="VSI2" s="15"/>
      <c r="VSJ2" s="53" t="str">
        <f>[4]利润表!$P$2</f>
        <v>日  期：2012年9月15日</v>
      </c>
      <c r="VSK2" s="14"/>
      <c r="VSL2" s="15"/>
      <c r="VSM2" s="16"/>
      <c r="VSN2" s="15"/>
      <c r="VSO2" s="15"/>
      <c r="VSP2" s="15"/>
      <c r="VSQ2" s="15"/>
      <c r="VSR2" s="15"/>
      <c r="VSS2" s="6"/>
      <c r="VST2" s="6"/>
      <c r="VSU2" s="6"/>
      <c r="VSV2" s="15"/>
      <c r="VSW2" s="15"/>
      <c r="VSX2" s="6"/>
      <c r="VSY2" s="15"/>
      <c r="VSZ2" s="53" t="str">
        <f>[4]利润表!$P$2</f>
        <v>日  期：2012年9月15日</v>
      </c>
      <c r="VTA2" s="14"/>
      <c r="VTB2" s="15"/>
      <c r="VTC2" s="16"/>
      <c r="VTD2" s="15"/>
      <c r="VTE2" s="15"/>
      <c r="VTF2" s="15"/>
      <c r="VTG2" s="15"/>
      <c r="VTH2" s="15"/>
      <c r="VTI2" s="6"/>
      <c r="VTJ2" s="6"/>
      <c r="VTK2" s="6"/>
      <c r="VTL2" s="15"/>
      <c r="VTM2" s="15"/>
      <c r="VTN2" s="6"/>
      <c r="VTO2" s="15"/>
      <c r="VTP2" s="53" t="str">
        <f>[4]利润表!$P$2</f>
        <v>日  期：2012年9月15日</v>
      </c>
      <c r="VTQ2" s="14"/>
      <c r="VTR2" s="15"/>
      <c r="VTS2" s="16"/>
      <c r="VTT2" s="15"/>
      <c r="VTU2" s="15"/>
      <c r="VTV2" s="15"/>
      <c r="VTW2" s="15"/>
      <c r="VTX2" s="15"/>
      <c r="VTY2" s="6"/>
      <c r="VTZ2" s="6"/>
      <c r="VUA2" s="6"/>
      <c r="VUB2" s="15"/>
      <c r="VUC2" s="15"/>
      <c r="VUD2" s="6"/>
      <c r="VUE2" s="15"/>
      <c r="VUF2" s="53" t="str">
        <f>[4]利润表!$P$2</f>
        <v>日  期：2012年9月15日</v>
      </c>
      <c r="VUG2" s="14"/>
      <c r="VUH2" s="15"/>
      <c r="VUI2" s="16"/>
      <c r="VUJ2" s="15"/>
      <c r="VUK2" s="15"/>
      <c r="VUL2" s="15"/>
      <c r="VUM2" s="15"/>
      <c r="VUN2" s="15"/>
      <c r="VUO2" s="6"/>
      <c r="VUP2" s="6"/>
      <c r="VUQ2" s="6"/>
      <c r="VUR2" s="15"/>
      <c r="VUS2" s="15"/>
      <c r="VUT2" s="6"/>
      <c r="VUU2" s="15"/>
      <c r="VUV2" s="53" t="str">
        <f>[4]利润表!$P$2</f>
        <v>日  期：2012年9月15日</v>
      </c>
      <c r="VUW2" s="14"/>
      <c r="VUX2" s="15"/>
      <c r="VUY2" s="16"/>
      <c r="VUZ2" s="15"/>
      <c r="VVA2" s="15"/>
      <c r="VVB2" s="15"/>
      <c r="VVC2" s="15"/>
      <c r="VVD2" s="15"/>
      <c r="VVE2" s="6"/>
      <c r="VVF2" s="6"/>
      <c r="VVG2" s="6"/>
      <c r="VVH2" s="15"/>
      <c r="VVI2" s="15"/>
      <c r="VVJ2" s="6"/>
      <c r="VVK2" s="15"/>
      <c r="VVL2" s="53" t="str">
        <f>[4]利润表!$P$2</f>
        <v>日  期：2012年9月15日</v>
      </c>
      <c r="VVM2" s="14"/>
      <c r="VVN2" s="15"/>
      <c r="VVO2" s="16"/>
      <c r="VVP2" s="15"/>
      <c r="VVQ2" s="15"/>
      <c r="VVR2" s="15"/>
      <c r="VVS2" s="15"/>
      <c r="VVT2" s="15"/>
      <c r="VVU2" s="6"/>
      <c r="VVV2" s="6"/>
      <c r="VVW2" s="6"/>
      <c r="VVX2" s="15"/>
      <c r="VVY2" s="15"/>
      <c r="VVZ2" s="6"/>
      <c r="VWA2" s="15"/>
      <c r="VWB2" s="53" t="str">
        <f>[4]利润表!$P$2</f>
        <v>日  期：2012年9月15日</v>
      </c>
      <c r="VWC2" s="14"/>
      <c r="VWD2" s="15"/>
      <c r="VWE2" s="16"/>
      <c r="VWF2" s="15"/>
      <c r="VWG2" s="15"/>
      <c r="VWH2" s="15"/>
      <c r="VWI2" s="15"/>
      <c r="VWJ2" s="15"/>
      <c r="VWK2" s="6"/>
      <c r="VWL2" s="6"/>
      <c r="VWM2" s="6"/>
      <c r="VWN2" s="15"/>
      <c r="VWO2" s="15"/>
      <c r="VWP2" s="6"/>
      <c r="VWQ2" s="15"/>
      <c r="VWR2" s="53" t="str">
        <f>[4]利润表!$P$2</f>
        <v>日  期：2012年9月15日</v>
      </c>
      <c r="VWS2" s="14"/>
      <c r="VWT2" s="15"/>
      <c r="VWU2" s="16"/>
      <c r="VWV2" s="15"/>
      <c r="VWW2" s="15"/>
      <c r="VWX2" s="15"/>
      <c r="VWY2" s="15"/>
      <c r="VWZ2" s="15"/>
      <c r="VXA2" s="6"/>
      <c r="VXB2" s="6"/>
      <c r="VXC2" s="6"/>
      <c r="VXD2" s="15"/>
      <c r="VXE2" s="15"/>
      <c r="VXF2" s="6"/>
      <c r="VXG2" s="15"/>
      <c r="VXH2" s="53" t="str">
        <f>[4]利润表!$P$2</f>
        <v>日  期：2012年9月15日</v>
      </c>
      <c r="VXI2" s="14"/>
      <c r="VXJ2" s="15"/>
      <c r="VXK2" s="16"/>
      <c r="VXL2" s="15"/>
      <c r="VXM2" s="15"/>
      <c r="VXN2" s="15"/>
      <c r="VXO2" s="15"/>
      <c r="VXP2" s="15"/>
      <c r="VXQ2" s="6"/>
      <c r="VXR2" s="6"/>
      <c r="VXS2" s="6"/>
      <c r="VXT2" s="15"/>
      <c r="VXU2" s="15"/>
      <c r="VXV2" s="6"/>
      <c r="VXW2" s="15"/>
      <c r="VXX2" s="53" t="str">
        <f>[4]利润表!$P$2</f>
        <v>日  期：2012年9月15日</v>
      </c>
      <c r="VXY2" s="14"/>
      <c r="VXZ2" s="15"/>
      <c r="VYA2" s="16"/>
      <c r="VYB2" s="15"/>
      <c r="VYC2" s="15"/>
      <c r="VYD2" s="15"/>
      <c r="VYE2" s="15"/>
      <c r="VYF2" s="15"/>
      <c r="VYG2" s="6"/>
      <c r="VYH2" s="6"/>
      <c r="VYI2" s="6"/>
      <c r="VYJ2" s="15"/>
      <c r="VYK2" s="15"/>
      <c r="VYL2" s="6"/>
      <c r="VYM2" s="15"/>
      <c r="VYN2" s="53" t="str">
        <f>[4]利润表!$P$2</f>
        <v>日  期：2012年9月15日</v>
      </c>
      <c r="VYO2" s="14"/>
      <c r="VYP2" s="15"/>
      <c r="VYQ2" s="16"/>
      <c r="VYR2" s="15"/>
      <c r="VYS2" s="15"/>
      <c r="VYT2" s="15"/>
      <c r="VYU2" s="15"/>
      <c r="VYV2" s="15"/>
      <c r="VYW2" s="6"/>
      <c r="VYX2" s="6"/>
      <c r="VYY2" s="6"/>
      <c r="VYZ2" s="15"/>
      <c r="VZA2" s="15"/>
      <c r="VZB2" s="6"/>
      <c r="VZC2" s="15"/>
      <c r="VZD2" s="53" t="str">
        <f>[4]利润表!$P$2</f>
        <v>日  期：2012年9月15日</v>
      </c>
      <c r="VZE2" s="14"/>
      <c r="VZF2" s="15"/>
      <c r="VZG2" s="16"/>
      <c r="VZH2" s="15"/>
      <c r="VZI2" s="15"/>
      <c r="VZJ2" s="15"/>
      <c r="VZK2" s="15"/>
      <c r="VZL2" s="15"/>
      <c r="VZM2" s="6"/>
      <c r="VZN2" s="6"/>
      <c r="VZO2" s="6"/>
      <c r="VZP2" s="15"/>
      <c r="VZQ2" s="15"/>
      <c r="VZR2" s="6"/>
      <c r="VZS2" s="15"/>
      <c r="VZT2" s="53" t="str">
        <f>[4]利润表!$P$2</f>
        <v>日  期：2012年9月15日</v>
      </c>
      <c r="VZU2" s="14"/>
      <c r="VZV2" s="15"/>
      <c r="VZW2" s="16"/>
      <c r="VZX2" s="15"/>
      <c r="VZY2" s="15"/>
      <c r="VZZ2" s="15"/>
      <c r="WAA2" s="15"/>
      <c r="WAB2" s="15"/>
      <c r="WAC2" s="6"/>
      <c r="WAD2" s="6"/>
      <c r="WAE2" s="6"/>
      <c r="WAF2" s="15"/>
      <c r="WAG2" s="15"/>
      <c r="WAH2" s="6"/>
      <c r="WAI2" s="15"/>
      <c r="WAJ2" s="53" t="str">
        <f>[4]利润表!$P$2</f>
        <v>日  期：2012年9月15日</v>
      </c>
      <c r="WAK2" s="14"/>
      <c r="WAL2" s="15"/>
      <c r="WAM2" s="16"/>
      <c r="WAN2" s="15"/>
      <c r="WAO2" s="15"/>
      <c r="WAP2" s="15"/>
      <c r="WAQ2" s="15"/>
      <c r="WAR2" s="15"/>
      <c r="WAS2" s="6"/>
      <c r="WAT2" s="6"/>
      <c r="WAU2" s="6"/>
      <c r="WAV2" s="15"/>
      <c r="WAW2" s="15"/>
      <c r="WAX2" s="6"/>
      <c r="WAY2" s="15"/>
      <c r="WAZ2" s="53" t="str">
        <f>[4]利润表!$P$2</f>
        <v>日  期：2012年9月15日</v>
      </c>
      <c r="WBA2" s="14"/>
      <c r="WBB2" s="15"/>
      <c r="WBC2" s="16"/>
      <c r="WBD2" s="15"/>
      <c r="WBE2" s="15"/>
      <c r="WBF2" s="15"/>
      <c r="WBG2" s="15"/>
      <c r="WBH2" s="15"/>
      <c r="WBI2" s="6"/>
      <c r="WBJ2" s="6"/>
      <c r="WBK2" s="6"/>
      <c r="WBL2" s="15"/>
      <c r="WBM2" s="15"/>
      <c r="WBN2" s="6"/>
      <c r="WBO2" s="15"/>
      <c r="WBP2" s="53" t="str">
        <f>[4]利润表!$P$2</f>
        <v>日  期：2012年9月15日</v>
      </c>
      <c r="WBQ2" s="14"/>
      <c r="WBR2" s="15"/>
      <c r="WBS2" s="16"/>
      <c r="WBT2" s="15"/>
      <c r="WBU2" s="15"/>
      <c r="WBV2" s="15"/>
      <c r="WBW2" s="15"/>
      <c r="WBX2" s="15"/>
      <c r="WBY2" s="6"/>
      <c r="WBZ2" s="6"/>
      <c r="WCA2" s="6"/>
      <c r="WCB2" s="15"/>
      <c r="WCC2" s="15"/>
      <c r="WCD2" s="6"/>
      <c r="WCE2" s="15"/>
      <c r="WCF2" s="53" t="str">
        <f>[4]利润表!$P$2</f>
        <v>日  期：2012年9月15日</v>
      </c>
      <c r="WCG2" s="14"/>
      <c r="WCH2" s="15"/>
      <c r="WCI2" s="16"/>
      <c r="WCJ2" s="15"/>
      <c r="WCK2" s="15"/>
      <c r="WCL2" s="15"/>
      <c r="WCM2" s="15"/>
      <c r="WCN2" s="15"/>
      <c r="WCO2" s="6"/>
      <c r="WCP2" s="6"/>
      <c r="WCQ2" s="6"/>
      <c r="WCR2" s="15"/>
      <c r="WCS2" s="15"/>
      <c r="WCT2" s="6"/>
      <c r="WCU2" s="15"/>
      <c r="WCV2" s="53" t="str">
        <f>[4]利润表!$P$2</f>
        <v>日  期：2012年9月15日</v>
      </c>
      <c r="WCW2" s="14"/>
      <c r="WCX2" s="15"/>
      <c r="WCY2" s="16"/>
      <c r="WCZ2" s="15"/>
      <c r="WDA2" s="15"/>
      <c r="WDB2" s="15"/>
      <c r="WDC2" s="15"/>
      <c r="WDD2" s="15"/>
      <c r="WDE2" s="6"/>
      <c r="WDF2" s="6"/>
      <c r="WDG2" s="6"/>
      <c r="WDH2" s="15"/>
      <c r="WDI2" s="15"/>
      <c r="WDJ2" s="6"/>
      <c r="WDK2" s="15"/>
      <c r="WDL2" s="53" t="str">
        <f>[4]利润表!$P$2</f>
        <v>日  期：2012年9月15日</v>
      </c>
      <c r="WDM2" s="14"/>
      <c r="WDN2" s="15"/>
      <c r="WDO2" s="16"/>
      <c r="WDP2" s="15"/>
      <c r="WDQ2" s="15"/>
      <c r="WDR2" s="15"/>
      <c r="WDS2" s="15"/>
      <c r="WDT2" s="15"/>
      <c r="WDU2" s="6"/>
      <c r="WDV2" s="6"/>
      <c r="WDW2" s="6"/>
      <c r="WDX2" s="15"/>
      <c r="WDY2" s="15"/>
      <c r="WDZ2" s="6"/>
      <c r="WEA2" s="15"/>
      <c r="WEB2" s="53" t="str">
        <f>[4]利润表!$P$2</f>
        <v>日  期：2012年9月15日</v>
      </c>
      <c r="WEC2" s="14"/>
      <c r="WED2" s="15"/>
      <c r="WEE2" s="16"/>
      <c r="WEF2" s="15"/>
      <c r="WEG2" s="15"/>
      <c r="WEH2" s="15"/>
      <c r="WEI2" s="15"/>
      <c r="WEJ2" s="15"/>
      <c r="WEK2" s="6"/>
      <c r="WEL2" s="6"/>
      <c r="WEM2" s="6"/>
      <c r="WEN2" s="15"/>
      <c r="WEO2" s="15"/>
      <c r="WEP2" s="6"/>
      <c r="WEQ2" s="15"/>
      <c r="WER2" s="53" t="str">
        <f>[4]利润表!$P$2</f>
        <v>日  期：2012年9月15日</v>
      </c>
      <c r="WES2" s="14"/>
      <c r="WET2" s="15"/>
      <c r="WEU2" s="16"/>
      <c r="WEV2" s="15"/>
      <c r="WEW2" s="15"/>
      <c r="WEX2" s="15"/>
      <c r="WEY2" s="15"/>
      <c r="WEZ2" s="15"/>
      <c r="WFA2" s="6"/>
      <c r="WFB2" s="6"/>
      <c r="WFC2" s="6"/>
      <c r="WFD2" s="15"/>
      <c r="WFE2" s="15"/>
      <c r="WFF2" s="6"/>
      <c r="WFG2" s="15"/>
      <c r="WFH2" s="53" t="str">
        <f>[4]利润表!$P$2</f>
        <v>日  期：2012年9月15日</v>
      </c>
      <c r="WFI2" s="14"/>
      <c r="WFJ2" s="15"/>
      <c r="WFK2" s="16"/>
      <c r="WFL2" s="15"/>
      <c r="WFM2" s="15"/>
      <c r="WFN2" s="15"/>
      <c r="WFO2" s="15"/>
      <c r="WFP2" s="15"/>
      <c r="WFQ2" s="6"/>
      <c r="WFR2" s="6"/>
      <c r="WFS2" s="6"/>
      <c r="WFT2" s="15"/>
      <c r="WFU2" s="15"/>
      <c r="WFV2" s="6"/>
      <c r="WFW2" s="15"/>
      <c r="WFX2" s="53" t="str">
        <f>[4]利润表!$P$2</f>
        <v>日  期：2012年9月15日</v>
      </c>
      <c r="WFY2" s="14"/>
      <c r="WFZ2" s="15"/>
      <c r="WGA2" s="16"/>
      <c r="WGB2" s="15"/>
      <c r="WGC2" s="15"/>
      <c r="WGD2" s="15"/>
      <c r="WGE2" s="15"/>
      <c r="WGF2" s="15"/>
      <c r="WGG2" s="6"/>
      <c r="WGH2" s="6"/>
      <c r="WGI2" s="6"/>
      <c r="WGJ2" s="15"/>
      <c r="WGK2" s="15"/>
      <c r="WGL2" s="6"/>
      <c r="WGM2" s="15"/>
      <c r="WGN2" s="53" t="str">
        <f>[4]利润表!$P$2</f>
        <v>日  期：2012年9月15日</v>
      </c>
      <c r="WGO2" s="14"/>
      <c r="WGP2" s="15"/>
      <c r="WGQ2" s="16"/>
      <c r="WGR2" s="15"/>
      <c r="WGS2" s="15"/>
      <c r="WGT2" s="15"/>
      <c r="WGU2" s="15"/>
      <c r="WGV2" s="15"/>
      <c r="WGW2" s="6"/>
      <c r="WGX2" s="6"/>
      <c r="WGY2" s="6"/>
      <c r="WGZ2" s="15"/>
      <c r="WHA2" s="15"/>
      <c r="WHB2" s="6"/>
      <c r="WHC2" s="15"/>
      <c r="WHD2" s="53" t="str">
        <f>[4]利润表!$P$2</f>
        <v>日  期：2012年9月15日</v>
      </c>
      <c r="WHE2" s="14"/>
      <c r="WHF2" s="15"/>
      <c r="WHG2" s="16"/>
      <c r="WHH2" s="15"/>
      <c r="WHI2" s="15"/>
      <c r="WHJ2" s="15"/>
      <c r="WHK2" s="15"/>
      <c r="WHL2" s="15"/>
      <c r="WHM2" s="6"/>
      <c r="WHN2" s="6"/>
      <c r="WHO2" s="6"/>
      <c r="WHP2" s="15"/>
      <c r="WHQ2" s="15"/>
      <c r="WHR2" s="6"/>
      <c r="WHS2" s="15"/>
      <c r="WHT2" s="53" t="str">
        <f>[4]利润表!$P$2</f>
        <v>日  期：2012年9月15日</v>
      </c>
      <c r="WHU2" s="14"/>
      <c r="WHV2" s="15"/>
      <c r="WHW2" s="16"/>
      <c r="WHX2" s="15"/>
      <c r="WHY2" s="15"/>
      <c r="WHZ2" s="15"/>
      <c r="WIA2" s="15"/>
      <c r="WIB2" s="15"/>
      <c r="WIC2" s="6"/>
      <c r="WID2" s="6"/>
      <c r="WIE2" s="6"/>
      <c r="WIF2" s="15"/>
      <c r="WIG2" s="15"/>
      <c r="WIH2" s="6"/>
      <c r="WII2" s="15"/>
      <c r="WIJ2" s="53" t="str">
        <f>[4]利润表!$P$2</f>
        <v>日  期：2012年9月15日</v>
      </c>
      <c r="WIK2" s="14"/>
      <c r="WIL2" s="15"/>
      <c r="WIM2" s="16"/>
      <c r="WIN2" s="15"/>
      <c r="WIO2" s="15"/>
      <c r="WIP2" s="15"/>
      <c r="WIQ2" s="15"/>
      <c r="WIR2" s="15"/>
      <c r="WIS2" s="6"/>
      <c r="WIT2" s="6"/>
      <c r="WIU2" s="6"/>
      <c r="WIV2" s="15"/>
      <c r="WIW2" s="15"/>
      <c r="WIX2" s="6"/>
      <c r="WIY2" s="15"/>
      <c r="WIZ2" s="53" t="str">
        <f>[4]利润表!$P$2</f>
        <v>日  期：2012年9月15日</v>
      </c>
      <c r="WJA2" s="14"/>
      <c r="WJB2" s="15"/>
      <c r="WJC2" s="16"/>
      <c r="WJD2" s="15"/>
      <c r="WJE2" s="15"/>
      <c r="WJF2" s="15"/>
      <c r="WJG2" s="15"/>
      <c r="WJH2" s="15"/>
      <c r="WJI2" s="6"/>
      <c r="WJJ2" s="6"/>
      <c r="WJK2" s="6"/>
      <c r="WJL2" s="15"/>
      <c r="WJM2" s="15"/>
      <c r="WJN2" s="6"/>
      <c r="WJO2" s="15"/>
      <c r="WJP2" s="53" t="str">
        <f>[4]利润表!$P$2</f>
        <v>日  期：2012年9月15日</v>
      </c>
      <c r="WJQ2" s="14"/>
      <c r="WJR2" s="15"/>
      <c r="WJS2" s="16"/>
      <c r="WJT2" s="15"/>
      <c r="WJU2" s="15"/>
      <c r="WJV2" s="15"/>
      <c r="WJW2" s="15"/>
      <c r="WJX2" s="15"/>
      <c r="WJY2" s="6"/>
      <c r="WJZ2" s="6"/>
      <c r="WKA2" s="6"/>
      <c r="WKB2" s="15"/>
      <c r="WKC2" s="15"/>
      <c r="WKD2" s="6"/>
      <c r="WKE2" s="15"/>
      <c r="WKF2" s="53" t="str">
        <f>[4]利润表!$P$2</f>
        <v>日  期：2012年9月15日</v>
      </c>
      <c r="WKG2" s="14"/>
      <c r="WKH2" s="15"/>
      <c r="WKI2" s="16"/>
      <c r="WKJ2" s="15"/>
      <c r="WKK2" s="15"/>
      <c r="WKL2" s="15"/>
      <c r="WKM2" s="15"/>
      <c r="WKN2" s="15"/>
      <c r="WKO2" s="6"/>
      <c r="WKP2" s="6"/>
      <c r="WKQ2" s="6"/>
      <c r="WKR2" s="15"/>
      <c r="WKS2" s="15"/>
      <c r="WKT2" s="6"/>
      <c r="WKU2" s="15"/>
      <c r="WKV2" s="53" t="str">
        <f>[4]利润表!$P$2</f>
        <v>日  期：2012年9月15日</v>
      </c>
      <c r="WKW2" s="14"/>
      <c r="WKX2" s="15"/>
      <c r="WKY2" s="16"/>
      <c r="WKZ2" s="15"/>
      <c r="WLA2" s="15"/>
      <c r="WLB2" s="15"/>
      <c r="WLC2" s="15"/>
      <c r="WLD2" s="15"/>
      <c r="WLE2" s="6"/>
      <c r="WLF2" s="6"/>
      <c r="WLG2" s="6"/>
      <c r="WLH2" s="15"/>
      <c r="WLI2" s="15"/>
      <c r="WLJ2" s="6"/>
      <c r="WLK2" s="15"/>
      <c r="WLL2" s="53" t="str">
        <f>[4]利润表!$P$2</f>
        <v>日  期：2012年9月15日</v>
      </c>
      <c r="WLM2" s="14"/>
      <c r="WLN2" s="15"/>
      <c r="WLO2" s="16"/>
      <c r="WLP2" s="15"/>
      <c r="WLQ2" s="15"/>
      <c r="WLR2" s="15"/>
      <c r="WLS2" s="15"/>
      <c r="WLT2" s="15"/>
      <c r="WLU2" s="6"/>
      <c r="WLV2" s="6"/>
      <c r="WLW2" s="6"/>
      <c r="WLX2" s="15"/>
      <c r="WLY2" s="15"/>
      <c r="WLZ2" s="6"/>
      <c r="WMA2" s="15"/>
      <c r="WMB2" s="53" t="str">
        <f>[4]利润表!$P$2</f>
        <v>日  期：2012年9月15日</v>
      </c>
      <c r="WMC2" s="14"/>
      <c r="WMD2" s="15"/>
      <c r="WME2" s="16"/>
      <c r="WMF2" s="15"/>
      <c r="WMG2" s="15"/>
      <c r="WMH2" s="15"/>
      <c r="WMI2" s="15"/>
      <c r="WMJ2" s="15"/>
      <c r="WMK2" s="6"/>
      <c r="WML2" s="6"/>
      <c r="WMM2" s="6"/>
      <c r="WMN2" s="15"/>
      <c r="WMO2" s="15"/>
      <c r="WMP2" s="6"/>
      <c r="WMQ2" s="15"/>
      <c r="WMR2" s="53" t="str">
        <f>[4]利润表!$P$2</f>
        <v>日  期：2012年9月15日</v>
      </c>
      <c r="WMS2" s="14"/>
      <c r="WMT2" s="15"/>
      <c r="WMU2" s="16"/>
      <c r="WMV2" s="15"/>
      <c r="WMW2" s="15"/>
      <c r="WMX2" s="15"/>
      <c r="WMY2" s="15"/>
      <c r="WMZ2" s="15"/>
      <c r="WNA2" s="6"/>
      <c r="WNB2" s="6"/>
      <c r="WNC2" s="6"/>
      <c r="WND2" s="15"/>
      <c r="WNE2" s="15"/>
      <c r="WNF2" s="6"/>
      <c r="WNG2" s="15"/>
      <c r="WNH2" s="53" t="str">
        <f>[4]利润表!$P$2</f>
        <v>日  期：2012年9月15日</v>
      </c>
      <c r="WNI2" s="14"/>
      <c r="WNJ2" s="15"/>
      <c r="WNK2" s="16"/>
      <c r="WNL2" s="15"/>
      <c r="WNM2" s="15"/>
      <c r="WNN2" s="15"/>
      <c r="WNO2" s="15"/>
      <c r="WNP2" s="15"/>
      <c r="WNQ2" s="6"/>
      <c r="WNR2" s="6"/>
      <c r="WNS2" s="6"/>
      <c r="WNT2" s="15"/>
      <c r="WNU2" s="15"/>
      <c r="WNV2" s="6"/>
      <c r="WNW2" s="15"/>
      <c r="WNX2" s="53" t="str">
        <f>[4]利润表!$P$2</f>
        <v>日  期：2012年9月15日</v>
      </c>
      <c r="WNY2" s="14"/>
      <c r="WNZ2" s="15"/>
      <c r="WOA2" s="16"/>
      <c r="WOB2" s="15"/>
      <c r="WOC2" s="15"/>
      <c r="WOD2" s="15"/>
      <c r="WOE2" s="15"/>
      <c r="WOF2" s="15"/>
      <c r="WOG2" s="6"/>
      <c r="WOH2" s="6"/>
      <c r="WOI2" s="6"/>
      <c r="WOJ2" s="15"/>
      <c r="WOK2" s="15"/>
      <c r="WOL2" s="6"/>
      <c r="WOM2" s="15"/>
      <c r="WON2" s="53" t="str">
        <f>[4]利润表!$P$2</f>
        <v>日  期：2012年9月15日</v>
      </c>
      <c r="WOO2" s="14"/>
      <c r="WOP2" s="15"/>
      <c r="WOQ2" s="16"/>
      <c r="WOR2" s="15"/>
      <c r="WOS2" s="15"/>
      <c r="WOT2" s="15"/>
      <c r="WOU2" s="15"/>
      <c r="WOV2" s="15"/>
      <c r="WOW2" s="6"/>
      <c r="WOX2" s="6"/>
      <c r="WOY2" s="6"/>
      <c r="WOZ2" s="15"/>
      <c r="WPA2" s="15"/>
      <c r="WPB2" s="6"/>
      <c r="WPC2" s="15"/>
      <c r="WPD2" s="53" t="str">
        <f>[4]利润表!$P$2</f>
        <v>日  期：2012年9月15日</v>
      </c>
      <c r="WPE2" s="14"/>
      <c r="WPF2" s="15"/>
      <c r="WPG2" s="16"/>
      <c r="WPH2" s="15"/>
      <c r="WPI2" s="15"/>
      <c r="WPJ2" s="15"/>
      <c r="WPK2" s="15"/>
      <c r="WPL2" s="15"/>
      <c r="WPM2" s="6"/>
      <c r="WPN2" s="6"/>
      <c r="WPO2" s="6"/>
      <c r="WPP2" s="15"/>
      <c r="WPQ2" s="15"/>
      <c r="WPR2" s="6"/>
      <c r="WPS2" s="15"/>
      <c r="WPT2" s="53" t="str">
        <f>[4]利润表!$P$2</f>
        <v>日  期：2012年9月15日</v>
      </c>
      <c r="WPU2" s="14"/>
      <c r="WPV2" s="15"/>
      <c r="WPW2" s="16"/>
      <c r="WPX2" s="15"/>
      <c r="WPY2" s="15"/>
      <c r="WPZ2" s="15"/>
      <c r="WQA2" s="15"/>
      <c r="WQB2" s="15"/>
      <c r="WQC2" s="6"/>
      <c r="WQD2" s="6"/>
      <c r="WQE2" s="6"/>
      <c r="WQF2" s="15"/>
      <c r="WQG2" s="15"/>
      <c r="WQH2" s="6"/>
      <c r="WQI2" s="15"/>
      <c r="WQJ2" s="53" t="str">
        <f>[4]利润表!$P$2</f>
        <v>日  期：2012年9月15日</v>
      </c>
      <c r="WQK2" s="14"/>
      <c r="WQL2" s="15"/>
      <c r="WQM2" s="16"/>
      <c r="WQN2" s="15"/>
      <c r="WQO2" s="15"/>
      <c r="WQP2" s="15"/>
      <c r="WQQ2" s="15"/>
      <c r="WQR2" s="15"/>
      <c r="WQS2" s="6"/>
      <c r="WQT2" s="6"/>
      <c r="WQU2" s="6"/>
      <c r="WQV2" s="15"/>
      <c r="WQW2" s="15"/>
      <c r="WQX2" s="6"/>
      <c r="WQY2" s="15"/>
      <c r="WQZ2" s="53" t="str">
        <f>[4]利润表!$P$2</f>
        <v>日  期：2012年9月15日</v>
      </c>
      <c r="WRA2" s="14"/>
      <c r="WRB2" s="15"/>
      <c r="WRC2" s="16"/>
      <c r="WRD2" s="15"/>
      <c r="WRE2" s="15"/>
      <c r="WRF2" s="15"/>
      <c r="WRG2" s="15"/>
      <c r="WRH2" s="15"/>
      <c r="WRI2" s="6"/>
      <c r="WRJ2" s="6"/>
      <c r="WRK2" s="6"/>
      <c r="WRL2" s="15"/>
      <c r="WRM2" s="15"/>
      <c r="WRN2" s="6"/>
      <c r="WRO2" s="15"/>
      <c r="WRP2" s="53" t="str">
        <f>[4]利润表!$P$2</f>
        <v>日  期：2012年9月15日</v>
      </c>
      <c r="WRQ2" s="14"/>
      <c r="WRR2" s="15"/>
      <c r="WRS2" s="16"/>
      <c r="WRT2" s="15"/>
      <c r="WRU2" s="15"/>
      <c r="WRV2" s="15"/>
      <c r="WRW2" s="15"/>
      <c r="WRX2" s="15"/>
      <c r="WRY2" s="6"/>
      <c r="WRZ2" s="6"/>
      <c r="WSA2" s="6"/>
      <c r="WSB2" s="15"/>
      <c r="WSC2" s="15"/>
      <c r="WSD2" s="6"/>
      <c r="WSE2" s="15"/>
      <c r="WSF2" s="53" t="str">
        <f>[4]利润表!$P$2</f>
        <v>日  期：2012年9月15日</v>
      </c>
      <c r="WSG2" s="14"/>
      <c r="WSH2" s="15"/>
      <c r="WSI2" s="16"/>
      <c r="WSJ2" s="15"/>
      <c r="WSK2" s="15"/>
      <c r="WSL2" s="15"/>
      <c r="WSM2" s="15"/>
      <c r="WSN2" s="15"/>
      <c r="WSO2" s="6"/>
      <c r="WSP2" s="6"/>
      <c r="WSQ2" s="6"/>
      <c r="WSR2" s="15"/>
      <c r="WSS2" s="15"/>
      <c r="WST2" s="6"/>
      <c r="WSU2" s="15"/>
      <c r="WSV2" s="53" t="str">
        <f>[4]利润表!$P$2</f>
        <v>日  期：2012年9月15日</v>
      </c>
      <c r="WSW2" s="14"/>
      <c r="WSX2" s="15"/>
      <c r="WSY2" s="16"/>
      <c r="WSZ2" s="15"/>
      <c r="WTA2" s="15"/>
      <c r="WTB2" s="15"/>
      <c r="WTC2" s="15"/>
      <c r="WTD2" s="15"/>
      <c r="WTE2" s="6"/>
      <c r="WTF2" s="6"/>
      <c r="WTG2" s="6"/>
      <c r="WTH2" s="15"/>
      <c r="WTI2" s="15"/>
      <c r="WTJ2" s="6"/>
      <c r="WTK2" s="15"/>
      <c r="WTL2" s="53" t="str">
        <f>[4]利润表!$P$2</f>
        <v>日  期：2012年9月15日</v>
      </c>
      <c r="WTM2" s="14"/>
      <c r="WTN2" s="15"/>
      <c r="WTO2" s="16"/>
      <c r="WTP2" s="15"/>
      <c r="WTQ2" s="15"/>
      <c r="WTR2" s="15"/>
      <c r="WTS2" s="15"/>
      <c r="WTT2" s="15"/>
      <c r="WTU2" s="6"/>
      <c r="WTV2" s="6"/>
      <c r="WTW2" s="6"/>
      <c r="WTX2" s="15"/>
      <c r="WTY2" s="15"/>
      <c r="WTZ2" s="6"/>
      <c r="WUA2" s="15"/>
      <c r="WUB2" s="53" t="str">
        <f>[4]利润表!$P$2</f>
        <v>日  期：2012年9月15日</v>
      </c>
      <c r="WUC2" s="14"/>
      <c r="WUD2" s="15"/>
      <c r="WUE2" s="16"/>
      <c r="WUF2" s="15"/>
      <c r="WUG2" s="15"/>
      <c r="WUH2" s="15"/>
      <c r="WUI2" s="15"/>
      <c r="WUJ2" s="15"/>
      <c r="WUK2" s="6"/>
      <c r="WUL2" s="6"/>
      <c r="WUM2" s="6"/>
      <c r="WUN2" s="15"/>
      <c r="WUO2" s="15"/>
      <c r="WUP2" s="6"/>
      <c r="WUQ2" s="15"/>
      <c r="WUR2" s="53" t="str">
        <f>[4]利润表!$P$2</f>
        <v>日  期：2012年9月15日</v>
      </c>
      <c r="WUS2" s="14"/>
      <c r="WUT2" s="15"/>
      <c r="WUU2" s="16"/>
      <c r="WUV2" s="15"/>
      <c r="WUW2" s="15"/>
      <c r="WUX2" s="15"/>
      <c r="WUY2" s="15"/>
      <c r="WUZ2" s="15"/>
      <c r="WVA2" s="6"/>
      <c r="WVB2" s="6"/>
      <c r="WVC2" s="6"/>
      <c r="WVD2" s="15"/>
      <c r="WVE2" s="15"/>
      <c r="WVF2" s="6"/>
      <c r="WVG2" s="15"/>
      <c r="WVH2" s="53" t="str">
        <f>[4]利润表!$P$2</f>
        <v>日  期：2012年9月15日</v>
      </c>
      <c r="WVI2" s="14"/>
      <c r="WVJ2" s="15"/>
      <c r="WVK2" s="16"/>
      <c r="WVL2" s="15"/>
      <c r="WVM2" s="15"/>
      <c r="WVN2" s="15"/>
      <c r="WVO2" s="15"/>
      <c r="WVP2" s="15"/>
      <c r="WVQ2" s="6"/>
      <c r="WVR2" s="6"/>
      <c r="WVS2" s="6"/>
      <c r="WVT2" s="15"/>
      <c r="WVU2" s="15"/>
      <c r="WVV2" s="6"/>
      <c r="WVW2" s="15"/>
      <c r="WVX2" s="53" t="str">
        <f>[4]利润表!$P$2</f>
        <v>日  期：2012年9月15日</v>
      </c>
      <c r="WVY2" s="14"/>
      <c r="WVZ2" s="15"/>
      <c r="WWA2" s="16"/>
      <c r="WWB2" s="15"/>
      <c r="WWC2" s="15"/>
      <c r="WWD2" s="15"/>
      <c r="WWE2" s="15"/>
      <c r="WWF2" s="15"/>
      <c r="WWG2" s="6"/>
      <c r="WWH2" s="6"/>
      <c r="WWI2" s="6"/>
      <c r="WWJ2" s="15"/>
      <c r="WWK2" s="15"/>
      <c r="WWL2" s="6"/>
      <c r="WWM2" s="15"/>
      <c r="WWN2" s="53" t="str">
        <f>[4]利润表!$P$2</f>
        <v>日  期：2012年9月15日</v>
      </c>
      <c r="WWO2" s="14"/>
      <c r="WWP2" s="15"/>
      <c r="WWQ2" s="16"/>
      <c r="WWR2" s="15"/>
      <c r="WWS2" s="15"/>
      <c r="WWT2" s="15"/>
      <c r="WWU2" s="15"/>
      <c r="WWV2" s="15"/>
      <c r="WWW2" s="6"/>
      <c r="WWX2" s="6"/>
      <c r="WWY2" s="6"/>
      <c r="WWZ2" s="15"/>
      <c r="WXA2" s="15"/>
      <c r="WXB2" s="6"/>
      <c r="WXC2" s="15"/>
      <c r="WXD2" s="53" t="str">
        <f>[4]利润表!$P$2</f>
        <v>日  期：2012年9月15日</v>
      </c>
      <c r="WXE2" s="14"/>
      <c r="WXF2" s="15"/>
      <c r="WXG2" s="16"/>
      <c r="WXH2" s="15"/>
      <c r="WXI2" s="15"/>
      <c r="WXJ2" s="15"/>
      <c r="WXK2" s="15"/>
      <c r="WXL2" s="15"/>
      <c r="WXM2" s="6"/>
      <c r="WXN2" s="6"/>
      <c r="WXO2" s="6"/>
      <c r="WXP2" s="15"/>
      <c r="WXQ2" s="15"/>
      <c r="WXR2" s="6"/>
      <c r="WXS2" s="15"/>
      <c r="WXT2" s="53" t="str">
        <f>[4]利润表!$P$2</f>
        <v>日  期：2012年9月15日</v>
      </c>
      <c r="WXU2" s="14"/>
      <c r="WXV2" s="15"/>
      <c r="WXW2" s="16"/>
      <c r="WXX2" s="15"/>
      <c r="WXY2" s="15"/>
      <c r="WXZ2" s="15"/>
      <c r="WYA2" s="15"/>
      <c r="WYB2" s="15"/>
      <c r="WYC2" s="6"/>
      <c r="WYD2" s="6"/>
      <c r="WYE2" s="6"/>
      <c r="WYF2" s="15"/>
      <c r="WYG2" s="15"/>
      <c r="WYH2" s="6"/>
      <c r="WYI2" s="15"/>
      <c r="WYJ2" s="53" t="str">
        <f>[4]利润表!$P$2</f>
        <v>日  期：2012年9月15日</v>
      </c>
      <c r="WYK2" s="14"/>
      <c r="WYL2" s="15"/>
      <c r="WYM2" s="16"/>
      <c r="WYN2" s="15"/>
      <c r="WYO2" s="15"/>
      <c r="WYP2" s="15"/>
      <c r="WYQ2" s="15"/>
      <c r="WYR2" s="15"/>
      <c r="WYS2" s="6"/>
      <c r="WYT2" s="6"/>
      <c r="WYU2" s="6"/>
      <c r="WYV2" s="15"/>
      <c r="WYW2" s="15"/>
      <c r="WYX2" s="6"/>
      <c r="WYY2" s="15"/>
      <c r="WYZ2" s="53" t="str">
        <f>[4]利润表!$P$2</f>
        <v>日  期：2012年9月15日</v>
      </c>
      <c r="WZA2" s="14"/>
      <c r="WZB2" s="15"/>
      <c r="WZC2" s="16"/>
      <c r="WZD2" s="15"/>
      <c r="WZE2" s="15"/>
      <c r="WZF2" s="15"/>
      <c r="WZG2" s="15"/>
      <c r="WZH2" s="15"/>
      <c r="WZI2" s="6"/>
      <c r="WZJ2" s="6"/>
      <c r="WZK2" s="6"/>
      <c r="WZL2" s="15"/>
      <c r="WZM2" s="15"/>
      <c r="WZN2" s="6"/>
      <c r="WZO2" s="15"/>
      <c r="WZP2" s="53" t="str">
        <f>[4]利润表!$P$2</f>
        <v>日  期：2012年9月15日</v>
      </c>
      <c r="WZQ2" s="14"/>
      <c r="WZR2" s="15"/>
      <c r="WZS2" s="16"/>
      <c r="WZT2" s="15"/>
      <c r="WZU2" s="15"/>
      <c r="WZV2" s="15"/>
      <c r="WZW2" s="15"/>
      <c r="WZX2" s="15"/>
      <c r="WZY2" s="6"/>
      <c r="WZZ2" s="6"/>
      <c r="XAA2" s="6"/>
      <c r="XAB2" s="15"/>
      <c r="XAC2" s="15"/>
      <c r="XAD2" s="6"/>
      <c r="XAE2" s="15"/>
      <c r="XAF2" s="53" t="str">
        <f>[4]利润表!$P$2</f>
        <v>日  期：2012年9月15日</v>
      </c>
      <c r="XAG2" s="14"/>
      <c r="XAH2" s="15"/>
      <c r="XAI2" s="16"/>
      <c r="XAJ2" s="15"/>
      <c r="XAK2" s="15"/>
      <c r="XAL2" s="15"/>
      <c r="XAM2" s="15"/>
      <c r="XAN2" s="15"/>
      <c r="XAO2" s="6"/>
      <c r="XAP2" s="6"/>
      <c r="XAQ2" s="6"/>
      <c r="XAR2" s="15"/>
      <c r="XAS2" s="15"/>
      <c r="XAT2" s="6"/>
      <c r="XAU2" s="15"/>
      <c r="XAV2" s="53" t="str">
        <f>[4]利润表!$P$2</f>
        <v>日  期：2012年9月15日</v>
      </c>
      <c r="XAW2" s="14"/>
      <c r="XAX2" s="15"/>
      <c r="XAY2" s="16"/>
      <c r="XAZ2" s="15"/>
      <c r="XBA2" s="15"/>
      <c r="XBB2" s="15"/>
      <c r="XBC2" s="15"/>
      <c r="XBD2" s="15"/>
      <c r="XBE2" s="6"/>
      <c r="XBF2" s="6"/>
      <c r="XBG2" s="6"/>
      <c r="XBH2" s="15"/>
      <c r="XBI2" s="15"/>
      <c r="XBJ2" s="6"/>
      <c r="XBK2" s="15"/>
      <c r="XBL2" s="53" t="str">
        <f>[4]利润表!$P$2</f>
        <v>日  期：2012年9月15日</v>
      </c>
      <c r="XBM2" s="14"/>
      <c r="XBN2" s="15"/>
      <c r="XBO2" s="16"/>
      <c r="XBP2" s="15"/>
      <c r="XBQ2" s="15"/>
      <c r="XBR2" s="15"/>
      <c r="XBS2" s="15"/>
      <c r="XBT2" s="15"/>
      <c r="XBU2" s="6"/>
      <c r="XBV2" s="6"/>
      <c r="XBW2" s="6"/>
      <c r="XBX2" s="15"/>
      <c r="XBY2" s="15"/>
      <c r="XBZ2" s="6"/>
      <c r="XCA2" s="15"/>
      <c r="XCB2" s="53" t="str">
        <f>[4]利润表!$P$2</f>
        <v>日  期：2012年9月15日</v>
      </c>
      <c r="XCC2" s="14"/>
      <c r="XCD2" s="15"/>
      <c r="XCE2" s="16"/>
      <c r="XCF2" s="15"/>
      <c r="XCG2" s="15"/>
      <c r="XCH2" s="15"/>
      <c r="XCI2" s="15"/>
      <c r="XCJ2" s="15"/>
      <c r="XCK2" s="6"/>
      <c r="XCL2" s="6"/>
      <c r="XCM2" s="6"/>
      <c r="XCN2" s="15"/>
      <c r="XCO2" s="15"/>
      <c r="XCP2" s="6"/>
      <c r="XCQ2" s="15"/>
      <c r="XCR2" s="53" t="str">
        <f>[4]利润表!$P$2</f>
        <v>日  期：2012年9月15日</v>
      </c>
      <c r="XCS2" s="14"/>
      <c r="XCT2" s="15"/>
      <c r="XCU2" s="16"/>
      <c r="XCV2" s="15"/>
      <c r="XCW2" s="15"/>
      <c r="XCX2" s="15"/>
      <c r="XCY2" s="15"/>
      <c r="XCZ2" s="15"/>
      <c r="XDA2" s="6"/>
      <c r="XDB2" s="6"/>
      <c r="XDC2" s="6"/>
      <c r="XDD2" s="15"/>
      <c r="XDE2" s="15"/>
      <c r="XDF2" s="6"/>
      <c r="XDG2" s="15"/>
      <c r="XDH2" s="53" t="str">
        <f>[4]利润表!$P$2</f>
        <v>日  期：2012年9月15日</v>
      </c>
      <c r="XDI2" s="14"/>
      <c r="XDJ2" s="15"/>
      <c r="XDK2" s="16"/>
      <c r="XDL2" s="15"/>
      <c r="XDM2" s="15"/>
      <c r="XDN2" s="15"/>
      <c r="XDO2" s="15"/>
      <c r="XDP2" s="15"/>
      <c r="XDQ2" s="6"/>
      <c r="XDR2" s="6"/>
      <c r="XDS2" s="6"/>
      <c r="XDT2" s="15"/>
      <c r="XDU2" s="15"/>
      <c r="XDV2" s="6"/>
      <c r="XDW2" s="15"/>
      <c r="XDX2" s="53" t="str">
        <f>[4]利润表!$P$2</f>
        <v>日  期：2012年9月15日</v>
      </c>
      <c r="XDY2" s="14"/>
      <c r="XDZ2" s="15"/>
      <c r="XEA2" s="16"/>
      <c r="XEB2" s="15"/>
      <c r="XEC2" s="15"/>
      <c r="XED2" s="15"/>
      <c r="XEE2" s="15"/>
      <c r="XEF2" s="15"/>
      <c r="XEG2" s="6"/>
      <c r="XEH2" s="6"/>
      <c r="XEI2" s="6"/>
      <c r="XEJ2" s="15"/>
      <c r="XEK2" s="15"/>
      <c r="XEL2" s="6"/>
      <c r="XEM2" s="15"/>
      <c r="XEN2" s="53" t="str">
        <f>[4]利润表!$P$2</f>
        <v>日  期：2012年9月15日</v>
      </c>
      <c r="XEO2" s="14"/>
      <c r="XEP2" s="15"/>
      <c r="XEQ2" s="16"/>
      <c r="XER2" s="15"/>
      <c r="XES2" s="15"/>
      <c r="XET2" s="15"/>
      <c r="XEU2" s="15"/>
      <c r="XEV2" s="15"/>
      <c r="XEW2" s="6"/>
      <c r="XEX2" s="6"/>
      <c r="XEY2" s="6"/>
      <c r="XEZ2" s="15"/>
      <c r="XFA2" s="15"/>
      <c r="XFB2" s="6"/>
      <c r="XFC2" s="15"/>
      <c r="XFD2" s="53" t="str">
        <f>[4]利润表!$P$2</f>
        <v>日  期：2012年9月15日</v>
      </c>
    </row>
    <row r="3" spans="1:16384" ht="15" customHeight="1" x14ac:dyDescent="0.25">
      <c r="A3" s="244" t="s">
        <v>113</v>
      </c>
      <c r="B3" s="244" t="s">
        <v>3</v>
      </c>
      <c r="C3" s="241" t="s">
        <v>4</v>
      </c>
      <c r="D3" s="239" t="str">
        <f>锅炉工段!D3</f>
        <v>2025年预算</v>
      </c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</row>
    <row r="4" spans="1:16384" ht="15" customHeight="1" x14ac:dyDescent="0.25">
      <c r="A4" s="244"/>
      <c r="B4" s="244"/>
      <c r="C4" s="242"/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</row>
    <row r="5" spans="1:16384" ht="15" customHeight="1" x14ac:dyDescent="0.25">
      <c r="A5" s="18" t="s">
        <v>128</v>
      </c>
      <c r="B5" s="19"/>
      <c r="C5" s="20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209"/>
    </row>
    <row r="6" spans="1:16384" ht="15" customHeight="1" x14ac:dyDescent="0.25">
      <c r="A6" s="18" t="s">
        <v>129</v>
      </c>
      <c r="B6" s="19"/>
      <c r="C6" s="20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209"/>
      <c r="Q6" s="212" t="s">
        <v>53</v>
      </c>
    </row>
    <row r="7" spans="1:16384" ht="15" customHeight="1" x14ac:dyDescent="0.25">
      <c r="A7" s="44" t="s">
        <v>130</v>
      </c>
      <c r="B7" s="34" t="s">
        <v>131</v>
      </c>
      <c r="C7" s="189"/>
      <c r="D7" s="167">
        <f t="shared" ref="D7:O7" si="0">ROUND(D8*D$53,2)</f>
        <v>21224.52</v>
      </c>
      <c r="E7" s="167">
        <f t="shared" si="0"/>
        <v>12395.16</v>
      </c>
      <c r="F7" s="167">
        <f t="shared" si="0"/>
        <v>13942.25</v>
      </c>
      <c r="G7" s="167">
        <f t="shared" si="0"/>
        <v>12794.76</v>
      </c>
      <c r="H7" s="167">
        <f t="shared" si="0"/>
        <v>19498.259999999998</v>
      </c>
      <c r="I7" s="167">
        <f t="shared" si="0"/>
        <v>19669.34</v>
      </c>
      <c r="J7" s="167">
        <f t="shared" si="0"/>
        <v>19289.55</v>
      </c>
      <c r="K7" s="167">
        <f t="shared" si="0"/>
        <v>22749.84</v>
      </c>
      <c r="L7" s="167">
        <f t="shared" si="0"/>
        <v>15094.36</v>
      </c>
      <c r="M7" s="167">
        <f t="shared" si="0"/>
        <v>10308.6</v>
      </c>
      <c r="N7" s="167">
        <f t="shared" si="0"/>
        <v>9716.94</v>
      </c>
      <c r="O7" s="167">
        <f t="shared" si="0"/>
        <v>19515.28</v>
      </c>
      <c r="P7" s="26">
        <f>SUM(D7:O7)</f>
        <v>196198.86</v>
      </c>
      <c r="Q7" s="213"/>
      <c r="R7" s="214"/>
      <c r="S7" s="215"/>
    </row>
    <row r="8" spans="1:16384" ht="15" customHeight="1" x14ac:dyDescent="0.25">
      <c r="A8" s="42" t="s">
        <v>53</v>
      </c>
      <c r="B8" s="34" t="s">
        <v>132</v>
      </c>
      <c r="C8" s="189"/>
      <c r="D8" s="190">
        <v>0.38</v>
      </c>
      <c r="E8" s="190">
        <v>0.36</v>
      </c>
      <c r="F8" s="190">
        <v>0.35</v>
      </c>
      <c r="G8" s="190">
        <v>0.36</v>
      </c>
      <c r="H8" s="190">
        <v>0.37</v>
      </c>
      <c r="I8" s="190">
        <v>0.34</v>
      </c>
      <c r="J8" s="190">
        <v>0.35</v>
      </c>
      <c r="K8" s="190">
        <v>0.36</v>
      </c>
      <c r="L8" s="190">
        <v>0.38</v>
      </c>
      <c r="M8" s="190">
        <v>0.36</v>
      </c>
      <c r="N8" s="190">
        <v>0.37</v>
      </c>
      <c r="O8" s="190">
        <v>0.38</v>
      </c>
      <c r="P8" s="55">
        <f>ROUND(IF(P$53=0,0,P7/P$53),3)</f>
        <v>0.36299999999999999</v>
      </c>
      <c r="Q8" s="212">
        <v>0.38</v>
      </c>
      <c r="R8" s="214"/>
      <c r="S8" s="215"/>
    </row>
    <row r="9" spans="1:16384" ht="15" customHeight="1" x14ac:dyDescent="0.25">
      <c r="A9" s="44" t="s">
        <v>55</v>
      </c>
      <c r="B9" s="34" t="s">
        <v>131</v>
      </c>
      <c r="C9" s="189"/>
      <c r="D9" s="167">
        <f t="shared" ref="D9:O9" si="1">ROUND(D10*D$53,2)</f>
        <v>0</v>
      </c>
      <c r="E9" s="167">
        <f t="shared" si="1"/>
        <v>0</v>
      </c>
      <c r="F9" s="167">
        <f t="shared" si="1"/>
        <v>0</v>
      </c>
      <c r="G9" s="167">
        <f t="shared" si="1"/>
        <v>0</v>
      </c>
      <c r="H9" s="167">
        <f t="shared" si="1"/>
        <v>0</v>
      </c>
      <c r="I9" s="167">
        <f t="shared" si="1"/>
        <v>0</v>
      </c>
      <c r="J9" s="167">
        <f t="shared" si="1"/>
        <v>0</v>
      </c>
      <c r="K9" s="167">
        <f t="shared" si="1"/>
        <v>0</v>
      </c>
      <c r="L9" s="167">
        <f t="shared" si="1"/>
        <v>0</v>
      </c>
      <c r="M9" s="167">
        <f t="shared" si="1"/>
        <v>0</v>
      </c>
      <c r="N9" s="167">
        <f t="shared" si="1"/>
        <v>0</v>
      </c>
      <c r="O9" s="167">
        <f t="shared" si="1"/>
        <v>0</v>
      </c>
      <c r="P9" s="26">
        <f>SUM(D9:O9)</f>
        <v>0</v>
      </c>
      <c r="Q9" s="212"/>
      <c r="R9" s="214"/>
      <c r="S9" s="215"/>
    </row>
    <row r="10" spans="1:16384" ht="15" customHeight="1" x14ac:dyDescent="0.25">
      <c r="A10" s="42" t="s">
        <v>53</v>
      </c>
      <c r="B10" s="34" t="s">
        <v>132</v>
      </c>
      <c r="C10" s="189"/>
      <c r="D10" s="190">
        <v>0</v>
      </c>
      <c r="E10" s="190">
        <v>0</v>
      </c>
      <c r="F10" s="190">
        <v>0</v>
      </c>
      <c r="G10" s="190">
        <v>0</v>
      </c>
      <c r="H10" s="190">
        <v>0</v>
      </c>
      <c r="I10" s="190">
        <v>0</v>
      </c>
      <c r="J10" s="190">
        <v>0</v>
      </c>
      <c r="K10" s="190">
        <v>0</v>
      </c>
      <c r="L10" s="190">
        <v>0</v>
      </c>
      <c r="M10" s="190">
        <v>0</v>
      </c>
      <c r="N10" s="190">
        <v>0</v>
      </c>
      <c r="O10" s="190">
        <v>0</v>
      </c>
      <c r="P10" s="55">
        <f>ROUND(IF(P$53=0,0,P9/P$53),3)</f>
        <v>0</v>
      </c>
      <c r="Q10" s="212"/>
      <c r="R10" s="214"/>
      <c r="S10" s="215"/>
    </row>
    <row r="11" spans="1:16384" ht="15" customHeight="1" x14ac:dyDescent="0.25">
      <c r="A11" s="44" t="s">
        <v>133</v>
      </c>
      <c r="B11" s="34" t="s">
        <v>131</v>
      </c>
      <c r="C11" s="189" t="s">
        <v>134</v>
      </c>
      <c r="D11" s="167">
        <f t="shared" ref="D11:O11" si="2">ROUND(D12*D$53,2)</f>
        <v>0</v>
      </c>
      <c r="E11" s="167">
        <f t="shared" si="2"/>
        <v>0</v>
      </c>
      <c r="F11" s="167">
        <f t="shared" si="2"/>
        <v>0</v>
      </c>
      <c r="G11" s="167">
        <f t="shared" si="2"/>
        <v>0</v>
      </c>
      <c r="H11" s="167">
        <f t="shared" si="2"/>
        <v>0</v>
      </c>
      <c r="I11" s="167">
        <f t="shared" si="2"/>
        <v>0</v>
      </c>
      <c r="J11" s="167">
        <f t="shared" si="2"/>
        <v>0</v>
      </c>
      <c r="K11" s="167">
        <f t="shared" si="2"/>
        <v>0</v>
      </c>
      <c r="L11" s="167">
        <f t="shared" si="2"/>
        <v>0</v>
      </c>
      <c r="M11" s="167">
        <f t="shared" si="2"/>
        <v>0</v>
      </c>
      <c r="N11" s="167">
        <f t="shared" si="2"/>
        <v>0</v>
      </c>
      <c r="O11" s="167">
        <f t="shared" si="2"/>
        <v>0</v>
      </c>
      <c r="P11" s="26">
        <f>SUM(D11:O11)</f>
        <v>0</v>
      </c>
      <c r="Q11" s="212"/>
      <c r="R11" s="216"/>
      <c r="S11" s="215"/>
    </row>
    <row r="12" spans="1:16384" ht="15" customHeight="1" x14ac:dyDescent="0.25">
      <c r="A12" s="42" t="s">
        <v>53</v>
      </c>
      <c r="B12" s="34" t="s">
        <v>132</v>
      </c>
      <c r="C12" s="189"/>
      <c r="D12" s="190">
        <v>0</v>
      </c>
      <c r="E12" s="190">
        <v>0</v>
      </c>
      <c r="F12" s="190">
        <v>0</v>
      </c>
      <c r="G12" s="190">
        <v>0</v>
      </c>
      <c r="H12" s="190">
        <v>0</v>
      </c>
      <c r="I12" s="190">
        <v>0</v>
      </c>
      <c r="J12" s="190">
        <v>0</v>
      </c>
      <c r="K12" s="190">
        <v>0</v>
      </c>
      <c r="L12" s="190">
        <v>0</v>
      </c>
      <c r="M12" s="190">
        <v>0</v>
      </c>
      <c r="N12" s="190">
        <v>0</v>
      </c>
      <c r="O12" s="190">
        <v>0</v>
      </c>
      <c r="P12" s="55">
        <f>ROUND(IF(P$53=0,0,P11/P$53),3)</f>
        <v>0</v>
      </c>
      <c r="Q12" s="212"/>
      <c r="R12" s="216"/>
      <c r="S12" s="215"/>
    </row>
    <row r="13" spans="1:16384" ht="15" customHeight="1" x14ac:dyDescent="0.25">
      <c r="A13" s="44" t="s">
        <v>135</v>
      </c>
      <c r="B13" s="34" t="s">
        <v>131</v>
      </c>
      <c r="C13" s="189"/>
      <c r="D13" s="167">
        <f t="shared" ref="D13:O13" si="3">ROUND(D14*D$53,2)</f>
        <v>0</v>
      </c>
      <c r="E13" s="167">
        <f t="shared" si="3"/>
        <v>0</v>
      </c>
      <c r="F13" s="167">
        <f t="shared" si="3"/>
        <v>0</v>
      </c>
      <c r="G13" s="167">
        <f t="shared" si="3"/>
        <v>0</v>
      </c>
      <c r="H13" s="167">
        <f t="shared" si="3"/>
        <v>0</v>
      </c>
      <c r="I13" s="167">
        <f t="shared" si="3"/>
        <v>0</v>
      </c>
      <c r="J13" s="167">
        <f t="shared" si="3"/>
        <v>0</v>
      </c>
      <c r="K13" s="167">
        <f t="shared" si="3"/>
        <v>0</v>
      </c>
      <c r="L13" s="167">
        <f t="shared" si="3"/>
        <v>0</v>
      </c>
      <c r="M13" s="167">
        <f t="shared" si="3"/>
        <v>0</v>
      </c>
      <c r="N13" s="167">
        <f t="shared" si="3"/>
        <v>0</v>
      </c>
      <c r="O13" s="167">
        <f t="shared" si="3"/>
        <v>0</v>
      </c>
      <c r="P13" s="26">
        <f>SUM(D13:O13)</f>
        <v>0</v>
      </c>
      <c r="Q13" s="212"/>
      <c r="R13" s="216"/>
      <c r="S13" s="215"/>
    </row>
    <row r="14" spans="1:16384" ht="15" customHeight="1" x14ac:dyDescent="0.25">
      <c r="A14" s="42" t="s">
        <v>53</v>
      </c>
      <c r="B14" s="34" t="s">
        <v>132</v>
      </c>
      <c r="C14" s="189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55">
        <f>ROUND(IF(P$53=0,0,P13/P$53),3)</f>
        <v>0</v>
      </c>
      <c r="Q14" s="212"/>
      <c r="R14" s="216"/>
      <c r="S14" s="215"/>
    </row>
    <row r="15" spans="1:16384" ht="15" customHeight="1" x14ac:dyDescent="0.25">
      <c r="A15" s="44" t="s">
        <v>136</v>
      </c>
      <c r="B15" s="34" t="s">
        <v>131</v>
      </c>
      <c r="C15" s="189"/>
      <c r="D15" s="167">
        <f t="shared" ref="D15:O15" si="4">ROUND(D16*D$53,2)</f>
        <v>1117.08</v>
      </c>
      <c r="E15" s="167">
        <f t="shared" si="4"/>
        <v>688.62</v>
      </c>
      <c r="F15" s="167">
        <f t="shared" si="4"/>
        <v>796.7</v>
      </c>
      <c r="G15" s="167">
        <f t="shared" si="4"/>
        <v>710.82</v>
      </c>
      <c r="H15" s="167">
        <f t="shared" si="4"/>
        <v>1053.96</v>
      </c>
      <c r="I15" s="167">
        <f t="shared" si="4"/>
        <v>1157.02</v>
      </c>
      <c r="J15" s="167">
        <f t="shared" si="4"/>
        <v>1102.26</v>
      </c>
      <c r="K15" s="167">
        <f t="shared" si="4"/>
        <v>1263.8800000000001</v>
      </c>
      <c r="L15" s="167">
        <f t="shared" si="4"/>
        <v>794.44</v>
      </c>
      <c r="M15" s="167">
        <f t="shared" si="4"/>
        <v>572.70000000000005</v>
      </c>
      <c r="N15" s="167">
        <f t="shared" si="4"/>
        <v>525.24</v>
      </c>
      <c r="O15" s="167">
        <f t="shared" si="4"/>
        <v>1027.1199999999999</v>
      </c>
      <c r="P15" s="26">
        <f>SUM(D15:O15)</f>
        <v>10809.84</v>
      </c>
      <c r="Q15" s="212"/>
      <c r="R15" s="216"/>
      <c r="S15" s="215"/>
    </row>
    <row r="16" spans="1:16384" ht="15" customHeight="1" x14ac:dyDescent="0.25">
      <c r="A16" s="42" t="s">
        <v>53</v>
      </c>
      <c r="B16" s="34" t="s">
        <v>132</v>
      </c>
      <c r="C16" s="189"/>
      <c r="D16" s="190">
        <v>0.02</v>
      </c>
      <c r="E16" s="190">
        <v>0.02</v>
      </c>
      <c r="F16" s="190">
        <v>0.02</v>
      </c>
      <c r="G16" s="190">
        <v>0.02</v>
      </c>
      <c r="H16" s="190">
        <v>0.02</v>
      </c>
      <c r="I16" s="190">
        <v>0.02</v>
      </c>
      <c r="J16" s="190">
        <v>0.02</v>
      </c>
      <c r="K16" s="190">
        <v>0.02</v>
      </c>
      <c r="L16" s="190">
        <v>0.02</v>
      </c>
      <c r="M16" s="190">
        <v>0.02</v>
      </c>
      <c r="N16" s="190">
        <v>0.02</v>
      </c>
      <c r="O16" s="190">
        <v>0.02</v>
      </c>
      <c r="P16" s="55">
        <f>ROUND(IF(P$53=0,0,P15/P$53),3)</f>
        <v>0.02</v>
      </c>
      <c r="Q16" s="212">
        <v>0.02</v>
      </c>
      <c r="R16" s="216"/>
      <c r="S16" s="215"/>
    </row>
    <row r="17" spans="1:19" ht="15" customHeight="1" x14ac:dyDescent="0.25">
      <c r="A17" s="44" t="s">
        <v>137</v>
      </c>
      <c r="B17" s="34" t="s">
        <v>131</v>
      </c>
      <c r="C17" s="189"/>
      <c r="D17" s="167">
        <f t="shared" ref="D17:O17" si="5">ROUND(D18*D$53,2)</f>
        <v>51385.68</v>
      </c>
      <c r="E17" s="167">
        <f t="shared" si="5"/>
        <v>32020.83</v>
      </c>
      <c r="F17" s="167">
        <f t="shared" si="5"/>
        <v>35453.15</v>
      </c>
      <c r="G17" s="167">
        <f t="shared" si="5"/>
        <v>31276.080000000002</v>
      </c>
      <c r="H17" s="167">
        <f t="shared" si="5"/>
        <v>45847.26</v>
      </c>
      <c r="I17" s="167">
        <f t="shared" si="5"/>
        <v>51487.39</v>
      </c>
      <c r="J17" s="167">
        <f t="shared" si="5"/>
        <v>49601.7</v>
      </c>
      <c r="K17" s="167">
        <f t="shared" si="5"/>
        <v>56874.6</v>
      </c>
      <c r="L17" s="167">
        <f t="shared" si="5"/>
        <v>35749.800000000003</v>
      </c>
      <c r="M17" s="167">
        <f t="shared" si="5"/>
        <v>25771.5</v>
      </c>
      <c r="N17" s="167">
        <f t="shared" si="5"/>
        <v>24161.040000000001</v>
      </c>
      <c r="O17" s="167">
        <f t="shared" si="5"/>
        <v>48274.64</v>
      </c>
      <c r="P17" s="26">
        <f>SUM(D17:O17)</f>
        <v>487903.67</v>
      </c>
      <c r="Q17" s="212"/>
      <c r="R17" s="216"/>
      <c r="S17" s="215"/>
    </row>
    <row r="18" spans="1:19" ht="15" customHeight="1" x14ac:dyDescent="0.25">
      <c r="A18" s="42" t="s">
        <v>53</v>
      </c>
      <c r="B18" s="34" t="s">
        <v>132</v>
      </c>
      <c r="C18" s="189"/>
      <c r="D18" s="190">
        <v>0.92</v>
      </c>
      <c r="E18" s="190">
        <v>0.93</v>
      </c>
      <c r="F18" s="190">
        <v>0.89</v>
      </c>
      <c r="G18" s="190">
        <v>0.88</v>
      </c>
      <c r="H18" s="190">
        <v>0.87</v>
      </c>
      <c r="I18" s="190">
        <v>0.89</v>
      </c>
      <c r="J18" s="190">
        <v>0.9</v>
      </c>
      <c r="K18" s="190">
        <v>0.9</v>
      </c>
      <c r="L18" s="190">
        <v>0.9</v>
      </c>
      <c r="M18" s="190">
        <v>0.9</v>
      </c>
      <c r="N18" s="190">
        <v>0.92</v>
      </c>
      <c r="O18" s="190">
        <v>0.94</v>
      </c>
      <c r="P18" s="55">
        <f>ROUND(IF(P$53=0,0,P17/P$53),3)</f>
        <v>0.90300000000000002</v>
      </c>
      <c r="Q18" s="217">
        <v>1</v>
      </c>
      <c r="S18" s="215"/>
    </row>
    <row r="19" spans="1:19" ht="15" customHeight="1" x14ac:dyDescent="0.25">
      <c r="A19" s="18" t="s">
        <v>138</v>
      </c>
      <c r="B19" s="19"/>
      <c r="C19" s="20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209"/>
      <c r="Q19" s="212"/>
      <c r="S19" s="215"/>
    </row>
    <row r="20" spans="1:19" ht="15" customHeight="1" x14ac:dyDescent="0.25">
      <c r="A20" s="44" t="s">
        <v>139</v>
      </c>
      <c r="B20" s="34" t="s">
        <v>131</v>
      </c>
      <c r="C20" s="189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26">
        <f>SUM(D20:O20)</f>
        <v>0</v>
      </c>
      <c r="Q20" s="218"/>
      <c r="R20" s="187"/>
      <c r="S20" s="215"/>
    </row>
    <row r="21" spans="1:19" ht="15" customHeight="1" x14ac:dyDescent="0.25">
      <c r="A21" s="44" t="s">
        <v>140</v>
      </c>
      <c r="B21" s="34" t="s">
        <v>131</v>
      </c>
      <c r="C21" s="189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26">
        <f>SUM(D21:O21)</f>
        <v>0</v>
      </c>
      <c r="Q21" s="218"/>
      <c r="R21" s="187"/>
      <c r="S21" s="215"/>
    </row>
    <row r="22" spans="1:19" ht="15" customHeight="1" x14ac:dyDescent="0.25">
      <c r="A22" s="18" t="s">
        <v>141</v>
      </c>
      <c r="B22" s="19"/>
      <c r="C22" s="20" t="s">
        <v>142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09"/>
      <c r="Q22" s="219"/>
      <c r="R22" s="187"/>
      <c r="S22" s="215"/>
    </row>
    <row r="23" spans="1:19" ht="15" customHeight="1" x14ac:dyDescent="0.25">
      <c r="A23" s="192" t="s">
        <v>143</v>
      </c>
      <c r="B23" s="34" t="s">
        <v>131</v>
      </c>
      <c r="C23" s="193">
        <v>901</v>
      </c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26">
        <f>SUM(D23:O23)</f>
        <v>0</v>
      </c>
      <c r="Q23" s="218"/>
      <c r="R23" s="187"/>
      <c r="S23" s="215"/>
    </row>
    <row r="24" spans="1:19" ht="15" customHeight="1" x14ac:dyDescent="0.25">
      <c r="A24" s="44" t="s">
        <v>144</v>
      </c>
      <c r="B24" s="34" t="s">
        <v>131</v>
      </c>
      <c r="C24" s="189" t="s">
        <v>145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26">
        <f>SUM(D24:O24)</f>
        <v>0</v>
      </c>
      <c r="Q24" s="218"/>
      <c r="R24" s="187"/>
      <c r="S24" s="215"/>
    </row>
    <row r="25" spans="1:19" ht="15" customHeight="1" x14ac:dyDescent="0.25">
      <c r="A25" s="192" t="s">
        <v>146</v>
      </c>
      <c r="B25" s="34" t="s">
        <v>131</v>
      </c>
      <c r="C25" s="193">
        <v>3515</v>
      </c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26">
        <f>SUM(D25:O25)</f>
        <v>0</v>
      </c>
      <c r="Q25" s="218"/>
      <c r="R25" s="187"/>
      <c r="S25" s="215"/>
    </row>
    <row r="26" spans="1:19" ht="15" customHeight="1" x14ac:dyDescent="0.25">
      <c r="A26" s="44" t="s">
        <v>147</v>
      </c>
      <c r="B26" s="34" t="s">
        <v>131</v>
      </c>
      <c r="C26" s="193">
        <v>5910</v>
      </c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26">
        <f>SUM(D26:O26)</f>
        <v>0</v>
      </c>
      <c r="Q26" s="218"/>
      <c r="R26" s="187"/>
      <c r="S26" s="215"/>
    </row>
    <row r="27" spans="1:19" ht="15" customHeight="1" x14ac:dyDescent="0.25">
      <c r="A27" s="192" t="s">
        <v>148</v>
      </c>
      <c r="B27" s="34" t="s">
        <v>131</v>
      </c>
      <c r="C27" s="193">
        <v>739</v>
      </c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26">
        <f>SUM(D27:O27)</f>
        <v>0</v>
      </c>
      <c r="Q27" s="218"/>
      <c r="S27" s="215"/>
    </row>
    <row r="28" spans="1:19" ht="15" customHeight="1" x14ac:dyDescent="0.25">
      <c r="A28" s="36" t="s">
        <v>149</v>
      </c>
      <c r="B28" s="34"/>
      <c r="C28" s="195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210"/>
      <c r="Q28" s="219"/>
      <c r="R28" s="187"/>
      <c r="S28" s="215"/>
    </row>
    <row r="29" spans="1:19" ht="15" customHeight="1" x14ac:dyDescent="0.25">
      <c r="A29" s="44" t="s">
        <v>133</v>
      </c>
      <c r="B29" s="34" t="s">
        <v>131</v>
      </c>
      <c r="C29" s="193" t="s">
        <v>150</v>
      </c>
      <c r="D29" s="197">
        <v>395.65</v>
      </c>
      <c r="E29" s="197">
        <v>229.27</v>
      </c>
      <c r="F29" s="197">
        <v>227.34</v>
      </c>
      <c r="G29" s="197">
        <v>315.38</v>
      </c>
      <c r="H29" s="197">
        <v>367.34</v>
      </c>
      <c r="I29" s="197">
        <v>405.41</v>
      </c>
      <c r="J29" s="197">
        <v>394.76</v>
      </c>
      <c r="K29" s="197">
        <v>434.87</v>
      </c>
      <c r="L29" s="197">
        <v>327.37</v>
      </c>
      <c r="M29" s="197">
        <v>236.8</v>
      </c>
      <c r="N29" s="197">
        <v>213.23</v>
      </c>
      <c r="O29" s="197">
        <v>396.84</v>
      </c>
      <c r="P29" s="26">
        <f>SUM(D29:O29)</f>
        <v>3944.26</v>
      </c>
      <c r="Q29" s="219"/>
      <c r="R29" s="187"/>
      <c r="S29" s="215"/>
    </row>
    <row r="30" spans="1:19" ht="15" customHeight="1" x14ac:dyDescent="0.25">
      <c r="A30" s="44" t="s">
        <v>151</v>
      </c>
      <c r="B30" s="34" t="s">
        <v>131</v>
      </c>
      <c r="C30" s="193"/>
      <c r="D30" s="197">
        <v>65941.2</v>
      </c>
      <c r="E30" s="197">
        <v>38210.949999999997</v>
      </c>
      <c r="F30" s="197">
        <v>37890.129999999997</v>
      </c>
      <c r="G30" s="197">
        <v>52562.97</v>
      </c>
      <c r="H30" s="197">
        <v>58161.68</v>
      </c>
      <c r="I30" s="197">
        <v>64189.47</v>
      </c>
      <c r="J30" s="197">
        <v>62503.24</v>
      </c>
      <c r="K30" s="197">
        <v>68854.399999999994</v>
      </c>
      <c r="L30" s="197">
        <v>51832.98</v>
      </c>
      <c r="M30" s="197">
        <v>37494.06</v>
      </c>
      <c r="N30" s="197">
        <v>39091.83</v>
      </c>
      <c r="O30" s="197">
        <v>72754.53</v>
      </c>
      <c r="P30" s="26">
        <f>SUM(D30:O30)</f>
        <v>649487.43999999994</v>
      </c>
      <c r="Q30" s="219">
        <v>1.05</v>
      </c>
      <c r="S30" s="215"/>
    </row>
    <row r="31" spans="1:19" ht="15" customHeight="1" x14ac:dyDescent="0.25">
      <c r="A31" s="198" t="s">
        <v>152</v>
      </c>
      <c r="B31" s="34"/>
      <c r="C31" s="189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26"/>
      <c r="Q31" s="219"/>
      <c r="S31" s="215"/>
    </row>
    <row r="32" spans="1:19" ht="15" customHeight="1" x14ac:dyDescent="0.25">
      <c r="A32" s="29" t="s">
        <v>153</v>
      </c>
      <c r="B32" s="34" t="s">
        <v>123</v>
      </c>
      <c r="C32" s="189"/>
      <c r="D32" s="167">
        <f t="shared" ref="D32:O32" si="6">ROUND(D33*D$53,0)</f>
        <v>559</v>
      </c>
      <c r="E32" s="167">
        <f t="shared" si="6"/>
        <v>310</v>
      </c>
      <c r="F32" s="167">
        <f t="shared" si="6"/>
        <v>398</v>
      </c>
      <c r="G32" s="167">
        <f t="shared" si="6"/>
        <v>355</v>
      </c>
      <c r="H32" s="167">
        <f t="shared" si="6"/>
        <v>527</v>
      </c>
      <c r="I32" s="167">
        <f t="shared" si="6"/>
        <v>579</v>
      </c>
      <c r="J32" s="167">
        <f t="shared" si="6"/>
        <v>551</v>
      </c>
      <c r="K32" s="167">
        <f t="shared" si="6"/>
        <v>632</v>
      </c>
      <c r="L32" s="167">
        <f t="shared" si="6"/>
        <v>397</v>
      </c>
      <c r="M32" s="167">
        <f t="shared" si="6"/>
        <v>286</v>
      </c>
      <c r="N32" s="167">
        <f t="shared" si="6"/>
        <v>263</v>
      </c>
      <c r="O32" s="167">
        <f t="shared" si="6"/>
        <v>514</v>
      </c>
      <c r="P32" s="211">
        <f>SUM(D32:O32)</f>
        <v>5371</v>
      </c>
      <c r="Q32" s="219"/>
      <c r="S32" s="215"/>
    </row>
    <row r="33" spans="1:19" ht="15" customHeight="1" x14ac:dyDescent="0.25">
      <c r="A33" s="27" t="s">
        <v>53</v>
      </c>
      <c r="B33" s="34" t="s">
        <v>124</v>
      </c>
      <c r="C33" s="189"/>
      <c r="D33" s="199">
        <v>0.01</v>
      </c>
      <c r="E33" s="199">
        <v>8.9999999999999993E-3</v>
      </c>
      <c r="F33" s="199">
        <v>0.01</v>
      </c>
      <c r="G33" s="199">
        <v>0.01</v>
      </c>
      <c r="H33" s="199">
        <v>0.01</v>
      </c>
      <c r="I33" s="199">
        <v>0.01</v>
      </c>
      <c r="J33" s="199">
        <v>0.01</v>
      </c>
      <c r="K33" s="199">
        <v>0.01</v>
      </c>
      <c r="L33" s="199">
        <v>0.01</v>
      </c>
      <c r="M33" s="199">
        <v>0.01</v>
      </c>
      <c r="N33" s="199">
        <v>0.01</v>
      </c>
      <c r="O33" s="199">
        <v>0.01</v>
      </c>
      <c r="P33" s="56">
        <f>ROUND(IF(P$53=0,0,P32/P$53),3)</f>
        <v>0.01</v>
      </c>
      <c r="Q33" s="212">
        <v>0.01</v>
      </c>
      <c r="S33" s="215"/>
    </row>
    <row r="34" spans="1:19" ht="15" customHeight="1" x14ac:dyDescent="0.25">
      <c r="A34" s="29" t="s">
        <v>154</v>
      </c>
      <c r="B34" s="34" t="s">
        <v>123</v>
      </c>
      <c r="C34" s="189"/>
      <c r="D34" s="200">
        <f t="shared" ref="D34:O34" si="7">ROUND(D35*D$53,0)/10000</f>
        <v>7.8196000000000003</v>
      </c>
      <c r="E34" s="200">
        <f t="shared" si="7"/>
        <v>4.8202999999999996</v>
      </c>
      <c r="F34" s="200">
        <f t="shared" si="7"/>
        <v>5.5769000000000002</v>
      </c>
      <c r="G34" s="200">
        <f t="shared" si="7"/>
        <v>4.9756999999999998</v>
      </c>
      <c r="H34" s="200">
        <f t="shared" si="7"/>
        <v>7.3776999999999999</v>
      </c>
      <c r="I34" s="200">
        <f t="shared" si="7"/>
        <v>8.0991</v>
      </c>
      <c r="J34" s="200">
        <f t="shared" si="7"/>
        <v>7.7157999999999998</v>
      </c>
      <c r="K34" s="200">
        <f t="shared" si="7"/>
        <v>8.8472000000000008</v>
      </c>
      <c r="L34" s="200">
        <f t="shared" si="7"/>
        <v>5.5610999999999997</v>
      </c>
      <c r="M34" s="200">
        <f t="shared" si="7"/>
        <v>4.0088999999999997</v>
      </c>
      <c r="N34" s="200">
        <f t="shared" si="7"/>
        <v>3.6766999999999999</v>
      </c>
      <c r="O34" s="200">
        <f t="shared" si="7"/>
        <v>7.1898</v>
      </c>
      <c r="P34" s="211">
        <f>SUM(D34:O34)</f>
        <v>75.668800000000005</v>
      </c>
      <c r="Q34" s="212"/>
      <c r="S34" s="215"/>
    </row>
    <row r="35" spans="1:19" ht="15" customHeight="1" x14ac:dyDescent="0.25">
      <c r="A35" s="27" t="s">
        <v>53</v>
      </c>
      <c r="B35" s="34" t="s">
        <v>124</v>
      </c>
      <c r="C35" s="189"/>
      <c r="D35" s="201">
        <v>1.4</v>
      </c>
      <c r="E35" s="201">
        <v>1.4</v>
      </c>
      <c r="F35" s="201">
        <v>1.4</v>
      </c>
      <c r="G35" s="201">
        <v>1.4</v>
      </c>
      <c r="H35" s="201">
        <v>1.4</v>
      </c>
      <c r="I35" s="201">
        <v>1.4</v>
      </c>
      <c r="J35" s="201">
        <v>1.4</v>
      </c>
      <c r="K35" s="201">
        <v>1.4</v>
      </c>
      <c r="L35" s="201">
        <v>1.4</v>
      </c>
      <c r="M35" s="201">
        <v>1.4</v>
      </c>
      <c r="N35" s="201">
        <v>1.4</v>
      </c>
      <c r="O35" s="201">
        <v>1.4</v>
      </c>
      <c r="P35" s="56">
        <f>ROUND(IF(P$53=0,0,P34*10000/P$53),3)</f>
        <v>1.4</v>
      </c>
      <c r="Q35" s="212">
        <v>1.4</v>
      </c>
      <c r="S35" s="215"/>
    </row>
    <row r="36" spans="1:19" ht="15" customHeight="1" x14ac:dyDescent="0.25">
      <c r="A36" s="29" t="s">
        <v>155</v>
      </c>
      <c r="B36" s="34" t="s">
        <v>77</v>
      </c>
      <c r="C36" s="189"/>
      <c r="D36" s="167">
        <f t="shared" ref="D36:O36" si="8">ROUND(D37*D$53,0)</f>
        <v>0</v>
      </c>
      <c r="E36" s="167">
        <f t="shared" si="8"/>
        <v>0</v>
      </c>
      <c r="F36" s="167">
        <f t="shared" si="8"/>
        <v>0</v>
      </c>
      <c r="G36" s="167">
        <f t="shared" si="8"/>
        <v>0</v>
      </c>
      <c r="H36" s="167">
        <f t="shared" si="8"/>
        <v>0</v>
      </c>
      <c r="I36" s="167">
        <f t="shared" si="8"/>
        <v>0</v>
      </c>
      <c r="J36" s="167">
        <f t="shared" si="8"/>
        <v>0</v>
      </c>
      <c r="K36" s="167">
        <f t="shared" si="8"/>
        <v>0</v>
      </c>
      <c r="L36" s="167">
        <f t="shared" si="8"/>
        <v>0</v>
      </c>
      <c r="M36" s="167">
        <f t="shared" si="8"/>
        <v>0</v>
      </c>
      <c r="N36" s="167">
        <f t="shared" si="8"/>
        <v>0</v>
      </c>
      <c r="O36" s="167">
        <f t="shared" si="8"/>
        <v>0</v>
      </c>
      <c r="P36" s="26">
        <f>SUM(D36:O36)</f>
        <v>0</v>
      </c>
      <c r="Q36" s="212"/>
      <c r="S36" s="215"/>
    </row>
    <row r="37" spans="1:19" ht="15" customHeight="1" x14ac:dyDescent="0.25">
      <c r="A37" s="27" t="s">
        <v>53</v>
      </c>
      <c r="B37" s="34" t="s">
        <v>125</v>
      </c>
      <c r="C37" s="189"/>
      <c r="D37" s="190">
        <v>0</v>
      </c>
      <c r="E37" s="190">
        <v>0</v>
      </c>
      <c r="F37" s="190">
        <v>0</v>
      </c>
      <c r="G37" s="190">
        <v>0</v>
      </c>
      <c r="H37" s="190">
        <v>0</v>
      </c>
      <c r="I37" s="190">
        <v>0</v>
      </c>
      <c r="J37" s="190">
        <v>0</v>
      </c>
      <c r="K37" s="190">
        <v>0</v>
      </c>
      <c r="L37" s="190">
        <v>0</v>
      </c>
      <c r="M37" s="190">
        <v>0</v>
      </c>
      <c r="N37" s="190">
        <v>0</v>
      </c>
      <c r="O37" s="190">
        <v>0</v>
      </c>
      <c r="P37" s="55">
        <f>ROUND(IF(P$53=0,0,P36/P$53),3)</f>
        <v>0</v>
      </c>
      <c r="Q37" s="212"/>
      <c r="S37" s="215"/>
    </row>
    <row r="38" spans="1:19" ht="15" customHeight="1" x14ac:dyDescent="0.25">
      <c r="A38" s="29" t="s">
        <v>156</v>
      </c>
      <c r="B38" s="34" t="s">
        <v>37</v>
      </c>
      <c r="C38" s="189"/>
      <c r="D38" s="167">
        <f>ROUND(D39*[5]果糖!D8,0)</f>
        <v>0</v>
      </c>
      <c r="E38" s="167">
        <f>ROUND(E39*[5]果糖!E8,2)</f>
        <v>0</v>
      </c>
      <c r="F38" s="167">
        <f>ROUND(F39*[5]果糖!F8,2)</f>
        <v>0</v>
      </c>
      <c r="G38" s="167">
        <f>ROUND(G39*[5]果糖!G8,2)</f>
        <v>0</v>
      </c>
      <c r="H38" s="167">
        <f>ROUND(H39*[5]果糖!H8,2)</f>
        <v>0</v>
      </c>
      <c r="I38" s="167">
        <f>ROUND(I39*[5]果糖!I8,2)</f>
        <v>0</v>
      </c>
      <c r="J38" s="167">
        <f>ROUND(J39*[5]果糖!J8,2)</f>
        <v>0</v>
      </c>
      <c r="K38" s="167">
        <f>ROUND(K39*[5]果糖!K8,2)</f>
        <v>0</v>
      </c>
      <c r="L38" s="167">
        <f>ROUND(L39*[5]果糖!L8,2)</f>
        <v>0</v>
      </c>
      <c r="M38" s="167">
        <f>ROUND(M39*[5]果糖!M8,2)</f>
        <v>0</v>
      </c>
      <c r="N38" s="167">
        <f>ROUND(N39*[5]果糖!N8,2)</f>
        <v>0</v>
      </c>
      <c r="O38" s="167">
        <f>ROUND(O39*[5]果糖!O8,2)</f>
        <v>0</v>
      </c>
      <c r="P38" s="26">
        <f>SUM(D38:O38)</f>
        <v>0</v>
      </c>
      <c r="S38" s="215"/>
    </row>
    <row r="39" spans="1:19" ht="15" customHeight="1" x14ac:dyDescent="0.25">
      <c r="A39" s="27" t="s">
        <v>53</v>
      </c>
      <c r="B39" s="34" t="s">
        <v>157</v>
      </c>
      <c r="C39" s="189"/>
      <c r="D39" s="202">
        <v>0</v>
      </c>
      <c r="E39" s="202">
        <v>0</v>
      </c>
      <c r="F39" s="202">
        <v>0</v>
      </c>
      <c r="G39" s="202">
        <v>0</v>
      </c>
      <c r="H39" s="202">
        <v>0</v>
      </c>
      <c r="I39" s="202">
        <v>0</v>
      </c>
      <c r="J39" s="202">
        <v>0</v>
      </c>
      <c r="K39" s="202">
        <v>0</v>
      </c>
      <c r="L39" s="202">
        <v>0</v>
      </c>
      <c r="M39" s="202">
        <v>0</v>
      </c>
      <c r="N39" s="202">
        <v>0</v>
      </c>
      <c r="O39" s="202">
        <v>0</v>
      </c>
      <c r="P39" s="55">
        <f>ROUND(IF(P$53=0,0,P38/P$53),3)</f>
        <v>0</v>
      </c>
      <c r="S39" s="215"/>
    </row>
    <row r="40" spans="1:19" ht="15" customHeight="1" x14ac:dyDescent="0.25">
      <c r="A40" s="29" t="s">
        <v>158</v>
      </c>
      <c r="B40" s="34" t="s">
        <v>123</v>
      </c>
      <c r="C40" s="189"/>
      <c r="D40" s="173">
        <f>ROUND(D41*[5]果糖!D8,0)/10000</f>
        <v>0</v>
      </c>
      <c r="E40" s="173">
        <f>ROUND(E41*[5]果糖!E8,2)/10000</f>
        <v>0</v>
      </c>
      <c r="F40" s="173">
        <f>ROUND(F41*[5]果糖!F8,2)/10000</f>
        <v>0</v>
      </c>
      <c r="G40" s="173">
        <f>ROUND(G41*[5]果糖!G8,2)/10000</f>
        <v>0</v>
      </c>
      <c r="H40" s="173">
        <f>ROUND(H41*[5]果糖!H8,2)/10000</f>
        <v>0</v>
      </c>
      <c r="I40" s="173">
        <f>ROUND(I41*[5]果糖!I8,2)/10000</f>
        <v>0</v>
      </c>
      <c r="J40" s="173">
        <f>ROUND(J41*[5]果糖!J8,2)/10000</f>
        <v>0</v>
      </c>
      <c r="K40" s="173">
        <f>ROUND(K41*[5]果糖!K8,2)/10000</f>
        <v>0</v>
      </c>
      <c r="L40" s="173">
        <f>ROUND(L41*[5]果糖!L8,2)/10000</f>
        <v>0</v>
      </c>
      <c r="M40" s="173">
        <f>ROUND(M41*[5]果糖!M8,2)/10000</f>
        <v>0</v>
      </c>
      <c r="N40" s="173">
        <f>ROUND(N41*[5]果糖!N8,2)/10000</f>
        <v>0</v>
      </c>
      <c r="O40" s="173">
        <f>ROUND(O41*[5]果糖!O8,2)/10000</f>
        <v>0</v>
      </c>
      <c r="P40" s="211">
        <f>SUM(D40:O40)</f>
        <v>0</v>
      </c>
      <c r="S40" s="215"/>
    </row>
    <row r="41" spans="1:19" ht="15" customHeight="1" x14ac:dyDescent="0.25">
      <c r="A41" s="27" t="s">
        <v>53</v>
      </c>
      <c r="B41" s="34" t="s">
        <v>159</v>
      </c>
      <c r="C41" s="189"/>
      <c r="D41" s="203">
        <v>0</v>
      </c>
      <c r="E41" s="203">
        <v>0</v>
      </c>
      <c r="F41" s="203">
        <v>0</v>
      </c>
      <c r="G41" s="203"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55">
        <f>ROUND(IF(P$55=0,0,P40/P$55),3)</f>
        <v>0</v>
      </c>
      <c r="S41" s="215"/>
    </row>
    <row r="42" spans="1:19" ht="15" customHeight="1" x14ac:dyDescent="0.25">
      <c r="A42" s="29" t="s">
        <v>160</v>
      </c>
      <c r="B42" s="34" t="s">
        <v>37</v>
      </c>
      <c r="C42" s="189"/>
      <c r="D42" s="167">
        <f>ROUND((D$55+D$56)/0.75,0)</f>
        <v>0</v>
      </c>
      <c r="E42" s="167">
        <f t="shared" ref="E42:O42" si="9">ROUND((E$55+E$56)/0.75,0)</f>
        <v>0</v>
      </c>
      <c r="F42" s="167">
        <f t="shared" si="9"/>
        <v>0</v>
      </c>
      <c r="G42" s="167">
        <f t="shared" si="9"/>
        <v>0</v>
      </c>
      <c r="H42" s="167">
        <f t="shared" si="9"/>
        <v>0</v>
      </c>
      <c r="I42" s="167">
        <f t="shared" si="9"/>
        <v>0</v>
      </c>
      <c r="J42" s="167">
        <f t="shared" si="9"/>
        <v>0</v>
      </c>
      <c r="K42" s="167">
        <f t="shared" si="9"/>
        <v>0</v>
      </c>
      <c r="L42" s="167">
        <f t="shared" si="9"/>
        <v>0</v>
      </c>
      <c r="M42" s="167">
        <f t="shared" si="9"/>
        <v>0</v>
      </c>
      <c r="N42" s="167">
        <f t="shared" si="9"/>
        <v>0</v>
      </c>
      <c r="O42" s="167">
        <f t="shared" si="9"/>
        <v>0</v>
      </c>
      <c r="P42" s="26">
        <f>SUM(D42:O42)</f>
        <v>0</v>
      </c>
      <c r="Q42" s="187"/>
      <c r="S42" s="215"/>
    </row>
    <row r="43" spans="1:19" ht="15" customHeight="1" x14ac:dyDescent="0.25">
      <c r="A43" s="27" t="s">
        <v>53</v>
      </c>
      <c r="B43" s="34" t="s">
        <v>54</v>
      </c>
      <c r="C43" s="189"/>
      <c r="D43" s="204">
        <f t="shared" ref="D43:O43" si="10">IF(D56=0,0,D42/D56)</f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0</v>
      </c>
      <c r="L43" s="204">
        <f t="shared" si="10"/>
        <v>0</v>
      </c>
      <c r="M43" s="204">
        <f t="shared" si="10"/>
        <v>0</v>
      </c>
      <c r="N43" s="204">
        <f t="shared" si="10"/>
        <v>0</v>
      </c>
      <c r="O43" s="204">
        <f t="shared" si="10"/>
        <v>0</v>
      </c>
      <c r="P43" s="56">
        <f>ROUND(IF(P$56=0,0,P42/P$56),3)</f>
        <v>0</v>
      </c>
      <c r="Q43" s="187"/>
      <c r="S43" s="215"/>
    </row>
    <row r="44" spans="1:19" ht="15" customHeight="1" x14ac:dyDescent="0.25">
      <c r="A44" s="18" t="s">
        <v>161</v>
      </c>
      <c r="B44" s="19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S44" s="215"/>
    </row>
    <row r="45" spans="1:19" ht="15" customHeight="1" x14ac:dyDescent="0.25">
      <c r="A45" s="40" t="s">
        <v>162</v>
      </c>
      <c r="B45" s="34" t="s">
        <v>77</v>
      </c>
      <c r="C45" s="48">
        <v>0.81</v>
      </c>
      <c r="D45" s="41">
        <f>ROUND(D49*$C$45,0)</f>
        <v>40311</v>
      </c>
      <c r="E45" s="41">
        <f t="shared" ref="E45:O45" si="11">ROUND(E49*$C$45,0)</f>
        <v>22634</v>
      </c>
      <c r="F45" s="41">
        <f t="shared" si="11"/>
        <v>28949</v>
      </c>
      <c r="G45" s="41">
        <f t="shared" si="11"/>
        <v>21938</v>
      </c>
      <c r="H45" s="41">
        <f t="shared" si="11"/>
        <v>37768</v>
      </c>
      <c r="I45" s="41">
        <f t="shared" si="11"/>
        <v>38221</v>
      </c>
      <c r="J45" s="41">
        <f t="shared" si="11"/>
        <v>38775</v>
      </c>
      <c r="K45" s="41">
        <f t="shared" si="11"/>
        <v>38497</v>
      </c>
      <c r="L45" s="41">
        <f t="shared" si="11"/>
        <v>26362</v>
      </c>
      <c r="M45" s="41">
        <f t="shared" si="11"/>
        <v>17588</v>
      </c>
      <c r="N45" s="41">
        <f t="shared" si="11"/>
        <v>17319</v>
      </c>
      <c r="O45" s="41">
        <f t="shared" si="11"/>
        <v>33707</v>
      </c>
      <c r="P45" s="26">
        <f>SUM(D45:O45)</f>
        <v>362069</v>
      </c>
      <c r="S45" s="215"/>
    </row>
    <row r="46" spans="1:19" ht="15" customHeight="1" x14ac:dyDescent="0.25">
      <c r="A46" s="44" t="s">
        <v>163</v>
      </c>
      <c r="B46" s="34" t="s">
        <v>77</v>
      </c>
      <c r="C46" s="205"/>
      <c r="D46" s="41">
        <f>D45-D47</f>
        <v>40311</v>
      </c>
      <c r="E46" s="41">
        <f>E45-E47</f>
        <v>22634</v>
      </c>
      <c r="F46" s="41">
        <f t="shared" ref="F46:O46" si="12">F45-F47</f>
        <v>28949</v>
      </c>
      <c r="G46" s="41">
        <f t="shared" si="12"/>
        <v>21938</v>
      </c>
      <c r="H46" s="41">
        <f t="shared" si="12"/>
        <v>37768</v>
      </c>
      <c r="I46" s="41">
        <f t="shared" si="12"/>
        <v>38221</v>
      </c>
      <c r="J46" s="41">
        <f t="shared" si="12"/>
        <v>38775</v>
      </c>
      <c r="K46" s="41">
        <f t="shared" si="12"/>
        <v>38497</v>
      </c>
      <c r="L46" s="41">
        <f t="shared" si="12"/>
        <v>26362</v>
      </c>
      <c r="M46" s="41">
        <f t="shared" si="12"/>
        <v>17588</v>
      </c>
      <c r="N46" s="41">
        <f t="shared" si="12"/>
        <v>17319</v>
      </c>
      <c r="O46" s="41">
        <f t="shared" si="12"/>
        <v>33707</v>
      </c>
      <c r="P46" s="41">
        <f>SUM(D46:O46)</f>
        <v>362069</v>
      </c>
      <c r="S46" s="215"/>
    </row>
    <row r="47" spans="1:19" ht="15" customHeight="1" x14ac:dyDescent="0.25">
      <c r="A47" s="44" t="s">
        <v>164</v>
      </c>
      <c r="B47" s="34" t="s">
        <v>77</v>
      </c>
      <c r="C47" s="35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26">
        <f>SUM(D47:O47)</f>
        <v>0</v>
      </c>
      <c r="S47" s="215"/>
    </row>
    <row r="48" spans="1:19" ht="15" customHeight="1" x14ac:dyDescent="0.25">
      <c r="A48" s="18" t="s">
        <v>165</v>
      </c>
      <c r="B48" s="19"/>
      <c r="C48" s="20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S48" s="215"/>
    </row>
    <row r="49" spans="1:19" ht="15" customHeight="1" x14ac:dyDescent="0.25">
      <c r="A49" s="44" t="s">
        <v>166</v>
      </c>
      <c r="B49" s="34" t="s">
        <v>77</v>
      </c>
      <c r="C49" s="35"/>
      <c r="D49" s="51">
        <f>果糖!D64</f>
        <v>49767</v>
      </c>
      <c r="E49" s="51">
        <f>果糖!E64</f>
        <v>27943</v>
      </c>
      <c r="F49" s="51">
        <f>果糖!F64</f>
        <v>35739</v>
      </c>
      <c r="G49" s="51">
        <f>果糖!G64</f>
        <v>27084</v>
      </c>
      <c r="H49" s="51">
        <f>果糖!H64</f>
        <v>46627</v>
      </c>
      <c r="I49" s="51">
        <f>果糖!I64</f>
        <v>47186</v>
      </c>
      <c r="J49" s="51">
        <f>果糖!J64</f>
        <v>47870</v>
      </c>
      <c r="K49" s="51">
        <f>果糖!K64</f>
        <v>47527</v>
      </c>
      <c r="L49" s="51">
        <f>果糖!L64</f>
        <v>32546</v>
      </c>
      <c r="M49" s="51">
        <f>果糖!M64</f>
        <v>21713</v>
      </c>
      <c r="N49" s="51">
        <f>果糖!N64</f>
        <v>21381</v>
      </c>
      <c r="O49" s="51">
        <f>果糖!O64</f>
        <v>41614</v>
      </c>
      <c r="P49" s="26">
        <f>SUM(D49:O49)</f>
        <v>446997</v>
      </c>
      <c r="Q49" s="187"/>
      <c r="S49" s="215"/>
    </row>
    <row r="50" spans="1:19" ht="15" customHeight="1" x14ac:dyDescent="0.25">
      <c r="A50" s="44" t="s">
        <v>167</v>
      </c>
      <c r="B50" s="34" t="s">
        <v>77</v>
      </c>
      <c r="C50" s="35"/>
      <c r="D50" s="51">
        <f>葡萄糖!D50</f>
        <v>630</v>
      </c>
      <c r="E50" s="51">
        <f>葡萄糖!E50</f>
        <v>486</v>
      </c>
      <c r="F50" s="51">
        <f>葡萄糖!F50</f>
        <v>834</v>
      </c>
      <c r="G50" s="51">
        <f>葡萄糖!G50</f>
        <v>1266</v>
      </c>
      <c r="H50" s="51">
        <f>葡萄糖!H50</f>
        <v>846</v>
      </c>
      <c r="I50" s="51">
        <f>葡萄糖!I50</f>
        <v>792</v>
      </c>
      <c r="J50" s="51">
        <f>葡萄糖!J50</f>
        <v>1512</v>
      </c>
      <c r="K50" s="51">
        <f>葡萄糖!K50</f>
        <v>1512</v>
      </c>
      <c r="L50" s="51">
        <f>葡萄糖!L50</f>
        <v>1272</v>
      </c>
      <c r="M50" s="51">
        <f>葡萄糖!M50</f>
        <v>1326</v>
      </c>
      <c r="N50" s="51">
        <f>葡萄糖!N50</f>
        <v>1206</v>
      </c>
      <c r="O50" s="51">
        <f>葡萄糖!O50</f>
        <v>1086</v>
      </c>
      <c r="P50" s="26">
        <f>SUM(D50:O50)</f>
        <v>12768</v>
      </c>
      <c r="Q50" s="187"/>
      <c r="S50" s="215"/>
    </row>
    <row r="51" spans="1:19" ht="15" customHeight="1" x14ac:dyDescent="0.25">
      <c r="A51" s="44" t="s">
        <v>168</v>
      </c>
      <c r="B51" s="34" t="s">
        <v>77</v>
      </c>
      <c r="C51" s="35"/>
      <c r="D51" s="51">
        <f>麦芽糖!D56</f>
        <v>4357</v>
      </c>
      <c r="E51" s="51">
        <f>麦芽糖!E56</f>
        <v>4902</v>
      </c>
      <c r="F51" s="51">
        <f>麦芽糖!F56</f>
        <v>2162</v>
      </c>
      <c r="G51" s="51">
        <f>麦芽糖!G56</f>
        <v>6091</v>
      </c>
      <c r="H51" s="51">
        <f>麦芽糖!H56</f>
        <v>4125</v>
      </c>
      <c r="I51" s="51">
        <f>麦芽糖!I56</f>
        <v>8773</v>
      </c>
      <c r="J51" s="51">
        <f>麦芽糖!J56</f>
        <v>4631</v>
      </c>
      <c r="K51" s="51">
        <f>麦芽糖!K56</f>
        <v>13055</v>
      </c>
      <c r="L51" s="51">
        <f>麦芽糖!L56</f>
        <v>4804</v>
      </c>
      <c r="M51" s="51">
        <f>麦芽糖!M56</f>
        <v>4496</v>
      </c>
      <c r="N51" s="51">
        <f>麦芽糖!N56</f>
        <v>2575</v>
      </c>
      <c r="O51" s="51">
        <f>麦芽糖!O56</f>
        <v>7556</v>
      </c>
      <c r="P51" s="26">
        <f>SUM(D51:O51)</f>
        <v>67527</v>
      </c>
      <c r="S51" s="215"/>
    </row>
    <row r="52" spans="1:19" ht="15" customHeight="1" x14ac:dyDescent="0.25">
      <c r="A52" s="44" t="s">
        <v>169</v>
      </c>
      <c r="B52" s="34" t="s">
        <v>77</v>
      </c>
      <c r="C52" s="35"/>
      <c r="D52" s="52">
        <v>1100</v>
      </c>
      <c r="E52" s="52">
        <v>1100</v>
      </c>
      <c r="F52" s="52">
        <v>1100</v>
      </c>
      <c r="G52" s="52">
        <v>1100</v>
      </c>
      <c r="H52" s="52">
        <v>1100</v>
      </c>
      <c r="I52" s="52">
        <v>1100</v>
      </c>
      <c r="J52" s="52">
        <v>1100</v>
      </c>
      <c r="K52" s="52">
        <v>1100</v>
      </c>
      <c r="L52" s="52">
        <v>1100</v>
      </c>
      <c r="M52" s="52">
        <v>1100</v>
      </c>
      <c r="N52" s="52">
        <v>1100</v>
      </c>
      <c r="O52" s="52">
        <v>1100</v>
      </c>
      <c r="P52" s="26">
        <f>SUM(D52:O52)</f>
        <v>13200</v>
      </c>
      <c r="S52" s="215"/>
    </row>
    <row r="53" spans="1:19" ht="15" customHeight="1" x14ac:dyDescent="0.25">
      <c r="A53" s="40" t="s">
        <v>170</v>
      </c>
      <c r="B53" s="34" t="s">
        <v>77</v>
      </c>
      <c r="C53" s="35"/>
      <c r="D53" s="41">
        <f t="shared" ref="D53:P53" si="13">SUM(D49:D52)</f>
        <v>55854</v>
      </c>
      <c r="E53" s="41">
        <f t="shared" si="13"/>
        <v>34431</v>
      </c>
      <c r="F53" s="41">
        <f t="shared" si="13"/>
        <v>39835</v>
      </c>
      <c r="G53" s="41">
        <f t="shared" si="13"/>
        <v>35541</v>
      </c>
      <c r="H53" s="41">
        <f t="shared" si="13"/>
        <v>52698</v>
      </c>
      <c r="I53" s="41">
        <f t="shared" si="13"/>
        <v>57851</v>
      </c>
      <c r="J53" s="41">
        <f t="shared" si="13"/>
        <v>55113</v>
      </c>
      <c r="K53" s="41">
        <f t="shared" si="13"/>
        <v>63194</v>
      </c>
      <c r="L53" s="41">
        <f t="shared" si="13"/>
        <v>39722</v>
      </c>
      <c r="M53" s="41">
        <f t="shared" si="13"/>
        <v>28635</v>
      </c>
      <c r="N53" s="41">
        <f t="shared" si="13"/>
        <v>26262</v>
      </c>
      <c r="O53" s="41">
        <f t="shared" si="13"/>
        <v>51356</v>
      </c>
      <c r="P53" s="41">
        <f t="shared" si="13"/>
        <v>540492</v>
      </c>
      <c r="Q53" s="220"/>
      <c r="S53" s="215"/>
    </row>
    <row r="54" spans="1:19" ht="15" customHeight="1" x14ac:dyDescent="0.25">
      <c r="A54" s="18" t="s">
        <v>171</v>
      </c>
      <c r="B54" s="19"/>
      <c r="C54" s="20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S54" s="215"/>
    </row>
    <row r="55" spans="1:19" ht="15" customHeight="1" x14ac:dyDescent="0.25">
      <c r="A55" s="44" t="s">
        <v>172</v>
      </c>
      <c r="B55" s="34" t="s">
        <v>37</v>
      </c>
      <c r="C55" s="35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26">
        <f>SUM(D55:O55)</f>
        <v>0</v>
      </c>
      <c r="S55" s="215"/>
    </row>
    <row r="56" spans="1:19" ht="15" customHeight="1" x14ac:dyDescent="0.25">
      <c r="A56" s="44" t="s">
        <v>173</v>
      </c>
      <c r="B56" s="34" t="s">
        <v>37</v>
      </c>
      <c r="C56" s="206">
        <v>0.75</v>
      </c>
      <c r="D56" s="49">
        <f>锅炉工段!D26</f>
        <v>0</v>
      </c>
      <c r="E56" s="49">
        <f>锅炉工段!E26</f>
        <v>0</v>
      </c>
      <c r="F56" s="49">
        <f>锅炉工段!F26</f>
        <v>0</v>
      </c>
      <c r="G56" s="49">
        <f>锅炉工段!G26</f>
        <v>0</v>
      </c>
      <c r="H56" s="49">
        <f>锅炉工段!H26</f>
        <v>0</v>
      </c>
      <c r="I56" s="49">
        <f>锅炉工段!I26</f>
        <v>0</v>
      </c>
      <c r="J56" s="49">
        <f>锅炉工段!J26</f>
        <v>0</v>
      </c>
      <c r="K56" s="49">
        <f>锅炉工段!K26</f>
        <v>0</v>
      </c>
      <c r="L56" s="49">
        <f>锅炉工段!L26</f>
        <v>0</v>
      </c>
      <c r="M56" s="49">
        <f>锅炉工段!M26</f>
        <v>0</v>
      </c>
      <c r="N56" s="49">
        <f>锅炉工段!N26</f>
        <v>0</v>
      </c>
      <c r="O56" s="49">
        <f>锅炉工段!O26</f>
        <v>0</v>
      </c>
      <c r="P56" s="26">
        <f>SUM(D56:O56)</f>
        <v>0</v>
      </c>
      <c r="Q56" s="187"/>
      <c r="S56" s="215"/>
    </row>
    <row r="57" spans="1:19" ht="15" customHeight="1" x14ac:dyDescent="0.25">
      <c r="A57" s="34" t="s">
        <v>174</v>
      </c>
      <c r="B57" s="34"/>
      <c r="C57" s="34"/>
      <c r="D57" s="245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7"/>
      <c r="S57" s="215"/>
    </row>
    <row r="58" spans="1:19" ht="24" customHeight="1" x14ac:dyDescent="0.25">
      <c r="A58" s="70" t="s">
        <v>90</v>
      </c>
      <c r="B58" s="71"/>
      <c r="C58" s="72"/>
      <c r="D58" s="71"/>
      <c r="E58" s="71"/>
      <c r="F58" s="71"/>
      <c r="G58" s="71"/>
      <c r="H58" s="240" t="s">
        <v>91</v>
      </c>
      <c r="I58" s="240"/>
      <c r="J58" s="75"/>
      <c r="K58" s="71"/>
      <c r="L58" s="71"/>
      <c r="M58" s="71"/>
      <c r="N58" s="71" t="s">
        <v>92</v>
      </c>
      <c r="O58" s="75"/>
      <c r="P58" s="71"/>
      <c r="R58" s="77"/>
    </row>
    <row r="59" spans="1:19" ht="20.25" customHeight="1" x14ac:dyDescent="0.25">
      <c r="A59" s="14" t="s">
        <v>93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76"/>
    </row>
    <row r="61" spans="1:19" s="187" customFormat="1" ht="13" x14ac:dyDescent="0.25">
      <c r="A61" s="187" t="s">
        <v>175</v>
      </c>
      <c r="B61" s="187" t="s">
        <v>176</v>
      </c>
      <c r="D61" s="207">
        <f>果糖!D8</f>
        <v>27.083333333333332</v>
      </c>
      <c r="E61" s="207">
        <f>果糖!E8</f>
        <v>16.958333333333332</v>
      </c>
      <c r="F61" s="207">
        <f>果糖!F8</f>
        <v>26.833333333333332</v>
      </c>
      <c r="G61" s="207">
        <f>果糖!G8</f>
        <v>22.5</v>
      </c>
      <c r="H61" s="207">
        <f>果糖!H8</f>
        <v>31</v>
      </c>
      <c r="I61" s="207">
        <f>果糖!I8</f>
        <v>30</v>
      </c>
      <c r="J61" s="207">
        <f>果糖!J8</f>
        <v>31</v>
      </c>
      <c r="K61" s="207">
        <f>果糖!K8</f>
        <v>31</v>
      </c>
      <c r="L61" s="207">
        <f>果糖!L8</f>
        <v>25</v>
      </c>
      <c r="M61" s="207">
        <f>果糖!M8</f>
        <v>23.25</v>
      </c>
      <c r="N61" s="207">
        <f>果糖!N8</f>
        <v>22.25</v>
      </c>
      <c r="O61" s="207">
        <f>果糖!O8</f>
        <v>31</v>
      </c>
      <c r="P61" s="207">
        <f>果糖!P8</f>
        <v>317.875</v>
      </c>
    </row>
    <row r="63" spans="1:19" x14ac:dyDescent="0.25"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</row>
    <row r="64" spans="1:19" x14ac:dyDescent="0.25"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</row>
  </sheetData>
  <mergeCells count="1029">
    <mergeCell ref="A1:P1"/>
    <mergeCell ref="AG1:AV1"/>
    <mergeCell ref="AW1:BL1"/>
    <mergeCell ref="BM1:CB1"/>
    <mergeCell ref="CC1:CR1"/>
    <mergeCell ref="CS1:DH1"/>
    <mergeCell ref="DI1:DX1"/>
    <mergeCell ref="DY1:EN1"/>
    <mergeCell ref="EO1:FD1"/>
    <mergeCell ref="FE1:FT1"/>
    <mergeCell ref="FU1:GJ1"/>
    <mergeCell ref="GK1:GZ1"/>
    <mergeCell ref="HA1:HP1"/>
    <mergeCell ref="HQ1:IF1"/>
    <mergeCell ref="IG1:IV1"/>
    <mergeCell ref="IW1:JL1"/>
    <mergeCell ref="JM1:KB1"/>
    <mergeCell ref="KC1:KR1"/>
    <mergeCell ref="KS1:LH1"/>
    <mergeCell ref="LI1:LX1"/>
    <mergeCell ref="LY1:MN1"/>
    <mergeCell ref="MO1:ND1"/>
    <mergeCell ref="NE1:NT1"/>
    <mergeCell ref="NU1:OJ1"/>
    <mergeCell ref="OK1:OZ1"/>
    <mergeCell ref="PA1:PP1"/>
    <mergeCell ref="PQ1:QF1"/>
    <mergeCell ref="QG1:QV1"/>
    <mergeCell ref="QW1:RL1"/>
    <mergeCell ref="RM1:SB1"/>
    <mergeCell ref="SC1:SR1"/>
    <mergeCell ref="SS1:TH1"/>
    <mergeCell ref="TI1:TX1"/>
    <mergeCell ref="TY1:UN1"/>
    <mergeCell ref="UO1:VD1"/>
    <mergeCell ref="VE1:VT1"/>
    <mergeCell ref="VU1:WJ1"/>
    <mergeCell ref="WK1:WZ1"/>
    <mergeCell ref="XA1:XP1"/>
    <mergeCell ref="XQ1:YF1"/>
    <mergeCell ref="YG1:YV1"/>
    <mergeCell ref="YW1:ZL1"/>
    <mergeCell ref="ZM1:AAB1"/>
    <mergeCell ref="AAC1:AAR1"/>
    <mergeCell ref="AAS1:ABH1"/>
    <mergeCell ref="ABI1:ABX1"/>
    <mergeCell ref="ABY1:ACN1"/>
    <mergeCell ref="ACO1:ADD1"/>
    <mergeCell ref="ADE1:ADT1"/>
    <mergeCell ref="ADU1:AEJ1"/>
    <mergeCell ref="AEK1:AEZ1"/>
    <mergeCell ref="AFA1:AFP1"/>
    <mergeCell ref="AFQ1:AGF1"/>
    <mergeCell ref="AGG1:AGV1"/>
    <mergeCell ref="AGW1:AHL1"/>
    <mergeCell ref="AHM1:AIB1"/>
    <mergeCell ref="AIC1:AIR1"/>
    <mergeCell ref="AIS1:AJH1"/>
    <mergeCell ref="AJI1:AJX1"/>
    <mergeCell ref="AJY1:AKN1"/>
    <mergeCell ref="AKO1:ALD1"/>
    <mergeCell ref="ALE1:ALT1"/>
    <mergeCell ref="ALU1:AMJ1"/>
    <mergeCell ref="AMK1:AMZ1"/>
    <mergeCell ref="ANA1:ANP1"/>
    <mergeCell ref="ANQ1:AOF1"/>
    <mergeCell ref="AOG1:AOV1"/>
    <mergeCell ref="AOW1:APL1"/>
    <mergeCell ref="APM1:AQB1"/>
    <mergeCell ref="AQC1:AQR1"/>
    <mergeCell ref="AQS1:ARH1"/>
    <mergeCell ref="ARI1:ARX1"/>
    <mergeCell ref="ARY1:ASN1"/>
    <mergeCell ref="ASO1:ATD1"/>
    <mergeCell ref="ATE1:ATT1"/>
    <mergeCell ref="ATU1:AUJ1"/>
    <mergeCell ref="AUK1:AUZ1"/>
    <mergeCell ref="AVA1:AVP1"/>
    <mergeCell ref="AVQ1:AWF1"/>
    <mergeCell ref="AWG1:AWV1"/>
    <mergeCell ref="AWW1:AXL1"/>
    <mergeCell ref="AXM1:AYB1"/>
    <mergeCell ref="AYC1:AYR1"/>
    <mergeCell ref="AYS1:AZH1"/>
    <mergeCell ref="AZI1:AZX1"/>
    <mergeCell ref="AZY1:BAN1"/>
    <mergeCell ref="BAO1:BBD1"/>
    <mergeCell ref="BBE1:BBT1"/>
    <mergeCell ref="BBU1:BCJ1"/>
    <mergeCell ref="BCK1:BCZ1"/>
    <mergeCell ref="BDA1:BDP1"/>
    <mergeCell ref="BDQ1:BEF1"/>
    <mergeCell ref="BEG1:BEV1"/>
    <mergeCell ref="BEW1:BFL1"/>
    <mergeCell ref="BFM1:BGB1"/>
    <mergeCell ref="BGC1:BGR1"/>
    <mergeCell ref="BGS1:BHH1"/>
    <mergeCell ref="BHI1:BHX1"/>
    <mergeCell ref="BHY1:BIN1"/>
    <mergeCell ref="BIO1:BJD1"/>
    <mergeCell ref="BJE1:BJT1"/>
    <mergeCell ref="BJU1:BKJ1"/>
    <mergeCell ref="BKK1:BKZ1"/>
    <mergeCell ref="BLA1:BLP1"/>
    <mergeCell ref="BLQ1:BMF1"/>
    <mergeCell ref="BMG1:BMV1"/>
    <mergeCell ref="BMW1:BNL1"/>
    <mergeCell ref="BNM1:BOB1"/>
    <mergeCell ref="BOC1:BOR1"/>
    <mergeCell ref="BOS1:BPH1"/>
    <mergeCell ref="BPI1:BPX1"/>
    <mergeCell ref="BPY1:BQN1"/>
    <mergeCell ref="BQO1:BRD1"/>
    <mergeCell ref="BRE1:BRT1"/>
    <mergeCell ref="BRU1:BSJ1"/>
    <mergeCell ref="BSK1:BSZ1"/>
    <mergeCell ref="BTA1:BTP1"/>
    <mergeCell ref="BTQ1:BUF1"/>
    <mergeCell ref="BUG1:BUV1"/>
    <mergeCell ref="BUW1:BVL1"/>
    <mergeCell ref="BVM1:BWB1"/>
    <mergeCell ref="BWC1:BWR1"/>
    <mergeCell ref="BWS1:BXH1"/>
    <mergeCell ref="BXI1:BXX1"/>
    <mergeCell ref="BXY1:BYN1"/>
    <mergeCell ref="BYO1:BZD1"/>
    <mergeCell ref="BZE1:BZT1"/>
    <mergeCell ref="BZU1:CAJ1"/>
    <mergeCell ref="CAK1:CAZ1"/>
    <mergeCell ref="CBA1:CBP1"/>
    <mergeCell ref="CBQ1:CCF1"/>
    <mergeCell ref="CCG1:CCV1"/>
    <mergeCell ref="CCW1:CDL1"/>
    <mergeCell ref="CDM1:CEB1"/>
    <mergeCell ref="CEC1:CER1"/>
    <mergeCell ref="CES1:CFH1"/>
    <mergeCell ref="CFI1:CFX1"/>
    <mergeCell ref="CFY1:CGN1"/>
    <mergeCell ref="CGO1:CHD1"/>
    <mergeCell ref="CHE1:CHT1"/>
    <mergeCell ref="CHU1:CIJ1"/>
    <mergeCell ref="CIK1:CIZ1"/>
    <mergeCell ref="CJA1:CJP1"/>
    <mergeCell ref="CJQ1:CKF1"/>
    <mergeCell ref="CKG1:CKV1"/>
    <mergeCell ref="CKW1:CLL1"/>
    <mergeCell ref="CLM1:CMB1"/>
    <mergeCell ref="CMC1:CMR1"/>
    <mergeCell ref="CMS1:CNH1"/>
    <mergeCell ref="CNI1:CNX1"/>
    <mergeCell ref="CNY1:CON1"/>
    <mergeCell ref="COO1:CPD1"/>
    <mergeCell ref="CPE1:CPT1"/>
    <mergeCell ref="CPU1:CQJ1"/>
    <mergeCell ref="CQK1:CQZ1"/>
    <mergeCell ref="CRA1:CRP1"/>
    <mergeCell ref="CRQ1:CSF1"/>
    <mergeCell ref="CSG1:CSV1"/>
    <mergeCell ref="CSW1:CTL1"/>
    <mergeCell ref="CTM1:CUB1"/>
    <mergeCell ref="CUC1:CUR1"/>
    <mergeCell ref="CUS1:CVH1"/>
    <mergeCell ref="CVI1:CVX1"/>
    <mergeCell ref="CVY1:CWN1"/>
    <mergeCell ref="CWO1:CXD1"/>
    <mergeCell ref="CXE1:CXT1"/>
    <mergeCell ref="CXU1:CYJ1"/>
    <mergeCell ref="CYK1:CYZ1"/>
    <mergeCell ref="CZA1:CZP1"/>
    <mergeCell ref="CZQ1:DAF1"/>
    <mergeCell ref="DAG1:DAV1"/>
    <mergeCell ref="DAW1:DBL1"/>
    <mergeCell ref="DBM1:DCB1"/>
    <mergeCell ref="DCC1:DCR1"/>
    <mergeCell ref="DCS1:DDH1"/>
    <mergeCell ref="DDI1:DDX1"/>
    <mergeCell ref="DDY1:DEN1"/>
    <mergeCell ref="DEO1:DFD1"/>
    <mergeCell ref="DFE1:DFT1"/>
    <mergeCell ref="DFU1:DGJ1"/>
    <mergeCell ref="DGK1:DGZ1"/>
    <mergeCell ref="DHA1:DHP1"/>
    <mergeCell ref="DHQ1:DIF1"/>
    <mergeCell ref="DIG1:DIV1"/>
    <mergeCell ref="DIW1:DJL1"/>
    <mergeCell ref="DJM1:DKB1"/>
    <mergeCell ref="DKC1:DKR1"/>
    <mergeCell ref="DKS1:DLH1"/>
    <mergeCell ref="DLI1:DLX1"/>
    <mergeCell ref="DLY1:DMN1"/>
    <mergeCell ref="DMO1:DND1"/>
    <mergeCell ref="DNE1:DNT1"/>
    <mergeCell ref="DNU1:DOJ1"/>
    <mergeCell ref="DOK1:DOZ1"/>
    <mergeCell ref="DPA1:DPP1"/>
    <mergeCell ref="DPQ1:DQF1"/>
    <mergeCell ref="DQG1:DQV1"/>
    <mergeCell ref="DQW1:DRL1"/>
    <mergeCell ref="DRM1:DSB1"/>
    <mergeCell ref="DSC1:DSR1"/>
    <mergeCell ref="DSS1:DTH1"/>
    <mergeCell ref="DTI1:DTX1"/>
    <mergeCell ref="DTY1:DUN1"/>
    <mergeCell ref="DUO1:DVD1"/>
    <mergeCell ref="DVE1:DVT1"/>
    <mergeCell ref="DVU1:DWJ1"/>
    <mergeCell ref="DWK1:DWZ1"/>
    <mergeCell ref="DXA1:DXP1"/>
    <mergeCell ref="DXQ1:DYF1"/>
    <mergeCell ref="DYG1:DYV1"/>
    <mergeCell ref="DYW1:DZL1"/>
    <mergeCell ref="DZM1:EAB1"/>
    <mergeCell ref="EAC1:EAR1"/>
    <mergeCell ref="EAS1:EBH1"/>
    <mergeCell ref="EBI1:EBX1"/>
    <mergeCell ref="EBY1:ECN1"/>
    <mergeCell ref="ECO1:EDD1"/>
    <mergeCell ref="EDE1:EDT1"/>
    <mergeCell ref="EDU1:EEJ1"/>
    <mergeCell ref="EEK1:EEZ1"/>
    <mergeCell ref="EFA1:EFP1"/>
    <mergeCell ref="EFQ1:EGF1"/>
    <mergeCell ref="EGG1:EGV1"/>
    <mergeCell ref="EGW1:EHL1"/>
    <mergeCell ref="EHM1:EIB1"/>
    <mergeCell ref="EIC1:EIR1"/>
    <mergeCell ref="EIS1:EJH1"/>
    <mergeCell ref="EJI1:EJX1"/>
    <mergeCell ref="EJY1:EKN1"/>
    <mergeCell ref="EKO1:ELD1"/>
    <mergeCell ref="ELE1:ELT1"/>
    <mergeCell ref="ELU1:EMJ1"/>
    <mergeCell ref="EMK1:EMZ1"/>
    <mergeCell ref="ENA1:ENP1"/>
    <mergeCell ref="ENQ1:EOF1"/>
    <mergeCell ref="EOG1:EOV1"/>
    <mergeCell ref="EOW1:EPL1"/>
    <mergeCell ref="EPM1:EQB1"/>
    <mergeCell ref="EQC1:EQR1"/>
    <mergeCell ref="EQS1:ERH1"/>
    <mergeCell ref="ERI1:ERX1"/>
    <mergeCell ref="ERY1:ESN1"/>
    <mergeCell ref="ESO1:ETD1"/>
    <mergeCell ref="ETE1:ETT1"/>
    <mergeCell ref="ETU1:EUJ1"/>
    <mergeCell ref="EUK1:EUZ1"/>
    <mergeCell ref="EVA1:EVP1"/>
    <mergeCell ref="EVQ1:EWF1"/>
    <mergeCell ref="EWG1:EWV1"/>
    <mergeCell ref="EWW1:EXL1"/>
    <mergeCell ref="EXM1:EYB1"/>
    <mergeCell ref="EYC1:EYR1"/>
    <mergeCell ref="EYS1:EZH1"/>
    <mergeCell ref="EZI1:EZX1"/>
    <mergeCell ref="EZY1:FAN1"/>
    <mergeCell ref="FAO1:FBD1"/>
    <mergeCell ref="FBE1:FBT1"/>
    <mergeCell ref="FBU1:FCJ1"/>
    <mergeCell ref="FCK1:FCZ1"/>
    <mergeCell ref="FDA1:FDP1"/>
    <mergeCell ref="FDQ1:FEF1"/>
    <mergeCell ref="FEG1:FEV1"/>
    <mergeCell ref="FEW1:FFL1"/>
    <mergeCell ref="FFM1:FGB1"/>
    <mergeCell ref="FGC1:FGR1"/>
    <mergeCell ref="FGS1:FHH1"/>
    <mergeCell ref="FHI1:FHX1"/>
    <mergeCell ref="FHY1:FIN1"/>
    <mergeCell ref="FIO1:FJD1"/>
    <mergeCell ref="FJE1:FJT1"/>
    <mergeCell ref="FJU1:FKJ1"/>
    <mergeCell ref="FKK1:FKZ1"/>
    <mergeCell ref="FLA1:FLP1"/>
    <mergeCell ref="FLQ1:FMF1"/>
    <mergeCell ref="FMG1:FMV1"/>
    <mergeCell ref="FMW1:FNL1"/>
    <mergeCell ref="FNM1:FOB1"/>
    <mergeCell ref="FOC1:FOR1"/>
    <mergeCell ref="FOS1:FPH1"/>
    <mergeCell ref="FPI1:FPX1"/>
    <mergeCell ref="FPY1:FQN1"/>
    <mergeCell ref="FQO1:FRD1"/>
    <mergeCell ref="FRE1:FRT1"/>
    <mergeCell ref="FRU1:FSJ1"/>
    <mergeCell ref="FSK1:FSZ1"/>
    <mergeCell ref="FTA1:FTP1"/>
    <mergeCell ref="FTQ1:FUF1"/>
    <mergeCell ref="FUG1:FUV1"/>
    <mergeCell ref="FUW1:FVL1"/>
    <mergeCell ref="FVM1:FWB1"/>
    <mergeCell ref="FWC1:FWR1"/>
    <mergeCell ref="FWS1:FXH1"/>
    <mergeCell ref="FXI1:FXX1"/>
    <mergeCell ref="FXY1:FYN1"/>
    <mergeCell ref="FYO1:FZD1"/>
    <mergeCell ref="FZE1:FZT1"/>
    <mergeCell ref="FZU1:GAJ1"/>
    <mergeCell ref="GAK1:GAZ1"/>
    <mergeCell ref="GBA1:GBP1"/>
    <mergeCell ref="GBQ1:GCF1"/>
    <mergeCell ref="GCG1:GCV1"/>
    <mergeCell ref="GCW1:GDL1"/>
    <mergeCell ref="GDM1:GEB1"/>
    <mergeCell ref="GEC1:GER1"/>
    <mergeCell ref="GES1:GFH1"/>
    <mergeCell ref="GFI1:GFX1"/>
    <mergeCell ref="GFY1:GGN1"/>
    <mergeCell ref="GGO1:GHD1"/>
    <mergeCell ref="GHE1:GHT1"/>
    <mergeCell ref="GHU1:GIJ1"/>
    <mergeCell ref="GIK1:GIZ1"/>
    <mergeCell ref="GJA1:GJP1"/>
    <mergeCell ref="GJQ1:GKF1"/>
    <mergeCell ref="GKG1:GKV1"/>
    <mergeCell ref="GKW1:GLL1"/>
    <mergeCell ref="GLM1:GMB1"/>
    <mergeCell ref="GMC1:GMR1"/>
    <mergeCell ref="GMS1:GNH1"/>
    <mergeCell ref="GNI1:GNX1"/>
    <mergeCell ref="GNY1:GON1"/>
    <mergeCell ref="GOO1:GPD1"/>
    <mergeCell ref="GPE1:GPT1"/>
    <mergeCell ref="GPU1:GQJ1"/>
    <mergeCell ref="GQK1:GQZ1"/>
    <mergeCell ref="GRA1:GRP1"/>
    <mergeCell ref="GRQ1:GSF1"/>
    <mergeCell ref="GSG1:GSV1"/>
    <mergeCell ref="GSW1:GTL1"/>
    <mergeCell ref="GTM1:GUB1"/>
    <mergeCell ref="GUC1:GUR1"/>
    <mergeCell ref="GUS1:GVH1"/>
    <mergeCell ref="GVI1:GVX1"/>
    <mergeCell ref="GVY1:GWN1"/>
    <mergeCell ref="GWO1:GXD1"/>
    <mergeCell ref="GXE1:GXT1"/>
    <mergeCell ref="GXU1:GYJ1"/>
    <mergeCell ref="GYK1:GYZ1"/>
    <mergeCell ref="GZA1:GZP1"/>
    <mergeCell ref="GZQ1:HAF1"/>
    <mergeCell ref="HAG1:HAV1"/>
    <mergeCell ref="HAW1:HBL1"/>
    <mergeCell ref="HBM1:HCB1"/>
    <mergeCell ref="HCC1:HCR1"/>
    <mergeCell ref="HCS1:HDH1"/>
    <mergeCell ref="HDI1:HDX1"/>
    <mergeCell ref="HDY1:HEN1"/>
    <mergeCell ref="HEO1:HFD1"/>
    <mergeCell ref="HFE1:HFT1"/>
    <mergeCell ref="HFU1:HGJ1"/>
    <mergeCell ref="HGK1:HGZ1"/>
    <mergeCell ref="HHA1:HHP1"/>
    <mergeCell ref="HHQ1:HIF1"/>
    <mergeCell ref="HIG1:HIV1"/>
    <mergeCell ref="HIW1:HJL1"/>
    <mergeCell ref="HJM1:HKB1"/>
    <mergeCell ref="HKC1:HKR1"/>
    <mergeCell ref="HKS1:HLH1"/>
    <mergeCell ref="HLI1:HLX1"/>
    <mergeCell ref="HLY1:HMN1"/>
    <mergeCell ref="HMO1:HND1"/>
    <mergeCell ref="HNE1:HNT1"/>
    <mergeCell ref="HNU1:HOJ1"/>
    <mergeCell ref="HOK1:HOZ1"/>
    <mergeCell ref="HPA1:HPP1"/>
    <mergeCell ref="HPQ1:HQF1"/>
    <mergeCell ref="HQG1:HQV1"/>
    <mergeCell ref="HQW1:HRL1"/>
    <mergeCell ref="HRM1:HSB1"/>
    <mergeCell ref="HSC1:HSR1"/>
    <mergeCell ref="HSS1:HTH1"/>
    <mergeCell ref="HTI1:HTX1"/>
    <mergeCell ref="HTY1:HUN1"/>
    <mergeCell ref="HUO1:HVD1"/>
    <mergeCell ref="HVE1:HVT1"/>
    <mergeCell ref="HVU1:HWJ1"/>
    <mergeCell ref="HWK1:HWZ1"/>
    <mergeCell ref="HXA1:HXP1"/>
    <mergeCell ref="HXQ1:HYF1"/>
    <mergeCell ref="HYG1:HYV1"/>
    <mergeCell ref="HYW1:HZL1"/>
    <mergeCell ref="HZM1:IAB1"/>
    <mergeCell ref="IAC1:IAR1"/>
    <mergeCell ref="IAS1:IBH1"/>
    <mergeCell ref="IBI1:IBX1"/>
    <mergeCell ref="IBY1:ICN1"/>
    <mergeCell ref="ICO1:IDD1"/>
    <mergeCell ref="IDE1:IDT1"/>
    <mergeCell ref="IDU1:IEJ1"/>
    <mergeCell ref="IEK1:IEZ1"/>
    <mergeCell ref="IFA1:IFP1"/>
    <mergeCell ref="IFQ1:IGF1"/>
    <mergeCell ref="IGG1:IGV1"/>
    <mergeCell ref="IGW1:IHL1"/>
    <mergeCell ref="IHM1:IIB1"/>
    <mergeCell ref="IIC1:IIR1"/>
    <mergeCell ref="IIS1:IJH1"/>
    <mergeCell ref="IJI1:IJX1"/>
    <mergeCell ref="IJY1:IKN1"/>
    <mergeCell ref="IKO1:ILD1"/>
    <mergeCell ref="ILE1:ILT1"/>
    <mergeCell ref="ILU1:IMJ1"/>
    <mergeCell ref="IMK1:IMZ1"/>
    <mergeCell ref="INA1:INP1"/>
    <mergeCell ref="INQ1:IOF1"/>
    <mergeCell ref="IOG1:IOV1"/>
    <mergeCell ref="IOW1:IPL1"/>
    <mergeCell ref="IPM1:IQB1"/>
    <mergeCell ref="IQC1:IQR1"/>
    <mergeCell ref="IQS1:IRH1"/>
    <mergeCell ref="IRI1:IRX1"/>
    <mergeCell ref="IRY1:ISN1"/>
    <mergeCell ref="ISO1:ITD1"/>
    <mergeCell ref="ITE1:ITT1"/>
    <mergeCell ref="ITU1:IUJ1"/>
    <mergeCell ref="IUK1:IUZ1"/>
    <mergeCell ref="IVA1:IVP1"/>
    <mergeCell ref="IVQ1:IWF1"/>
    <mergeCell ref="IWG1:IWV1"/>
    <mergeCell ref="IWW1:IXL1"/>
    <mergeCell ref="IXM1:IYB1"/>
    <mergeCell ref="IYC1:IYR1"/>
    <mergeCell ref="IYS1:IZH1"/>
    <mergeCell ref="IZI1:IZX1"/>
    <mergeCell ref="IZY1:JAN1"/>
    <mergeCell ref="JAO1:JBD1"/>
    <mergeCell ref="JBE1:JBT1"/>
    <mergeCell ref="JBU1:JCJ1"/>
    <mergeCell ref="JCK1:JCZ1"/>
    <mergeCell ref="JDA1:JDP1"/>
    <mergeCell ref="JDQ1:JEF1"/>
    <mergeCell ref="JEG1:JEV1"/>
    <mergeCell ref="JEW1:JFL1"/>
    <mergeCell ref="JFM1:JGB1"/>
    <mergeCell ref="JGC1:JGR1"/>
    <mergeCell ref="JGS1:JHH1"/>
    <mergeCell ref="JHI1:JHX1"/>
    <mergeCell ref="JHY1:JIN1"/>
    <mergeCell ref="JIO1:JJD1"/>
    <mergeCell ref="JJE1:JJT1"/>
    <mergeCell ref="JJU1:JKJ1"/>
    <mergeCell ref="JKK1:JKZ1"/>
    <mergeCell ref="JLA1:JLP1"/>
    <mergeCell ref="JLQ1:JMF1"/>
    <mergeCell ref="JMG1:JMV1"/>
    <mergeCell ref="JMW1:JNL1"/>
    <mergeCell ref="JNM1:JOB1"/>
    <mergeCell ref="JOC1:JOR1"/>
    <mergeCell ref="JOS1:JPH1"/>
    <mergeCell ref="JPI1:JPX1"/>
    <mergeCell ref="JPY1:JQN1"/>
    <mergeCell ref="JQO1:JRD1"/>
    <mergeCell ref="JRE1:JRT1"/>
    <mergeCell ref="JRU1:JSJ1"/>
    <mergeCell ref="JSK1:JSZ1"/>
    <mergeCell ref="JTA1:JTP1"/>
    <mergeCell ref="JTQ1:JUF1"/>
    <mergeCell ref="JUG1:JUV1"/>
    <mergeCell ref="JUW1:JVL1"/>
    <mergeCell ref="JVM1:JWB1"/>
    <mergeCell ref="JWC1:JWR1"/>
    <mergeCell ref="JWS1:JXH1"/>
    <mergeCell ref="JXI1:JXX1"/>
    <mergeCell ref="JXY1:JYN1"/>
    <mergeCell ref="JYO1:JZD1"/>
    <mergeCell ref="JZE1:JZT1"/>
    <mergeCell ref="JZU1:KAJ1"/>
    <mergeCell ref="KAK1:KAZ1"/>
    <mergeCell ref="KBA1:KBP1"/>
    <mergeCell ref="KBQ1:KCF1"/>
    <mergeCell ref="KCG1:KCV1"/>
    <mergeCell ref="KCW1:KDL1"/>
    <mergeCell ref="KDM1:KEB1"/>
    <mergeCell ref="KEC1:KER1"/>
    <mergeCell ref="KES1:KFH1"/>
    <mergeCell ref="KFI1:KFX1"/>
    <mergeCell ref="KFY1:KGN1"/>
    <mergeCell ref="KGO1:KHD1"/>
    <mergeCell ref="KHE1:KHT1"/>
    <mergeCell ref="KHU1:KIJ1"/>
    <mergeCell ref="KIK1:KIZ1"/>
    <mergeCell ref="KJA1:KJP1"/>
    <mergeCell ref="KJQ1:KKF1"/>
    <mergeCell ref="KKG1:KKV1"/>
    <mergeCell ref="KKW1:KLL1"/>
    <mergeCell ref="KLM1:KMB1"/>
    <mergeCell ref="KMC1:KMR1"/>
    <mergeCell ref="KMS1:KNH1"/>
    <mergeCell ref="KNI1:KNX1"/>
    <mergeCell ref="KNY1:KON1"/>
    <mergeCell ref="KOO1:KPD1"/>
    <mergeCell ref="KPE1:KPT1"/>
    <mergeCell ref="KPU1:KQJ1"/>
    <mergeCell ref="KQK1:KQZ1"/>
    <mergeCell ref="KRA1:KRP1"/>
    <mergeCell ref="KRQ1:KSF1"/>
    <mergeCell ref="KSG1:KSV1"/>
    <mergeCell ref="KSW1:KTL1"/>
    <mergeCell ref="KTM1:KUB1"/>
    <mergeCell ref="KUC1:KUR1"/>
    <mergeCell ref="KUS1:KVH1"/>
    <mergeCell ref="KVI1:KVX1"/>
    <mergeCell ref="KVY1:KWN1"/>
    <mergeCell ref="KWO1:KXD1"/>
    <mergeCell ref="KXE1:KXT1"/>
    <mergeCell ref="KXU1:KYJ1"/>
    <mergeCell ref="KYK1:KYZ1"/>
    <mergeCell ref="KZA1:KZP1"/>
    <mergeCell ref="KZQ1:LAF1"/>
    <mergeCell ref="LAG1:LAV1"/>
    <mergeCell ref="LAW1:LBL1"/>
    <mergeCell ref="LBM1:LCB1"/>
    <mergeCell ref="LCC1:LCR1"/>
    <mergeCell ref="LCS1:LDH1"/>
    <mergeCell ref="LDI1:LDX1"/>
    <mergeCell ref="LDY1:LEN1"/>
    <mergeCell ref="LEO1:LFD1"/>
    <mergeCell ref="LFE1:LFT1"/>
    <mergeCell ref="LFU1:LGJ1"/>
    <mergeCell ref="LGK1:LGZ1"/>
    <mergeCell ref="LHA1:LHP1"/>
    <mergeCell ref="LHQ1:LIF1"/>
    <mergeCell ref="LIG1:LIV1"/>
    <mergeCell ref="LIW1:LJL1"/>
    <mergeCell ref="LJM1:LKB1"/>
    <mergeCell ref="LKC1:LKR1"/>
    <mergeCell ref="LKS1:LLH1"/>
    <mergeCell ref="LLI1:LLX1"/>
    <mergeCell ref="LLY1:LMN1"/>
    <mergeCell ref="LMO1:LND1"/>
    <mergeCell ref="LNE1:LNT1"/>
    <mergeCell ref="LNU1:LOJ1"/>
    <mergeCell ref="LOK1:LOZ1"/>
    <mergeCell ref="LPA1:LPP1"/>
    <mergeCell ref="LPQ1:LQF1"/>
    <mergeCell ref="LQG1:LQV1"/>
    <mergeCell ref="LQW1:LRL1"/>
    <mergeCell ref="LRM1:LSB1"/>
    <mergeCell ref="LSC1:LSR1"/>
    <mergeCell ref="LSS1:LTH1"/>
    <mergeCell ref="LTI1:LTX1"/>
    <mergeCell ref="LTY1:LUN1"/>
    <mergeCell ref="LUO1:LVD1"/>
    <mergeCell ref="LVE1:LVT1"/>
    <mergeCell ref="LVU1:LWJ1"/>
    <mergeCell ref="LWK1:LWZ1"/>
    <mergeCell ref="LXA1:LXP1"/>
    <mergeCell ref="LXQ1:LYF1"/>
    <mergeCell ref="LYG1:LYV1"/>
    <mergeCell ref="LYW1:LZL1"/>
    <mergeCell ref="LZM1:MAB1"/>
    <mergeCell ref="MAC1:MAR1"/>
    <mergeCell ref="MAS1:MBH1"/>
    <mergeCell ref="MBI1:MBX1"/>
    <mergeCell ref="MBY1:MCN1"/>
    <mergeCell ref="MCO1:MDD1"/>
    <mergeCell ref="MDE1:MDT1"/>
    <mergeCell ref="MDU1:MEJ1"/>
    <mergeCell ref="MEK1:MEZ1"/>
    <mergeCell ref="MFA1:MFP1"/>
    <mergeCell ref="MFQ1:MGF1"/>
    <mergeCell ref="MGG1:MGV1"/>
    <mergeCell ref="MGW1:MHL1"/>
    <mergeCell ref="MHM1:MIB1"/>
    <mergeCell ref="MIC1:MIR1"/>
    <mergeCell ref="MIS1:MJH1"/>
    <mergeCell ref="MJI1:MJX1"/>
    <mergeCell ref="MJY1:MKN1"/>
    <mergeCell ref="MKO1:MLD1"/>
    <mergeCell ref="MLE1:MLT1"/>
    <mergeCell ref="MLU1:MMJ1"/>
    <mergeCell ref="MMK1:MMZ1"/>
    <mergeCell ref="MNA1:MNP1"/>
    <mergeCell ref="MNQ1:MOF1"/>
    <mergeCell ref="MOG1:MOV1"/>
    <mergeCell ref="MOW1:MPL1"/>
    <mergeCell ref="MPM1:MQB1"/>
    <mergeCell ref="MQC1:MQR1"/>
    <mergeCell ref="MQS1:MRH1"/>
    <mergeCell ref="MRI1:MRX1"/>
    <mergeCell ref="MRY1:MSN1"/>
    <mergeCell ref="MSO1:MTD1"/>
    <mergeCell ref="MTE1:MTT1"/>
    <mergeCell ref="MTU1:MUJ1"/>
    <mergeCell ref="MUK1:MUZ1"/>
    <mergeCell ref="MVA1:MVP1"/>
    <mergeCell ref="MVQ1:MWF1"/>
    <mergeCell ref="MWG1:MWV1"/>
    <mergeCell ref="MWW1:MXL1"/>
    <mergeCell ref="MXM1:MYB1"/>
    <mergeCell ref="MYC1:MYR1"/>
    <mergeCell ref="MYS1:MZH1"/>
    <mergeCell ref="MZI1:MZX1"/>
    <mergeCell ref="MZY1:NAN1"/>
    <mergeCell ref="NAO1:NBD1"/>
    <mergeCell ref="NBE1:NBT1"/>
    <mergeCell ref="NBU1:NCJ1"/>
    <mergeCell ref="NCK1:NCZ1"/>
    <mergeCell ref="NDA1:NDP1"/>
    <mergeCell ref="NDQ1:NEF1"/>
    <mergeCell ref="NEG1:NEV1"/>
    <mergeCell ref="NEW1:NFL1"/>
    <mergeCell ref="NFM1:NGB1"/>
    <mergeCell ref="NGC1:NGR1"/>
    <mergeCell ref="NGS1:NHH1"/>
    <mergeCell ref="NHI1:NHX1"/>
    <mergeCell ref="NHY1:NIN1"/>
    <mergeCell ref="NIO1:NJD1"/>
    <mergeCell ref="NJE1:NJT1"/>
    <mergeCell ref="NJU1:NKJ1"/>
    <mergeCell ref="NKK1:NKZ1"/>
    <mergeCell ref="NLA1:NLP1"/>
    <mergeCell ref="NLQ1:NMF1"/>
    <mergeCell ref="NMG1:NMV1"/>
    <mergeCell ref="NMW1:NNL1"/>
    <mergeCell ref="NNM1:NOB1"/>
    <mergeCell ref="NOC1:NOR1"/>
    <mergeCell ref="NOS1:NPH1"/>
    <mergeCell ref="NPI1:NPX1"/>
    <mergeCell ref="NPY1:NQN1"/>
    <mergeCell ref="NQO1:NRD1"/>
    <mergeCell ref="NRE1:NRT1"/>
    <mergeCell ref="NRU1:NSJ1"/>
    <mergeCell ref="NSK1:NSZ1"/>
    <mergeCell ref="NTA1:NTP1"/>
    <mergeCell ref="NTQ1:NUF1"/>
    <mergeCell ref="NUG1:NUV1"/>
    <mergeCell ref="NUW1:NVL1"/>
    <mergeCell ref="NVM1:NWB1"/>
    <mergeCell ref="NWC1:NWR1"/>
    <mergeCell ref="NWS1:NXH1"/>
    <mergeCell ref="NXI1:NXX1"/>
    <mergeCell ref="NXY1:NYN1"/>
    <mergeCell ref="NYO1:NZD1"/>
    <mergeCell ref="NZE1:NZT1"/>
    <mergeCell ref="NZU1:OAJ1"/>
    <mergeCell ref="OAK1:OAZ1"/>
    <mergeCell ref="OBA1:OBP1"/>
    <mergeCell ref="OBQ1:OCF1"/>
    <mergeCell ref="OCG1:OCV1"/>
    <mergeCell ref="OCW1:ODL1"/>
    <mergeCell ref="ODM1:OEB1"/>
    <mergeCell ref="OEC1:OER1"/>
    <mergeCell ref="OES1:OFH1"/>
    <mergeCell ref="OFI1:OFX1"/>
    <mergeCell ref="OFY1:OGN1"/>
    <mergeCell ref="OGO1:OHD1"/>
    <mergeCell ref="OHE1:OHT1"/>
    <mergeCell ref="OHU1:OIJ1"/>
    <mergeCell ref="OIK1:OIZ1"/>
    <mergeCell ref="OJA1:OJP1"/>
    <mergeCell ref="OJQ1:OKF1"/>
    <mergeCell ref="OKG1:OKV1"/>
    <mergeCell ref="OKW1:OLL1"/>
    <mergeCell ref="OLM1:OMB1"/>
    <mergeCell ref="OMC1:OMR1"/>
    <mergeCell ref="OMS1:ONH1"/>
    <mergeCell ref="ONI1:ONX1"/>
    <mergeCell ref="ONY1:OON1"/>
    <mergeCell ref="OOO1:OPD1"/>
    <mergeCell ref="OPE1:OPT1"/>
    <mergeCell ref="OPU1:OQJ1"/>
    <mergeCell ref="OQK1:OQZ1"/>
    <mergeCell ref="ORA1:ORP1"/>
    <mergeCell ref="ORQ1:OSF1"/>
    <mergeCell ref="OSG1:OSV1"/>
    <mergeCell ref="OSW1:OTL1"/>
    <mergeCell ref="OTM1:OUB1"/>
    <mergeCell ref="OUC1:OUR1"/>
    <mergeCell ref="OUS1:OVH1"/>
    <mergeCell ref="OVI1:OVX1"/>
    <mergeCell ref="OVY1:OWN1"/>
    <mergeCell ref="OWO1:OXD1"/>
    <mergeCell ref="OXE1:OXT1"/>
    <mergeCell ref="OXU1:OYJ1"/>
    <mergeCell ref="OYK1:OYZ1"/>
    <mergeCell ref="OZA1:OZP1"/>
    <mergeCell ref="OZQ1:PAF1"/>
    <mergeCell ref="PAG1:PAV1"/>
    <mergeCell ref="PAW1:PBL1"/>
    <mergeCell ref="PBM1:PCB1"/>
    <mergeCell ref="PCC1:PCR1"/>
    <mergeCell ref="PCS1:PDH1"/>
    <mergeCell ref="PDI1:PDX1"/>
    <mergeCell ref="PDY1:PEN1"/>
    <mergeCell ref="PEO1:PFD1"/>
    <mergeCell ref="PFE1:PFT1"/>
    <mergeCell ref="PFU1:PGJ1"/>
    <mergeCell ref="PGK1:PGZ1"/>
    <mergeCell ref="PHA1:PHP1"/>
    <mergeCell ref="PHQ1:PIF1"/>
    <mergeCell ref="PIG1:PIV1"/>
    <mergeCell ref="PIW1:PJL1"/>
    <mergeCell ref="PJM1:PKB1"/>
    <mergeCell ref="PKC1:PKR1"/>
    <mergeCell ref="PKS1:PLH1"/>
    <mergeCell ref="PLI1:PLX1"/>
    <mergeCell ref="PLY1:PMN1"/>
    <mergeCell ref="PMO1:PND1"/>
    <mergeCell ref="PNE1:PNT1"/>
    <mergeCell ref="PNU1:POJ1"/>
    <mergeCell ref="POK1:POZ1"/>
    <mergeCell ref="PPA1:PPP1"/>
    <mergeCell ref="PPQ1:PQF1"/>
    <mergeCell ref="PQG1:PQV1"/>
    <mergeCell ref="PQW1:PRL1"/>
    <mergeCell ref="PRM1:PSB1"/>
    <mergeCell ref="PSC1:PSR1"/>
    <mergeCell ref="PSS1:PTH1"/>
    <mergeCell ref="PTI1:PTX1"/>
    <mergeCell ref="PTY1:PUN1"/>
    <mergeCell ref="PUO1:PVD1"/>
    <mergeCell ref="PVE1:PVT1"/>
    <mergeCell ref="PVU1:PWJ1"/>
    <mergeCell ref="PWK1:PWZ1"/>
    <mergeCell ref="PXA1:PXP1"/>
    <mergeCell ref="PXQ1:PYF1"/>
    <mergeCell ref="PYG1:PYV1"/>
    <mergeCell ref="PYW1:PZL1"/>
    <mergeCell ref="PZM1:QAB1"/>
    <mergeCell ref="QAC1:QAR1"/>
    <mergeCell ref="QAS1:QBH1"/>
    <mergeCell ref="QBI1:QBX1"/>
    <mergeCell ref="QBY1:QCN1"/>
    <mergeCell ref="QCO1:QDD1"/>
    <mergeCell ref="QDE1:QDT1"/>
    <mergeCell ref="QDU1:QEJ1"/>
    <mergeCell ref="QEK1:QEZ1"/>
    <mergeCell ref="QFA1:QFP1"/>
    <mergeCell ref="QFQ1:QGF1"/>
    <mergeCell ref="QGG1:QGV1"/>
    <mergeCell ref="QGW1:QHL1"/>
    <mergeCell ref="QHM1:QIB1"/>
    <mergeCell ref="QIC1:QIR1"/>
    <mergeCell ref="QIS1:QJH1"/>
    <mergeCell ref="QJI1:QJX1"/>
    <mergeCell ref="QJY1:QKN1"/>
    <mergeCell ref="QKO1:QLD1"/>
    <mergeCell ref="QLE1:QLT1"/>
    <mergeCell ref="QLU1:QMJ1"/>
    <mergeCell ref="QMK1:QMZ1"/>
    <mergeCell ref="QNA1:QNP1"/>
    <mergeCell ref="QNQ1:QOF1"/>
    <mergeCell ref="QOG1:QOV1"/>
    <mergeCell ref="QOW1:QPL1"/>
    <mergeCell ref="QPM1:QQB1"/>
    <mergeCell ref="QQC1:QQR1"/>
    <mergeCell ref="QQS1:QRH1"/>
    <mergeCell ref="QRI1:QRX1"/>
    <mergeCell ref="QRY1:QSN1"/>
    <mergeCell ref="QSO1:QTD1"/>
    <mergeCell ref="QTE1:QTT1"/>
    <mergeCell ref="QTU1:QUJ1"/>
    <mergeCell ref="QUK1:QUZ1"/>
    <mergeCell ref="QVA1:QVP1"/>
    <mergeCell ref="QVQ1:QWF1"/>
    <mergeCell ref="QWG1:QWV1"/>
    <mergeCell ref="QWW1:QXL1"/>
    <mergeCell ref="QXM1:QYB1"/>
    <mergeCell ref="QYC1:QYR1"/>
    <mergeCell ref="QYS1:QZH1"/>
    <mergeCell ref="QZI1:QZX1"/>
    <mergeCell ref="QZY1:RAN1"/>
    <mergeCell ref="RAO1:RBD1"/>
    <mergeCell ref="RBE1:RBT1"/>
    <mergeCell ref="RBU1:RCJ1"/>
    <mergeCell ref="RCK1:RCZ1"/>
    <mergeCell ref="RDA1:RDP1"/>
    <mergeCell ref="RDQ1:REF1"/>
    <mergeCell ref="REG1:REV1"/>
    <mergeCell ref="REW1:RFL1"/>
    <mergeCell ref="RFM1:RGB1"/>
    <mergeCell ref="RGC1:RGR1"/>
    <mergeCell ref="RGS1:RHH1"/>
    <mergeCell ref="RHI1:RHX1"/>
    <mergeCell ref="RHY1:RIN1"/>
    <mergeCell ref="RIO1:RJD1"/>
    <mergeCell ref="RJE1:RJT1"/>
    <mergeCell ref="RJU1:RKJ1"/>
    <mergeCell ref="RKK1:RKZ1"/>
    <mergeCell ref="RLA1:RLP1"/>
    <mergeCell ref="RLQ1:RMF1"/>
    <mergeCell ref="RMG1:RMV1"/>
    <mergeCell ref="RMW1:RNL1"/>
    <mergeCell ref="RNM1:ROB1"/>
    <mergeCell ref="ROC1:ROR1"/>
    <mergeCell ref="ROS1:RPH1"/>
    <mergeCell ref="RPI1:RPX1"/>
    <mergeCell ref="RPY1:RQN1"/>
    <mergeCell ref="RQO1:RRD1"/>
    <mergeCell ref="RRE1:RRT1"/>
    <mergeCell ref="RRU1:RSJ1"/>
    <mergeCell ref="RSK1:RSZ1"/>
    <mergeCell ref="RTA1:RTP1"/>
    <mergeCell ref="RTQ1:RUF1"/>
    <mergeCell ref="RUG1:RUV1"/>
    <mergeCell ref="RUW1:RVL1"/>
    <mergeCell ref="RVM1:RWB1"/>
    <mergeCell ref="RWC1:RWR1"/>
    <mergeCell ref="RWS1:RXH1"/>
    <mergeCell ref="RXI1:RXX1"/>
    <mergeCell ref="RXY1:RYN1"/>
    <mergeCell ref="RYO1:RZD1"/>
    <mergeCell ref="RZE1:RZT1"/>
    <mergeCell ref="RZU1:SAJ1"/>
    <mergeCell ref="SAK1:SAZ1"/>
    <mergeCell ref="SBA1:SBP1"/>
    <mergeCell ref="SBQ1:SCF1"/>
    <mergeCell ref="SCG1:SCV1"/>
    <mergeCell ref="SCW1:SDL1"/>
    <mergeCell ref="SDM1:SEB1"/>
    <mergeCell ref="SEC1:SER1"/>
    <mergeCell ref="SES1:SFH1"/>
    <mergeCell ref="SFI1:SFX1"/>
    <mergeCell ref="SFY1:SGN1"/>
    <mergeCell ref="SGO1:SHD1"/>
    <mergeCell ref="SHE1:SHT1"/>
    <mergeCell ref="SHU1:SIJ1"/>
    <mergeCell ref="SIK1:SIZ1"/>
    <mergeCell ref="SJA1:SJP1"/>
    <mergeCell ref="SJQ1:SKF1"/>
    <mergeCell ref="SKG1:SKV1"/>
    <mergeCell ref="SKW1:SLL1"/>
    <mergeCell ref="SLM1:SMB1"/>
    <mergeCell ref="SMC1:SMR1"/>
    <mergeCell ref="SMS1:SNH1"/>
    <mergeCell ref="SNI1:SNX1"/>
    <mergeCell ref="SNY1:SON1"/>
    <mergeCell ref="SOO1:SPD1"/>
    <mergeCell ref="SPE1:SPT1"/>
    <mergeCell ref="SPU1:SQJ1"/>
    <mergeCell ref="SQK1:SQZ1"/>
    <mergeCell ref="SRA1:SRP1"/>
    <mergeCell ref="SRQ1:SSF1"/>
    <mergeCell ref="SSG1:SSV1"/>
    <mergeCell ref="SSW1:STL1"/>
    <mergeCell ref="STM1:SUB1"/>
    <mergeCell ref="SUC1:SUR1"/>
    <mergeCell ref="SUS1:SVH1"/>
    <mergeCell ref="SVI1:SVX1"/>
    <mergeCell ref="SVY1:SWN1"/>
    <mergeCell ref="SWO1:SXD1"/>
    <mergeCell ref="SXE1:SXT1"/>
    <mergeCell ref="SXU1:SYJ1"/>
    <mergeCell ref="SYK1:SYZ1"/>
    <mergeCell ref="SZA1:SZP1"/>
    <mergeCell ref="SZQ1:TAF1"/>
    <mergeCell ref="TAG1:TAV1"/>
    <mergeCell ref="TAW1:TBL1"/>
    <mergeCell ref="TBM1:TCB1"/>
    <mergeCell ref="TCC1:TCR1"/>
    <mergeCell ref="TCS1:TDH1"/>
    <mergeCell ref="TDI1:TDX1"/>
    <mergeCell ref="TDY1:TEN1"/>
    <mergeCell ref="TEO1:TFD1"/>
    <mergeCell ref="TFE1:TFT1"/>
    <mergeCell ref="TFU1:TGJ1"/>
    <mergeCell ref="TGK1:TGZ1"/>
    <mergeCell ref="THA1:THP1"/>
    <mergeCell ref="THQ1:TIF1"/>
    <mergeCell ref="TIG1:TIV1"/>
    <mergeCell ref="TIW1:TJL1"/>
    <mergeCell ref="TJM1:TKB1"/>
    <mergeCell ref="TKC1:TKR1"/>
    <mergeCell ref="TKS1:TLH1"/>
    <mergeCell ref="TLI1:TLX1"/>
    <mergeCell ref="TLY1:TMN1"/>
    <mergeCell ref="TMO1:TND1"/>
    <mergeCell ref="TNE1:TNT1"/>
    <mergeCell ref="TNU1:TOJ1"/>
    <mergeCell ref="TOK1:TOZ1"/>
    <mergeCell ref="TPA1:TPP1"/>
    <mergeCell ref="TPQ1:TQF1"/>
    <mergeCell ref="TQG1:TQV1"/>
    <mergeCell ref="TQW1:TRL1"/>
    <mergeCell ref="TRM1:TSB1"/>
    <mergeCell ref="TSC1:TSR1"/>
    <mergeCell ref="TSS1:TTH1"/>
    <mergeCell ref="TTI1:TTX1"/>
    <mergeCell ref="TTY1:TUN1"/>
    <mergeCell ref="TUO1:TVD1"/>
    <mergeCell ref="TVE1:TVT1"/>
    <mergeCell ref="TVU1:TWJ1"/>
    <mergeCell ref="TWK1:TWZ1"/>
    <mergeCell ref="TXA1:TXP1"/>
    <mergeCell ref="TXQ1:TYF1"/>
    <mergeCell ref="TYG1:TYV1"/>
    <mergeCell ref="TYW1:TZL1"/>
    <mergeCell ref="TZM1:UAB1"/>
    <mergeCell ref="UAC1:UAR1"/>
    <mergeCell ref="UAS1:UBH1"/>
    <mergeCell ref="UBI1:UBX1"/>
    <mergeCell ref="UBY1:UCN1"/>
    <mergeCell ref="UCO1:UDD1"/>
    <mergeCell ref="UDE1:UDT1"/>
    <mergeCell ref="UDU1:UEJ1"/>
    <mergeCell ref="UEK1:UEZ1"/>
    <mergeCell ref="UFA1:UFP1"/>
    <mergeCell ref="UFQ1:UGF1"/>
    <mergeCell ref="UGG1:UGV1"/>
    <mergeCell ref="UGW1:UHL1"/>
    <mergeCell ref="UHM1:UIB1"/>
    <mergeCell ref="UIC1:UIR1"/>
    <mergeCell ref="UIS1:UJH1"/>
    <mergeCell ref="UJI1:UJX1"/>
    <mergeCell ref="UJY1:UKN1"/>
    <mergeCell ref="UKO1:ULD1"/>
    <mergeCell ref="ULE1:ULT1"/>
    <mergeCell ref="ULU1:UMJ1"/>
    <mergeCell ref="UMK1:UMZ1"/>
    <mergeCell ref="UNA1:UNP1"/>
    <mergeCell ref="UNQ1:UOF1"/>
    <mergeCell ref="UOG1:UOV1"/>
    <mergeCell ref="UOW1:UPL1"/>
    <mergeCell ref="UPM1:UQB1"/>
    <mergeCell ref="UQC1:UQR1"/>
    <mergeCell ref="UQS1:URH1"/>
    <mergeCell ref="URI1:URX1"/>
    <mergeCell ref="URY1:USN1"/>
    <mergeCell ref="USO1:UTD1"/>
    <mergeCell ref="UTE1:UTT1"/>
    <mergeCell ref="UTU1:UUJ1"/>
    <mergeCell ref="UUK1:UUZ1"/>
    <mergeCell ref="UVA1:UVP1"/>
    <mergeCell ref="UVQ1:UWF1"/>
    <mergeCell ref="UWG1:UWV1"/>
    <mergeCell ref="UWW1:UXL1"/>
    <mergeCell ref="UXM1:UYB1"/>
    <mergeCell ref="UYC1:UYR1"/>
    <mergeCell ref="UYS1:UZH1"/>
    <mergeCell ref="UZI1:UZX1"/>
    <mergeCell ref="UZY1:VAN1"/>
    <mergeCell ref="VAO1:VBD1"/>
    <mergeCell ref="VBE1:VBT1"/>
    <mergeCell ref="VBU1:VCJ1"/>
    <mergeCell ref="VCK1:VCZ1"/>
    <mergeCell ref="VDA1:VDP1"/>
    <mergeCell ref="VDQ1:VEF1"/>
    <mergeCell ref="VEG1:VEV1"/>
    <mergeCell ref="VEW1:VFL1"/>
    <mergeCell ref="VFM1:VGB1"/>
    <mergeCell ref="VGC1:VGR1"/>
    <mergeCell ref="VGS1:VHH1"/>
    <mergeCell ref="VHI1:VHX1"/>
    <mergeCell ref="VHY1:VIN1"/>
    <mergeCell ref="VIO1:VJD1"/>
    <mergeCell ref="VJE1:VJT1"/>
    <mergeCell ref="VJU1:VKJ1"/>
    <mergeCell ref="VKK1:VKZ1"/>
    <mergeCell ref="VLA1:VLP1"/>
    <mergeCell ref="VLQ1:VMF1"/>
    <mergeCell ref="VMG1:VMV1"/>
    <mergeCell ref="VMW1:VNL1"/>
    <mergeCell ref="VNM1:VOB1"/>
    <mergeCell ref="VOC1:VOR1"/>
    <mergeCell ref="VOS1:VPH1"/>
    <mergeCell ref="VPI1:VPX1"/>
    <mergeCell ref="VPY1:VQN1"/>
    <mergeCell ref="VQO1:VRD1"/>
    <mergeCell ref="VRE1:VRT1"/>
    <mergeCell ref="VRU1:VSJ1"/>
    <mergeCell ref="VSK1:VSZ1"/>
    <mergeCell ref="VTA1:VTP1"/>
    <mergeCell ref="VTQ1:VUF1"/>
    <mergeCell ref="VUG1:VUV1"/>
    <mergeCell ref="VUW1:VVL1"/>
    <mergeCell ref="VVM1:VWB1"/>
    <mergeCell ref="VWC1:VWR1"/>
    <mergeCell ref="VWS1:VXH1"/>
    <mergeCell ref="VXI1:VXX1"/>
    <mergeCell ref="WMC1:WMR1"/>
    <mergeCell ref="WMS1:WNH1"/>
    <mergeCell ref="WNI1:WNX1"/>
    <mergeCell ref="WNY1:WON1"/>
    <mergeCell ref="WOO1:WPD1"/>
    <mergeCell ref="WPE1:WPT1"/>
    <mergeCell ref="WPU1:WQJ1"/>
    <mergeCell ref="WQK1:WQZ1"/>
    <mergeCell ref="WRA1:WRP1"/>
    <mergeCell ref="WRQ1:WSF1"/>
    <mergeCell ref="WSG1:WSV1"/>
    <mergeCell ref="VXY1:VYN1"/>
    <mergeCell ref="VYO1:VZD1"/>
    <mergeCell ref="VZE1:VZT1"/>
    <mergeCell ref="VZU1:WAJ1"/>
    <mergeCell ref="WAK1:WAZ1"/>
    <mergeCell ref="WBA1:WBP1"/>
    <mergeCell ref="WBQ1:WCF1"/>
    <mergeCell ref="WCG1:WCV1"/>
    <mergeCell ref="WCW1:WDL1"/>
    <mergeCell ref="WDM1:WEB1"/>
    <mergeCell ref="WEC1:WER1"/>
    <mergeCell ref="WES1:WFH1"/>
    <mergeCell ref="WFI1:WFX1"/>
    <mergeCell ref="WFY1:WGN1"/>
    <mergeCell ref="WGO1:WHD1"/>
    <mergeCell ref="WHE1:WHT1"/>
    <mergeCell ref="WHU1:WIJ1"/>
    <mergeCell ref="XDI1:XDX1"/>
    <mergeCell ref="XDY1:XEN1"/>
    <mergeCell ref="XEO1:XFD1"/>
    <mergeCell ref="D3:P3"/>
    <mergeCell ref="D57:P57"/>
    <mergeCell ref="H58:I58"/>
    <mergeCell ref="A3:A4"/>
    <mergeCell ref="B3:B4"/>
    <mergeCell ref="C3:C4"/>
    <mergeCell ref="WSW1:WTL1"/>
    <mergeCell ref="WTM1:WUB1"/>
    <mergeCell ref="WUC1:WUR1"/>
    <mergeCell ref="WUS1:WVH1"/>
    <mergeCell ref="WVI1:WVX1"/>
    <mergeCell ref="WVY1:WWN1"/>
    <mergeCell ref="WWO1:WXD1"/>
    <mergeCell ref="WXE1:WXT1"/>
    <mergeCell ref="WXU1:WYJ1"/>
    <mergeCell ref="WYK1:WYZ1"/>
    <mergeCell ref="WZA1:WZP1"/>
    <mergeCell ref="WZQ1:XAF1"/>
    <mergeCell ref="XAG1:XAV1"/>
    <mergeCell ref="XAW1:XBL1"/>
    <mergeCell ref="XBM1:XCB1"/>
    <mergeCell ref="XCC1:XCR1"/>
    <mergeCell ref="XCS1:XDH1"/>
    <mergeCell ref="WIK1:WIZ1"/>
    <mergeCell ref="WJA1:WJP1"/>
    <mergeCell ref="WJQ1:WKF1"/>
    <mergeCell ref="WKG1:WKV1"/>
    <mergeCell ref="WKW1:WLL1"/>
    <mergeCell ref="WLM1:WMB1"/>
  </mergeCells>
  <phoneticPr fontId="39" type="noConversion"/>
  <pageMargins left="0.70866141732283505" right="0.196850393700787" top="0.39370078740157499" bottom="0.196850393700787" header="0.31496062992126" footer="0.31496062992126"/>
  <pageSetup paperSize="9" orientation="landscape"/>
  <ignoredErrors>
    <ignoredError sqref="P8:P17" 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0"/>
  </sheetPr>
  <dimension ref="A1:XFD57"/>
  <sheetViews>
    <sheetView showZeros="0" workbookViewId="0">
      <pane xSplit="3" ySplit="4" topLeftCell="D5" activePane="bottomRight" state="frozen"/>
      <selection pane="topRight"/>
      <selection pane="bottomLeft"/>
      <selection pane="bottomRight" activeCell="R67" sqref="R67"/>
    </sheetView>
  </sheetViews>
  <sheetFormatPr defaultColWidth="10.58203125" defaultRowHeight="15" customHeight="1" x14ac:dyDescent="0.25"/>
  <cols>
    <col min="1" max="1" width="6.58203125" style="76" customWidth="1"/>
    <col min="2" max="2" width="13.75" style="76" customWidth="1"/>
    <col min="3" max="4" width="6" style="76" customWidth="1"/>
    <col min="5" max="5" width="8.25" style="156" customWidth="1"/>
    <col min="6" max="6" width="8.25" style="76" customWidth="1"/>
    <col min="7" max="16" width="7.58203125" style="76" customWidth="1"/>
    <col min="17" max="17" width="10.58203125" style="76" customWidth="1"/>
    <col min="18" max="18" width="8.75" style="60" customWidth="1"/>
    <col min="19" max="19" width="12.25" style="157" customWidth="1"/>
    <col min="20" max="16384" width="10.58203125" style="76"/>
  </cols>
  <sheetData>
    <row r="1" spans="1:16384" s="155" customFormat="1" ht="24" customHeight="1" x14ac:dyDescent="0.25">
      <c r="A1" s="243" t="s">
        <v>177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243" t="s">
        <v>127</v>
      </c>
      <c r="AH1" s="243"/>
      <c r="AI1" s="243"/>
      <c r="AJ1" s="243"/>
      <c r="AK1" s="243"/>
      <c r="AL1" s="243"/>
      <c r="AM1" s="243"/>
      <c r="AN1" s="243"/>
      <c r="AO1" s="243"/>
      <c r="AP1" s="243"/>
      <c r="AQ1" s="243"/>
      <c r="AR1" s="243"/>
      <c r="AS1" s="243"/>
      <c r="AT1" s="243"/>
      <c r="AU1" s="243"/>
      <c r="AV1" s="243"/>
      <c r="AW1" s="243" t="s">
        <v>127</v>
      </c>
      <c r="AX1" s="243"/>
      <c r="AY1" s="243"/>
      <c r="AZ1" s="243"/>
      <c r="BA1" s="243"/>
      <c r="BB1" s="243"/>
      <c r="BC1" s="243"/>
      <c r="BD1" s="243"/>
      <c r="BE1" s="243"/>
      <c r="BF1" s="243"/>
      <c r="BG1" s="243"/>
      <c r="BH1" s="243"/>
      <c r="BI1" s="243"/>
      <c r="BJ1" s="243"/>
      <c r="BK1" s="243"/>
      <c r="BL1" s="243"/>
      <c r="BM1" s="243" t="s">
        <v>127</v>
      </c>
      <c r="BN1" s="243"/>
      <c r="BO1" s="243"/>
      <c r="BP1" s="243"/>
      <c r="BQ1" s="243"/>
      <c r="BR1" s="243"/>
      <c r="BS1" s="243"/>
      <c r="BT1" s="243"/>
      <c r="BU1" s="243"/>
      <c r="BV1" s="243"/>
      <c r="BW1" s="243"/>
      <c r="BX1" s="243"/>
      <c r="BY1" s="243"/>
      <c r="BZ1" s="243"/>
      <c r="CA1" s="243"/>
      <c r="CB1" s="243"/>
      <c r="CC1" s="243" t="s">
        <v>127</v>
      </c>
      <c r="CD1" s="243"/>
      <c r="CE1" s="243"/>
      <c r="CF1" s="243"/>
      <c r="CG1" s="243"/>
      <c r="CH1" s="243"/>
      <c r="CI1" s="243"/>
      <c r="CJ1" s="243"/>
      <c r="CK1" s="243"/>
      <c r="CL1" s="243"/>
      <c r="CM1" s="243"/>
      <c r="CN1" s="243"/>
      <c r="CO1" s="243"/>
      <c r="CP1" s="243"/>
      <c r="CQ1" s="243"/>
      <c r="CR1" s="243"/>
      <c r="CS1" s="243" t="s">
        <v>127</v>
      </c>
      <c r="CT1" s="243"/>
      <c r="CU1" s="243"/>
      <c r="CV1" s="243"/>
      <c r="CW1" s="243"/>
      <c r="CX1" s="243"/>
      <c r="CY1" s="243"/>
      <c r="CZ1" s="243"/>
      <c r="DA1" s="243"/>
      <c r="DB1" s="243"/>
      <c r="DC1" s="243"/>
      <c r="DD1" s="243"/>
      <c r="DE1" s="243"/>
      <c r="DF1" s="243"/>
      <c r="DG1" s="243"/>
      <c r="DH1" s="243"/>
      <c r="DI1" s="243" t="s">
        <v>127</v>
      </c>
      <c r="DJ1" s="243"/>
      <c r="DK1" s="243"/>
      <c r="DL1" s="243"/>
      <c r="DM1" s="243"/>
      <c r="DN1" s="243"/>
      <c r="DO1" s="243"/>
      <c r="DP1" s="243"/>
      <c r="DQ1" s="243"/>
      <c r="DR1" s="243"/>
      <c r="DS1" s="243"/>
      <c r="DT1" s="243"/>
      <c r="DU1" s="243"/>
      <c r="DV1" s="243"/>
      <c r="DW1" s="243"/>
      <c r="DX1" s="243"/>
      <c r="DY1" s="243" t="s">
        <v>127</v>
      </c>
      <c r="DZ1" s="243"/>
      <c r="EA1" s="243"/>
      <c r="EB1" s="243"/>
      <c r="EC1" s="243"/>
      <c r="ED1" s="243"/>
      <c r="EE1" s="243"/>
      <c r="EF1" s="243"/>
      <c r="EG1" s="243"/>
      <c r="EH1" s="243"/>
      <c r="EI1" s="243"/>
      <c r="EJ1" s="243"/>
      <c r="EK1" s="243"/>
      <c r="EL1" s="243"/>
      <c r="EM1" s="243"/>
      <c r="EN1" s="243"/>
      <c r="EO1" s="243" t="s">
        <v>127</v>
      </c>
      <c r="EP1" s="243"/>
      <c r="EQ1" s="243"/>
      <c r="ER1" s="243"/>
      <c r="ES1" s="243"/>
      <c r="ET1" s="243"/>
      <c r="EU1" s="243"/>
      <c r="EV1" s="243"/>
      <c r="EW1" s="243"/>
      <c r="EX1" s="243"/>
      <c r="EY1" s="243"/>
      <c r="EZ1" s="243"/>
      <c r="FA1" s="243"/>
      <c r="FB1" s="243"/>
      <c r="FC1" s="243"/>
      <c r="FD1" s="243"/>
      <c r="FE1" s="243" t="s">
        <v>127</v>
      </c>
      <c r="FF1" s="243"/>
      <c r="FG1" s="243"/>
      <c r="FH1" s="243"/>
      <c r="FI1" s="243"/>
      <c r="FJ1" s="243"/>
      <c r="FK1" s="243"/>
      <c r="FL1" s="243"/>
      <c r="FM1" s="243"/>
      <c r="FN1" s="243"/>
      <c r="FO1" s="243"/>
      <c r="FP1" s="243"/>
      <c r="FQ1" s="243"/>
      <c r="FR1" s="243"/>
      <c r="FS1" s="243"/>
      <c r="FT1" s="243"/>
      <c r="FU1" s="243" t="s">
        <v>127</v>
      </c>
      <c r="FV1" s="243"/>
      <c r="FW1" s="243"/>
      <c r="FX1" s="243"/>
      <c r="FY1" s="243"/>
      <c r="FZ1" s="243"/>
      <c r="GA1" s="243"/>
      <c r="GB1" s="243"/>
      <c r="GC1" s="243"/>
      <c r="GD1" s="243"/>
      <c r="GE1" s="243"/>
      <c r="GF1" s="243"/>
      <c r="GG1" s="243"/>
      <c r="GH1" s="243"/>
      <c r="GI1" s="243"/>
      <c r="GJ1" s="243"/>
      <c r="GK1" s="243" t="s">
        <v>127</v>
      </c>
      <c r="GL1" s="243"/>
      <c r="GM1" s="243"/>
      <c r="GN1" s="243"/>
      <c r="GO1" s="243"/>
      <c r="GP1" s="243"/>
      <c r="GQ1" s="243"/>
      <c r="GR1" s="243"/>
      <c r="GS1" s="243"/>
      <c r="GT1" s="243"/>
      <c r="GU1" s="243"/>
      <c r="GV1" s="243"/>
      <c r="GW1" s="243"/>
      <c r="GX1" s="243"/>
      <c r="GY1" s="243"/>
      <c r="GZ1" s="243"/>
      <c r="HA1" s="243" t="s">
        <v>127</v>
      </c>
      <c r="HB1" s="243"/>
      <c r="HC1" s="243"/>
      <c r="HD1" s="243"/>
      <c r="HE1" s="243"/>
      <c r="HF1" s="243"/>
      <c r="HG1" s="243"/>
      <c r="HH1" s="243"/>
      <c r="HI1" s="243"/>
      <c r="HJ1" s="243"/>
      <c r="HK1" s="243"/>
      <c r="HL1" s="243"/>
      <c r="HM1" s="243"/>
      <c r="HN1" s="243"/>
      <c r="HO1" s="243"/>
      <c r="HP1" s="243"/>
      <c r="HQ1" s="243" t="s">
        <v>127</v>
      </c>
      <c r="HR1" s="243"/>
      <c r="HS1" s="243"/>
      <c r="HT1" s="243"/>
      <c r="HU1" s="243"/>
      <c r="HV1" s="243"/>
      <c r="HW1" s="243"/>
      <c r="HX1" s="243"/>
      <c r="HY1" s="243"/>
      <c r="HZ1" s="243"/>
      <c r="IA1" s="243"/>
      <c r="IB1" s="243"/>
      <c r="IC1" s="243"/>
      <c r="ID1" s="243"/>
      <c r="IE1" s="243"/>
      <c r="IF1" s="243"/>
      <c r="IG1" s="243" t="s">
        <v>127</v>
      </c>
      <c r="IH1" s="243"/>
      <c r="II1" s="243"/>
      <c r="IJ1" s="243"/>
      <c r="IK1" s="243"/>
      <c r="IL1" s="243"/>
      <c r="IM1" s="243"/>
      <c r="IN1" s="243"/>
      <c r="IO1" s="243"/>
      <c r="IP1" s="243"/>
      <c r="IQ1" s="243"/>
      <c r="IR1" s="243"/>
      <c r="IS1" s="243"/>
      <c r="IT1" s="243"/>
      <c r="IU1" s="243"/>
      <c r="IV1" s="243"/>
      <c r="IW1" s="243" t="s">
        <v>127</v>
      </c>
      <c r="IX1" s="243"/>
      <c r="IY1" s="243"/>
      <c r="IZ1" s="243"/>
      <c r="JA1" s="243"/>
      <c r="JB1" s="243"/>
      <c r="JC1" s="243"/>
      <c r="JD1" s="243"/>
      <c r="JE1" s="243"/>
      <c r="JF1" s="243"/>
      <c r="JG1" s="243"/>
      <c r="JH1" s="243"/>
      <c r="JI1" s="243"/>
      <c r="JJ1" s="243"/>
      <c r="JK1" s="243"/>
      <c r="JL1" s="243"/>
      <c r="JM1" s="243" t="s">
        <v>127</v>
      </c>
      <c r="JN1" s="243"/>
      <c r="JO1" s="243"/>
      <c r="JP1" s="243"/>
      <c r="JQ1" s="243"/>
      <c r="JR1" s="243"/>
      <c r="JS1" s="243"/>
      <c r="JT1" s="243"/>
      <c r="JU1" s="243"/>
      <c r="JV1" s="243"/>
      <c r="JW1" s="243"/>
      <c r="JX1" s="243"/>
      <c r="JY1" s="243"/>
      <c r="JZ1" s="243"/>
      <c r="KA1" s="243"/>
      <c r="KB1" s="243"/>
      <c r="KC1" s="243" t="s">
        <v>127</v>
      </c>
      <c r="KD1" s="243"/>
      <c r="KE1" s="243"/>
      <c r="KF1" s="243"/>
      <c r="KG1" s="243"/>
      <c r="KH1" s="243"/>
      <c r="KI1" s="243"/>
      <c r="KJ1" s="243"/>
      <c r="KK1" s="243"/>
      <c r="KL1" s="243"/>
      <c r="KM1" s="243"/>
      <c r="KN1" s="243"/>
      <c r="KO1" s="243"/>
      <c r="KP1" s="243"/>
      <c r="KQ1" s="243"/>
      <c r="KR1" s="243"/>
      <c r="KS1" s="243" t="s">
        <v>127</v>
      </c>
      <c r="KT1" s="243"/>
      <c r="KU1" s="243"/>
      <c r="KV1" s="243"/>
      <c r="KW1" s="243"/>
      <c r="KX1" s="243"/>
      <c r="KY1" s="243"/>
      <c r="KZ1" s="243"/>
      <c r="LA1" s="243"/>
      <c r="LB1" s="243"/>
      <c r="LC1" s="243"/>
      <c r="LD1" s="243"/>
      <c r="LE1" s="243"/>
      <c r="LF1" s="243"/>
      <c r="LG1" s="243"/>
      <c r="LH1" s="243"/>
      <c r="LI1" s="243" t="s">
        <v>127</v>
      </c>
      <c r="LJ1" s="243"/>
      <c r="LK1" s="243"/>
      <c r="LL1" s="243"/>
      <c r="LM1" s="243"/>
      <c r="LN1" s="243"/>
      <c r="LO1" s="243"/>
      <c r="LP1" s="243"/>
      <c r="LQ1" s="243"/>
      <c r="LR1" s="243"/>
      <c r="LS1" s="243"/>
      <c r="LT1" s="243"/>
      <c r="LU1" s="243"/>
      <c r="LV1" s="243"/>
      <c r="LW1" s="243"/>
      <c r="LX1" s="243"/>
      <c r="LY1" s="243" t="s">
        <v>127</v>
      </c>
      <c r="LZ1" s="243"/>
      <c r="MA1" s="243"/>
      <c r="MB1" s="243"/>
      <c r="MC1" s="243"/>
      <c r="MD1" s="243"/>
      <c r="ME1" s="243"/>
      <c r="MF1" s="243"/>
      <c r="MG1" s="243"/>
      <c r="MH1" s="243"/>
      <c r="MI1" s="243"/>
      <c r="MJ1" s="243"/>
      <c r="MK1" s="243"/>
      <c r="ML1" s="243"/>
      <c r="MM1" s="243"/>
      <c r="MN1" s="243"/>
      <c r="MO1" s="243" t="s">
        <v>127</v>
      </c>
      <c r="MP1" s="243"/>
      <c r="MQ1" s="243"/>
      <c r="MR1" s="243"/>
      <c r="MS1" s="243"/>
      <c r="MT1" s="243"/>
      <c r="MU1" s="243"/>
      <c r="MV1" s="243"/>
      <c r="MW1" s="243"/>
      <c r="MX1" s="243"/>
      <c r="MY1" s="243"/>
      <c r="MZ1" s="243"/>
      <c r="NA1" s="243"/>
      <c r="NB1" s="243"/>
      <c r="NC1" s="243"/>
      <c r="ND1" s="243"/>
      <c r="NE1" s="243" t="s">
        <v>127</v>
      </c>
      <c r="NF1" s="243"/>
      <c r="NG1" s="243"/>
      <c r="NH1" s="243"/>
      <c r="NI1" s="243"/>
      <c r="NJ1" s="243"/>
      <c r="NK1" s="243"/>
      <c r="NL1" s="243"/>
      <c r="NM1" s="243"/>
      <c r="NN1" s="243"/>
      <c r="NO1" s="243"/>
      <c r="NP1" s="243"/>
      <c r="NQ1" s="243"/>
      <c r="NR1" s="243"/>
      <c r="NS1" s="243"/>
      <c r="NT1" s="243"/>
      <c r="NU1" s="243" t="s">
        <v>127</v>
      </c>
      <c r="NV1" s="243"/>
      <c r="NW1" s="243"/>
      <c r="NX1" s="243"/>
      <c r="NY1" s="243"/>
      <c r="NZ1" s="243"/>
      <c r="OA1" s="243"/>
      <c r="OB1" s="243"/>
      <c r="OC1" s="243"/>
      <c r="OD1" s="243"/>
      <c r="OE1" s="243"/>
      <c r="OF1" s="243"/>
      <c r="OG1" s="243"/>
      <c r="OH1" s="243"/>
      <c r="OI1" s="243"/>
      <c r="OJ1" s="243"/>
      <c r="OK1" s="243" t="s">
        <v>127</v>
      </c>
      <c r="OL1" s="243"/>
      <c r="OM1" s="243"/>
      <c r="ON1" s="243"/>
      <c r="OO1" s="243"/>
      <c r="OP1" s="243"/>
      <c r="OQ1" s="243"/>
      <c r="OR1" s="243"/>
      <c r="OS1" s="243"/>
      <c r="OT1" s="243"/>
      <c r="OU1" s="243"/>
      <c r="OV1" s="243"/>
      <c r="OW1" s="243"/>
      <c r="OX1" s="243"/>
      <c r="OY1" s="243"/>
      <c r="OZ1" s="243"/>
      <c r="PA1" s="243" t="s">
        <v>127</v>
      </c>
      <c r="PB1" s="243"/>
      <c r="PC1" s="243"/>
      <c r="PD1" s="243"/>
      <c r="PE1" s="243"/>
      <c r="PF1" s="243"/>
      <c r="PG1" s="243"/>
      <c r="PH1" s="243"/>
      <c r="PI1" s="243"/>
      <c r="PJ1" s="243"/>
      <c r="PK1" s="243"/>
      <c r="PL1" s="243"/>
      <c r="PM1" s="243"/>
      <c r="PN1" s="243"/>
      <c r="PO1" s="243"/>
      <c r="PP1" s="243"/>
      <c r="PQ1" s="243" t="s">
        <v>127</v>
      </c>
      <c r="PR1" s="243"/>
      <c r="PS1" s="243"/>
      <c r="PT1" s="243"/>
      <c r="PU1" s="243"/>
      <c r="PV1" s="243"/>
      <c r="PW1" s="243"/>
      <c r="PX1" s="243"/>
      <c r="PY1" s="243"/>
      <c r="PZ1" s="243"/>
      <c r="QA1" s="243"/>
      <c r="QB1" s="243"/>
      <c r="QC1" s="243"/>
      <c r="QD1" s="243"/>
      <c r="QE1" s="243"/>
      <c r="QF1" s="243"/>
      <c r="QG1" s="243" t="s">
        <v>127</v>
      </c>
      <c r="QH1" s="243"/>
      <c r="QI1" s="243"/>
      <c r="QJ1" s="243"/>
      <c r="QK1" s="243"/>
      <c r="QL1" s="243"/>
      <c r="QM1" s="243"/>
      <c r="QN1" s="243"/>
      <c r="QO1" s="243"/>
      <c r="QP1" s="243"/>
      <c r="QQ1" s="243"/>
      <c r="QR1" s="243"/>
      <c r="QS1" s="243"/>
      <c r="QT1" s="243"/>
      <c r="QU1" s="243"/>
      <c r="QV1" s="243"/>
      <c r="QW1" s="243" t="s">
        <v>127</v>
      </c>
      <c r="QX1" s="243"/>
      <c r="QY1" s="243"/>
      <c r="QZ1" s="243"/>
      <c r="RA1" s="243"/>
      <c r="RB1" s="243"/>
      <c r="RC1" s="243"/>
      <c r="RD1" s="243"/>
      <c r="RE1" s="243"/>
      <c r="RF1" s="243"/>
      <c r="RG1" s="243"/>
      <c r="RH1" s="243"/>
      <c r="RI1" s="243"/>
      <c r="RJ1" s="243"/>
      <c r="RK1" s="243"/>
      <c r="RL1" s="243"/>
      <c r="RM1" s="243" t="s">
        <v>127</v>
      </c>
      <c r="RN1" s="243"/>
      <c r="RO1" s="243"/>
      <c r="RP1" s="243"/>
      <c r="RQ1" s="243"/>
      <c r="RR1" s="243"/>
      <c r="RS1" s="243"/>
      <c r="RT1" s="243"/>
      <c r="RU1" s="243"/>
      <c r="RV1" s="243"/>
      <c r="RW1" s="243"/>
      <c r="RX1" s="243"/>
      <c r="RY1" s="243"/>
      <c r="RZ1" s="243"/>
      <c r="SA1" s="243"/>
      <c r="SB1" s="243"/>
      <c r="SC1" s="243" t="s">
        <v>127</v>
      </c>
      <c r="SD1" s="243"/>
      <c r="SE1" s="243"/>
      <c r="SF1" s="243"/>
      <c r="SG1" s="243"/>
      <c r="SH1" s="243"/>
      <c r="SI1" s="243"/>
      <c r="SJ1" s="243"/>
      <c r="SK1" s="243"/>
      <c r="SL1" s="243"/>
      <c r="SM1" s="243"/>
      <c r="SN1" s="243"/>
      <c r="SO1" s="243"/>
      <c r="SP1" s="243"/>
      <c r="SQ1" s="243"/>
      <c r="SR1" s="243"/>
      <c r="SS1" s="243" t="s">
        <v>127</v>
      </c>
      <c r="ST1" s="243"/>
      <c r="SU1" s="243"/>
      <c r="SV1" s="243"/>
      <c r="SW1" s="243"/>
      <c r="SX1" s="243"/>
      <c r="SY1" s="243"/>
      <c r="SZ1" s="243"/>
      <c r="TA1" s="243"/>
      <c r="TB1" s="243"/>
      <c r="TC1" s="243"/>
      <c r="TD1" s="243"/>
      <c r="TE1" s="243"/>
      <c r="TF1" s="243"/>
      <c r="TG1" s="243"/>
      <c r="TH1" s="243"/>
      <c r="TI1" s="243" t="s">
        <v>127</v>
      </c>
      <c r="TJ1" s="243"/>
      <c r="TK1" s="243"/>
      <c r="TL1" s="243"/>
      <c r="TM1" s="243"/>
      <c r="TN1" s="243"/>
      <c r="TO1" s="243"/>
      <c r="TP1" s="243"/>
      <c r="TQ1" s="243"/>
      <c r="TR1" s="243"/>
      <c r="TS1" s="243"/>
      <c r="TT1" s="243"/>
      <c r="TU1" s="243"/>
      <c r="TV1" s="243"/>
      <c r="TW1" s="243"/>
      <c r="TX1" s="243"/>
      <c r="TY1" s="243" t="s">
        <v>127</v>
      </c>
      <c r="TZ1" s="243"/>
      <c r="UA1" s="243"/>
      <c r="UB1" s="243"/>
      <c r="UC1" s="243"/>
      <c r="UD1" s="243"/>
      <c r="UE1" s="243"/>
      <c r="UF1" s="243"/>
      <c r="UG1" s="243"/>
      <c r="UH1" s="243"/>
      <c r="UI1" s="243"/>
      <c r="UJ1" s="243"/>
      <c r="UK1" s="243"/>
      <c r="UL1" s="243"/>
      <c r="UM1" s="243"/>
      <c r="UN1" s="243"/>
      <c r="UO1" s="243" t="s">
        <v>127</v>
      </c>
      <c r="UP1" s="243"/>
      <c r="UQ1" s="243"/>
      <c r="UR1" s="243"/>
      <c r="US1" s="243"/>
      <c r="UT1" s="243"/>
      <c r="UU1" s="243"/>
      <c r="UV1" s="243"/>
      <c r="UW1" s="243"/>
      <c r="UX1" s="243"/>
      <c r="UY1" s="243"/>
      <c r="UZ1" s="243"/>
      <c r="VA1" s="243"/>
      <c r="VB1" s="243"/>
      <c r="VC1" s="243"/>
      <c r="VD1" s="243"/>
      <c r="VE1" s="243" t="s">
        <v>127</v>
      </c>
      <c r="VF1" s="243"/>
      <c r="VG1" s="243"/>
      <c r="VH1" s="243"/>
      <c r="VI1" s="243"/>
      <c r="VJ1" s="243"/>
      <c r="VK1" s="243"/>
      <c r="VL1" s="243"/>
      <c r="VM1" s="243"/>
      <c r="VN1" s="243"/>
      <c r="VO1" s="243"/>
      <c r="VP1" s="243"/>
      <c r="VQ1" s="243"/>
      <c r="VR1" s="243"/>
      <c r="VS1" s="243"/>
      <c r="VT1" s="243"/>
      <c r="VU1" s="243" t="s">
        <v>127</v>
      </c>
      <c r="VV1" s="243"/>
      <c r="VW1" s="243"/>
      <c r="VX1" s="243"/>
      <c r="VY1" s="243"/>
      <c r="VZ1" s="243"/>
      <c r="WA1" s="243"/>
      <c r="WB1" s="243"/>
      <c r="WC1" s="243"/>
      <c r="WD1" s="243"/>
      <c r="WE1" s="243"/>
      <c r="WF1" s="243"/>
      <c r="WG1" s="243"/>
      <c r="WH1" s="243"/>
      <c r="WI1" s="243"/>
      <c r="WJ1" s="243"/>
      <c r="WK1" s="243" t="s">
        <v>127</v>
      </c>
      <c r="WL1" s="243"/>
      <c r="WM1" s="243"/>
      <c r="WN1" s="243"/>
      <c r="WO1" s="243"/>
      <c r="WP1" s="243"/>
      <c r="WQ1" s="243"/>
      <c r="WR1" s="243"/>
      <c r="WS1" s="243"/>
      <c r="WT1" s="243"/>
      <c r="WU1" s="243"/>
      <c r="WV1" s="243"/>
      <c r="WW1" s="243"/>
      <c r="WX1" s="243"/>
      <c r="WY1" s="243"/>
      <c r="WZ1" s="243"/>
      <c r="XA1" s="243" t="s">
        <v>127</v>
      </c>
      <c r="XB1" s="243"/>
      <c r="XC1" s="243"/>
      <c r="XD1" s="243"/>
      <c r="XE1" s="243"/>
      <c r="XF1" s="243"/>
      <c r="XG1" s="243"/>
      <c r="XH1" s="243"/>
      <c r="XI1" s="243"/>
      <c r="XJ1" s="243"/>
      <c r="XK1" s="243"/>
      <c r="XL1" s="243"/>
      <c r="XM1" s="243"/>
      <c r="XN1" s="243"/>
      <c r="XO1" s="243"/>
      <c r="XP1" s="243"/>
      <c r="XQ1" s="243" t="s">
        <v>127</v>
      </c>
      <c r="XR1" s="243"/>
      <c r="XS1" s="243"/>
      <c r="XT1" s="243"/>
      <c r="XU1" s="243"/>
      <c r="XV1" s="243"/>
      <c r="XW1" s="243"/>
      <c r="XX1" s="243"/>
      <c r="XY1" s="243"/>
      <c r="XZ1" s="243"/>
      <c r="YA1" s="243"/>
      <c r="YB1" s="243"/>
      <c r="YC1" s="243"/>
      <c r="YD1" s="243"/>
      <c r="YE1" s="243"/>
      <c r="YF1" s="243"/>
      <c r="YG1" s="243" t="s">
        <v>127</v>
      </c>
      <c r="YH1" s="243"/>
      <c r="YI1" s="243"/>
      <c r="YJ1" s="243"/>
      <c r="YK1" s="243"/>
      <c r="YL1" s="243"/>
      <c r="YM1" s="243"/>
      <c r="YN1" s="243"/>
      <c r="YO1" s="243"/>
      <c r="YP1" s="243"/>
      <c r="YQ1" s="243"/>
      <c r="YR1" s="243"/>
      <c r="YS1" s="243"/>
      <c r="YT1" s="243"/>
      <c r="YU1" s="243"/>
      <c r="YV1" s="243"/>
      <c r="YW1" s="243" t="s">
        <v>127</v>
      </c>
      <c r="YX1" s="243"/>
      <c r="YY1" s="243"/>
      <c r="YZ1" s="243"/>
      <c r="ZA1" s="243"/>
      <c r="ZB1" s="243"/>
      <c r="ZC1" s="243"/>
      <c r="ZD1" s="243"/>
      <c r="ZE1" s="243"/>
      <c r="ZF1" s="243"/>
      <c r="ZG1" s="243"/>
      <c r="ZH1" s="243"/>
      <c r="ZI1" s="243"/>
      <c r="ZJ1" s="243"/>
      <c r="ZK1" s="243"/>
      <c r="ZL1" s="243"/>
      <c r="ZM1" s="243" t="s">
        <v>127</v>
      </c>
      <c r="ZN1" s="243"/>
      <c r="ZO1" s="243"/>
      <c r="ZP1" s="243"/>
      <c r="ZQ1" s="243"/>
      <c r="ZR1" s="243"/>
      <c r="ZS1" s="243"/>
      <c r="ZT1" s="243"/>
      <c r="ZU1" s="243"/>
      <c r="ZV1" s="243"/>
      <c r="ZW1" s="243"/>
      <c r="ZX1" s="243"/>
      <c r="ZY1" s="243"/>
      <c r="ZZ1" s="243"/>
      <c r="AAA1" s="243"/>
      <c r="AAB1" s="243"/>
      <c r="AAC1" s="243" t="s">
        <v>127</v>
      </c>
      <c r="AAD1" s="243"/>
      <c r="AAE1" s="243"/>
      <c r="AAF1" s="243"/>
      <c r="AAG1" s="243"/>
      <c r="AAH1" s="243"/>
      <c r="AAI1" s="243"/>
      <c r="AAJ1" s="243"/>
      <c r="AAK1" s="243"/>
      <c r="AAL1" s="243"/>
      <c r="AAM1" s="243"/>
      <c r="AAN1" s="243"/>
      <c r="AAO1" s="243"/>
      <c r="AAP1" s="243"/>
      <c r="AAQ1" s="243"/>
      <c r="AAR1" s="243"/>
      <c r="AAS1" s="243" t="s">
        <v>127</v>
      </c>
      <c r="AAT1" s="243"/>
      <c r="AAU1" s="243"/>
      <c r="AAV1" s="243"/>
      <c r="AAW1" s="243"/>
      <c r="AAX1" s="243"/>
      <c r="AAY1" s="243"/>
      <c r="AAZ1" s="243"/>
      <c r="ABA1" s="243"/>
      <c r="ABB1" s="243"/>
      <c r="ABC1" s="243"/>
      <c r="ABD1" s="243"/>
      <c r="ABE1" s="243"/>
      <c r="ABF1" s="243"/>
      <c r="ABG1" s="243"/>
      <c r="ABH1" s="243"/>
      <c r="ABI1" s="243" t="s">
        <v>127</v>
      </c>
      <c r="ABJ1" s="243"/>
      <c r="ABK1" s="243"/>
      <c r="ABL1" s="243"/>
      <c r="ABM1" s="243"/>
      <c r="ABN1" s="243"/>
      <c r="ABO1" s="243"/>
      <c r="ABP1" s="243"/>
      <c r="ABQ1" s="243"/>
      <c r="ABR1" s="243"/>
      <c r="ABS1" s="243"/>
      <c r="ABT1" s="243"/>
      <c r="ABU1" s="243"/>
      <c r="ABV1" s="243"/>
      <c r="ABW1" s="243"/>
      <c r="ABX1" s="243"/>
      <c r="ABY1" s="243" t="s">
        <v>127</v>
      </c>
      <c r="ABZ1" s="243"/>
      <c r="ACA1" s="243"/>
      <c r="ACB1" s="243"/>
      <c r="ACC1" s="243"/>
      <c r="ACD1" s="243"/>
      <c r="ACE1" s="243"/>
      <c r="ACF1" s="243"/>
      <c r="ACG1" s="243"/>
      <c r="ACH1" s="243"/>
      <c r="ACI1" s="243"/>
      <c r="ACJ1" s="243"/>
      <c r="ACK1" s="243"/>
      <c r="ACL1" s="243"/>
      <c r="ACM1" s="243"/>
      <c r="ACN1" s="243"/>
      <c r="ACO1" s="243" t="s">
        <v>127</v>
      </c>
      <c r="ACP1" s="243"/>
      <c r="ACQ1" s="243"/>
      <c r="ACR1" s="243"/>
      <c r="ACS1" s="243"/>
      <c r="ACT1" s="243"/>
      <c r="ACU1" s="243"/>
      <c r="ACV1" s="243"/>
      <c r="ACW1" s="243"/>
      <c r="ACX1" s="243"/>
      <c r="ACY1" s="243"/>
      <c r="ACZ1" s="243"/>
      <c r="ADA1" s="243"/>
      <c r="ADB1" s="243"/>
      <c r="ADC1" s="243"/>
      <c r="ADD1" s="243"/>
      <c r="ADE1" s="243" t="s">
        <v>127</v>
      </c>
      <c r="ADF1" s="243"/>
      <c r="ADG1" s="243"/>
      <c r="ADH1" s="243"/>
      <c r="ADI1" s="243"/>
      <c r="ADJ1" s="243"/>
      <c r="ADK1" s="243"/>
      <c r="ADL1" s="243"/>
      <c r="ADM1" s="243"/>
      <c r="ADN1" s="243"/>
      <c r="ADO1" s="243"/>
      <c r="ADP1" s="243"/>
      <c r="ADQ1" s="243"/>
      <c r="ADR1" s="243"/>
      <c r="ADS1" s="243"/>
      <c r="ADT1" s="243"/>
      <c r="ADU1" s="243" t="s">
        <v>127</v>
      </c>
      <c r="ADV1" s="243"/>
      <c r="ADW1" s="243"/>
      <c r="ADX1" s="243"/>
      <c r="ADY1" s="243"/>
      <c r="ADZ1" s="243"/>
      <c r="AEA1" s="243"/>
      <c r="AEB1" s="243"/>
      <c r="AEC1" s="243"/>
      <c r="AED1" s="243"/>
      <c r="AEE1" s="243"/>
      <c r="AEF1" s="243"/>
      <c r="AEG1" s="243"/>
      <c r="AEH1" s="243"/>
      <c r="AEI1" s="243"/>
      <c r="AEJ1" s="243"/>
      <c r="AEK1" s="243" t="s">
        <v>127</v>
      </c>
      <c r="AEL1" s="243"/>
      <c r="AEM1" s="243"/>
      <c r="AEN1" s="243"/>
      <c r="AEO1" s="243"/>
      <c r="AEP1" s="243"/>
      <c r="AEQ1" s="243"/>
      <c r="AER1" s="243"/>
      <c r="AES1" s="243"/>
      <c r="AET1" s="243"/>
      <c r="AEU1" s="243"/>
      <c r="AEV1" s="243"/>
      <c r="AEW1" s="243"/>
      <c r="AEX1" s="243"/>
      <c r="AEY1" s="243"/>
      <c r="AEZ1" s="243"/>
      <c r="AFA1" s="243" t="s">
        <v>127</v>
      </c>
      <c r="AFB1" s="243"/>
      <c r="AFC1" s="243"/>
      <c r="AFD1" s="243"/>
      <c r="AFE1" s="243"/>
      <c r="AFF1" s="243"/>
      <c r="AFG1" s="243"/>
      <c r="AFH1" s="243"/>
      <c r="AFI1" s="243"/>
      <c r="AFJ1" s="243"/>
      <c r="AFK1" s="243"/>
      <c r="AFL1" s="243"/>
      <c r="AFM1" s="243"/>
      <c r="AFN1" s="243"/>
      <c r="AFO1" s="243"/>
      <c r="AFP1" s="243"/>
      <c r="AFQ1" s="243" t="s">
        <v>127</v>
      </c>
      <c r="AFR1" s="243"/>
      <c r="AFS1" s="243"/>
      <c r="AFT1" s="243"/>
      <c r="AFU1" s="243"/>
      <c r="AFV1" s="243"/>
      <c r="AFW1" s="243"/>
      <c r="AFX1" s="243"/>
      <c r="AFY1" s="243"/>
      <c r="AFZ1" s="243"/>
      <c r="AGA1" s="243"/>
      <c r="AGB1" s="243"/>
      <c r="AGC1" s="243"/>
      <c r="AGD1" s="243"/>
      <c r="AGE1" s="243"/>
      <c r="AGF1" s="243"/>
      <c r="AGG1" s="243" t="s">
        <v>127</v>
      </c>
      <c r="AGH1" s="243"/>
      <c r="AGI1" s="243"/>
      <c r="AGJ1" s="243"/>
      <c r="AGK1" s="243"/>
      <c r="AGL1" s="243"/>
      <c r="AGM1" s="243"/>
      <c r="AGN1" s="243"/>
      <c r="AGO1" s="243"/>
      <c r="AGP1" s="243"/>
      <c r="AGQ1" s="243"/>
      <c r="AGR1" s="243"/>
      <c r="AGS1" s="243"/>
      <c r="AGT1" s="243"/>
      <c r="AGU1" s="243"/>
      <c r="AGV1" s="243"/>
      <c r="AGW1" s="243" t="s">
        <v>127</v>
      </c>
      <c r="AGX1" s="243"/>
      <c r="AGY1" s="243"/>
      <c r="AGZ1" s="243"/>
      <c r="AHA1" s="243"/>
      <c r="AHB1" s="243"/>
      <c r="AHC1" s="243"/>
      <c r="AHD1" s="243"/>
      <c r="AHE1" s="243"/>
      <c r="AHF1" s="243"/>
      <c r="AHG1" s="243"/>
      <c r="AHH1" s="243"/>
      <c r="AHI1" s="243"/>
      <c r="AHJ1" s="243"/>
      <c r="AHK1" s="243"/>
      <c r="AHL1" s="243"/>
      <c r="AHM1" s="243" t="s">
        <v>127</v>
      </c>
      <c r="AHN1" s="243"/>
      <c r="AHO1" s="243"/>
      <c r="AHP1" s="243"/>
      <c r="AHQ1" s="243"/>
      <c r="AHR1" s="243"/>
      <c r="AHS1" s="243"/>
      <c r="AHT1" s="243"/>
      <c r="AHU1" s="243"/>
      <c r="AHV1" s="243"/>
      <c r="AHW1" s="243"/>
      <c r="AHX1" s="243"/>
      <c r="AHY1" s="243"/>
      <c r="AHZ1" s="243"/>
      <c r="AIA1" s="243"/>
      <c r="AIB1" s="243"/>
      <c r="AIC1" s="243" t="s">
        <v>127</v>
      </c>
      <c r="AID1" s="243"/>
      <c r="AIE1" s="243"/>
      <c r="AIF1" s="243"/>
      <c r="AIG1" s="243"/>
      <c r="AIH1" s="243"/>
      <c r="AII1" s="243"/>
      <c r="AIJ1" s="243"/>
      <c r="AIK1" s="243"/>
      <c r="AIL1" s="243"/>
      <c r="AIM1" s="243"/>
      <c r="AIN1" s="243"/>
      <c r="AIO1" s="243"/>
      <c r="AIP1" s="243"/>
      <c r="AIQ1" s="243"/>
      <c r="AIR1" s="243"/>
      <c r="AIS1" s="243" t="s">
        <v>127</v>
      </c>
      <c r="AIT1" s="243"/>
      <c r="AIU1" s="243"/>
      <c r="AIV1" s="243"/>
      <c r="AIW1" s="243"/>
      <c r="AIX1" s="243"/>
      <c r="AIY1" s="243"/>
      <c r="AIZ1" s="243"/>
      <c r="AJA1" s="243"/>
      <c r="AJB1" s="243"/>
      <c r="AJC1" s="243"/>
      <c r="AJD1" s="243"/>
      <c r="AJE1" s="243"/>
      <c r="AJF1" s="243"/>
      <c r="AJG1" s="243"/>
      <c r="AJH1" s="243"/>
      <c r="AJI1" s="243" t="s">
        <v>127</v>
      </c>
      <c r="AJJ1" s="243"/>
      <c r="AJK1" s="243"/>
      <c r="AJL1" s="243"/>
      <c r="AJM1" s="243"/>
      <c r="AJN1" s="243"/>
      <c r="AJO1" s="243"/>
      <c r="AJP1" s="243"/>
      <c r="AJQ1" s="243"/>
      <c r="AJR1" s="243"/>
      <c r="AJS1" s="243"/>
      <c r="AJT1" s="243"/>
      <c r="AJU1" s="243"/>
      <c r="AJV1" s="243"/>
      <c r="AJW1" s="243"/>
      <c r="AJX1" s="243"/>
      <c r="AJY1" s="243" t="s">
        <v>127</v>
      </c>
      <c r="AJZ1" s="243"/>
      <c r="AKA1" s="243"/>
      <c r="AKB1" s="243"/>
      <c r="AKC1" s="243"/>
      <c r="AKD1" s="243"/>
      <c r="AKE1" s="243"/>
      <c r="AKF1" s="243"/>
      <c r="AKG1" s="243"/>
      <c r="AKH1" s="243"/>
      <c r="AKI1" s="243"/>
      <c r="AKJ1" s="243"/>
      <c r="AKK1" s="243"/>
      <c r="AKL1" s="243"/>
      <c r="AKM1" s="243"/>
      <c r="AKN1" s="243"/>
      <c r="AKO1" s="243" t="s">
        <v>127</v>
      </c>
      <c r="AKP1" s="243"/>
      <c r="AKQ1" s="243"/>
      <c r="AKR1" s="243"/>
      <c r="AKS1" s="243"/>
      <c r="AKT1" s="243"/>
      <c r="AKU1" s="243"/>
      <c r="AKV1" s="243"/>
      <c r="AKW1" s="243"/>
      <c r="AKX1" s="243"/>
      <c r="AKY1" s="243"/>
      <c r="AKZ1" s="243"/>
      <c r="ALA1" s="243"/>
      <c r="ALB1" s="243"/>
      <c r="ALC1" s="243"/>
      <c r="ALD1" s="243"/>
      <c r="ALE1" s="243" t="s">
        <v>127</v>
      </c>
      <c r="ALF1" s="243"/>
      <c r="ALG1" s="243"/>
      <c r="ALH1" s="243"/>
      <c r="ALI1" s="243"/>
      <c r="ALJ1" s="243"/>
      <c r="ALK1" s="243"/>
      <c r="ALL1" s="243"/>
      <c r="ALM1" s="243"/>
      <c r="ALN1" s="243"/>
      <c r="ALO1" s="243"/>
      <c r="ALP1" s="243"/>
      <c r="ALQ1" s="243"/>
      <c r="ALR1" s="243"/>
      <c r="ALS1" s="243"/>
      <c r="ALT1" s="243"/>
      <c r="ALU1" s="243" t="s">
        <v>127</v>
      </c>
      <c r="ALV1" s="243"/>
      <c r="ALW1" s="243"/>
      <c r="ALX1" s="243"/>
      <c r="ALY1" s="243"/>
      <c r="ALZ1" s="243"/>
      <c r="AMA1" s="243"/>
      <c r="AMB1" s="243"/>
      <c r="AMC1" s="243"/>
      <c r="AMD1" s="243"/>
      <c r="AME1" s="243"/>
      <c r="AMF1" s="243"/>
      <c r="AMG1" s="243"/>
      <c r="AMH1" s="243"/>
      <c r="AMI1" s="243"/>
      <c r="AMJ1" s="243"/>
      <c r="AMK1" s="243" t="s">
        <v>127</v>
      </c>
      <c r="AML1" s="243"/>
      <c r="AMM1" s="243"/>
      <c r="AMN1" s="243"/>
      <c r="AMO1" s="243"/>
      <c r="AMP1" s="243"/>
      <c r="AMQ1" s="243"/>
      <c r="AMR1" s="243"/>
      <c r="AMS1" s="243"/>
      <c r="AMT1" s="243"/>
      <c r="AMU1" s="243"/>
      <c r="AMV1" s="243"/>
      <c r="AMW1" s="243"/>
      <c r="AMX1" s="243"/>
      <c r="AMY1" s="243"/>
      <c r="AMZ1" s="243"/>
      <c r="ANA1" s="243" t="s">
        <v>127</v>
      </c>
      <c r="ANB1" s="243"/>
      <c r="ANC1" s="243"/>
      <c r="AND1" s="243"/>
      <c r="ANE1" s="243"/>
      <c r="ANF1" s="243"/>
      <c r="ANG1" s="243"/>
      <c r="ANH1" s="243"/>
      <c r="ANI1" s="243"/>
      <c r="ANJ1" s="243"/>
      <c r="ANK1" s="243"/>
      <c r="ANL1" s="243"/>
      <c r="ANM1" s="243"/>
      <c r="ANN1" s="243"/>
      <c r="ANO1" s="243"/>
      <c r="ANP1" s="243"/>
      <c r="ANQ1" s="243" t="s">
        <v>127</v>
      </c>
      <c r="ANR1" s="243"/>
      <c r="ANS1" s="243"/>
      <c r="ANT1" s="243"/>
      <c r="ANU1" s="243"/>
      <c r="ANV1" s="243"/>
      <c r="ANW1" s="243"/>
      <c r="ANX1" s="243"/>
      <c r="ANY1" s="243"/>
      <c r="ANZ1" s="243"/>
      <c r="AOA1" s="243"/>
      <c r="AOB1" s="243"/>
      <c r="AOC1" s="243"/>
      <c r="AOD1" s="243"/>
      <c r="AOE1" s="243"/>
      <c r="AOF1" s="243"/>
      <c r="AOG1" s="243" t="s">
        <v>127</v>
      </c>
      <c r="AOH1" s="243"/>
      <c r="AOI1" s="243"/>
      <c r="AOJ1" s="243"/>
      <c r="AOK1" s="243"/>
      <c r="AOL1" s="243"/>
      <c r="AOM1" s="243"/>
      <c r="AON1" s="243"/>
      <c r="AOO1" s="243"/>
      <c r="AOP1" s="243"/>
      <c r="AOQ1" s="243"/>
      <c r="AOR1" s="243"/>
      <c r="AOS1" s="243"/>
      <c r="AOT1" s="243"/>
      <c r="AOU1" s="243"/>
      <c r="AOV1" s="243"/>
      <c r="AOW1" s="243" t="s">
        <v>127</v>
      </c>
      <c r="AOX1" s="243"/>
      <c r="AOY1" s="243"/>
      <c r="AOZ1" s="243"/>
      <c r="APA1" s="243"/>
      <c r="APB1" s="243"/>
      <c r="APC1" s="243"/>
      <c r="APD1" s="243"/>
      <c r="APE1" s="243"/>
      <c r="APF1" s="243"/>
      <c r="APG1" s="243"/>
      <c r="APH1" s="243"/>
      <c r="API1" s="243"/>
      <c r="APJ1" s="243"/>
      <c r="APK1" s="243"/>
      <c r="APL1" s="243"/>
      <c r="APM1" s="243" t="s">
        <v>127</v>
      </c>
      <c r="APN1" s="243"/>
      <c r="APO1" s="243"/>
      <c r="APP1" s="243"/>
      <c r="APQ1" s="243"/>
      <c r="APR1" s="243"/>
      <c r="APS1" s="243"/>
      <c r="APT1" s="243"/>
      <c r="APU1" s="243"/>
      <c r="APV1" s="243"/>
      <c r="APW1" s="243"/>
      <c r="APX1" s="243"/>
      <c r="APY1" s="243"/>
      <c r="APZ1" s="243"/>
      <c r="AQA1" s="243"/>
      <c r="AQB1" s="243"/>
      <c r="AQC1" s="243" t="s">
        <v>127</v>
      </c>
      <c r="AQD1" s="243"/>
      <c r="AQE1" s="243"/>
      <c r="AQF1" s="243"/>
      <c r="AQG1" s="243"/>
      <c r="AQH1" s="243"/>
      <c r="AQI1" s="243"/>
      <c r="AQJ1" s="243"/>
      <c r="AQK1" s="243"/>
      <c r="AQL1" s="243"/>
      <c r="AQM1" s="243"/>
      <c r="AQN1" s="243"/>
      <c r="AQO1" s="243"/>
      <c r="AQP1" s="243"/>
      <c r="AQQ1" s="243"/>
      <c r="AQR1" s="243"/>
      <c r="AQS1" s="243" t="s">
        <v>127</v>
      </c>
      <c r="AQT1" s="243"/>
      <c r="AQU1" s="243"/>
      <c r="AQV1" s="243"/>
      <c r="AQW1" s="243"/>
      <c r="AQX1" s="243"/>
      <c r="AQY1" s="243"/>
      <c r="AQZ1" s="243"/>
      <c r="ARA1" s="243"/>
      <c r="ARB1" s="243"/>
      <c r="ARC1" s="243"/>
      <c r="ARD1" s="243"/>
      <c r="ARE1" s="243"/>
      <c r="ARF1" s="243"/>
      <c r="ARG1" s="243"/>
      <c r="ARH1" s="243"/>
      <c r="ARI1" s="243" t="s">
        <v>127</v>
      </c>
      <c r="ARJ1" s="243"/>
      <c r="ARK1" s="243"/>
      <c r="ARL1" s="243"/>
      <c r="ARM1" s="243"/>
      <c r="ARN1" s="243"/>
      <c r="ARO1" s="243"/>
      <c r="ARP1" s="243"/>
      <c r="ARQ1" s="243"/>
      <c r="ARR1" s="243"/>
      <c r="ARS1" s="243"/>
      <c r="ART1" s="243"/>
      <c r="ARU1" s="243"/>
      <c r="ARV1" s="243"/>
      <c r="ARW1" s="243"/>
      <c r="ARX1" s="243"/>
      <c r="ARY1" s="243" t="s">
        <v>127</v>
      </c>
      <c r="ARZ1" s="243"/>
      <c r="ASA1" s="243"/>
      <c r="ASB1" s="243"/>
      <c r="ASC1" s="243"/>
      <c r="ASD1" s="243"/>
      <c r="ASE1" s="243"/>
      <c r="ASF1" s="243"/>
      <c r="ASG1" s="243"/>
      <c r="ASH1" s="243"/>
      <c r="ASI1" s="243"/>
      <c r="ASJ1" s="243"/>
      <c r="ASK1" s="243"/>
      <c r="ASL1" s="243"/>
      <c r="ASM1" s="243"/>
      <c r="ASN1" s="243"/>
      <c r="ASO1" s="243" t="s">
        <v>127</v>
      </c>
      <c r="ASP1" s="243"/>
      <c r="ASQ1" s="243"/>
      <c r="ASR1" s="243"/>
      <c r="ASS1" s="243"/>
      <c r="AST1" s="243"/>
      <c r="ASU1" s="243"/>
      <c r="ASV1" s="243"/>
      <c r="ASW1" s="243"/>
      <c r="ASX1" s="243"/>
      <c r="ASY1" s="243"/>
      <c r="ASZ1" s="243"/>
      <c r="ATA1" s="243"/>
      <c r="ATB1" s="243"/>
      <c r="ATC1" s="243"/>
      <c r="ATD1" s="243"/>
      <c r="ATE1" s="243" t="s">
        <v>127</v>
      </c>
      <c r="ATF1" s="243"/>
      <c r="ATG1" s="243"/>
      <c r="ATH1" s="243"/>
      <c r="ATI1" s="243"/>
      <c r="ATJ1" s="243"/>
      <c r="ATK1" s="243"/>
      <c r="ATL1" s="243"/>
      <c r="ATM1" s="243"/>
      <c r="ATN1" s="243"/>
      <c r="ATO1" s="243"/>
      <c r="ATP1" s="243"/>
      <c r="ATQ1" s="243"/>
      <c r="ATR1" s="243"/>
      <c r="ATS1" s="243"/>
      <c r="ATT1" s="243"/>
      <c r="ATU1" s="243" t="s">
        <v>127</v>
      </c>
      <c r="ATV1" s="243"/>
      <c r="ATW1" s="243"/>
      <c r="ATX1" s="243"/>
      <c r="ATY1" s="243"/>
      <c r="ATZ1" s="243"/>
      <c r="AUA1" s="243"/>
      <c r="AUB1" s="243"/>
      <c r="AUC1" s="243"/>
      <c r="AUD1" s="243"/>
      <c r="AUE1" s="243"/>
      <c r="AUF1" s="243"/>
      <c r="AUG1" s="243"/>
      <c r="AUH1" s="243"/>
      <c r="AUI1" s="243"/>
      <c r="AUJ1" s="243"/>
      <c r="AUK1" s="243" t="s">
        <v>127</v>
      </c>
      <c r="AUL1" s="243"/>
      <c r="AUM1" s="243"/>
      <c r="AUN1" s="243"/>
      <c r="AUO1" s="243"/>
      <c r="AUP1" s="243"/>
      <c r="AUQ1" s="243"/>
      <c r="AUR1" s="243"/>
      <c r="AUS1" s="243"/>
      <c r="AUT1" s="243"/>
      <c r="AUU1" s="243"/>
      <c r="AUV1" s="243"/>
      <c r="AUW1" s="243"/>
      <c r="AUX1" s="243"/>
      <c r="AUY1" s="243"/>
      <c r="AUZ1" s="243"/>
      <c r="AVA1" s="243" t="s">
        <v>127</v>
      </c>
      <c r="AVB1" s="243"/>
      <c r="AVC1" s="243"/>
      <c r="AVD1" s="243"/>
      <c r="AVE1" s="243"/>
      <c r="AVF1" s="243"/>
      <c r="AVG1" s="243"/>
      <c r="AVH1" s="243"/>
      <c r="AVI1" s="243"/>
      <c r="AVJ1" s="243"/>
      <c r="AVK1" s="243"/>
      <c r="AVL1" s="243"/>
      <c r="AVM1" s="243"/>
      <c r="AVN1" s="243"/>
      <c r="AVO1" s="243"/>
      <c r="AVP1" s="243"/>
      <c r="AVQ1" s="243" t="s">
        <v>127</v>
      </c>
      <c r="AVR1" s="243"/>
      <c r="AVS1" s="243"/>
      <c r="AVT1" s="243"/>
      <c r="AVU1" s="243"/>
      <c r="AVV1" s="243"/>
      <c r="AVW1" s="243"/>
      <c r="AVX1" s="243"/>
      <c r="AVY1" s="243"/>
      <c r="AVZ1" s="243"/>
      <c r="AWA1" s="243"/>
      <c r="AWB1" s="243"/>
      <c r="AWC1" s="243"/>
      <c r="AWD1" s="243"/>
      <c r="AWE1" s="243"/>
      <c r="AWF1" s="243"/>
      <c r="AWG1" s="243" t="s">
        <v>127</v>
      </c>
      <c r="AWH1" s="243"/>
      <c r="AWI1" s="243"/>
      <c r="AWJ1" s="243"/>
      <c r="AWK1" s="243"/>
      <c r="AWL1" s="243"/>
      <c r="AWM1" s="243"/>
      <c r="AWN1" s="243"/>
      <c r="AWO1" s="243"/>
      <c r="AWP1" s="243"/>
      <c r="AWQ1" s="243"/>
      <c r="AWR1" s="243"/>
      <c r="AWS1" s="243"/>
      <c r="AWT1" s="243"/>
      <c r="AWU1" s="243"/>
      <c r="AWV1" s="243"/>
      <c r="AWW1" s="243" t="s">
        <v>127</v>
      </c>
      <c r="AWX1" s="243"/>
      <c r="AWY1" s="243"/>
      <c r="AWZ1" s="243"/>
      <c r="AXA1" s="243"/>
      <c r="AXB1" s="243"/>
      <c r="AXC1" s="243"/>
      <c r="AXD1" s="243"/>
      <c r="AXE1" s="243"/>
      <c r="AXF1" s="243"/>
      <c r="AXG1" s="243"/>
      <c r="AXH1" s="243"/>
      <c r="AXI1" s="243"/>
      <c r="AXJ1" s="243"/>
      <c r="AXK1" s="243"/>
      <c r="AXL1" s="243"/>
      <c r="AXM1" s="243" t="s">
        <v>127</v>
      </c>
      <c r="AXN1" s="243"/>
      <c r="AXO1" s="243"/>
      <c r="AXP1" s="243"/>
      <c r="AXQ1" s="243"/>
      <c r="AXR1" s="243"/>
      <c r="AXS1" s="243"/>
      <c r="AXT1" s="243"/>
      <c r="AXU1" s="243"/>
      <c r="AXV1" s="243"/>
      <c r="AXW1" s="243"/>
      <c r="AXX1" s="243"/>
      <c r="AXY1" s="243"/>
      <c r="AXZ1" s="243"/>
      <c r="AYA1" s="243"/>
      <c r="AYB1" s="243"/>
      <c r="AYC1" s="243" t="s">
        <v>127</v>
      </c>
      <c r="AYD1" s="243"/>
      <c r="AYE1" s="243"/>
      <c r="AYF1" s="243"/>
      <c r="AYG1" s="243"/>
      <c r="AYH1" s="243"/>
      <c r="AYI1" s="243"/>
      <c r="AYJ1" s="243"/>
      <c r="AYK1" s="243"/>
      <c r="AYL1" s="243"/>
      <c r="AYM1" s="243"/>
      <c r="AYN1" s="243"/>
      <c r="AYO1" s="243"/>
      <c r="AYP1" s="243"/>
      <c r="AYQ1" s="243"/>
      <c r="AYR1" s="243"/>
      <c r="AYS1" s="243" t="s">
        <v>127</v>
      </c>
      <c r="AYT1" s="243"/>
      <c r="AYU1" s="243"/>
      <c r="AYV1" s="243"/>
      <c r="AYW1" s="243"/>
      <c r="AYX1" s="243"/>
      <c r="AYY1" s="243"/>
      <c r="AYZ1" s="243"/>
      <c r="AZA1" s="243"/>
      <c r="AZB1" s="243"/>
      <c r="AZC1" s="243"/>
      <c r="AZD1" s="243"/>
      <c r="AZE1" s="243"/>
      <c r="AZF1" s="243"/>
      <c r="AZG1" s="243"/>
      <c r="AZH1" s="243"/>
      <c r="AZI1" s="243" t="s">
        <v>127</v>
      </c>
      <c r="AZJ1" s="243"/>
      <c r="AZK1" s="243"/>
      <c r="AZL1" s="243"/>
      <c r="AZM1" s="243"/>
      <c r="AZN1" s="243"/>
      <c r="AZO1" s="243"/>
      <c r="AZP1" s="243"/>
      <c r="AZQ1" s="243"/>
      <c r="AZR1" s="243"/>
      <c r="AZS1" s="243"/>
      <c r="AZT1" s="243"/>
      <c r="AZU1" s="243"/>
      <c r="AZV1" s="243"/>
      <c r="AZW1" s="243"/>
      <c r="AZX1" s="243"/>
      <c r="AZY1" s="243" t="s">
        <v>127</v>
      </c>
      <c r="AZZ1" s="243"/>
      <c r="BAA1" s="243"/>
      <c r="BAB1" s="243"/>
      <c r="BAC1" s="243"/>
      <c r="BAD1" s="243"/>
      <c r="BAE1" s="243"/>
      <c r="BAF1" s="243"/>
      <c r="BAG1" s="243"/>
      <c r="BAH1" s="243"/>
      <c r="BAI1" s="243"/>
      <c r="BAJ1" s="243"/>
      <c r="BAK1" s="243"/>
      <c r="BAL1" s="243"/>
      <c r="BAM1" s="243"/>
      <c r="BAN1" s="243"/>
      <c r="BAO1" s="243" t="s">
        <v>127</v>
      </c>
      <c r="BAP1" s="243"/>
      <c r="BAQ1" s="243"/>
      <c r="BAR1" s="243"/>
      <c r="BAS1" s="243"/>
      <c r="BAT1" s="243"/>
      <c r="BAU1" s="243"/>
      <c r="BAV1" s="243"/>
      <c r="BAW1" s="243"/>
      <c r="BAX1" s="243"/>
      <c r="BAY1" s="243"/>
      <c r="BAZ1" s="243"/>
      <c r="BBA1" s="243"/>
      <c r="BBB1" s="243"/>
      <c r="BBC1" s="243"/>
      <c r="BBD1" s="243"/>
      <c r="BBE1" s="243" t="s">
        <v>127</v>
      </c>
      <c r="BBF1" s="243"/>
      <c r="BBG1" s="243"/>
      <c r="BBH1" s="243"/>
      <c r="BBI1" s="243"/>
      <c r="BBJ1" s="243"/>
      <c r="BBK1" s="243"/>
      <c r="BBL1" s="243"/>
      <c r="BBM1" s="243"/>
      <c r="BBN1" s="243"/>
      <c r="BBO1" s="243"/>
      <c r="BBP1" s="243"/>
      <c r="BBQ1" s="243"/>
      <c r="BBR1" s="243"/>
      <c r="BBS1" s="243"/>
      <c r="BBT1" s="243"/>
      <c r="BBU1" s="243" t="s">
        <v>127</v>
      </c>
      <c r="BBV1" s="243"/>
      <c r="BBW1" s="243"/>
      <c r="BBX1" s="243"/>
      <c r="BBY1" s="243"/>
      <c r="BBZ1" s="243"/>
      <c r="BCA1" s="243"/>
      <c r="BCB1" s="243"/>
      <c r="BCC1" s="243"/>
      <c r="BCD1" s="243"/>
      <c r="BCE1" s="243"/>
      <c r="BCF1" s="243"/>
      <c r="BCG1" s="243"/>
      <c r="BCH1" s="243"/>
      <c r="BCI1" s="243"/>
      <c r="BCJ1" s="243"/>
      <c r="BCK1" s="243" t="s">
        <v>127</v>
      </c>
      <c r="BCL1" s="243"/>
      <c r="BCM1" s="243"/>
      <c r="BCN1" s="243"/>
      <c r="BCO1" s="243"/>
      <c r="BCP1" s="243"/>
      <c r="BCQ1" s="243"/>
      <c r="BCR1" s="243"/>
      <c r="BCS1" s="243"/>
      <c r="BCT1" s="243"/>
      <c r="BCU1" s="243"/>
      <c r="BCV1" s="243"/>
      <c r="BCW1" s="243"/>
      <c r="BCX1" s="243"/>
      <c r="BCY1" s="243"/>
      <c r="BCZ1" s="243"/>
      <c r="BDA1" s="243" t="s">
        <v>127</v>
      </c>
      <c r="BDB1" s="243"/>
      <c r="BDC1" s="243"/>
      <c r="BDD1" s="243"/>
      <c r="BDE1" s="243"/>
      <c r="BDF1" s="243"/>
      <c r="BDG1" s="243"/>
      <c r="BDH1" s="243"/>
      <c r="BDI1" s="243"/>
      <c r="BDJ1" s="243"/>
      <c r="BDK1" s="243"/>
      <c r="BDL1" s="243"/>
      <c r="BDM1" s="243"/>
      <c r="BDN1" s="243"/>
      <c r="BDO1" s="243"/>
      <c r="BDP1" s="243"/>
      <c r="BDQ1" s="243" t="s">
        <v>127</v>
      </c>
      <c r="BDR1" s="243"/>
      <c r="BDS1" s="243"/>
      <c r="BDT1" s="243"/>
      <c r="BDU1" s="243"/>
      <c r="BDV1" s="243"/>
      <c r="BDW1" s="243"/>
      <c r="BDX1" s="243"/>
      <c r="BDY1" s="243"/>
      <c r="BDZ1" s="243"/>
      <c r="BEA1" s="243"/>
      <c r="BEB1" s="243"/>
      <c r="BEC1" s="243"/>
      <c r="BED1" s="243"/>
      <c r="BEE1" s="243"/>
      <c r="BEF1" s="243"/>
      <c r="BEG1" s="243" t="s">
        <v>127</v>
      </c>
      <c r="BEH1" s="243"/>
      <c r="BEI1" s="243"/>
      <c r="BEJ1" s="243"/>
      <c r="BEK1" s="243"/>
      <c r="BEL1" s="243"/>
      <c r="BEM1" s="243"/>
      <c r="BEN1" s="243"/>
      <c r="BEO1" s="243"/>
      <c r="BEP1" s="243"/>
      <c r="BEQ1" s="243"/>
      <c r="BER1" s="243"/>
      <c r="BES1" s="243"/>
      <c r="BET1" s="243"/>
      <c r="BEU1" s="243"/>
      <c r="BEV1" s="243"/>
      <c r="BEW1" s="243" t="s">
        <v>127</v>
      </c>
      <c r="BEX1" s="243"/>
      <c r="BEY1" s="243"/>
      <c r="BEZ1" s="243"/>
      <c r="BFA1" s="243"/>
      <c r="BFB1" s="243"/>
      <c r="BFC1" s="243"/>
      <c r="BFD1" s="243"/>
      <c r="BFE1" s="243"/>
      <c r="BFF1" s="243"/>
      <c r="BFG1" s="243"/>
      <c r="BFH1" s="243"/>
      <c r="BFI1" s="243"/>
      <c r="BFJ1" s="243"/>
      <c r="BFK1" s="243"/>
      <c r="BFL1" s="243"/>
      <c r="BFM1" s="243" t="s">
        <v>127</v>
      </c>
      <c r="BFN1" s="243"/>
      <c r="BFO1" s="243"/>
      <c r="BFP1" s="243"/>
      <c r="BFQ1" s="243"/>
      <c r="BFR1" s="243"/>
      <c r="BFS1" s="243"/>
      <c r="BFT1" s="243"/>
      <c r="BFU1" s="243"/>
      <c r="BFV1" s="243"/>
      <c r="BFW1" s="243"/>
      <c r="BFX1" s="243"/>
      <c r="BFY1" s="243"/>
      <c r="BFZ1" s="243"/>
      <c r="BGA1" s="243"/>
      <c r="BGB1" s="243"/>
      <c r="BGC1" s="243" t="s">
        <v>127</v>
      </c>
      <c r="BGD1" s="243"/>
      <c r="BGE1" s="243"/>
      <c r="BGF1" s="243"/>
      <c r="BGG1" s="243"/>
      <c r="BGH1" s="243"/>
      <c r="BGI1" s="243"/>
      <c r="BGJ1" s="243"/>
      <c r="BGK1" s="243"/>
      <c r="BGL1" s="243"/>
      <c r="BGM1" s="243"/>
      <c r="BGN1" s="243"/>
      <c r="BGO1" s="243"/>
      <c r="BGP1" s="243"/>
      <c r="BGQ1" s="243"/>
      <c r="BGR1" s="243"/>
      <c r="BGS1" s="243" t="s">
        <v>127</v>
      </c>
      <c r="BGT1" s="243"/>
      <c r="BGU1" s="243"/>
      <c r="BGV1" s="243"/>
      <c r="BGW1" s="243"/>
      <c r="BGX1" s="243"/>
      <c r="BGY1" s="243"/>
      <c r="BGZ1" s="243"/>
      <c r="BHA1" s="243"/>
      <c r="BHB1" s="243"/>
      <c r="BHC1" s="243"/>
      <c r="BHD1" s="243"/>
      <c r="BHE1" s="243"/>
      <c r="BHF1" s="243"/>
      <c r="BHG1" s="243"/>
      <c r="BHH1" s="243"/>
      <c r="BHI1" s="243" t="s">
        <v>127</v>
      </c>
      <c r="BHJ1" s="243"/>
      <c r="BHK1" s="243"/>
      <c r="BHL1" s="243"/>
      <c r="BHM1" s="243"/>
      <c r="BHN1" s="243"/>
      <c r="BHO1" s="243"/>
      <c r="BHP1" s="243"/>
      <c r="BHQ1" s="243"/>
      <c r="BHR1" s="243"/>
      <c r="BHS1" s="243"/>
      <c r="BHT1" s="243"/>
      <c r="BHU1" s="243"/>
      <c r="BHV1" s="243"/>
      <c r="BHW1" s="243"/>
      <c r="BHX1" s="243"/>
      <c r="BHY1" s="243" t="s">
        <v>127</v>
      </c>
      <c r="BHZ1" s="243"/>
      <c r="BIA1" s="243"/>
      <c r="BIB1" s="243"/>
      <c r="BIC1" s="243"/>
      <c r="BID1" s="243"/>
      <c r="BIE1" s="243"/>
      <c r="BIF1" s="243"/>
      <c r="BIG1" s="243"/>
      <c r="BIH1" s="243"/>
      <c r="BII1" s="243"/>
      <c r="BIJ1" s="243"/>
      <c r="BIK1" s="243"/>
      <c r="BIL1" s="243"/>
      <c r="BIM1" s="243"/>
      <c r="BIN1" s="243"/>
      <c r="BIO1" s="243" t="s">
        <v>127</v>
      </c>
      <c r="BIP1" s="243"/>
      <c r="BIQ1" s="243"/>
      <c r="BIR1" s="243"/>
      <c r="BIS1" s="243"/>
      <c r="BIT1" s="243"/>
      <c r="BIU1" s="243"/>
      <c r="BIV1" s="243"/>
      <c r="BIW1" s="243"/>
      <c r="BIX1" s="243"/>
      <c r="BIY1" s="243"/>
      <c r="BIZ1" s="243"/>
      <c r="BJA1" s="243"/>
      <c r="BJB1" s="243"/>
      <c r="BJC1" s="243"/>
      <c r="BJD1" s="243"/>
      <c r="BJE1" s="243" t="s">
        <v>127</v>
      </c>
      <c r="BJF1" s="243"/>
      <c r="BJG1" s="243"/>
      <c r="BJH1" s="243"/>
      <c r="BJI1" s="243"/>
      <c r="BJJ1" s="243"/>
      <c r="BJK1" s="243"/>
      <c r="BJL1" s="243"/>
      <c r="BJM1" s="243"/>
      <c r="BJN1" s="243"/>
      <c r="BJO1" s="243"/>
      <c r="BJP1" s="243"/>
      <c r="BJQ1" s="243"/>
      <c r="BJR1" s="243"/>
      <c r="BJS1" s="243"/>
      <c r="BJT1" s="243"/>
      <c r="BJU1" s="243" t="s">
        <v>127</v>
      </c>
      <c r="BJV1" s="243"/>
      <c r="BJW1" s="243"/>
      <c r="BJX1" s="243"/>
      <c r="BJY1" s="243"/>
      <c r="BJZ1" s="243"/>
      <c r="BKA1" s="243"/>
      <c r="BKB1" s="243"/>
      <c r="BKC1" s="243"/>
      <c r="BKD1" s="243"/>
      <c r="BKE1" s="243"/>
      <c r="BKF1" s="243"/>
      <c r="BKG1" s="243"/>
      <c r="BKH1" s="243"/>
      <c r="BKI1" s="243"/>
      <c r="BKJ1" s="243"/>
      <c r="BKK1" s="243" t="s">
        <v>127</v>
      </c>
      <c r="BKL1" s="243"/>
      <c r="BKM1" s="243"/>
      <c r="BKN1" s="243"/>
      <c r="BKO1" s="243"/>
      <c r="BKP1" s="243"/>
      <c r="BKQ1" s="243"/>
      <c r="BKR1" s="243"/>
      <c r="BKS1" s="243"/>
      <c r="BKT1" s="243"/>
      <c r="BKU1" s="243"/>
      <c r="BKV1" s="243"/>
      <c r="BKW1" s="243"/>
      <c r="BKX1" s="243"/>
      <c r="BKY1" s="243"/>
      <c r="BKZ1" s="243"/>
      <c r="BLA1" s="243" t="s">
        <v>127</v>
      </c>
      <c r="BLB1" s="243"/>
      <c r="BLC1" s="243"/>
      <c r="BLD1" s="243"/>
      <c r="BLE1" s="243"/>
      <c r="BLF1" s="243"/>
      <c r="BLG1" s="243"/>
      <c r="BLH1" s="243"/>
      <c r="BLI1" s="243"/>
      <c r="BLJ1" s="243"/>
      <c r="BLK1" s="243"/>
      <c r="BLL1" s="243"/>
      <c r="BLM1" s="243"/>
      <c r="BLN1" s="243"/>
      <c r="BLO1" s="243"/>
      <c r="BLP1" s="243"/>
      <c r="BLQ1" s="243" t="s">
        <v>127</v>
      </c>
      <c r="BLR1" s="243"/>
      <c r="BLS1" s="243"/>
      <c r="BLT1" s="243"/>
      <c r="BLU1" s="243"/>
      <c r="BLV1" s="243"/>
      <c r="BLW1" s="243"/>
      <c r="BLX1" s="243"/>
      <c r="BLY1" s="243"/>
      <c r="BLZ1" s="243"/>
      <c r="BMA1" s="243"/>
      <c r="BMB1" s="243"/>
      <c r="BMC1" s="243"/>
      <c r="BMD1" s="243"/>
      <c r="BME1" s="243"/>
      <c r="BMF1" s="243"/>
      <c r="BMG1" s="243" t="s">
        <v>127</v>
      </c>
      <c r="BMH1" s="243"/>
      <c r="BMI1" s="243"/>
      <c r="BMJ1" s="243"/>
      <c r="BMK1" s="243"/>
      <c r="BML1" s="243"/>
      <c r="BMM1" s="243"/>
      <c r="BMN1" s="243"/>
      <c r="BMO1" s="243"/>
      <c r="BMP1" s="243"/>
      <c r="BMQ1" s="243"/>
      <c r="BMR1" s="243"/>
      <c r="BMS1" s="243"/>
      <c r="BMT1" s="243"/>
      <c r="BMU1" s="243"/>
      <c r="BMV1" s="243"/>
      <c r="BMW1" s="243" t="s">
        <v>127</v>
      </c>
      <c r="BMX1" s="243"/>
      <c r="BMY1" s="243"/>
      <c r="BMZ1" s="243"/>
      <c r="BNA1" s="243"/>
      <c r="BNB1" s="243"/>
      <c r="BNC1" s="243"/>
      <c r="BND1" s="243"/>
      <c r="BNE1" s="243"/>
      <c r="BNF1" s="243"/>
      <c r="BNG1" s="243"/>
      <c r="BNH1" s="243"/>
      <c r="BNI1" s="243"/>
      <c r="BNJ1" s="243"/>
      <c r="BNK1" s="243"/>
      <c r="BNL1" s="243"/>
      <c r="BNM1" s="243" t="s">
        <v>127</v>
      </c>
      <c r="BNN1" s="243"/>
      <c r="BNO1" s="243"/>
      <c r="BNP1" s="243"/>
      <c r="BNQ1" s="243"/>
      <c r="BNR1" s="243"/>
      <c r="BNS1" s="243"/>
      <c r="BNT1" s="243"/>
      <c r="BNU1" s="243"/>
      <c r="BNV1" s="243"/>
      <c r="BNW1" s="243"/>
      <c r="BNX1" s="243"/>
      <c r="BNY1" s="243"/>
      <c r="BNZ1" s="243"/>
      <c r="BOA1" s="243"/>
      <c r="BOB1" s="243"/>
      <c r="BOC1" s="243" t="s">
        <v>127</v>
      </c>
      <c r="BOD1" s="243"/>
      <c r="BOE1" s="243"/>
      <c r="BOF1" s="243"/>
      <c r="BOG1" s="243"/>
      <c r="BOH1" s="243"/>
      <c r="BOI1" s="243"/>
      <c r="BOJ1" s="243"/>
      <c r="BOK1" s="243"/>
      <c r="BOL1" s="243"/>
      <c r="BOM1" s="243"/>
      <c r="BON1" s="243"/>
      <c r="BOO1" s="243"/>
      <c r="BOP1" s="243"/>
      <c r="BOQ1" s="243"/>
      <c r="BOR1" s="243"/>
      <c r="BOS1" s="243" t="s">
        <v>127</v>
      </c>
      <c r="BOT1" s="243"/>
      <c r="BOU1" s="243"/>
      <c r="BOV1" s="243"/>
      <c r="BOW1" s="243"/>
      <c r="BOX1" s="243"/>
      <c r="BOY1" s="243"/>
      <c r="BOZ1" s="243"/>
      <c r="BPA1" s="243"/>
      <c r="BPB1" s="243"/>
      <c r="BPC1" s="243"/>
      <c r="BPD1" s="243"/>
      <c r="BPE1" s="243"/>
      <c r="BPF1" s="243"/>
      <c r="BPG1" s="243"/>
      <c r="BPH1" s="243"/>
      <c r="BPI1" s="243" t="s">
        <v>127</v>
      </c>
      <c r="BPJ1" s="243"/>
      <c r="BPK1" s="243"/>
      <c r="BPL1" s="243"/>
      <c r="BPM1" s="243"/>
      <c r="BPN1" s="243"/>
      <c r="BPO1" s="243"/>
      <c r="BPP1" s="243"/>
      <c r="BPQ1" s="243"/>
      <c r="BPR1" s="243"/>
      <c r="BPS1" s="243"/>
      <c r="BPT1" s="243"/>
      <c r="BPU1" s="243"/>
      <c r="BPV1" s="243"/>
      <c r="BPW1" s="243"/>
      <c r="BPX1" s="243"/>
      <c r="BPY1" s="243" t="s">
        <v>127</v>
      </c>
      <c r="BPZ1" s="243"/>
      <c r="BQA1" s="243"/>
      <c r="BQB1" s="243"/>
      <c r="BQC1" s="243"/>
      <c r="BQD1" s="243"/>
      <c r="BQE1" s="243"/>
      <c r="BQF1" s="243"/>
      <c r="BQG1" s="243"/>
      <c r="BQH1" s="243"/>
      <c r="BQI1" s="243"/>
      <c r="BQJ1" s="243"/>
      <c r="BQK1" s="243"/>
      <c r="BQL1" s="243"/>
      <c r="BQM1" s="243"/>
      <c r="BQN1" s="243"/>
      <c r="BQO1" s="243" t="s">
        <v>127</v>
      </c>
      <c r="BQP1" s="243"/>
      <c r="BQQ1" s="243"/>
      <c r="BQR1" s="243"/>
      <c r="BQS1" s="243"/>
      <c r="BQT1" s="243"/>
      <c r="BQU1" s="243"/>
      <c r="BQV1" s="243"/>
      <c r="BQW1" s="243"/>
      <c r="BQX1" s="243"/>
      <c r="BQY1" s="243"/>
      <c r="BQZ1" s="243"/>
      <c r="BRA1" s="243"/>
      <c r="BRB1" s="243"/>
      <c r="BRC1" s="243"/>
      <c r="BRD1" s="243"/>
      <c r="BRE1" s="243" t="s">
        <v>127</v>
      </c>
      <c r="BRF1" s="243"/>
      <c r="BRG1" s="243"/>
      <c r="BRH1" s="243"/>
      <c r="BRI1" s="243"/>
      <c r="BRJ1" s="243"/>
      <c r="BRK1" s="243"/>
      <c r="BRL1" s="243"/>
      <c r="BRM1" s="243"/>
      <c r="BRN1" s="243"/>
      <c r="BRO1" s="243"/>
      <c r="BRP1" s="243"/>
      <c r="BRQ1" s="243"/>
      <c r="BRR1" s="243"/>
      <c r="BRS1" s="243"/>
      <c r="BRT1" s="243"/>
      <c r="BRU1" s="243" t="s">
        <v>127</v>
      </c>
      <c r="BRV1" s="243"/>
      <c r="BRW1" s="243"/>
      <c r="BRX1" s="243"/>
      <c r="BRY1" s="243"/>
      <c r="BRZ1" s="243"/>
      <c r="BSA1" s="243"/>
      <c r="BSB1" s="243"/>
      <c r="BSC1" s="243"/>
      <c r="BSD1" s="243"/>
      <c r="BSE1" s="243"/>
      <c r="BSF1" s="243"/>
      <c r="BSG1" s="243"/>
      <c r="BSH1" s="243"/>
      <c r="BSI1" s="243"/>
      <c r="BSJ1" s="243"/>
      <c r="BSK1" s="243" t="s">
        <v>127</v>
      </c>
      <c r="BSL1" s="243"/>
      <c r="BSM1" s="243"/>
      <c r="BSN1" s="243"/>
      <c r="BSO1" s="243"/>
      <c r="BSP1" s="243"/>
      <c r="BSQ1" s="243"/>
      <c r="BSR1" s="243"/>
      <c r="BSS1" s="243"/>
      <c r="BST1" s="243"/>
      <c r="BSU1" s="243"/>
      <c r="BSV1" s="243"/>
      <c r="BSW1" s="243"/>
      <c r="BSX1" s="243"/>
      <c r="BSY1" s="243"/>
      <c r="BSZ1" s="243"/>
      <c r="BTA1" s="243" t="s">
        <v>127</v>
      </c>
      <c r="BTB1" s="243"/>
      <c r="BTC1" s="243"/>
      <c r="BTD1" s="243"/>
      <c r="BTE1" s="243"/>
      <c r="BTF1" s="243"/>
      <c r="BTG1" s="243"/>
      <c r="BTH1" s="243"/>
      <c r="BTI1" s="243"/>
      <c r="BTJ1" s="243"/>
      <c r="BTK1" s="243"/>
      <c r="BTL1" s="243"/>
      <c r="BTM1" s="243"/>
      <c r="BTN1" s="243"/>
      <c r="BTO1" s="243"/>
      <c r="BTP1" s="243"/>
      <c r="BTQ1" s="243" t="s">
        <v>127</v>
      </c>
      <c r="BTR1" s="243"/>
      <c r="BTS1" s="243"/>
      <c r="BTT1" s="243"/>
      <c r="BTU1" s="243"/>
      <c r="BTV1" s="243"/>
      <c r="BTW1" s="243"/>
      <c r="BTX1" s="243"/>
      <c r="BTY1" s="243"/>
      <c r="BTZ1" s="243"/>
      <c r="BUA1" s="243"/>
      <c r="BUB1" s="243"/>
      <c r="BUC1" s="243"/>
      <c r="BUD1" s="243"/>
      <c r="BUE1" s="243"/>
      <c r="BUF1" s="243"/>
      <c r="BUG1" s="243" t="s">
        <v>127</v>
      </c>
      <c r="BUH1" s="243"/>
      <c r="BUI1" s="243"/>
      <c r="BUJ1" s="243"/>
      <c r="BUK1" s="243"/>
      <c r="BUL1" s="243"/>
      <c r="BUM1" s="243"/>
      <c r="BUN1" s="243"/>
      <c r="BUO1" s="243"/>
      <c r="BUP1" s="243"/>
      <c r="BUQ1" s="243"/>
      <c r="BUR1" s="243"/>
      <c r="BUS1" s="243"/>
      <c r="BUT1" s="243"/>
      <c r="BUU1" s="243"/>
      <c r="BUV1" s="243"/>
      <c r="BUW1" s="243" t="s">
        <v>127</v>
      </c>
      <c r="BUX1" s="243"/>
      <c r="BUY1" s="243"/>
      <c r="BUZ1" s="243"/>
      <c r="BVA1" s="243"/>
      <c r="BVB1" s="243"/>
      <c r="BVC1" s="243"/>
      <c r="BVD1" s="243"/>
      <c r="BVE1" s="243"/>
      <c r="BVF1" s="243"/>
      <c r="BVG1" s="243"/>
      <c r="BVH1" s="243"/>
      <c r="BVI1" s="243"/>
      <c r="BVJ1" s="243"/>
      <c r="BVK1" s="243"/>
      <c r="BVL1" s="243"/>
      <c r="BVM1" s="243" t="s">
        <v>127</v>
      </c>
      <c r="BVN1" s="243"/>
      <c r="BVO1" s="243"/>
      <c r="BVP1" s="243"/>
      <c r="BVQ1" s="243"/>
      <c r="BVR1" s="243"/>
      <c r="BVS1" s="243"/>
      <c r="BVT1" s="243"/>
      <c r="BVU1" s="243"/>
      <c r="BVV1" s="243"/>
      <c r="BVW1" s="243"/>
      <c r="BVX1" s="243"/>
      <c r="BVY1" s="243"/>
      <c r="BVZ1" s="243"/>
      <c r="BWA1" s="243"/>
      <c r="BWB1" s="243"/>
      <c r="BWC1" s="243" t="s">
        <v>127</v>
      </c>
      <c r="BWD1" s="243"/>
      <c r="BWE1" s="243"/>
      <c r="BWF1" s="243"/>
      <c r="BWG1" s="243"/>
      <c r="BWH1" s="243"/>
      <c r="BWI1" s="243"/>
      <c r="BWJ1" s="243"/>
      <c r="BWK1" s="243"/>
      <c r="BWL1" s="243"/>
      <c r="BWM1" s="243"/>
      <c r="BWN1" s="243"/>
      <c r="BWO1" s="243"/>
      <c r="BWP1" s="243"/>
      <c r="BWQ1" s="243"/>
      <c r="BWR1" s="243"/>
      <c r="BWS1" s="243" t="s">
        <v>127</v>
      </c>
      <c r="BWT1" s="243"/>
      <c r="BWU1" s="243"/>
      <c r="BWV1" s="243"/>
      <c r="BWW1" s="243"/>
      <c r="BWX1" s="243"/>
      <c r="BWY1" s="243"/>
      <c r="BWZ1" s="243"/>
      <c r="BXA1" s="243"/>
      <c r="BXB1" s="243"/>
      <c r="BXC1" s="243"/>
      <c r="BXD1" s="243"/>
      <c r="BXE1" s="243"/>
      <c r="BXF1" s="243"/>
      <c r="BXG1" s="243"/>
      <c r="BXH1" s="243"/>
      <c r="BXI1" s="243" t="s">
        <v>127</v>
      </c>
      <c r="BXJ1" s="243"/>
      <c r="BXK1" s="243"/>
      <c r="BXL1" s="243"/>
      <c r="BXM1" s="243"/>
      <c r="BXN1" s="243"/>
      <c r="BXO1" s="243"/>
      <c r="BXP1" s="243"/>
      <c r="BXQ1" s="243"/>
      <c r="BXR1" s="243"/>
      <c r="BXS1" s="243"/>
      <c r="BXT1" s="243"/>
      <c r="BXU1" s="243"/>
      <c r="BXV1" s="243"/>
      <c r="BXW1" s="243"/>
      <c r="BXX1" s="243"/>
      <c r="BXY1" s="243" t="s">
        <v>127</v>
      </c>
      <c r="BXZ1" s="243"/>
      <c r="BYA1" s="243"/>
      <c r="BYB1" s="243"/>
      <c r="BYC1" s="243"/>
      <c r="BYD1" s="243"/>
      <c r="BYE1" s="243"/>
      <c r="BYF1" s="243"/>
      <c r="BYG1" s="243"/>
      <c r="BYH1" s="243"/>
      <c r="BYI1" s="243"/>
      <c r="BYJ1" s="243"/>
      <c r="BYK1" s="243"/>
      <c r="BYL1" s="243"/>
      <c r="BYM1" s="243"/>
      <c r="BYN1" s="243"/>
      <c r="BYO1" s="243" t="s">
        <v>127</v>
      </c>
      <c r="BYP1" s="243"/>
      <c r="BYQ1" s="243"/>
      <c r="BYR1" s="243"/>
      <c r="BYS1" s="243"/>
      <c r="BYT1" s="243"/>
      <c r="BYU1" s="243"/>
      <c r="BYV1" s="243"/>
      <c r="BYW1" s="243"/>
      <c r="BYX1" s="243"/>
      <c r="BYY1" s="243"/>
      <c r="BYZ1" s="243"/>
      <c r="BZA1" s="243"/>
      <c r="BZB1" s="243"/>
      <c r="BZC1" s="243"/>
      <c r="BZD1" s="243"/>
      <c r="BZE1" s="243" t="s">
        <v>127</v>
      </c>
      <c r="BZF1" s="243"/>
      <c r="BZG1" s="243"/>
      <c r="BZH1" s="243"/>
      <c r="BZI1" s="243"/>
      <c r="BZJ1" s="243"/>
      <c r="BZK1" s="243"/>
      <c r="BZL1" s="243"/>
      <c r="BZM1" s="243"/>
      <c r="BZN1" s="243"/>
      <c r="BZO1" s="243"/>
      <c r="BZP1" s="243"/>
      <c r="BZQ1" s="243"/>
      <c r="BZR1" s="243"/>
      <c r="BZS1" s="243"/>
      <c r="BZT1" s="243"/>
      <c r="BZU1" s="243" t="s">
        <v>127</v>
      </c>
      <c r="BZV1" s="243"/>
      <c r="BZW1" s="243"/>
      <c r="BZX1" s="243"/>
      <c r="BZY1" s="243"/>
      <c r="BZZ1" s="243"/>
      <c r="CAA1" s="243"/>
      <c r="CAB1" s="243"/>
      <c r="CAC1" s="243"/>
      <c r="CAD1" s="243"/>
      <c r="CAE1" s="243"/>
      <c r="CAF1" s="243"/>
      <c r="CAG1" s="243"/>
      <c r="CAH1" s="243"/>
      <c r="CAI1" s="243"/>
      <c r="CAJ1" s="243"/>
      <c r="CAK1" s="243" t="s">
        <v>127</v>
      </c>
      <c r="CAL1" s="243"/>
      <c r="CAM1" s="243"/>
      <c r="CAN1" s="243"/>
      <c r="CAO1" s="243"/>
      <c r="CAP1" s="243"/>
      <c r="CAQ1" s="243"/>
      <c r="CAR1" s="243"/>
      <c r="CAS1" s="243"/>
      <c r="CAT1" s="243"/>
      <c r="CAU1" s="243"/>
      <c r="CAV1" s="243"/>
      <c r="CAW1" s="243"/>
      <c r="CAX1" s="243"/>
      <c r="CAY1" s="243"/>
      <c r="CAZ1" s="243"/>
      <c r="CBA1" s="243" t="s">
        <v>127</v>
      </c>
      <c r="CBB1" s="243"/>
      <c r="CBC1" s="243"/>
      <c r="CBD1" s="243"/>
      <c r="CBE1" s="243"/>
      <c r="CBF1" s="243"/>
      <c r="CBG1" s="243"/>
      <c r="CBH1" s="243"/>
      <c r="CBI1" s="243"/>
      <c r="CBJ1" s="243"/>
      <c r="CBK1" s="243"/>
      <c r="CBL1" s="243"/>
      <c r="CBM1" s="243"/>
      <c r="CBN1" s="243"/>
      <c r="CBO1" s="243"/>
      <c r="CBP1" s="243"/>
      <c r="CBQ1" s="243" t="s">
        <v>127</v>
      </c>
      <c r="CBR1" s="243"/>
      <c r="CBS1" s="243"/>
      <c r="CBT1" s="243"/>
      <c r="CBU1" s="243"/>
      <c r="CBV1" s="243"/>
      <c r="CBW1" s="243"/>
      <c r="CBX1" s="243"/>
      <c r="CBY1" s="243"/>
      <c r="CBZ1" s="243"/>
      <c r="CCA1" s="243"/>
      <c r="CCB1" s="243"/>
      <c r="CCC1" s="243"/>
      <c r="CCD1" s="243"/>
      <c r="CCE1" s="243"/>
      <c r="CCF1" s="243"/>
      <c r="CCG1" s="243" t="s">
        <v>127</v>
      </c>
      <c r="CCH1" s="243"/>
      <c r="CCI1" s="243"/>
      <c r="CCJ1" s="243"/>
      <c r="CCK1" s="243"/>
      <c r="CCL1" s="243"/>
      <c r="CCM1" s="243"/>
      <c r="CCN1" s="243"/>
      <c r="CCO1" s="243"/>
      <c r="CCP1" s="243"/>
      <c r="CCQ1" s="243"/>
      <c r="CCR1" s="243"/>
      <c r="CCS1" s="243"/>
      <c r="CCT1" s="243"/>
      <c r="CCU1" s="243"/>
      <c r="CCV1" s="243"/>
      <c r="CCW1" s="243" t="s">
        <v>127</v>
      </c>
      <c r="CCX1" s="243"/>
      <c r="CCY1" s="243"/>
      <c r="CCZ1" s="243"/>
      <c r="CDA1" s="243"/>
      <c r="CDB1" s="243"/>
      <c r="CDC1" s="243"/>
      <c r="CDD1" s="243"/>
      <c r="CDE1" s="243"/>
      <c r="CDF1" s="243"/>
      <c r="CDG1" s="243"/>
      <c r="CDH1" s="243"/>
      <c r="CDI1" s="243"/>
      <c r="CDJ1" s="243"/>
      <c r="CDK1" s="243"/>
      <c r="CDL1" s="243"/>
      <c r="CDM1" s="243" t="s">
        <v>127</v>
      </c>
      <c r="CDN1" s="243"/>
      <c r="CDO1" s="243"/>
      <c r="CDP1" s="243"/>
      <c r="CDQ1" s="243"/>
      <c r="CDR1" s="243"/>
      <c r="CDS1" s="243"/>
      <c r="CDT1" s="243"/>
      <c r="CDU1" s="243"/>
      <c r="CDV1" s="243"/>
      <c r="CDW1" s="243"/>
      <c r="CDX1" s="243"/>
      <c r="CDY1" s="243"/>
      <c r="CDZ1" s="243"/>
      <c r="CEA1" s="243"/>
      <c r="CEB1" s="243"/>
      <c r="CEC1" s="243" t="s">
        <v>127</v>
      </c>
      <c r="CED1" s="243"/>
      <c r="CEE1" s="243"/>
      <c r="CEF1" s="243"/>
      <c r="CEG1" s="243"/>
      <c r="CEH1" s="243"/>
      <c r="CEI1" s="243"/>
      <c r="CEJ1" s="243"/>
      <c r="CEK1" s="243"/>
      <c r="CEL1" s="243"/>
      <c r="CEM1" s="243"/>
      <c r="CEN1" s="243"/>
      <c r="CEO1" s="243"/>
      <c r="CEP1" s="243"/>
      <c r="CEQ1" s="243"/>
      <c r="CER1" s="243"/>
      <c r="CES1" s="243" t="s">
        <v>127</v>
      </c>
      <c r="CET1" s="243"/>
      <c r="CEU1" s="243"/>
      <c r="CEV1" s="243"/>
      <c r="CEW1" s="243"/>
      <c r="CEX1" s="243"/>
      <c r="CEY1" s="243"/>
      <c r="CEZ1" s="243"/>
      <c r="CFA1" s="243"/>
      <c r="CFB1" s="243"/>
      <c r="CFC1" s="243"/>
      <c r="CFD1" s="243"/>
      <c r="CFE1" s="243"/>
      <c r="CFF1" s="243"/>
      <c r="CFG1" s="243"/>
      <c r="CFH1" s="243"/>
      <c r="CFI1" s="243" t="s">
        <v>127</v>
      </c>
      <c r="CFJ1" s="243"/>
      <c r="CFK1" s="243"/>
      <c r="CFL1" s="243"/>
      <c r="CFM1" s="243"/>
      <c r="CFN1" s="243"/>
      <c r="CFO1" s="243"/>
      <c r="CFP1" s="243"/>
      <c r="CFQ1" s="243"/>
      <c r="CFR1" s="243"/>
      <c r="CFS1" s="243"/>
      <c r="CFT1" s="243"/>
      <c r="CFU1" s="243"/>
      <c r="CFV1" s="243"/>
      <c r="CFW1" s="243"/>
      <c r="CFX1" s="243"/>
      <c r="CFY1" s="243" t="s">
        <v>127</v>
      </c>
      <c r="CFZ1" s="243"/>
      <c r="CGA1" s="243"/>
      <c r="CGB1" s="243"/>
      <c r="CGC1" s="243"/>
      <c r="CGD1" s="243"/>
      <c r="CGE1" s="243"/>
      <c r="CGF1" s="243"/>
      <c r="CGG1" s="243"/>
      <c r="CGH1" s="243"/>
      <c r="CGI1" s="243"/>
      <c r="CGJ1" s="243"/>
      <c r="CGK1" s="243"/>
      <c r="CGL1" s="243"/>
      <c r="CGM1" s="243"/>
      <c r="CGN1" s="243"/>
      <c r="CGO1" s="243" t="s">
        <v>127</v>
      </c>
      <c r="CGP1" s="243"/>
      <c r="CGQ1" s="243"/>
      <c r="CGR1" s="243"/>
      <c r="CGS1" s="243"/>
      <c r="CGT1" s="243"/>
      <c r="CGU1" s="243"/>
      <c r="CGV1" s="243"/>
      <c r="CGW1" s="243"/>
      <c r="CGX1" s="243"/>
      <c r="CGY1" s="243"/>
      <c r="CGZ1" s="243"/>
      <c r="CHA1" s="243"/>
      <c r="CHB1" s="243"/>
      <c r="CHC1" s="243"/>
      <c r="CHD1" s="243"/>
      <c r="CHE1" s="243" t="s">
        <v>127</v>
      </c>
      <c r="CHF1" s="243"/>
      <c r="CHG1" s="243"/>
      <c r="CHH1" s="243"/>
      <c r="CHI1" s="243"/>
      <c r="CHJ1" s="243"/>
      <c r="CHK1" s="243"/>
      <c r="CHL1" s="243"/>
      <c r="CHM1" s="243"/>
      <c r="CHN1" s="243"/>
      <c r="CHO1" s="243"/>
      <c r="CHP1" s="243"/>
      <c r="CHQ1" s="243"/>
      <c r="CHR1" s="243"/>
      <c r="CHS1" s="243"/>
      <c r="CHT1" s="243"/>
      <c r="CHU1" s="243" t="s">
        <v>127</v>
      </c>
      <c r="CHV1" s="243"/>
      <c r="CHW1" s="243"/>
      <c r="CHX1" s="243"/>
      <c r="CHY1" s="243"/>
      <c r="CHZ1" s="243"/>
      <c r="CIA1" s="243"/>
      <c r="CIB1" s="243"/>
      <c r="CIC1" s="243"/>
      <c r="CID1" s="243"/>
      <c r="CIE1" s="243"/>
      <c r="CIF1" s="243"/>
      <c r="CIG1" s="243"/>
      <c r="CIH1" s="243"/>
      <c r="CII1" s="243"/>
      <c r="CIJ1" s="243"/>
      <c r="CIK1" s="243" t="s">
        <v>127</v>
      </c>
      <c r="CIL1" s="243"/>
      <c r="CIM1" s="243"/>
      <c r="CIN1" s="243"/>
      <c r="CIO1" s="243"/>
      <c r="CIP1" s="243"/>
      <c r="CIQ1" s="243"/>
      <c r="CIR1" s="243"/>
      <c r="CIS1" s="243"/>
      <c r="CIT1" s="243"/>
      <c r="CIU1" s="243"/>
      <c r="CIV1" s="243"/>
      <c r="CIW1" s="243"/>
      <c r="CIX1" s="243"/>
      <c r="CIY1" s="243"/>
      <c r="CIZ1" s="243"/>
      <c r="CJA1" s="243" t="s">
        <v>127</v>
      </c>
      <c r="CJB1" s="243"/>
      <c r="CJC1" s="243"/>
      <c r="CJD1" s="243"/>
      <c r="CJE1" s="243"/>
      <c r="CJF1" s="243"/>
      <c r="CJG1" s="243"/>
      <c r="CJH1" s="243"/>
      <c r="CJI1" s="243"/>
      <c r="CJJ1" s="243"/>
      <c r="CJK1" s="243"/>
      <c r="CJL1" s="243"/>
      <c r="CJM1" s="243"/>
      <c r="CJN1" s="243"/>
      <c r="CJO1" s="243"/>
      <c r="CJP1" s="243"/>
      <c r="CJQ1" s="243" t="s">
        <v>127</v>
      </c>
      <c r="CJR1" s="243"/>
      <c r="CJS1" s="243"/>
      <c r="CJT1" s="243"/>
      <c r="CJU1" s="243"/>
      <c r="CJV1" s="243"/>
      <c r="CJW1" s="243"/>
      <c r="CJX1" s="243"/>
      <c r="CJY1" s="243"/>
      <c r="CJZ1" s="243"/>
      <c r="CKA1" s="243"/>
      <c r="CKB1" s="243"/>
      <c r="CKC1" s="243"/>
      <c r="CKD1" s="243"/>
      <c r="CKE1" s="243"/>
      <c r="CKF1" s="243"/>
      <c r="CKG1" s="243" t="s">
        <v>127</v>
      </c>
      <c r="CKH1" s="243"/>
      <c r="CKI1" s="243"/>
      <c r="CKJ1" s="243"/>
      <c r="CKK1" s="243"/>
      <c r="CKL1" s="243"/>
      <c r="CKM1" s="243"/>
      <c r="CKN1" s="243"/>
      <c r="CKO1" s="243"/>
      <c r="CKP1" s="243"/>
      <c r="CKQ1" s="243"/>
      <c r="CKR1" s="243"/>
      <c r="CKS1" s="243"/>
      <c r="CKT1" s="243"/>
      <c r="CKU1" s="243"/>
      <c r="CKV1" s="243"/>
      <c r="CKW1" s="243" t="s">
        <v>127</v>
      </c>
      <c r="CKX1" s="243"/>
      <c r="CKY1" s="243"/>
      <c r="CKZ1" s="243"/>
      <c r="CLA1" s="243"/>
      <c r="CLB1" s="243"/>
      <c r="CLC1" s="243"/>
      <c r="CLD1" s="243"/>
      <c r="CLE1" s="243"/>
      <c r="CLF1" s="243"/>
      <c r="CLG1" s="243"/>
      <c r="CLH1" s="243"/>
      <c r="CLI1" s="243"/>
      <c r="CLJ1" s="243"/>
      <c r="CLK1" s="243"/>
      <c r="CLL1" s="243"/>
      <c r="CLM1" s="243" t="s">
        <v>127</v>
      </c>
      <c r="CLN1" s="243"/>
      <c r="CLO1" s="243"/>
      <c r="CLP1" s="243"/>
      <c r="CLQ1" s="243"/>
      <c r="CLR1" s="243"/>
      <c r="CLS1" s="243"/>
      <c r="CLT1" s="243"/>
      <c r="CLU1" s="243"/>
      <c r="CLV1" s="243"/>
      <c r="CLW1" s="243"/>
      <c r="CLX1" s="243"/>
      <c r="CLY1" s="243"/>
      <c r="CLZ1" s="243"/>
      <c r="CMA1" s="243"/>
      <c r="CMB1" s="243"/>
      <c r="CMC1" s="243" t="s">
        <v>127</v>
      </c>
      <c r="CMD1" s="243"/>
      <c r="CME1" s="243"/>
      <c r="CMF1" s="243"/>
      <c r="CMG1" s="243"/>
      <c r="CMH1" s="243"/>
      <c r="CMI1" s="243"/>
      <c r="CMJ1" s="243"/>
      <c r="CMK1" s="243"/>
      <c r="CML1" s="243"/>
      <c r="CMM1" s="243"/>
      <c r="CMN1" s="243"/>
      <c r="CMO1" s="243"/>
      <c r="CMP1" s="243"/>
      <c r="CMQ1" s="243"/>
      <c r="CMR1" s="243"/>
      <c r="CMS1" s="243" t="s">
        <v>127</v>
      </c>
      <c r="CMT1" s="243"/>
      <c r="CMU1" s="243"/>
      <c r="CMV1" s="243"/>
      <c r="CMW1" s="243"/>
      <c r="CMX1" s="243"/>
      <c r="CMY1" s="243"/>
      <c r="CMZ1" s="243"/>
      <c r="CNA1" s="243"/>
      <c r="CNB1" s="243"/>
      <c r="CNC1" s="243"/>
      <c r="CND1" s="243"/>
      <c r="CNE1" s="243"/>
      <c r="CNF1" s="243"/>
      <c r="CNG1" s="243"/>
      <c r="CNH1" s="243"/>
      <c r="CNI1" s="243" t="s">
        <v>127</v>
      </c>
      <c r="CNJ1" s="243"/>
      <c r="CNK1" s="243"/>
      <c r="CNL1" s="243"/>
      <c r="CNM1" s="243"/>
      <c r="CNN1" s="243"/>
      <c r="CNO1" s="243"/>
      <c r="CNP1" s="243"/>
      <c r="CNQ1" s="243"/>
      <c r="CNR1" s="243"/>
      <c r="CNS1" s="243"/>
      <c r="CNT1" s="243"/>
      <c r="CNU1" s="243"/>
      <c r="CNV1" s="243"/>
      <c r="CNW1" s="243"/>
      <c r="CNX1" s="243"/>
      <c r="CNY1" s="243" t="s">
        <v>127</v>
      </c>
      <c r="CNZ1" s="243"/>
      <c r="COA1" s="243"/>
      <c r="COB1" s="243"/>
      <c r="COC1" s="243"/>
      <c r="COD1" s="243"/>
      <c r="COE1" s="243"/>
      <c r="COF1" s="243"/>
      <c r="COG1" s="243"/>
      <c r="COH1" s="243"/>
      <c r="COI1" s="243"/>
      <c r="COJ1" s="243"/>
      <c r="COK1" s="243"/>
      <c r="COL1" s="243"/>
      <c r="COM1" s="243"/>
      <c r="CON1" s="243"/>
      <c r="COO1" s="243" t="s">
        <v>127</v>
      </c>
      <c r="COP1" s="243"/>
      <c r="COQ1" s="243"/>
      <c r="COR1" s="243"/>
      <c r="COS1" s="243"/>
      <c r="COT1" s="243"/>
      <c r="COU1" s="243"/>
      <c r="COV1" s="243"/>
      <c r="COW1" s="243"/>
      <c r="COX1" s="243"/>
      <c r="COY1" s="243"/>
      <c r="COZ1" s="243"/>
      <c r="CPA1" s="243"/>
      <c r="CPB1" s="243"/>
      <c r="CPC1" s="243"/>
      <c r="CPD1" s="243"/>
      <c r="CPE1" s="243" t="s">
        <v>127</v>
      </c>
      <c r="CPF1" s="243"/>
      <c r="CPG1" s="243"/>
      <c r="CPH1" s="243"/>
      <c r="CPI1" s="243"/>
      <c r="CPJ1" s="243"/>
      <c r="CPK1" s="243"/>
      <c r="CPL1" s="243"/>
      <c r="CPM1" s="243"/>
      <c r="CPN1" s="243"/>
      <c r="CPO1" s="243"/>
      <c r="CPP1" s="243"/>
      <c r="CPQ1" s="243"/>
      <c r="CPR1" s="243"/>
      <c r="CPS1" s="243"/>
      <c r="CPT1" s="243"/>
      <c r="CPU1" s="243" t="s">
        <v>127</v>
      </c>
      <c r="CPV1" s="243"/>
      <c r="CPW1" s="243"/>
      <c r="CPX1" s="243"/>
      <c r="CPY1" s="243"/>
      <c r="CPZ1" s="243"/>
      <c r="CQA1" s="243"/>
      <c r="CQB1" s="243"/>
      <c r="CQC1" s="243"/>
      <c r="CQD1" s="243"/>
      <c r="CQE1" s="243"/>
      <c r="CQF1" s="243"/>
      <c r="CQG1" s="243"/>
      <c r="CQH1" s="243"/>
      <c r="CQI1" s="243"/>
      <c r="CQJ1" s="243"/>
      <c r="CQK1" s="243" t="s">
        <v>127</v>
      </c>
      <c r="CQL1" s="243"/>
      <c r="CQM1" s="243"/>
      <c r="CQN1" s="243"/>
      <c r="CQO1" s="243"/>
      <c r="CQP1" s="243"/>
      <c r="CQQ1" s="243"/>
      <c r="CQR1" s="243"/>
      <c r="CQS1" s="243"/>
      <c r="CQT1" s="243"/>
      <c r="CQU1" s="243"/>
      <c r="CQV1" s="243"/>
      <c r="CQW1" s="243"/>
      <c r="CQX1" s="243"/>
      <c r="CQY1" s="243"/>
      <c r="CQZ1" s="243"/>
      <c r="CRA1" s="243" t="s">
        <v>127</v>
      </c>
      <c r="CRB1" s="243"/>
      <c r="CRC1" s="243"/>
      <c r="CRD1" s="243"/>
      <c r="CRE1" s="243"/>
      <c r="CRF1" s="243"/>
      <c r="CRG1" s="243"/>
      <c r="CRH1" s="243"/>
      <c r="CRI1" s="243"/>
      <c r="CRJ1" s="243"/>
      <c r="CRK1" s="243"/>
      <c r="CRL1" s="243"/>
      <c r="CRM1" s="243"/>
      <c r="CRN1" s="243"/>
      <c r="CRO1" s="243"/>
      <c r="CRP1" s="243"/>
      <c r="CRQ1" s="243" t="s">
        <v>127</v>
      </c>
      <c r="CRR1" s="243"/>
      <c r="CRS1" s="243"/>
      <c r="CRT1" s="243"/>
      <c r="CRU1" s="243"/>
      <c r="CRV1" s="243"/>
      <c r="CRW1" s="243"/>
      <c r="CRX1" s="243"/>
      <c r="CRY1" s="243"/>
      <c r="CRZ1" s="243"/>
      <c r="CSA1" s="243"/>
      <c r="CSB1" s="243"/>
      <c r="CSC1" s="243"/>
      <c r="CSD1" s="243"/>
      <c r="CSE1" s="243"/>
      <c r="CSF1" s="243"/>
      <c r="CSG1" s="243" t="s">
        <v>127</v>
      </c>
      <c r="CSH1" s="243"/>
      <c r="CSI1" s="243"/>
      <c r="CSJ1" s="243"/>
      <c r="CSK1" s="243"/>
      <c r="CSL1" s="243"/>
      <c r="CSM1" s="243"/>
      <c r="CSN1" s="243"/>
      <c r="CSO1" s="243"/>
      <c r="CSP1" s="243"/>
      <c r="CSQ1" s="243"/>
      <c r="CSR1" s="243"/>
      <c r="CSS1" s="243"/>
      <c r="CST1" s="243"/>
      <c r="CSU1" s="243"/>
      <c r="CSV1" s="243"/>
      <c r="CSW1" s="243" t="s">
        <v>127</v>
      </c>
      <c r="CSX1" s="243"/>
      <c r="CSY1" s="243"/>
      <c r="CSZ1" s="243"/>
      <c r="CTA1" s="243"/>
      <c r="CTB1" s="243"/>
      <c r="CTC1" s="243"/>
      <c r="CTD1" s="243"/>
      <c r="CTE1" s="243"/>
      <c r="CTF1" s="243"/>
      <c r="CTG1" s="243"/>
      <c r="CTH1" s="243"/>
      <c r="CTI1" s="243"/>
      <c r="CTJ1" s="243"/>
      <c r="CTK1" s="243"/>
      <c r="CTL1" s="243"/>
      <c r="CTM1" s="243" t="s">
        <v>127</v>
      </c>
      <c r="CTN1" s="243"/>
      <c r="CTO1" s="243"/>
      <c r="CTP1" s="243"/>
      <c r="CTQ1" s="243"/>
      <c r="CTR1" s="243"/>
      <c r="CTS1" s="243"/>
      <c r="CTT1" s="243"/>
      <c r="CTU1" s="243"/>
      <c r="CTV1" s="243"/>
      <c r="CTW1" s="243"/>
      <c r="CTX1" s="243"/>
      <c r="CTY1" s="243"/>
      <c r="CTZ1" s="243"/>
      <c r="CUA1" s="243"/>
      <c r="CUB1" s="243"/>
      <c r="CUC1" s="243" t="s">
        <v>127</v>
      </c>
      <c r="CUD1" s="243"/>
      <c r="CUE1" s="243"/>
      <c r="CUF1" s="243"/>
      <c r="CUG1" s="243"/>
      <c r="CUH1" s="243"/>
      <c r="CUI1" s="243"/>
      <c r="CUJ1" s="243"/>
      <c r="CUK1" s="243"/>
      <c r="CUL1" s="243"/>
      <c r="CUM1" s="243"/>
      <c r="CUN1" s="243"/>
      <c r="CUO1" s="243"/>
      <c r="CUP1" s="243"/>
      <c r="CUQ1" s="243"/>
      <c r="CUR1" s="243"/>
      <c r="CUS1" s="243" t="s">
        <v>127</v>
      </c>
      <c r="CUT1" s="243"/>
      <c r="CUU1" s="243"/>
      <c r="CUV1" s="243"/>
      <c r="CUW1" s="243"/>
      <c r="CUX1" s="243"/>
      <c r="CUY1" s="243"/>
      <c r="CUZ1" s="243"/>
      <c r="CVA1" s="243"/>
      <c r="CVB1" s="243"/>
      <c r="CVC1" s="243"/>
      <c r="CVD1" s="243"/>
      <c r="CVE1" s="243"/>
      <c r="CVF1" s="243"/>
      <c r="CVG1" s="243"/>
      <c r="CVH1" s="243"/>
      <c r="CVI1" s="243" t="s">
        <v>127</v>
      </c>
      <c r="CVJ1" s="243"/>
      <c r="CVK1" s="243"/>
      <c r="CVL1" s="243"/>
      <c r="CVM1" s="243"/>
      <c r="CVN1" s="243"/>
      <c r="CVO1" s="243"/>
      <c r="CVP1" s="243"/>
      <c r="CVQ1" s="243"/>
      <c r="CVR1" s="243"/>
      <c r="CVS1" s="243"/>
      <c r="CVT1" s="243"/>
      <c r="CVU1" s="243"/>
      <c r="CVV1" s="243"/>
      <c r="CVW1" s="243"/>
      <c r="CVX1" s="243"/>
      <c r="CVY1" s="243" t="s">
        <v>127</v>
      </c>
      <c r="CVZ1" s="243"/>
      <c r="CWA1" s="243"/>
      <c r="CWB1" s="243"/>
      <c r="CWC1" s="243"/>
      <c r="CWD1" s="243"/>
      <c r="CWE1" s="243"/>
      <c r="CWF1" s="243"/>
      <c r="CWG1" s="243"/>
      <c r="CWH1" s="243"/>
      <c r="CWI1" s="243"/>
      <c r="CWJ1" s="243"/>
      <c r="CWK1" s="243"/>
      <c r="CWL1" s="243"/>
      <c r="CWM1" s="243"/>
      <c r="CWN1" s="243"/>
      <c r="CWO1" s="243" t="s">
        <v>127</v>
      </c>
      <c r="CWP1" s="243"/>
      <c r="CWQ1" s="243"/>
      <c r="CWR1" s="243"/>
      <c r="CWS1" s="243"/>
      <c r="CWT1" s="243"/>
      <c r="CWU1" s="243"/>
      <c r="CWV1" s="243"/>
      <c r="CWW1" s="243"/>
      <c r="CWX1" s="243"/>
      <c r="CWY1" s="243"/>
      <c r="CWZ1" s="243"/>
      <c r="CXA1" s="243"/>
      <c r="CXB1" s="243"/>
      <c r="CXC1" s="243"/>
      <c r="CXD1" s="243"/>
      <c r="CXE1" s="243" t="s">
        <v>127</v>
      </c>
      <c r="CXF1" s="243"/>
      <c r="CXG1" s="243"/>
      <c r="CXH1" s="243"/>
      <c r="CXI1" s="243"/>
      <c r="CXJ1" s="243"/>
      <c r="CXK1" s="243"/>
      <c r="CXL1" s="243"/>
      <c r="CXM1" s="243"/>
      <c r="CXN1" s="243"/>
      <c r="CXO1" s="243"/>
      <c r="CXP1" s="243"/>
      <c r="CXQ1" s="243"/>
      <c r="CXR1" s="243"/>
      <c r="CXS1" s="243"/>
      <c r="CXT1" s="243"/>
      <c r="CXU1" s="243" t="s">
        <v>127</v>
      </c>
      <c r="CXV1" s="243"/>
      <c r="CXW1" s="243"/>
      <c r="CXX1" s="243"/>
      <c r="CXY1" s="243"/>
      <c r="CXZ1" s="243"/>
      <c r="CYA1" s="243"/>
      <c r="CYB1" s="243"/>
      <c r="CYC1" s="243"/>
      <c r="CYD1" s="243"/>
      <c r="CYE1" s="243"/>
      <c r="CYF1" s="243"/>
      <c r="CYG1" s="243"/>
      <c r="CYH1" s="243"/>
      <c r="CYI1" s="243"/>
      <c r="CYJ1" s="243"/>
      <c r="CYK1" s="243" t="s">
        <v>127</v>
      </c>
      <c r="CYL1" s="243"/>
      <c r="CYM1" s="243"/>
      <c r="CYN1" s="243"/>
      <c r="CYO1" s="243"/>
      <c r="CYP1" s="243"/>
      <c r="CYQ1" s="243"/>
      <c r="CYR1" s="243"/>
      <c r="CYS1" s="243"/>
      <c r="CYT1" s="243"/>
      <c r="CYU1" s="243"/>
      <c r="CYV1" s="243"/>
      <c r="CYW1" s="243"/>
      <c r="CYX1" s="243"/>
      <c r="CYY1" s="243"/>
      <c r="CYZ1" s="243"/>
      <c r="CZA1" s="243" t="s">
        <v>127</v>
      </c>
      <c r="CZB1" s="243"/>
      <c r="CZC1" s="243"/>
      <c r="CZD1" s="243"/>
      <c r="CZE1" s="243"/>
      <c r="CZF1" s="243"/>
      <c r="CZG1" s="243"/>
      <c r="CZH1" s="243"/>
      <c r="CZI1" s="243"/>
      <c r="CZJ1" s="243"/>
      <c r="CZK1" s="243"/>
      <c r="CZL1" s="243"/>
      <c r="CZM1" s="243"/>
      <c r="CZN1" s="243"/>
      <c r="CZO1" s="243"/>
      <c r="CZP1" s="243"/>
      <c r="CZQ1" s="243" t="s">
        <v>127</v>
      </c>
      <c r="CZR1" s="243"/>
      <c r="CZS1" s="243"/>
      <c r="CZT1" s="243"/>
      <c r="CZU1" s="243"/>
      <c r="CZV1" s="243"/>
      <c r="CZW1" s="243"/>
      <c r="CZX1" s="243"/>
      <c r="CZY1" s="243"/>
      <c r="CZZ1" s="243"/>
      <c r="DAA1" s="243"/>
      <c r="DAB1" s="243"/>
      <c r="DAC1" s="243"/>
      <c r="DAD1" s="243"/>
      <c r="DAE1" s="243"/>
      <c r="DAF1" s="243"/>
      <c r="DAG1" s="243" t="s">
        <v>127</v>
      </c>
      <c r="DAH1" s="243"/>
      <c r="DAI1" s="243"/>
      <c r="DAJ1" s="243"/>
      <c r="DAK1" s="243"/>
      <c r="DAL1" s="243"/>
      <c r="DAM1" s="243"/>
      <c r="DAN1" s="243"/>
      <c r="DAO1" s="243"/>
      <c r="DAP1" s="243"/>
      <c r="DAQ1" s="243"/>
      <c r="DAR1" s="243"/>
      <c r="DAS1" s="243"/>
      <c r="DAT1" s="243"/>
      <c r="DAU1" s="243"/>
      <c r="DAV1" s="243"/>
      <c r="DAW1" s="243" t="s">
        <v>127</v>
      </c>
      <c r="DAX1" s="243"/>
      <c r="DAY1" s="243"/>
      <c r="DAZ1" s="243"/>
      <c r="DBA1" s="243"/>
      <c r="DBB1" s="243"/>
      <c r="DBC1" s="243"/>
      <c r="DBD1" s="243"/>
      <c r="DBE1" s="243"/>
      <c r="DBF1" s="243"/>
      <c r="DBG1" s="243"/>
      <c r="DBH1" s="243"/>
      <c r="DBI1" s="243"/>
      <c r="DBJ1" s="243"/>
      <c r="DBK1" s="243"/>
      <c r="DBL1" s="243"/>
      <c r="DBM1" s="243" t="s">
        <v>127</v>
      </c>
      <c r="DBN1" s="243"/>
      <c r="DBO1" s="243"/>
      <c r="DBP1" s="243"/>
      <c r="DBQ1" s="243"/>
      <c r="DBR1" s="243"/>
      <c r="DBS1" s="243"/>
      <c r="DBT1" s="243"/>
      <c r="DBU1" s="243"/>
      <c r="DBV1" s="243"/>
      <c r="DBW1" s="243"/>
      <c r="DBX1" s="243"/>
      <c r="DBY1" s="243"/>
      <c r="DBZ1" s="243"/>
      <c r="DCA1" s="243"/>
      <c r="DCB1" s="243"/>
      <c r="DCC1" s="243" t="s">
        <v>127</v>
      </c>
      <c r="DCD1" s="243"/>
      <c r="DCE1" s="243"/>
      <c r="DCF1" s="243"/>
      <c r="DCG1" s="243"/>
      <c r="DCH1" s="243"/>
      <c r="DCI1" s="243"/>
      <c r="DCJ1" s="243"/>
      <c r="DCK1" s="243"/>
      <c r="DCL1" s="243"/>
      <c r="DCM1" s="243"/>
      <c r="DCN1" s="243"/>
      <c r="DCO1" s="243"/>
      <c r="DCP1" s="243"/>
      <c r="DCQ1" s="243"/>
      <c r="DCR1" s="243"/>
      <c r="DCS1" s="243" t="s">
        <v>127</v>
      </c>
      <c r="DCT1" s="243"/>
      <c r="DCU1" s="243"/>
      <c r="DCV1" s="243"/>
      <c r="DCW1" s="243"/>
      <c r="DCX1" s="243"/>
      <c r="DCY1" s="243"/>
      <c r="DCZ1" s="243"/>
      <c r="DDA1" s="243"/>
      <c r="DDB1" s="243"/>
      <c r="DDC1" s="243"/>
      <c r="DDD1" s="243"/>
      <c r="DDE1" s="243"/>
      <c r="DDF1" s="243"/>
      <c r="DDG1" s="243"/>
      <c r="DDH1" s="243"/>
      <c r="DDI1" s="243" t="s">
        <v>127</v>
      </c>
      <c r="DDJ1" s="243"/>
      <c r="DDK1" s="243"/>
      <c r="DDL1" s="243"/>
      <c r="DDM1" s="243"/>
      <c r="DDN1" s="243"/>
      <c r="DDO1" s="243"/>
      <c r="DDP1" s="243"/>
      <c r="DDQ1" s="243"/>
      <c r="DDR1" s="243"/>
      <c r="DDS1" s="243"/>
      <c r="DDT1" s="243"/>
      <c r="DDU1" s="243"/>
      <c r="DDV1" s="243"/>
      <c r="DDW1" s="243"/>
      <c r="DDX1" s="243"/>
      <c r="DDY1" s="243" t="s">
        <v>127</v>
      </c>
      <c r="DDZ1" s="243"/>
      <c r="DEA1" s="243"/>
      <c r="DEB1" s="243"/>
      <c r="DEC1" s="243"/>
      <c r="DED1" s="243"/>
      <c r="DEE1" s="243"/>
      <c r="DEF1" s="243"/>
      <c r="DEG1" s="243"/>
      <c r="DEH1" s="243"/>
      <c r="DEI1" s="243"/>
      <c r="DEJ1" s="243"/>
      <c r="DEK1" s="243"/>
      <c r="DEL1" s="243"/>
      <c r="DEM1" s="243"/>
      <c r="DEN1" s="243"/>
      <c r="DEO1" s="243" t="s">
        <v>127</v>
      </c>
      <c r="DEP1" s="243"/>
      <c r="DEQ1" s="243"/>
      <c r="DER1" s="243"/>
      <c r="DES1" s="243"/>
      <c r="DET1" s="243"/>
      <c r="DEU1" s="243"/>
      <c r="DEV1" s="243"/>
      <c r="DEW1" s="243"/>
      <c r="DEX1" s="243"/>
      <c r="DEY1" s="243"/>
      <c r="DEZ1" s="243"/>
      <c r="DFA1" s="243"/>
      <c r="DFB1" s="243"/>
      <c r="DFC1" s="243"/>
      <c r="DFD1" s="243"/>
      <c r="DFE1" s="243" t="s">
        <v>127</v>
      </c>
      <c r="DFF1" s="243"/>
      <c r="DFG1" s="243"/>
      <c r="DFH1" s="243"/>
      <c r="DFI1" s="243"/>
      <c r="DFJ1" s="243"/>
      <c r="DFK1" s="243"/>
      <c r="DFL1" s="243"/>
      <c r="DFM1" s="243"/>
      <c r="DFN1" s="243"/>
      <c r="DFO1" s="243"/>
      <c r="DFP1" s="243"/>
      <c r="DFQ1" s="243"/>
      <c r="DFR1" s="243"/>
      <c r="DFS1" s="243"/>
      <c r="DFT1" s="243"/>
      <c r="DFU1" s="243" t="s">
        <v>127</v>
      </c>
      <c r="DFV1" s="243"/>
      <c r="DFW1" s="243"/>
      <c r="DFX1" s="243"/>
      <c r="DFY1" s="243"/>
      <c r="DFZ1" s="243"/>
      <c r="DGA1" s="243"/>
      <c r="DGB1" s="243"/>
      <c r="DGC1" s="243"/>
      <c r="DGD1" s="243"/>
      <c r="DGE1" s="243"/>
      <c r="DGF1" s="243"/>
      <c r="DGG1" s="243"/>
      <c r="DGH1" s="243"/>
      <c r="DGI1" s="243"/>
      <c r="DGJ1" s="243"/>
      <c r="DGK1" s="243" t="s">
        <v>127</v>
      </c>
      <c r="DGL1" s="243"/>
      <c r="DGM1" s="243"/>
      <c r="DGN1" s="243"/>
      <c r="DGO1" s="243"/>
      <c r="DGP1" s="243"/>
      <c r="DGQ1" s="243"/>
      <c r="DGR1" s="243"/>
      <c r="DGS1" s="243"/>
      <c r="DGT1" s="243"/>
      <c r="DGU1" s="243"/>
      <c r="DGV1" s="243"/>
      <c r="DGW1" s="243"/>
      <c r="DGX1" s="243"/>
      <c r="DGY1" s="243"/>
      <c r="DGZ1" s="243"/>
      <c r="DHA1" s="243" t="s">
        <v>127</v>
      </c>
      <c r="DHB1" s="243"/>
      <c r="DHC1" s="243"/>
      <c r="DHD1" s="243"/>
      <c r="DHE1" s="243"/>
      <c r="DHF1" s="243"/>
      <c r="DHG1" s="243"/>
      <c r="DHH1" s="243"/>
      <c r="DHI1" s="243"/>
      <c r="DHJ1" s="243"/>
      <c r="DHK1" s="243"/>
      <c r="DHL1" s="243"/>
      <c r="DHM1" s="243"/>
      <c r="DHN1" s="243"/>
      <c r="DHO1" s="243"/>
      <c r="DHP1" s="243"/>
      <c r="DHQ1" s="243" t="s">
        <v>127</v>
      </c>
      <c r="DHR1" s="243"/>
      <c r="DHS1" s="243"/>
      <c r="DHT1" s="243"/>
      <c r="DHU1" s="243"/>
      <c r="DHV1" s="243"/>
      <c r="DHW1" s="243"/>
      <c r="DHX1" s="243"/>
      <c r="DHY1" s="243"/>
      <c r="DHZ1" s="243"/>
      <c r="DIA1" s="243"/>
      <c r="DIB1" s="243"/>
      <c r="DIC1" s="243"/>
      <c r="DID1" s="243"/>
      <c r="DIE1" s="243"/>
      <c r="DIF1" s="243"/>
      <c r="DIG1" s="243" t="s">
        <v>127</v>
      </c>
      <c r="DIH1" s="243"/>
      <c r="DII1" s="243"/>
      <c r="DIJ1" s="243"/>
      <c r="DIK1" s="243"/>
      <c r="DIL1" s="243"/>
      <c r="DIM1" s="243"/>
      <c r="DIN1" s="243"/>
      <c r="DIO1" s="243"/>
      <c r="DIP1" s="243"/>
      <c r="DIQ1" s="243"/>
      <c r="DIR1" s="243"/>
      <c r="DIS1" s="243"/>
      <c r="DIT1" s="243"/>
      <c r="DIU1" s="243"/>
      <c r="DIV1" s="243"/>
      <c r="DIW1" s="243" t="s">
        <v>127</v>
      </c>
      <c r="DIX1" s="243"/>
      <c r="DIY1" s="243"/>
      <c r="DIZ1" s="243"/>
      <c r="DJA1" s="243"/>
      <c r="DJB1" s="243"/>
      <c r="DJC1" s="243"/>
      <c r="DJD1" s="243"/>
      <c r="DJE1" s="243"/>
      <c r="DJF1" s="243"/>
      <c r="DJG1" s="243"/>
      <c r="DJH1" s="243"/>
      <c r="DJI1" s="243"/>
      <c r="DJJ1" s="243"/>
      <c r="DJK1" s="243"/>
      <c r="DJL1" s="243"/>
      <c r="DJM1" s="243" t="s">
        <v>127</v>
      </c>
      <c r="DJN1" s="243"/>
      <c r="DJO1" s="243"/>
      <c r="DJP1" s="243"/>
      <c r="DJQ1" s="243"/>
      <c r="DJR1" s="243"/>
      <c r="DJS1" s="243"/>
      <c r="DJT1" s="243"/>
      <c r="DJU1" s="243"/>
      <c r="DJV1" s="243"/>
      <c r="DJW1" s="243"/>
      <c r="DJX1" s="243"/>
      <c r="DJY1" s="243"/>
      <c r="DJZ1" s="243"/>
      <c r="DKA1" s="243"/>
      <c r="DKB1" s="243"/>
      <c r="DKC1" s="243" t="s">
        <v>127</v>
      </c>
      <c r="DKD1" s="243"/>
      <c r="DKE1" s="243"/>
      <c r="DKF1" s="243"/>
      <c r="DKG1" s="243"/>
      <c r="DKH1" s="243"/>
      <c r="DKI1" s="243"/>
      <c r="DKJ1" s="243"/>
      <c r="DKK1" s="243"/>
      <c r="DKL1" s="243"/>
      <c r="DKM1" s="243"/>
      <c r="DKN1" s="243"/>
      <c r="DKO1" s="243"/>
      <c r="DKP1" s="243"/>
      <c r="DKQ1" s="243"/>
      <c r="DKR1" s="243"/>
      <c r="DKS1" s="243" t="s">
        <v>127</v>
      </c>
      <c r="DKT1" s="243"/>
      <c r="DKU1" s="243"/>
      <c r="DKV1" s="243"/>
      <c r="DKW1" s="243"/>
      <c r="DKX1" s="243"/>
      <c r="DKY1" s="243"/>
      <c r="DKZ1" s="243"/>
      <c r="DLA1" s="243"/>
      <c r="DLB1" s="243"/>
      <c r="DLC1" s="243"/>
      <c r="DLD1" s="243"/>
      <c r="DLE1" s="243"/>
      <c r="DLF1" s="243"/>
      <c r="DLG1" s="243"/>
      <c r="DLH1" s="243"/>
      <c r="DLI1" s="243" t="s">
        <v>127</v>
      </c>
      <c r="DLJ1" s="243"/>
      <c r="DLK1" s="243"/>
      <c r="DLL1" s="243"/>
      <c r="DLM1" s="243"/>
      <c r="DLN1" s="243"/>
      <c r="DLO1" s="243"/>
      <c r="DLP1" s="243"/>
      <c r="DLQ1" s="243"/>
      <c r="DLR1" s="243"/>
      <c r="DLS1" s="243"/>
      <c r="DLT1" s="243"/>
      <c r="DLU1" s="243"/>
      <c r="DLV1" s="243"/>
      <c r="DLW1" s="243"/>
      <c r="DLX1" s="243"/>
      <c r="DLY1" s="243" t="s">
        <v>127</v>
      </c>
      <c r="DLZ1" s="243"/>
      <c r="DMA1" s="243"/>
      <c r="DMB1" s="243"/>
      <c r="DMC1" s="243"/>
      <c r="DMD1" s="243"/>
      <c r="DME1" s="243"/>
      <c r="DMF1" s="243"/>
      <c r="DMG1" s="243"/>
      <c r="DMH1" s="243"/>
      <c r="DMI1" s="243"/>
      <c r="DMJ1" s="243"/>
      <c r="DMK1" s="243"/>
      <c r="DML1" s="243"/>
      <c r="DMM1" s="243"/>
      <c r="DMN1" s="243"/>
      <c r="DMO1" s="243" t="s">
        <v>127</v>
      </c>
      <c r="DMP1" s="243"/>
      <c r="DMQ1" s="243"/>
      <c r="DMR1" s="243"/>
      <c r="DMS1" s="243"/>
      <c r="DMT1" s="243"/>
      <c r="DMU1" s="243"/>
      <c r="DMV1" s="243"/>
      <c r="DMW1" s="243"/>
      <c r="DMX1" s="243"/>
      <c r="DMY1" s="243"/>
      <c r="DMZ1" s="243"/>
      <c r="DNA1" s="243"/>
      <c r="DNB1" s="243"/>
      <c r="DNC1" s="243"/>
      <c r="DND1" s="243"/>
      <c r="DNE1" s="243" t="s">
        <v>127</v>
      </c>
      <c r="DNF1" s="243"/>
      <c r="DNG1" s="243"/>
      <c r="DNH1" s="243"/>
      <c r="DNI1" s="243"/>
      <c r="DNJ1" s="243"/>
      <c r="DNK1" s="243"/>
      <c r="DNL1" s="243"/>
      <c r="DNM1" s="243"/>
      <c r="DNN1" s="243"/>
      <c r="DNO1" s="243"/>
      <c r="DNP1" s="243"/>
      <c r="DNQ1" s="243"/>
      <c r="DNR1" s="243"/>
      <c r="DNS1" s="243"/>
      <c r="DNT1" s="243"/>
      <c r="DNU1" s="243" t="s">
        <v>127</v>
      </c>
      <c r="DNV1" s="243"/>
      <c r="DNW1" s="243"/>
      <c r="DNX1" s="243"/>
      <c r="DNY1" s="243"/>
      <c r="DNZ1" s="243"/>
      <c r="DOA1" s="243"/>
      <c r="DOB1" s="243"/>
      <c r="DOC1" s="243"/>
      <c r="DOD1" s="243"/>
      <c r="DOE1" s="243"/>
      <c r="DOF1" s="243"/>
      <c r="DOG1" s="243"/>
      <c r="DOH1" s="243"/>
      <c r="DOI1" s="243"/>
      <c r="DOJ1" s="243"/>
      <c r="DOK1" s="243" t="s">
        <v>127</v>
      </c>
      <c r="DOL1" s="243"/>
      <c r="DOM1" s="243"/>
      <c r="DON1" s="243"/>
      <c r="DOO1" s="243"/>
      <c r="DOP1" s="243"/>
      <c r="DOQ1" s="243"/>
      <c r="DOR1" s="243"/>
      <c r="DOS1" s="243"/>
      <c r="DOT1" s="243"/>
      <c r="DOU1" s="243"/>
      <c r="DOV1" s="243"/>
      <c r="DOW1" s="243"/>
      <c r="DOX1" s="243"/>
      <c r="DOY1" s="243"/>
      <c r="DOZ1" s="243"/>
      <c r="DPA1" s="243" t="s">
        <v>127</v>
      </c>
      <c r="DPB1" s="243"/>
      <c r="DPC1" s="243"/>
      <c r="DPD1" s="243"/>
      <c r="DPE1" s="243"/>
      <c r="DPF1" s="243"/>
      <c r="DPG1" s="243"/>
      <c r="DPH1" s="243"/>
      <c r="DPI1" s="243"/>
      <c r="DPJ1" s="243"/>
      <c r="DPK1" s="243"/>
      <c r="DPL1" s="243"/>
      <c r="DPM1" s="243"/>
      <c r="DPN1" s="243"/>
      <c r="DPO1" s="243"/>
      <c r="DPP1" s="243"/>
      <c r="DPQ1" s="243" t="s">
        <v>127</v>
      </c>
      <c r="DPR1" s="243"/>
      <c r="DPS1" s="243"/>
      <c r="DPT1" s="243"/>
      <c r="DPU1" s="243"/>
      <c r="DPV1" s="243"/>
      <c r="DPW1" s="243"/>
      <c r="DPX1" s="243"/>
      <c r="DPY1" s="243"/>
      <c r="DPZ1" s="243"/>
      <c r="DQA1" s="243"/>
      <c r="DQB1" s="243"/>
      <c r="DQC1" s="243"/>
      <c r="DQD1" s="243"/>
      <c r="DQE1" s="243"/>
      <c r="DQF1" s="243"/>
      <c r="DQG1" s="243" t="s">
        <v>127</v>
      </c>
      <c r="DQH1" s="243"/>
      <c r="DQI1" s="243"/>
      <c r="DQJ1" s="243"/>
      <c r="DQK1" s="243"/>
      <c r="DQL1" s="243"/>
      <c r="DQM1" s="243"/>
      <c r="DQN1" s="243"/>
      <c r="DQO1" s="243"/>
      <c r="DQP1" s="243"/>
      <c r="DQQ1" s="243"/>
      <c r="DQR1" s="243"/>
      <c r="DQS1" s="243"/>
      <c r="DQT1" s="243"/>
      <c r="DQU1" s="243"/>
      <c r="DQV1" s="243"/>
      <c r="DQW1" s="243" t="s">
        <v>127</v>
      </c>
      <c r="DQX1" s="243"/>
      <c r="DQY1" s="243"/>
      <c r="DQZ1" s="243"/>
      <c r="DRA1" s="243"/>
      <c r="DRB1" s="243"/>
      <c r="DRC1" s="243"/>
      <c r="DRD1" s="243"/>
      <c r="DRE1" s="243"/>
      <c r="DRF1" s="243"/>
      <c r="DRG1" s="243"/>
      <c r="DRH1" s="243"/>
      <c r="DRI1" s="243"/>
      <c r="DRJ1" s="243"/>
      <c r="DRK1" s="243"/>
      <c r="DRL1" s="243"/>
      <c r="DRM1" s="243" t="s">
        <v>127</v>
      </c>
      <c r="DRN1" s="243"/>
      <c r="DRO1" s="243"/>
      <c r="DRP1" s="243"/>
      <c r="DRQ1" s="243"/>
      <c r="DRR1" s="243"/>
      <c r="DRS1" s="243"/>
      <c r="DRT1" s="243"/>
      <c r="DRU1" s="243"/>
      <c r="DRV1" s="243"/>
      <c r="DRW1" s="243"/>
      <c r="DRX1" s="243"/>
      <c r="DRY1" s="243"/>
      <c r="DRZ1" s="243"/>
      <c r="DSA1" s="243"/>
      <c r="DSB1" s="243"/>
      <c r="DSC1" s="243" t="s">
        <v>127</v>
      </c>
      <c r="DSD1" s="243"/>
      <c r="DSE1" s="243"/>
      <c r="DSF1" s="243"/>
      <c r="DSG1" s="243"/>
      <c r="DSH1" s="243"/>
      <c r="DSI1" s="243"/>
      <c r="DSJ1" s="243"/>
      <c r="DSK1" s="243"/>
      <c r="DSL1" s="243"/>
      <c r="DSM1" s="243"/>
      <c r="DSN1" s="243"/>
      <c r="DSO1" s="243"/>
      <c r="DSP1" s="243"/>
      <c r="DSQ1" s="243"/>
      <c r="DSR1" s="243"/>
      <c r="DSS1" s="243" t="s">
        <v>127</v>
      </c>
      <c r="DST1" s="243"/>
      <c r="DSU1" s="243"/>
      <c r="DSV1" s="243"/>
      <c r="DSW1" s="243"/>
      <c r="DSX1" s="243"/>
      <c r="DSY1" s="243"/>
      <c r="DSZ1" s="243"/>
      <c r="DTA1" s="243"/>
      <c r="DTB1" s="243"/>
      <c r="DTC1" s="243"/>
      <c r="DTD1" s="243"/>
      <c r="DTE1" s="243"/>
      <c r="DTF1" s="243"/>
      <c r="DTG1" s="243"/>
      <c r="DTH1" s="243"/>
      <c r="DTI1" s="243" t="s">
        <v>127</v>
      </c>
      <c r="DTJ1" s="243"/>
      <c r="DTK1" s="243"/>
      <c r="DTL1" s="243"/>
      <c r="DTM1" s="243"/>
      <c r="DTN1" s="243"/>
      <c r="DTO1" s="243"/>
      <c r="DTP1" s="243"/>
      <c r="DTQ1" s="243"/>
      <c r="DTR1" s="243"/>
      <c r="DTS1" s="243"/>
      <c r="DTT1" s="243"/>
      <c r="DTU1" s="243"/>
      <c r="DTV1" s="243"/>
      <c r="DTW1" s="243"/>
      <c r="DTX1" s="243"/>
      <c r="DTY1" s="243" t="s">
        <v>127</v>
      </c>
      <c r="DTZ1" s="243"/>
      <c r="DUA1" s="243"/>
      <c r="DUB1" s="243"/>
      <c r="DUC1" s="243"/>
      <c r="DUD1" s="243"/>
      <c r="DUE1" s="243"/>
      <c r="DUF1" s="243"/>
      <c r="DUG1" s="243"/>
      <c r="DUH1" s="243"/>
      <c r="DUI1" s="243"/>
      <c r="DUJ1" s="243"/>
      <c r="DUK1" s="243"/>
      <c r="DUL1" s="243"/>
      <c r="DUM1" s="243"/>
      <c r="DUN1" s="243"/>
      <c r="DUO1" s="243" t="s">
        <v>127</v>
      </c>
      <c r="DUP1" s="243"/>
      <c r="DUQ1" s="243"/>
      <c r="DUR1" s="243"/>
      <c r="DUS1" s="243"/>
      <c r="DUT1" s="243"/>
      <c r="DUU1" s="243"/>
      <c r="DUV1" s="243"/>
      <c r="DUW1" s="243"/>
      <c r="DUX1" s="243"/>
      <c r="DUY1" s="243"/>
      <c r="DUZ1" s="243"/>
      <c r="DVA1" s="243"/>
      <c r="DVB1" s="243"/>
      <c r="DVC1" s="243"/>
      <c r="DVD1" s="243"/>
      <c r="DVE1" s="243" t="s">
        <v>127</v>
      </c>
      <c r="DVF1" s="243"/>
      <c r="DVG1" s="243"/>
      <c r="DVH1" s="243"/>
      <c r="DVI1" s="243"/>
      <c r="DVJ1" s="243"/>
      <c r="DVK1" s="243"/>
      <c r="DVL1" s="243"/>
      <c r="DVM1" s="243"/>
      <c r="DVN1" s="243"/>
      <c r="DVO1" s="243"/>
      <c r="DVP1" s="243"/>
      <c r="DVQ1" s="243"/>
      <c r="DVR1" s="243"/>
      <c r="DVS1" s="243"/>
      <c r="DVT1" s="243"/>
      <c r="DVU1" s="243" t="s">
        <v>127</v>
      </c>
      <c r="DVV1" s="243"/>
      <c r="DVW1" s="243"/>
      <c r="DVX1" s="243"/>
      <c r="DVY1" s="243"/>
      <c r="DVZ1" s="243"/>
      <c r="DWA1" s="243"/>
      <c r="DWB1" s="243"/>
      <c r="DWC1" s="243"/>
      <c r="DWD1" s="243"/>
      <c r="DWE1" s="243"/>
      <c r="DWF1" s="243"/>
      <c r="DWG1" s="243"/>
      <c r="DWH1" s="243"/>
      <c r="DWI1" s="243"/>
      <c r="DWJ1" s="243"/>
      <c r="DWK1" s="243" t="s">
        <v>127</v>
      </c>
      <c r="DWL1" s="243"/>
      <c r="DWM1" s="243"/>
      <c r="DWN1" s="243"/>
      <c r="DWO1" s="243"/>
      <c r="DWP1" s="243"/>
      <c r="DWQ1" s="243"/>
      <c r="DWR1" s="243"/>
      <c r="DWS1" s="243"/>
      <c r="DWT1" s="243"/>
      <c r="DWU1" s="243"/>
      <c r="DWV1" s="243"/>
      <c r="DWW1" s="243"/>
      <c r="DWX1" s="243"/>
      <c r="DWY1" s="243"/>
      <c r="DWZ1" s="243"/>
      <c r="DXA1" s="243" t="s">
        <v>127</v>
      </c>
      <c r="DXB1" s="243"/>
      <c r="DXC1" s="243"/>
      <c r="DXD1" s="243"/>
      <c r="DXE1" s="243"/>
      <c r="DXF1" s="243"/>
      <c r="DXG1" s="243"/>
      <c r="DXH1" s="243"/>
      <c r="DXI1" s="243"/>
      <c r="DXJ1" s="243"/>
      <c r="DXK1" s="243"/>
      <c r="DXL1" s="243"/>
      <c r="DXM1" s="243"/>
      <c r="DXN1" s="243"/>
      <c r="DXO1" s="243"/>
      <c r="DXP1" s="243"/>
      <c r="DXQ1" s="243" t="s">
        <v>127</v>
      </c>
      <c r="DXR1" s="243"/>
      <c r="DXS1" s="243"/>
      <c r="DXT1" s="243"/>
      <c r="DXU1" s="243"/>
      <c r="DXV1" s="243"/>
      <c r="DXW1" s="243"/>
      <c r="DXX1" s="243"/>
      <c r="DXY1" s="243"/>
      <c r="DXZ1" s="243"/>
      <c r="DYA1" s="243"/>
      <c r="DYB1" s="243"/>
      <c r="DYC1" s="243"/>
      <c r="DYD1" s="243"/>
      <c r="DYE1" s="243"/>
      <c r="DYF1" s="243"/>
      <c r="DYG1" s="243" t="s">
        <v>127</v>
      </c>
      <c r="DYH1" s="243"/>
      <c r="DYI1" s="243"/>
      <c r="DYJ1" s="243"/>
      <c r="DYK1" s="243"/>
      <c r="DYL1" s="243"/>
      <c r="DYM1" s="243"/>
      <c r="DYN1" s="243"/>
      <c r="DYO1" s="243"/>
      <c r="DYP1" s="243"/>
      <c r="DYQ1" s="243"/>
      <c r="DYR1" s="243"/>
      <c r="DYS1" s="243"/>
      <c r="DYT1" s="243"/>
      <c r="DYU1" s="243"/>
      <c r="DYV1" s="243"/>
      <c r="DYW1" s="243" t="s">
        <v>127</v>
      </c>
      <c r="DYX1" s="243"/>
      <c r="DYY1" s="243"/>
      <c r="DYZ1" s="243"/>
      <c r="DZA1" s="243"/>
      <c r="DZB1" s="243"/>
      <c r="DZC1" s="243"/>
      <c r="DZD1" s="243"/>
      <c r="DZE1" s="243"/>
      <c r="DZF1" s="243"/>
      <c r="DZG1" s="243"/>
      <c r="DZH1" s="243"/>
      <c r="DZI1" s="243"/>
      <c r="DZJ1" s="243"/>
      <c r="DZK1" s="243"/>
      <c r="DZL1" s="243"/>
      <c r="DZM1" s="243" t="s">
        <v>127</v>
      </c>
      <c r="DZN1" s="243"/>
      <c r="DZO1" s="243"/>
      <c r="DZP1" s="243"/>
      <c r="DZQ1" s="243"/>
      <c r="DZR1" s="243"/>
      <c r="DZS1" s="243"/>
      <c r="DZT1" s="243"/>
      <c r="DZU1" s="243"/>
      <c r="DZV1" s="243"/>
      <c r="DZW1" s="243"/>
      <c r="DZX1" s="243"/>
      <c r="DZY1" s="243"/>
      <c r="DZZ1" s="243"/>
      <c r="EAA1" s="243"/>
      <c r="EAB1" s="243"/>
      <c r="EAC1" s="243" t="s">
        <v>127</v>
      </c>
      <c r="EAD1" s="243"/>
      <c r="EAE1" s="243"/>
      <c r="EAF1" s="243"/>
      <c r="EAG1" s="243"/>
      <c r="EAH1" s="243"/>
      <c r="EAI1" s="243"/>
      <c r="EAJ1" s="243"/>
      <c r="EAK1" s="243"/>
      <c r="EAL1" s="243"/>
      <c r="EAM1" s="243"/>
      <c r="EAN1" s="243"/>
      <c r="EAO1" s="243"/>
      <c r="EAP1" s="243"/>
      <c r="EAQ1" s="243"/>
      <c r="EAR1" s="243"/>
      <c r="EAS1" s="243" t="s">
        <v>127</v>
      </c>
      <c r="EAT1" s="243"/>
      <c r="EAU1" s="243"/>
      <c r="EAV1" s="243"/>
      <c r="EAW1" s="243"/>
      <c r="EAX1" s="243"/>
      <c r="EAY1" s="243"/>
      <c r="EAZ1" s="243"/>
      <c r="EBA1" s="243"/>
      <c r="EBB1" s="243"/>
      <c r="EBC1" s="243"/>
      <c r="EBD1" s="243"/>
      <c r="EBE1" s="243"/>
      <c r="EBF1" s="243"/>
      <c r="EBG1" s="243"/>
      <c r="EBH1" s="243"/>
      <c r="EBI1" s="243" t="s">
        <v>127</v>
      </c>
      <c r="EBJ1" s="243"/>
      <c r="EBK1" s="243"/>
      <c r="EBL1" s="243"/>
      <c r="EBM1" s="243"/>
      <c r="EBN1" s="243"/>
      <c r="EBO1" s="243"/>
      <c r="EBP1" s="243"/>
      <c r="EBQ1" s="243"/>
      <c r="EBR1" s="243"/>
      <c r="EBS1" s="243"/>
      <c r="EBT1" s="243"/>
      <c r="EBU1" s="243"/>
      <c r="EBV1" s="243"/>
      <c r="EBW1" s="243"/>
      <c r="EBX1" s="243"/>
      <c r="EBY1" s="243" t="s">
        <v>127</v>
      </c>
      <c r="EBZ1" s="243"/>
      <c r="ECA1" s="243"/>
      <c r="ECB1" s="243"/>
      <c r="ECC1" s="243"/>
      <c r="ECD1" s="243"/>
      <c r="ECE1" s="243"/>
      <c r="ECF1" s="243"/>
      <c r="ECG1" s="243"/>
      <c r="ECH1" s="243"/>
      <c r="ECI1" s="243"/>
      <c r="ECJ1" s="243"/>
      <c r="ECK1" s="243"/>
      <c r="ECL1" s="243"/>
      <c r="ECM1" s="243"/>
      <c r="ECN1" s="243"/>
      <c r="ECO1" s="243" t="s">
        <v>127</v>
      </c>
      <c r="ECP1" s="243"/>
      <c r="ECQ1" s="243"/>
      <c r="ECR1" s="243"/>
      <c r="ECS1" s="243"/>
      <c r="ECT1" s="243"/>
      <c r="ECU1" s="243"/>
      <c r="ECV1" s="243"/>
      <c r="ECW1" s="243"/>
      <c r="ECX1" s="243"/>
      <c r="ECY1" s="243"/>
      <c r="ECZ1" s="243"/>
      <c r="EDA1" s="243"/>
      <c r="EDB1" s="243"/>
      <c r="EDC1" s="243"/>
      <c r="EDD1" s="243"/>
      <c r="EDE1" s="243" t="s">
        <v>127</v>
      </c>
      <c r="EDF1" s="243"/>
      <c r="EDG1" s="243"/>
      <c r="EDH1" s="243"/>
      <c r="EDI1" s="243"/>
      <c r="EDJ1" s="243"/>
      <c r="EDK1" s="243"/>
      <c r="EDL1" s="243"/>
      <c r="EDM1" s="243"/>
      <c r="EDN1" s="243"/>
      <c r="EDO1" s="243"/>
      <c r="EDP1" s="243"/>
      <c r="EDQ1" s="243"/>
      <c r="EDR1" s="243"/>
      <c r="EDS1" s="243"/>
      <c r="EDT1" s="243"/>
      <c r="EDU1" s="243" t="s">
        <v>127</v>
      </c>
      <c r="EDV1" s="243"/>
      <c r="EDW1" s="243"/>
      <c r="EDX1" s="243"/>
      <c r="EDY1" s="243"/>
      <c r="EDZ1" s="243"/>
      <c r="EEA1" s="243"/>
      <c r="EEB1" s="243"/>
      <c r="EEC1" s="243"/>
      <c r="EED1" s="243"/>
      <c r="EEE1" s="243"/>
      <c r="EEF1" s="243"/>
      <c r="EEG1" s="243"/>
      <c r="EEH1" s="243"/>
      <c r="EEI1" s="243"/>
      <c r="EEJ1" s="243"/>
      <c r="EEK1" s="243" t="s">
        <v>127</v>
      </c>
      <c r="EEL1" s="243"/>
      <c r="EEM1" s="243"/>
      <c r="EEN1" s="243"/>
      <c r="EEO1" s="243"/>
      <c r="EEP1" s="243"/>
      <c r="EEQ1" s="243"/>
      <c r="EER1" s="243"/>
      <c r="EES1" s="243"/>
      <c r="EET1" s="243"/>
      <c r="EEU1" s="243"/>
      <c r="EEV1" s="243"/>
      <c r="EEW1" s="243"/>
      <c r="EEX1" s="243"/>
      <c r="EEY1" s="243"/>
      <c r="EEZ1" s="243"/>
      <c r="EFA1" s="243" t="s">
        <v>127</v>
      </c>
      <c r="EFB1" s="243"/>
      <c r="EFC1" s="243"/>
      <c r="EFD1" s="243"/>
      <c r="EFE1" s="243"/>
      <c r="EFF1" s="243"/>
      <c r="EFG1" s="243"/>
      <c r="EFH1" s="243"/>
      <c r="EFI1" s="243"/>
      <c r="EFJ1" s="243"/>
      <c r="EFK1" s="243"/>
      <c r="EFL1" s="243"/>
      <c r="EFM1" s="243"/>
      <c r="EFN1" s="243"/>
      <c r="EFO1" s="243"/>
      <c r="EFP1" s="243"/>
      <c r="EFQ1" s="243" t="s">
        <v>127</v>
      </c>
      <c r="EFR1" s="243"/>
      <c r="EFS1" s="243"/>
      <c r="EFT1" s="243"/>
      <c r="EFU1" s="243"/>
      <c r="EFV1" s="243"/>
      <c r="EFW1" s="243"/>
      <c r="EFX1" s="243"/>
      <c r="EFY1" s="243"/>
      <c r="EFZ1" s="243"/>
      <c r="EGA1" s="243"/>
      <c r="EGB1" s="243"/>
      <c r="EGC1" s="243"/>
      <c r="EGD1" s="243"/>
      <c r="EGE1" s="243"/>
      <c r="EGF1" s="243"/>
      <c r="EGG1" s="243" t="s">
        <v>127</v>
      </c>
      <c r="EGH1" s="243"/>
      <c r="EGI1" s="243"/>
      <c r="EGJ1" s="243"/>
      <c r="EGK1" s="243"/>
      <c r="EGL1" s="243"/>
      <c r="EGM1" s="243"/>
      <c r="EGN1" s="243"/>
      <c r="EGO1" s="243"/>
      <c r="EGP1" s="243"/>
      <c r="EGQ1" s="243"/>
      <c r="EGR1" s="243"/>
      <c r="EGS1" s="243"/>
      <c r="EGT1" s="243"/>
      <c r="EGU1" s="243"/>
      <c r="EGV1" s="243"/>
      <c r="EGW1" s="243" t="s">
        <v>127</v>
      </c>
      <c r="EGX1" s="243"/>
      <c r="EGY1" s="243"/>
      <c r="EGZ1" s="243"/>
      <c r="EHA1" s="243"/>
      <c r="EHB1" s="243"/>
      <c r="EHC1" s="243"/>
      <c r="EHD1" s="243"/>
      <c r="EHE1" s="243"/>
      <c r="EHF1" s="243"/>
      <c r="EHG1" s="243"/>
      <c r="EHH1" s="243"/>
      <c r="EHI1" s="243"/>
      <c r="EHJ1" s="243"/>
      <c r="EHK1" s="243"/>
      <c r="EHL1" s="243"/>
      <c r="EHM1" s="243" t="s">
        <v>127</v>
      </c>
      <c r="EHN1" s="243"/>
      <c r="EHO1" s="243"/>
      <c r="EHP1" s="243"/>
      <c r="EHQ1" s="243"/>
      <c r="EHR1" s="243"/>
      <c r="EHS1" s="243"/>
      <c r="EHT1" s="243"/>
      <c r="EHU1" s="243"/>
      <c r="EHV1" s="243"/>
      <c r="EHW1" s="243"/>
      <c r="EHX1" s="243"/>
      <c r="EHY1" s="243"/>
      <c r="EHZ1" s="243"/>
      <c r="EIA1" s="243"/>
      <c r="EIB1" s="243"/>
      <c r="EIC1" s="243" t="s">
        <v>127</v>
      </c>
      <c r="EID1" s="243"/>
      <c r="EIE1" s="243"/>
      <c r="EIF1" s="243"/>
      <c r="EIG1" s="243"/>
      <c r="EIH1" s="243"/>
      <c r="EII1" s="243"/>
      <c r="EIJ1" s="243"/>
      <c r="EIK1" s="243"/>
      <c r="EIL1" s="243"/>
      <c r="EIM1" s="243"/>
      <c r="EIN1" s="243"/>
      <c r="EIO1" s="243"/>
      <c r="EIP1" s="243"/>
      <c r="EIQ1" s="243"/>
      <c r="EIR1" s="243"/>
      <c r="EIS1" s="243" t="s">
        <v>127</v>
      </c>
      <c r="EIT1" s="243"/>
      <c r="EIU1" s="243"/>
      <c r="EIV1" s="243"/>
      <c r="EIW1" s="243"/>
      <c r="EIX1" s="243"/>
      <c r="EIY1" s="243"/>
      <c r="EIZ1" s="243"/>
      <c r="EJA1" s="243"/>
      <c r="EJB1" s="243"/>
      <c r="EJC1" s="243"/>
      <c r="EJD1" s="243"/>
      <c r="EJE1" s="243"/>
      <c r="EJF1" s="243"/>
      <c r="EJG1" s="243"/>
      <c r="EJH1" s="243"/>
      <c r="EJI1" s="243" t="s">
        <v>127</v>
      </c>
      <c r="EJJ1" s="243"/>
      <c r="EJK1" s="243"/>
      <c r="EJL1" s="243"/>
      <c r="EJM1" s="243"/>
      <c r="EJN1" s="243"/>
      <c r="EJO1" s="243"/>
      <c r="EJP1" s="243"/>
      <c r="EJQ1" s="243"/>
      <c r="EJR1" s="243"/>
      <c r="EJS1" s="243"/>
      <c r="EJT1" s="243"/>
      <c r="EJU1" s="243"/>
      <c r="EJV1" s="243"/>
      <c r="EJW1" s="243"/>
      <c r="EJX1" s="243"/>
      <c r="EJY1" s="243" t="s">
        <v>127</v>
      </c>
      <c r="EJZ1" s="243"/>
      <c r="EKA1" s="243"/>
      <c r="EKB1" s="243"/>
      <c r="EKC1" s="243"/>
      <c r="EKD1" s="243"/>
      <c r="EKE1" s="243"/>
      <c r="EKF1" s="243"/>
      <c r="EKG1" s="243"/>
      <c r="EKH1" s="243"/>
      <c r="EKI1" s="243"/>
      <c r="EKJ1" s="243"/>
      <c r="EKK1" s="243"/>
      <c r="EKL1" s="243"/>
      <c r="EKM1" s="243"/>
      <c r="EKN1" s="243"/>
      <c r="EKO1" s="243" t="s">
        <v>127</v>
      </c>
      <c r="EKP1" s="243"/>
      <c r="EKQ1" s="243"/>
      <c r="EKR1" s="243"/>
      <c r="EKS1" s="243"/>
      <c r="EKT1" s="243"/>
      <c r="EKU1" s="243"/>
      <c r="EKV1" s="243"/>
      <c r="EKW1" s="243"/>
      <c r="EKX1" s="243"/>
      <c r="EKY1" s="243"/>
      <c r="EKZ1" s="243"/>
      <c r="ELA1" s="243"/>
      <c r="ELB1" s="243"/>
      <c r="ELC1" s="243"/>
      <c r="ELD1" s="243"/>
      <c r="ELE1" s="243" t="s">
        <v>127</v>
      </c>
      <c r="ELF1" s="243"/>
      <c r="ELG1" s="243"/>
      <c r="ELH1" s="243"/>
      <c r="ELI1" s="243"/>
      <c r="ELJ1" s="243"/>
      <c r="ELK1" s="243"/>
      <c r="ELL1" s="243"/>
      <c r="ELM1" s="243"/>
      <c r="ELN1" s="243"/>
      <c r="ELO1" s="243"/>
      <c r="ELP1" s="243"/>
      <c r="ELQ1" s="243"/>
      <c r="ELR1" s="243"/>
      <c r="ELS1" s="243"/>
      <c r="ELT1" s="243"/>
      <c r="ELU1" s="243" t="s">
        <v>127</v>
      </c>
      <c r="ELV1" s="243"/>
      <c r="ELW1" s="243"/>
      <c r="ELX1" s="243"/>
      <c r="ELY1" s="243"/>
      <c r="ELZ1" s="243"/>
      <c r="EMA1" s="243"/>
      <c r="EMB1" s="243"/>
      <c r="EMC1" s="243"/>
      <c r="EMD1" s="243"/>
      <c r="EME1" s="243"/>
      <c r="EMF1" s="243"/>
      <c r="EMG1" s="243"/>
      <c r="EMH1" s="243"/>
      <c r="EMI1" s="243"/>
      <c r="EMJ1" s="243"/>
      <c r="EMK1" s="243" t="s">
        <v>127</v>
      </c>
      <c r="EML1" s="243"/>
      <c r="EMM1" s="243"/>
      <c r="EMN1" s="243"/>
      <c r="EMO1" s="243"/>
      <c r="EMP1" s="243"/>
      <c r="EMQ1" s="243"/>
      <c r="EMR1" s="243"/>
      <c r="EMS1" s="243"/>
      <c r="EMT1" s="243"/>
      <c r="EMU1" s="243"/>
      <c r="EMV1" s="243"/>
      <c r="EMW1" s="243"/>
      <c r="EMX1" s="243"/>
      <c r="EMY1" s="243"/>
      <c r="EMZ1" s="243"/>
      <c r="ENA1" s="243" t="s">
        <v>127</v>
      </c>
      <c r="ENB1" s="243"/>
      <c r="ENC1" s="243"/>
      <c r="END1" s="243"/>
      <c r="ENE1" s="243"/>
      <c r="ENF1" s="243"/>
      <c r="ENG1" s="243"/>
      <c r="ENH1" s="243"/>
      <c r="ENI1" s="243"/>
      <c r="ENJ1" s="243"/>
      <c r="ENK1" s="243"/>
      <c r="ENL1" s="243"/>
      <c r="ENM1" s="243"/>
      <c r="ENN1" s="243"/>
      <c r="ENO1" s="243"/>
      <c r="ENP1" s="243"/>
      <c r="ENQ1" s="243" t="s">
        <v>127</v>
      </c>
      <c r="ENR1" s="243"/>
      <c r="ENS1" s="243"/>
      <c r="ENT1" s="243"/>
      <c r="ENU1" s="243"/>
      <c r="ENV1" s="243"/>
      <c r="ENW1" s="243"/>
      <c r="ENX1" s="243"/>
      <c r="ENY1" s="243"/>
      <c r="ENZ1" s="243"/>
      <c r="EOA1" s="243"/>
      <c r="EOB1" s="243"/>
      <c r="EOC1" s="243"/>
      <c r="EOD1" s="243"/>
      <c r="EOE1" s="243"/>
      <c r="EOF1" s="243"/>
      <c r="EOG1" s="243" t="s">
        <v>127</v>
      </c>
      <c r="EOH1" s="243"/>
      <c r="EOI1" s="243"/>
      <c r="EOJ1" s="243"/>
      <c r="EOK1" s="243"/>
      <c r="EOL1" s="243"/>
      <c r="EOM1" s="243"/>
      <c r="EON1" s="243"/>
      <c r="EOO1" s="243"/>
      <c r="EOP1" s="243"/>
      <c r="EOQ1" s="243"/>
      <c r="EOR1" s="243"/>
      <c r="EOS1" s="243"/>
      <c r="EOT1" s="243"/>
      <c r="EOU1" s="243"/>
      <c r="EOV1" s="243"/>
      <c r="EOW1" s="243" t="s">
        <v>127</v>
      </c>
      <c r="EOX1" s="243"/>
      <c r="EOY1" s="243"/>
      <c r="EOZ1" s="243"/>
      <c r="EPA1" s="243"/>
      <c r="EPB1" s="243"/>
      <c r="EPC1" s="243"/>
      <c r="EPD1" s="243"/>
      <c r="EPE1" s="243"/>
      <c r="EPF1" s="243"/>
      <c r="EPG1" s="243"/>
      <c r="EPH1" s="243"/>
      <c r="EPI1" s="243"/>
      <c r="EPJ1" s="243"/>
      <c r="EPK1" s="243"/>
      <c r="EPL1" s="243"/>
      <c r="EPM1" s="243" t="s">
        <v>127</v>
      </c>
      <c r="EPN1" s="243"/>
      <c r="EPO1" s="243"/>
      <c r="EPP1" s="243"/>
      <c r="EPQ1" s="243"/>
      <c r="EPR1" s="243"/>
      <c r="EPS1" s="243"/>
      <c r="EPT1" s="243"/>
      <c r="EPU1" s="243"/>
      <c r="EPV1" s="243"/>
      <c r="EPW1" s="243"/>
      <c r="EPX1" s="243"/>
      <c r="EPY1" s="243"/>
      <c r="EPZ1" s="243"/>
      <c r="EQA1" s="243"/>
      <c r="EQB1" s="243"/>
      <c r="EQC1" s="243" t="s">
        <v>127</v>
      </c>
      <c r="EQD1" s="243"/>
      <c r="EQE1" s="243"/>
      <c r="EQF1" s="243"/>
      <c r="EQG1" s="243"/>
      <c r="EQH1" s="243"/>
      <c r="EQI1" s="243"/>
      <c r="EQJ1" s="243"/>
      <c r="EQK1" s="243"/>
      <c r="EQL1" s="243"/>
      <c r="EQM1" s="243"/>
      <c r="EQN1" s="243"/>
      <c r="EQO1" s="243"/>
      <c r="EQP1" s="243"/>
      <c r="EQQ1" s="243"/>
      <c r="EQR1" s="243"/>
      <c r="EQS1" s="243" t="s">
        <v>127</v>
      </c>
      <c r="EQT1" s="243"/>
      <c r="EQU1" s="243"/>
      <c r="EQV1" s="243"/>
      <c r="EQW1" s="243"/>
      <c r="EQX1" s="243"/>
      <c r="EQY1" s="243"/>
      <c r="EQZ1" s="243"/>
      <c r="ERA1" s="243"/>
      <c r="ERB1" s="243"/>
      <c r="ERC1" s="243"/>
      <c r="ERD1" s="243"/>
      <c r="ERE1" s="243"/>
      <c r="ERF1" s="243"/>
      <c r="ERG1" s="243"/>
      <c r="ERH1" s="243"/>
      <c r="ERI1" s="243" t="s">
        <v>127</v>
      </c>
      <c r="ERJ1" s="243"/>
      <c r="ERK1" s="243"/>
      <c r="ERL1" s="243"/>
      <c r="ERM1" s="243"/>
      <c r="ERN1" s="243"/>
      <c r="ERO1" s="243"/>
      <c r="ERP1" s="243"/>
      <c r="ERQ1" s="243"/>
      <c r="ERR1" s="243"/>
      <c r="ERS1" s="243"/>
      <c r="ERT1" s="243"/>
      <c r="ERU1" s="243"/>
      <c r="ERV1" s="243"/>
      <c r="ERW1" s="243"/>
      <c r="ERX1" s="243"/>
      <c r="ERY1" s="243" t="s">
        <v>127</v>
      </c>
      <c r="ERZ1" s="243"/>
      <c r="ESA1" s="243"/>
      <c r="ESB1" s="243"/>
      <c r="ESC1" s="243"/>
      <c r="ESD1" s="243"/>
      <c r="ESE1" s="243"/>
      <c r="ESF1" s="243"/>
      <c r="ESG1" s="243"/>
      <c r="ESH1" s="243"/>
      <c r="ESI1" s="243"/>
      <c r="ESJ1" s="243"/>
      <c r="ESK1" s="243"/>
      <c r="ESL1" s="243"/>
      <c r="ESM1" s="243"/>
      <c r="ESN1" s="243"/>
      <c r="ESO1" s="243" t="s">
        <v>127</v>
      </c>
      <c r="ESP1" s="243"/>
      <c r="ESQ1" s="243"/>
      <c r="ESR1" s="243"/>
      <c r="ESS1" s="243"/>
      <c r="EST1" s="243"/>
      <c r="ESU1" s="243"/>
      <c r="ESV1" s="243"/>
      <c r="ESW1" s="243"/>
      <c r="ESX1" s="243"/>
      <c r="ESY1" s="243"/>
      <c r="ESZ1" s="243"/>
      <c r="ETA1" s="243"/>
      <c r="ETB1" s="243"/>
      <c r="ETC1" s="243"/>
      <c r="ETD1" s="243"/>
      <c r="ETE1" s="243" t="s">
        <v>127</v>
      </c>
      <c r="ETF1" s="243"/>
      <c r="ETG1" s="243"/>
      <c r="ETH1" s="243"/>
      <c r="ETI1" s="243"/>
      <c r="ETJ1" s="243"/>
      <c r="ETK1" s="243"/>
      <c r="ETL1" s="243"/>
      <c r="ETM1" s="243"/>
      <c r="ETN1" s="243"/>
      <c r="ETO1" s="243"/>
      <c r="ETP1" s="243"/>
      <c r="ETQ1" s="243"/>
      <c r="ETR1" s="243"/>
      <c r="ETS1" s="243"/>
      <c r="ETT1" s="243"/>
      <c r="ETU1" s="243" t="s">
        <v>127</v>
      </c>
      <c r="ETV1" s="243"/>
      <c r="ETW1" s="243"/>
      <c r="ETX1" s="243"/>
      <c r="ETY1" s="243"/>
      <c r="ETZ1" s="243"/>
      <c r="EUA1" s="243"/>
      <c r="EUB1" s="243"/>
      <c r="EUC1" s="243"/>
      <c r="EUD1" s="243"/>
      <c r="EUE1" s="243"/>
      <c r="EUF1" s="243"/>
      <c r="EUG1" s="243"/>
      <c r="EUH1" s="243"/>
      <c r="EUI1" s="243"/>
      <c r="EUJ1" s="243"/>
      <c r="EUK1" s="243" t="s">
        <v>127</v>
      </c>
      <c r="EUL1" s="243"/>
      <c r="EUM1" s="243"/>
      <c r="EUN1" s="243"/>
      <c r="EUO1" s="243"/>
      <c r="EUP1" s="243"/>
      <c r="EUQ1" s="243"/>
      <c r="EUR1" s="243"/>
      <c r="EUS1" s="243"/>
      <c r="EUT1" s="243"/>
      <c r="EUU1" s="243"/>
      <c r="EUV1" s="243"/>
      <c r="EUW1" s="243"/>
      <c r="EUX1" s="243"/>
      <c r="EUY1" s="243"/>
      <c r="EUZ1" s="243"/>
      <c r="EVA1" s="243" t="s">
        <v>127</v>
      </c>
      <c r="EVB1" s="243"/>
      <c r="EVC1" s="243"/>
      <c r="EVD1" s="243"/>
      <c r="EVE1" s="243"/>
      <c r="EVF1" s="243"/>
      <c r="EVG1" s="243"/>
      <c r="EVH1" s="243"/>
      <c r="EVI1" s="243"/>
      <c r="EVJ1" s="243"/>
      <c r="EVK1" s="243"/>
      <c r="EVL1" s="243"/>
      <c r="EVM1" s="243"/>
      <c r="EVN1" s="243"/>
      <c r="EVO1" s="243"/>
      <c r="EVP1" s="243"/>
      <c r="EVQ1" s="243" t="s">
        <v>127</v>
      </c>
      <c r="EVR1" s="243"/>
      <c r="EVS1" s="243"/>
      <c r="EVT1" s="243"/>
      <c r="EVU1" s="243"/>
      <c r="EVV1" s="243"/>
      <c r="EVW1" s="243"/>
      <c r="EVX1" s="243"/>
      <c r="EVY1" s="243"/>
      <c r="EVZ1" s="243"/>
      <c r="EWA1" s="243"/>
      <c r="EWB1" s="243"/>
      <c r="EWC1" s="243"/>
      <c r="EWD1" s="243"/>
      <c r="EWE1" s="243"/>
      <c r="EWF1" s="243"/>
      <c r="EWG1" s="243" t="s">
        <v>127</v>
      </c>
      <c r="EWH1" s="243"/>
      <c r="EWI1" s="243"/>
      <c r="EWJ1" s="243"/>
      <c r="EWK1" s="243"/>
      <c r="EWL1" s="243"/>
      <c r="EWM1" s="243"/>
      <c r="EWN1" s="243"/>
      <c r="EWO1" s="243"/>
      <c r="EWP1" s="243"/>
      <c r="EWQ1" s="243"/>
      <c r="EWR1" s="243"/>
      <c r="EWS1" s="243"/>
      <c r="EWT1" s="243"/>
      <c r="EWU1" s="243"/>
      <c r="EWV1" s="243"/>
      <c r="EWW1" s="243" t="s">
        <v>127</v>
      </c>
      <c r="EWX1" s="243"/>
      <c r="EWY1" s="243"/>
      <c r="EWZ1" s="243"/>
      <c r="EXA1" s="243"/>
      <c r="EXB1" s="243"/>
      <c r="EXC1" s="243"/>
      <c r="EXD1" s="243"/>
      <c r="EXE1" s="243"/>
      <c r="EXF1" s="243"/>
      <c r="EXG1" s="243"/>
      <c r="EXH1" s="243"/>
      <c r="EXI1" s="243"/>
      <c r="EXJ1" s="243"/>
      <c r="EXK1" s="243"/>
      <c r="EXL1" s="243"/>
      <c r="EXM1" s="243" t="s">
        <v>127</v>
      </c>
      <c r="EXN1" s="243"/>
      <c r="EXO1" s="243"/>
      <c r="EXP1" s="243"/>
      <c r="EXQ1" s="243"/>
      <c r="EXR1" s="243"/>
      <c r="EXS1" s="243"/>
      <c r="EXT1" s="243"/>
      <c r="EXU1" s="243"/>
      <c r="EXV1" s="243"/>
      <c r="EXW1" s="243"/>
      <c r="EXX1" s="243"/>
      <c r="EXY1" s="243"/>
      <c r="EXZ1" s="243"/>
      <c r="EYA1" s="243"/>
      <c r="EYB1" s="243"/>
      <c r="EYC1" s="243" t="s">
        <v>127</v>
      </c>
      <c r="EYD1" s="243"/>
      <c r="EYE1" s="243"/>
      <c r="EYF1" s="243"/>
      <c r="EYG1" s="243"/>
      <c r="EYH1" s="243"/>
      <c r="EYI1" s="243"/>
      <c r="EYJ1" s="243"/>
      <c r="EYK1" s="243"/>
      <c r="EYL1" s="243"/>
      <c r="EYM1" s="243"/>
      <c r="EYN1" s="243"/>
      <c r="EYO1" s="243"/>
      <c r="EYP1" s="243"/>
      <c r="EYQ1" s="243"/>
      <c r="EYR1" s="243"/>
      <c r="EYS1" s="243" t="s">
        <v>127</v>
      </c>
      <c r="EYT1" s="243"/>
      <c r="EYU1" s="243"/>
      <c r="EYV1" s="243"/>
      <c r="EYW1" s="243"/>
      <c r="EYX1" s="243"/>
      <c r="EYY1" s="243"/>
      <c r="EYZ1" s="243"/>
      <c r="EZA1" s="243"/>
      <c r="EZB1" s="243"/>
      <c r="EZC1" s="243"/>
      <c r="EZD1" s="243"/>
      <c r="EZE1" s="243"/>
      <c r="EZF1" s="243"/>
      <c r="EZG1" s="243"/>
      <c r="EZH1" s="243"/>
      <c r="EZI1" s="243" t="s">
        <v>127</v>
      </c>
      <c r="EZJ1" s="243"/>
      <c r="EZK1" s="243"/>
      <c r="EZL1" s="243"/>
      <c r="EZM1" s="243"/>
      <c r="EZN1" s="243"/>
      <c r="EZO1" s="243"/>
      <c r="EZP1" s="243"/>
      <c r="EZQ1" s="243"/>
      <c r="EZR1" s="243"/>
      <c r="EZS1" s="243"/>
      <c r="EZT1" s="243"/>
      <c r="EZU1" s="243"/>
      <c r="EZV1" s="243"/>
      <c r="EZW1" s="243"/>
      <c r="EZX1" s="243"/>
      <c r="EZY1" s="243" t="s">
        <v>127</v>
      </c>
      <c r="EZZ1" s="243"/>
      <c r="FAA1" s="243"/>
      <c r="FAB1" s="243"/>
      <c r="FAC1" s="243"/>
      <c r="FAD1" s="243"/>
      <c r="FAE1" s="243"/>
      <c r="FAF1" s="243"/>
      <c r="FAG1" s="243"/>
      <c r="FAH1" s="243"/>
      <c r="FAI1" s="243"/>
      <c r="FAJ1" s="243"/>
      <c r="FAK1" s="243"/>
      <c r="FAL1" s="243"/>
      <c r="FAM1" s="243"/>
      <c r="FAN1" s="243"/>
      <c r="FAO1" s="243" t="s">
        <v>127</v>
      </c>
      <c r="FAP1" s="243"/>
      <c r="FAQ1" s="243"/>
      <c r="FAR1" s="243"/>
      <c r="FAS1" s="243"/>
      <c r="FAT1" s="243"/>
      <c r="FAU1" s="243"/>
      <c r="FAV1" s="243"/>
      <c r="FAW1" s="243"/>
      <c r="FAX1" s="243"/>
      <c r="FAY1" s="243"/>
      <c r="FAZ1" s="243"/>
      <c r="FBA1" s="243"/>
      <c r="FBB1" s="243"/>
      <c r="FBC1" s="243"/>
      <c r="FBD1" s="243"/>
      <c r="FBE1" s="243" t="s">
        <v>127</v>
      </c>
      <c r="FBF1" s="243"/>
      <c r="FBG1" s="243"/>
      <c r="FBH1" s="243"/>
      <c r="FBI1" s="243"/>
      <c r="FBJ1" s="243"/>
      <c r="FBK1" s="243"/>
      <c r="FBL1" s="243"/>
      <c r="FBM1" s="243"/>
      <c r="FBN1" s="243"/>
      <c r="FBO1" s="243"/>
      <c r="FBP1" s="243"/>
      <c r="FBQ1" s="243"/>
      <c r="FBR1" s="243"/>
      <c r="FBS1" s="243"/>
      <c r="FBT1" s="243"/>
      <c r="FBU1" s="243" t="s">
        <v>127</v>
      </c>
      <c r="FBV1" s="243"/>
      <c r="FBW1" s="243"/>
      <c r="FBX1" s="243"/>
      <c r="FBY1" s="243"/>
      <c r="FBZ1" s="243"/>
      <c r="FCA1" s="243"/>
      <c r="FCB1" s="243"/>
      <c r="FCC1" s="243"/>
      <c r="FCD1" s="243"/>
      <c r="FCE1" s="243"/>
      <c r="FCF1" s="243"/>
      <c r="FCG1" s="243"/>
      <c r="FCH1" s="243"/>
      <c r="FCI1" s="243"/>
      <c r="FCJ1" s="243"/>
      <c r="FCK1" s="243" t="s">
        <v>127</v>
      </c>
      <c r="FCL1" s="243"/>
      <c r="FCM1" s="243"/>
      <c r="FCN1" s="243"/>
      <c r="FCO1" s="243"/>
      <c r="FCP1" s="243"/>
      <c r="FCQ1" s="243"/>
      <c r="FCR1" s="243"/>
      <c r="FCS1" s="243"/>
      <c r="FCT1" s="243"/>
      <c r="FCU1" s="243"/>
      <c r="FCV1" s="243"/>
      <c r="FCW1" s="243"/>
      <c r="FCX1" s="243"/>
      <c r="FCY1" s="243"/>
      <c r="FCZ1" s="243"/>
      <c r="FDA1" s="243" t="s">
        <v>127</v>
      </c>
      <c r="FDB1" s="243"/>
      <c r="FDC1" s="243"/>
      <c r="FDD1" s="243"/>
      <c r="FDE1" s="243"/>
      <c r="FDF1" s="243"/>
      <c r="FDG1" s="243"/>
      <c r="FDH1" s="243"/>
      <c r="FDI1" s="243"/>
      <c r="FDJ1" s="243"/>
      <c r="FDK1" s="243"/>
      <c r="FDL1" s="243"/>
      <c r="FDM1" s="243"/>
      <c r="FDN1" s="243"/>
      <c r="FDO1" s="243"/>
      <c r="FDP1" s="243"/>
      <c r="FDQ1" s="243" t="s">
        <v>127</v>
      </c>
      <c r="FDR1" s="243"/>
      <c r="FDS1" s="243"/>
      <c r="FDT1" s="243"/>
      <c r="FDU1" s="243"/>
      <c r="FDV1" s="243"/>
      <c r="FDW1" s="243"/>
      <c r="FDX1" s="243"/>
      <c r="FDY1" s="243"/>
      <c r="FDZ1" s="243"/>
      <c r="FEA1" s="243"/>
      <c r="FEB1" s="243"/>
      <c r="FEC1" s="243"/>
      <c r="FED1" s="243"/>
      <c r="FEE1" s="243"/>
      <c r="FEF1" s="243"/>
      <c r="FEG1" s="243" t="s">
        <v>127</v>
      </c>
      <c r="FEH1" s="243"/>
      <c r="FEI1" s="243"/>
      <c r="FEJ1" s="243"/>
      <c r="FEK1" s="243"/>
      <c r="FEL1" s="243"/>
      <c r="FEM1" s="243"/>
      <c r="FEN1" s="243"/>
      <c r="FEO1" s="243"/>
      <c r="FEP1" s="243"/>
      <c r="FEQ1" s="243"/>
      <c r="FER1" s="243"/>
      <c r="FES1" s="243"/>
      <c r="FET1" s="243"/>
      <c r="FEU1" s="243"/>
      <c r="FEV1" s="243"/>
      <c r="FEW1" s="243" t="s">
        <v>127</v>
      </c>
      <c r="FEX1" s="243"/>
      <c r="FEY1" s="243"/>
      <c r="FEZ1" s="243"/>
      <c r="FFA1" s="243"/>
      <c r="FFB1" s="243"/>
      <c r="FFC1" s="243"/>
      <c r="FFD1" s="243"/>
      <c r="FFE1" s="243"/>
      <c r="FFF1" s="243"/>
      <c r="FFG1" s="243"/>
      <c r="FFH1" s="243"/>
      <c r="FFI1" s="243"/>
      <c r="FFJ1" s="243"/>
      <c r="FFK1" s="243"/>
      <c r="FFL1" s="243"/>
      <c r="FFM1" s="243" t="s">
        <v>127</v>
      </c>
      <c r="FFN1" s="243"/>
      <c r="FFO1" s="243"/>
      <c r="FFP1" s="243"/>
      <c r="FFQ1" s="243"/>
      <c r="FFR1" s="243"/>
      <c r="FFS1" s="243"/>
      <c r="FFT1" s="243"/>
      <c r="FFU1" s="243"/>
      <c r="FFV1" s="243"/>
      <c r="FFW1" s="243"/>
      <c r="FFX1" s="243"/>
      <c r="FFY1" s="243"/>
      <c r="FFZ1" s="243"/>
      <c r="FGA1" s="243"/>
      <c r="FGB1" s="243"/>
      <c r="FGC1" s="243" t="s">
        <v>127</v>
      </c>
      <c r="FGD1" s="243"/>
      <c r="FGE1" s="243"/>
      <c r="FGF1" s="243"/>
      <c r="FGG1" s="243"/>
      <c r="FGH1" s="243"/>
      <c r="FGI1" s="243"/>
      <c r="FGJ1" s="243"/>
      <c r="FGK1" s="243"/>
      <c r="FGL1" s="243"/>
      <c r="FGM1" s="243"/>
      <c r="FGN1" s="243"/>
      <c r="FGO1" s="243"/>
      <c r="FGP1" s="243"/>
      <c r="FGQ1" s="243"/>
      <c r="FGR1" s="243"/>
      <c r="FGS1" s="243" t="s">
        <v>127</v>
      </c>
      <c r="FGT1" s="243"/>
      <c r="FGU1" s="243"/>
      <c r="FGV1" s="243"/>
      <c r="FGW1" s="243"/>
      <c r="FGX1" s="243"/>
      <c r="FGY1" s="243"/>
      <c r="FGZ1" s="243"/>
      <c r="FHA1" s="243"/>
      <c r="FHB1" s="243"/>
      <c r="FHC1" s="243"/>
      <c r="FHD1" s="243"/>
      <c r="FHE1" s="243"/>
      <c r="FHF1" s="243"/>
      <c r="FHG1" s="243"/>
      <c r="FHH1" s="243"/>
      <c r="FHI1" s="243" t="s">
        <v>127</v>
      </c>
      <c r="FHJ1" s="243"/>
      <c r="FHK1" s="243"/>
      <c r="FHL1" s="243"/>
      <c r="FHM1" s="243"/>
      <c r="FHN1" s="243"/>
      <c r="FHO1" s="243"/>
      <c r="FHP1" s="243"/>
      <c r="FHQ1" s="243"/>
      <c r="FHR1" s="243"/>
      <c r="FHS1" s="243"/>
      <c r="FHT1" s="243"/>
      <c r="FHU1" s="243"/>
      <c r="FHV1" s="243"/>
      <c r="FHW1" s="243"/>
      <c r="FHX1" s="243"/>
      <c r="FHY1" s="243" t="s">
        <v>127</v>
      </c>
      <c r="FHZ1" s="243"/>
      <c r="FIA1" s="243"/>
      <c r="FIB1" s="243"/>
      <c r="FIC1" s="243"/>
      <c r="FID1" s="243"/>
      <c r="FIE1" s="243"/>
      <c r="FIF1" s="243"/>
      <c r="FIG1" s="243"/>
      <c r="FIH1" s="243"/>
      <c r="FII1" s="243"/>
      <c r="FIJ1" s="243"/>
      <c r="FIK1" s="243"/>
      <c r="FIL1" s="243"/>
      <c r="FIM1" s="243"/>
      <c r="FIN1" s="243"/>
      <c r="FIO1" s="243" t="s">
        <v>127</v>
      </c>
      <c r="FIP1" s="243"/>
      <c r="FIQ1" s="243"/>
      <c r="FIR1" s="243"/>
      <c r="FIS1" s="243"/>
      <c r="FIT1" s="243"/>
      <c r="FIU1" s="243"/>
      <c r="FIV1" s="243"/>
      <c r="FIW1" s="243"/>
      <c r="FIX1" s="243"/>
      <c r="FIY1" s="243"/>
      <c r="FIZ1" s="243"/>
      <c r="FJA1" s="243"/>
      <c r="FJB1" s="243"/>
      <c r="FJC1" s="243"/>
      <c r="FJD1" s="243"/>
      <c r="FJE1" s="243" t="s">
        <v>127</v>
      </c>
      <c r="FJF1" s="243"/>
      <c r="FJG1" s="243"/>
      <c r="FJH1" s="243"/>
      <c r="FJI1" s="243"/>
      <c r="FJJ1" s="243"/>
      <c r="FJK1" s="243"/>
      <c r="FJL1" s="243"/>
      <c r="FJM1" s="243"/>
      <c r="FJN1" s="243"/>
      <c r="FJO1" s="243"/>
      <c r="FJP1" s="243"/>
      <c r="FJQ1" s="243"/>
      <c r="FJR1" s="243"/>
      <c r="FJS1" s="243"/>
      <c r="FJT1" s="243"/>
      <c r="FJU1" s="243" t="s">
        <v>127</v>
      </c>
      <c r="FJV1" s="243"/>
      <c r="FJW1" s="243"/>
      <c r="FJX1" s="243"/>
      <c r="FJY1" s="243"/>
      <c r="FJZ1" s="243"/>
      <c r="FKA1" s="243"/>
      <c r="FKB1" s="243"/>
      <c r="FKC1" s="243"/>
      <c r="FKD1" s="243"/>
      <c r="FKE1" s="243"/>
      <c r="FKF1" s="243"/>
      <c r="FKG1" s="243"/>
      <c r="FKH1" s="243"/>
      <c r="FKI1" s="243"/>
      <c r="FKJ1" s="243"/>
      <c r="FKK1" s="243" t="s">
        <v>127</v>
      </c>
      <c r="FKL1" s="243"/>
      <c r="FKM1" s="243"/>
      <c r="FKN1" s="243"/>
      <c r="FKO1" s="243"/>
      <c r="FKP1" s="243"/>
      <c r="FKQ1" s="243"/>
      <c r="FKR1" s="243"/>
      <c r="FKS1" s="243"/>
      <c r="FKT1" s="243"/>
      <c r="FKU1" s="243"/>
      <c r="FKV1" s="243"/>
      <c r="FKW1" s="243"/>
      <c r="FKX1" s="243"/>
      <c r="FKY1" s="243"/>
      <c r="FKZ1" s="243"/>
      <c r="FLA1" s="243" t="s">
        <v>127</v>
      </c>
      <c r="FLB1" s="243"/>
      <c r="FLC1" s="243"/>
      <c r="FLD1" s="243"/>
      <c r="FLE1" s="243"/>
      <c r="FLF1" s="243"/>
      <c r="FLG1" s="243"/>
      <c r="FLH1" s="243"/>
      <c r="FLI1" s="243"/>
      <c r="FLJ1" s="243"/>
      <c r="FLK1" s="243"/>
      <c r="FLL1" s="243"/>
      <c r="FLM1" s="243"/>
      <c r="FLN1" s="243"/>
      <c r="FLO1" s="243"/>
      <c r="FLP1" s="243"/>
      <c r="FLQ1" s="243" t="s">
        <v>127</v>
      </c>
      <c r="FLR1" s="243"/>
      <c r="FLS1" s="243"/>
      <c r="FLT1" s="243"/>
      <c r="FLU1" s="243"/>
      <c r="FLV1" s="243"/>
      <c r="FLW1" s="243"/>
      <c r="FLX1" s="243"/>
      <c r="FLY1" s="243"/>
      <c r="FLZ1" s="243"/>
      <c r="FMA1" s="243"/>
      <c r="FMB1" s="243"/>
      <c r="FMC1" s="243"/>
      <c r="FMD1" s="243"/>
      <c r="FME1" s="243"/>
      <c r="FMF1" s="243"/>
      <c r="FMG1" s="243" t="s">
        <v>127</v>
      </c>
      <c r="FMH1" s="243"/>
      <c r="FMI1" s="243"/>
      <c r="FMJ1" s="243"/>
      <c r="FMK1" s="243"/>
      <c r="FML1" s="243"/>
      <c r="FMM1" s="243"/>
      <c r="FMN1" s="243"/>
      <c r="FMO1" s="243"/>
      <c r="FMP1" s="243"/>
      <c r="FMQ1" s="243"/>
      <c r="FMR1" s="243"/>
      <c r="FMS1" s="243"/>
      <c r="FMT1" s="243"/>
      <c r="FMU1" s="243"/>
      <c r="FMV1" s="243"/>
      <c r="FMW1" s="243" t="s">
        <v>127</v>
      </c>
      <c r="FMX1" s="243"/>
      <c r="FMY1" s="243"/>
      <c r="FMZ1" s="243"/>
      <c r="FNA1" s="243"/>
      <c r="FNB1" s="243"/>
      <c r="FNC1" s="243"/>
      <c r="FND1" s="243"/>
      <c r="FNE1" s="243"/>
      <c r="FNF1" s="243"/>
      <c r="FNG1" s="243"/>
      <c r="FNH1" s="243"/>
      <c r="FNI1" s="243"/>
      <c r="FNJ1" s="243"/>
      <c r="FNK1" s="243"/>
      <c r="FNL1" s="243"/>
      <c r="FNM1" s="243" t="s">
        <v>127</v>
      </c>
      <c r="FNN1" s="243"/>
      <c r="FNO1" s="243"/>
      <c r="FNP1" s="243"/>
      <c r="FNQ1" s="243"/>
      <c r="FNR1" s="243"/>
      <c r="FNS1" s="243"/>
      <c r="FNT1" s="243"/>
      <c r="FNU1" s="243"/>
      <c r="FNV1" s="243"/>
      <c r="FNW1" s="243"/>
      <c r="FNX1" s="243"/>
      <c r="FNY1" s="243"/>
      <c r="FNZ1" s="243"/>
      <c r="FOA1" s="243"/>
      <c r="FOB1" s="243"/>
      <c r="FOC1" s="243" t="s">
        <v>127</v>
      </c>
      <c r="FOD1" s="243"/>
      <c r="FOE1" s="243"/>
      <c r="FOF1" s="243"/>
      <c r="FOG1" s="243"/>
      <c r="FOH1" s="243"/>
      <c r="FOI1" s="243"/>
      <c r="FOJ1" s="243"/>
      <c r="FOK1" s="243"/>
      <c r="FOL1" s="243"/>
      <c r="FOM1" s="243"/>
      <c r="FON1" s="243"/>
      <c r="FOO1" s="243"/>
      <c r="FOP1" s="243"/>
      <c r="FOQ1" s="243"/>
      <c r="FOR1" s="243"/>
      <c r="FOS1" s="243" t="s">
        <v>127</v>
      </c>
      <c r="FOT1" s="243"/>
      <c r="FOU1" s="243"/>
      <c r="FOV1" s="243"/>
      <c r="FOW1" s="243"/>
      <c r="FOX1" s="243"/>
      <c r="FOY1" s="243"/>
      <c r="FOZ1" s="243"/>
      <c r="FPA1" s="243"/>
      <c r="FPB1" s="243"/>
      <c r="FPC1" s="243"/>
      <c r="FPD1" s="243"/>
      <c r="FPE1" s="243"/>
      <c r="FPF1" s="243"/>
      <c r="FPG1" s="243"/>
      <c r="FPH1" s="243"/>
      <c r="FPI1" s="243" t="s">
        <v>127</v>
      </c>
      <c r="FPJ1" s="243"/>
      <c r="FPK1" s="243"/>
      <c r="FPL1" s="243"/>
      <c r="FPM1" s="243"/>
      <c r="FPN1" s="243"/>
      <c r="FPO1" s="243"/>
      <c r="FPP1" s="243"/>
      <c r="FPQ1" s="243"/>
      <c r="FPR1" s="243"/>
      <c r="FPS1" s="243"/>
      <c r="FPT1" s="243"/>
      <c r="FPU1" s="243"/>
      <c r="FPV1" s="243"/>
      <c r="FPW1" s="243"/>
      <c r="FPX1" s="243"/>
      <c r="FPY1" s="243" t="s">
        <v>127</v>
      </c>
      <c r="FPZ1" s="243"/>
      <c r="FQA1" s="243"/>
      <c r="FQB1" s="243"/>
      <c r="FQC1" s="243"/>
      <c r="FQD1" s="243"/>
      <c r="FQE1" s="243"/>
      <c r="FQF1" s="243"/>
      <c r="FQG1" s="243"/>
      <c r="FQH1" s="243"/>
      <c r="FQI1" s="243"/>
      <c r="FQJ1" s="243"/>
      <c r="FQK1" s="243"/>
      <c r="FQL1" s="243"/>
      <c r="FQM1" s="243"/>
      <c r="FQN1" s="243"/>
      <c r="FQO1" s="243" t="s">
        <v>127</v>
      </c>
      <c r="FQP1" s="243"/>
      <c r="FQQ1" s="243"/>
      <c r="FQR1" s="243"/>
      <c r="FQS1" s="243"/>
      <c r="FQT1" s="243"/>
      <c r="FQU1" s="243"/>
      <c r="FQV1" s="243"/>
      <c r="FQW1" s="243"/>
      <c r="FQX1" s="243"/>
      <c r="FQY1" s="243"/>
      <c r="FQZ1" s="243"/>
      <c r="FRA1" s="243"/>
      <c r="FRB1" s="243"/>
      <c r="FRC1" s="243"/>
      <c r="FRD1" s="243"/>
      <c r="FRE1" s="243" t="s">
        <v>127</v>
      </c>
      <c r="FRF1" s="243"/>
      <c r="FRG1" s="243"/>
      <c r="FRH1" s="243"/>
      <c r="FRI1" s="243"/>
      <c r="FRJ1" s="243"/>
      <c r="FRK1" s="243"/>
      <c r="FRL1" s="243"/>
      <c r="FRM1" s="243"/>
      <c r="FRN1" s="243"/>
      <c r="FRO1" s="243"/>
      <c r="FRP1" s="243"/>
      <c r="FRQ1" s="243"/>
      <c r="FRR1" s="243"/>
      <c r="FRS1" s="243"/>
      <c r="FRT1" s="243"/>
      <c r="FRU1" s="243" t="s">
        <v>127</v>
      </c>
      <c r="FRV1" s="243"/>
      <c r="FRW1" s="243"/>
      <c r="FRX1" s="243"/>
      <c r="FRY1" s="243"/>
      <c r="FRZ1" s="243"/>
      <c r="FSA1" s="243"/>
      <c r="FSB1" s="243"/>
      <c r="FSC1" s="243"/>
      <c r="FSD1" s="243"/>
      <c r="FSE1" s="243"/>
      <c r="FSF1" s="243"/>
      <c r="FSG1" s="243"/>
      <c r="FSH1" s="243"/>
      <c r="FSI1" s="243"/>
      <c r="FSJ1" s="243"/>
      <c r="FSK1" s="243" t="s">
        <v>127</v>
      </c>
      <c r="FSL1" s="243"/>
      <c r="FSM1" s="243"/>
      <c r="FSN1" s="243"/>
      <c r="FSO1" s="243"/>
      <c r="FSP1" s="243"/>
      <c r="FSQ1" s="243"/>
      <c r="FSR1" s="243"/>
      <c r="FSS1" s="243"/>
      <c r="FST1" s="243"/>
      <c r="FSU1" s="243"/>
      <c r="FSV1" s="243"/>
      <c r="FSW1" s="243"/>
      <c r="FSX1" s="243"/>
      <c r="FSY1" s="243"/>
      <c r="FSZ1" s="243"/>
      <c r="FTA1" s="243" t="s">
        <v>127</v>
      </c>
      <c r="FTB1" s="243"/>
      <c r="FTC1" s="243"/>
      <c r="FTD1" s="243"/>
      <c r="FTE1" s="243"/>
      <c r="FTF1" s="243"/>
      <c r="FTG1" s="243"/>
      <c r="FTH1" s="243"/>
      <c r="FTI1" s="243"/>
      <c r="FTJ1" s="243"/>
      <c r="FTK1" s="243"/>
      <c r="FTL1" s="243"/>
      <c r="FTM1" s="243"/>
      <c r="FTN1" s="243"/>
      <c r="FTO1" s="243"/>
      <c r="FTP1" s="243"/>
      <c r="FTQ1" s="243" t="s">
        <v>127</v>
      </c>
      <c r="FTR1" s="243"/>
      <c r="FTS1" s="243"/>
      <c r="FTT1" s="243"/>
      <c r="FTU1" s="243"/>
      <c r="FTV1" s="243"/>
      <c r="FTW1" s="243"/>
      <c r="FTX1" s="243"/>
      <c r="FTY1" s="243"/>
      <c r="FTZ1" s="243"/>
      <c r="FUA1" s="243"/>
      <c r="FUB1" s="243"/>
      <c r="FUC1" s="243"/>
      <c r="FUD1" s="243"/>
      <c r="FUE1" s="243"/>
      <c r="FUF1" s="243"/>
      <c r="FUG1" s="243" t="s">
        <v>127</v>
      </c>
      <c r="FUH1" s="243"/>
      <c r="FUI1" s="243"/>
      <c r="FUJ1" s="243"/>
      <c r="FUK1" s="243"/>
      <c r="FUL1" s="243"/>
      <c r="FUM1" s="243"/>
      <c r="FUN1" s="243"/>
      <c r="FUO1" s="243"/>
      <c r="FUP1" s="243"/>
      <c r="FUQ1" s="243"/>
      <c r="FUR1" s="243"/>
      <c r="FUS1" s="243"/>
      <c r="FUT1" s="243"/>
      <c r="FUU1" s="243"/>
      <c r="FUV1" s="243"/>
      <c r="FUW1" s="243" t="s">
        <v>127</v>
      </c>
      <c r="FUX1" s="243"/>
      <c r="FUY1" s="243"/>
      <c r="FUZ1" s="243"/>
      <c r="FVA1" s="243"/>
      <c r="FVB1" s="243"/>
      <c r="FVC1" s="243"/>
      <c r="FVD1" s="243"/>
      <c r="FVE1" s="243"/>
      <c r="FVF1" s="243"/>
      <c r="FVG1" s="243"/>
      <c r="FVH1" s="243"/>
      <c r="FVI1" s="243"/>
      <c r="FVJ1" s="243"/>
      <c r="FVK1" s="243"/>
      <c r="FVL1" s="243"/>
      <c r="FVM1" s="243" t="s">
        <v>127</v>
      </c>
      <c r="FVN1" s="243"/>
      <c r="FVO1" s="243"/>
      <c r="FVP1" s="243"/>
      <c r="FVQ1" s="243"/>
      <c r="FVR1" s="243"/>
      <c r="FVS1" s="243"/>
      <c r="FVT1" s="243"/>
      <c r="FVU1" s="243"/>
      <c r="FVV1" s="243"/>
      <c r="FVW1" s="243"/>
      <c r="FVX1" s="243"/>
      <c r="FVY1" s="243"/>
      <c r="FVZ1" s="243"/>
      <c r="FWA1" s="243"/>
      <c r="FWB1" s="243"/>
      <c r="FWC1" s="243" t="s">
        <v>127</v>
      </c>
      <c r="FWD1" s="243"/>
      <c r="FWE1" s="243"/>
      <c r="FWF1" s="243"/>
      <c r="FWG1" s="243"/>
      <c r="FWH1" s="243"/>
      <c r="FWI1" s="243"/>
      <c r="FWJ1" s="243"/>
      <c r="FWK1" s="243"/>
      <c r="FWL1" s="243"/>
      <c r="FWM1" s="243"/>
      <c r="FWN1" s="243"/>
      <c r="FWO1" s="243"/>
      <c r="FWP1" s="243"/>
      <c r="FWQ1" s="243"/>
      <c r="FWR1" s="243"/>
      <c r="FWS1" s="243" t="s">
        <v>127</v>
      </c>
      <c r="FWT1" s="243"/>
      <c r="FWU1" s="243"/>
      <c r="FWV1" s="243"/>
      <c r="FWW1" s="243"/>
      <c r="FWX1" s="243"/>
      <c r="FWY1" s="243"/>
      <c r="FWZ1" s="243"/>
      <c r="FXA1" s="243"/>
      <c r="FXB1" s="243"/>
      <c r="FXC1" s="243"/>
      <c r="FXD1" s="243"/>
      <c r="FXE1" s="243"/>
      <c r="FXF1" s="243"/>
      <c r="FXG1" s="243"/>
      <c r="FXH1" s="243"/>
      <c r="FXI1" s="243" t="s">
        <v>127</v>
      </c>
      <c r="FXJ1" s="243"/>
      <c r="FXK1" s="243"/>
      <c r="FXL1" s="243"/>
      <c r="FXM1" s="243"/>
      <c r="FXN1" s="243"/>
      <c r="FXO1" s="243"/>
      <c r="FXP1" s="243"/>
      <c r="FXQ1" s="243"/>
      <c r="FXR1" s="243"/>
      <c r="FXS1" s="243"/>
      <c r="FXT1" s="243"/>
      <c r="FXU1" s="243"/>
      <c r="FXV1" s="243"/>
      <c r="FXW1" s="243"/>
      <c r="FXX1" s="243"/>
      <c r="FXY1" s="243" t="s">
        <v>127</v>
      </c>
      <c r="FXZ1" s="243"/>
      <c r="FYA1" s="243"/>
      <c r="FYB1" s="243"/>
      <c r="FYC1" s="243"/>
      <c r="FYD1" s="243"/>
      <c r="FYE1" s="243"/>
      <c r="FYF1" s="243"/>
      <c r="FYG1" s="243"/>
      <c r="FYH1" s="243"/>
      <c r="FYI1" s="243"/>
      <c r="FYJ1" s="243"/>
      <c r="FYK1" s="243"/>
      <c r="FYL1" s="243"/>
      <c r="FYM1" s="243"/>
      <c r="FYN1" s="243"/>
      <c r="FYO1" s="243" t="s">
        <v>127</v>
      </c>
      <c r="FYP1" s="243"/>
      <c r="FYQ1" s="243"/>
      <c r="FYR1" s="243"/>
      <c r="FYS1" s="243"/>
      <c r="FYT1" s="243"/>
      <c r="FYU1" s="243"/>
      <c r="FYV1" s="243"/>
      <c r="FYW1" s="243"/>
      <c r="FYX1" s="243"/>
      <c r="FYY1" s="243"/>
      <c r="FYZ1" s="243"/>
      <c r="FZA1" s="243"/>
      <c r="FZB1" s="243"/>
      <c r="FZC1" s="243"/>
      <c r="FZD1" s="243"/>
      <c r="FZE1" s="243" t="s">
        <v>127</v>
      </c>
      <c r="FZF1" s="243"/>
      <c r="FZG1" s="243"/>
      <c r="FZH1" s="243"/>
      <c r="FZI1" s="243"/>
      <c r="FZJ1" s="243"/>
      <c r="FZK1" s="243"/>
      <c r="FZL1" s="243"/>
      <c r="FZM1" s="243"/>
      <c r="FZN1" s="243"/>
      <c r="FZO1" s="243"/>
      <c r="FZP1" s="243"/>
      <c r="FZQ1" s="243"/>
      <c r="FZR1" s="243"/>
      <c r="FZS1" s="243"/>
      <c r="FZT1" s="243"/>
      <c r="FZU1" s="243" t="s">
        <v>127</v>
      </c>
      <c r="FZV1" s="243"/>
      <c r="FZW1" s="243"/>
      <c r="FZX1" s="243"/>
      <c r="FZY1" s="243"/>
      <c r="FZZ1" s="243"/>
      <c r="GAA1" s="243"/>
      <c r="GAB1" s="243"/>
      <c r="GAC1" s="243"/>
      <c r="GAD1" s="243"/>
      <c r="GAE1" s="243"/>
      <c r="GAF1" s="243"/>
      <c r="GAG1" s="243"/>
      <c r="GAH1" s="243"/>
      <c r="GAI1" s="243"/>
      <c r="GAJ1" s="243"/>
      <c r="GAK1" s="243" t="s">
        <v>127</v>
      </c>
      <c r="GAL1" s="243"/>
      <c r="GAM1" s="243"/>
      <c r="GAN1" s="243"/>
      <c r="GAO1" s="243"/>
      <c r="GAP1" s="243"/>
      <c r="GAQ1" s="243"/>
      <c r="GAR1" s="243"/>
      <c r="GAS1" s="243"/>
      <c r="GAT1" s="243"/>
      <c r="GAU1" s="243"/>
      <c r="GAV1" s="243"/>
      <c r="GAW1" s="243"/>
      <c r="GAX1" s="243"/>
      <c r="GAY1" s="243"/>
      <c r="GAZ1" s="243"/>
      <c r="GBA1" s="243" t="s">
        <v>127</v>
      </c>
      <c r="GBB1" s="243"/>
      <c r="GBC1" s="243"/>
      <c r="GBD1" s="243"/>
      <c r="GBE1" s="243"/>
      <c r="GBF1" s="243"/>
      <c r="GBG1" s="243"/>
      <c r="GBH1" s="243"/>
      <c r="GBI1" s="243"/>
      <c r="GBJ1" s="243"/>
      <c r="GBK1" s="243"/>
      <c r="GBL1" s="243"/>
      <c r="GBM1" s="243"/>
      <c r="GBN1" s="243"/>
      <c r="GBO1" s="243"/>
      <c r="GBP1" s="243"/>
      <c r="GBQ1" s="243" t="s">
        <v>127</v>
      </c>
      <c r="GBR1" s="243"/>
      <c r="GBS1" s="243"/>
      <c r="GBT1" s="243"/>
      <c r="GBU1" s="243"/>
      <c r="GBV1" s="243"/>
      <c r="GBW1" s="243"/>
      <c r="GBX1" s="243"/>
      <c r="GBY1" s="243"/>
      <c r="GBZ1" s="243"/>
      <c r="GCA1" s="243"/>
      <c r="GCB1" s="243"/>
      <c r="GCC1" s="243"/>
      <c r="GCD1" s="243"/>
      <c r="GCE1" s="243"/>
      <c r="GCF1" s="243"/>
      <c r="GCG1" s="243" t="s">
        <v>127</v>
      </c>
      <c r="GCH1" s="243"/>
      <c r="GCI1" s="243"/>
      <c r="GCJ1" s="243"/>
      <c r="GCK1" s="243"/>
      <c r="GCL1" s="243"/>
      <c r="GCM1" s="243"/>
      <c r="GCN1" s="243"/>
      <c r="GCO1" s="243"/>
      <c r="GCP1" s="243"/>
      <c r="GCQ1" s="243"/>
      <c r="GCR1" s="243"/>
      <c r="GCS1" s="243"/>
      <c r="GCT1" s="243"/>
      <c r="GCU1" s="243"/>
      <c r="GCV1" s="243"/>
      <c r="GCW1" s="243" t="s">
        <v>127</v>
      </c>
      <c r="GCX1" s="243"/>
      <c r="GCY1" s="243"/>
      <c r="GCZ1" s="243"/>
      <c r="GDA1" s="243"/>
      <c r="GDB1" s="243"/>
      <c r="GDC1" s="243"/>
      <c r="GDD1" s="243"/>
      <c r="GDE1" s="243"/>
      <c r="GDF1" s="243"/>
      <c r="GDG1" s="243"/>
      <c r="GDH1" s="243"/>
      <c r="GDI1" s="243"/>
      <c r="GDJ1" s="243"/>
      <c r="GDK1" s="243"/>
      <c r="GDL1" s="243"/>
      <c r="GDM1" s="243" t="s">
        <v>127</v>
      </c>
      <c r="GDN1" s="243"/>
      <c r="GDO1" s="243"/>
      <c r="GDP1" s="243"/>
      <c r="GDQ1" s="243"/>
      <c r="GDR1" s="243"/>
      <c r="GDS1" s="243"/>
      <c r="GDT1" s="243"/>
      <c r="GDU1" s="243"/>
      <c r="GDV1" s="243"/>
      <c r="GDW1" s="243"/>
      <c r="GDX1" s="243"/>
      <c r="GDY1" s="243"/>
      <c r="GDZ1" s="243"/>
      <c r="GEA1" s="243"/>
      <c r="GEB1" s="243"/>
      <c r="GEC1" s="243" t="s">
        <v>127</v>
      </c>
      <c r="GED1" s="243"/>
      <c r="GEE1" s="243"/>
      <c r="GEF1" s="243"/>
      <c r="GEG1" s="243"/>
      <c r="GEH1" s="243"/>
      <c r="GEI1" s="243"/>
      <c r="GEJ1" s="243"/>
      <c r="GEK1" s="243"/>
      <c r="GEL1" s="243"/>
      <c r="GEM1" s="243"/>
      <c r="GEN1" s="243"/>
      <c r="GEO1" s="243"/>
      <c r="GEP1" s="243"/>
      <c r="GEQ1" s="243"/>
      <c r="GER1" s="243"/>
      <c r="GES1" s="243" t="s">
        <v>127</v>
      </c>
      <c r="GET1" s="243"/>
      <c r="GEU1" s="243"/>
      <c r="GEV1" s="243"/>
      <c r="GEW1" s="243"/>
      <c r="GEX1" s="243"/>
      <c r="GEY1" s="243"/>
      <c r="GEZ1" s="243"/>
      <c r="GFA1" s="243"/>
      <c r="GFB1" s="243"/>
      <c r="GFC1" s="243"/>
      <c r="GFD1" s="243"/>
      <c r="GFE1" s="243"/>
      <c r="GFF1" s="243"/>
      <c r="GFG1" s="243"/>
      <c r="GFH1" s="243"/>
      <c r="GFI1" s="243" t="s">
        <v>127</v>
      </c>
      <c r="GFJ1" s="243"/>
      <c r="GFK1" s="243"/>
      <c r="GFL1" s="243"/>
      <c r="GFM1" s="243"/>
      <c r="GFN1" s="243"/>
      <c r="GFO1" s="243"/>
      <c r="GFP1" s="243"/>
      <c r="GFQ1" s="243"/>
      <c r="GFR1" s="243"/>
      <c r="GFS1" s="243"/>
      <c r="GFT1" s="243"/>
      <c r="GFU1" s="243"/>
      <c r="GFV1" s="243"/>
      <c r="GFW1" s="243"/>
      <c r="GFX1" s="243"/>
      <c r="GFY1" s="243" t="s">
        <v>127</v>
      </c>
      <c r="GFZ1" s="243"/>
      <c r="GGA1" s="243"/>
      <c r="GGB1" s="243"/>
      <c r="GGC1" s="243"/>
      <c r="GGD1" s="243"/>
      <c r="GGE1" s="243"/>
      <c r="GGF1" s="243"/>
      <c r="GGG1" s="243"/>
      <c r="GGH1" s="243"/>
      <c r="GGI1" s="243"/>
      <c r="GGJ1" s="243"/>
      <c r="GGK1" s="243"/>
      <c r="GGL1" s="243"/>
      <c r="GGM1" s="243"/>
      <c r="GGN1" s="243"/>
      <c r="GGO1" s="243" t="s">
        <v>127</v>
      </c>
      <c r="GGP1" s="243"/>
      <c r="GGQ1" s="243"/>
      <c r="GGR1" s="243"/>
      <c r="GGS1" s="243"/>
      <c r="GGT1" s="243"/>
      <c r="GGU1" s="243"/>
      <c r="GGV1" s="243"/>
      <c r="GGW1" s="243"/>
      <c r="GGX1" s="243"/>
      <c r="GGY1" s="243"/>
      <c r="GGZ1" s="243"/>
      <c r="GHA1" s="243"/>
      <c r="GHB1" s="243"/>
      <c r="GHC1" s="243"/>
      <c r="GHD1" s="243"/>
      <c r="GHE1" s="243" t="s">
        <v>127</v>
      </c>
      <c r="GHF1" s="243"/>
      <c r="GHG1" s="243"/>
      <c r="GHH1" s="243"/>
      <c r="GHI1" s="243"/>
      <c r="GHJ1" s="243"/>
      <c r="GHK1" s="243"/>
      <c r="GHL1" s="243"/>
      <c r="GHM1" s="243"/>
      <c r="GHN1" s="243"/>
      <c r="GHO1" s="243"/>
      <c r="GHP1" s="243"/>
      <c r="GHQ1" s="243"/>
      <c r="GHR1" s="243"/>
      <c r="GHS1" s="243"/>
      <c r="GHT1" s="243"/>
      <c r="GHU1" s="243" t="s">
        <v>127</v>
      </c>
      <c r="GHV1" s="243"/>
      <c r="GHW1" s="243"/>
      <c r="GHX1" s="243"/>
      <c r="GHY1" s="243"/>
      <c r="GHZ1" s="243"/>
      <c r="GIA1" s="243"/>
      <c r="GIB1" s="243"/>
      <c r="GIC1" s="243"/>
      <c r="GID1" s="243"/>
      <c r="GIE1" s="243"/>
      <c r="GIF1" s="243"/>
      <c r="GIG1" s="243"/>
      <c r="GIH1" s="243"/>
      <c r="GII1" s="243"/>
      <c r="GIJ1" s="243"/>
      <c r="GIK1" s="243" t="s">
        <v>127</v>
      </c>
      <c r="GIL1" s="243"/>
      <c r="GIM1" s="243"/>
      <c r="GIN1" s="243"/>
      <c r="GIO1" s="243"/>
      <c r="GIP1" s="243"/>
      <c r="GIQ1" s="243"/>
      <c r="GIR1" s="243"/>
      <c r="GIS1" s="243"/>
      <c r="GIT1" s="243"/>
      <c r="GIU1" s="243"/>
      <c r="GIV1" s="243"/>
      <c r="GIW1" s="243"/>
      <c r="GIX1" s="243"/>
      <c r="GIY1" s="243"/>
      <c r="GIZ1" s="243"/>
      <c r="GJA1" s="243" t="s">
        <v>127</v>
      </c>
      <c r="GJB1" s="243"/>
      <c r="GJC1" s="243"/>
      <c r="GJD1" s="243"/>
      <c r="GJE1" s="243"/>
      <c r="GJF1" s="243"/>
      <c r="GJG1" s="243"/>
      <c r="GJH1" s="243"/>
      <c r="GJI1" s="243"/>
      <c r="GJJ1" s="243"/>
      <c r="GJK1" s="243"/>
      <c r="GJL1" s="243"/>
      <c r="GJM1" s="243"/>
      <c r="GJN1" s="243"/>
      <c r="GJO1" s="243"/>
      <c r="GJP1" s="243"/>
      <c r="GJQ1" s="243" t="s">
        <v>127</v>
      </c>
      <c r="GJR1" s="243"/>
      <c r="GJS1" s="243"/>
      <c r="GJT1" s="243"/>
      <c r="GJU1" s="243"/>
      <c r="GJV1" s="243"/>
      <c r="GJW1" s="243"/>
      <c r="GJX1" s="243"/>
      <c r="GJY1" s="243"/>
      <c r="GJZ1" s="243"/>
      <c r="GKA1" s="243"/>
      <c r="GKB1" s="243"/>
      <c r="GKC1" s="243"/>
      <c r="GKD1" s="243"/>
      <c r="GKE1" s="243"/>
      <c r="GKF1" s="243"/>
      <c r="GKG1" s="243" t="s">
        <v>127</v>
      </c>
      <c r="GKH1" s="243"/>
      <c r="GKI1" s="243"/>
      <c r="GKJ1" s="243"/>
      <c r="GKK1" s="243"/>
      <c r="GKL1" s="243"/>
      <c r="GKM1" s="243"/>
      <c r="GKN1" s="243"/>
      <c r="GKO1" s="243"/>
      <c r="GKP1" s="243"/>
      <c r="GKQ1" s="243"/>
      <c r="GKR1" s="243"/>
      <c r="GKS1" s="243"/>
      <c r="GKT1" s="243"/>
      <c r="GKU1" s="243"/>
      <c r="GKV1" s="243"/>
      <c r="GKW1" s="243" t="s">
        <v>127</v>
      </c>
      <c r="GKX1" s="243"/>
      <c r="GKY1" s="243"/>
      <c r="GKZ1" s="243"/>
      <c r="GLA1" s="243"/>
      <c r="GLB1" s="243"/>
      <c r="GLC1" s="243"/>
      <c r="GLD1" s="243"/>
      <c r="GLE1" s="243"/>
      <c r="GLF1" s="243"/>
      <c r="GLG1" s="243"/>
      <c r="GLH1" s="243"/>
      <c r="GLI1" s="243"/>
      <c r="GLJ1" s="243"/>
      <c r="GLK1" s="243"/>
      <c r="GLL1" s="243"/>
      <c r="GLM1" s="243" t="s">
        <v>127</v>
      </c>
      <c r="GLN1" s="243"/>
      <c r="GLO1" s="243"/>
      <c r="GLP1" s="243"/>
      <c r="GLQ1" s="243"/>
      <c r="GLR1" s="243"/>
      <c r="GLS1" s="243"/>
      <c r="GLT1" s="243"/>
      <c r="GLU1" s="243"/>
      <c r="GLV1" s="243"/>
      <c r="GLW1" s="243"/>
      <c r="GLX1" s="243"/>
      <c r="GLY1" s="243"/>
      <c r="GLZ1" s="243"/>
      <c r="GMA1" s="243"/>
      <c r="GMB1" s="243"/>
      <c r="GMC1" s="243" t="s">
        <v>127</v>
      </c>
      <c r="GMD1" s="243"/>
      <c r="GME1" s="243"/>
      <c r="GMF1" s="243"/>
      <c r="GMG1" s="243"/>
      <c r="GMH1" s="243"/>
      <c r="GMI1" s="243"/>
      <c r="GMJ1" s="243"/>
      <c r="GMK1" s="243"/>
      <c r="GML1" s="243"/>
      <c r="GMM1" s="243"/>
      <c r="GMN1" s="243"/>
      <c r="GMO1" s="243"/>
      <c r="GMP1" s="243"/>
      <c r="GMQ1" s="243"/>
      <c r="GMR1" s="243"/>
      <c r="GMS1" s="243" t="s">
        <v>127</v>
      </c>
      <c r="GMT1" s="243"/>
      <c r="GMU1" s="243"/>
      <c r="GMV1" s="243"/>
      <c r="GMW1" s="243"/>
      <c r="GMX1" s="243"/>
      <c r="GMY1" s="243"/>
      <c r="GMZ1" s="243"/>
      <c r="GNA1" s="243"/>
      <c r="GNB1" s="243"/>
      <c r="GNC1" s="243"/>
      <c r="GND1" s="243"/>
      <c r="GNE1" s="243"/>
      <c r="GNF1" s="243"/>
      <c r="GNG1" s="243"/>
      <c r="GNH1" s="243"/>
      <c r="GNI1" s="243" t="s">
        <v>127</v>
      </c>
      <c r="GNJ1" s="243"/>
      <c r="GNK1" s="243"/>
      <c r="GNL1" s="243"/>
      <c r="GNM1" s="243"/>
      <c r="GNN1" s="243"/>
      <c r="GNO1" s="243"/>
      <c r="GNP1" s="243"/>
      <c r="GNQ1" s="243"/>
      <c r="GNR1" s="243"/>
      <c r="GNS1" s="243"/>
      <c r="GNT1" s="243"/>
      <c r="GNU1" s="243"/>
      <c r="GNV1" s="243"/>
      <c r="GNW1" s="243"/>
      <c r="GNX1" s="243"/>
      <c r="GNY1" s="243" t="s">
        <v>127</v>
      </c>
      <c r="GNZ1" s="243"/>
      <c r="GOA1" s="243"/>
      <c r="GOB1" s="243"/>
      <c r="GOC1" s="243"/>
      <c r="GOD1" s="243"/>
      <c r="GOE1" s="243"/>
      <c r="GOF1" s="243"/>
      <c r="GOG1" s="243"/>
      <c r="GOH1" s="243"/>
      <c r="GOI1" s="243"/>
      <c r="GOJ1" s="243"/>
      <c r="GOK1" s="243"/>
      <c r="GOL1" s="243"/>
      <c r="GOM1" s="243"/>
      <c r="GON1" s="243"/>
      <c r="GOO1" s="243" t="s">
        <v>127</v>
      </c>
      <c r="GOP1" s="243"/>
      <c r="GOQ1" s="243"/>
      <c r="GOR1" s="243"/>
      <c r="GOS1" s="243"/>
      <c r="GOT1" s="243"/>
      <c r="GOU1" s="243"/>
      <c r="GOV1" s="243"/>
      <c r="GOW1" s="243"/>
      <c r="GOX1" s="243"/>
      <c r="GOY1" s="243"/>
      <c r="GOZ1" s="243"/>
      <c r="GPA1" s="243"/>
      <c r="GPB1" s="243"/>
      <c r="GPC1" s="243"/>
      <c r="GPD1" s="243"/>
      <c r="GPE1" s="243" t="s">
        <v>127</v>
      </c>
      <c r="GPF1" s="243"/>
      <c r="GPG1" s="243"/>
      <c r="GPH1" s="243"/>
      <c r="GPI1" s="243"/>
      <c r="GPJ1" s="243"/>
      <c r="GPK1" s="243"/>
      <c r="GPL1" s="243"/>
      <c r="GPM1" s="243"/>
      <c r="GPN1" s="243"/>
      <c r="GPO1" s="243"/>
      <c r="GPP1" s="243"/>
      <c r="GPQ1" s="243"/>
      <c r="GPR1" s="243"/>
      <c r="GPS1" s="243"/>
      <c r="GPT1" s="243"/>
      <c r="GPU1" s="243" t="s">
        <v>127</v>
      </c>
      <c r="GPV1" s="243"/>
      <c r="GPW1" s="243"/>
      <c r="GPX1" s="243"/>
      <c r="GPY1" s="243"/>
      <c r="GPZ1" s="243"/>
      <c r="GQA1" s="243"/>
      <c r="GQB1" s="243"/>
      <c r="GQC1" s="243"/>
      <c r="GQD1" s="243"/>
      <c r="GQE1" s="243"/>
      <c r="GQF1" s="243"/>
      <c r="GQG1" s="243"/>
      <c r="GQH1" s="243"/>
      <c r="GQI1" s="243"/>
      <c r="GQJ1" s="243"/>
      <c r="GQK1" s="243" t="s">
        <v>127</v>
      </c>
      <c r="GQL1" s="243"/>
      <c r="GQM1" s="243"/>
      <c r="GQN1" s="243"/>
      <c r="GQO1" s="243"/>
      <c r="GQP1" s="243"/>
      <c r="GQQ1" s="243"/>
      <c r="GQR1" s="243"/>
      <c r="GQS1" s="243"/>
      <c r="GQT1" s="243"/>
      <c r="GQU1" s="243"/>
      <c r="GQV1" s="243"/>
      <c r="GQW1" s="243"/>
      <c r="GQX1" s="243"/>
      <c r="GQY1" s="243"/>
      <c r="GQZ1" s="243"/>
      <c r="GRA1" s="243" t="s">
        <v>127</v>
      </c>
      <c r="GRB1" s="243"/>
      <c r="GRC1" s="243"/>
      <c r="GRD1" s="243"/>
      <c r="GRE1" s="243"/>
      <c r="GRF1" s="243"/>
      <c r="GRG1" s="243"/>
      <c r="GRH1" s="243"/>
      <c r="GRI1" s="243"/>
      <c r="GRJ1" s="243"/>
      <c r="GRK1" s="243"/>
      <c r="GRL1" s="243"/>
      <c r="GRM1" s="243"/>
      <c r="GRN1" s="243"/>
      <c r="GRO1" s="243"/>
      <c r="GRP1" s="243"/>
      <c r="GRQ1" s="243" t="s">
        <v>127</v>
      </c>
      <c r="GRR1" s="243"/>
      <c r="GRS1" s="243"/>
      <c r="GRT1" s="243"/>
      <c r="GRU1" s="243"/>
      <c r="GRV1" s="243"/>
      <c r="GRW1" s="243"/>
      <c r="GRX1" s="243"/>
      <c r="GRY1" s="243"/>
      <c r="GRZ1" s="243"/>
      <c r="GSA1" s="243"/>
      <c r="GSB1" s="243"/>
      <c r="GSC1" s="243"/>
      <c r="GSD1" s="243"/>
      <c r="GSE1" s="243"/>
      <c r="GSF1" s="243"/>
      <c r="GSG1" s="243" t="s">
        <v>127</v>
      </c>
      <c r="GSH1" s="243"/>
      <c r="GSI1" s="243"/>
      <c r="GSJ1" s="243"/>
      <c r="GSK1" s="243"/>
      <c r="GSL1" s="243"/>
      <c r="GSM1" s="243"/>
      <c r="GSN1" s="243"/>
      <c r="GSO1" s="243"/>
      <c r="GSP1" s="243"/>
      <c r="GSQ1" s="243"/>
      <c r="GSR1" s="243"/>
      <c r="GSS1" s="243"/>
      <c r="GST1" s="243"/>
      <c r="GSU1" s="243"/>
      <c r="GSV1" s="243"/>
      <c r="GSW1" s="243" t="s">
        <v>127</v>
      </c>
      <c r="GSX1" s="243"/>
      <c r="GSY1" s="243"/>
      <c r="GSZ1" s="243"/>
      <c r="GTA1" s="243"/>
      <c r="GTB1" s="243"/>
      <c r="GTC1" s="243"/>
      <c r="GTD1" s="243"/>
      <c r="GTE1" s="243"/>
      <c r="GTF1" s="243"/>
      <c r="GTG1" s="243"/>
      <c r="GTH1" s="243"/>
      <c r="GTI1" s="243"/>
      <c r="GTJ1" s="243"/>
      <c r="GTK1" s="243"/>
      <c r="GTL1" s="243"/>
      <c r="GTM1" s="243" t="s">
        <v>127</v>
      </c>
      <c r="GTN1" s="243"/>
      <c r="GTO1" s="243"/>
      <c r="GTP1" s="243"/>
      <c r="GTQ1" s="243"/>
      <c r="GTR1" s="243"/>
      <c r="GTS1" s="243"/>
      <c r="GTT1" s="243"/>
      <c r="GTU1" s="243"/>
      <c r="GTV1" s="243"/>
      <c r="GTW1" s="243"/>
      <c r="GTX1" s="243"/>
      <c r="GTY1" s="243"/>
      <c r="GTZ1" s="243"/>
      <c r="GUA1" s="243"/>
      <c r="GUB1" s="243"/>
      <c r="GUC1" s="243" t="s">
        <v>127</v>
      </c>
      <c r="GUD1" s="243"/>
      <c r="GUE1" s="243"/>
      <c r="GUF1" s="243"/>
      <c r="GUG1" s="243"/>
      <c r="GUH1" s="243"/>
      <c r="GUI1" s="243"/>
      <c r="GUJ1" s="243"/>
      <c r="GUK1" s="243"/>
      <c r="GUL1" s="243"/>
      <c r="GUM1" s="243"/>
      <c r="GUN1" s="243"/>
      <c r="GUO1" s="243"/>
      <c r="GUP1" s="243"/>
      <c r="GUQ1" s="243"/>
      <c r="GUR1" s="243"/>
      <c r="GUS1" s="243" t="s">
        <v>127</v>
      </c>
      <c r="GUT1" s="243"/>
      <c r="GUU1" s="243"/>
      <c r="GUV1" s="243"/>
      <c r="GUW1" s="243"/>
      <c r="GUX1" s="243"/>
      <c r="GUY1" s="243"/>
      <c r="GUZ1" s="243"/>
      <c r="GVA1" s="243"/>
      <c r="GVB1" s="243"/>
      <c r="GVC1" s="243"/>
      <c r="GVD1" s="243"/>
      <c r="GVE1" s="243"/>
      <c r="GVF1" s="243"/>
      <c r="GVG1" s="243"/>
      <c r="GVH1" s="243"/>
      <c r="GVI1" s="243" t="s">
        <v>127</v>
      </c>
      <c r="GVJ1" s="243"/>
      <c r="GVK1" s="243"/>
      <c r="GVL1" s="243"/>
      <c r="GVM1" s="243"/>
      <c r="GVN1" s="243"/>
      <c r="GVO1" s="243"/>
      <c r="GVP1" s="243"/>
      <c r="GVQ1" s="243"/>
      <c r="GVR1" s="243"/>
      <c r="GVS1" s="243"/>
      <c r="GVT1" s="243"/>
      <c r="GVU1" s="243"/>
      <c r="GVV1" s="243"/>
      <c r="GVW1" s="243"/>
      <c r="GVX1" s="243"/>
      <c r="GVY1" s="243" t="s">
        <v>127</v>
      </c>
      <c r="GVZ1" s="243"/>
      <c r="GWA1" s="243"/>
      <c r="GWB1" s="243"/>
      <c r="GWC1" s="243"/>
      <c r="GWD1" s="243"/>
      <c r="GWE1" s="243"/>
      <c r="GWF1" s="243"/>
      <c r="GWG1" s="243"/>
      <c r="GWH1" s="243"/>
      <c r="GWI1" s="243"/>
      <c r="GWJ1" s="243"/>
      <c r="GWK1" s="243"/>
      <c r="GWL1" s="243"/>
      <c r="GWM1" s="243"/>
      <c r="GWN1" s="243"/>
      <c r="GWO1" s="243" t="s">
        <v>127</v>
      </c>
      <c r="GWP1" s="243"/>
      <c r="GWQ1" s="243"/>
      <c r="GWR1" s="243"/>
      <c r="GWS1" s="243"/>
      <c r="GWT1" s="243"/>
      <c r="GWU1" s="243"/>
      <c r="GWV1" s="243"/>
      <c r="GWW1" s="243"/>
      <c r="GWX1" s="243"/>
      <c r="GWY1" s="243"/>
      <c r="GWZ1" s="243"/>
      <c r="GXA1" s="243"/>
      <c r="GXB1" s="243"/>
      <c r="GXC1" s="243"/>
      <c r="GXD1" s="243"/>
      <c r="GXE1" s="243" t="s">
        <v>127</v>
      </c>
      <c r="GXF1" s="243"/>
      <c r="GXG1" s="243"/>
      <c r="GXH1" s="243"/>
      <c r="GXI1" s="243"/>
      <c r="GXJ1" s="243"/>
      <c r="GXK1" s="243"/>
      <c r="GXL1" s="243"/>
      <c r="GXM1" s="243"/>
      <c r="GXN1" s="243"/>
      <c r="GXO1" s="243"/>
      <c r="GXP1" s="243"/>
      <c r="GXQ1" s="243"/>
      <c r="GXR1" s="243"/>
      <c r="GXS1" s="243"/>
      <c r="GXT1" s="243"/>
      <c r="GXU1" s="243" t="s">
        <v>127</v>
      </c>
      <c r="GXV1" s="243"/>
      <c r="GXW1" s="243"/>
      <c r="GXX1" s="243"/>
      <c r="GXY1" s="243"/>
      <c r="GXZ1" s="243"/>
      <c r="GYA1" s="243"/>
      <c r="GYB1" s="243"/>
      <c r="GYC1" s="243"/>
      <c r="GYD1" s="243"/>
      <c r="GYE1" s="243"/>
      <c r="GYF1" s="243"/>
      <c r="GYG1" s="243"/>
      <c r="GYH1" s="243"/>
      <c r="GYI1" s="243"/>
      <c r="GYJ1" s="243"/>
      <c r="GYK1" s="243" t="s">
        <v>127</v>
      </c>
      <c r="GYL1" s="243"/>
      <c r="GYM1" s="243"/>
      <c r="GYN1" s="243"/>
      <c r="GYO1" s="243"/>
      <c r="GYP1" s="243"/>
      <c r="GYQ1" s="243"/>
      <c r="GYR1" s="243"/>
      <c r="GYS1" s="243"/>
      <c r="GYT1" s="243"/>
      <c r="GYU1" s="243"/>
      <c r="GYV1" s="243"/>
      <c r="GYW1" s="243"/>
      <c r="GYX1" s="243"/>
      <c r="GYY1" s="243"/>
      <c r="GYZ1" s="243"/>
      <c r="GZA1" s="243" t="s">
        <v>127</v>
      </c>
      <c r="GZB1" s="243"/>
      <c r="GZC1" s="243"/>
      <c r="GZD1" s="243"/>
      <c r="GZE1" s="243"/>
      <c r="GZF1" s="243"/>
      <c r="GZG1" s="243"/>
      <c r="GZH1" s="243"/>
      <c r="GZI1" s="243"/>
      <c r="GZJ1" s="243"/>
      <c r="GZK1" s="243"/>
      <c r="GZL1" s="243"/>
      <c r="GZM1" s="243"/>
      <c r="GZN1" s="243"/>
      <c r="GZO1" s="243"/>
      <c r="GZP1" s="243"/>
      <c r="GZQ1" s="243" t="s">
        <v>127</v>
      </c>
      <c r="GZR1" s="243"/>
      <c r="GZS1" s="243"/>
      <c r="GZT1" s="243"/>
      <c r="GZU1" s="243"/>
      <c r="GZV1" s="243"/>
      <c r="GZW1" s="243"/>
      <c r="GZX1" s="243"/>
      <c r="GZY1" s="243"/>
      <c r="GZZ1" s="243"/>
      <c r="HAA1" s="243"/>
      <c r="HAB1" s="243"/>
      <c r="HAC1" s="243"/>
      <c r="HAD1" s="243"/>
      <c r="HAE1" s="243"/>
      <c r="HAF1" s="243"/>
      <c r="HAG1" s="243" t="s">
        <v>127</v>
      </c>
      <c r="HAH1" s="243"/>
      <c r="HAI1" s="243"/>
      <c r="HAJ1" s="243"/>
      <c r="HAK1" s="243"/>
      <c r="HAL1" s="243"/>
      <c r="HAM1" s="243"/>
      <c r="HAN1" s="243"/>
      <c r="HAO1" s="243"/>
      <c r="HAP1" s="243"/>
      <c r="HAQ1" s="243"/>
      <c r="HAR1" s="243"/>
      <c r="HAS1" s="243"/>
      <c r="HAT1" s="243"/>
      <c r="HAU1" s="243"/>
      <c r="HAV1" s="243"/>
      <c r="HAW1" s="243" t="s">
        <v>127</v>
      </c>
      <c r="HAX1" s="243"/>
      <c r="HAY1" s="243"/>
      <c r="HAZ1" s="243"/>
      <c r="HBA1" s="243"/>
      <c r="HBB1" s="243"/>
      <c r="HBC1" s="243"/>
      <c r="HBD1" s="243"/>
      <c r="HBE1" s="243"/>
      <c r="HBF1" s="243"/>
      <c r="HBG1" s="243"/>
      <c r="HBH1" s="243"/>
      <c r="HBI1" s="243"/>
      <c r="HBJ1" s="243"/>
      <c r="HBK1" s="243"/>
      <c r="HBL1" s="243"/>
      <c r="HBM1" s="243" t="s">
        <v>127</v>
      </c>
      <c r="HBN1" s="243"/>
      <c r="HBO1" s="243"/>
      <c r="HBP1" s="243"/>
      <c r="HBQ1" s="243"/>
      <c r="HBR1" s="243"/>
      <c r="HBS1" s="243"/>
      <c r="HBT1" s="243"/>
      <c r="HBU1" s="243"/>
      <c r="HBV1" s="243"/>
      <c r="HBW1" s="243"/>
      <c r="HBX1" s="243"/>
      <c r="HBY1" s="243"/>
      <c r="HBZ1" s="243"/>
      <c r="HCA1" s="243"/>
      <c r="HCB1" s="243"/>
      <c r="HCC1" s="243" t="s">
        <v>127</v>
      </c>
      <c r="HCD1" s="243"/>
      <c r="HCE1" s="243"/>
      <c r="HCF1" s="243"/>
      <c r="HCG1" s="243"/>
      <c r="HCH1" s="243"/>
      <c r="HCI1" s="243"/>
      <c r="HCJ1" s="243"/>
      <c r="HCK1" s="243"/>
      <c r="HCL1" s="243"/>
      <c r="HCM1" s="243"/>
      <c r="HCN1" s="243"/>
      <c r="HCO1" s="243"/>
      <c r="HCP1" s="243"/>
      <c r="HCQ1" s="243"/>
      <c r="HCR1" s="243"/>
      <c r="HCS1" s="243" t="s">
        <v>127</v>
      </c>
      <c r="HCT1" s="243"/>
      <c r="HCU1" s="243"/>
      <c r="HCV1" s="243"/>
      <c r="HCW1" s="243"/>
      <c r="HCX1" s="243"/>
      <c r="HCY1" s="243"/>
      <c r="HCZ1" s="243"/>
      <c r="HDA1" s="243"/>
      <c r="HDB1" s="243"/>
      <c r="HDC1" s="243"/>
      <c r="HDD1" s="243"/>
      <c r="HDE1" s="243"/>
      <c r="HDF1" s="243"/>
      <c r="HDG1" s="243"/>
      <c r="HDH1" s="243"/>
      <c r="HDI1" s="243" t="s">
        <v>127</v>
      </c>
      <c r="HDJ1" s="243"/>
      <c r="HDK1" s="243"/>
      <c r="HDL1" s="243"/>
      <c r="HDM1" s="243"/>
      <c r="HDN1" s="243"/>
      <c r="HDO1" s="243"/>
      <c r="HDP1" s="243"/>
      <c r="HDQ1" s="243"/>
      <c r="HDR1" s="243"/>
      <c r="HDS1" s="243"/>
      <c r="HDT1" s="243"/>
      <c r="HDU1" s="243"/>
      <c r="HDV1" s="243"/>
      <c r="HDW1" s="243"/>
      <c r="HDX1" s="243"/>
      <c r="HDY1" s="243" t="s">
        <v>127</v>
      </c>
      <c r="HDZ1" s="243"/>
      <c r="HEA1" s="243"/>
      <c r="HEB1" s="243"/>
      <c r="HEC1" s="243"/>
      <c r="HED1" s="243"/>
      <c r="HEE1" s="243"/>
      <c r="HEF1" s="243"/>
      <c r="HEG1" s="243"/>
      <c r="HEH1" s="243"/>
      <c r="HEI1" s="243"/>
      <c r="HEJ1" s="243"/>
      <c r="HEK1" s="243"/>
      <c r="HEL1" s="243"/>
      <c r="HEM1" s="243"/>
      <c r="HEN1" s="243"/>
      <c r="HEO1" s="243" t="s">
        <v>127</v>
      </c>
      <c r="HEP1" s="243"/>
      <c r="HEQ1" s="243"/>
      <c r="HER1" s="243"/>
      <c r="HES1" s="243"/>
      <c r="HET1" s="243"/>
      <c r="HEU1" s="243"/>
      <c r="HEV1" s="243"/>
      <c r="HEW1" s="243"/>
      <c r="HEX1" s="243"/>
      <c r="HEY1" s="243"/>
      <c r="HEZ1" s="243"/>
      <c r="HFA1" s="243"/>
      <c r="HFB1" s="243"/>
      <c r="HFC1" s="243"/>
      <c r="HFD1" s="243"/>
      <c r="HFE1" s="243" t="s">
        <v>127</v>
      </c>
      <c r="HFF1" s="243"/>
      <c r="HFG1" s="243"/>
      <c r="HFH1" s="243"/>
      <c r="HFI1" s="243"/>
      <c r="HFJ1" s="243"/>
      <c r="HFK1" s="243"/>
      <c r="HFL1" s="243"/>
      <c r="HFM1" s="243"/>
      <c r="HFN1" s="243"/>
      <c r="HFO1" s="243"/>
      <c r="HFP1" s="243"/>
      <c r="HFQ1" s="243"/>
      <c r="HFR1" s="243"/>
      <c r="HFS1" s="243"/>
      <c r="HFT1" s="243"/>
      <c r="HFU1" s="243" t="s">
        <v>127</v>
      </c>
      <c r="HFV1" s="243"/>
      <c r="HFW1" s="243"/>
      <c r="HFX1" s="243"/>
      <c r="HFY1" s="243"/>
      <c r="HFZ1" s="243"/>
      <c r="HGA1" s="243"/>
      <c r="HGB1" s="243"/>
      <c r="HGC1" s="243"/>
      <c r="HGD1" s="243"/>
      <c r="HGE1" s="243"/>
      <c r="HGF1" s="243"/>
      <c r="HGG1" s="243"/>
      <c r="HGH1" s="243"/>
      <c r="HGI1" s="243"/>
      <c r="HGJ1" s="243"/>
      <c r="HGK1" s="243" t="s">
        <v>127</v>
      </c>
      <c r="HGL1" s="243"/>
      <c r="HGM1" s="243"/>
      <c r="HGN1" s="243"/>
      <c r="HGO1" s="243"/>
      <c r="HGP1" s="243"/>
      <c r="HGQ1" s="243"/>
      <c r="HGR1" s="243"/>
      <c r="HGS1" s="243"/>
      <c r="HGT1" s="243"/>
      <c r="HGU1" s="243"/>
      <c r="HGV1" s="243"/>
      <c r="HGW1" s="243"/>
      <c r="HGX1" s="243"/>
      <c r="HGY1" s="243"/>
      <c r="HGZ1" s="243"/>
      <c r="HHA1" s="243" t="s">
        <v>127</v>
      </c>
      <c r="HHB1" s="243"/>
      <c r="HHC1" s="243"/>
      <c r="HHD1" s="243"/>
      <c r="HHE1" s="243"/>
      <c r="HHF1" s="243"/>
      <c r="HHG1" s="243"/>
      <c r="HHH1" s="243"/>
      <c r="HHI1" s="243"/>
      <c r="HHJ1" s="243"/>
      <c r="HHK1" s="243"/>
      <c r="HHL1" s="243"/>
      <c r="HHM1" s="243"/>
      <c r="HHN1" s="243"/>
      <c r="HHO1" s="243"/>
      <c r="HHP1" s="243"/>
      <c r="HHQ1" s="243" t="s">
        <v>127</v>
      </c>
      <c r="HHR1" s="243"/>
      <c r="HHS1" s="243"/>
      <c r="HHT1" s="243"/>
      <c r="HHU1" s="243"/>
      <c r="HHV1" s="243"/>
      <c r="HHW1" s="243"/>
      <c r="HHX1" s="243"/>
      <c r="HHY1" s="243"/>
      <c r="HHZ1" s="243"/>
      <c r="HIA1" s="243"/>
      <c r="HIB1" s="243"/>
      <c r="HIC1" s="243"/>
      <c r="HID1" s="243"/>
      <c r="HIE1" s="243"/>
      <c r="HIF1" s="243"/>
      <c r="HIG1" s="243" t="s">
        <v>127</v>
      </c>
      <c r="HIH1" s="243"/>
      <c r="HII1" s="243"/>
      <c r="HIJ1" s="243"/>
      <c r="HIK1" s="243"/>
      <c r="HIL1" s="243"/>
      <c r="HIM1" s="243"/>
      <c r="HIN1" s="243"/>
      <c r="HIO1" s="243"/>
      <c r="HIP1" s="243"/>
      <c r="HIQ1" s="243"/>
      <c r="HIR1" s="243"/>
      <c r="HIS1" s="243"/>
      <c r="HIT1" s="243"/>
      <c r="HIU1" s="243"/>
      <c r="HIV1" s="243"/>
      <c r="HIW1" s="243" t="s">
        <v>127</v>
      </c>
      <c r="HIX1" s="243"/>
      <c r="HIY1" s="243"/>
      <c r="HIZ1" s="243"/>
      <c r="HJA1" s="243"/>
      <c r="HJB1" s="243"/>
      <c r="HJC1" s="243"/>
      <c r="HJD1" s="243"/>
      <c r="HJE1" s="243"/>
      <c r="HJF1" s="243"/>
      <c r="HJG1" s="243"/>
      <c r="HJH1" s="243"/>
      <c r="HJI1" s="243"/>
      <c r="HJJ1" s="243"/>
      <c r="HJK1" s="243"/>
      <c r="HJL1" s="243"/>
      <c r="HJM1" s="243" t="s">
        <v>127</v>
      </c>
      <c r="HJN1" s="243"/>
      <c r="HJO1" s="243"/>
      <c r="HJP1" s="243"/>
      <c r="HJQ1" s="243"/>
      <c r="HJR1" s="243"/>
      <c r="HJS1" s="243"/>
      <c r="HJT1" s="243"/>
      <c r="HJU1" s="243"/>
      <c r="HJV1" s="243"/>
      <c r="HJW1" s="243"/>
      <c r="HJX1" s="243"/>
      <c r="HJY1" s="243"/>
      <c r="HJZ1" s="243"/>
      <c r="HKA1" s="243"/>
      <c r="HKB1" s="243"/>
      <c r="HKC1" s="243" t="s">
        <v>127</v>
      </c>
      <c r="HKD1" s="243"/>
      <c r="HKE1" s="243"/>
      <c r="HKF1" s="243"/>
      <c r="HKG1" s="243"/>
      <c r="HKH1" s="243"/>
      <c r="HKI1" s="243"/>
      <c r="HKJ1" s="243"/>
      <c r="HKK1" s="243"/>
      <c r="HKL1" s="243"/>
      <c r="HKM1" s="243"/>
      <c r="HKN1" s="243"/>
      <c r="HKO1" s="243"/>
      <c r="HKP1" s="243"/>
      <c r="HKQ1" s="243"/>
      <c r="HKR1" s="243"/>
      <c r="HKS1" s="243" t="s">
        <v>127</v>
      </c>
      <c r="HKT1" s="243"/>
      <c r="HKU1" s="243"/>
      <c r="HKV1" s="243"/>
      <c r="HKW1" s="243"/>
      <c r="HKX1" s="243"/>
      <c r="HKY1" s="243"/>
      <c r="HKZ1" s="243"/>
      <c r="HLA1" s="243"/>
      <c r="HLB1" s="243"/>
      <c r="HLC1" s="243"/>
      <c r="HLD1" s="243"/>
      <c r="HLE1" s="243"/>
      <c r="HLF1" s="243"/>
      <c r="HLG1" s="243"/>
      <c r="HLH1" s="243"/>
      <c r="HLI1" s="243" t="s">
        <v>127</v>
      </c>
      <c r="HLJ1" s="243"/>
      <c r="HLK1" s="243"/>
      <c r="HLL1" s="243"/>
      <c r="HLM1" s="243"/>
      <c r="HLN1" s="243"/>
      <c r="HLO1" s="243"/>
      <c r="HLP1" s="243"/>
      <c r="HLQ1" s="243"/>
      <c r="HLR1" s="243"/>
      <c r="HLS1" s="243"/>
      <c r="HLT1" s="243"/>
      <c r="HLU1" s="243"/>
      <c r="HLV1" s="243"/>
      <c r="HLW1" s="243"/>
      <c r="HLX1" s="243"/>
      <c r="HLY1" s="243" t="s">
        <v>127</v>
      </c>
      <c r="HLZ1" s="243"/>
      <c r="HMA1" s="243"/>
      <c r="HMB1" s="243"/>
      <c r="HMC1" s="243"/>
      <c r="HMD1" s="243"/>
      <c r="HME1" s="243"/>
      <c r="HMF1" s="243"/>
      <c r="HMG1" s="243"/>
      <c r="HMH1" s="243"/>
      <c r="HMI1" s="243"/>
      <c r="HMJ1" s="243"/>
      <c r="HMK1" s="243"/>
      <c r="HML1" s="243"/>
      <c r="HMM1" s="243"/>
      <c r="HMN1" s="243"/>
      <c r="HMO1" s="243" t="s">
        <v>127</v>
      </c>
      <c r="HMP1" s="243"/>
      <c r="HMQ1" s="243"/>
      <c r="HMR1" s="243"/>
      <c r="HMS1" s="243"/>
      <c r="HMT1" s="243"/>
      <c r="HMU1" s="243"/>
      <c r="HMV1" s="243"/>
      <c r="HMW1" s="243"/>
      <c r="HMX1" s="243"/>
      <c r="HMY1" s="243"/>
      <c r="HMZ1" s="243"/>
      <c r="HNA1" s="243"/>
      <c r="HNB1" s="243"/>
      <c r="HNC1" s="243"/>
      <c r="HND1" s="243"/>
      <c r="HNE1" s="243" t="s">
        <v>127</v>
      </c>
      <c r="HNF1" s="243"/>
      <c r="HNG1" s="243"/>
      <c r="HNH1" s="243"/>
      <c r="HNI1" s="243"/>
      <c r="HNJ1" s="243"/>
      <c r="HNK1" s="243"/>
      <c r="HNL1" s="243"/>
      <c r="HNM1" s="243"/>
      <c r="HNN1" s="243"/>
      <c r="HNO1" s="243"/>
      <c r="HNP1" s="243"/>
      <c r="HNQ1" s="243"/>
      <c r="HNR1" s="243"/>
      <c r="HNS1" s="243"/>
      <c r="HNT1" s="243"/>
      <c r="HNU1" s="243" t="s">
        <v>127</v>
      </c>
      <c r="HNV1" s="243"/>
      <c r="HNW1" s="243"/>
      <c r="HNX1" s="243"/>
      <c r="HNY1" s="243"/>
      <c r="HNZ1" s="243"/>
      <c r="HOA1" s="243"/>
      <c r="HOB1" s="243"/>
      <c r="HOC1" s="243"/>
      <c r="HOD1" s="243"/>
      <c r="HOE1" s="243"/>
      <c r="HOF1" s="243"/>
      <c r="HOG1" s="243"/>
      <c r="HOH1" s="243"/>
      <c r="HOI1" s="243"/>
      <c r="HOJ1" s="243"/>
      <c r="HOK1" s="243" t="s">
        <v>127</v>
      </c>
      <c r="HOL1" s="243"/>
      <c r="HOM1" s="243"/>
      <c r="HON1" s="243"/>
      <c r="HOO1" s="243"/>
      <c r="HOP1" s="243"/>
      <c r="HOQ1" s="243"/>
      <c r="HOR1" s="243"/>
      <c r="HOS1" s="243"/>
      <c r="HOT1" s="243"/>
      <c r="HOU1" s="243"/>
      <c r="HOV1" s="243"/>
      <c r="HOW1" s="243"/>
      <c r="HOX1" s="243"/>
      <c r="HOY1" s="243"/>
      <c r="HOZ1" s="243"/>
      <c r="HPA1" s="243" t="s">
        <v>127</v>
      </c>
      <c r="HPB1" s="243"/>
      <c r="HPC1" s="243"/>
      <c r="HPD1" s="243"/>
      <c r="HPE1" s="243"/>
      <c r="HPF1" s="243"/>
      <c r="HPG1" s="243"/>
      <c r="HPH1" s="243"/>
      <c r="HPI1" s="243"/>
      <c r="HPJ1" s="243"/>
      <c r="HPK1" s="243"/>
      <c r="HPL1" s="243"/>
      <c r="HPM1" s="243"/>
      <c r="HPN1" s="243"/>
      <c r="HPO1" s="243"/>
      <c r="HPP1" s="243"/>
      <c r="HPQ1" s="243" t="s">
        <v>127</v>
      </c>
      <c r="HPR1" s="243"/>
      <c r="HPS1" s="243"/>
      <c r="HPT1" s="243"/>
      <c r="HPU1" s="243"/>
      <c r="HPV1" s="243"/>
      <c r="HPW1" s="243"/>
      <c r="HPX1" s="243"/>
      <c r="HPY1" s="243"/>
      <c r="HPZ1" s="243"/>
      <c r="HQA1" s="243"/>
      <c r="HQB1" s="243"/>
      <c r="HQC1" s="243"/>
      <c r="HQD1" s="243"/>
      <c r="HQE1" s="243"/>
      <c r="HQF1" s="243"/>
      <c r="HQG1" s="243" t="s">
        <v>127</v>
      </c>
      <c r="HQH1" s="243"/>
      <c r="HQI1" s="243"/>
      <c r="HQJ1" s="243"/>
      <c r="HQK1" s="243"/>
      <c r="HQL1" s="243"/>
      <c r="HQM1" s="243"/>
      <c r="HQN1" s="243"/>
      <c r="HQO1" s="243"/>
      <c r="HQP1" s="243"/>
      <c r="HQQ1" s="243"/>
      <c r="HQR1" s="243"/>
      <c r="HQS1" s="243"/>
      <c r="HQT1" s="243"/>
      <c r="HQU1" s="243"/>
      <c r="HQV1" s="243"/>
      <c r="HQW1" s="243" t="s">
        <v>127</v>
      </c>
      <c r="HQX1" s="243"/>
      <c r="HQY1" s="243"/>
      <c r="HQZ1" s="243"/>
      <c r="HRA1" s="243"/>
      <c r="HRB1" s="243"/>
      <c r="HRC1" s="243"/>
      <c r="HRD1" s="243"/>
      <c r="HRE1" s="243"/>
      <c r="HRF1" s="243"/>
      <c r="HRG1" s="243"/>
      <c r="HRH1" s="243"/>
      <c r="HRI1" s="243"/>
      <c r="HRJ1" s="243"/>
      <c r="HRK1" s="243"/>
      <c r="HRL1" s="243"/>
      <c r="HRM1" s="243" t="s">
        <v>127</v>
      </c>
      <c r="HRN1" s="243"/>
      <c r="HRO1" s="243"/>
      <c r="HRP1" s="243"/>
      <c r="HRQ1" s="243"/>
      <c r="HRR1" s="243"/>
      <c r="HRS1" s="243"/>
      <c r="HRT1" s="243"/>
      <c r="HRU1" s="243"/>
      <c r="HRV1" s="243"/>
      <c r="HRW1" s="243"/>
      <c r="HRX1" s="243"/>
      <c r="HRY1" s="243"/>
      <c r="HRZ1" s="243"/>
      <c r="HSA1" s="243"/>
      <c r="HSB1" s="243"/>
      <c r="HSC1" s="243" t="s">
        <v>127</v>
      </c>
      <c r="HSD1" s="243"/>
      <c r="HSE1" s="243"/>
      <c r="HSF1" s="243"/>
      <c r="HSG1" s="243"/>
      <c r="HSH1" s="243"/>
      <c r="HSI1" s="243"/>
      <c r="HSJ1" s="243"/>
      <c r="HSK1" s="243"/>
      <c r="HSL1" s="243"/>
      <c r="HSM1" s="243"/>
      <c r="HSN1" s="243"/>
      <c r="HSO1" s="243"/>
      <c r="HSP1" s="243"/>
      <c r="HSQ1" s="243"/>
      <c r="HSR1" s="243"/>
      <c r="HSS1" s="243" t="s">
        <v>127</v>
      </c>
      <c r="HST1" s="243"/>
      <c r="HSU1" s="243"/>
      <c r="HSV1" s="243"/>
      <c r="HSW1" s="243"/>
      <c r="HSX1" s="243"/>
      <c r="HSY1" s="243"/>
      <c r="HSZ1" s="243"/>
      <c r="HTA1" s="243"/>
      <c r="HTB1" s="243"/>
      <c r="HTC1" s="243"/>
      <c r="HTD1" s="243"/>
      <c r="HTE1" s="243"/>
      <c r="HTF1" s="243"/>
      <c r="HTG1" s="243"/>
      <c r="HTH1" s="243"/>
      <c r="HTI1" s="243" t="s">
        <v>127</v>
      </c>
      <c r="HTJ1" s="243"/>
      <c r="HTK1" s="243"/>
      <c r="HTL1" s="243"/>
      <c r="HTM1" s="243"/>
      <c r="HTN1" s="243"/>
      <c r="HTO1" s="243"/>
      <c r="HTP1" s="243"/>
      <c r="HTQ1" s="243"/>
      <c r="HTR1" s="243"/>
      <c r="HTS1" s="243"/>
      <c r="HTT1" s="243"/>
      <c r="HTU1" s="243"/>
      <c r="HTV1" s="243"/>
      <c r="HTW1" s="243"/>
      <c r="HTX1" s="243"/>
      <c r="HTY1" s="243" t="s">
        <v>127</v>
      </c>
      <c r="HTZ1" s="243"/>
      <c r="HUA1" s="243"/>
      <c r="HUB1" s="243"/>
      <c r="HUC1" s="243"/>
      <c r="HUD1" s="243"/>
      <c r="HUE1" s="243"/>
      <c r="HUF1" s="243"/>
      <c r="HUG1" s="243"/>
      <c r="HUH1" s="243"/>
      <c r="HUI1" s="243"/>
      <c r="HUJ1" s="243"/>
      <c r="HUK1" s="243"/>
      <c r="HUL1" s="243"/>
      <c r="HUM1" s="243"/>
      <c r="HUN1" s="243"/>
      <c r="HUO1" s="243" t="s">
        <v>127</v>
      </c>
      <c r="HUP1" s="243"/>
      <c r="HUQ1" s="243"/>
      <c r="HUR1" s="243"/>
      <c r="HUS1" s="243"/>
      <c r="HUT1" s="243"/>
      <c r="HUU1" s="243"/>
      <c r="HUV1" s="243"/>
      <c r="HUW1" s="243"/>
      <c r="HUX1" s="243"/>
      <c r="HUY1" s="243"/>
      <c r="HUZ1" s="243"/>
      <c r="HVA1" s="243"/>
      <c r="HVB1" s="243"/>
      <c r="HVC1" s="243"/>
      <c r="HVD1" s="243"/>
      <c r="HVE1" s="243" t="s">
        <v>127</v>
      </c>
      <c r="HVF1" s="243"/>
      <c r="HVG1" s="243"/>
      <c r="HVH1" s="243"/>
      <c r="HVI1" s="243"/>
      <c r="HVJ1" s="243"/>
      <c r="HVK1" s="243"/>
      <c r="HVL1" s="243"/>
      <c r="HVM1" s="243"/>
      <c r="HVN1" s="243"/>
      <c r="HVO1" s="243"/>
      <c r="HVP1" s="243"/>
      <c r="HVQ1" s="243"/>
      <c r="HVR1" s="243"/>
      <c r="HVS1" s="243"/>
      <c r="HVT1" s="243"/>
      <c r="HVU1" s="243" t="s">
        <v>127</v>
      </c>
      <c r="HVV1" s="243"/>
      <c r="HVW1" s="243"/>
      <c r="HVX1" s="243"/>
      <c r="HVY1" s="243"/>
      <c r="HVZ1" s="243"/>
      <c r="HWA1" s="243"/>
      <c r="HWB1" s="243"/>
      <c r="HWC1" s="243"/>
      <c r="HWD1" s="243"/>
      <c r="HWE1" s="243"/>
      <c r="HWF1" s="243"/>
      <c r="HWG1" s="243"/>
      <c r="HWH1" s="243"/>
      <c r="HWI1" s="243"/>
      <c r="HWJ1" s="243"/>
      <c r="HWK1" s="243" t="s">
        <v>127</v>
      </c>
      <c r="HWL1" s="243"/>
      <c r="HWM1" s="243"/>
      <c r="HWN1" s="243"/>
      <c r="HWO1" s="243"/>
      <c r="HWP1" s="243"/>
      <c r="HWQ1" s="243"/>
      <c r="HWR1" s="243"/>
      <c r="HWS1" s="243"/>
      <c r="HWT1" s="243"/>
      <c r="HWU1" s="243"/>
      <c r="HWV1" s="243"/>
      <c r="HWW1" s="243"/>
      <c r="HWX1" s="243"/>
      <c r="HWY1" s="243"/>
      <c r="HWZ1" s="243"/>
      <c r="HXA1" s="243" t="s">
        <v>127</v>
      </c>
      <c r="HXB1" s="243"/>
      <c r="HXC1" s="243"/>
      <c r="HXD1" s="243"/>
      <c r="HXE1" s="243"/>
      <c r="HXF1" s="243"/>
      <c r="HXG1" s="243"/>
      <c r="HXH1" s="243"/>
      <c r="HXI1" s="243"/>
      <c r="HXJ1" s="243"/>
      <c r="HXK1" s="243"/>
      <c r="HXL1" s="243"/>
      <c r="HXM1" s="243"/>
      <c r="HXN1" s="243"/>
      <c r="HXO1" s="243"/>
      <c r="HXP1" s="243"/>
      <c r="HXQ1" s="243" t="s">
        <v>127</v>
      </c>
      <c r="HXR1" s="243"/>
      <c r="HXS1" s="243"/>
      <c r="HXT1" s="243"/>
      <c r="HXU1" s="243"/>
      <c r="HXV1" s="243"/>
      <c r="HXW1" s="243"/>
      <c r="HXX1" s="243"/>
      <c r="HXY1" s="243"/>
      <c r="HXZ1" s="243"/>
      <c r="HYA1" s="243"/>
      <c r="HYB1" s="243"/>
      <c r="HYC1" s="243"/>
      <c r="HYD1" s="243"/>
      <c r="HYE1" s="243"/>
      <c r="HYF1" s="243"/>
      <c r="HYG1" s="243" t="s">
        <v>127</v>
      </c>
      <c r="HYH1" s="243"/>
      <c r="HYI1" s="243"/>
      <c r="HYJ1" s="243"/>
      <c r="HYK1" s="243"/>
      <c r="HYL1" s="243"/>
      <c r="HYM1" s="243"/>
      <c r="HYN1" s="243"/>
      <c r="HYO1" s="243"/>
      <c r="HYP1" s="243"/>
      <c r="HYQ1" s="243"/>
      <c r="HYR1" s="243"/>
      <c r="HYS1" s="243"/>
      <c r="HYT1" s="243"/>
      <c r="HYU1" s="243"/>
      <c r="HYV1" s="243"/>
      <c r="HYW1" s="243" t="s">
        <v>127</v>
      </c>
      <c r="HYX1" s="243"/>
      <c r="HYY1" s="243"/>
      <c r="HYZ1" s="243"/>
      <c r="HZA1" s="243"/>
      <c r="HZB1" s="243"/>
      <c r="HZC1" s="243"/>
      <c r="HZD1" s="243"/>
      <c r="HZE1" s="243"/>
      <c r="HZF1" s="243"/>
      <c r="HZG1" s="243"/>
      <c r="HZH1" s="243"/>
      <c r="HZI1" s="243"/>
      <c r="HZJ1" s="243"/>
      <c r="HZK1" s="243"/>
      <c r="HZL1" s="243"/>
      <c r="HZM1" s="243" t="s">
        <v>127</v>
      </c>
      <c r="HZN1" s="243"/>
      <c r="HZO1" s="243"/>
      <c r="HZP1" s="243"/>
      <c r="HZQ1" s="243"/>
      <c r="HZR1" s="243"/>
      <c r="HZS1" s="243"/>
      <c r="HZT1" s="243"/>
      <c r="HZU1" s="243"/>
      <c r="HZV1" s="243"/>
      <c r="HZW1" s="243"/>
      <c r="HZX1" s="243"/>
      <c r="HZY1" s="243"/>
      <c r="HZZ1" s="243"/>
      <c r="IAA1" s="243"/>
      <c r="IAB1" s="243"/>
      <c r="IAC1" s="243" t="s">
        <v>127</v>
      </c>
      <c r="IAD1" s="243"/>
      <c r="IAE1" s="243"/>
      <c r="IAF1" s="243"/>
      <c r="IAG1" s="243"/>
      <c r="IAH1" s="243"/>
      <c r="IAI1" s="243"/>
      <c r="IAJ1" s="243"/>
      <c r="IAK1" s="243"/>
      <c r="IAL1" s="243"/>
      <c r="IAM1" s="243"/>
      <c r="IAN1" s="243"/>
      <c r="IAO1" s="243"/>
      <c r="IAP1" s="243"/>
      <c r="IAQ1" s="243"/>
      <c r="IAR1" s="243"/>
      <c r="IAS1" s="243" t="s">
        <v>127</v>
      </c>
      <c r="IAT1" s="243"/>
      <c r="IAU1" s="243"/>
      <c r="IAV1" s="243"/>
      <c r="IAW1" s="243"/>
      <c r="IAX1" s="243"/>
      <c r="IAY1" s="243"/>
      <c r="IAZ1" s="243"/>
      <c r="IBA1" s="243"/>
      <c r="IBB1" s="243"/>
      <c r="IBC1" s="243"/>
      <c r="IBD1" s="243"/>
      <c r="IBE1" s="243"/>
      <c r="IBF1" s="243"/>
      <c r="IBG1" s="243"/>
      <c r="IBH1" s="243"/>
      <c r="IBI1" s="243" t="s">
        <v>127</v>
      </c>
      <c r="IBJ1" s="243"/>
      <c r="IBK1" s="243"/>
      <c r="IBL1" s="243"/>
      <c r="IBM1" s="243"/>
      <c r="IBN1" s="243"/>
      <c r="IBO1" s="243"/>
      <c r="IBP1" s="243"/>
      <c r="IBQ1" s="243"/>
      <c r="IBR1" s="243"/>
      <c r="IBS1" s="243"/>
      <c r="IBT1" s="243"/>
      <c r="IBU1" s="243"/>
      <c r="IBV1" s="243"/>
      <c r="IBW1" s="243"/>
      <c r="IBX1" s="243"/>
      <c r="IBY1" s="243" t="s">
        <v>127</v>
      </c>
      <c r="IBZ1" s="243"/>
      <c r="ICA1" s="243"/>
      <c r="ICB1" s="243"/>
      <c r="ICC1" s="243"/>
      <c r="ICD1" s="243"/>
      <c r="ICE1" s="243"/>
      <c r="ICF1" s="243"/>
      <c r="ICG1" s="243"/>
      <c r="ICH1" s="243"/>
      <c r="ICI1" s="243"/>
      <c r="ICJ1" s="243"/>
      <c r="ICK1" s="243"/>
      <c r="ICL1" s="243"/>
      <c r="ICM1" s="243"/>
      <c r="ICN1" s="243"/>
      <c r="ICO1" s="243" t="s">
        <v>127</v>
      </c>
      <c r="ICP1" s="243"/>
      <c r="ICQ1" s="243"/>
      <c r="ICR1" s="243"/>
      <c r="ICS1" s="243"/>
      <c r="ICT1" s="243"/>
      <c r="ICU1" s="243"/>
      <c r="ICV1" s="243"/>
      <c r="ICW1" s="243"/>
      <c r="ICX1" s="243"/>
      <c r="ICY1" s="243"/>
      <c r="ICZ1" s="243"/>
      <c r="IDA1" s="243"/>
      <c r="IDB1" s="243"/>
      <c r="IDC1" s="243"/>
      <c r="IDD1" s="243"/>
      <c r="IDE1" s="243" t="s">
        <v>127</v>
      </c>
      <c r="IDF1" s="243"/>
      <c r="IDG1" s="243"/>
      <c r="IDH1" s="243"/>
      <c r="IDI1" s="243"/>
      <c r="IDJ1" s="243"/>
      <c r="IDK1" s="243"/>
      <c r="IDL1" s="243"/>
      <c r="IDM1" s="243"/>
      <c r="IDN1" s="243"/>
      <c r="IDO1" s="243"/>
      <c r="IDP1" s="243"/>
      <c r="IDQ1" s="243"/>
      <c r="IDR1" s="243"/>
      <c r="IDS1" s="243"/>
      <c r="IDT1" s="243"/>
      <c r="IDU1" s="243" t="s">
        <v>127</v>
      </c>
      <c r="IDV1" s="243"/>
      <c r="IDW1" s="243"/>
      <c r="IDX1" s="243"/>
      <c r="IDY1" s="243"/>
      <c r="IDZ1" s="243"/>
      <c r="IEA1" s="243"/>
      <c r="IEB1" s="243"/>
      <c r="IEC1" s="243"/>
      <c r="IED1" s="243"/>
      <c r="IEE1" s="243"/>
      <c r="IEF1" s="243"/>
      <c r="IEG1" s="243"/>
      <c r="IEH1" s="243"/>
      <c r="IEI1" s="243"/>
      <c r="IEJ1" s="243"/>
      <c r="IEK1" s="243" t="s">
        <v>127</v>
      </c>
      <c r="IEL1" s="243"/>
      <c r="IEM1" s="243"/>
      <c r="IEN1" s="243"/>
      <c r="IEO1" s="243"/>
      <c r="IEP1" s="243"/>
      <c r="IEQ1" s="243"/>
      <c r="IER1" s="243"/>
      <c r="IES1" s="243"/>
      <c r="IET1" s="243"/>
      <c r="IEU1" s="243"/>
      <c r="IEV1" s="243"/>
      <c r="IEW1" s="243"/>
      <c r="IEX1" s="243"/>
      <c r="IEY1" s="243"/>
      <c r="IEZ1" s="243"/>
      <c r="IFA1" s="243" t="s">
        <v>127</v>
      </c>
      <c r="IFB1" s="243"/>
      <c r="IFC1" s="243"/>
      <c r="IFD1" s="243"/>
      <c r="IFE1" s="243"/>
      <c r="IFF1" s="243"/>
      <c r="IFG1" s="243"/>
      <c r="IFH1" s="243"/>
      <c r="IFI1" s="243"/>
      <c r="IFJ1" s="243"/>
      <c r="IFK1" s="243"/>
      <c r="IFL1" s="243"/>
      <c r="IFM1" s="243"/>
      <c r="IFN1" s="243"/>
      <c r="IFO1" s="243"/>
      <c r="IFP1" s="243"/>
      <c r="IFQ1" s="243" t="s">
        <v>127</v>
      </c>
      <c r="IFR1" s="243"/>
      <c r="IFS1" s="243"/>
      <c r="IFT1" s="243"/>
      <c r="IFU1" s="243"/>
      <c r="IFV1" s="243"/>
      <c r="IFW1" s="243"/>
      <c r="IFX1" s="243"/>
      <c r="IFY1" s="243"/>
      <c r="IFZ1" s="243"/>
      <c r="IGA1" s="243"/>
      <c r="IGB1" s="243"/>
      <c r="IGC1" s="243"/>
      <c r="IGD1" s="243"/>
      <c r="IGE1" s="243"/>
      <c r="IGF1" s="243"/>
      <c r="IGG1" s="243" t="s">
        <v>127</v>
      </c>
      <c r="IGH1" s="243"/>
      <c r="IGI1" s="243"/>
      <c r="IGJ1" s="243"/>
      <c r="IGK1" s="243"/>
      <c r="IGL1" s="243"/>
      <c r="IGM1" s="243"/>
      <c r="IGN1" s="243"/>
      <c r="IGO1" s="243"/>
      <c r="IGP1" s="243"/>
      <c r="IGQ1" s="243"/>
      <c r="IGR1" s="243"/>
      <c r="IGS1" s="243"/>
      <c r="IGT1" s="243"/>
      <c r="IGU1" s="243"/>
      <c r="IGV1" s="243"/>
      <c r="IGW1" s="243" t="s">
        <v>127</v>
      </c>
      <c r="IGX1" s="243"/>
      <c r="IGY1" s="243"/>
      <c r="IGZ1" s="243"/>
      <c r="IHA1" s="243"/>
      <c r="IHB1" s="243"/>
      <c r="IHC1" s="243"/>
      <c r="IHD1" s="243"/>
      <c r="IHE1" s="243"/>
      <c r="IHF1" s="243"/>
      <c r="IHG1" s="243"/>
      <c r="IHH1" s="243"/>
      <c r="IHI1" s="243"/>
      <c r="IHJ1" s="243"/>
      <c r="IHK1" s="243"/>
      <c r="IHL1" s="243"/>
      <c r="IHM1" s="243" t="s">
        <v>127</v>
      </c>
      <c r="IHN1" s="243"/>
      <c r="IHO1" s="243"/>
      <c r="IHP1" s="243"/>
      <c r="IHQ1" s="243"/>
      <c r="IHR1" s="243"/>
      <c r="IHS1" s="243"/>
      <c r="IHT1" s="243"/>
      <c r="IHU1" s="243"/>
      <c r="IHV1" s="243"/>
      <c r="IHW1" s="243"/>
      <c r="IHX1" s="243"/>
      <c r="IHY1" s="243"/>
      <c r="IHZ1" s="243"/>
      <c r="IIA1" s="243"/>
      <c r="IIB1" s="243"/>
      <c r="IIC1" s="243" t="s">
        <v>127</v>
      </c>
      <c r="IID1" s="243"/>
      <c r="IIE1" s="243"/>
      <c r="IIF1" s="243"/>
      <c r="IIG1" s="243"/>
      <c r="IIH1" s="243"/>
      <c r="III1" s="243"/>
      <c r="IIJ1" s="243"/>
      <c r="IIK1" s="243"/>
      <c r="IIL1" s="243"/>
      <c r="IIM1" s="243"/>
      <c r="IIN1" s="243"/>
      <c r="IIO1" s="243"/>
      <c r="IIP1" s="243"/>
      <c r="IIQ1" s="243"/>
      <c r="IIR1" s="243"/>
      <c r="IIS1" s="243" t="s">
        <v>127</v>
      </c>
      <c r="IIT1" s="243"/>
      <c r="IIU1" s="243"/>
      <c r="IIV1" s="243"/>
      <c r="IIW1" s="243"/>
      <c r="IIX1" s="243"/>
      <c r="IIY1" s="243"/>
      <c r="IIZ1" s="243"/>
      <c r="IJA1" s="243"/>
      <c r="IJB1" s="243"/>
      <c r="IJC1" s="243"/>
      <c r="IJD1" s="243"/>
      <c r="IJE1" s="243"/>
      <c r="IJF1" s="243"/>
      <c r="IJG1" s="243"/>
      <c r="IJH1" s="243"/>
      <c r="IJI1" s="243" t="s">
        <v>127</v>
      </c>
      <c r="IJJ1" s="243"/>
      <c r="IJK1" s="243"/>
      <c r="IJL1" s="243"/>
      <c r="IJM1" s="243"/>
      <c r="IJN1" s="243"/>
      <c r="IJO1" s="243"/>
      <c r="IJP1" s="243"/>
      <c r="IJQ1" s="243"/>
      <c r="IJR1" s="243"/>
      <c r="IJS1" s="243"/>
      <c r="IJT1" s="243"/>
      <c r="IJU1" s="243"/>
      <c r="IJV1" s="243"/>
      <c r="IJW1" s="243"/>
      <c r="IJX1" s="243"/>
      <c r="IJY1" s="243" t="s">
        <v>127</v>
      </c>
      <c r="IJZ1" s="243"/>
      <c r="IKA1" s="243"/>
      <c r="IKB1" s="243"/>
      <c r="IKC1" s="243"/>
      <c r="IKD1" s="243"/>
      <c r="IKE1" s="243"/>
      <c r="IKF1" s="243"/>
      <c r="IKG1" s="243"/>
      <c r="IKH1" s="243"/>
      <c r="IKI1" s="243"/>
      <c r="IKJ1" s="243"/>
      <c r="IKK1" s="243"/>
      <c r="IKL1" s="243"/>
      <c r="IKM1" s="243"/>
      <c r="IKN1" s="243"/>
      <c r="IKO1" s="243" t="s">
        <v>127</v>
      </c>
      <c r="IKP1" s="243"/>
      <c r="IKQ1" s="243"/>
      <c r="IKR1" s="243"/>
      <c r="IKS1" s="243"/>
      <c r="IKT1" s="243"/>
      <c r="IKU1" s="243"/>
      <c r="IKV1" s="243"/>
      <c r="IKW1" s="243"/>
      <c r="IKX1" s="243"/>
      <c r="IKY1" s="243"/>
      <c r="IKZ1" s="243"/>
      <c r="ILA1" s="243"/>
      <c r="ILB1" s="243"/>
      <c r="ILC1" s="243"/>
      <c r="ILD1" s="243"/>
      <c r="ILE1" s="243" t="s">
        <v>127</v>
      </c>
      <c r="ILF1" s="243"/>
      <c r="ILG1" s="243"/>
      <c r="ILH1" s="243"/>
      <c r="ILI1" s="243"/>
      <c r="ILJ1" s="243"/>
      <c r="ILK1" s="243"/>
      <c r="ILL1" s="243"/>
      <c r="ILM1" s="243"/>
      <c r="ILN1" s="243"/>
      <c r="ILO1" s="243"/>
      <c r="ILP1" s="243"/>
      <c r="ILQ1" s="243"/>
      <c r="ILR1" s="243"/>
      <c r="ILS1" s="243"/>
      <c r="ILT1" s="243"/>
      <c r="ILU1" s="243" t="s">
        <v>127</v>
      </c>
      <c r="ILV1" s="243"/>
      <c r="ILW1" s="243"/>
      <c r="ILX1" s="243"/>
      <c r="ILY1" s="243"/>
      <c r="ILZ1" s="243"/>
      <c r="IMA1" s="243"/>
      <c r="IMB1" s="243"/>
      <c r="IMC1" s="243"/>
      <c r="IMD1" s="243"/>
      <c r="IME1" s="243"/>
      <c r="IMF1" s="243"/>
      <c r="IMG1" s="243"/>
      <c r="IMH1" s="243"/>
      <c r="IMI1" s="243"/>
      <c r="IMJ1" s="243"/>
      <c r="IMK1" s="243" t="s">
        <v>127</v>
      </c>
      <c r="IML1" s="243"/>
      <c r="IMM1" s="243"/>
      <c r="IMN1" s="243"/>
      <c r="IMO1" s="243"/>
      <c r="IMP1" s="243"/>
      <c r="IMQ1" s="243"/>
      <c r="IMR1" s="243"/>
      <c r="IMS1" s="243"/>
      <c r="IMT1" s="243"/>
      <c r="IMU1" s="243"/>
      <c r="IMV1" s="243"/>
      <c r="IMW1" s="243"/>
      <c r="IMX1" s="243"/>
      <c r="IMY1" s="243"/>
      <c r="IMZ1" s="243"/>
      <c r="INA1" s="243" t="s">
        <v>127</v>
      </c>
      <c r="INB1" s="243"/>
      <c r="INC1" s="243"/>
      <c r="IND1" s="243"/>
      <c r="INE1" s="243"/>
      <c r="INF1" s="243"/>
      <c r="ING1" s="243"/>
      <c r="INH1" s="243"/>
      <c r="INI1" s="243"/>
      <c r="INJ1" s="243"/>
      <c r="INK1" s="243"/>
      <c r="INL1" s="243"/>
      <c r="INM1" s="243"/>
      <c r="INN1" s="243"/>
      <c r="INO1" s="243"/>
      <c r="INP1" s="243"/>
      <c r="INQ1" s="243" t="s">
        <v>127</v>
      </c>
      <c r="INR1" s="243"/>
      <c r="INS1" s="243"/>
      <c r="INT1" s="243"/>
      <c r="INU1" s="243"/>
      <c r="INV1" s="243"/>
      <c r="INW1" s="243"/>
      <c r="INX1" s="243"/>
      <c r="INY1" s="243"/>
      <c r="INZ1" s="243"/>
      <c r="IOA1" s="243"/>
      <c r="IOB1" s="243"/>
      <c r="IOC1" s="243"/>
      <c r="IOD1" s="243"/>
      <c r="IOE1" s="243"/>
      <c r="IOF1" s="243"/>
      <c r="IOG1" s="243" t="s">
        <v>127</v>
      </c>
      <c r="IOH1" s="243"/>
      <c r="IOI1" s="243"/>
      <c r="IOJ1" s="243"/>
      <c r="IOK1" s="243"/>
      <c r="IOL1" s="243"/>
      <c r="IOM1" s="243"/>
      <c r="ION1" s="243"/>
      <c r="IOO1" s="243"/>
      <c r="IOP1" s="243"/>
      <c r="IOQ1" s="243"/>
      <c r="IOR1" s="243"/>
      <c r="IOS1" s="243"/>
      <c r="IOT1" s="243"/>
      <c r="IOU1" s="243"/>
      <c r="IOV1" s="243"/>
      <c r="IOW1" s="243" t="s">
        <v>127</v>
      </c>
      <c r="IOX1" s="243"/>
      <c r="IOY1" s="243"/>
      <c r="IOZ1" s="243"/>
      <c r="IPA1" s="243"/>
      <c r="IPB1" s="243"/>
      <c r="IPC1" s="243"/>
      <c r="IPD1" s="243"/>
      <c r="IPE1" s="243"/>
      <c r="IPF1" s="243"/>
      <c r="IPG1" s="243"/>
      <c r="IPH1" s="243"/>
      <c r="IPI1" s="243"/>
      <c r="IPJ1" s="243"/>
      <c r="IPK1" s="243"/>
      <c r="IPL1" s="243"/>
      <c r="IPM1" s="243" t="s">
        <v>127</v>
      </c>
      <c r="IPN1" s="243"/>
      <c r="IPO1" s="243"/>
      <c r="IPP1" s="243"/>
      <c r="IPQ1" s="243"/>
      <c r="IPR1" s="243"/>
      <c r="IPS1" s="243"/>
      <c r="IPT1" s="243"/>
      <c r="IPU1" s="243"/>
      <c r="IPV1" s="243"/>
      <c r="IPW1" s="243"/>
      <c r="IPX1" s="243"/>
      <c r="IPY1" s="243"/>
      <c r="IPZ1" s="243"/>
      <c r="IQA1" s="243"/>
      <c r="IQB1" s="243"/>
      <c r="IQC1" s="243" t="s">
        <v>127</v>
      </c>
      <c r="IQD1" s="243"/>
      <c r="IQE1" s="243"/>
      <c r="IQF1" s="243"/>
      <c r="IQG1" s="243"/>
      <c r="IQH1" s="243"/>
      <c r="IQI1" s="243"/>
      <c r="IQJ1" s="243"/>
      <c r="IQK1" s="243"/>
      <c r="IQL1" s="243"/>
      <c r="IQM1" s="243"/>
      <c r="IQN1" s="243"/>
      <c r="IQO1" s="243"/>
      <c r="IQP1" s="243"/>
      <c r="IQQ1" s="243"/>
      <c r="IQR1" s="243"/>
      <c r="IQS1" s="243" t="s">
        <v>127</v>
      </c>
      <c r="IQT1" s="243"/>
      <c r="IQU1" s="243"/>
      <c r="IQV1" s="243"/>
      <c r="IQW1" s="243"/>
      <c r="IQX1" s="243"/>
      <c r="IQY1" s="243"/>
      <c r="IQZ1" s="243"/>
      <c r="IRA1" s="243"/>
      <c r="IRB1" s="243"/>
      <c r="IRC1" s="243"/>
      <c r="IRD1" s="243"/>
      <c r="IRE1" s="243"/>
      <c r="IRF1" s="243"/>
      <c r="IRG1" s="243"/>
      <c r="IRH1" s="243"/>
      <c r="IRI1" s="243" t="s">
        <v>127</v>
      </c>
      <c r="IRJ1" s="243"/>
      <c r="IRK1" s="243"/>
      <c r="IRL1" s="243"/>
      <c r="IRM1" s="243"/>
      <c r="IRN1" s="243"/>
      <c r="IRO1" s="243"/>
      <c r="IRP1" s="243"/>
      <c r="IRQ1" s="243"/>
      <c r="IRR1" s="243"/>
      <c r="IRS1" s="243"/>
      <c r="IRT1" s="243"/>
      <c r="IRU1" s="243"/>
      <c r="IRV1" s="243"/>
      <c r="IRW1" s="243"/>
      <c r="IRX1" s="243"/>
      <c r="IRY1" s="243" t="s">
        <v>127</v>
      </c>
      <c r="IRZ1" s="243"/>
      <c r="ISA1" s="243"/>
      <c r="ISB1" s="243"/>
      <c r="ISC1" s="243"/>
      <c r="ISD1" s="243"/>
      <c r="ISE1" s="243"/>
      <c r="ISF1" s="243"/>
      <c r="ISG1" s="243"/>
      <c r="ISH1" s="243"/>
      <c r="ISI1" s="243"/>
      <c r="ISJ1" s="243"/>
      <c r="ISK1" s="243"/>
      <c r="ISL1" s="243"/>
      <c r="ISM1" s="243"/>
      <c r="ISN1" s="243"/>
      <c r="ISO1" s="243" t="s">
        <v>127</v>
      </c>
      <c r="ISP1" s="243"/>
      <c r="ISQ1" s="243"/>
      <c r="ISR1" s="243"/>
      <c r="ISS1" s="243"/>
      <c r="IST1" s="243"/>
      <c r="ISU1" s="243"/>
      <c r="ISV1" s="243"/>
      <c r="ISW1" s="243"/>
      <c r="ISX1" s="243"/>
      <c r="ISY1" s="243"/>
      <c r="ISZ1" s="243"/>
      <c r="ITA1" s="243"/>
      <c r="ITB1" s="243"/>
      <c r="ITC1" s="243"/>
      <c r="ITD1" s="243"/>
      <c r="ITE1" s="243" t="s">
        <v>127</v>
      </c>
      <c r="ITF1" s="243"/>
      <c r="ITG1" s="243"/>
      <c r="ITH1" s="243"/>
      <c r="ITI1" s="243"/>
      <c r="ITJ1" s="243"/>
      <c r="ITK1" s="243"/>
      <c r="ITL1" s="243"/>
      <c r="ITM1" s="243"/>
      <c r="ITN1" s="243"/>
      <c r="ITO1" s="243"/>
      <c r="ITP1" s="243"/>
      <c r="ITQ1" s="243"/>
      <c r="ITR1" s="243"/>
      <c r="ITS1" s="243"/>
      <c r="ITT1" s="243"/>
      <c r="ITU1" s="243" t="s">
        <v>127</v>
      </c>
      <c r="ITV1" s="243"/>
      <c r="ITW1" s="243"/>
      <c r="ITX1" s="243"/>
      <c r="ITY1" s="243"/>
      <c r="ITZ1" s="243"/>
      <c r="IUA1" s="243"/>
      <c r="IUB1" s="243"/>
      <c r="IUC1" s="243"/>
      <c r="IUD1" s="243"/>
      <c r="IUE1" s="243"/>
      <c r="IUF1" s="243"/>
      <c r="IUG1" s="243"/>
      <c r="IUH1" s="243"/>
      <c r="IUI1" s="243"/>
      <c r="IUJ1" s="243"/>
      <c r="IUK1" s="243" t="s">
        <v>127</v>
      </c>
      <c r="IUL1" s="243"/>
      <c r="IUM1" s="243"/>
      <c r="IUN1" s="243"/>
      <c r="IUO1" s="243"/>
      <c r="IUP1" s="243"/>
      <c r="IUQ1" s="243"/>
      <c r="IUR1" s="243"/>
      <c r="IUS1" s="243"/>
      <c r="IUT1" s="243"/>
      <c r="IUU1" s="243"/>
      <c r="IUV1" s="243"/>
      <c r="IUW1" s="243"/>
      <c r="IUX1" s="243"/>
      <c r="IUY1" s="243"/>
      <c r="IUZ1" s="243"/>
      <c r="IVA1" s="243" t="s">
        <v>127</v>
      </c>
      <c r="IVB1" s="243"/>
      <c r="IVC1" s="243"/>
      <c r="IVD1" s="243"/>
      <c r="IVE1" s="243"/>
      <c r="IVF1" s="243"/>
      <c r="IVG1" s="243"/>
      <c r="IVH1" s="243"/>
      <c r="IVI1" s="243"/>
      <c r="IVJ1" s="243"/>
      <c r="IVK1" s="243"/>
      <c r="IVL1" s="243"/>
      <c r="IVM1" s="243"/>
      <c r="IVN1" s="243"/>
      <c r="IVO1" s="243"/>
      <c r="IVP1" s="243"/>
      <c r="IVQ1" s="243" t="s">
        <v>127</v>
      </c>
      <c r="IVR1" s="243"/>
      <c r="IVS1" s="243"/>
      <c r="IVT1" s="243"/>
      <c r="IVU1" s="243"/>
      <c r="IVV1" s="243"/>
      <c r="IVW1" s="243"/>
      <c r="IVX1" s="243"/>
      <c r="IVY1" s="243"/>
      <c r="IVZ1" s="243"/>
      <c r="IWA1" s="243"/>
      <c r="IWB1" s="243"/>
      <c r="IWC1" s="243"/>
      <c r="IWD1" s="243"/>
      <c r="IWE1" s="243"/>
      <c r="IWF1" s="243"/>
      <c r="IWG1" s="243" t="s">
        <v>127</v>
      </c>
      <c r="IWH1" s="243"/>
      <c r="IWI1" s="243"/>
      <c r="IWJ1" s="243"/>
      <c r="IWK1" s="243"/>
      <c r="IWL1" s="243"/>
      <c r="IWM1" s="243"/>
      <c r="IWN1" s="243"/>
      <c r="IWO1" s="243"/>
      <c r="IWP1" s="243"/>
      <c r="IWQ1" s="243"/>
      <c r="IWR1" s="243"/>
      <c r="IWS1" s="243"/>
      <c r="IWT1" s="243"/>
      <c r="IWU1" s="243"/>
      <c r="IWV1" s="243"/>
      <c r="IWW1" s="243" t="s">
        <v>127</v>
      </c>
      <c r="IWX1" s="243"/>
      <c r="IWY1" s="243"/>
      <c r="IWZ1" s="243"/>
      <c r="IXA1" s="243"/>
      <c r="IXB1" s="243"/>
      <c r="IXC1" s="243"/>
      <c r="IXD1" s="243"/>
      <c r="IXE1" s="243"/>
      <c r="IXF1" s="243"/>
      <c r="IXG1" s="243"/>
      <c r="IXH1" s="243"/>
      <c r="IXI1" s="243"/>
      <c r="IXJ1" s="243"/>
      <c r="IXK1" s="243"/>
      <c r="IXL1" s="243"/>
      <c r="IXM1" s="243" t="s">
        <v>127</v>
      </c>
      <c r="IXN1" s="243"/>
      <c r="IXO1" s="243"/>
      <c r="IXP1" s="243"/>
      <c r="IXQ1" s="243"/>
      <c r="IXR1" s="243"/>
      <c r="IXS1" s="243"/>
      <c r="IXT1" s="243"/>
      <c r="IXU1" s="243"/>
      <c r="IXV1" s="243"/>
      <c r="IXW1" s="243"/>
      <c r="IXX1" s="243"/>
      <c r="IXY1" s="243"/>
      <c r="IXZ1" s="243"/>
      <c r="IYA1" s="243"/>
      <c r="IYB1" s="243"/>
      <c r="IYC1" s="243" t="s">
        <v>127</v>
      </c>
      <c r="IYD1" s="243"/>
      <c r="IYE1" s="243"/>
      <c r="IYF1" s="243"/>
      <c r="IYG1" s="243"/>
      <c r="IYH1" s="243"/>
      <c r="IYI1" s="243"/>
      <c r="IYJ1" s="243"/>
      <c r="IYK1" s="243"/>
      <c r="IYL1" s="243"/>
      <c r="IYM1" s="243"/>
      <c r="IYN1" s="243"/>
      <c r="IYO1" s="243"/>
      <c r="IYP1" s="243"/>
      <c r="IYQ1" s="243"/>
      <c r="IYR1" s="243"/>
      <c r="IYS1" s="243" t="s">
        <v>127</v>
      </c>
      <c r="IYT1" s="243"/>
      <c r="IYU1" s="243"/>
      <c r="IYV1" s="243"/>
      <c r="IYW1" s="243"/>
      <c r="IYX1" s="243"/>
      <c r="IYY1" s="243"/>
      <c r="IYZ1" s="243"/>
      <c r="IZA1" s="243"/>
      <c r="IZB1" s="243"/>
      <c r="IZC1" s="243"/>
      <c r="IZD1" s="243"/>
      <c r="IZE1" s="243"/>
      <c r="IZF1" s="243"/>
      <c r="IZG1" s="243"/>
      <c r="IZH1" s="243"/>
      <c r="IZI1" s="243" t="s">
        <v>127</v>
      </c>
      <c r="IZJ1" s="243"/>
      <c r="IZK1" s="243"/>
      <c r="IZL1" s="243"/>
      <c r="IZM1" s="243"/>
      <c r="IZN1" s="243"/>
      <c r="IZO1" s="243"/>
      <c r="IZP1" s="243"/>
      <c r="IZQ1" s="243"/>
      <c r="IZR1" s="243"/>
      <c r="IZS1" s="243"/>
      <c r="IZT1" s="243"/>
      <c r="IZU1" s="243"/>
      <c r="IZV1" s="243"/>
      <c r="IZW1" s="243"/>
      <c r="IZX1" s="243"/>
      <c r="IZY1" s="243" t="s">
        <v>127</v>
      </c>
      <c r="IZZ1" s="243"/>
      <c r="JAA1" s="243"/>
      <c r="JAB1" s="243"/>
      <c r="JAC1" s="243"/>
      <c r="JAD1" s="243"/>
      <c r="JAE1" s="243"/>
      <c r="JAF1" s="243"/>
      <c r="JAG1" s="243"/>
      <c r="JAH1" s="243"/>
      <c r="JAI1" s="243"/>
      <c r="JAJ1" s="243"/>
      <c r="JAK1" s="243"/>
      <c r="JAL1" s="243"/>
      <c r="JAM1" s="243"/>
      <c r="JAN1" s="243"/>
      <c r="JAO1" s="243" t="s">
        <v>127</v>
      </c>
      <c r="JAP1" s="243"/>
      <c r="JAQ1" s="243"/>
      <c r="JAR1" s="243"/>
      <c r="JAS1" s="243"/>
      <c r="JAT1" s="243"/>
      <c r="JAU1" s="243"/>
      <c r="JAV1" s="243"/>
      <c r="JAW1" s="243"/>
      <c r="JAX1" s="243"/>
      <c r="JAY1" s="243"/>
      <c r="JAZ1" s="243"/>
      <c r="JBA1" s="243"/>
      <c r="JBB1" s="243"/>
      <c r="JBC1" s="243"/>
      <c r="JBD1" s="243"/>
      <c r="JBE1" s="243" t="s">
        <v>127</v>
      </c>
      <c r="JBF1" s="243"/>
      <c r="JBG1" s="243"/>
      <c r="JBH1" s="243"/>
      <c r="JBI1" s="243"/>
      <c r="JBJ1" s="243"/>
      <c r="JBK1" s="243"/>
      <c r="JBL1" s="243"/>
      <c r="JBM1" s="243"/>
      <c r="JBN1" s="243"/>
      <c r="JBO1" s="243"/>
      <c r="JBP1" s="243"/>
      <c r="JBQ1" s="243"/>
      <c r="JBR1" s="243"/>
      <c r="JBS1" s="243"/>
      <c r="JBT1" s="243"/>
      <c r="JBU1" s="243" t="s">
        <v>127</v>
      </c>
      <c r="JBV1" s="243"/>
      <c r="JBW1" s="243"/>
      <c r="JBX1" s="243"/>
      <c r="JBY1" s="243"/>
      <c r="JBZ1" s="243"/>
      <c r="JCA1" s="243"/>
      <c r="JCB1" s="243"/>
      <c r="JCC1" s="243"/>
      <c r="JCD1" s="243"/>
      <c r="JCE1" s="243"/>
      <c r="JCF1" s="243"/>
      <c r="JCG1" s="243"/>
      <c r="JCH1" s="243"/>
      <c r="JCI1" s="243"/>
      <c r="JCJ1" s="243"/>
      <c r="JCK1" s="243" t="s">
        <v>127</v>
      </c>
      <c r="JCL1" s="243"/>
      <c r="JCM1" s="243"/>
      <c r="JCN1" s="243"/>
      <c r="JCO1" s="243"/>
      <c r="JCP1" s="243"/>
      <c r="JCQ1" s="243"/>
      <c r="JCR1" s="243"/>
      <c r="JCS1" s="243"/>
      <c r="JCT1" s="243"/>
      <c r="JCU1" s="243"/>
      <c r="JCV1" s="243"/>
      <c r="JCW1" s="243"/>
      <c r="JCX1" s="243"/>
      <c r="JCY1" s="243"/>
      <c r="JCZ1" s="243"/>
      <c r="JDA1" s="243" t="s">
        <v>127</v>
      </c>
      <c r="JDB1" s="243"/>
      <c r="JDC1" s="243"/>
      <c r="JDD1" s="243"/>
      <c r="JDE1" s="243"/>
      <c r="JDF1" s="243"/>
      <c r="JDG1" s="243"/>
      <c r="JDH1" s="243"/>
      <c r="JDI1" s="243"/>
      <c r="JDJ1" s="243"/>
      <c r="JDK1" s="243"/>
      <c r="JDL1" s="243"/>
      <c r="JDM1" s="243"/>
      <c r="JDN1" s="243"/>
      <c r="JDO1" s="243"/>
      <c r="JDP1" s="243"/>
      <c r="JDQ1" s="243" t="s">
        <v>127</v>
      </c>
      <c r="JDR1" s="243"/>
      <c r="JDS1" s="243"/>
      <c r="JDT1" s="243"/>
      <c r="JDU1" s="243"/>
      <c r="JDV1" s="243"/>
      <c r="JDW1" s="243"/>
      <c r="JDX1" s="243"/>
      <c r="JDY1" s="243"/>
      <c r="JDZ1" s="243"/>
      <c r="JEA1" s="243"/>
      <c r="JEB1" s="243"/>
      <c r="JEC1" s="243"/>
      <c r="JED1" s="243"/>
      <c r="JEE1" s="243"/>
      <c r="JEF1" s="243"/>
      <c r="JEG1" s="243" t="s">
        <v>127</v>
      </c>
      <c r="JEH1" s="243"/>
      <c r="JEI1" s="243"/>
      <c r="JEJ1" s="243"/>
      <c r="JEK1" s="243"/>
      <c r="JEL1" s="243"/>
      <c r="JEM1" s="243"/>
      <c r="JEN1" s="243"/>
      <c r="JEO1" s="243"/>
      <c r="JEP1" s="243"/>
      <c r="JEQ1" s="243"/>
      <c r="JER1" s="243"/>
      <c r="JES1" s="243"/>
      <c r="JET1" s="243"/>
      <c r="JEU1" s="243"/>
      <c r="JEV1" s="243"/>
      <c r="JEW1" s="243" t="s">
        <v>127</v>
      </c>
      <c r="JEX1" s="243"/>
      <c r="JEY1" s="243"/>
      <c r="JEZ1" s="243"/>
      <c r="JFA1" s="243"/>
      <c r="JFB1" s="243"/>
      <c r="JFC1" s="243"/>
      <c r="JFD1" s="243"/>
      <c r="JFE1" s="243"/>
      <c r="JFF1" s="243"/>
      <c r="JFG1" s="243"/>
      <c r="JFH1" s="243"/>
      <c r="JFI1" s="243"/>
      <c r="JFJ1" s="243"/>
      <c r="JFK1" s="243"/>
      <c r="JFL1" s="243"/>
      <c r="JFM1" s="243" t="s">
        <v>127</v>
      </c>
      <c r="JFN1" s="243"/>
      <c r="JFO1" s="243"/>
      <c r="JFP1" s="243"/>
      <c r="JFQ1" s="243"/>
      <c r="JFR1" s="243"/>
      <c r="JFS1" s="243"/>
      <c r="JFT1" s="243"/>
      <c r="JFU1" s="243"/>
      <c r="JFV1" s="243"/>
      <c r="JFW1" s="243"/>
      <c r="JFX1" s="243"/>
      <c r="JFY1" s="243"/>
      <c r="JFZ1" s="243"/>
      <c r="JGA1" s="243"/>
      <c r="JGB1" s="243"/>
      <c r="JGC1" s="243" t="s">
        <v>127</v>
      </c>
      <c r="JGD1" s="243"/>
      <c r="JGE1" s="243"/>
      <c r="JGF1" s="243"/>
      <c r="JGG1" s="243"/>
      <c r="JGH1" s="243"/>
      <c r="JGI1" s="243"/>
      <c r="JGJ1" s="243"/>
      <c r="JGK1" s="243"/>
      <c r="JGL1" s="243"/>
      <c r="JGM1" s="243"/>
      <c r="JGN1" s="243"/>
      <c r="JGO1" s="243"/>
      <c r="JGP1" s="243"/>
      <c r="JGQ1" s="243"/>
      <c r="JGR1" s="243"/>
      <c r="JGS1" s="243" t="s">
        <v>127</v>
      </c>
      <c r="JGT1" s="243"/>
      <c r="JGU1" s="243"/>
      <c r="JGV1" s="243"/>
      <c r="JGW1" s="243"/>
      <c r="JGX1" s="243"/>
      <c r="JGY1" s="243"/>
      <c r="JGZ1" s="243"/>
      <c r="JHA1" s="243"/>
      <c r="JHB1" s="243"/>
      <c r="JHC1" s="243"/>
      <c r="JHD1" s="243"/>
      <c r="JHE1" s="243"/>
      <c r="JHF1" s="243"/>
      <c r="JHG1" s="243"/>
      <c r="JHH1" s="243"/>
      <c r="JHI1" s="243" t="s">
        <v>127</v>
      </c>
      <c r="JHJ1" s="243"/>
      <c r="JHK1" s="243"/>
      <c r="JHL1" s="243"/>
      <c r="JHM1" s="243"/>
      <c r="JHN1" s="243"/>
      <c r="JHO1" s="243"/>
      <c r="JHP1" s="243"/>
      <c r="JHQ1" s="243"/>
      <c r="JHR1" s="243"/>
      <c r="JHS1" s="243"/>
      <c r="JHT1" s="243"/>
      <c r="JHU1" s="243"/>
      <c r="JHV1" s="243"/>
      <c r="JHW1" s="243"/>
      <c r="JHX1" s="243"/>
      <c r="JHY1" s="243" t="s">
        <v>127</v>
      </c>
      <c r="JHZ1" s="243"/>
      <c r="JIA1" s="243"/>
      <c r="JIB1" s="243"/>
      <c r="JIC1" s="243"/>
      <c r="JID1" s="243"/>
      <c r="JIE1" s="243"/>
      <c r="JIF1" s="243"/>
      <c r="JIG1" s="243"/>
      <c r="JIH1" s="243"/>
      <c r="JII1" s="243"/>
      <c r="JIJ1" s="243"/>
      <c r="JIK1" s="243"/>
      <c r="JIL1" s="243"/>
      <c r="JIM1" s="243"/>
      <c r="JIN1" s="243"/>
      <c r="JIO1" s="243" t="s">
        <v>127</v>
      </c>
      <c r="JIP1" s="243"/>
      <c r="JIQ1" s="243"/>
      <c r="JIR1" s="243"/>
      <c r="JIS1" s="243"/>
      <c r="JIT1" s="243"/>
      <c r="JIU1" s="243"/>
      <c r="JIV1" s="243"/>
      <c r="JIW1" s="243"/>
      <c r="JIX1" s="243"/>
      <c r="JIY1" s="243"/>
      <c r="JIZ1" s="243"/>
      <c r="JJA1" s="243"/>
      <c r="JJB1" s="243"/>
      <c r="JJC1" s="243"/>
      <c r="JJD1" s="243"/>
      <c r="JJE1" s="243" t="s">
        <v>127</v>
      </c>
      <c r="JJF1" s="243"/>
      <c r="JJG1" s="243"/>
      <c r="JJH1" s="243"/>
      <c r="JJI1" s="243"/>
      <c r="JJJ1" s="243"/>
      <c r="JJK1" s="243"/>
      <c r="JJL1" s="243"/>
      <c r="JJM1" s="243"/>
      <c r="JJN1" s="243"/>
      <c r="JJO1" s="243"/>
      <c r="JJP1" s="243"/>
      <c r="JJQ1" s="243"/>
      <c r="JJR1" s="243"/>
      <c r="JJS1" s="243"/>
      <c r="JJT1" s="243"/>
      <c r="JJU1" s="243" t="s">
        <v>127</v>
      </c>
      <c r="JJV1" s="243"/>
      <c r="JJW1" s="243"/>
      <c r="JJX1" s="243"/>
      <c r="JJY1" s="243"/>
      <c r="JJZ1" s="243"/>
      <c r="JKA1" s="243"/>
      <c r="JKB1" s="243"/>
      <c r="JKC1" s="243"/>
      <c r="JKD1" s="243"/>
      <c r="JKE1" s="243"/>
      <c r="JKF1" s="243"/>
      <c r="JKG1" s="243"/>
      <c r="JKH1" s="243"/>
      <c r="JKI1" s="243"/>
      <c r="JKJ1" s="243"/>
      <c r="JKK1" s="243" t="s">
        <v>127</v>
      </c>
      <c r="JKL1" s="243"/>
      <c r="JKM1" s="243"/>
      <c r="JKN1" s="243"/>
      <c r="JKO1" s="243"/>
      <c r="JKP1" s="243"/>
      <c r="JKQ1" s="243"/>
      <c r="JKR1" s="243"/>
      <c r="JKS1" s="243"/>
      <c r="JKT1" s="243"/>
      <c r="JKU1" s="243"/>
      <c r="JKV1" s="243"/>
      <c r="JKW1" s="243"/>
      <c r="JKX1" s="243"/>
      <c r="JKY1" s="243"/>
      <c r="JKZ1" s="243"/>
      <c r="JLA1" s="243" t="s">
        <v>127</v>
      </c>
      <c r="JLB1" s="243"/>
      <c r="JLC1" s="243"/>
      <c r="JLD1" s="243"/>
      <c r="JLE1" s="243"/>
      <c r="JLF1" s="243"/>
      <c r="JLG1" s="243"/>
      <c r="JLH1" s="243"/>
      <c r="JLI1" s="243"/>
      <c r="JLJ1" s="243"/>
      <c r="JLK1" s="243"/>
      <c r="JLL1" s="243"/>
      <c r="JLM1" s="243"/>
      <c r="JLN1" s="243"/>
      <c r="JLO1" s="243"/>
      <c r="JLP1" s="243"/>
      <c r="JLQ1" s="243" t="s">
        <v>127</v>
      </c>
      <c r="JLR1" s="243"/>
      <c r="JLS1" s="243"/>
      <c r="JLT1" s="243"/>
      <c r="JLU1" s="243"/>
      <c r="JLV1" s="243"/>
      <c r="JLW1" s="243"/>
      <c r="JLX1" s="243"/>
      <c r="JLY1" s="243"/>
      <c r="JLZ1" s="243"/>
      <c r="JMA1" s="243"/>
      <c r="JMB1" s="243"/>
      <c r="JMC1" s="243"/>
      <c r="JMD1" s="243"/>
      <c r="JME1" s="243"/>
      <c r="JMF1" s="243"/>
      <c r="JMG1" s="243" t="s">
        <v>127</v>
      </c>
      <c r="JMH1" s="243"/>
      <c r="JMI1" s="243"/>
      <c r="JMJ1" s="243"/>
      <c r="JMK1" s="243"/>
      <c r="JML1" s="243"/>
      <c r="JMM1" s="243"/>
      <c r="JMN1" s="243"/>
      <c r="JMO1" s="243"/>
      <c r="JMP1" s="243"/>
      <c r="JMQ1" s="243"/>
      <c r="JMR1" s="243"/>
      <c r="JMS1" s="243"/>
      <c r="JMT1" s="243"/>
      <c r="JMU1" s="243"/>
      <c r="JMV1" s="243"/>
      <c r="JMW1" s="243" t="s">
        <v>127</v>
      </c>
      <c r="JMX1" s="243"/>
      <c r="JMY1" s="243"/>
      <c r="JMZ1" s="243"/>
      <c r="JNA1" s="243"/>
      <c r="JNB1" s="243"/>
      <c r="JNC1" s="243"/>
      <c r="JND1" s="243"/>
      <c r="JNE1" s="243"/>
      <c r="JNF1" s="243"/>
      <c r="JNG1" s="243"/>
      <c r="JNH1" s="243"/>
      <c r="JNI1" s="243"/>
      <c r="JNJ1" s="243"/>
      <c r="JNK1" s="243"/>
      <c r="JNL1" s="243"/>
      <c r="JNM1" s="243" t="s">
        <v>127</v>
      </c>
      <c r="JNN1" s="243"/>
      <c r="JNO1" s="243"/>
      <c r="JNP1" s="243"/>
      <c r="JNQ1" s="243"/>
      <c r="JNR1" s="243"/>
      <c r="JNS1" s="243"/>
      <c r="JNT1" s="243"/>
      <c r="JNU1" s="243"/>
      <c r="JNV1" s="243"/>
      <c r="JNW1" s="243"/>
      <c r="JNX1" s="243"/>
      <c r="JNY1" s="243"/>
      <c r="JNZ1" s="243"/>
      <c r="JOA1" s="243"/>
      <c r="JOB1" s="243"/>
      <c r="JOC1" s="243" t="s">
        <v>127</v>
      </c>
      <c r="JOD1" s="243"/>
      <c r="JOE1" s="243"/>
      <c r="JOF1" s="243"/>
      <c r="JOG1" s="243"/>
      <c r="JOH1" s="243"/>
      <c r="JOI1" s="243"/>
      <c r="JOJ1" s="243"/>
      <c r="JOK1" s="243"/>
      <c r="JOL1" s="243"/>
      <c r="JOM1" s="243"/>
      <c r="JON1" s="243"/>
      <c r="JOO1" s="243"/>
      <c r="JOP1" s="243"/>
      <c r="JOQ1" s="243"/>
      <c r="JOR1" s="243"/>
      <c r="JOS1" s="243" t="s">
        <v>127</v>
      </c>
      <c r="JOT1" s="243"/>
      <c r="JOU1" s="243"/>
      <c r="JOV1" s="243"/>
      <c r="JOW1" s="243"/>
      <c r="JOX1" s="243"/>
      <c r="JOY1" s="243"/>
      <c r="JOZ1" s="243"/>
      <c r="JPA1" s="243"/>
      <c r="JPB1" s="243"/>
      <c r="JPC1" s="243"/>
      <c r="JPD1" s="243"/>
      <c r="JPE1" s="243"/>
      <c r="JPF1" s="243"/>
      <c r="JPG1" s="243"/>
      <c r="JPH1" s="243"/>
      <c r="JPI1" s="243" t="s">
        <v>127</v>
      </c>
      <c r="JPJ1" s="243"/>
      <c r="JPK1" s="243"/>
      <c r="JPL1" s="243"/>
      <c r="JPM1" s="243"/>
      <c r="JPN1" s="243"/>
      <c r="JPO1" s="243"/>
      <c r="JPP1" s="243"/>
      <c r="JPQ1" s="243"/>
      <c r="JPR1" s="243"/>
      <c r="JPS1" s="243"/>
      <c r="JPT1" s="243"/>
      <c r="JPU1" s="243"/>
      <c r="JPV1" s="243"/>
      <c r="JPW1" s="243"/>
      <c r="JPX1" s="243"/>
      <c r="JPY1" s="243" t="s">
        <v>127</v>
      </c>
      <c r="JPZ1" s="243"/>
      <c r="JQA1" s="243"/>
      <c r="JQB1" s="243"/>
      <c r="JQC1" s="243"/>
      <c r="JQD1" s="243"/>
      <c r="JQE1" s="243"/>
      <c r="JQF1" s="243"/>
      <c r="JQG1" s="243"/>
      <c r="JQH1" s="243"/>
      <c r="JQI1" s="243"/>
      <c r="JQJ1" s="243"/>
      <c r="JQK1" s="243"/>
      <c r="JQL1" s="243"/>
      <c r="JQM1" s="243"/>
      <c r="JQN1" s="243"/>
      <c r="JQO1" s="243" t="s">
        <v>127</v>
      </c>
      <c r="JQP1" s="243"/>
      <c r="JQQ1" s="243"/>
      <c r="JQR1" s="243"/>
      <c r="JQS1" s="243"/>
      <c r="JQT1" s="243"/>
      <c r="JQU1" s="243"/>
      <c r="JQV1" s="243"/>
      <c r="JQW1" s="243"/>
      <c r="JQX1" s="243"/>
      <c r="JQY1" s="243"/>
      <c r="JQZ1" s="243"/>
      <c r="JRA1" s="243"/>
      <c r="JRB1" s="243"/>
      <c r="JRC1" s="243"/>
      <c r="JRD1" s="243"/>
      <c r="JRE1" s="243" t="s">
        <v>127</v>
      </c>
      <c r="JRF1" s="243"/>
      <c r="JRG1" s="243"/>
      <c r="JRH1" s="243"/>
      <c r="JRI1" s="243"/>
      <c r="JRJ1" s="243"/>
      <c r="JRK1" s="243"/>
      <c r="JRL1" s="243"/>
      <c r="JRM1" s="243"/>
      <c r="JRN1" s="243"/>
      <c r="JRO1" s="243"/>
      <c r="JRP1" s="243"/>
      <c r="JRQ1" s="243"/>
      <c r="JRR1" s="243"/>
      <c r="JRS1" s="243"/>
      <c r="JRT1" s="243"/>
      <c r="JRU1" s="243" t="s">
        <v>127</v>
      </c>
      <c r="JRV1" s="243"/>
      <c r="JRW1" s="243"/>
      <c r="JRX1" s="243"/>
      <c r="JRY1" s="243"/>
      <c r="JRZ1" s="243"/>
      <c r="JSA1" s="243"/>
      <c r="JSB1" s="243"/>
      <c r="JSC1" s="243"/>
      <c r="JSD1" s="243"/>
      <c r="JSE1" s="243"/>
      <c r="JSF1" s="243"/>
      <c r="JSG1" s="243"/>
      <c r="JSH1" s="243"/>
      <c r="JSI1" s="243"/>
      <c r="JSJ1" s="243"/>
      <c r="JSK1" s="243" t="s">
        <v>127</v>
      </c>
      <c r="JSL1" s="243"/>
      <c r="JSM1" s="243"/>
      <c r="JSN1" s="243"/>
      <c r="JSO1" s="243"/>
      <c r="JSP1" s="243"/>
      <c r="JSQ1" s="243"/>
      <c r="JSR1" s="243"/>
      <c r="JSS1" s="243"/>
      <c r="JST1" s="243"/>
      <c r="JSU1" s="243"/>
      <c r="JSV1" s="243"/>
      <c r="JSW1" s="243"/>
      <c r="JSX1" s="243"/>
      <c r="JSY1" s="243"/>
      <c r="JSZ1" s="243"/>
      <c r="JTA1" s="243" t="s">
        <v>127</v>
      </c>
      <c r="JTB1" s="243"/>
      <c r="JTC1" s="243"/>
      <c r="JTD1" s="243"/>
      <c r="JTE1" s="243"/>
      <c r="JTF1" s="243"/>
      <c r="JTG1" s="243"/>
      <c r="JTH1" s="243"/>
      <c r="JTI1" s="243"/>
      <c r="JTJ1" s="243"/>
      <c r="JTK1" s="243"/>
      <c r="JTL1" s="243"/>
      <c r="JTM1" s="243"/>
      <c r="JTN1" s="243"/>
      <c r="JTO1" s="243"/>
      <c r="JTP1" s="243"/>
      <c r="JTQ1" s="243" t="s">
        <v>127</v>
      </c>
      <c r="JTR1" s="243"/>
      <c r="JTS1" s="243"/>
      <c r="JTT1" s="243"/>
      <c r="JTU1" s="243"/>
      <c r="JTV1" s="243"/>
      <c r="JTW1" s="243"/>
      <c r="JTX1" s="243"/>
      <c r="JTY1" s="243"/>
      <c r="JTZ1" s="243"/>
      <c r="JUA1" s="243"/>
      <c r="JUB1" s="243"/>
      <c r="JUC1" s="243"/>
      <c r="JUD1" s="243"/>
      <c r="JUE1" s="243"/>
      <c r="JUF1" s="243"/>
      <c r="JUG1" s="243" t="s">
        <v>127</v>
      </c>
      <c r="JUH1" s="243"/>
      <c r="JUI1" s="243"/>
      <c r="JUJ1" s="243"/>
      <c r="JUK1" s="243"/>
      <c r="JUL1" s="243"/>
      <c r="JUM1" s="243"/>
      <c r="JUN1" s="243"/>
      <c r="JUO1" s="243"/>
      <c r="JUP1" s="243"/>
      <c r="JUQ1" s="243"/>
      <c r="JUR1" s="243"/>
      <c r="JUS1" s="243"/>
      <c r="JUT1" s="243"/>
      <c r="JUU1" s="243"/>
      <c r="JUV1" s="243"/>
      <c r="JUW1" s="243" t="s">
        <v>127</v>
      </c>
      <c r="JUX1" s="243"/>
      <c r="JUY1" s="243"/>
      <c r="JUZ1" s="243"/>
      <c r="JVA1" s="243"/>
      <c r="JVB1" s="243"/>
      <c r="JVC1" s="243"/>
      <c r="JVD1" s="243"/>
      <c r="JVE1" s="243"/>
      <c r="JVF1" s="243"/>
      <c r="JVG1" s="243"/>
      <c r="JVH1" s="243"/>
      <c r="JVI1" s="243"/>
      <c r="JVJ1" s="243"/>
      <c r="JVK1" s="243"/>
      <c r="JVL1" s="243"/>
      <c r="JVM1" s="243" t="s">
        <v>127</v>
      </c>
      <c r="JVN1" s="243"/>
      <c r="JVO1" s="243"/>
      <c r="JVP1" s="243"/>
      <c r="JVQ1" s="243"/>
      <c r="JVR1" s="243"/>
      <c r="JVS1" s="243"/>
      <c r="JVT1" s="243"/>
      <c r="JVU1" s="243"/>
      <c r="JVV1" s="243"/>
      <c r="JVW1" s="243"/>
      <c r="JVX1" s="243"/>
      <c r="JVY1" s="243"/>
      <c r="JVZ1" s="243"/>
      <c r="JWA1" s="243"/>
      <c r="JWB1" s="243"/>
      <c r="JWC1" s="243" t="s">
        <v>127</v>
      </c>
      <c r="JWD1" s="243"/>
      <c r="JWE1" s="243"/>
      <c r="JWF1" s="243"/>
      <c r="JWG1" s="243"/>
      <c r="JWH1" s="243"/>
      <c r="JWI1" s="243"/>
      <c r="JWJ1" s="243"/>
      <c r="JWK1" s="243"/>
      <c r="JWL1" s="243"/>
      <c r="JWM1" s="243"/>
      <c r="JWN1" s="243"/>
      <c r="JWO1" s="243"/>
      <c r="JWP1" s="243"/>
      <c r="JWQ1" s="243"/>
      <c r="JWR1" s="243"/>
      <c r="JWS1" s="243" t="s">
        <v>127</v>
      </c>
      <c r="JWT1" s="243"/>
      <c r="JWU1" s="243"/>
      <c r="JWV1" s="243"/>
      <c r="JWW1" s="243"/>
      <c r="JWX1" s="243"/>
      <c r="JWY1" s="243"/>
      <c r="JWZ1" s="243"/>
      <c r="JXA1" s="243"/>
      <c r="JXB1" s="243"/>
      <c r="JXC1" s="243"/>
      <c r="JXD1" s="243"/>
      <c r="JXE1" s="243"/>
      <c r="JXF1" s="243"/>
      <c r="JXG1" s="243"/>
      <c r="JXH1" s="243"/>
      <c r="JXI1" s="243" t="s">
        <v>127</v>
      </c>
      <c r="JXJ1" s="243"/>
      <c r="JXK1" s="243"/>
      <c r="JXL1" s="243"/>
      <c r="JXM1" s="243"/>
      <c r="JXN1" s="243"/>
      <c r="JXO1" s="243"/>
      <c r="JXP1" s="243"/>
      <c r="JXQ1" s="243"/>
      <c r="JXR1" s="243"/>
      <c r="JXS1" s="243"/>
      <c r="JXT1" s="243"/>
      <c r="JXU1" s="243"/>
      <c r="JXV1" s="243"/>
      <c r="JXW1" s="243"/>
      <c r="JXX1" s="243"/>
      <c r="JXY1" s="243" t="s">
        <v>127</v>
      </c>
      <c r="JXZ1" s="243"/>
      <c r="JYA1" s="243"/>
      <c r="JYB1" s="243"/>
      <c r="JYC1" s="243"/>
      <c r="JYD1" s="243"/>
      <c r="JYE1" s="243"/>
      <c r="JYF1" s="243"/>
      <c r="JYG1" s="243"/>
      <c r="JYH1" s="243"/>
      <c r="JYI1" s="243"/>
      <c r="JYJ1" s="243"/>
      <c r="JYK1" s="243"/>
      <c r="JYL1" s="243"/>
      <c r="JYM1" s="243"/>
      <c r="JYN1" s="243"/>
      <c r="JYO1" s="243" t="s">
        <v>127</v>
      </c>
      <c r="JYP1" s="243"/>
      <c r="JYQ1" s="243"/>
      <c r="JYR1" s="243"/>
      <c r="JYS1" s="243"/>
      <c r="JYT1" s="243"/>
      <c r="JYU1" s="243"/>
      <c r="JYV1" s="243"/>
      <c r="JYW1" s="243"/>
      <c r="JYX1" s="243"/>
      <c r="JYY1" s="243"/>
      <c r="JYZ1" s="243"/>
      <c r="JZA1" s="243"/>
      <c r="JZB1" s="243"/>
      <c r="JZC1" s="243"/>
      <c r="JZD1" s="243"/>
      <c r="JZE1" s="243" t="s">
        <v>127</v>
      </c>
      <c r="JZF1" s="243"/>
      <c r="JZG1" s="243"/>
      <c r="JZH1" s="243"/>
      <c r="JZI1" s="243"/>
      <c r="JZJ1" s="243"/>
      <c r="JZK1" s="243"/>
      <c r="JZL1" s="243"/>
      <c r="JZM1" s="243"/>
      <c r="JZN1" s="243"/>
      <c r="JZO1" s="243"/>
      <c r="JZP1" s="243"/>
      <c r="JZQ1" s="243"/>
      <c r="JZR1" s="243"/>
      <c r="JZS1" s="243"/>
      <c r="JZT1" s="243"/>
      <c r="JZU1" s="243" t="s">
        <v>127</v>
      </c>
      <c r="JZV1" s="243"/>
      <c r="JZW1" s="243"/>
      <c r="JZX1" s="243"/>
      <c r="JZY1" s="243"/>
      <c r="JZZ1" s="243"/>
      <c r="KAA1" s="243"/>
      <c r="KAB1" s="243"/>
      <c r="KAC1" s="243"/>
      <c r="KAD1" s="243"/>
      <c r="KAE1" s="243"/>
      <c r="KAF1" s="243"/>
      <c r="KAG1" s="243"/>
      <c r="KAH1" s="243"/>
      <c r="KAI1" s="243"/>
      <c r="KAJ1" s="243"/>
      <c r="KAK1" s="243" t="s">
        <v>127</v>
      </c>
      <c r="KAL1" s="243"/>
      <c r="KAM1" s="243"/>
      <c r="KAN1" s="243"/>
      <c r="KAO1" s="243"/>
      <c r="KAP1" s="243"/>
      <c r="KAQ1" s="243"/>
      <c r="KAR1" s="243"/>
      <c r="KAS1" s="243"/>
      <c r="KAT1" s="243"/>
      <c r="KAU1" s="243"/>
      <c r="KAV1" s="243"/>
      <c r="KAW1" s="243"/>
      <c r="KAX1" s="243"/>
      <c r="KAY1" s="243"/>
      <c r="KAZ1" s="243"/>
      <c r="KBA1" s="243" t="s">
        <v>127</v>
      </c>
      <c r="KBB1" s="243"/>
      <c r="KBC1" s="243"/>
      <c r="KBD1" s="243"/>
      <c r="KBE1" s="243"/>
      <c r="KBF1" s="243"/>
      <c r="KBG1" s="243"/>
      <c r="KBH1" s="243"/>
      <c r="KBI1" s="243"/>
      <c r="KBJ1" s="243"/>
      <c r="KBK1" s="243"/>
      <c r="KBL1" s="243"/>
      <c r="KBM1" s="243"/>
      <c r="KBN1" s="243"/>
      <c r="KBO1" s="243"/>
      <c r="KBP1" s="243"/>
      <c r="KBQ1" s="243" t="s">
        <v>127</v>
      </c>
      <c r="KBR1" s="243"/>
      <c r="KBS1" s="243"/>
      <c r="KBT1" s="243"/>
      <c r="KBU1" s="243"/>
      <c r="KBV1" s="243"/>
      <c r="KBW1" s="243"/>
      <c r="KBX1" s="243"/>
      <c r="KBY1" s="243"/>
      <c r="KBZ1" s="243"/>
      <c r="KCA1" s="243"/>
      <c r="KCB1" s="243"/>
      <c r="KCC1" s="243"/>
      <c r="KCD1" s="243"/>
      <c r="KCE1" s="243"/>
      <c r="KCF1" s="243"/>
      <c r="KCG1" s="243" t="s">
        <v>127</v>
      </c>
      <c r="KCH1" s="243"/>
      <c r="KCI1" s="243"/>
      <c r="KCJ1" s="243"/>
      <c r="KCK1" s="243"/>
      <c r="KCL1" s="243"/>
      <c r="KCM1" s="243"/>
      <c r="KCN1" s="243"/>
      <c r="KCO1" s="243"/>
      <c r="KCP1" s="243"/>
      <c r="KCQ1" s="243"/>
      <c r="KCR1" s="243"/>
      <c r="KCS1" s="243"/>
      <c r="KCT1" s="243"/>
      <c r="KCU1" s="243"/>
      <c r="KCV1" s="243"/>
      <c r="KCW1" s="243" t="s">
        <v>127</v>
      </c>
      <c r="KCX1" s="243"/>
      <c r="KCY1" s="243"/>
      <c r="KCZ1" s="243"/>
      <c r="KDA1" s="243"/>
      <c r="KDB1" s="243"/>
      <c r="KDC1" s="243"/>
      <c r="KDD1" s="243"/>
      <c r="KDE1" s="243"/>
      <c r="KDF1" s="243"/>
      <c r="KDG1" s="243"/>
      <c r="KDH1" s="243"/>
      <c r="KDI1" s="243"/>
      <c r="KDJ1" s="243"/>
      <c r="KDK1" s="243"/>
      <c r="KDL1" s="243"/>
      <c r="KDM1" s="243" t="s">
        <v>127</v>
      </c>
      <c r="KDN1" s="243"/>
      <c r="KDO1" s="243"/>
      <c r="KDP1" s="243"/>
      <c r="KDQ1" s="243"/>
      <c r="KDR1" s="243"/>
      <c r="KDS1" s="243"/>
      <c r="KDT1" s="243"/>
      <c r="KDU1" s="243"/>
      <c r="KDV1" s="243"/>
      <c r="KDW1" s="243"/>
      <c r="KDX1" s="243"/>
      <c r="KDY1" s="243"/>
      <c r="KDZ1" s="243"/>
      <c r="KEA1" s="243"/>
      <c r="KEB1" s="243"/>
      <c r="KEC1" s="243" t="s">
        <v>127</v>
      </c>
      <c r="KED1" s="243"/>
      <c r="KEE1" s="243"/>
      <c r="KEF1" s="243"/>
      <c r="KEG1" s="243"/>
      <c r="KEH1" s="243"/>
      <c r="KEI1" s="243"/>
      <c r="KEJ1" s="243"/>
      <c r="KEK1" s="243"/>
      <c r="KEL1" s="243"/>
      <c r="KEM1" s="243"/>
      <c r="KEN1" s="243"/>
      <c r="KEO1" s="243"/>
      <c r="KEP1" s="243"/>
      <c r="KEQ1" s="243"/>
      <c r="KER1" s="243"/>
      <c r="KES1" s="243" t="s">
        <v>127</v>
      </c>
      <c r="KET1" s="243"/>
      <c r="KEU1" s="243"/>
      <c r="KEV1" s="243"/>
      <c r="KEW1" s="243"/>
      <c r="KEX1" s="243"/>
      <c r="KEY1" s="243"/>
      <c r="KEZ1" s="243"/>
      <c r="KFA1" s="243"/>
      <c r="KFB1" s="243"/>
      <c r="KFC1" s="243"/>
      <c r="KFD1" s="243"/>
      <c r="KFE1" s="243"/>
      <c r="KFF1" s="243"/>
      <c r="KFG1" s="243"/>
      <c r="KFH1" s="243"/>
      <c r="KFI1" s="243" t="s">
        <v>127</v>
      </c>
      <c r="KFJ1" s="243"/>
      <c r="KFK1" s="243"/>
      <c r="KFL1" s="243"/>
      <c r="KFM1" s="243"/>
      <c r="KFN1" s="243"/>
      <c r="KFO1" s="243"/>
      <c r="KFP1" s="243"/>
      <c r="KFQ1" s="243"/>
      <c r="KFR1" s="243"/>
      <c r="KFS1" s="243"/>
      <c r="KFT1" s="243"/>
      <c r="KFU1" s="243"/>
      <c r="KFV1" s="243"/>
      <c r="KFW1" s="243"/>
      <c r="KFX1" s="243"/>
      <c r="KFY1" s="243" t="s">
        <v>127</v>
      </c>
      <c r="KFZ1" s="243"/>
      <c r="KGA1" s="243"/>
      <c r="KGB1" s="243"/>
      <c r="KGC1" s="243"/>
      <c r="KGD1" s="243"/>
      <c r="KGE1" s="243"/>
      <c r="KGF1" s="243"/>
      <c r="KGG1" s="243"/>
      <c r="KGH1" s="243"/>
      <c r="KGI1" s="243"/>
      <c r="KGJ1" s="243"/>
      <c r="KGK1" s="243"/>
      <c r="KGL1" s="243"/>
      <c r="KGM1" s="243"/>
      <c r="KGN1" s="243"/>
      <c r="KGO1" s="243" t="s">
        <v>127</v>
      </c>
      <c r="KGP1" s="243"/>
      <c r="KGQ1" s="243"/>
      <c r="KGR1" s="243"/>
      <c r="KGS1" s="243"/>
      <c r="KGT1" s="243"/>
      <c r="KGU1" s="243"/>
      <c r="KGV1" s="243"/>
      <c r="KGW1" s="243"/>
      <c r="KGX1" s="243"/>
      <c r="KGY1" s="243"/>
      <c r="KGZ1" s="243"/>
      <c r="KHA1" s="243"/>
      <c r="KHB1" s="243"/>
      <c r="KHC1" s="243"/>
      <c r="KHD1" s="243"/>
      <c r="KHE1" s="243" t="s">
        <v>127</v>
      </c>
      <c r="KHF1" s="243"/>
      <c r="KHG1" s="243"/>
      <c r="KHH1" s="243"/>
      <c r="KHI1" s="243"/>
      <c r="KHJ1" s="243"/>
      <c r="KHK1" s="243"/>
      <c r="KHL1" s="243"/>
      <c r="KHM1" s="243"/>
      <c r="KHN1" s="243"/>
      <c r="KHO1" s="243"/>
      <c r="KHP1" s="243"/>
      <c r="KHQ1" s="243"/>
      <c r="KHR1" s="243"/>
      <c r="KHS1" s="243"/>
      <c r="KHT1" s="243"/>
      <c r="KHU1" s="243" t="s">
        <v>127</v>
      </c>
      <c r="KHV1" s="243"/>
      <c r="KHW1" s="243"/>
      <c r="KHX1" s="243"/>
      <c r="KHY1" s="243"/>
      <c r="KHZ1" s="243"/>
      <c r="KIA1" s="243"/>
      <c r="KIB1" s="243"/>
      <c r="KIC1" s="243"/>
      <c r="KID1" s="243"/>
      <c r="KIE1" s="243"/>
      <c r="KIF1" s="243"/>
      <c r="KIG1" s="243"/>
      <c r="KIH1" s="243"/>
      <c r="KII1" s="243"/>
      <c r="KIJ1" s="243"/>
      <c r="KIK1" s="243" t="s">
        <v>127</v>
      </c>
      <c r="KIL1" s="243"/>
      <c r="KIM1" s="243"/>
      <c r="KIN1" s="243"/>
      <c r="KIO1" s="243"/>
      <c r="KIP1" s="243"/>
      <c r="KIQ1" s="243"/>
      <c r="KIR1" s="243"/>
      <c r="KIS1" s="243"/>
      <c r="KIT1" s="243"/>
      <c r="KIU1" s="243"/>
      <c r="KIV1" s="243"/>
      <c r="KIW1" s="243"/>
      <c r="KIX1" s="243"/>
      <c r="KIY1" s="243"/>
      <c r="KIZ1" s="243"/>
      <c r="KJA1" s="243" t="s">
        <v>127</v>
      </c>
      <c r="KJB1" s="243"/>
      <c r="KJC1" s="243"/>
      <c r="KJD1" s="243"/>
      <c r="KJE1" s="243"/>
      <c r="KJF1" s="243"/>
      <c r="KJG1" s="243"/>
      <c r="KJH1" s="243"/>
      <c r="KJI1" s="243"/>
      <c r="KJJ1" s="243"/>
      <c r="KJK1" s="243"/>
      <c r="KJL1" s="243"/>
      <c r="KJM1" s="243"/>
      <c r="KJN1" s="243"/>
      <c r="KJO1" s="243"/>
      <c r="KJP1" s="243"/>
      <c r="KJQ1" s="243" t="s">
        <v>127</v>
      </c>
      <c r="KJR1" s="243"/>
      <c r="KJS1" s="243"/>
      <c r="KJT1" s="243"/>
      <c r="KJU1" s="243"/>
      <c r="KJV1" s="243"/>
      <c r="KJW1" s="243"/>
      <c r="KJX1" s="243"/>
      <c r="KJY1" s="243"/>
      <c r="KJZ1" s="243"/>
      <c r="KKA1" s="243"/>
      <c r="KKB1" s="243"/>
      <c r="KKC1" s="243"/>
      <c r="KKD1" s="243"/>
      <c r="KKE1" s="243"/>
      <c r="KKF1" s="243"/>
      <c r="KKG1" s="243" t="s">
        <v>127</v>
      </c>
      <c r="KKH1" s="243"/>
      <c r="KKI1" s="243"/>
      <c r="KKJ1" s="243"/>
      <c r="KKK1" s="243"/>
      <c r="KKL1" s="243"/>
      <c r="KKM1" s="243"/>
      <c r="KKN1" s="243"/>
      <c r="KKO1" s="243"/>
      <c r="KKP1" s="243"/>
      <c r="KKQ1" s="243"/>
      <c r="KKR1" s="243"/>
      <c r="KKS1" s="243"/>
      <c r="KKT1" s="243"/>
      <c r="KKU1" s="243"/>
      <c r="KKV1" s="243"/>
      <c r="KKW1" s="243" t="s">
        <v>127</v>
      </c>
      <c r="KKX1" s="243"/>
      <c r="KKY1" s="243"/>
      <c r="KKZ1" s="243"/>
      <c r="KLA1" s="243"/>
      <c r="KLB1" s="243"/>
      <c r="KLC1" s="243"/>
      <c r="KLD1" s="243"/>
      <c r="KLE1" s="243"/>
      <c r="KLF1" s="243"/>
      <c r="KLG1" s="243"/>
      <c r="KLH1" s="243"/>
      <c r="KLI1" s="243"/>
      <c r="KLJ1" s="243"/>
      <c r="KLK1" s="243"/>
      <c r="KLL1" s="243"/>
      <c r="KLM1" s="243" t="s">
        <v>127</v>
      </c>
      <c r="KLN1" s="243"/>
      <c r="KLO1" s="243"/>
      <c r="KLP1" s="243"/>
      <c r="KLQ1" s="243"/>
      <c r="KLR1" s="243"/>
      <c r="KLS1" s="243"/>
      <c r="KLT1" s="243"/>
      <c r="KLU1" s="243"/>
      <c r="KLV1" s="243"/>
      <c r="KLW1" s="243"/>
      <c r="KLX1" s="243"/>
      <c r="KLY1" s="243"/>
      <c r="KLZ1" s="243"/>
      <c r="KMA1" s="243"/>
      <c r="KMB1" s="243"/>
      <c r="KMC1" s="243" t="s">
        <v>127</v>
      </c>
      <c r="KMD1" s="243"/>
      <c r="KME1" s="243"/>
      <c r="KMF1" s="243"/>
      <c r="KMG1" s="243"/>
      <c r="KMH1" s="243"/>
      <c r="KMI1" s="243"/>
      <c r="KMJ1" s="243"/>
      <c r="KMK1" s="243"/>
      <c r="KML1" s="243"/>
      <c r="KMM1" s="243"/>
      <c r="KMN1" s="243"/>
      <c r="KMO1" s="243"/>
      <c r="KMP1" s="243"/>
      <c r="KMQ1" s="243"/>
      <c r="KMR1" s="243"/>
      <c r="KMS1" s="243" t="s">
        <v>127</v>
      </c>
      <c r="KMT1" s="243"/>
      <c r="KMU1" s="243"/>
      <c r="KMV1" s="243"/>
      <c r="KMW1" s="243"/>
      <c r="KMX1" s="243"/>
      <c r="KMY1" s="243"/>
      <c r="KMZ1" s="243"/>
      <c r="KNA1" s="243"/>
      <c r="KNB1" s="243"/>
      <c r="KNC1" s="243"/>
      <c r="KND1" s="243"/>
      <c r="KNE1" s="243"/>
      <c r="KNF1" s="243"/>
      <c r="KNG1" s="243"/>
      <c r="KNH1" s="243"/>
      <c r="KNI1" s="243" t="s">
        <v>127</v>
      </c>
      <c r="KNJ1" s="243"/>
      <c r="KNK1" s="243"/>
      <c r="KNL1" s="243"/>
      <c r="KNM1" s="243"/>
      <c r="KNN1" s="243"/>
      <c r="KNO1" s="243"/>
      <c r="KNP1" s="243"/>
      <c r="KNQ1" s="243"/>
      <c r="KNR1" s="243"/>
      <c r="KNS1" s="243"/>
      <c r="KNT1" s="243"/>
      <c r="KNU1" s="243"/>
      <c r="KNV1" s="243"/>
      <c r="KNW1" s="243"/>
      <c r="KNX1" s="243"/>
      <c r="KNY1" s="243" t="s">
        <v>127</v>
      </c>
      <c r="KNZ1" s="243"/>
      <c r="KOA1" s="243"/>
      <c r="KOB1" s="243"/>
      <c r="KOC1" s="243"/>
      <c r="KOD1" s="243"/>
      <c r="KOE1" s="243"/>
      <c r="KOF1" s="243"/>
      <c r="KOG1" s="243"/>
      <c r="KOH1" s="243"/>
      <c r="KOI1" s="243"/>
      <c r="KOJ1" s="243"/>
      <c r="KOK1" s="243"/>
      <c r="KOL1" s="243"/>
      <c r="KOM1" s="243"/>
      <c r="KON1" s="243"/>
      <c r="KOO1" s="243" t="s">
        <v>127</v>
      </c>
      <c r="KOP1" s="243"/>
      <c r="KOQ1" s="243"/>
      <c r="KOR1" s="243"/>
      <c r="KOS1" s="243"/>
      <c r="KOT1" s="243"/>
      <c r="KOU1" s="243"/>
      <c r="KOV1" s="243"/>
      <c r="KOW1" s="243"/>
      <c r="KOX1" s="243"/>
      <c r="KOY1" s="243"/>
      <c r="KOZ1" s="243"/>
      <c r="KPA1" s="243"/>
      <c r="KPB1" s="243"/>
      <c r="KPC1" s="243"/>
      <c r="KPD1" s="243"/>
      <c r="KPE1" s="243" t="s">
        <v>127</v>
      </c>
      <c r="KPF1" s="243"/>
      <c r="KPG1" s="243"/>
      <c r="KPH1" s="243"/>
      <c r="KPI1" s="243"/>
      <c r="KPJ1" s="243"/>
      <c r="KPK1" s="243"/>
      <c r="KPL1" s="243"/>
      <c r="KPM1" s="243"/>
      <c r="KPN1" s="243"/>
      <c r="KPO1" s="243"/>
      <c r="KPP1" s="243"/>
      <c r="KPQ1" s="243"/>
      <c r="KPR1" s="243"/>
      <c r="KPS1" s="243"/>
      <c r="KPT1" s="243"/>
      <c r="KPU1" s="243" t="s">
        <v>127</v>
      </c>
      <c r="KPV1" s="243"/>
      <c r="KPW1" s="243"/>
      <c r="KPX1" s="243"/>
      <c r="KPY1" s="243"/>
      <c r="KPZ1" s="243"/>
      <c r="KQA1" s="243"/>
      <c r="KQB1" s="243"/>
      <c r="KQC1" s="243"/>
      <c r="KQD1" s="243"/>
      <c r="KQE1" s="243"/>
      <c r="KQF1" s="243"/>
      <c r="KQG1" s="243"/>
      <c r="KQH1" s="243"/>
      <c r="KQI1" s="243"/>
      <c r="KQJ1" s="243"/>
      <c r="KQK1" s="243" t="s">
        <v>127</v>
      </c>
      <c r="KQL1" s="243"/>
      <c r="KQM1" s="243"/>
      <c r="KQN1" s="243"/>
      <c r="KQO1" s="243"/>
      <c r="KQP1" s="243"/>
      <c r="KQQ1" s="243"/>
      <c r="KQR1" s="243"/>
      <c r="KQS1" s="243"/>
      <c r="KQT1" s="243"/>
      <c r="KQU1" s="243"/>
      <c r="KQV1" s="243"/>
      <c r="KQW1" s="243"/>
      <c r="KQX1" s="243"/>
      <c r="KQY1" s="243"/>
      <c r="KQZ1" s="243"/>
      <c r="KRA1" s="243" t="s">
        <v>127</v>
      </c>
      <c r="KRB1" s="243"/>
      <c r="KRC1" s="243"/>
      <c r="KRD1" s="243"/>
      <c r="KRE1" s="243"/>
      <c r="KRF1" s="243"/>
      <c r="KRG1" s="243"/>
      <c r="KRH1" s="243"/>
      <c r="KRI1" s="243"/>
      <c r="KRJ1" s="243"/>
      <c r="KRK1" s="243"/>
      <c r="KRL1" s="243"/>
      <c r="KRM1" s="243"/>
      <c r="KRN1" s="243"/>
      <c r="KRO1" s="243"/>
      <c r="KRP1" s="243"/>
      <c r="KRQ1" s="243" t="s">
        <v>127</v>
      </c>
      <c r="KRR1" s="243"/>
      <c r="KRS1" s="243"/>
      <c r="KRT1" s="243"/>
      <c r="KRU1" s="243"/>
      <c r="KRV1" s="243"/>
      <c r="KRW1" s="243"/>
      <c r="KRX1" s="243"/>
      <c r="KRY1" s="243"/>
      <c r="KRZ1" s="243"/>
      <c r="KSA1" s="243"/>
      <c r="KSB1" s="243"/>
      <c r="KSC1" s="243"/>
      <c r="KSD1" s="243"/>
      <c r="KSE1" s="243"/>
      <c r="KSF1" s="243"/>
      <c r="KSG1" s="243" t="s">
        <v>127</v>
      </c>
      <c r="KSH1" s="243"/>
      <c r="KSI1" s="243"/>
      <c r="KSJ1" s="243"/>
      <c r="KSK1" s="243"/>
      <c r="KSL1" s="243"/>
      <c r="KSM1" s="243"/>
      <c r="KSN1" s="243"/>
      <c r="KSO1" s="243"/>
      <c r="KSP1" s="243"/>
      <c r="KSQ1" s="243"/>
      <c r="KSR1" s="243"/>
      <c r="KSS1" s="243"/>
      <c r="KST1" s="243"/>
      <c r="KSU1" s="243"/>
      <c r="KSV1" s="243"/>
      <c r="KSW1" s="243" t="s">
        <v>127</v>
      </c>
      <c r="KSX1" s="243"/>
      <c r="KSY1" s="243"/>
      <c r="KSZ1" s="243"/>
      <c r="KTA1" s="243"/>
      <c r="KTB1" s="243"/>
      <c r="KTC1" s="243"/>
      <c r="KTD1" s="243"/>
      <c r="KTE1" s="243"/>
      <c r="KTF1" s="243"/>
      <c r="KTG1" s="243"/>
      <c r="KTH1" s="243"/>
      <c r="KTI1" s="243"/>
      <c r="KTJ1" s="243"/>
      <c r="KTK1" s="243"/>
      <c r="KTL1" s="243"/>
      <c r="KTM1" s="243" t="s">
        <v>127</v>
      </c>
      <c r="KTN1" s="243"/>
      <c r="KTO1" s="243"/>
      <c r="KTP1" s="243"/>
      <c r="KTQ1" s="243"/>
      <c r="KTR1" s="243"/>
      <c r="KTS1" s="243"/>
      <c r="KTT1" s="243"/>
      <c r="KTU1" s="243"/>
      <c r="KTV1" s="243"/>
      <c r="KTW1" s="243"/>
      <c r="KTX1" s="243"/>
      <c r="KTY1" s="243"/>
      <c r="KTZ1" s="243"/>
      <c r="KUA1" s="243"/>
      <c r="KUB1" s="243"/>
      <c r="KUC1" s="243" t="s">
        <v>127</v>
      </c>
      <c r="KUD1" s="243"/>
      <c r="KUE1" s="243"/>
      <c r="KUF1" s="243"/>
      <c r="KUG1" s="243"/>
      <c r="KUH1" s="243"/>
      <c r="KUI1" s="243"/>
      <c r="KUJ1" s="243"/>
      <c r="KUK1" s="243"/>
      <c r="KUL1" s="243"/>
      <c r="KUM1" s="243"/>
      <c r="KUN1" s="243"/>
      <c r="KUO1" s="243"/>
      <c r="KUP1" s="243"/>
      <c r="KUQ1" s="243"/>
      <c r="KUR1" s="243"/>
      <c r="KUS1" s="243" t="s">
        <v>127</v>
      </c>
      <c r="KUT1" s="243"/>
      <c r="KUU1" s="243"/>
      <c r="KUV1" s="243"/>
      <c r="KUW1" s="243"/>
      <c r="KUX1" s="243"/>
      <c r="KUY1" s="243"/>
      <c r="KUZ1" s="243"/>
      <c r="KVA1" s="243"/>
      <c r="KVB1" s="243"/>
      <c r="KVC1" s="243"/>
      <c r="KVD1" s="243"/>
      <c r="KVE1" s="243"/>
      <c r="KVF1" s="243"/>
      <c r="KVG1" s="243"/>
      <c r="KVH1" s="243"/>
      <c r="KVI1" s="243" t="s">
        <v>127</v>
      </c>
      <c r="KVJ1" s="243"/>
      <c r="KVK1" s="243"/>
      <c r="KVL1" s="243"/>
      <c r="KVM1" s="243"/>
      <c r="KVN1" s="243"/>
      <c r="KVO1" s="243"/>
      <c r="KVP1" s="243"/>
      <c r="KVQ1" s="243"/>
      <c r="KVR1" s="243"/>
      <c r="KVS1" s="243"/>
      <c r="KVT1" s="243"/>
      <c r="KVU1" s="243"/>
      <c r="KVV1" s="243"/>
      <c r="KVW1" s="243"/>
      <c r="KVX1" s="243"/>
      <c r="KVY1" s="243" t="s">
        <v>127</v>
      </c>
      <c r="KVZ1" s="243"/>
      <c r="KWA1" s="243"/>
      <c r="KWB1" s="243"/>
      <c r="KWC1" s="243"/>
      <c r="KWD1" s="243"/>
      <c r="KWE1" s="243"/>
      <c r="KWF1" s="243"/>
      <c r="KWG1" s="243"/>
      <c r="KWH1" s="243"/>
      <c r="KWI1" s="243"/>
      <c r="KWJ1" s="243"/>
      <c r="KWK1" s="243"/>
      <c r="KWL1" s="243"/>
      <c r="KWM1" s="243"/>
      <c r="KWN1" s="243"/>
      <c r="KWO1" s="243" t="s">
        <v>127</v>
      </c>
      <c r="KWP1" s="243"/>
      <c r="KWQ1" s="243"/>
      <c r="KWR1" s="243"/>
      <c r="KWS1" s="243"/>
      <c r="KWT1" s="243"/>
      <c r="KWU1" s="243"/>
      <c r="KWV1" s="243"/>
      <c r="KWW1" s="243"/>
      <c r="KWX1" s="243"/>
      <c r="KWY1" s="243"/>
      <c r="KWZ1" s="243"/>
      <c r="KXA1" s="243"/>
      <c r="KXB1" s="243"/>
      <c r="KXC1" s="243"/>
      <c r="KXD1" s="243"/>
      <c r="KXE1" s="243" t="s">
        <v>127</v>
      </c>
      <c r="KXF1" s="243"/>
      <c r="KXG1" s="243"/>
      <c r="KXH1" s="243"/>
      <c r="KXI1" s="243"/>
      <c r="KXJ1" s="243"/>
      <c r="KXK1" s="243"/>
      <c r="KXL1" s="243"/>
      <c r="KXM1" s="243"/>
      <c r="KXN1" s="243"/>
      <c r="KXO1" s="243"/>
      <c r="KXP1" s="243"/>
      <c r="KXQ1" s="243"/>
      <c r="KXR1" s="243"/>
      <c r="KXS1" s="243"/>
      <c r="KXT1" s="243"/>
      <c r="KXU1" s="243" t="s">
        <v>127</v>
      </c>
      <c r="KXV1" s="243"/>
      <c r="KXW1" s="243"/>
      <c r="KXX1" s="243"/>
      <c r="KXY1" s="243"/>
      <c r="KXZ1" s="243"/>
      <c r="KYA1" s="243"/>
      <c r="KYB1" s="243"/>
      <c r="KYC1" s="243"/>
      <c r="KYD1" s="243"/>
      <c r="KYE1" s="243"/>
      <c r="KYF1" s="243"/>
      <c r="KYG1" s="243"/>
      <c r="KYH1" s="243"/>
      <c r="KYI1" s="243"/>
      <c r="KYJ1" s="243"/>
      <c r="KYK1" s="243" t="s">
        <v>127</v>
      </c>
      <c r="KYL1" s="243"/>
      <c r="KYM1" s="243"/>
      <c r="KYN1" s="243"/>
      <c r="KYO1" s="243"/>
      <c r="KYP1" s="243"/>
      <c r="KYQ1" s="243"/>
      <c r="KYR1" s="243"/>
      <c r="KYS1" s="243"/>
      <c r="KYT1" s="243"/>
      <c r="KYU1" s="243"/>
      <c r="KYV1" s="243"/>
      <c r="KYW1" s="243"/>
      <c r="KYX1" s="243"/>
      <c r="KYY1" s="243"/>
      <c r="KYZ1" s="243"/>
      <c r="KZA1" s="243" t="s">
        <v>127</v>
      </c>
      <c r="KZB1" s="243"/>
      <c r="KZC1" s="243"/>
      <c r="KZD1" s="243"/>
      <c r="KZE1" s="243"/>
      <c r="KZF1" s="243"/>
      <c r="KZG1" s="243"/>
      <c r="KZH1" s="243"/>
      <c r="KZI1" s="243"/>
      <c r="KZJ1" s="243"/>
      <c r="KZK1" s="243"/>
      <c r="KZL1" s="243"/>
      <c r="KZM1" s="243"/>
      <c r="KZN1" s="243"/>
      <c r="KZO1" s="243"/>
      <c r="KZP1" s="243"/>
      <c r="KZQ1" s="243" t="s">
        <v>127</v>
      </c>
      <c r="KZR1" s="243"/>
      <c r="KZS1" s="243"/>
      <c r="KZT1" s="243"/>
      <c r="KZU1" s="243"/>
      <c r="KZV1" s="243"/>
      <c r="KZW1" s="243"/>
      <c r="KZX1" s="243"/>
      <c r="KZY1" s="243"/>
      <c r="KZZ1" s="243"/>
      <c r="LAA1" s="243"/>
      <c r="LAB1" s="243"/>
      <c r="LAC1" s="243"/>
      <c r="LAD1" s="243"/>
      <c r="LAE1" s="243"/>
      <c r="LAF1" s="243"/>
      <c r="LAG1" s="243" t="s">
        <v>127</v>
      </c>
      <c r="LAH1" s="243"/>
      <c r="LAI1" s="243"/>
      <c r="LAJ1" s="243"/>
      <c r="LAK1" s="243"/>
      <c r="LAL1" s="243"/>
      <c r="LAM1" s="243"/>
      <c r="LAN1" s="243"/>
      <c r="LAO1" s="243"/>
      <c r="LAP1" s="243"/>
      <c r="LAQ1" s="243"/>
      <c r="LAR1" s="243"/>
      <c r="LAS1" s="243"/>
      <c r="LAT1" s="243"/>
      <c r="LAU1" s="243"/>
      <c r="LAV1" s="243"/>
      <c r="LAW1" s="243" t="s">
        <v>127</v>
      </c>
      <c r="LAX1" s="243"/>
      <c r="LAY1" s="243"/>
      <c r="LAZ1" s="243"/>
      <c r="LBA1" s="243"/>
      <c r="LBB1" s="243"/>
      <c r="LBC1" s="243"/>
      <c r="LBD1" s="243"/>
      <c r="LBE1" s="243"/>
      <c r="LBF1" s="243"/>
      <c r="LBG1" s="243"/>
      <c r="LBH1" s="243"/>
      <c r="LBI1" s="243"/>
      <c r="LBJ1" s="243"/>
      <c r="LBK1" s="243"/>
      <c r="LBL1" s="243"/>
      <c r="LBM1" s="243" t="s">
        <v>127</v>
      </c>
      <c r="LBN1" s="243"/>
      <c r="LBO1" s="243"/>
      <c r="LBP1" s="243"/>
      <c r="LBQ1" s="243"/>
      <c r="LBR1" s="243"/>
      <c r="LBS1" s="243"/>
      <c r="LBT1" s="243"/>
      <c r="LBU1" s="243"/>
      <c r="LBV1" s="243"/>
      <c r="LBW1" s="243"/>
      <c r="LBX1" s="243"/>
      <c r="LBY1" s="243"/>
      <c r="LBZ1" s="243"/>
      <c r="LCA1" s="243"/>
      <c r="LCB1" s="243"/>
      <c r="LCC1" s="243" t="s">
        <v>127</v>
      </c>
      <c r="LCD1" s="243"/>
      <c r="LCE1" s="243"/>
      <c r="LCF1" s="243"/>
      <c r="LCG1" s="243"/>
      <c r="LCH1" s="243"/>
      <c r="LCI1" s="243"/>
      <c r="LCJ1" s="243"/>
      <c r="LCK1" s="243"/>
      <c r="LCL1" s="243"/>
      <c r="LCM1" s="243"/>
      <c r="LCN1" s="243"/>
      <c r="LCO1" s="243"/>
      <c r="LCP1" s="243"/>
      <c r="LCQ1" s="243"/>
      <c r="LCR1" s="243"/>
      <c r="LCS1" s="243" t="s">
        <v>127</v>
      </c>
      <c r="LCT1" s="243"/>
      <c r="LCU1" s="243"/>
      <c r="LCV1" s="243"/>
      <c r="LCW1" s="243"/>
      <c r="LCX1" s="243"/>
      <c r="LCY1" s="243"/>
      <c r="LCZ1" s="243"/>
      <c r="LDA1" s="243"/>
      <c r="LDB1" s="243"/>
      <c r="LDC1" s="243"/>
      <c r="LDD1" s="243"/>
      <c r="LDE1" s="243"/>
      <c r="LDF1" s="243"/>
      <c r="LDG1" s="243"/>
      <c r="LDH1" s="243"/>
      <c r="LDI1" s="243" t="s">
        <v>127</v>
      </c>
      <c r="LDJ1" s="243"/>
      <c r="LDK1" s="243"/>
      <c r="LDL1" s="243"/>
      <c r="LDM1" s="243"/>
      <c r="LDN1" s="243"/>
      <c r="LDO1" s="243"/>
      <c r="LDP1" s="243"/>
      <c r="LDQ1" s="243"/>
      <c r="LDR1" s="243"/>
      <c r="LDS1" s="243"/>
      <c r="LDT1" s="243"/>
      <c r="LDU1" s="243"/>
      <c r="LDV1" s="243"/>
      <c r="LDW1" s="243"/>
      <c r="LDX1" s="243"/>
      <c r="LDY1" s="243" t="s">
        <v>127</v>
      </c>
      <c r="LDZ1" s="243"/>
      <c r="LEA1" s="243"/>
      <c r="LEB1" s="243"/>
      <c r="LEC1" s="243"/>
      <c r="LED1" s="243"/>
      <c r="LEE1" s="243"/>
      <c r="LEF1" s="243"/>
      <c r="LEG1" s="243"/>
      <c r="LEH1" s="243"/>
      <c r="LEI1" s="243"/>
      <c r="LEJ1" s="243"/>
      <c r="LEK1" s="243"/>
      <c r="LEL1" s="243"/>
      <c r="LEM1" s="243"/>
      <c r="LEN1" s="243"/>
      <c r="LEO1" s="243" t="s">
        <v>127</v>
      </c>
      <c r="LEP1" s="243"/>
      <c r="LEQ1" s="243"/>
      <c r="LER1" s="243"/>
      <c r="LES1" s="243"/>
      <c r="LET1" s="243"/>
      <c r="LEU1" s="243"/>
      <c r="LEV1" s="243"/>
      <c r="LEW1" s="243"/>
      <c r="LEX1" s="243"/>
      <c r="LEY1" s="243"/>
      <c r="LEZ1" s="243"/>
      <c r="LFA1" s="243"/>
      <c r="LFB1" s="243"/>
      <c r="LFC1" s="243"/>
      <c r="LFD1" s="243"/>
      <c r="LFE1" s="243" t="s">
        <v>127</v>
      </c>
      <c r="LFF1" s="243"/>
      <c r="LFG1" s="243"/>
      <c r="LFH1" s="243"/>
      <c r="LFI1" s="243"/>
      <c r="LFJ1" s="243"/>
      <c r="LFK1" s="243"/>
      <c r="LFL1" s="243"/>
      <c r="LFM1" s="243"/>
      <c r="LFN1" s="243"/>
      <c r="LFO1" s="243"/>
      <c r="LFP1" s="243"/>
      <c r="LFQ1" s="243"/>
      <c r="LFR1" s="243"/>
      <c r="LFS1" s="243"/>
      <c r="LFT1" s="243"/>
      <c r="LFU1" s="243" t="s">
        <v>127</v>
      </c>
      <c r="LFV1" s="243"/>
      <c r="LFW1" s="243"/>
      <c r="LFX1" s="243"/>
      <c r="LFY1" s="243"/>
      <c r="LFZ1" s="243"/>
      <c r="LGA1" s="243"/>
      <c r="LGB1" s="243"/>
      <c r="LGC1" s="243"/>
      <c r="LGD1" s="243"/>
      <c r="LGE1" s="243"/>
      <c r="LGF1" s="243"/>
      <c r="LGG1" s="243"/>
      <c r="LGH1" s="243"/>
      <c r="LGI1" s="243"/>
      <c r="LGJ1" s="243"/>
      <c r="LGK1" s="243" t="s">
        <v>127</v>
      </c>
      <c r="LGL1" s="243"/>
      <c r="LGM1" s="243"/>
      <c r="LGN1" s="243"/>
      <c r="LGO1" s="243"/>
      <c r="LGP1" s="243"/>
      <c r="LGQ1" s="243"/>
      <c r="LGR1" s="243"/>
      <c r="LGS1" s="243"/>
      <c r="LGT1" s="243"/>
      <c r="LGU1" s="243"/>
      <c r="LGV1" s="243"/>
      <c r="LGW1" s="243"/>
      <c r="LGX1" s="243"/>
      <c r="LGY1" s="243"/>
      <c r="LGZ1" s="243"/>
      <c r="LHA1" s="243" t="s">
        <v>127</v>
      </c>
      <c r="LHB1" s="243"/>
      <c r="LHC1" s="243"/>
      <c r="LHD1" s="243"/>
      <c r="LHE1" s="243"/>
      <c r="LHF1" s="243"/>
      <c r="LHG1" s="243"/>
      <c r="LHH1" s="243"/>
      <c r="LHI1" s="243"/>
      <c r="LHJ1" s="243"/>
      <c r="LHK1" s="243"/>
      <c r="LHL1" s="243"/>
      <c r="LHM1" s="243"/>
      <c r="LHN1" s="243"/>
      <c r="LHO1" s="243"/>
      <c r="LHP1" s="243"/>
      <c r="LHQ1" s="243" t="s">
        <v>127</v>
      </c>
      <c r="LHR1" s="243"/>
      <c r="LHS1" s="243"/>
      <c r="LHT1" s="243"/>
      <c r="LHU1" s="243"/>
      <c r="LHV1" s="243"/>
      <c r="LHW1" s="243"/>
      <c r="LHX1" s="243"/>
      <c r="LHY1" s="243"/>
      <c r="LHZ1" s="243"/>
      <c r="LIA1" s="243"/>
      <c r="LIB1" s="243"/>
      <c r="LIC1" s="243"/>
      <c r="LID1" s="243"/>
      <c r="LIE1" s="243"/>
      <c r="LIF1" s="243"/>
      <c r="LIG1" s="243" t="s">
        <v>127</v>
      </c>
      <c r="LIH1" s="243"/>
      <c r="LII1" s="243"/>
      <c r="LIJ1" s="243"/>
      <c r="LIK1" s="243"/>
      <c r="LIL1" s="243"/>
      <c r="LIM1" s="243"/>
      <c r="LIN1" s="243"/>
      <c r="LIO1" s="243"/>
      <c r="LIP1" s="243"/>
      <c r="LIQ1" s="243"/>
      <c r="LIR1" s="243"/>
      <c r="LIS1" s="243"/>
      <c r="LIT1" s="243"/>
      <c r="LIU1" s="243"/>
      <c r="LIV1" s="243"/>
      <c r="LIW1" s="243" t="s">
        <v>127</v>
      </c>
      <c r="LIX1" s="243"/>
      <c r="LIY1" s="243"/>
      <c r="LIZ1" s="243"/>
      <c r="LJA1" s="243"/>
      <c r="LJB1" s="243"/>
      <c r="LJC1" s="243"/>
      <c r="LJD1" s="243"/>
      <c r="LJE1" s="243"/>
      <c r="LJF1" s="243"/>
      <c r="LJG1" s="243"/>
      <c r="LJH1" s="243"/>
      <c r="LJI1" s="243"/>
      <c r="LJJ1" s="243"/>
      <c r="LJK1" s="243"/>
      <c r="LJL1" s="243"/>
      <c r="LJM1" s="243" t="s">
        <v>127</v>
      </c>
      <c r="LJN1" s="243"/>
      <c r="LJO1" s="243"/>
      <c r="LJP1" s="243"/>
      <c r="LJQ1" s="243"/>
      <c r="LJR1" s="243"/>
      <c r="LJS1" s="243"/>
      <c r="LJT1" s="243"/>
      <c r="LJU1" s="243"/>
      <c r="LJV1" s="243"/>
      <c r="LJW1" s="243"/>
      <c r="LJX1" s="243"/>
      <c r="LJY1" s="243"/>
      <c r="LJZ1" s="243"/>
      <c r="LKA1" s="243"/>
      <c r="LKB1" s="243"/>
      <c r="LKC1" s="243" t="s">
        <v>127</v>
      </c>
      <c r="LKD1" s="243"/>
      <c r="LKE1" s="243"/>
      <c r="LKF1" s="243"/>
      <c r="LKG1" s="243"/>
      <c r="LKH1" s="243"/>
      <c r="LKI1" s="243"/>
      <c r="LKJ1" s="243"/>
      <c r="LKK1" s="243"/>
      <c r="LKL1" s="243"/>
      <c r="LKM1" s="243"/>
      <c r="LKN1" s="243"/>
      <c r="LKO1" s="243"/>
      <c r="LKP1" s="243"/>
      <c r="LKQ1" s="243"/>
      <c r="LKR1" s="243"/>
      <c r="LKS1" s="243" t="s">
        <v>127</v>
      </c>
      <c r="LKT1" s="243"/>
      <c r="LKU1" s="243"/>
      <c r="LKV1" s="243"/>
      <c r="LKW1" s="243"/>
      <c r="LKX1" s="243"/>
      <c r="LKY1" s="243"/>
      <c r="LKZ1" s="243"/>
      <c r="LLA1" s="243"/>
      <c r="LLB1" s="243"/>
      <c r="LLC1" s="243"/>
      <c r="LLD1" s="243"/>
      <c r="LLE1" s="243"/>
      <c r="LLF1" s="243"/>
      <c r="LLG1" s="243"/>
      <c r="LLH1" s="243"/>
      <c r="LLI1" s="243" t="s">
        <v>127</v>
      </c>
      <c r="LLJ1" s="243"/>
      <c r="LLK1" s="243"/>
      <c r="LLL1" s="243"/>
      <c r="LLM1" s="243"/>
      <c r="LLN1" s="243"/>
      <c r="LLO1" s="243"/>
      <c r="LLP1" s="243"/>
      <c r="LLQ1" s="243"/>
      <c r="LLR1" s="243"/>
      <c r="LLS1" s="243"/>
      <c r="LLT1" s="243"/>
      <c r="LLU1" s="243"/>
      <c r="LLV1" s="243"/>
      <c r="LLW1" s="243"/>
      <c r="LLX1" s="243"/>
      <c r="LLY1" s="243" t="s">
        <v>127</v>
      </c>
      <c r="LLZ1" s="243"/>
      <c r="LMA1" s="243"/>
      <c r="LMB1" s="243"/>
      <c r="LMC1" s="243"/>
      <c r="LMD1" s="243"/>
      <c r="LME1" s="243"/>
      <c r="LMF1" s="243"/>
      <c r="LMG1" s="243"/>
      <c r="LMH1" s="243"/>
      <c r="LMI1" s="243"/>
      <c r="LMJ1" s="243"/>
      <c r="LMK1" s="243"/>
      <c r="LML1" s="243"/>
      <c r="LMM1" s="243"/>
      <c r="LMN1" s="243"/>
      <c r="LMO1" s="243" t="s">
        <v>127</v>
      </c>
      <c r="LMP1" s="243"/>
      <c r="LMQ1" s="243"/>
      <c r="LMR1" s="243"/>
      <c r="LMS1" s="243"/>
      <c r="LMT1" s="243"/>
      <c r="LMU1" s="243"/>
      <c r="LMV1" s="243"/>
      <c r="LMW1" s="243"/>
      <c r="LMX1" s="243"/>
      <c r="LMY1" s="243"/>
      <c r="LMZ1" s="243"/>
      <c r="LNA1" s="243"/>
      <c r="LNB1" s="243"/>
      <c r="LNC1" s="243"/>
      <c r="LND1" s="243"/>
      <c r="LNE1" s="243" t="s">
        <v>127</v>
      </c>
      <c r="LNF1" s="243"/>
      <c r="LNG1" s="243"/>
      <c r="LNH1" s="243"/>
      <c r="LNI1" s="243"/>
      <c r="LNJ1" s="243"/>
      <c r="LNK1" s="243"/>
      <c r="LNL1" s="243"/>
      <c r="LNM1" s="243"/>
      <c r="LNN1" s="243"/>
      <c r="LNO1" s="243"/>
      <c r="LNP1" s="243"/>
      <c r="LNQ1" s="243"/>
      <c r="LNR1" s="243"/>
      <c r="LNS1" s="243"/>
      <c r="LNT1" s="243"/>
      <c r="LNU1" s="243" t="s">
        <v>127</v>
      </c>
      <c r="LNV1" s="243"/>
      <c r="LNW1" s="243"/>
      <c r="LNX1" s="243"/>
      <c r="LNY1" s="243"/>
      <c r="LNZ1" s="243"/>
      <c r="LOA1" s="243"/>
      <c r="LOB1" s="243"/>
      <c r="LOC1" s="243"/>
      <c r="LOD1" s="243"/>
      <c r="LOE1" s="243"/>
      <c r="LOF1" s="243"/>
      <c r="LOG1" s="243"/>
      <c r="LOH1" s="243"/>
      <c r="LOI1" s="243"/>
      <c r="LOJ1" s="243"/>
      <c r="LOK1" s="243" t="s">
        <v>127</v>
      </c>
      <c r="LOL1" s="243"/>
      <c r="LOM1" s="243"/>
      <c r="LON1" s="243"/>
      <c r="LOO1" s="243"/>
      <c r="LOP1" s="243"/>
      <c r="LOQ1" s="243"/>
      <c r="LOR1" s="243"/>
      <c r="LOS1" s="243"/>
      <c r="LOT1" s="243"/>
      <c r="LOU1" s="243"/>
      <c r="LOV1" s="243"/>
      <c r="LOW1" s="243"/>
      <c r="LOX1" s="243"/>
      <c r="LOY1" s="243"/>
      <c r="LOZ1" s="243"/>
      <c r="LPA1" s="243" t="s">
        <v>127</v>
      </c>
      <c r="LPB1" s="243"/>
      <c r="LPC1" s="243"/>
      <c r="LPD1" s="243"/>
      <c r="LPE1" s="243"/>
      <c r="LPF1" s="243"/>
      <c r="LPG1" s="243"/>
      <c r="LPH1" s="243"/>
      <c r="LPI1" s="243"/>
      <c r="LPJ1" s="243"/>
      <c r="LPK1" s="243"/>
      <c r="LPL1" s="243"/>
      <c r="LPM1" s="243"/>
      <c r="LPN1" s="243"/>
      <c r="LPO1" s="243"/>
      <c r="LPP1" s="243"/>
      <c r="LPQ1" s="243" t="s">
        <v>127</v>
      </c>
      <c r="LPR1" s="243"/>
      <c r="LPS1" s="243"/>
      <c r="LPT1" s="243"/>
      <c r="LPU1" s="243"/>
      <c r="LPV1" s="243"/>
      <c r="LPW1" s="243"/>
      <c r="LPX1" s="243"/>
      <c r="LPY1" s="243"/>
      <c r="LPZ1" s="243"/>
      <c r="LQA1" s="243"/>
      <c r="LQB1" s="243"/>
      <c r="LQC1" s="243"/>
      <c r="LQD1" s="243"/>
      <c r="LQE1" s="243"/>
      <c r="LQF1" s="243"/>
      <c r="LQG1" s="243" t="s">
        <v>127</v>
      </c>
      <c r="LQH1" s="243"/>
      <c r="LQI1" s="243"/>
      <c r="LQJ1" s="243"/>
      <c r="LQK1" s="243"/>
      <c r="LQL1" s="243"/>
      <c r="LQM1" s="243"/>
      <c r="LQN1" s="243"/>
      <c r="LQO1" s="243"/>
      <c r="LQP1" s="243"/>
      <c r="LQQ1" s="243"/>
      <c r="LQR1" s="243"/>
      <c r="LQS1" s="243"/>
      <c r="LQT1" s="243"/>
      <c r="LQU1" s="243"/>
      <c r="LQV1" s="243"/>
      <c r="LQW1" s="243" t="s">
        <v>127</v>
      </c>
      <c r="LQX1" s="243"/>
      <c r="LQY1" s="243"/>
      <c r="LQZ1" s="243"/>
      <c r="LRA1" s="243"/>
      <c r="LRB1" s="243"/>
      <c r="LRC1" s="243"/>
      <c r="LRD1" s="243"/>
      <c r="LRE1" s="243"/>
      <c r="LRF1" s="243"/>
      <c r="LRG1" s="243"/>
      <c r="LRH1" s="243"/>
      <c r="LRI1" s="243"/>
      <c r="LRJ1" s="243"/>
      <c r="LRK1" s="243"/>
      <c r="LRL1" s="243"/>
      <c r="LRM1" s="243" t="s">
        <v>127</v>
      </c>
      <c r="LRN1" s="243"/>
      <c r="LRO1" s="243"/>
      <c r="LRP1" s="243"/>
      <c r="LRQ1" s="243"/>
      <c r="LRR1" s="243"/>
      <c r="LRS1" s="243"/>
      <c r="LRT1" s="243"/>
      <c r="LRU1" s="243"/>
      <c r="LRV1" s="243"/>
      <c r="LRW1" s="243"/>
      <c r="LRX1" s="243"/>
      <c r="LRY1" s="243"/>
      <c r="LRZ1" s="243"/>
      <c r="LSA1" s="243"/>
      <c r="LSB1" s="243"/>
      <c r="LSC1" s="243" t="s">
        <v>127</v>
      </c>
      <c r="LSD1" s="243"/>
      <c r="LSE1" s="243"/>
      <c r="LSF1" s="243"/>
      <c r="LSG1" s="243"/>
      <c r="LSH1" s="243"/>
      <c r="LSI1" s="243"/>
      <c r="LSJ1" s="243"/>
      <c r="LSK1" s="243"/>
      <c r="LSL1" s="243"/>
      <c r="LSM1" s="243"/>
      <c r="LSN1" s="243"/>
      <c r="LSO1" s="243"/>
      <c r="LSP1" s="243"/>
      <c r="LSQ1" s="243"/>
      <c r="LSR1" s="243"/>
      <c r="LSS1" s="243" t="s">
        <v>127</v>
      </c>
      <c r="LST1" s="243"/>
      <c r="LSU1" s="243"/>
      <c r="LSV1" s="243"/>
      <c r="LSW1" s="243"/>
      <c r="LSX1" s="243"/>
      <c r="LSY1" s="243"/>
      <c r="LSZ1" s="243"/>
      <c r="LTA1" s="243"/>
      <c r="LTB1" s="243"/>
      <c r="LTC1" s="243"/>
      <c r="LTD1" s="243"/>
      <c r="LTE1" s="243"/>
      <c r="LTF1" s="243"/>
      <c r="LTG1" s="243"/>
      <c r="LTH1" s="243"/>
      <c r="LTI1" s="243" t="s">
        <v>127</v>
      </c>
      <c r="LTJ1" s="243"/>
      <c r="LTK1" s="243"/>
      <c r="LTL1" s="243"/>
      <c r="LTM1" s="243"/>
      <c r="LTN1" s="243"/>
      <c r="LTO1" s="243"/>
      <c r="LTP1" s="243"/>
      <c r="LTQ1" s="243"/>
      <c r="LTR1" s="243"/>
      <c r="LTS1" s="243"/>
      <c r="LTT1" s="243"/>
      <c r="LTU1" s="243"/>
      <c r="LTV1" s="243"/>
      <c r="LTW1" s="243"/>
      <c r="LTX1" s="243"/>
      <c r="LTY1" s="243" t="s">
        <v>127</v>
      </c>
      <c r="LTZ1" s="243"/>
      <c r="LUA1" s="243"/>
      <c r="LUB1" s="243"/>
      <c r="LUC1" s="243"/>
      <c r="LUD1" s="243"/>
      <c r="LUE1" s="243"/>
      <c r="LUF1" s="243"/>
      <c r="LUG1" s="243"/>
      <c r="LUH1" s="243"/>
      <c r="LUI1" s="243"/>
      <c r="LUJ1" s="243"/>
      <c r="LUK1" s="243"/>
      <c r="LUL1" s="243"/>
      <c r="LUM1" s="243"/>
      <c r="LUN1" s="243"/>
      <c r="LUO1" s="243" t="s">
        <v>127</v>
      </c>
      <c r="LUP1" s="243"/>
      <c r="LUQ1" s="243"/>
      <c r="LUR1" s="243"/>
      <c r="LUS1" s="243"/>
      <c r="LUT1" s="243"/>
      <c r="LUU1" s="243"/>
      <c r="LUV1" s="243"/>
      <c r="LUW1" s="243"/>
      <c r="LUX1" s="243"/>
      <c r="LUY1" s="243"/>
      <c r="LUZ1" s="243"/>
      <c r="LVA1" s="243"/>
      <c r="LVB1" s="243"/>
      <c r="LVC1" s="243"/>
      <c r="LVD1" s="243"/>
      <c r="LVE1" s="243" t="s">
        <v>127</v>
      </c>
      <c r="LVF1" s="243"/>
      <c r="LVG1" s="243"/>
      <c r="LVH1" s="243"/>
      <c r="LVI1" s="243"/>
      <c r="LVJ1" s="243"/>
      <c r="LVK1" s="243"/>
      <c r="LVL1" s="243"/>
      <c r="LVM1" s="243"/>
      <c r="LVN1" s="243"/>
      <c r="LVO1" s="243"/>
      <c r="LVP1" s="243"/>
      <c r="LVQ1" s="243"/>
      <c r="LVR1" s="243"/>
      <c r="LVS1" s="243"/>
      <c r="LVT1" s="243"/>
      <c r="LVU1" s="243" t="s">
        <v>127</v>
      </c>
      <c r="LVV1" s="243"/>
      <c r="LVW1" s="243"/>
      <c r="LVX1" s="243"/>
      <c r="LVY1" s="243"/>
      <c r="LVZ1" s="243"/>
      <c r="LWA1" s="243"/>
      <c r="LWB1" s="243"/>
      <c r="LWC1" s="243"/>
      <c r="LWD1" s="243"/>
      <c r="LWE1" s="243"/>
      <c r="LWF1" s="243"/>
      <c r="LWG1" s="243"/>
      <c r="LWH1" s="243"/>
      <c r="LWI1" s="243"/>
      <c r="LWJ1" s="243"/>
      <c r="LWK1" s="243" t="s">
        <v>127</v>
      </c>
      <c r="LWL1" s="243"/>
      <c r="LWM1" s="243"/>
      <c r="LWN1" s="243"/>
      <c r="LWO1" s="243"/>
      <c r="LWP1" s="243"/>
      <c r="LWQ1" s="243"/>
      <c r="LWR1" s="243"/>
      <c r="LWS1" s="243"/>
      <c r="LWT1" s="243"/>
      <c r="LWU1" s="243"/>
      <c r="LWV1" s="243"/>
      <c r="LWW1" s="243"/>
      <c r="LWX1" s="243"/>
      <c r="LWY1" s="243"/>
      <c r="LWZ1" s="243"/>
      <c r="LXA1" s="243" t="s">
        <v>127</v>
      </c>
      <c r="LXB1" s="243"/>
      <c r="LXC1" s="243"/>
      <c r="LXD1" s="243"/>
      <c r="LXE1" s="243"/>
      <c r="LXF1" s="243"/>
      <c r="LXG1" s="243"/>
      <c r="LXH1" s="243"/>
      <c r="LXI1" s="243"/>
      <c r="LXJ1" s="243"/>
      <c r="LXK1" s="243"/>
      <c r="LXL1" s="243"/>
      <c r="LXM1" s="243"/>
      <c r="LXN1" s="243"/>
      <c r="LXO1" s="243"/>
      <c r="LXP1" s="243"/>
      <c r="LXQ1" s="243" t="s">
        <v>127</v>
      </c>
      <c r="LXR1" s="243"/>
      <c r="LXS1" s="243"/>
      <c r="LXT1" s="243"/>
      <c r="LXU1" s="243"/>
      <c r="LXV1" s="243"/>
      <c r="LXW1" s="243"/>
      <c r="LXX1" s="243"/>
      <c r="LXY1" s="243"/>
      <c r="LXZ1" s="243"/>
      <c r="LYA1" s="243"/>
      <c r="LYB1" s="243"/>
      <c r="LYC1" s="243"/>
      <c r="LYD1" s="243"/>
      <c r="LYE1" s="243"/>
      <c r="LYF1" s="243"/>
      <c r="LYG1" s="243" t="s">
        <v>127</v>
      </c>
      <c r="LYH1" s="243"/>
      <c r="LYI1" s="243"/>
      <c r="LYJ1" s="243"/>
      <c r="LYK1" s="243"/>
      <c r="LYL1" s="243"/>
      <c r="LYM1" s="243"/>
      <c r="LYN1" s="243"/>
      <c r="LYO1" s="243"/>
      <c r="LYP1" s="243"/>
      <c r="LYQ1" s="243"/>
      <c r="LYR1" s="243"/>
      <c r="LYS1" s="243"/>
      <c r="LYT1" s="243"/>
      <c r="LYU1" s="243"/>
      <c r="LYV1" s="243"/>
      <c r="LYW1" s="243" t="s">
        <v>127</v>
      </c>
      <c r="LYX1" s="243"/>
      <c r="LYY1" s="243"/>
      <c r="LYZ1" s="243"/>
      <c r="LZA1" s="243"/>
      <c r="LZB1" s="243"/>
      <c r="LZC1" s="243"/>
      <c r="LZD1" s="243"/>
      <c r="LZE1" s="243"/>
      <c r="LZF1" s="243"/>
      <c r="LZG1" s="243"/>
      <c r="LZH1" s="243"/>
      <c r="LZI1" s="243"/>
      <c r="LZJ1" s="243"/>
      <c r="LZK1" s="243"/>
      <c r="LZL1" s="243"/>
      <c r="LZM1" s="243" t="s">
        <v>127</v>
      </c>
      <c r="LZN1" s="243"/>
      <c r="LZO1" s="243"/>
      <c r="LZP1" s="243"/>
      <c r="LZQ1" s="243"/>
      <c r="LZR1" s="243"/>
      <c r="LZS1" s="243"/>
      <c r="LZT1" s="243"/>
      <c r="LZU1" s="243"/>
      <c r="LZV1" s="243"/>
      <c r="LZW1" s="243"/>
      <c r="LZX1" s="243"/>
      <c r="LZY1" s="243"/>
      <c r="LZZ1" s="243"/>
      <c r="MAA1" s="243"/>
      <c r="MAB1" s="243"/>
      <c r="MAC1" s="243" t="s">
        <v>127</v>
      </c>
      <c r="MAD1" s="243"/>
      <c r="MAE1" s="243"/>
      <c r="MAF1" s="243"/>
      <c r="MAG1" s="243"/>
      <c r="MAH1" s="243"/>
      <c r="MAI1" s="243"/>
      <c r="MAJ1" s="243"/>
      <c r="MAK1" s="243"/>
      <c r="MAL1" s="243"/>
      <c r="MAM1" s="243"/>
      <c r="MAN1" s="243"/>
      <c r="MAO1" s="243"/>
      <c r="MAP1" s="243"/>
      <c r="MAQ1" s="243"/>
      <c r="MAR1" s="243"/>
      <c r="MAS1" s="243" t="s">
        <v>127</v>
      </c>
      <c r="MAT1" s="243"/>
      <c r="MAU1" s="243"/>
      <c r="MAV1" s="243"/>
      <c r="MAW1" s="243"/>
      <c r="MAX1" s="243"/>
      <c r="MAY1" s="243"/>
      <c r="MAZ1" s="243"/>
      <c r="MBA1" s="243"/>
      <c r="MBB1" s="243"/>
      <c r="MBC1" s="243"/>
      <c r="MBD1" s="243"/>
      <c r="MBE1" s="243"/>
      <c r="MBF1" s="243"/>
      <c r="MBG1" s="243"/>
      <c r="MBH1" s="243"/>
      <c r="MBI1" s="243" t="s">
        <v>127</v>
      </c>
      <c r="MBJ1" s="243"/>
      <c r="MBK1" s="243"/>
      <c r="MBL1" s="243"/>
      <c r="MBM1" s="243"/>
      <c r="MBN1" s="243"/>
      <c r="MBO1" s="243"/>
      <c r="MBP1" s="243"/>
      <c r="MBQ1" s="243"/>
      <c r="MBR1" s="243"/>
      <c r="MBS1" s="243"/>
      <c r="MBT1" s="243"/>
      <c r="MBU1" s="243"/>
      <c r="MBV1" s="243"/>
      <c r="MBW1" s="243"/>
      <c r="MBX1" s="243"/>
      <c r="MBY1" s="243" t="s">
        <v>127</v>
      </c>
      <c r="MBZ1" s="243"/>
      <c r="MCA1" s="243"/>
      <c r="MCB1" s="243"/>
      <c r="MCC1" s="243"/>
      <c r="MCD1" s="243"/>
      <c r="MCE1" s="243"/>
      <c r="MCF1" s="243"/>
      <c r="MCG1" s="243"/>
      <c r="MCH1" s="243"/>
      <c r="MCI1" s="243"/>
      <c r="MCJ1" s="243"/>
      <c r="MCK1" s="243"/>
      <c r="MCL1" s="243"/>
      <c r="MCM1" s="243"/>
      <c r="MCN1" s="243"/>
      <c r="MCO1" s="243" t="s">
        <v>127</v>
      </c>
      <c r="MCP1" s="243"/>
      <c r="MCQ1" s="243"/>
      <c r="MCR1" s="243"/>
      <c r="MCS1" s="243"/>
      <c r="MCT1" s="243"/>
      <c r="MCU1" s="243"/>
      <c r="MCV1" s="243"/>
      <c r="MCW1" s="243"/>
      <c r="MCX1" s="243"/>
      <c r="MCY1" s="243"/>
      <c r="MCZ1" s="243"/>
      <c r="MDA1" s="243"/>
      <c r="MDB1" s="243"/>
      <c r="MDC1" s="243"/>
      <c r="MDD1" s="243"/>
      <c r="MDE1" s="243" t="s">
        <v>127</v>
      </c>
      <c r="MDF1" s="243"/>
      <c r="MDG1" s="243"/>
      <c r="MDH1" s="243"/>
      <c r="MDI1" s="243"/>
      <c r="MDJ1" s="243"/>
      <c r="MDK1" s="243"/>
      <c r="MDL1" s="243"/>
      <c r="MDM1" s="243"/>
      <c r="MDN1" s="243"/>
      <c r="MDO1" s="243"/>
      <c r="MDP1" s="243"/>
      <c r="MDQ1" s="243"/>
      <c r="MDR1" s="243"/>
      <c r="MDS1" s="243"/>
      <c r="MDT1" s="243"/>
      <c r="MDU1" s="243" t="s">
        <v>127</v>
      </c>
      <c r="MDV1" s="243"/>
      <c r="MDW1" s="243"/>
      <c r="MDX1" s="243"/>
      <c r="MDY1" s="243"/>
      <c r="MDZ1" s="243"/>
      <c r="MEA1" s="243"/>
      <c r="MEB1" s="243"/>
      <c r="MEC1" s="243"/>
      <c r="MED1" s="243"/>
      <c r="MEE1" s="243"/>
      <c r="MEF1" s="243"/>
      <c r="MEG1" s="243"/>
      <c r="MEH1" s="243"/>
      <c r="MEI1" s="243"/>
      <c r="MEJ1" s="243"/>
      <c r="MEK1" s="243" t="s">
        <v>127</v>
      </c>
      <c r="MEL1" s="243"/>
      <c r="MEM1" s="243"/>
      <c r="MEN1" s="243"/>
      <c r="MEO1" s="243"/>
      <c r="MEP1" s="243"/>
      <c r="MEQ1" s="243"/>
      <c r="MER1" s="243"/>
      <c r="MES1" s="243"/>
      <c r="MET1" s="243"/>
      <c r="MEU1" s="243"/>
      <c r="MEV1" s="243"/>
      <c r="MEW1" s="243"/>
      <c r="MEX1" s="243"/>
      <c r="MEY1" s="243"/>
      <c r="MEZ1" s="243"/>
      <c r="MFA1" s="243" t="s">
        <v>127</v>
      </c>
      <c r="MFB1" s="243"/>
      <c r="MFC1" s="243"/>
      <c r="MFD1" s="243"/>
      <c r="MFE1" s="243"/>
      <c r="MFF1" s="243"/>
      <c r="MFG1" s="243"/>
      <c r="MFH1" s="243"/>
      <c r="MFI1" s="243"/>
      <c r="MFJ1" s="243"/>
      <c r="MFK1" s="243"/>
      <c r="MFL1" s="243"/>
      <c r="MFM1" s="243"/>
      <c r="MFN1" s="243"/>
      <c r="MFO1" s="243"/>
      <c r="MFP1" s="243"/>
      <c r="MFQ1" s="243" t="s">
        <v>127</v>
      </c>
      <c r="MFR1" s="243"/>
      <c r="MFS1" s="243"/>
      <c r="MFT1" s="243"/>
      <c r="MFU1" s="243"/>
      <c r="MFV1" s="243"/>
      <c r="MFW1" s="243"/>
      <c r="MFX1" s="243"/>
      <c r="MFY1" s="243"/>
      <c r="MFZ1" s="243"/>
      <c r="MGA1" s="243"/>
      <c r="MGB1" s="243"/>
      <c r="MGC1" s="243"/>
      <c r="MGD1" s="243"/>
      <c r="MGE1" s="243"/>
      <c r="MGF1" s="243"/>
      <c r="MGG1" s="243" t="s">
        <v>127</v>
      </c>
      <c r="MGH1" s="243"/>
      <c r="MGI1" s="243"/>
      <c r="MGJ1" s="243"/>
      <c r="MGK1" s="243"/>
      <c r="MGL1" s="243"/>
      <c r="MGM1" s="243"/>
      <c r="MGN1" s="243"/>
      <c r="MGO1" s="243"/>
      <c r="MGP1" s="243"/>
      <c r="MGQ1" s="243"/>
      <c r="MGR1" s="243"/>
      <c r="MGS1" s="243"/>
      <c r="MGT1" s="243"/>
      <c r="MGU1" s="243"/>
      <c r="MGV1" s="243"/>
      <c r="MGW1" s="243" t="s">
        <v>127</v>
      </c>
      <c r="MGX1" s="243"/>
      <c r="MGY1" s="243"/>
      <c r="MGZ1" s="243"/>
      <c r="MHA1" s="243"/>
      <c r="MHB1" s="243"/>
      <c r="MHC1" s="243"/>
      <c r="MHD1" s="243"/>
      <c r="MHE1" s="243"/>
      <c r="MHF1" s="243"/>
      <c r="MHG1" s="243"/>
      <c r="MHH1" s="243"/>
      <c r="MHI1" s="243"/>
      <c r="MHJ1" s="243"/>
      <c r="MHK1" s="243"/>
      <c r="MHL1" s="243"/>
      <c r="MHM1" s="243" t="s">
        <v>127</v>
      </c>
      <c r="MHN1" s="243"/>
      <c r="MHO1" s="243"/>
      <c r="MHP1" s="243"/>
      <c r="MHQ1" s="243"/>
      <c r="MHR1" s="243"/>
      <c r="MHS1" s="243"/>
      <c r="MHT1" s="243"/>
      <c r="MHU1" s="243"/>
      <c r="MHV1" s="243"/>
      <c r="MHW1" s="243"/>
      <c r="MHX1" s="243"/>
      <c r="MHY1" s="243"/>
      <c r="MHZ1" s="243"/>
      <c r="MIA1" s="243"/>
      <c r="MIB1" s="243"/>
      <c r="MIC1" s="243" t="s">
        <v>127</v>
      </c>
      <c r="MID1" s="243"/>
      <c r="MIE1" s="243"/>
      <c r="MIF1" s="243"/>
      <c r="MIG1" s="243"/>
      <c r="MIH1" s="243"/>
      <c r="MII1" s="243"/>
      <c r="MIJ1" s="243"/>
      <c r="MIK1" s="243"/>
      <c r="MIL1" s="243"/>
      <c r="MIM1" s="243"/>
      <c r="MIN1" s="243"/>
      <c r="MIO1" s="243"/>
      <c r="MIP1" s="243"/>
      <c r="MIQ1" s="243"/>
      <c r="MIR1" s="243"/>
      <c r="MIS1" s="243" t="s">
        <v>127</v>
      </c>
      <c r="MIT1" s="243"/>
      <c r="MIU1" s="243"/>
      <c r="MIV1" s="243"/>
      <c r="MIW1" s="243"/>
      <c r="MIX1" s="243"/>
      <c r="MIY1" s="243"/>
      <c r="MIZ1" s="243"/>
      <c r="MJA1" s="243"/>
      <c r="MJB1" s="243"/>
      <c r="MJC1" s="243"/>
      <c r="MJD1" s="243"/>
      <c r="MJE1" s="243"/>
      <c r="MJF1" s="243"/>
      <c r="MJG1" s="243"/>
      <c r="MJH1" s="243"/>
      <c r="MJI1" s="243" t="s">
        <v>127</v>
      </c>
      <c r="MJJ1" s="243"/>
      <c r="MJK1" s="243"/>
      <c r="MJL1" s="243"/>
      <c r="MJM1" s="243"/>
      <c r="MJN1" s="243"/>
      <c r="MJO1" s="243"/>
      <c r="MJP1" s="243"/>
      <c r="MJQ1" s="243"/>
      <c r="MJR1" s="243"/>
      <c r="MJS1" s="243"/>
      <c r="MJT1" s="243"/>
      <c r="MJU1" s="243"/>
      <c r="MJV1" s="243"/>
      <c r="MJW1" s="243"/>
      <c r="MJX1" s="243"/>
      <c r="MJY1" s="243" t="s">
        <v>127</v>
      </c>
      <c r="MJZ1" s="243"/>
      <c r="MKA1" s="243"/>
      <c r="MKB1" s="243"/>
      <c r="MKC1" s="243"/>
      <c r="MKD1" s="243"/>
      <c r="MKE1" s="243"/>
      <c r="MKF1" s="243"/>
      <c r="MKG1" s="243"/>
      <c r="MKH1" s="243"/>
      <c r="MKI1" s="243"/>
      <c r="MKJ1" s="243"/>
      <c r="MKK1" s="243"/>
      <c r="MKL1" s="243"/>
      <c r="MKM1" s="243"/>
      <c r="MKN1" s="243"/>
      <c r="MKO1" s="243" t="s">
        <v>127</v>
      </c>
      <c r="MKP1" s="243"/>
      <c r="MKQ1" s="243"/>
      <c r="MKR1" s="243"/>
      <c r="MKS1" s="243"/>
      <c r="MKT1" s="243"/>
      <c r="MKU1" s="243"/>
      <c r="MKV1" s="243"/>
      <c r="MKW1" s="243"/>
      <c r="MKX1" s="243"/>
      <c r="MKY1" s="243"/>
      <c r="MKZ1" s="243"/>
      <c r="MLA1" s="243"/>
      <c r="MLB1" s="243"/>
      <c r="MLC1" s="243"/>
      <c r="MLD1" s="243"/>
      <c r="MLE1" s="243" t="s">
        <v>127</v>
      </c>
      <c r="MLF1" s="243"/>
      <c r="MLG1" s="243"/>
      <c r="MLH1" s="243"/>
      <c r="MLI1" s="243"/>
      <c r="MLJ1" s="243"/>
      <c r="MLK1" s="243"/>
      <c r="MLL1" s="243"/>
      <c r="MLM1" s="243"/>
      <c r="MLN1" s="243"/>
      <c r="MLO1" s="243"/>
      <c r="MLP1" s="243"/>
      <c r="MLQ1" s="243"/>
      <c r="MLR1" s="243"/>
      <c r="MLS1" s="243"/>
      <c r="MLT1" s="243"/>
      <c r="MLU1" s="243" t="s">
        <v>127</v>
      </c>
      <c r="MLV1" s="243"/>
      <c r="MLW1" s="243"/>
      <c r="MLX1" s="243"/>
      <c r="MLY1" s="243"/>
      <c r="MLZ1" s="243"/>
      <c r="MMA1" s="243"/>
      <c r="MMB1" s="243"/>
      <c r="MMC1" s="243"/>
      <c r="MMD1" s="243"/>
      <c r="MME1" s="243"/>
      <c r="MMF1" s="243"/>
      <c r="MMG1" s="243"/>
      <c r="MMH1" s="243"/>
      <c r="MMI1" s="243"/>
      <c r="MMJ1" s="243"/>
      <c r="MMK1" s="243" t="s">
        <v>127</v>
      </c>
      <c r="MML1" s="243"/>
      <c r="MMM1" s="243"/>
      <c r="MMN1" s="243"/>
      <c r="MMO1" s="243"/>
      <c r="MMP1" s="243"/>
      <c r="MMQ1" s="243"/>
      <c r="MMR1" s="243"/>
      <c r="MMS1" s="243"/>
      <c r="MMT1" s="243"/>
      <c r="MMU1" s="243"/>
      <c r="MMV1" s="243"/>
      <c r="MMW1" s="243"/>
      <c r="MMX1" s="243"/>
      <c r="MMY1" s="243"/>
      <c r="MMZ1" s="243"/>
      <c r="MNA1" s="243" t="s">
        <v>127</v>
      </c>
      <c r="MNB1" s="243"/>
      <c r="MNC1" s="243"/>
      <c r="MND1" s="243"/>
      <c r="MNE1" s="243"/>
      <c r="MNF1" s="243"/>
      <c r="MNG1" s="243"/>
      <c r="MNH1" s="243"/>
      <c r="MNI1" s="243"/>
      <c r="MNJ1" s="243"/>
      <c r="MNK1" s="243"/>
      <c r="MNL1" s="243"/>
      <c r="MNM1" s="243"/>
      <c r="MNN1" s="243"/>
      <c r="MNO1" s="243"/>
      <c r="MNP1" s="243"/>
      <c r="MNQ1" s="243" t="s">
        <v>127</v>
      </c>
      <c r="MNR1" s="243"/>
      <c r="MNS1" s="243"/>
      <c r="MNT1" s="243"/>
      <c r="MNU1" s="243"/>
      <c r="MNV1" s="243"/>
      <c r="MNW1" s="243"/>
      <c r="MNX1" s="243"/>
      <c r="MNY1" s="243"/>
      <c r="MNZ1" s="243"/>
      <c r="MOA1" s="243"/>
      <c r="MOB1" s="243"/>
      <c r="MOC1" s="243"/>
      <c r="MOD1" s="243"/>
      <c r="MOE1" s="243"/>
      <c r="MOF1" s="243"/>
      <c r="MOG1" s="243" t="s">
        <v>127</v>
      </c>
      <c r="MOH1" s="243"/>
      <c r="MOI1" s="243"/>
      <c r="MOJ1" s="243"/>
      <c r="MOK1" s="243"/>
      <c r="MOL1" s="243"/>
      <c r="MOM1" s="243"/>
      <c r="MON1" s="243"/>
      <c r="MOO1" s="243"/>
      <c r="MOP1" s="243"/>
      <c r="MOQ1" s="243"/>
      <c r="MOR1" s="243"/>
      <c r="MOS1" s="243"/>
      <c r="MOT1" s="243"/>
      <c r="MOU1" s="243"/>
      <c r="MOV1" s="243"/>
      <c r="MOW1" s="243" t="s">
        <v>127</v>
      </c>
      <c r="MOX1" s="243"/>
      <c r="MOY1" s="243"/>
      <c r="MOZ1" s="243"/>
      <c r="MPA1" s="243"/>
      <c r="MPB1" s="243"/>
      <c r="MPC1" s="243"/>
      <c r="MPD1" s="243"/>
      <c r="MPE1" s="243"/>
      <c r="MPF1" s="243"/>
      <c r="MPG1" s="243"/>
      <c r="MPH1" s="243"/>
      <c r="MPI1" s="243"/>
      <c r="MPJ1" s="243"/>
      <c r="MPK1" s="243"/>
      <c r="MPL1" s="243"/>
      <c r="MPM1" s="243" t="s">
        <v>127</v>
      </c>
      <c r="MPN1" s="243"/>
      <c r="MPO1" s="243"/>
      <c r="MPP1" s="243"/>
      <c r="MPQ1" s="243"/>
      <c r="MPR1" s="243"/>
      <c r="MPS1" s="243"/>
      <c r="MPT1" s="243"/>
      <c r="MPU1" s="243"/>
      <c r="MPV1" s="243"/>
      <c r="MPW1" s="243"/>
      <c r="MPX1" s="243"/>
      <c r="MPY1" s="243"/>
      <c r="MPZ1" s="243"/>
      <c r="MQA1" s="243"/>
      <c r="MQB1" s="243"/>
      <c r="MQC1" s="243" t="s">
        <v>127</v>
      </c>
      <c r="MQD1" s="243"/>
      <c r="MQE1" s="243"/>
      <c r="MQF1" s="243"/>
      <c r="MQG1" s="243"/>
      <c r="MQH1" s="243"/>
      <c r="MQI1" s="243"/>
      <c r="MQJ1" s="243"/>
      <c r="MQK1" s="243"/>
      <c r="MQL1" s="243"/>
      <c r="MQM1" s="243"/>
      <c r="MQN1" s="243"/>
      <c r="MQO1" s="243"/>
      <c r="MQP1" s="243"/>
      <c r="MQQ1" s="243"/>
      <c r="MQR1" s="243"/>
      <c r="MQS1" s="243" t="s">
        <v>127</v>
      </c>
      <c r="MQT1" s="243"/>
      <c r="MQU1" s="243"/>
      <c r="MQV1" s="243"/>
      <c r="MQW1" s="243"/>
      <c r="MQX1" s="243"/>
      <c r="MQY1" s="243"/>
      <c r="MQZ1" s="243"/>
      <c r="MRA1" s="243"/>
      <c r="MRB1" s="243"/>
      <c r="MRC1" s="243"/>
      <c r="MRD1" s="243"/>
      <c r="MRE1" s="243"/>
      <c r="MRF1" s="243"/>
      <c r="MRG1" s="243"/>
      <c r="MRH1" s="243"/>
      <c r="MRI1" s="243" t="s">
        <v>127</v>
      </c>
      <c r="MRJ1" s="243"/>
      <c r="MRK1" s="243"/>
      <c r="MRL1" s="243"/>
      <c r="MRM1" s="243"/>
      <c r="MRN1" s="243"/>
      <c r="MRO1" s="243"/>
      <c r="MRP1" s="243"/>
      <c r="MRQ1" s="243"/>
      <c r="MRR1" s="243"/>
      <c r="MRS1" s="243"/>
      <c r="MRT1" s="243"/>
      <c r="MRU1" s="243"/>
      <c r="MRV1" s="243"/>
      <c r="MRW1" s="243"/>
      <c r="MRX1" s="243"/>
      <c r="MRY1" s="243" t="s">
        <v>127</v>
      </c>
      <c r="MRZ1" s="243"/>
      <c r="MSA1" s="243"/>
      <c r="MSB1" s="243"/>
      <c r="MSC1" s="243"/>
      <c r="MSD1" s="243"/>
      <c r="MSE1" s="243"/>
      <c r="MSF1" s="243"/>
      <c r="MSG1" s="243"/>
      <c r="MSH1" s="243"/>
      <c r="MSI1" s="243"/>
      <c r="MSJ1" s="243"/>
      <c r="MSK1" s="243"/>
      <c r="MSL1" s="243"/>
      <c r="MSM1" s="243"/>
      <c r="MSN1" s="243"/>
      <c r="MSO1" s="243" t="s">
        <v>127</v>
      </c>
      <c r="MSP1" s="243"/>
      <c r="MSQ1" s="243"/>
      <c r="MSR1" s="243"/>
      <c r="MSS1" s="243"/>
      <c r="MST1" s="243"/>
      <c r="MSU1" s="243"/>
      <c r="MSV1" s="243"/>
      <c r="MSW1" s="243"/>
      <c r="MSX1" s="243"/>
      <c r="MSY1" s="243"/>
      <c r="MSZ1" s="243"/>
      <c r="MTA1" s="243"/>
      <c r="MTB1" s="243"/>
      <c r="MTC1" s="243"/>
      <c r="MTD1" s="243"/>
      <c r="MTE1" s="243" t="s">
        <v>127</v>
      </c>
      <c r="MTF1" s="243"/>
      <c r="MTG1" s="243"/>
      <c r="MTH1" s="243"/>
      <c r="MTI1" s="243"/>
      <c r="MTJ1" s="243"/>
      <c r="MTK1" s="243"/>
      <c r="MTL1" s="243"/>
      <c r="MTM1" s="243"/>
      <c r="MTN1" s="243"/>
      <c r="MTO1" s="243"/>
      <c r="MTP1" s="243"/>
      <c r="MTQ1" s="243"/>
      <c r="MTR1" s="243"/>
      <c r="MTS1" s="243"/>
      <c r="MTT1" s="243"/>
      <c r="MTU1" s="243" t="s">
        <v>127</v>
      </c>
      <c r="MTV1" s="243"/>
      <c r="MTW1" s="243"/>
      <c r="MTX1" s="243"/>
      <c r="MTY1" s="243"/>
      <c r="MTZ1" s="243"/>
      <c r="MUA1" s="243"/>
      <c r="MUB1" s="243"/>
      <c r="MUC1" s="243"/>
      <c r="MUD1" s="243"/>
      <c r="MUE1" s="243"/>
      <c r="MUF1" s="243"/>
      <c r="MUG1" s="243"/>
      <c r="MUH1" s="243"/>
      <c r="MUI1" s="243"/>
      <c r="MUJ1" s="243"/>
      <c r="MUK1" s="243" t="s">
        <v>127</v>
      </c>
      <c r="MUL1" s="243"/>
      <c r="MUM1" s="243"/>
      <c r="MUN1" s="243"/>
      <c r="MUO1" s="243"/>
      <c r="MUP1" s="243"/>
      <c r="MUQ1" s="243"/>
      <c r="MUR1" s="243"/>
      <c r="MUS1" s="243"/>
      <c r="MUT1" s="243"/>
      <c r="MUU1" s="243"/>
      <c r="MUV1" s="243"/>
      <c r="MUW1" s="243"/>
      <c r="MUX1" s="243"/>
      <c r="MUY1" s="243"/>
      <c r="MUZ1" s="243"/>
      <c r="MVA1" s="243" t="s">
        <v>127</v>
      </c>
      <c r="MVB1" s="243"/>
      <c r="MVC1" s="243"/>
      <c r="MVD1" s="243"/>
      <c r="MVE1" s="243"/>
      <c r="MVF1" s="243"/>
      <c r="MVG1" s="243"/>
      <c r="MVH1" s="243"/>
      <c r="MVI1" s="243"/>
      <c r="MVJ1" s="243"/>
      <c r="MVK1" s="243"/>
      <c r="MVL1" s="243"/>
      <c r="MVM1" s="243"/>
      <c r="MVN1" s="243"/>
      <c r="MVO1" s="243"/>
      <c r="MVP1" s="243"/>
      <c r="MVQ1" s="243" t="s">
        <v>127</v>
      </c>
      <c r="MVR1" s="243"/>
      <c r="MVS1" s="243"/>
      <c r="MVT1" s="243"/>
      <c r="MVU1" s="243"/>
      <c r="MVV1" s="243"/>
      <c r="MVW1" s="243"/>
      <c r="MVX1" s="243"/>
      <c r="MVY1" s="243"/>
      <c r="MVZ1" s="243"/>
      <c r="MWA1" s="243"/>
      <c r="MWB1" s="243"/>
      <c r="MWC1" s="243"/>
      <c r="MWD1" s="243"/>
      <c r="MWE1" s="243"/>
      <c r="MWF1" s="243"/>
      <c r="MWG1" s="243" t="s">
        <v>127</v>
      </c>
      <c r="MWH1" s="243"/>
      <c r="MWI1" s="243"/>
      <c r="MWJ1" s="243"/>
      <c r="MWK1" s="243"/>
      <c r="MWL1" s="243"/>
      <c r="MWM1" s="243"/>
      <c r="MWN1" s="243"/>
      <c r="MWO1" s="243"/>
      <c r="MWP1" s="243"/>
      <c r="MWQ1" s="243"/>
      <c r="MWR1" s="243"/>
      <c r="MWS1" s="243"/>
      <c r="MWT1" s="243"/>
      <c r="MWU1" s="243"/>
      <c r="MWV1" s="243"/>
      <c r="MWW1" s="243" t="s">
        <v>127</v>
      </c>
      <c r="MWX1" s="243"/>
      <c r="MWY1" s="243"/>
      <c r="MWZ1" s="243"/>
      <c r="MXA1" s="243"/>
      <c r="MXB1" s="243"/>
      <c r="MXC1" s="243"/>
      <c r="MXD1" s="243"/>
      <c r="MXE1" s="243"/>
      <c r="MXF1" s="243"/>
      <c r="MXG1" s="243"/>
      <c r="MXH1" s="243"/>
      <c r="MXI1" s="243"/>
      <c r="MXJ1" s="243"/>
      <c r="MXK1" s="243"/>
      <c r="MXL1" s="243"/>
      <c r="MXM1" s="243" t="s">
        <v>127</v>
      </c>
      <c r="MXN1" s="243"/>
      <c r="MXO1" s="243"/>
      <c r="MXP1" s="243"/>
      <c r="MXQ1" s="243"/>
      <c r="MXR1" s="243"/>
      <c r="MXS1" s="243"/>
      <c r="MXT1" s="243"/>
      <c r="MXU1" s="243"/>
      <c r="MXV1" s="243"/>
      <c r="MXW1" s="243"/>
      <c r="MXX1" s="243"/>
      <c r="MXY1" s="243"/>
      <c r="MXZ1" s="243"/>
      <c r="MYA1" s="243"/>
      <c r="MYB1" s="243"/>
      <c r="MYC1" s="243" t="s">
        <v>127</v>
      </c>
      <c r="MYD1" s="243"/>
      <c r="MYE1" s="243"/>
      <c r="MYF1" s="243"/>
      <c r="MYG1" s="243"/>
      <c r="MYH1" s="243"/>
      <c r="MYI1" s="243"/>
      <c r="MYJ1" s="243"/>
      <c r="MYK1" s="243"/>
      <c r="MYL1" s="243"/>
      <c r="MYM1" s="243"/>
      <c r="MYN1" s="243"/>
      <c r="MYO1" s="243"/>
      <c r="MYP1" s="243"/>
      <c r="MYQ1" s="243"/>
      <c r="MYR1" s="243"/>
      <c r="MYS1" s="243" t="s">
        <v>127</v>
      </c>
      <c r="MYT1" s="243"/>
      <c r="MYU1" s="243"/>
      <c r="MYV1" s="243"/>
      <c r="MYW1" s="243"/>
      <c r="MYX1" s="243"/>
      <c r="MYY1" s="243"/>
      <c r="MYZ1" s="243"/>
      <c r="MZA1" s="243"/>
      <c r="MZB1" s="243"/>
      <c r="MZC1" s="243"/>
      <c r="MZD1" s="243"/>
      <c r="MZE1" s="243"/>
      <c r="MZF1" s="243"/>
      <c r="MZG1" s="243"/>
      <c r="MZH1" s="243"/>
      <c r="MZI1" s="243" t="s">
        <v>127</v>
      </c>
      <c r="MZJ1" s="243"/>
      <c r="MZK1" s="243"/>
      <c r="MZL1" s="243"/>
      <c r="MZM1" s="243"/>
      <c r="MZN1" s="243"/>
      <c r="MZO1" s="243"/>
      <c r="MZP1" s="243"/>
      <c r="MZQ1" s="243"/>
      <c r="MZR1" s="243"/>
      <c r="MZS1" s="243"/>
      <c r="MZT1" s="243"/>
      <c r="MZU1" s="243"/>
      <c r="MZV1" s="243"/>
      <c r="MZW1" s="243"/>
      <c r="MZX1" s="243"/>
      <c r="MZY1" s="243" t="s">
        <v>127</v>
      </c>
      <c r="MZZ1" s="243"/>
      <c r="NAA1" s="243"/>
      <c r="NAB1" s="243"/>
      <c r="NAC1" s="243"/>
      <c r="NAD1" s="243"/>
      <c r="NAE1" s="243"/>
      <c r="NAF1" s="243"/>
      <c r="NAG1" s="243"/>
      <c r="NAH1" s="243"/>
      <c r="NAI1" s="243"/>
      <c r="NAJ1" s="243"/>
      <c r="NAK1" s="243"/>
      <c r="NAL1" s="243"/>
      <c r="NAM1" s="243"/>
      <c r="NAN1" s="243"/>
      <c r="NAO1" s="243" t="s">
        <v>127</v>
      </c>
      <c r="NAP1" s="243"/>
      <c r="NAQ1" s="243"/>
      <c r="NAR1" s="243"/>
      <c r="NAS1" s="243"/>
      <c r="NAT1" s="243"/>
      <c r="NAU1" s="243"/>
      <c r="NAV1" s="243"/>
      <c r="NAW1" s="243"/>
      <c r="NAX1" s="243"/>
      <c r="NAY1" s="243"/>
      <c r="NAZ1" s="243"/>
      <c r="NBA1" s="243"/>
      <c r="NBB1" s="243"/>
      <c r="NBC1" s="243"/>
      <c r="NBD1" s="243"/>
      <c r="NBE1" s="243" t="s">
        <v>127</v>
      </c>
      <c r="NBF1" s="243"/>
      <c r="NBG1" s="243"/>
      <c r="NBH1" s="243"/>
      <c r="NBI1" s="243"/>
      <c r="NBJ1" s="243"/>
      <c r="NBK1" s="243"/>
      <c r="NBL1" s="243"/>
      <c r="NBM1" s="243"/>
      <c r="NBN1" s="243"/>
      <c r="NBO1" s="243"/>
      <c r="NBP1" s="243"/>
      <c r="NBQ1" s="243"/>
      <c r="NBR1" s="243"/>
      <c r="NBS1" s="243"/>
      <c r="NBT1" s="243"/>
      <c r="NBU1" s="243" t="s">
        <v>127</v>
      </c>
      <c r="NBV1" s="243"/>
      <c r="NBW1" s="243"/>
      <c r="NBX1" s="243"/>
      <c r="NBY1" s="243"/>
      <c r="NBZ1" s="243"/>
      <c r="NCA1" s="243"/>
      <c r="NCB1" s="243"/>
      <c r="NCC1" s="243"/>
      <c r="NCD1" s="243"/>
      <c r="NCE1" s="243"/>
      <c r="NCF1" s="243"/>
      <c r="NCG1" s="243"/>
      <c r="NCH1" s="243"/>
      <c r="NCI1" s="243"/>
      <c r="NCJ1" s="243"/>
      <c r="NCK1" s="243" t="s">
        <v>127</v>
      </c>
      <c r="NCL1" s="243"/>
      <c r="NCM1" s="243"/>
      <c r="NCN1" s="243"/>
      <c r="NCO1" s="243"/>
      <c r="NCP1" s="243"/>
      <c r="NCQ1" s="243"/>
      <c r="NCR1" s="243"/>
      <c r="NCS1" s="243"/>
      <c r="NCT1" s="243"/>
      <c r="NCU1" s="243"/>
      <c r="NCV1" s="243"/>
      <c r="NCW1" s="243"/>
      <c r="NCX1" s="243"/>
      <c r="NCY1" s="243"/>
      <c r="NCZ1" s="243"/>
      <c r="NDA1" s="243" t="s">
        <v>127</v>
      </c>
      <c r="NDB1" s="243"/>
      <c r="NDC1" s="243"/>
      <c r="NDD1" s="243"/>
      <c r="NDE1" s="243"/>
      <c r="NDF1" s="243"/>
      <c r="NDG1" s="243"/>
      <c r="NDH1" s="243"/>
      <c r="NDI1" s="243"/>
      <c r="NDJ1" s="243"/>
      <c r="NDK1" s="243"/>
      <c r="NDL1" s="243"/>
      <c r="NDM1" s="243"/>
      <c r="NDN1" s="243"/>
      <c r="NDO1" s="243"/>
      <c r="NDP1" s="243"/>
      <c r="NDQ1" s="243" t="s">
        <v>127</v>
      </c>
      <c r="NDR1" s="243"/>
      <c r="NDS1" s="243"/>
      <c r="NDT1" s="243"/>
      <c r="NDU1" s="243"/>
      <c r="NDV1" s="243"/>
      <c r="NDW1" s="243"/>
      <c r="NDX1" s="243"/>
      <c r="NDY1" s="243"/>
      <c r="NDZ1" s="243"/>
      <c r="NEA1" s="243"/>
      <c r="NEB1" s="243"/>
      <c r="NEC1" s="243"/>
      <c r="NED1" s="243"/>
      <c r="NEE1" s="243"/>
      <c r="NEF1" s="243"/>
      <c r="NEG1" s="243" t="s">
        <v>127</v>
      </c>
      <c r="NEH1" s="243"/>
      <c r="NEI1" s="243"/>
      <c r="NEJ1" s="243"/>
      <c r="NEK1" s="243"/>
      <c r="NEL1" s="243"/>
      <c r="NEM1" s="243"/>
      <c r="NEN1" s="243"/>
      <c r="NEO1" s="243"/>
      <c r="NEP1" s="243"/>
      <c r="NEQ1" s="243"/>
      <c r="NER1" s="243"/>
      <c r="NES1" s="243"/>
      <c r="NET1" s="243"/>
      <c r="NEU1" s="243"/>
      <c r="NEV1" s="243"/>
      <c r="NEW1" s="243" t="s">
        <v>127</v>
      </c>
      <c r="NEX1" s="243"/>
      <c r="NEY1" s="243"/>
      <c r="NEZ1" s="243"/>
      <c r="NFA1" s="243"/>
      <c r="NFB1" s="243"/>
      <c r="NFC1" s="243"/>
      <c r="NFD1" s="243"/>
      <c r="NFE1" s="243"/>
      <c r="NFF1" s="243"/>
      <c r="NFG1" s="243"/>
      <c r="NFH1" s="243"/>
      <c r="NFI1" s="243"/>
      <c r="NFJ1" s="243"/>
      <c r="NFK1" s="243"/>
      <c r="NFL1" s="243"/>
      <c r="NFM1" s="243" t="s">
        <v>127</v>
      </c>
      <c r="NFN1" s="243"/>
      <c r="NFO1" s="243"/>
      <c r="NFP1" s="243"/>
      <c r="NFQ1" s="243"/>
      <c r="NFR1" s="243"/>
      <c r="NFS1" s="243"/>
      <c r="NFT1" s="243"/>
      <c r="NFU1" s="243"/>
      <c r="NFV1" s="243"/>
      <c r="NFW1" s="243"/>
      <c r="NFX1" s="243"/>
      <c r="NFY1" s="243"/>
      <c r="NFZ1" s="243"/>
      <c r="NGA1" s="243"/>
      <c r="NGB1" s="243"/>
      <c r="NGC1" s="243" t="s">
        <v>127</v>
      </c>
      <c r="NGD1" s="243"/>
      <c r="NGE1" s="243"/>
      <c r="NGF1" s="243"/>
      <c r="NGG1" s="243"/>
      <c r="NGH1" s="243"/>
      <c r="NGI1" s="243"/>
      <c r="NGJ1" s="243"/>
      <c r="NGK1" s="243"/>
      <c r="NGL1" s="243"/>
      <c r="NGM1" s="243"/>
      <c r="NGN1" s="243"/>
      <c r="NGO1" s="243"/>
      <c r="NGP1" s="243"/>
      <c r="NGQ1" s="243"/>
      <c r="NGR1" s="243"/>
      <c r="NGS1" s="243" t="s">
        <v>127</v>
      </c>
      <c r="NGT1" s="243"/>
      <c r="NGU1" s="243"/>
      <c r="NGV1" s="243"/>
      <c r="NGW1" s="243"/>
      <c r="NGX1" s="243"/>
      <c r="NGY1" s="243"/>
      <c r="NGZ1" s="243"/>
      <c r="NHA1" s="243"/>
      <c r="NHB1" s="243"/>
      <c r="NHC1" s="243"/>
      <c r="NHD1" s="243"/>
      <c r="NHE1" s="243"/>
      <c r="NHF1" s="243"/>
      <c r="NHG1" s="243"/>
      <c r="NHH1" s="243"/>
      <c r="NHI1" s="243" t="s">
        <v>127</v>
      </c>
      <c r="NHJ1" s="243"/>
      <c r="NHK1" s="243"/>
      <c r="NHL1" s="243"/>
      <c r="NHM1" s="243"/>
      <c r="NHN1" s="243"/>
      <c r="NHO1" s="243"/>
      <c r="NHP1" s="243"/>
      <c r="NHQ1" s="243"/>
      <c r="NHR1" s="243"/>
      <c r="NHS1" s="243"/>
      <c r="NHT1" s="243"/>
      <c r="NHU1" s="243"/>
      <c r="NHV1" s="243"/>
      <c r="NHW1" s="243"/>
      <c r="NHX1" s="243"/>
      <c r="NHY1" s="243" t="s">
        <v>127</v>
      </c>
      <c r="NHZ1" s="243"/>
      <c r="NIA1" s="243"/>
      <c r="NIB1" s="243"/>
      <c r="NIC1" s="243"/>
      <c r="NID1" s="243"/>
      <c r="NIE1" s="243"/>
      <c r="NIF1" s="243"/>
      <c r="NIG1" s="243"/>
      <c r="NIH1" s="243"/>
      <c r="NII1" s="243"/>
      <c r="NIJ1" s="243"/>
      <c r="NIK1" s="243"/>
      <c r="NIL1" s="243"/>
      <c r="NIM1" s="243"/>
      <c r="NIN1" s="243"/>
      <c r="NIO1" s="243" t="s">
        <v>127</v>
      </c>
      <c r="NIP1" s="243"/>
      <c r="NIQ1" s="243"/>
      <c r="NIR1" s="243"/>
      <c r="NIS1" s="243"/>
      <c r="NIT1" s="243"/>
      <c r="NIU1" s="243"/>
      <c r="NIV1" s="243"/>
      <c r="NIW1" s="243"/>
      <c r="NIX1" s="243"/>
      <c r="NIY1" s="243"/>
      <c r="NIZ1" s="243"/>
      <c r="NJA1" s="243"/>
      <c r="NJB1" s="243"/>
      <c r="NJC1" s="243"/>
      <c r="NJD1" s="243"/>
      <c r="NJE1" s="243" t="s">
        <v>127</v>
      </c>
      <c r="NJF1" s="243"/>
      <c r="NJG1" s="243"/>
      <c r="NJH1" s="243"/>
      <c r="NJI1" s="243"/>
      <c r="NJJ1" s="243"/>
      <c r="NJK1" s="243"/>
      <c r="NJL1" s="243"/>
      <c r="NJM1" s="243"/>
      <c r="NJN1" s="243"/>
      <c r="NJO1" s="243"/>
      <c r="NJP1" s="243"/>
      <c r="NJQ1" s="243"/>
      <c r="NJR1" s="243"/>
      <c r="NJS1" s="243"/>
      <c r="NJT1" s="243"/>
      <c r="NJU1" s="243" t="s">
        <v>127</v>
      </c>
      <c r="NJV1" s="243"/>
      <c r="NJW1" s="243"/>
      <c r="NJX1" s="243"/>
      <c r="NJY1" s="243"/>
      <c r="NJZ1" s="243"/>
      <c r="NKA1" s="243"/>
      <c r="NKB1" s="243"/>
      <c r="NKC1" s="243"/>
      <c r="NKD1" s="243"/>
      <c r="NKE1" s="243"/>
      <c r="NKF1" s="243"/>
      <c r="NKG1" s="243"/>
      <c r="NKH1" s="243"/>
      <c r="NKI1" s="243"/>
      <c r="NKJ1" s="243"/>
      <c r="NKK1" s="243" t="s">
        <v>127</v>
      </c>
      <c r="NKL1" s="243"/>
      <c r="NKM1" s="243"/>
      <c r="NKN1" s="243"/>
      <c r="NKO1" s="243"/>
      <c r="NKP1" s="243"/>
      <c r="NKQ1" s="243"/>
      <c r="NKR1" s="243"/>
      <c r="NKS1" s="243"/>
      <c r="NKT1" s="243"/>
      <c r="NKU1" s="243"/>
      <c r="NKV1" s="243"/>
      <c r="NKW1" s="243"/>
      <c r="NKX1" s="243"/>
      <c r="NKY1" s="243"/>
      <c r="NKZ1" s="243"/>
      <c r="NLA1" s="243" t="s">
        <v>127</v>
      </c>
      <c r="NLB1" s="243"/>
      <c r="NLC1" s="243"/>
      <c r="NLD1" s="243"/>
      <c r="NLE1" s="243"/>
      <c r="NLF1" s="243"/>
      <c r="NLG1" s="243"/>
      <c r="NLH1" s="243"/>
      <c r="NLI1" s="243"/>
      <c r="NLJ1" s="243"/>
      <c r="NLK1" s="243"/>
      <c r="NLL1" s="243"/>
      <c r="NLM1" s="243"/>
      <c r="NLN1" s="243"/>
      <c r="NLO1" s="243"/>
      <c r="NLP1" s="243"/>
      <c r="NLQ1" s="243" t="s">
        <v>127</v>
      </c>
      <c r="NLR1" s="243"/>
      <c r="NLS1" s="243"/>
      <c r="NLT1" s="243"/>
      <c r="NLU1" s="243"/>
      <c r="NLV1" s="243"/>
      <c r="NLW1" s="243"/>
      <c r="NLX1" s="243"/>
      <c r="NLY1" s="243"/>
      <c r="NLZ1" s="243"/>
      <c r="NMA1" s="243"/>
      <c r="NMB1" s="243"/>
      <c r="NMC1" s="243"/>
      <c r="NMD1" s="243"/>
      <c r="NME1" s="243"/>
      <c r="NMF1" s="243"/>
      <c r="NMG1" s="243" t="s">
        <v>127</v>
      </c>
      <c r="NMH1" s="243"/>
      <c r="NMI1" s="243"/>
      <c r="NMJ1" s="243"/>
      <c r="NMK1" s="243"/>
      <c r="NML1" s="243"/>
      <c r="NMM1" s="243"/>
      <c r="NMN1" s="243"/>
      <c r="NMO1" s="243"/>
      <c r="NMP1" s="243"/>
      <c r="NMQ1" s="243"/>
      <c r="NMR1" s="243"/>
      <c r="NMS1" s="243"/>
      <c r="NMT1" s="243"/>
      <c r="NMU1" s="243"/>
      <c r="NMV1" s="243"/>
      <c r="NMW1" s="243" t="s">
        <v>127</v>
      </c>
      <c r="NMX1" s="243"/>
      <c r="NMY1" s="243"/>
      <c r="NMZ1" s="243"/>
      <c r="NNA1" s="243"/>
      <c r="NNB1" s="243"/>
      <c r="NNC1" s="243"/>
      <c r="NND1" s="243"/>
      <c r="NNE1" s="243"/>
      <c r="NNF1" s="243"/>
      <c r="NNG1" s="243"/>
      <c r="NNH1" s="243"/>
      <c r="NNI1" s="243"/>
      <c r="NNJ1" s="243"/>
      <c r="NNK1" s="243"/>
      <c r="NNL1" s="243"/>
      <c r="NNM1" s="243" t="s">
        <v>127</v>
      </c>
      <c r="NNN1" s="243"/>
      <c r="NNO1" s="243"/>
      <c r="NNP1" s="243"/>
      <c r="NNQ1" s="243"/>
      <c r="NNR1" s="243"/>
      <c r="NNS1" s="243"/>
      <c r="NNT1" s="243"/>
      <c r="NNU1" s="243"/>
      <c r="NNV1" s="243"/>
      <c r="NNW1" s="243"/>
      <c r="NNX1" s="243"/>
      <c r="NNY1" s="243"/>
      <c r="NNZ1" s="243"/>
      <c r="NOA1" s="243"/>
      <c r="NOB1" s="243"/>
      <c r="NOC1" s="243" t="s">
        <v>127</v>
      </c>
      <c r="NOD1" s="243"/>
      <c r="NOE1" s="243"/>
      <c r="NOF1" s="243"/>
      <c r="NOG1" s="243"/>
      <c r="NOH1" s="243"/>
      <c r="NOI1" s="243"/>
      <c r="NOJ1" s="243"/>
      <c r="NOK1" s="243"/>
      <c r="NOL1" s="243"/>
      <c r="NOM1" s="243"/>
      <c r="NON1" s="243"/>
      <c r="NOO1" s="243"/>
      <c r="NOP1" s="243"/>
      <c r="NOQ1" s="243"/>
      <c r="NOR1" s="243"/>
      <c r="NOS1" s="243" t="s">
        <v>127</v>
      </c>
      <c r="NOT1" s="243"/>
      <c r="NOU1" s="243"/>
      <c r="NOV1" s="243"/>
      <c r="NOW1" s="243"/>
      <c r="NOX1" s="243"/>
      <c r="NOY1" s="243"/>
      <c r="NOZ1" s="243"/>
      <c r="NPA1" s="243"/>
      <c r="NPB1" s="243"/>
      <c r="NPC1" s="243"/>
      <c r="NPD1" s="243"/>
      <c r="NPE1" s="243"/>
      <c r="NPF1" s="243"/>
      <c r="NPG1" s="243"/>
      <c r="NPH1" s="243"/>
      <c r="NPI1" s="243" t="s">
        <v>127</v>
      </c>
      <c r="NPJ1" s="243"/>
      <c r="NPK1" s="243"/>
      <c r="NPL1" s="243"/>
      <c r="NPM1" s="243"/>
      <c r="NPN1" s="243"/>
      <c r="NPO1" s="243"/>
      <c r="NPP1" s="243"/>
      <c r="NPQ1" s="243"/>
      <c r="NPR1" s="243"/>
      <c r="NPS1" s="243"/>
      <c r="NPT1" s="243"/>
      <c r="NPU1" s="243"/>
      <c r="NPV1" s="243"/>
      <c r="NPW1" s="243"/>
      <c r="NPX1" s="243"/>
      <c r="NPY1" s="243" t="s">
        <v>127</v>
      </c>
      <c r="NPZ1" s="243"/>
      <c r="NQA1" s="243"/>
      <c r="NQB1" s="243"/>
      <c r="NQC1" s="243"/>
      <c r="NQD1" s="243"/>
      <c r="NQE1" s="243"/>
      <c r="NQF1" s="243"/>
      <c r="NQG1" s="243"/>
      <c r="NQH1" s="243"/>
      <c r="NQI1" s="243"/>
      <c r="NQJ1" s="243"/>
      <c r="NQK1" s="243"/>
      <c r="NQL1" s="243"/>
      <c r="NQM1" s="243"/>
      <c r="NQN1" s="243"/>
      <c r="NQO1" s="243" t="s">
        <v>127</v>
      </c>
      <c r="NQP1" s="243"/>
      <c r="NQQ1" s="243"/>
      <c r="NQR1" s="243"/>
      <c r="NQS1" s="243"/>
      <c r="NQT1" s="243"/>
      <c r="NQU1" s="243"/>
      <c r="NQV1" s="243"/>
      <c r="NQW1" s="243"/>
      <c r="NQX1" s="243"/>
      <c r="NQY1" s="243"/>
      <c r="NQZ1" s="243"/>
      <c r="NRA1" s="243"/>
      <c r="NRB1" s="243"/>
      <c r="NRC1" s="243"/>
      <c r="NRD1" s="243"/>
      <c r="NRE1" s="243" t="s">
        <v>127</v>
      </c>
      <c r="NRF1" s="243"/>
      <c r="NRG1" s="243"/>
      <c r="NRH1" s="243"/>
      <c r="NRI1" s="243"/>
      <c r="NRJ1" s="243"/>
      <c r="NRK1" s="243"/>
      <c r="NRL1" s="243"/>
      <c r="NRM1" s="243"/>
      <c r="NRN1" s="243"/>
      <c r="NRO1" s="243"/>
      <c r="NRP1" s="243"/>
      <c r="NRQ1" s="243"/>
      <c r="NRR1" s="243"/>
      <c r="NRS1" s="243"/>
      <c r="NRT1" s="243"/>
      <c r="NRU1" s="243" t="s">
        <v>127</v>
      </c>
      <c r="NRV1" s="243"/>
      <c r="NRW1" s="243"/>
      <c r="NRX1" s="243"/>
      <c r="NRY1" s="243"/>
      <c r="NRZ1" s="243"/>
      <c r="NSA1" s="243"/>
      <c r="NSB1" s="243"/>
      <c r="NSC1" s="243"/>
      <c r="NSD1" s="243"/>
      <c r="NSE1" s="243"/>
      <c r="NSF1" s="243"/>
      <c r="NSG1" s="243"/>
      <c r="NSH1" s="243"/>
      <c r="NSI1" s="243"/>
      <c r="NSJ1" s="243"/>
      <c r="NSK1" s="243" t="s">
        <v>127</v>
      </c>
      <c r="NSL1" s="243"/>
      <c r="NSM1" s="243"/>
      <c r="NSN1" s="243"/>
      <c r="NSO1" s="243"/>
      <c r="NSP1" s="243"/>
      <c r="NSQ1" s="243"/>
      <c r="NSR1" s="243"/>
      <c r="NSS1" s="243"/>
      <c r="NST1" s="243"/>
      <c r="NSU1" s="243"/>
      <c r="NSV1" s="243"/>
      <c r="NSW1" s="243"/>
      <c r="NSX1" s="243"/>
      <c r="NSY1" s="243"/>
      <c r="NSZ1" s="243"/>
      <c r="NTA1" s="243" t="s">
        <v>127</v>
      </c>
      <c r="NTB1" s="243"/>
      <c r="NTC1" s="243"/>
      <c r="NTD1" s="243"/>
      <c r="NTE1" s="243"/>
      <c r="NTF1" s="243"/>
      <c r="NTG1" s="243"/>
      <c r="NTH1" s="243"/>
      <c r="NTI1" s="243"/>
      <c r="NTJ1" s="243"/>
      <c r="NTK1" s="243"/>
      <c r="NTL1" s="243"/>
      <c r="NTM1" s="243"/>
      <c r="NTN1" s="243"/>
      <c r="NTO1" s="243"/>
      <c r="NTP1" s="243"/>
      <c r="NTQ1" s="243" t="s">
        <v>127</v>
      </c>
      <c r="NTR1" s="243"/>
      <c r="NTS1" s="243"/>
      <c r="NTT1" s="243"/>
      <c r="NTU1" s="243"/>
      <c r="NTV1" s="243"/>
      <c r="NTW1" s="243"/>
      <c r="NTX1" s="243"/>
      <c r="NTY1" s="243"/>
      <c r="NTZ1" s="243"/>
      <c r="NUA1" s="243"/>
      <c r="NUB1" s="243"/>
      <c r="NUC1" s="243"/>
      <c r="NUD1" s="243"/>
      <c r="NUE1" s="243"/>
      <c r="NUF1" s="243"/>
      <c r="NUG1" s="243" t="s">
        <v>127</v>
      </c>
      <c r="NUH1" s="243"/>
      <c r="NUI1" s="243"/>
      <c r="NUJ1" s="243"/>
      <c r="NUK1" s="243"/>
      <c r="NUL1" s="243"/>
      <c r="NUM1" s="243"/>
      <c r="NUN1" s="243"/>
      <c r="NUO1" s="243"/>
      <c r="NUP1" s="243"/>
      <c r="NUQ1" s="243"/>
      <c r="NUR1" s="243"/>
      <c r="NUS1" s="243"/>
      <c r="NUT1" s="243"/>
      <c r="NUU1" s="243"/>
      <c r="NUV1" s="243"/>
      <c r="NUW1" s="243" t="s">
        <v>127</v>
      </c>
      <c r="NUX1" s="243"/>
      <c r="NUY1" s="243"/>
      <c r="NUZ1" s="243"/>
      <c r="NVA1" s="243"/>
      <c r="NVB1" s="243"/>
      <c r="NVC1" s="243"/>
      <c r="NVD1" s="243"/>
      <c r="NVE1" s="243"/>
      <c r="NVF1" s="243"/>
      <c r="NVG1" s="243"/>
      <c r="NVH1" s="243"/>
      <c r="NVI1" s="243"/>
      <c r="NVJ1" s="243"/>
      <c r="NVK1" s="243"/>
      <c r="NVL1" s="243"/>
      <c r="NVM1" s="243" t="s">
        <v>127</v>
      </c>
      <c r="NVN1" s="243"/>
      <c r="NVO1" s="243"/>
      <c r="NVP1" s="243"/>
      <c r="NVQ1" s="243"/>
      <c r="NVR1" s="243"/>
      <c r="NVS1" s="243"/>
      <c r="NVT1" s="243"/>
      <c r="NVU1" s="243"/>
      <c r="NVV1" s="243"/>
      <c r="NVW1" s="243"/>
      <c r="NVX1" s="243"/>
      <c r="NVY1" s="243"/>
      <c r="NVZ1" s="243"/>
      <c r="NWA1" s="243"/>
      <c r="NWB1" s="243"/>
      <c r="NWC1" s="243" t="s">
        <v>127</v>
      </c>
      <c r="NWD1" s="243"/>
      <c r="NWE1" s="243"/>
      <c r="NWF1" s="243"/>
      <c r="NWG1" s="243"/>
      <c r="NWH1" s="243"/>
      <c r="NWI1" s="243"/>
      <c r="NWJ1" s="243"/>
      <c r="NWK1" s="243"/>
      <c r="NWL1" s="243"/>
      <c r="NWM1" s="243"/>
      <c r="NWN1" s="243"/>
      <c r="NWO1" s="243"/>
      <c r="NWP1" s="243"/>
      <c r="NWQ1" s="243"/>
      <c r="NWR1" s="243"/>
      <c r="NWS1" s="243" t="s">
        <v>127</v>
      </c>
      <c r="NWT1" s="243"/>
      <c r="NWU1" s="243"/>
      <c r="NWV1" s="243"/>
      <c r="NWW1" s="243"/>
      <c r="NWX1" s="243"/>
      <c r="NWY1" s="243"/>
      <c r="NWZ1" s="243"/>
      <c r="NXA1" s="243"/>
      <c r="NXB1" s="243"/>
      <c r="NXC1" s="243"/>
      <c r="NXD1" s="243"/>
      <c r="NXE1" s="243"/>
      <c r="NXF1" s="243"/>
      <c r="NXG1" s="243"/>
      <c r="NXH1" s="243"/>
      <c r="NXI1" s="243" t="s">
        <v>127</v>
      </c>
      <c r="NXJ1" s="243"/>
      <c r="NXK1" s="243"/>
      <c r="NXL1" s="243"/>
      <c r="NXM1" s="243"/>
      <c r="NXN1" s="243"/>
      <c r="NXO1" s="243"/>
      <c r="NXP1" s="243"/>
      <c r="NXQ1" s="243"/>
      <c r="NXR1" s="243"/>
      <c r="NXS1" s="243"/>
      <c r="NXT1" s="243"/>
      <c r="NXU1" s="243"/>
      <c r="NXV1" s="243"/>
      <c r="NXW1" s="243"/>
      <c r="NXX1" s="243"/>
      <c r="NXY1" s="243" t="s">
        <v>127</v>
      </c>
      <c r="NXZ1" s="243"/>
      <c r="NYA1" s="243"/>
      <c r="NYB1" s="243"/>
      <c r="NYC1" s="243"/>
      <c r="NYD1" s="243"/>
      <c r="NYE1" s="243"/>
      <c r="NYF1" s="243"/>
      <c r="NYG1" s="243"/>
      <c r="NYH1" s="243"/>
      <c r="NYI1" s="243"/>
      <c r="NYJ1" s="243"/>
      <c r="NYK1" s="243"/>
      <c r="NYL1" s="243"/>
      <c r="NYM1" s="243"/>
      <c r="NYN1" s="243"/>
      <c r="NYO1" s="243" t="s">
        <v>127</v>
      </c>
      <c r="NYP1" s="243"/>
      <c r="NYQ1" s="243"/>
      <c r="NYR1" s="243"/>
      <c r="NYS1" s="243"/>
      <c r="NYT1" s="243"/>
      <c r="NYU1" s="243"/>
      <c r="NYV1" s="243"/>
      <c r="NYW1" s="243"/>
      <c r="NYX1" s="243"/>
      <c r="NYY1" s="243"/>
      <c r="NYZ1" s="243"/>
      <c r="NZA1" s="243"/>
      <c r="NZB1" s="243"/>
      <c r="NZC1" s="243"/>
      <c r="NZD1" s="243"/>
      <c r="NZE1" s="243" t="s">
        <v>127</v>
      </c>
      <c r="NZF1" s="243"/>
      <c r="NZG1" s="243"/>
      <c r="NZH1" s="243"/>
      <c r="NZI1" s="243"/>
      <c r="NZJ1" s="243"/>
      <c r="NZK1" s="243"/>
      <c r="NZL1" s="243"/>
      <c r="NZM1" s="243"/>
      <c r="NZN1" s="243"/>
      <c r="NZO1" s="243"/>
      <c r="NZP1" s="243"/>
      <c r="NZQ1" s="243"/>
      <c r="NZR1" s="243"/>
      <c r="NZS1" s="243"/>
      <c r="NZT1" s="243"/>
      <c r="NZU1" s="243" t="s">
        <v>127</v>
      </c>
      <c r="NZV1" s="243"/>
      <c r="NZW1" s="243"/>
      <c r="NZX1" s="243"/>
      <c r="NZY1" s="243"/>
      <c r="NZZ1" s="243"/>
      <c r="OAA1" s="243"/>
      <c r="OAB1" s="243"/>
      <c r="OAC1" s="243"/>
      <c r="OAD1" s="243"/>
      <c r="OAE1" s="243"/>
      <c r="OAF1" s="243"/>
      <c r="OAG1" s="243"/>
      <c r="OAH1" s="243"/>
      <c r="OAI1" s="243"/>
      <c r="OAJ1" s="243"/>
      <c r="OAK1" s="243" t="s">
        <v>127</v>
      </c>
      <c r="OAL1" s="243"/>
      <c r="OAM1" s="243"/>
      <c r="OAN1" s="243"/>
      <c r="OAO1" s="243"/>
      <c r="OAP1" s="243"/>
      <c r="OAQ1" s="243"/>
      <c r="OAR1" s="243"/>
      <c r="OAS1" s="243"/>
      <c r="OAT1" s="243"/>
      <c r="OAU1" s="243"/>
      <c r="OAV1" s="243"/>
      <c r="OAW1" s="243"/>
      <c r="OAX1" s="243"/>
      <c r="OAY1" s="243"/>
      <c r="OAZ1" s="243"/>
      <c r="OBA1" s="243" t="s">
        <v>127</v>
      </c>
      <c r="OBB1" s="243"/>
      <c r="OBC1" s="243"/>
      <c r="OBD1" s="243"/>
      <c r="OBE1" s="243"/>
      <c r="OBF1" s="243"/>
      <c r="OBG1" s="243"/>
      <c r="OBH1" s="243"/>
      <c r="OBI1" s="243"/>
      <c r="OBJ1" s="243"/>
      <c r="OBK1" s="243"/>
      <c r="OBL1" s="243"/>
      <c r="OBM1" s="243"/>
      <c r="OBN1" s="243"/>
      <c r="OBO1" s="243"/>
      <c r="OBP1" s="243"/>
      <c r="OBQ1" s="243" t="s">
        <v>127</v>
      </c>
      <c r="OBR1" s="243"/>
      <c r="OBS1" s="243"/>
      <c r="OBT1" s="243"/>
      <c r="OBU1" s="243"/>
      <c r="OBV1" s="243"/>
      <c r="OBW1" s="243"/>
      <c r="OBX1" s="243"/>
      <c r="OBY1" s="243"/>
      <c r="OBZ1" s="243"/>
      <c r="OCA1" s="243"/>
      <c r="OCB1" s="243"/>
      <c r="OCC1" s="243"/>
      <c r="OCD1" s="243"/>
      <c r="OCE1" s="243"/>
      <c r="OCF1" s="243"/>
      <c r="OCG1" s="243" t="s">
        <v>127</v>
      </c>
      <c r="OCH1" s="243"/>
      <c r="OCI1" s="243"/>
      <c r="OCJ1" s="243"/>
      <c r="OCK1" s="243"/>
      <c r="OCL1" s="243"/>
      <c r="OCM1" s="243"/>
      <c r="OCN1" s="243"/>
      <c r="OCO1" s="243"/>
      <c r="OCP1" s="243"/>
      <c r="OCQ1" s="243"/>
      <c r="OCR1" s="243"/>
      <c r="OCS1" s="243"/>
      <c r="OCT1" s="243"/>
      <c r="OCU1" s="243"/>
      <c r="OCV1" s="243"/>
      <c r="OCW1" s="243" t="s">
        <v>127</v>
      </c>
      <c r="OCX1" s="243"/>
      <c r="OCY1" s="243"/>
      <c r="OCZ1" s="243"/>
      <c r="ODA1" s="243"/>
      <c r="ODB1" s="243"/>
      <c r="ODC1" s="243"/>
      <c r="ODD1" s="243"/>
      <c r="ODE1" s="243"/>
      <c r="ODF1" s="243"/>
      <c r="ODG1" s="243"/>
      <c r="ODH1" s="243"/>
      <c r="ODI1" s="243"/>
      <c r="ODJ1" s="243"/>
      <c r="ODK1" s="243"/>
      <c r="ODL1" s="243"/>
      <c r="ODM1" s="243" t="s">
        <v>127</v>
      </c>
      <c r="ODN1" s="243"/>
      <c r="ODO1" s="243"/>
      <c r="ODP1" s="243"/>
      <c r="ODQ1" s="243"/>
      <c r="ODR1" s="243"/>
      <c r="ODS1" s="243"/>
      <c r="ODT1" s="243"/>
      <c r="ODU1" s="243"/>
      <c r="ODV1" s="243"/>
      <c r="ODW1" s="243"/>
      <c r="ODX1" s="243"/>
      <c r="ODY1" s="243"/>
      <c r="ODZ1" s="243"/>
      <c r="OEA1" s="243"/>
      <c r="OEB1" s="243"/>
      <c r="OEC1" s="243" t="s">
        <v>127</v>
      </c>
      <c r="OED1" s="243"/>
      <c r="OEE1" s="243"/>
      <c r="OEF1" s="243"/>
      <c r="OEG1" s="243"/>
      <c r="OEH1" s="243"/>
      <c r="OEI1" s="243"/>
      <c r="OEJ1" s="243"/>
      <c r="OEK1" s="243"/>
      <c r="OEL1" s="243"/>
      <c r="OEM1" s="243"/>
      <c r="OEN1" s="243"/>
      <c r="OEO1" s="243"/>
      <c r="OEP1" s="243"/>
      <c r="OEQ1" s="243"/>
      <c r="OER1" s="243"/>
      <c r="OES1" s="243" t="s">
        <v>127</v>
      </c>
      <c r="OET1" s="243"/>
      <c r="OEU1" s="243"/>
      <c r="OEV1" s="243"/>
      <c r="OEW1" s="243"/>
      <c r="OEX1" s="243"/>
      <c r="OEY1" s="243"/>
      <c r="OEZ1" s="243"/>
      <c r="OFA1" s="243"/>
      <c r="OFB1" s="243"/>
      <c r="OFC1" s="243"/>
      <c r="OFD1" s="243"/>
      <c r="OFE1" s="243"/>
      <c r="OFF1" s="243"/>
      <c r="OFG1" s="243"/>
      <c r="OFH1" s="243"/>
      <c r="OFI1" s="243" t="s">
        <v>127</v>
      </c>
      <c r="OFJ1" s="243"/>
      <c r="OFK1" s="243"/>
      <c r="OFL1" s="243"/>
      <c r="OFM1" s="243"/>
      <c r="OFN1" s="243"/>
      <c r="OFO1" s="243"/>
      <c r="OFP1" s="243"/>
      <c r="OFQ1" s="243"/>
      <c r="OFR1" s="243"/>
      <c r="OFS1" s="243"/>
      <c r="OFT1" s="243"/>
      <c r="OFU1" s="243"/>
      <c r="OFV1" s="243"/>
      <c r="OFW1" s="243"/>
      <c r="OFX1" s="243"/>
      <c r="OFY1" s="243" t="s">
        <v>127</v>
      </c>
      <c r="OFZ1" s="243"/>
      <c r="OGA1" s="243"/>
      <c r="OGB1" s="243"/>
      <c r="OGC1" s="243"/>
      <c r="OGD1" s="243"/>
      <c r="OGE1" s="243"/>
      <c r="OGF1" s="243"/>
      <c r="OGG1" s="243"/>
      <c r="OGH1" s="243"/>
      <c r="OGI1" s="243"/>
      <c r="OGJ1" s="243"/>
      <c r="OGK1" s="243"/>
      <c r="OGL1" s="243"/>
      <c r="OGM1" s="243"/>
      <c r="OGN1" s="243"/>
      <c r="OGO1" s="243" t="s">
        <v>127</v>
      </c>
      <c r="OGP1" s="243"/>
      <c r="OGQ1" s="243"/>
      <c r="OGR1" s="243"/>
      <c r="OGS1" s="243"/>
      <c r="OGT1" s="243"/>
      <c r="OGU1" s="243"/>
      <c r="OGV1" s="243"/>
      <c r="OGW1" s="243"/>
      <c r="OGX1" s="243"/>
      <c r="OGY1" s="243"/>
      <c r="OGZ1" s="243"/>
      <c r="OHA1" s="243"/>
      <c r="OHB1" s="243"/>
      <c r="OHC1" s="243"/>
      <c r="OHD1" s="243"/>
      <c r="OHE1" s="243" t="s">
        <v>127</v>
      </c>
      <c r="OHF1" s="243"/>
      <c r="OHG1" s="243"/>
      <c r="OHH1" s="243"/>
      <c r="OHI1" s="243"/>
      <c r="OHJ1" s="243"/>
      <c r="OHK1" s="243"/>
      <c r="OHL1" s="243"/>
      <c r="OHM1" s="243"/>
      <c r="OHN1" s="243"/>
      <c r="OHO1" s="243"/>
      <c r="OHP1" s="243"/>
      <c r="OHQ1" s="243"/>
      <c r="OHR1" s="243"/>
      <c r="OHS1" s="243"/>
      <c r="OHT1" s="243"/>
      <c r="OHU1" s="243" t="s">
        <v>127</v>
      </c>
      <c r="OHV1" s="243"/>
      <c r="OHW1" s="243"/>
      <c r="OHX1" s="243"/>
      <c r="OHY1" s="243"/>
      <c r="OHZ1" s="243"/>
      <c r="OIA1" s="243"/>
      <c r="OIB1" s="243"/>
      <c r="OIC1" s="243"/>
      <c r="OID1" s="243"/>
      <c r="OIE1" s="243"/>
      <c r="OIF1" s="243"/>
      <c r="OIG1" s="243"/>
      <c r="OIH1" s="243"/>
      <c r="OII1" s="243"/>
      <c r="OIJ1" s="243"/>
      <c r="OIK1" s="243" t="s">
        <v>127</v>
      </c>
      <c r="OIL1" s="243"/>
      <c r="OIM1" s="243"/>
      <c r="OIN1" s="243"/>
      <c r="OIO1" s="243"/>
      <c r="OIP1" s="243"/>
      <c r="OIQ1" s="243"/>
      <c r="OIR1" s="243"/>
      <c r="OIS1" s="243"/>
      <c r="OIT1" s="243"/>
      <c r="OIU1" s="243"/>
      <c r="OIV1" s="243"/>
      <c r="OIW1" s="243"/>
      <c r="OIX1" s="243"/>
      <c r="OIY1" s="243"/>
      <c r="OIZ1" s="243"/>
      <c r="OJA1" s="243" t="s">
        <v>127</v>
      </c>
      <c r="OJB1" s="243"/>
      <c r="OJC1" s="243"/>
      <c r="OJD1" s="243"/>
      <c r="OJE1" s="243"/>
      <c r="OJF1" s="243"/>
      <c r="OJG1" s="243"/>
      <c r="OJH1" s="243"/>
      <c r="OJI1" s="243"/>
      <c r="OJJ1" s="243"/>
      <c r="OJK1" s="243"/>
      <c r="OJL1" s="243"/>
      <c r="OJM1" s="243"/>
      <c r="OJN1" s="243"/>
      <c r="OJO1" s="243"/>
      <c r="OJP1" s="243"/>
      <c r="OJQ1" s="243" t="s">
        <v>127</v>
      </c>
      <c r="OJR1" s="243"/>
      <c r="OJS1" s="243"/>
      <c r="OJT1" s="243"/>
      <c r="OJU1" s="243"/>
      <c r="OJV1" s="243"/>
      <c r="OJW1" s="243"/>
      <c r="OJX1" s="243"/>
      <c r="OJY1" s="243"/>
      <c r="OJZ1" s="243"/>
      <c r="OKA1" s="243"/>
      <c r="OKB1" s="243"/>
      <c r="OKC1" s="243"/>
      <c r="OKD1" s="243"/>
      <c r="OKE1" s="243"/>
      <c r="OKF1" s="243"/>
      <c r="OKG1" s="243" t="s">
        <v>127</v>
      </c>
      <c r="OKH1" s="243"/>
      <c r="OKI1" s="243"/>
      <c r="OKJ1" s="243"/>
      <c r="OKK1" s="243"/>
      <c r="OKL1" s="243"/>
      <c r="OKM1" s="243"/>
      <c r="OKN1" s="243"/>
      <c r="OKO1" s="243"/>
      <c r="OKP1" s="243"/>
      <c r="OKQ1" s="243"/>
      <c r="OKR1" s="243"/>
      <c r="OKS1" s="243"/>
      <c r="OKT1" s="243"/>
      <c r="OKU1" s="243"/>
      <c r="OKV1" s="243"/>
      <c r="OKW1" s="243" t="s">
        <v>127</v>
      </c>
      <c r="OKX1" s="243"/>
      <c r="OKY1" s="243"/>
      <c r="OKZ1" s="243"/>
      <c r="OLA1" s="243"/>
      <c r="OLB1" s="243"/>
      <c r="OLC1" s="243"/>
      <c r="OLD1" s="243"/>
      <c r="OLE1" s="243"/>
      <c r="OLF1" s="243"/>
      <c r="OLG1" s="243"/>
      <c r="OLH1" s="243"/>
      <c r="OLI1" s="243"/>
      <c r="OLJ1" s="243"/>
      <c r="OLK1" s="243"/>
      <c r="OLL1" s="243"/>
      <c r="OLM1" s="243" t="s">
        <v>127</v>
      </c>
      <c r="OLN1" s="243"/>
      <c r="OLO1" s="243"/>
      <c r="OLP1" s="243"/>
      <c r="OLQ1" s="243"/>
      <c r="OLR1" s="243"/>
      <c r="OLS1" s="243"/>
      <c r="OLT1" s="243"/>
      <c r="OLU1" s="243"/>
      <c r="OLV1" s="243"/>
      <c r="OLW1" s="243"/>
      <c r="OLX1" s="243"/>
      <c r="OLY1" s="243"/>
      <c r="OLZ1" s="243"/>
      <c r="OMA1" s="243"/>
      <c r="OMB1" s="243"/>
      <c r="OMC1" s="243" t="s">
        <v>127</v>
      </c>
      <c r="OMD1" s="243"/>
      <c r="OME1" s="243"/>
      <c r="OMF1" s="243"/>
      <c r="OMG1" s="243"/>
      <c r="OMH1" s="243"/>
      <c r="OMI1" s="243"/>
      <c r="OMJ1" s="243"/>
      <c r="OMK1" s="243"/>
      <c r="OML1" s="243"/>
      <c r="OMM1" s="243"/>
      <c r="OMN1" s="243"/>
      <c r="OMO1" s="243"/>
      <c r="OMP1" s="243"/>
      <c r="OMQ1" s="243"/>
      <c r="OMR1" s="243"/>
      <c r="OMS1" s="243" t="s">
        <v>127</v>
      </c>
      <c r="OMT1" s="243"/>
      <c r="OMU1" s="243"/>
      <c r="OMV1" s="243"/>
      <c r="OMW1" s="243"/>
      <c r="OMX1" s="243"/>
      <c r="OMY1" s="243"/>
      <c r="OMZ1" s="243"/>
      <c r="ONA1" s="243"/>
      <c r="ONB1" s="243"/>
      <c r="ONC1" s="243"/>
      <c r="OND1" s="243"/>
      <c r="ONE1" s="243"/>
      <c r="ONF1" s="243"/>
      <c r="ONG1" s="243"/>
      <c r="ONH1" s="243"/>
      <c r="ONI1" s="243" t="s">
        <v>127</v>
      </c>
      <c r="ONJ1" s="243"/>
      <c r="ONK1" s="243"/>
      <c r="ONL1" s="243"/>
      <c r="ONM1" s="243"/>
      <c r="ONN1" s="243"/>
      <c r="ONO1" s="243"/>
      <c r="ONP1" s="243"/>
      <c r="ONQ1" s="243"/>
      <c r="ONR1" s="243"/>
      <c r="ONS1" s="243"/>
      <c r="ONT1" s="243"/>
      <c r="ONU1" s="243"/>
      <c r="ONV1" s="243"/>
      <c r="ONW1" s="243"/>
      <c r="ONX1" s="243"/>
      <c r="ONY1" s="243" t="s">
        <v>127</v>
      </c>
      <c r="ONZ1" s="243"/>
      <c r="OOA1" s="243"/>
      <c r="OOB1" s="243"/>
      <c r="OOC1" s="243"/>
      <c r="OOD1" s="243"/>
      <c r="OOE1" s="243"/>
      <c r="OOF1" s="243"/>
      <c r="OOG1" s="243"/>
      <c r="OOH1" s="243"/>
      <c r="OOI1" s="243"/>
      <c r="OOJ1" s="243"/>
      <c r="OOK1" s="243"/>
      <c r="OOL1" s="243"/>
      <c r="OOM1" s="243"/>
      <c r="OON1" s="243"/>
      <c r="OOO1" s="243" t="s">
        <v>127</v>
      </c>
      <c r="OOP1" s="243"/>
      <c r="OOQ1" s="243"/>
      <c r="OOR1" s="243"/>
      <c r="OOS1" s="243"/>
      <c r="OOT1" s="243"/>
      <c r="OOU1" s="243"/>
      <c r="OOV1" s="243"/>
      <c r="OOW1" s="243"/>
      <c r="OOX1" s="243"/>
      <c r="OOY1" s="243"/>
      <c r="OOZ1" s="243"/>
      <c r="OPA1" s="243"/>
      <c r="OPB1" s="243"/>
      <c r="OPC1" s="243"/>
      <c r="OPD1" s="243"/>
      <c r="OPE1" s="243" t="s">
        <v>127</v>
      </c>
      <c r="OPF1" s="243"/>
      <c r="OPG1" s="243"/>
      <c r="OPH1" s="243"/>
      <c r="OPI1" s="243"/>
      <c r="OPJ1" s="243"/>
      <c r="OPK1" s="243"/>
      <c r="OPL1" s="243"/>
      <c r="OPM1" s="243"/>
      <c r="OPN1" s="243"/>
      <c r="OPO1" s="243"/>
      <c r="OPP1" s="243"/>
      <c r="OPQ1" s="243"/>
      <c r="OPR1" s="243"/>
      <c r="OPS1" s="243"/>
      <c r="OPT1" s="243"/>
      <c r="OPU1" s="243" t="s">
        <v>127</v>
      </c>
      <c r="OPV1" s="243"/>
      <c r="OPW1" s="243"/>
      <c r="OPX1" s="243"/>
      <c r="OPY1" s="243"/>
      <c r="OPZ1" s="243"/>
      <c r="OQA1" s="243"/>
      <c r="OQB1" s="243"/>
      <c r="OQC1" s="243"/>
      <c r="OQD1" s="243"/>
      <c r="OQE1" s="243"/>
      <c r="OQF1" s="243"/>
      <c r="OQG1" s="243"/>
      <c r="OQH1" s="243"/>
      <c r="OQI1" s="243"/>
      <c r="OQJ1" s="243"/>
      <c r="OQK1" s="243" t="s">
        <v>127</v>
      </c>
      <c r="OQL1" s="243"/>
      <c r="OQM1" s="243"/>
      <c r="OQN1" s="243"/>
      <c r="OQO1" s="243"/>
      <c r="OQP1" s="243"/>
      <c r="OQQ1" s="243"/>
      <c r="OQR1" s="243"/>
      <c r="OQS1" s="243"/>
      <c r="OQT1" s="243"/>
      <c r="OQU1" s="243"/>
      <c r="OQV1" s="243"/>
      <c r="OQW1" s="243"/>
      <c r="OQX1" s="243"/>
      <c r="OQY1" s="243"/>
      <c r="OQZ1" s="243"/>
      <c r="ORA1" s="243" t="s">
        <v>127</v>
      </c>
      <c r="ORB1" s="243"/>
      <c r="ORC1" s="243"/>
      <c r="ORD1" s="243"/>
      <c r="ORE1" s="243"/>
      <c r="ORF1" s="243"/>
      <c r="ORG1" s="243"/>
      <c r="ORH1" s="243"/>
      <c r="ORI1" s="243"/>
      <c r="ORJ1" s="243"/>
      <c r="ORK1" s="243"/>
      <c r="ORL1" s="243"/>
      <c r="ORM1" s="243"/>
      <c r="ORN1" s="243"/>
      <c r="ORO1" s="243"/>
      <c r="ORP1" s="243"/>
      <c r="ORQ1" s="243" t="s">
        <v>127</v>
      </c>
      <c r="ORR1" s="243"/>
      <c r="ORS1" s="243"/>
      <c r="ORT1" s="243"/>
      <c r="ORU1" s="243"/>
      <c r="ORV1" s="243"/>
      <c r="ORW1" s="243"/>
      <c r="ORX1" s="243"/>
      <c r="ORY1" s="243"/>
      <c r="ORZ1" s="243"/>
      <c r="OSA1" s="243"/>
      <c r="OSB1" s="243"/>
      <c r="OSC1" s="243"/>
      <c r="OSD1" s="243"/>
      <c r="OSE1" s="243"/>
      <c r="OSF1" s="243"/>
      <c r="OSG1" s="243" t="s">
        <v>127</v>
      </c>
      <c r="OSH1" s="243"/>
      <c r="OSI1" s="243"/>
      <c r="OSJ1" s="243"/>
      <c r="OSK1" s="243"/>
      <c r="OSL1" s="243"/>
      <c r="OSM1" s="243"/>
      <c r="OSN1" s="243"/>
      <c r="OSO1" s="243"/>
      <c r="OSP1" s="243"/>
      <c r="OSQ1" s="243"/>
      <c r="OSR1" s="243"/>
      <c r="OSS1" s="243"/>
      <c r="OST1" s="243"/>
      <c r="OSU1" s="243"/>
      <c r="OSV1" s="243"/>
      <c r="OSW1" s="243" t="s">
        <v>127</v>
      </c>
      <c r="OSX1" s="243"/>
      <c r="OSY1" s="243"/>
      <c r="OSZ1" s="243"/>
      <c r="OTA1" s="243"/>
      <c r="OTB1" s="243"/>
      <c r="OTC1" s="243"/>
      <c r="OTD1" s="243"/>
      <c r="OTE1" s="243"/>
      <c r="OTF1" s="243"/>
      <c r="OTG1" s="243"/>
      <c r="OTH1" s="243"/>
      <c r="OTI1" s="243"/>
      <c r="OTJ1" s="243"/>
      <c r="OTK1" s="243"/>
      <c r="OTL1" s="243"/>
      <c r="OTM1" s="243" t="s">
        <v>127</v>
      </c>
      <c r="OTN1" s="243"/>
      <c r="OTO1" s="243"/>
      <c r="OTP1" s="243"/>
      <c r="OTQ1" s="243"/>
      <c r="OTR1" s="243"/>
      <c r="OTS1" s="243"/>
      <c r="OTT1" s="243"/>
      <c r="OTU1" s="243"/>
      <c r="OTV1" s="243"/>
      <c r="OTW1" s="243"/>
      <c r="OTX1" s="243"/>
      <c r="OTY1" s="243"/>
      <c r="OTZ1" s="243"/>
      <c r="OUA1" s="243"/>
      <c r="OUB1" s="243"/>
      <c r="OUC1" s="243" t="s">
        <v>127</v>
      </c>
      <c r="OUD1" s="243"/>
      <c r="OUE1" s="243"/>
      <c r="OUF1" s="243"/>
      <c r="OUG1" s="243"/>
      <c r="OUH1" s="243"/>
      <c r="OUI1" s="243"/>
      <c r="OUJ1" s="243"/>
      <c r="OUK1" s="243"/>
      <c r="OUL1" s="243"/>
      <c r="OUM1" s="243"/>
      <c r="OUN1" s="243"/>
      <c r="OUO1" s="243"/>
      <c r="OUP1" s="243"/>
      <c r="OUQ1" s="243"/>
      <c r="OUR1" s="243"/>
      <c r="OUS1" s="243" t="s">
        <v>127</v>
      </c>
      <c r="OUT1" s="243"/>
      <c r="OUU1" s="243"/>
      <c r="OUV1" s="243"/>
      <c r="OUW1" s="243"/>
      <c r="OUX1" s="243"/>
      <c r="OUY1" s="243"/>
      <c r="OUZ1" s="243"/>
      <c r="OVA1" s="243"/>
      <c r="OVB1" s="243"/>
      <c r="OVC1" s="243"/>
      <c r="OVD1" s="243"/>
      <c r="OVE1" s="243"/>
      <c r="OVF1" s="243"/>
      <c r="OVG1" s="243"/>
      <c r="OVH1" s="243"/>
      <c r="OVI1" s="243" t="s">
        <v>127</v>
      </c>
      <c r="OVJ1" s="243"/>
      <c r="OVK1" s="243"/>
      <c r="OVL1" s="243"/>
      <c r="OVM1" s="243"/>
      <c r="OVN1" s="243"/>
      <c r="OVO1" s="243"/>
      <c r="OVP1" s="243"/>
      <c r="OVQ1" s="243"/>
      <c r="OVR1" s="243"/>
      <c r="OVS1" s="243"/>
      <c r="OVT1" s="243"/>
      <c r="OVU1" s="243"/>
      <c r="OVV1" s="243"/>
      <c r="OVW1" s="243"/>
      <c r="OVX1" s="243"/>
      <c r="OVY1" s="243" t="s">
        <v>127</v>
      </c>
      <c r="OVZ1" s="243"/>
      <c r="OWA1" s="243"/>
      <c r="OWB1" s="243"/>
      <c r="OWC1" s="243"/>
      <c r="OWD1" s="243"/>
      <c r="OWE1" s="243"/>
      <c r="OWF1" s="243"/>
      <c r="OWG1" s="243"/>
      <c r="OWH1" s="243"/>
      <c r="OWI1" s="243"/>
      <c r="OWJ1" s="243"/>
      <c r="OWK1" s="243"/>
      <c r="OWL1" s="243"/>
      <c r="OWM1" s="243"/>
      <c r="OWN1" s="243"/>
      <c r="OWO1" s="243" t="s">
        <v>127</v>
      </c>
      <c r="OWP1" s="243"/>
      <c r="OWQ1" s="243"/>
      <c r="OWR1" s="243"/>
      <c r="OWS1" s="243"/>
      <c r="OWT1" s="243"/>
      <c r="OWU1" s="243"/>
      <c r="OWV1" s="243"/>
      <c r="OWW1" s="243"/>
      <c r="OWX1" s="243"/>
      <c r="OWY1" s="243"/>
      <c r="OWZ1" s="243"/>
      <c r="OXA1" s="243"/>
      <c r="OXB1" s="243"/>
      <c r="OXC1" s="243"/>
      <c r="OXD1" s="243"/>
      <c r="OXE1" s="243" t="s">
        <v>127</v>
      </c>
      <c r="OXF1" s="243"/>
      <c r="OXG1" s="243"/>
      <c r="OXH1" s="243"/>
      <c r="OXI1" s="243"/>
      <c r="OXJ1" s="243"/>
      <c r="OXK1" s="243"/>
      <c r="OXL1" s="243"/>
      <c r="OXM1" s="243"/>
      <c r="OXN1" s="243"/>
      <c r="OXO1" s="243"/>
      <c r="OXP1" s="243"/>
      <c r="OXQ1" s="243"/>
      <c r="OXR1" s="243"/>
      <c r="OXS1" s="243"/>
      <c r="OXT1" s="243"/>
      <c r="OXU1" s="243" t="s">
        <v>127</v>
      </c>
      <c r="OXV1" s="243"/>
      <c r="OXW1" s="243"/>
      <c r="OXX1" s="243"/>
      <c r="OXY1" s="243"/>
      <c r="OXZ1" s="243"/>
      <c r="OYA1" s="243"/>
      <c r="OYB1" s="243"/>
      <c r="OYC1" s="243"/>
      <c r="OYD1" s="243"/>
      <c r="OYE1" s="243"/>
      <c r="OYF1" s="243"/>
      <c r="OYG1" s="243"/>
      <c r="OYH1" s="243"/>
      <c r="OYI1" s="243"/>
      <c r="OYJ1" s="243"/>
      <c r="OYK1" s="243" t="s">
        <v>127</v>
      </c>
      <c r="OYL1" s="243"/>
      <c r="OYM1" s="243"/>
      <c r="OYN1" s="243"/>
      <c r="OYO1" s="243"/>
      <c r="OYP1" s="243"/>
      <c r="OYQ1" s="243"/>
      <c r="OYR1" s="243"/>
      <c r="OYS1" s="243"/>
      <c r="OYT1" s="243"/>
      <c r="OYU1" s="243"/>
      <c r="OYV1" s="243"/>
      <c r="OYW1" s="243"/>
      <c r="OYX1" s="243"/>
      <c r="OYY1" s="243"/>
      <c r="OYZ1" s="243"/>
      <c r="OZA1" s="243" t="s">
        <v>127</v>
      </c>
      <c r="OZB1" s="243"/>
      <c r="OZC1" s="243"/>
      <c r="OZD1" s="243"/>
      <c r="OZE1" s="243"/>
      <c r="OZF1" s="243"/>
      <c r="OZG1" s="243"/>
      <c r="OZH1" s="243"/>
      <c r="OZI1" s="243"/>
      <c r="OZJ1" s="243"/>
      <c r="OZK1" s="243"/>
      <c r="OZL1" s="243"/>
      <c r="OZM1" s="243"/>
      <c r="OZN1" s="243"/>
      <c r="OZO1" s="243"/>
      <c r="OZP1" s="243"/>
      <c r="OZQ1" s="243" t="s">
        <v>127</v>
      </c>
      <c r="OZR1" s="243"/>
      <c r="OZS1" s="243"/>
      <c r="OZT1" s="243"/>
      <c r="OZU1" s="243"/>
      <c r="OZV1" s="243"/>
      <c r="OZW1" s="243"/>
      <c r="OZX1" s="243"/>
      <c r="OZY1" s="243"/>
      <c r="OZZ1" s="243"/>
      <c r="PAA1" s="243"/>
      <c r="PAB1" s="243"/>
      <c r="PAC1" s="243"/>
      <c r="PAD1" s="243"/>
      <c r="PAE1" s="243"/>
      <c r="PAF1" s="243"/>
      <c r="PAG1" s="243" t="s">
        <v>127</v>
      </c>
      <c r="PAH1" s="243"/>
      <c r="PAI1" s="243"/>
      <c r="PAJ1" s="243"/>
      <c r="PAK1" s="243"/>
      <c r="PAL1" s="243"/>
      <c r="PAM1" s="243"/>
      <c r="PAN1" s="243"/>
      <c r="PAO1" s="243"/>
      <c r="PAP1" s="243"/>
      <c r="PAQ1" s="243"/>
      <c r="PAR1" s="243"/>
      <c r="PAS1" s="243"/>
      <c r="PAT1" s="243"/>
      <c r="PAU1" s="243"/>
      <c r="PAV1" s="243"/>
      <c r="PAW1" s="243" t="s">
        <v>127</v>
      </c>
      <c r="PAX1" s="243"/>
      <c r="PAY1" s="243"/>
      <c r="PAZ1" s="243"/>
      <c r="PBA1" s="243"/>
      <c r="PBB1" s="243"/>
      <c r="PBC1" s="243"/>
      <c r="PBD1" s="243"/>
      <c r="PBE1" s="243"/>
      <c r="PBF1" s="243"/>
      <c r="PBG1" s="243"/>
      <c r="PBH1" s="243"/>
      <c r="PBI1" s="243"/>
      <c r="PBJ1" s="243"/>
      <c r="PBK1" s="243"/>
      <c r="PBL1" s="243"/>
      <c r="PBM1" s="243" t="s">
        <v>127</v>
      </c>
      <c r="PBN1" s="243"/>
      <c r="PBO1" s="243"/>
      <c r="PBP1" s="243"/>
      <c r="PBQ1" s="243"/>
      <c r="PBR1" s="243"/>
      <c r="PBS1" s="243"/>
      <c r="PBT1" s="243"/>
      <c r="PBU1" s="243"/>
      <c r="PBV1" s="243"/>
      <c r="PBW1" s="243"/>
      <c r="PBX1" s="243"/>
      <c r="PBY1" s="243"/>
      <c r="PBZ1" s="243"/>
      <c r="PCA1" s="243"/>
      <c r="PCB1" s="243"/>
      <c r="PCC1" s="243" t="s">
        <v>127</v>
      </c>
      <c r="PCD1" s="243"/>
      <c r="PCE1" s="243"/>
      <c r="PCF1" s="243"/>
      <c r="PCG1" s="243"/>
      <c r="PCH1" s="243"/>
      <c r="PCI1" s="243"/>
      <c r="PCJ1" s="243"/>
      <c r="PCK1" s="243"/>
      <c r="PCL1" s="243"/>
      <c r="PCM1" s="243"/>
      <c r="PCN1" s="243"/>
      <c r="PCO1" s="243"/>
      <c r="PCP1" s="243"/>
      <c r="PCQ1" s="243"/>
      <c r="PCR1" s="243"/>
      <c r="PCS1" s="243" t="s">
        <v>127</v>
      </c>
      <c r="PCT1" s="243"/>
      <c r="PCU1" s="243"/>
      <c r="PCV1" s="243"/>
      <c r="PCW1" s="243"/>
      <c r="PCX1" s="243"/>
      <c r="PCY1" s="243"/>
      <c r="PCZ1" s="243"/>
      <c r="PDA1" s="243"/>
      <c r="PDB1" s="243"/>
      <c r="PDC1" s="243"/>
      <c r="PDD1" s="243"/>
      <c r="PDE1" s="243"/>
      <c r="PDF1" s="243"/>
      <c r="PDG1" s="243"/>
      <c r="PDH1" s="243"/>
      <c r="PDI1" s="243" t="s">
        <v>127</v>
      </c>
      <c r="PDJ1" s="243"/>
      <c r="PDK1" s="243"/>
      <c r="PDL1" s="243"/>
      <c r="PDM1" s="243"/>
      <c r="PDN1" s="243"/>
      <c r="PDO1" s="243"/>
      <c r="PDP1" s="243"/>
      <c r="PDQ1" s="243"/>
      <c r="PDR1" s="243"/>
      <c r="PDS1" s="243"/>
      <c r="PDT1" s="243"/>
      <c r="PDU1" s="243"/>
      <c r="PDV1" s="243"/>
      <c r="PDW1" s="243"/>
      <c r="PDX1" s="243"/>
      <c r="PDY1" s="243" t="s">
        <v>127</v>
      </c>
      <c r="PDZ1" s="243"/>
      <c r="PEA1" s="243"/>
      <c r="PEB1" s="243"/>
      <c r="PEC1" s="243"/>
      <c r="PED1" s="243"/>
      <c r="PEE1" s="243"/>
      <c r="PEF1" s="243"/>
      <c r="PEG1" s="243"/>
      <c r="PEH1" s="243"/>
      <c r="PEI1" s="243"/>
      <c r="PEJ1" s="243"/>
      <c r="PEK1" s="243"/>
      <c r="PEL1" s="243"/>
      <c r="PEM1" s="243"/>
      <c r="PEN1" s="243"/>
      <c r="PEO1" s="243" t="s">
        <v>127</v>
      </c>
      <c r="PEP1" s="243"/>
      <c r="PEQ1" s="243"/>
      <c r="PER1" s="243"/>
      <c r="PES1" s="243"/>
      <c r="PET1" s="243"/>
      <c r="PEU1" s="243"/>
      <c r="PEV1" s="243"/>
      <c r="PEW1" s="243"/>
      <c r="PEX1" s="243"/>
      <c r="PEY1" s="243"/>
      <c r="PEZ1" s="243"/>
      <c r="PFA1" s="243"/>
      <c r="PFB1" s="243"/>
      <c r="PFC1" s="243"/>
      <c r="PFD1" s="243"/>
      <c r="PFE1" s="243" t="s">
        <v>127</v>
      </c>
      <c r="PFF1" s="243"/>
      <c r="PFG1" s="243"/>
      <c r="PFH1" s="243"/>
      <c r="PFI1" s="243"/>
      <c r="PFJ1" s="243"/>
      <c r="PFK1" s="243"/>
      <c r="PFL1" s="243"/>
      <c r="PFM1" s="243"/>
      <c r="PFN1" s="243"/>
      <c r="PFO1" s="243"/>
      <c r="PFP1" s="243"/>
      <c r="PFQ1" s="243"/>
      <c r="PFR1" s="243"/>
      <c r="PFS1" s="243"/>
      <c r="PFT1" s="243"/>
      <c r="PFU1" s="243" t="s">
        <v>127</v>
      </c>
      <c r="PFV1" s="243"/>
      <c r="PFW1" s="243"/>
      <c r="PFX1" s="243"/>
      <c r="PFY1" s="243"/>
      <c r="PFZ1" s="243"/>
      <c r="PGA1" s="243"/>
      <c r="PGB1" s="243"/>
      <c r="PGC1" s="243"/>
      <c r="PGD1" s="243"/>
      <c r="PGE1" s="243"/>
      <c r="PGF1" s="243"/>
      <c r="PGG1" s="243"/>
      <c r="PGH1" s="243"/>
      <c r="PGI1" s="243"/>
      <c r="PGJ1" s="243"/>
      <c r="PGK1" s="243" t="s">
        <v>127</v>
      </c>
      <c r="PGL1" s="243"/>
      <c r="PGM1" s="243"/>
      <c r="PGN1" s="243"/>
      <c r="PGO1" s="243"/>
      <c r="PGP1" s="243"/>
      <c r="PGQ1" s="243"/>
      <c r="PGR1" s="243"/>
      <c r="PGS1" s="243"/>
      <c r="PGT1" s="243"/>
      <c r="PGU1" s="243"/>
      <c r="PGV1" s="243"/>
      <c r="PGW1" s="243"/>
      <c r="PGX1" s="243"/>
      <c r="PGY1" s="243"/>
      <c r="PGZ1" s="243"/>
      <c r="PHA1" s="243" t="s">
        <v>127</v>
      </c>
      <c r="PHB1" s="243"/>
      <c r="PHC1" s="243"/>
      <c r="PHD1" s="243"/>
      <c r="PHE1" s="243"/>
      <c r="PHF1" s="243"/>
      <c r="PHG1" s="243"/>
      <c r="PHH1" s="243"/>
      <c r="PHI1" s="243"/>
      <c r="PHJ1" s="243"/>
      <c r="PHK1" s="243"/>
      <c r="PHL1" s="243"/>
      <c r="PHM1" s="243"/>
      <c r="PHN1" s="243"/>
      <c r="PHO1" s="243"/>
      <c r="PHP1" s="243"/>
      <c r="PHQ1" s="243" t="s">
        <v>127</v>
      </c>
      <c r="PHR1" s="243"/>
      <c r="PHS1" s="243"/>
      <c r="PHT1" s="243"/>
      <c r="PHU1" s="243"/>
      <c r="PHV1" s="243"/>
      <c r="PHW1" s="243"/>
      <c r="PHX1" s="243"/>
      <c r="PHY1" s="243"/>
      <c r="PHZ1" s="243"/>
      <c r="PIA1" s="243"/>
      <c r="PIB1" s="243"/>
      <c r="PIC1" s="243"/>
      <c r="PID1" s="243"/>
      <c r="PIE1" s="243"/>
      <c r="PIF1" s="243"/>
      <c r="PIG1" s="243" t="s">
        <v>127</v>
      </c>
      <c r="PIH1" s="243"/>
      <c r="PII1" s="243"/>
      <c r="PIJ1" s="243"/>
      <c r="PIK1" s="243"/>
      <c r="PIL1" s="243"/>
      <c r="PIM1" s="243"/>
      <c r="PIN1" s="243"/>
      <c r="PIO1" s="243"/>
      <c r="PIP1" s="243"/>
      <c r="PIQ1" s="243"/>
      <c r="PIR1" s="243"/>
      <c r="PIS1" s="243"/>
      <c r="PIT1" s="243"/>
      <c r="PIU1" s="243"/>
      <c r="PIV1" s="243"/>
      <c r="PIW1" s="243" t="s">
        <v>127</v>
      </c>
      <c r="PIX1" s="243"/>
      <c r="PIY1" s="243"/>
      <c r="PIZ1" s="243"/>
      <c r="PJA1" s="243"/>
      <c r="PJB1" s="243"/>
      <c r="PJC1" s="243"/>
      <c r="PJD1" s="243"/>
      <c r="PJE1" s="243"/>
      <c r="PJF1" s="243"/>
      <c r="PJG1" s="243"/>
      <c r="PJH1" s="243"/>
      <c r="PJI1" s="243"/>
      <c r="PJJ1" s="243"/>
      <c r="PJK1" s="243"/>
      <c r="PJL1" s="243"/>
      <c r="PJM1" s="243" t="s">
        <v>127</v>
      </c>
      <c r="PJN1" s="243"/>
      <c r="PJO1" s="243"/>
      <c r="PJP1" s="243"/>
      <c r="PJQ1" s="243"/>
      <c r="PJR1" s="243"/>
      <c r="PJS1" s="243"/>
      <c r="PJT1" s="243"/>
      <c r="PJU1" s="243"/>
      <c r="PJV1" s="243"/>
      <c r="PJW1" s="243"/>
      <c r="PJX1" s="243"/>
      <c r="PJY1" s="243"/>
      <c r="PJZ1" s="243"/>
      <c r="PKA1" s="243"/>
      <c r="PKB1" s="243"/>
      <c r="PKC1" s="243" t="s">
        <v>127</v>
      </c>
      <c r="PKD1" s="243"/>
      <c r="PKE1" s="243"/>
      <c r="PKF1" s="243"/>
      <c r="PKG1" s="243"/>
      <c r="PKH1" s="243"/>
      <c r="PKI1" s="243"/>
      <c r="PKJ1" s="243"/>
      <c r="PKK1" s="243"/>
      <c r="PKL1" s="243"/>
      <c r="PKM1" s="243"/>
      <c r="PKN1" s="243"/>
      <c r="PKO1" s="243"/>
      <c r="PKP1" s="243"/>
      <c r="PKQ1" s="243"/>
      <c r="PKR1" s="243"/>
      <c r="PKS1" s="243" t="s">
        <v>127</v>
      </c>
      <c r="PKT1" s="243"/>
      <c r="PKU1" s="243"/>
      <c r="PKV1" s="243"/>
      <c r="PKW1" s="243"/>
      <c r="PKX1" s="243"/>
      <c r="PKY1" s="243"/>
      <c r="PKZ1" s="243"/>
      <c r="PLA1" s="243"/>
      <c r="PLB1" s="243"/>
      <c r="PLC1" s="243"/>
      <c r="PLD1" s="243"/>
      <c r="PLE1" s="243"/>
      <c r="PLF1" s="243"/>
      <c r="PLG1" s="243"/>
      <c r="PLH1" s="243"/>
      <c r="PLI1" s="243" t="s">
        <v>127</v>
      </c>
      <c r="PLJ1" s="243"/>
      <c r="PLK1" s="243"/>
      <c r="PLL1" s="243"/>
      <c r="PLM1" s="243"/>
      <c r="PLN1" s="243"/>
      <c r="PLO1" s="243"/>
      <c r="PLP1" s="243"/>
      <c r="PLQ1" s="243"/>
      <c r="PLR1" s="243"/>
      <c r="PLS1" s="243"/>
      <c r="PLT1" s="243"/>
      <c r="PLU1" s="243"/>
      <c r="PLV1" s="243"/>
      <c r="PLW1" s="243"/>
      <c r="PLX1" s="243"/>
      <c r="PLY1" s="243" t="s">
        <v>127</v>
      </c>
      <c r="PLZ1" s="243"/>
      <c r="PMA1" s="243"/>
      <c r="PMB1" s="243"/>
      <c r="PMC1" s="243"/>
      <c r="PMD1" s="243"/>
      <c r="PME1" s="243"/>
      <c r="PMF1" s="243"/>
      <c r="PMG1" s="243"/>
      <c r="PMH1" s="243"/>
      <c r="PMI1" s="243"/>
      <c r="PMJ1" s="243"/>
      <c r="PMK1" s="243"/>
      <c r="PML1" s="243"/>
      <c r="PMM1" s="243"/>
      <c r="PMN1" s="243"/>
      <c r="PMO1" s="243" t="s">
        <v>127</v>
      </c>
      <c r="PMP1" s="243"/>
      <c r="PMQ1" s="243"/>
      <c r="PMR1" s="243"/>
      <c r="PMS1" s="243"/>
      <c r="PMT1" s="243"/>
      <c r="PMU1" s="243"/>
      <c r="PMV1" s="243"/>
      <c r="PMW1" s="243"/>
      <c r="PMX1" s="243"/>
      <c r="PMY1" s="243"/>
      <c r="PMZ1" s="243"/>
      <c r="PNA1" s="243"/>
      <c r="PNB1" s="243"/>
      <c r="PNC1" s="243"/>
      <c r="PND1" s="243"/>
      <c r="PNE1" s="243" t="s">
        <v>127</v>
      </c>
      <c r="PNF1" s="243"/>
      <c r="PNG1" s="243"/>
      <c r="PNH1" s="243"/>
      <c r="PNI1" s="243"/>
      <c r="PNJ1" s="243"/>
      <c r="PNK1" s="243"/>
      <c r="PNL1" s="243"/>
      <c r="PNM1" s="243"/>
      <c r="PNN1" s="243"/>
      <c r="PNO1" s="243"/>
      <c r="PNP1" s="243"/>
      <c r="PNQ1" s="243"/>
      <c r="PNR1" s="243"/>
      <c r="PNS1" s="243"/>
      <c r="PNT1" s="243"/>
      <c r="PNU1" s="243" t="s">
        <v>127</v>
      </c>
      <c r="PNV1" s="243"/>
      <c r="PNW1" s="243"/>
      <c r="PNX1" s="243"/>
      <c r="PNY1" s="243"/>
      <c r="PNZ1" s="243"/>
      <c r="POA1" s="243"/>
      <c r="POB1" s="243"/>
      <c r="POC1" s="243"/>
      <c r="POD1" s="243"/>
      <c r="POE1" s="243"/>
      <c r="POF1" s="243"/>
      <c r="POG1" s="243"/>
      <c r="POH1" s="243"/>
      <c r="POI1" s="243"/>
      <c r="POJ1" s="243"/>
      <c r="POK1" s="243" t="s">
        <v>127</v>
      </c>
      <c r="POL1" s="243"/>
      <c r="POM1" s="243"/>
      <c r="PON1" s="243"/>
      <c r="POO1" s="243"/>
      <c r="POP1" s="243"/>
      <c r="POQ1" s="243"/>
      <c r="POR1" s="243"/>
      <c r="POS1" s="243"/>
      <c r="POT1" s="243"/>
      <c r="POU1" s="243"/>
      <c r="POV1" s="243"/>
      <c r="POW1" s="243"/>
      <c r="POX1" s="243"/>
      <c r="POY1" s="243"/>
      <c r="POZ1" s="243"/>
      <c r="PPA1" s="243" t="s">
        <v>127</v>
      </c>
      <c r="PPB1" s="243"/>
      <c r="PPC1" s="243"/>
      <c r="PPD1" s="243"/>
      <c r="PPE1" s="243"/>
      <c r="PPF1" s="243"/>
      <c r="PPG1" s="243"/>
      <c r="PPH1" s="243"/>
      <c r="PPI1" s="243"/>
      <c r="PPJ1" s="243"/>
      <c r="PPK1" s="243"/>
      <c r="PPL1" s="243"/>
      <c r="PPM1" s="243"/>
      <c r="PPN1" s="243"/>
      <c r="PPO1" s="243"/>
      <c r="PPP1" s="243"/>
      <c r="PPQ1" s="243" t="s">
        <v>127</v>
      </c>
      <c r="PPR1" s="243"/>
      <c r="PPS1" s="243"/>
      <c r="PPT1" s="243"/>
      <c r="PPU1" s="243"/>
      <c r="PPV1" s="243"/>
      <c r="PPW1" s="243"/>
      <c r="PPX1" s="243"/>
      <c r="PPY1" s="243"/>
      <c r="PPZ1" s="243"/>
      <c r="PQA1" s="243"/>
      <c r="PQB1" s="243"/>
      <c r="PQC1" s="243"/>
      <c r="PQD1" s="243"/>
      <c r="PQE1" s="243"/>
      <c r="PQF1" s="243"/>
      <c r="PQG1" s="243" t="s">
        <v>127</v>
      </c>
      <c r="PQH1" s="243"/>
      <c r="PQI1" s="243"/>
      <c r="PQJ1" s="243"/>
      <c r="PQK1" s="243"/>
      <c r="PQL1" s="243"/>
      <c r="PQM1" s="243"/>
      <c r="PQN1" s="243"/>
      <c r="PQO1" s="243"/>
      <c r="PQP1" s="243"/>
      <c r="PQQ1" s="243"/>
      <c r="PQR1" s="243"/>
      <c r="PQS1" s="243"/>
      <c r="PQT1" s="243"/>
      <c r="PQU1" s="243"/>
      <c r="PQV1" s="243"/>
      <c r="PQW1" s="243" t="s">
        <v>127</v>
      </c>
      <c r="PQX1" s="243"/>
      <c r="PQY1" s="243"/>
      <c r="PQZ1" s="243"/>
      <c r="PRA1" s="243"/>
      <c r="PRB1" s="243"/>
      <c r="PRC1" s="243"/>
      <c r="PRD1" s="243"/>
      <c r="PRE1" s="243"/>
      <c r="PRF1" s="243"/>
      <c r="PRG1" s="243"/>
      <c r="PRH1" s="243"/>
      <c r="PRI1" s="243"/>
      <c r="PRJ1" s="243"/>
      <c r="PRK1" s="243"/>
      <c r="PRL1" s="243"/>
      <c r="PRM1" s="243" t="s">
        <v>127</v>
      </c>
      <c r="PRN1" s="243"/>
      <c r="PRO1" s="243"/>
      <c r="PRP1" s="243"/>
      <c r="PRQ1" s="243"/>
      <c r="PRR1" s="243"/>
      <c r="PRS1" s="243"/>
      <c r="PRT1" s="243"/>
      <c r="PRU1" s="243"/>
      <c r="PRV1" s="243"/>
      <c r="PRW1" s="243"/>
      <c r="PRX1" s="243"/>
      <c r="PRY1" s="243"/>
      <c r="PRZ1" s="243"/>
      <c r="PSA1" s="243"/>
      <c r="PSB1" s="243"/>
      <c r="PSC1" s="243" t="s">
        <v>127</v>
      </c>
      <c r="PSD1" s="243"/>
      <c r="PSE1" s="243"/>
      <c r="PSF1" s="243"/>
      <c r="PSG1" s="243"/>
      <c r="PSH1" s="243"/>
      <c r="PSI1" s="243"/>
      <c r="PSJ1" s="243"/>
      <c r="PSK1" s="243"/>
      <c r="PSL1" s="243"/>
      <c r="PSM1" s="243"/>
      <c r="PSN1" s="243"/>
      <c r="PSO1" s="243"/>
      <c r="PSP1" s="243"/>
      <c r="PSQ1" s="243"/>
      <c r="PSR1" s="243"/>
      <c r="PSS1" s="243" t="s">
        <v>127</v>
      </c>
      <c r="PST1" s="243"/>
      <c r="PSU1" s="243"/>
      <c r="PSV1" s="243"/>
      <c r="PSW1" s="243"/>
      <c r="PSX1" s="243"/>
      <c r="PSY1" s="243"/>
      <c r="PSZ1" s="243"/>
      <c r="PTA1" s="243"/>
      <c r="PTB1" s="243"/>
      <c r="PTC1" s="243"/>
      <c r="PTD1" s="243"/>
      <c r="PTE1" s="243"/>
      <c r="PTF1" s="243"/>
      <c r="PTG1" s="243"/>
      <c r="PTH1" s="243"/>
      <c r="PTI1" s="243" t="s">
        <v>127</v>
      </c>
      <c r="PTJ1" s="243"/>
      <c r="PTK1" s="243"/>
      <c r="PTL1" s="243"/>
      <c r="PTM1" s="243"/>
      <c r="PTN1" s="243"/>
      <c r="PTO1" s="243"/>
      <c r="PTP1" s="243"/>
      <c r="PTQ1" s="243"/>
      <c r="PTR1" s="243"/>
      <c r="PTS1" s="243"/>
      <c r="PTT1" s="243"/>
      <c r="PTU1" s="243"/>
      <c r="PTV1" s="243"/>
      <c r="PTW1" s="243"/>
      <c r="PTX1" s="243"/>
      <c r="PTY1" s="243" t="s">
        <v>127</v>
      </c>
      <c r="PTZ1" s="243"/>
      <c r="PUA1" s="243"/>
      <c r="PUB1" s="243"/>
      <c r="PUC1" s="243"/>
      <c r="PUD1" s="243"/>
      <c r="PUE1" s="243"/>
      <c r="PUF1" s="243"/>
      <c r="PUG1" s="243"/>
      <c r="PUH1" s="243"/>
      <c r="PUI1" s="243"/>
      <c r="PUJ1" s="243"/>
      <c r="PUK1" s="243"/>
      <c r="PUL1" s="243"/>
      <c r="PUM1" s="243"/>
      <c r="PUN1" s="243"/>
      <c r="PUO1" s="243" t="s">
        <v>127</v>
      </c>
      <c r="PUP1" s="243"/>
      <c r="PUQ1" s="243"/>
      <c r="PUR1" s="243"/>
      <c r="PUS1" s="243"/>
      <c r="PUT1" s="243"/>
      <c r="PUU1" s="243"/>
      <c r="PUV1" s="243"/>
      <c r="PUW1" s="243"/>
      <c r="PUX1" s="243"/>
      <c r="PUY1" s="243"/>
      <c r="PUZ1" s="243"/>
      <c r="PVA1" s="243"/>
      <c r="PVB1" s="243"/>
      <c r="PVC1" s="243"/>
      <c r="PVD1" s="243"/>
      <c r="PVE1" s="243" t="s">
        <v>127</v>
      </c>
      <c r="PVF1" s="243"/>
      <c r="PVG1" s="243"/>
      <c r="PVH1" s="243"/>
      <c r="PVI1" s="243"/>
      <c r="PVJ1" s="243"/>
      <c r="PVK1" s="243"/>
      <c r="PVL1" s="243"/>
      <c r="PVM1" s="243"/>
      <c r="PVN1" s="243"/>
      <c r="PVO1" s="243"/>
      <c r="PVP1" s="243"/>
      <c r="PVQ1" s="243"/>
      <c r="PVR1" s="243"/>
      <c r="PVS1" s="243"/>
      <c r="PVT1" s="243"/>
      <c r="PVU1" s="243" t="s">
        <v>127</v>
      </c>
      <c r="PVV1" s="243"/>
      <c r="PVW1" s="243"/>
      <c r="PVX1" s="243"/>
      <c r="PVY1" s="243"/>
      <c r="PVZ1" s="243"/>
      <c r="PWA1" s="243"/>
      <c r="PWB1" s="243"/>
      <c r="PWC1" s="243"/>
      <c r="PWD1" s="243"/>
      <c r="PWE1" s="243"/>
      <c r="PWF1" s="243"/>
      <c r="PWG1" s="243"/>
      <c r="PWH1" s="243"/>
      <c r="PWI1" s="243"/>
      <c r="PWJ1" s="243"/>
      <c r="PWK1" s="243" t="s">
        <v>127</v>
      </c>
      <c r="PWL1" s="243"/>
      <c r="PWM1" s="243"/>
      <c r="PWN1" s="243"/>
      <c r="PWO1" s="243"/>
      <c r="PWP1" s="243"/>
      <c r="PWQ1" s="243"/>
      <c r="PWR1" s="243"/>
      <c r="PWS1" s="243"/>
      <c r="PWT1" s="243"/>
      <c r="PWU1" s="243"/>
      <c r="PWV1" s="243"/>
      <c r="PWW1" s="243"/>
      <c r="PWX1" s="243"/>
      <c r="PWY1" s="243"/>
      <c r="PWZ1" s="243"/>
      <c r="PXA1" s="243" t="s">
        <v>127</v>
      </c>
      <c r="PXB1" s="243"/>
      <c r="PXC1" s="243"/>
      <c r="PXD1" s="243"/>
      <c r="PXE1" s="243"/>
      <c r="PXF1" s="243"/>
      <c r="PXG1" s="243"/>
      <c r="PXH1" s="243"/>
      <c r="PXI1" s="243"/>
      <c r="PXJ1" s="243"/>
      <c r="PXK1" s="243"/>
      <c r="PXL1" s="243"/>
      <c r="PXM1" s="243"/>
      <c r="PXN1" s="243"/>
      <c r="PXO1" s="243"/>
      <c r="PXP1" s="243"/>
      <c r="PXQ1" s="243" t="s">
        <v>127</v>
      </c>
      <c r="PXR1" s="243"/>
      <c r="PXS1" s="243"/>
      <c r="PXT1" s="243"/>
      <c r="PXU1" s="243"/>
      <c r="PXV1" s="243"/>
      <c r="PXW1" s="243"/>
      <c r="PXX1" s="243"/>
      <c r="PXY1" s="243"/>
      <c r="PXZ1" s="243"/>
      <c r="PYA1" s="243"/>
      <c r="PYB1" s="243"/>
      <c r="PYC1" s="243"/>
      <c r="PYD1" s="243"/>
      <c r="PYE1" s="243"/>
      <c r="PYF1" s="243"/>
      <c r="PYG1" s="243" t="s">
        <v>127</v>
      </c>
      <c r="PYH1" s="243"/>
      <c r="PYI1" s="243"/>
      <c r="PYJ1" s="243"/>
      <c r="PYK1" s="243"/>
      <c r="PYL1" s="243"/>
      <c r="PYM1" s="243"/>
      <c r="PYN1" s="243"/>
      <c r="PYO1" s="243"/>
      <c r="PYP1" s="243"/>
      <c r="PYQ1" s="243"/>
      <c r="PYR1" s="243"/>
      <c r="PYS1" s="243"/>
      <c r="PYT1" s="243"/>
      <c r="PYU1" s="243"/>
      <c r="PYV1" s="243"/>
      <c r="PYW1" s="243" t="s">
        <v>127</v>
      </c>
      <c r="PYX1" s="243"/>
      <c r="PYY1" s="243"/>
      <c r="PYZ1" s="243"/>
      <c r="PZA1" s="243"/>
      <c r="PZB1" s="243"/>
      <c r="PZC1" s="243"/>
      <c r="PZD1" s="243"/>
      <c r="PZE1" s="243"/>
      <c r="PZF1" s="243"/>
      <c r="PZG1" s="243"/>
      <c r="PZH1" s="243"/>
      <c r="PZI1" s="243"/>
      <c r="PZJ1" s="243"/>
      <c r="PZK1" s="243"/>
      <c r="PZL1" s="243"/>
      <c r="PZM1" s="243" t="s">
        <v>127</v>
      </c>
      <c r="PZN1" s="243"/>
      <c r="PZO1" s="243"/>
      <c r="PZP1" s="243"/>
      <c r="PZQ1" s="243"/>
      <c r="PZR1" s="243"/>
      <c r="PZS1" s="243"/>
      <c r="PZT1" s="243"/>
      <c r="PZU1" s="243"/>
      <c r="PZV1" s="243"/>
      <c r="PZW1" s="243"/>
      <c r="PZX1" s="243"/>
      <c r="PZY1" s="243"/>
      <c r="PZZ1" s="243"/>
      <c r="QAA1" s="243"/>
      <c r="QAB1" s="243"/>
      <c r="QAC1" s="243" t="s">
        <v>127</v>
      </c>
      <c r="QAD1" s="243"/>
      <c r="QAE1" s="243"/>
      <c r="QAF1" s="243"/>
      <c r="QAG1" s="243"/>
      <c r="QAH1" s="243"/>
      <c r="QAI1" s="243"/>
      <c r="QAJ1" s="243"/>
      <c r="QAK1" s="243"/>
      <c r="QAL1" s="243"/>
      <c r="QAM1" s="243"/>
      <c r="QAN1" s="243"/>
      <c r="QAO1" s="243"/>
      <c r="QAP1" s="243"/>
      <c r="QAQ1" s="243"/>
      <c r="QAR1" s="243"/>
      <c r="QAS1" s="243" t="s">
        <v>127</v>
      </c>
      <c r="QAT1" s="243"/>
      <c r="QAU1" s="243"/>
      <c r="QAV1" s="243"/>
      <c r="QAW1" s="243"/>
      <c r="QAX1" s="243"/>
      <c r="QAY1" s="243"/>
      <c r="QAZ1" s="243"/>
      <c r="QBA1" s="243"/>
      <c r="QBB1" s="243"/>
      <c r="QBC1" s="243"/>
      <c r="QBD1" s="243"/>
      <c r="QBE1" s="243"/>
      <c r="QBF1" s="243"/>
      <c r="QBG1" s="243"/>
      <c r="QBH1" s="243"/>
      <c r="QBI1" s="243" t="s">
        <v>127</v>
      </c>
      <c r="QBJ1" s="243"/>
      <c r="QBK1" s="243"/>
      <c r="QBL1" s="243"/>
      <c r="QBM1" s="243"/>
      <c r="QBN1" s="243"/>
      <c r="QBO1" s="243"/>
      <c r="QBP1" s="243"/>
      <c r="QBQ1" s="243"/>
      <c r="QBR1" s="243"/>
      <c r="QBS1" s="243"/>
      <c r="QBT1" s="243"/>
      <c r="QBU1" s="243"/>
      <c r="QBV1" s="243"/>
      <c r="QBW1" s="243"/>
      <c r="QBX1" s="243"/>
      <c r="QBY1" s="243" t="s">
        <v>127</v>
      </c>
      <c r="QBZ1" s="243"/>
      <c r="QCA1" s="243"/>
      <c r="QCB1" s="243"/>
      <c r="QCC1" s="243"/>
      <c r="QCD1" s="243"/>
      <c r="QCE1" s="243"/>
      <c r="QCF1" s="243"/>
      <c r="QCG1" s="243"/>
      <c r="QCH1" s="243"/>
      <c r="QCI1" s="243"/>
      <c r="QCJ1" s="243"/>
      <c r="QCK1" s="243"/>
      <c r="QCL1" s="243"/>
      <c r="QCM1" s="243"/>
      <c r="QCN1" s="243"/>
      <c r="QCO1" s="243" t="s">
        <v>127</v>
      </c>
      <c r="QCP1" s="243"/>
      <c r="QCQ1" s="243"/>
      <c r="QCR1" s="243"/>
      <c r="QCS1" s="243"/>
      <c r="QCT1" s="243"/>
      <c r="QCU1" s="243"/>
      <c r="QCV1" s="243"/>
      <c r="QCW1" s="243"/>
      <c r="QCX1" s="243"/>
      <c r="QCY1" s="243"/>
      <c r="QCZ1" s="243"/>
      <c r="QDA1" s="243"/>
      <c r="QDB1" s="243"/>
      <c r="QDC1" s="243"/>
      <c r="QDD1" s="243"/>
      <c r="QDE1" s="243" t="s">
        <v>127</v>
      </c>
      <c r="QDF1" s="243"/>
      <c r="QDG1" s="243"/>
      <c r="QDH1" s="243"/>
      <c r="QDI1" s="243"/>
      <c r="QDJ1" s="243"/>
      <c r="QDK1" s="243"/>
      <c r="QDL1" s="243"/>
      <c r="QDM1" s="243"/>
      <c r="QDN1" s="243"/>
      <c r="QDO1" s="243"/>
      <c r="QDP1" s="243"/>
      <c r="QDQ1" s="243"/>
      <c r="QDR1" s="243"/>
      <c r="QDS1" s="243"/>
      <c r="QDT1" s="243"/>
      <c r="QDU1" s="243" t="s">
        <v>127</v>
      </c>
      <c r="QDV1" s="243"/>
      <c r="QDW1" s="243"/>
      <c r="QDX1" s="243"/>
      <c r="QDY1" s="243"/>
      <c r="QDZ1" s="243"/>
      <c r="QEA1" s="243"/>
      <c r="QEB1" s="243"/>
      <c r="QEC1" s="243"/>
      <c r="QED1" s="243"/>
      <c r="QEE1" s="243"/>
      <c r="QEF1" s="243"/>
      <c r="QEG1" s="243"/>
      <c r="QEH1" s="243"/>
      <c r="QEI1" s="243"/>
      <c r="QEJ1" s="243"/>
      <c r="QEK1" s="243" t="s">
        <v>127</v>
      </c>
      <c r="QEL1" s="243"/>
      <c r="QEM1" s="243"/>
      <c r="QEN1" s="243"/>
      <c r="QEO1" s="243"/>
      <c r="QEP1" s="243"/>
      <c r="QEQ1" s="243"/>
      <c r="QER1" s="243"/>
      <c r="QES1" s="243"/>
      <c r="QET1" s="243"/>
      <c r="QEU1" s="243"/>
      <c r="QEV1" s="243"/>
      <c r="QEW1" s="243"/>
      <c r="QEX1" s="243"/>
      <c r="QEY1" s="243"/>
      <c r="QEZ1" s="243"/>
      <c r="QFA1" s="243" t="s">
        <v>127</v>
      </c>
      <c r="QFB1" s="243"/>
      <c r="QFC1" s="243"/>
      <c r="QFD1" s="243"/>
      <c r="QFE1" s="243"/>
      <c r="QFF1" s="243"/>
      <c r="QFG1" s="243"/>
      <c r="QFH1" s="243"/>
      <c r="QFI1" s="243"/>
      <c r="QFJ1" s="243"/>
      <c r="QFK1" s="243"/>
      <c r="QFL1" s="243"/>
      <c r="QFM1" s="243"/>
      <c r="QFN1" s="243"/>
      <c r="QFO1" s="243"/>
      <c r="QFP1" s="243"/>
      <c r="QFQ1" s="243" t="s">
        <v>127</v>
      </c>
      <c r="QFR1" s="243"/>
      <c r="QFS1" s="243"/>
      <c r="QFT1" s="243"/>
      <c r="QFU1" s="243"/>
      <c r="QFV1" s="243"/>
      <c r="QFW1" s="243"/>
      <c r="QFX1" s="243"/>
      <c r="QFY1" s="243"/>
      <c r="QFZ1" s="243"/>
      <c r="QGA1" s="243"/>
      <c r="QGB1" s="243"/>
      <c r="QGC1" s="243"/>
      <c r="QGD1" s="243"/>
      <c r="QGE1" s="243"/>
      <c r="QGF1" s="243"/>
      <c r="QGG1" s="243" t="s">
        <v>127</v>
      </c>
      <c r="QGH1" s="243"/>
      <c r="QGI1" s="243"/>
      <c r="QGJ1" s="243"/>
      <c r="QGK1" s="243"/>
      <c r="QGL1" s="243"/>
      <c r="QGM1" s="243"/>
      <c r="QGN1" s="243"/>
      <c r="QGO1" s="243"/>
      <c r="QGP1" s="243"/>
      <c r="QGQ1" s="243"/>
      <c r="QGR1" s="243"/>
      <c r="QGS1" s="243"/>
      <c r="QGT1" s="243"/>
      <c r="QGU1" s="243"/>
      <c r="QGV1" s="243"/>
      <c r="QGW1" s="243" t="s">
        <v>127</v>
      </c>
      <c r="QGX1" s="243"/>
      <c r="QGY1" s="243"/>
      <c r="QGZ1" s="243"/>
      <c r="QHA1" s="243"/>
      <c r="QHB1" s="243"/>
      <c r="QHC1" s="243"/>
      <c r="QHD1" s="243"/>
      <c r="QHE1" s="243"/>
      <c r="QHF1" s="243"/>
      <c r="QHG1" s="243"/>
      <c r="QHH1" s="243"/>
      <c r="QHI1" s="243"/>
      <c r="QHJ1" s="243"/>
      <c r="QHK1" s="243"/>
      <c r="QHL1" s="243"/>
      <c r="QHM1" s="243" t="s">
        <v>127</v>
      </c>
      <c r="QHN1" s="243"/>
      <c r="QHO1" s="243"/>
      <c r="QHP1" s="243"/>
      <c r="QHQ1" s="243"/>
      <c r="QHR1" s="243"/>
      <c r="QHS1" s="243"/>
      <c r="QHT1" s="243"/>
      <c r="QHU1" s="243"/>
      <c r="QHV1" s="243"/>
      <c r="QHW1" s="243"/>
      <c r="QHX1" s="243"/>
      <c r="QHY1" s="243"/>
      <c r="QHZ1" s="243"/>
      <c r="QIA1" s="243"/>
      <c r="QIB1" s="243"/>
      <c r="QIC1" s="243" t="s">
        <v>127</v>
      </c>
      <c r="QID1" s="243"/>
      <c r="QIE1" s="243"/>
      <c r="QIF1" s="243"/>
      <c r="QIG1" s="243"/>
      <c r="QIH1" s="243"/>
      <c r="QII1" s="243"/>
      <c r="QIJ1" s="243"/>
      <c r="QIK1" s="243"/>
      <c r="QIL1" s="243"/>
      <c r="QIM1" s="243"/>
      <c r="QIN1" s="243"/>
      <c r="QIO1" s="243"/>
      <c r="QIP1" s="243"/>
      <c r="QIQ1" s="243"/>
      <c r="QIR1" s="243"/>
      <c r="QIS1" s="243" t="s">
        <v>127</v>
      </c>
      <c r="QIT1" s="243"/>
      <c r="QIU1" s="243"/>
      <c r="QIV1" s="243"/>
      <c r="QIW1" s="243"/>
      <c r="QIX1" s="243"/>
      <c r="QIY1" s="243"/>
      <c r="QIZ1" s="243"/>
      <c r="QJA1" s="243"/>
      <c r="QJB1" s="243"/>
      <c r="QJC1" s="243"/>
      <c r="QJD1" s="243"/>
      <c r="QJE1" s="243"/>
      <c r="QJF1" s="243"/>
      <c r="QJG1" s="243"/>
      <c r="QJH1" s="243"/>
      <c r="QJI1" s="243" t="s">
        <v>127</v>
      </c>
      <c r="QJJ1" s="243"/>
      <c r="QJK1" s="243"/>
      <c r="QJL1" s="243"/>
      <c r="QJM1" s="243"/>
      <c r="QJN1" s="243"/>
      <c r="QJO1" s="243"/>
      <c r="QJP1" s="243"/>
      <c r="QJQ1" s="243"/>
      <c r="QJR1" s="243"/>
      <c r="QJS1" s="243"/>
      <c r="QJT1" s="243"/>
      <c r="QJU1" s="243"/>
      <c r="QJV1" s="243"/>
      <c r="QJW1" s="243"/>
      <c r="QJX1" s="243"/>
      <c r="QJY1" s="243" t="s">
        <v>127</v>
      </c>
      <c r="QJZ1" s="243"/>
      <c r="QKA1" s="243"/>
      <c r="QKB1" s="243"/>
      <c r="QKC1" s="243"/>
      <c r="QKD1" s="243"/>
      <c r="QKE1" s="243"/>
      <c r="QKF1" s="243"/>
      <c r="QKG1" s="243"/>
      <c r="QKH1" s="243"/>
      <c r="QKI1" s="243"/>
      <c r="QKJ1" s="243"/>
      <c r="QKK1" s="243"/>
      <c r="QKL1" s="243"/>
      <c r="QKM1" s="243"/>
      <c r="QKN1" s="243"/>
      <c r="QKO1" s="243" t="s">
        <v>127</v>
      </c>
      <c r="QKP1" s="243"/>
      <c r="QKQ1" s="243"/>
      <c r="QKR1" s="243"/>
      <c r="QKS1" s="243"/>
      <c r="QKT1" s="243"/>
      <c r="QKU1" s="243"/>
      <c r="QKV1" s="243"/>
      <c r="QKW1" s="243"/>
      <c r="QKX1" s="243"/>
      <c r="QKY1" s="243"/>
      <c r="QKZ1" s="243"/>
      <c r="QLA1" s="243"/>
      <c r="QLB1" s="243"/>
      <c r="QLC1" s="243"/>
      <c r="QLD1" s="243"/>
      <c r="QLE1" s="243" t="s">
        <v>127</v>
      </c>
      <c r="QLF1" s="243"/>
      <c r="QLG1" s="243"/>
      <c r="QLH1" s="243"/>
      <c r="QLI1" s="243"/>
      <c r="QLJ1" s="243"/>
      <c r="QLK1" s="243"/>
      <c r="QLL1" s="243"/>
      <c r="QLM1" s="243"/>
      <c r="QLN1" s="243"/>
      <c r="QLO1" s="243"/>
      <c r="QLP1" s="243"/>
      <c r="QLQ1" s="243"/>
      <c r="QLR1" s="243"/>
      <c r="QLS1" s="243"/>
      <c r="QLT1" s="243"/>
      <c r="QLU1" s="243" t="s">
        <v>127</v>
      </c>
      <c r="QLV1" s="243"/>
      <c r="QLW1" s="243"/>
      <c r="QLX1" s="243"/>
      <c r="QLY1" s="243"/>
      <c r="QLZ1" s="243"/>
      <c r="QMA1" s="243"/>
      <c r="QMB1" s="243"/>
      <c r="QMC1" s="243"/>
      <c r="QMD1" s="243"/>
      <c r="QME1" s="243"/>
      <c r="QMF1" s="243"/>
      <c r="QMG1" s="243"/>
      <c r="QMH1" s="243"/>
      <c r="QMI1" s="243"/>
      <c r="QMJ1" s="243"/>
      <c r="QMK1" s="243" t="s">
        <v>127</v>
      </c>
      <c r="QML1" s="243"/>
      <c r="QMM1" s="243"/>
      <c r="QMN1" s="243"/>
      <c r="QMO1" s="243"/>
      <c r="QMP1" s="243"/>
      <c r="QMQ1" s="243"/>
      <c r="QMR1" s="243"/>
      <c r="QMS1" s="243"/>
      <c r="QMT1" s="243"/>
      <c r="QMU1" s="243"/>
      <c r="QMV1" s="243"/>
      <c r="QMW1" s="243"/>
      <c r="QMX1" s="243"/>
      <c r="QMY1" s="243"/>
      <c r="QMZ1" s="243"/>
      <c r="QNA1" s="243" t="s">
        <v>127</v>
      </c>
      <c r="QNB1" s="243"/>
      <c r="QNC1" s="243"/>
      <c r="QND1" s="243"/>
      <c r="QNE1" s="243"/>
      <c r="QNF1" s="243"/>
      <c r="QNG1" s="243"/>
      <c r="QNH1" s="243"/>
      <c r="QNI1" s="243"/>
      <c r="QNJ1" s="243"/>
      <c r="QNK1" s="243"/>
      <c r="QNL1" s="243"/>
      <c r="QNM1" s="243"/>
      <c r="QNN1" s="243"/>
      <c r="QNO1" s="243"/>
      <c r="QNP1" s="243"/>
      <c r="QNQ1" s="243" t="s">
        <v>127</v>
      </c>
      <c r="QNR1" s="243"/>
      <c r="QNS1" s="243"/>
      <c r="QNT1" s="243"/>
      <c r="QNU1" s="243"/>
      <c r="QNV1" s="243"/>
      <c r="QNW1" s="243"/>
      <c r="QNX1" s="243"/>
      <c r="QNY1" s="243"/>
      <c r="QNZ1" s="243"/>
      <c r="QOA1" s="243"/>
      <c r="QOB1" s="243"/>
      <c r="QOC1" s="243"/>
      <c r="QOD1" s="243"/>
      <c r="QOE1" s="243"/>
      <c r="QOF1" s="243"/>
      <c r="QOG1" s="243" t="s">
        <v>127</v>
      </c>
      <c r="QOH1" s="243"/>
      <c r="QOI1" s="243"/>
      <c r="QOJ1" s="243"/>
      <c r="QOK1" s="243"/>
      <c r="QOL1" s="243"/>
      <c r="QOM1" s="243"/>
      <c r="QON1" s="243"/>
      <c r="QOO1" s="243"/>
      <c r="QOP1" s="243"/>
      <c r="QOQ1" s="243"/>
      <c r="QOR1" s="243"/>
      <c r="QOS1" s="243"/>
      <c r="QOT1" s="243"/>
      <c r="QOU1" s="243"/>
      <c r="QOV1" s="243"/>
      <c r="QOW1" s="243" t="s">
        <v>127</v>
      </c>
      <c r="QOX1" s="243"/>
      <c r="QOY1" s="243"/>
      <c r="QOZ1" s="243"/>
      <c r="QPA1" s="243"/>
      <c r="QPB1" s="243"/>
      <c r="QPC1" s="243"/>
      <c r="QPD1" s="243"/>
      <c r="QPE1" s="243"/>
      <c r="QPF1" s="243"/>
      <c r="QPG1" s="243"/>
      <c r="QPH1" s="243"/>
      <c r="QPI1" s="243"/>
      <c r="QPJ1" s="243"/>
      <c r="QPK1" s="243"/>
      <c r="QPL1" s="243"/>
      <c r="QPM1" s="243" t="s">
        <v>127</v>
      </c>
      <c r="QPN1" s="243"/>
      <c r="QPO1" s="243"/>
      <c r="QPP1" s="243"/>
      <c r="QPQ1" s="243"/>
      <c r="QPR1" s="243"/>
      <c r="QPS1" s="243"/>
      <c r="QPT1" s="243"/>
      <c r="QPU1" s="243"/>
      <c r="QPV1" s="243"/>
      <c r="QPW1" s="243"/>
      <c r="QPX1" s="243"/>
      <c r="QPY1" s="243"/>
      <c r="QPZ1" s="243"/>
      <c r="QQA1" s="243"/>
      <c r="QQB1" s="243"/>
      <c r="QQC1" s="243" t="s">
        <v>127</v>
      </c>
      <c r="QQD1" s="243"/>
      <c r="QQE1" s="243"/>
      <c r="QQF1" s="243"/>
      <c r="QQG1" s="243"/>
      <c r="QQH1" s="243"/>
      <c r="QQI1" s="243"/>
      <c r="QQJ1" s="243"/>
      <c r="QQK1" s="243"/>
      <c r="QQL1" s="243"/>
      <c r="QQM1" s="243"/>
      <c r="QQN1" s="243"/>
      <c r="QQO1" s="243"/>
      <c r="QQP1" s="243"/>
      <c r="QQQ1" s="243"/>
      <c r="QQR1" s="243"/>
      <c r="QQS1" s="243" t="s">
        <v>127</v>
      </c>
      <c r="QQT1" s="243"/>
      <c r="QQU1" s="243"/>
      <c r="QQV1" s="243"/>
      <c r="QQW1" s="243"/>
      <c r="QQX1" s="243"/>
      <c r="QQY1" s="243"/>
      <c r="QQZ1" s="243"/>
      <c r="QRA1" s="243"/>
      <c r="QRB1" s="243"/>
      <c r="QRC1" s="243"/>
      <c r="QRD1" s="243"/>
      <c r="QRE1" s="243"/>
      <c r="QRF1" s="243"/>
      <c r="QRG1" s="243"/>
      <c r="QRH1" s="243"/>
      <c r="QRI1" s="243" t="s">
        <v>127</v>
      </c>
      <c r="QRJ1" s="243"/>
      <c r="QRK1" s="243"/>
      <c r="QRL1" s="243"/>
      <c r="QRM1" s="243"/>
      <c r="QRN1" s="243"/>
      <c r="QRO1" s="243"/>
      <c r="QRP1" s="243"/>
      <c r="QRQ1" s="243"/>
      <c r="QRR1" s="243"/>
      <c r="QRS1" s="243"/>
      <c r="QRT1" s="243"/>
      <c r="QRU1" s="243"/>
      <c r="QRV1" s="243"/>
      <c r="QRW1" s="243"/>
      <c r="QRX1" s="243"/>
      <c r="QRY1" s="243" t="s">
        <v>127</v>
      </c>
      <c r="QRZ1" s="243"/>
      <c r="QSA1" s="243"/>
      <c r="QSB1" s="243"/>
      <c r="QSC1" s="243"/>
      <c r="QSD1" s="243"/>
      <c r="QSE1" s="243"/>
      <c r="QSF1" s="243"/>
      <c r="QSG1" s="243"/>
      <c r="QSH1" s="243"/>
      <c r="QSI1" s="243"/>
      <c r="QSJ1" s="243"/>
      <c r="QSK1" s="243"/>
      <c r="QSL1" s="243"/>
      <c r="QSM1" s="243"/>
      <c r="QSN1" s="243"/>
      <c r="QSO1" s="243" t="s">
        <v>127</v>
      </c>
      <c r="QSP1" s="243"/>
      <c r="QSQ1" s="243"/>
      <c r="QSR1" s="243"/>
      <c r="QSS1" s="243"/>
      <c r="QST1" s="243"/>
      <c r="QSU1" s="243"/>
      <c r="QSV1" s="243"/>
      <c r="QSW1" s="243"/>
      <c r="QSX1" s="243"/>
      <c r="QSY1" s="243"/>
      <c r="QSZ1" s="243"/>
      <c r="QTA1" s="243"/>
      <c r="QTB1" s="243"/>
      <c r="QTC1" s="243"/>
      <c r="QTD1" s="243"/>
      <c r="QTE1" s="243" t="s">
        <v>127</v>
      </c>
      <c r="QTF1" s="243"/>
      <c r="QTG1" s="243"/>
      <c r="QTH1" s="243"/>
      <c r="QTI1" s="243"/>
      <c r="QTJ1" s="243"/>
      <c r="QTK1" s="243"/>
      <c r="QTL1" s="243"/>
      <c r="QTM1" s="243"/>
      <c r="QTN1" s="243"/>
      <c r="QTO1" s="243"/>
      <c r="QTP1" s="243"/>
      <c r="QTQ1" s="243"/>
      <c r="QTR1" s="243"/>
      <c r="QTS1" s="243"/>
      <c r="QTT1" s="243"/>
      <c r="QTU1" s="243" t="s">
        <v>127</v>
      </c>
      <c r="QTV1" s="243"/>
      <c r="QTW1" s="243"/>
      <c r="QTX1" s="243"/>
      <c r="QTY1" s="243"/>
      <c r="QTZ1" s="243"/>
      <c r="QUA1" s="243"/>
      <c r="QUB1" s="243"/>
      <c r="QUC1" s="243"/>
      <c r="QUD1" s="243"/>
      <c r="QUE1" s="243"/>
      <c r="QUF1" s="243"/>
      <c r="QUG1" s="243"/>
      <c r="QUH1" s="243"/>
      <c r="QUI1" s="243"/>
      <c r="QUJ1" s="243"/>
      <c r="QUK1" s="243" t="s">
        <v>127</v>
      </c>
      <c r="QUL1" s="243"/>
      <c r="QUM1" s="243"/>
      <c r="QUN1" s="243"/>
      <c r="QUO1" s="243"/>
      <c r="QUP1" s="243"/>
      <c r="QUQ1" s="243"/>
      <c r="QUR1" s="243"/>
      <c r="QUS1" s="243"/>
      <c r="QUT1" s="243"/>
      <c r="QUU1" s="243"/>
      <c r="QUV1" s="243"/>
      <c r="QUW1" s="243"/>
      <c r="QUX1" s="243"/>
      <c r="QUY1" s="243"/>
      <c r="QUZ1" s="243"/>
      <c r="QVA1" s="243" t="s">
        <v>127</v>
      </c>
      <c r="QVB1" s="243"/>
      <c r="QVC1" s="243"/>
      <c r="QVD1" s="243"/>
      <c r="QVE1" s="243"/>
      <c r="QVF1" s="243"/>
      <c r="QVG1" s="243"/>
      <c r="QVH1" s="243"/>
      <c r="QVI1" s="243"/>
      <c r="QVJ1" s="243"/>
      <c r="QVK1" s="243"/>
      <c r="QVL1" s="243"/>
      <c r="QVM1" s="243"/>
      <c r="QVN1" s="243"/>
      <c r="QVO1" s="243"/>
      <c r="QVP1" s="243"/>
      <c r="QVQ1" s="243" t="s">
        <v>127</v>
      </c>
      <c r="QVR1" s="243"/>
      <c r="QVS1" s="243"/>
      <c r="QVT1" s="243"/>
      <c r="QVU1" s="243"/>
      <c r="QVV1" s="243"/>
      <c r="QVW1" s="243"/>
      <c r="QVX1" s="243"/>
      <c r="QVY1" s="243"/>
      <c r="QVZ1" s="243"/>
      <c r="QWA1" s="243"/>
      <c r="QWB1" s="243"/>
      <c r="QWC1" s="243"/>
      <c r="QWD1" s="243"/>
      <c r="QWE1" s="243"/>
      <c r="QWF1" s="243"/>
      <c r="QWG1" s="243" t="s">
        <v>127</v>
      </c>
      <c r="QWH1" s="243"/>
      <c r="QWI1" s="243"/>
      <c r="QWJ1" s="243"/>
      <c r="QWK1" s="243"/>
      <c r="QWL1" s="243"/>
      <c r="QWM1" s="243"/>
      <c r="QWN1" s="243"/>
      <c r="QWO1" s="243"/>
      <c r="QWP1" s="243"/>
      <c r="QWQ1" s="243"/>
      <c r="QWR1" s="243"/>
      <c r="QWS1" s="243"/>
      <c r="QWT1" s="243"/>
      <c r="QWU1" s="243"/>
      <c r="QWV1" s="243"/>
      <c r="QWW1" s="243" t="s">
        <v>127</v>
      </c>
      <c r="QWX1" s="243"/>
      <c r="QWY1" s="243"/>
      <c r="QWZ1" s="243"/>
      <c r="QXA1" s="243"/>
      <c r="QXB1" s="243"/>
      <c r="QXC1" s="243"/>
      <c r="QXD1" s="243"/>
      <c r="QXE1" s="243"/>
      <c r="QXF1" s="243"/>
      <c r="QXG1" s="243"/>
      <c r="QXH1" s="243"/>
      <c r="QXI1" s="243"/>
      <c r="QXJ1" s="243"/>
      <c r="QXK1" s="243"/>
      <c r="QXL1" s="243"/>
      <c r="QXM1" s="243" t="s">
        <v>127</v>
      </c>
      <c r="QXN1" s="243"/>
      <c r="QXO1" s="243"/>
      <c r="QXP1" s="243"/>
      <c r="QXQ1" s="243"/>
      <c r="QXR1" s="243"/>
      <c r="QXS1" s="243"/>
      <c r="QXT1" s="243"/>
      <c r="QXU1" s="243"/>
      <c r="QXV1" s="243"/>
      <c r="QXW1" s="243"/>
      <c r="QXX1" s="243"/>
      <c r="QXY1" s="243"/>
      <c r="QXZ1" s="243"/>
      <c r="QYA1" s="243"/>
      <c r="QYB1" s="243"/>
      <c r="QYC1" s="243" t="s">
        <v>127</v>
      </c>
      <c r="QYD1" s="243"/>
      <c r="QYE1" s="243"/>
      <c r="QYF1" s="243"/>
      <c r="QYG1" s="243"/>
      <c r="QYH1" s="243"/>
      <c r="QYI1" s="243"/>
      <c r="QYJ1" s="243"/>
      <c r="QYK1" s="243"/>
      <c r="QYL1" s="243"/>
      <c r="QYM1" s="243"/>
      <c r="QYN1" s="243"/>
      <c r="QYO1" s="243"/>
      <c r="QYP1" s="243"/>
      <c r="QYQ1" s="243"/>
      <c r="QYR1" s="243"/>
      <c r="QYS1" s="243" t="s">
        <v>127</v>
      </c>
      <c r="QYT1" s="243"/>
      <c r="QYU1" s="243"/>
      <c r="QYV1" s="243"/>
      <c r="QYW1" s="243"/>
      <c r="QYX1" s="243"/>
      <c r="QYY1" s="243"/>
      <c r="QYZ1" s="243"/>
      <c r="QZA1" s="243"/>
      <c r="QZB1" s="243"/>
      <c r="QZC1" s="243"/>
      <c r="QZD1" s="243"/>
      <c r="QZE1" s="243"/>
      <c r="QZF1" s="243"/>
      <c r="QZG1" s="243"/>
      <c r="QZH1" s="243"/>
      <c r="QZI1" s="243" t="s">
        <v>127</v>
      </c>
      <c r="QZJ1" s="243"/>
      <c r="QZK1" s="243"/>
      <c r="QZL1" s="243"/>
      <c r="QZM1" s="243"/>
      <c r="QZN1" s="243"/>
      <c r="QZO1" s="243"/>
      <c r="QZP1" s="243"/>
      <c r="QZQ1" s="243"/>
      <c r="QZR1" s="243"/>
      <c r="QZS1" s="243"/>
      <c r="QZT1" s="243"/>
      <c r="QZU1" s="243"/>
      <c r="QZV1" s="243"/>
      <c r="QZW1" s="243"/>
      <c r="QZX1" s="243"/>
      <c r="QZY1" s="243" t="s">
        <v>127</v>
      </c>
      <c r="QZZ1" s="243"/>
      <c r="RAA1" s="243"/>
      <c r="RAB1" s="243"/>
      <c r="RAC1" s="243"/>
      <c r="RAD1" s="243"/>
      <c r="RAE1" s="243"/>
      <c r="RAF1" s="243"/>
      <c r="RAG1" s="243"/>
      <c r="RAH1" s="243"/>
      <c r="RAI1" s="243"/>
      <c r="RAJ1" s="243"/>
      <c r="RAK1" s="243"/>
      <c r="RAL1" s="243"/>
      <c r="RAM1" s="243"/>
      <c r="RAN1" s="243"/>
      <c r="RAO1" s="243" t="s">
        <v>127</v>
      </c>
      <c r="RAP1" s="243"/>
      <c r="RAQ1" s="243"/>
      <c r="RAR1" s="243"/>
      <c r="RAS1" s="243"/>
      <c r="RAT1" s="243"/>
      <c r="RAU1" s="243"/>
      <c r="RAV1" s="243"/>
      <c r="RAW1" s="243"/>
      <c r="RAX1" s="243"/>
      <c r="RAY1" s="243"/>
      <c r="RAZ1" s="243"/>
      <c r="RBA1" s="243"/>
      <c r="RBB1" s="243"/>
      <c r="RBC1" s="243"/>
      <c r="RBD1" s="243"/>
      <c r="RBE1" s="243" t="s">
        <v>127</v>
      </c>
      <c r="RBF1" s="243"/>
      <c r="RBG1" s="243"/>
      <c r="RBH1" s="243"/>
      <c r="RBI1" s="243"/>
      <c r="RBJ1" s="243"/>
      <c r="RBK1" s="243"/>
      <c r="RBL1" s="243"/>
      <c r="RBM1" s="243"/>
      <c r="RBN1" s="243"/>
      <c r="RBO1" s="243"/>
      <c r="RBP1" s="243"/>
      <c r="RBQ1" s="243"/>
      <c r="RBR1" s="243"/>
      <c r="RBS1" s="243"/>
      <c r="RBT1" s="243"/>
      <c r="RBU1" s="243" t="s">
        <v>127</v>
      </c>
      <c r="RBV1" s="243"/>
      <c r="RBW1" s="243"/>
      <c r="RBX1" s="243"/>
      <c r="RBY1" s="243"/>
      <c r="RBZ1" s="243"/>
      <c r="RCA1" s="243"/>
      <c r="RCB1" s="243"/>
      <c r="RCC1" s="243"/>
      <c r="RCD1" s="243"/>
      <c r="RCE1" s="243"/>
      <c r="RCF1" s="243"/>
      <c r="RCG1" s="243"/>
      <c r="RCH1" s="243"/>
      <c r="RCI1" s="243"/>
      <c r="RCJ1" s="243"/>
      <c r="RCK1" s="243" t="s">
        <v>127</v>
      </c>
      <c r="RCL1" s="243"/>
      <c r="RCM1" s="243"/>
      <c r="RCN1" s="243"/>
      <c r="RCO1" s="243"/>
      <c r="RCP1" s="243"/>
      <c r="RCQ1" s="243"/>
      <c r="RCR1" s="243"/>
      <c r="RCS1" s="243"/>
      <c r="RCT1" s="243"/>
      <c r="RCU1" s="243"/>
      <c r="RCV1" s="243"/>
      <c r="RCW1" s="243"/>
      <c r="RCX1" s="243"/>
      <c r="RCY1" s="243"/>
      <c r="RCZ1" s="243"/>
      <c r="RDA1" s="243" t="s">
        <v>127</v>
      </c>
      <c r="RDB1" s="243"/>
      <c r="RDC1" s="243"/>
      <c r="RDD1" s="243"/>
      <c r="RDE1" s="243"/>
      <c r="RDF1" s="243"/>
      <c r="RDG1" s="243"/>
      <c r="RDH1" s="243"/>
      <c r="RDI1" s="243"/>
      <c r="RDJ1" s="243"/>
      <c r="RDK1" s="243"/>
      <c r="RDL1" s="243"/>
      <c r="RDM1" s="243"/>
      <c r="RDN1" s="243"/>
      <c r="RDO1" s="243"/>
      <c r="RDP1" s="243"/>
      <c r="RDQ1" s="243" t="s">
        <v>127</v>
      </c>
      <c r="RDR1" s="243"/>
      <c r="RDS1" s="243"/>
      <c r="RDT1" s="243"/>
      <c r="RDU1" s="243"/>
      <c r="RDV1" s="243"/>
      <c r="RDW1" s="243"/>
      <c r="RDX1" s="243"/>
      <c r="RDY1" s="243"/>
      <c r="RDZ1" s="243"/>
      <c r="REA1" s="243"/>
      <c r="REB1" s="243"/>
      <c r="REC1" s="243"/>
      <c r="RED1" s="243"/>
      <c r="REE1" s="243"/>
      <c r="REF1" s="243"/>
      <c r="REG1" s="243" t="s">
        <v>127</v>
      </c>
      <c r="REH1" s="243"/>
      <c r="REI1" s="243"/>
      <c r="REJ1" s="243"/>
      <c r="REK1" s="243"/>
      <c r="REL1" s="243"/>
      <c r="REM1" s="243"/>
      <c r="REN1" s="243"/>
      <c r="REO1" s="243"/>
      <c r="REP1" s="243"/>
      <c r="REQ1" s="243"/>
      <c r="RER1" s="243"/>
      <c r="RES1" s="243"/>
      <c r="RET1" s="243"/>
      <c r="REU1" s="243"/>
      <c r="REV1" s="243"/>
      <c r="REW1" s="243" t="s">
        <v>127</v>
      </c>
      <c r="REX1" s="243"/>
      <c r="REY1" s="243"/>
      <c r="REZ1" s="243"/>
      <c r="RFA1" s="243"/>
      <c r="RFB1" s="243"/>
      <c r="RFC1" s="243"/>
      <c r="RFD1" s="243"/>
      <c r="RFE1" s="243"/>
      <c r="RFF1" s="243"/>
      <c r="RFG1" s="243"/>
      <c r="RFH1" s="243"/>
      <c r="RFI1" s="243"/>
      <c r="RFJ1" s="243"/>
      <c r="RFK1" s="243"/>
      <c r="RFL1" s="243"/>
      <c r="RFM1" s="243" t="s">
        <v>127</v>
      </c>
      <c r="RFN1" s="243"/>
      <c r="RFO1" s="243"/>
      <c r="RFP1" s="243"/>
      <c r="RFQ1" s="243"/>
      <c r="RFR1" s="243"/>
      <c r="RFS1" s="243"/>
      <c r="RFT1" s="243"/>
      <c r="RFU1" s="243"/>
      <c r="RFV1" s="243"/>
      <c r="RFW1" s="243"/>
      <c r="RFX1" s="243"/>
      <c r="RFY1" s="243"/>
      <c r="RFZ1" s="243"/>
      <c r="RGA1" s="243"/>
      <c r="RGB1" s="243"/>
      <c r="RGC1" s="243" t="s">
        <v>127</v>
      </c>
      <c r="RGD1" s="243"/>
      <c r="RGE1" s="243"/>
      <c r="RGF1" s="243"/>
      <c r="RGG1" s="243"/>
      <c r="RGH1" s="243"/>
      <c r="RGI1" s="243"/>
      <c r="RGJ1" s="243"/>
      <c r="RGK1" s="243"/>
      <c r="RGL1" s="243"/>
      <c r="RGM1" s="243"/>
      <c r="RGN1" s="243"/>
      <c r="RGO1" s="243"/>
      <c r="RGP1" s="243"/>
      <c r="RGQ1" s="243"/>
      <c r="RGR1" s="243"/>
      <c r="RGS1" s="243" t="s">
        <v>127</v>
      </c>
      <c r="RGT1" s="243"/>
      <c r="RGU1" s="243"/>
      <c r="RGV1" s="243"/>
      <c r="RGW1" s="243"/>
      <c r="RGX1" s="243"/>
      <c r="RGY1" s="243"/>
      <c r="RGZ1" s="243"/>
      <c r="RHA1" s="243"/>
      <c r="RHB1" s="243"/>
      <c r="RHC1" s="243"/>
      <c r="RHD1" s="243"/>
      <c r="RHE1" s="243"/>
      <c r="RHF1" s="243"/>
      <c r="RHG1" s="243"/>
      <c r="RHH1" s="243"/>
      <c r="RHI1" s="243" t="s">
        <v>127</v>
      </c>
      <c r="RHJ1" s="243"/>
      <c r="RHK1" s="243"/>
      <c r="RHL1" s="243"/>
      <c r="RHM1" s="243"/>
      <c r="RHN1" s="243"/>
      <c r="RHO1" s="243"/>
      <c r="RHP1" s="243"/>
      <c r="RHQ1" s="243"/>
      <c r="RHR1" s="243"/>
      <c r="RHS1" s="243"/>
      <c r="RHT1" s="243"/>
      <c r="RHU1" s="243"/>
      <c r="RHV1" s="243"/>
      <c r="RHW1" s="243"/>
      <c r="RHX1" s="243"/>
      <c r="RHY1" s="243" t="s">
        <v>127</v>
      </c>
      <c r="RHZ1" s="243"/>
      <c r="RIA1" s="243"/>
      <c r="RIB1" s="243"/>
      <c r="RIC1" s="243"/>
      <c r="RID1" s="243"/>
      <c r="RIE1" s="243"/>
      <c r="RIF1" s="243"/>
      <c r="RIG1" s="243"/>
      <c r="RIH1" s="243"/>
      <c r="RII1" s="243"/>
      <c r="RIJ1" s="243"/>
      <c r="RIK1" s="243"/>
      <c r="RIL1" s="243"/>
      <c r="RIM1" s="243"/>
      <c r="RIN1" s="243"/>
      <c r="RIO1" s="243" t="s">
        <v>127</v>
      </c>
      <c r="RIP1" s="243"/>
      <c r="RIQ1" s="243"/>
      <c r="RIR1" s="243"/>
      <c r="RIS1" s="243"/>
      <c r="RIT1" s="243"/>
      <c r="RIU1" s="243"/>
      <c r="RIV1" s="243"/>
      <c r="RIW1" s="243"/>
      <c r="RIX1" s="243"/>
      <c r="RIY1" s="243"/>
      <c r="RIZ1" s="243"/>
      <c r="RJA1" s="243"/>
      <c r="RJB1" s="243"/>
      <c r="RJC1" s="243"/>
      <c r="RJD1" s="243"/>
      <c r="RJE1" s="243" t="s">
        <v>127</v>
      </c>
      <c r="RJF1" s="243"/>
      <c r="RJG1" s="243"/>
      <c r="RJH1" s="243"/>
      <c r="RJI1" s="243"/>
      <c r="RJJ1" s="243"/>
      <c r="RJK1" s="243"/>
      <c r="RJL1" s="243"/>
      <c r="RJM1" s="243"/>
      <c r="RJN1" s="243"/>
      <c r="RJO1" s="243"/>
      <c r="RJP1" s="243"/>
      <c r="RJQ1" s="243"/>
      <c r="RJR1" s="243"/>
      <c r="RJS1" s="243"/>
      <c r="RJT1" s="243"/>
      <c r="RJU1" s="243" t="s">
        <v>127</v>
      </c>
      <c r="RJV1" s="243"/>
      <c r="RJW1" s="243"/>
      <c r="RJX1" s="243"/>
      <c r="RJY1" s="243"/>
      <c r="RJZ1" s="243"/>
      <c r="RKA1" s="243"/>
      <c r="RKB1" s="243"/>
      <c r="RKC1" s="243"/>
      <c r="RKD1" s="243"/>
      <c r="RKE1" s="243"/>
      <c r="RKF1" s="243"/>
      <c r="RKG1" s="243"/>
      <c r="RKH1" s="243"/>
      <c r="RKI1" s="243"/>
      <c r="RKJ1" s="243"/>
      <c r="RKK1" s="243" t="s">
        <v>127</v>
      </c>
      <c r="RKL1" s="243"/>
      <c r="RKM1" s="243"/>
      <c r="RKN1" s="243"/>
      <c r="RKO1" s="243"/>
      <c r="RKP1" s="243"/>
      <c r="RKQ1" s="243"/>
      <c r="RKR1" s="243"/>
      <c r="RKS1" s="243"/>
      <c r="RKT1" s="243"/>
      <c r="RKU1" s="243"/>
      <c r="RKV1" s="243"/>
      <c r="RKW1" s="243"/>
      <c r="RKX1" s="243"/>
      <c r="RKY1" s="243"/>
      <c r="RKZ1" s="243"/>
      <c r="RLA1" s="243" t="s">
        <v>127</v>
      </c>
      <c r="RLB1" s="243"/>
      <c r="RLC1" s="243"/>
      <c r="RLD1" s="243"/>
      <c r="RLE1" s="243"/>
      <c r="RLF1" s="243"/>
      <c r="RLG1" s="243"/>
      <c r="RLH1" s="243"/>
      <c r="RLI1" s="243"/>
      <c r="RLJ1" s="243"/>
      <c r="RLK1" s="243"/>
      <c r="RLL1" s="243"/>
      <c r="RLM1" s="243"/>
      <c r="RLN1" s="243"/>
      <c r="RLO1" s="243"/>
      <c r="RLP1" s="243"/>
      <c r="RLQ1" s="243" t="s">
        <v>127</v>
      </c>
      <c r="RLR1" s="243"/>
      <c r="RLS1" s="243"/>
      <c r="RLT1" s="243"/>
      <c r="RLU1" s="243"/>
      <c r="RLV1" s="243"/>
      <c r="RLW1" s="243"/>
      <c r="RLX1" s="243"/>
      <c r="RLY1" s="243"/>
      <c r="RLZ1" s="243"/>
      <c r="RMA1" s="243"/>
      <c r="RMB1" s="243"/>
      <c r="RMC1" s="243"/>
      <c r="RMD1" s="243"/>
      <c r="RME1" s="243"/>
      <c r="RMF1" s="243"/>
      <c r="RMG1" s="243" t="s">
        <v>127</v>
      </c>
      <c r="RMH1" s="243"/>
      <c r="RMI1" s="243"/>
      <c r="RMJ1" s="243"/>
      <c r="RMK1" s="243"/>
      <c r="RML1" s="243"/>
      <c r="RMM1" s="243"/>
      <c r="RMN1" s="243"/>
      <c r="RMO1" s="243"/>
      <c r="RMP1" s="243"/>
      <c r="RMQ1" s="243"/>
      <c r="RMR1" s="243"/>
      <c r="RMS1" s="243"/>
      <c r="RMT1" s="243"/>
      <c r="RMU1" s="243"/>
      <c r="RMV1" s="243"/>
      <c r="RMW1" s="243" t="s">
        <v>127</v>
      </c>
      <c r="RMX1" s="243"/>
      <c r="RMY1" s="243"/>
      <c r="RMZ1" s="243"/>
      <c r="RNA1" s="243"/>
      <c r="RNB1" s="243"/>
      <c r="RNC1" s="243"/>
      <c r="RND1" s="243"/>
      <c r="RNE1" s="243"/>
      <c r="RNF1" s="243"/>
      <c r="RNG1" s="243"/>
      <c r="RNH1" s="243"/>
      <c r="RNI1" s="243"/>
      <c r="RNJ1" s="243"/>
      <c r="RNK1" s="243"/>
      <c r="RNL1" s="243"/>
      <c r="RNM1" s="243" t="s">
        <v>127</v>
      </c>
      <c r="RNN1" s="243"/>
      <c r="RNO1" s="243"/>
      <c r="RNP1" s="243"/>
      <c r="RNQ1" s="243"/>
      <c r="RNR1" s="243"/>
      <c r="RNS1" s="243"/>
      <c r="RNT1" s="243"/>
      <c r="RNU1" s="243"/>
      <c r="RNV1" s="243"/>
      <c r="RNW1" s="243"/>
      <c r="RNX1" s="243"/>
      <c r="RNY1" s="243"/>
      <c r="RNZ1" s="243"/>
      <c r="ROA1" s="243"/>
      <c r="ROB1" s="243"/>
      <c r="ROC1" s="243" t="s">
        <v>127</v>
      </c>
      <c r="ROD1" s="243"/>
      <c r="ROE1" s="243"/>
      <c r="ROF1" s="243"/>
      <c r="ROG1" s="243"/>
      <c r="ROH1" s="243"/>
      <c r="ROI1" s="243"/>
      <c r="ROJ1" s="243"/>
      <c r="ROK1" s="243"/>
      <c r="ROL1" s="243"/>
      <c r="ROM1" s="243"/>
      <c r="RON1" s="243"/>
      <c r="ROO1" s="243"/>
      <c r="ROP1" s="243"/>
      <c r="ROQ1" s="243"/>
      <c r="ROR1" s="243"/>
      <c r="ROS1" s="243" t="s">
        <v>127</v>
      </c>
      <c r="ROT1" s="243"/>
      <c r="ROU1" s="243"/>
      <c r="ROV1" s="243"/>
      <c r="ROW1" s="243"/>
      <c r="ROX1" s="243"/>
      <c r="ROY1" s="243"/>
      <c r="ROZ1" s="243"/>
      <c r="RPA1" s="243"/>
      <c r="RPB1" s="243"/>
      <c r="RPC1" s="243"/>
      <c r="RPD1" s="243"/>
      <c r="RPE1" s="243"/>
      <c r="RPF1" s="243"/>
      <c r="RPG1" s="243"/>
      <c r="RPH1" s="243"/>
      <c r="RPI1" s="243" t="s">
        <v>127</v>
      </c>
      <c r="RPJ1" s="243"/>
      <c r="RPK1" s="243"/>
      <c r="RPL1" s="243"/>
      <c r="RPM1" s="243"/>
      <c r="RPN1" s="243"/>
      <c r="RPO1" s="243"/>
      <c r="RPP1" s="243"/>
      <c r="RPQ1" s="243"/>
      <c r="RPR1" s="243"/>
      <c r="RPS1" s="243"/>
      <c r="RPT1" s="243"/>
      <c r="RPU1" s="243"/>
      <c r="RPV1" s="243"/>
      <c r="RPW1" s="243"/>
      <c r="RPX1" s="243"/>
      <c r="RPY1" s="243" t="s">
        <v>127</v>
      </c>
      <c r="RPZ1" s="243"/>
      <c r="RQA1" s="243"/>
      <c r="RQB1" s="243"/>
      <c r="RQC1" s="243"/>
      <c r="RQD1" s="243"/>
      <c r="RQE1" s="243"/>
      <c r="RQF1" s="243"/>
      <c r="RQG1" s="243"/>
      <c r="RQH1" s="243"/>
      <c r="RQI1" s="243"/>
      <c r="RQJ1" s="243"/>
      <c r="RQK1" s="243"/>
      <c r="RQL1" s="243"/>
      <c r="RQM1" s="243"/>
      <c r="RQN1" s="243"/>
      <c r="RQO1" s="243" t="s">
        <v>127</v>
      </c>
      <c r="RQP1" s="243"/>
      <c r="RQQ1" s="243"/>
      <c r="RQR1" s="243"/>
      <c r="RQS1" s="243"/>
      <c r="RQT1" s="243"/>
      <c r="RQU1" s="243"/>
      <c r="RQV1" s="243"/>
      <c r="RQW1" s="243"/>
      <c r="RQX1" s="243"/>
      <c r="RQY1" s="243"/>
      <c r="RQZ1" s="243"/>
      <c r="RRA1" s="243"/>
      <c r="RRB1" s="243"/>
      <c r="RRC1" s="243"/>
      <c r="RRD1" s="243"/>
      <c r="RRE1" s="243" t="s">
        <v>127</v>
      </c>
      <c r="RRF1" s="243"/>
      <c r="RRG1" s="243"/>
      <c r="RRH1" s="243"/>
      <c r="RRI1" s="243"/>
      <c r="RRJ1" s="243"/>
      <c r="RRK1" s="243"/>
      <c r="RRL1" s="243"/>
      <c r="RRM1" s="243"/>
      <c r="RRN1" s="243"/>
      <c r="RRO1" s="243"/>
      <c r="RRP1" s="243"/>
      <c r="RRQ1" s="243"/>
      <c r="RRR1" s="243"/>
      <c r="RRS1" s="243"/>
      <c r="RRT1" s="243"/>
      <c r="RRU1" s="243" t="s">
        <v>127</v>
      </c>
      <c r="RRV1" s="243"/>
      <c r="RRW1" s="243"/>
      <c r="RRX1" s="243"/>
      <c r="RRY1" s="243"/>
      <c r="RRZ1" s="243"/>
      <c r="RSA1" s="243"/>
      <c r="RSB1" s="243"/>
      <c r="RSC1" s="243"/>
      <c r="RSD1" s="243"/>
      <c r="RSE1" s="243"/>
      <c r="RSF1" s="243"/>
      <c r="RSG1" s="243"/>
      <c r="RSH1" s="243"/>
      <c r="RSI1" s="243"/>
      <c r="RSJ1" s="243"/>
      <c r="RSK1" s="243" t="s">
        <v>127</v>
      </c>
      <c r="RSL1" s="243"/>
      <c r="RSM1" s="243"/>
      <c r="RSN1" s="243"/>
      <c r="RSO1" s="243"/>
      <c r="RSP1" s="243"/>
      <c r="RSQ1" s="243"/>
      <c r="RSR1" s="243"/>
      <c r="RSS1" s="243"/>
      <c r="RST1" s="243"/>
      <c r="RSU1" s="243"/>
      <c r="RSV1" s="243"/>
      <c r="RSW1" s="243"/>
      <c r="RSX1" s="243"/>
      <c r="RSY1" s="243"/>
      <c r="RSZ1" s="243"/>
      <c r="RTA1" s="243" t="s">
        <v>127</v>
      </c>
      <c r="RTB1" s="243"/>
      <c r="RTC1" s="243"/>
      <c r="RTD1" s="243"/>
      <c r="RTE1" s="243"/>
      <c r="RTF1" s="243"/>
      <c r="RTG1" s="243"/>
      <c r="RTH1" s="243"/>
      <c r="RTI1" s="243"/>
      <c r="RTJ1" s="243"/>
      <c r="RTK1" s="243"/>
      <c r="RTL1" s="243"/>
      <c r="RTM1" s="243"/>
      <c r="RTN1" s="243"/>
      <c r="RTO1" s="243"/>
      <c r="RTP1" s="243"/>
      <c r="RTQ1" s="243" t="s">
        <v>127</v>
      </c>
      <c r="RTR1" s="243"/>
      <c r="RTS1" s="243"/>
      <c r="RTT1" s="243"/>
      <c r="RTU1" s="243"/>
      <c r="RTV1" s="243"/>
      <c r="RTW1" s="243"/>
      <c r="RTX1" s="243"/>
      <c r="RTY1" s="243"/>
      <c r="RTZ1" s="243"/>
      <c r="RUA1" s="243"/>
      <c r="RUB1" s="243"/>
      <c r="RUC1" s="243"/>
      <c r="RUD1" s="243"/>
      <c r="RUE1" s="243"/>
      <c r="RUF1" s="243"/>
      <c r="RUG1" s="243" t="s">
        <v>127</v>
      </c>
      <c r="RUH1" s="243"/>
      <c r="RUI1" s="243"/>
      <c r="RUJ1" s="243"/>
      <c r="RUK1" s="243"/>
      <c r="RUL1" s="243"/>
      <c r="RUM1" s="243"/>
      <c r="RUN1" s="243"/>
      <c r="RUO1" s="243"/>
      <c r="RUP1" s="243"/>
      <c r="RUQ1" s="243"/>
      <c r="RUR1" s="243"/>
      <c r="RUS1" s="243"/>
      <c r="RUT1" s="243"/>
      <c r="RUU1" s="243"/>
      <c r="RUV1" s="243"/>
      <c r="RUW1" s="243" t="s">
        <v>127</v>
      </c>
      <c r="RUX1" s="243"/>
      <c r="RUY1" s="243"/>
      <c r="RUZ1" s="243"/>
      <c r="RVA1" s="243"/>
      <c r="RVB1" s="243"/>
      <c r="RVC1" s="243"/>
      <c r="RVD1" s="243"/>
      <c r="RVE1" s="243"/>
      <c r="RVF1" s="243"/>
      <c r="RVG1" s="243"/>
      <c r="RVH1" s="243"/>
      <c r="RVI1" s="243"/>
      <c r="RVJ1" s="243"/>
      <c r="RVK1" s="243"/>
      <c r="RVL1" s="243"/>
      <c r="RVM1" s="243" t="s">
        <v>127</v>
      </c>
      <c r="RVN1" s="243"/>
      <c r="RVO1" s="243"/>
      <c r="RVP1" s="243"/>
      <c r="RVQ1" s="243"/>
      <c r="RVR1" s="243"/>
      <c r="RVS1" s="243"/>
      <c r="RVT1" s="243"/>
      <c r="RVU1" s="243"/>
      <c r="RVV1" s="243"/>
      <c r="RVW1" s="243"/>
      <c r="RVX1" s="243"/>
      <c r="RVY1" s="243"/>
      <c r="RVZ1" s="243"/>
      <c r="RWA1" s="243"/>
      <c r="RWB1" s="243"/>
      <c r="RWC1" s="243" t="s">
        <v>127</v>
      </c>
      <c r="RWD1" s="243"/>
      <c r="RWE1" s="243"/>
      <c r="RWF1" s="243"/>
      <c r="RWG1" s="243"/>
      <c r="RWH1" s="243"/>
      <c r="RWI1" s="243"/>
      <c r="RWJ1" s="243"/>
      <c r="RWK1" s="243"/>
      <c r="RWL1" s="243"/>
      <c r="RWM1" s="243"/>
      <c r="RWN1" s="243"/>
      <c r="RWO1" s="243"/>
      <c r="RWP1" s="243"/>
      <c r="RWQ1" s="243"/>
      <c r="RWR1" s="243"/>
      <c r="RWS1" s="243" t="s">
        <v>127</v>
      </c>
      <c r="RWT1" s="243"/>
      <c r="RWU1" s="243"/>
      <c r="RWV1" s="243"/>
      <c r="RWW1" s="243"/>
      <c r="RWX1" s="243"/>
      <c r="RWY1" s="243"/>
      <c r="RWZ1" s="243"/>
      <c r="RXA1" s="243"/>
      <c r="RXB1" s="243"/>
      <c r="RXC1" s="243"/>
      <c r="RXD1" s="243"/>
      <c r="RXE1" s="243"/>
      <c r="RXF1" s="243"/>
      <c r="RXG1" s="243"/>
      <c r="RXH1" s="243"/>
      <c r="RXI1" s="243" t="s">
        <v>127</v>
      </c>
      <c r="RXJ1" s="243"/>
      <c r="RXK1" s="243"/>
      <c r="RXL1" s="243"/>
      <c r="RXM1" s="243"/>
      <c r="RXN1" s="243"/>
      <c r="RXO1" s="243"/>
      <c r="RXP1" s="243"/>
      <c r="RXQ1" s="243"/>
      <c r="RXR1" s="243"/>
      <c r="RXS1" s="243"/>
      <c r="RXT1" s="243"/>
      <c r="RXU1" s="243"/>
      <c r="RXV1" s="243"/>
      <c r="RXW1" s="243"/>
      <c r="RXX1" s="243"/>
      <c r="RXY1" s="243" t="s">
        <v>127</v>
      </c>
      <c r="RXZ1" s="243"/>
      <c r="RYA1" s="243"/>
      <c r="RYB1" s="243"/>
      <c r="RYC1" s="243"/>
      <c r="RYD1" s="243"/>
      <c r="RYE1" s="243"/>
      <c r="RYF1" s="243"/>
      <c r="RYG1" s="243"/>
      <c r="RYH1" s="243"/>
      <c r="RYI1" s="243"/>
      <c r="RYJ1" s="243"/>
      <c r="RYK1" s="243"/>
      <c r="RYL1" s="243"/>
      <c r="RYM1" s="243"/>
      <c r="RYN1" s="243"/>
      <c r="RYO1" s="243" t="s">
        <v>127</v>
      </c>
      <c r="RYP1" s="243"/>
      <c r="RYQ1" s="243"/>
      <c r="RYR1" s="243"/>
      <c r="RYS1" s="243"/>
      <c r="RYT1" s="243"/>
      <c r="RYU1" s="243"/>
      <c r="RYV1" s="243"/>
      <c r="RYW1" s="243"/>
      <c r="RYX1" s="243"/>
      <c r="RYY1" s="243"/>
      <c r="RYZ1" s="243"/>
      <c r="RZA1" s="243"/>
      <c r="RZB1" s="243"/>
      <c r="RZC1" s="243"/>
      <c r="RZD1" s="243"/>
      <c r="RZE1" s="243" t="s">
        <v>127</v>
      </c>
      <c r="RZF1" s="243"/>
      <c r="RZG1" s="243"/>
      <c r="RZH1" s="243"/>
      <c r="RZI1" s="243"/>
      <c r="RZJ1" s="243"/>
      <c r="RZK1" s="243"/>
      <c r="RZL1" s="243"/>
      <c r="RZM1" s="243"/>
      <c r="RZN1" s="243"/>
      <c r="RZO1" s="243"/>
      <c r="RZP1" s="243"/>
      <c r="RZQ1" s="243"/>
      <c r="RZR1" s="243"/>
      <c r="RZS1" s="243"/>
      <c r="RZT1" s="243"/>
      <c r="RZU1" s="243" t="s">
        <v>127</v>
      </c>
      <c r="RZV1" s="243"/>
      <c r="RZW1" s="243"/>
      <c r="RZX1" s="243"/>
      <c r="RZY1" s="243"/>
      <c r="RZZ1" s="243"/>
      <c r="SAA1" s="243"/>
      <c r="SAB1" s="243"/>
      <c r="SAC1" s="243"/>
      <c r="SAD1" s="243"/>
      <c r="SAE1" s="243"/>
      <c r="SAF1" s="243"/>
      <c r="SAG1" s="243"/>
      <c r="SAH1" s="243"/>
      <c r="SAI1" s="243"/>
      <c r="SAJ1" s="243"/>
      <c r="SAK1" s="243" t="s">
        <v>127</v>
      </c>
      <c r="SAL1" s="243"/>
      <c r="SAM1" s="243"/>
      <c r="SAN1" s="243"/>
      <c r="SAO1" s="243"/>
      <c r="SAP1" s="243"/>
      <c r="SAQ1" s="243"/>
      <c r="SAR1" s="243"/>
      <c r="SAS1" s="243"/>
      <c r="SAT1" s="243"/>
      <c r="SAU1" s="243"/>
      <c r="SAV1" s="243"/>
      <c r="SAW1" s="243"/>
      <c r="SAX1" s="243"/>
      <c r="SAY1" s="243"/>
      <c r="SAZ1" s="243"/>
      <c r="SBA1" s="243" t="s">
        <v>127</v>
      </c>
      <c r="SBB1" s="243"/>
      <c r="SBC1" s="243"/>
      <c r="SBD1" s="243"/>
      <c r="SBE1" s="243"/>
      <c r="SBF1" s="243"/>
      <c r="SBG1" s="243"/>
      <c r="SBH1" s="243"/>
      <c r="SBI1" s="243"/>
      <c r="SBJ1" s="243"/>
      <c r="SBK1" s="243"/>
      <c r="SBL1" s="243"/>
      <c r="SBM1" s="243"/>
      <c r="SBN1" s="243"/>
      <c r="SBO1" s="243"/>
      <c r="SBP1" s="243"/>
      <c r="SBQ1" s="243" t="s">
        <v>127</v>
      </c>
      <c r="SBR1" s="243"/>
      <c r="SBS1" s="243"/>
      <c r="SBT1" s="243"/>
      <c r="SBU1" s="243"/>
      <c r="SBV1" s="243"/>
      <c r="SBW1" s="243"/>
      <c r="SBX1" s="243"/>
      <c r="SBY1" s="243"/>
      <c r="SBZ1" s="243"/>
      <c r="SCA1" s="243"/>
      <c r="SCB1" s="243"/>
      <c r="SCC1" s="243"/>
      <c r="SCD1" s="243"/>
      <c r="SCE1" s="243"/>
      <c r="SCF1" s="243"/>
      <c r="SCG1" s="243" t="s">
        <v>127</v>
      </c>
      <c r="SCH1" s="243"/>
      <c r="SCI1" s="243"/>
      <c r="SCJ1" s="243"/>
      <c r="SCK1" s="243"/>
      <c r="SCL1" s="243"/>
      <c r="SCM1" s="243"/>
      <c r="SCN1" s="243"/>
      <c r="SCO1" s="243"/>
      <c r="SCP1" s="243"/>
      <c r="SCQ1" s="243"/>
      <c r="SCR1" s="243"/>
      <c r="SCS1" s="243"/>
      <c r="SCT1" s="243"/>
      <c r="SCU1" s="243"/>
      <c r="SCV1" s="243"/>
      <c r="SCW1" s="243" t="s">
        <v>127</v>
      </c>
      <c r="SCX1" s="243"/>
      <c r="SCY1" s="243"/>
      <c r="SCZ1" s="243"/>
      <c r="SDA1" s="243"/>
      <c r="SDB1" s="243"/>
      <c r="SDC1" s="243"/>
      <c r="SDD1" s="243"/>
      <c r="SDE1" s="243"/>
      <c r="SDF1" s="243"/>
      <c r="SDG1" s="243"/>
      <c r="SDH1" s="243"/>
      <c r="SDI1" s="243"/>
      <c r="SDJ1" s="243"/>
      <c r="SDK1" s="243"/>
      <c r="SDL1" s="243"/>
      <c r="SDM1" s="243" t="s">
        <v>127</v>
      </c>
      <c r="SDN1" s="243"/>
      <c r="SDO1" s="243"/>
      <c r="SDP1" s="243"/>
      <c r="SDQ1" s="243"/>
      <c r="SDR1" s="243"/>
      <c r="SDS1" s="243"/>
      <c r="SDT1" s="243"/>
      <c r="SDU1" s="243"/>
      <c r="SDV1" s="243"/>
      <c r="SDW1" s="243"/>
      <c r="SDX1" s="243"/>
      <c r="SDY1" s="243"/>
      <c r="SDZ1" s="243"/>
      <c r="SEA1" s="243"/>
      <c r="SEB1" s="243"/>
      <c r="SEC1" s="243" t="s">
        <v>127</v>
      </c>
      <c r="SED1" s="243"/>
      <c r="SEE1" s="243"/>
      <c r="SEF1" s="243"/>
      <c r="SEG1" s="243"/>
      <c r="SEH1" s="243"/>
      <c r="SEI1" s="243"/>
      <c r="SEJ1" s="243"/>
      <c r="SEK1" s="243"/>
      <c r="SEL1" s="243"/>
      <c r="SEM1" s="243"/>
      <c r="SEN1" s="243"/>
      <c r="SEO1" s="243"/>
      <c r="SEP1" s="243"/>
      <c r="SEQ1" s="243"/>
      <c r="SER1" s="243"/>
      <c r="SES1" s="243" t="s">
        <v>127</v>
      </c>
      <c r="SET1" s="243"/>
      <c r="SEU1" s="243"/>
      <c r="SEV1" s="243"/>
      <c r="SEW1" s="243"/>
      <c r="SEX1" s="243"/>
      <c r="SEY1" s="243"/>
      <c r="SEZ1" s="243"/>
      <c r="SFA1" s="243"/>
      <c r="SFB1" s="243"/>
      <c r="SFC1" s="243"/>
      <c r="SFD1" s="243"/>
      <c r="SFE1" s="243"/>
      <c r="SFF1" s="243"/>
      <c r="SFG1" s="243"/>
      <c r="SFH1" s="243"/>
      <c r="SFI1" s="243" t="s">
        <v>127</v>
      </c>
      <c r="SFJ1" s="243"/>
      <c r="SFK1" s="243"/>
      <c r="SFL1" s="243"/>
      <c r="SFM1" s="243"/>
      <c r="SFN1" s="243"/>
      <c r="SFO1" s="243"/>
      <c r="SFP1" s="243"/>
      <c r="SFQ1" s="243"/>
      <c r="SFR1" s="243"/>
      <c r="SFS1" s="243"/>
      <c r="SFT1" s="243"/>
      <c r="SFU1" s="243"/>
      <c r="SFV1" s="243"/>
      <c r="SFW1" s="243"/>
      <c r="SFX1" s="243"/>
      <c r="SFY1" s="243" t="s">
        <v>127</v>
      </c>
      <c r="SFZ1" s="243"/>
      <c r="SGA1" s="243"/>
      <c r="SGB1" s="243"/>
      <c r="SGC1" s="243"/>
      <c r="SGD1" s="243"/>
      <c r="SGE1" s="243"/>
      <c r="SGF1" s="243"/>
      <c r="SGG1" s="243"/>
      <c r="SGH1" s="243"/>
      <c r="SGI1" s="243"/>
      <c r="SGJ1" s="243"/>
      <c r="SGK1" s="243"/>
      <c r="SGL1" s="243"/>
      <c r="SGM1" s="243"/>
      <c r="SGN1" s="243"/>
      <c r="SGO1" s="243" t="s">
        <v>127</v>
      </c>
      <c r="SGP1" s="243"/>
      <c r="SGQ1" s="243"/>
      <c r="SGR1" s="243"/>
      <c r="SGS1" s="243"/>
      <c r="SGT1" s="243"/>
      <c r="SGU1" s="243"/>
      <c r="SGV1" s="243"/>
      <c r="SGW1" s="243"/>
      <c r="SGX1" s="243"/>
      <c r="SGY1" s="243"/>
      <c r="SGZ1" s="243"/>
      <c r="SHA1" s="243"/>
      <c r="SHB1" s="243"/>
      <c r="SHC1" s="243"/>
      <c r="SHD1" s="243"/>
      <c r="SHE1" s="243" t="s">
        <v>127</v>
      </c>
      <c r="SHF1" s="243"/>
      <c r="SHG1" s="243"/>
      <c r="SHH1" s="243"/>
      <c r="SHI1" s="243"/>
      <c r="SHJ1" s="243"/>
      <c r="SHK1" s="243"/>
      <c r="SHL1" s="243"/>
      <c r="SHM1" s="243"/>
      <c r="SHN1" s="243"/>
      <c r="SHO1" s="243"/>
      <c r="SHP1" s="243"/>
      <c r="SHQ1" s="243"/>
      <c r="SHR1" s="243"/>
      <c r="SHS1" s="243"/>
      <c r="SHT1" s="243"/>
      <c r="SHU1" s="243" t="s">
        <v>127</v>
      </c>
      <c r="SHV1" s="243"/>
      <c r="SHW1" s="243"/>
      <c r="SHX1" s="243"/>
      <c r="SHY1" s="243"/>
      <c r="SHZ1" s="243"/>
      <c r="SIA1" s="243"/>
      <c r="SIB1" s="243"/>
      <c r="SIC1" s="243"/>
      <c r="SID1" s="243"/>
      <c r="SIE1" s="243"/>
      <c r="SIF1" s="243"/>
      <c r="SIG1" s="243"/>
      <c r="SIH1" s="243"/>
      <c r="SII1" s="243"/>
      <c r="SIJ1" s="243"/>
      <c r="SIK1" s="243" t="s">
        <v>127</v>
      </c>
      <c r="SIL1" s="243"/>
      <c r="SIM1" s="243"/>
      <c r="SIN1" s="243"/>
      <c r="SIO1" s="243"/>
      <c r="SIP1" s="243"/>
      <c r="SIQ1" s="243"/>
      <c r="SIR1" s="243"/>
      <c r="SIS1" s="243"/>
      <c r="SIT1" s="243"/>
      <c r="SIU1" s="243"/>
      <c r="SIV1" s="243"/>
      <c r="SIW1" s="243"/>
      <c r="SIX1" s="243"/>
      <c r="SIY1" s="243"/>
      <c r="SIZ1" s="243"/>
      <c r="SJA1" s="243" t="s">
        <v>127</v>
      </c>
      <c r="SJB1" s="243"/>
      <c r="SJC1" s="243"/>
      <c r="SJD1" s="243"/>
      <c r="SJE1" s="243"/>
      <c r="SJF1" s="243"/>
      <c r="SJG1" s="243"/>
      <c r="SJH1" s="243"/>
      <c r="SJI1" s="243"/>
      <c r="SJJ1" s="243"/>
      <c r="SJK1" s="243"/>
      <c r="SJL1" s="243"/>
      <c r="SJM1" s="243"/>
      <c r="SJN1" s="243"/>
      <c r="SJO1" s="243"/>
      <c r="SJP1" s="243"/>
      <c r="SJQ1" s="243" t="s">
        <v>127</v>
      </c>
      <c r="SJR1" s="243"/>
      <c r="SJS1" s="243"/>
      <c r="SJT1" s="243"/>
      <c r="SJU1" s="243"/>
      <c r="SJV1" s="243"/>
      <c r="SJW1" s="243"/>
      <c r="SJX1" s="243"/>
      <c r="SJY1" s="243"/>
      <c r="SJZ1" s="243"/>
      <c r="SKA1" s="243"/>
      <c r="SKB1" s="243"/>
      <c r="SKC1" s="243"/>
      <c r="SKD1" s="243"/>
      <c r="SKE1" s="243"/>
      <c r="SKF1" s="243"/>
      <c r="SKG1" s="243" t="s">
        <v>127</v>
      </c>
      <c r="SKH1" s="243"/>
      <c r="SKI1" s="243"/>
      <c r="SKJ1" s="243"/>
      <c r="SKK1" s="243"/>
      <c r="SKL1" s="243"/>
      <c r="SKM1" s="243"/>
      <c r="SKN1" s="243"/>
      <c r="SKO1" s="243"/>
      <c r="SKP1" s="243"/>
      <c r="SKQ1" s="243"/>
      <c r="SKR1" s="243"/>
      <c r="SKS1" s="243"/>
      <c r="SKT1" s="243"/>
      <c r="SKU1" s="243"/>
      <c r="SKV1" s="243"/>
      <c r="SKW1" s="243" t="s">
        <v>127</v>
      </c>
      <c r="SKX1" s="243"/>
      <c r="SKY1" s="243"/>
      <c r="SKZ1" s="243"/>
      <c r="SLA1" s="243"/>
      <c r="SLB1" s="243"/>
      <c r="SLC1" s="243"/>
      <c r="SLD1" s="243"/>
      <c r="SLE1" s="243"/>
      <c r="SLF1" s="243"/>
      <c r="SLG1" s="243"/>
      <c r="SLH1" s="243"/>
      <c r="SLI1" s="243"/>
      <c r="SLJ1" s="243"/>
      <c r="SLK1" s="243"/>
      <c r="SLL1" s="243"/>
      <c r="SLM1" s="243" t="s">
        <v>127</v>
      </c>
      <c r="SLN1" s="243"/>
      <c r="SLO1" s="243"/>
      <c r="SLP1" s="243"/>
      <c r="SLQ1" s="243"/>
      <c r="SLR1" s="243"/>
      <c r="SLS1" s="243"/>
      <c r="SLT1" s="243"/>
      <c r="SLU1" s="243"/>
      <c r="SLV1" s="243"/>
      <c r="SLW1" s="243"/>
      <c r="SLX1" s="243"/>
      <c r="SLY1" s="243"/>
      <c r="SLZ1" s="243"/>
      <c r="SMA1" s="243"/>
      <c r="SMB1" s="243"/>
      <c r="SMC1" s="243" t="s">
        <v>127</v>
      </c>
      <c r="SMD1" s="243"/>
      <c r="SME1" s="243"/>
      <c r="SMF1" s="243"/>
      <c r="SMG1" s="243"/>
      <c r="SMH1" s="243"/>
      <c r="SMI1" s="243"/>
      <c r="SMJ1" s="243"/>
      <c r="SMK1" s="243"/>
      <c r="SML1" s="243"/>
      <c r="SMM1" s="243"/>
      <c r="SMN1" s="243"/>
      <c r="SMO1" s="243"/>
      <c r="SMP1" s="243"/>
      <c r="SMQ1" s="243"/>
      <c r="SMR1" s="243"/>
      <c r="SMS1" s="243" t="s">
        <v>127</v>
      </c>
      <c r="SMT1" s="243"/>
      <c r="SMU1" s="243"/>
      <c r="SMV1" s="243"/>
      <c r="SMW1" s="243"/>
      <c r="SMX1" s="243"/>
      <c r="SMY1" s="243"/>
      <c r="SMZ1" s="243"/>
      <c r="SNA1" s="243"/>
      <c r="SNB1" s="243"/>
      <c r="SNC1" s="243"/>
      <c r="SND1" s="243"/>
      <c r="SNE1" s="243"/>
      <c r="SNF1" s="243"/>
      <c r="SNG1" s="243"/>
      <c r="SNH1" s="243"/>
      <c r="SNI1" s="243" t="s">
        <v>127</v>
      </c>
      <c r="SNJ1" s="243"/>
      <c r="SNK1" s="243"/>
      <c r="SNL1" s="243"/>
      <c r="SNM1" s="243"/>
      <c r="SNN1" s="243"/>
      <c r="SNO1" s="243"/>
      <c r="SNP1" s="243"/>
      <c r="SNQ1" s="243"/>
      <c r="SNR1" s="243"/>
      <c r="SNS1" s="243"/>
      <c r="SNT1" s="243"/>
      <c r="SNU1" s="243"/>
      <c r="SNV1" s="243"/>
      <c r="SNW1" s="243"/>
      <c r="SNX1" s="243"/>
      <c r="SNY1" s="243" t="s">
        <v>127</v>
      </c>
      <c r="SNZ1" s="243"/>
      <c r="SOA1" s="243"/>
      <c r="SOB1" s="243"/>
      <c r="SOC1" s="243"/>
      <c r="SOD1" s="243"/>
      <c r="SOE1" s="243"/>
      <c r="SOF1" s="243"/>
      <c r="SOG1" s="243"/>
      <c r="SOH1" s="243"/>
      <c r="SOI1" s="243"/>
      <c r="SOJ1" s="243"/>
      <c r="SOK1" s="243"/>
      <c r="SOL1" s="243"/>
      <c r="SOM1" s="243"/>
      <c r="SON1" s="243"/>
      <c r="SOO1" s="243" t="s">
        <v>127</v>
      </c>
      <c r="SOP1" s="243"/>
      <c r="SOQ1" s="243"/>
      <c r="SOR1" s="243"/>
      <c r="SOS1" s="243"/>
      <c r="SOT1" s="243"/>
      <c r="SOU1" s="243"/>
      <c r="SOV1" s="243"/>
      <c r="SOW1" s="243"/>
      <c r="SOX1" s="243"/>
      <c r="SOY1" s="243"/>
      <c r="SOZ1" s="243"/>
      <c r="SPA1" s="243"/>
      <c r="SPB1" s="243"/>
      <c r="SPC1" s="243"/>
      <c r="SPD1" s="243"/>
      <c r="SPE1" s="243" t="s">
        <v>127</v>
      </c>
      <c r="SPF1" s="243"/>
      <c r="SPG1" s="243"/>
      <c r="SPH1" s="243"/>
      <c r="SPI1" s="243"/>
      <c r="SPJ1" s="243"/>
      <c r="SPK1" s="243"/>
      <c r="SPL1" s="243"/>
      <c r="SPM1" s="243"/>
      <c r="SPN1" s="243"/>
      <c r="SPO1" s="243"/>
      <c r="SPP1" s="243"/>
      <c r="SPQ1" s="243"/>
      <c r="SPR1" s="243"/>
      <c r="SPS1" s="243"/>
      <c r="SPT1" s="243"/>
      <c r="SPU1" s="243" t="s">
        <v>127</v>
      </c>
      <c r="SPV1" s="243"/>
      <c r="SPW1" s="243"/>
      <c r="SPX1" s="243"/>
      <c r="SPY1" s="243"/>
      <c r="SPZ1" s="243"/>
      <c r="SQA1" s="243"/>
      <c r="SQB1" s="243"/>
      <c r="SQC1" s="243"/>
      <c r="SQD1" s="243"/>
      <c r="SQE1" s="243"/>
      <c r="SQF1" s="243"/>
      <c r="SQG1" s="243"/>
      <c r="SQH1" s="243"/>
      <c r="SQI1" s="243"/>
      <c r="SQJ1" s="243"/>
      <c r="SQK1" s="243" t="s">
        <v>127</v>
      </c>
      <c r="SQL1" s="243"/>
      <c r="SQM1" s="243"/>
      <c r="SQN1" s="243"/>
      <c r="SQO1" s="243"/>
      <c r="SQP1" s="243"/>
      <c r="SQQ1" s="243"/>
      <c r="SQR1" s="243"/>
      <c r="SQS1" s="243"/>
      <c r="SQT1" s="243"/>
      <c r="SQU1" s="243"/>
      <c r="SQV1" s="243"/>
      <c r="SQW1" s="243"/>
      <c r="SQX1" s="243"/>
      <c r="SQY1" s="243"/>
      <c r="SQZ1" s="243"/>
      <c r="SRA1" s="243" t="s">
        <v>127</v>
      </c>
      <c r="SRB1" s="243"/>
      <c r="SRC1" s="243"/>
      <c r="SRD1" s="243"/>
      <c r="SRE1" s="243"/>
      <c r="SRF1" s="243"/>
      <c r="SRG1" s="243"/>
      <c r="SRH1" s="243"/>
      <c r="SRI1" s="243"/>
      <c r="SRJ1" s="243"/>
      <c r="SRK1" s="243"/>
      <c r="SRL1" s="243"/>
      <c r="SRM1" s="243"/>
      <c r="SRN1" s="243"/>
      <c r="SRO1" s="243"/>
      <c r="SRP1" s="243"/>
      <c r="SRQ1" s="243" t="s">
        <v>127</v>
      </c>
      <c r="SRR1" s="243"/>
      <c r="SRS1" s="243"/>
      <c r="SRT1" s="243"/>
      <c r="SRU1" s="243"/>
      <c r="SRV1" s="243"/>
      <c r="SRW1" s="243"/>
      <c r="SRX1" s="243"/>
      <c r="SRY1" s="243"/>
      <c r="SRZ1" s="243"/>
      <c r="SSA1" s="243"/>
      <c r="SSB1" s="243"/>
      <c r="SSC1" s="243"/>
      <c r="SSD1" s="243"/>
      <c r="SSE1" s="243"/>
      <c r="SSF1" s="243"/>
      <c r="SSG1" s="243" t="s">
        <v>127</v>
      </c>
      <c r="SSH1" s="243"/>
      <c r="SSI1" s="243"/>
      <c r="SSJ1" s="243"/>
      <c r="SSK1" s="243"/>
      <c r="SSL1" s="243"/>
      <c r="SSM1" s="243"/>
      <c r="SSN1" s="243"/>
      <c r="SSO1" s="243"/>
      <c r="SSP1" s="243"/>
      <c r="SSQ1" s="243"/>
      <c r="SSR1" s="243"/>
      <c r="SSS1" s="243"/>
      <c r="SST1" s="243"/>
      <c r="SSU1" s="243"/>
      <c r="SSV1" s="243"/>
      <c r="SSW1" s="243" t="s">
        <v>127</v>
      </c>
      <c r="SSX1" s="243"/>
      <c r="SSY1" s="243"/>
      <c r="SSZ1" s="243"/>
      <c r="STA1" s="243"/>
      <c r="STB1" s="243"/>
      <c r="STC1" s="243"/>
      <c r="STD1" s="243"/>
      <c r="STE1" s="243"/>
      <c r="STF1" s="243"/>
      <c r="STG1" s="243"/>
      <c r="STH1" s="243"/>
      <c r="STI1" s="243"/>
      <c r="STJ1" s="243"/>
      <c r="STK1" s="243"/>
      <c r="STL1" s="243"/>
      <c r="STM1" s="243" t="s">
        <v>127</v>
      </c>
      <c r="STN1" s="243"/>
      <c r="STO1" s="243"/>
      <c r="STP1" s="243"/>
      <c r="STQ1" s="243"/>
      <c r="STR1" s="243"/>
      <c r="STS1" s="243"/>
      <c r="STT1" s="243"/>
      <c r="STU1" s="243"/>
      <c r="STV1" s="243"/>
      <c r="STW1" s="243"/>
      <c r="STX1" s="243"/>
      <c r="STY1" s="243"/>
      <c r="STZ1" s="243"/>
      <c r="SUA1" s="243"/>
      <c r="SUB1" s="243"/>
      <c r="SUC1" s="243" t="s">
        <v>127</v>
      </c>
      <c r="SUD1" s="243"/>
      <c r="SUE1" s="243"/>
      <c r="SUF1" s="243"/>
      <c r="SUG1" s="243"/>
      <c r="SUH1" s="243"/>
      <c r="SUI1" s="243"/>
      <c r="SUJ1" s="243"/>
      <c r="SUK1" s="243"/>
      <c r="SUL1" s="243"/>
      <c r="SUM1" s="243"/>
      <c r="SUN1" s="243"/>
      <c r="SUO1" s="243"/>
      <c r="SUP1" s="243"/>
      <c r="SUQ1" s="243"/>
      <c r="SUR1" s="243"/>
      <c r="SUS1" s="243" t="s">
        <v>127</v>
      </c>
      <c r="SUT1" s="243"/>
      <c r="SUU1" s="243"/>
      <c r="SUV1" s="243"/>
      <c r="SUW1" s="243"/>
      <c r="SUX1" s="243"/>
      <c r="SUY1" s="243"/>
      <c r="SUZ1" s="243"/>
      <c r="SVA1" s="243"/>
      <c r="SVB1" s="243"/>
      <c r="SVC1" s="243"/>
      <c r="SVD1" s="243"/>
      <c r="SVE1" s="243"/>
      <c r="SVF1" s="243"/>
      <c r="SVG1" s="243"/>
      <c r="SVH1" s="243"/>
      <c r="SVI1" s="243" t="s">
        <v>127</v>
      </c>
      <c r="SVJ1" s="243"/>
      <c r="SVK1" s="243"/>
      <c r="SVL1" s="243"/>
      <c r="SVM1" s="243"/>
      <c r="SVN1" s="243"/>
      <c r="SVO1" s="243"/>
      <c r="SVP1" s="243"/>
      <c r="SVQ1" s="243"/>
      <c r="SVR1" s="243"/>
      <c r="SVS1" s="243"/>
      <c r="SVT1" s="243"/>
      <c r="SVU1" s="243"/>
      <c r="SVV1" s="243"/>
      <c r="SVW1" s="243"/>
      <c r="SVX1" s="243"/>
      <c r="SVY1" s="243" t="s">
        <v>127</v>
      </c>
      <c r="SVZ1" s="243"/>
      <c r="SWA1" s="243"/>
      <c r="SWB1" s="243"/>
      <c r="SWC1" s="243"/>
      <c r="SWD1" s="243"/>
      <c r="SWE1" s="243"/>
      <c r="SWF1" s="243"/>
      <c r="SWG1" s="243"/>
      <c r="SWH1" s="243"/>
      <c r="SWI1" s="243"/>
      <c r="SWJ1" s="243"/>
      <c r="SWK1" s="243"/>
      <c r="SWL1" s="243"/>
      <c r="SWM1" s="243"/>
      <c r="SWN1" s="243"/>
      <c r="SWO1" s="243" t="s">
        <v>127</v>
      </c>
      <c r="SWP1" s="243"/>
      <c r="SWQ1" s="243"/>
      <c r="SWR1" s="243"/>
      <c r="SWS1" s="243"/>
      <c r="SWT1" s="243"/>
      <c r="SWU1" s="243"/>
      <c r="SWV1" s="243"/>
      <c r="SWW1" s="243"/>
      <c r="SWX1" s="243"/>
      <c r="SWY1" s="243"/>
      <c r="SWZ1" s="243"/>
      <c r="SXA1" s="243"/>
      <c r="SXB1" s="243"/>
      <c r="SXC1" s="243"/>
      <c r="SXD1" s="243"/>
      <c r="SXE1" s="243" t="s">
        <v>127</v>
      </c>
      <c r="SXF1" s="243"/>
      <c r="SXG1" s="243"/>
      <c r="SXH1" s="243"/>
      <c r="SXI1" s="243"/>
      <c r="SXJ1" s="243"/>
      <c r="SXK1" s="243"/>
      <c r="SXL1" s="243"/>
      <c r="SXM1" s="243"/>
      <c r="SXN1" s="243"/>
      <c r="SXO1" s="243"/>
      <c r="SXP1" s="243"/>
      <c r="SXQ1" s="243"/>
      <c r="SXR1" s="243"/>
      <c r="SXS1" s="243"/>
      <c r="SXT1" s="243"/>
      <c r="SXU1" s="243" t="s">
        <v>127</v>
      </c>
      <c r="SXV1" s="243"/>
      <c r="SXW1" s="243"/>
      <c r="SXX1" s="243"/>
      <c r="SXY1" s="243"/>
      <c r="SXZ1" s="243"/>
      <c r="SYA1" s="243"/>
      <c r="SYB1" s="243"/>
      <c r="SYC1" s="243"/>
      <c r="SYD1" s="243"/>
      <c r="SYE1" s="243"/>
      <c r="SYF1" s="243"/>
      <c r="SYG1" s="243"/>
      <c r="SYH1" s="243"/>
      <c r="SYI1" s="243"/>
      <c r="SYJ1" s="243"/>
      <c r="SYK1" s="243" t="s">
        <v>127</v>
      </c>
      <c r="SYL1" s="243"/>
      <c r="SYM1" s="243"/>
      <c r="SYN1" s="243"/>
      <c r="SYO1" s="243"/>
      <c r="SYP1" s="243"/>
      <c r="SYQ1" s="243"/>
      <c r="SYR1" s="243"/>
      <c r="SYS1" s="243"/>
      <c r="SYT1" s="243"/>
      <c r="SYU1" s="243"/>
      <c r="SYV1" s="243"/>
      <c r="SYW1" s="243"/>
      <c r="SYX1" s="243"/>
      <c r="SYY1" s="243"/>
      <c r="SYZ1" s="243"/>
      <c r="SZA1" s="243" t="s">
        <v>127</v>
      </c>
      <c r="SZB1" s="243"/>
      <c r="SZC1" s="243"/>
      <c r="SZD1" s="243"/>
      <c r="SZE1" s="243"/>
      <c r="SZF1" s="243"/>
      <c r="SZG1" s="243"/>
      <c r="SZH1" s="243"/>
      <c r="SZI1" s="243"/>
      <c r="SZJ1" s="243"/>
      <c r="SZK1" s="243"/>
      <c r="SZL1" s="243"/>
      <c r="SZM1" s="243"/>
      <c r="SZN1" s="243"/>
      <c r="SZO1" s="243"/>
      <c r="SZP1" s="243"/>
      <c r="SZQ1" s="243" t="s">
        <v>127</v>
      </c>
      <c r="SZR1" s="243"/>
      <c r="SZS1" s="243"/>
      <c r="SZT1" s="243"/>
      <c r="SZU1" s="243"/>
      <c r="SZV1" s="243"/>
      <c r="SZW1" s="243"/>
      <c r="SZX1" s="243"/>
      <c r="SZY1" s="243"/>
      <c r="SZZ1" s="243"/>
      <c r="TAA1" s="243"/>
      <c r="TAB1" s="243"/>
      <c r="TAC1" s="243"/>
      <c r="TAD1" s="243"/>
      <c r="TAE1" s="243"/>
      <c r="TAF1" s="243"/>
      <c r="TAG1" s="243" t="s">
        <v>127</v>
      </c>
      <c r="TAH1" s="243"/>
      <c r="TAI1" s="243"/>
      <c r="TAJ1" s="243"/>
      <c r="TAK1" s="243"/>
      <c r="TAL1" s="243"/>
      <c r="TAM1" s="243"/>
      <c r="TAN1" s="243"/>
      <c r="TAO1" s="243"/>
      <c r="TAP1" s="243"/>
      <c r="TAQ1" s="243"/>
      <c r="TAR1" s="243"/>
      <c r="TAS1" s="243"/>
      <c r="TAT1" s="243"/>
      <c r="TAU1" s="243"/>
      <c r="TAV1" s="243"/>
      <c r="TAW1" s="243" t="s">
        <v>127</v>
      </c>
      <c r="TAX1" s="243"/>
      <c r="TAY1" s="243"/>
      <c r="TAZ1" s="243"/>
      <c r="TBA1" s="243"/>
      <c r="TBB1" s="243"/>
      <c r="TBC1" s="243"/>
      <c r="TBD1" s="243"/>
      <c r="TBE1" s="243"/>
      <c r="TBF1" s="243"/>
      <c r="TBG1" s="243"/>
      <c r="TBH1" s="243"/>
      <c r="TBI1" s="243"/>
      <c r="TBJ1" s="243"/>
      <c r="TBK1" s="243"/>
      <c r="TBL1" s="243"/>
      <c r="TBM1" s="243" t="s">
        <v>127</v>
      </c>
      <c r="TBN1" s="243"/>
      <c r="TBO1" s="243"/>
      <c r="TBP1" s="243"/>
      <c r="TBQ1" s="243"/>
      <c r="TBR1" s="243"/>
      <c r="TBS1" s="243"/>
      <c r="TBT1" s="243"/>
      <c r="TBU1" s="243"/>
      <c r="TBV1" s="243"/>
      <c r="TBW1" s="243"/>
      <c r="TBX1" s="243"/>
      <c r="TBY1" s="243"/>
      <c r="TBZ1" s="243"/>
      <c r="TCA1" s="243"/>
      <c r="TCB1" s="243"/>
      <c r="TCC1" s="243" t="s">
        <v>127</v>
      </c>
      <c r="TCD1" s="243"/>
      <c r="TCE1" s="243"/>
      <c r="TCF1" s="243"/>
      <c r="TCG1" s="243"/>
      <c r="TCH1" s="243"/>
      <c r="TCI1" s="243"/>
      <c r="TCJ1" s="243"/>
      <c r="TCK1" s="243"/>
      <c r="TCL1" s="243"/>
      <c r="TCM1" s="243"/>
      <c r="TCN1" s="243"/>
      <c r="TCO1" s="243"/>
      <c r="TCP1" s="243"/>
      <c r="TCQ1" s="243"/>
      <c r="TCR1" s="243"/>
      <c r="TCS1" s="243" t="s">
        <v>127</v>
      </c>
      <c r="TCT1" s="243"/>
      <c r="TCU1" s="243"/>
      <c r="TCV1" s="243"/>
      <c r="TCW1" s="243"/>
      <c r="TCX1" s="243"/>
      <c r="TCY1" s="243"/>
      <c r="TCZ1" s="243"/>
      <c r="TDA1" s="243"/>
      <c r="TDB1" s="243"/>
      <c r="TDC1" s="243"/>
      <c r="TDD1" s="243"/>
      <c r="TDE1" s="243"/>
      <c r="TDF1" s="243"/>
      <c r="TDG1" s="243"/>
      <c r="TDH1" s="243"/>
      <c r="TDI1" s="243" t="s">
        <v>127</v>
      </c>
      <c r="TDJ1" s="243"/>
      <c r="TDK1" s="243"/>
      <c r="TDL1" s="243"/>
      <c r="TDM1" s="243"/>
      <c r="TDN1" s="243"/>
      <c r="TDO1" s="243"/>
      <c r="TDP1" s="243"/>
      <c r="TDQ1" s="243"/>
      <c r="TDR1" s="243"/>
      <c r="TDS1" s="243"/>
      <c r="TDT1" s="243"/>
      <c r="TDU1" s="243"/>
      <c r="TDV1" s="243"/>
      <c r="TDW1" s="243"/>
      <c r="TDX1" s="243"/>
      <c r="TDY1" s="243" t="s">
        <v>127</v>
      </c>
      <c r="TDZ1" s="243"/>
      <c r="TEA1" s="243"/>
      <c r="TEB1" s="243"/>
      <c r="TEC1" s="243"/>
      <c r="TED1" s="243"/>
      <c r="TEE1" s="243"/>
      <c r="TEF1" s="243"/>
      <c r="TEG1" s="243"/>
      <c r="TEH1" s="243"/>
      <c r="TEI1" s="243"/>
      <c r="TEJ1" s="243"/>
      <c r="TEK1" s="243"/>
      <c r="TEL1" s="243"/>
      <c r="TEM1" s="243"/>
      <c r="TEN1" s="243"/>
      <c r="TEO1" s="243" t="s">
        <v>127</v>
      </c>
      <c r="TEP1" s="243"/>
      <c r="TEQ1" s="243"/>
      <c r="TER1" s="243"/>
      <c r="TES1" s="243"/>
      <c r="TET1" s="243"/>
      <c r="TEU1" s="243"/>
      <c r="TEV1" s="243"/>
      <c r="TEW1" s="243"/>
      <c r="TEX1" s="243"/>
      <c r="TEY1" s="243"/>
      <c r="TEZ1" s="243"/>
      <c r="TFA1" s="243"/>
      <c r="TFB1" s="243"/>
      <c r="TFC1" s="243"/>
      <c r="TFD1" s="243"/>
      <c r="TFE1" s="243" t="s">
        <v>127</v>
      </c>
      <c r="TFF1" s="243"/>
      <c r="TFG1" s="243"/>
      <c r="TFH1" s="243"/>
      <c r="TFI1" s="243"/>
      <c r="TFJ1" s="243"/>
      <c r="TFK1" s="243"/>
      <c r="TFL1" s="243"/>
      <c r="TFM1" s="243"/>
      <c r="TFN1" s="243"/>
      <c r="TFO1" s="243"/>
      <c r="TFP1" s="243"/>
      <c r="TFQ1" s="243"/>
      <c r="TFR1" s="243"/>
      <c r="TFS1" s="243"/>
      <c r="TFT1" s="243"/>
      <c r="TFU1" s="243" t="s">
        <v>127</v>
      </c>
      <c r="TFV1" s="243"/>
      <c r="TFW1" s="243"/>
      <c r="TFX1" s="243"/>
      <c r="TFY1" s="243"/>
      <c r="TFZ1" s="243"/>
      <c r="TGA1" s="243"/>
      <c r="TGB1" s="243"/>
      <c r="TGC1" s="243"/>
      <c r="TGD1" s="243"/>
      <c r="TGE1" s="243"/>
      <c r="TGF1" s="243"/>
      <c r="TGG1" s="243"/>
      <c r="TGH1" s="243"/>
      <c r="TGI1" s="243"/>
      <c r="TGJ1" s="243"/>
      <c r="TGK1" s="243" t="s">
        <v>127</v>
      </c>
      <c r="TGL1" s="243"/>
      <c r="TGM1" s="243"/>
      <c r="TGN1" s="243"/>
      <c r="TGO1" s="243"/>
      <c r="TGP1" s="243"/>
      <c r="TGQ1" s="243"/>
      <c r="TGR1" s="243"/>
      <c r="TGS1" s="243"/>
      <c r="TGT1" s="243"/>
      <c r="TGU1" s="243"/>
      <c r="TGV1" s="243"/>
      <c r="TGW1" s="243"/>
      <c r="TGX1" s="243"/>
      <c r="TGY1" s="243"/>
      <c r="TGZ1" s="243"/>
      <c r="THA1" s="243" t="s">
        <v>127</v>
      </c>
      <c r="THB1" s="243"/>
      <c r="THC1" s="243"/>
      <c r="THD1" s="243"/>
      <c r="THE1" s="243"/>
      <c r="THF1" s="243"/>
      <c r="THG1" s="243"/>
      <c r="THH1" s="243"/>
      <c r="THI1" s="243"/>
      <c r="THJ1" s="243"/>
      <c r="THK1" s="243"/>
      <c r="THL1" s="243"/>
      <c r="THM1" s="243"/>
      <c r="THN1" s="243"/>
      <c r="THO1" s="243"/>
      <c r="THP1" s="243"/>
      <c r="THQ1" s="243" t="s">
        <v>127</v>
      </c>
      <c r="THR1" s="243"/>
      <c r="THS1" s="243"/>
      <c r="THT1" s="243"/>
      <c r="THU1" s="243"/>
      <c r="THV1" s="243"/>
      <c r="THW1" s="243"/>
      <c r="THX1" s="243"/>
      <c r="THY1" s="243"/>
      <c r="THZ1" s="243"/>
      <c r="TIA1" s="243"/>
      <c r="TIB1" s="243"/>
      <c r="TIC1" s="243"/>
      <c r="TID1" s="243"/>
      <c r="TIE1" s="243"/>
      <c r="TIF1" s="243"/>
      <c r="TIG1" s="243" t="s">
        <v>127</v>
      </c>
      <c r="TIH1" s="243"/>
      <c r="TII1" s="243"/>
      <c r="TIJ1" s="243"/>
      <c r="TIK1" s="243"/>
      <c r="TIL1" s="243"/>
      <c r="TIM1" s="243"/>
      <c r="TIN1" s="243"/>
      <c r="TIO1" s="243"/>
      <c r="TIP1" s="243"/>
      <c r="TIQ1" s="243"/>
      <c r="TIR1" s="243"/>
      <c r="TIS1" s="243"/>
      <c r="TIT1" s="243"/>
      <c r="TIU1" s="243"/>
      <c r="TIV1" s="243"/>
      <c r="TIW1" s="243" t="s">
        <v>127</v>
      </c>
      <c r="TIX1" s="243"/>
      <c r="TIY1" s="243"/>
      <c r="TIZ1" s="243"/>
      <c r="TJA1" s="243"/>
      <c r="TJB1" s="243"/>
      <c r="TJC1" s="243"/>
      <c r="TJD1" s="243"/>
      <c r="TJE1" s="243"/>
      <c r="TJF1" s="243"/>
      <c r="TJG1" s="243"/>
      <c r="TJH1" s="243"/>
      <c r="TJI1" s="243"/>
      <c r="TJJ1" s="243"/>
      <c r="TJK1" s="243"/>
      <c r="TJL1" s="243"/>
      <c r="TJM1" s="243" t="s">
        <v>127</v>
      </c>
      <c r="TJN1" s="243"/>
      <c r="TJO1" s="243"/>
      <c r="TJP1" s="243"/>
      <c r="TJQ1" s="243"/>
      <c r="TJR1" s="243"/>
      <c r="TJS1" s="243"/>
      <c r="TJT1" s="243"/>
      <c r="TJU1" s="243"/>
      <c r="TJV1" s="243"/>
      <c r="TJW1" s="243"/>
      <c r="TJX1" s="243"/>
      <c r="TJY1" s="243"/>
      <c r="TJZ1" s="243"/>
      <c r="TKA1" s="243"/>
      <c r="TKB1" s="243"/>
      <c r="TKC1" s="243" t="s">
        <v>127</v>
      </c>
      <c r="TKD1" s="243"/>
      <c r="TKE1" s="243"/>
      <c r="TKF1" s="243"/>
      <c r="TKG1" s="243"/>
      <c r="TKH1" s="243"/>
      <c r="TKI1" s="243"/>
      <c r="TKJ1" s="243"/>
      <c r="TKK1" s="243"/>
      <c r="TKL1" s="243"/>
      <c r="TKM1" s="243"/>
      <c r="TKN1" s="243"/>
      <c r="TKO1" s="243"/>
      <c r="TKP1" s="243"/>
      <c r="TKQ1" s="243"/>
      <c r="TKR1" s="243"/>
      <c r="TKS1" s="243" t="s">
        <v>127</v>
      </c>
      <c r="TKT1" s="243"/>
      <c r="TKU1" s="243"/>
      <c r="TKV1" s="243"/>
      <c r="TKW1" s="243"/>
      <c r="TKX1" s="243"/>
      <c r="TKY1" s="243"/>
      <c r="TKZ1" s="243"/>
      <c r="TLA1" s="243"/>
      <c r="TLB1" s="243"/>
      <c r="TLC1" s="243"/>
      <c r="TLD1" s="243"/>
      <c r="TLE1" s="243"/>
      <c r="TLF1" s="243"/>
      <c r="TLG1" s="243"/>
      <c r="TLH1" s="243"/>
      <c r="TLI1" s="243" t="s">
        <v>127</v>
      </c>
      <c r="TLJ1" s="243"/>
      <c r="TLK1" s="243"/>
      <c r="TLL1" s="243"/>
      <c r="TLM1" s="243"/>
      <c r="TLN1" s="243"/>
      <c r="TLO1" s="243"/>
      <c r="TLP1" s="243"/>
      <c r="TLQ1" s="243"/>
      <c r="TLR1" s="243"/>
      <c r="TLS1" s="243"/>
      <c r="TLT1" s="243"/>
      <c r="TLU1" s="243"/>
      <c r="TLV1" s="243"/>
      <c r="TLW1" s="243"/>
      <c r="TLX1" s="243"/>
      <c r="TLY1" s="243" t="s">
        <v>127</v>
      </c>
      <c r="TLZ1" s="243"/>
      <c r="TMA1" s="243"/>
      <c r="TMB1" s="243"/>
      <c r="TMC1" s="243"/>
      <c r="TMD1" s="243"/>
      <c r="TME1" s="243"/>
      <c r="TMF1" s="243"/>
      <c r="TMG1" s="243"/>
      <c r="TMH1" s="243"/>
      <c r="TMI1" s="243"/>
      <c r="TMJ1" s="243"/>
      <c r="TMK1" s="243"/>
      <c r="TML1" s="243"/>
      <c r="TMM1" s="243"/>
      <c r="TMN1" s="243"/>
      <c r="TMO1" s="243" t="s">
        <v>127</v>
      </c>
      <c r="TMP1" s="243"/>
      <c r="TMQ1" s="243"/>
      <c r="TMR1" s="243"/>
      <c r="TMS1" s="243"/>
      <c r="TMT1" s="243"/>
      <c r="TMU1" s="243"/>
      <c r="TMV1" s="243"/>
      <c r="TMW1" s="243"/>
      <c r="TMX1" s="243"/>
      <c r="TMY1" s="243"/>
      <c r="TMZ1" s="243"/>
      <c r="TNA1" s="243"/>
      <c r="TNB1" s="243"/>
      <c r="TNC1" s="243"/>
      <c r="TND1" s="243"/>
      <c r="TNE1" s="243" t="s">
        <v>127</v>
      </c>
      <c r="TNF1" s="243"/>
      <c r="TNG1" s="243"/>
      <c r="TNH1" s="243"/>
      <c r="TNI1" s="243"/>
      <c r="TNJ1" s="243"/>
      <c r="TNK1" s="243"/>
      <c r="TNL1" s="243"/>
      <c r="TNM1" s="243"/>
      <c r="TNN1" s="243"/>
      <c r="TNO1" s="243"/>
      <c r="TNP1" s="243"/>
      <c r="TNQ1" s="243"/>
      <c r="TNR1" s="243"/>
      <c r="TNS1" s="243"/>
      <c r="TNT1" s="243"/>
      <c r="TNU1" s="243" t="s">
        <v>127</v>
      </c>
      <c r="TNV1" s="243"/>
      <c r="TNW1" s="243"/>
      <c r="TNX1" s="243"/>
      <c r="TNY1" s="243"/>
      <c r="TNZ1" s="243"/>
      <c r="TOA1" s="243"/>
      <c r="TOB1" s="243"/>
      <c r="TOC1" s="243"/>
      <c r="TOD1" s="243"/>
      <c r="TOE1" s="243"/>
      <c r="TOF1" s="243"/>
      <c r="TOG1" s="243"/>
      <c r="TOH1" s="243"/>
      <c r="TOI1" s="243"/>
      <c r="TOJ1" s="243"/>
      <c r="TOK1" s="243" t="s">
        <v>127</v>
      </c>
      <c r="TOL1" s="243"/>
      <c r="TOM1" s="243"/>
      <c r="TON1" s="243"/>
      <c r="TOO1" s="243"/>
      <c r="TOP1" s="243"/>
      <c r="TOQ1" s="243"/>
      <c r="TOR1" s="243"/>
      <c r="TOS1" s="243"/>
      <c r="TOT1" s="243"/>
      <c r="TOU1" s="243"/>
      <c r="TOV1" s="243"/>
      <c r="TOW1" s="243"/>
      <c r="TOX1" s="243"/>
      <c r="TOY1" s="243"/>
      <c r="TOZ1" s="243"/>
      <c r="TPA1" s="243" t="s">
        <v>127</v>
      </c>
      <c r="TPB1" s="243"/>
      <c r="TPC1" s="243"/>
      <c r="TPD1" s="243"/>
      <c r="TPE1" s="243"/>
      <c r="TPF1" s="243"/>
      <c r="TPG1" s="243"/>
      <c r="TPH1" s="243"/>
      <c r="TPI1" s="243"/>
      <c r="TPJ1" s="243"/>
      <c r="TPK1" s="243"/>
      <c r="TPL1" s="243"/>
      <c r="TPM1" s="243"/>
      <c r="TPN1" s="243"/>
      <c r="TPO1" s="243"/>
      <c r="TPP1" s="243"/>
      <c r="TPQ1" s="243" t="s">
        <v>127</v>
      </c>
      <c r="TPR1" s="243"/>
      <c r="TPS1" s="243"/>
      <c r="TPT1" s="243"/>
      <c r="TPU1" s="243"/>
      <c r="TPV1" s="243"/>
      <c r="TPW1" s="243"/>
      <c r="TPX1" s="243"/>
      <c r="TPY1" s="243"/>
      <c r="TPZ1" s="243"/>
      <c r="TQA1" s="243"/>
      <c r="TQB1" s="243"/>
      <c r="TQC1" s="243"/>
      <c r="TQD1" s="243"/>
      <c r="TQE1" s="243"/>
      <c r="TQF1" s="243"/>
      <c r="TQG1" s="243" t="s">
        <v>127</v>
      </c>
      <c r="TQH1" s="243"/>
      <c r="TQI1" s="243"/>
      <c r="TQJ1" s="243"/>
      <c r="TQK1" s="243"/>
      <c r="TQL1" s="243"/>
      <c r="TQM1" s="243"/>
      <c r="TQN1" s="243"/>
      <c r="TQO1" s="243"/>
      <c r="TQP1" s="243"/>
      <c r="TQQ1" s="243"/>
      <c r="TQR1" s="243"/>
      <c r="TQS1" s="243"/>
      <c r="TQT1" s="243"/>
      <c r="TQU1" s="243"/>
      <c r="TQV1" s="243"/>
      <c r="TQW1" s="243" t="s">
        <v>127</v>
      </c>
      <c r="TQX1" s="243"/>
      <c r="TQY1" s="243"/>
      <c r="TQZ1" s="243"/>
      <c r="TRA1" s="243"/>
      <c r="TRB1" s="243"/>
      <c r="TRC1" s="243"/>
      <c r="TRD1" s="243"/>
      <c r="TRE1" s="243"/>
      <c r="TRF1" s="243"/>
      <c r="TRG1" s="243"/>
      <c r="TRH1" s="243"/>
      <c r="TRI1" s="243"/>
      <c r="TRJ1" s="243"/>
      <c r="TRK1" s="243"/>
      <c r="TRL1" s="243"/>
      <c r="TRM1" s="243" t="s">
        <v>127</v>
      </c>
      <c r="TRN1" s="243"/>
      <c r="TRO1" s="243"/>
      <c r="TRP1" s="243"/>
      <c r="TRQ1" s="243"/>
      <c r="TRR1" s="243"/>
      <c r="TRS1" s="243"/>
      <c r="TRT1" s="243"/>
      <c r="TRU1" s="243"/>
      <c r="TRV1" s="243"/>
      <c r="TRW1" s="243"/>
      <c r="TRX1" s="243"/>
      <c r="TRY1" s="243"/>
      <c r="TRZ1" s="243"/>
      <c r="TSA1" s="243"/>
      <c r="TSB1" s="243"/>
      <c r="TSC1" s="243" t="s">
        <v>127</v>
      </c>
      <c r="TSD1" s="243"/>
      <c r="TSE1" s="243"/>
      <c r="TSF1" s="243"/>
      <c r="TSG1" s="243"/>
      <c r="TSH1" s="243"/>
      <c r="TSI1" s="243"/>
      <c r="TSJ1" s="243"/>
      <c r="TSK1" s="243"/>
      <c r="TSL1" s="243"/>
      <c r="TSM1" s="243"/>
      <c r="TSN1" s="243"/>
      <c r="TSO1" s="243"/>
      <c r="TSP1" s="243"/>
      <c r="TSQ1" s="243"/>
      <c r="TSR1" s="243"/>
      <c r="TSS1" s="243" t="s">
        <v>127</v>
      </c>
      <c r="TST1" s="243"/>
      <c r="TSU1" s="243"/>
      <c r="TSV1" s="243"/>
      <c r="TSW1" s="243"/>
      <c r="TSX1" s="243"/>
      <c r="TSY1" s="243"/>
      <c r="TSZ1" s="243"/>
      <c r="TTA1" s="243"/>
      <c r="TTB1" s="243"/>
      <c r="TTC1" s="243"/>
      <c r="TTD1" s="243"/>
      <c r="TTE1" s="243"/>
      <c r="TTF1" s="243"/>
      <c r="TTG1" s="243"/>
      <c r="TTH1" s="243"/>
      <c r="TTI1" s="243" t="s">
        <v>127</v>
      </c>
      <c r="TTJ1" s="243"/>
      <c r="TTK1" s="243"/>
      <c r="TTL1" s="243"/>
      <c r="TTM1" s="243"/>
      <c r="TTN1" s="243"/>
      <c r="TTO1" s="243"/>
      <c r="TTP1" s="243"/>
      <c r="TTQ1" s="243"/>
      <c r="TTR1" s="243"/>
      <c r="TTS1" s="243"/>
      <c r="TTT1" s="243"/>
      <c r="TTU1" s="243"/>
      <c r="TTV1" s="243"/>
      <c r="TTW1" s="243"/>
      <c r="TTX1" s="243"/>
      <c r="TTY1" s="243" t="s">
        <v>127</v>
      </c>
      <c r="TTZ1" s="243"/>
      <c r="TUA1" s="243"/>
      <c r="TUB1" s="243"/>
      <c r="TUC1" s="243"/>
      <c r="TUD1" s="243"/>
      <c r="TUE1" s="243"/>
      <c r="TUF1" s="243"/>
      <c r="TUG1" s="243"/>
      <c r="TUH1" s="243"/>
      <c r="TUI1" s="243"/>
      <c r="TUJ1" s="243"/>
      <c r="TUK1" s="243"/>
      <c r="TUL1" s="243"/>
      <c r="TUM1" s="243"/>
      <c r="TUN1" s="243"/>
      <c r="TUO1" s="243" t="s">
        <v>127</v>
      </c>
      <c r="TUP1" s="243"/>
      <c r="TUQ1" s="243"/>
      <c r="TUR1" s="243"/>
      <c r="TUS1" s="243"/>
      <c r="TUT1" s="243"/>
      <c r="TUU1" s="243"/>
      <c r="TUV1" s="243"/>
      <c r="TUW1" s="243"/>
      <c r="TUX1" s="243"/>
      <c r="TUY1" s="243"/>
      <c r="TUZ1" s="243"/>
      <c r="TVA1" s="243"/>
      <c r="TVB1" s="243"/>
      <c r="TVC1" s="243"/>
      <c r="TVD1" s="243"/>
      <c r="TVE1" s="243" t="s">
        <v>127</v>
      </c>
      <c r="TVF1" s="243"/>
      <c r="TVG1" s="243"/>
      <c r="TVH1" s="243"/>
      <c r="TVI1" s="243"/>
      <c r="TVJ1" s="243"/>
      <c r="TVK1" s="243"/>
      <c r="TVL1" s="243"/>
      <c r="TVM1" s="243"/>
      <c r="TVN1" s="243"/>
      <c r="TVO1" s="243"/>
      <c r="TVP1" s="243"/>
      <c r="TVQ1" s="243"/>
      <c r="TVR1" s="243"/>
      <c r="TVS1" s="243"/>
      <c r="TVT1" s="243"/>
      <c r="TVU1" s="243" t="s">
        <v>127</v>
      </c>
      <c r="TVV1" s="243"/>
      <c r="TVW1" s="243"/>
      <c r="TVX1" s="243"/>
      <c r="TVY1" s="243"/>
      <c r="TVZ1" s="243"/>
      <c r="TWA1" s="243"/>
      <c r="TWB1" s="243"/>
      <c r="TWC1" s="243"/>
      <c r="TWD1" s="243"/>
      <c r="TWE1" s="243"/>
      <c r="TWF1" s="243"/>
      <c r="TWG1" s="243"/>
      <c r="TWH1" s="243"/>
      <c r="TWI1" s="243"/>
      <c r="TWJ1" s="243"/>
      <c r="TWK1" s="243" t="s">
        <v>127</v>
      </c>
      <c r="TWL1" s="243"/>
      <c r="TWM1" s="243"/>
      <c r="TWN1" s="243"/>
      <c r="TWO1" s="243"/>
      <c r="TWP1" s="243"/>
      <c r="TWQ1" s="243"/>
      <c r="TWR1" s="243"/>
      <c r="TWS1" s="243"/>
      <c r="TWT1" s="243"/>
      <c r="TWU1" s="243"/>
      <c r="TWV1" s="243"/>
      <c r="TWW1" s="243"/>
      <c r="TWX1" s="243"/>
      <c r="TWY1" s="243"/>
      <c r="TWZ1" s="243"/>
      <c r="TXA1" s="243" t="s">
        <v>127</v>
      </c>
      <c r="TXB1" s="243"/>
      <c r="TXC1" s="243"/>
      <c r="TXD1" s="243"/>
      <c r="TXE1" s="243"/>
      <c r="TXF1" s="243"/>
      <c r="TXG1" s="243"/>
      <c r="TXH1" s="243"/>
      <c r="TXI1" s="243"/>
      <c r="TXJ1" s="243"/>
      <c r="TXK1" s="243"/>
      <c r="TXL1" s="243"/>
      <c r="TXM1" s="243"/>
      <c r="TXN1" s="243"/>
      <c r="TXO1" s="243"/>
      <c r="TXP1" s="243"/>
      <c r="TXQ1" s="243" t="s">
        <v>127</v>
      </c>
      <c r="TXR1" s="243"/>
      <c r="TXS1" s="243"/>
      <c r="TXT1" s="243"/>
      <c r="TXU1" s="243"/>
      <c r="TXV1" s="243"/>
      <c r="TXW1" s="243"/>
      <c r="TXX1" s="243"/>
      <c r="TXY1" s="243"/>
      <c r="TXZ1" s="243"/>
      <c r="TYA1" s="243"/>
      <c r="TYB1" s="243"/>
      <c r="TYC1" s="243"/>
      <c r="TYD1" s="243"/>
      <c r="TYE1" s="243"/>
      <c r="TYF1" s="243"/>
      <c r="TYG1" s="243" t="s">
        <v>127</v>
      </c>
      <c r="TYH1" s="243"/>
      <c r="TYI1" s="243"/>
      <c r="TYJ1" s="243"/>
      <c r="TYK1" s="243"/>
      <c r="TYL1" s="243"/>
      <c r="TYM1" s="243"/>
      <c r="TYN1" s="243"/>
      <c r="TYO1" s="243"/>
      <c r="TYP1" s="243"/>
      <c r="TYQ1" s="243"/>
      <c r="TYR1" s="243"/>
      <c r="TYS1" s="243"/>
      <c r="TYT1" s="243"/>
      <c r="TYU1" s="243"/>
      <c r="TYV1" s="243"/>
      <c r="TYW1" s="243" t="s">
        <v>127</v>
      </c>
      <c r="TYX1" s="243"/>
      <c r="TYY1" s="243"/>
      <c r="TYZ1" s="243"/>
      <c r="TZA1" s="243"/>
      <c r="TZB1" s="243"/>
      <c r="TZC1" s="243"/>
      <c r="TZD1" s="243"/>
      <c r="TZE1" s="243"/>
      <c r="TZF1" s="243"/>
      <c r="TZG1" s="243"/>
      <c r="TZH1" s="243"/>
      <c r="TZI1" s="243"/>
      <c r="TZJ1" s="243"/>
      <c r="TZK1" s="243"/>
      <c r="TZL1" s="243"/>
      <c r="TZM1" s="243" t="s">
        <v>127</v>
      </c>
      <c r="TZN1" s="243"/>
      <c r="TZO1" s="243"/>
      <c r="TZP1" s="243"/>
      <c r="TZQ1" s="243"/>
      <c r="TZR1" s="243"/>
      <c r="TZS1" s="243"/>
      <c r="TZT1" s="243"/>
      <c r="TZU1" s="243"/>
      <c r="TZV1" s="243"/>
      <c r="TZW1" s="243"/>
      <c r="TZX1" s="243"/>
      <c r="TZY1" s="243"/>
      <c r="TZZ1" s="243"/>
      <c r="UAA1" s="243"/>
      <c r="UAB1" s="243"/>
      <c r="UAC1" s="243" t="s">
        <v>127</v>
      </c>
      <c r="UAD1" s="243"/>
      <c r="UAE1" s="243"/>
      <c r="UAF1" s="243"/>
      <c r="UAG1" s="243"/>
      <c r="UAH1" s="243"/>
      <c r="UAI1" s="243"/>
      <c r="UAJ1" s="243"/>
      <c r="UAK1" s="243"/>
      <c r="UAL1" s="243"/>
      <c r="UAM1" s="243"/>
      <c r="UAN1" s="243"/>
      <c r="UAO1" s="243"/>
      <c r="UAP1" s="243"/>
      <c r="UAQ1" s="243"/>
      <c r="UAR1" s="243"/>
      <c r="UAS1" s="243" t="s">
        <v>127</v>
      </c>
      <c r="UAT1" s="243"/>
      <c r="UAU1" s="243"/>
      <c r="UAV1" s="243"/>
      <c r="UAW1" s="243"/>
      <c r="UAX1" s="243"/>
      <c r="UAY1" s="243"/>
      <c r="UAZ1" s="243"/>
      <c r="UBA1" s="243"/>
      <c r="UBB1" s="243"/>
      <c r="UBC1" s="243"/>
      <c r="UBD1" s="243"/>
      <c r="UBE1" s="243"/>
      <c r="UBF1" s="243"/>
      <c r="UBG1" s="243"/>
      <c r="UBH1" s="243"/>
      <c r="UBI1" s="243" t="s">
        <v>127</v>
      </c>
      <c r="UBJ1" s="243"/>
      <c r="UBK1" s="243"/>
      <c r="UBL1" s="243"/>
      <c r="UBM1" s="243"/>
      <c r="UBN1" s="243"/>
      <c r="UBO1" s="243"/>
      <c r="UBP1" s="243"/>
      <c r="UBQ1" s="243"/>
      <c r="UBR1" s="243"/>
      <c r="UBS1" s="243"/>
      <c r="UBT1" s="243"/>
      <c r="UBU1" s="243"/>
      <c r="UBV1" s="243"/>
      <c r="UBW1" s="243"/>
      <c r="UBX1" s="243"/>
      <c r="UBY1" s="243" t="s">
        <v>127</v>
      </c>
      <c r="UBZ1" s="243"/>
      <c r="UCA1" s="243"/>
      <c r="UCB1" s="243"/>
      <c r="UCC1" s="243"/>
      <c r="UCD1" s="243"/>
      <c r="UCE1" s="243"/>
      <c r="UCF1" s="243"/>
      <c r="UCG1" s="243"/>
      <c r="UCH1" s="243"/>
      <c r="UCI1" s="243"/>
      <c r="UCJ1" s="243"/>
      <c r="UCK1" s="243"/>
      <c r="UCL1" s="243"/>
      <c r="UCM1" s="243"/>
      <c r="UCN1" s="243"/>
      <c r="UCO1" s="243" t="s">
        <v>127</v>
      </c>
      <c r="UCP1" s="243"/>
      <c r="UCQ1" s="243"/>
      <c r="UCR1" s="243"/>
      <c r="UCS1" s="243"/>
      <c r="UCT1" s="243"/>
      <c r="UCU1" s="243"/>
      <c r="UCV1" s="243"/>
      <c r="UCW1" s="243"/>
      <c r="UCX1" s="243"/>
      <c r="UCY1" s="243"/>
      <c r="UCZ1" s="243"/>
      <c r="UDA1" s="243"/>
      <c r="UDB1" s="243"/>
      <c r="UDC1" s="243"/>
      <c r="UDD1" s="243"/>
      <c r="UDE1" s="243" t="s">
        <v>127</v>
      </c>
      <c r="UDF1" s="243"/>
      <c r="UDG1" s="243"/>
      <c r="UDH1" s="243"/>
      <c r="UDI1" s="243"/>
      <c r="UDJ1" s="243"/>
      <c r="UDK1" s="243"/>
      <c r="UDL1" s="243"/>
      <c r="UDM1" s="243"/>
      <c r="UDN1" s="243"/>
      <c r="UDO1" s="243"/>
      <c r="UDP1" s="243"/>
      <c r="UDQ1" s="243"/>
      <c r="UDR1" s="243"/>
      <c r="UDS1" s="243"/>
      <c r="UDT1" s="243"/>
      <c r="UDU1" s="243" t="s">
        <v>127</v>
      </c>
      <c r="UDV1" s="243"/>
      <c r="UDW1" s="243"/>
      <c r="UDX1" s="243"/>
      <c r="UDY1" s="243"/>
      <c r="UDZ1" s="243"/>
      <c r="UEA1" s="243"/>
      <c r="UEB1" s="243"/>
      <c r="UEC1" s="243"/>
      <c r="UED1" s="243"/>
      <c r="UEE1" s="243"/>
      <c r="UEF1" s="243"/>
      <c r="UEG1" s="243"/>
      <c r="UEH1" s="243"/>
      <c r="UEI1" s="243"/>
      <c r="UEJ1" s="243"/>
      <c r="UEK1" s="243" t="s">
        <v>127</v>
      </c>
      <c r="UEL1" s="243"/>
      <c r="UEM1" s="243"/>
      <c r="UEN1" s="243"/>
      <c r="UEO1" s="243"/>
      <c r="UEP1" s="243"/>
      <c r="UEQ1" s="243"/>
      <c r="UER1" s="243"/>
      <c r="UES1" s="243"/>
      <c r="UET1" s="243"/>
      <c r="UEU1" s="243"/>
      <c r="UEV1" s="243"/>
      <c r="UEW1" s="243"/>
      <c r="UEX1" s="243"/>
      <c r="UEY1" s="243"/>
      <c r="UEZ1" s="243"/>
      <c r="UFA1" s="243" t="s">
        <v>127</v>
      </c>
      <c r="UFB1" s="243"/>
      <c r="UFC1" s="243"/>
      <c r="UFD1" s="243"/>
      <c r="UFE1" s="243"/>
      <c r="UFF1" s="243"/>
      <c r="UFG1" s="243"/>
      <c r="UFH1" s="243"/>
      <c r="UFI1" s="243"/>
      <c r="UFJ1" s="243"/>
      <c r="UFK1" s="243"/>
      <c r="UFL1" s="243"/>
      <c r="UFM1" s="243"/>
      <c r="UFN1" s="243"/>
      <c r="UFO1" s="243"/>
      <c r="UFP1" s="243"/>
      <c r="UFQ1" s="243" t="s">
        <v>127</v>
      </c>
      <c r="UFR1" s="243"/>
      <c r="UFS1" s="243"/>
      <c r="UFT1" s="243"/>
      <c r="UFU1" s="243"/>
      <c r="UFV1" s="243"/>
      <c r="UFW1" s="243"/>
      <c r="UFX1" s="243"/>
      <c r="UFY1" s="243"/>
      <c r="UFZ1" s="243"/>
      <c r="UGA1" s="243"/>
      <c r="UGB1" s="243"/>
      <c r="UGC1" s="243"/>
      <c r="UGD1" s="243"/>
      <c r="UGE1" s="243"/>
      <c r="UGF1" s="243"/>
      <c r="UGG1" s="243" t="s">
        <v>127</v>
      </c>
      <c r="UGH1" s="243"/>
      <c r="UGI1" s="243"/>
      <c r="UGJ1" s="243"/>
      <c r="UGK1" s="243"/>
      <c r="UGL1" s="243"/>
      <c r="UGM1" s="243"/>
      <c r="UGN1" s="243"/>
      <c r="UGO1" s="243"/>
      <c r="UGP1" s="243"/>
      <c r="UGQ1" s="243"/>
      <c r="UGR1" s="243"/>
      <c r="UGS1" s="243"/>
      <c r="UGT1" s="243"/>
      <c r="UGU1" s="243"/>
      <c r="UGV1" s="243"/>
      <c r="UGW1" s="243" t="s">
        <v>127</v>
      </c>
      <c r="UGX1" s="243"/>
      <c r="UGY1" s="243"/>
      <c r="UGZ1" s="243"/>
      <c r="UHA1" s="243"/>
      <c r="UHB1" s="243"/>
      <c r="UHC1" s="243"/>
      <c r="UHD1" s="243"/>
      <c r="UHE1" s="243"/>
      <c r="UHF1" s="243"/>
      <c r="UHG1" s="243"/>
      <c r="UHH1" s="243"/>
      <c r="UHI1" s="243"/>
      <c r="UHJ1" s="243"/>
      <c r="UHK1" s="243"/>
      <c r="UHL1" s="243"/>
      <c r="UHM1" s="243" t="s">
        <v>127</v>
      </c>
      <c r="UHN1" s="243"/>
      <c r="UHO1" s="243"/>
      <c r="UHP1" s="243"/>
      <c r="UHQ1" s="243"/>
      <c r="UHR1" s="243"/>
      <c r="UHS1" s="243"/>
      <c r="UHT1" s="243"/>
      <c r="UHU1" s="243"/>
      <c r="UHV1" s="243"/>
      <c r="UHW1" s="243"/>
      <c r="UHX1" s="243"/>
      <c r="UHY1" s="243"/>
      <c r="UHZ1" s="243"/>
      <c r="UIA1" s="243"/>
      <c r="UIB1" s="243"/>
      <c r="UIC1" s="243" t="s">
        <v>127</v>
      </c>
      <c r="UID1" s="243"/>
      <c r="UIE1" s="243"/>
      <c r="UIF1" s="243"/>
      <c r="UIG1" s="243"/>
      <c r="UIH1" s="243"/>
      <c r="UII1" s="243"/>
      <c r="UIJ1" s="243"/>
      <c r="UIK1" s="243"/>
      <c r="UIL1" s="243"/>
      <c r="UIM1" s="243"/>
      <c r="UIN1" s="243"/>
      <c r="UIO1" s="243"/>
      <c r="UIP1" s="243"/>
      <c r="UIQ1" s="243"/>
      <c r="UIR1" s="243"/>
      <c r="UIS1" s="243" t="s">
        <v>127</v>
      </c>
      <c r="UIT1" s="243"/>
      <c r="UIU1" s="243"/>
      <c r="UIV1" s="243"/>
      <c r="UIW1" s="243"/>
      <c r="UIX1" s="243"/>
      <c r="UIY1" s="243"/>
      <c r="UIZ1" s="243"/>
      <c r="UJA1" s="243"/>
      <c r="UJB1" s="243"/>
      <c r="UJC1" s="243"/>
      <c r="UJD1" s="243"/>
      <c r="UJE1" s="243"/>
      <c r="UJF1" s="243"/>
      <c r="UJG1" s="243"/>
      <c r="UJH1" s="243"/>
      <c r="UJI1" s="243" t="s">
        <v>127</v>
      </c>
      <c r="UJJ1" s="243"/>
      <c r="UJK1" s="243"/>
      <c r="UJL1" s="243"/>
      <c r="UJM1" s="243"/>
      <c r="UJN1" s="243"/>
      <c r="UJO1" s="243"/>
      <c r="UJP1" s="243"/>
      <c r="UJQ1" s="243"/>
      <c r="UJR1" s="243"/>
      <c r="UJS1" s="243"/>
      <c r="UJT1" s="243"/>
      <c r="UJU1" s="243"/>
      <c r="UJV1" s="243"/>
      <c r="UJW1" s="243"/>
      <c r="UJX1" s="243"/>
      <c r="UJY1" s="243" t="s">
        <v>127</v>
      </c>
      <c r="UJZ1" s="243"/>
      <c r="UKA1" s="243"/>
      <c r="UKB1" s="243"/>
      <c r="UKC1" s="243"/>
      <c r="UKD1" s="243"/>
      <c r="UKE1" s="243"/>
      <c r="UKF1" s="243"/>
      <c r="UKG1" s="243"/>
      <c r="UKH1" s="243"/>
      <c r="UKI1" s="243"/>
      <c r="UKJ1" s="243"/>
      <c r="UKK1" s="243"/>
      <c r="UKL1" s="243"/>
      <c r="UKM1" s="243"/>
      <c r="UKN1" s="243"/>
      <c r="UKO1" s="243" t="s">
        <v>127</v>
      </c>
      <c r="UKP1" s="243"/>
      <c r="UKQ1" s="243"/>
      <c r="UKR1" s="243"/>
      <c r="UKS1" s="243"/>
      <c r="UKT1" s="243"/>
      <c r="UKU1" s="243"/>
      <c r="UKV1" s="243"/>
      <c r="UKW1" s="243"/>
      <c r="UKX1" s="243"/>
      <c r="UKY1" s="243"/>
      <c r="UKZ1" s="243"/>
      <c r="ULA1" s="243"/>
      <c r="ULB1" s="243"/>
      <c r="ULC1" s="243"/>
      <c r="ULD1" s="243"/>
      <c r="ULE1" s="243" t="s">
        <v>127</v>
      </c>
      <c r="ULF1" s="243"/>
      <c r="ULG1" s="243"/>
      <c r="ULH1" s="243"/>
      <c r="ULI1" s="243"/>
      <c r="ULJ1" s="243"/>
      <c r="ULK1" s="243"/>
      <c r="ULL1" s="243"/>
      <c r="ULM1" s="243"/>
      <c r="ULN1" s="243"/>
      <c r="ULO1" s="243"/>
      <c r="ULP1" s="243"/>
      <c r="ULQ1" s="243"/>
      <c r="ULR1" s="243"/>
      <c r="ULS1" s="243"/>
      <c r="ULT1" s="243"/>
      <c r="ULU1" s="243" t="s">
        <v>127</v>
      </c>
      <c r="ULV1" s="243"/>
      <c r="ULW1" s="243"/>
      <c r="ULX1" s="243"/>
      <c r="ULY1" s="243"/>
      <c r="ULZ1" s="243"/>
      <c r="UMA1" s="243"/>
      <c r="UMB1" s="243"/>
      <c r="UMC1" s="243"/>
      <c r="UMD1" s="243"/>
      <c r="UME1" s="243"/>
      <c r="UMF1" s="243"/>
      <c r="UMG1" s="243"/>
      <c r="UMH1" s="243"/>
      <c r="UMI1" s="243"/>
      <c r="UMJ1" s="243"/>
      <c r="UMK1" s="243" t="s">
        <v>127</v>
      </c>
      <c r="UML1" s="243"/>
      <c r="UMM1" s="243"/>
      <c r="UMN1" s="243"/>
      <c r="UMO1" s="243"/>
      <c r="UMP1" s="243"/>
      <c r="UMQ1" s="243"/>
      <c r="UMR1" s="243"/>
      <c r="UMS1" s="243"/>
      <c r="UMT1" s="243"/>
      <c r="UMU1" s="243"/>
      <c r="UMV1" s="243"/>
      <c r="UMW1" s="243"/>
      <c r="UMX1" s="243"/>
      <c r="UMY1" s="243"/>
      <c r="UMZ1" s="243"/>
      <c r="UNA1" s="243" t="s">
        <v>127</v>
      </c>
      <c r="UNB1" s="243"/>
      <c r="UNC1" s="243"/>
      <c r="UND1" s="243"/>
      <c r="UNE1" s="243"/>
      <c r="UNF1" s="243"/>
      <c r="UNG1" s="243"/>
      <c r="UNH1" s="243"/>
      <c r="UNI1" s="243"/>
      <c r="UNJ1" s="243"/>
      <c r="UNK1" s="243"/>
      <c r="UNL1" s="243"/>
      <c r="UNM1" s="243"/>
      <c r="UNN1" s="243"/>
      <c r="UNO1" s="243"/>
      <c r="UNP1" s="243"/>
      <c r="UNQ1" s="243" t="s">
        <v>127</v>
      </c>
      <c r="UNR1" s="243"/>
      <c r="UNS1" s="243"/>
      <c r="UNT1" s="243"/>
      <c r="UNU1" s="243"/>
      <c r="UNV1" s="243"/>
      <c r="UNW1" s="243"/>
      <c r="UNX1" s="243"/>
      <c r="UNY1" s="243"/>
      <c r="UNZ1" s="243"/>
      <c r="UOA1" s="243"/>
      <c r="UOB1" s="243"/>
      <c r="UOC1" s="243"/>
      <c r="UOD1" s="243"/>
      <c r="UOE1" s="243"/>
      <c r="UOF1" s="243"/>
      <c r="UOG1" s="243" t="s">
        <v>127</v>
      </c>
      <c r="UOH1" s="243"/>
      <c r="UOI1" s="243"/>
      <c r="UOJ1" s="243"/>
      <c r="UOK1" s="243"/>
      <c r="UOL1" s="243"/>
      <c r="UOM1" s="243"/>
      <c r="UON1" s="243"/>
      <c r="UOO1" s="243"/>
      <c r="UOP1" s="243"/>
      <c r="UOQ1" s="243"/>
      <c r="UOR1" s="243"/>
      <c r="UOS1" s="243"/>
      <c r="UOT1" s="243"/>
      <c r="UOU1" s="243"/>
      <c r="UOV1" s="243"/>
      <c r="UOW1" s="243" t="s">
        <v>127</v>
      </c>
      <c r="UOX1" s="243"/>
      <c r="UOY1" s="243"/>
      <c r="UOZ1" s="243"/>
      <c r="UPA1" s="243"/>
      <c r="UPB1" s="243"/>
      <c r="UPC1" s="243"/>
      <c r="UPD1" s="243"/>
      <c r="UPE1" s="243"/>
      <c r="UPF1" s="243"/>
      <c r="UPG1" s="243"/>
      <c r="UPH1" s="243"/>
      <c r="UPI1" s="243"/>
      <c r="UPJ1" s="243"/>
      <c r="UPK1" s="243"/>
      <c r="UPL1" s="243"/>
      <c r="UPM1" s="243" t="s">
        <v>127</v>
      </c>
      <c r="UPN1" s="243"/>
      <c r="UPO1" s="243"/>
      <c r="UPP1" s="243"/>
      <c r="UPQ1" s="243"/>
      <c r="UPR1" s="243"/>
      <c r="UPS1" s="243"/>
      <c r="UPT1" s="243"/>
      <c r="UPU1" s="243"/>
      <c r="UPV1" s="243"/>
      <c r="UPW1" s="243"/>
      <c r="UPX1" s="243"/>
      <c r="UPY1" s="243"/>
      <c r="UPZ1" s="243"/>
      <c r="UQA1" s="243"/>
      <c r="UQB1" s="243"/>
      <c r="UQC1" s="243" t="s">
        <v>127</v>
      </c>
      <c r="UQD1" s="243"/>
      <c r="UQE1" s="243"/>
      <c r="UQF1" s="243"/>
      <c r="UQG1" s="243"/>
      <c r="UQH1" s="243"/>
      <c r="UQI1" s="243"/>
      <c r="UQJ1" s="243"/>
      <c r="UQK1" s="243"/>
      <c r="UQL1" s="243"/>
      <c r="UQM1" s="243"/>
      <c r="UQN1" s="243"/>
      <c r="UQO1" s="243"/>
      <c r="UQP1" s="243"/>
      <c r="UQQ1" s="243"/>
      <c r="UQR1" s="243"/>
      <c r="UQS1" s="243" t="s">
        <v>127</v>
      </c>
      <c r="UQT1" s="243"/>
      <c r="UQU1" s="243"/>
      <c r="UQV1" s="243"/>
      <c r="UQW1" s="243"/>
      <c r="UQX1" s="243"/>
      <c r="UQY1" s="243"/>
      <c r="UQZ1" s="243"/>
      <c r="URA1" s="243"/>
      <c r="URB1" s="243"/>
      <c r="URC1" s="243"/>
      <c r="URD1" s="243"/>
      <c r="URE1" s="243"/>
      <c r="URF1" s="243"/>
      <c r="URG1" s="243"/>
      <c r="URH1" s="243"/>
      <c r="URI1" s="243" t="s">
        <v>127</v>
      </c>
      <c r="URJ1" s="243"/>
      <c r="URK1" s="243"/>
      <c r="URL1" s="243"/>
      <c r="URM1" s="243"/>
      <c r="URN1" s="243"/>
      <c r="URO1" s="243"/>
      <c r="URP1" s="243"/>
      <c r="URQ1" s="243"/>
      <c r="URR1" s="243"/>
      <c r="URS1" s="243"/>
      <c r="URT1" s="243"/>
      <c r="URU1" s="243"/>
      <c r="URV1" s="243"/>
      <c r="URW1" s="243"/>
      <c r="URX1" s="243"/>
      <c r="URY1" s="243" t="s">
        <v>127</v>
      </c>
      <c r="URZ1" s="243"/>
      <c r="USA1" s="243"/>
      <c r="USB1" s="243"/>
      <c r="USC1" s="243"/>
      <c r="USD1" s="243"/>
      <c r="USE1" s="243"/>
      <c r="USF1" s="243"/>
      <c r="USG1" s="243"/>
      <c r="USH1" s="243"/>
      <c r="USI1" s="243"/>
      <c r="USJ1" s="243"/>
      <c r="USK1" s="243"/>
      <c r="USL1" s="243"/>
      <c r="USM1" s="243"/>
      <c r="USN1" s="243"/>
      <c r="USO1" s="243" t="s">
        <v>127</v>
      </c>
      <c r="USP1" s="243"/>
      <c r="USQ1" s="243"/>
      <c r="USR1" s="243"/>
      <c r="USS1" s="243"/>
      <c r="UST1" s="243"/>
      <c r="USU1" s="243"/>
      <c r="USV1" s="243"/>
      <c r="USW1" s="243"/>
      <c r="USX1" s="243"/>
      <c r="USY1" s="243"/>
      <c r="USZ1" s="243"/>
      <c r="UTA1" s="243"/>
      <c r="UTB1" s="243"/>
      <c r="UTC1" s="243"/>
      <c r="UTD1" s="243"/>
      <c r="UTE1" s="243" t="s">
        <v>127</v>
      </c>
      <c r="UTF1" s="243"/>
      <c r="UTG1" s="243"/>
      <c r="UTH1" s="243"/>
      <c r="UTI1" s="243"/>
      <c r="UTJ1" s="243"/>
      <c r="UTK1" s="243"/>
      <c r="UTL1" s="243"/>
      <c r="UTM1" s="243"/>
      <c r="UTN1" s="243"/>
      <c r="UTO1" s="243"/>
      <c r="UTP1" s="243"/>
      <c r="UTQ1" s="243"/>
      <c r="UTR1" s="243"/>
      <c r="UTS1" s="243"/>
      <c r="UTT1" s="243"/>
      <c r="UTU1" s="243" t="s">
        <v>127</v>
      </c>
      <c r="UTV1" s="243"/>
      <c r="UTW1" s="243"/>
      <c r="UTX1" s="243"/>
      <c r="UTY1" s="243"/>
      <c r="UTZ1" s="243"/>
      <c r="UUA1" s="243"/>
      <c r="UUB1" s="243"/>
      <c r="UUC1" s="243"/>
      <c r="UUD1" s="243"/>
      <c r="UUE1" s="243"/>
      <c r="UUF1" s="243"/>
      <c r="UUG1" s="243"/>
      <c r="UUH1" s="243"/>
      <c r="UUI1" s="243"/>
      <c r="UUJ1" s="243"/>
      <c r="UUK1" s="243" t="s">
        <v>127</v>
      </c>
      <c r="UUL1" s="243"/>
      <c r="UUM1" s="243"/>
      <c r="UUN1" s="243"/>
      <c r="UUO1" s="243"/>
      <c r="UUP1" s="243"/>
      <c r="UUQ1" s="243"/>
      <c r="UUR1" s="243"/>
      <c r="UUS1" s="243"/>
      <c r="UUT1" s="243"/>
      <c r="UUU1" s="243"/>
      <c r="UUV1" s="243"/>
      <c r="UUW1" s="243"/>
      <c r="UUX1" s="243"/>
      <c r="UUY1" s="243"/>
      <c r="UUZ1" s="243"/>
      <c r="UVA1" s="243" t="s">
        <v>127</v>
      </c>
      <c r="UVB1" s="243"/>
      <c r="UVC1" s="243"/>
      <c r="UVD1" s="243"/>
      <c r="UVE1" s="243"/>
      <c r="UVF1" s="243"/>
      <c r="UVG1" s="243"/>
      <c r="UVH1" s="243"/>
      <c r="UVI1" s="243"/>
      <c r="UVJ1" s="243"/>
      <c r="UVK1" s="243"/>
      <c r="UVL1" s="243"/>
      <c r="UVM1" s="243"/>
      <c r="UVN1" s="243"/>
      <c r="UVO1" s="243"/>
      <c r="UVP1" s="243"/>
      <c r="UVQ1" s="243" t="s">
        <v>127</v>
      </c>
      <c r="UVR1" s="243"/>
      <c r="UVS1" s="243"/>
      <c r="UVT1" s="243"/>
      <c r="UVU1" s="243"/>
      <c r="UVV1" s="243"/>
      <c r="UVW1" s="243"/>
      <c r="UVX1" s="243"/>
      <c r="UVY1" s="243"/>
      <c r="UVZ1" s="243"/>
      <c r="UWA1" s="243"/>
      <c r="UWB1" s="243"/>
      <c r="UWC1" s="243"/>
      <c r="UWD1" s="243"/>
      <c r="UWE1" s="243"/>
      <c r="UWF1" s="243"/>
      <c r="UWG1" s="243" t="s">
        <v>127</v>
      </c>
      <c r="UWH1" s="243"/>
      <c r="UWI1" s="243"/>
      <c r="UWJ1" s="243"/>
      <c r="UWK1" s="243"/>
      <c r="UWL1" s="243"/>
      <c r="UWM1" s="243"/>
      <c r="UWN1" s="243"/>
      <c r="UWO1" s="243"/>
      <c r="UWP1" s="243"/>
      <c r="UWQ1" s="243"/>
      <c r="UWR1" s="243"/>
      <c r="UWS1" s="243"/>
      <c r="UWT1" s="243"/>
      <c r="UWU1" s="243"/>
      <c r="UWV1" s="243"/>
      <c r="UWW1" s="243" t="s">
        <v>127</v>
      </c>
      <c r="UWX1" s="243"/>
      <c r="UWY1" s="243"/>
      <c r="UWZ1" s="243"/>
      <c r="UXA1" s="243"/>
      <c r="UXB1" s="243"/>
      <c r="UXC1" s="243"/>
      <c r="UXD1" s="243"/>
      <c r="UXE1" s="243"/>
      <c r="UXF1" s="243"/>
      <c r="UXG1" s="243"/>
      <c r="UXH1" s="243"/>
      <c r="UXI1" s="243"/>
      <c r="UXJ1" s="243"/>
      <c r="UXK1" s="243"/>
      <c r="UXL1" s="243"/>
      <c r="UXM1" s="243" t="s">
        <v>127</v>
      </c>
      <c r="UXN1" s="243"/>
      <c r="UXO1" s="243"/>
      <c r="UXP1" s="243"/>
      <c r="UXQ1" s="243"/>
      <c r="UXR1" s="243"/>
      <c r="UXS1" s="243"/>
      <c r="UXT1" s="243"/>
      <c r="UXU1" s="243"/>
      <c r="UXV1" s="243"/>
      <c r="UXW1" s="243"/>
      <c r="UXX1" s="243"/>
      <c r="UXY1" s="243"/>
      <c r="UXZ1" s="243"/>
      <c r="UYA1" s="243"/>
      <c r="UYB1" s="243"/>
      <c r="UYC1" s="243" t="s">
        <v>127</v>
      </c>
      <c r="UYD1" s="243"/>
      <c r="UYE1" s="243"/>
      <c r="UYF1" s="243"/>
      <c r="UYG1" s="243"/>
      <c r="UYH1" s="243"/>
      <c r="UYI1" s="243"/>
      <c r="UYJ1" s="243"/>
      <c r="UYK1" s="243"/>
      <c r="UYL1" s="243"/>
      <c r="UYM1" s="243"/>
      <c r="UYN1" s="243"/>
      <c r="UYO1" s="243"/>
      <c r="UYP1" s="243"/>
      <c r="UYQ1" s="243"/>
      <c r="UYR1" s="243"/>
      <c r="UYS1" s="243" t="s">
        <v>127</v>
      </c>
      <c r="UYT1" s="243"/>
      <c r="UYU1" s="243"/>
      <c r="UYV1" s="243"/>
      <c r="UYW1" s="243"/>
      <c r="UYX1" s="243"/>
      <c r="UYY1" s="243"/>
      <c r="UYZ1" s="243"/>
      <c r="UZA1" s="243"/>
      <c r="UZB1" s="243"/>
      <c r="UZC1" s="243"/>
      <c r="UZD1" s="243"/>
      <c r="UZE1" s="243"/>
      <c r="UZF1" s="243"/>
      <c r="UZG1" s="243"/>
      <c r="UZH1" s="243"/>
      <c r="UZI1" s="243" t="s">
        <v>127</v>
      </c>
      <c r="UZJ1" s="243"/>
      <c r="UZK1" s="243"/>
      <c r="UZL1" s="243"/>
      <c r="UZM1" s="243"/>
      <c r="UZN1" s="243"/>
      <c r="UZO1" s="243"/>
      <c r="UZP1" s="243"/>
      <c r="UZQ1" s="243"/>
      <c r="UZR1" s="243"/>
      <c r="UZS1" s="243"/>
      <c r="UZT1" s="243"/>
      <c r="UZU1" s="243"/>
      <c r="UZV1" s="243"/>
      <c r="UZW1" s="243"/>
      <c r="UZX1" s="243"/>
      <c r="UZY1" s="243" t="s">
        <v>127</v>
      </c>
      <c r="UZZ1" s="243"/>
      <c r="VAA1" s="243"/>
      <c r="VAB1" s="243"/>
      <c r="VAC1" s="243"/>
      <c r="VAD1" s="243"/>
      <c r="VAE1" s="243"/>
      <c r="VAF1" s="243"/>
      <c r="VAG1" s="243"/>
      <c r="VAH1" s="243"/>
      <c r="VAI1" s="243"/>
      <c r="VAJ1" s="243"/>
      <c r="VAK1" s="243"/>
      <c r="VAL1" s="243"/>
      <c r="VAM1" s="243"/>
      <c r="VAN1" s="243"/>
      <c r="VAO1" s="243" t="s">
        <v>127</v>
      </c>
      <c r="VAP1" s="243"/>
      <c r="VAQ1" s="243"/>
      <c r="VAR1" s="243"/>
      <c r="VAS1" s="243"/>
      <c r="VAT1" s="243"/>
      <c r="VAU1" s="243"/>
      <c r="VAV1" s="243"/>
      <c r="VAW1" s="243"/>
      <c r="VAX1" s="243"/>
      <c r="VAY1" s="243"/>
      <c r="VAZ1" s="243"/>
      <c r="VBA1" s="243"/>
      <c r="VBB1" s="243"/>
      <c r="VBC1" s="243"/>
      <c r="VBD1" s="243"/>
      <c r="VBE1" s="243" t="s">
        <v>127</v>
      </c>
      <c r="VBF1" s="243"/>
      <c r="VBG1" s="243"/>
      <c r="VBH1" s="243"/>
      <c r="VBI1" s="243"/>
      <c r="VBJ1" s="243"/>
      <c r="VBK1" s="243"/>
      <c r="VBL1" s="243"/>
      <c r="VBM1" s="243"/>
      <c r="VBN1" s="243"/>
      <c r="VBO1" s="243"/>
      <c r="VBP1" s="243"/>
      <c r="VBQ1" s="243"/>
      <c r="VBR1" s="243"/>
      <c r="VBS1" s="243"/>
      <c r="VBT1" s="243"/>
      <c r="VBU1" s="243" t="s">
        <v>127</v>
      </c>
      <c r="VBV1" s="243"/>
      <c r="VBW1" s="243"/>
      <c r="VBX1" s="243"/>
      <c r="VBY1" s="243"/>
      <c r="VBZ1" s="243"/>
      <c r="VCA1" s="243"/>
      <c r="VCB1" s="243"/>
      <c r="VCC1" s="243"/>
      <c r="VCD1" s="243"/>
      <c r="VCE1" s="243"/>
      <c r="VCF1" s="243"/>
      <c r="VCG1" s="243"/>
      <c r="VCH1" s="243"/>
      <c r="VCI1" s="243"/>
      <c r="VCJ1" s="243"/>
      <c r="VCK1" s="243" t="s">
        <v>127</v>
      </c>
      <c r="VCL1" s="243"/>
      <c r="VCM1" s="243"/>
      <c r="VCN1" s="243"/>
      <c r="VCO1" s="243"/>
      <c r="VCP1" s="243"/>
      <c r="VCQ1" s="243"/>
      <c r="VCR1" s="243"/>
      <c r="VCS1" s="243"/>
      <c r="VCT1" s="243"/>
      <c r="VCU1" s="243"/>
      <c r="VCV1" s="243"/>
      <c r="VCW1" s="243"/>
      <c r="VCX1" s="243"/>
      <c r="VCY1" s="243"/>
      <c r="VCZ1" s="243"/>
      <c r="VDA1" s="243" t="s">
        <v>127</v>
      </c>
      <c r="VDB1" s="243"/>
      <c r="VDC1" s="243"/>
      <c r="VDD1" s="243"/>
      <c r="VDE1" s="243"/>
      <c r="VDF1" s="243"/>
      <c r="VDG1" s="243"/>
      <c r="VDH1" s="243"/>
      <c r="VDI1" s="243"/>
      <c r="VDJ1" s="243"/>
      <c r="VDK1" s="243"/>
      <c r="VDL1" s="243"/>
      <c r="VDM1" s="243"/>
      <c r="VDN1" s="243"/>
      <c r="VDO1" s="243"/>
      <c r="VDP1" s="243"/>
      <c r="VDQ1" s="243" t="s">
        <v>127</v>
      </c>
      <c r="VDR1" s="243"/>
      <c r="VDS1" s="243"/>
      <c r="VDT1" s="243"/>
      <c r="VDU1" s="243"/>
      <c r="VDV1" s="243"/>
      <c r="VDW1" s="243"/>
      <c r="VDX1" s="243"/>
      <c r="VDY1" s="243"/>
      <c r="VDZ1" s="243"/>
      <c r="VEA1" s="243"/>
      <c r="VEB1" s="243"/>
      <c r="VEC1" s="243"/>
      <c r="VED1" s="243"/>
      <c r="VEE1" s="243"/>
      <c r="VEF1" s="243"/>
      <c r="VEG1" s="243" t="s">
        <v>127</v>
      </c>
      <c r="VEH1" s="243"/>
      <c r="VEI1" s="243"/>
      <c r="VEJ1" s="243"/>
      <c r="VEK1" s="243"/>
      <c r="VEL1" s="243"/>
      <c r="VEM1" s="243"/>
      <c r="VEN1" s="243"/>
      <c r="VEO1" s="243"/>
      <c r="VEP1" s="243"/>
      <c r="VEQ1" s="243"/>
      <c r="VER1" s="243"/>
      <c r="VES1" s="243"/>
      <c r="VET1" s="243"/>
      <c r="VEU1" s="243"/>
      <c r="VEV1" s="243"/>
      <c r="VEW1" s="243" t="s">
        <v>127</v>
      </c>
      <c r="VEX1" s="243"/>
      <c r="VEY1" s="243"/>
      <c r="VEZ1" s="243"/>
      <c r="VFA1" s="243"/>
      <c r="VFB1" s="243"/>
      <c r="VFC1" s="243"/>
      <c r="VFD1" s="243"/>
      <c r="VFE1" s="243"/>
      <c r="VFF1" s="243"/>
      <c r="VFG1" s="243"/>
      <c r="VFH1" s="243"/>
      <c r="VFI1" s="243"/>
      <c r="VFJ1" s="243"/>
      <c r="VFK1" s="243"/>
      <c r="VFL1" s="243"/>
      <c r="VFM1" s="243" t="s">
        <v>127</v>
      </c>
      <c r="VFN1" s="243"/>
      <c r="VFO1" s="243"/>
      <c r="VFP1" s="243"/>
      <c r="VFQ1" s="243"/>
      <c r="VFR1" s="243"/>
      <c r="VFS1" s="243"/>
      <c r="VFT1" s="243"/>
      <c r="VFU1" s="243"/>
      <c r="VFV1" s="243"/>
      <c r="VFW1" s="243"/>
      <c r="VFX1" s="243"/>
      <c r="VFY1" s="243"/>
      <c r="VFZ1" s="243"/>
      <c r="VGA1" s="243"/>
      <c r="VGB1" s="243"/>
      <c r="VGC1" s="243" t="s">
        <v>127</v>
      </c>
      <c r="VGD1" s="243"/>
      <c r="VGE1" s="243"/>
      <c r="VGF1" s="243"/>
      <c r="VGG1" s="243"/>
      <c r="VGH1" s="243"/>
      <c r="VGI1" s="243"/>
      <c r="VGJ1" s="243"/>
      <c r="VGK1" s="243"/>
      <c r="VGL1" s="243"/>
      <c r="VGM1" s="243"/>
      <c r="VGN1" s="243"/>
      <c r="VGO1" s="243"/>
      <c r="VGP1" s="243"/>
      <c r="VGQ1" s="243"/>
      <c r="VGR1" s="243"/>
      <c r="VGS1" s="243" t="s">
        <v>127</v>
      </c>
      <c r="VGT1" s="243"/>
      <c r="VGU1" s="243"/>
      <c r="VGV1" s="243"/>
      <c r="VGW1" s="243"/>
      <c r="VGX1" s="243"/>
      <c r="VGY1" s="243"/>
      <c r="VGZ1" s="243"/>
      <c r="VHA1" s="243"/>
      <c r="VHB1" s="243"/>
      <c r="VHC1" s="243"/>
      <c r="VHD1" s="243"/>
      <c r="VHE1" s="243"/>
      <c r="VHF1" s="243"/>
      <c r="VHG1" s="243"/>
      <c r="VHH1" s="243"/>
      <c r="VHI1" s="243" t="s">
        <v>127</v>
      </c>
      <c r="VHJ1" s="243"/>
      <c r="VHK1" s="243"/>
      <c r="VHL1" s="243"/>
      <c r="VHM1" s="243"/>
      <c r="VHN1" s="243"/>
      <c r="VHO1" s="243"/>
      <c r="VHP1" s="243"/>
      <c r="VHQ1" s="243"/>
      <c r="VHR1" s="243"/>
      <c r="VHS1" s="243"/>
      <c r="VHT1" s="243"/>
      <c r="VHU1" s="243"/>
      <c r="VHV1" s="243"/>
      <c r="VHW1" s="243"/>
      <c r="VHX1" s="243"/>
      <c r="VHY1" s="243" t="s">
        <v>127</v>
      </c>
      <c r="VHZ1" s="243"/>
      <c r="VIA1" s="243"/>
      <c r="VIB1" s="243"/>
      <c r="VIC1" s="243"/>
      <c r="VID1" s="243"/>
      <c r="VIE1" s="243"/>
      <c r="VIF1" s="243"/>
      <c r="VIG1" s="243"/>
      <c r="VIH1" s="243"/>
      <c r="VII1" s="243"/>
      <c r="VIJ1" s="243"/>
      <c r="VIK1" s="243"/>
      <c r="VIL1" s="243"/>
      <c r="VIM1" s="243"/>
      <c r="VIN1" s="243"/>
      <c r="VIO1" s="243" t="s">
        <v>127</v>
      </c>
      <c r="VIP1" s="243"/>
      <c r="VIQ1" s="243"/>
      <c r="VIR1" s="243"/>
      <c r="VIS1" s="243"/>
      <c r="VIT1" s="243"/>
      <c r="VIU1" s="243"/>
      <c r="VIV1" s="243"/>
      <c r="VIW1" s="243"/>
      <c r="VIX1" s="243"/>
      <c r="VIY1" s="243"/>
      <c r="VIZ1" s="243"/>
      <c r="VJA1" s="243"/>
      <c r="VJB1" s="243"/>
      <c r="VJC1" s="243"/>
      <c r="VJD1" s="243"/>
      <c r="VJE1" s="243" t="s">
        <v>127</v>
      </c>
      <c r="VJF1" s="243"/>
      <c r="VJG1" s="243"/>
      <c r="VJH1" s="243"/>
      <c r="VJI1" s="243"/>
      <c r="VJJ1" s="243"/>
      <c r="VJK1" s="243"/>
      <c r="VJL1" s="243"/>
      <c r="VJM1" s="243"/>
      <c r="VJN1" s="243"/>
      <c r="VJO1" s="243"/>
      <c r="VJP1" s="243"/>
      <c r="VJQ1" s="243"/>
      <c r="VJR1" s="243"/>
      <c r="VJS1" s="243"/>
      <c r="VJT1" s="243"/>
      <c r="VJU1" s="243" t="s">
        <v>127</v>
      </c>
      <c r="VJV1" s="243"/>
      <c r="VJW1" s="243"/>
      <c r="VJX1" s="243"/>
      <c r="VJY1" s="243"/>
      <c r="VJZ1" s="243"/>
      <c r="VKA1" s="243"/>
      <c r="VKB1" s="243"/>
      <c r="VKC1" s="243"/>
      <c r="VKD1" s="243"/>
      <c r="VKE1" s="243"/>
      <c r="VKF1" s="243"/>
      <c r="VKG1" s="243"/>
      <c r="VKH1" s="243"/>
      <c r="VKI1" s="243"/>
      <c r="VKJ1" s="243"/>
      <c r="VKK1" s="243" t="s">
        <v>127</v>
      </c>
      <c r="VKL1" s="243"/>
      <c r="VKM1" s="243"/>
      <c r="VKN1" s="243"/>
      <c r="VKO1" s="243"/>
      <c r="VKP1" s="243"/>
      <c r="VKQ1" s="243"/>
      <c r="VKR1" s="243"/>
      <c r="VKS1" s="243"/>
      <c r="VKT1" s="243"/>
      <c r="VKU1" s="243"/>
      <c r="VKV1" s="243"/>
      <c r="VKW1" s="243"/>
      <c r="VKX1" s="243"/>
      <c r="VKY1" s="243"/>
      <c r="VKZ1" s="243"/>
      <c r="VLA1" s="243" t="s">
        <v>127</v>
      </c>
      <c r="VLB1" s="243"/>
      <c r="VLC1" s="243"/>
      <c r="VLD1" s="243"/>
      <c r="VLE1" s="243"/>
      <c r="VLF1" s="243"/>
      <c r="VLG1" s="243"/>
      <c r="VLH1" s="243"/>
      <c r="VLI1" s="243"/>
      <c r="VLJ1" s="243"/>
      <c r="VLK1" s="243"/>
      <c r="VLL1" s="243"/>
      <c r="VLM1" s="243"/>
      <c r="VLN1" s="243"/>
      <c r="VLO1" s="243"/>
      <c r="VLP1" s="243"/>
      <c r="VLQ1" s="243" t="s">
        <v>127</v>
      </c>
      <c r="VLR1" s="243"/>
      <c r="VLS1" s="243"/>
      <c r="VLT1" s="243"/>
      <c r="VLU1" s="243"/>
      <c r="VLV1" s="243"/>
      <c r="VLW1" s="243"/>
      <c r="VLX1" s="243"/>
      <c r="VLY1" s="243"/>
      <c r="VLZ1" s="243"/>
      <c r="VMA1" s="243"/>
      <c r="VMB1" s="243"/>
      <c r="VMC1" s="243"/>
      <c r="VMD1" s="243"/>
      <c r="VME1" s="243"/>
      <c r="VMF1" s="243"/>
      <c r="VMG1" s="243" t="s">
        <v>127</v>
      </c>
      <c r="VMH1" s="243"/>
      <c r="VMI1" s="243"/>
      <c r="VMJ1" s="243"/>
      <c r="VMK1" s="243"/>
      <c r="VML1" s="243"/>
      <c r="VMM1" s="243"/>
      <c r="VMN1" s="243"/>
      <c r="VMO1" s="243"/>
      <c r="VMP1" s="243"/>
      <c r="VMQ1" s="243"/>
      <c r="VMR1" s="243"/>
      <c r="VMS1" s="243"/>
      <c r="VMT1" s="243"/>
      <c r="VMU1" s="243"/>
      <c r="VMV1" s="243"/>
      <c r="VMW1" s="243" t="s">
        <v>127</v>
      </c>
      <c r="VMX1" s="243"/>
      <c r="VMY1" s="243"/>
      <c r="VMZ1" s="243"/>
      <c r="VNA1" s="243"/>
      <c r="VNB1" s="243"/>
      <c r="VNC1" s="243"/>
      <c r="VND1" s="243"/>
      <c r="VNE1" s="243"/>
      <c r="VNF1" s="243"/>
      <c r="VNG1" s="243"/>
      <c r="VNH1" s="243"/>
      <c r="VNI1" s="243"/>
      <c r="VNJ1" s="243"/>
      <c r="VNK1" s="243"/>
      <c r="VNL1" s="243"/>
      <c r="VNM1" s="243" t="s">
        <v>127</v>
      </c>
      <c r="VNN1" s="243"/>
      <c r="VNO1" s="243"/>
      <c r="VNP1" s="243"/>
      <c r="VNQ1" s="243"/>
      <c r="VNR1" s="243"/>
      <c r="VNS1" s="243"/>
      <c r="VNT1" s="243"/>
      <c r="VNU1" s="243"/>
      <c r="VNV1" s="243"/>
      <c r="VNW1" s="243"/>
      <c r="VNX1" s="243"/>
      <c r="VNY1" s="243"/>
      <c r="VNZ1" s="243"/>
      <c r="VOA1" s="243"/>
      <c r="VOB1" s="243"/>
      <c r="VOC1" s="243" t="s">
        <v>127</v>
      </c>
      <c r="VOD1" s="243"/>
      <c r="VOE1" s="243"/>
      <c r="VOF1" s="243"/>
      <c r="VOG1" s="243"/>
      <c r="VOH1" s="243"/>
      <c r="VOI1" s="243"/>
      <c r="VOJ1" s="243"/>
      <c r="VOK1" s="243"/>
      <c r="VOL1" s="243"/>
      <c r="VOM1" s="243"/>
      <c r="VON1" s="243"/>
      <c r="VOO1" s="243"/>
      <c r="VOP1" s="243"/>
      <c r="VOQ1" s="243"/>
      <c r="VOR1" s="243"/>
      <c r="VOS1" s="243" t="s">
        <v>127</v>
      </c>
      <c r="VOT1" s="243"/>
      <c r="VOU1" s="243"/>
      <c r="VOV1" s="243"/>
      <c r="VOW1" s="243"/>
      <c r="VOX1" s="243"/>
      <c r="VOY1" s="243"/>
      <c r="VOZ1" s="243"/>
      <c r="VPA1" s="243"/>
      <c r="VPB1" s="243"/>
      <c r="VPC1" s="243"/>
      <c r="VPD1" s="243"/>
      <c r="VPE1" s="243"/>
      <c r="VPF1" s="243"/>
      <c r="VPG1" s="243"/>
      <c r="VPH1" s="243"/>
      <c r="VPI1" s="243" t="s">
        <v>127</v>
      </c>
      <c r="VPJ1" s="243"/>
      <c r="VPK1" s="243"/>
      <c r="VPL1" s="243"/>
      <c r="VPM1" s="243"/>
      <c r="VPN1" s="243"/>
      <c r="VPO1" s="243"/>
      <c r="VPP1" s="243"/>
      <c r="VPQ1" s="243"/>
      <c r="VPR1" s="243"/>
      <c r="VPS1" s="243"/>
      <c r="VPT1" s="243"/>
      <c r="VPU1" s="243"/>
      <c r="VPV1" s="243"/>
      <c r="VPW1" s="243"/>
      <c r="VPX1" s="243"/>
      <c r="VPY1" s="243" t="s">
        <v>127</v>
      </c>
      <c r="VPZ1" s="243"/>
      <c r="VQA1" s="243"/>
      <c r="VQB1" s="243"/>
      <c r="VQC1" s="243"/>
      <c r="VQD1" s="243"/>
      <c r="VQE1" s="243"/>
      <c r="VQF1" s="243"/>
      <c r="VQG1" s="243"/>
      <c r="VQH1" s="243"/>
      <c r="VQI1" s="243"/>
      <c r="VQJ1" s="243"/>
      <c r="VQK1" s="243"/>
      <c r="VQL1" s="243"/>
      <c r="VQM1" s="243"/>
      <c r="VQN1" s="243"/>
      <c r="VQO1" s="243" t="s">
        <v>127</v>
      </c>
      <c r="VQP1" s="243"/>
      <c r="VQQ1" s="243"/>
      <c r="VQR1" s="243"/>
      <c r="VQS1" s="243"/>
      <c r="VQT1" s="243"/>
      <c r="VQU1" s="243"/>
      <c r="VQV1" s="243"/>
      <c r="VQW1" s="243"/>
      <c r="VQX1" s="243"/>
      <c r="VQY1" s="243"/>
      <c r="VQZ1" s="243"/>
      <c r="VRA1" s="243"/>
      <c r="VRB1" s="243"/>
      <c r="VRC1" s="243"/>
      <c r="VRD1" s="243"/>
      <c r="VRE1" s="243" t="s">
        <v>127</v>
      </c>
      <c r="VRF1" s="243"/>
      <c r="VRG1" s="243"/>
      <c r="VRH1" s="243"/>
      <c r="VRI1" s="243"/>
      <c r="VRJ1" s="243"/>
      <c r="VRK1" s="243"/>
      <c r="VRL1" s="243"/>
      <c r="VRM1" s="243"/>
      <c r="VRN1" s="243"/>
      <c r="VRO1" s="243"/>
      <c r="VRP1" s="243"/>
      <c r="VRQ1" s="243"/>
      <c r="VRR1" s="243"/>
      <c r="VRS1" s="243"/>
      <c r="VRT1" s="243"/>
      <c r="VRU1" s="243" t="s">
        <v>127</v>
      </c>
      <c r="VRV1" s="243"/>
      <c r="VRW1" s="243"/>
      <c r="VRX1" s="243"/>
      <c r="VRY1" s="243"/>
      <c r="VRZ1" s="243"/>
      <c r="VSA1" s="243"/>
      <c r="VSB1" s="243"/>
      <c r="VSC1" s="243"/>
      <c r="VSD1" s="243"/>
      <c r="VSE1" s="243"/>
      <c r="VSF1" s="243"/>
      <c r="VSG1" s="243"/>
      <c r="VSH1" s="243"/>
      <c r="VSI1" s="243"/>
      <c r="VSJ1" s="243"/>
      <c r="VSK1" s="243" t="s">
        <v>127</v>
      </c>
      <c r="VSL1" s="243"/>
      <c r="VSM1" s="243"/>
      <c r="VSN1" s="243"/>
      <c r="VSO1" s="243"/>
      <c r="VSP1" s="243"/>
      <c r="VSQ1" s="243"/>
      <c r="VSR1" s="243"/>
      <c r="VSS1" s="243"/>
      <c r="VST1" s="243"/>
      <c r="VSU1" s="243"/>
      <c r="VSV1" s="243"/>
      <c r="VSW1" s="243"/>
      <c r="VSX1" s="243"/>
      <c r="VSY1" s="243"/>
      <c r="VSZ1" s="243"/>
      <c r="VTA1" s="243" t="s">
        <v>127</v>
      </c>
      <c r="VTB1" s="243"/>
      <c r="VTC1" s="243"/>
      <c r="VTD1" s="243"/>
      <c r="VTE1" s="243"/>
      <c r="VTF1" s="243"/>
      <c r="VTG1" s="243"/>
      <c r="VTH1" s="243"/>
      <c r="VTI1" s="243"/>
      <c r="VTJ1" s="243"/>
      <c r="VTK1" s="243"/>
      <c r="VTL1" s="243"/>
      <c r="VTM1" s="243"/>
      <c r="VTN1" s="243"/>
      <c r="VTO1" s="243"/>
      <c r="VTP1" s="243"/>
      <c r="VTQ1" s="243" t="s">
        <v>127</v>
      </c>
      <c r="VTR1" s="243"/>
      <c r="VTS1" s="243"/>
      <c r="VTT1" s="243"/>
      <c r="VTU1" s="243"/>
      <c r="VTV1" s="243"/>
      <c r="VTW1" s="243"/>
      <c r="VTX1" s="243"/>
      <c r="VTY1" s="243"/>
      <c r="VTZ1" s="243"/>
      <c r="VUA1" s="243"/>
      <c r="VUB1" s="243"/>
      <c r="VUC1" s="243"/>
      <c r="VUD1" s="243"/>
      <c r="VUE1" s="243"/>
      <c r="VUF1" s="243"/>
      <c r="VUG1" s="243" t="s">
        <v>127</v>
      </c>
      <c r="VUH1" s="243"/>
      <c r="VUI1" s="243"/>
      <c r="VUJ1" s="243"/>
      <c r="VUK1" s="243"/>
      <c r="VUL1" s="243"/>
      <c r="VUM1" s="243"/>
      <c r="VUN1" s="243"/>
      <c r="VUO1" s="243"/>
      <c r="VUP1" s="243"/>
      <c r="VUQ1" s="243"/>
      <c r="VUR1" s="243"/>
      <c r="VUS1" s="243"/>
      <c r="VUT1" s="243"/>
      <c r="VUU1" s="243"/>
      <c r="VUV1" s="243"/>
      <c r="VUW1" s="243" t="s">
        <v>127</v>
      </c>
      <c r="VUX1" s="243"/>
      <c r="VUY1" s="243"/>
      <c r="VUZ1" s="243"/>
      <c r="VVA1" s="243"/>
      <c r="VVB1" s="243"/>
      <c r="VVC1" s="243"/>
      <c r="VVD1" s="243"/>
      <c r="VVE1" s="243"/>
      <c r="VVF1" s="243"/>
      <c r="VVG1" s="243"/>
      <c r="VVH1" s="243"/>
      <c r="VVI1" s="243"/>
      <c r="VVJ1" s="243"/>
      <c r="VVK1" s="243"/>
      <c r="VVL1" s="243"/>
      <c r="VVM1" s="243" t="s">
        <v>127</v>
      </c>
      <c r="VVN1" s="243"/>
      <c r="VVO1" s="243"/>
      <c r="VVP1" s="243"/>
      <c r="VVQ1" s="243"/>
      <c r="VVR1" s="243"/>
      <c r="VVS1" s="243"/>
      <c r="VVT1" s="243"/>
      <c r="VVU1" s="243"/>
      <c r="VVV1" s="243"/>
      <c r="VVW1" s="243"/>
      <c r="VVX1" s="243"/>
      <c r="VVY1" s="243"/>
      <c r="VVZ1" s="243"/>
      <c r="VWA1" s="243"/>
      <c r="VWB1" s="243"/>
      <c r="VWC1" s="243" t="s">
        <v>127</v>
      </c>
      <c r="VWD1" s="243"/>
      <c r="VWE1" s="243"/>
      <c r="VWF1" s="243"/>
      <c r="VWG1" s="243"/>
      <c r="VWH1" s="243"/>
      <c r="VWI1" s="243"/>
      <c r="VWJ1" s="243"/>
      <c r="VWK1" s="243"/>
      <c r="VWL1" s="243"/>
      <c r="VWM1" s="243"/>
      <c r="VWN1" s="243"/>
      <c r="VWO1" s="243"/>
      <c r="VWP1" s="243"/>
      <c r="VWQ1" s="243"/>
      <c r="VWR1" s="243"/>
      <c r="VWS1" s="243" t="s">
        <v>127</v>
      </c>
      <c r="VWT1" s="243"/>
      <c r="VWU1" s="243"/>
      <c r="VWV1" s="243"/>
      <c r="VWW1" s="243"/>
      <c r="VWX1" s="243"/>
      <c r="VWY1" s="243"/>
      <c r="VWZ1" s="243"/>
      <c r="VXA1" s="243"/>
      <c r="VXB1" s="243"/>
      <c r="VXC1" s="243"/>
      <c r="VXD1" s="243"/>
      <c r="VXE1" s="243"/>
      <c r="VXF1" s="243"/>
      <c r="VXG1" s="243"/>
      <c r="VXH1" s="243"/>
      <c r="VXI1" s="243" t="s">
        <v>127</v>
      </c>
      <c r="VXJ1" s="243"/>
      <c r="VXK1" s="243"/>
      <c r="VXL1" s="243"/>
      <c r="VXM1" s="243"/>
      <c r="VXN1" s="243"/>
      <c r="VXO1" s="243"/>
      <c r="VXP1" s="243"/>
      <c r="VXQ1" s="243"/>
      <c r="VXR1" s="243"/>
      <c r="VXS1" s="243"/>
      <c r="VXT1" s="243"/>
      <c r="VXU1" s="243"/>
      <c r="VXV1" s="243"/>
      <c r="VXW1" s="243"/>
      <c r="VXX1" s="243"/>
      <c r="VXY1" s="243" t="s">
        <v>127</v>
      </c>
      <c r="VXZ1" s="243"/>
      <c r="VYA1" s="243"/>
      <c r="VYB1" s="243"/>
      <c r="VYC1" s="243"/>
      <c r="VYD1" s="243"/>
      <c r="VYE1" s="243"/>
      <c r="VYF1" s="243"/>
      <c r="VYG1" s="243"/>
      <c r="VYH1" s="243"/>
      <c r="VYI1" s="243"/>
      <c r="VYJ1" s="243"/>
      <c r="VYK1" s="243"/>
      <c r="VYL1" s="243"/>
      <c r="VYM1" s="243"/>
      <c r="VYN1" s="243"/>
      <c r="VYO1" s="243" t="s">
        <v>127</v>
      </c>
      <c r="VYP1" s="243"/>
      <c r="VYQ1" s="243"/>
      <c r="VYR1" s="243"/>
      <c r="VYS1" s="243"/>
      <c r="VYT1" s="243"/>
      <c r="VYU1" s="243"/>
      <c r="VYV1" s="243"/>
      <c r="VYW1" s="243"/>
      <c r="VYX1" s="243"/>
      <c r="VYY1" s="243"/>
      <c r="VYZ1" s="243"/>
      <c r="VZA1" s="243"/>
      <c r="VZB1" s="243"/>
      <c r="VZC1" s="243"/>
      <c r="VZD1" s="243"/>
      <c r="VZE1" s="243" t="s">
        <v>127</v>
      </c>
      <c r="VZF1" s="243"/>
      <c r="VZG1" s="243"/>
      <c r="VZH1" s="243"/>
      <c r="VZI1" s="243"/>
      <c r="VZJ1" s="243"/>
      <c r="VZK1" s="243"/>
      <c r="VZL1" s="243"/>
      <c r="VZM1" s="243"/>
      <c r="VZN1" s="243"/>
      <c r="VZO1" s="243"/>
      <c r="VZP1" s="243"/>
      <c r="VZQ1" s="243"/>
      <c r="VZR1" s="243"/>
      <c r="VZS1" s="243"/>
      <c r="VZT1" s="243"/>
      <c r="VZU1" s="243" t="s">
        <v>127</v>
      </c>
      <c r="VZV1" s="243"/>
      <c r="VZW1" s="243"/>
      <c r="VZX1" s="243"/>
      <c r="VZY1" s="243"/>
      <c r="VZZ1" s="243"/>
      <c r="WAA1" s="243"/>
      <c r="WAB1" s="243"/>
      <c r="WAC1" s="243"/>
      <c r="WAD1" s="243"/>
      <c r="WAE1" s="243"/>
      <c r="WAF1" s="243"/>
      <c r="WAG1" s="243"/>
      <c r="WAH1" s="243"/>
      <c r="WAI1" s="243"/>
      <c r="WAJ1" s="243"/>
      <c r="WAK1" s="243" t="s">
        <v>127</v>
      </c>
      <c r="WAL1" s="243"/>
      <c r="WAM1" s="243"/>
      <c r="WAN1" s="243"/>
      <c r="WAO1" s="243"/>
      <c r="WAP1" s="243"/>
      <c r="WAQ1" s="243"/>
      <c r="WAR1" s="243"/>
      <c r="WAS1" s="243"/>
      <c r="WAT1" s="243"/>
      <c r="WAU1" s="243"/>
      <c r="WAV1" s="243"/>
      <c r="WAW1" s="243"/>
      <c r="WAX1" s="243"/>
      <c r="WAY1" s="243"/>
      <c r="WAZ1" s="243"/>
      <c r="WBA1" s="243" t="s">
        <v>127</v>
      </c>
      <c r="WBB1" s="243"/>
      <c r="WBC1" s="243"/>
      <c r="WBD1" s="243"/>
      <c r="WBE1" s="243"/>
      <c r="WBF1" s="243"/>
      <c r="WBG1" s="243"/>
      <c r="WBH1" s="243"/>
      <c r="WBI1" s="243"/>
      <c r="WBJ1" s="243"/>
      <c r="WBK1" s="243"/>
      <c r="WBL1" s="243"/>
      <c r="WBM1" s="243"/>
      <c r="WBN1" s="243"/>
      <c r="WBO1" s="243"/>
      <c r="WBP1" s="243"/>
      <c r="WBQ1" s="243" t="s">
        <v>127</v>
      </c>
      <c r="WBR1" s="243"/>
      <c r="WBS1" s="243"/>
      <c r="WBT1" s="243"/>
      <c r="WBU1" s="243"/>
      <c r="WBV1" s="243"/>
      <c r="WBW1" s="243"/>
      <c r="WBX1" s="243"/>
      <c r="WBY1" s="243"/>
      <c r="WBZ1" s="243"/>
      <c r="WCA1" s="243"/>
      <c r="WCB1" s="243"/>
      <c r="WCC1" s="243"/>
      <c r="WCD1" s="243"/>
      <c r="WCE1" s="243"/>
      <c r="WCF1" s="243"/>
      <c r="WCG1" s="243" t="s">
        <v>127</v>
      </c>
      <c r="WCH1" s="243"/>
      <c r="WCI1" s="243"/>
      <c r="WCJ1" s="243"/>
      <c r="WCK1" s="243"/>
      <c r="WCL1" s="243"/>
      <c r="WCM1" s="243"/>
      <c r="WCN1" s="243"/>
      <c r="WCO1" s="243"/>
      <c r="WCP1" s="243"/>
      <c r="WCQ1" s="243"/>
      <c r="WCR1" s="243"/>
      <c r="WCS1" s="243"/>
      <c r="WCT1" s="243"/>
      <c r="WCU1" s="243"/>
      <c r="WCV1" s="243"/>
      <c r="WCW1" s="243" t="s">
        <v>127</v>
      </c>
      <c r="WCX1" s="243"/>
      <c r="WCY1" s="243"/>
      <c r="WCZ1" s="243"/>
      <c r="WDA1" s="243"/>
      <c r="WDB1" s="243"/>
      <c r="WDC1" s="243"/>
      <c r="WDD1" s="243"/>
      <c r="WDE1" s="243"/>
      <c r="WDF1" s="243"/>
      <c r="WDG1" s="243"/>
      <c r="WDH1" s="243"/>
      <c r="WDI1" s="243"/>
      <c r="WDJ1" s="243"/>
      <c r="WDK1" s="243"/>
      <c r="WDL1" s="243"/>
      <c r="WDM1" s="243" t="s">
        <v>127</v>
      </c>
      <c r="WDN1" s="243"/>
      <c r="WDO1" s="243"/>
      <c r="WDP1" s="243"/>
      <c r="WDQ1" s="243"/>
      <c r="WDR1" s="243"/>
      <c r="WDS1" s="243"/>
      <c r="WDT1" s="243"/>
      <c r="WDU1" s="243"/>
      <c r="WDV1" s="243"/>
      <c r="WDW1" s="243"/>
      <c r="WDX1" s="243"/>
      <c r="WDY1" s="243"/>
      <c r="WDZ1" s="243"/>
      <c r="WEA1" s="243"/>
      <c r="WEB1" s="243"/>
      <c r="WEC1" s="243" t="s">
        <v>127</v>
      </c>
      <c r="WED1" s="243"/>
      <c r="WEE1" s="243"/>
      <c r="WEF1" s="243"/>
      <c r="WEG1" s="243"/>
      <c r="WEH1" s="243"/>
      <c r="WEI1" s="243"/>
      <c r="WEJ1" s="243"/>
      <c r="WEK1" s="243"/>
      <c r="WEL1" s="243"/>
      <c r="WEM1" s="243"/>
      <c r="WEN1" s="243"/>
      <c r="WEO1" s="243"/>
      <c r="WEP1" s="243"/>
      <c r="WEQ1" s="243"/>
      <c r="WER1" s="243"/>
      <c r="WES1" s="243" t="s">
        <v>127</v>
      </c>
      <c r="WET1" s="243"/>
      <c r="WEU1" s="243"/>
      <c r="WEV1" s="243"/>
      <c r="WEW1" s="243"/>
      <c r="WEX1" s="243"/>
      <c r="WEY1" s="243"/>
      <c r="WEZ1" s="243"/>
      <c r="WFA1" s="243"/>
      <c r="WFB1" s="243"/>
      <c r="WFC1" s="243"/>
      <c r="WFD1" s="243"/>
      <c r="WFE1" s="243"/>
      <c r="WFF1" s="243"/>
      <c r="WFG1" s="243"/>
      <c r="WFH1" s="243"/>
      <c r="WFI1" s="243" t="s">
        <v>127</v>
      </c>
      <c r="WFJ1" s="243"/>
      <c r="WFK1" s="243"/>
      <c r="WFL1" s="243"/>
      <c r="WFM1" s="243"/>
      <c r="WFN1" s="243"/>
      <c r="WFO1" s="243"/>
      <c r="WFP1" s="243"/>
      <c r="WFQ1" s="243"/>
      <c r="WFR1" s="243"/>
      <c r="WFS1" s="243"/>
      <c r="WFT1" s="243"/>
      <c r="WFU1" s="243"/>
      <c r="WFV1" s="243"/>
      <c r="WFW1" s="243"/>
      <c r="WFX1" s="243"/>
      <c r="WFY1" s="243" t="s">
        <v>127</v>
      </c>
      <c r="WFZ1" s="243"/>
      <c r="WGA1" s="243"/>
      <c r="WGB1" s="243"/>
      <c r="WGC1" s="243"/>
      <c r="WGD1" s="243"/>
      <c r="WGE1" s="243"/>
      <c r="WGF1" s="243"/>
      <c r="WGG1" s="243"/>
      <c r="WGH1" s="243"/>
      <c r="WGI1" s="243"/>
      <c r="WGJ1" s="243"/>
      <c r="WGK1" s="243"/>
      <c r="WGL1" s="243"/>
      <c r="WGM1" s="243"/>
      <c r="WGN1" s="243"/>
      <c r="WGO1" s="243" t="s">
        <v>127</v>
      </c>
      <c r="WGP1" s="243"/>
      <c r="WGQ1" s="243"/>
      <c r="WGR1" s="243"/>
      <c r="WGS1" s="243"/>
      <c r="WGT1" s="243"/>
      <c r="WGU1" s="243"/>
      <c r="WGV1" s="243"/>
      <c r="WGW1" s="243"/>
      <c r="WGX1" s="243"/>
      <c r="WGY1" s="243"/>
      <c r="WGZ1" s="243"/>
      <c r="WHA1" s="243"/>
      <c r="WHB1" s="243"/>
      <c r="WHC1" s="243"/>
      <c r="WHD1" s="243"/>
      <c r="WHE1" s="243" t="s">
        <v>127</v>
      </c>
      <c r="WHF1" s="243"/>
      <c r="WHG1" s="243"/>
      <c r="WHH1" s="243"/>
      <c r="WHI1" s="243"/>
      <c r="WHJ1" s="243"/>
      <c r="WHK1" s="243"/>
      <c r="WHL1" s="243"/>
      <c r="WHM1" s="243"/>
      <c r="WHN1" s="243"/>
      <c r="WHO1" s="243"/>
      <c r="WHP1" s="243"/>
      <c r="WHQ1" s="243"/>
      <c r="WHR1" s="243"/>
      <c r="WHS1" s="243"/>
      <c r="WHT1" s="243"/>
      <c r="WHU1" s="243" t="s">
        <v>127</v>
      </c>
      <c r="WHV1" s="243"/>
      <c r="WHW1" s="243"/>
      <c r="WHX1" s="243"/>
      <c r="WHY1" s="243"/>
      <c r="WHZ1" s="243"/>
      <c r="WIA1" s="243"/>
      <c r="WIB1" s="243"/>
      <c r="WIC1" s="243"/>
      <c r="WID1" s="243"/>
      <c r="WIE1" s="243"/>
      <c r="WIF1" s="243"/>
      <c r="WIG1" s="243"/>
      <c r="WIH1" s="243"/>
      <c r="WII1" s="243"/>
      <c r="WIJ1" s="243"/>
      <c r="WIK1" s="243" t="s">
        <v>127</v>
      </c>
      <c r="WIL1" s="243"/>
      <c r="WIM1" s="243"/>
      <c r="WIN1" s="243"/>
      <c r="WIO1" s="243"/>
      <c r="WIP1" s="243"/>
      <c r="WIQ1" s="243"/>
      <c r="WIR1" s="243"/>
      <c r="WIS1" s="243"/>
      <c r="WIT1" s="243"/>
      <c r="WIU1" s="243"/>
      <c r="WIV1" s="243"/>
      <c r="WIW1" s="243"/>
      <c r="WIX1" s="243"/>
      <c r="WIY1" s="243"/>
      <c r="WIZ1" s="243"/>
      <c r="WJA1" s="243" t="s">
        <v>127</v>
      </c>
      <c r="WJB1" s="243"/>
      <c r="WJC1" s="243"/>
      <c r="WJD1" s="243"/>
      <c r="WJE1" s="243"/>
      <c r="WJF1" s="243"/>
      <c r="WJG1" s="243"/>
      <c r="WJH1" s="243"/>
      <c r="WJI1" s="243"/>
      <c r="WJJ1" s="243"/>
      <c r="WJK1" s="243"/>
      <c r="WJL1" s="243"/>
      <c r="WJM1" s="243"/>
      <c r="WJN1" s="243"/>
      <c r="WJO1" s="243"/>
      <c r="WJP1" s="243"/>
      <c r="WJQ1" s="243" t="s">
        <v>127</v>
      </c>
      <c r="WJR1" s="243"/>
      <c r="WJS1" s="243"/>
      <c r="WJT1" s="243"/>
      <c r="WJU1" s="243"/>
      <c r="WJV1" s="243"/>
      <c r="WJW1" s="243"/>
      <c r="WJX1" s="243"/>
      <c r="WJY1" s="243"/>
      <c r="WJZ1" s="243"/>
      <c r="WKA1" s="243"/>
      <c r="WKB1" s="243"/>
      <c r="WKC1" s="243"/>
      <c r="WKD1" s="243"/>
      <c r="WKE1" s="243"/>
      <c r="WKF1" s="243"/>
      <c r="WKG1" s="243" t="s">
        <v>127</v>
      </c>
      <c r="WKH1" s="243"/>
      <c r="WKI1" s="243"/>
      <c r="WKJ1" s="243"/>
      <c r="WKK1" s="243"/>
      <c r="WKL1" s="243"/>
      <c r="WKM1" s="243"/>
      <c r="WKN1" s="243"/>
      <c r="WKO1" s="243"/>
      <c r="WKP1" s="243"/>
      <c r="WKQ1" s="243"/>
      <c r="WKR1" s="243"/>
      <c r="WKS1" s="243"/>
      <c r="WKT1" s="243"/>
      <c r="WKU1" s="243"/>
      <c r="WKV1" s="243"/>
      <c r="WKW1" s="243" t="s">
        <v>127</v>
      </c>
      <c r="WKX1" s="243"/>
      <c r="WKY1" s="243"/>
      <c r="WKZ1" s="243"/>
      <c r="WLA1" s="243"/>
      <c r="WLB1" s="243"/>
      <c r="WLC1" s="243"/>
      <c r="WLD1" s="243"/>
      <c r="WLE1" s="243"/>
      <c r="WLF1" s="243"/>
      <c r="WLG1" s="243"/>
      <c r="WLH1" s="243"/>
      <c r="WLI1" s="243"/>
      <c r="WLJ1" s="243"/>
      <c r="WLK1" s="243"/>
      <c r="WLL1" s="243"/>
      <c r="WLM1" s="243" t="s">
        <v>127</v>
      </c>
      <c r="WLN1" s="243"/>
      <c r="WLO1" s="243"/>
      <c r="WLP1" s="243"/>
      <c r="WLQ1" s="243"/>
      <c r="WLR1" s="243"/>
      <c r="WLS1" s="243"/>
      <c r="WLT1" s="243"/>
      <c r="WLU1" s="243"/>
      <c r="WLV1" s="243"/>
      <c r="WLW1" s="243"/>
      <c r="WLX1" s="243"/>
      <c r="WLY1" s="243"/>
      <c r="WLZ1" s="243"/>
      <c r="WMA1" s="243"/>
      <c r="WMB1" s="243"/>
      <c r="WMC1" s="243" t="s">
        <v>127</v>
      </c>
      <c r="WMD1" s="243"/>
      <c r="WME1" s="243"/>
      <c r="WMF1" s="243"/>
      <c r="WMG1" s="243"/>
      <c r="WMH1" s="243"/>
      <c r="WMI1" s="243"/>
      <c r="WMJ1" s="243"/>
      <c r="WMK1" s="243"/>
      <c r="WML1" s="243"/>
      <c r="WMM1" s="243"/>
      <c r="WMN1" s="243"/>
      <c r="WMO1" s="243"/>
      <c r="WMP1" s="243"/>
      <c r="WMQ1" s="243"/>
      <c r="WMR1" s="243"/>
      <c r="WMS1" s="243" t="s">
        <v>127</v>
      </c>
      <c r="WMT1" s="243"/>
      <c r="WMU1" s="243"/>
      <c r="WMV1" s="243"/>
      <c r="WMW1" s="243"/>
      <c r="WMX1" s="243"/>
      <c r="WMY1" s="243"/>
      <c r="WMZ1" s="243"/>
      <c r="WNA1" s="243"/>
      <c r="WNB1" s="243"/>
      <c r="WNC1" s="243"/>
      <c r="WND1" s="243"/>
      <c r="WNE1" s="243"/>
      <c r="WNF1" s="243"/>
      <c r="WNG1" s="243"/>
      <c r="WNH1" s="243"/>
      <c r="WNI1" s="243" t="s">
        <v>127</v>
      </c>
      <c r="WNJ1" s="243"/>
      <c r="WNK1" s="243"/>
      <c r="WNL1" s="243"/>
      <c r="WNM1" s="243"/>
      <c r="WNN1" s="243"/>
      <c r="WNO1" s="243"/>
      <c r="WNP1" s="243"/>
      <c r="WNQ1" s="243"/>
      <c r="WNR1" s="243"/>
      <c r="WNS1" s="243"/>
      <c r="WNT1" s="243"/>
      <c r="WNU1" s="243"/>
      <c r="WNV1" s="243"/>
      <c r="WNW1" s="243"/>
      <c r="WNX1" s="243"/>
      <c r="WNY1" s="243" t="s">
        <v>127</v>
      </c>
      <c r="WNZ1" s="243"/>
      <c r="WOA1" s="243"/>
      <c r="WOB1" s="243"/>
      <c r="WOC1" s="243"/>
      <c r="WOD1" s="243"/>
      <c r="WOE1" s="243"/>
      <c r="WOF1" s="243"/>
      <c r="WOG1" s="243"/>
      <c r="WOH1" s="243"/>
      <c r="WOI1" s="243"/>
      <c r="WOJ1" s="243"/>
      <c r="WOK1" s="243"/>
      <c r="WOL1" s="243"/>
      <c r="WOM1" s="243"/>
      <c r="WON1" s="243"/>
      <c r="WOO1" s="243" t="s">
        <v>127</v>
      </c>
      <c r="WOP1" s="243"/>
      <c r="WOQ1" s="243"/>
      <c r="WOR1" s="243"/>
      <c r="WOS1" s="243"/>
      <c r="WOT1" s="243"/>
      <c r="WOU1" s="243"/>
      <c r="WOV1" s="243"/>
      <c r="WOW1" s="243"/>
      <c r="WOX1" s="243"/>
      <c r="WOY1" s="243"/>
      <c r="WOZ1" s="243"/>
      <c r="WPA1" s="243"/>
      <c r="WPB1" s="243"/>
      <c r="WPC1" s="243"/>
      <c r="WPD1" s="243"/>
      <c r="WPE1" s="243" t="s">
        <v>127</v>
      </c>
      <c r="WPF1" s="243"/>
      <c r="WPG1" s="243"/>
      <c r="WPH1" s="243"/>
      <c r="WPI1" s="243"/>
      <c r="WPJ1" s="243"/>
      <c r="WPK1" s="243"/>
      <c r="WPL1" s="243"/>
      <c r="WPM1" s="243"/>
      <c r="WPN1" s="243"/>
      <c r="WPO1" s="243"/>
      <c r="WPP1" s="243"/>
      <c r="WPQ1" s="243"/>
      <c r="WPR1" s="243"/>
      <c r="WPS1" s="243"/>
      <c r="WPT1" s="243"/>
      <c r="WPU1" s="243" t="s">
        <v>127</v>
      </c>
      <c r="WPV1" s="243"/>
      <c r="WPW1" s="243"/>
      <c r="WPX1" s="243"/>
      <c r="WPY1" s="243"/>
      <c r="WPZ1" s="243"/>
      <c r="WQA1" s="243"/>
      <c r="WQB1" s="243"/>
      <c r="WQC1" s="243"/>
      <c r="WQD1" s="243"/>
      <c r="WQE1" s="243"/>
      <c r="WQF1" s="243"/>
      <c r="WQG1" s="243"/>
      <c r="WQH1" s="243"/>
      <c r="WQI1" s="243"/>
      <c r="WQJ1" s="243"/>
      <c r="WQK1" s="243" t="s">
        <v>127</v>
      </c>
      <c r="WQL1" s="243"/>
      <c r="WQM1" s="243"/>
      <c r="WQN1" s="243"/>
      <c r="WQO1" s="243"/>
      <c r="WQP1" s="243"/>
      <c r="WQQ1" s="243"/>
      <c r="WQR1" s="243"/>
      <c r="WQS1" s="243"/>
      <c r="WQT1" s="243"/>
      <c r="WQU1" s="243"/>
      <c r="WQV1" s="243"/>
      <c r="WQW1" s="243"/>
      <c r="WQX1" s="243"/>
      <c r="WQY1" s="243"/>
      <c r="WQZ1" s="243"/>
      <c r="WRA1" s="243" t="s">
        <v>127</v>
      </c>
      <c r="WRB1" s="243"/>
      <c r="WRC1" s="243"/>
      <c r="WRD1" s="243"/>
      <c r="WRE1" s="243"/>
      <c r="WRF1" s="243"/>
      <c r="WRG1" s="243"/>
      <c r="WRH1" s="243"/>
      <c r="WRI1" s="243"/>
      <c r="WRJ1" s="243"/>
      <c r="WRK1" s="243"/>
      <c r="WRL1" s="243"/>
      <c r="WRM1" s="243"/>
      <c r="WRN1" s="243"/>
      <c r="WRO1" s="243"/>
      <c r="WRP1" s="243"/>
      <c r="WRQ1" s="243" t="s">
        <v>127</v>
      </c>
      <c r="WRR1" s="243"/>
      <c r="WRS1" s="243"/>
      <c r="WRT1" s="243"/>
      <c r="WRU1" s="243"/>
      <c r="WRV1" s="243"/>
      <c r="WRW1" s="243"/>
      <c r="WRX1" s="243"/>
      <c r="WRY1" s="243"/>
      <c r="WRZ1" s="243"/>
      <c r="WSA1" s="243"/>
      <c r="WSB1" s="243"/>
      <c r="WSC1" s="243"/>
      <c r="WSD1" s="243"/>
      <c r="WSE1" s="243"/>
      <c r="WSF1" s="243"/>
      <c r="WSG1" s="243" t="s">
        <v>127</v>
      </c>
      <c r="WSH1" s="243"/>
      <c r="WSI1" s="243"/>
      <c r="WSJ1" s="243"/>
      <c r="WSK1" s="243"/>
      <c r="WSL1" s="243"/>
      <c r="WSM1" s="243"/>
      <c r="WSN1" s="243"/>
      <c r="WSO1" s="243"/>
      <c r="WSP1" s="243"/>
      <c r="WSQ1" s="243"/>
      <c r="WSR1" s="243"/>
      <c r="WSS1" s="243"/>
      <c r="WST1" s="243"/>
      <c r="WSU1" s="243"/>
      <c r="WSV1" s="243"/>
      <c r="WSW1" s="243" t="s">
        <v>127</v>
      </c>
      <c r="WSX1" s="243"/>
      <c r="WSY1" s="243"/>
      <c r="WSZ1" s="243"/>
      <c r="WTA1" s="243"/>
      <c r="WTB1" s="243"/>
      <c r="WTC1" s="243"/>
      <c r="WTD1" s="243"/>
      <c r="WTE1" s="243"/>
      <c r="WTF1" s="243"/>
      <c r="WTG1" s="243"/>
      <c r="WTH1" s="243"/>
      <c r="WTI1" s="243"/>
      <c r="WTJ1" s="243"/>
      <c r="WTK1" s="243"/>
      <c r="WTL1" s="243"/>
      <c r="WTM1" s="243" t="s">
        <v>127</v>
      </c>
      <c r="WTN1" s="243"/>
      <c r="WTO1" s="243"/>
      <c r="WTP1" s="243"/>
      <c r="WTQ1" s="243"/>
      <c r="WTR1" s="243"/>
      <c r="WTS1" s="243"/>
      <c r="WTT1" s="243"/>
      <c r="WTU1" s="243"/>
      <c r="WTV1" s="243"/>
      <c r="WTW1" s="243"/>
      <c r="WTX1" s="243"/>
      <c r="WTY1" s="243"/>
      <c r="WTZ1" s="243"/>
      <c r="WUA1" s="243"/>
      <c r="WUB1" s="243"/>
      <c r="WUC1" s="243" t="s">
        <v>127</v>
      </c>
      <c r="WUD1" s="243"/>
      <c r="WUE1" s="243"/>
      <c r="WUF1" s="243"/>
      <c r="WUG1" s="243"/>
      <c r="WUH1" s="243"/>
      <c r="WUI1" s="243"/>
      <c r="WUJ1" s="243"/>
      <c r="WUK1" s="243"/>
      <c r="WUL1" s="243"/>
      <c r="WUM1" s="243"/>
      <c r="WUN1" s="243"/>
      <c r="WUO1" s="243"/>
      <c r="WUP1" s="243"/>
      <c r="WUQ1" s="243"/>
      <c r="WUR1" s="243"/>
      <c r="WUS1" s="243" t="s">
        <v>127</v>
      </c>
      <c r="WUT1" s="243"/>
      <c r="WUU1" s="243"/>
      <c r="WUV1" s="243"/>
      <c r="WUW1" s="243"/>
      <c r="WUX1" s="243"/>
      <c r="WUY1" s="243"/>
      <c r="WUZ1" s="243"/>
      <c r="WVA1" s="243"/>
      <c r="WVB1" s="243"/>
      <c r="WVC1" s="243"/>
      <c r="WVD1" s="243"/>
      <c r="WVE1" s="243"/>
      <c r="WVF1" s="243"/>
      <c r="WVG1" s="243"/>
      <c r="WVH1" s="243"/>
      <c r="WVI1" s="243" t="s">
        <v>127</v>
      </c>
      <c r="WVJ1" s="243"/>
      <c r="WVK1" s="243"/>
      <c r="WVL1" s="243"/>
      <c r="WVM1" s="243"/>
      <c r="WVN1" s="243"/>
      <c r="WVO1" s="243"/>
      <c r="WVP1" s="243"/>
      <c r="WVQ1" s="243"/>
      <c r="WVR1" s="243"/>
      <c r="WVS1" s="243"/>
      <c r="WVT1" s="243"/>
      <c r="WVU1" s="243"/>
      <c r="WVV1" s="243"/>
      <c r="WVW1" s="243"/>
      <c r="WVX1" s="243"/>
      <c r="WVY1" s="243" t="s">
        <v>127</v>
      </c>
      <c r="WVZ1" s="243"/>
      <c r="WWA1" s="243"/>
      <c r="WWB1" s="243"/>
      <c r="WWC1" s="243"/>
      <c r="WWD1" s="243"/>
      <c r="WWE1" s="243"/>
      <c r="WWF1" s="243"/>
      <c r="WWG1" s="243"/>
      <c r="WWH1" s="243"/>
      <c r="WWI1" s="243"/>
      <c r="WWJ1" s="243"/>
      <c r="WWK1" s="243"/>
      <c r="WWL1" s="243"/>
      <c r="WWM1" s="243"/>
      <c r="WWN1" s="243"/>
      <c r="WWO1" s="243" t="s">
        <v>127</v>
      </c>
      <c r="WWP1" s="243"/>
      <c r="WWQ1" s="243"/>
      <c r="WWR1" s="243"/>
      <c r="WWS1" s="243"/>
      <c r="WWT1" s="243"/>
      <c r="WWU1" s="243"/>
      <c r="WWV1" s="243"/>
      <c r="WWW1" s="243"/>
      <c r="WWX1" s="243"/>
      <c r="WWY1" s="243"/>
      <c r="WWZ1" s="243"/>
      <c r="WXA1" s="243"/>
      <c r="WXB1" s="243"/>
      <c r="WXC1" s="243"/>
      <c r="WXD1" s="243"/>
      <c r="WXE1" s="243" t="s">
        <v>127</v>
      </c>
      <c r="WXF1" s="243"/>
      <c r="WXG1" s="243"/>
      <c r="WXH1" s="243"/>
      <c r="WXI1" s="243"/>
      <c r="WXJ1" s="243"/>
      <c r="WXK1" s="243"/>
      <c r="WXL1" s="243"/>
      <c r="WXM1" s="243"/>
      <c r="WXN1" s="243"/>
      <c r="WXO1" s="243"/>
      <c r="WXP1" s="243"/>
      <c r="WXQ1" s="243"/>
      <c r="WXR1" s="243"/>
      <c r="WXS1" s="243"/>
      <c r="WXT1" s="243"/>
      <c r="WXU1" s="243" t="s">
        <v>127</v>
      </c>
      <c r="WXV1" s="243"/>
      <c r="WXW1" s="243"/>
      <c r="WXX1" s="243"/>
      <c r="WXY1" s="243"/>
      <c r="WXZ1" s="243"/>
      <c r="WYA1" s="243"/>
      <c r="WYB1" s="243"/>
      <c r="WYC1" s="243"/>
      <c r="WYD1" s="243"/>
      <c r="WYE1" s="243"/>
      <c r="WYF1" s="243"/>
      <c r="WYG1" s="243"/>
      <c r="WYH1" s="243"/>
      <c r="WYI1" s="243"/>
      <c r="WYJ1" s="243"/>
      <c r="WYK1" s="243" t="s">
        <v>127</v>
      </c>
      <c r="WYL1" s="243"/>
      <c r="WYM1" s="243"/>
      <c r="WYN1" s="243"/>
      <c r="WYO1" s="243"/>
      <c r="WYP1" s="243"/>
      <c r="WYQ1" s="243"/>
      <c r="WYR1" s="243"/>
      <c r="WYS1" s="243"/>
      <c r="WYT1" s="243"/>
      <c r="WYU1" s="243"/>
      <c r="WYV1" s="243"/>
      <c r="WYW1" s="243"/>
      <c r="WYX1" s="243"/>
      <c r="WYY1" s="243"/>
      <c r="WYZ1" s="243"/>
      <c r="WZA1" s="243" t="s">
        <v>127</v>
      </c>
      <c r="WZB1" s="243"/>
      <c r="WZC1" s="243"/>
      <c r="WZD1" s="243"/>
      <c r="WZE1" s="243"/>
      <c r="WZF1" s="243"/>
      <c r="WZG1" s="243"/>
      <c r="WZH1" s="243"/>
      <c r="WZI1" s="243"/>
      <c r="WZJ1" s="243"/>
      <c r="WZK1" s="243"/>
      <c r="WZL1" s="243"/>
      <c r="WZM1" s="243"/>
      <c r="WZN1" s="243"/>
      <c r="WZO1" s="243"/>
      <c r="WZP1" s="243"/>
      <c r="WZQ1" s="243" t="s">
        <v>127</v>
      </c>
      <c r="WZR1" s="243"/>
      <c r="WZS1" s="243"/>
      <c r="WZT1" s="243"/>
      <c r="WZU1" s="243"/>
      <c r="WZV1" s="243"/>
      <c r="WZW1" s="243"/>
      <c r="WZX1" s="243"/>
      <c r="WZY1" s="243"/>
      <c r="WZZ1" s="243"/>
      <c r="XAA1" s="243"/>
      <c r="XAB1" s="243"/>
      <c r="XAC1" s="243"/>
      <c r="XAD1" s="243"/>
      <c r="XAE1" s="243"/>
      <c r="XAF1" s="243"/>
      <c r="XAG1" s="243" t="s">
        <v>127</v>
      </c>
      <c r="XAH1" s="243"/>
      <c r="XAI1" s="243"/>
      <c r="XAJ1" s="243"/>
      <c r="XAK1" s="243"/>
      <c r="XAL1" s="243"/>
      <c r="XAM1" s="243"/>
      <c r="XAN1" s="243"/>
      <c r="XAO1" s="243"/>
      <c r="XAP1" s="243"/>
      <c r="XAQ1" s="243"/>
      <c r="XAR1" s="243"/>
      <c r="XAS1" s="243"/>
      <c r="XAT1" s="243"/>
      <c r="XAU1" s="243"/>
      <c r="XAV1" s="243"/>
      <c r="XAW1" s="243" t="s">
        <v>127</v>
      </c>
      <c r="XAX1" s="243"/>
      <c r="XAY1" s="243"/>
      <c r="XAZ1" s="243"/>
      <c r="XBA1" s="243"/>
      <c r="XBB1" s="243"/>
      <c r="XBC1" s="243"/>
      <c r="XBD1" s="243"/>
      <c r="XBE1" s="243"/>
      <c r="XBF1" s="243"/>
      <c r="XBG1" s="243"/>
      <c r="XBH1" s="243"/>
      <c r="XBI1" s="243"/>
      <c r="XBJ1" s="243"/>
      <c r="XBK1" s="243"/>
      <c r="XBL1" s="243"/>
      <c r="XBM1" s="243" t="s">
        <v>127</v>
      </c>
      <c r="XBN1" s="243"/>
      <c r="XBO1" s="243"/>
      <c r="XBP1" s="243"/>
      <c r="XBQ1" s="243"/>
      <c r="XBR1" s="243"/>
      <c r="XBS1" s="243"/>
      <c r="XBT1" s="243"/>
      <c r="XBU1" s="243"/>
      <c r="XBV1" s="243"/>
      <c r="XBW1" s="243"/>
      <c r="XBX1" s="243"/>
      <c r="XBY1" s="243"/>
      <c r="XBZ1" s="243"/>
      <c r="XCA1" s="243"/>
      <c r="XCB1" s="243"/>
      <c r="XCC1" s="243" t="s">
        <v>127</v>
      </c>
      <c r="XCD1" s="243"/>
      <c r="XCE1" s="243"/>
      <c r="XCF1" s="243"/>
      <c r="XCG1" s="243"/>
      <c r="XCH1" s="243"/>
      <c r="XCI1" s="243"/>
      <c r="XCJ1" s="243"/>
      <c r="XCK1" s="243"/>
      <c r="XCL1" s="243"/>
      <c r="XCM1" s="243"/>
      <c r="XCN1" s="243"/>
      <c r="XCO1" s="243"/>
      <c r="XCP1" s="243"/>
      <c r="XCQ1" s="243"/>
      <c r="XCR1" s="243"/>
      <c r="XCS1" s="243" t="s">
        <v>127</v>
      </c>
      <c r="XCT1" s="243"/>
      <c r="XCU1" s="243"/>
      <c r="XCV1" s="243"/>
      <c r="XCW1" s="243"/>
      <c r="XCX1" s="243"/>
      <c r="XCY1" s="243"/>
      <c r="XCZ1" s="243"/>
      <c r="XDA1" s="243"/>
      <c r="XDB1" s="243"/>
      <c r="XDC1" s="243"/>
      <c r="XDD1" s="243"/>
      <c r="XDE1" s="243"/>
      <c r="XDF1" s="243"/>
      <c r="XDG1" s="243"/>
      <c r="XDH1" s="243"/>
      <c r="XDI1" s="243" t="s">
        <v>127</v>
      </c>
      <c r="XDJ1" s="243"/>
      <c r="XDK1" s="243"/>
      <c r="XDL1" s="243"/>
      <c r="XDM1" s="243"/>
      <c r="XDN1" s="243"/>
      <c r="XDO1" s="243"/>
      <c r="XDP1" s="243"/>
      <c r="XDQ1" s="243"/>
      <c r="XDR1" s="243"/>
      <c r="XDS1" s="243"/>
      <c r="XDT1" s="243"/>
      <c r="XDU1" s="243"/>
      <c r="XDV1" s="243"/>
      <c r="XDW1" s="243"/>
      <c r="XDX1" s="243"/>
      <c r="XDY1" s="243" t="s">
        <v>127</v>
      </c>
      <c r="XDZ1" s="243"/>
      <c r="XEA1" s="243"/>
      <c r="XEB1" s="243"/>
      <c r="XEC1" s="243"/>
      <c r="XED1" s="243"/>
      <c r="XEE1" s="243"/>
      <c r="XEF1" s="243"/>
      <c r="XEG1" s="243"/>
      <c r="XEH1" s="243"/>
      <c r="XEI1" s="243"/>
      <c r="XEJ1" s="243"/>
      <c r="XEK1" s="243"/>
      <c r="XEL1" s="243"/>
      <c r="XEM1" s="243"/>
      <c r="XEN1" s="243"/>
      <c r="XEO1" s="243" t="s">
        <v>127</v>
      </c>
      <c r="XEP1" s="243"/>
      <c r="XEQ1" s="243"/>
      <c r="XER1" s="243"/>
      <c r="XES1" s="243"/>
      <c r="XET1" s="243"/>
      <c r="XEU1" s="243"/>
      <c r="XEV1" s="243"/>
      <c r="XEW1" s="243"/>
      <c r="XEX1" s="243"/>
      <c r="XEY1" s="243"/>
      <c r="XEZ1" s="243"/>
      <c r="XFA1" s="243"/>
      <c r="XFB1" s="243"/>
      <c r="XFC1" s="243"/>
      <c r="XFD1" s="243"/>
    </row>
    <row r="2" spans="1:16384" s="6" customFormat="1" ht="15" customHeight="1" x14ac:dyDescent="0.25">
      <c r="A2" s="14"/>
      <c r="B2" s="15"/>
      <c r="C2" s="15"/>
      <c r="D2" s="15"/>
      <c r="E2" s="158"/>
      <c r="F2" s="15"/>
      <c r="G2" s="15"/>
      <c r="H2" s="15"/>
      <c r="I2" s="15"/>
      <c r="J2" s="15"/>
      <c r="K2" s="15"/>
      <c r="O2" s="15"/>
      <c r="P2" s="15"/>
      <c r="Q2" s="53" t="str">
        <f>污水!P2</f>
        <v>日  期：2024年9月10日</v>
      </c>
      <c r="R2" s="57"/>
      <c r="S2" s="179"/>
    </row>
    <row r="3" spans="1:16384" s="7" customFormat="1" ht="15" customHeight="1" x14ac:dyDescent="0.25">
      <c r="A3" s="254" t="s">
        <v>178</v>
      </c>
      <c r="B3" s="255"/>
      <c r="C3" s="251" t="s">
        <v>3</v>
      </c>
      <c r="D3" s="252" t="s">
        <v>4</v>
      </c>
      <c r="E3" s="248" t="str">
        <f>果糖!D3</f>
        <v>2025年预算</v>
      </c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11"/>
      <c r="S3" s="180"/>
    </row>
    <row r="4" spans="1:16384" ht="15" customHeight="1" x14ac:dyDescent="0.25">
      <c r="A4" s="256"/>
      <c r="B4" s="257"/>
      <c r="C4" s="251"/>
      <c r="D4" s="253"/>
      <c r="E4" s="159" t="s">
        <v>6</v>
      </c>
      <c r="F4" s="160" t="s">
        <v>7</v>
      </c>
      <c r="G4" s="160" t="s">
        <v>8</v>
      </c>
      <c r="H4" s="160" t="s">
        <v>9</v>
      </c>
      <c r="I4" s="160" t="s">
        <v>10</v>
      </c>
      <c r="J4" s="160" t="s">
        <v>11</v>
      </c>
      <c r="K4" s="160" t="s">
        <v>12</v>
      </c>
      <c r="L4" s="160" t="s">
        <v>13</v>
      </c>
      <c r="M4" s="160" t="s">
        <v>14</v>
      </c>
      <c r="N4" s="160" t="s">
        <v>15</v>
      </c>
      <c r="O4" s="160" t="s">
        <v>16</v>
      </c>
      <c r="P4" s="160" t="s">
        <v>17</v>
      </c>
      <c r="Q4" s="160" t="s">
        <v>179</v>
      </c>
      <c r="R4" s="60" t="s">
        <v>180</v>
      </c>
    </row>
    <row r="5" spans="1:16384" ht="15" customHeight="1" x14ac:dyDescent="0.25">
      <c r="A5" s="161" t="s">
        <v>71</v>
      </c>
      <c r="B5" s="162"/>
      <c r="C5" s="17"/>
      <c r="D5" s="163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1:16384" ht="15" customHeight="1" x14ac:dyDescent="0.25">
      <c r="A6" s="165" t="s">
        <v>181</v>
      </c>
      <c r="B6" s="162"/>
      <c r="C6" s="23" t="s">
        <v>37</v>
      </c>
      <c r="D6" s="24"/>
      <c r="E6" s="166">
        <f>果糖!D59</f>
        <v>6758</v>
      </c>
      <c r="F6" s="166">
        <f>果糖!E59</f>
        <v>3935</v>
      </c>
      <c r="G6" s="166">
        <f>果糖!F59</f>
        <v>5072</v>
      </c>
      <c r="H6" s="166">
        <f>果糖!G59</f>
        <v>4147</v>
      </c>
      <c r="I6" s="166">
        <f>果糖!H59</f>
        <v>6242</v>
      </c>
      <c r="J6" s="166">
        <f>果糖!I59</f>
        <v>6328</v>
      </c>
      <c r="K6" s="166">
        <f>果糖!J59</f>
        <v>6432</v>
      </c>
      <c r="L6" s="166">
        <f>果糖!K59</f>
        <v>6390</v>
      </c>
      <c r="M6" s="166">
        <f>果糖!L59</f>
        <v>4814</v>
      </c>
      <c r="N6" s="166">
        <f>果糖!M59</f>
        <v>3393</v>
      </c>
      <c r="O6" s="166">
        <f>果糖!N59</f>
        <v>3341</v>
      </c>
      <c r="P6" s="166">
        <f>果糖!O59</f>
        <v>5578</v>
      </c>
      <c r="Q6" s="181">
        <f>SUM(E6:P6)</f>
        <v>62430</v>
      </c>
      <c r="R6" s="60" t="s">
        <v>182</v>
      </c>
    </row>
    <row r="7" spans="1:16384" ht="15" customHeight="1" x14ac:dyDescent="0.25">
      <c r="A7" s="165" t="s">
        <v>183</v>
      </c>
      <c r="B7" s="162"/>
      <c r="C7" s="23" t="s">
        <v>37</v>
      </c>
      <c r="D7" s="24"/>
      <c r="E7" s="166">
        <f>葡萄糖!D45</f>
        <v>277</v>
      </c>
      <c r="F7" s="166">
        <f>葡萄糖!E45</f>
        <v>217</v>
      </c>
      <c r="G7" s="166">
        <f>葡萄糖!F45</f>
        <v>372</v>
      </c>
      <c r="H7" s="166">
        <f>葡萄糖!G45</f>
        <v>563</v>
      </c>
      <c r="I7" s="166">
        <f>葡萄糖!H45</f>
        <v>372</v>
      </c>
      <c r="J7" s="166">
        <f>葡萄糖!I45</f>
        <v>348</v>
      </c>
      <c r="K7" s="166">
        <f>葡萄糖!J45</f>
        <v>665</v>
      </c>
      <c r="L7" s="166">
        <f>葡萄糖!K45</f>
        <v>665</v>
      </c>
      <c r="M7" s="166">
        <f>葡萄糖!L45</f>
        <v>566</v>
      </c>
      <c r="N7" s="166">
        <f>葡萄糖!M45</f>
        <v>590</v>
      </c>
      <c r="O7" s="166">
        <f>葡萄糖!N45</f>
        <v>536</v>
      </c>
      <c r="P7" s="166">
        <f>葡萄糖!O45</f>
        <v>478</v>
      </c>
      <c r="Q7" s="181">
        <f>SUM(E7:P7)</f>
        <v>5649</v>
      </c>
    </row>
    <row r="8" spans="1:16384" ht="15" customHeight="1" x14ac:dyDescent="0.25">
      <c r="A8" s="165" t="s">
        <v>184</v>
      </c>
      <c r="B8" s="162"/>
      <c r="C8" s="23" t="s">
        <v>37</v>
      </c>
      <c r="D8" s="24"/>
      <c r="E8" s="166">
        <f>麦芽糖!D51</f>
        <v>953</v>
      </c>
      <c r="F8" s="166">
        <f>麦芽糖!E51</f>
        <v>1072</v>
      </c>
      <c r="G8" s="166">
        <f>麦芽糖!F51</f>
        <v>473</v>
      </c>
      <c r="H8" s="166">
        <f>麦芽糖!G51</f>
        <v>1313</v>
      </c>
      <c r="I8" s="166">
        <f>麦芽糖!H51</f>
        <v>877</v>
      </c>
      <c r="J8" s="166">
        <f>麦芽糖!I51</f>
        <v>1864</v>
      </c>
      <c r="K8" s="166">
        <f>麦芽糖!J51</f>
        <v>984</v>
      </c>
      <c r="L8" s="166">
        <f>麦芽糖!K51</f>
        <v>2774</v>
      </c>
      <c r="M8" s="166">
        <f>麦芽糖!L51</f>
        <v>1021</v>
      </c>
      <c r="N8" s="166">
        <f>麦芽糖!M51</f>
        <v>955</v>
      </c>
      <c r="O8" s="166">
        <f>麦芽糖!N51</f>
        <v>563</v>
      </c>
      <c r="P8" s="166">
        <f>麦芽糖!O51</f>
        <v>1653</v>
      </c>
      <c r="Q8" s="181">
        <f>SUM(E8:P8)</f>
        <v>14502</v>
      </c>
    </row>
    <row r="9" spans="1:16384" ht="15" customHeight="1" x14ac:dyDescent="0.25">
      <c r="A9" s="165" t="s">
        <v>185</v>
      </c>
      <c r="B9" s="162"/>
      <c r="C9" s="23" t="s">
        <v>37</v>
      </c>
      <c r="D9" s="24"/>
      <c r="E9" s="167">
        <f>污水!D36</f>
        <v>0</v>
      </c>
      <c r="F9" s="167">
        <f>污水!E36</f>
        <v>0</v>
      </c>
      <c r="G9" s="167">
        <f>污水!F36</f>
        <v>0</v>
      </c>
      <c r="H9" s="167">
        <f>污水!G36</f>
        <v>0</v>
      </c>
      <c r="I9" s="167">
        <f>污水!H36</f>
        <v>0</v>
      </c>
      <c r="J9" s="167">
        <f>污水!I36</f>
        <v>0</v>
      </c>
      <c r="K9" s="167">
        <f>污水!J36</f>
        <v>0</v>
      </c>
      <c r="L9" s="167">
        <f>污水!K36</f>
        <v>0</v>
      </c>
      <c r="M9" s="167">
        <f>污水!L36</f>
        <v>0</v>
      </c>
      <c r="N9" s="167">
        <f>污水!M36</f>
        <v>0</v>
      </c>
      <c r="O9" s="167">
        <f>污水!N36</f>
        <v>0</v>
      </c>
      <c r="P9" s="167">
        <f>污水!O36</f>
        <v>0</v>
      </c>
      <c r="Q9" s="181">
        <f>SUM(E9:P9)</f>
        <v>0</v>
      </c>
      <c r="R9" s="60" t="s">
        <v>186</v>
      </c>
    </row>
    <row r="10" spans="1:16384" ht="15" customHeight="1" x14ac:dyDescent="0.25">
      <c r="A10" s="168" t="s">
        <v>187</v>
      </c>
      <c r="B10" s="162"/>
      <c r="C10" s="23" t="s">
        <v>37</v>
      </c>
      <c r="D10" s="24"/>
      <c r="E10" s="167">
        <f>SUM(E6:E9)</f>
        <v>7988</v>
      </c>
      <c r="F10" s="167">
        <f t="shared" ref="F10:P10" si="0">SUM(F6:F9)</f>
        <v>5224</v>
      </c>
      <c r="G10" s="167">
        <f t="shared" si="0"/>
        <v>5917</v>
      </c>
      <c r="H10" s="167">
        <f t="shared" si="0"/>
        <v>6023</v>
      </c>
      <c r="I10" s="167">
        <f t="shared" si="0"/>
        <v>7491</v>
      </c>
      <c r="J10" s="167">
        <f t="shared" si="0"/>
        <v>8540</v>
      </c>
      <c r="K10" s="167">
        <f t="shared" si="0"/>
        <v>8081</v>
      </c>
      <c r="L10" s="167">
        <f t="shared" si="0"/>
        <v>9829</v>
      </c>
      <c r="M10" s="167">
        <f t="shared" si="0"/>
        <v>6401</v>
      </c>
      <c r="N10" s="167">
        <f t="shared" si="0"/>
        <v>4938</v>
      </c>
      <c r="O10" s="167">
        <f t="shared" si="0"/>
        <v>4440</v>
      </c>
      <c r="P10" s="167">
        <f t="shared" si="0"/>
        <v>7709</v>
      </c>
      <c r="Q10" s="181">
        <f>SUM(E10:P10)</f>
        <v>82581</v>
      </c>
    </row>
    <row r="11" spans="1:16384" ht="15" customHeight="1" x14ac:dyDescent="0.25">
      <c r="A11" s="161" t="s">
        <v>72</v>
      </c>
      <c r="B11" s="162"/>
      <c r="C11" s="17"/>
      <c r="D11" s="163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</row>
    <row r="12" spans="1:16384" ht="15" customHeight="1" x14ac:dyDescent="0.25">
      <c r="A12" s="165" t="s">
        <v>188</v>
      </c>
      <c r="B12" s="162"/>
      <c r="C12" s="23" t="s">
        <v>189</v>
      </c>
      <c r="D12" s="24"/>
      <c r="E12" s="167">
        <f>果糖!D61</f>
        <v>12037</v>
      </c>
      <c r="F12" s="167">
        <f>果糖!E61</f>
        <v>6955</v>
      </c>
      <c r="G12" s="167">
        <f>果糖!F61</f>
        <v>8661</v>
      </c>
      <c r="H12" s="167">
        <f>果糖!G61</f>
        <v>6517</v>
      </c>
      <c r="I12" s="167">
        <f>果糖!H61</f>
        <v>11282</v>
      </c>
      <c r="J12" s="167">
        <f>果糖!I61</f>
        <v>11416</v>
      </c>
      <c r="K12" s="167">
        <f>果糖!J61</f>
        <v>11581</v>
      </c>
      <c r="L12" s="167">
        <f>果糖!K61</f>
        <v>11498</v>
      </c>
      <c r="M12" s="167">
        <f>果糖!L61</f>
        <v>7863</v>
      </c>
      <c r="N12" s="167">
        <f>果糖!M61</f>
        <v>5428</v>
      </c>
      <c r="O12" s="167">
        <f>果糖!N61</f>
        <v>5345</v>
      </c>
      <c r="P12" s="167">
        <f>果糖!O61</f>
        <v>10281</v>
      </c>
      <c r="Q12" s="54">
        <f t="shared" ref="Q12:Q21" si="1">SUM(E12:P12)</f>
        <v>108864</v>
      </c>
    </row>
    <row r="13" spans="1:16384" ht="15" customHeight="1" x14ac:dyDescent="0.25">
      <c r="A13" s="169" t="s">
        <v>190</v>
      </c>
      <c r="B13" s="162"/>
      <c r="C13" s="23" t="s">
        <v>189</v>
      </c>
      <c r="D13" s="24"/>
      <c r="E13" s="167">
        <f>E12-E14</f>
        <v>12037</v>
      </c>
      <c r="F13" s="167">
        <f>F12-F14</f>
        <v>6955</v>
      </c>
      <c r="G13" s="167">
        <f t="shared" ref="G13:H13" si="2">G12-G14</f>
        <v>8661</v>
      </c>
      <c r="H13" s="167">
        <f t="shared" si="2"/>
        <v>6517</v>
      </c>
      <c r="I13" s="167">
        <f t="shared" ref="I13:P13" si="3">I12-I14</f>
        <v>11282</v>
      </c>
      <c r="J13" s="167">
        <f t="shared" si="3"/>
        <v>11416</v>
      </c>
      <c r="K13" s="167">
        <f t="shared" si="3"/>
        <v>11581</v>
      </c>
      <c r="L13" s="167">
        <f t="shared" si="3"/>
        <v>11498</v>
      </c>
      <c r="M13" s="167">
        <f t="shared" si="3"/>
        <v>7863</v>
      </c>
      <c r="N13" s="167">
        <f t="shared" si="3"/>
        <v>5428</v>
      </c>
      <c r="O13" s="167">
        <f t="shared" si="3"/>
        <v>5345</v>
      </c>
      <c r="P13" s="167">
        <f t="shared" si="3"/>
        <v>10281</v>
      </c>
      <c r="Q13" s="167">
        <f t="shared" si="1"/>
        <v>108864</v>
      </c>
      <c r="R13" s="60" t="s">
        <v>182</v>
      </c>
    </row>
    <row r="14" spans="1:16384" ht="15" customHeight="1" x14ac:dyDescent="0.25">
      <c r="A14" s="169" t="s">
        <v>191</v>
      </c>
      <c r="B14" s="162"/>
      <c r="C14" s="23" t="s">
        <v>189</v>
      </c>
      <c r="D14" s="24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54">
        <f t="shared" si="1"/>
        <v>0</v>
      </c>
      <c r="R14" s="60" t="s">
        <v>182</v>
      </c>
      <c r="S14" s="157" t="s">
        <v>192</v>
      </c>
    </row>
    <row r="15" spans="1:16384" ht="15" customHeight="1" x14ac:dyDescent="0.25">
      <c r="A15" s="165" t="s">
        <v>193</v>
      </c>
      <c r="B15" s="162"/>
      <c r="C15" s="23" t="s">
        <v>189</v>
      </c>
      <c r="D15" s="24"/>
      <c r="E15" s="167">
        <f>葡萄糖!D47</f>
        <v>305</v>
      </c>
      <c r="F15" s="167">
        <f>葡萄糖!E47</f>
        <v>250</v>
      </c>
      <c r="G15" s="167">
        <f>葡萄糖!F47</f>
        <v>430</v>
      </c>
      <c r="H15" s="167">
        <f>葡萄糖!G47</f>
        <v>633</v>
      </c>
      <c r="I15" s="167">
        <f>葡萄糖!H47</f>
        <v>410</v>
      </c>
      <c r="J15" s="167">
        <f>葡萄糖!I47</f>
        <v>384</v>
      </c>
      <c r="K15" s="167">
        <f>葡萄糖!J47</f>
        <v>733</v>
      </c>
      <c r="L15" s="167">
        <f>葡萄糖!K47</f>
        <v>733</v>
      </c>
      <c r="M15" s="167">
        <f>葡萄糖!L47</f>
        <v>623</v>
      </c>
      <c r="N15" s="167">
        <f>葡萄糖!M47</f>
        <v>650</v>
      </c>
      <c r="O15" s="167">
        <f>葡萄糖!N47</f>
        <v>591</v>
      </c>
      <c r="P15" s="167">
        <f>葡萄糖!O47</f>
        <v>527</v>
      </c>
      <c r="Q15" s="54">
        <f t="shared" si="1"/>
        <v>6269</v>
      </c>
    </row>
    <row r="16" spans="1:16384" ht="15" customHeight="1" x14ac:dyDescent="0.25">
      <c r="A16" s="165" t="s">
        <v>194</v>
      </c>
      <c r="B16" s="162"/>
      <c r="C16" s="23" t="s">
        <v>189</v>
      </c>
      <c r="D16" s="24"/>
      <c r="E16" s="167">
        <f>麦芽糖!D53</f>
        <v>1920</v>
      </c>
      <c r="F16" s="167">
        <f>麦芽糖!E53</f>
        <v>2160</v>
      </c>
      <c r="G16" s="167">
        <f>麦芽糖!F53</f>
        <v>953</v>
      </c>
      <c r="H16" s="167">
        <f>麦芽糖!G53</f>
        <v>2684</v>
      </c>
      <c r="I16" s="167">
        <f>麦芽糖!H53</f>
        <v>1818</v>
      </c>
      <c r="J16" s="167">
        <f>麦芽糖!I53</f>
        <v>3866</v>
      </c>
      <c r="K16" s="167">
        <f>麦芽糖!J53</f>
        <v>2041</v>
      </c>
      <c r="L16" s="167">
        <f>麦芽糖!K53</f>
        <v>5752</v>
      </c>
      <c r="M16" s="167">
        <f>麦芽糖!L53</f>
        <v>2117</v>
      </c>
      <c r="N16" s="167">
        <f>麦芽糖!M53</f>
        <v>1981</v>
      </c>
      <c r="O16" s="167">
        <f>麦芽糖!N53</f>
        <v>1135</v>
      </c>
      <c r="P16" s="167">
        <f>麦芽糖!O53</f>
        <v>3329</v>
      </c>
      <c r="Q16" s="54">
        <f t="shared" si="1"/>
        <v>29756</v>
      </c>
    </row>
    <row r="17" spans="1:25" ht="15" customHeight="1" x14ac:dyDescent="0.25">
      <c r="A17" s="165" t="s">
        <v>195</v>
      </c>
      <c r="B17" s="162"/>
      <c r="C17" s="23" t="s">
        <v>189</v>
      </c>
      <c r="D17" s="24"/>
      <c r="E17" s="167">
        <f>锅炉工段!D30</f>
        <v>0</v>
      </c>
      <c r="F17" s="167">
        <f>锅炉工段!E30</f>
        <v>0</v>
      </c>
      <c r="G17" s="167">
        <f>锅炉工段!F30</f>
        <v>0</v>
      </c>
      <c r="H17" s="167">
        <f>锅炉工段!G30</f>
        <v>0</v>
      </c>
      <c r="I17" s="167">
        <f>锅炉工段!H30</f>
        <v>0</v>
      </c>
      <c r="J17" s="167">
        <f>锅炉工段!I30</f>
        <v>0</v>
      </c>
      <c r="K17" s="167">
        <f>锅炉工段!J30</f>
        <v>0</v>
      </c>
      <c r="L17" s="167">
        <f>锅炉工段!K30</f>
        <v>0</v>
      </c>
      <c r="M17" s="167">
        <f>锅炉工段!L30</f>
        <v>0</v>
      </c>
      <c r="N17" s="167">
        <f>锅炉工段!M30</f>
        <v>0</v>
      </c>
      <c r="O17" s="167">
        <f>锅炉工段!N30</f>
        <v>0</v>
      </c>
      <c r="P17" s="167">
        <f>锅炉工段!O30</f>
        <v>0</v>
      </c>
      <c r="Q17" s="54">
        <f t="shared" si="1"/>
        <v>0</v>
      </c>
      <c r="R17" s="60" t="s">
        <v>196</v>
      </c>
      <c r="T17" s="182"/>
    </row>
    <row r="18" spans="1:25" ht="15" customHeight="1" x14ac:dyDescent="0.25">
      <c r="A18" s="165" t="s">
        <v>197</v>
      </c>
      <c r="B18" s="162"/>
      <c r="C18" s="23"/>
      <c r="D18" s="24"/>
      <c r="E18" s="167">
        <f>E19+E20</f>
        <v>600</v>
      </c>
      <c r="F18" s="167">
        <f t="shared" ref="F18:P18" si="4">F19+F20</f>
        <v>600</v>
      </c>
      <c r="G18" s="167">
        <f t="shared" si="4"/>
        <v>600</v>
      </c>
      <c r="H18" s="167">
        <f t="shared" si="4"/>
        <v>600</v>
      </c>
      <c r="I18" s="167">
        <f t="shared" si="4"/>
        <v>600</v>
      </c>
      <c r="J18" s="167">
        <f t="shared" si="4"/>
        <v>600</v>
      </c>
      <c r="K18" s="167">
        <f t="shared" si="4"/>
        <v>600</v>
      </c>
      <c r="L18" s="167">
        <f t="shared" si="4"/>
        <v>600</v>
      </c>
      <c r="M18" s="167">
        <f t="shared" si="4"/>
        <v>600</v>
      </c>
      <c r="N18" s="167">
        <f t="shared" si="4"/>
        <v>600</v>
      </c>
      <c r="O18" s="167">
        <f t="shared" si="4"/>
        <v>600</v>
      </c>
      <c r="P18" s="167">
        <f t="shared" si="4"/>
        <v>600</v>
      </c>
      <c r="Q18" s="54">
        <f t="shared" si="1"/>
        <v>7200</v>
      </c>
      <c r="T18" s="182"/>
    </row>
    <row r="19" spans="1:25" ht="15" customHeight="1" x14ac:dyDescent="0.25">
      <c r="A19" s="169" t="s">
        <v>198</v>
      </c>
      <c r="B19" s="162"/>
      <c r="C19" s="23" t="s">
        <v>189</v>
      </c>
      <c r="D19" s="24"/>
      <c r="E19" s="171">
        <v>600</v>
      </c>
      <c r="F19" s="171">
        <v>600</v>
      </c>
      <c r="G19" s="171">
        <v>600</v>
      </c>
      <c r="H19" s="171">
        <v>600</v>
      </c>
      <c r="I19" s="171">
        <v>600</v>
      </c>
      <c r="J19" s="171">
        <v>600</v>
      </c>
      <c r="K19" s="171">
        <v>600</v>
      </c>
      <c r="L19" s="171">
        <v>600</v>
      </c>
      <c r="M19" s="171">
        <v>600</v>
      </c>
      <c r="N19" s="171">
        <v>600</v>
      </c>
      <c r="O19" s="171">
        <v>600</v>
      </c>
      <c r="P19" s="171">
        <v>600</v>
      </c>
      <c r="Q19" s="54">
        <f t="shared" si="1"/>
        <v>7200</v>
      </c>
      <c r="R19" s="60" t="s">
        <v>199</v>
      </c>
      <c r="U19" s="182">
        <f>Q19*[6]单价!$D$36/1.13</f>
        <v>27939.823008849598</v>
      </c>
    </row>
    <row r="20" spans="1:25" ht="15" customHeight="1" x14ac:dyDescent="0.25">
      <c r="A20" s="169" t="s">
        <v>200</v>
      </c>
      <c r="B20" s="162"/>
      <c r="C20" s="23" t="s">
        <v>189</v>
      </c>
      <c r="D20" s="24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54">
        <f t="shared" si="1"/>
        <v>0</v>
      </c>
      <c r="R20" s="60" t="s">
        <v>201</v>
      </c>
      <c r="S20" s="183" t="s">
        <v>202</v>
      </c>
      <c r="U20" s="182">
        <f>Q20*4.035/1.13</f>
        <v>0</v>
      </c>
    </row>
    <row r="21" spans="1:25" ht="15" customHeight="1" x14ac:dyDescent="0.25">
      <c r="A21" s="168" t="s">
        <v>203</v>
      </c>
      <c r="B21" s="162"/>
      <c r="C21" s="23" t="s">
        <v>189</v>
      </c>
      <c r="D21" s="24"/>
      <c r="E21" s="167">
        <f>E12+E17+E18+E16</f>
        <v>14557</v>
      </c>
      <c r="F21" s="167">
        <f t="shared" ref="F21:P21" si="5">F12+F17+F18+F16</f>
        <v>9715</v>
      </c>
      <c r="G21" s="167">
        <f t="shared" si="5"/>
        <v>10214</v>
      </c>
      <c r="H21" s="167">
        <f t="shared" si="5"/>
        <v>9801</v>
      </c>
      <c r="I21" s="167">
        <f t="shared" si="5"/>
        <v>13700</v>
      </c>
      <c r="J21" s="167">
        <f t="shared" si="5"/>
        <v>15882</v>
      </c>
      <c r="K21" s="167">
        <f t="shared" si="5"/>
        <v>14222</v>
      </c>
      <c r="L21" s="167">
        <f t="shared" si="5"/>
        <v>17850</v>
      </c>
      <c r="M21" s="167">
        <f t="shared" si="5"/>
        <v>10580</v>
      </c>
      <c r="N21" s="167">
        <f t="shared" si="5"/>
        <v>8009</v>
      </c>
      <c r="O21" s="167">
        <f t="shared" si="5"/>
        <v>7080</v>
      </c>
      <c r="P21" s="167">
        <f t="shared" si="5"/>
        <v>14210</v>
      </c>
      <c r="Q21" s="54">
        <f t="shared" si="1"/>
        <v>145820</v>
      </c>
      <c r="R21" s="60" t="s">
        <v>204</v>
      </c>
      <c r="T21" s="182"/>
    </row>
    <row r="22" spans="1:25" ht="15" customHeight="1" x14ac:dyDescent="0.25">
      <c r="A22" s="161" t="s">
        <v>68</v>
      </c>
      <c r="B22" s="162"/>
      <c r="C22" s="17"/>
      <c r="D22" s="163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</row>
    <row r="23" spans="1:25" ht="15" customHeight="1" x14ac:dyDescent="0.25">
      <c r="A23" s="165" t="s">
        <v>205</v>
      </c>
      <c r="B23" s="162"/>
      <c r="C23" s="23" t="s">
        <v>123</v>
      </c>
      <c r="D23" s="24"/>
      <c r="E23" s="167">
        <f>果糖!D57</f>
        <v>135.9119</v>
      </c>
      <c r="F23" s="167">
        <f>果糖!E57</f>
        <v>78.227000000000004</v>
      </c>
      <c r="G23" s="167">
        <f>果糖!F57</f>
        <v>96.627399999999994</v>
      </c>
      <c r="H23" s="167">
        <f>果糖!G57</f>
        <v>66.948099999999997</v>
      </c>
      <c r="I23" s="167">
        <f>果糖!H57</f>
        <v>129.536</v>
      </c>
      <c r="J23" s="167">
        <f>果糖!I57</f>
        <v>130.9195</v>
      </c>
      <c r="K23" s="167">
        <f>果糖!J57</f>
        <v>132.60929999999999</v>
      </c>
      <c r="L23" s="167">
        <f>果糖!K57</f>
        <v>131.58619999999999</v>
      </c>
      <c r="M23" s="167">
        <f>果糖!L57</f>
        <v>84.591700000000003</v>
      </c>
      <c r="N23" s="167">
        <f>果糖!M57</f>
        <v>54.235700000000001</v>
      </c>
      <c r="O23" s="167">
        <f>果糖!N57</f>
        <v>53.404800000000002</v>
      </c>
      <c r="P23" s="167">
        <f>果糖!O57</f>
        <v>117.5394</v>
      </c>
      <c r="Q23" s="54">
        <f t="shared" ref="Q23:Q31" si="6">SUM(E23:P23)</f>
        <v>1212.1369999999997</v>
      </c>
      <c r="R23" s="60" t="s">
        <v>182</v>
      </c>
    </row>
    <row r="24" spans="1:25" ht="15" customHeight="1" x14ac:dyDescent="0.25">
      <c r="A24" s="165" t="s">
        <v>206</v>
      </c>
      <c r="B24" s="162"/>
      <c r="C24" s="23" t="s">
        <v>123</v>
      </c>
      <c r="D24" s="24"/>
      <c r="E24" s="167">
        <f>葡萄糖!D43</f>
        <v>2.2035999999999998</v>
      </c>
      <c r="F24" s="167">
        <f>葡萄糖!E43</f>
        <v>1.8084</v>
      </c>
      <c r="G24" s="167">
        <f>葡萄糖!F43</f>
        <v>3.1057999999999999</v>
      </c>
      <c r="H24" s="167">
        <f>葡萄糖!G43</f>
        <v>4.4295999999999998</v>
      </c>
      <c r="I24" s="167">
        <f>葡萄糖!H43</f>
        <v>2.9596</v>
      </c>
      <c r="J24" s="167">
        <f>葡萄糖!I43</f>
        <v>2.7719999999999998</v>
      </c>
      <c r="K24" s="167">
        <f>葡萄糖!J43</f>
        <v>5.2919999999999998</v>
      </c>
      <c r="L24" s="167">
        <f>葡萄糖!K43</f>
        <v>5.2919999999999998</v>
      </c>
      <c r="M24" s="167">
        <f>葡萄糖!L43</f>
        <v>4.5792000000000002</v>
      </c>
      <c r="N24" s="167">
        <f>葡萄糖!M43</f>
        <v>4.6395999999999997</v>
      </c>
      <c r="O24" s="167">
        <f>葡萄糖!N43</f>
        <v>4.2195999999999998</v>
      </c>
      <c r="P24" s="167">
        <f>葡萄糖!O43</f>
        <v>3.7995999999999999</v>
      </c>
      <c r="Q24" s="54">
        <f t="shared" si="6"/>
        <v>45.100999999999999</v>
      </c>
    </row>
    <row r="25" spans="1:25" ht="15" customHeight="1" x14ac:dyDescent="0.25">
      <c r="A25" s="165" t="s">
        <v>207</v>
      </c>
      <c r="B25" s="162"/>
      <c r="C25" s="23" t="s">
        <v>123</v>
      </c>
      <c r="D25" s="24"/>
      <c r="E25" s="167">
        <f>麦芽糖!D49</f>
        <v>9.2582000000000004</v>
      </c>
      <c r="F25" s="167">
        <f>麦芽糖!E49</f>
        <v>10.415900000000001</v>
      </c>
      <c r="G25" s="167">
        <f>麦芽糖!F49</f>
        <v>4.5951000000000004</v>
      </c>
      <c r="H25" s="167">
        <f>麦芽糖!G49</f>
        <v>12.9438</v>
      </c>
      <c r="I25" s="167">
        <f>麦芽糖!H49</f>
        <v>8.7659000000000002</v>
      </c>
      <c r="J25" s="167">
        <f>麦芽糖!I49</f>
        <v>19.190899999999999</v>
      </c>
      <c r="K25" s="167">
        <f>麦芽糖!J49</f>
        <v>10.1304</v>
      </c>
      <c r="L25" s="167">
        <f>麦芽糖!K49</f>
        <v>28.556899999999999</v>
      </c>
      <c r="M25" s="167">
        <f>麦芽糖!L49</f>
        <v>10.509499999999999</v>
      </c>
      <c r="N25" s="167">
        <f>麦芽糖!M49</f>
        <v>9.5542999999999996</v>
      </c>
      <c r="O25" s="167">
        <f>麦芽糖!N49</f>
        <v>5.4722999999999997</v>
      </c>
      <c r="P25" s="167">
        <f>麦芽糖!O49</f>
        <v>16.056799999999999</v>
      </c>
      <c r="Q25" s="54">
        <f t="shared" si="6"/>
        <v>145.44999999999999</v>
      </c>
    </row>
    <row r="26" spans="1:25" ht="15" customHeight="1" x14ac:dyDescent="0.25">
      <c r="A26" s="165" t="s">
        <v>208</v>
      </c>
      <c r="B26" s="162"/>
      <c r="C26" s="23" t="s">
        <v>123</v>
      </c>
      <c r="D26" s="24"/>
      <c r="E26" s="173">
        <f>污水!D34</f>
        <v>7.8196000000000003</v>
      </c>
      <c r="F26" s="173">
        <f>污水!E34</f>
        <v>4.8202999999999996</v>
      </c>
      <c r="G26" s="173">
        <f>污水!F34</f>
        <v>5.5769000000000002</v>
      </c>
      <c r="H26" s="173">
        <f>污水!G34</f>
        <v>4.9756999999999998</v>
      </c>
      <c r="I26" s="173">
        <f>污水!H34</f>
        <v>7.3776999999999999</v>
      </c>
      <c r="J26" s="173">
        <f>污水!I34</f>
        <v>8.0991</v>
      </c>
      <c r="K26" s="173">
        <f>污水!J34</f>
        <v>7.7157999999999998</v>
      </c>
      <c r="L26" s="173">
        <f>污水!K34</f>
        <v>8.8472000000000008</v>
      </c>
      <c r="M26" s="173">
        <f>污水!L34</f>
        <v>5.5610999999999997</v>
      </c>
      <c r="N26" s="173">
        <f>污水!M34</f>
        <v>4.0088999999999997</v>
      </c>
      <c r="O26" s="173">
        <f>污水!N34</f>
        <v>3.6766999999999999</v>
      </c>
      <c r="P26" s="173">
        <f>污水!O34</f>
        <v>7.1898</v>
      </c>
      <c r="Q26" s="54">
        <f t="shared" si="6"/>
        <v>75.668800000000005</v>
      </c>
      <c r="R26" s="60" t="s">
        <v>186</v>
      </c>
    </row>
    <row r="27" spans="1:25" ht="15" customHeight="1" x14ac:dyDescent="0.25">
      <c r="A27" s="165" t="s">
        <v>209</v>
      </c>
      <c r="B27" s="162"/>
      <c r="C27" s="23" t="s">
        <v>123</v>
      </c>
      <c r="D27" s="24"/>
      <c r="E27" s="173">
        <f>锅炉工段!D28</f>
        <v>0</v>
      </c>
      <c r="F27" s="173">
        <f>锅炉工段!E28</f>
        <v>0</v>
      </c>
      <c r="G27" s="173">
        <f>锅炉工段!F28</f>
        <v>0</v>
      </c>
      <c r="H27" s="173">
        <f>锅炉工段!G28</f>
        <v>0</v>
      </c>
      <c r="I27" s="173">
        <f>锅炉工段!H28</f>
        <v>0</v>
      </c>
      <c r="J27" s="173">
        <f>锅炉工段!I28</f>
        <v>0</v>
      </c>
      <c r="K27" s="173">
        <f>锅炉工段!J28</f>
        <v>0</v>
      </c>
      <c r="L27" s="173">
        <f>锅炉工段!K28</f>
        <v>0</v>
      </c>
      <c r="M27" s="173">
        <f>锅炉工段!L28</f>
        <v>0</v>
      </c>
      <c r="N27" s="173">
        <f>锅炉工段!M28</f>
        <v>0</v>
      </c>
      <c r="O27" s="173">
        <f>锅炉工段!N28</f>
        <v>0</v>
      </c>
      <c r="P27" s="173">
        <f>锅炉工段!O28</f>
        <v>0</v>
      </c>
      <c r="Q27" s="54">
        <f t="shared" si="6"/>
        <v>0</v>
      </c>
      <c r="R27" s="60" t="s">
        <v>196</v>
      </c>
    </row>
    <row r="28" spans="1:25" ht="15" customHeight="1" x14ac:dyDescent="0.25">
      <c r="A28" s="165" t="s">
        <v>210</v>
      </c>
      <c r="B28" s="162"/>
      <c r="C28" s="23" t="s">
        <v>123</v>
      </c>
      <c r="D28" s="24"/>
      <c r="E28" s="173">
        <f>E29+E30</f>
        <v>1.1811</v>
      </c>
      <c r="F28" s="173">
        <f t="shared" ref="F28:P28" si="7">F29+F30</f>
        <v>1.0668</v>
      </c>
      <c r="G28" s="173">
        <f t="shared" si="7"/>
        <v>1.1811</v>
      </c>
      <c r="H28" s="173">
        <f t="shared" si="7"/>
        <v>1.143</v>
      </c>
      <c r="I28" s="173">
        <f t="shared" si="7"/>
        <v>1.1811</v>
      </c>
      <c r="J28" s="173">
        <f t="shared" si="7"/>
        <v>1.143</v>
      </c>
      <c r="K28" s="173">
        <f t="shared" si="7"/>
        <v>1.1811</v>
      </c>
      <c r="L28" s="173">
        <f t="shared" si="7"/>
        <v>1.1811</v>
      </c>
      <c r="M28" s="173">
        <f t="shared" si="7"/>
        <v>1.143</v>
      </c>
      <c r="N28" s="173">
        <f t="shared" si="7"/>
        <v>1.1811</v>
      </c>
      <c r="O28" s="173">
        <f t="shared" si="7"/>
        <v>1.143</v>
      </c>
      <c r="P28" s="173">
        <f t="shared" si="7"/>
        <v>1.1811</v>
      </c>
      <c r="Q28" s="184">
        <f t="shared" si="6"/>
        <v>13.906499999999999</v>
      </c>
      <c r="R28" s="60" t="s">
        <v>199</v>
      </c>
    </row>
    <row r="29" spans="1:25" ht="15" customHeight="1" x14ac:dyDescent="0.25">
      <c r="A29" s="169" t="s">
        <v>211</v>
      </c>
      <c r="B29" s="162"/>
      <c r="C29" s="23" t="s">
        <v>123</v>
      </c>
      <c r="D29" s="24"/>
      <c r="E29" s="174">
        <f>(201+30)*E43/10000</f>
        <v>0.71609999999999996</v>
      </c>
      <c r="F29" s="174">
        <f t="shared" ref="F29:P29" si="8">(201+30)*F43/10000</f>
        <v>0.64680000000000004</v>
      </c>
      <c r="G29" s="174">
        <f t="shared" si="8"/>
        <v>0.71609999999999996</v>
      </c>
      <c r="H29" s="174">
        <f t="shared" si="8"/>
        <v>0.69299999999999995</v>
      </c>
      <c r="I29" s="174">
        <f t="shared" si="8"/>
        <v>0.71609999999999996</v>
      </c>
      <c r="J29" s="174">
        <f t="shared" si="8"/>
        <v>0.69299999999999995</v>
      </c>
      <c r="K29" s="174">
        <f t="shared" si="8"/>
        <v>0.71609999999999996</v>
      </c>
      <c r="L29" s="174">
        <f t="shared" si="8"/>
        <v>0.71609999999999996</v>
      </c>
      <c r="M29" s="174">
        <f t="shared" si="8"/>
        <v>0.69299999999999995</v>
      </c>
      <c r="N29" s="174">
        <f t="shared" si="8"/>
        <v>0.71609999999999996</v>
      </c>
      <c r="O29" s="174">
        <f t="shared" si="8"/>
        <v>0.69299999999999995</v>
      </c>
      <c r="P29" s="174">
        <f t="shared" si="8"/>
        <v>0.71609999999999996</v>
      </c>
      <c r="Q29" s="184">
        <f t="shared" si="6"/>
        <v>8.4314999999999998</v>
      </c>
      <c r="R29" s="60" t="s">
        <v>201</v>
      </c>
      <c r="U29" s="182">
        <f>Q29*0.963/1.17*10000</f>
        <v>69397.730769230795</v>
      </c>
    </row>
    <row r="30" spans="1:25" ht="15" customHeight="1" x14ac:dyDescent="0.25">
      <c r="A30" s="175" t="s">
        <v>212</v>
      </c>
      <c r="B30" s="162"/>
      <c r="C30" s="23" t="s">
        <v>123</v>
      </c>
      <c r="D30" s="24"/>
      <c r="E30" s="174">
        <f>(120+30)*E43/10000</f>
        <v>0.46500000000000002</v>
      </c>
      <c r="F30" s="174">
        <f t="shared" ref="F30:P30" si="9">(120+30)*F43/10000</f>
        <v>0.42</v>
      </c>
      <c r="G30" s="174">
        <f t="shared" si="9"/>
        <v>0.46500000000000002</v>
      </c>
      <c r="H30" s="174">
        <f t="shared" si="9"/>
        <v>0.45</v>
      </c>
      <c r="I30" s="174">
        <f t="shared" si="9"/>
        <v>0.46500000000000002</v>
      </c>
      <c r="J30" s="174">
        <f t="shared" si="9"/>
        <v>0.45</v>
      </c>
      <c r="K30" s="174">
        <f t="shared" si="9"/>
        <v>0.46500000000000002</v>
      </c>
      <c r="L30" s="174">
        <f t="shared" si="9"/>
        <v>0.46500000000000002</v>
      </c>
      <c r="M30" s="174">
        <f t="shared" si="9"/>
        <v>0.45</v>
      </c>
      <c r="N30" s="174">
        <f t="shared" si="9"/>
        <v>0.46500000000000002</v>
      </c>
      <c r="O30" s="174">
        <f t="shared" si="9"/>
        <v>0.45</v>
      </c>
      <c r="P30" s="174">
        <f t="shared" si="9"/>
        <v>0.46500000000000002</v>
      </c>
      <c r="Q30" s="184">
        <f t="shared" si="6"/>
        <v>5.4749999999999996</v>
      </c>
      <c r="R30" s="60" t="s">
        <v>204</v>
      </c>
      <c r="U30" s="182">
        <f>Q30*0.963/1.17*10000</f>
        <v>45063.461538461503</v>
      </c>
    </row>
    <row r="31" spans="1:25" ht="15" customHeight="1" x14ac:dyDescent="0.25">
      <c r="A31" s="168" t="s">
        <v>213</v>
      </c>
      <c r="B31" s="162"/>
      <c r="C31" s="23" t="s">
        <v>123</v>
      </c>
      <c r="D31" s="24"/>
      <c r="E31" s="167">
        <f>SUM(E23:E28)</f>
        <v>156.37439999999998</v>
      </c>
      <c r="F31" s="167">
        <f t="shared" ref="F31:P31" si="10">SUM(F23:F28)</f>
        <v>96.338400000000007</v>
      </c>
      <c r="G31" s="167">
        <f t="shared" si="10"/>
        <v>111.08629999999999</v>
      </c>
      <c r="H31" s="167">
        <f t="shared" si="10"/>
        <v>90.44019999999999</v>
      </c>
      <c r="I31" s="167">
        <f t="shared" si="10"/>
        <v>149.82029999999997</v>
      </c>
      <c r="J31" s="167">
        <f t="shared" si="10"/>
        <v>162.12449999999998</v>
      </c>
      <c r="K31" s="167">
        <f t="shared" si="10"/>
        <v>156.92859999999999</v>
      </c>
      <c r="L31" s="167">
        <f t="shared" si="10"/>
        <v>175.46339999999995</v>
      </c>
      <c r="M31" s="167">
        <f t="shared" si="10"/>
        <v>106.3845</v>
      </c>
      <c r="N31" s="167">
        <f t="shared" si="10"/>
        <v>73.619600000000005</v>
      </c>
      <c r="O31" s="167">
        <f t="shared" si="10"/>
        <v>67.916399999999996</v>
      </c>
      <c r="P31" s="167">
        <f t="shared" si="10"/>
        <v>145.76669999999999</v>
      </c>
      <c r="Q31" s="167">
        <f t="shared" si="6"/>
        <v>1492.2632999999998</v>
      </c>
      <c r="T31" s="185"/>
      <c r="W31" s="73"/>
      <c r="Y31" s="182"/>
    </row>
    <row r="32" spans="1:25" ht="15" customHeight="1" x14ac:dyDescent="0.25">
      <c r="A32" s="161" t="s">
        <v>67</v>
      </c>
      <c r="B32" s="162"/>
      <c r="C32" s="17"/>
      <c r="D32" s="163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T32" s="182"/>
      <c r="W32" s="73"/>
      <c r="Y32" s="182"/>
    </row>
    <row r="33" spans="1:27" ht="15" customHeight="1" x14ac:dyDescent="0.25">
      <c r="A33" s="165" t="s">
        <v>214</v>
      </c>
      <c r="B33" s="162"/>
      <c r="C33" s="23" t="s">
        <v>37</v>
      </c>
      <c r="D33" s="163"/>
      <c r="E33" s="167">
        <f>果糖!D55</f>
        <v>48791</v>
      </c>
      <c r="F33" s="167">
        <f>果糖!E55</f>
        <v>28157</v>
      </c>
      <c r="G33" s="167">
        <f>果糖!F55</f>
        <v>34883</v>
      </c>
      <c r="H33" s="167">
        <f>果糖!G55</f>
        <v>24545</v>
      </c>
      <c r="I33" s="167">
        <f>果糖!H55</f>
        <v>46371</v>
      </c>
      <c r="J33" s="167">
        <f>果糖!I55</f>
        <v>46879</v>
      </c>
      <c r="K33" s="167">
        <f>果糖!J55</f>
        <v>47498</v>
      </c>
      <c r="L33" s="167">
        <f>果糖!K55</f>
        <v>47137</v>
      </c>
      <c r="M33" s="167">
        <f>果糖!L55</f>
        <v>30927</v>
      </c>
      <c r="N33" s="167">
        <f>果糖!M55</f>
        <v>19881</v>
      </c>
      <c r="O33" s="167">
        <f>果糖!N55</f>
        <v>19577</v>
      </c>
      <c r="P33" s="167">
        <f>果糖!O55</f>
        <v>41984</v>
      </c>
      <c r="Q33" s="54">
        <f>SUM(E33:P33)</f>
        <v>436630</v>
      </c>
      <c r="R33" s="60" t="s">
        <v>182</v>
      </c>
      <c r="Y33" s="182"/>
    </row>
    <row r="34" spans="1:27" ht="15" customHeight="1" x14ac:dyDescent="0.25">
      <c r="A34" s="165" t="s">
        <v>215</v>
      </c>
      <c r="B34" s="162"/>
      <c r="C34" s="23"/>
      <c r="D34" s="163"/>
      <c r="E34" s="167">
        <f>葡萄糖!D41</f>
        <v>1228</v>
      </c>
      <c r="F34" s="167">
        <f>葡萄糖!E41</f>
        <v>1005</v>
      </c>
      <c r="G34" s="167">
        <f>葡萄糖!F41</f>
        <v>1726</v>
      </c>
      <c r="H34" s="167">
        <f>葡萄糖!G41</f>
        <v>2531</v>
      </c>
      <c r="I34" s="167">
        <f>葡萄糖!H41</f>
        <v>1649</v>
      </c>
      <c r="J34" s="167">
        <f>葡萄糖!I41</f>
        <v>1544</v>
      </c>
      <c r="K34" s="167">
        <f>葡萄糖!J41</f>
        <v>2948</v>
      </c>
      <c r="L34" s="167">
        <f>葡萄糖!K41</f>
        <v>2948</v>
      </c>
      <c r="M34" s="167">
        <f>葡萄糖!L41</f>
        <v>2544</v>
      </c>
      <c r="N34" s="167">
        <f>葡萄糖!M41</f>
        <v>2651</v>
      </c>
      <c r="O34" s="167">
        <f>葡萄糖!N41</f>
        <v>2411</v>
      </c>
      <c r="P34" s="167">
        <f>葡萄糖!O41</f>
        <v>2117</v>
      </c>
      <c r="Q34" s="54">
        <f t="shared" ref="Q34:Q41" si="11">SUM(E34:P34)</f>
        <v>25302</v>
      </c>
      <c r="Y34" s="182"/>
    </row>
    <row r="35" spans="1:27" ht="15" customHeight="1" x14ac:dyDescent="0.25">
      <c r="A35" s="165" t="s">
        <v>216</v>
      </c>
      <c r="B35" s="162"/>
      <c r="C35" s="23"/>
      <c r="D35" s="163"/>
      <c r="E35" s="167">
        <f>麦芽糖!D47</f>
        <v>4765</v>
      </c>
      <c r="F35" s="167">
        <f>麦芽糖!E47</f>
        <v>5361</v>
      </c>
      <c r="G35" s="167">
        <f>麦芽糖!F47</f>
        <v>2433</v>
      </c>
      <c r="H35" s="167">
        <f>麦芽糖!G47</f>
        <v>6853</v>
      </c>
      <c r="I35" s="167">
        <f>麦芽糖!H47</f>
        <v>4770</v>
      </c>
      <c r="J35" s="167">
        <f>麦芽糖!I47</f>
        <v>10144</v>
      </c>
      <c r="K35" s="167">
        <f>麦芽糖!J47</f>
        <v>5355</v>
      </c>
      <c r="L35" s="167">
        <f>麦芽糖!K47</f>
        <v>15094</v>
      </c>
      <c r="M35" s="167">
        <f>麦芽糖!L47</f>
        <v>5555</v>
      </c>
      <c r="N35" s="167">
        <f>麦芽糖!M47</f>
        <v>4918</v>
      </c>
      <c r="O35" s="167">
        <f>麦芽糖!N47</f>
        <v>2817</v>
      </c>
      <c r="P35" s="167">
        <f>麦芽糖!O47</f>
        <v>8265</v>
      </c>
      <c r="Q35" s="54">
        <f t="shared" si="11"/>
        <v>76330</v>
      </c>
      <c r="Y35" s="182"/>
    </row>
    <row r="36" spans="1:27" ht="15" customHeight="1" x14ac:dyDescent="0.25">
      <c r="A36" s="249" t="s">
        <v>217</v>
      </c>
      <c r="B36" s="250"/>
      <c r="C36" s="23" t="s">
        <v>37</v>
      </c>
      <c r="D36" s="163"/>
      <c r="E36" s="167">
        <f>污水!D42</f>
        <v>0</v>
      </c>
      <c r="F36" s="167">
        <f>污水!E42</f>
        <v>0</v>
      </c>
      <c r="G36" s="167">
        <f>污水!F42</f>
        <v>0</v>
      </c>
      <c r="H36" s="167">
        <f>污水!G42</f>
        <v>0</v>
      </c>
      <c r="I36" s="167">
        <f>污水!H42</f>
        <v>0</v>
      </c>
      <c r="J36" s="167">
        <f>污水!I42</f>
        <v>0</v>
      </c>
      <c r="K36" s="167">
        <f>污水!J42</f>
        <v>0</v>
      </c>
      <c r="L36" s="167">
        <f>污水!K42</f>
        <v>0</v>
      </c>
      <c r="M36" s="167">
        <f>污水!L42</f>
        <v>0</v>
      </c>
      <c r="N36" s="167">
        <f>污水!M42</f>
        <v>0</v>
      </c>
      <c r="O36" s="167">
        <f>污水!N42</f>
        <v>0</v>
      </c>
      <c r="P36" s="167">
        <f>污水!O42</f>
        <v>0</v>
      </c>
      <c r="Q36" s="54">
        <f t="shared" si="11"/>
        <v>0</v>
      </c>
      <c r="R36" s="60" t="s">
        <v>218</v>
      </c>
    </row>
    <row r="37" spans="1:27" ht="15" customHeight="1" x14ac:dyDescent="0.25">
      <c r="A37" s="165" t="s">
        <v>153</v>
      </c>
      <c r="B37" s="162"/>
      <c r="C37" s="23" t="s">
        <v>37</v>
      </c>
      <c r="D37" s="163"/>
      <c r="E37" s="167">
        <f>污水!D32</f>
        <v>559</v>
      </c>
      <c r="F37" s="167">
        <f>污水!E32</f>
        <v>310</v>
      </c>
      <c r="G37" s="167">
        <f>污水!F32</f>
        <v>398</v>
      </c>
      <c r="H37" s="167">
        <f>污水!G32</f>
        <v>355</v>
      </c>
      <c r="I37" s="167">
        <f>污水!H32</f>
        <v>527</v>
      </c>
      <c r="J37" s="167">
        <f>污水!I32</f>
        <v>579</v>
      </c>
      <c r="K37" s="167">
        <f>污水!J32</f>
        <v>551</v>
      </c>
      <c r="L37" s="167">
        <f>污水!K32</f>
        <v>632</v>
      </c>
      <c r="M37" s="167">
        <f>污水!L32</f>
        <v>397</v>
      </c>
      <c r="N37" s="167">
        <f>污水!M32</f>
        <v>286</v>
      </c>
      <c r="O37" s="167">
        <f>污水!N32</f>
        <v>263</v>
      </c>
      <c r="P37" s="167">
        <f>污水!O32</f>
        <v>514</v>
      </c>
      <c r="Q37" s="54">
        <f t="shared" si="11"/>
        <v>5371</v>
      </c>
      <c r="R37" s="60" t="s">
        <v>186</v>
      </c>
      <c r="AA37" s="186"/>
    </row>
    <row r="38" spans="1:27" ht="15" customHeight="1" x14ac:dyDescent="0.25">
      <c r="A38" s="165" t="s">
        <v>219</v>
      </c>
      <c r="B38" s="162"/>
      <c r="C38" s="23" t="s">
        <v>37</v>
      </c>
      <c r="D38" s="163"/>
      <c r="E38" s="167">
        <f>E39+E40</f>
        <v>5890</v>
      </c>
      <c r="F38" s="167">
        <f>F39+F40</f>
        <v>5320</v>
      </c>
      <c r="G38" s="167">
        <f t="shared" ref="G38:P38" si="12">G39+G40</f>
        <v>5890</v>
      </c>
      <c r="H38" s="167">
        <f t="shared" si="12"/>
        <v>5700</v>
      </c>
      <c r="I38" s="167">
        <f t="shared" si="12"/>
        <v>5890</v>
      </c>
      <c r="J38" s="167">
        <f t="shared" si="12"/>
        <v>5700</v>
      </c>
      <c r="K38" s="167">
        <f t="shared" si="12"/>
        <v>5890</v>
      </c>
      <c r="L38" s="167">
        <f t="shared" si="12"/>
        <v>5890</v>
      </c>
      <c r="M38" s="167">
        <f t="shared" si="12"/>
        <v>5700</v>
      </c>
      <c r="N38" s="167">
        <f t="shared" si="12"/>
        <v>5890</v>
      </c>
      <c r="O38" s="167">
        <f t="shared" si="12"/>
        <v>5700</v>
      </c>
      <c r="P38" s="167">
        <f t="shared" si="12"/>
        <v>5890</v>
      </c>
      <c r="Q38" s="54">
        <f t="shared" si="11"/>
        <v>69350</v>
      </c>
      <c r="R38" s="60" t="s">
        <v>199</v>
      </c>
      <c r="U38" s="182">
        <f>Q38*2.35/1.03</f>
        <v>158225.72815534001</v>
      </c>
    </row>
    <row r="39" spans="1:27" ht="15" customHeight="1" x14ac:dyDescent="0.25">
      <c r="A39" s="169" t="s">
        <v>220</v>
      </c>
      <c r="B39" s="162"/>
      <c r="C39" s="23" t="s">
        <v>37</v>
      </c>
      <c r="D39" s="163"/>
      <c r="E39" s="176">
        <f>ROUND((12.87+2)*E43,0)</f>
        <v>461</v>
      </c>
      <c r="F39" s="176">
        <f t="shared" ref="F39:P39" si="13">ROUND((12.87+2)*F43,0)</f>
        <v>416</v>
      </c>
      <c r="G39" s="176">
        <f t="shared" si="13"/>
        <v>461</v>
      </c>
      <c r="H39" s="176">
        <f t="shared" si="13"/>
        <v>446</v>
      </c>
      <c r="I39" s="176">
        <f t="shared" si="13"/>
        <v>461</v>
      </c>
      <c r="J39" s="176">
        <f t="shared" si="13"/>
        <v>446</v>
      </c>
      <c r="K39" s="176">
        <f t="shared" si="13"/>
        <v>461</v>
      </c>
      <c r="L39" s="176">
        <f t="shared" si="13"/>
        <v>461</v>
      </c>
      <c r="M39" s="176">
        <f t="shared" si="13"/>
        <v>446</v>
      </c>
      <c r="N39" s="176">
        <f t="shared" si="13"/>
        <v>461</v>
      </c>
      <c r="O39" s="176">
        <f t="shared" si="13"/>
        <v>446</v>
      </c>
      <c r="P39" s="176">
        <f t="shared" si="13"/>
        <v>461</v>
      </c>
      <c r="Q39" s="54">
        <f t="shared" si="11"/>
        <v>5427</v>
      </c>
      <c r="R39" s="60" t="s">
        <v>201</v>
      </c>
      <c r="U39" s="182">
        <f>Q39*2.35/1.03</f>
        <v>12381.9902912621</v>
      </c>
    </row>
    <row r="40" spans="1:27" ht="15" customHeight="1" x14ac:dyDescent="0.25">
      <c r="A40" s="169" t="s">
        <v>221</v>
      </c>
      <c r="B40" s="162"/>
      <c r="C40" s="23" t="s">
        <v>37</v>
      </c>
      <c r="D40" s="163"/>
      <c r="E40" s="176">
        <f>(174+16)*E43-E39</f>
        <v>5429</v>
      </c>
      <c r="F40" s="176">
        <f t="shared" ref="F40:P40" si="14">(174+16)*F43-F39</f>
        <v>4904</v>
      </c>
      <c r="G40" s="176">
        <f t="shared" si="14"/>
        <v>5429</v>
      </c>
      <c r="H40" s="176">
        <f t="shared" si="14"/>
        <v>5254</v>
      </c>
      <c r="I40" s="176">
        <f t="shared" si="14"/>
        <v>5429</v>
      </c>
      <c r="J40" s="176">
        <f t="shared" si="14"/>
        <v>5254</v>
      </c>
      <c r="K40" s="176">
        <f t="shared" si="14"/>
        <v>5429</v>
      </c>
      <c r="L40" s="176">
        <f t="shared" si="14"/>
        <v>5429</v>
      </c>
      <c r="M40" s="176">
        <f t="shared" si="14"/>
        <v>5254</v>
      </c>
      <c r="N40" s="176">
        <f t="shared" si="14"/>
        <v>5429</v>
      </c>
      <c r="O40" s="176">
        <f t="shared" si="14"/>
        <v>5254</v>
      </c>
      <c r="P40" s="176">
        <f t="shared" si="14"/>
        <v>5429</v>
      </c>
      <c r="Q40" s="54">
        <f t="shared" si="11"/>
        <v>63923</v>
      </c>
      <c r="R40" s="60" t="s">
        <v>204</v>
      </c>
      <c r="U40" s="182">
        <f>Q40*2.35/1.03</f>
        <v>145843.73786407799</v>
      </c>
    </row>
    <row r="41" spans="1:27" ht="15" customHeight="1" x14ac:dyDescent="0.25">
      <c r="A41" s="161" t="s">
        <v>222</v>
      </c>
      <c r="B41" s="162"/>
      <c r="C41" s="23" t="s">
        <v>37</v>
      </c>
      <c r="D41" s="163"/>
      <c r="E41" s="54">
        <f>SUM(E33:E38)</f>
        <v>61233</v>
      </c>
      <c r="F41" s="54">
        <f t="shared" ref="F41:P41" si="15">SUM(F33:F38)</f>
        <v>40153</v>
      </c>
      <c r="G41" s="54">
        <f t="shared" si="15"/>
        <v>45330</v>
      </c>
      <c r="H41" s="54">
        <f t="shared" si="15"/>
        <v>39984</v>
      </c>
      <c r="I41" s="54">
        <f t="shared" si="15"/>
        <v>59207</v>
      </c>
      <c r="J41" s="54">
        <f t="shared" si="15"/>
        <v>64846</v>
      </c>
      <c r="K41" s="54">
        <f t="shared" si="15"/>
        <v>62242</v>
      </c>
      <c r="L41" s="54">
        <f t="shared" si="15"/>
        <v>71701</v>
      </c>
      <c r="M41" s="54">
        <f t="shared" si="15"/>
        <v>45123</v>
      </c>
      <c r="N41" s="54">
        <f t="shared" si="15"/>
        <v>33626</v>
      </c>
      <c r="O41" s="54">
        <f t="shared" si="15"/>
        <v>30768</v>
      </c>
      <c r="P41" s="54">
        <f t="shared" si="15"/>
        <v>58770</v>
      </c>
      <c r="Q41" s="54">
        <f t="shared" si="11"/>
        <v>612983</v>
      </c>
    </row>
    <row r="42" spans="1:27" ht="15" customHeight="1" x14ac:dyDescent="0.25"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</row>
    <row r="43" spans="1:27" ht="15" customHeight="1" x14ac:dyDescent="0.25">
      <c r="A43" s="76" t="s">
        <v>99</v>
      </c>
      <c r="E43" s="156">
        <v>31</v>
      </c>
      <c r="F43" s="156">
        <v>28</v>
      </c>
      <c r="G43" s="156">
        <v>31</v>
      </c>
      <c r="H43" s="156">
        <v>30</v>
      </c>
      <c r="I43" s="156">
        <v>31</v>
      </c>
      <c r="J43" s="156">
        <v>30</v>
      </c>
      <c r="K43" s="156">
        <v>31</v>
      </c>
      <c r="L43" s="156">
        <v>31</v>
      </c>
      <c r="M43" s="156">
        <v>30</v>
      </c>
      <c r="N43" s="156">
        <v>31</v>
      </c>
      <c r="O43" s="156">
        <v>30</v>
      </c>
      <c r="P43" s="156">
        <v>31</v>
      </c>
      <c r="Q43" s="156">
        <f>SUM(E43:P43)</f>
        <v>365</v>
      </c>
    </row>
    <row r="44" spans="1:27" ht="15" customHeight="1" x14ac:dyDescent="0.25"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</row>
    <row r="45" spans="1:27" ht="15" customHeight="1" x14ac:dyDescent="0.25"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</row>
    <row r="46" spans="1:27" ht="15" customHeight="1" x14ac:dyDescent="0.25">
      <c r="E46" s="157">
        <f>216*E43/10000</f>
        <v>0.66959999999999997</v>
      </c>
      <c r="F46" s="157">
        <f t="shared" ref="F46:P46" si="16">216*F43/10000</f>
        <v>0.6048</v>
      </c>
      <c r="G46" s="157">
        <f t="shared" si="16"/>
        <v>0.66959999999999997</v>
      </c>
      <c r="H46" s="157">
        <f t="shared" si="16"/>
        <v>0.64800000000000002</v>
      </c>
      <c r="I46" s="157">
        <f t="shared" si="16"/>
        <v>0.66959999999999997</v>
      </c>
      <c r="J46" s="157">
        <f t="shared" si="16"/>
        <v>0.64800000000000002</v>
      </c>
      <c r="K46" s="157">
        <f t="shared" si="16"/>
        <v>0.66959999999999997</v>
      </c>
      <c r="L46" s="157">
        <f t="shared" si="16"/>
        <v>0.66959999999999997</v>
      </c>
      <c r="M46" s="157">
        <f t="shared" si="16"/>
        <v>0.64800000000000002</v>
      </c>
      <c r="N46" s="157">
        <f t="shared" si="16"/>
        <v>0.66959999999999997</v>
      </c>
      <c r="O46" s="157">
        <f t="shared" si="16"/>
        <v>0.64800000000000002</v>
      </c>
      <c r="P46" s="157">
        <f t="shared" si="16"/>
        <v>0.66959999999999997</v>
      </c>
    </row>
    <row r="47" spans="1:27" ht="15" customHeight="1" x14ac:dyDescent="0.25"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</row>
    <row r="48" spans="1:27" ht="15" customHeight="1" x14ac:dyDescent="0.25">
      <c r="C48" s="76" t="s">
        <v>223</v>
      </c>
    </row>
    <row r="49" spans="2:17" ht="15" customHeight="1" x14ac:dyDescent="0.25">
      <c r="B49" s="177" t="s">
        <v>224</v>
      </c>
      <c r="C49" s="76">
        <v>191</v>
      </c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</row>
    <row r="50" spans="2:17" ht="15" customHeight="1" x14ac:dyDescent="0.25">
      <c r="B50" s="177" t="s">
        <v>225</v>
      </c>
      <c r="C50" s="76">
        <v>157</v>
      </c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</row>
    <row r="51" spans="2:17" ht="15" customHeight="1" x14ac:dyDescent="0.25">
      <c r="B51" s="177" t="s">
        <v>226</v>
      </c>
      <c r="C51" s="76">
        <f>AVERAGE(C49:C50)</f>
        <v>174</v>
      </c>
    </row>
    <row r="52" spans="2:17" ht="15" customHeight="1" x14ac:dyDescent="0.25">
      <c r="B52" s="177" t="s">
        <v>227</v>
      </c>
      <c r="C52" s="76">
        <v>211</v>
      </c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</row>
    <row r="53" spans="2:17" ht="15" customHeight="1" x14ac:dyDescent="0.25">
      <c r="B53" s="177" t="s">
        <v>228</v>
      </c>
      <c r="C53" s="76">
        <v>140</v>
      </c>
    </row>
    <row r="54" spans="2:17" ht="15" customHeight="1" x14ac:dyDescent="0.25">
      <c r="B54" s="177" t="s">
        <v>229</v>
      </c>
      <c r="C54" s="76">
        <v>38</v>
      </c>
    </row>
    <row r="55" spans="2:17" ht="15" customHeight="1" x14ac:dyDescent="0.25">
      <c r="B55" s="177" t="s">
        <v>230</v>
      </c>
      <c r="C55" s="76">
        <v>20</v>
      </c>
    </row>
    <row r="57" spans="2:17" ht="15" customHeight="1" x14ac:dyDescent="0.25">
      <c r="B57" s="76" t="s">
        <v>231</v>
      </c>
      <c r="E57" s="156">
        <f>38*24*E43-污水!D46*0.77</f>
        <v>-2767.4700000000012</v>
      </c>
      <c r="F57" s="156">
        <f>38*24*F43-污水!E46*0.77</f>
        <v>8107.82</v>
      </c>
      <c r="G57" s="156"/>
      <c r="H57" s="156"/>
      <c r="I57" s="156"/>
      <c r="J57" s="156">
        <f>38*24*J43-污水!I46*0.77</f>
        <v>-2070.1700000000019</v>
      </c>
      <c r="K57" s="156">
        <f>38*24*K43-污水!J46*0.77</f>
        <v>-1584.75</v>
      </c>
      <c r="L57" s="156">
        <f>38*24*L43-污水!K46*0.77</f>
        <v>-1370.6900000000023</v>
      </c>
      <c r="M57" s="156"/>
      <c r="N57" s="156"/>
      <c r="O57" s="156"/>
      <c r="P57" s="156">
        <f>38*24*P43-污水!O46*0.77</f>
        <v>2317.6100000000006</v>
      </c>
      <c r="Q57" s="76">
        <f>SUM(E57:P57)</f>
        <v>2632.3499999999949</v>
      </c>
    </row>
  </sheetData>
  <mergeCells count="1028">
    <mergeCell ref="A1:Q1"/>
    <mergeCell ref="AG1:AV1"/>
    <mergeCell ref="AW1:BL1"/>
    <mergeCell ref="BM1:CB1"/>
    <mergeCell ref="CC1:CR1"/>
    <mergeCell ref="CS1:DH1"/>
    <mergeCell ref="DI1:DX1"/>
    <mergeCell ref="DY1:EN1"/>
    <mergeCell ref="EO1:FD1"/>
    <mergeCell ref="FE1:FT1"/>
    <mergeCell ref="FU1:GJ1"/>
    <mergeCell ref="GK1:GZ1"/>
    <mergeCell ref="HA1:HP1"/>
    <mergeCell ref="HQ1:IF1"/>
    <mergeCell ref="IG1:IV1"/>
    <mergeCell ref="IW1:JL1"/>
    <mergeCell ref="JM1:KB1"/>
    <mergeCell ref="KC1:KR1"/>
    <mergeCell ref="KS1:LH1"/>
    <mergeCell ref="LI1:LX1"/>
    <mergeCell ref="LY1:MN1"/>
    <mergeCell ref="MO1:ND1"/>
    <mergeCell ref="NE1:NT1"/>
    <mergeCell ref="NU1:OJ1"/>
    <mergeCell ref="OK1:OZ1"/>
    <mergeCell ref="PA1:PP1"/>
    <mergeCell ref="PQ1:QF1"/>
    <mergeCell ref="QG1:QV1"/>
    <mergeCell ref="QW1:RL1"/>
    <mergeCell ref="RM1:SB1"/>
    <mergeCell ref="SC1:SR1"/>
    <mergeCell ref="SS1:TH1"/>
    <mergeCell ref="TI1:TX1"/>
    <mergeCell ref="TY1:UN1"/>
    <mergeCell ref="UO1:VD1"/>
    <mergeCell ref="VE1:VT1"/>
    <mergeCell ref="VU1:WJ1"/>
    <mergeCell ref="WK1:WZ1"/>
    <mergeCell ref="XA1:XP1"/>
    <mergeCell ref="XQ1:YF1"/>
    <mergeCell ref="YG1:YV1"/>
    <mergeCell ref="YW1:ZL1"/>
    <mergeCell ref="ZM1:AAB1"/>
    <mergeCell ref="AAC1:AAR1"/>
    <mergeCell ref="AAS1:ABH1"/>
    <mergeCell ref="ABI1:ABX1"/>
    <mergeCell ref="ABY1:ACN1"/>
    <mergeCell ref="ACO1:ADD1"/>
    <mergeCell ref="ADE1:ADT1"/>
    <mergeCell ref="ADU1:AEJ1"/>
    <mergeCell ref="AEK1:AEZ1"/>
    <mergeCell ref="AFA1:AFP1"/>
    <mergeCell ref="AFQ1:AGF1"/>
    <mergeCell ref="AGG1:AGV1"/>
    <mergeCell ref="AGW1:AHL1"/>
    <mergeCell ref="AHM1:AIB1"/>
    <mergeCell ref="AIC1:AIR1"/>
    <mergeCell ref="AIS1:AJH1"/>
    <mergeCell ref="AJI1:AJX1"/>
    <mergeCell ref="AJY1:AKN1"/>
    <mergeCell ref="AKO1:ALD1"/>
    <mergeCell ref="ALE1:ALT1"/>
    <mergeCell ref="ALU1:AMJ1"/>
    <mergeCell ref="AMK1:AMZ1"/>
    <mergeCell ref="ANA1:ANP1"/>
    <mergeCell ref="ANQ1:AOF1"/>
    <mergeCell ref="AOG1:AOV1"/>
    <mergeCell ref="AOW1:APL1"/>
    <mergeCell ref="APM1:AQB1"/>
    <mergeCell ref="AQC1:AQR1"/>
    <mergeCell ref="AQS1:ARH1"/>
    <mergeCell ref="ARI1:ARX1"/>
    <mergeCell ref="ARY1:ASN1"/>
    <mergeCell ref="ASO1:ATD1"/>
    <mergeCell ref="ATE1:ATT1"/>
    <mergeCell ref="ATU1:AUJ1"/>
    <mergeCell ref="AUK1:AUZ1"/>
    <mergeCell ref="AVA1:AVP1"/>
    <mergeCell ref="AVQ1:AWF1"/>
    <mergeCell ref="AWG1:AWV1"/>
    <mergeCell ref="AWW1:AXL1"/>
    <mergeCell ref="AXM1:AYB1"/>
    <mergeCell ref="AYC1:AYR1"/>
    <mergeCell ref="AYS1:AZH1"/>
    <mergeCell ref="AZI1:AZX1"/>
    <mergeCell ref="AZY1:BAN1"/>
    <mergeCell ref="BAO1:BBD1"/>
    <mergeCell ref="BBE1:BBT1"/>
    <mergeCell ref="BBU1:BCJ1"/>
    <mergeCell ref="BCK1:BCZ1"/>
    <mergeCell ref="BDA1:BDP1"/>
    <mergeCell ref="BDQ1:BEF1"/>
    <mergeCell ref="BEG1:BEV1"/>
    <mergeCell ref="BEW1:BFL1"/>
    <mergeCell ref="BFM1:BGB1"/>
    <mergeCell ref="BGC1:BGR1"/>
    <mergeCell ref="BGS1:BHH1"/>
    <mergeCell ref="BHI1:BHX1"/>
    <mergeCell ref="BHY1:BIN1"/>
    <mergeCell ref="BIO1:BJD1"/>
    <mergeCell ref="BJE1:BJT1"/>
    <mergeCell ref="BJU1:BKJ1"/>
    <mergeCell ref="BKK1:BKZ1"/>
    <mergeCell ref="BLA1:BLP1"/>
    <mergeCell ref="BLQ1:BMF1"/>
    <mergeCell ref="BMG1:BMV1"/>
    <mergeCell ref="BMW1:BNL1"/>
    <mergeCell ref="BNM1:BOB1"/>
    <mergeCell ref="BOC1:BOR1"/>
    <mergeCell ref="BOS1:BPH1"/>
    <mergeCell ref="BPI1:BPX1"/>
    <mergeCell ref="BPY1:BQN1"/>
    <mergeCell ref="BQO1:BRD1"/>
    <mergeCell ref="BRE1:BRT1"/>
    <mergeCell ref="BRU1:BSJ1"/>
    <mergeCell ref="BSK1:BSZ1"/>
    <mergeCell ref="BTA1:BTP1"/>
    <mergeCell ref="BTQ1:BUF1"/>
    <mergeCell ref="BUG1:BUV1"/>
    <mergeCell ref="BUW1:BVL1"/>
    <mergeCell ref="BVM1:BWB1"/>
    <mergeCell ref="BWC1:BWR1"/>
    <mergeCell ref="BWS1:BXH1"/>
    <mergeCell ref="BXI1:BXX1"/>
    <mergeCell ref="BXY1:BYN1"/>
    <mergeCell ref="BYO1:BZD1"/>
    <mergeCell ref="BZE1:BZT1"/>
    <mergeCell ref="BZU1:CAJ1"/>
    <mergeCell ref="CAK1:CAZ1"/>
    <mergeCell ref="CBA1:CBP1"/>
    <mergeCell ref="CBQ1:CCF1"/>
    <mergeCell ref="CCG1:CCV1"/>
    <mergeCell ref="CCW1:CDL1"/>
    <mergeCell ref="CDM1:CEB1"/>
    <mergeCell ref="CEC1:CER1"/>
    <mergeCell ref="CES1:CFH1"/>
    <mergeCell ref="CFI1:CFX1"/>
    <mergeCell ref="CFY1:CGN1"/>
    <mergeCell ref="CGO1:CHD1"/>
    <mergeCell ref="CHE1:CHT1"/>
    <mergeCell ref="CHU1:CIJ1"/>
    <mergeCell ref="CIK1:CIZ1"/>
    <mergeCell ref="CJA1:CJP1"/>
    <mergeCell ref="CJQ1:CKF1"/>
    <mergeCell ref="CKG1:CKV1"/>
    <mergeCell ref="CKW1:CLL1"/>
    <mergeCell ref="CLM1:CMB1"/>
    <mergeCell ref="CMC1:CMR1"/>
    <mergeCell ref="CMS1:CNH1"/>
    <mergeCell ref="CNI1:CNX1"/>
    <mergeCell ref="CNY1:CON1"/>
    <mergeCell ref="COO1:CPD1"/>
    <mergeCell ref="CPE1:CPT1"/>
    <mergeCell ref="CPU1:CQJ1"/>
    <mergeCell ref="CQK1:CQZ1"/>
    <mergeCell ref="CRA1:CRP1"/>
    <mergeCell ref="CRQ1:CSF1"/>
    <mergeCell ref="CSG1:CSV1"/>
    <mergeCell ref="CSW1:CTL1"/>
    <mergeCell ref="CTM1:CUB1"/>
    <mergeCell ref="CUC1:CUR1"/>
    <mergeCell ref="CUS1:CVH1"/>
    <mergeCell ref="CVI1:CVX1"/>
    <mergeCell ref="CVY1:CWN1"/>
    <mergeCell ref="CWO1:CXD1"/>
    <mergeCell ref="CXE1:CXT1"/>
    <mergeCell ref="CXU1:CYJ1"/>
    <mergeCell ref="CYK1:CYZ1"/>
    <mergeCell ref="CZA1:CZP1"/>
    <mergeCell ref="CZQ1:DAF1"/>
    <mergeCell ref="DAG1:DAV1"/>
    <mergeCell ref="DAW1:DBL1"/>
    <mergeCell ref="DBM1:DCB1"/>
    <mergeCell ref="DCC1:DCR1"/>
    <mergeCell ref="DCS1:DDH1"/>
    <mergeCell ref="DDI1:DDX1"/>
    <mergeCell ref="DDY1:DEN1"/>
    <mergeCell ref="DEO1:DFD1"/>
    <mergeCell ref="DFE1:DFT1"/>
    <mergeCell ref="DFU1:DGJ1"/>
    <mergeCell ref="DGK1:DGZ1"/>
    <mergeCell ref="DHA1:DHP1"/>
    <mergeCell ref="DHQ1:DIF1"/>
    <mergeCell ref="DIG1:DIV1"/>
    <mergeCell ref="DIW1:DJL1"/>
    <mergeCell ref="DJM1:DKB1"/>
    <mergeCell ref="DKC1:DKR1"/>
    <mergeCell ref="DKS1:DLH1"/>
    <mergeCell ref="DLI1:DLX1"/>
    <mergeCell ref="DLY1:DMN1"/>
    <mergeCell ref="DMO1:DND1"/>
    <mergeCell ref="DNE1:DNT1"/>
    <mergeCell ref="DNU1:DOJ1"/>
    <mergeCell ref="DOK1:DOZ1"/>
    <mergeCell ref="DPA1:DPP1"/>
    <mergeCell ref="DPQ1:DQF1"/>
    <mergeCell ref="DQG1:DQV1"/>
    <mergeCell ref="DQW1:DRL1"/>
    <mergeCell ref="DRM1:DSB1"/>
    <mergeCell ref="DSC1:DSR1"/>
    <mergeCell ref="DSS1:DTH1"/>
    <mergeCell ref="DTI1:DTX1"/>
    <mergeCell ref="DTY1:DUN1"/>
    <mergeCell ref="DUO1:DVD1"/>
    <mergeCell ref="DVE1:DVT1"/>
    <mergeCell ref="DVU1:DWJ1"/>
    <mergeCell ref="DWK1:DWZ1"/>
    <mergeCell ref="DXA1:DXP1"/>
    <mergeCell ref="DXQ1:DYF1"/>
    <mergeCell ref="DYG1:DYV1"/>
    <mergeCell ref="DYW1:DZL1"/>
    <mergeCell ref="DZM1:EAB1"/>
    <mergeCell ref="EAC1:EAR1"/>
    <mergeCell ref="EAS1:EBH1"/>
    <mergeCell ref="EBI1:EBX1"/>
    <mergeCell ref="EBY1:ECN1"/>
    <mergeCell ref="ECO1:EDD1"/>
    <mergeCell ref="EDE1:EDT1"/>
    <mergeCell ref="EDU1:EEJ1"/>
    <mergeCell ref="EEK1:EEZ1"/>
    <mergeCell ref="EFA1:EFP1"/>
    <mergeCell ref="EFQ1:EGF1"/>
    <mergeCell ref="EGG1:EGV1"/>
    <mergeCell ref="EGW1:EHL1"/>
    <mergeCell ref="EHM1:EIB1"/>
    <mergeCell ref="EIC1:EIR1"/>
    <mergeCell ref="EIS1:EJH1"/>
    <mergeCell ref="EJI1:EJX1"/>
    <mergeCell ref="EJY1:EKN1"/>
    <mergeCell ref="EKO1:ELD1"/>
    <mergeCell ref="ELE1:ELT1"/>
    <mergeCell ref="ELU1:EMJ1"/>
    <mergeCell ref="EMK1:EMZ1"/>
    <mergeCell ref="ENA1:ENP1"/>
    <mergeCell ref="ENQ1:EOF1"/>
    <mergeCell ref="EOG1:EOV1"/>
    <mergeCell ref="EOW1:EPL1"/>
    <mergeCell ref="EPM1:EQB1"/>
    <mergeCell ref="EQC1:EQR1"/>
    <mergeCell ref="EQS1:ERH1"/>
    <mergeCell ref="ERI1:ERX1"/>
    <mergeCell ref="ERY1:ESN1"/>
    <mergeCell ref="ESO1:ETD1"/>
    <mergeCell ref="ETE1:ETT1"/>
    <mergeCell ref="ETU1:EUJ1"/>
    <mergeCell ref="EUK1:EUZ1"/>
    <mergeCell ref="EVA1:EVP1"/>
    <mergeCell ref="EVQ1:EWF1"/>
    <mergeCell ref="EWG1:EWV1"/>
    <mergeCell ref="EWW1:EXL1"/>
    <mergeCell ref="EXM1:EYB1"/>
    <mergeCell ref="EYC1:EYR1"/>
    <mergeCell ref="EYS1:EZH1"/>
    <mergeCell ref="EZI1:EZX1"/>
    <mergeCell ref="EZY1:FAN1"/>
    <mergeCell ref="FAO1:FBD1"/>
    <mergeCell ref="FBE1:FBT1"/>
    <mergeCell ref="FBU1:FCJ1"/>
    <mergeCell ref="FCK1:FCZ1"/>
    <mergeCell ref="FDA1:FDP1"/>
    <mergeCell ref="FDQ1:FEF1"/>
    <mergeCell ref="FEG1:FEV1"/>
    <mergeCell ref="FEW1:FFL1"/>
    <mergeCell ref="FFM1:FGB1"/>
    <mergeCell ref="FGC1:FGR1"/>
    <mergeCell ref="FGS1:FHH1"/>
    <mergeCell ref="FHI1:FHX1"/>
    <mergeCell ref="FHY1:FIN1"/>
    <mergeCell ref="FIO1:FJD1"/>
    <mergeCell ref="FJE1:FJT1"/>
    <mergeCell ref="FJU1:FKJ1"/>
    <mergeCell ref="FKK1:FKZ1"/>
    <mergeCell ref="FLA1:FLP1"/>
    <mergeCell ref="FLQ1:FMF1"/>
    <mergeCell ref="FMG1:FMV1"/>
    <mergeCell ref="FMW1:FNL1"/>
    <mergeCell ref="FNM1:FOB1"/>
    <mergeCell ref="FOC1:FOR1"/>
    <mergeCell ref="FOS1:FPH1"/>
    <mergeCell ref="FPI1:FPX1"/>
    <mergeCell ref="FPY1:FQN1"/>
    <mergeCell ref="FQO1:FRD1"/>
    <mergeCell ref="FRE1:FRT1"/>
    <mergeCell ref="FRU1:FSJ1"/>
    <mergeCell ref="FSK1:FSZ1"/>
    <mergeCell ref="FTA1:FTP1"/>
    <mergeCell ref="FTQ1:FUF1"/>
    <mergeCell ref="FUG1:FUV1"/>
    <mergeCell ref="FUW1:FVL1"/>
    <mergeCell ref="FVM1:FWB1"/>
    <mergeCell ref="FWC1:FWR1"/>
    <mergeCell ref="FWS1:FXH1"/>
    <mergeCell ref="FXI1:FXX1"/>
    <mergeCell ref="FXY1:FYN1"/>
    <mergeCell ref="FYO1:FZD1"/>
    <mergeCell ref="FZE1:FZT1"/>
    <mergeCell ref="FZU1:GAJ1"/>
    <mergeCell ref="GAK1:GAZ1"/>
    <mergeCell ref="GBA1:GBP1"/>
    <mergeCell ref="GBQ1:GCF1"/>
    <mergeCell ref="GCG1:GCV1"/>
    <mergeCell ref="GCW1:GDL1"/>
    <mergeCell ref="GDM1:GEB1"/>
    <mergeCell ref="GEC1:GER1"/>
    <mergeCell ref="GES1:GFH1"/>
    <mergeCell ref="GFI1:GFX1"/>
    <mergeCell ref="GFY1:GGN1"/>
    <mergeCell ref="GGO1:GHD1"/>
    <mergeCell ref="GHE1:GHT1"/>
    <mergeCell ref="GHU1:GIJ1"/>
    <mergeCell ref="GIK1:GIZ1"/>
    <mergeCell ref="GJA1:GJP1"/>
    <mergeCell ref="GJQ1:GKF1"/>
    <mergeCell ref="GKG1:GKV1"/>
    <mergeCell ref="GKW1:GLL1"/>
    <mergeCell ref="GLM1:GMB1"/>
    <mergeCell ref="GMC1:GMR1"/>
    <mergeCell ref="GMS1:GNH1"/>
    <mergeCell ref="GNI1:GNX1"/>
    <mergeCell ref="GNY1:GON1"/>
    <mergeCell ref="GOO1:GPD1"/>
    <mergeCell ref="GPE1:GPT1"/>
    <mergeCell ref="GPU1:GQJ1"/>
    <mergeCell ref="GQK1:GQZ1"/>
    <mergeCell ref="GRA1:GRP1"/>
    <mergeCell ref="GRQ1:GSF1"/>
    <mergeCell ref="GSG1:GSV1"/>
    <mergeCell ref="GSW1:GTL1"/>
    <mergeCell ref="GTM1:GUB1"/>
    <mergeCell ref="GUC1:GUR1"/>
    <mergeCell ref="GUS1:GVH1"/>
    <mergeCell ref="GVI1:GVX1"/>
    <mergeCell ref="GVY1:GWN1"/>
    <mergeCell ref="GWO1:GXD1"/>
    <mergeCell ref="GXE1:GXT1"/>
    <mergeCell ref="GXU1:GYJ1"/>
    <mergeCell ref="GYK1:GYZ1"/>
    <mergeCell ref="GZA1:GZP1"/>
    <mergeCell ref="GZQ1:HAF1"/>
    <mergeCell ref="HAG1:HAV1"/>
    <mergeCell ref="HAW1:HBL1"/>
    <mergeCell ref="HBM1:HCB1"/>
    <mergeCell ref="HCC1:HCR1"/>
    <mergeCell ref="HCS1:HDH1"/>
    <mergeCell ref="HDI1:HDX1"/>
    <mergeCell ref="HDY1:HEN1"/>
    <mergeCell ref="HEO1:HFD1"/>
    <mergeCell ref="HFE1:HFT1"/>
    <mergeCell ref="HFU1:HGJ1"/>
    <mergeCell ref="HGK1:HGZ1"/>
    <mergeCell ref="HHA1:HHP1"/>
    <mergeCell ref="HHQ1:HIF1"/>
    <mergeCell ref="HIG1:HIV1"/>
    <mergeCell ref="HIW1:HJL1"/>
    <mergeCell ref="HJM1:HKB1"/>
    <mergeCell ref="HKC1:HKR1"/>
    <mergeCell ref="HKS1:HLH1"/>
    <mergeCell ref="HLI1:HLX1"/>
    <mergeCell ref="HLY1:HMN1"/>
    <mergeCell ref="HMO1:HND1"/>
    <mergeCell ref="HNE1:HNT1"/>
    <mergeCell ref="HNU1:HOJ1"/>
    <mergeCell ref="HOK1:HOZ1"/>
    <mergeCell ref="HPA1:HPP1"/>
    <mergeCell ref="HPQ1:HQF1"/>
    <mergeCell ref="HQG1:HQV1"/>
    <mergeCell ref="HQW1:HRL1"/>
    <mergeCell ref="HRM1:HSB1"/>
    <mergeCell ref="HSC1:HSR1"/>
    <mergeCell ref="HSS1:HTH1"/>
    <mergeCell ref="HTI1:HTX1"/>
    <mergeCell ref="HTY1:HUN1"/>
    <mergeCell ref="HUO1:HVD1"/>
    <mergeCell ref="HVE1:HVT1"/>
    <mergeCell ref="HVU1:HWJ1"/>
    <mergeCell ref="HWK1:HWZ1"/>
    <mergeCell ref="HXA1:HXP1"/>
    <mergeCell ref="HXQ1:HYF1"/>
    <mergeCell ref="HYG1:HYV1"/>
    <mergeCell ref="HYW1:HZL1"/>
    <mergeCell ref="HZM1:IAB1"/>
    <mergeCell ref="IAC1:IAR1"/>
    <mergeCell ref="IAS1:IBH1"/>
    <mergeCell ref="IBI1:IBX1"/>
    <mergeCell ref="IBY1:ICN1"/>
    <mergeCell ref="ICO1:IDD1"/>
    <mergeCell ref="IDE1:IDT1"/>
    <mergeCell ref="IDU1:IEJ1"/>
    <mergeCell ref="IEK1:IEZ1"/>
    <mergeCell ref="IFA1:IFP1"/>
    <mergeCell ref="IFQ1:IGF1"/>
    <mergeCell ref="IGG1:IGV1"/>
    <mergeCell ref="IGW1:IHL1"/>
    <mergeCell ref="IHM1:IIB1"/>
    <mergeCell ref="IIC1:IIR1"/>
    <mergeCell ref="IIS1:IJH1"/>
    <mergeCell ref="IJI1:IJX1"/>
    <mergeCell ref="IJY1:IKN1"/>
    <mergeCell ref="IKO1:ILD1"/>
    <mergeCell ref="ILE1:ILT1"/>
    <mergeCell ref="ILU1:IMJ1"/>
    <mergeCell ref="IMK1:IMZ1"/>
    <mergeCell ref="INA1:INP1"/>
    <mergeCell ref="INQ1:IOF1"/>
    <mergeCell ref="IOG1:IOV1"/>
    <mergeCell ref="IOW1:IPL1"/>
    <mergeCell ref="IPM1:IQB1"/>
    <mergeCell ref="IQC1:IQR1"/>
    <mergeCell ref="IQS1:IRH1"/>
    <mergeCell ref="IRI1:IRX1"/>
    <mergeCell ref="IRY1:ISN1"/>
    <mergeCell ref="ISO1:ITD1"/>
    <mergeCell ref="ITE1:ITT1"/>
    <mergeCell ref="ITU1:IUJ1"/>
    <mergeCell ref="IUK1:IUZ1"/>
    <mergeCell ref="IVA1:IVP1"/>
    <mergeCell ref="IVQ1:IWF1"/>
    <mergeCell ref="IWG1:IWV1"/>
    <mergeCell ref="IWW1:IXL1"/>
    <mergeCell ref="IXM1:IYB1"/>
    <mergeCell ref="IYC1:IYR1"/>
    <mergeCell ref="IYS1:IZH1"/>
    <mergeCell ref="IZI1:IZX1"/>
    <mergeCell ref="IZY1:JAN1"/>
    <mergeCell ref="JAO1:JBD1"/>
    <mergeCell ref="JBE1:JBT1"/>
    <mergeCell ref="JBU1:JCJ1"/>
    <mergeCell ref="JCK1:JCZ1"/>
    <mergeCell ref="JDA1:JDP1"/>
    <mergeCell ref="JDQ1:JEF1"/>
    <mergeCell ref="JEG1:JEV1"/>
    <mergeCell ref="JEW1:JFL1"/>
    <mergeCell ref="JFM1:JGB1"/>
    <mergeCell ref="JGC1:JGR1"/>
    <mergeCell ref="JGS1:JHH1"/>
    <mergeCell ref="JHI1:JHX1"/>
    <mergeCell ref="JHY1:JIN1"/>
    <mergeCell ref="JIO1:JJD1"/>
    <mergeCell ref="JJE1:JJT1"/>
    <mergeCell ref="JJU1:JKJ1"/>
    <mergeCell ref="JKK1:JKZ1"/>
    <mergeCell ref="JLA1:JLP1"/>
    <mergeCell ref="JLQ1:JMF1"/>
    <mergeCell ref="JMG1:JMV1"/>
    <mergeCell ref="JMW1:JNL1"/>
    <mergeCell ref="JNM1:JOB1"/>
    <mergeCell ref="JOC1:JOR1"/>
    <mergeCell ref="JOS1:JPH1"/>
    <mergeCell ref="JPI1:JPX1"/>
    <mergeCell ref="JPY1:JQN1"/>
    <mergeCell ref="JQO1:JRD1"/>
    <mergeCell ref="JRE1:JRT1"/>
    <mergeCell ref="JRU1:JSJ1"/>
    <mergeCell ref="JSK1:JSZ1"/>
    <mergeCell ref="JTA1:JTP1"/>
    <mergeCell ref="JTQ1:JUF1"/>
    <mergeCell ref="JUG1:JUV1"/>
    <mergeCell ref="JUW1:JVL1"/>
    <mergeCell ref="JVM1:JWB1"/>
    <mergeCell ref="JWC1:JWR1"/>
    <mergeCell ref="JWS1:JXH1"/>
    <mergeCell ref="JXI1:JXX1"/>
    <mergeCell ref="JXY1:JYN1"/>
    <mergeCell ref="JYO1:JZD1"/>
    <mergeCell ref="JZE1:JZT1"/>
    <mergeCell ref="JZU1:KAJ1"/>
    <mergeCell ref="KAK1:KAZ1"/>
    <mergeCell ref="KBA1:KBP1"/>
    <mergeCell ref="KBQ1:KCF1"/>
    <mergeCell ref="KCG1:KCV1"/>
    <mergeCell ref="KCW1:KDL1"/>
    <mergeCell ref="KDM1:KEB1"/>
    <mergeCell ref="KEC1:KER1"/>
    <mergeCell ref="KES1:KFH1"/>
    <mergeCell ref="KFI1:KFX1"/>
    <mergeCell ref="KFY1:KGN1"/>
    <mergeCell ref="KGO1:KHD1"/>
    <mergeCell ref="KHE1:KHT1"/>
    <mergeCell ref="KHU1:KIJ1"/>
    <mergeCell ref="KIK1:KIZ1"/>
    <mergeCell ref="KJA1:KJP1"/>
    <mergeCell ref="KJQ1:KKF1"/>
    <mergeCell ref="KKG1:KKV1"/>
    <mergeCell ref="KKW1:KLL1"/>
    <mergeCell ref="KLM1:KMB1"/>
    <mergeCell ref="KMC1:KMR1"/>
    <mergeCell ref="KMS1:KNH1"/>
    <mergeCell ref="KNI1:KNX1"/>
    <mergeCell ref="KNY1:KON1"/>
    <mergeCell ref="KOO1:KPD1"/>
    <mergeCell ref="KPE1:KPT1"/>
    <mergeCell ref="KPU1:KQJ1"/>
    <mergeCell ref="KQK1:KQZ1"/>
    <mergeCell ref="KRA1:KRP1"/>
    <mergeCell ref="KRQ1:KSF1"/>
    <mergeCell ref="KSG1:KSV1"/>
    <mergeCell ref="KSW1:KTL1"/>
    <mergeCell ref="KTM1:KUB1"/>
    <mergeCell ref="KUC1:KUR1"/>
    <mergeCell ref="KUS1:KVH1"/>
    <mergeCell ref="KVI1:KVX1"/>
    <mergeCell ref="KVY1:KWN1"/>
    <mergeCell ref="KWO1:KXD1"/>
    <mergeCell ref="KXE1:KXT1"/>
    <mergeCell ref="KXU1:KYJ1"/>
    <mergeCell ref="KYK1:KYZ1"/>
    <mergeCell ref="KZA1:KZP1"/>
    <mergeCell ref="KZQ1:LAF1"/>
    <mergeCell ref="LAG1:LAV1"/>
    <mergeCell ref="LAW1:LBL1"/>
    <mergeCell ref="LBM1:LCB1"/>
    <mergeCell ref="LCC1:LCR1"/>
    <mergeCell ref="LCS1:LDH1"/>
    <mergeCell ref="LDI1:LDX1"/>
    <mergeCell ref="LDY1:LEN1"/>
    <mergeCell ref="LEO1:LFD1"/>
    <mergeCell ref="LFE1:LFT1"/>
    <mergeCell ref="LFU1:LGJ1"/>
    <mergeCell ref="LGK1:LGZ1"/>
    <mergeCell ref="LHA1:LHP1"/>
    <mergeCell ref="LHQ1:LIF1"/>
    <mergeCell ref="LIG1:LIV1"/>
    <mergeCell ref="LIW1:LJL1"/>
    <mergeCell ref="LJM1:LKB1"/>
    <mergeCell ref="LKC1:LKR1"/>
    <mergeCell ref="LKS1:LLH1"/>
    <mergeCell ref="LLI1:LLX1"/>
    <mergeCell ref="LLY1:LMN1"/>
    <mergeCell ref="LMO1:LND1"/>
    <mergeCell ref="LNE1:LNT1"/>
    <mergeCell ref="LNU1:LOJ1"/>
    <mergeCell ref="LOK1:LOZ1"/>
    <mergeCell ref="LPA1:LPP1"/>
    <mergeCell ref="LPQ1:LQF1"/>
    <mergeCell ref="LQG1:LQV1"/>
    <mergeCell ref="LQW1:LRL1"/>
    <mergeCell ref="LRM1:LSB1"/>
    <mergeCell ref="LSC1:LSR1"/>
    <mergeCell ref="LSS1:LTH1"/>
    <mergeCell ref="LTI1:LTX1"/>
    <mergeCell ref="LTY1:LUN1"/>
    <mergeCell ref="LUO1:LVD1"/>
    <mergeCell ref="LVE1:LVT1"/>
    <mergeCell ref="LVU1:LWJ1"/>
    <mergeCell ref="LWK1:LWZ1"/>
    <mergeCell ref="LXA1:LXP1"/>
    <mergeCell ref="LXQ1:LYF1"/>
    <mergeCell ref="LYG1:LYV1"/>
    <mergeCell ref="LYW1:LZL1"/>
    <mergeCell ref="LZM1:MAB1"/>
    <mergeCell ref="MAC1:MAR1"/>
    <mergeCell ref="MAS1:MBH1"/>
    <mergeCell ref="MBI1:MBX1"/>
    <mergeCell ref="MBY1:MCN1"/>
    <mergeCell ref="MCO1:MDD1"/>
    <mergeCell ref="MDE1:MDT1"/>
    <mergeCell ref="MDU1:MEJ1"/>
    <mergeCell ref="MEK1:MEZ1"/>
    <mergeCell ref="MFA1:MFP1"/>
    <mergeCell ref="MFQ1:MGF1"/>
    <mergeCell ref="MGG1:MGV1"/>
    <mergeCell ref="MGW1:MHL1"/>
    <mergeCell ref="MHM1:MIB1"/>
    <mergeCell ref="MIC1:MIR1"/>
    <mergeCell ref="MIS1:MJH1"/>
    <mergeCell ref="MJI1:MJX1"/>
    <mergeCell ref="MJY1:MKN1"/>
    <mergeCell ref="MKO1:MLD1"/>
    <mergeCell ref="MLE1:MLT1"/>
    <mergeCell ref="MLU1:MMJ1"/>
    <mergeCell ref="MMK1:MMZ1"/>
    <mergeCell ref="MNA1:MNP1"/>
    <mergeCell ref="MNQ1:MOF1"/>
    <mergeCell ref="MOG1:MOV1"/>
    <mergeCell ref="MOW1:MPL1"/>
    <mergeCell ref="MPM1:MQB1"/>
    <mergeCell ref="MQC1:MQR1"/>
    <mergeCell ref="MQS1:MRH1"/>
    <mergeCell ref="MRI1:MRX1"/>
    <mergeCell ref="MRY1:MSN1"/>
    <mergeCell ref="MSO1:MTD1"/>
    <mergeCell ref="MTE1:MTT1"/>
    <mergeCell ref="MTU1:MUJ1"/>
    <mergeCell ref="MUK1:MUZ1"/>
    <mergeCell ref="MVA1:MVP1"/>
    <mergeCell ref="MVQ1:MWF1"/>
    <mergeCell ref="MWG1:MWV1"/>
    <mergeCell ref="MWW1:MXL1"/>
    <mergeCell ref="MXM1:MYB1"/>
    <mergeCell ref="MYC1:MYR1"/>
    <mergeCell ref="MYS1:MZH1"/>
    <mergeCell ref="MZI1:MZX1"/>
    <mergeCell ref="MZY1:NAN1"/>
    <mergeCell ref="NAO1:NBD1"/>
    <mergeCell ref="NBE1:NBT1"/>
    <mergeCell ref="NBU1:NCJ1"/>
    <mergeCell ref="NCK1:NCZ1"/>
    <mergeCell ref="NDA1:NDP1"/>
    <mergeCell ref="NDQ1:NEF1"/>
    <mergeCell ref="NEG1:NEV1"/>
    <mergeCell ref="NEW1:NFL1"/>
    <mergeCell ref="NFM1:NGB1"/>
    <mergeCell ref="NGC1:NGR1"/>
    <mergeCell ref="NGS1:NHH1"/>
    <mergeCell ref="NHI1:NHX1"/>
    <mergeCell ref="NHY1:NIN1"/>
    <mergeCell ref="NIO1:NJD1"/>
    <mergeCell ref="NJE1:NJT1"/>
    <mergeCell ref="NJU1:NKJ1"/>
    <mergeCell ref="NKK1:NKZ1"/>
    <mergeCell ref="NLA1:NLP1"/>
    <mergeCell ref="NLQ1:NMF1"/>
    <mergeCell ref="NMG1:NMV1"/>
    <mergeCell ref="NMW1:NNL1"/>
    <mergeCell ref="NNM1:NOB1"/>
    <mergeCell ref="NOC1:NOR1"/>
    <mergeCell ref="NOS1:NPH1"/>
    <mergeCell ref="NPI1:NPX1"/>
    <mergeCell ref="NPY1:NQN1"/>
    <mergeCell ref="NQO1:NRD1"/>
    <mergeCell ref="NRE1:NRT1"/>
    <mergeCell ref="NRU1:NSJ1"/>
    <mergeCell ref="NSK1:NSZ1"/>
    <mergeCell ref="NTA1:NTP1"/>
    <mergeCell ref="NTQ1:NUF1"/>
    <mergeCell ref="NUG1:NUV1"/>
    <mergeCell ref="NUW1:NVL1"/>
    <mergeCell ref="NVM1:NWB1"/>
    <mergeCell ref="NWC1:NWR1"/>
    <mergeCell ref="NWS1:NXH1"/>
    <mergeCell ref="NXI1:NXX1"/>
    <mergeCell ref="NXY1:NYN1"/>
    <mergeCell ref="NYO1:NZD1"/>
    <mergeCell ref="NZE1:NZT1"/>
    <mergeCell ref="NZU1:OAJ1"/>
    <mergeCell ref="OAK1:OAZ1"/>
    <mergeCell ref="OBA1:OBP1"/>
    <mergeCell ref="OBQ1:OCF1"/>
    <mergeCell ref="OCG1:OCV1"/>
    <mergeCell ref="OCW1:ODL1"/>
    <mergeCell ref="ODM1:OEB1"/>
    <mergeCell ref="OEC1:OER1"/>
    <mergeCell ref="OES1:OFH1"/>
    <mergeCell ref="OFI1:OFX1"/>
    <mergeCell ref="OFY1:OGN1"/>
    <mergeCell ref="OGO1:OHD1"/>
    <mergeCell ref="OHE1:OHT1"/>
    <mergeCell ref="OHU1:OIJ1"/>
    <mergeCell ref="OIK1:OIZ1"/>
    <mergeCell ref="OJA1:OJP1"/>
    <mergeCell ref="OJQ1:OKF1"/>
    <mergeCell ref="OKG1:OKV1"/>
    <mergeCell ref="OKW1:OLL1"/>
    <mergeCell ref="OLM1:OMB1"/>
    <mergeCell ref="OMC1:OMR1"/>
    <mergeCell ref="OMS1:ONH1"/>
    <mergeCell ref="ONI1:ONX1"/>
    <mergeCell ref="ONY1:OON1"/>
    <mergeCell ref="OOO1:OPD1"/>
    <mergeCell ref="OPE1:OPT1"/>
    <mergeCell ref="OPU1:OQJ1"/>
    <mergeCell ref="OQK1:OQZ1"/>
    <mergeCell ref="ORA1:ORP1"/>
    <mergeCell ref="ORQ1:OSF1"/>
    <mergeCell ref="OSG1:OSV1"/>
    <mergeCell ref="OSW1:OTL1"/>
    <mergeCell ref="OTM1:OUB1"/>
    <mergeCell ref="OUC1:OUR1"/>
    <mergeCell ref="OUS1:OVH1"/>
    <mergeCell ref="OVI1:OVX1"/>
    <mergeCell ref="OVY1:OWN1"/>
    <mergeCell ref="OWO1:OXD1"/>
    <mergeCell ref="OXE1:OXT1"/>
    <mergeCell ref="OXU1:OYJ1"/>
    <mergeCell ref="OYK1:OYZ1"/>
    <mergeCell ref="OZA1:OZP1"/>
    <mergeCell ref="OZQ1:PAF1"/>
    <mergeCell ref="PAG1:PAV1"/>
    <mergeCell ref="PAW1:PBL1"/>
    <mergeCell ref="PBM1:PCB1"/>
    <mergeCell ref="PCC1:PCR1"/>
    <mergeCell ref="PCS1:PDH1"/>
    <mergeCell ref="PDI1:PDX1"/>
    <mergeCell ref="PDY1:PEN1"/>
    <mergeCell ref="PEO1:PFD1"/>
    <mergeCell ref="PFE1:PFT1"/>
    <mergeCell ref="PFU1:PGJ1"/>
    <mergeCell ref="PGK1:PGZ1"/>
    <mergeCell ref="PHA1:PHP1"/>
    <mergeCell ref="PHQ1:PIF1"/>
    <mergeCell ref="PIG1:PIV1"/>
    <mergeCell ref="PIW1:PJL1"/>
    <mergeCell ref="PJM1:PKB1"/>
    <mergeCell ref="PKC1:PKR1"/>
    <mergeCell ref="PKS1:PLH1"/>
    <mergeCell ref="PLI1:PLX1"/>
    <mergeCell ref="PLY1:PMN1"/>
    <mergeCell ref="PMO1:PND1"/>
    <mergeCell ref="PNE1:PNT1"/>
    <mergeCell ref="PNU1:POJ1"/>
    <mergeCell ref="POK1:POZ1"/>
    <mergeCell ref="PPA1:PPP1"/>
    <mergeCell ref="PPQ1:PQF1"/>
    <mergeCell ref="PQG1:PQV1"/>
    <mergeCell ref="PQW1:PRL1"/>
    <mergeCell ref="PRM1:PSB1"/>
    <mergeCell ref="PSC1:PSR1"/>
    <mergeCell ref="PSS1:PTH1"/>
    <mergeCell ref="PTI1:PTX1"/>
    <mergeCell ref="PTY1:PUN1"/>
    <mergeCell ref="PUO1:PVD1"/>
    <mergeCell ref="PVE1:PVT1"/>
    <mergeCell ref="PVU1:PWJ1"/>
    <mergeCell ref="PWK1:PWZ1"/>
    <mergeCell ref="PXA1:PXP1"/>
    <mergeCell ref="PXQ1:PYF1"/>
    <mergeCell ref="PYG1:PYV1"/>
    <mergeCell ref="PYW1:PZL1"/>
    <mergeCell ref="PZM1:QAB1"/>
    <mergeCell ref="QAC1:QAR1"/>
    <mergeCell ref="QAS1:QBH1"/>
    <mergeCell ref="QBI1:QBX1"/>
    <mergeCell ref="QBY1:QCN1"/>
    <mergeCell ref="QCO1:QDD1"/>
    <mergeCell ref="QDE1:QDT1"/>
    <mergeCell ref="QDU1:QEJ1"/>
    <mergeCell ref="QEK1:QEZ1"/>
    <mergeCell ref="QFA1:QFP1"/>
    <mergeCell ref="QFQ1:QGF1"/>
    <mergeCell ref="QGG1:QGV1"/>
    <mergeCell ref="QGW1:QHL1"/>
    <mergeCell ref="QHM1:QIB1"/>
    <mergeCell ref="QIC1:QIR1"/>
    <mergeCell ref="QIS1:QJH1"/>
    <mergeCell ref="QJI1:QJX1"/>
    <mergeCell ref="QJY1:QKN1"/>
    <mergeCell ref="QKO1:QLD1"/>
    <mergeCell ref="QLE1:QLT1"/>
    <mergeCell ref="QLU1:QMJ1"/>
    <mergeCell ref="QMK1:QMZ1"/>
    <mergeCell ref="QNA1:QNP1"/>
    <mergeCell ref="QNQ1:QOF1"/>
    <mergeCell ref="QOG1:QOV1"/>
    <mergeCell ref="QOW1:QPL1"/>
    <mergeCell ref="QPM1:QQB1"/>
    <mergeCell ref="QQC1:QQR1"/>
    <mergeCell ref="QQS1:QRH1"/>
    <mergeCell ref="QRI1:QRX1"/>
    <mergeCell ref="QRY1:QSN1"/>
    <mergeCell ref="QSO1:QTD1"/>
    <mergeCell ref="QTE1:QTT1"/>
    <mergeCell ref="QTU1:QUJ1"/>
    <mergeCell ref="QUK1:QUZ1"/>
    <mergeCell ref="QVA1:QVP1"/>
    <mergeCell ref="QVQ1:QWF1"/>
    <mergeCell ref="QWG1:QWV1"/>
    <mergeCell ref="QWW1:QXL1"/>
    <mergeCell ref="QXM1:QYB1"/>
    <mergeCell ref="QYC1:QYR1"/>
    <mergeCell ref="QYS1:QZH1"/>
    <mergeCell ref="QZI1:QZX1"/>
    <mergeCell ref="QZY1:RAN1"/>
    <mergeCell ref="RAO1:RBD1"/>
    <mergeCell ref="RBE1:RBT1"/>
    <mergeCell ref="RBU1:RCJ1"/>
    <mergeCell ref="RCK1:RCZ1"/>
    <mergeCell ref="RDA1:RDP1"/>
    <mergeCell ref="RDQ1:REF1"/>
    <mergeCell ref="REG1:REV1"/>
    <mergeCell ref="REW1:RFL1"/>
    <mergeCell ref="RFM1:RGB1"/>
    <mergeCell ref="RGC1:RGR1"/>
    <mergeCell ref="RGS1:RHH1"/>
    <mergeCell ref="RHI1:RHX1"/>
    <mergeCell ref="RHY1:RIN1"/>
    <mergeCell ref="RIO1:RJD1"/>
    <mergeCell ref="RJE1:RJT1"/>
    <mergeCell ref="RJU1:RKJ1"/>
    <mergeCell ref="RKK1:RKZ1"/>
    <mergeCell ref="RLA1:RLP1"/>
    <mergeCell ref="RLQ1:RMF1"/>
    <mergeCell ref="RMG1:RMV1"/>
    <mergeCell ref="RMW1:RNL1"/>
    <mergeCell ref="RNM1:ROB1"/>
    <mergeCell ref="ROC1:ROR1"/>
    <mergeCell ref="ROS1:RPH1"/>
    <mergeCell ref="RPI1:RPX1"/>
    <mergeCell ref="RPY1:RQN1"/>
    <mergeCell ref="RQO1:RRD1"/>
    <mergeCell ref="RRE1:RRT1"/>
    <mergeCell ref="RRU1:RSJ1"/>
    <mergeCell ref="RSK1:RSZ1"/>
    <mergeCell ref="RTA1:RTP1"/>
    <mergeCell ref="RTQ1:RUF1"/>
    <mergeCell ref="RUG1:RUV1"/>
    <mergeCell ref="RUW1:RVL1"/>
    <mergeCell ref="RVM1:RWB1"/>
    <mergeCell ref="RWC1:RWR1"/>
    <mergeCell ref="RWS1:RXH1"/>
    <mergeCell ref="RXI1:RXX1"/>
    <mergeCell ref="RXY1:RYN1"/>
    <mergeCell ref="RYO1:RZD1"/>
    <mergeCell ref="RZE1:RZT1"/>
    <mergeCell ref="RZU1:SAJ1"/>
    <mergeCell ref="SAK1:SAZ1"/>
    <mergeCell ref="SBA1:SBP1"/>
    <mergeCell ref="SBQ1:SCF1"/>
    <mergeCell ref="SCG1:SCV1"/>
    <mergeCell ref="SCW1:SDL1"/>
    <mergeCell ref="SDM1:SEB1"/>
    <mergeCell ref="SEC1:SER1"/>
    <mergeCell ref="SES1:SFH1"/>
    <mergeCell ref="SFI1:SFX1"/>
    <mergeCell ref="SFY1:SGN1"/>
    <mergeCell ref="SGO1:SHD1"/>
    <mergeCell ref="SHE1:SHT1"/>
    <mergeCell ref="SHU1:SIJ1"/>
    <mergeCell ref="SIK1:SIZ1"/>
    <mergeCell ref="SJA1:SJP1"/>
    <mergeCell ref="SJQ1:SKF1"/>
    <mergeCell ref="SKG1:SKV1"/>
    <mergeCell ref="SKW1:SLL1"/>
    <mergeCell ref="SLM1:SMB1"/>
    <mergeCell ref="SMC1:SMR1"/>
    <mergeCell ref="SMS1:SNH1"/>
    <mergeCell ref="SNI1:SNX1"/>
    <mergeCell ref="SNY1:SON1"/>
    <mergeCell ref="SOO1:SPD1"/>
    <mergeCell ref="SPE1:SPT1"/>
    <mergeCell ref="SPU1:SQJ1"/>
    <mergeCell ref="SQK1:SQZ1"/>
    <mergeCell ref="SRA1:SRP1"/>
    <mergeCell ref="SRQ1:SSF1"/>
    <mergeCell ref="SSG1:SSV1"/>
    <mergeCell ref="SSW1:STL1"/>
    <mergeCell ref="STM1:SUB1"/>
    <mergeCell ref="SUC1:SUR1"/>
    <mergeCell ref="SUS1:SVH1"/>
    <mergeCell ref="SVI1:SVX1"/>
    <mergeCell ref="SVY1:SWN1"/>
    <mergeCell ref="SWO1:SXD1"/>
    <mergeCell ref="SXE1:SXT1"/>
    <mergeCell ref="SXU1:SYJ1"/>
    <mergeCell ref="SYK1:SYZ1"/>
    <mergeCell ref="SZA1:SZP1"/>
    <mergeCell ref="SZQ1:TAF1"/>
    <mergeCell ref="TAG1:TAV1"/>
    <mergeCell ref="TAW1:TBL1"/>
    <mergeCell ref="TBM1:TCB1"/>
    <mergeCell ref="TCC1:TCR1"/>
    <mergeCell ref="TCS1:TDH1"/>
    <mergeCell ref="TDI1:TDX1"/>
    <mergeCell ref="TDY1:TEN1"/>
    <mergeCell ref="TEO1:TFD1"/>
    <mergeCell ref="TFE1:TFT1"/>
    <mergeCell ref="TFU1:TGJ1"/>
    <mergeCell ref="TGK1:TGZ1"/>
    <mergeCell ref="THA1:THP1"/>
    <mergeCell ref="THQ1:TIF1"/>
    <mergeCell ref="TIG1:TIV1"/>
    <mergeCell ref="TIW1:TJL1"/>
    <mergeCell ref="TJM1:TKB1"/>
    <mergeCell ref="TKC1:TKR1"/>
    <mergeCell ref="TKS1:TLH1"/>
    <mergeCell ref="TLI1:TLX1"/>
    <mergeCell ref="TLY1:TMN1"/>
    <mergeCell ref="TMO1:TND1"/>
    <mergeCell ref="TNE1:TNT1"/>
    <mergeCell ref="TNU1:TOJ1"/>
    <mergeCell ref="TOK1:TOZ1"/>
    <mergeCell ref="TPA1:TPP1"/>
    <mergeCell ref="TPQ1:TQF1"/>
    <mergeCell ref="TQG1:TQV1"/>
    <mergeCell ref="TQW1:TRL1"/>
    <mergeCell ref="TRM1:TSB1"/>
    <mergeCell ref="TSC1:TSR1"/>
    <mergeCell ref="TSS1:TTH1"/>
    <mergeCell ref="TTI1:TTX1"/>
    <mergeCell ref="TTY1:TUN1"/>
    <mergeCell ref="TUO1:TVD1"/>
    <mergeCell ref="TVE1:TVT1"/>
    <mergeCell ref="TVU1:TWJ1"/>
    <mergeCell ref="TWK1:TWZ1"/>
    <mergeCell ref="TXA1:TXP1"/>
    <mergeCell ref="TXQ1:TYF1"/>
    <mergeCell ref="TYG1:TYV1"/>
    <mergeCell ref="TYW1:TZL1"/>
    <mergeCell ref="TZM1:UAB1"/>
    <mergeCell ref="UAC1:UAR1"/>
    <mergeCell ref="UAS1:UBH1"/>
    <mergeCell ref="UBI1:UBX1"/>
    <mergeCell ref="UBY1:UCN1"/>
    <mergeCell ref="UCO1:UDD1"/>
    <mergeCell ref="UDE1:UDT1"/>
    <mergeCell ref="UDU1:UEJ1"/>
    <mergeCell ref="UEK1:UEZ1"/>
    <mergeCell ref="UFA1:UFP1"/>
    <mergeCell ref="UFQ1:UGF1"/>
    <mergeCell ref="UGG1:UGV1"/>
    <mergeCell ref="UGW1:UHL1"/>
    <mergeCell ref="UHM1:UIB1"/>
    <mergeCell ref="UIC1:UIR1"/>
    <mergeCell ref="UIS1:UJH1"/>
    <mergeCell ref="UJI1:UJX1"/>
    <mergeCell ref="UJY1:UKN1"/>
    <mergeCell ref="UKO1:ULD1"/>
    <mergeCell ref="ULE1:ULT1"/>
    <mergeCell ref="ULU1:UMJ1"/>
    <mergeCell ref="UMK1:UMZ1"/>
    <mergeCell ref="UNA1:UNP1"/>
    <mergeCell ref="UNQ1:UOF1"/>
    <mergeCell ref="UOG1:UOV1"/>
    <mergeCell ref="UOW1:UPL1"/>
    <mergeCell ref="UPM1:UQB1"/>
    <mergeCell ref="UQC1:UQR1"/>
    <mergeCell ref="UQS1:URH1"/>
    <mergeCell ref="URI1:URX1"/>
    <mergeCell ref="URY1:USN1"/>
    <mergeCell ref="USO1:UTD1"/>
    <mergeCell ref="UTE1:UTT1"/>
    <mergeCell ref="UTU1:UUJ1"/>
    <mergeCell ref="UUK1:UUZ1"/>
    <mergeCell ref="UVA1:UVP1"/>
    <mergeCell ref="UVQ1:UWF1"/>
    <mergeCell ref="UWG1:UWV1"/>
    <mergeCell ref="UWW1:UXL1"/>
    <mergeCell ref="UXM1:UYB1"/>
    <mergeCell ref="UYC1:UYR1"/>
    <mergeCell ref="UYS1:UZH1"/>
    <mergeCell ref="UZI1:UZX1"/>
    <mergeCell ref="UZY1:VAN1"/>
    <mergeCell ref="VAO1:VBD1"/>
    <mergeCell ref="VBE1:VBT1"/>
    <mergeCell ref="VBU1:VCJ1"/>
    <mergeCell ref="VCK1:VCZ1"/>
    <mergeCell ref="VDA1:VDP1"/>
    <mergeCell ref="VDQ1:VEF1"/>
    <mergeCell ref="VEG1:VEV1"/>
    <mergeCell ref="VEW1:VFL1"/>
    <mergeCell ref="VFM1:VGB1"/>
    <mergeCell ref="VGC1:VGR1"/>
    <mergeCell ref="VGS1:VHH1"/>
    <mergeCell ref="VHI1:VHX1"/>
    <mergeCell ref="VHY1:VIN1"/>
    <mergeCell ref="VIO1:VJD1"/>
    <mergeCell ref="VJE1:VJT1"/>
    <mergeCell ref="VJU1:VKJ1"/>
    <mergeCell ref="VKK1:VKZ1"/>
    <mergeCell ref="VLA1:VLP1"/>
    <mergeCell ref="VLQ1:VMF1"/>
    <mergeCell ref="VMG1:VMV1"/>
    <mergeCell ref="VMW1:VNL1"/>
    <mergeCell ref="VNM1:VOB1"/>
    <mergeCell ref="VOC1:VOR1"/>
    <mergeCell ref="VOS1:VPH1"/>
    <mergeCell ref="VPI1:VPX1"/>
    <mergeCell ref="VPY1:VQN1"/>
    <mergeCell ref="VQO1:VRD1"/>
    <mergeCell ref="VRE1:VRT1"/>
    <mergeCell ref="VRU1:VSJ1"/>
    <mergeCell ref="VSK1:VSZ1"/>
    <mergeCell ref="VTA1:VTP1"/>
    <mergeCell ref="VTQ1:VUF1"/>
    <mergeCell ref="VUG1:VUV1"/>
    <mergeCell ref="VUW1:VVL1"/>
    <mergeCell ref="VVM1:VWB1"/>
    <mergeCell ref="VWC1:VWR1"/>
    <mergeCell ref="VWS1:VXH1"/>
    <mergeCell ref="VXI1:VXX1"/>
    <mergeCell ref="WMS1:WNH1"/>
    <mergeCell ref="WNI1:WNX1"/>
    <mergeCell ref="WNY1:WON1"/>
    <mergeCell ref="WOO1:WPD1"/>
    <mergeCell ref="WPE1:WPT1"/>
    <mergeCell ref="WPU1:WQJ1"/>
    <mergeCell ref="WQK1:WQZ1"/>
    <mergeCell ref="WRA1:WRP1"/>
    <mergeCell ref="WRQ1:WSF1"/>
    <mergeCell ref="WSG1:WSV1"/>
    <mergeCell ref="VXY1:VYN1"/>
    <mergeCell ref="VYO1:VZD1"/>
    <mergeCell ref="VZE1:VZT1"/>
    <mergeCell ref="VZU1:WAJ1"/>
    <mergeCell ref="WAK1:WAZ1"/>
    <mergeCell ref="WBA1:WBP1"/>
    <mergeCell ref="WBQ1:WCF1"/>
    <mergeCell ref="WCG1:WCV1"/>
    <mergeCell ref="WCW1:WDL1"/>
    <mergeCell ref="WDM1:WEB1"/>
    <mergeCell ref="WEC1:WER1"/>
    <mergeCell ref="WES1:WFH1"/>
    <mergeCell ref="WFI1:WFX1"/>
    <mergeCell ref="WFY1:WGN1"/>
    <mergeCell ref="WGO1:WHD1"/>
    <mergeCell ref="WHE1:WHT1"/>
    <mergeCell ref="WHU1:WIJ1"/>
    <mergeCell ref="XDI1:XDX1"/>
    <mergeCell ref="XDY1:XEN1"/>
    <mergeCell ref="XEO1:XFD1"/>
    <mergeCell ref="E3:Q3"/>
    <mergeCell ref="A36:B36"/>
    <mergeCell ref="C3:C4"/>
    <mergeCell ref="D3:D4"/>
    <mergeCell ref="A3:B4"/>
    <mergeCell ref="WSW1:WTL1"/>
    <mergeCell ref="WTM1:WUB1"/>
    <mergeCell ref="WUC1:WUR1"/>
    <mergeCell ref="WUS1:WVH1"/>
    <mergeCell ref="WVI1:WVX1"/>
    <mergeCell ref="WVY1:WWN1"/>
    <mergeCell ref="WWO1:WXD1"/>
    <mergeCell ref="WXE1:WXT1"/>
    <mergeCell ref="WXU1:WYJ1"/>
    <mergeCell ref="WYK1:WYZ1"/>
    <mergeCell ref="WZA1:WZP1"/>
    <mergeCell ref="WZQ1:XAF1"/>
    <mergeCell ref="XAG1:XAV1"/>
    <mergeCell ref="XAW1:XBL1"/>
    <mergeCell ref="XBM1:XCB1"/>
    <mergeCell ref="XCC1:XCR1"/>
    <mergeCell ref="XCS1:XDH1"/>
    <mergeCell ref="WIK1:WIZ1"/>
    <mergeCell ref="WJA1:WJP1"/>
    <mergeCell ref="WJQ1:WKF1"/>
    <mergeCell ref="WKG1:WKV1"/>
    <mergeCell ref="WKW1:WLL1"/>
    <mergeCell ref="WLM1:WMB1"/>
    <mergeCell ref="WMC1:WMR1"/>
  </mergeCells>
  <phoneticPr fontId="39" type="noConversion"/>
  <pageMargins left="0.59055118110236204" right="0.196850393700787" top="0.39370078740157499" bottom="0.196850393700787" header="0.15748031496063" footer="0.23622047244094499"/>
  <pageSetup paperSize="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indexed="47"/>
  </sheetPr>
  <dimension ref="A1:GU93"/>
  <sheetViews>
    <sheetView showZeros="0" zoomScale="110" zoomScaleNormal="110" workbookViewId="0">
      <pane xSplit="2" ySplit="4" topLeftCell="C19" activePane="bottomRight" state="frozen"/>
      <selection pane="topRight"/>
      <selection pane="bottomLeft"/>
      <selection pane="bottomRight" activeCell="D7" sqref="D7:F7"/>
    </sheetView>
  </sheetViews>
  <sheetFormatPr defaultColWidth="10.58203125" defaultRowHeight="15.75" customHeight="1" x14ac:dyDescent="0.25"/>
  <cols>
    <col min="1" max="1" width="15.08203125" style="12" customWidth="1"/>
    <col min="2" max="2" width="5.08203125" style="13" customWidth="1"/>
    <col min="3" max="3" width="4.58203125" style="13" customWidth="1"/>
    <col min="4" max="15" width="7.58203125" style="13" customWidth="1"/>
    <col min="16" max="16" width="9.58203125" style="13" customWidth="1"/>
    <col min="17" max="17" width="11.08203125" style="11" customWidth="1"/>
    <col min="18" max="16384" width="10.58203125" style="13"/>
  </cols>
  <sheetData>
    <row r="1" spans="1:19" s="6" customFormat="1" ht="27" customHeight="1" x14ac:dyDescent="0.25">
      <c r="A1" s="238" t="s">
        <v>232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57"/>
    </row>
    <row r="2" spans="1:19" s="6" customFormat="1" ht="15.75" customHeight="1" x14ac:dyDescent="0.25">
      <c r="A2" s="14"/>
      <c r="B2" s="15"/>
      <c r="C2" s="16"/>
      <c r="D2" s="15"/>
      <c r="E2" s="15"/>
      <c r="F2" s="15"/>
      <c r="G2" s="15"/>
      <c r="H2" s="15"/>
      <c r="L2" s="15"/>
      <c r="M2" s="15"/>
      <c r="O2" s="15"/>
      <c r="P2" s="53" t="str">
        <f>能源消耗!Q2</f>
        <v>日  期：2024年9月10日</v>
      </c>
    </row>
    <row r="3" spans="1:19" ht="15.75" customHeight="1" x14ac:dyDescent="0.25">
      <c r="A3" s="241" t="s">
        <v>2</v>
      </c>
      <c r="B3" s="241" t="s">
        <v>3</v>
      </c>
      <c r="C3" s="241" t="s">
        <v>4</v>
      </c>
      <c r="D3" s="239" t="str">
        <f>能源消耗!E3</f>
        <v>2025年预算</v>
      </c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R3" s="59"/>
      <c r="S3" s="59"/>
    </row>
    <row r="4" spans="1:19" ht="15.75" customHeight="1" x14ac:dyDescent="0.25">
      <c r="A4" s="242"/>
      <c r="B4" s="242"/>
      <c r="C4" s="242"/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  <c r="Q4" s="60"/>
    </row>
    <row r="5" spans="1:19" s="7" customFormat="1" ht="15.75" customHeight="1" x14ac:dyDescent="0.25">
      <c r="A5" s="18" t="s">
        <v>19</v>
      </c>
      <c r="B5" s="19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1"/>
      <c r="R5" s="59"/>
      <c r="S5" s="59"/>
    </row>
    <row r="6" spans="1:19" ht="15.75" customHeight="1" x14ac:dyDescent="0.25">
      <c r="A6" s="22" t="s">
        <v>20</v>
      </c>
      <c r="B6" s="23" t="s">
        <v>21</v>
      </c>
      <c r="C6" s="24"/>
      <c r="D6" s="25">
        <v>744</v>
      </c>
      <c r="E6" s="25">
        <v>672</v>
      </c>
      <c r="F6" s="25">
        <v>744</v>
      </c>
      <c r="G6" s="25">
        <v>720</v>
      </c>
      <c r="H6" s="25">
        <v>744</v>
      </c>
      <c r="I6" s="25">
        <v>720</v>
      </c>
      <c r="J6" s="25">
        <v>744</v>
      </c>
      <c r="K6" s="25">
        <v>744</v>
      </c>
      <c r="L6" s="25">
        <v>720</v>
      </c>
      <c r="M6" s="25">
        <v>744</v>
      </c>
      <c r="N6" s="25">
        <v>720</v>
      </c>
      <c r="O6" s="25">
        <v>744</v>
      </c>
      <c r="P6" s="26">
        <f>SUM(D6:O6)</f>
        <v>8760</v>
      </c>
      <c r="Q6" s="60"/>
      <c r="R6" s="9"/>
    </row>
    <row r="7" spans="1:19" ht="15.75" customHeight="1" x14ac:dyDescent="0.25">
      <c r="A7" s="22" t="s">
        <v>22</v>
      </c>
      <c r="B7" s="23" t="s">
        <v>21</v>
      </c>
      <c r="C7" s="24"/>
      <c r="D7" s="26">
        <f>D6-D9</f>
        <v>624</v>
      </c>
      <c r="E7" s="26">
        <f t="shared" ref="E7:O7" si="0">E6-E9</f>
        <v>322</v>
      </c>
      <c r="F7" s="26">
        <f t="shared" si="0"/>
        <v>324</v>
      </c>
      <c r="G7" s="26">
        <f t="shared" si="0"/>
        <v>0</v>
      </c>
      <c r="H7" s="26">
        <f t="shared" si="0"/>
        <v>744</v>
      </c>
      <c r="I7" s="26">
        <f t="shared" si="0"/>
        <v>720</v>
      </c>
      <c r="J7" s="26">
        <f t="shared" si="0"/>
        <v>744</v>
      </c>
      <c r="K7" s="26">
        <f t="shared" si="0"/>
        <v>744</v>
      </c>
      <c r="L7" s="26">
        <f t="shared" si="0"/>
        <v>720</v>
      </c>
      <c r="M7" s="26">
        <f t="shared" si="0"/>
        <v>0</v>
      </c>
      <c r="N7" s="26">
        <f t="shared" si="0"/>
        <v>-24</v>
      </c>
      <c r="O7" s="26">
        <f t="shared" si="0"/>
        <v>624</v>
      </c>
      <c r="P7" s="26">
        <f>SUM(D7:O7)</f>
        <v>5542</v>
      </c>
      <c r="Q7" s="60"/>
      <c r="R7" s="9"/>
    </row>
    <row r="8" spans="1:19" ht="15.75" customHeight="1" x14ac:dyDescent="0.25">
      <c r="A8" s="22" t="s">
        <v>22</v>
      </c>
      <c r="B8" s="23" t="s">
        <v>23</v>
      </c>
      <c r="C8" s="24"/>
      <c r="D8" s="26">
        <f t="shared" ref="D8:O8" si="1">D7/24</f>
        <v>26</v>
      </c>
      <c r="E8" s="26">
        <f t="shared" si="1"/>
        <v>13.4166666666667</v>
      </c>
      <c r="F8" s="26">
        <f t="shared" si="1"/>
        <v>13.5</v>
      </c>
      <c r="G8" s="26">
        <f t="shared" si="1"/>
        <v>0</v>
      </c>
      <c r="H8" s="26">
        <f t="shared" si="1"/>
        <v>31</v>
      </c>
      <c r="I8" s="26">
        <f t="shared" si="1"/>
        <v>30</v>
      </c>
      <c r="J8" s="26">
        <f t="shared" si="1"/>
        <v>31</v>
      </c>
      <c r="K8" s="26">
        <f t="shared" si="1"/>
        <v>31</v>
      </c>
      <c r="L8" s="26">
        <f t="shared" si="1"/>
        <v>30</v>
      </c>
      <c r="M8" s="26">
        <f t="shared" si="1"/>
        <v>0</v>
      </c>
      <c r="N8" s="26">
        <f t="shared" si="1"/>
        <v>-1</v>
      </c>
      <c r="O8" s="26">
        <f t="shared" si="1"/>
        <v>26</v>
      </c>
      <c r="P8" s="26">
        <f t="shared" ref="P8" si="2">P7/24</f>
        <v>230.916666666667</v>
      </c>
      <c r="Q8" s="60"/>
      <c r="R8" s="9"/>
    </row>
    <row r="9" spans="1:19" ht="15.75" customHeight="1" x14ac:dyDescent="0.25">
      <c r="A9" s="22" t="s">
        <v>24</v>
      </c>
      <c r="B9" s="23" t="s">
        <v>21</v>
      </c>
      <c r="C9" s="24"/>
      <c r="D9" s="26">
        <f>SUM(D10:D12)</f>
        <v>120</v>
      </c>
      <c r="E9" s="26">
        <f t="shared" ref="E9:O9" si="3">SUM(E10:E12)</f>
        <v>350</v>
      </c>
      <c r="F9" s="26">
        <f t="shared" si="3"/>
        <v>420</v>
      </c>
      <c r="G9" s="26">
        <f t="shared" si="3"/>
        <v>720</v>
      </c>
      <c r="H9" s="26">
        <f t="shared" si="3"/>
        <v>0</v>
      </c>
      <c r="I9" s="26">
        <f t="shared" si="3"/>
        <v>0</v>
      </c>
      <c r="J9" s="26">
        <f t="shared" si="3"/>
        <v>0</v>
      </c>
      <c r="K9" s="26">
        <f t="shared" si="3"/>
        <v>0</v>
      </c>
      <c r="L9" s="26">
        <f t="shared" si="3"/>
        <v>0</v>
      </c>
      <c r="M9" s="26">
        <f t="shared" si="3"/>
        <v>744</v>
      </c>
      <c r="N9" s="26">
        <f t="shared" si="3"/>
        <v>744</v>
      </c>
      <c r="O9" s="26">
        <f t="shared" si="3"/>
        <v>120</v>
      </c>
      <c r="P9" s="26">
        <f>SUM(D9:O9)</f>
        <v>3218</v>
      </c>
      <c r="Q9" s="60"/>
      <c r="R9" s="9"/>
    </row>
    <row r="10" spans="1:19" ht="15.75" customHeight="1" x14ac:dyDescent="0.25">
      <c r="A10" s="27" t="s">
        <v>25</v>
      </c>
      <c r="B10" s="23" t="s">
        <v>21</v>
      </c>
      <c r="C10" s="24"/>
      <c r="D10" s="25">
        <v>120</v>
      </c>
      <c r="E10" s="25">
        <v>350</v>
      </c>
      <c r="F10" s="25">
        <v>420</v>
      </c>
      <c r="G10" s="25">
        <v>720</v>
      </c>
      <c r="H10" s="25"/>
      <c r="I10" s="25"/>
      <c r="J10" s="25"/>
      <c r="K10" s="25"/>
      <c r="L10" s="25"/>
      <c r="M10" s="25">
        <v>744</v>
      </c>
      <c r="N10" s="25">
        <v>744</v>
      </c>
      <c r="O10" s="25">
        <v>120</v>
      </c>
      <c r="P10" s="26">
        <f>SUM(D10:O10)</f>
        <v>3218</v>
      </c>
      <c r="Q10" s="60"/>
      <c r="R10" s="9"/>
    </row>
    <row r="11" spans="1:19" ht="15.75" customHeight="1" x14ac:dyDescent="0.25">
      <c r="A11" s="27" t="s">
        <v>26</v>
      </c>
      <c r="B11" s="23" t="s">
        <v>21</v>
      </c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>
        <f>SUM(D11:O11)</f>
        <v>0</v>
      </c>
      <c r="Q11" s="60"/>
      <c r="R11" s="9"/>
    </row>
    <row r="12" spans="1:19" ht="15.75" customHeight="1" x14ac:dyDescent="0.25">
      <c r="A12" s="27" t="s">
        <v>27</v>
      </c>
      <c r="B12" s="23" t="s">
        <v>21</v>
      </c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>
        <f>SUM(D12:O12)</f>
        <v>0</v>
      </c>
      <c r="Q12" s="60"/>
      <c r="R12" s="9"/>
    </row>
    <row r="13" spans="1:19" s="7" customFormat="1" ht="15.75" customHeight="1" x14ac:dyDescent="0.25">
      <c r="A13" s="18" t="s">
        <v>28</v>
      </c>
      <c r="B13" s="19"/>
      <c r="C13" s="20"/>
      <c r="D13" s="21">
        <f>葡萄糖!D18+葡萄糖!D19</f>
        <v>514</v>
      </c>
      <c r="E13" s="21">
        <f>葡萄糖!E18+葡萄糖!E19</f>
        <v>394</v>
      </c>
      <c r="F13" s="21">
        <f>葡萄糖!F18+葡萄糖!F19</f>
        <v>660</v>
      </c>
      <c r="G13" s="21">
        <f>葡萄糖!G18+葡萄糖!G19</f>
        <v>994</v>
      </c>
      <c r="H13" s="21">
        <f>葡萄糖!H18+葡萄糖!H19</f>
        <v>694</v>
      </c>
      <c r="I13" s="21">
        <f>葡萄糖!I18+葡萄糖!I19</f>
        <v>660</v>
      </c>
      <c r="J13" s="21">
        <f>葡萄糖!J18+葡萄糖!J19</f>
        <v>1260</v>
      </c>
      <c r="K13" s="21">
        <f>葡萄糖!K18+葡萄糖!K19</f>
        <v>1260</v>
      </c>
      <c r="L13" s="21">
        <f>葡萄糖!L18+葡萄糖!L19</f>
        <v>1060</v>
      </c>
      <c r="M13" s="21">
        <f>葡萄糖!M18+葡萄糖!M19</f>
        <v>1094</v>
      </c>
      <c r="N13" s="21">
        <f>葡萄糖!N18+葡萄糖!N19</f>
        <v>994</v>
      </c>
      <c r="O13" s="21">
        <f>葡萄糖!O18+葡萄糖!O19</f>
        <v>894</v>
      </c>
      <c r="P13" s="21">
        <f>葡萄糖!P18+葡萄糖!P19</f>
        <v>10478</v>
      </c>
      <c r="Q13" s="60"/>
      <c r="R13" s="9"/>
      <c r="S13" s="59"/>
    </row>
    <row r="14" spans="1:19" ht="15.75" customHeight="1" x14ac:dyDescent="0.25">
      <c r="A14" s="22" t="s">
        <v>29</v>
      </c>
      <c r="B14" s="23" t="s">
        <v>30</v>
      </c>
      <c r="C14" s="24"/>
      <c r="D14" s="28">
        <f>IF(D35=0,0,1/D35)</f>
        <v>1.08108108108108</v>
      </c>
      <c r="E14" s="28">
        <f t="shared" ref="E14:O14" si="4">IF(E35=0,0,1/E35)</f>
        <v>1.08108108108108</v>
      </c>
      <c r="F14" s="28">
        <f t="shared" si="4"/>
        <v>1.08108108108108</v>
      </c>
      <c r="G14" s="28">
        <f t="shared" si="4"/>
        <v>0</v>
      </c>
      <c r="H14" s="28">
        <f t="shared" si="4"/>
        <v>1.08108108108108</v>
      </c>
      <c r="I14" s="28">
        <f t="shared" si="4"/>
        <v>1.08108108108108</v>
      </c>
      <c r="J14" s="28">
        <f t="shared" si="4"/>
        <v>1.08108108108108</v>
      </c>
      <c r="K14" s="28">
        <f t="shared" si="4"/>
        <v>1.08108108108108</v>
      </c>
      <c r="L14" s="28">
        <f t="shared" si="4"/>
        <v>1.08108108108108</v>
      </c>
      <c r="M14" s="28">
        <f t="shared" si="4"/>
        <v>0</v>
      </c>
      <c r="N14" s="28">
        <f t="shared" si="4"/>
        <v>0</v>
      </c>
      <c r="O14" s="28">
        <f t="shared" si="4"/>
        <v>1.08108108108108</v>
      </c>
      <c r="P14" s="28">
        <f t="shared" ref="P14" si="5">IF(P35=0,0,1/P35)</f>
        <v>1.08108108108108</v>
      </c>
      <c r="Q14" s="60"/>
      <c r="R14" s="9"/>
    </row>
    <row r="15" spans="1:19" s="7" customFormat="1" ht="15.75" customHeight="1" x14ac:dyDescent="0.25">
      <c r="A15" s="18" t="s">
        <v>31</v>
      </c>
      <c r="B15" s="19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>
        <f>SUM(D15:O15)</f>
        <v>0</v>
      </c>
      <c r="Q15" s="60"/>
      <c r="R15" s="9"/>
      <c r="S15" s="59"/>
    </row>
    <row r="16" spans="1:19" ht="15.75" customHeight="1" x14ac:dyDescent="0.25">
      <c r="A16" s="29" t="s">
        <v>32</v>
      </c>
      <c r="B16" s="23" t="s">
        <v>30</v>
      </c>
      <c r="C16" s="24"/>
      <c r="D16" s="28">
        <f>IF(D7=0,0,(D18+D24)/D7/333*24)</f>
        <v>0.92400092400092404</v>
      </c>
      <c r="E16" s="28">
        <f>IF(E7=0,0,(E18+E24)/E7/333*24)</f>
        <v>0.89530524313132998</v>
      </c>
      <c r="F16" s="28">
        <f>IF(F7=0,0,(F18+F24)/F7/333*24)</f>
        <v>0.88977866755644497</v>
      </c>
      <c r="G16" s="28">
        <f>IF(G7=0,0,(G18+G24)/G7/333*24)</f>
        <v>0</v>
      </c>
      <c r="H16" s="28">
        <f>IF(H7=0,0,(H18+H24)/H7/333*24)</f>
        <v>0.77496851690400104</v>
      </c>
      <c r="I16" s="28">
        <f t="shared" ref="I16:P16" si="6">IF(I7=0,0,(I18+I24)/I7/333*24)</f>
        <v>0.80080080080080096</v>
      </c>
      <c r="J16" s="28">
        <f t="shared" si="6"/>
        <v>0.77496851690400104</v>
      </c>
      <c r="K16" s="28">
        <f t="shared" si="6"/>
        <v>0.77496851690400104</v>
      </c>
      <c r="L16" s="28">
        <f t="shared" si="6"/>
        <v>0.20020020020019999</v>
      </c>
      <c r="M16" s="28">
        <f t="shared" si="6"/>
        <v>0</v>
      </c>
      <c r="N16" s="28">
        <f t="shared" si="6"/>
        <v>0</v>
      </c>
      <c r="O16" s="28">
        <f t="shared" si="6"/>
        <v>0.92400092400092404</v>
      </c>
      <c r="P16" s="28">
        <f t="shared" si="6"/>
        <v>0.75427285820645595</v>
      </c>
      <c r="Q16" s="60" t="s">
        <v>233</v>
      </c>
      <c r="R16" s="9"/>
    </row>
    <row r="17" spans="1:19" s="7" customFormat="1" ht="15.75" customHeight="1" x14ac:dyDescent="0.25">
      <c r="A17" s="18" t="s">
        <v>34</v>
      </c>
      <c r="B17" s="19"/>
      <c r="C17" s="20"/>
      <c r="D17" s="30">
        <f>D18+D24+D29</f>
        <v>8000</v>
      </c>
      <c r="E17" s="30">
        <f t="shared" ref="E17:O17" si="7">E18+E24+E29</f>
        <v>4000</v>
      </c>
      <c r="F17" s="30">
        <f t="shared" si="7"/>
        <v>4000</v>
      </c>
      <c r="G17" s="30">
        <f t="shared" si="7"/>
        <v>0</v>
      </c>
      <c r="H17" s="30">
        <f t="shared" si="7"/>
        <v>8000</v>
      </c>
      <c r="I17" s="30">
        <f t="shared" si="7"/>
        <v>8000</v>
      </c>
      <c r="J17" s="30">
        <f t="shared" si="7"/>
        <v>8000</v>
      </c>
      <c r="K17" s="30">
        <f t="shared" si="7"/>
        <v>8000</v>
      </c>
      <c r="L17" s="30">
        <f t="shared" si="7"/>
        <v>2000</v>
      </c>
      <c r="M17" s="30">
        <f t="shared" si="7"/>
        <v>0</v>
      </c>
      <c r="N17" s="30">
        <f t="shared" si="7"/>
        <v>0</v>
      </c>
      <c r="O17" s="30">
        <f t="shared" si="7"/>
        <v>8000</v>
      </c>
      <c r="P17" s="30">
        <f>SUM(D17:O17)</f>
        <v>58000</v>
      </c>
      <c r="Q17" s="60"/>
      <c r="R17" s="9"/>
      <c r="S17" s="59"/>
    </row>
    <row r="18" spans="1:19" ht="15.75" customHeight="1" x14ac:dyDescent="0.25">
      <c r="A18" s="22" t="s">
        <v>36</v>
      </c>
      <c r="B18" s="23" t="s">
        <v>37</v>
      </c>
      <c r="C18" s="24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26">
        <f>SUM(D18:O18)</f>
        <v>0</v>
      </c>
      <c r="Q18" s="60"/>
      <c r="R18" s="9"/>
    </row>
    <row r="19" spans="1:19" ht="15.75" customHeight="1" x14ac:dyDescent="0.25">
      <c r="A19" s="27" t="s">
        <v>39</v>
      </c>
      <c r="B19" s="23" t="s">
        <v>37</v>
      </c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>
        <f>SUM(D19:O19)</f>
        <v>0</v>
      </c>
      <c r="Q19" s="60"/>
      <c r="R19" s="9"/>
    </row>
    <row r="20" spans="1:19" ht="15.75" customHeight="1" x14ac:dyDescent="0.25">
      <c r="A20" s="32" t="s">
        <v>40</v>
      </c>
      <c r="B20" s="23" t="s">
        <v>30</v>
      </c>
      <c r="C20" s="24"/>
      <c r="D20" s="33">
        <f t="shared" ref="D20:O20" si="8">IF(D18=0,0,D19/D18)</f>
        <v>0</v>
      </c>
      <c r="E20" s="33">
        <f t="shared" si="8"/>
        <v>0</v>
      </c>
      <c r="F20" s="33">
        <f t="shared" si="8"/>
        <v>0</v>
      </c>
      <c r="G20" s="33">
        <f t="shared" si="8"/>
        <v>0</v>
      </c>
      <c r="H20" s="33">
        <f t="shared" si="8"/>
        <v>0</v>
      </c>
      <c r="I20" s="33">
        <f t="shared" si="8"/>
        <v>0</v>
      </c>
      <c r="J20" s="33">
        <f t="shared" si="8"/>
        <v>0</v>
      </c>
      <c r="K20" s="33">
        <f t="shared" si="8"/>
        <v>0</v>
      </c>
      <c r="L20" s="33">
        <f t="shared" si="8"/>
        <v>0</v>
      </c>
      <c r="M20" s="33">
        <f t="shared" si="8"/>
        <v>0</v>
      </c>
      <c r="N20" s="33">
        <f t="shared" si="8"/>
        <v>0</v>
      </c>
      <c r="O20" s="33">
        <f t="shared" si="8"/>
        <v>0</v>
      </c>
      <c r="P20" s="33">
        <f t="shared" ref="P20" si="9">IF(P18=0,0,P19/P18)</f>
        <v>0</v>
      </c>
      <c r="Q20" s="60"/>
      <c r="R20" s="9"/>
    </row>
    <row r="21" spans="1:19" ht="15.75" customHeight="1" x14ac:dyDescent="0.25">
      <c r="A21" s="27" t="s">
        <v>41</v>
      </c>
      <c r="B21" s="23" t="s">
        <v>37</v>
      </c>
      <c r="C21" s="24"/>
      <c r="D21" s="26">
        <v>0</v>
      </c>
      <c r="E21" s="26">
        <f t="shared" ref="E21:O21" si="10">E18-E19</f>
        <v>0</v>
      </c>
      <c r="F21" s="26">
        <f t="shared" si="10"/>
        <v>0</v>
      </c>
      <c r="G21" s="26">
        <f t="shared" si="10"/>
        <v>0</v>
      </c>
      <c r="H21" s="26">
        <f t="shared" si="10"/>
        <v>0</v>
      </c>
      <c r="I21" s="26">
        <f t="shared" si="10"/>
        <v>0</v>
      </c>
      <c r="J21" s="26">
        <f t="shared" si="10"/>
        <v>0</v>
      </c>
      <c r="K21" s="26">
        <f t="shared" si="10"/>
        <v>0</v>
      </c>
      <c r="L21" s="26">
        <f t="shared" si="10"/>
        <v>0</v>
      </c>
      <c r="M21" s="26">
        <f t="shared" si="10"/>
        <v>0</v>
      </c>
      <c r="N21" s="26">
        <f t="shared" si="10"/>
        <v>0</v>
      </c>
      <c r="O21" s="26">
        <f t="shared" si="10"/>
        <v>0</v>
      </c>
      <c r="P21" s="26">
        <f>SUM(D21:O21)</f>
        <v>0</v>
      </c>
      <c r="Q21" s="60"/>
      <c r="R21" s="9"/>
    </row>
    <row r="22" spans="1:19" ht="15.75" customHeight="1" x14ac:dyDescent="0.25">
      <c r="A22" s="32" t="s">
        <v>40</v>
      </c>
      <c r="B22" s="23" t="s">
        <v>30</v>
      </c>
      <c r="C22" s="24"/>
      <c r="D22" s="33">
        <f t="shared" ref="D22:O22" si="11">IF(D18=0,0,D21/D18)</f>
        <v>0</v>
      </c>
      <c r="E22" s="33">
        <f t="shared" si="11"/>
        <v>0</v>
      </c>
      <c r="F22" s="33">
        <f t="shared" si="11"/>
        <v>0</v>
      </c>
      <c r="G22" s="33">
        <f t="shared" si="11"/>
        <v>0</v>
      </c>
      <c r="H22" s="33">
        <f t="shared" si="11"/>
        <v>0</v>
      </c>
      <c r="I22" s="33">
        <f t="shared" si="11"/>
        <v>0</v>
      </c>
      <c r="J22" s="33">
        <f t="shared" si="11"/>
        <v>0</v>
      </c>
      <c r="K22" s="33">
        <f t="shared" si="11"/>
        <v>0</v>
      </c>
      <c r="L22" s="33">
        <f t="shared" si="11"/>
        <v>0</v>
      </c>
      <c r="M22" s="33">
        <f t="shared" si="11"/>
        <v>0</v>
      </c>
      <c r="N22" s="33">
        <f t="shared" si="11"/>
        <v>0</v>
      </c>
      <c r="O22" s="33">
        <f t="shared" si="11"/>
        <v>0</v>
      </c>
      <c r="P22" s="33">
        <f t="shared" ref="P22" si="12">IF(P18=0,0,P21/P18)</f>
        <v>0</v>
      </c>
      <c r="Q22" s="60"/>
      <c r="R22" s="9"/>
    </row>
    <row r="23" spans="1:19" ht="15.75" customHeight="1" x14ac:dyDescent="0.25">
      <c r="A23" s="22" t="s">
        <v>42</v>
      </c>
      <c r="B23" s="23" t="s">
        <v>37</v>
      </c>
      <c r="C23" s="24"/>
      <c r="D23" s="26">
        <f t="shared" ref="D23:O23" si="13">D18*0.71</f>
        <v>0</v>
      </c>
      <c r="E23" s="26">
        <f t="shared" si="13"/>
        <v>0</v>
      </c>
      <c r="F23" s="26">
        <f t="shared" si="13"/>
        <v>0</v>
      </c>
      <c r="G23" s="26">
        <f t="shared" si="13"/>
        <v>0</v>
      </c>
      <c r="H23" s="26">
        <f t="shared" si="13"/>
        <v>0</v>
      </c>
      <c r="I23" s="26">
        <f t="shared" si="13"/>
        <v>0</v>
      </c>
      <c r="J23" s="26">
        <f t="shared" si="13"/>
        <v>0</v>
      </c>
      <c r="K23" s="26">
        <f t="shared" si="13"/>
        <v>0</v>
      </c>
      <c r="L23" s="26">
        <f t="shared" si="13"/>
        <v>0</v>
      </c>
      <c r="M23" s="26">
        <f t="shared" si="13"/>
        <v>0</v>
      </c>
      <c r="N23" s="26">
        <f t="shared" si="13"/>
        <v>0</v>
      </c>
      <c r="O23" s="26">
        <f t="shared" si="13"/>
        <v>0</v>
      </c>
      <c r="P23" s="26">
        <f t="shared" ref="P23" si="14">P18*0.71</f>
        <v>0</v>
      </c>
      <c r="Q23" s="60">
        <f>P18+P24</f>
        <v>58000</v>
      </c>
      <c r="R23" s="9"/>
    </row>
    <row r="24" spans="1:19" ht="15.75" customHeight="1" x14ac:dyDescent="0.25">
      <c r="A24" s="22" t="s">
        <v>44</v>
      </c>
      <c r="B24" s="23" t="s">
        <v>37</v>
      </c>
      <c r="C24" s="24"/>
      <c r="D24" s="31">
        <v>8000</v>
      </c>
      <c r="E24" s="31">
        <v>4000</v>
      </c>
      <c r="F24" s="31">
        <v>4000</v>
      </c>
      <c r="G24" s="31">
        <v>0</v>
      </c>
      <c r="H24" s="31">
        <v>8000</v>
      </c>
      <c r="I24" s="31">
        <v>8000</v>
      </c>
      <c r="J24" s="31">
        <v>8000</v>
      </c>
      <c r="K24" s="31">
        <v>8000</v>
      </c>
      <c r="L24" s="31">
        <v>2000</v>
      </c>
      <c r="M24" s="31">
        <v>0</v>
      </c>
      <c r="N24" s="31">
        <v>0</v>
      </c>
      <c r="O24" s="31">
        <v>8000</v>
      </c>
      <c r="P24" s="26">
        <f>SUM(D24:O24)</f>
        <v>58000</v>
      </c>
      <c r="Q24" s="60"/>
      <c r="R24" s="9"/>
    </row>
    <row r="25" spans="1:19" ht="15.75" customHeight="1" x14ac:dyDescent="0.25">
      <c r="A25" s="27" t="s">
        <v>39</v>
      </c>
      <c r="B25" s="23" t="s">
        <v>37</v>
      </c>
      <c r="C25" s="24"/>
      <c r="D25" s="150">
        <f>D24</f>
        <v>8000</v>
      </c>
      <c r="E25" s="150">
        <f t="shared" ref="E25:O25" si="15">E24</f>
        <v>4000</v>
      </c>
      <c r="F25" s="150">
        <f t="shared" si="15"/>
        <v>4000</v>
      </c>
      <c r="G25" s="150">
        <f t="shared" si="15"/>
        <v>0</v>
      </c>
      <c r="H25" s="150">
        <f t="shared" si="15"/>
        <v>8000</v>
      </c>
      <c r="I25" s="150">
        <f t="shared" si="15"/>
        <v>8000</v>
      </c>
      <c r="J25" s="150">
        <f t="shared" si="15"/>
        <v>8000</v>
      </c>
      <c r="K25" s="150">
        <f t="shared" si="15"/>
        <v>8000</v>
      </c>
      <c r="L25" s="150">
        <f t="shared" si="15"/>
        <v>2000</v>
      </c>
      <c r="M25" s="150">
        <f t="shared" si="15"/>
        <v>0</v>
      </c>
      <c r="N25" s="150">
        <f t="shared" si="15"/>
        <v>0</v>
      </c>
      <c r="O25" s="150">
        <f t="shared" si="15"/>
        <v>8000</v>
      </c>
      <c r="P25" s="26">
        <f>SUM(D25:O25)</f>
        <v>58000</v>
      </c>
      <c r="Q25" s="152"/>
      <c r="R25" s="9"/>
    </row>
    <row r="26" spans="1:19" ht="15.75" customHeight="1" x14ac:dyDescent="0.25">
      <c r="A26" s="32" t="s">
        <v>40</v>
      </c>
      <c r="B26" s="23" t="s">
        <v>30</v>
      </c>
      <c r="C26" s="24"/>
      <c r="D26" s="33">
        <f t="shared" ref="D26:O26" si="16">IF(D24=0,0,D25/D24)</f>
        <v>1</v>
      </c>
      <c r="E26" s="33">
        <f t="shared" si="16"/>
        <v>1</v>
      </c>
      <c r="F26" s="33">
        <f t="shared" si="16"/>
        <v>1</v>
      </c>
      <c r="G26" s="33">
        <f t="shared" si="16"/>
        <v>0</v>
      </c>
      <c r="H26" s="33">
        <f t="shared" si="16"/>
        <v>1</v>
      </c>
      <c r="I26" s="33">
        <f t="shared" si="16"/>
        <v>1</v>
      </c>
      <c r="J26" s="33">
        <f t="shared" si="16"/>
        <v>1</v>
      </c>
      <c r="K26" s="33">
        <f t="shared" si="16"/>
        <v>1</v>
      </c>
      <c r="L26" s="33">
        <f t="shared" si="16"/>
        <v>1</v>
      </c>
      <c r="M26" s="33">
        <f t="shared" si="16"/>
        <v>0</v>
      </c>
      <c r="N26" s="33">
        <f t="shared" si="16"/>
        <v>0</v>
      </c>
      <c r="O26" s="33">
        <f t="shared" si="16"/>
        <v>1</v>
      </c>
      <c r="P26" s="33">
        <f t="shared" ref="P26" si="17">IF(P24=0,0,P25/P24)</f>
        <v>1</v>
      </c>
      <c r="Q26" s="60"/>
      <c r="R26" s="9"/>
    </row>
    <row r="27" spans="1:19" ht="15.75" customHeight="1" x14ac:dyDescent="0.25">
      <c r="A27" s="27" t="s">
        <v>41</v>
      </c>
      <c r="B27" s="23" t="s">
        <v>37</v>
      </c>
      <c r="C27" s="24"/>
      <c r="D27" s="26">
        <f>D24-D25</f>
        <v>0</v>
      </c>
      <c r="E27" s="26">
        <f t="shared" ref="E27:O27" si="18">E24-E25</f>
        <v>0</v>
      </c>
      <c r="F27" s="26">
        <f t="shared" si="18"/>
        <v>0</v>
      </c>
      <c r="G27" s="26">
        <f t="shared" si="18"/>
        <v>0</v>
      </c>
      <c r="H27" s="26">
        <f t="shared" si="18"/>
        <v>0</v>
      </c>
      <c r="I27" s="26">
        <f t="shared" si="18"/>
        <v>0</v>
      </c>
      <c r="J27" s="26">
        <f t="shared" si="18"/>
        <v>0</v>
      </c>
      <c r="K27" s="26">
        <f t="shared" si="18"/>
        <v>0</v>
      </c>
      <c r="L27" s="26">
        <f t="shared" si="18"/>
        <v>0</v>
      </c>
      <c r="M27" s="26">
        <f t="shared" si="18"/>
        <v>0</v>
      </c>
      <c r="N27" s="26">
        <f t="shared" si="18"/>
        <v>0</v>
      </c>
      <c r="O27" s="26">
        <f t="shared" si="18"/>
        <v>0</v>
      </c>
      <c r="P27" s="26">
        <f>SUM(D27:O27)</f>
        <v>0</v>
      </c>
      <c r="Q27" s="60"/>
      <c r="R27" s="9"/>
    </row>
    <row r="28" spans="1:19" ht="15.75" customHeight="1" x14ac:dyDescent="0.25">
      <c r="A28" s="32" t="s">
        <v>40</v>
      </c>
      <c r="B28" s="34" t="s">
        <v>30</v>
      </c>
      <c r="C28" s="35"/>
      <c r="D28" s="33">
        <f t="shared" ref="D28:O28" si="19">IF(D24=0,0,D27/D24)</f>
        <v>0</v>
      </c>
      <c r="E28" s="33">
        <f t="shared" si="19"/>
        <v>0</v>
      </c>
      <c r="F28" s="33">
        <f t="shared" si="19"/>
        <v>0</v>
      </c>
      <c r="G28" s="33">
        <f t="shared" si="19"/>
        <v>0</v>
      </c>
      <c r="H28" s="33">
        <f t="shared" si="19"/>
        <v>0</v>
      </c>
      <c r="I28" s="33">
        <f t="shared" si="19"/>
        <v>0</v>
      </c>
      <c r="J28" s="33">
        <f t="shared" si="19"/>
        <v>0</v>
      </c>
      <c r="K28" s="33">
        <f t="shared" si="19"/>
        <v>0</v>
      </c>
      <c r="L28" s="33">
        <f t="shared" si="19"/>
        <v>0</v>
      </c>
      <c r="M28" s="33">
        <f t="shared" si="19"/>
        <v>0</v>
      </c>
      <c r="N28" s="33">
        <f t="shared" si="19"/>
        <v>0</v>
      </c>
      <c r="O28" s="33">
        <f t="shared" si="19"/>
        <v>0</v>
      </c>
      <c r="P28" s="33">
        <f t="shared" ref="P28" si="20">IF(P24=0,0,P27/P24)</f>
        <v>0</v>
      </c>
      <c r="Q28" s="60"/>
      <c r="R28" s="9"/>
    </row>
    <row r="29" spans="1:19" ht="15.75" customHeight="1" x14ac:dyDescent="0.25">
      <c r="A29" s="22" t="s">
        <v>45</v>
      </c>
      <c r="B29" s="23" t="s">
        <v>37</v>
      </c>
      <c r="C29" s="24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26">
        <f>SUM(D29:O29)</f>
        <v>0</v>
      </c>
      <c r="Q29" s="60"/>
      <c r="R29" s="9"/>
    </row>
    <row r="30" spans="1:19" ht="15.75" customHeight="1" x14ac:dyDescent="0.25">
      <c r="A30" s="22" t="s">
        <v>46</v>
      </c>
      <c r="B30" s="23" t="s">
        <v>37</v>
      </c>
      <c r="C30" s="24"/>
      <c r="D30" s="31">
        <v>0</v>
      </c>
      <c r="E30" s="31">
        <v>0</v>
      </c>
      <c r="F30" s="31">
        <v>0</v>
      </c>
      <c r="G30" s="31">
        <v>0</v>
      </c>
      <c r="H30" s="31">
        <v>99</v>
      </c>
      <c r="I30" s="31">
        <v>99</v>
      </c>
      <c r="J30" s="31">
        <v>99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26">
        <f>SUM(D30:O30)</f>
        <v>297</v>
      </c>
      <c r="Q30" s="60"/>
      <c r="R30" s="9"/>
    </row>
    <row r="31" spans="1:19" ht="15.75" customHeight="1" x14ac:dyDescent="0.25">
      <c r="A31" s="22" t="s">
        <v>47</v>
      </c>
      <c r="B31" s="23" t="s">
        <v>37</v>
      </c>
      <c r="C31" s="24"/>
      <c r="D31" s="26">
        <f>(D24+D30)*0.77+D29*0.735</f>
        <v>6160</v>
      </c>
      <c r="E31" s="26">
        <f t="shared" ref="E31:O31" si="21">(E24+E30)*0.77+E29*0.735</f>
        <v>3080</v>
      </c>
      <c r="F31" s="26">
        <f t="shared" si="21"/>
        <v>3080</v>
      </c>
      <c r="G31" s="26">
        <f t="shared" si="21"/>
        <v>0</v>
      </c>
      <c r="H31" s="26">
        <f t="shared" si="21"/>
        <v>6236.23</v>
      </c>
      <c r="I31" s="26">
        <f t="shared" si="21"/>
        <v>6236.23</v>
      </c>
      <c r="J31" s="26">
        <f t="shared" si="21"/>
        <v>6236.23</v>
      </c>
      <c r="K31" s="26">
        <f t="shared" si="21"/>
        <v>6160</v>
      </c>
      <c r="L31" s="26">
        <f t="shared" si="21"/>
        <v>1540</v>
      </c>
      <c r="M31" s="26">
        <f t="shared" si="21"/>
        <v>0</v>
      </c>
      <c r="N31" s="26">
        <f t="shared" si="21"/>
        <v>0</v>
      </c>
      <c r="O31" s="26">
        <f t="shared" si="21"/>
        <v>6160</v>
      </c>
      <c r="P31" s="26">
        <f>SUM(D31:O31)</f>
        <v>44888.69</v>
      </c>
      <c r="Q31" s="60"/>
      <c r="R31" s="9"/>
    </row>
    <row r="32" spans="1:19" ht="15.75" customHeight="1" x14ac:dyDescent="0.25">
      <c r="A32" s="36" t="s">
        <v>48</v>
      </c>
      <c r="B32" s="37" t="s">
        <v>37</v>
      </c>
      <c r="C32" s="38"/>
      <c r="D32" s="39">
        <f>D23+D31</f>
        <v>6160</v>
      </c>
      <c r="E32" s="39">
        <f t="shared" ref="E32:O32" si="22">E23+E31</f>
        <v>3080</v>
      </c>
      <c r="F32" s="39">
        <f t="shared" si="22"/>
        <v>3080</v>
      </c>
      <c r="G32" s="39">
        <f t="shared" si="22"/>
        <v>0</v>
      </c>
      <c r="H32" s="39">
        <f t="shared" si="22"/>
        <v>6236.23</v>
      </c>
      <c r="I32" s="39">
        <f t="shared" si="22"/>
        <v>6236.23</v>
      </c>
      <c r="J32" s="39">
        <f t="shared" si="22"/>
        <v>6236.23</v>
      </c>
      <c r="K32" s="39">
        <f t="shared" si="22"/>
        <v>6160</v>
      </c>
      <c r="L32" s="39">
        <f t="shared" si="22"/>
        <v>1540</v>
      </c>
      <c r="M32" s="39">
        <f t="shared" si="22"/>
        <v>0</v>
      </c>
      <c r="N32" s="39">
        <f t="shared" si="22"/>
        <v>0</v>
      </c>
      <c r="O32" s="39">
        <f t="shared" si="22"/>
        <v>6160</v>
      </c>
      <c r="P32" s="39">
        <f t="shared" ref="P32" si="23">P23+P31</f>
        <v>44888.69</v>
      </c>
      <c r="Q32" s="60"/>
      <c r="R32" s="9"/>
    </row>
    <row r="33" spans="1:20" s="7" customFormat="1" ht="15.75" customHeight="1" x14ac:dyDescent="0.25">
      <c r="A33" s="18" t="s">
        <v>49</v>
      </c>
      <c r="B33" s="19"/>
      <c r="C33" s="20"/>
      <c r="D33" s="21">
        <f>D34/0.87</f>
        <v>6549.42528735632</v>
      </c>
      <c r="E33" s="21">
        <f t="shared" ref="E33:O33" si="24">E34/0.87</f>
        <v>3274.71264367816</v>
      </c>
      <c r="F33" s="21">
        <f t="shared" si="24"/>
        <v>3274.71264367816</v>
      </c>
      <c r="G33" s="21">
        <f t="shared" si="24"/>
        <v>0</v>
      </c>
      <c r="H33" s="21">
        <f t="shared" si="24"/>
        <v>6631.0344827586196</v>
      </c>
      <c r="I33" s="21">
        <f t="shared" si="24"/>
        <v>6631.0344827586196</v>
      </c>
      <c r="J33" s="21">
        <f t="shared" si="24"/>
        <v>6631.0344827586196</v>
      </c>
      <c r="K33" s="21">
        <f t="shared" si="24"/>
        <v>6549.42528735632</v>
      </c>
      <c r="L33" s="21">
        <f t="shared" si="24"/>
        <v>1637.93103448276</v>
      </c>
      <c r="M33" s="21">
        <f t="shared" si="24"/>
        <v>0</v>
      </c>
      <c r="N33" s="21">
        <f t="shared" si="24"/>
        <v>0</v>
      </c>
      <c r="O33" s="21">
        <f t="shared" si="24"/>
        <v>6549.42528735632</v>
      </c>
      <c r="P33" s="21">
        <f t="shared" ref="P33" si="25">P34/0.87</f>
        <v>47728.735632183903</v>
      </c>
      <c r="Q33" s="60" t="s">
        <v>50</v>
      </c>
      <c r="R33" s="153"/>
      <c r="S33" s="9" t="s">
        <v>234</v>
      </c>
    </row>
    <row r="34" spans="1:20" ht="15.75" customHeight="1" x14ac:dyDescent="0.25">
      <c r="A34" s="40" t="s">
        <v>52</v>
      </c>
      <c r="B34" s="34" t="s">
        <v>37</v>
      </c>
      <c r="C34" s="35"/>
      <c r="D34" s="41">
        <f>ROUND(D35*D$32,0)</f>
        <v>5698</v>
      </c>
      <c r="E34" s="41">
        <f t="shared" ref="E34:O34" si="26">ROUND(E35*E$32,0)</f>
        <v>2849</v>
      </c>
      <c r="F34" s="41">
        <f t="shared" si="26"/>
        <v>2849</v>
      </c>
      <c r="G34" s="41">
        <f t="shared" si="26"/>
        <v>0</v>
      </c>
      <c r="H34" s="41">
        <f t="shared" si="26"/>
        <v>5769</v>
      </c>
      <c r="I34" s="41">
        <f t="shared" si="26"/>
        <v>5769</v>
      </c>
      <c r="J34" s="41">
        <f t="shared" si="26"/>
        <v>5769</v>
      </c>
      <c r="K34" s="41">
        <f t="shared" si="26"/>
        <v>5698</v>
      </c>
      <c r="L34" s="41">
        <f t="shared" si="26"/>
        <v>1425</v>
      </c>
      <c r="M34" s="41">
        <f t="shared" si="26"/>
        <v>0</v>
      </c>
      <c r="N34" s="41">
        <f t="shared" si="26"/>
        <v>0</v>
      </c>
      <c r="O34" s="41">
        <f t="shared" si="26"/>
        <v>5698</v>
      </c>
      <c r="P34" s="41">
        <f>SUM(D34:O34)</f>
        <v>41524</v>
      </c>
      <c r="Q34" s="60"/>
      <c r="R34" s="153"/>
      <c r="S34" s="9"/>
    </row>
    <row r="35" spans="1:20" ht="15.75" customHeight="1" x14ac:dyDescent="0.25">
      <c r="A35" s="42" t="s">
        <v>53</v>
      </c>
      <c r="B35" s="34" t="s">
        <v>54</v>
      </c>
      <c r="C35" s="35"/>
      <c r="D35" s="151">
        <v>0.92500000000000004</v>
      </c>
      <c r="E35" s="151">
        <v>0.92500000000000004</v>
      </c>
      <c r="F35" s="151">
        <v>0.92500000000000004</v>
      </c>
      <c r="G35" s="151"/>
      <c r="H35" s="151">
        <v>0.92500000000000004</v>
      </c>
      <c r="I35" s="151">
        <v>0.92500000000000004</v>
      </c>
      <c r="J35" s="151">
        <v>0.92500000000000004</v>
      </c>
      <c r="K35" s="151">
        <v>0.92500000000000004</v>
      </c>
      <c r="L35" s="151">
        <v>0.92500000000000004</v>
      </c>
      <c r="M35" s="151"/>
      <c r="N35" s="151"/>
      <c r="O35" s="151">
        <v>0.92500000000000004</v>
      </c>
      <c r="P35" s="55">
        <f>ROUND(IF(P$32=0,0,P34/P$32),3)</f>
        <v>0.92500000000000004</v>
      </c>
      <c r="Q35" s="61">
        <v>0.82799999999999996</v>
      </c>
      <c r="R35" s="153"/>
      <c r="S35" s="9">
        <v>0.92800000000000005</v>
      </c>
      <c r="T35" s="61"/>
    </row>
    <row r="36" spans="1:20" ht="15.75" customHeight="1" x14ac:dyDescent="0.25">
      <c r="A36" s="40" t="s">
        <v>55</v>
      </c>
      <c r="B36" s="34" t="s">
        <v>56</v>
      </c>
      <c r="C36" s="35"/>
      <c r="D36" s="26">
        <f t="shared" ref="D36:O36" si="27">ROUND(D37*D$32,2)</f>
        <v>26180</v>
      </c>
      <c r="E36" s="26">
        <f t="shared" si="27"/>
        <v>13644.4</v>
      </c>
      <c r="F36" s="26">
        <f t="shared" si="27"/>
        <v>13644.4</v>
      </c>
      <c r="G36" s="26">
        <f t="shared" si="27"/>
        <v>0</v>
      </c>
      <c r="H36" s="26">
        <f t="shared" si="27"/>
        <v>26503.98</v>
      </c>
      <c r="I36" s="26">
        <f t="shared" si="27"/>
        <v>26503.98</v>
      </c>
      <c r="J36" s="26">
        <f t="shared" si="27"/>
        <v>26503.98</v>
      </c>
      <c r="K36" s="26">
        <f t="shared" si="27"/>
        <v>26180</v>
      </c>
      <c r="L36" s="26">
        <f t="shared" si="27"/>
        <v>7053.2</v>
      </c>
      <c r="M36" s="26">
        <f t="shared" si="27"/>
        <v>0</v>
      </c>
      <c r="N36" s="26">
        <f t="shared" si="27"/>
        <v>0</v>
      </c>
      <c r="O36" s="26">
        <f t="shared" si="27"/>
        <v>26180</v>
      </c>
      <c r="P36" s="41">
        <f>SUM(D36:O36)</f>
        <v>192393.94</v>
      </c>
      <c r="Q36" s="60"/>
      <c r="R36" s="153"/>
      <c r="T36" s="60"/>
    </row>
    <row r="37" spans="1:20" ht="15.75" customHeight="1" x14ac:dyDescent="0.25">
      <c r="A37" s="42" t="s">
        <v>53</v>
      </c>
      <c r="B37" s="34" t="s">
        <v>57</v>
      </c>
      <c r="C37" s="35"/>
      <c r="D37" s="45">
        <v>4.25</v>
      </c>
      <c r="E37" s="45">
        <v>4.43</v>
      </c>
      <c r="F37" s="45">
        <v>4.43</v>
      </c>
      <c r="G37" s="45"/>
      <c r="H37" s="45">
        <v>4.25</v>
      </c>
      <c r="I37" s="45">
        <v>4.25</v>
      </c>
      <c r="J37" s="45">
        <v>4.25</v>
      </c>
      <c r="K37" s="45">
        <v>4.25</v>
      </c>
      <c r="L37" s="45">
        <v>4.58</v>
      </c>
      <c r="M37" s="45"/>
      <c r="N37" s="45"/>
      <c r="O37" s="45">
        <v>4.25</v>
      </c>
      <c r="P37" s="55">
        <f>ROUND(IF(P$32=0,0,P36/P$32),3)</f>
        <v>4.2859999999999996</v>
      </c>
      <c r="Q37" s="63">
        <v>3.3</v>
      </c>
      <c r="R37" s="153"/>
      <c r="T37" s="63"/>
    </row>
    <row r="38" spans="1:20" ht="15.75" customHeight="1" x14ac:dyDescent="0.25">
      <c r="A38" s="40" t="s">
        <v>58</v>
      </c>
      <c r="B38" s="34" t="s">
        <v>56</v>
      </c>
      <c r="C38" s="35"/>
      <c r="D38" s="41">
        <f t="shared" ref="D38:O38" si="28">ROUND(D39*D$32,2)</f>
        <v>33325.599999999999</v>
      </c>
      <c r="E38" s="41">
        <f t="shared" si="28"/>
        <v>17371.2</v>
      </c>
      <c r="F38" s="41">
        <f t="shared" si="28"/>
        <v>17371.2</v>
      </c>
      <c r="G38" s="41">
        <f t="shared" si="28"/>
        <v>0</v>
      </c>
      <c r="H38" s="41">
        <f t="shared" si="28"/>
        <v>33738</v>
      </c>
      <c r="I38" s="41">
        <f t="shared" si="28"/>
        <v>33738</v>
      </c>
      <c r="J38" s="41">
        <f t="shared" si="28"/>
        <v>33738</v>
      </c>
      <c r="K38" s="41">
        <f t="shared" si="28"/>
        <v>33325.599999999999</v>
      </c>
      <c r="L38" s="41">
        <f t="shared" si="28"/>
        <v>8932</v>
      </c>
      <c r="M38" s="41">
        <f t="shared" si="28"/>
        <v>0</v>
      </c>
      <c r="N38" s="41">
        <f t="shared" si="28"/>
        <v>0</v>
      </c>
      <c r="O38" s="41">
        <f t="shared" si="28"/>
        <v>33325.599999999999</v>
      </c>
      <c r="P38" s="41">
        <f>SUM(D38:O38)</f>
        <v>244865.2</v>
      </c>
      <c r="Q38" s="60"/>
      <c r="R38" s="153"/>
      <c r="T38" s="60"/>
    </row>
    <row r="39" spans="1:20" ht="15.75" customHeight="1" x14ac:dyDescent="0.25">
      <c r="A39" s="42" t="s">
        <v>53</v>
      </c>
      <c r="B39" s="34" t="s">
        <v>57</v>
      </c>
      <c r="C39" s="35"/>
      <c r="D39" s="45">
        <v>5.41</v>
      </c>
      <c r="E39" s="45">
        <v>5.64</v>
      </c>
      <c r="F39" s="45">
        <v>5.64</v>
      </c>
      <c r="G39" s="45"/>
      <c r="H39" s="45">
        <v>5.41</v>
      </c>
      <c r="I39" s="45">
        <v>5.41</v>
      </c>
      <c r="J39" s="45">
        <v>5.41</v>
      </c>
      <c r="K39" s="45">
        <v>5.41</v>
      </c>
      <c r="L39" s="45">
        <v>5.8</v>
      </c>
      <c r="M39" s="45"/>
      <c r="N39" s="45"/>
      <c r="O39" s="45">
        <v>5.41</v>
      </c>
      <c r="P39" s="55">
        <f>ROUND(IF(P$32=0,0,P38/P$32),3)</f>
        <v>5.4550000000000001</v>
      </c>
      <c r="Q39" s="63">
        <v>4.2</v>
      </c>
      <c r="R39" s="153"/>
      <c r="T39" s="63"/>
    </row>
    <row r="40" spans="1:20" ht="15.75" customHeight="1" x14ac:dyDescent="0.25">
      <c r="A40" s="40" t="s">
        <v>59</v>
      </c>
      <c r="B40" s="34" t="s">
        <v>56</v>
      </c>
      <c r="C40" s="35"/>
      <c r="D40" s="41">
        <f t="shared" ref="D40:O40" si="29">ROUND(D41*D$32,2)</f>
        <v>2402.4</v>
      </c>
      <c r="E40" s="41">
        <f t="shared" si="29"/>
        <v>1232</v>
      </c>
      <c r="F40" s="41">
        <f t="shared" si="29"/>
        <v>1232</v>
      </c>
      <c r="G40" s="41">
        <f t="shared" si="29"/>
        <v>0</v>
      </c>
      <c r="H40" s="41">
        <f t="shared" si="29"/>
        <v>2432.13</v>
      </c>
      <c r="I40" s="41">
        <f t="shared" si="29"/>
        <v>2432.13</v>
      </c>
      <c r="J40" s="41">
        <f t="shared" si="29"/>
        <v>2432.13</v>
      </c>
      <c r="K40" s="41">
        <f t="shared" si="29"/>
        <v>2402.4</v>
      </c>
      <c r="L40" s="41">
        <f t="shared" si="29"/>
        <v>646.79999999999995</v>
      </c>
      <c r="M40" s="41">
        <f t="shared" si="29"/>
        <v>0</v>
      </c>
      <c r="N40" s="41">
        <f t="shared" si="29"/>
        <v>0</v>
      </c>
      <c r="O40" s="41">
        <f t="shared" si="29"/>
        <v>2340.8000000000002</v>
      </c>
      <c r="P40" s="41">
        <f>SUM(D40:O40)</f>
        <v>17552.79</v>
      </c>
      <c r="Q40" s="60"/>
      <c r="R40" s="153"/>
      <c r="T40" s="60"/>
    </row>
    <row r="41" spans="1:20" ht="15.75" customHeight="1" x14ac:dyDescent="0.25">
      <c r="A41" s="42" t="s">
        <v>53</v>
      </c>
      <c r="B41" s="34" t="s">
        <v>57</v>
      </c>
      <c r="C41" s="35"/>
      <c r="D41" s="45">
        <v>0.39</v>
      </c>
      <c r="E41" s="45">
        <v>0.4</v>
      </c>
      <c r="F41" s="45">
        <v>0.4</v>
      </c>
      <c r="G41" s="45"/>
      <c r="H41" s="45">
        <v>0.39</v>
      </c>
      <c r="I41" s="45">
        <v>0.39</v>
      </c>
      <c r="J41" s="45">
        <v>0.39</v>
      </c>
      <c r="K41" s="45">
        <v>0.39</v>
      </c>
      <c r="L41" s="45">
        <v>0.42</v>
      </c>
      <c r="M41" s="45"/>
      <c r="N41" s="45"/>
      <c r="O41" s="45">
        <v>0.38</v>
      </c>
      <c r="P41" s="55">
        <f>ROUND(IF(P$32=0,0,P40/P$32),3)</f>
        <v>0.39100000000000001</v>
      </c>
      <c r="Q41" s="63">
        <f>P41*0.77</f>
        <v>0.30107</v>
      </c>
      <c r="R41" s="153"/>
      <c r="T41" s="63"/>
    </row>
    <row r="42" spans="1:20" ht="15.75" customHeight="1" x14ac:dyDescent="0.25">
      <c r="A42" s="40" t="s">
        <v>60</v>
      </c>
      <c r="B42" s="34" t="s">
        <v>56</v>
      </c>
      <c r="C42" s="35"/>
      <c r="D42" s="41">
        <f t="shared" ref="D42:O42" si="30">ROUND(D43*D$32,2)</f>
        <v>1521.52</v>
      </c>
      <c r="E42" s="41">
        <f t="shared" si="30"/>
        <v>760.76</v>
      </c>
      <c r="F42" s="41">
        <f t="shared" si="30"/>
        <v>760.76</v>
      </c>
      <c r="G42" s="41">
        <f t="shared" si="30"/>
        <v>0</v>
      </c>
      <c r="H42" s="41">
        <f t="shared" si="30"/>
        <v>1540.35</v>
      </c>
      <c r="I42" s="41">
        <f t="shared" si="30"/>
        <v>1540.35</v>
      </c>
      <c r="J42" s="41">
        <f t="shared" si="30"/>
        <v>1540.35</v>
      </c>
      <c r="K42" s="41">
        <f t="shared" si="30"/>
        <v>1521.52</v>
      </c>
      <c r="L42" s="41">
        <f t="shared" si="30"/>
        <v>380.38</v>
      </c>
      <c r="M42" s="41">
        <f t="shared" si="30"/>
        <v>0</v>
      </c>
      <c r="N42" s="41">
        <f t="shared" si="30"/>
        <v>0</v>
      </c>
      <c r="O42" s="41">
        <f t="shared" si="30"/>
        <v>1521.52</v>
      </c>
      <c r="P42" s="41">
        <f>SUM(D42:O42)</f>
        <v>11087.51</v>
      </c>
      <c r="Q42" s="60"/>
      <c r="R42" s="153"/>
      <c r="T42" s="60"/>
    </row>
    <row r="43" spans="1:20" ht="15.75" customHeight="1" x14ac:dyDescent="0.25">
      <c r="A43" s="42" t="s">
        <v>53</v>
      </c>
      <c r="B43" s="34" t="s">
        <v>57</v>
      </c>
      <c r="C43" s="35"/>
      <c r="D43" s="45">
        <v>0.247</v>
      </c>
      <c r="E43" s="45">
        <v>0.247</v>
      </c>
      <c r="F43" s="45">
        <v>0.247</v>
      </c>
      <c r="G43" s="45"/>
      <c r="H43" s="45">
        <v>0.247</v>
      </c>
      <c r="I43" s="45">
        <v>0.247</v>
      </c>
      <c r="J43" s="45">
        <v>0.247</v>
      </c>
      <c r="K43" s="45">
        <v>0.247</v>
      </c>
      <c r="L43" s="45">
        <v>0.247</v>
      </c>
      <c r="M43" s="45"/>
      <c r="N43" s="45"/>
      <c r="O43" s="45">
        <v>0.247</v>
      </c>
      <c r="P43" s="55">
        <f>ROUND(IF(P$32=0,0,P42/P$32),3)</f>
        <v>0.247</v>
      </c>
      <c r="Q43" s="63">
        <f>P43*0.77</f>
        <v>0.19019</v>
      </c>
      <c r="R43" s="153"/>
      <c r="T43" s="63"/>
    </row>
    <row r="44" spans="1:20" ht="15.75" customHeight="1" x14ac:dyDescent="0.25">
      <c r="A44" s="44" t="s">
        <v>61</v>
      </c>
      <c r="B44" s="34" t="s">
        <v>56</v>
      </c>
      <c r="C44" s="35"/>
      <c r="D44" s="41">
        <f t="shared" ref="D44:O44" si="31">ROUND(D45*D$32,2)</f>
        <v>757.68</v>
      </c>
      <c r="E44" s="41">
        <f t="shared" si="31"/>
        <v>378.84</v>
      </c>
      <c r="F44" s="41">
        <f t="shared" si="31"/>
        <v>378.84</v>
      </c>
      <c r="G44" s="41">
        <f t="shared" si="31"/>
        <v>0</v>
      </c>
      <c r="H44" s="41">
        <f t="shared" si="31"/>
        <v>767.06</v>
      </c>
      <c r="I44" s="41">
        <f t="shared" si="31"/>
        <v>767.06</v>
      </c>
      <c r="J44" s="41">
        <f t="shared" si="31"/>
        <v>767.06</v>
      </c>
      <c r="K44" s="41">
        <f t="shared" si="31"/>
        <v>757.68</v>
      </c>
      <c r="L44" s="41">
        <f t="shared" si="31"/>
        <v>189.42</v>
      </c>
      <c r="M44" s="41">
        <f t="shared" si="31"/>
        <v>0</v>
      </c>
      <c r="N44" s="41">
        <f t="shared" si="31"/>
        <v>0</v>
      </c>
      <c r="O44" s="41">
        <f t="shared" si="31"/>
        <v>757.68</v>
      </c>
      <c r="P44" s="41">
        <f>SUM(D44:O44)</f>
        <v>5521.32</v>
      </c>
      <c r="Q44" s="60"/>
      <c r="R44" s="153"/>
      <c r="T44" s="60"/>
    </row>
    <row r="45" spans="1:20" ht="15.75" customHeight="1" x14ac:dyDescent="0.25">
      <c r="A45" s="42" t="s">
        <v>53</v>
      </c>
      <c r="B45" s="34" t="s">
        <v>57</v>
      </c>
      <c r="C45" s="35"/>
      <c r="D45" s="45">
        <v>0.123</v>
      </c>
      <c r="E45" s="45">
        <v>0.123</v>
      </c>
      <c r="F45" s="45">
        <v>0.123</v>
      </c>
      <c r="G45" s="45"/>
      <c r="H45" s="45">
        <v>0.123</v>
      </c>
      <c r="I45" s="45">
        <v>0.123</v>
      </c>
      <c r="J45" s="45">
        <v>0.123</v>
      </c>
      <c r="K45" s="45">
        <v>0.123</v>
      </c>
      <c r="L45" s="45">
        <v>0.123</v>
      </c>
      <c r="M45" s="45"/>
      <c r="N45" s="45"/>
      <c r="O45" s="45">
        <v>0.123</v>
      </c>
      <c r="P45" s="55">
        <f>ROUND(IF(P$32=0,0,P44/P$32),3)</f>
        <v>0.123</v>
      </c>
      <c r="Q45" s="61">
        <v>9.5000000000000001E-2</v>
      </c>
      <c r="R45" s="153"/>
      <c r="T45" s="63"/>
    </row>
    <row r="46" spans="1:20" ht="15.75" customHeight="1" x14ac:dyDescent="0.25">
      <c r="A46" s="40" t="s">
        <v>62</v>
      </c>
      <c r="B46" s="34" t="s">
        <v>56</v>
      </c>
      <c r="C46" s="35"/>
      <c r="D46" s="41">
        <f t="shared" ref="D46:O46" si="32">ROUND(D47*D$32,2)</f>
        <v>1601.6</v>
      </c>
      <c r="E46" s="41">
        <f t="shared" si="32"/>
        <v>800.8</v>
      </c>
      <c r="F46" s="41">
        <f t="shared" si="32"/>
        <v>800.8</v>
      </c>
      <c r="G46" s="41">
        <f t="shared" si="32"/>
        <v>0</v>
      </c>
      <c r="H46" s="41">
        <f t="shared" si="32"/>
        <v>1621.42</v>
      </c>
      <c r="I46" s="41">
        <f t="shared" si="32"/>
        <v>1621.42</v>
      </c>
      <c r="J46" s="41">
        <f t="shared" si="32"/>
        <v>1621.42</v>
      </c>
      <c r="K46" s="41">
        <f t="shared" si="32"/>
        <v>1601.6</v>
      </c>
      <c r="L46" s="41">
        <f t="shared" si="32"/>
        <v>400.4</v>
      </c>
      <c r="M46" s="41">
        <f t="shared" si="32"/>
        <v>0</v>
      </c>
      <c r="N46" s="41">
        <f t="shared" si="32"/>
        <v>0</v>
      </c>
      <c r="O46" s="41">
        <f t="shared" si="32"/>
        <v>1601.6</v>
      </c>
      <c r="P46" s="41">
        <f>SUM(D46:O46)</f>
        <v>11671.06</v>
      </c>
      <c r="Q46" s="60"/>
      <c r="R46" s="153"/>
      <c r="T46" s="60"/>
    </row>
    <row r="47" spans="1:20" ht="15.75" customHeight="1" x14ac:dyDescent="0.25">
      <c r="A47" s="42" t="s">
        <v>53</v>
      </c>
      <c r="B47" s="34" t="s">
        <v>57</v>
      </c>
      <c r="C47" s="35"/>
      <c r="D47" s="45">
        <v>0.26</v>
      </c>
      <c r="E47" s="45">
        <v>0.26</v>
      </c>
      <c r="F47" s="45">
        <v>0.26</v>
      </c>
      <c r="G47" s="45"/>
      <c r="H47" s="45">
        <v>0.26</v>
      </c>
      <c r="I47" s="45">
        <v>0.26</v>
      </c>
      <c r="J47" s="45">
        <v>0.26</v>
      </c>
      <c r="K47" s="45">
        <v>0.26</v>
      </c>
      <c r="L47" s="45">
        <v>0.26</v>
      </c>
      <c r="M47" s="45"/>
      <c r="N47" s="45"/>
      <c r="O47" s="45">
        <v>0.26</v>
      </c>
      <c r="P47" s="55">
        <f>ROUND(IF(P$32=0,0,P46/P$32),3)</f>
        <v>0.26</v>
      </c>
      <c r="Q47" s="63">
        <v>0.2</v>
      </c>
      <c r="R47" s="153"/>
      <c r="T47" s="63"/>
    </row>
    <row r="48" spans="1:20" ht="15.75" customHeight="1" x14ac:dyDescent="0.25">
      <c r="A48" s="40" t="s">
        <v>63</v>
      </c>
      <c r="B48" s="34" t="s">
        <v>56</v>
      </c>
      <c r="C48" s="35"/>
      <c r="D48" s="41">
        <f t="shared" ref="D48:O48" si="33">ROUND(D49*D$32,2)</f>
        <v>640.64</v>
      </c>
      <c r="E48" s="41">
        <f t="shared" si="33"/>
        <v>320.32</v>
      </c>
      <c r="F48" s="41">
        <f t="shared" si="33"/>
        <v>320.32</v>
      </c>
      <c r="G48" s="41">
        <f t="shared" si="33"/>
        <v>0</v>
      </c>
      <c r="H48" s="41">
        <f t="shared" si="33"/>
        <v>648.57000000000005</v>
      </c>
      <c r="I48" s="41">
        <f t="shared" si="33"/>
        <v>648.57000000000005</v>
      </c>
      <c r="J48" s="41">
        <f t="shared" si="33"/>
        <v>648.57000000000005</v>
      </c>
      <c r="K48" s="41">
        <f t="shared" si="33"/>
        <v>640.64</v>
      </c>
      <c r="L48" s="41">
        <f t="shared" si="33"/>
        <v>160.16</v>
      </c>
      <c r="M48" s="41">
        <f t="shared" si="33"/>
        <v>0</v>
      </c>
      <c r="N48" s="41">
        <f t="shared" si="33"/>
        <v>0</v>
      </c>
      <c r="O48" s="41">
        <f t="shared" si="33"/>
        <v>640.64</v>
      </c>
      <c r="P48" s="41">
        <f>SUM(D48:O48)</f>
        <v>4668.43</v>
      </c>
      <c r="Q48" s="60"/>
      <c r="R48" s="153"/>
      <c r="T48" s="60"/>
    </row>
    <row r="49" spans="1:20" ht="15.75" customHeight="1" x14ac:dyDescent="0.25">
      <c r="A49" s="42" t="s">
        <v>53</v>
      </c>
      <c r="B49" s="34" t="s">
        <v>57</v>
      </c>
      <c r="C49" s="35"/>
      <c r="D49" s="45">
        <v>0.104</v>
      </c>
      <c r="E49" s="45">
        <v>0.104</v>
      </c>
      <c r="F49" s="45">
        <v>0.104</v>
      </c>
      <c r="G49" s="45"/>
      <c r="H49" s="45">
        <v>0.104</v>
      </c>
      <c r="I49" s="45">
        <v>0.104</v>
      </c>
      <c r="J49" s="45">
        <v>0.104</v>
      </c>
      <c r="K49" s="45">
        <v>0.104</v>
      </c>
      <c r="L49" s="45">
        <v>0.104</v>
      </c>
      <c r="M49" s="45"/>
      <c r="N49" s="45"/>
      <c r="O49" s="45">
        <v>0.104</v>
      </c>
      <c r="P49" s="55">
        <f>ROUND(IF(P$32=0,0,P48/P$32),3)</f>
        <v>0.104</v>
      </c>
      <c r="Q49" s="63">
        <f>P49*0.77</f>
        <v>8.0079999999999998E-2</v>
      </c>
      <c r="R49" s="153"/>
      <c r="T49" s="63"/>
    </row>
    <row r="50" spans="1:20" ht="15.75" customHeight="1" x14ac:dyDescent="0.25">
      <c r="A50" s="40" t="s">
        <v>64</v>
      </c>
      <c r="B50" s="34" t="s">
        <v>56</v>
      </c>
      <c r="C50" s="35"/>
      <c r="D50" s="41">
        <f t="shared" ref="D50:O50" si="34">ROUND(D51*D$32,2)</f>
        <v>1971.2</v>
      </c>
      <c r="E50" s="41">
        <f t="shared" si="34"/>
        <v>1047.2</v>
      </c>
      <c r="F50" s="41">
        <f t="shared" si="34"/>
        <v>1047.2</v>
      </c>
      <c r="G50" s="41">
        <f t="shared" si="34"/>
        <v>0</v>
      </c>
      <c r="H50" s="41">
        <f t="shared" si="34"/>
        <v>1995.59</v>
      </c>
      <c r="I50" s="41">
        <f t="shared" si="34"/>
        <v>1995.59</v>
      </c>
      <c r="J50" s="41">
        <f t="shared" si="34"/>
        <v>1995.59</v>
      </c>
      <c r="K50" s="41">
        <f t="shared" si="34"/>
        <v>1971.2</v>
      </c>
      <c r="L50" s="41">
        <f t="shared" si="34"/>
        <v>539</v>
      </c>
      <c r="M50" s="41">
        <f t="shared" si="34"/>
        <v>0</v>
      </c>
      <c r="N50" s="41">
        <f t="shared" si="34"/>
        <v>0</v>
      </c>
      <c r="O50" s="41">
        <f t="shared" si="34"/>
        <v>1971.2</v>
      </c>
      <c r="P50" s="41">
        <f>SUM(D50:O50)</f>
        <v>14533.77</v>
      </c>
      <c r="Q50" s="60"/>
      <c r="R50" s="153"/>
      <c r="T50" s="60"/>
    </row>
    <row r="51" spans="1:20" ht="15.75" customHeight="1" x14ac:dyDescent="0.25">
      <c r="A51" s="42" t="s">
        <v>53</v>
      </c>
      <c r="B51" s="34" t="s">
        <v>57</v>
      </c>
      <c r="C51" s="35"/>
      <c r="D51" s="45">
        <v>0.32</v>
      </c>
      <c r="E51" s="45">
        <v>0.34</v>
      </c>
      <c r="F51" s="45">
        <v>0.34</v>
      </c>
      <c r="G51" s="45"/>
      <c r="H51" s="45">
        <v>0.32</v>
      </c>
      <c r="I51" s="45">
        <v>0.32</v>
      </c>
      <c r="J51" s="45">
        <v>0.32</v>
      </c>
      <c r="K51" s="45">
        <v>0.32</v>
      </c>
      <c r="L51" s="45">
        <v>0.35</v>
      </c>
      <c r="M51" s="45"/>
      <c r="N51" s="45"/>
      <c r="O51" s="45">
        <v>0.32</v>
      </c>
      <c r="P51" s="55">
        <f>ROUND(IF(P$32=0,0,P50/P$32),3)</f>
        <v>0.32400000000000001</v>
      </c>
      <c r="Q51" s="63">
        <f>P51*0.77</f>
        <v>0.24948000000000001</v>
      </c>
      <c r="R51" s="153"/>
      <c r="T51" s="63"/>
    </row>
    <row r="52" spans="1:20" ht="15.75" customHeight="1" x14ac:dyDescent="0.25">
      <c r="A52" s="40" t="s">
        <v>65</v>
      </c>
      <c r="B52" s="34" t="s">
        <v>56</v>
      </c>
      <c r="C52" s="35"/>
      <c r="D52" s="41">
        <f t="shared" ref="D52:O52" si="35">ROUND(D53*D$32,2)</f>
        <v>1971.2</v>
      </c>
      <c r="E52" s="41">
        <f t="shared" si="35"/>
        <v>1047.2</v>
      </c>
      <c r="F52" s="41">
        <f t="shared" si="35"/>
        <v>1047.2</v>
      </c>
      <c r="G52" s="41">
        <f t="shared" si="35"/>
        <v>0</v>
      </c>
      <c r="H52" s="41">
        <f t="shared" si="35"/>
        <v>1995.59</v>
      </c>
      <c r="I52" s="41">
        <f t="shared" si="35"/>
        <v>1995.59</v>
      </c>
      <c r="J52" s="41">
        <f t="shared" si="35"/>
        <v>1995.59</v>
      </c>
      <c r="K52" s="41">
        <f t="shared" si="35"/>
        <v>1971.2</v>
      </c>
      <c r="L52" s="41">
        <f t="shared" si="35"/>
        <v>539</v>
      </c>
      <c r="M52" s="41">
        <f t="shared" si="35"/>
        <v>0</v>
      </c>
      <c r="N52" s="41">
        <f t="shared" si="35"/>
        <v>0</v>
      </c>
      <c r="O52" s="41">
        <f t="shared" si="35"/>
        <v>1971.2</v>
      </c>
      <c r="P52" s="41">
        <f>SUM(D52:O52)</f>
        <v>14533.77</v>
      </c>
      <c r="Q52" s="60"/>
      <c r="R52" s="153"/>
      <c r="T52" s="60"/>
    </row>
    <row r="53" spans="1:20" ht="15.75" customHeight="1" x14ac:dyDescent="0.25">
      <c r="A53" s="42" t="s">
        <v>53</v>
      </c>
      <c r="B53" s="34" t="s">
        <v>57</v>
      </c>
      <c r="C53" s="35"/>
      <c r="D53" s="45">
        <v>0.32</v>
      </c>
      <c r="E53" s="45">
        <v>0.34</v>
      </c>
      <c r="F53" s="45">
        <v>0.34</v>
      </c>
      <c r="G53" s="45"/>
      <c r="H53" s="45">
        <v>0.32</v>
      </c>
      <c r="I53" s="45">
        <v>0.32</v>
      </c>
      <c r="J53" s="45">
        <v>0.32</v>
      </c>
      <c r="K53" s="45">
        <v>0.32</v>
      </c>
      <c r="L53" s="45">
        <v>0.35</v>
      </c>
      <c r="M53" s="45"/>
      <c r="N53" s="45"/>
      <c r="O53" s="45">
        <v>0.32</v>
      </c>
      <c r="P53" s="55">
        <f>ROUND(IF(P$32=0,0,P52/P$32),3)</f>
        <v>0.32400000000000001</v>
      </c>
      <c r="Q53" s="63">
        <f>P53*0.77</f>
        <v>0.24948000000000001</v>
      </c>
      <c r="R53" s="153"/>
      <c r="T53" s="63"/>
    </row>
    <row r="54" spans="1:20" s="7" customFormat="1" ht="15.75" customHeight="1" x14ac:dyDescent="0.25">
      <c r="A54" s="18" t="s">
        <v>66</v>
      </c>
      <c r="B54" s="19"/>
      <c r="C54" s="20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60"/>
      <c r="R54" s="153"/>
      <c r="S54" s="59"/>
    </row>
    <row r="55" spans="1:20" ht="15.75" customHeight="1" x14ac:dyDescent="0.25">
      <c r="A55" s="40" t="s">
        <v>67</v>
      </c>
      <c r="B55" s="34" t="s">
        <v>37</v>
      </c>
      <c r="C55" s="35"/>
      <c r="D55" s="41">
        <f>ROUND(D56*D$32,0)</f>
        <v>21930</v>
      </c>
      <c r="E55" s="41">
        <f t="shared" ref="E55:O55" si="36">ROUND(E56*E$32,0)</f>
        <v>11427</v>
      </c>
      <c r="F55" s="41">
        <f t="shared" si="36"/>
        <v>11427</v>
      </c>
      <c r="G55" s="41">
        <f t="shared" si="36"/>
        <v>0</v>
      </c>
      <c r="H55" s="41">
        <f t="shared" si="36"/>
        <v>22201</v>
      </c>
      <c r="I55" s="41">
        <f t="shared" si="36"/>
        <v>22201</v>
      </c>
      <c r="J55" s="41">
        <f t="shared" si="36"/>
        <v>22201</v>
      </c>
      <c r="K55" s="41">
        <f t="shared" si="36"/>
        <v>21930</v>
      </c>
      <c r="L55" s="41">
        <f t="shared" si="36"/>
        <v>5898</v>
      </c>
      <c r="M55" s="41">
        <f t="shared" si="36"/>
        <v>0</v>
      </c>
      <c r="N55" s="41">
        <f t="shared" si="36"/>
        <v>0</v>
      </c>
      <c r="O55" s="41">
        <f t="shared" si="36"/>
        <v>21930</v>
      </c>
      <c r="P55" s="41">
        <f>SUM(D55:O55)</f>
        <v>161145</v>
      </c>
      <c r="Q55" s="60"/>
      <c r="R55" s="153"/>
    </row>
    <row r="56" spans="1:20" ht="15.75" customHeight="1" x14ac:dyDescent="0.25">
      <c r="A56" s="42" t="s">
        <v>53</v>
      </c>
      <c r="B56" s="34" t="s">
        <v>54</v>
      </c>
      <c r="C56" s="45"/>
      <c r="D56" s="45">
        <v>3.56</v>
      </c>
      <c r="E56" s="45">
        <v>3.71</v>
      </c>
      <c r="F56" s="45">
        <v>3.71</v>
      </c>
      <c r="G56" s="45"/>
      <c r="H56" s="45">
        <v>3.56</v>
      </c>
      <c r="I56" s="45">
        <v>3.56</v>
      </c>
      <c r="J56" s="45">
        <v>3.56</v>
      </c>
      <c r="K56" s="45">
        <v>3.56</v>
      </c>
      <c r="L56" s="45">
        <v>3.83</v>
      </c>
      <c r="M56" s="45"/>
      <c r="N56" s="45"/>
      <c r="O56" s="45">
        <v>3.56</v>
      </c>
      <c r="P56" s="55">
        <f>ROUND(IF(P$32=0,0,P55/P$32),3)</f>
        <v>3.59</v>
      </c>
      <c r="Q56" s="63">
        <v>2.76</v>
      </c>
      <c r="R56" s="153"/>
    </row>
    <row r="57" spans="1:20" ht="15.75" customHeight="1" x14ac:dyDescent="0.25">
      <c r="A57" s="40" t="s">
        <v>68</v>
      </c>
      <c r="B57" s="34" t="s">
        <v>69</v>
      </c>
      <c r="C57" s="35"/>
      <c r="D57" s="41">
        <f>ROUND(D58*D$32,0)/10000</f>
        <v>62.832000000000001</v>
      </c>
      <c r="E57" s="41">
        <f t="shared" ref="E57:O57" si="37">ROUND(E58*E$32,0)/10000</f>
        <v>32.648000000000003</v>
      </c>
      <c r="F57" s="41">
        <f t="shared" si="37"/>
        <v>32.648000000000003</v>
      </c>
      <c r="G57" s="41">
        <f t="shared" si="37"/>
        <v>0</v>
      </c>
      <c r="H57" s="41">
        <f t="shared" si="37"/>
        <v>63.609499999999997</v>
      </c>
      <c r="I57" s="41">
        <f t="shared" si="37"/>
        <v>63.609499999999997</v>
      </c>
      <c r="J57" s="41">
        <f t="shared" si="37"/>
        <v>63.609499999999997</v>
      </c>
      <c r="K57" s="41">
        <f t="shared" si="37"/>
        <v>62.832000000000001</v>
      </c>
      <c r="L57" s="41">
        <f t="shared" si="37"/>
        <v>16.324000000000002</v>
      </c>
      <c r="M57" s="41">
        <f t="shared" si="37"/>
        <v>0</v>
      </c>
      <c r="N57" s="41">
        <f t="shared" si="37"/>
        <v>0</v>
      </c>
      <c r="O57" s="41">
        <f t="shared" si="37"/>
        <v>62.832000000000001</v>
      </c>
      <c r="P57" s="41">
        <f>SUM(D57:O57)</f>
        <v>460.94450000000001</v>
      </c>
      <c r="Q57" s="60"/>
      <c r="R57" s="153"/>
    </row>
    <row r="58" spans="1:20" ht="15.75" customHeight="1" x14ac:dyDescent="0.25">
      <c r="A58" s="42" t="s">
        <v>53</v>
      </c>
      <c r="B58" s="34" t="s">
        <v>70</v>
      </c>
      <c r="C58" s="35"/>
      <c r="D58" s="45">
        <v>102</v>
      </c>
      <c r="E58" s="45">
        <v>106</v>
      </c>
      <c r="F58" s="45">
        <v>106</v>
      </c>
      <c r="G58" s="45"/>
      <c r="H58" s="45">
        <v>102</v>
      </c>
      <c r="I58" s="45">
        <v>102</v>
      </c>
      <c r="J58" s="45">
        <v>102</v>
      </c>
      <c r="K58" s="45">
        <v>102</v>
      </c>
      <c r="L58" s="45">
        <v>106</v>
      </c>
      <c r="M58" s="45"/>
      <c r="N58" s="45"/>
      <c r="O58" s="45">
        <v>102</v>
      </c>
      <c r="P58" s="56">
        <f>ROUND(IF(P$32=0,0,P57/P$32*10000),3)</f>
        <v>102.68600000000001</v>
      </c>
      <c r="Q58" s="63">
        <v>79</v>
      </c>
      <c r="R58" s="153"/>
    </row>
    <row r="59" spans="1:20" ht="15" customHeight="1" x14ac:dyDescent="0.25">
      <c r="A59" s="40" t="s">
        <v>71</v>
      </c>
      <c r="B59" s="34" t="s">
        <v>37</v>
      </c>
      <c r="C59" s="35"/>
      <c r="D59" s="41">
        <f>ROUND(D60*D$32,0)</f>
        <v>2156</v>
      </c>
      <c r="E59" s="41">
        <f t="shared" ref="E59:O59" si="38">ROUND(E60*E$32,0)</f>
        <v>1109</v>
      </c>
      <c r="F59" s="41">
        <f t="shared" si="38"/>
        <v>1109</v>
      </c>
      <c r="G59" s="41">
        <f t="shared" si="38"/>
        <v>0</v>
      </c>
      <c r="H59" s="41">
        <f t="shared" si="38"/>
        <v>2158</v>
      </c>
      <c r="I59" s="41">
        <f t="shared" si="38"/>
        <v>2158</v>
      </c>
      <c r="J59" s="41">
        <f t="shared" ref="J59:L59" si="39">ROUND(J60*J$32,0)</f>
        <v>2158</v>
      </c>
      <c r="K59" s="41">
        <f t="shared" si="39"/>
        <v>2131</v>
      </c>
      <c r="L59" s="41">
        <f t="shared" si="39"/>
        <v>585</v>
      </c>
      <c r="M59" s="41">
        <f t="shared" si="38"/>
        <v>0</v>
      </c>
      <c r="N59" s="41">
        <f t="shared" si="38"/>
        <v>0</v>
      </c>
      <c r="O59" s="41">
        <f t="shared" si="38"/>
        <v>2156</v>
      </c>
      <c r="P59" s="41">
        <f>SUM(D59:O59)</f>
        <v>15720</v>
      </c>
      <c r="Q59" s="60"/>
      <c r="R59" s="153"/>
    </row>
    <row r="60" spans="1:20" ht="15.75" customHeight="1" x14ac:dyDescent="0.25">
      <c r="A60" s="42" t="s">
        <v>53</v>
      </c>
      <c r="B60" s="34" t="s">
        <v>54</v>
      </c>
      <c r="C60" s="35"/>
      <c r="D60" s="45">
        <v>0.35</v>
      </c>
      <c r="E60" s="45">
        <v>0.36</v>
      </c>
      <c r="F60" s="45">
        <v>0.36</v>
      </c>
      <c r="G60" s="45"/>
      <c r="H60" s="45">
        <v>0.34599999999999997</v>
      </c>
      <c r="I60" s="45">
        <v>0.34599999999999997</v>
      </c>
      <c r="J60" s="45">
        <v>0.34599999999999997</v>
      </c>
      <c r="K60" s="45">
        <v>0.34599999999999997</v>
      </c>
      <c r="L60" s="45">
        <v>0.38</v>
      </c>
      <c r="M60" s="45"/>
      <c r="N60" s="45"/>
      <c r="O60" s="45">
        <v>0.35</v>
      </c>
      <c r="P60" s="55">
        <f>ROUND(IF(P$32=0,0,P59/P$32),3)</f>
        <v>0.35</v>
      </c>
      <c r="Q60" s="63">
        <v>0.27</v>
      </c>
      <c r="R60" s="153"/>
    </row>
    <row r="61" spans="1:20" ht="15.75" customHeight="1" x14ac:dyDescent="0.25">
      <c r="A61" s="40" t="s">
        <v>72</v>
      </c>
      <c r="B61" s="46" t="s">
        <v>73</v>
      </c>
      <c r="C61" s="35"/>
      <c r="D61" s="41">
        <f t="shared" ref="D61:O61" si="40">ROUND(D62*D$32,0)</f>
        <v>4805</v>
      </c>
      <c r="E61" s="41">
        <f t="shared" si="40"/>
        <v>2433</v>
      </c>
      <c r="F61" s="41">
        <f t="shared" si="40"/>
        <v>2433</v>
      </c>
      <c r="G61" s="41">
        <f t="shared" si="40"/>
        <v>0</v>
      </c>
      <c r="H61" s="41">
        <f t="shared" si="40"/>
        <v>4864</v>
      </c>
      <c r="I61" s="41">
        <f t="shared" si="40"/>
        <v>4864</v>
      </c>
      <c r="J61" s="41">
        <f t="shared" si="40"/>
        <v>4864</v>
      </c>
      <c r="K61" s="41">
        <f t="shared" si="40"/>
        <v>4805</v>
      </c>
      <c r="L61" s="41">
        <f t="shared" si="40"/>
        <v>1217</v>
      </c>
      <c r="M61" s="41">
        <f t="shared" si="40"/>
        <v>0</v>
      </c>
      <c r="N61" s="41">
        <f t="shared" si="40"/>
        <v>0</v>
      </c>
      <c r="O61" s="41">
        <f t="shared" si="40"/>
        <v>4805</v>
      </c>
      <c r="P61" s="41">
        <f>SUM(D61:O61)</f>
        <v>35090</v>
      </c>
      <c r="Q61" s="60"/>
      <c r="R61" s="153"/>
    </row>
    <row r="62" spans="1:20" ht="15.75" customHeight="1" x14ac:dyDescent="0.25">
      <c r="A62" s="42" t="s">
        <v>53</v>
      </c>
      <c r="B62" s="34" t="s">
        <v>74</v>
      </c>
      <c r="C62" s="35"/>
      <c r="D62" s="45">
        <v>0.78</v>
      </c>
      <c r="E62" s="45">
        <v>0.79</v>
      </c>
      <c r="F62" s="45">
        <v>0.79</v>
      </c>
      <c r="G62" s="45"/>
      <c r="H62" s="45">
        <v>0.78</v>
      </c>
      <c r="I62" s="45">
        <v>0.78</v>
      </c>
      <c r="J62" s="45">
        <v>0.78</v>
      </c>
      <c r="K62" s="45">
        <v>0.78</v>
      </c>
      <c r="L62" s="45">
        <v>0.79</v>
      </c>
      <c r="M62" s="45"/>
      <c r="N62" s="45"/>
      <c r="O62" s="45">
        <v>0.78</v>
      </c>
      <c r="P62" s="55">
        <f>ROUND(IF(P$32=0,0,P61/P$32),3)</f>
        <v>0.78200000000000003</v>
      </c>
      <c r="Q62" s="63">
        <v>0.6</v>
      </c>
      <c r="R62" s="153"/>
    </row>
    <row r="63" spans="1:20" s="7" customFormat="1" ht="15.75" customHeight="1" x14ac:dyDescent="0.25">
      <c r="A63" s="18" t="s">
        <v>75</v>
      </c>
      <c r="B63" s="19"/>
      <c r="C63" s="20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60"/>
      <c r="R63" s="153"/>
      <c r="S63" s="59"/>
    </row>
    <row r="64" spans="1:20" ht="15.75" customHeight="1" x14ac:dyDescent="0.25">
      <c r="A64" s="44" t="s">
        <v>76</v>
      </c>
      <c r="B64" s="34" t="s">
        <v>77</v>
      </c>
      <c r="C64" s="48"/>
      <c r="D64" s="49">
        <f>ROUND((D32)*3.2,0)</f>
        <v>19712</v>
      </c>
      <c r="E64" s="49">
        <f t="shared" ref="E64:O64" si="41">ROUND((E32)*3.2,0)</f>
        <v>9856</v>
      </c>
      <c r="F64" s="49">
        <f t="shared" si="41"/>
        <v>9856</v>
      </c>
      <c r="G64" s="49">
        <f t="shared" si="41"/>
        <v>0</v>
      </c>
      <c r="H64" s="49">
        <f t="shared" si="41"/>
        <v>19956</v>
      </c>
      <c r="I64" s="49">
        <f t="shared" si="41"/>
        <v>19956</v>
      </c>
      <c r="J64" s="49">
        <f t="shared" si="41"/>
        <v>19956</v>
      </c>
      <c r="K64" s="49">
        <f t="shared" si="41"/>
        <v>19712</v>
      </c>
      <c r="L64" s="49">
        <f t="shared" si="41"/>
        <v>4928</v>
      </c>
      <c r="M64" s="49">
        <f t="shared" si="41"/>
        <v>0</v>
      </c>
      <c r="N64" s="49">
        <f t="shared" si="41"/>
        <v>0</v>
      </c>
      <c r="O64" s="49">
        <f t="shared" si="41"/>
        <v>19712</v>
      </c>
      <c r="P64" s="41">
        <f>SUM(D64:O64)</f>
        <v>143644</v>
      </c>
      <c r="Q64" s="60"/>
      <c r="R64" s="9"/>
    </row>
    <row r="65" spans="1:203" s="9" customFormat="1" ht="15.75" customHeight="1" x14ac:dyDescent="0.25">
      <c r="A65" s="42" t="s">
        <v>78</v>
      </c>
      <c r="B65" s="50" t="s">
        <v>37</v>
      </c>
      <c r="C65" s="35"/>
      <c r="D65" s="51">
        <f>D64*D66/1000000</f>
        <v>43.366399999999999</v>
      </c>
      <c r="E65" s="51">
        <f t="shared" ref="E65:P65" si="42">E64*E66/1000000</f>
        <v>21.683199999999999</v>
      </c>
      <c r="F65" s="51">
        <f t="shared" si="42"/>
        <v>21.683199999999999</v>
      </c>
      <c r="G65" s="51">
        <f t="shared" si="42"/>
        <v>0</v>
      </c>
      <c r="H65" s="51">
        <f t="shared" si="42"/>
        <v>43.903199999999998</v>
      </c>
      <c r="I65" s="51">
        <f t="shared" si="42"/>
        <v>43.903199999999998</v>
      </c>
      <c r="J65" s="51">
        <f t="shared" si="42"/>
        <v>43.903199999999998</v>
      </c>
      <c r="K65" s="51">
        <f t="shared" si="42"/>
        <v>43.366399999999999</v>
      </c>
      <c r="L65" s="51">
        <f t="shared" si="42"/>
        <v>10.8416</v>
      </c>
      <c r="M65" s="51">
        <f t="shared" si="42"/>
        <v>0</v>
      </c>
      <c r="N65" s="51">
        <f t="shared" si="42"/>
        <v>0</v>
      </c>
      <c r="O65" s="51">
        <f t="shared" si="42"/>
        <v>43.366399999999999</v>
      </c>
      <c r="P65" s="51">
        <f t="shared" si="42"/>
        <v>316.01679999999999</v>
      </c>
      <c r="Q65" s="60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</row>
    <row r="66" spans="1:203" s="9" customFormat="1" ht="15.75" customHeight="1" x14ac:dyDescent="0.25">
      <c r="A66" s="42" t="s">
        <v>79</v>
      </c>
      <c r="B66" s="50" t="s">
        <v>80</v>
      </c>
      <c r="C66" s="35"/>
      <c r="D66" s="52">
        <v>2200</v>
      </c>
      <c r="E66" s="52">
        <v>2200</v>
      </c>
      <c r="F66" s="52">
        <v>2200</v>
      </c>
      <c r="G66" s="52"/>
      <c r="H66" s="52">
        <v>2200</v>
      </c>
      <c r="I66" s="52">
        <v>2200</v>
      </c>
      <c r="J66" s="52">
        <v>2200</v>
      </c>
      <c r="K66" s="52">
        <v>2200</v>
      </c>
      <c r="L66" s="52">
        <v>2200</v>
      </c>
      <c r="M66" s="52"/>
      <c r="N66" s="52"/>
      <c r="O66" s="52">
        <v>2200</v>
      </c>
      <c r="P66" s="52">
        <v>2200</v>
      </c>
      <c r="Q66" s="60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</row>
    <row r="67" spans="1:203" s="9" customFormat="1" ht="15.75" customHeight="1" x14ac:dyDescent="0.25">
      <c r="A67" s="42" t="s">
        <v>81</v>
      </c>
      <c r="B67" s="50" t="s">
        <v>37</v>
      </c>
      <c r="C67" s="35"/>
      <c r="D67" s="51">
        <f>D64*D68/1000000</f>
        <v>0</v>
      </c>
      <c r="E67" s="51">
        <f t="shared" ref="E67:O67" si="43">E64*E68/1000000</f>
        <v>0</v>
      </c>
      <c r="F67" s="51">
        <f t="shared" si="43"/>
        <v>0</v>
      </c>
      <c r="G67" s="51">
        <f t="shared" si="43"/>
        <v>0</v>
      </c>
      <c r="H67" s="51">
        <f t="shared" si="43"/>
        <v>0</v>
      </c>
      <c r="I67" s="51">
        <f t="shared" si="43"/>
        <v>0</v>
      </c>
      <c r="J67" s="51">
        <f t="shared" si="43"/>
        <v>0</v>
      </c>
      <c r="K67" s="51">
        <f t="shared" si="43"/>
        <v>0</v>
      </c>
      <c r="L67" s="51">
        <f t="shared" si="43"/>
        <v>0</v>
      </c>
      <c r="M67" s="51">
        <f t="shared" si="43"/>
        <v>0</v>
      </c>
      <c r="N67" s="51">
        <f t="shared" si="43"/>
        <v>0</v>
      </c>
      <c r="O67" s="51">
        <f t="shared" si="43"/>
        <v>0</v>
      </c>
      <c r="P67" s="51">
        <f t="shared" ref="P67" si="44">P64*P68/1000000</f>
        <v>0</v>
      </c>
      <c r="Q67" s="60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</row>
    <row r="68" spans="1:203" s="9" customFormat="1" ht="15.75" customHeight="1" x14ac:dyDescent="0.25">
      <c r="A68" s="42" t="s">
        <v>82</v>
      </c>
      <c r="B68" s="50" t="s">
        <v>80</v>
      </c>
      <c r="C68" s="35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60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</row>
    <row r="69" spans="1:203" s="9" customFormat="1" ht="15.75" customHeight="1" x14ac:dyDescent="0.25">
      <c r="A69" s="18" t="s">
        <v>83</v>
      </c>
      <c r="B69" s="50"/>
      <c r="C69" s="67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74"/>
      <c r="Q69" s="60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</row>
    <row r="70" spans="1:203" s="9" customFormat="1" ht="15.75" customHeight="1" x14ac:dyDescent="0.25">
      <c r="A70" s="42" t="s">
        <v>85</v>
      </c>
      <c r="B70" s="17"/>
      <c r="C70" s="35"/>
      <c r="D70" s="51">
        <f t="shared" ref="D70:O70" si="45">D18</f>
        <v>0</v>
      </c>
      <c r="E70" s="51">
        <f t="shared" si="45"/>
        <v>0</v>
      </c>
      <c r="F70" s="51">
        <f t="shared" si="45"/>
        <v>0</v>
      </c>
      <c r="G70" s="51">
        <f t="shared" si="45"/>
        <v>0</v>
      </c>
      <c r="H70" s="51">
        <f t="shared" si="45"/>
        <v>0</v>
      </c>
      <c r="I70" s="51">
        <f t="shared" si="45"/>
        <v>0</v>
      </c>
      <c r="J70" s="51">
        <f t="shared" si="45"/>
        <v>0</v>
      </c>
      <c r="K70" s="51">
        <f t="shared" si="45"/>
        <v>0</v>
      </c>
      <c r="L70" s="51">
        <f t="shared" si="45"/>
        <v>0</v>
      </c>
      <c r="M70" s="51">
        <f t="shared" si="45"/>
        <v>0</v>
      </c>
      <c r="N70" s="51">
        <f t="shared" si="45"/>
        <v>0</v>
      </c>
      <c r="O70" s="51">
        <f t="shared" si="45"/>
        <v>0</v>
      </c>
      <c r="P70" s="51">
        <f t="shared" ref="P70:P81" si="46">SUM(D70:O70)</f>
        <v>0</v>
      </c>
      <c r="Q70" s="60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</row>
    <row r="71" spans="1:203" s="9" customFormat="1" ht="15.75" customHeight="1" x14ac:dyDescent="0.25">
      <c r="A71" s="69" t="s">
        <v>86</v>
      </c>
      <c r="B71" s="17"/>
      <c r="C71" s="35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1">
        <f t="shared" si="46"/>
        <v>0</v>
      </c>
      <c r="Q71" s="60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</row>
    <row r="72" spans="1:203" s="9" customFormat="1" ht="15.75" customHeight="1" x14ac:dyDescent="0.25">
      <c r="A72" s="69" t="s">
        <v>87</v>
      </c>
      <c r="B72" s="17"/>
      <c r="C72" s="35"/>
      <c r="D72" s="51">
        <f>D70-D71-D73</f>
        <v>0</v>
      </c>
      <c r="E72" s="51">
        <f t="shared" ref="E72:O72" si="47">E70-E71-E73</f>
        <v>0</v>
      </c>
      <c r="F72" s="51">
        <f t="shared" si="47"/>
        <v>0</v>
      </c>
      <c r="G72" s="51">
        <f t="shared" si="47"/>
        <v>0</v>
      </c>
      <c r="H72" s="51">
        <f t="shared" si="47"/>
        <v>0</v>
      </c>
      <c r="I72" s="51">
        <f t="shared" si="47"/>
        <v>0</v>
      </c>
      <c r="J72" s="51">
        <f t="shared" si="47"/>
        <v>0</v>
      </c>
      <c r="K72" s="51">
        <f t="shared" si="47"/>
        <v>0</v>
      </c>
      <c r="L72" s="51">
        <f t="shared" si="47"/>
        <v>0</v>
      </c>
      <c r="M72" s="51">
        <f t="shared" si="47"/>
        <v>0</v>
      </c>
      <c r="N72" s="51">
        <f t="shared" si="47"/>
        <v>0</v>
      </c>
      <c r="O72" s="51">
        <f t="shared" si="47"/>
        <v>0</v>
      </c>
      <c r="P72" s="51">
        <f t="shared" si="46"/>
        <v>0</v>
      </c>
      <c r="Q72" s="60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</row>
    <row r="73" spans="1:203" s="9" customFormat="1" ht="15.75" customHeight="1" x14ac:dyDescent="0.25">
      <c r="A73" s="69" t="s">
        <v>88</v>
      </c>
      <c r="B73" s="17"/>
      <c r="C73" s="35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51">
        <f t="shared" si="46"/>
        <v>0</v>
      </c>
      <c r="Q73" s="60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</row>
    <row r="74" spans="1:203" s="9" customFormat="1" ht="15.75" customHeight="1" x14ac:dyDescent="0.25">
      <c r="A74" s="42" t="s">
        <v>89</v>
      </c>
      <c r="B74" s="17"/>
      <c r="C74" s="35"/>
      <c r="D74" s="51">
        <f t="shared" ref="D74:O74" si="48">D24</f>
        <v>8000</v>
      </c>
      <c r="E74" s="51">
        <f t="shared" si="48"/>
        <v>4000</v>
      </c>
      <c r="F74" s="51">
        <f t="shared" si="48"/>
        <v>4000</v>
      </c>
      <c r="G74" s="51">
        <f t="shared" si="48"/>
        <v>0</v>
      </c>
      <c r="H74" s="51">
        <f t="shared" si="48"/>
        <v>8000</v>
      </c>
      <c r="I74" s="51">
        <f t="shared" si="48"/>
        <v>8000</v>
      </c>
      <c r="J74" s="51">
        <f t="shared" si="48"/>
        <v>8000</v>
      </c>
      <c r="K74" s="51">
        <f t="shared" si="48"/>
        <v>8000</v>
      </c>
      <c r="L74" s="51">
        <f t="shared" si="48"/>
        <v>2000</v>
      </c>
      <c r="M74" s="51">
        <f t="shared" si="48"/>
        <v>0</v>
      </c>
      <c r="N74" s="51">
        <f t="shared" si="48"/>
        <v>0</v>
      </c>
      <c r="O74" s="51">
        <f t="shared" si="48"/>
        <v>8000</v>
      </c>
      <c r="P74" s="51">
        <f t="shared" si="46"/>
        <v>58000</v>
      </c>
      <c r="Q74" s="60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</row>
    <row r="75" spans="1:203" s="9" customFormat="1" ht="15.75" customHeight="1" x14ac:dyDescent="0.25">
      <c r="A75" s="69" t="s">
        <v>86</v>
      </c>
      <c r="B75" s="17"/>
      <c r="C75" s="35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1">
        <f t="shared" si="46"/>
        <v>0</v>
      </c>
      <c r="Q75" s="60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</row>
    <row r="76" spans="1:203" s="9" customFormat="1" ht="15.75" customHeight="1" x14ac:dyDescent="0.25">
      <c r="A76" s="69" t="s">
        <v>87</v>
      </c>
      <c r="B76" s="17"/>
      <c r="C76" s="35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1">
        <f t="shared" si="46"/>
        <v>0</v>
      </c>
      <c r="Q76" s="60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</row>
    <row r="77" spans="1:203" s="9" customFormat="1" ht="15.75" customHeight="1" x14ac:dyDescent="0.25">
      <c r="A77" s="69" t="s">
        <v>88</v>
      </c>
      <c r="B77" s="17"/>
      <c r="C77" s="35"/>
      <c r="D77" s="51">
        <f>D74-D75-D76</f>
        <v>8000</v>
      </c>
      <c r="E77" s="51">
        <f t="shared" ref="E77:O77" si="49">E74-E75-E76</f>
        <v>4000</v>
      </c>
      <c r="F77" s="51">
        <f t="shared" si="49"/>
        <v>4000</v>
      </c>
      <c r="G77" s="51">
        <f t="shared" si="49"/>
        <v>0</v>
      </c>
      <c r="H77" s="51">
        <f t="shared" si="49"/>
        <v>8000</v>
      </c>
      <c r="I77" s="51">
        <f t="shared" si="49"/>
        <v>8000</v>
      </c>
      <c r="J77" s="51">
        <f t="shared" si="49"/>
        <v>8000</v>
      </c>
      <c r="K77" s="51">
        <f t="shared" si="49"/>
        <v>8000</v>
      </c>
      <c r="L77" s="51">
        <f t="shared" si="49"/>
        <v>2000</v>
      </c>
      <c r="M77" s="51">
        <f t="shared" si="49"/>
        <v>0</v>
      </c>
      <c r="N77" s="51">
        <f t="shared" si="49"/>
        <v>0</v>
      </c>
      <c r="O77" s="51">
        <f t="shared" si="49"/>
        <v>8000</v>
      </c>
      <c r="P77" s="51">
        <f t="shared" si="46"/>
        <v>58000</v>
      </c>
      <c r="Q77" s="60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</row>
    <row r="78" spans="1:203" s="9" customFormat="1" ht="15.75" customHeight="1" x14ac:dyDescent="0.25">
      <c r="A78" s="42" t="s">
        <v>45</v>
      </c>
      <c r="B78" s="17"/>
      <c r="C78" s="35"/>
      <c r="D78" s="51">
        <f>D29</f>
        <v>0</v>
      </c>
      <c r="E78" s="51">
        <f t="shared" ref="E78:O78" si="50">E29</f>
        <v>0</v>
      </c>
      <c r="F78" s="51">
        <f t="shared" si="50"/>
        <v>0</v>
      </c>
      <c r="G78" s="51">
        <f t="shared" si="50"/>
        <v>0</v>
      </c>
      <c r="H78" s="51">
        <f t="shared" si="50"/>
        <v>0</v>
      </c>
      <c r="I78" s="51">
        <f t="shared" si="50"/>
        <v>0</v>
      </c>
      <c r="J78" s="51">
        <f t="shared" si="50"/>
        <v>0</v>
      </c>
      <c r="K78" s="51">
        <f t="shared" si="50"/>
        <v>0</v>
      </c>
      <c r="L78" s="51">
        <f t="shared" si="50"/>
        <v>0</v>
      </c>
      <c r="M78" s="51">
        <f t="shared" si="50"/>
        <v>0</v>
      </c>
      <c r="N78" s="51">
        <f t="shared" si="50"/>
        <v>0</v>
      </c>
      <c r="O78" s="51">
        <f t="shared" si="50"/>
        <v>0</v>
      </c>
      <c r="P78" s="51">
        <f t="shared" si="46"/>
        <v>0</v>
      </c>
      <c r="Q78" s="60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</row>
    <row r="79" spans="1:203" s="9" customFormat="1" ht="15.75" customHeight="1" x14ac:dyDescent="0.25">
      <c r="A79" s="69" t="s">
        <v>86</v>
      </c>
      <c r="B79" s="17"/>
      <c r="C79" s="35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1">
        <f t="shared" si="46"/>
        <v>0</v>
      </c>
      <c r="Q79" s="60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</row>
    <row r="80" spans="1:203" s="9" customFormat="1" ht="15.75" customHeight="1" x14ac:dyDescent="0.25">
      <c r="A80" s="69" t="s">
        <v>87</v>
      </c>
      <c r="B80" s="17"/>
      <c r="C80" s="35"/>
      <c r="D80" s="52">
        <f>D78-D79</f>
        <v>0</v>
      </c>
      <c r="E80" s="52">
        <f t="shared" ref="E80:O80" si="51">E78-E79</f>
        <v>0</v>
      </c>
      <c r="F80" s="52">
        <f t="shared" si="51"/>
        <v>0</v>
      </c>
      <c r="G80" s="52">
        <f t="shared" si="51"/>
        <v>0</v>
      </c>
      <c r="H80" s="52">
        <f t="shared" si="51"/>
        <v>0</v>
      </c>
      <c r="I80" s="52">
        <f t="shared" si="51"/>
        <v>0</v>
      </c>
      <c r="J80" s="52">
        <f t="shared" si="51"/>
        <v>0</v>
      </c>
      <c r="K80" s="52">
        <f t="shared" si="51"/>
        <v>0</v>
      </c>
      <c r="L80" s="52">
        <f t="shared" si="51"/>
        <v>0</v>
      </c>
      <c r="M80" s="52">
        <f t="shared" si="51"/>
        <v>0</v>
      </c>
      <c r="N80" s="52">
        <f t="shared" si="51"/>
        <v>0</v>
      </c>
      <c r="O80" s="52">
        <f t="shared" si="51"/>
        <v>0</v>
      </c>
      <c r="P80" s="51">
        <f t="shared" si="46"/>
        <v>0</v>
      </c>
      <c r="Q80" s="60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</row>
    <row r="81" spans="1:203" s="9" customFormat="1" ht="15.75" customHeight="1" x14ac:dyDescent="0.25">
      <c r="A81" s="69" t="s">
        <v>88</v>
      </c>
      <c r="B81" s="17"/>
      <c r="C81" s="35"/>
      <c r="D81" s="51">
        <f>D78-D79-D80</f>
        <v>0</v>
      </c>
      <c r="E81" s="51">
        <f t="shared" ref="E81:O81" si="52">E78-E79-E80</f>
        <v>0</v>
      </c>
      <c r="F81" s="51">
        <f t="shared" si="52"/>
        <v>0</v>
      </c>
      <c r="G81" s="51">
        <f t="shared" si="52"/>
        <v>0</v>
      </c>
      <c r="H81" s="51">
        <f t="shared" si="52"/>
        <v>0</v>
      </c>
      <c r="I81" s="51">
        <f t="shared" si="52"/>
        <v>0</v>
      </c>
      <c r="J81" s="51">
        <f t="shared" si="52"/>
        <v>0</v>
      </c>
      <c r="K81" s="51">
        <f t="shared" si="52"/>
        <v>0</v>
      </c>
      <c r="L81" s="51">
        <f t="shared" si="52"/>
        <v>0</v>
      </c>
      <c r="M81" s="51">
        <f t="shared" si="52"/>
        <v>0</v>
      </c>
      <c r="N81" s="51">
        <f t="shared" si="52"/>
        <v>0</v>
      </c>
      <c r="O81" s="51">
        <f t="shared" si="52"/>
        <v>0</v>
      </c>
      <c r="P81" s="51">
        <f t="shared" si="46"/>
        <v>0</v>
      </c>
      <c r="Q81" s="60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</row>
    <row r="82" spans="1:203" s="10" customFormat="1" ht="24" customHeight="1" x14ac:dyDescent="0.25">
      <c r="A82" s="70" t="s">
        <v>90</v>
      </c>
      <c r="B82" s="71"/>
      <c r="C82" s="72"/>
      <c r="D82" s="71"/>
      <c r="E82" s="71"/>
      <c r="F82" s="71"/>
      <c r="G82" s="71"/>
      <c r="H82" s="240" t="s">
        <v>91</v>
      </c>
      <c r="I82" s="240"/>
      <c r="J82" s="75"/>
      <c r="K82" s="71"/>
      <c r="L82" s="71"/>
      <c r="M82" s="71"/>
      <c r="N82" s="71" t="s">
        <v>92</v>
      </c>
      <c r="O82" s="75"/>
      <c r="P82" s="71"/>
    </row>
    <row r="83" spans="1:203" s="10" customFormat="1" ht="20.25" customHeight="1" x14ac:dyDescent="0.25">
      <c r="A83" s="14" t="s">
        <v>93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76"/>
    </row>
    <row r="84" spans="1:203" ht="15.75" customHeight="1" x14ac:dyDescent="0.25">
      <c r="A84" s="12" t="s">
        <v>96</v>
      </c>
      <c r="D84" s="13">
        <f>D18+D24+D29+D30</f>
        <v>8000</v>
      </c>
      <c r="E84" s="13">
        <f t="shared" ref="E84:P84" si="53">E18+E24+E29+E30</f>
        <v>4000</v>
      </c>
      <c r="F84" s="13">
        <f t="shared" si="53"/>
        <v>4000</v>
      </c>
      <c r="G84" s="13">
        <f t="shared" si="53"/>
        <v>0</v>
      </c>
      <c r="H84" s="13">
        <f t="shared" si="53"/>
        <v>8099</v>
      </c>
      <c r="I84" s="13">
        <f t="shared" si="53"/>
        <v>8099</v>
      </c>
      <c r="J84" s="13">
        <f t="shared" si="53"/>
        <v>8099</v>
      </c>
      <c r="K84" s="13">
        <f t="shared" si="53"/>
        <v>8000</v>
      </c>
      <c r="L84" s="13">
        <f t="shared" si="53"/>
        <v>2000</v>
      </c>
      <c r="M84" s="13">
        <f t="shared" si="53"/>
        <v>0</v>
      </c>
      <c r="N84" s="13">
        <f t="shared" si="53"/>
        <v>0</v>
      </c>
      <c r="O84" s="13">
        <f t="shared" si="53"/>
        <v>8000</v>
      </c>
      <c r="P84" s="13">
        <f t="shared" si="53"/>
        <v>58297</v>
      </c>
    </row>
    <row r="87" spans="1:203" ht="15.75" customHeight="1" x14ac:dyDescent="0.25">
      <c r="D87" s="13">
        <f>D6/24</f>
        <v>31</v>
      </c>
      <c r="E87" s="13">
        <f t="shared" ref="E87:P87" si="54">E6/24</f>
        <v>28</v>
      </c>
      <c r="F87" s="13">
        <f t="shared" si="54"/>
        <v>31</v>
      </c>
      <c r="G87" s="13">
        <f t="shared" si="54"/>
        <v>30</v>
      </c>
      <c r="H87" s="13">
        <f t="shared" si="54"/>
        <v>31</v>
      </c>
      <c r="I87" s="13">
        <f t="shared" si="54"/>
        <v>30</v>
      </c>
      <c r="J87" s="13">
        <f t="shared" si="54"/>
        <v>31</v>
      </c>
      <c r="K87" s="13">
        <f t="shared" si="54"/>
        <v>31</v>
      </c>
      <c r="L87" s="13">
        <f t="shared" si="54"/>
        <v>30</v>
      </c>
      <c r="M87" s="13">
        <f t="shared" si="54"/>
        <v>31</v>
      </c>
      <c r="N87" s="13">
        <f t="shared" si="54"/>
        <v>30</v>
      </c>
      <c r="O87" s="13">
        <f t="shared" si="54"/>
        <v>31</v>
      </c>
      <c r="P87" s="13">
        <f t="shared" si="54"/>
        <v>365</v>
      </c>
    </row>
    <row r="93" spans="1:203" ht="15.75" customHeight="1" x14ac:dyDescent="0.25">
      <c r="E93" s="73"/>
    </row>
  </sheetData>
  <mergeCells count="6">
    <mergeCell ref="A1:P1"/>
    <mergeCell ref="D3:P3"/>
    <mergeCell ref="H82:I82"/>
    <mergeCell ref="A3:A4"/>
    <mergeCell ref="B3:B4"/>
    <mergeCell ref="C3:C4"/>
  </mergeCells>
  <phoneticPr fontId="39" type="noConversion"/>
  <pageMargins left="0.55118110236220497" right="0.39370078740157499" top="0.39370078740157499" bottom="0.196850393700787" header="0.511811023622047" footer="0.511811023622047"/>
  <pageSetup paperSize="9" scale="99" orientation="landscape"/>
  <headerFooter alignWithMargins="0"/>
  <rowBreaks count="1" manualBreakCount="1">
    <brk id="32" max="1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47"/>
  </sheetPr>
  <dimension ref="A1:XFD93"/>
  <sheetViews>
    <sheetView zoomScale="110" zoomScaleNormal="110" workbookViewId="0">
      <pane xSplit="2" ySplit="4" topLeftCell="C5" activePane="bottomRight" state="frozen"/>
      <selection pane="topRight"/>
      <selection pane="bottomLeft"/>
      <selection pane="bottomRight" activeCell="D10" sqref="D10:O10"/>
    </sheetView>
  </sheetViews>
  <sheetFormatPr defaultColWidth="10.58203125" defaultRowHeight="15.75" customHeight="1" x14ac:dyDescent="0.25"/>
  <cols>
    <col min="1" max="1" width="15.08203125" style="12" customWidth="1"/>
    <col min="2" max="2" width="5.08203125" style="13" customWidth="1"/>
    <col min="3" max="3" width="4.58203125" style="13" customWidth="1"/>
    <col min="4" max="15" width="7.58203125" style="13" customWidth="1"/>
    <col min="16" max="16" width="9.58203125" style="13" customWidth="1"/>
    <col min="17" max="17" width="11.08203125" style="11" customWidth="1"/>
    <col min="18" max="18" width="7.75" style="11" customWidth="1"/>
    <col min="19" max="19" width="11.25" style="9" customWidth="1"/>
    <col min="20" max="16384" width="10.58203125" style="13"/>
  </cols>
  <sheetData>
    <row r="1" spans="1:22" s="6" customFormat="1" ht="27" customHeight="1" x14ac:dyDescent="0.25">
      <c r="A1" s="238" t="s">
        <v>235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57"/>
      <c r="R1" s="57"/>
    </row>
    <row r="2" spans="1:22" s="6" customFormat="1" ht="15.75" customHeight="1" x14ac:dyDescent="0.25">
      <c r="A2" s="14"/>
      <c r="B2" s="15"/>
      <c r="C2" s="16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53" t="str">
        <f>果糖一线!P2</f>
        <v>日  期：2024年9月10日</v>
      </c>
      <c r="S2" s="58"/>
    </row>
    <row r="3" spans="1:22" ht="15.75" customHeight="1" x14ac:dyDescent="0.25">
      <c r="A3" s="241" t="s">
        <v>2</v>
      </c>
      <c r="B3" s="241" t="s">
        <v>3</v>
      </c>
      <c r="C3" s="241" t="s">
        <v>4</v>
      </c>
      <c r="D3" s="239" t="str">
        <f>果糖一线!D3</f>
        <v>2025年预算</v>
      </c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T3" s="59"/>
      <c r="U3" s="59"/>
      <c r="V3" s="59"/>
    </row>
    <row r="4" spans="1:22" ht="15.75" customHeight="1" x14ac:dyDescent="0.25">
      <c r="A4" s="242"/>
      <c r="B4" s="242"/>
      <c r="C4" s="242"/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  <c r="Q4" s="60"/>
      <c r="R4" s="60"/>
    </row>
    <row r="5" spans="1:22" s="78" customFormat="1" ht="9.5" x14ac:dyDescent="0.25">
      <c r="A5" s="83" t="s">
        <v>19</v>
      </c>
      <c r="B5" s="84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120"/>
      <c r="R5" s="120"/>
      <c r="S5" s="80"/>
      <c r="T5" s="121"/>
      <c r="U5" s="121"/>
      <c r="V5" s="121"/>
    </row>
    <row r="6" spans="1:22" s="79" customFormat="1" ht="14.5" customHeight="1" x14ac:dyDescent="0.25">
      <c r="A6" s="87" t="s">
        <v>20</v>
      </c>
      <c r="B6" s="88" t="s">
        <v>21</v>
      </c>
      <c r="C6" s="89"/>
      <c r="D6" s="90">
        <v>744</v>
      </c>
      <c r="E6" s="90">
        <v>672</v>
      </c>
      <c r="F6" s="90">
        <v>744</v>
      </c>
      <c r="G6" s="90">
        <v>720</v>
      </c>
      <c r="H6" s="90">
        <v>744</v>
      </c>
      <c r="I6" s="90">
        <v>720</v>
      </c>
      <c r="J6" s="90">
        <v>744</v>
      </c>
      <c r="K6" s="90">
        <v>744</v>
      </c>
      <c r="L6" s="90">
        <v>720</v>
      </c>
      <c r="M6" s="90">
        <v>744</v>
      </c>
      <c r="N6" s="90">
        <v>720</v>
      </c>
      <c r="O6" s="90">
        <v>744</v>
      </c>
      <c r="P6" s="91">
        <f>SUM(D6:O6)</f>
        <v>8760</v>
      </c>
      <c r="Q6" s="122"/>
      <c r="R6" s="122"/>
      <c r="S6" s="80"/>
      <c r="U6" s="80"/>
    </row>
    <row r="7" spans="1:22" s="79" customFormat="1" ht="14.5" customHeight="1" x14ac:dyDescent="0.25">
      <c r="A7" s="87" t="s">
        <v>22</v>
      </c>
      <c r="B7" s="88" t="s">
        <v>21</v>
      </c>
      <c r="C7" s="89"/>
      <c r="D7" s="91">
        <f>D6-D9</f>
        <v>664</v>
      </c>
      <c r="E7" s="91">
        <f t="shared" ref="E7:O7" si="0">E6-E9</f>
        <v>402</v>
      </c>
      <c r="F7" s="91">
        <f t="shared" si="0"/>
        <v>744</v>
      </c>
      <c r="G7" s="91">
        <f t="shared" si="0"/>
        <v>720</v>
      </c>
      <c r="H7" s="91">
        <f t="shared" si="0"/>
        <v>744</v>
      </c>
      <c r="I7" s="91">
        <f t="shared" si="0"/>
        <v>720</v>
      </c>
      <c r="J7" s="91">
        <f t="shared" si="0"/>
        <v>744</v>
      </c>
      <c r="K7" s="91">
        <f t="shared" si="0"/>
        <v>744</v>
      </c>
      <c r="L7" s="91">
        <f t="shared" si="0"/>
        <v>720</v>
      </c>
      <c r="M7" s="91">
        <f t="shared" si="0"/>
        <v>744</v>
      </c>
      <c r="N7" s="91">
        <f t="shared" si="0"/>
        <v>720</v>
      </c>
      <c r="O7" s="91">
        <f t="shared" si="0"/>
        <v>744</v>
      </c>
      <c r="P7" s="91">
        <f>SUM(D7:O7)</f>
        <v>8410</v>
      </c>
      <c r="Q7" s="122"/>
      <c r="R7" s="122"/>
      <c r="S7" s="80"/>
      <c r="U7" s="80"/>
    </row>
    <row r="8" spans="1:22" s="79" customFormat="1" ht="14.5" customHeight="1" x14ac:dyDescent="0.25">
      <c r="A8" s="87" t="s">
        <v>22</v>
      </c>
      <c r="B8" s="88" t="s">
        <v>23</v>
      </c>
      <c r="C8" s="89"/>
      <c r="D8" s="91">
        <f>D7/24</f>
        <v>27.6666666666667</v>
      </c>
      <c r="E8" s="91">
        <f t="shared" ref="E8:O8" si="1">E7/24</f>
        <v>16.75</v>
      </c>
      <c r="F8" s="91">
        <f t="shared" si="1"/>
        <v>31</v>
      </c>
      <c r="G8" s="91">
        <f t="shared" si="1"/>
        <v>30</v>
      </c>
      <c r="H8" s="91">
        <f t="shared" si="1"/>
        <v>31</v>
      </c>
      <c r="I8" s="91">
        <f t="shared" si="1"/>
        <v>30</v>
      </c>
      <c r="J8" s="91">
        <f t="shared" si="1"/>
        <v>31</v>
      </c>
      <c r="K8" s="91">
        <f t="shared" si="1"/>
        <v>31</v>
      </c>
      <c r="L8" s="91">
        <f t="shared" si="1"/>
        <v>30</v>
      </c>
      <c r="M8" s="91">
        <f t="shared" si="1"/>
        <v>31</v>
      </c>
      <c r="N8" s="91">
        <f t="shared" si="1"/>
        <v>30</v>
      </c>
      <c r="O8" s="91">
        <f t="shared" si="1"/>
        <v>31</v>
      </c>
      <c r="P8" s="91">
        <f t="shared" ref="P8" si="2">P7/24</f>
        <v>350.41666666666703</v>
      </c>
      <c r="Q8" s="122"/>
      <c r="R8" s="122"/>
      <c r="S8" s="80"/>
      <c r="U8" s="80"/>
    </row>
    <row r="9" spans="1:22" s="79" customFormat="1" ht="14.5" customHeight="1" x14ac:dyDescent="0.25">
      <c r="A9" s="87" t="s">
        <v>24</v>
      </c>
      <c r="B9" s="88" t="s">
        <v>21</v>
      </c>
      <c r="C9" s="89"/>
      <c r="D9" s="91">
        <f>SUM(D10:D12)</f>
        <v>80</v>
      </c>
      <c r="E9" s="91">
        <f>SUM(E10:E12)</f>
        <v>270</v>
      </c>
      <c r="F9" s="91">
        <f t="shared" ref="F9:O9" si="3">SUM(F10:F12)</f>
        <v>0</v>
      </c>
      <c r="G9" s="91">
        <f t="shared" si="3"/>
        <v>0</v>
      </c>
      <c r="H9" s="91">
        <f t="shared" si="3"/>
        <v>0</v>
      </c>
      <c r="I9" s="91">
        <f t="shared" si="3"/>
        <v>0</v>
      </c>
      <c r="J9" s="91">
        <f t="shared" si="3"/>
        <v>0</v>
      </c>
      <c r="K9" s="91">
        <f t="shared" si="3"/>
        <v>0</v>
      </c>
      <c r="L9" s="91">
        <f t="shared" si="3"/>
        <v>0</v>
      </c>
      <c r="M9" s="91">
        <f t="shared" si="3"/>
        <v>0</v>
      </c>
      <c r="N9" s="91">
        <f t="shared" si="3"/>
        <v>0</v>
      </c>
      <c r="O9" s="91">
        <f t="shared" si="3"/>
        <v>0</v>
      </c>
      <c r="P9" s="91">
        <f>SUM(D9:O9)</f>
        <v>350</v>
      </c>
      <c r="Q9" s="122"/>
      <c r="R9" s="122"/>
      <c r="S9" s="80"/>
      <c r="U9" s="80"/>
    </row>
    <row r="10" spans="1:22" s="79" customFormat="1" ht="14.5" customHeight="1" x14ac:dyDescent="0.25">
      <c r="A10" s="92" t="s">
        <v>25</v>
      </c>
      <c r="B10" s="88" t="s">
        <v>21</v>
      </c>
      <c r="C10" s="89"/>
      <c r="D10" s="90">
        <v>80</v>
      </c>
      <c r="E10" s="93">
        <v>270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1">
        <f>SUM(D10:O10)</f>
        <v>350</v>
      </c>
      <c r="Q10" s="122"/>
      <c r="R10" s="122"/>
      <c r="S10" s="80"/>
      <c r="U10" s="80"/>
    </row>
    <row r="11" spans="1:22" s="79" customFormat="1" ht="14.5" customHeight="1" x14ac:dyDescent="0.25">
      <c r="A11" s="92" t="s">
        <v>26</v>
      </c>
      <c r="B11" s="88" t="s">
        <v>21</v>
      </c>
      <c r="C11" s="89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1">
        <f>SUM(D11:O11)</f>
        <v>0</v>
      </c>
      <c r="Q11" s="122"/>
      <c r="R11" s="122"/>
      <c r="S11" s="80"/>
      <c r="U11" s="80"/>
    </row>
    <row r="12" spans="1:22" s="79" customFormat="1" ht="14.5" customHeight="1" x14ac:dyDescent="0.25">
      <c r="A12" s="92" t="s">
        <v>27</v>
      </c>
      <c r="B12" s="88" t="s">
        <v>21</v>
      </c>
      <c r="C12" s="89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1">
        <f>SUM(D12:O12)</f>
        <v>0</v>
      </c>
      <c r="Q12" s="122"/>
      <c r="R12" s="122"/>
      <c r="S12" s="80"/>
      <c r="U12" s="80"/>
    </row>
    <row r="13" spans="1:22" s="78" customFormat="1" ht="14.5" customHeight="1" x14ac:dyDescent="0.25">
      <c r="A13" s="83" t="s">
        <v>28</v>
      </c>
      <c r="B13" s="84"/>
      <c r="C13" s="85"/>
      <c r="D13" s="86">
        <v>17770.53</v>
      </c>
      <c r="E13" s="86">
        <v>10294.02</v>
      </c>
      <c r="F13" s="86">
        <v>18916.060000000001</v>
      </c>
      <c r="G13" s="86">
        <v>19854.89</v>
      </c>
      <c r="H13" s="86">
        <v>20955.580000000002</v>
      </c>
      <c r="I13" s="86">
        <v>22338.71</v>
      </c>
      <c r="J13" s="86">
        <v>23671.67</v>
      </c>
      <c r="K13" s="86">
        <v>23070.54</v>
      </c>
      <c r="L13" s="86">
        <v>19579.87</v>
      </c>
      <c r="M13" s="86">
        <v>10673.08</v>
      </c>
      <c r="N13" s="86">
        <v>13104.99</v>
      </c>
      <c r="O13" s="86">
        <v>19770.740000000002</v>
      </c>
      <c r="P13" s="86"/>
      <c r="Q13" s="122"/>
      <c r="R13" s="122"/>
      <c r="S13" s="80"/>
      <c r="T13" s="121"/>
      <c r="U13" s="80"/>
      <c r="V13" s="121"/>
    </row>
    <row r="14" spans="1:22" s="79" customFormat="1" ht="14.5" customHeight="1" x14ac:dyDescent="0.25">
      <c r="A14" s="87" t="s">
        <v>29</v>
      </c>
      <c r="B14" s="88" t="s">
        <v>30</v>
      </c>
      <c r="C14" s="89"/>
      <c r="D14" s="94">
        <f>IF(D35=0,0,1/D35)</f>
        <v>1.0799136069114501</v>
      </c>
      <c r="E14" s="94">
        <f t="shared" ref="E14:O14" si="4">IF(E35=0,0,1/E35)</f>
        <v>1.0799136069114501</v>
      </c>
      <c r="F14" s="94">
        <f t="shared" si="4"/>
        <v>1.0799136069114501</v>
      </c>
      <c r="G14" s="94">
        <f t="shared" si="4"/>
        <v>1.0799136069114501</v>
      </c>
      <c r="H14" s="94">
        <f t="shared" si="4"/>
        <v>1.0799136069114501</v>
      </c>
      <c r="I14" s="94">
        <f t="shared" si="4"/>
        <v>1.0799136069114501</v>
      </c>
      <c r="J14" s="94">
        <f t="shared" si="4"/>
        <v>1.0799136069114501</v>
      </c>
      <c r="K14" s="94">
        <f t="shared" si="4"/>
        <v>1.0799136069114501</v>
      </c>
      <c r="L14" s="94">
        <f t="shared" si="4"/>
        <v>1.0799136069114501</v>
      </c>
      <c r="M14" s="94">
        <f t="shared" si="4"/>
        <v>1.0799136069114501</v>
      </c>
      <c r="N14" s="94">
        <f t="shared" si="4"/>
        <v>1.0799136069114501</v>
      </c>
      <c r="O14" s="94">
        <f t="shared" si="4"/>
        <v>1.0799136069114501</v>
      </c>
      <c r="P14" s="94">
        <f t="shared" ref="P14" si="5">IF(P35=0,0,1/P35)</f>
        <v>1.0799136069114501</v>
      </c>
      <c r="Q14" s="122"/>
      <c r="R14" s="122"/>
      <c r="S14" s="80"/>
      <c r="U14" s="80"/>
    </row>
    <row r="15" spans="1:22" s="78" customFormat="1" ht="14.5" customHeight="1" x14ac:dyDescent="0.25">
      <c r="A15" s="83" t="s">
        <v>31</v>
      </c>
      <c r="B15" s="84"/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>
        <f>SUM(D15:O15)</f>
        <v>0</v>
      </c>
      <c r="Q15" s="122"/>
      <c r="R15" s="122"/>
      <c r="S15" s="80"/>
      <c r="T15" s="121"/>
      <c r="U15" s="80"/>
      <c r="V15" s="121"/>
    </row>
    <row r="16" spans="1:22" s="79" customFormat="1" ht="14.5" customHeight="1" x14ac:dyDescent="0.25">
      <c r="A16" s="95" t="s">
        <v>32</v>
      </c>
      <c r="B16" s="88" t="s">
        <v>30</v>
      </c>
      <c r="C16" s="89"/>
      <c r="D16" s="94">
        <f>IF(D7=0,0,(D18+D24+D29)/D7/480*24)</f>
        <v>0.92366234939758995</v>
      </c>
      <c r="E16" s="94">
        <f t="shared" ref="E16:O16" si="6">IF(E7=0,0,(E18+E24+E29)/E7/480*24)</f>
        <v>0.91523134328358202</v>
      </c>
      <c r="F16" s="94">
        <f t="shared" si="6"/>
        <v>0.70772930107526899</v>
      </c>
      <c r="G16" s="94">
        <f t="shared" si="6"/>
        <v>0.76685569444444401</v>
      </c>
      <c r="H16" s="94">
        <f t="shared" si="6"/>
        <v>0.73045645161290296</v>
      </c>
      <c r="I16" s="94">
        <f t="shared" si="6"/>
        <v>0.77166694444444495</v>
      </c>
      <c r="J16" s="94">
        <f t="shared" si="6"/>
        <v>0.76670940860215098</v>
      </c>
      <c r="K16" s="94">
        <f t="shared" si="6"/>
        <v>0.76379704301075302</v>
      </c>
      <c r="L16" s="94">
        <f t="shared" si="6"/>
        <v>0.78319444444444397</v>
      </c>
      <c r="M16" s="94">
        <f t="shared" si="6"/>
        <v>0.59556451612903205</v>
      </c>
      <c r="N16" s="94">
        <f t="shared" si="6"/>
        <v>0.60499999999999998</v>
      </c>
      <c r="O16" s="94">
        <f t="shared" si="6"/>
        <v>0.60043682795698905</v>
      </c>
      <c r="P16" s="94">
        <f t="shared" ref="P16" si="7">IF(P7=0,0,(P18+P24+P29)/P7/480*24)</f>
        <v>0.73567218787158195</v>
      </c>
      <c r="Q16" s="122" t="s">
        <v>233</v>
      </c>
      <c r="R16" s="122"/>
      <c r="S16" s="80"/>
      <c r="U16" s="80"/>
    </row>
    <row r="17" spans="1:22" s="78" customFormat="1" ht="14.5" customHeight="1" x14ac:dyDescent="0.25">
      <c r="A17" s="83" t="s">
        <v>34</v>
      </c>
      <c r="B17" s="84"/>
      <c r="C17" s="85"/>
      <c r="D17" s="96">
        <f>D18+D24+D29+D30+果糖一线!D17</f>
        <v>20266.236000000001</v>
      </c>
      <c r="E17" s="96">
        <f t="shared" ref="E17:L17" si="8">E18+E24+E29+E30</f>
        <v>7358.46</v>
      </c>
      <c r="F17" s="96">
        <f t="shared" si="8"/>
        <v>10531.012000000001</v>
      </c>
      <c r="G17" s="96">
        <f t="shared" si="8"/>
        <v>11042.722</v>
      </c>
      <c r="H17" s="96">
        <f t="shared" si="8"/>
        <v>10869.191999999999</v>
      </c>
      <c r="I17" s="96">
        <f t="shared" si="8"/>
        <v>11112.004000000001</v>
      </c>
      <c r="J17" s="96">
        <f t="shared" si="8"/>
        <v>11408.636</v>
      </c>
      <c r="K17" s="96">
        <f t="shared" si="8"/>
        <v>11365.3</v>
      </c>
      <c r="L17" s="96">
        <f t="shared" si="8"/>
        <v>11278</v>
      </c>
      <c r="M17" s="96">
        <f t="shared" ref="M17:O17" si="9">M18+M24+M29+M30</f>
        <v>8862</v>
      </c>
      <c r="N17" s="96">
        <f t="shared" si="9"/>
        <v>8712</v>
      </c>
      <c r="O17" s="96">
        <f t="shared" si="9"/>
        <v>8934.5</v>
      </c>
      <c r="P17" s="96">
        <f>SUM(D17:O17)</f>
        <v>131740.06200000001</v>
      </c>
      <c r="Q17" s="122"/>
      <c r="R17" s="122"/>
      <c r="S17" s="80"/>
      <c r="T17" s="121"/>
      <c r="U17" s="80"/>
      <c r="V17" s="121"/>
    </row>
    <row r="18" spans="1:22" s="79" customFormat="1" ht="14.5" customHeight="1" x14ac:dyDescent="0.25">
      <c r="A18" s="87" t="s">
        <v>36</v>
      </c>
      <c r="B18" s="88" t="s">
        <v>37</v>
      </c>
      <c r="C18" s="89"/>
      <c r="D18" s="97">
        <v>343.5</v>
      </c>
      <c r="E18" s="98">
        <v>52.5</v>
      </c>
      <c r="F18" s="98">
        <v>75</v>
      </c>
      <c r="G18" s="98">
        <v>107</v>
      </c>
      <c r="H18" s="98">
        <v>171</v>
      </c>
      <c r="I18" s="98">
        <v>313.5</v>
      </c>
      <c r="J18" s="98">
        <v>489.5</v>
      </c>
      <c r="K18" s="98">
        <v>457.5</v>
      </c>
      <c r="L18" s="98">
        <v>351</v>
      </c>
      <c r="M18" s="98">
        <v>327</v>
      </c>
      <c r="N18" s="98">
        <v>75</v>
      </c>
      <c r="O18" s="98">
        <v>97.5</v>
      </c>
      <c r="P18" s="102">
        <f>SUM(D18:O18)</f>
        <v>2860</v>
      </c>
      <c r="Q18" s="122"/>
      <c r="R18" s="122"/>
      <c r="S18" s="80"/>
      <c r="U18" s="80"/>
    </row>
    <row r="19" spans="1:22" s="79" customFormat="1" ht="14.5" customHeight="1" x14ac:dyDescent="0.25">
      <c r="A19" s="92" t="s">
        <v>39</v>
      </c>
      <c r="B19" s="88" t="s">
        <v>37</v>
      </c>
      <c r="C19" s="89"/>
      <c r="D19" s="99">
        <v>0</v>
      </c>
      <c r="E19" s="99">
        <v>0</v>
      </c>
      <c r="F19" s="99">
        <v>0</v>
      </c>
      <c r="G19" s="99">
        <v>0</v>
      </c>
      <c r="H19" s="99">
        <v>0</v>
      </c>
      <c r="I19" s="99">
        <v>0</v>
      </c>
      <c r="J19" s="99">
        <v>0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102">
        <f>SUM(D19:O19)</f>
        <v>0</v>
      </c>
      <c r="Q19" s="122"/>
      <c r="R19" s="122"/>
      <c r="S19" s="80"/>
      <c r="U19" s="80"/>
    </row>
    <row r="20" spans="1:22" s="79" customFormat="1" ht="14.5" customHeight="1" x14ac:dyDescent="0.25">
      <c r="A20" s="100" t="s">
        <v>40</v>
      </c>
      <c r="B20" s="88" t="s">
        <v>30</v>
      </c>
      <c r="C20" s="89"/>
      <c r="D20" s="101">
        <f t="shared" ref="D20:O20" si="10">IF(D18=0,0,D19/D18)</f>
        <v>0</v>
      </c>
      <c r="E20" s="101">
        <f t="shared" si="10"/>
        <v>0</v>
      </c>
      <c r="F20" s="101">
        <f t="shared" si="10"/>
        <v>0</v>
      </c>
      <c r="G20" s="101">
        <f t="shared" si="10"/>
        <v>0</v>
      </c>
      <c r="H20" s="101">
        <f t="shared" si="10"/>
        <v>0</v>
      </c>
      <c r="I20" s="101">
        <f t="shared" si="10"/>
        <v>0</v>
      </c>
      <c r="J20" s="101">
        <f t="shared" si="10"/>
        <v>0</v>
      </c>
      <c r="K20" s="101">
        <f t="shared" si="10"/>
        <v>0</v>
      </c>
      <c r="L20" s="101">
        <f t="shared" si="10"/>
        <v>0</v>
      </c>
      <c r="M20" s="101">
        <f t="shared" si="10"/>
        <v>0</v>
      </c>
      <c r="N20" s="101">
        <f t="shared" si="10"/>
        <v>0</v>
      </c>
      <c r="O20" s="101">
        <f t="shared" si="10"/>
        <v>0</v>
      </c>
      <c r="P20" s="101">
        <f t="shared" ref="P20" si="11">IF(P18=0,0,P19/P18)</f>
        <v>0</v>
      </c>
      <c r="Q20" s="122"/>
      <c r="R20" s="122"/>
      <c r="S20" s="80"/>
      <c r="U20" s="80"/>
    </row>
    <row r="21" spans="1:22" s="79" customFormat="1" ht="14.5" customHeight="1" x14ac:dyDescent="0.25">
      <c r="A21" s="92" t="s">
        <v>41</v>
      </c>
      <c r="B21" s="88" t="s">
        <v>37</v>
      </c>
      <c r="C21" s="89"/>
      <c r="D21" s="102">
        <f>D18-D19</f>
        <v>343.5</v>
      </c>
      <c r="E21" s="102">
        <f t="shared" ref="E21:O21" si="12">E18-E19</f>
        <v>52.5</v>
      </c>
      <c r="F21" s="102">
        <f t="shared" si="12"/>
        <v>75</v>
      </c>
      <c r="G21" s="102">
        <f t="shared" si="12"/>
        <v>107</v>
      </c>
      <c r="H21" s="102">
        <f t="shared" si="12"/>
        <v>171</v>
      </c>
      <c r="I21" s="102">
        <f t="shared" si="12"/>
        <v>313.5</v>
      </c>
      <c r="J21" s="102">
        <f t="shared" si="12"/>
        <v>489.5</v>
      </c>
      <c r="K21" s="102">
        <f t="shared" si="12"/>
        <v>457.5</v>
      </c>
      <c r="L21" s="102">
        <f t="shared" si="12"/>
        <v>351</v>
      </c>
      <c r="M21" s="102">
        <f t="shared" si="12"/>
        <v>327</v>
      </c>
      <c r="N21" s="102">
        <f t="shared" si="12"/>
        <v>75</v>
      </c>
      <c r="O21" s="102">
        <f t="shared" si="12"/>
        <v>97.5</v>
      </c>
      <c r="P21" s="102">
        <f>SUM(D21:O21)</f>
        <v>2860</v>
      </c>
      <c r="Q21" s="122"/>
      <c r="R21" s="122"/>
      <c r="S21" s="80"/>
      <c r="U21" s="80"/>
    </row>
    <row r="22" spans="1:22" s="79" customFormat="1" ht="14.5" customHeight="1" x14ac:dyDescent="0.25">
      <c r="A22" s="100" t="s">
        <v>40</v>
      </c>
      <c r="B22" s="88" t="s">
        <v>30</v>
      </c>
      <c r="C22" s="89"/>
      <c r="D22" s="101">
        <f t="shared" ref="D22:O22" si="13">IF(D18=0,0,D21/D18)</f>
        <v>1</v>
      </c>
      <c r="E22" s="101">
        <f t="shared" si="13"/>
        <v>1</v>
      </c>
      <c r="F22" s="101">
        <f t="shared" si="13"/>
        <v>1</v>
      </c>
      <c r="G22" s="101">
        <f t="shared" si="13"/>
        <v>1</v>
      </c>
      <c r="H22" s="101">
        <f t="shared" si="13"/>
        <v>1</v>
      </c>
      <c r="I22" s="101">
        <f t="shared" si="13"/>
        <v>1</v>
      </c>
      <c r="J22" s="101">
        <f t="shared" si="13"/>
        <v>1</v>
      </c>
      <c r="K22" s="101">
        <f t="shared" si="13"/>
        <v>1</v>
      </c>
      <c r="L22" s="101">
        <f t="shared" si="13"/>
        <v>1</v>
      </c>
      <c r="M22" s="101">
        <f t="shared" si="13"/>
        <v>1</v>
      </c>
      <c r="N22" s="101">
        <f t="shared" si="13"/>
        <v>1</v>
      </c>
      <c r="O22" s="101">
        <f t="shared" si="13"/>
        <v>1</v>
      </c>
      <c r="P22" s="101">
        <f t="shared" ref="P22" si="14">IF(P18=0,0,P21/P18)</f>
        <v>1</v>
      </c>
      <c r="Q22" s="122"/>
      <c r="R22" s="122"/>
      <c r="S22" s="80"/>
      <c r="U22" s="80"/>
    </row>
    <row r="23" spans="1:22" s="79" customFormat="1" ht="14.5" customHeight="1" x14ac:dyDescent="0.25">
      <c r="A23" s="87" t="s">
        <v>42</v>
      </c>
      <c r="B23" s="88" t="s">
        <v>37</v>
      </c>
      <c r="C23" s="89"/>
      <c r="D23" s="102">
        <f>D18*0.71</f>
        <v>243.88499999999999</v>
      </c>
      <c r="E23" s="102">
        <f t="shared" ref="E23:O23" si="15">E18*0.71</f>
        <v>37.274999999999999</v>
      </c>
      <c r="F23" s="102">
        <f t="shared" si="15"/>
        <v>53.25</v>
      </c>
      <c r="G23" s="102">
        <f t="shared" si="15"/>
        <v>75.97</v>
      </c>
      <c r="H23" s="102">
        <f t="shared" si="15"/>
        <v>121.41</v>
      </c>
      <c r="I23" s="102">
        <f t="shared" si="15"/>
        <v>222.58500000000001</v>
      </c>
      <c r="J23" s="102">
        <f t="shared" si="15"/>
        <v>347.54500000000002</v>
      </c>
      <c r="K23" s="102">
        <f t="shared" si="15"/>
        <v>324.82499999999999</v>
      </c>
      <c r="L23" s="102">
        <f t="shared" si="15"/>
        <v>249.21</v>
      </c>
      <c r="M23" s="102">
        <f t="shared" si="15"/>
        <v>232.17</v>
      </c>
      <c r="N23" s="102">
        <f t="shared" si="15"/>
        <v>53.25</v>
      </c>
      <c r="O23" s="102">
        <f t="shared" si="15"/>
        <v>69.224999999999994</v>
      </c>
      <c r="P23" s="102">
        <f t="shared" ref="P23" si="16">P18*0.71</f>
        <v>2030.6</v>
      </c>
      <c r="Q23" s="122">
        <f>P18+P24</f>
        <v>114860</v>
      </c>
      <c r="R23" s="122"/>
      <c r="S23" s="80"/>
      <c r="U23" s="80"/>
    </row>
    <row r="24" spans="1:22" s="79" customFormat="1" ht="14.5" customHeight="1" x14ac:dyDescent="0.25">
      <c r="A24" s="87" t="s">
        <v>44</v>
      </c>
      <c r="B24" s="88" t="s">
        <v>37</v>
      </c>
      <c r="C24" s="89"/>
      <c r="D24" s="99">
        <v>11000</v>
      </c>
      <c r="E24" s="99">
        <v>7000</v>
      </c>
      <c r="F24" s="99">
        <v>10000</v>
      </c>
      <c r="G24" s="99">
        <v>10000</v>
      </c>
      <c r="H24" s="99">
        <v>10000</v>
      </c>
      <c r="I24" s="99">
        <v>10000</v>
      </c>
      <c r="J24" s="99">
        <v>10000</v>
      </c>
      <c r="K24" s="99">
        <v>10000</v>
      </c>
      <c r="L24" s="99">
        <v>10000</v>
      </c>
      <c r="M24" s="99">
        <v>8000</v>
      </c>
      <c r="N24" s="99">
        <v>8000</v>
      </c>
      <c r="O24" s="99">
        <v>8000</v>
      </c>
      <c r="P24" s="102">
        <f>SUM(D24:O24)</f>
        <v>112000</v>
      </c>
      <c r="Q24" s="122"/>
      <c r="R24" s="122"/>
      <c r="S24" s="80"/>
      <c r="U24" s="80"/>
    </row>
    <row r="25" spans="1:22" s="79" customFormat="1" ht="14.5" customHeight="1" x14ac:dyDescent="0.25">
      <c r="A25" s="92" t="s">
        <v>39</v>
      </c>
      <c r="B25" s="88" t="s">
        <v>37</v>
      </c>
      <c r="C25" s="89"/>
      <c r="D25" s="98">
        <f>D24</f>
        <v>11000</v>
      </c>
      <c r="E25" s="98">
        <f>E24</f>
        <v>7000</v>
      </c>
      <c r="F25" s="98">
        <f t="shared" ref="F25:O25" si="17">F24</f>
        <v>10000</v>
      </c>
      <c r="G25" s="98">
        <f t="shared" si="17"/>
        <v>10000</v>
      </c>
      <c r="H25" s="98">
        <f t="shared" si="17"/>
        <v>10000</v>
      </c>
      <c r="I25" s="98">
        <f t="shared" si="17"/>
        <v>10000</v>
      </c>
      <c r="J25" s="98">
        <f t="shared" si="17"/>
        <v>10000</v>
      </c>
      <c r="K25" s="98">
        <f t="shared" si="17"/>
        <v>10000</v>
      </c>
      <c r="L25" s="98">
        <f t="shared" si="17"/>
        <v>10000</v>
      </c>
      <c r="M25" s="98">
        <f t="shared" si="17"/>
        <v>8000</v>
      </c>
      <c r="N25" s="98">
        <f t="shared" si="17"/>
        <v>8000</v>
      </c>
      <c r="O25" s="98">
        <f t="shared" si="17"/>
        <v>8000</v>
      </c>
      <c r="P25" s="102">
        <f>SUM(D25:O25)</f>
        <v>112000</v>
      </c>
      <c r="Q25" s="123"/>
      <c r="R25" s="123"/>
      <c r="S25" s="80"/>
      <c r="U25" s="80"/>
    </row>
    <row r="26" spans="1:22" s="79" customFormat="1" ht="14.5" customHeight="1" x14ac:dyDescent="0.25">
      <c r="A26" s="100" t="s">
        <v>40</v>
      </c>
      <c r="B26" s="88" t="s">
        <v>30</v>
      </c>
      <c r="C26" s="89"/>
      <c r="D26" s="101">
        <f t="shared" ref="D26:O26" si="18">IF(D24=0,0,D25/D24)</f>
        <v>1</v>
      </c>
      <c r="E26" s="101">
        <f t="shared" si="18"/>
        <v>1</v>
      </c>
      <c r="F26" s="101">
        <f t="shared" si="18"/>
        <v>1</v>
      </c>
      <c r="G26" s="101">
        <f t="shared" si="18"/>
        <v>1</v>
      </c>
      <c r="H26" s="101">
        <f t="shared" si="18"/>
        <v>1</v>
      </c>
      <c r="I26" s="101">
        <f t="shared" si="18"/>
        <v>1</v>
      </c>
      <c r="J26" s="101">
        <f t="shared" si="18"/>
        <v>1</v>
      </c>
      <c r="K26" s="101">
        <f t="shared" si="18"/>
        <v>1</v>
      </c>
      <c r="L26" s="101">
        <f t="shared" si="18"/>
        <v>1</v>
      </c>
      <c r="M26" s="101">
        <f t="shared" si="18"/>
        <v>1</v>
      </c>
      <c r="N26" s="101">
        <f t="shared" si="18"/>
        <v>1</v>
      </c>
      <c r="O26" s="101">
        <f t="shared" si="18"/>
        <v>1</v>
      </c>
      <c r="P26" s="101">
        <f t="shared" ref="P26" si="19">IF(P24=0,0,P25/P24)</f>
        <v>1</v>
      </c>
      <c r="Q26" s="122"/>
      <c r="R26" s="122"/>
      <c r="S26" s="80"/>
      <c r="U26" s="80"/>
    </row>
    <row r="27" spans="1:22" s="79" customFormat="1" ht="14.5" customHeight="1" x14ac:dyDescent="0.25">
      <c r="A27" s="92" t="s">
        <v>41</v>
      </c>
      <c r="B27" s="88" t="s">
        <v>37</v>
      </c>
      <c r="C27" s="89"/>
      <c r="D27" s="102">
        <f>D24-D25</f>
        <v>0</v>
      </c>
      <c r="E27" s="102">
        <f t="shared" ref="E27:O27" si="20">E24-E25</f>
        <v>0</v>
      </c>
      <c r="F27" s="102">
        <f t="shared" si="20"/>
        <v>0</v>
      </c>
      <c r="G27" s="102">
        <f t="shared" si="20"/>
        <v>0</v>
      </c>
      <c r="H27" s="102">
        <f t="shared" si="20"/>
        <v>0</v>
      </c>
      <c r="I27" s="102">
        <f t="shared" si="20"/>
        <v>0</v>
      </c>
      <c r="J27" s="102">
        <f t="shared" si="20"/>
        <v>0</v>
      </c>
      <c r="K27" s="102">
        <f t="shared" si="20"/>
        <v>0</v>
      </c>
      <c r="L27" s="102">
        <f t="shared" si="20"/>
        <v>0</v>
      </c>
      <c r="M27" s="102">
        <f t="shared" si="20"/>
        <v>0</v>
      </c>
      <c r="N27" s="102">
        <f t="shared" si="20"/>
        <v>0</v>
      </c>
      <c r="O27" s="102">
        <f t="shared" si="20"/>
        <v>0</v>
      </c>
      <c r="P27" s="102">
        <f>SUM(D27:O27)</f>
        <v>0</v>
      </c>
      <c r="Q27" s="122"/>
      <c r="R27" s="122"/>
      <c r="S27" s="80"/>
      <c r="U27" s="80"/>
    </row>
    <row r="28" spans="1:22" s="79" customFormat="1" ht="14.5" customHeight="1" x14ac:dyDescent="0.25">
      <c r="A28" s="100" t="s">
        <v>40</v>
      </c>
      <c r="B28" s="103" t="s">
        <v>30</v>
      </c>
      <c r="C28" s="104"/>
      <c r="D28" s="101">
        <f t="shared" ref="D28:O28" si="21">IF(D24=0,0,D27/D24)</f>
        <v>0</v>
      </c>
      <c r="E28" s="101">
        <f t="shared" si="21"/>
        <v>0</v>
      </c>
      <c r="F28" s="101">
        <f t="shared" si="21"/>
        <v>0</v>
      </c>
      <c r="G28" s="101">
        <f t="shared" si="21"/>
        <v>0</v>
      </c>
      <c r="H28" s="101">
        <f t="shared" si="21"/>
        <v>0</v>
      </c>
      <c r="I28" s="101">
        <f t="shared" si="21"/>
        <v>0</v>
      </c>
      <c r="J28" s="101">
        <f t="shared" si="21"/>
        <v>0</v>
      </c>
      <c r="K28" s="101">
        <f t="shared" si="21"/>
        <v>0</v>
      </c>
      <c r="L28" s="101">
        <f t="shared" si="21"/>
        <v>0</v>
      </c>
      <c r="M28" s="101">
        <f t="shared" si="21"/>
        <v>0</v>
      </c>
      <c r="N28" s="101">
        <f t="shared" si="21"/>
        <v>0</v>
      </c>
      <c r="O28" s="101">
        <f t="shared" si="21"/>
        <v>0</v>
      </c>
      <c r="P28" s="101">
        <f t="shared" ref="P28" si="22">IF(P24=0,0,P27/P24)</f>
        <v>0</v>
      </c>
      <c r="Q28" s="122"/>
      <c r="R28" s="122"/>
      <c r="S28" s="80"/>
      <c r="U28" s="80"/>
    </row>
    <row r="29" spans="1:22" s="79" customFormat="1" ht="14.5" customHeight="1" x14ac:dyDescent="0.25">
      <c r="A29" s="87" t="s">
        <v>45</v>
      </c>
      <c r="B29" s="88" t="s">
        <v>37</v>
      </c>
      <c r="C29" s="89"/>
      <c r="D29" s="98">
        <v>922.73599999999999</v>
      </c>
      <c r="E29" s="98">
        <v>305.95999999999998</v>
      </c>
      <c r="F29" s="98">
        <v>456.012</v>
      </c>
      <c r="G29" s="98">
        <v>935.72199999999998</v>
      </c>
      <c r="H29" s="98">
        <v>698.19200000000001</v>
      </c>
      <c r="I29" s="98">
        <v>798.50400000000002</v>
      </c>
      <c r="J29" s="98">
        <v>919.13599999999997</v>
      </c>
      <c r="K29" s="98">
        <v>907.8</v>
      </c>
      <c r="L29" s="98">
        <v>927</v>
      </c>
      <c r="M29" s="98">
        <v>535</v>
      </c>
      <c r="N29" s="98">
        <v>637</v>
      </c>
      <c r="O29" s="98">
        <v>837</v>
      </c>
      <c r="P29" s="102">
        <f>SUM(D29:O29)</f>
        <v>8880.0619999999999</v>
      </c>
      <c r="Q29" s="122"/>
      <c r="R29" s="122"/>
      <c r="S29" s="80"/>
      <c r="U29" s="80"/>
    </row>
    <row r="30" spans="1:22" s="79" customFormat="1" ht="14.5" customHeight="1" x14ac:dyDescent="0.25">
      <c r="A30" s="87" t="s">
        <v>46</v>
      </c>
      <c r="B30" s="88"/>
      <c r="C30" s="89"/>
      <c r="D30" s="98">
        <v>0</v>
      </c>
      <c r="E30" s="98">
        <v>0</v>
      </c>
      <c r="F30" s="98">
        <v>0</v>
      </c>
      <c r="G30" s="98">
        <v>0</v>
      </c>
      <c r="H30" s="98">
        <v>0</v>
      </c>
      <c r="I30" s="98">
        <v>0</v>
      </c>
      <c r="J30" s="98">
        <v>0</v>
      </c>
      <c r="K30" s="98">
        <v>0</v>
      </c>
      <c r="L30" s="98">
        <v>0</v>
      </c>
      <c r="M30" s="98">
        <v>0</v>
      </c>
      <c r="N30" s="98">
        <v>0</v>
      </c>
      <c r="O30" s="98">
        <v>0</v>
      </c>
      <c r="P30" s="102">
        <f>SUM(D30:O30)</f>
        <v>0</v>
      </c>
      <c r="Q30" s="122"/>
      <c r="R30" s="122"/>
      <c r="S30" s="80"/>
      <c r="U30" s="80"/>
    </row>
    <row r="31" spans="1:22" s="79" customFormat="1" ht="14.5" customHeight="1" x14ac:dyDescent="0.25">
      <c r="A31" s="87" t="s">
        <v>47</v>
      </c>
      <c r="B31" s="88" t="s">
        <v>37</v>
      </c>
      <c r="C31" s="89"/>
      <c r="D31" s="102">
        <f>(D24+D30)*0.77+D29*0.735</f>
        <v>9148.2109600000003</v>
      </c>
      <c r="E31" s="102">
        <f t="shared" ref="E31:O31" si="23">(E24+E30)*0.77+E29*0.735</f>
        <v>5614.8806000000004</v>
      </c>
      <c r="F31" s="102">
        <f t="shared" si="23"/>
        <v>8035.1688199999999</v>
      </c>
      <c r="G31" s="102">
        <f t="shared" si="23"/>
        <v>8387.7556700000005</v>
      </c>
      <c r="H31" s="102">
        <f t="shared" si="23"/>
        <v>8213.1711200000009</v>
      </c>
      <c r="I31" s="102">
        <f t="shared" si="23"/>
        <v>8286.9004399999994</v>
      </c>
      <c r="J31" s="102">
        <f t="shared" si="23"/>
        <v>8375.5649599999997</v>
      </c>
      <c r="K31" s="102">
        <f t="shared" si="23"/>
        <v>8367.2330000000002</v>
      </c>
      <c r="L31" s="102">
        <f t="shared" si="23"/>
        <v>8381.3449999999993</v>
      </c>
      <c r="M31" s="102">
        <f t="shared" si="23"/>
        <v>6553.2250000000004</v>
      </c>
      <c r="N31" s="102">
        <f t="shared" si="23"/>
        <v>6628.1949999999997</v>
      </c>
      <c r="O31" s="102">
        <f t="shared" si="23"/>
        <v>6775.1949999999997</v>
      </c>
      <c r="P31" s="102">
        <f>SUM(D31:O31)</f>
        <v>92766.845570000005</v>
      </c>
      <c r="Q31" s="122"/>
      <c r="R31" s="122"/>
      <c r="S31" s="80"/>
      <c r="U31" s="80"/>
    </row>
    <row r="32" spans="1:22" s="79" customFormat="1" ht="14.5" customHeight="1" x14ac:dyDescent="0.25">
      <c r="A32" s="105" t="s">
        <v>48</v>
      </c>
      <c r="B32" s="106" t="s">
        <v>37</v>
      </c>
      <c r="C32" s="107"/>
      <c r="D32" s="108">
        <f>D23+D31</f>
        <v>9392.0959600000006</v>
      </c>
      <c r="E32" s="108">
        <f t="shared" ref="E32:O32" si="24">E23+E31</f>
        <v>5652.1556</v>
      </c>
      <c r="F32" s="108">
        <f t="shared" si="24"/>
        <v>8088.4188199999999</v>
      </c>
      <c r="G32" s="108">
        <f t="shared" si="24"/>
        <v>8463.7256699999998</v>
      </c>
      <c r="H32" s="108">
        <f t="shared" si="24"/>
        <v>8334.5811200000007</v>
      </c>
      <c r="I32" s="108">
        <f t="shared" si="24"/>
        <v>8509.4854400000004</v>
      </c>
      <c r="J32" s="108">
        <f t="shared" si="24"/>
        <v>8723.1099599999998</v>
      </c>
      <c r="K32" s="108">
        <f t="shared" si="24"/>
        <v>8692.0580000000009</v>
      </c>
      <c r="L32" s="108">
        <f t="shared" si="24"/>
        <v>8630.5550000000003</v>
      </c>
      <c r="M32" s="108">
        <f t="shared" si="24"/>
        <v>6785.3950000000004</v>
      </c>
      <c r="N32" s="108">
        <f t="shared" si="24"/>
        <v>6681.4449999999997</v>
      </c>
      <c r="O32" s="108">
        <f t="shared" si="24"/>
        <v>6844.42</v>
      </c>
      <c r="P32" s="108">
        <f t="shared" ref="P32" si="25">P23+P31</f>
        <v>94797.445569999996</v>
      </c>
      <c r="Q32" s="122"/>
      <c r="R32" s="122"/>
      <c r="S32" s="80"/>
      <c r="U32" s="80"/>
    </row>
    <row r="33" spans="1:23" s="78" customFormat="1" ht="14.5" customHeight="1" x14ac:dyDescent="0.25">
      <c r="A33" s="83" t="s">
        <v>49</v>
      </c>
      <c r="B33" s="84"/>
      <c r="C33" s="85"/>
      <c r="D33" s="86">
        <f>D34/0.87</f>
        <v>9996.5517241379293</v>
      </c>
      <c r="E33" s="86">
        <f t="shared" ref="E33:O33" si="26">E34/0.87</f>
        <v>6016.0919540229897</v>
      </c>
      <c r="F33" s="86">
        <f t="shared" si="26"/>
        <v>8609.1954022988502</v>
      </c>
      <c r="G33" s="86">
        <f t="shared" si="26"/>
        <v>9008.0459770114903</v>
      </c>
      <c r="H33" s="86">
        <f t="shared" si="26"/>
        <v>8871.2643678160894</v>
      </c>
      <c r="I33" s="86">
        <f t="shared" si="26"/>
        <v>9057.4712643678195</v>
      </c>
      <c r="J33" s="86">
        <f t="shared" si="26"/>
        <v>9285.0574712643702</v>
      </c>
      <c r="K33" s="86">
        <f t="shared" si="26"/>
        <v>9251.7241379310308</v>
      </c>
      <c r="L33" s="86">
        <f t="shared" si="26"/>
        <v>9186.2068965517192</v>
      </c>
      <c r="M33" s="86">
        <f t="shared" si="26"/>
        <v>7221.8390804597702</v>
      </c>
      <c r="N33" s="86">
        <f t="shared" si="26"/>
        <v>7111.4942528735601</v>
      </c>
      <c r="O33" s="86">
        <f t="shared" si="26"/>
        <v>7285.0574712643702</v>
      </c>
      <c r="P33" s="86">
        <f t="shared" ref="P33" si="27">P34/0.87</f>
        <v>100900</v>
      </c>
      <c r="Q33" s="122" t="s">
        <v>50</v>
      </c>
      <c r="R33" s="122"/>
      <c r="T33" s="121"/>
      <c r="U33" s="124"/>
      <c r="V33" s="80"/>
    </row>
    <row r="34" spans="1:23" s="79" customFormat="1" ht="14.5" customHeight="1" x14ac:dyDescent="0.25">
      <c r="A34" s="109" t="s">
        <v>52</v>
      </c>
      <c r="B34" s="103" t="s">
        <v>37</v>
      </c>
      <c r="C34" s="104"/>
      <c r="D34" s="110">
        <f>ROUND(D35*D$32,0)</f>
        <v>8697</v>
      </c>
      <c r="E34" s="110">
        <f t="shared" ref="E34:O34" si="28">ROUND(E35*E$32,0)</f>
        <v>5234</v>
      </c>
      <c r="F34" s="110">
        <f t="shared" si="28"/>
        <v>7490</v>
      </c>
      <c r="G34" s="110">
        <f t="shared" si="28"/>
        <v>7837</v>
      </c>
      <c r="H34" s="110">
        <f t="shared" si="28"/>
        <v>7718</v>
      </c>
      <c r="I34" s="110">
        <f t="shared" si="28"/>
        <v>7880</v>
      </c>
      <c r="J34" s="110">
        <f t="shared" si="28"/>
        <v>8078</v>
      </c>
      <c r="K34" s="110">
        <f t="shared" si="28"/>
        <v>8049</v>
      </c>
      <c r="L34" s="110">
        <f t="shared" si="28"/>
        <v>7992</v>
      </c>
      <c r="M34" s="110">
        <f t="shared" si="28"/>
        <v>6283</v>
      </c>
      <c r="N34" s="110">
        <f t="shared" si="28"/>
        <v>6187</v>
      </c>
      <c r="O34" s="110">
        <f t="shared" si="28"/>
        <v>6338</v>
      </c>
      <c r="P34" s="110">
        <f>SUM(D34:O34)</f>
        <v>87783</v>
      </c>
      <c r="Q34" s="122"/>
      <c r="R34" s="122"/>
      <c r="S34" s="80"/>
      <c r="U34" s="124"/>
      <c r="V34" s="80"/>
    </row>
    <row r="35" spans="1:23" s="79" customFormat="1" ht="14.5" customHeight="1" x14ac:dyDescent="0.25">
      <c r="A35" s="111" t="s">
        <v>53</v>
      </c>
      <c r="B35" s="103" t="s">
        <v>54</v>
      </c>
      <c r="C35" s="104"/>
      <c r="D35" s="112">
        <v>0.92600000000000005</v>
      </c>
      <c r="E35" s="112">
        <v>0.92600000000000005</v>
      </c>
      <c r="F35" s="112">
        <v>0.92600000000000005</v>
      </c>
      <c r="G35" s="112">
        <v>0.92600000000000005</v>
      </c>
      <c r="H35" s="112">
        <v>0.92600000000000005</v>
      </c>
      <c r="I35" s="112">
        <v>0.92600000000000005</v>
      </c>
      <c r="J35" s="112">
        <v>0.92600000000000005</v>
      </c>
      <c r="K35" s="112">
        <v>0.92600000000000005</v>
      </c>
      <c r="L35" s="112">
        <v>0.92600000000000005</v>
      </c>
      <c r="M35" s="112">
        <v>0.92600000000000005</v>
      </c>
      <c r="N35" s="112">
        <v>0.92600000000000005</v>
      </c>
      <c r="O35" s="112">
        <v>0.92600000000000005</v>
      </c>
      <c r="P35" s="118">
        <f>ROUND(IF(P$32=0,0,P34/P$32),3)</f>
        <v>0.92600000000000005</v>
      </c>
      <c r="Q35" s="125">
        <v>0.82899999999999996</v>
      </c>
      <c r="R35" s="125"/>
      <c r="S35" s="126"/>
      <c r="T35" s="127"/>
      <c r="U35" s="124"/>
      <c r="V35" s="80"/>
      <c r="W35" s="125"/>
    </row>
    <row r="36" spans="1:23" s="79" customFormat="1" ht="14.5" customHeight="1" x14ac:dyDescent="0.25">
      <c r="A36" s="109" t="s">
        <v>55</v>
      </c>
      <c r="B36" s="103" t="s">
        <v>56</v>
      </c>
      <c r="C36" s="104"/>
      <c r="D36" s="102">
        <f t="shared" ref="D36:O36" si="29">ROUND(D37*D$32,2)</f>
        <v>34750.76</v>
      </c>
      <c r="E36" s="102">
        <f t="shared" si="29"/>
        <v>21647.759999999998</v>
      </c>
      <c r="F36" s="102">
        <f t="shared" si="29"/>
        <v>30412.45</v>
      </c>
      <c r="G36" s="102">
        <f t="shared" si="29"/>
        <v>31823.61</v>
      </c>
      <c r="H36" s="102">
        <f t="shared" si="29"/>
        <v>31338.03</v>
      </c>
      <c r="I36" s="102">
        <f t="shared" si="29"/>
        <v>31995.67</v>
      </c>
      <c r="J36" s="102">
        <f t="shared" si="29"/>
        <v>32798.89</v>
      </c>
      <c r="K36" s="102">
        <f t="shared" si="29"/>
        <v>32682.14</v>
      </c>
      <c r="L36" s="102">
        <f t="shared" si="29"/>
        <v>32450.89</v>
      </c>
      <c r="M36" s="102">
        <f t="shared" si="29"/>
        <v>25784.5</v>
      </c>
      <c r="N36" s="102">
        <f t="shared" si="29"/>
        <v>25389.49</v>
      </c>
      <c r="O36" s="102">
        <f t="shared" si="29"/>
        <v>26008.799999999999</v>
      </c>
      <c r="P36" s="110">
        <f>SUM(D36:O36)</f>
        <v>357082.99</v>
      </c>
      <c r="Q36" s="122"/>
      <c r="R36" s="128"/>
      <c r="S36" s="126"/>
      <c r="U36" s="124"/>
      <c r="W36" s="122"/>
    </row>
    <row r="37" spans="1:23" s="79" customFormat="1" ht="14.5" customHeight="1" x14ac:dyDescent="0.25">
      <c r="A37" s="111" t="s">
        <v>53</v>
      </c>
      <c r="B37" s="103" t="s">
        <v>57</v>
      </c>
      <c r="C37" s="104"/>
      <c r="D37" s="113">
        <v>3.7</v>
      </c>
      <c r="E37" s="113">
        <v>3.83</v>
      </c>
      <c r="F37" s="113">
        <v>3.76</v>
      </c>
      <c r="G37" s="113">
        <v>3.76</v>
      </c>
      <c r="H37" s="113">
        <v>3.76</v>
      </c>
      <c r="I37" s="113">
        <v>3.76</v>
      </c>
      <c r="J37" s="113">
        <v>3.76</v>
      </c>
      <c r="K37" s="113">
        <v>3.76</v>
      </c>
      <c r="L37" s="113">
        <v>3.76</v>
      </c>
      <c r="M37" s="113">
        <v>3.8</v>
      </c>
      <c r="N37" s="113">
        <v>3.8</v>
      </c>
      <c r="O37" s="113">
        <v>3.8</v>
      </c>
      <c r="P37" s="118">
        <f>ROUND(IF(P$32=0,0,P36/P$32),3)</f>
        <v>3.7669999999999999</v>
      </c>
      <c r="Q37" s="129">
        <v>2.9</v>
      </c>
      <c r="R37" s="125"/>
      <c r="S37" s="126"/>
      <c r="U37" s="124"/>
      <c r="W37" s="129"/>
    </row>
    <row r="38" spans="1:23" s="79" customFormat="1" ht="14.5" customHeight="1" x14ac:dyDescent="0.25">
      <c r="A38" s="109" t="s">
        <v>58</v>
      </c>
      <c r="B38" s="103" t="s">
        <v>56</v>
      </c>
      <c r="C38" s="104"/>
      <c r="D38" s="110">
        <f t="shared" ref="D38:O38" si="30">ROUND(D39*D$32,2)</f>
        <v>38319.75</v>
      </c>
      <c r="E38" s="110">
        <f t="shared" si="30"/>
        <v>23908.62</v>
      </c>
      <c r="F38" s="110">
        <f t="shared" si="30"/>
        <v>33566.94</v>
      </c>
      <c r="G38" s="110">
        <f t="shared" si="30"/>
        <v>35124.46</v>
      </c>
      <c r="H38" s="110">
        <f t="shared" si="30"/>
        <v>34588.51</v>
      </c>
      <c r="I38" s="110">
        <f t="shared" si="30"/>
        <v>35314.36</v>
      </c>
      <c r="J38" s="110">
        <f t="shared" si="30"/>
        <v>36200.910000000003</v>
      </c>
      <c r="K38" s="110">
        <f t="shared" si="30"/>
        <v>36072.04</v>
      </c>
      <c r="L38" s="110">
        <f t="shared" si="30"/>
        <v>35816.800000000003</v>
      </c>
      <c r="M38" s="110">
        <f t="shared" si="30"/>
        <v>28430.81</v>
      </c>
      <c r="N38" s="110">
        <f t="shared" si="30"/>
        <v>27995.25</v>
      </c>
      <c r="O38" s="110">
        <f t="shared" si="30"/>
        <v>28678.12</v>
      </c>
      <c r="P38" s="110">
        <f>SUM(D38:O38)</f>
        <v>394016.57</v>
      </c>
      <c r="Q38" s="122"/>
      <c r="R38" s="128"/>
      <c r="S38" s="126"/>
      <c r="U38" s="124"/>
      <c r="W38" s="122"/>
    </row>
    <row r="39" spans="1:23" s="79" customFormat="1" ht="14.5" customHeight="1" x14ac:dyDescent="0.25">
      <c r="A39" s="111" t="s">
        <v>53</v>
      </c>
      <c r="B39" s="103" t="s">
        <v>57</v>
      </c>
      <c r="C39" s="104"/>
      <c r="D39" s="113">
        <v>4.08</v>
      </c>
      <c r="E39" s="113">
        <v>4.2300000000000004</v>
      </c>
      <c r="F39" s="113">
        <v>4.1500000000000004</v>
      </c>
      <c r="G39" s="113">
        <v>4.1500000000000004</v>
      </c>
      <c r="H39" s="113">
        <v>4.1500000000000004</v>
      </c>
      <c r="I39" s="113">
        <v>4.1500000000000004</v>
      </c>
      <c r="J39" s="113">
        <v>4.1500000000000004</v>
      </c>
      <c r="K39" s="113">
        <v>4.1500000000000004</v>
      </c>
      <c r="L39" s="113">
        <v>4.1500000000000004</v>
      </c>
      <c r="M39" s="113">
        <v>4.1900000000000004</v>
      </c>
      <c r="N39" s="113">
        <v>4.1900000000000004</v>
      </c>
      <c r="O39" s="113">
        <v>4.1900000000000004</v>
      </c>
      <c r="P39" s="118">
        <f>ROUND(IF(P$32=0,0,P38/P$32),3)</f>
        <v>4.1559999999999997</v>
      </c>
      <c r="Q39" s="129">
        <v>3.2</v>
      </c>
      <c r="R39" s="125"/>
      <c r="S39" s="126"/>
      <c r="U39" s="124"/>
      <c r="W39" s="129"/>
    </row>
    <row r="40" spans="1:23" s="79" customFormat="1" ht="14.5" customHeight="1" x14ac:dyDescent="0.25">
      <c r="A40" s="109" t="s">
        <v>59</v>
      </c>
      <c r="B40" s="103" t="s">
        <v>56</v>
      </c>
      <c r="C40" s="104"/>
      <c r="D40" s="110">
        <f t="shared" ref="D40:O40" si="31">ROUND(D41*D$32,2)</f>
        <v>3569</v>
      </c>
      <c r="E40" s="110">
        <f t="shared" si="31"/>
        <v>2260.86</v>
      </c>
      <c r="F40" s="110">
        <f t="shared" si="31"/>
        <v>3154.48</v>
      </c>
      <c r="G40" s="110">
        <f t="shared" si="31"/>
        <v>3300.85</v>
      </c>
      <c r="H40" s="110">
        <f t="shared" si="31"/>
        <v>3250.49</v>
      </c>
      <c r="I40" s="110">
        <f t="shared" si="31"/>
        <v>3318.7</v>
      </c>
      <c r="J40" s="110">
        <f t="shared" si="31"/>
        <v>3402.01</v>
      </c>
      <c r="K40" s="110">
        <f t="shared" si="31"/>
        <v>3389.9</v>
      </c>
      <c r="L40" s="110">
        <f t="shared" si="31"/>
        <v>3365.92</v>
      </c>
      <c r="M40" s="110">
        <f t="shared" si="31"/>
        <v>2646.3</v>
      </c>
      <c r="N40" s="110">
        <f t="shared" si="31"/>
        <v>2605.7600000000002</v>
      </c>
      <c r="O40" s="110">
        <f t="shared" si="31"/>
        <v>2669.32</v>
      </c>
      <c r="P40" s="110">
        <f>SUM(D40:O40)</f>
        <v>36933.589999999997</v>
      </c>
      <c r="Q40" s="122"/>
      <c r="R40" s="128"/>
      <c r="S40" s="126"/>
      <c r="U40" s="124"/>
      <c r="W40" s="122"/>
    </row>
    <row r="41" spans="1:23" s="79" customFormat="1" ht="14.5" customHeight="1" x14ac:dyDescent="0.25">
      <c r="A41" s="111" t="s">
        <v>53</v>
      </c>
      <c r="B41" s="103" t="s">
        <v>57</v>
      </c>
      <c r="C41" s="104"/>
      <c r="D41" s="113">
        <v>0.38</v>
      </c>
      <c r="E41" s="113">
        <v>0.4</v>
      </c>
      <c r="F41" s="113">
        <v>0.39</v>
      </c>
      <c r="G41" s="113">
        <v>0.39</v>
      </c>
      <c r="H41" s="113">
        <v>0.39</v>
      </c>
      <c r="I41" s="113">
        <v>0.39</v>
      </c>
      <c r="J41" s="113">
        <v>0.39</v>
      </c>
      <c r="K41" s="113">
        <v>0.39</v>
      </c>
      <c r="L41" s="113">
        <v>0.39</v>
      </c>
      <c r="M41" s="113">
        <v>0.39</v>
      </c>
      <c r="N41" s="113">
        <v>0.39</v>
      </c>
      <c r="O41" s="113">
        <v>0.39</v>
      </c>
      <c r="P41" s="118">
        <f>ROUND(IF(P$32=0,0,P40/P$32),3)</f>
        <v>0.39</v>
      </c>
      <c r="Q41" s="129">
        <v>0.3</v>
      </c>
      <c r="R41" s="125"/>
      <c r="S41" s="126"/>
      <c r="U41" s="124"/>
      <c r="W41" s="129"/>
    </row>
    <row r="42" spans="1:23" s="79" customFormat="1" ht="14.5" customHeight="1" x14ac:dyDescent="0.25">
      <c r="A42" s="109" t="s">
        <v>60</v>
      </c>
      <c r="B42" s="103" t="s">
        <v>56</v>
      </c>
      <c r="C42" s="104"/>
      <c r="D42" s="110">
        <f t="shared" ref="D42:O42" si="32">ROUND(D43*D$32,2)</f>
        <v>2319.85</v>
      </c>
      <c r="E42" s="110">
        <f t="shared" si="32"/>
        <v>1396.08</v>
      </c>
      <c r="F42" s="110">
        <f t="shared" si="32"/>
        <v>1997.84</v>
      </c>
      <c r="G42" s="110">
        <f t="shared" si="32"/>
        <v>2090.54</v>
      </c>
      <c r="H42" s="110">
        <f t="shared" si="32"/>
        <v>2058.64</v>
      </c>
      <c r="I42" s="110">
        <f t="shared" si="32"/>
        <v>2101.84</v>
      </c>
      <c r="J42" s="110">
        <f t="shared" si="32"/>
        <v>2154.61</v>
      </c>
      <c r="K42" s="110">
        <f t="shared" si="32"/>
        <v>2146.94</v>
      </c>
      <c r="L42" s="110">
        <f t="shared" si="32"/>
        <v>2131.75</v>
      </c>
      <c r="M42" s="110">
        <f t="shared" si="32"/>
        <v>1675.99</v>
      </c>
      <c r="N42" s="110">
        <f t="shared" si="32"/>
        <v>1650.32</v>
      </c>
      <c r="O42" s="110">
        <f t="shared" si="32"/>
        <v>1690.57</v>
      </c>
      <c r="P42" s="110">
        <f>SUM(D42:O42)</f>
        <v>23414.97</v>
      </c>
      <c r="Q42" s="122"/>
      <c r="R42" s="128"/>
      <c r="S42" s="126"/>
      <c r="U42" s="124"/>
      <c r="W42" s="122"/>
    </row>
    <row r="43" spans="1:23" s="79" customFormat="1" ht="14.5" customHeight="1" x14ac:dyDescent="0.25">
      <c r="A43" s="111" t="s">
        <v>53</v>
      </c>
      <c r="B43" s="103" t="s">
        <v>57</v>
      </c>
      <c r="C43" s="104"/>
      <c r="D43" s="113">
        <v>0.247</v>
      </c>
      <c r="E43" s="113">
        <v>0.247</v>
      </c>
      <c r="F43" s="113">
        <v>0.247</v>
      </c>
      <c r="G43" s="113">
        <v>0.247</v>
      </c>
      <c r="H43" s="113">
        <v>0.247</v>
      </c>
      <c r="I43" s="113">
        <v>0.247</v>
      </c>
      <c r="J43" s="113">
        <v>0.247</v>
      </c>
      <c r="K43" s="113">
        <v>0.247</v>
      </c>
      <c r="L43" s="113">
        <v>0.247</v>
      </c>
      <c r="M43" s="113">
        <v>0.247</v>
      </c>
      <c r="N43" s="113">
        <v>0.247</v>
      </c>
      <c r="O43" s="113">
        <v>0.247</v>
      </c>
      <c r="P43" s="118">
        <f>ROUND(IF(P$32=0,0,P42/P$32),3)</f>
        <v>0.247</v>
      </c>
      <c r="Q43" s="129">
        <v>0.19</v>
      </c>
      <c r="R43" s="125"/>
      <c r="S43" s="126"/>
      <c r="U43" s="124"/>
      <c r="W43" s="129"/>
    </row>
    <row r="44" spans="1:23" s="79" customFormat="1" ht="14.5" customHeight="1" x14ac:dyDescent="0.25">
      <c r="A44" s="114" t="s">
        <v>61</v>
      </c>
      <c r="B44" s="103" t="s">
        <v>56</v>
      </c>
      <c r="C44" s="104"/>
      <c r="D44" s="110">
        <f t="shared" ref="D44:O44" si="33">ROUND(D45*D$32,2)</f>
        <v>1587.26</v>
      </c>
      <c r="E44" s="110">
        <f t="shared" si="33"/>
        <v>955.21</v>
      </c>
      <c r="F44" s="110">
        <f t="shared" si="33"/>
        <v>1366.94</v>
      </c>
      <c r="G44" s="110">
        <f t="shared" si="33"/>
        <v>1430.37</v>
      </c>
      <c r="H44" s="110">
        <f t="shared" si="33"/>
        <v>1408.54</v>
      </c>
      <c r="I44" s="110">
        <f t="shared" si="33"/>
        <v>1438.1</v>
      </c>
      <c r="J44" s="110">
        <f t="shared" si="33"/>
        <v>1474.21</v>
      </c>
      <c r="K44" s="110">
        <f t="shared" si="33"/>
        <v>1468.96</v>
      </c>
      <c r="L44" s="110">
        <f t="shared" si="33"/>
        <v>1458.56</v>
      </c>
      <c r="M44" s="110">
        <f t="shared" si="33"/>
        <v>1146.73</v>
      </c>
      <c r="N44" s="110">
        <f t="shared" si="33"/>
        <v>1129.1600000000001</v>
      </c>
      <c r="O44" s="110">
        <f t="shared" si="33"/>
        <v>1156.71</v>
      </c>
      <c r="P44" s="110">
        <f>SUM(D44:O44)</f>
        <v>16020.75</v>
      </c>
      <c r="Q44" s="122"/>
      <c r="R44" s="128"/>
      <c r="S44" s="126"/>
      <c r="U44" s="124"/>
      <c r="W44" s="122"/>
    </row>
    <row r="45" spans="1:23" s="79" customFormat="1" ht="14.5" customHeight="1" x14ac:dyDescent="0.25">
      <c r="A45" s="111" t="s">
        <v>53</v>
      </c>
      <c r="B45" s="103" t="s">
        <v>57</v>
      </c>
      <c r="C45" s="104"/>
      <c r="D45" s="113">
        <v>0.16900000000000001</v>
      </c>
      <c r="E45" s="113">
        <v>0.16900000000000001</v>
      </c>
      <c r="F45" s="113">
        <v>0.16900000000000001</v>
      </c>
      <c r="G45" s="113">
        <v>0.16900000000000001</v>
      </c>
      <c r="H45" s="113">
        <v>0.16900000000000001</v>
      </c>
      <c r="I45" s="113">
        <v>0.16900000000000001</v>
      </c>
      <c r="J45" s="113">
        <v>0.16900000000000001</v>
      </c>
      <c r="K45" s="113">
        <v>0.16900000000000001</v>
      </c>
      <c r="L45" s="113">
        <v>0.16900000000000001</v>
      </c>
      <c r="M45" s="113">
        <v>0.16900000000000001</v>
      </c>
      <c r="N45" s="113">
        <v>0.16900000000000001</v>
      </c>
      <c r="O45" s="113">
        <v>0.16900000000000001</v>
      </c>
      <c r="P45" s="118">
        <f>ROUND(IF(P$32=0,0,P44/P$32),3)</f>
        <v>0.16900000000000001</v>
      </c>
      <c r="Q45" s="129">
        <v>0.13</v>
      </c>
      <c r="R45" s="125"/>
      <c r="S45" s="126"/>
      <c r="U45" s="124"/>
      <c r="W45" s="129"/>
    </row>
    <row r="46" spans="1:23" s="79" customFormat="1" ht="14.5" customHeight="1" x14ac:dyDescent="0.25">
      <c r="A46" s="109" t="s">
        <v>62</v>
      </c>
      <c r="B46" s="103" t="s">
        <v>56</v>
      </c>
      <c r="C46" s="104"/>
      <c r="D46" s="110">
        <f t="shared" ref="D46:O46" si="34">ROUND(D47*D$32,2)</f>
        <v>2441.94</v>
      </c>
      <c r="E46" s="110">
        <f t="shared" si="34"/>
        <v>1469.56</v>
      </c>
      <c r="F46" s="110">
        <f t="shared" si="34"/>
        <v>2102.9899999999998</v>
      </c>
      <c r="G46" s="110">
        <f t="shared" si="34"/>
        <v>2200.5700000000002</v>
      </c>
      <c r="H46" s="110">
        <f t="shared" si="34"/>
        <v>2166.9899999999998</v>
      </c>
      <c r="I46" s="110">
        <f t="shared" si="34"/>
        <v>2212.4699999999998</v>
      </c>
      <c r="J46" s="110">
        <f t="shared" si="34"/>
        <v>2268.0100000000002</v>
      </c>
      <c r="K46" s="110">
        <f t="shared" si="34"/>
        <v>2259.94</v>
      </c>
      <c r="L46" s="110">
        <f t="shared" si="34"/>
        <v>2243.94</v>
      </c>
      <c r="M46" s="110">
        <f t="shared" si="34"/>
        <v>1764.2</v>
      </c>
      <c r="N46" s="110">
        <f t="shared" si="34"/>
        <v>1737.18</v>
      </c>
      <c r="O46" s="110">
        <f t="shared" si="34"/>
        <v>1779.55</v>
      </c>
      <c r="P46" s="110">
        <f>SUM(D46:O46)</f>
        <v>24647.34</v>
      </c>
      <c r="Q46" s="122"/>
      <c r="R46" s="128"/>
      <c r="S46" s="126"/>
      <c r="U46" s="124"/>
      <c r="W46" s="122"/>
    </row>
    <row r="47" spans="1:23" s="79" customFormat="1" ht="14.5" customHeight="1" x14ac:dyDescent="0.25">
      <c r="A47" s="111" t="s">
        <v>53</v>
      </c>
      <c r="B47" s="103" t="s">
        <v>57</v>
      </c>
      <c r="C47" s="104"/>
      <c r="D47" s="113">
        <v>0.26</v>
      </c>
      <c r="E47" s="113">
        <v>0.26</v>
      </c>
      <c r="F47" s="113">
        <v>0.26</v>
      </c>
      <c r="G47" s="113">
        <v>0.26</v>
      </c>
      <c r="H47" s="113">
        <v>0.26</v>
      </c>
      <c r="I47" s="113">
        <v>0.26</v>
      </c>
      <c r="J47" s="113">
        <v>0.26</v>
      </c>
      <c r="K47" s="113">
        <v>0.26</v>
      </c>
      <c r="L47" s="113">
        <v>0.26</v>
      </c>
      <c r="M47" s="113">
        <v>0.26</v>
      </c>
      <c r="N47" s="113">
        <v>0.26</v>
      </c>
      <c r="O47" s="113">
        <v>0.26</v>
      </c>
      <c r="P47" s="118">
        <f>ROUND(IF(P$32=0,0,P46/P$32),3)</f>
        <v>0.26</v>
      </c>
      <c r="Q47" s="129">
        <v>0.2</v>
      </c>
      <c r="R47" s="125"/>
      <c r="S47" s="126"/>
      <c r="U47" s="124"/>
      <c r="W47" s="129"/>
    </row>
    <row r="48" spans="1:23" s="79" customFormat="1" ht="14.5" customHeight="1" x14ac:dyDescent="0.25">
      <c r="A48" s="109" t="s">
        <v>63</v>
      </c>
      <c r="B48" s="103" t="s">
        <v>56</v>
      </c>
      <c r="C48" s="104"/>
      <c r="D48" s="110">
        <f t="shared" ref="D48:O48" si="35">ROUND(D49*D$32,2)</f>
        <v>976.78</v>
      </c>
      <c r="E48" s="110">
        <f t="shared" si="35"/>
        <v>587.82000000000005</v>
      </c>
      <c r="F48" s="110">
        <f t="shared" si="35"/>
        <v>841.2</v>
      </c>
      <c r="G48" s="110">
        <f t="shared" si="35"/>
        <v>880.23</v>
      </c>
      <c r="H48" s="110">
        <f t="shared" si="35"/>
        <v>866.8</v>
      </c>
      <c r="I48" s="110">
        <f t="shared" si="35"/>
        <v>884.99</v>
      </c>
      <c r="J48" s="110">
        <f t="shared" si="35"/>
        <v>907.2</v>
      </c>
      <c r="K48" s="110">
        <f t="shared" si="35"/>
        <v>903.97</v>
      </c>
      <c r="L48" s="110">
        <f t="shared" si="35"/>
        <v>897.58</v>
      </c>
      <c r="M48" s="110">
        <f t="shared" si="35"/>
        <v>705.68</v>
      </c>
      <c r="N48" s="110">
        <f t="shared" si="35"/>
        <v>694.87</v>
      </c>
      <c r="O48" s="110">
        <f t="shared" si="35"/>
        <v>711.82</v>
      </c>
      <c r="P48" s="110">
        <f>SUM(D48:O48)</f>
        <v>9858.94</v>
      </c>
      <c r="Q48" s="122"/>
      <c r="R48" s="128"/>
      <c r="S48" s="126"/>
      <c r="U48" s="124"/>
      <c r="W48" s="122"/>
    </row>
    <row r="49" spans="1:23" s="79" customFormat="1" ht="14.5" customHeight="1" x14ac:dyDescent="0.25">
      <c r="A49" s="111" t="s">
        <v>53</v>
      </c>
      <c r="B49" s="103" t="s">
        <v>57</v>
      </c>
      <c r="C49" s="104"/>
      <c r="D49" s="113">
        <v>0.104</v>
      </c>
      <c r="E49" s="113">
        <v>0.104</v>
      </c>
      <c r="F49" s="113">
        <v>0.104</v>
      </c>
      <c r="G49" s="113">
        <v>0.104</v>
      </c>
      <c r="H49" s="113">
        <v>0.104</v>
      </c>
      <c r="I49" s="113">
        <v>0.104</v>
      </c>
      <c r="J49" s="113">
        <v>0.104</v>
      </c>
      <c r="K49" s="113">
        <v>0.104</v>
      </c>
      <c r="L49" s="113">
        <v>0.104</v>
      </c>
      <c r="M49" s="113">
        <v>0.104</v>
      </c>
      <c r="N49" s="113">
        <v>0.104</v>
      </c>
      <c r="O49" s="113">
        <v>0.104</v>
      </c>
      <c r="P49" s="118">
        <f>ROUND(IF(P$32=0,0,P48/P$32),3)</f>
        <v>0.104</v>
      </c>
      <c r="Q49" s="129">
        <f>P49*0.77</f>
        <v>8.0079999999999998E-2</v>
      </c>
      <c r="R49" s="125"/>
      <c r="S49" s="126"/>
      <c r="U49" s="124"/>
      <c r="W49" s="129"/>
    </row>
    <row r="50" spans="1:23" s="79" customFormat="1" ht="14.5" customHeight="1" x14ac:dyDescent="0.25">
      <c r="A50" s="109" t="s">
        <v>64</v>
      </c>
      <c r="B50" s="103" t="s">
        <v>56</v>
      </c>
      <c r="C50" s="104"/>
      <c r="D50" s="110">
        <f t="shared" ref="D50:O50" si="36">ROUND(D51*D$32,2)</f>
        <v>3296.63</v>
      </c>
      <c r="E50" s="110">
        <f t="shared" si="36"/>
        <v>2034.78</v>
      </c>
      <c r="F50" s="110">
        <f t="shared" si="36"/>
        <v>2839.04</v>
      </c>
      <c r="G50" s="110">
        <f t="shared" si="36"/>
        <v>2970.77</v>
      </c>
      <c r="H50" s="110">
        <f t="shared" si="36"/>
        <v>2925.44</v>
      </c>
      <c r="I50" s="110">
        <f t="shared" si="36"/>
        <v>2986.83</v>
      </c>
      <c r="J50" s="110">
        <f t="shared" si="36"/>
        <v>3061.81</v>
      </c>
      <c r="K50" s="110">
        <f t="shared" si="36"/>
        <v>3050.91</v>
      </c>
      <c r="L50" s="110">
        <f t="shared" si="36"/>
        <v>3029.32</v>
      </c>
      <c r="M50" s="110">
        <f t="shared" si="36"/>
        <v>2381.67</v>
      </c>
      <c r="N50" s="110">
        <f t="shared" si="36"/>
        <v>2345.19</v>
      </c>
      <c r="O50" s="110">
        <f t="shared" si="36"/>
        <v>2402.39</v>
      </c>
      <c r="P50" s="110">
        <f>SUM(D50:O50)</f>
        <v>33324.78</v>
      </c>
      <c r="Q50" s="122"/>
      <c r="R50" s="128"/>
      <c r="S50" s="126"/>
      <c r="U50" s="124"/>
      <c r="W50" s="122"/>
    </row>
    <row r="51" spans="1:23" s="79" customFormat="1" ht="14.5" customHeight="1" x14ac:dyDescent="0.25">
      <c r="A51" s="111" t="s">
        <v>53</v>
      </c>
      <c r="B51" s="103" t="s">
        <v>57</v>
      </c>
      <c r="C51" s="104"/>
      <c r="D51" s="113">
        <v>0.35099999999999998</v>
      </c>
      <c r="E51" s="113">
        <v>0.36</v>
      </c>
      <c r="F51" s="113">
        <v>0.35099999999999998</v>
      </c>
      <c r="G51" s="113">
        <v>0.35099999999999998</v>
      </c>
      <c r="H51" s="113">
        <v>0.35099999999999998</v>
      </c>
      <c r="I51" s="113">
        <v>0.35099999999999998</v>
      </c>
      <c r="J51" s="113">
        <v>0.35099999999999998</v>
      </c>
      <c r="K51" s="113">
        <v>0.35099999999999998</v>
      </c>
      <c r="L51" s="113">
        <v>0.35099999999999998</v>
      </c>
      <c r="M51" s="113">
        <v>0.35099999999999998</v>
      </c>
      <c r="N51" s="113">
        <v>0.35099999999999998</v>
      </c>
      <c r="O51" s="113">
        <v>0.35099999999999998</v>
      </c>
      <c r="P51" s="118">
        <f>ROUND(IF(P$32=0,0,P50/P$32),3)</f>
        <v>0.35199999999999998</v>
      </c>
      <c r="Q51" s="129">
        <f>P51*0.77</f>
        <v>0.27104</v>
      </c>
      <c r="R51" s="125"/>
      <c r="S51" s="126"/>
      <c r="U51" s="124"/>
      <c r="W51" s="129"/>
    </row>
    <row r="52" spans="1:23" s="79" customFormat="1" ht="14.5" customHeight="1" x14ac:dyDescent="0.25">
      <c r="A52" s="109" t="s">
        <v>65</v>
      </c>
      <c r="B52" s="103" t="s">
        <v>56</v>
      </c>
      <c r="C52" s="104"/>
      <c r="D52" s="110">
        <f t="shared" ref="D52:O52" si="37">ROUND(D53*D$32,2)</f>
        <v>3296.63</v>
      </c>
      <c r="E52" s="110">
        <f t="shared" si="37"/>
        <v>2034.78</v>
      </c>
      <c r="F52" s="110">
        <f t="shared" si="37"/>
        <v>2839.04</v>
      </c>
      <c r="G52" s="110">
        <f t="shared" si="37"/>
        <v>2970.77</v>
      </c>
      <c r="H52" s="110">
        <f t="shared" si="37"/>
        <v>2925.44</v>
      </c>
      <c r="I52" s="110">
        <f t="shared" si="37"/>
        <v>2986.83</v>
      </c>
      <c r="J52" s="110">
        <f t="shared" si="37"/>
        <v>3061.81</v>
      </c>
      <c r="K52" s="110">
        <f t="shared" si="37"/>
        <v>3050.91</v>
      </c>
      <c r="L52" s="110">
        <f t="shared" si="37"/>
        <v>3029.32</v>
      </c>
      <c r="M52" s="110">
        <f t="shared" si="37"/>
        <v>2381.67</v>
      </c>
      <c r="N52" s="110">
        <f t="shared" si="37"/>
        <v>2345.19</v>
      </c>
      <c r="O52" s="110">
        <f t="shared" si="37"/>
        <v>2402.39</v>
      </c>
      <c r="P52" s="110">
        <f>SUM(D52:O52)</f>
        <v>33324.78</v>
      </c>
      <c r="Q52" s="122"/>
      <c r="R52" s="128"/>
      <c r="S52" s="126"/>
      <c r="U52" s="124"/>
      <c r="W52" s="122"/>
    </row>
    <row r="53" spans="1:23" s="79" customFormat="1" ht="14.5" customHeight="1" x14ac:dyDescent="0.25">
      <c r="A53" s="111" t="s">
        <v>53</v>
      </c>
      <c r="B53" s="103" t="s">
        <v>57</v>
      </c>
      <c r="C53" s="104"/>
      <c r="D53" s="113">
        <v>0.35099999999999998</v>
      </c>
      <c r="E53" s="113">
        <v>0.36</v>
      </c>
      <c r="F53" s="113">
        <v>0.35099999999999998</v>
      </c>
      <c r="G53" s="113">
        <v>0.35099999999999998</v>
      </c>
      <c r="H53" s="113">
        <v>0.35099999999999998</v>
      </c>
      <c r="I53" s="113">
        <v>0.35099999999999998</v>
      </c>
      <c r="J53" s="113">
        <v>0.35099999999999998</v>
      </c>
      <c r="K53" s="113">
        <v>0.35099999999999998</v>
      </c>
      <c r="L53" s="113">
        <v>0.35099999999999998</v>
      </c>
      <c r="M53" s="113">
        <v>0.35099999999999998</v>
      </c>
      <c r="N53" s="113">
        <v>0.35099999999999998</v>
      </c>
      <c r="O53" s="113">
        <v>0.35099999999999998</v>
      </c>
      <c r="P53" s="118">
        <f>ROUND(IF(P$32=0,0,P52/P$32),3)</f>
        <v>0.35199999999999998</v>
      </c>
      <c r="Q53" s="129">
        <f>P53*0.77</f>
        <v>0.27104</v>
      </c>
      <c r="R53" s="125"/>
      <c r="S53" s="126"/>
      <c r="U53" s="124"/>
      <c r="W53" s="129"/>
    </row>
    <row r="54" spans="1:23" s="78" customFormat="1" ht="14.5" customHeight="1" x14ac:dyDescent="0.25">
      <c r="A54" s="83" t="s">
        <v>66</v>
      </c>
      <c r="B54" s="84"/>
      <c r="C54" s="85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122"/>
      <c r="R54" s="130"/>
      <c r="S54" s="130"/>
      <c r="T54" s="121"/>
      <c r="U54" s="124"/>
      <c r="V54" s="121"/>
    </row>
    <row r="55" spans="1:23" s="79" customFormat="1" ht="14.5" customHeight="1" x14ac:dyDescent="0.25">
      <c r="A55" s="109" t="s">
        <v>67</v>
      </c>
      <c r="B55" s="103" t="s">
        <v>37</v>
      </c>
      <c r="C55" s="104"/>
      <c r="D55" s="110">
        <f>ROUND(D56*D$32,0)</f>
        <v>26861</v>
      </c>
      <c r="E55" s="110">
        <f t="shared" ref="E55:O55" si="38">ROUND(E56*E$32,0)</f>
        <v>16730</v>
      </c>
      <c r="F55" s="110">
        <f t="shared" si="38"/>
        <v>23456</v>
      </c>
      <c r="G55" s="110">
        <f t="shared" si="38"/>
        <v>24545</v>
      </c>
      <c r="H55" s="110">
        <f t="shared" si="38"/>
        <v>24170</v>
      </c>
      <c r="I55" s="110">
        <f t="shared" si="38"/>
        <v>24678</v>
      </c>
      <c r="J55" s="110">
        <f t="shared" si="38"/>
        <v>25297</v>
      </c>
      <c r="K55" s="110">
        <f t="shared" si="38"/>
        <v>25207</v>
      </c>
      <c r="L55" s="110">
        <f t="shared" si="38"/>
        <v>25029</v>
      </c>
      <c r="M55" s="110">
        <f t="shared" si="38"/>
        <v>19881</v>
      </c>
      <c r="N55" s="110">
        <f t="shared" si="38"/>
        <v>19577</v>
      </c>
      <c r="O55" s="110">
        <f t="shared" si="38"/>
        <v>20054</v>
      </c>
      <c r="P55" s="110">
        <f>SUM(D55:O55)</f>
        <v>275485</v>
      </c>
      <c r="Q55" s="122"/>
      <c r="R55" s="128"/>
      <c r="S55" s="126"/>
      <c r="U55" s="124"/>
    </row>
    <row r="56" spans="1:23" s="79" customFormat="1" ht="14.5" customHeight="1" x14ac:dyDescent="0.25">
      <c r="A56" s="111" t="s">
        <v>53</v>
      </c>
      <c r="B56" s="103" t="s">
        <v>54</v>
      </c>
      <c r="C56" s="104"/>
      <c r="D56" s="113">
        <v>2.86</v>
      </c>
      <c r="E56" s="113">
        <v>2.96</v>
      </c>
      <c r="F56" s="113">
        <v>2.9</v>
      </c>
      <c r="G56" s="113">
        <v>2.9</v>
      </c>
      <c r="H56" s="113">
        <v>2.9</v>
      </c>
      <c r="I56" s="113">
        <v>2.9</v>
      </c>
      <c r="J56" s="113">
        <v>2.9</v>
      </c>
      <c r="K56" s="113">
        <v>2.9</v>
      </c>
      <c r="L56" s="113">
        <v>2.9</v>
      </c>
      <c r="M56" s="113">
        <v>2.93</v>
      </c>
      <c r="N56" s="113">
        <v>2.93</v>
      </c>
      <c r="O56" s="113">
        <v>2.93</v>
      </c>
      <c r="P56" s="118">
        <f>ROUND(IF(P$32=0,0,P55/P$32),3)</f>
        <v>2.9060000000000001</v>
      </c>
      <c r="Q56" s="129">
        <f>P56*0.77</f>
        <v>2.2376200000000002</v>
      </c>
      <c r="R56" s="125"/>
      <c r="S56" s="126"/>
      <c r="U56" s="124"/>
    </row>
    <row r="57" spans="1:23" s="79" customFormat="1" ht="14.5" customHeight="1" x14ac:dyDescent="0.25">
      <c r="A57" s="109" t="s">
        <v>68</v>
      </c>
      <c r="B57" s="103" t="s">
        <v>69</v>
      </c>
      <c r="C57" s="104"/>
      <c r="D57" s="110">
        <f>ROUND(D58*D$32,0)/10000</f>
        <v>73.079899999999995</v>
      </c>
      <c r="E57" s="110">
        <f t="shared" ref="E57:O57" si="39">ROUND(E58*E$32,0)/10000</f>
        <v>45.579000000000001</v>
      </c>
      <c r="F57" s="110">
        <f t="shared" si="39"/>
        <v>63.979399999999998</v>
      </c>
      <c r="G57" s="110">
        <f t="shared" si="39"/>
        <v>66.948099999999997</v>
      </c>
      <c r="H57" s="110">
        <f t="shared" si="39"/>
        <v>65.926500000000004</v>
      </c>
      <c r="I57" s="110">
        <f t="shared" si="39"/>
        <v>67.31</v>
      </c>
      <c r="J57" s="110">
        <f t="shared" si="39"/>
        <v>68.999799999999993</v>
      </c>
      <c r="K57" s="110">
        <f t="shared" si="39"/>
        <v>68.754199999999997</v>
      </c>
      <c r="L57" s="110">
        <f t="shared" si="39"/>
        <v>68.267700000000005</v>
      </c>
      <c r="M57" s="110">
        <f t="shared" si="39"/>
        <v>54.235700000000001</v>
      </c>
      <c r="N57" s="110">
        <f t="shared" si="39"/>
        <v>53.404800000000002</v>
      </c>
      <c r="O57" s="110">
        <f t="shared" si="39"/>
        <v>54.7074</v>
      </c>
      <c r="P57" s="110">
        <f>SUM(D57:O57)</f>
        <v>751.1925</v>
      </c>
      <c r="Q57" s="122"/>
      <c r="R57" s="128"/>
      <c r="S57" s="126"/>
      <c r="U57" s="124"/>
    </row>
    <row r="58" spans="1:23" s="79" customFormat="1" ht="14.5" customHeight="1" x14ac:dyDescent="0.25">
      <c r="A58" s="111" t="s">
        <v>53</v>
      </c>
      <c r="B58" s="103" t="s">
        <v>70</v>
      </c>
      <c r="C58" s="104"/>
      <c r="D58" s="113">
        <v>77.81</v>
      </c>
      <c r="E58" s="113">
        <v>80.64</v>
      </c>
      <c r="F58" s="113">
        <v>79.099999999999994</v>
      </c>
      <c r="G58" s="113">
        <v>79.099999999999994</v>
      </c>
      <c r="H58" s="113">
        <v>79.099999999999994</v>
      </c>
      <c r="I58" s="113">
        <v>79.099999999999994</v>
      </c>
      <c r="J58" s="113">
        <v>79.099999999999994</v>
      </c>
      <c r="K58" s="113">
        <v>79.099999999999994</v>
      </c>
      <c r="L58" s="113">
        <v>79.099999999999994</v>
      </c>
      <c r="M58" s="113">
        <v>79.930000000000007</v>
      </c>
      <c r="N58" s="113">
        <v>79.930000000000007</v>
      </c>
      <c r="O58" s="113">
        <v>79.930000000000007</v>
      </c>
      <c r="P58" s="119">
        <f>ROUND(IF(P$32=0,0,P57/P$32*10000),3)</f>
        <v>79.242000000000004</v>
      </c>
      <c r="Q58" s="129">
        <v>61</v>
      </c>
      <c r="R58" s="125"/>
      <c r="S58" s="126"/>
      <c r="U58" s="124"/>
    </row>
    <row r="59" spans="1:23" s="79" customFormat="1" ht="14.5" customHeight="1" x14ac:dyDescent="0.25">
      <c r="A59" s="109" t="s">
        <v>71</v>
      </c>
      <c r="B59" s="103" t="s">
        <v>37</v>
      </c>
      <c r="C59" s="104"/>
      <c r="D59" s="110">
        <f>ROUND(D60*D$32,0)</f>
        <v>4602</v>
      </c>
      <c r="E59" s="110">
        <f t="shared" ref="E59:O59" si="40">ROUND(E60*E$32,0)</f>
        <v>2826</v>
      </c>
      <c r="F59" s="110">
        <f t="shared" si="40"/>
        <v>3963</v>
      </c>
      <c r="G59" s="110">
        <f t="shared" si="40"/>
        <v>4147</v>
      </c>
      <c r="H59" s="110">
        <f t="shared" si="40"/>
        <v>4084</v>
      </c>
      <c r="I59" s="110">
        <f t="shared" si="40"/>
        <v>4170</v>
      </c>
      <c r="J59" s="110">
        <f t="shared" si="40"/>
        <v>4274</v>
      </c>
      <c r="K59" s="110">
        <f t="shared" si="40"/>
        <v>4259</v>
      </c>
      <c r="L59" s="110">
        <f t="shared" si="40"/>
        <v>4229</v>
      </c>
      <c r="M59" s="110">
        <f t="shared" si="40"/>
        <v>3393</v>
      </c>
      <c r="N59" s="110">
        <f t="shared" si="40"/>
        <v>3341</v>
      </c>
      <c r="O59" s="110">
        <f t="shared" si="40"/>
        <v>3422</v>
      </c>
      <c r="P59" s="110">
        <f>SUM(D59:O59)</f>
        <v>46710</v>
      </c>
      <c r="Q59" s="122"/>
      <c r="R59" s="80"/>
      <c r="T59" s="124"/>
    </row>
    <row r="60" spans="1:23" s="79" customFormat="1" ht="14.5" customHeight="1" x14ac:dyDescent="0.25">
      <c r="A60" s="111" t="s">
        <v>53</v>
      </c>
      <c r="B60" s="103" t="s">
        <v>54</v>
      </c>
      <c r="C60" s="104"/>
      <c r="D60" s="113">
        <v>0.49</v>
      </c>
      <c r="E60" s="113">
        <v>0.5</v>
      </c>
      <c r="F60" s="113">
        <v>0.49</v>
      </c>
      <c r="G60" s="113">
        <v>0.49</v>
      </c>
      <c r="H60" s="113">
        <v>0.49</v>
      </c>
      <c r="I60" s="113">
        <v>0.49</v>
      </c>
      <c r="J60" s="113">
        <v>0.49</v>
      </c>
      <c r="K60" s="113">
        <v>0.49</v>
      </c>
      <c r="L60" s="113">
        <v>0.49</v>
      </c>
      <c r="M60" s="113">
        <v>0.5</v>
      </c>
      <c r="N60" s="113">
        <v>0.5</v>
      </c>
      <c r="O60" s="113">
        <v>0.5</v>
      </c>
      <c r="P60" s="118">
        <f>ROUND(IF(P$32=0,0,P59/P$32),3)</f>
        <v>0.49299999999999999</v>
      </c>
      <c r="Q60" s="129">
        <v>0.38</v>
      </c>
      <c r="R60" s="125"/>
      <c r="S60" s="126"/>
      <c r="U60" s="124"/>
    </row>
    <row r="61" spans="1:23" s="79" customFormat="1" ht="14.5" customHeight="1" x14ac:dyDescent="0.25">
      <c r="A61" s="109" t="s">
        <v>72</v>
      </c>
      <c r="B61" s="115" t="s">
        <v>73</v>
      </c>
      <c r="C61" s="104"/>
      <c r="D61" s="110">
        <f t="shared" ref="D61:O61" si="41">ROUND(D62*D$32,0)</f>
        <v>7232</v>
      </c>
      <c r="E61" s="110">
        <f t="shared" si="41"/>
        <v>4522</v>
      </c>
      <c r="F61" s="110">
        <f t="shared" si="41"/>
        <v>6228</v>
      </c>
      <c r="G61" s="110">
        <f t="shared" si="41"/>
        <v>6517</v>
      </c>
      <c r="H61" s="110">
        <f t="shared" si="41"/>
        <v>6418</v>
      </c>
      <c r="I61" s="110">
        <f t="shared" si="41"/>
        <v>6552</v>
      </c>
      <c r="J61" s="110">
        <f t="shared" si="41"/>
        <v>6717</v>
      </c>
      <c r="K61" s="110">
        <f t="shared" si="41"/>
        <v>6693</v>
      </c>
      <c r="L61" s="110">
        <f t="shared" si="41"/>
        <v>6646</v>
      </c>
      <c r="M61" s="110">
        <f t="shared" si="41"/>
        <v>5428</v>
      </c>
      <c r="N61" s="110">
        <f t="shared" si="41"/>
        <v>5345</v>
      </c>
      <c r="O61" s="110">
        <f t="shared" si="41"/>
        <v>5476</v>
      </c>
      <c r="P61" s="110">
        <f>SUM(D61:O61)</f>
        <v>73774</v>
      </c>
      <c r="Q61" s="122"/>
      <c r="R61" s="128"/>
      <c r="S61" s="126"/>
      <c r="U61" s="124"/>
    </row>
    <row r="62" spans="1:23" s="79" customFormat="1" ht="14.5" customHeight="1" x14ac:dyDescent="0.25">
      <c r="A62" s="111" t="s">
        <v>53</v>
      </c>
      <c r="B62" s="103" t="s">
        <v>74</v>
      </c>
      <c r="C62" s="104"/>
      <c r="D62" s="113">
        <v>0.77</v>
      </c>
      <c r="E62" s="113">
        <v>0.8</v>
      </c>
      <c r="F62" s="113">
        <v>0.77</v>
      </c>
      <c r="G62" s="113">
        <v>0.77</v>
      </c>
      <c r="H62" s="113">
        <v>0.77</v>
      </c>
      <c r="I62" s="113">
        <v>0.77</v>
      </c>
      <c r="J62" s="113">
        <v>0.77</v>
      </c>
      <c r="K62" s="113">
        <v>0.77</v>
      </c>
      <c r="L62" s="113">
        <v>0.77</v>
      </c>
      <c r="M62" s="113">
        <v>0.8</v>
      </c>
      <c r="N62" s="113">
        <v>0.8</v>
      </c>
      <c r="O62" s="113">
        <v>0.8</v>
      </c>
      <c r="P62" s="118">
        <f>ROUND(IF(P$32=0,0,P61/P$32),3)</f>
        <v>0.77800000000000002</v>
      </c>
      <c r="Q62" s="129">
        <f>P62*0.77</f>
        <v>0.59906000000000004</v>
      </c>
      <c r="R62" s="125"/>
      <c r="S62" s="126"/>
      <c r="U62" s="124"/>
    </row>
    <row r="63" spans="1:23" s="78" customFormat="1" ht="14.5" customHeight="1" x14ac:dyDescent="0.25">
      <c r="A63" s="83" t="s">
        <v>75</v>
      </c>
      <c r="B63" s="84"/>
      <c r="C63" s="85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122"/>
      <c r="R63" s="129"/>
      <c r="S63" s="80"/>
      <c r="T63" s="121"/>
      <c r="U63" s="124"/>
      <c r="V63" s="121"/>
    </row>
    <row r="64" spans="1:23" s="79" customFormat="1" ht="14.5" customHeight="1" x14ac:dyDescent="0.25">
      <c r="A64" s="114" t="s">
        <v>76</v>
      </c>
      <c r="B64" s="103" t="s">
        <v>77</v>
      </c>
      <c r="C64" s="116"/>
      <c r="D64" s="117">
        <f>ROUND((D32)*3.2,0)</f>
        <v>30055</v>
      </c>
      <c r="E64" s="117">
        <f t="shared" ref="E64:O64" si="42">ROUND((E32)*3.2,0)</f>
        <v>18087</v>
      </c>
      <c r="F64" s="117">
        <f t="shared" si="42"/>
        <v>25883</v>
      </c>
      <c r="G64" s="117">
        <f t="shared" si="42"/>
        <v>27084</v>
      </c>
      <c r="H64" s="117">
        <f t="shared" si="42"/>
        <v>26671</v>
      </c>
      <c r="I64" s="117">
        <f t="shared" si="42"/>
        <v>27230</v>
      </c>
      <c r="J64" s="117">
        <f t="shared" si="42"/>
        <v>27914</v>
      </c>
      <c r="K64" s="117">
        <f t="shared" si="42"/>
        <v>27815</v>
      </c>
      <c r="L64" s="117">
        <f t="shared" si="42"/>
        <v>27618</v>
      </c>
      <c r="M64" s="117">
        <f t="shared" si="42"/>
        <v>21713</v>
      </c>
      <c r="N64" s="117">
        <f t="shared" si="42"/>
        <v>21381</v>
      </c>
      <c r="O64" s="117">
        <f t="shared" si="42"/>
        <v>21902</v>
      </c>
      <c r="P64" s="110">
        <f>SUM(D64:O64)</f>
        <v>303353</v>
      </c>
      <c r="Q64" s="122"/>
      <c r="R64" s="122"/>
      <c r="S64" s="131"/>
      <c r="U64" s="80"/>
    </row>
    <row r="65" spans="1:206" s="80" customFormat="1" ht="14.5" customHeight="1" x14ac:dyDescent="0.25">
      <c r="A65" s="111" t="s">
        <v>78</v>
      </c>
      <c r="B65" s="132" t="s">
        <v>37</v>
      </c>
      <c r="C65" s="104"/>
      <c r="D65" s="133">
        <f>D64*D66/1000000</f>
        <v>66.120999999999995</v>
      </c>
      <c r="E65" s="133">
        <f t="shared" ref="E65:O65" si="43">E64*E66/1000000</f>
        <v>39.791400000000003</v>
      </c>
      <c r="F65" s="133">
        <f t="shared" si="43"/>
        <v>56.942599999999999</v>
      </c>
      <c r="G65" s="133">
        <f t="shared" si="43"/>
        <v>59.584800000000001</v>
      </c>
      <c r="H65" s="133">
        <f t="shared" si="43"/>
        <v>58.676200000000001</v>
      </c>
      <c r="I65" s="133">
        <f t="shared" si="43"/>
        <v>59.905999999999999</v>
      </c>
      <c r="J65" s="133">
        <f t="shared" si="43"/>
        <v>61.410800000000002</v>
      </c>
      <c r="K65" s="133">
        <f t="shared" si="43"/>
        <v>61.192999999999998</v>
      </c>
      <c r="L65" s="133">
        <f t="shared" si="43"/>
        <v>60.759599999999999</v>
      </c>
      <c r="M65" s="133">
        <f t="shared" si="43"/>
        <v>47.768599999999999</v>
      </c>
      <c r="N65" s="133">
        <f t="shared" si="43"/>
        <v>47.038200000000003</v>
      </c>
      <c r="O65" s="133">
        <f t="shared" si="43"/>
        <v>48.184399999999997</v>
      </c>
      <c r="P65" s="133">
        <f t="shared" ref="P65" si="44">P64*P66/1000000</f>
        <v>667.37660000000005</v>
      </c>
      <c r="Q65" s="122"/>
      <c r="R65" s="122"/>
      <c r="T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79"/>
      <c r="CY65" s="79"/>
      <c r="CZ65" s="79"/>
      <c r="DA65" s="79"/>
      <c r="DB65" s="79"/>
      <c r="DC65" s="79"/>
      <c r="DD65" s="79"/>
      <c r="DE65" s="79"/>
      <c r="DF65" s="79"/>
      <c r="DG65" s="79"/>
      <c r="DH65" s="79"/>
      <c r="DI65" s="79"/>
      <c r="DJ65" s="79"/>
      <c r="DK65" s="79"/>
      <c r="DL65" s="79"/>
      <c r="DM65" s="79"/>
      <c r="DN65" s="79"/>
      <c r="DO65" s="79"/>
      <c r="DP65" s="79"/>
      <c r="DQ65" s="79"/>
      <c r="DR65" s="79"/>
      <c r="DS65" s="79"/>
      <c r="DT65" s="79"/>
      <c r="DU65" s="79"/>
      <c r="DV65" s="79"/>
      <c r="DW65" s="79"/>
      <c r="DX65" s="79"/>
      <c r="DY65" s="79"/>
      <c r="DZ65" s="79"/>
      <c r="EA65" s="79"/>
      <c r="EB65" s="79"/>
      <c r="EC65" s="79"/>
      <c r="ED65" s="79"/>
      <c r="EE65" s="79"/>
      <c r="EF65" s="79"/>
      <c r="EG65" s="79"/>
      <c r="EH65" s="79"/>
      <c r="EI65" s="79"/>
      <c r="EJ65" s="79"/>
      <c r="EK65" s="79"/>
      <c r="EL65" s="79"/>
      <c r="EM65" s="79"/>
      <c r="EN65" s="79"/>
      <c r="EO65" s="79"/>
      <c r="EP65" s="79"/>
      <c r="EQ65" s="79"/>
      <c r="ER65" s="79"/>
      <c r="ES65" s="79"/>
      <c r="ET65" s="79"/>
      <c r="EU65" s="79"/>
      <c r="EV65" s="79"/>
      <c r="EW65" s="79"/>
      <c r="EX65" s="79"/>
      <c r="EY65" s="79"/>
      <c r="EZ65" s="79"/>
      <c r="FA65" s="79"/>
      <c r="FB65" s="79"/>
      <c r="FC65" s="79"/>
      <c r="FD65" s="79"/>
      <c r="FE65" s="79"/>
      <c r="FF65" s="79"/>
      <c r="FG65" s="79"/>
      <c r="FH65" s="79"/>
      <c r="FI65" s="79"/>
      <c r="FJ65" s="79"/>
      <c r="FK65" s="79"/>
      <c r="FL65" s="79"/>
      <c r="FM65" s="79"/>
      <c r="FN65" s="79"/>
      <c r="FO65" s="79"/>
      <c r="FP65" s="79"/>
      <c r="FQ65" s="79"/>
      <c r="FR65" s="79"/>
      <c r="FS65" s="79"/>
      <c r="FT65" s="79"/>
      <c r="FU65" s="79"/>
      <c r="FV65" s="79"/>
      <c r="FW65" s="79"/>
      <c r="FX65" s="79"/>
      <c r="FY65" s="79"/>
      <c r="FZ65" s="79"/>
      <c r="GA65" s="79"/>
      <c r="GB65" s="79"/>
      <c r="GC65" s="79"/>
      <c r="GD65" s="79"/>
      <c r="GE65" s="79"/>
      <c r="GF65" s="79"/>
      <c r="GG65" s="79"/>
      <c r="GH65" s="79"/>
      <c r="GI65" s="79"/>
      <c r="GJ65" s="79"/>
      <c r="GK65" s="79"/>
      <c r="GL65" s="79"/>
      <c r="GM65" s="79"/>
      <c r="GN65" s="79"/>
      <c r="GO65" s="79"/>
      <c r="GP65" s="79"/>
      <c r="GQ65" s="79"/>
      <c r="GR65" s="79"/>
      <c r="GS65" s="79"/>
      <c r="GT65" s="79"/>
      <c r="GU65" s="79"/>
      <c r="GV65" s="79"/>
      <c r="GW65" s="79"/>
      <c r="GX65" s="79"/>
    </row>
    <row r="66" spans="1:206" s="80" customFormat="1" ht="14.5" customHeight="1" x14ac:dyDescent="0.25">
      <c r="A66" s="111" t="s">
        <v>79</v>
      </c>
      <c r="B66" s="132" t="s">
        <v>80</v>
      </c>
      <c r="C66" s="104"/>
      <c r="D66" s="134">
        <v>2200</v>
      </c>
      <c r="E66" s="134">
        <v>2200</v>
      </c>
      <c r="F66" s="134">
        <v>2200</v>
      </c>
      <c r="G66" s="134">
        <v>2200</v>
      </c>
      <c r="H66" s="134">
        <v>2200</v>
      </c>
      <c r="I66" s="134">
        <v>2200</v>
      </c>
      <c r="J66" s="134">
        <v>2200</v>
      </c>
      <c r="K66" s="134">
        <v>2200</v>
      </c>
      <c r="L66" s="134">
        <v>2200</v>
      </c>
      <c r="M66" s="134">
        <v>2200</v>
      </c>
      <c r="N66" s="134">
        <v>2200</v>
      </c>
      <c r="O66" s="134">
        <v>2200</v>
      </c>
      <c r="P66" s="134">
        <v>2200</v>
      </c>
      <c r="Q66" s="122"/>
      <c r="R66" s="122"/>
      <c r="T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79"/>
      <c r="CY66" s="79"/>
      <c r="CZ66" s="79"/>
      <c r="DA66" s="79"/>
      <c r="DB66" s="79"/>
      <c r="DC66" s="79"/>
      <c r="DD66" s="79"/>
      <c r="DE66" s="79"/>
      <c r="DF66" s="79"/>
      <c r="DG66" s="79"/>
      <c r="DH66" s="79"/>
      <c r="DI66" s="79"/>
      <c r="DJ66" s="79"/>
      <c r="DK66" s="79"/>
      <c r="DL66" s="79"/>
      <c r="DM66" s="79"/>
      <c r="DN66" s="79"/>
      <c r="DO66" s="79"/>
      <c r="DP66" s="79"/>
      <c r="DQ66" s="79"/>
      <c r="DR66" s="79"/>
      <c r="DS66" s="79"/>
      <c r="DT66" s="79"/>
      <c r="DU66" s="79"/>
      <c r="DV66" s="79"/>
      <c r="DW66" s="79"/>
      <c r="DX66" s="79"/>
      <c r="DY66" s="79"/>
      <c r="DZ66" s="79"/>
      <c r="EA66" s="79"/>
      <c r="EB66" s="79"/>
      <c r="EC66" s="79"/>
      <c r="ED66" s="79"/>
      <c r="EE66" s="79"/>
      <c r="EF66" s="79"/>
      <c r="EG66" s="79"/>
      <c r="EH66" s="79"/>
      <c r="EI66" s="79"/>
      <c r="EJ66" s="79"/>
      <c r="EK66" s="79"/>
      <c r="EL66" s="79"/>
      <c r="EM66" s="79"/>
      <c r="EN66" s="79"/>
      <c r="EO66" s="79"/>
      <c r="EP66" s="79"/>
      <c r="EQ66" s="79"/>
      <c r="ER66" s="79"/>
      <c r="ES66" s="79"/>
      <c r="ET66" s="79"/>
      <c r="EU66" s="79"/>
      <c r="EV66" s="79"/>
      <c r="EW66" s="79"/>
      <c r="EX66" s="79"/>
      <c r="EY66" s="79"/>
      <c r="EZ66" s="79"/>
      <c r="FA66" s="79"/>
      <c r="FB66" s="79"/>
      <c r="FC66" s="79"/>
      <c r="FD66" s="79"/>
      <c r="FE66" s="79"/>
      <c r="FF66" s="79"/>
      <c r="FG66" s="79"/>
      <c r="FH66" s="79"/>
      <c r="FI66" s="79"/>
      <c r="FJ66" s="79"/>
      <c r="FK66" s="79"/>
      <c r="FL66" s="79"/>
      <c r="FM66" s="79"/>
      <c r="FN66" s="79"/>
      <c r="FO66" s="79"/>
      <c r="FP66" s="79"/>
      <c r="FQ66" s="79"/>
      <c r="FR66" s="79"/>
      <c r="FS66" s="79"/>
      <c r="FT66" s="79"/>
      <c r="FU66" s="79"/>
      <c r="FV66" s="79"/>
      <c r="FW66" s="79"/>
      <c r="FX66" s="79"/>
      <c r="FY66" s="79"/>
      <c r="FZ66" s="79"/>
      <c r="GA66" s="79"/>
      <c r="GB66" s="79"/>
      <c r="GC66" s="79"/>
      <c r="GD66" s="79"/>
      <c r="GE66" s="79"/>
      <c r="GF66" s="79"/>
      <c r="GG66" s="79"/>
      <c r="GH66" s="79"/>
      <c r="GI66" s="79"/>
      <c r="GJ66" s="79"/>
      <c r="GK66" s="79"/>
      <c r="GL66" s="79"/>
      <c r="GM66" s="79"/>
      <c r="GN66" s="79"/>
      <c r="GO66" s="79"/>
      <c r="GP66" s="79"/>
      <c r="GQ66" s="79"/>
      <c r="GR66" s="79"/>
      <c r="GS66" s="79"/>
      <c r="GT66" s="79"/>
      <c r="GU66" s="79"/>
      <c r="GV66" s="79"/>
      <c r="GW66" s="79"/>
      <c r="GX66" s="79"/>
    </row>
    <row r="67" spans="1:206" s="80" customFormat="1" ht="14.5" customHeight="1" x14ac:dyDescent="0.25">
      <c r="A67" s="111" t="s">
        <v>81</v>
      </c>
      <c r="B67" s="132" t="s">
        <v>37</v>
      </c>
      <c r="C67" s="104"/>
      <c r="D67" s="133">
        <f>D64*D68/1000000</f>
        <v>0</v>
      </c>
      <c r="E67" s="133">
        <f t="shared" ref="E67:O67" si="45">E64*E68/1000000</f>
        <v>0</v>
      </c>
      <c r="F67" s="133">
        <f t="shared" si="45"/>
        <v>0</v>
      </c>
      <c r="G67" s="133">
        <f t="shared" si="45"/>
        <v>0</v>
      </c>
      <c r="H67" s="133">
        <f t="shared" si="45"/>
        <v>0</v>
      </c>
      <c r="I67" s="133">
        <f t="shared" si="45"/>
        <v>0</v>
      </c>
      <c r="J67" s="133">
        <f t="shared" si="45"/>
        <v>0</v>
      </c>
      <c r="K67" s="133">
        <f t="shared" si="45"/>
        <v>0</v>
      </c>
      <c r="L67" s="133">
        <f t="shared" si="45"/>
        <v>0</v>
      </c>
      <c r="M67" s="133">
        <f t="shared" si="45"/>
        <v>0</v>
      </c>
      <c r="N67" s="133">
        <f t="shared" si="45"/>
        <v>0</v>
      </c>
      <c r="O67" s="133">
        <f t="shared" si="45"/>
        <v>0</v>
      </c>
      <c r="P67" s="133">
        <f t="shared" ref="P67" si="46">P64*P68/1000000</f>
        <v>0</v>
      </c>
      <c r="Q67" s="122"/>
      <c r="R67" s="122"/>
      <c r="T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79"/>
      <c r="CY67" s="79"/>
      <c r="CZ67" s="79"/>
      <c r="DA67" s="79"/>
      <c r="DB67" s="79"/>
      <c r="DC67" s="79"/>
      <c r="DD67" s="79"/>
      <c r="DE67" s="79"/>
      <c r="DF67" s="79"/>
      <c r="DG67" s="79"/>
      <c r="DH67" s="79"/>
      <c r="DI67" s="79"/>
      <c r="DJ67" s="79"/>
      <c r="DK67" s="79"/>
      <c r="DL67" s="79"/>
      <c r="DM67" s="79"/>
      <c r="DN67" s="79"/>
      <c r="DO67" s="79"/>
      <c r="DP67" s="79"/>
      <c r="DQ67" s="79"/>
      <c r="DR67" s="79"/>
      <c r="DS67" s="79"/>
      <c r="DT67" s="79"/>
      <c r="DU67" s="79"/>
      <c r="DV67" s="79"/>
      <c r="DW67" s="79"/>
      <c r="DX67" s="79"/>
      <c r="DY67" s="79"/>
      <c r="DZ67" s="79"/>
      <c r="EA67" s="79"/>
      <c r="EB67" s="79"/>
      <c r="EC67" s="79"/>
      <c r="ED67" s="79"/>
      <c r="EE67" s="79"/>
      <c r="EF67" s="79"/>
      <c r="EG67" s="79"/>
      <c r="EH67" s="79"/>
      <c r="EI67" s="79"/>
      <c r="EJ67" s="79"/>
      <c r="EK67" s="79"/>
      <c r="EL67" s="79"/>
      <c r="EM67" s="79"/>
      <c r="EN67" s="79"/>
      <c r="EO67" s="79"/>
      <c r="EP67" s="79"/>
      <c r="EQ67" s="79"/>
      <c r="ER67" s="79"/>
      <c r="ES67" s="79"/>
      <c r="ET67" s="79"/>
      <c r="EU67" s="79"/>
      <c r="EV67" s="79"/>
      <c r="EW67" s="79"/>
      <c r="EX67" s="79"/>
      <c r="EY67" s="79"/>
      <c r="EZ67" s="79"/>
      <c r="FA67" s="79"/>
      <c r="FB67" s="79"/>
      <c r="FC67" s="79"/>
      <c r="FD67" s="79"/>
      <c r="FE67" s="79"/>
      <c r="FF67" s="79"/>
      <c r="FG67" s="79"/>
      <c r="FH67" s="79"/>
      <c r="FI67" s="79"/>
      <c r="FJ67" s="79"/>
      <c r="FK67" s="79"/>
      <c r="FL67" s="79"/>
      <c r="FM67" s="79"/>
      <c r="FN67" s="79"/>
      <c r="FO67" s="79"/>
      <c r="FP67" s="79"/>
      <c r="FQ67" s="79"/>
      <c r="FR67" s="79"/>
      <c r="FS67" s="79"/>
      <c r="FT67" s="79"/>
      <c r="FU67" s="79"/>
      <c r="FV67" s="79"/>
      <c r="FW67" s="79"/>
      <c r="FX67" s="79"/>
      <c r="FY67" s="79"/>
      <c r="FZ67" s="79"/>
      <c r="GA67" s="79"/>
      <c r="GB67" s="79"/>
      <c r="GC67" s="79"/>
      <c r="GD67" s="79"/>
      <c r="GE67" s="79"/>
      <c r="GF67" s="79"/>
      <c r="GG67" s="79"/>
      <c r="GH67" s="79"/>
      <c r="GI67" s="79"/>
      <c r="GJ67" s="79"/>
      <c r="GK67" s="79"/>
      <c r="GL67" s="79"/>
      <c r="GM67" s="79"/>
      <c r="GN67" s="79"/>
      <c r="GO67" s="79"/>
      <c r="GP67" s="79"/>
      <c r="GQ67" s="79"/>
      <c r="GR67" s="79"/>
      <c r="GS67" s="79"/>
      <c r="GT67" s="79"/>
      <c r="GU67" s="79"/>
      <c r="GV67" s="79"/>
      <c r="GW67" s="79"/>
      <c r="GX67" s="79"/>
    </row>
    <row r="68" spans="1:206" s="80" customFormat="1" ht="14.5" customHeight="1" x14ac:dyDescent="0.25">
      <c r="A68" s="111" t="s">
        <v>82</v>
      </c>
      <c r="B68" s="132" t="s">
        <v>80</v>
      </c>
      <c r="C68" s="10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22"/>
      <c r="R68" s="122"/>
      <c r="T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79"/>
      <c r="CY68" s="79"/>
      <c r="CZ68" s="79"/>
      <c r="DA68" s="79"/>
      <c r="DB68" s="79"/>
      <c r="DC68" s="79"/>
      <c r="DD68" s="79"/>
      <c r="DE68" s="79"/>
      <c r="DF68" s="79"/>
      <c r="DG68" s="79"/>
      <c r="DH68" s="79"/>
      <c r="DI68" s="79"/>
      <c r="DJ68" s="79"/>
      <c r="DK68" s="79"/>
      <c r="DL68" s="79"/>
      <c r="DM68" s="79"/>
      <c r="DN68" s="79"/>
      <c r="DO68" s="79"/>
      <c r="DP68" s="79"/>
      <c r="DQ68" s="79"/>
      <c r="DR68" s="79"/>
      <c r="DS68" s="79"/>
      <c r="DT68" s="79"/>
      <c r="DU68" s="79"/>
      <c r="DV68" s="79"/>
      <c r="DW68" s="79"/>
      <c r="DX68" s="79"/>
      <c r="DY68" s="79"/>
      <c r="DZ68" s="79"/>
      <c r="EA68" s="79"/>
      <c r="EB68" s="79"/>
      <c r="EC68" s="79"/>
      <c r="ED68" s="79"/>
      <c r="EE68" s="79"/>
      <c r="EF68" s="79"/>
      <c r="EG68" s="79"/>
      <c r="EH68" s="79"/>
      <c r="EI68" s="79"/>
      <c r="EJ68" s="79"/>
      <c r="EK68" s="79"/>
      <c r="EL68" s="79"/>
      <c r="EM68" s="79"/>
      <c r="EN68" s="79"/>
      <c r="EO68" s="79"/>
      <c r="EP68" s="79"/>
      <c r="EQ68" s="79"/>
      <c r="ER68" s="79"/>
      <c r="ES68" s="79"/>
      <c r="ET68" s="79"/>
      <c r="EU68" s="79"/>
      <c r="EV68" s="79"/>
      <c r="EW68" s="79"/>
      <c r="EX68" s="79"/>
      <c r="EY68" s="79"/>
      <c r="EZ68" s="79"/>
      <c r="FA68" s="79"/>
      <c r="FB68" s="79"/>
      <c r="FC68" s="79"/>
      <c r="FD68" s="79"/>
      <c r="FE68" s="79"/>
      <c r="FF68" s="79"/>
      <c r="FG68" s="79"/>
      <c r="FH68" s="79"/>
      <c r="FI68" s="79"/>
      <c r="FJ68" s="79"/>
      <c r="FK68" s="79"/>
      <c r="FL68" s="79"/>
      <c r="FM68" s="79"/>
      <c r="FN68" s="79"/>
      <c r="FO68" s="79"/>
      <c r="FP68" s="79"/>
      <c r="FQ68" s="79"/>
      <c r="FR68" s="79"/>
      <c r="FS68" s="79"/>
      <c r="FT68" s="79"/>
      <c r="FU68" s="79"/>
      <c r="FV68" s="79"/>
      <c r="FW68" s="79"/>
      <c r="FX68" s="79"/>
      <c r="FY68" s="79"/>
      <c r="FZ68" s="79"/>
      <c r="GA68" s="79"/>
      <c r="GB68" s="79"/>
      <c r="GC68" s="79"/>
      <c r="GD68" s="79"/>
      <c r="GE68" s="79"/>
      <c r="GF68" s="79"/>
      <c r="GG68" s="79"/>
      <c r="GH68" s="79"/>
      <c r="GI68" s="79"/>
      <c r="GJ68" s="79"/>
      <c r="GK68" s="79"/>
      <c r="GL68" s="79"/>
      <c r="GM68" s="79"/>
      <c r="GN68" s="79"/>
      <c r="GO68" s="79"/>
      <c r="GP68" s="79"/>
      <c r="GQ68" s="79"/>
      <c r="GR68" s="79"/>
      <c r="GS68" s="79"/>
      <c r="GT68" s="79"/>
      <c r="GU68" s="79"/>
      <c r="GV68" s="79"/>
      <c r="GW68" s="79"/>
      <c r="GX68" s="79"/>
    </row>
    <row r="69" spans="1:206" s="80" customFormat="1" ht="14.5" customHeight="1" x14ac:dyDescent="0.25">
      <c r="A69" s="83" t="s">
        <v>83</v>
      </c>
      <c r="B69" s="132"/>
      <c r="C69" s="135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46"/>
      <c r="Q69" s="122"/>
      <c r="R69" s="122"/>
      <c r="T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79"/>
      <c r="CM69" s="79"/>
      <c r="CN69" s="79"/>
      <c r="CO69" s="79"/>
      <c r="CP69" s="79"/>
      <c r="CQ69" s="79"/>
      <c r="CR69" s="79"/>
      <c r="CS69" s="79"/>
      <c r="CT69" s="79"/>
      <c r="CU69" s="79"/>
      <c r="CV69" s="79"/>
      <c r="CW69" s="79"/>
      <c r="CX69" s="79"/>
      <c r="CY69" s="79"/>
      <c r="CZ69" s="79"/>
      <c r="DA69" s="79"/>
      <c r="DB69" s="79"/>
      <c r="DC69" s="79"/>
      <c r="DD69" s="79"/>
      <c r="DE69" s="79"/>
      <c r="DF69" s="79"/>
      <c r="DG69" s="79"/>
      <c r="DH69" s="79"/>
      <c r="DI69" s="79"/>
      <c r="DJ69" s="79"/>
      <c r="DK69" s="79"/>
      <c r="DL69" s="79"/>
      <c r="DM69" s="79"/>
      <c r="DN69" s="79"/>
      <c r="DO69" s="79"/>
      <c r="DP69" s="79"/>
      <c r="DQ69" s="79"/>
      <c r="DR69" s="79"/>
      <c r="DS69" s="79"/>
      <c r="DT69" s="79"/>
      <c r="DU69" s="79"/>
      <c r="DV69" s="79"/>
      <c r="DW69" s="79"/>
      <c r="DX69" s="79"/>
      <c r="DY69" s="79"/>
      <c r="DZ69" s="79"/>
      <c r="EA69" s="79"/>
      <c r="EB69" s="79"/>
      <c r="EC69" s="79"/>
      <c r="ED69" s="79"/>
      <c r="EE69" s="79"/>
      <c r="EF69" s="79"/>
      <c r="EG69" s="79"/>
      <c r="EH69" s="79"/>
      <c r="EI69" s="79"/>
      <c r="EJ69" s="79"/>
      <c r="EK69" s="79"/>
      <c r="EL69" s="79"/>
      <c r="EM69" s="79"/>
      <c r="EN69" s="79"/>
      <c r="EO69" s="79"/>
      <c r="EP69" s="79"/>
      <c r="EQ69" s="79"/>
      <c r="ER69" s="79"/>
      <c r="ES69" s="79"/>
      <c r="ET69" s="79"/>
      <c r="EU69" s="79"/>
      <c r="EV69" s="79"/>
      <c r="EW69" s="79"/>
      <c r="EX69" s="79"/>
      <c r="EY69" s="79"/>
      <c r="EZ69" s="79"/>
      <c r="FA69" s="79"/>
      <c r="FB69" s="79"/>
      <c r="FC69" s="79"/>
      <c r="FD69" s="79"/>
      <c r="FE69" s="79"/>
      <c r="FF69" s="79"/>
      <c r="FG69" s="79"/>
      <c r="FH69" s="79"/>
      <c r="FI69" s="79"/>
      <c r="FJ69" s="79"/>
      <c r="FK69" s="79"/>
      <c r="FL69" s="79"/>
      <c r="FM69" s="79"/>
      <c r="FN69" s="79"/>
      <c r="FO69" s="79"/>
      <c r="FP69" s="79"/>
      <c r="FQ69" s="79"/>
      <c r="FR69" s="79"/>
      <c r="FS69" s="79"/>
      <c r="FT69" s="79"/>
      <c r="FU69" s="79"/>
      <c r="FV69" s="79"/>
      <c r="FW69" s="79"/>
      <c r="FX69" s="79"/>
      <c r="FY69" s="79"/>
      <c r="FZ69" s="79"/>
      <c r="GA69" s="79"/>
      <c r="GB69" s="79"/>
      <c r="GC69" s="79"/>
      <c r="GD69" s="79"/>
      <c r="GE69" s="79"/>
      <c r="GF69" s="79"/>
      <c r="GG69" s="79"/>
      <c r="GH69" s="79"/>
      <c r="GI69" s="79"/>
      <c r="GJ69" s="79"/>
      <c r="GK69" s="79"/>
      <c r="GL69" s="79"/>
      <c r="GM69" s="79"/>
      <c r="GN69" s="79"/>
      <c r="GO69" s="79"/>
      <c r="GP69" s="79"/>
      <c r="GQ69" s="79"/>
      <c r="GR69" s="79"/>
      <c r="GS69" s="79"/>
      <c r="GT69" s="79"/>
      <c r="GU69" s="79"/>
      <c r="GV69" s="79"/>
      <c r="GW69" s="79"/>
      <c r="GX69" s="79"/>
    </row>
    <row r="70" spans="1:206" s="80" customFormat="1" ht="14.5" customHeight="1" x14ac:dyDescent="0.25">
      <c r="A70" s="111" t="s">
        <v>85</v>
      </c>
      <c r="B70" s="137"/>
      <c r="C70" s="104"/>
      <c r="D70" s="133">
        <f t="shared" ref="D70:O70" si="47">D18</f>
        <v>343.5</v>
      </c>
      <c r="E70" s="133">
        <f t="shared" si="47"/>
        <v>52.5</v>
      </c>
      <c r="F70" s="133">
        <f t="shared" si="47"/>
        <v>75</v>
      </c>
      <c r="G70" s="133">
        <f t="shared" si="47"/>
        <v>107</v>
      </c>
      <c r="H70" s="133">
        <f t="shared" si="47"/>
        <v>171</v>
      </c>
      <c r="I70" s="133">
        <f t="shared" si="47"/>
        <v>313.5</v>
      </c>
      <c r="J70" s="133">
        <f t="shared" si="47"/>
        <v>489.5</v>
      </c>
      <c r="K70" s="133">
        <f t="shared" si="47"/>
        <v>457.5</v>
      </c>
      <c r="L70" s="133">
        <f t="shared" si="47"/>
        <v>351</v>
      </c>
      <c r="M70" s="133">
        <f t="shared" si="47"/>
        <v>327</v>
      </c>
      <c r="N70" s="133">
        <f t="shared" si="47"/>
        <v>75</v>
      </c>
      <c r="O70" s="133">
        <f t="shared" si="47"/>
        <v>97.5</v>
      </c>
      <c r="P70" s="133">
        <f t="shared" ref="P70:P81" si="48">SUM(D70:O70)</f>
        <v>2860</v>
      </c>
      <c r="Q70" s="122"/>
      <c r="R70" s="122"/>
      <c r="T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  <c r="CJ70" s="79"/>
      <c r="CK70" s="79"/>
      <c r="CL70" s="79"/>
      <c r="CM70" s="79"/>
      <c r="CN70" s="79"/>
      <c r="CO70" s="79"/>
      <c r="CP70" s="79"/>
      <c r="CQ70" s="79"/>
      <c r="CR70" s="79"/>
      <c r="CS70" s="79"/>
      <c r="CT70" s="79"/>
      <c r="CU70" s="79"/>
      <c r="CV70" s="79"/>
      <c r="CW70" s="79"/>
      <c r="CX70" s="79"/>
      <c r="CY70" s="79"/>
      <c r="CZ70" s="79"/>
      <c r="DA70" s="79"/>
      <c r="DB70" s="79"/>
      <c r="DC70" s="79"/>
      <c r="DD70" s="79"/>
      <c r="DE70" s="79"/>
      <c r="DF70" s="79"/>
      <c r="DG70" s="79"/>
      <c r="DH70" s="79"/>
      <c r="DI70" s="79"/>
      <c r="DJ70" s="79"/>
      <c r="DK70" s="79"/>
      <c r="DL70" s="79"/>
      <c r="DM70" s="79"/>
      <c r="DN70" s="79"/>
      <c r="DO70" s="79"/>
      <c r="DP70" s="79"/>
      <c r="DQ70" s="79"/>
      <c r="DR70" s="79"/>
      <c r="DS70" s="79"/>
      <c r="DT70" s="79"/>
      <c r="DU70" s="79"/>
      <c r="DV70" s="79"/>
      <c r="DW70" s="79"/>
      <c r="DX70" s="79"/>
      <c r="DY70" s="79"/>
      <c r="DZ70" s="79"/>
      <c r="EA70" s="79"/>
      <c r="EB70" s="79"/>
      <c r="EC70" s="79"/>
      <c r="ED70" s="79"/>
      <c r="EE70" s="79"/>
      <c r="EF70" s="79"/>
      <c r="EG70" s="79"/>
      <c r="EH70" s="79"/>
      <c r="EI70" s="79"/>
      <c r="EJ70" s="79"/>
      <c r="EK70" s="79"/>
      <c r="EL70" s="79"/>
      <c r="EM70" s="79"/>
      <c r="EN70" s="79"/>
      <c r="EO70" s="79"/>
      <c r="EP70" s="79"/>
      <c r="EQ70" s="79"/>
      <c r="ER70" s="79"/>
      <c r="ES70" s="79"/>
      <c r="ET70" s="79"/>
      <c r="EU70" s="79"/>
      <c r="EV70" s="79"/>
      <c r="EW70" s="79"/>
      <c r="EX70" s="79"/>
      <c r="EY70" s="79"/>
      <c r="EZ70" s="79"/>
      <c r="FA70" s="79"/>
      <c r="FB70" s="79"/>
      <c r="FC70" s="79"/>
      <c r="FD70" s="79"/>
      <c r="FE70" s="79"/>
      <c r="FF70" s="79"/>
      <c r="FG70" s="79"/>
      <c r="FH70" s="79"/>
      <c r="FI70" s="79"/>
      <c r="FJ70" s="79"/>
      <c r="FK70" s="79"/>
      <c r="FL70" s="79"/>
      <c r="FM70" s="79"/>
      <c r="FN70" s="79"/>
      <c r="FO70" s="79"/>
      <c r="FP70" s="79"/>
      <c r="FQ70" s="79"/>
      <c r="FR70" s="79"/>
      <c r="FS70" s="79"/>
      <c r="FT70" s="79"/>
      <c r="FU70" s="79"/>
      <c r="FV70" s="79"/>
      <c r="FW70" s="79"/>
      <c r="FX70" s="79"/>
      <c r="FY70" s="79"/>
      <c r="FZ70" s="79"/>
      <c r="GA70" s="79"/>
      <c r="GB70" s="79"/>
      <c r="GC70" s="79"/>
      <c r="GD70" s="79"/>
      <c r="GE70" s="79"/>
      <c r="GF70" s="79"/>
      <c r="GG70" s="79"/>
      <c r="GH70" s="79"/>
      <c r="GI70" s="79"/>
      <c r="GJ70" s="79"/>
      <c r="GK70" s="79"/>
      <c r="GL70" s="79"/>
      <c r="GM70" s="79"/>
      <c r="GN70" s="79"/>
      <c r="GO70" s="79"/>
      <c r="GP70" s="79"/>
      <c r="GQ70" s="79"/>
      <c r="GR70" s="79"/>
      <c r="GS70" s="79"/>
      <c r="GT70" s="79"/>
      <c r="GU70" s="79"/>
      <c r="GV70" s="79"/>
      <c r="GW70" s="79"/>
      <c r="GX70" s="79"/>
    </row>
    <row r="71" spans="1:206" s="80" customFormat="1" ht="14.5" customHeight="1" x14ac:dyDescent="0.25">
      <c r="A71" s="138" t="s">
        <v>86</v>
      </c>
      <c r="B71" s="137"/>
      <c r="C71" s="10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3">
        <f t="shared" si="48"/>
        <v>0</v>
      </c>
      <c r="Q71" s="122"/>
      <c r="R71" s="122"/>
      <c r="T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  <c r="CH71" s="79"/>
      <c r="CI71" s="79"/>
      <c r="CJ71" s="79"/>
      <c r="CK71" s="79"/>
      <c r="CL71" s="79"/>
      <c r="CM71" s="79"/>
      <c r="CN71" s="79"/>
      <c r="CO71" s="79"/>
      <c r="CP71" s="79"/>
      <c r="CQ71" s="79"/>
      <c r="CR71" s="79"/>
      <c r="CS71" s="79"/>
      <c r="CT71" s="79"/>
      <c r="CU71" s="79"/>
      <c r="CV71" s="79"/>
      <c r="CW71" s="79"/>
      <c r="CX71" s="79"/>
      <c r="CY71" s="79"/>
      <c r="CZ71" s="79"/>
      <c r="DA71" s="79"/>
      <c r="DB71" s="79"/>
      <c r="DC71" s="79"/>
      <c r="DD71" s="79"/>
      <c r="DE71" s="79"/>
      <c r="DF71" s="79"/>
      <c r="DG71" s="79"/>
      <c r="DH71" s="79"/>
      <c r="DI71" s="79"/>
      <c r="DJ71" s="79"/>
      <c r="DK71" s="79"/>
      <c r="DL71" s="79"/>
      <c r="DM71" s="79"/>
      <c r="DN71" s="79"/>
      <c r="DO71" s="79"/>
      <c r="DP71" s="79"/>
      <c r="DQ71" s="79"/>
      <c r="DR71" s="79"/>
      <c r="DS71" s="79"/>
      <c r="DT71" s="79"/>
      <c r="DU71" s="79"/>
      <c r="DV71" s="79"/>
      <c r="DW71" s="79"/>
      <c r="DX71" s="79"/>
      <c r="DY71" s="79"/>
      <c r="DZ71" s="79"/>
      <c r="EA71" s="79"/>
      <c r="EB71" s="79"/>
      <c r="EC71" s="79"/>
      <c r="ED71" s="79"/>
      <c r="EE71" s="79"/>
      <c r="EF71" s="79"/>
      <c r="EG71" s="79"/>
      <c r="EH71" s="79"/>
      <c r="EI71" s="79"/>
      <c r="EJ71" s="79"/>
      <c r="EK71" s="79"/>
      <c r="EL71" s="79"/>
      <c r="EM71" s="79"/>
      <c r="EN71" s="79"/>
      <c r="EO71" s="79"/>
      <c r="EP71" s="79"/>
      <c r="EQ71" s="79"/>
      <c r="ER71" s="79"/>
      <c r="ES71" s="79"/>
      <c r="ET71" s="79"/>
      <c r="EU71" s="79"/>
      <c r="EV71" s="79"/>
      <c r="EW71" s="79"/>
      <c r="EX71" s="79"/>
      <c r="EY71" s="79"/>
      <c r="EZ71" s="79"/>
      <c r="FA71" s="79"/>
      <c r="FB71" s="79"/>
      <c r="FC71" s="79"/>
      <c r="FD71" s="79"/>
      <c r="FE71" s="79"/>
      <c r="FF71" s="79"/>
      <c r="FG71" s="79"/>
      <c r="FH71" s="79"/>
      <c r="FI71" s="79"/>
      <c r="FJ71" s="79"/>
      <c r="FK71" s="79"/>
      <c r="FL71" s="79"/>
      <c r="FM71" s="79"/>
      <c r="FN71" s="79"/>
      <c r="FO71" s="79"/>
      <c r="FP71" s="79"/>
      <c r="FQ71" s="79"/>
      <c r="FR71" s="79"/>
      <c r="FS71" s="79"/>
      <c r="FT71" s="79"/>
      <c r="FU71" s="79"/>
      <c r="FV71" s="79"/>
      <c r="FW71" s="79"/>
      <c r="FX71" s="79"/>
      <c r="FY71" s="79"/>
      <c r="FZ71" s="79"/>
      <c r="GA71" s="79"/>
      <c r="GB71" s="79"/>
      <c r="GC71" s="79"/>
      <c r="GD71" s="79"/>
      <c r="GE71" s="79"/>
      <c r="GF71" s="79"/>
      <c r="GG71" s="79"/>
      <c r="GH71" s="79"/>
      <c r="GI71" s="79"/>
      <c r="GJ71" s="79"/>
      <c r="GK71" s="79"/>
      <c r="GL71" s="79"/>
      <c r="GM71" s="79"/>
      <c r="GN71" s="79"/>
      <c r="GO71" s="79"/>
      <c r="GP71" s="79"/>
      <c r="GQ71" s="79"/>
      <c r="GR71" s="79"/>
      <c r="GS71" s="79"/>
      <c r="GT71" s="79"/>
      <c r="GU71" s="79"/>
      <c r="GV71" s="79"/>
      <c r="GW71" s="79"/>
      <c r="GX71" s="79"/>
    </row>
    <row r="72" spans="1:206" s="80" customFormat="1" ht="14.5" customHeight="1" x14ac:dyDescent="0.25">
      <c r="A72" s="138" t="s">
        <v>87</v>
      </c>
      <c r="B72" s="137"/>
      <c r="C72" s="104"/>
      <c r="D72" s="133">
        <f>D70-D71-D73</f>
        <v>343.5</v>
      </c>
      <c r="E72" s="133">
        <f t="shared" ref="E72:O72" si="49">E70-E71-E73</f>
        <v>52.5</v>
      </c>
      <c r="F72" s="133">
        <f t="shared" si="49"/>
        <v>75</v>
      </c>
      <c r="G72" s="133">
        <f t="shared" si="49"/>
        <v>107</v>
      </c>
      <c r="H72" s="133">
        <f t="shared" si="49"/>
        <v>171</v>
      </c>
      <c r="I72" s="133">
        <f t="shared" si="49"/>
        <v>313.5</v>
      </c>
      <c r="J72" s="133">
        <f t="shared" si="49"/>
        <v>489.5</v>
      </c>
      <c r="K72" s="133">
        <f t="shared" si="49"/>
        <v>457.5</v>
      </c>
      <c r="L72" s="133">
        <f t="shared" si="49"/>
        <v>351</v>
      </c>
      <c r="M72" s="133">
        <f t="shared" si="49"/>
        <v>327</v>
      </c>
      <c r="N72" s="133">
        <f t="shared" si="49"/>
        <v>75</v>
      </c>
      <c r="O72" s="133">
        <f t="shared" si="49"/>
        <v>97.5</v>
      </c>
      <c r="P72" s="133">
        <f t="shared" si="48"/>
        <v>2860</v>
      </c>
      <c r="Q72" s="122"/>
      <c r="R72" s="122"/>
      <c r="T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  <c r="CJ72" s="79"/>
      <c r="CK72" s="79"/>
      <c r="CL72" s="79"/>
      <c r="CM72" s="79"/>
      <c r="CN72" s="79"/>
      <c r="CO72" s="79"/>
      <c r="CP72" s="79"/>
      <c r="CQ72" s="79"/>
      <c r="CR72" s="79"/>
      <c r="CS72" s="79"/>
      <c r="CT72" s="79"/>
      <c r="CU72" s="79"/>
      <c r="CV72" s="79"/>
      <c r="CW72" s="79"/>
      <c r="CX72" s="79"/>
      <c r="CY72" s="79"/>
      <c r="CZ72" s="79"/>
      <c r="DA72" s="79"/>
      <c r="DB72" s="79"/>
      <c r="DC72" s="79"/>
      <c r="DD72" s="79"/>
      <c r="DE72" s="79"/>
      <c r="DF72" s="79"/>
      <c r="DG72" s="79"/>
      <c r="DH72" s="79"/>
      <c r="DI72" s="79"/>
      <c r="DJ72" s="79"/>
      <c r="DK72" s="79"/>
      <c r="DL72" s="79"/>
      <c r="DM72" s="79"/>
      <c r="DN72" s="79"/>
      <c r="DO72" s="79"/>
      <c r="DP72" s="79"/>
      <c r="DQ72" s="79"/>
      <c r="DR72" s="79"/>
      <c r="DS72" s="79"/>
      <c r="DT72" s="79"/>
      <c r="DU72" s="79"/>
      <c r="DV72" s="79"/>
      <c r="DW72" s="79"/>
      <c r="DX72" s="79"/>
      <c r="DY72" s="79"/>
      <c r="DZ72" s="79"/>
      <c r="EA72" s="79"/>
      <c r="EB72" s="79"/>
      <c r="EC72" s="79"/>
      <c r="ED72" s="79"/>
      <c r="EE72" s="79"/>
      <c r="EF72" s="79"/>
      <c r="EG72" s="79"/>
      <c r="EH72" s="79"/>
      <c r="EI72" s="79"/>
      <c r="EJ72" s="79"/>
      <c r="EK72" s="79"/>
      <c r="EL72" s="79"/>
      <c r="EM72" s="79"/>
      <c r="EN72" s="79"/>
      <c r="EO72" s="79"/>
      <c r="EP72" s="79"/>
      <c r="EQ72" s="79"/>
      <c r="ER72" s="79"/>
      <c r="ES72" s="79"/>
      <c r="ET72" s="79"/>
      <c r="EU72" s="79"/>
      <c r="EV72" s="79"/>
      <c r="EW72" s="79"/>
      <c r="EX72" s="79"/>
      <c r="EY72" s="79"/>
      <c r="EZ72" s="79"/>
      <c r="FA72" s="79"/>
      <c r="FB72" s="79"/>
      <c r="FC72" s="79"/>
      <c r="FD72" s="79"/>
      <c r="FE72" s="79"/>
      <c r="FF72" s="79"/>
      <c r="FG72" s="79"/>
      <c r="FH72" s="79"/>
      <c r="FI72" s="79"/>
      <c r="FJ72" s="79"/>
      <c r="FK72" s="79"/>
      <c r="FL72" s="79"/>
      <c r="FM72" s="79"/>
      <c r="FN72" s="79"/>
      <c r="FO72" s="79"/>
      <c r="FP72" s="79"/>
      <c r="FQ72" s="79"/>
      <c r="FR72" s="79"/>
      <c r="FS72" s="79"/>
      <c r="FT72" s="79"/>
      <c r="FU72" s="79"/>
      <c r="FV72" s="79"/>
      <c r="FW72" s="79"/>
      <c r="FX72" s="79"/>
      <c r="FY72" s="79"/>
      <c r="FZ72" s="79"/>
      <c r="GA72" s="79"/>
      <c r="GB72" s="79"/>
      <c r="GC72" s="79"/>
      <c r="GD72" s="79"/>
      <c r="GE72" s="79"/>
      <c r="GF72" s="79"/>
      <c r="GG72" s="79"/>
      <c r="GH72" s="79"/>
      <c r="GI72" s="79"/>
      <c r="GJ72" s="79"/>
      <c r="GK72" s="79"/>
      <c r="GL72" s="79"/>
      <c r="GM72" s="79"/>
      <c r="GN72" s="79"/>
      <c r="GO72" s="79"/>
      <c r="GP72" s="79"/>
      <c r="GQ72" s="79"/>
      <c r="GR72" s="79"/>
      <c r="GS72" s="79"/>
      <c r="GT72" s="79"/>
      <c r="GU72" s="79"/>
      <c r="GV72" s="79"/>
      <c r="GW72" s="79"/>
      <c r="GX72" s="79"/>
    </row>
    <row r="73" spans="1:206" s="80" customFormat="1" ht="14.5" customHeight="1" x14ac:dyDescent="0.25">
      <c r="A73" s="138" t="s">
        <v>88</v>
      </c>
      <c r="B73" s="137"/>
      <c r="C73" s="104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3">
        <f t="shared" si="48"/>
        <v>0</v>
      </c>
      <c r="Q73" s="122"/>
      <c r="R73" s="122"/>
      <c r="T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  <c r="CH73" s="79"/>
      <c r="CI73" s="79"/>
      <c r="CJ73" s="79"/>
      <c r="CK73" s="79"/>
      <c r="CL73" s="79"/>
      <c r="CM73" s="79"/>
      <c r="CN73" s="79"/>
      <c r="CO73" s="79"/>
      <c r="CP73" s="79"/>
      <c r="CQ73" s="79"/>
      <c r="CR73" s="79"/>
      <c r="CS73" s="79"/>
      <c r="CT73" s="79"/>
      <c r="CU73" s="79"/>
      <c r="CV73" s="79"/>
      <c r="CW73" s="79"/>
      <c r="CX73" s="79"/>
      <c r="CY73" s="79"/>
      <c r="CZ73" s="79"/>
      <c r="DA73" s="79"/>
      <c r="DB73" s="79"/>
      <c r="DC73" s="79"/>
      <c r="DD73" s="79"/>
      <c r="DE73" s="79"/>
      <c r="DF73" s="79"/>
      <c r="DG73" s="79"/>
      <c r="DH73" s="79"/>
      <c r="DI73" s="79"/>
      <c r="DJ73" s="79"/>
      <c r="DK73" s="79"/>
      <c r="DL73" s="79"/>
      <c r="DM73" s="79"/>
      <c r="DN73" s="79"/>
      <c r="DO73" s="79"/>
      <c r="DP73" s="79"/>
      <c r="DQ73" s="79"/>
      <c r="DR73" s="79"/>
      <c r="DS73" s="79"/>
      <c r="DT73" s="79"/>
      <c r="DU73" s="79"/>
      <c r="DV73" s="79"/>
      <c r="DW73" s="79"/>
      <c r="DX73" s="79"/>
      <c r="DY73" s="79"/>
      <c r="DZ73" s="79"/>
      <c r="EA73" s="79"/>
      <c r="EB73" s="79"/>
      <c r="EC73" s="79"/>
      <c r="ED73" s="79"/>
      <c r="EE73" s="79"/>
      <c r="EF73" s="79"/>
      <c r="EG73" s="79"/>
      <c r="EH73" s="79"/>
      <c r="EI73" s="79"/>
      <c r="EJ73" s="79"/>
      <c r="EK73" s="79"/>
      <c r="EL73" s="79"/>
      <c r="EM73" s="79"/>
      <c r="EN73" s="79"/>
      <c r="EO73" s="79"/>
      <c r="EP73" s="79"/>
      <c r="EQ73" s="79"/>
      <c r="ER73" s="79"/>
      <c r="ES73" s="79"/>
      <c r="ET73" s="79"/>
      <c r="EU73" s="79"/>
      <c r="EV73" s="79"/>
      <c r="EW73" s="79"/>
      <c r="EX73" s="79"/>
      <c r="EY73" s="79"/>
      <c r="EZ73" s="79"/>
      <c r="FA73" s="79"/>
      <c r="FB73" s="79"/>
      <c r="FC73" s="79"/>
      <c r="FD73" s="79"/>
      <c r="FE73" s="79"/>
      <c r="FF73" s="79"/>
      <c r="FG73" s="79"/>
      <c r="FH73" s="79"/>
      <c r="FI73" s="79"/>
      <c r="FJ73" s="79"/>
      <c r="FK73" s="79"/>
      <c r="FL73" s="79"/>
      <c r="FM73" s="79"/>
      <c r="FN73" s="79"/>
      <c r="FO73" s="79"/>
      <c r="FP73" s="79"/>
      <c r="FQ73" s="79"/>
      <c r="FR73" s="79"/>
      <c r="FS73" s="79"/>
      <c r="FT73" s="79"/>
      <c r="FU73" s="79"/>
      <c r="FV73" s="79"/>
      <c r="FW73" s="79"/>
      <c r="FX73" s="79"/>
      <c r="FY73" s="79"/>
      <c r="FZ73" s="79"/>
      <c r="GA73" s="79"/>
      <c r="GB73" s="79"/>
      <c r="GC73" s="79"/>
      <c r="GD73" s="79"/>
      <c r="GE73" s="79"/>
      <c r="GF73" s="79"/>
      <c r="GG73" s="79"/>
      <c r="GH73" s="79"/>
      <c r="GI73" s="79"/>
      <c r="GJ73" s="79"/>
      <c r="GK73" s="79"/>
      <c r="GL73" s="79"/>
      <c r="GM73" s="79"/>
      <c r="GN73" s="79"/>
      <c r="GO73" s="79"/>
      <c r="GP73" s="79"/>
      <c r="GQ73" s="79"/>
      <c r="GR73" s="79"/>
      <c r="GS73" s="79"/>
      <c r="GT73" s="79"/>
      <c r="GU73" s="79"/>
      <c r="GV73" s="79"/>
      <c r="GW73" s="79"/>
      <c r="GX73" s="79"/>
    </row>
    <row r="74" spans="1:206" s="80" customFormat="1" ht="14.5" customHeight="1" x14ac:dyDescent="0.25">
      <c r="A74" s="111" t="s">
        <v>89</v>
      </c>
      <c r="B74" s="137"/>
      <c r="C74" s="104"/>
      <c r="D74" s="133">
        <f t="shared" ref="D74:O74" si="50">D24</f>
        <v>11000</v>
      </c>
      <c r="E74" s="133">
        <f t="shared" si="50"/>
        <v>7000</v>
      </c>
      <c r="F74" s="133">
        <f t="shared" si="50"/>
        <v>10000</v>
      </c>
      <c r="G74" s="133">
        <f t="shared" si="50"/>
        <v>10000</v>
      </c>
      <c r="H74" s="133">
        <f t="shared" si="50"/>
        <v>10000</v>
      </c>
      <c r="I74" s="133">
        <f t="shared" si="50"/>
        <v>10000</v>
      </c>
      <c r="J74" s="133">
        <f t="shared" si="50"/>
        <v>10000</v>
      </c>
      <c r="K74" s="133">
        <f t="shared" si="50"/>
        <v>10000</v>
      </c>
      <c r="L74" s="133">
        <f t="shared" si="50"/>
        <v>10000</v>
      </c>
      <c r="M74" s="133">
        <f t="shared" si="50"/>
        <v>8000</v>
      </c>
      <c r="N74" s="133">
        <f t="shared" si="50"/>
        <v>8000</v>
      </c>
      <c r="O74" s="133">
        <f t="shared" si="50"/>
        <v>8000</v>
      </c>
      <c r="P74" s="133">
        <f t="shared" si="48"/>
        <v>112000</v>
      </c>
      <c r="Q74" s="122"/>
      <c r="R74" s="122"/>
      <c r="T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  <c r="CK74" s="79"/>
      <c r="CL74" s="79"/>
      <c r="CM74" s="79"/>
      <c r="CN74" s="79"/>
      <c r="CO74" s="79"/>
      <c r="CP74" s="79"/>
      <c r="CQ74" s="79"/>
      <c r="CR74" s="79"/>
      <c r="CS74" s="79"/>
      <c r="CT74" s="79"/>
      <c r="CU74" s="79"/>
      <c r="CV74" s="79"/>
      <c r="CW74" s="79"/>
      <c r="CX74" s="79"/>
      <c r="CY74" s="79"/>
      <c r="CZ74" s="79"/>
      <c r="DA74" s="79"/>
      <c r="DB74" s="79"/>
      <c r="DC74" s="79"/>
      <c r="DD74" s="79"/>
      <c r="DE74" s="79"/>
      <c r="DF74" s="79"/>
      <c r="DG74" s="79"/>
      <c r="DH74" s="79"/>
      <c r="DI74" s="79"/>
      <c r="DJ74" s="79"/>
      <c r="DK74" s="79"/>
      <c r="DL74" s="79"/>
      <c r="DM74" s="79"/>
      <c r="DN74" s="79"/>
      <c r="DO74" s="79"/>
      <c r="DP74" s="79"/>
      <c r="DQ74" s="79"/>
      <c r="DR74" s="79"/>
      <c r="DS74" s="79"/>
      <c r="DT74" s="79"/>
      <c r="DU74" s="79"/>
      <c r="DV74" s="79"/>
      <c r="DW74" s="79"/>
      <c r="DX74" s="79"/>
      <c r="DY74" s="79"/>
      <c r="DZ74" s="79"/>
      <c r="EA74" s="79"/>
      <c r="EB74" s="79"/>
      <c r="EC74" s="79"/>
      <c r="ED74" s="79"/>
      <c r="EE74" s="79"/>
      <c r="EF74" s="79"/>
      <c r="EG74" s="79"/>
      <c r="EH74" s="79"/>
      <c r="EI74" s="79"/>
      <c r="EJ74" s="79"/>
      <c r="EK74" s="79"/>
      <c r="EL74" s="79"/>
      <c r="EM74" s="79"/>
      <c r="EN74" s="79"/>
      <c r="EO74" s="79"/>
      <c r="EP74" s="79"/>
      <c r="EQ74" s="79"/>
      <c r="ER74" s="79"/>
      <c r="ES74" s="79"/>
      <c r="ET74" s="79"/>
      <c r="EU74" s="79"/>
      <c r="EV74" s="79"/>
      <c r="EW74" s="79"/>
      <c r="EX74" s="79"/>
      <c r="EY74" s="79"/>
      <c r="EZ74" s="79"/>
      <c r="FA74" s="79"/>
      <c r="FB74" s="79"/>
      <c r="FC74" s="79"/>
      <c r="FD74" s="79"/>
      <c r="FE74" s="79"/>
      <c r="FF74" s="79"/>
      <c r="FG74" s="79"/>
      <c r="FH74" s="79"/>
      <c r="FI74" s="79"/>
      <c r="FJ74" s="79"/>
      <c r="FK74" s="79"/>
      <c r="FL74" s="79"/>
      <c r="FM74" s="79"/>
      <c r="FN74" s="79"/>
      <c r="FO74" s="79"/>
      <c r="FP74" s="79"/>
      <c r="FQ74" s="79"/>
      <c r="FR74" s="79"/>
      <c r="FS74" s="79"/>
      <c r="FT74" s="79"/>
      <c r="FU74" s="79"/>
      <c r="FV74" s="79"/>
      <c r="FW74" s="79"/>
      <c r="FX74" s="79"/>
      <c r="FY74" s="79"/>
      <c r="FZ74" s="79"/>
      <c r="GA74" s="79"/>
      <c r="GB74" s="79"/>
      <c r="GC74" s="79"/>
      <c r="GD74" s="79"/>
      <c r="GE74" s="79"/>
      <c r="GF74" s="79"/>
      <c r="GG74" s="79"/>
      <c r="GH74" s="79"/>
      <c r="GI74" s="79"/>
      <c r="GJ74" s="79"/>
      <c r="GK74" s="79"/>
      <c r="GL74" s="79"/>
      <c r="GM74" s="79"/>
      <c r="GN74" s="79"/>
      <c r="GO74" s="79"/>
      <c r="GP74" s="79"/>
      <c r="GQ74" s="79"/>
      <c r="GR74" s="79"/>
      <c r="GS74" s="79"/>
      <c r="GT74" s="79"/>
      <c r="GU74" s="79"/>
      <c r="GV74" s="79"/>
      <c r="GW74" s="79"/>
      <c r="GX74" s="79"/>
    </row>
    <row r="75" spans="1:206" s="80" customFormat="1" ht="14.5" customHeight="1" x14ac:dyDescent="0.25">
      <c r="A75" s="138" t="s">
        <v>86</v>
      </c>
      <c r="B75" s="137"/>
      <c r="C75" s="10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3">
        <f t="shared" si="48"/>
        <v>0</v>
      </c>
      <c r="Q75" s="122"/>
      <c r="R75" s="122"/>
      <c r="T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  <c r="CN75" s="79"/>
      <c r="CO75" s="79"/>
      <c r="CP75" s="79"/>
      <c r="CQ75" s="79"/>
      <c r="CR75" s="79"/>
      <c r="CS75" s="79"/>
      <c r="CT75" s="79"/>
      <c r="CU75" s="79"/>
      <c r="CV75" s="79"/>
      <c r="CW75" s="79"/>
      <c r="CX75" s="79"/>
      <c r="CY75" s="79"/>
      <c r="CZ75" s="79"/>
      <c r="DA75" s="79"/>
      <c r="DB75" s="79"/>
      <c r="DC75" s="79"/>
      <c r="DD75" s="79"/>
      <c r="DE75" s="79"/>
      <c r="DF75" s="79"/>
      <c r="DG75" s="79"/>
      <c r="DH75" s="79"/>
      <c r="DI75" s="79"/>
      <c r="DJ75" s="79"/>
      <c r="DK75" s="79"/>
      <c r="DL75" s="79"/>
      <c r="DM75" s="79"/>
      <c r="DN75" s="79"/>
      <c r="DO75" s="79"/>
      <c r="DP75" s="79"/>
      <c r="DQ75" s="79"/>
      <c r="DR75" s="79"/>
      <c r="DS75" s="79"/>
      <c r="DT75" s="79"/>
      <c r="DU75" s="79"/>
      <c r="DV75" s="79"/>
      <c r="DW75" s="79"/>
      <c r="DX75" s="79"/>
      <c r="DY75" s="79"/>
      <c r="DZ75" s="79"/>
      <c r="EA75" s="79"/>
      <c r="EB75" s="79"/>
      <c r="EC75" s="79"/>
      <c r="ED75" s="79"/>
      <c r="EE75" s="79"/>
      <c r="EF75" s="79"/>
      <c r="EG75" s="79"/>
      <c r="EH75" s="79"/>
      <c r="EI75" s="79"/>
      <c r="EJ75" s="79"/>
      <c r="EK75" s="79"/>
      <c r="EL75" s="79"/>
      <c r="EM75" s="79"/>
      <c r="EN75" s="79"/>
      <c r="EO75" s="79"/>
      <c r="EP75" s="79"/>
      <c r="EQ75" s="79"/>
      <c r="ER75" s="79"/>
      <c r="ES75" s="79"/>
      <c r="ET75" s="79"/>
      <c r="EU75" s="79"/>
      <c r="EV75" s="79"/>
      <c r="EW75" s="79"/>
      <c r="EX75" s="79"/>
      <c r="EY75" s="79"/>
      <c r="EZ75" s="79"/>
      <c r="FA75" s="79"/>
      <c r="FB75" s="79"/>
      <c r="FC75" s="79"/>
      <c r="FD75" s="79"/>
      <c r="FE75" s="79"/>
      <c r="FF75" s="79"/>
      <c r="FG75" s="79"/>
      <c r="FH75" s="79"/>
      <c r="FI75" s="79"/>
      <c r="FJ75" s="79"/>
      <c r="FK75" s="79"/>
      <c r="FL75" s="79"/>
      <c r="FM75" s="79"/>
      <c r="FN75" s="79"/>
      <c r="FO75" s="79"/>
      <c r="FP75" s="79"/>
      <c r="FQ75" s="79"/>
      <c r="FR75" s="79"/>
      <c r="FS75" s="79"/>
      <c r="FT75" s="79"/>
      <c r="FU75" s="79"/>
      <c r="FV75" s="79"/>
      <c r="FW75" s="79"/>
      <c r="FX75" s="79"/>
      <c r="FY75" s="79"/>
      <c r="FZ75" s="79"/>
      <c r="GA75" s="79"/>
      <c r="GB75" s="79"/>
      <c r="GC75" s="79"/>
      <c r="GD75" s="79"/>
      <c r="GE75" s="79"/>
      <c r="GF75" s="79"/>
      <c r="GG75" s="79"/>
      <c r="GH75" s="79"/>
      <c r="GI75" s="79"/>
      <c r="GJ75" s="79"/>
      <c r="GK75" s="79"/>
      <c r="GL75" s="79"/>
      <c r="GM75" s="79"/>
      <c r="GN75" s="79"/>
      <c r="GO75" s="79"/>
      <c r="GP75" s="79"/>
      <c r="GQ75" s="79"/>
      <c r="GR75" s="79"/>
      <c r="GS75" s="79"/>
      <c r="GT75" s="79"/>
      <c r="GU75" s="79"/>
      <c r="GV75" s="79"/>
      <c r="GW75" s="79"/>
      <c r="GX75" s="79"/>
    </row>
    <row r="76" spans="1:206" s="80" customFormat="1" ht="14.5" customHeight="1" x14ac:dyDescent="0.25">
      <c r="A76" s="138" t="s">
        <v>87</v>
      </c>
      <c r="B76" s="137"/>
      <c r="C76" s="104"/>
      <c r="D76" s="134">
        <f>D74-D75</f>
        <v>11000</v>
      </c>
      <c r="E76" s="134">
        <f t="shared" ref="E76:O76" si="51">E74-E75</f>
        <v>7000</v>
      </c>
      <c r="F76" s="134">
        <f t="shared" si="51"/>
        <v>10000</v>
      </c>
      <c r="G76" s="134">
        <f t="shared" si="51"/>
        <v>10000</v>
      </c>
      <c r="H76" s="134">
        <f t="shared" si="51"/>
        <v>10000</v>
      </c>
      <c r="I76" s="134">
        <f t="shared" si="51"/>
        <v>10000</v>
      </c>
      <c r="J76" s="134">
        <f t="shared" si="51"/>
        <v>10000</v>
      </c>
      <c r="K76" s="134">
        <f t="shared" si="51"/>
        <v>10000</v>
      </c>
      <c r="L76" s="134">
        <f t="shared" si="51"/>
        <v>10000</v>
      </c>
      <c r="M76" s="134">
        <f t="shared" si="51"/>
        <v>8000</v>
      </c>
      <c r="N76" s="134">
        <f t="shared" si="51"/>
        <v>8000</v>
      </c>
      <c r="O76" s="134">
        <f t="shared" si="51"/>
        <v>8000</v>
      </c>
      <c r="P76" s="133">
        <f t="shared" si="48"/>
        <v>112000</v>
      </c>
      <c r="Q76" s="122"/>
      <c r="R76" s="122"/>
      <c r="T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  <c r="CK76" s="79"/>
      <c r="CL76" s="79"/>
      <c r="CM76" s="79"/>
      <c r="CN76" s="79"/>
      <c r="CO76" s="79"/>
      <c r="CP76" s="79"/>
      <c r="CQ76" s="79"/>
      <c r="CR76" s="79"/>
      <c r="CS76" s="79"/>
      <c r="CT76" s="79"/>
      <c r="CU76" s="79"/>
      <c r="CV76" s="79"/>
      <c r="CW76" s="79"/>
      <c r="CX76" s="79"/>
      <c r="CY76" s="79"/>
      <c r="CZ76" s="79"/>
      <c r="DA76" s="79"/>
      <c r="DB76" s="79"/>
      <c r="DC76" s="79"/>
      <c r="DD76" s="79"/>
      <c r="DE76" s="79"/>
      <c r="DF76" s="79"/>
      <c r="DG76" s="79"/>
      <c r="DH76" s="79"/>
      <c r="DI76" s="79"/>
      <c r="DJ76" s="79"/>
      <c r="DK76" s="79"/>
      <c r="DL76" s="79"/>
      <c r="DM76" s="79"/>
      <c r="DN76" s="79"/>
      <c r="DO76" s="79"/>
      <c r="DP76" s="79"/>
      <c r="DQ76" s="79"/>
      <c r="DR76" s="79"/>
      <c r="DS76" s="79"/>
      <c r="DT76" s="79"/>
      <c r="DU76" s="79"/>
      <c r="DV76" s="79"/>
      <c r="DW76" s="79"/>
      <c r="DX76" s="79"/>
      <c r="DY76" s="79"/>
      <c r="DZ76" s="79"/>
      <c r="EA76" s="79"/>
      <c r="EB76" s="79"/>
      <c r="EC76" s="79"/>
      <c r="ED76" s="79"/>
      <c r="EE76" s="79"/>
      <c r="EF76" s="79"/>
      <c r="EG76" s="79"/>
      <c r="EH76" s="79"/>
      <c r="EI76" s="79"/>
      <c r="EJ76" s="79"/>
      <c r="EK76" s="79"/>
      <c r="EL76" s="79"/>
      <c r="EM76" s="79"/>
      <c r="EN76" s="79"/>
      <c r="EO76" s="79"/>
      <c r="EP76" s="79"/>
      <c r="EQ76" s="79"/>
      <c r="ER76" s="79"/>
      <c r="ES76" s="79"/>
      <c r="ET76" s="79"/>
      <c r="EU76" s="79"/>
      <c r="EV76" s="79"/>
      <c r="EW76" s="79"/>
      <c r="EX76" s="79"/>
      <c r="EY76" s="79"/>
      <c r="EZ76" s="79"/>
      <c r="FA76" s="79"/>
      <c r="FB76" s="79"/>
      <c r="FC76" s="79"/>
      <c r="FD76" s="79"/>
      <c r="FE76" s="79"/>
      <c r="FF76" s="79"/>
      <c r="FG76" s="79"/>
      <c r="FH76" s="79"/>
      <c r="FI76" s="79"/>
      <c r="FJ76" s="79"/>
      <c r="FK76" s="79"/>
      <c r="FL76" s="79"/>
      <c r="FM76" s="79"/>
      <c r="FN76" s="79"/>
      <c r="FO76" s="79"/>
      <c r="FP76" s="79"/>
      <c r="FQ76" s="79"/>
      <c r="FR76" s="79"/>
      <c r="FS76" s="79"/>
      <c r="FT76" s="79"/>
      <c r="FU76" s="79"/>
      <c r="FV76" s="79"/>
      <c r="FW76" s="79"/>
      <c r="FX76" s="79"/>
      <c r="FY76" s="79"/>
      <c r="FZ76" s="79"/>
      <c r="GA76" s="79"/>
      <c r="GB76" s="79"/>
      <c r="GC76" s="79"/>
      <c r="GD76" s="79"/>
      <c r="GE76" s="79"/>
      <c r="GF76" s="79"/>
      <c r="GG76" s="79"/>
      <c r="GH76" s="79"/>
      <c r="GI76" s="79"/>
      <c r="GJ76" s="79"/>
      <c r="GK76" s="79"/>
      <c r="GL76" s="79"/>
      <c r="GM76" s="79"/>
      <c r="GN76" s="79"/>
      <c r="GO76" s="79"/>
      <c r="GP76" s="79"/>
      <c r="GQ76" s="79"/>
      <c r="GR76" s="79"/>
      <c r="GS76" s="79"/>
      <c r="GT76" s="79"/>
      <c r="GU76" s="79"/>
      <c r="GV76" s="79"/>
      <c r="GW76" s="79"/>
      <c r="GX76" s="79"/>
    </row>
    <row r="77" spans="1:206" s="80" customFormat="1" ht="14.5" customHeight="1" x14ac:dyDescent="0.25">
      <c r="A77" s="138" t="s">
        <v>88</v>
      </c>
      <c r="B77" s="137"/>
      <c r="C77" s="104"/>
      <c r="D77" s="133">
        <f>D74-D75-D76</f>
        <v>0</v>
      </c>
      <c r="E77" s="133">
        <f t="shared" ref="E77:O77" si="52">E74-E75-E76</f>
        <v>0</v>
      </c>
      <c r="F77" s="133">
        <f t="shared" si="52"/>
        <v>0</v>
      </c>
      <c r="G77" s="133">
        <f t="shared" si="52"/>
        <v>0</v>
      </c>
      <c r="H77" s="133">
        <f t="shared" si="52"/>
        <v>0</v>
      </c>
      <c r="I77" s="133">
        <f t="shared" si="52"/>
        <v>0</v>
      </c>
      <c r="J77" s="133">
        <f t="shared" si="52"/>
        <v>0</v>
      </c>
      <c r="K77" s="133">
        <f t="shared" si="52"/>
        <v>0</v>
      </c>
      <c r="L77" s="133">
        <f t="shared" si="52"/>
        <v>0</v>
      </c>
      <c r="M77" s="133">
        <f t="shared" si="52"/>
        <v>0</v>
      </c>
      <c r="N77" s="133">
        <f t="shared" si="52"/>
        <v>0</v>
      </c>
      <c r="O77" s="133">
        <f t="shared" si="52"/>
        <v>0</v>
      </c>
      <c r="P77" s="133">
        <f t="shared" si="48"/>
        <v>0</v>
      </c>
      <c r="Q77" s="122"/>
      <c r="R77" s="122"/>
      <c r="T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79"/>
      <c r="CS77" s="79"/>
      <c r="CT77" s="79"/>
      <c r="CU77" s="79"/>
      <c r="CV77" s="79"/>
      <c r="CW77" s="79"/>
      <c r="CX77" s="79"/>
      <c r="CY77" s="79"/>
      <c r="CZ77" s="79"/>
      <c r="DA77" s="79"/>
      <c r="DB77" s="79"/>
      <c r="DC77" s="79"/>
      <c r="DD77" s="79"/>
      <c r="DE77" s="79"/>
      <c r="DF77" s="79"/>
      <c r="DG77" s="79"/>
      <c r="DH77" s="79"/>
      <c r="DI77" s="79"/>
      <c r="DJ77" s="79"/>
      <c r="DK77" s="79"/>
      <c r="DL77" s="79"/>
      <c r="DM77" s="79"/>
      <c r="DN77" s="79"/>
      <c r="DO77" s="79"/>
      <c r="DP77" s="79"/>
      <c r="DQ77" s="79"/>
      <c r="DR77" s="79"/>
      <c r="DS77" s="79"/>
      <c r="DT77" s="79"/>
      <c r="DU77" s="79"/>
      <c r="DV77" s="79"/>
      <c r="DW77" s="79"/>
      <c r="DX77" s="79"/>
      <c r="DY77" s="79"/>
      <c r="DZ77" s="79"/>
      <c r="EA77" s="79"/>
      <c r="EB77" s="79"/>
      <c r="EC77" s="79"/>
      <c r="ED77" s="79"/>
      <c r="EE77" s="79"/>
      <c r="EF77" s="79"/>
      <c r="EG77" s="79"/>
      <c r="EH77" s="79"/>
      <c r="EI77" s="79"/>
      <c r="EJ77" s="79"/>
      <c r="EK77" s="79"/>
      <c r="EL77" s="79"/>
      <c r="EM77" s="79"/>
      <c r="EN77" s="79"/>
      <c r="EO77" s="79"/>
      <c r="EP77" s="79"/>
      <c r="EQ77" s="79"/>
      <c r="ER77" s="79"/>
      <c r="ES77" s="79"/>
      <c r="ET77" s="79"/>
      <c r="EU77" s="79"/>
      <c r="EV77" s="79"/>
      <c r="EW77" s="79"/>
      <c r="EX77" s="79"/>
      <c r="EY77" s="79"/>
      <c r="EZ77" s="79"/>
      <c r="FA77" s="79"/>
      <c r="FB77" s="79"/>
      <c r="FC77" s="79"/>
      <c r="FD77" s="79"/>
      <c r="FE77" s="79"/>
      <c r="FF77" s="79"/>
      <c r="FG77" s="79"/>
      <c r="FH77" s="79"/>
      <c r="FI77" s="79"/>
      <c r="FJ77" s="79"/>
      <c r="FK77" s="79"/>
      <c r="FL77" s="79"/>
      <c r="FM77" s="79"/>
      <c r="FN77" s="79"/>
      <c r="FO77" s="79"/>
      <c r="FP77" s="79"/>
      <c r="FQ77" s="79"/>
      <c r="FR77" s="79"/>
      <c r="FS77" s="79"/>
      <c r="FT77" s="79"/>
      <c r="FU77" s="79"/>
      <c r="FV77" s="79"/>
      <c r="FW77" s="79"/>
      <c r="FX77" s="79"/>
      <c r="FY77" s="79"/>
      <c r="FZ77" s="79"/>
      <c r="GA77" s="79"/>
      <c r="GB77" s="79"/>
      <c r="GC77" s="79"/>
      <c r="GD77" s="79"/>
      <c r="GE77" s="79"/>
      <c r="GF77" s="79"/>
      <c r="GG77" s="79"/>
      <c r="GH77" s="79"/>
      <c r="GI77" s="79"/>
      <c r="GJ77" s="79"/>
      <c r="GK77" s="79"/>
      <c r="GL77" s="79"/>
      <c r="GM77" s="79"/>
      <c r="GN77" s="79"/>
      <c r="GO77" s="79"/>
      <c r="GP77" s="79"/>
      <c r="GQ77" s="79"/>
      <c r="GR77" s="79"/>
      <c r="GS77" s="79"/>
      <c r="GT77" s="79"/>
      <c r="GU77" s="79"/>
      <c r="GV77" s="79"/>
      <c r="GW77" s="79"/>
      <c r="GX77" s="79"/>
    </row>
    <row r="78" spans="1:206" s="80" customFormat="1" ht="14.5" customHeight="1" x14ac:dyDescent="0.25">
      <c r="A78" s="111" t="s">
        <v>45</v>
      </c>
      <c r="B78" s="137"/>
      <c r="C78" s="104"/>
      <c r="D78" s="133">
        <f>D29</f>
        <v>922.73599999999999</v>
      </c>
      <c r="E78" s="133">
        <f t="shared" ref="E78:O78" si="53">E29</f>
        <v>305.95999999999998</v>
      </c>
      <c r="F78" s="133">
        <f t="shared" si="53"/>
        <v>456.012</v>
      </c>
      <c r="G78" s="133">
        <f t="shared" si="53"/>
        <v>935.72199999999998</v>
      </c>
      <c r="H78" s="133">
        <f t="shared" si="53"/>
        <v>698.19200000000001</v>
      </c>
      <c r="I78" s="133">
        <f t="shared" si="53"/>
        <v>798.50400000000002</v>
      </c>
      <c r="J78" s="133">
        <f t="shared" si="53"/>
        <v>919.13599999999997</v>
      </c>
      <c r="K78" s="133">
        <f t="shared" si="53"/>
        <v>907.8</v>
      </c>
      <c r="L78" s="133">
        <f t="shared" si="53"/>
        <v>927</v>
      </c>
      <c r="M78" s="133">
        <f t="shared" si="53"/>
        <v>535</v>
      </c>
      <c r="N78" s="133">
        <f t="shared" si="53"/>
        <v>637</v>
      </c>
      <c r="O78" s="133">
        <f t="shared" si="53"/>
        <v>837</v>
      </c>
      <c r="P78" s="133">
        <f t="shared" si="48"/>
        <v>8880.0619999999999</v>
      </c>
      <c r="Q78" s="122"/>
      <c r="R78" s="122"/>
      <c r="T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  <c r="CK78" s="79"/>
      <c r="CL78" s="79"/>
      <c r="CM78" s="79"/>
      <c r="CN78" s="79"/>
      <c r="CO78" s="79"/>
      <c r="CP78" s="79"/>
      <c r="CQ78" s="79"/>
      <c r="CR78" s="79"/>
      <c r="CS78" s="79"/>
      <c r="CT78" s="79"/>
      <c r="CU78" s="79"/>
      <c r="CV78" s="79"/>
      <c r="CW78" s="79"/>
      <c r="CX78" s="79"/>
      <c r="CY78" s="79"/>
      <c r="CZ78" s="79"/>
      <c r="DA78" s="79"/>
      <c r="DB78" s="79"/>
      <c r="DC78" s="79"/>
      <c r="DD78" s="79"/>
      <c r="DE78" s="79"/>
      <c r="DF78" s="79"/>
      <c r="DG78" s="79"/>
      <c r="DH78" s="79"/>
      <c r="DI78" s="79"/>
      <c r="DJ78" s="79"/>
      <c r="DK78" s="79"/>
      <c r="DL78" s="79"/>
      <c r="DM78" s="79"/>
      <c r="DN78" s="79"/>
      <c r="DO78" s="79"/>
      <c r="DP78" s="79"/>
      <c r="DQ78" s="79"/>
      <c r="DR78" s="79"/>
      <c r="DS78" s="79"/>
      <c r="DT78" s="79"/>
      <c r="DU78" s="79"/>
      <c r="DV78" s="79"/>
      <c r="DW78" s="79"/>
      <c r="DX78" s="79"/>
      <c r="DY78" s="79"/>
      <c r="DZ78" s="79"/>
      <c r="EA78" s="79"/>
      <c r="EB78" s="79"/>
      <c r="EC78" s="79"/>
      <c r="ED78" s="79"/>
      <c r="EE78" s="79"/>
      <c r="EF78" s="79"/>
      <c r="EG78" s="79"/>
      <c r="EH78" s="79"/>
      <c r="EI78" s="79"/>
      <c r="EJ78" s="79"/>
      <c r="EK78" s="79"/>
      <c r="EL78" s="79"/>
      <c r="EM78" s="79"/>
      <c r="EN78" s="79"/>
      <c r="EO78" s="79"/>
      <c r="EP78" s="79"/>
      <c r="EQ78" s="79"/>
      <c r="ER78" s="79"/>
      <c r="ES78" s="79"/>
      <c r="ET78" s="79"/>
      <c r="EU78" s="79"/>
      <c r="EV78" s="79"/>
      <c r="EW78" s="79"/>
      <c r="EX78" s="79"/>
      <c r="EY78" s="79"/>
      <c r="EZ78" s="79"/>
      <c r="FA78" s="79"/>
      <c r="FB78" s="79"/>
      <c r="FC78" s="79"/>
      <c r="FD78" s="79"/>
      <c r="FE78" s="79"/>
      <c r="FF78" s="79"/>
      <c r="FG78" s="79"/>
      <c r="FH78" s="79"/>
      <c r="FI78" s="79"/>
      <c r="FJ78" s="79"/>
      <c r="FK78" s="79"/>
      <c r="FL78" s="79"/>
      <c r="FM78" s="79"/>
      <c r="FN78" s="79"/>
      <c r="FO78" s="79"/>
      <c r="FP78" s="79"/>
      <c r="FQ78" s="79"/>
      <c r="FR78" s="79"/>
      <c r="FS78" s="79"/>
      <c r="FT78" s="79"/>
      <c r="FU78" s="79"/>
      <c r="FV78" s="79"/>
      <c r="FW78" s="79"/>
      <c r="FX78" s="79"/>
      <c r="FY78" s="79"/>
      <c r="FZ78" s="79"/>
      <c r="GA78" s="79"/>
      <c r="GB78" s="79"/>
      <c r="GC78" s="79"/>
      <c r="GD78" s="79"/>
      <c r="GE78" s="79"/>
      <c r="GF78" s="79"/>
      <c r="GG78" s="79"/>
      <c r="GH78" s="79"/>
      <c r="GI78" s="79"/>
      <c r="GJ78" s="79"/>
      <c r="GK78" s="79"/>
      <c r="GL78" s="79"/>
      <c r="GM78" s="79"/>
      <c r="GN78" s="79"/>
      <c r="GO78" s="79"/>
      <c r="GP78" s="79"/>
      <c r="GQ78" s="79"/>
      <c r="GR78" s="79"/>
      <c r="GS78" s="79"/>
      <c r="GT78" s="79"/>
      <c r="GU78" s="79"/>
      <c r="GV78" s="79"/>
      <c r="GW78" s="79"/>
      <c r="GX78" s="79"/>
    </row>
    <row r="79" spans="1:206" s="80" customFormat="1" ht="14.5" customHeight="1" x14ac:dyDescent="0.25">
      <c r="A79" s="138" t="s">
        <v>86</v>
      </c>
      <c r="B79" s="137"/>
      <c r="C79" s="10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3">
        <f t="shared" si="48"/>
        <v>0</v>
      </c>
      <c r="Q79" s="122"/>
      <c r="R79" s="122"/>
      <c r="T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  <c r="CH79" s="79"/>
      <c r="CI79" s="79"/>
      <c r="CJ79" s="79"/>
      <c r="CK79" s="79"/>
      <c r="CL79" s="79"/>
      <c r="CM79" s="79"/>
      <c r="CN79" s="79"/>
      <c r="CO79" s="79"/>
      <c r="CP79" s="79"/>
      <c r="CQ79" s="79"/>
      <c r="CR79" s="79"/>
      <c r="CS79" s="79"/>
      <c r="CT79" s="79"/>
      <c r="CU79" s="79"/>
      <c r="CV79" s="79"/>
      <c r="CW79" s="79"/>
      <c r="CX79" s="79"/>
      <c r="CY79" s="79"/>
      <c r="CZ79" s="79"/>
      <c r="DA79" s="79"/>
      <c r="DB79" s="79"/>
      <c r="DC79" s="79"/>
      <c r="DD79" s="79"/>
      <c r="DE79" s="79"/>
      <c r="DF79" s="79"/>
      <c r="DG79" s="79"/>
      <c r="DH79" s="79"/>
      <c r="DI79" s="79"/>
      <c r="DJ79" s="79"/>
      <c r="DK79" s="79"/>
      <c r="DL79" s="79"/>
      <c r="DM79" s="79"/>
      <c r="DN79" s="79"/>
      <c r="DO79" s="79"/>
      <c r="DP79" s="79"/>
      <c r="DQ79" s="79"/>
      <c r="DR79" s="79"/>
      <c r="DS79" s="79"/>
      <c r="DT79" s="79"/>
      <c r="DU79" s="79"/>
      <c r="DV79" s="79"/>
      <c r="DW79" s="79"/>
      <c r="DX79" s="79"/>
      <c r="DY79" s="79"/>
      <c r="DZ79" s="79"/>
      <c r="EA79" s="79"/>
      <c r="EB79" s="79"/>
      <c r="EC79" s="79"/>
      <c r="ED79" s="79"/>
      <c r="EE79" s="79"/>
      <c r="EF79" s="79"/>
      <c r="EG79" s="79"/>
      <c r="EH79" s="79"/>
      <c r="EI79" s="79"/>
      <c r="EJ79" s="79"/>
      <c r="EK79" s="79"/>
      <c r="EL79" s="79"/>
      <c r="EM79" s="79"/>
      <c r="EN79" s="79"/>
      <c r="EO79" s="79"/>
      <c r="EP79" s="79"/>
      <c r="EQ79" s="79"/>
      <c r="ER79" s="79"/>
      <c r="ES79" s="79"/>
      <c r="ET79" s="79"/>
      <c r="EU79" s="79"/>
      <c r="EV79" s="79"/>
      <c r="EW79" s="79"/>
      <c r="EX79" s="79"/>
      <c r="EY79" s="79"/>
      <c r="EZ79" s="79"/>
      <c r="FA79" s="79"/>
      <c r="FB79" s="79"/>
      <c r="FC79" s="79"/>
      <c r="FD79" s="79"/>
      <c r="FE79" s="79"/>
      <c r="FF79" s="79"/>
      <c r="FG79" s="79"/>
      <c r="FH79" s="79"/>
      <c r="FI79" s="79"/>
      <c r="FJ79" s="79"/>
      <c r="FK79" s="79"/>
      <c r="FL79" s="79"/>
      <c r="FM79" s="79"/>
      <c r="FN79" s="79"/>
      <c r="FO79" s="79"/>
      <c r="FP79" s="79"/>
      <c r="FQ79" s="79"/>
      <c r="FR79" s="79"/>
      <c r="FS79" s="79"/>
      <c r="FT79" s="79"/>
      <c r="FU79" s="79"/>
      <c r="FV79" s="79"/>
      <c r="FW79" s="79"/>
      <c r="FX79" s="79"/>
      <c r="FY79" s="79"/>
      <c r="FZ79" s="79"/>
      <c r="GA79" s="79"/>
      <c r="GB79" s="79"/>
      <c r="GC79" s="79"/>
      <c r="GD79" s="79"/>
      <c r="GE79" s="79"/>
      <c r="GF79" s="79"/>
      <c r="GG79" s="79"/>
      <c r="GH79" s="79"/>
      <c r="GI79" s="79"/>
      <c r="GJ79" s="79"/>
      <c r="GK79" s="79"/>
      <c r="GL79" s="79"/>
      <c r="GM79" s="79"/>
      <c r="GN79" s="79"/>
      <c r="GO79" s="79"/>
      <c r="GP79" s="79"/>
      <c r="GQ79" s="79"/>
      <c r="GR79" s="79"/>
      <c r="GS79" s="79"/>
      <c r="GT79" s="79"/>
      <c r="GU79" s="79"/>
      <c r="GV79" s="79"/>
      <c r="GW79" s="79"/>
      <c r="GX79" s="79"/>
    </row>
    <row r="80" spans="1:206" s="80" customFormat="1" ht="14.5" customHeight="1" x14ac:dyDescent="0.25">
      <c r="A80" s="140" t="s">
        <v>236</v>
      </c>
      <c r="B80" s="137"/>
      <c r="C80" s="104"/>
      <c r="D80" s="134">
        <f>D78-D79</f>
        <v>922.73599999999999</v>
      </c>
      <c r="E80" s="134">
        <f t="shared" ref="E80:O80" si="54">E78-E79</f>
        <v>305.95999999999998</v>
      </c>
      <c r="F80" s="134">
        <f t="shared" si="54"/>
        <v>456.012</v>
      </c>
      <c r="G80" s="134">
        <f t="shared" si="54"/>
        <v>935.72199999999998</v>
      </c>
      <c r="H80" s="134">
        <f t="shared" si="54"/>
        <v>698.19200000000001</v>
      </c>
      <c r="I80" s="134">
        <f t="shared" si="54"/>
        <v>798.50400000000002</v>
      </c>
      <c r="J80" s="134">
        <f t="shared" si="54"/>
        <v>919.13599999999997</v>
      </c>
      <c r="K80" s="134">
        <f t="shared" si="54"/>
        <v>907.8</v>
      </c>
      <c r="L80" s="134">
        <f t="shared" si="54"/>
        <v>927</v>
      </c>
      <c r="M80" s="134">
        <f t="shared" si="54"/>
        <v>535</v>
      </c>
      <c r="N80" s="134">
        <f t="shared" si="54"/>
        <v>637</v>
      </c>
      <c r="O80" s="134">
        <f t="shared" si="54"/>
        <v>837</v>
      </c>
      <c r="P80" s="133">
        <f t="shared" si="48"/>
        <v>8880.0619999999999</v>
      </c>
      <c r="Q80" s="122"/>
      <c r="R80" s="122"/>
      <c r="T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79"/>
      <c r="CV80" s="79"/>
      <c r="CW80" s="79"/>
      <c r="CX80" s="79"/>
      <c r="CY80" s="79"/>
      <c r="CZ80" s="79"/>
      <c r="DA80" s="79"/>
      <c r="DB80" s="79"/>
      <c r="DC80" s="79"/>
      <c r="DD80" s="79"/>
      <c r="DE80" s="79"/>
      <c r="DF80" s="79"/>
      <c r="DG80" s="79"/>
      <c r="DH80" s="79"/>
      <c r="DI80" s="79"/>
      <c r="DJ80" s="79"/>
      <c r="DK80" s="79"/>
      <c r="DL80" s="79"/>
      <c r="DM80" s="79"/>
      <c r="DN80" s="79"/>
      <c r="DO80" s="79"/>
      <c r="DP80" s="79"/>
      <c r="DQ80" s="79"/>
      <c r="DR80" s="79"/>
      <c r="DS80" s="79"/>
      <c r="DT80" s="79"/>
      <c r="DU80" s="79"/>
      <c r="DV80" s="79"/>
      <c r="DW80" s="79"/>
      <c r="DX80" s="79"/>
      <c r="DY80" s="79"/>
      <c r="DZ80" s="79"/>
      <c r="EA80" s="79"/>
      <c r="EB80" s="79"/>
      <c r="EC80" s="79"/>
      <c r="ED80" s="79"/>
      <c r="EE80" s="79"/>
      <c r="EF80" s="79"/>
      <c r="EG80" s="79"/>
      <c r="EH80" s="79"/>
      <c r="EI80" s="79"/>
      <c r="EJ80" s="79"/>
      <c r="EK80" s="79"/>
      <c r="EL80" s="79"/>
      <c r="EM80" s="79"/>
      <c r="EN80" s="79"/>
      <c r="EO80" s="79"/>
      <c r="EP80" s="79"/>
      <c r="EQ80" s="79"/>
      <c r="ER80" s="79"/>
      <c r="ES80" s="79"/>
      <c r="ET80" s="79"/>
      <c r="EU80" s="79"/>
      <c r="EV80" s="79"/>
      <c r="EW80" s="79"/>
      <c r="EX80" s="79"/>
      <c r="EY80" s="79"/>
      <c r="EZ80" s="79"/>
      <c r="FA80" s="79"/>
      <c r="FB80" s="79"/>
      <c r="FC80" s="79"/>
      <c r="FD80" s="79"/>
      <c r="FE80" s="79"/>
      <c r="FF80" s="79"/>
      <c r="FG80" s="79"/>
      <c r="FH80" s="79"/>
      <c r="FI80" s="79"/>
      <c r="FJ80" s="79"/>
      <c r="FK80" s="79"/>
      <c r="FL80" s="79"/>
      <c r="FM80" s="79"/>
      <c r="FN80" s="79"/>
      <c r="FO80" s="79"/>
      <c r="FP80" s="79"/>
      <c r="FQ80" s="79"/>
      <c r="FR80" s="79"/>
      <c r="FS80" s="79"/>
      <c r="FT80" s="79"/>
      <c r="FU80" s="79"/>
      <c r="FV80" s="79"/>
      <c r="FW80" s="79"/>
      <c r="FX80" s="79"/>
      <c r="FY80" s="79"/>
      <c r="FZ80" s="79"/>
      <c r="GA80" s="79"/>
      <c r="GB80" s="79"/>
      <c r="GC80" s="79"/>
      <c r="GD80" s="79"/>
      <c r="GE80" s="79"/>
      <c r="GF80" s="79"/>
      <c r="GG80" s="79"/>
      <c r="GH80" s="79"/>
      <c r="GI80" s="79"/>
      <c r="GJ80" s="79"/>
      <c r="GK80" s="79"/>
      <c r="GL80" s="79"/>
      <c r="GM80" s="79"/>
      <c r="GN80" s="79"/>
      <c r="GO80" s="79"/>
      <c r="GP80" s="79"/>
      <c r="GQ80" s="79"/>
      <c r="GR80" s="79"/>
      <c r="GS80" s="79"/>
      <c r="GT80" s="79"/>
      <c r="GU80" s="79"/>
      <c r="GV80" s="79"/>
      <c r="GW80" s="79"/>
      <c r="GX80" s="79"/>
    </row>
    <row r="81" spans="1:16384" s="80" customFormat="1" ht="14.5" customHeight="1" x14ac:dyDescent="0.25">
      <c r="A81" s="138" t="s">
        <v>88</v>
      </c>
      <c r="B81" s="137"/>
      <c r="C81" s="104"/>
      <c r="D81" s="133">
        <f>D78-D79-D80</f>
        <v>0</v>
      </c>
      <c r="E81" s="133">
        <f t="shared" ref="E81:O81" si="55">E78-E79-E80</f>
        <v>0</v>
      </c>
      <c r="F81" s="133">
        <f t="shared" si="55"/>
        <v>0</v>
      </c>
      <c r="G81" s="133">
        <f t="shared" si="55"/>
        <v>0</v>
      </c>
      <c r="H81" s="133">
        <f t="shared" si="55"/>
        <v>0</v>
      </c>
      <c r="I81" s="133">
        <f t="shared" si="55"/>
        <v>0</v>
      </c>
      <c r="J81" s="133">
        <f t="shared" si="55"/>
        <v>0</v>
      </c>
      <c r="K81" s="133">
        <f t="shared" si="55"/>
        <v>0</v>
      </c>
      <c r="L81" s="133">
        <f t="shared" si="55"/>
        <v>0</v>
      </c>
      <c r="M81" s="133">
        <f t="shared" si="55"/>
        <v>0</v>
      </c>
      <c r="N81" s="133">
        <f t="shared" si="55"/>
        <v>0</v>
      </c>
      <c r="O81" s="133">
        <f t="shared" si="55"/>
        <v>0</v>
      </c>
      <c r="P81" s="133">
        <f t="shared" si="48"/>
        <v>0</v>
      </c>
      <c r="Q81" s="122"/>
      <c r="R81" s="122"/>
      <c r="T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  <c r="CH81" s="79"/>
      <c r="CI81" s="79"/>
      <c r="CJ81" s="79"/>
      <c r="CK81" s="79"/>
      <c r="CL81" s="79"/>
      <c r="CM81" s="79"/>
      <c r="CN81" s="79"/>
      <c r="CO81" s="79"/>
      <c r="CP81" s="79"/>
      <c r="CQ81" s="79"/>
      <c r="CR81" s="79"/>
      <c r="CS81" s="79"/>
      <c r="CT81" s="79"/>
      <c r="CU81" s="79"/>
      <c r="CV81" s="79"/>
      <c r="CW81" s="79"/>
      <c r="CX81" s="79"/>
      <c r="CY81" s="79"/>
      <c r="CZ81" s="79"/>
      <c r="DA81" s="79"/>
      <c r="DB81" s="79"/>
      <c r="DC81" s="79"/>
      <c r="DD81" s="79"/>
      <c r="DE81" s="79"/>
      <c r="DF81" s="79"/>
      <c r="DG81" s="79"/>
      <c r="DH81" s="79"/>
      <c r="DI81" s="79"/>
      <c r="DJ81" s="79"/>
      <c r="DK81" s="79"/>
      <c r="DL81" s="79"/>
      <c r="DM81" s="79"/>
      <c r="DN81" s="79"/>
      <c r="DO81" s="79"/>
      <c r="DP81" s="79"/>
      <c r="DQ81" s="79"/>
      <c r="DR81" s="79"/>
      <c r="DS81" s="79"/>
      <c r="DT81" s="79"/>
      <c r="DU81" s="79"/>
      <c r="DV81" s="79"/>
      <c r="DW81" s="79"/>
      <c r="DX81" s="79"/>
      <c r="DY81" s="79"/>
      <c r="DZ81" s="79"/>
      <c r="EA81" s="79"/>
      <c r="EB81" s="79"/>
      <c r="EC81" s="79"/>
      <c r="ED81" s="79"/>
      <c r="EE81" s="79"/>
      <c r="EF81" s="79"/>
      <c r="EG81" s="79"/>
      <c r="EH81" s="79"/>
      <c r="EI81" s="79"/>
      <c r="EJ81" s="79"/>
      <c r="EK81" s="79"/>
      <c r="EL81" s="79"/>
      <c r="EM81" s="79"/>
      <c r="EN81" s="79"/>
      <c r="EO81" s="79"/>
      <c r="EP81" s="79"/>
      <c r="EQ81" s="79"/>
      <c r="ER81" s="79"/>
      <c r="ES81" s="79"/>
      <c r="ET81" s="79"/>
      <c r="EU81" s="79"/>
      <c r="EV81" s="79"/>
      <c r="EW81" s="79"/>
      <c r="EX81" s="79"/>
      <c r="EY81" s="79"/>
      <c r="EZ81" s="79"/>
      <c r="FA81" s="79"/>
      <c r="FB81" s="79"/>
      <c r="FC81" s="79"/>
      <c r="FD81" s="79"/>
      <c r="FE81" s="79"/>
      <c r="FF81" s="79"/>
      <c r="FG81" s="79"/>
      <c r="FH81" s="79"/>
      <c r="FI81" s="79"/>
      <c r="FJ81" s="79"/>
      <c r="FK81" s="79"/>
      <c r="FL81" s="79"/>
      <c r="FM81" s="79"/>
      <c r="FN81" s="79"/>
      <c r="FO81" s="79"/>
      <c r="FP81" s="79"/>
      <c r="FQ81" s="79"/>
      <c r="FR81" s="79"/>
      <c r="FS81" s="79"/>
      <c r="FT81" s="79"/>
      <c r="FU81" s="79"/>
      <c r="FV81" s="79"/>
      <c r="FW81" s="79"/>
      <c r="FX81" s="79"/>
      <c r="FY81" s="79"/>
      <c r="FZ81" s="79"/>
      <c r="GA81" s="79"/>
      <c r="GB81" s="79"/>
      <c r="GC81" s="79"/>
      <c r="GD81" s="79"/>
      <c r="GE81" s="79"/>
      <c r="GF81" s="79"/>
      <c r="GG81" s="79"/>
      <c r="GH81" s="79"/>
      <c r="GI81" s="79"/>
      <c r="GJ81" s="79"/>
      <c r="GK81" s="79"/>
      <c r="GL81" s="79"/>
      <c r="GM81" s="79"/>
      <c r="GN81" s="79"/>
      <c r="GO81" s="79"/>
      <c r="GP81" s="79"/>
      <c r="GQ81" s="79"/>
      <c r="GR81" s="79"/>
      <c r="GS81" s="79"/>
      <c r="GT81" s="79"/>
      <c r="GU81" s="79"/>
      <c r="GV81" s="79"/>
      <c r="GW81" s="79"/>
      <c r="GX81" s="79"/>
    </row>
    <row r="82" spans="1:16384" s="81" customFormat="1" ht="14.5" customHeight="1" x14ac:dyDescent="0.25">
      <c r="A82" s="141" t="s">
        <v>90</v>
      </c>
      <c r="B82" s="142"/>
      <c r="C82" s="143"/>
      <c r="D82" s="142"/>
      <c r="E82" s="142"/>
      <c r="F82" s="142"/>
      <c r="G82" s="142"/>
      <c r="H82" s="258" t="s">
        <v>91</v>
      </c>
      <c r="I82" s="258"/>
      <c r="J82" s="147"/>
      <c r="K82" s="142"/>
      <c r="L82" s="142"/>
      <c r="M82" s="142"/>
      <c r="N82" s="142" t="s">
        <v>92</v>
      </c>
      <c r="O82" s="147"/>
      <c r="P82" s="142"/>
      <c r="S82" s="149"/>
    </row>
    <row r="83" spans="1:16384" s="81" customFormat="1" ht="14.5" customHeight="1" x14ac:dyDescent="0.25">
      <c r="A83" s="144" t="s">
        <v>93</v>
      </c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148"/>
    </row>
    <row r="84" spans="1:16384" s="79" customFormat="1" ht="14.5" customHeight="1" x14ac:dyDescent="0.25">
      <c r="A84" s="145" t="s">
        <v>96</v>
      </c>
      <c r="D84" s="79">
        <f>D18+D24+D29+D30</f>
        <v>12266.236000000001</v>
      </c>
      <c r="E84" s="79">
        <f t="shared" ref="E84:BL84" si="56">E18+E24+E29+E30</f>
        <v>7358.46</v>
      </c>
      <c r="F84" s="79">
        <f t="shared" si="56"/>
        <v>10531.012000000001</v>
      </c>
      <c r="G84" s="79">
        <f t="shared" si="56"/>
        <v>11042.722</v>
      </c>
      <c r="H84" s="79">
        <f t="shared" si="56"/>
        <v>10869.191999999999</v>
      </c>
      <c r="I84" s="79">
        <f t="shared" si="56"/>
        <v>11112.004000000001</v>
      </c>
      <c r="J84" s="79">
        <f t="shared" si="56"/>
        <v>11408.636</v>
      </c>
      <c r="K84" s="79">
        <f t="shared" si="56"/>
        <v>11365.3</v>
      </c>
      <c r="L84" s="79">
        <f t="shared" si="56"/>
        <v>11278</v>
      </c>
      <c r="M84" s="79">
        <f t="shared" si="56"/>
        <v>8862</v>
      </c>
      <c r="N84" s="79">
        <f t="shared" si="56"/>
        <v>8712</v>
      </c>
      <c r="O84" s="79">
        <f t="shared" si="56"/>
        <v>8934.5</v>
      </c>
      <c r="P84" s="79">
        <f t="shared" si="56"/>
        <v>123740.06200000001</v>
      </c>
      <c r="Q84" s="145"/>
      <c r="T84" s="79">
        <f>T18+T24+T29+T30</f>
        <v>0</v>
      </c>
      <c r="U84" s="79">
        <f t="shared" si="56"/>
        <v>0</v>
      </c>
      <c r="V84" s="79">
        <f t="shared" si="56"/>
        <v>0</v>
      </c>
      <c r="W84" s="79">
        <f t="shared" si="56"/>
        <v>0</v>
      </c>
      <c r="X84" s="79">
        <f t="shared" si="56"/>
        <v>0</v>
      </c>
      <c r="Y84" s="79">
        <f t="shared" si="56"/>
        <v>0</v>
      </c>
      <c r="Z84" s="79">
        <f t="shared" si="56"/>
        <v>0</v>
      </c>
      <c r="AA84" s="79">
        <f t="shared" si="56"/>
        <v>0</v>
      </c>
      <c r="AB84" s="79">
        <f t="shared" si="56"/>
        <v>0</v>
      </c>
      <c r="AC84" s="79">
        <f t="shared" si="56"/>
        <v>0</v>
      </c>
      <c r="AD84" s="79">
        <f t="shared" si="56"/>
        <v>0</v>
      </c>
      <c r="AE84" s="79">
        <f t="shared" si="56"/>
        <v>0</v>
      </c>
      <c r="AF84" s="79">
        <f t="shared" si="56"/>
        <v>0</v>
      </c>
      <c r="AG84" s="145" t="s">
        <v>96</v>
      </c>
      <c r="AJ84" s="79">
        <f>AJ18+AJ24+AJ29+AJ30</f>
        <v>0</v>
      </c>
      <c r="AK84" s="79">
        <f t="shared" si="56"/>
        <v>0</v>
      </c>
      <c r="AL84" s="79">
        <f t="shared" si="56"/>
        <v>0</v>
      </c>
      <c r="AM84" s="79">
        <f t="shared" si="56"/>
        <v>0</v>
      </c>
      <c r="AN84" s="79">
        <f t="shared" si="56"/>
        <v>0</v>
      </c>
      <c r="AO84" s="79">
        <f t="shared" si="56"/>
        <v>0</v>
      </c>
      <c r="AP84" s="79">
        <f t="shared" si="56"/>
        <v>0</v>
      </c>
      <c r="AQ84" s="79">
        <f t="shared" si="56"/>
        <v>0</v>
      </c>
      <c r="AR84" s="79">
        <f t="shared" si="56"/>
        <v>0</v>
      </c>
      <c r="AS84" s="79">
        <f t="shared" si="56"/>
        <v>0</v>
      </c>
      <c r="AT84" s="79">
        <f t="shared" si="56"/>
        <v>0</v>
      </c>
      <c r="AU84" s="79">
        <f t="shared" si="56"/>
        <v>0</v>
      </c>
      <c r="AV84" s="79">
        <f t="shared" si="56"/>
        <v>0</v>
      </c>
      <c r="AW84" s="145" t="s">
        <v>96</v>
      </c>
      <c r="AZ84" s="79">
        <f>AZ18+AZ24+AZ29+AZ30</f>
        <v>0</v>
      </c>
      <c r="BA84" s="79">
        <f t="shared" si="56"/>
        <v>0</v>
      </c>
      <c r="BB84" s="79">
        <f t="shared" si="56"/>
        <v>0</v>
      </c>
      <c r="BC84" s="79">
        <f t="shared" si="56"/>
        <v>0</v>
      </c>
      <c r="BD84" s="79">
        <f t="shared" si="56"/>
        <v>0</v>
      </c>
      <c r="BE84" s="79">
        <f t="shared" si="56"/>
        <v>0</v>
      </c>
      <c r="BF84" s="79">
        <f t="shared" si="56"/>
        <v>0</v>
      </c>
      <c r="BG84" s="79">
        <f t="shared" si="56"/>
        <v>0</v>
      </c>
      <c r="BH84" s="79">
        <f t="shared" si="56"/>
        <v>0</v>
      </c>
      <c r="BI84" s="79">
        <f t="shared" si="56"/>
        <v>0</v>
      </c>
      <c r="BJ84" s="79">
        <f t="shared" si="56"/>
        <v>0</v>
      </c>
      <c r="BK84" s="79">
        <f t="shared" si="56"/>
        <v>0</v>
      </c>
      <c r="BL84" s="79">
        <f t="shared" si="56"/>
        <v>0</v>
      </c>
      <c r="BM84" s="145" t="s">
        <v>96</v>
      </c>
      <c r="BP84" s="79">
        <f>BP18+BP24+BP29+BP30</f>
        <v>0</v>
      </c>
      <c r="BQ84" s="79">
        <f t="shared" ref="BQ84:DX84" si="57">BQ18+BQ24+BQ29+BQ30</f>
        <v>0</v>
      </c>
      <c r="BR84" s="79">
        <f t="shared" si="57"/>
        <v>0</v>
      </c>
      <c r="BS84" s="79">
        <f t="shared" si="57"/>
        <v>0</v>
      </c>
      <c r="BT84" s="79">
        <f t="shared" si="57"/>
        <v>0</v>
      </c>
      <c r="BU84" s="79">
        <f t="shared" si="57"/>
        <v>0</v>
      </c>
      <c r="BV84" s="79">
        <f t="shared" si="57"/>
        <v>0</v>
      </c>
      <c r="BW84" s="79">
        <f t="shared" si="57"/>
        <v>0</v>
      </c>
      <c r="BX84" s="79">
        <f t="shared" si="57"/>
        <v>0</v>
      </c>
      <c r="BY84" s="79">
        <f t="shared" si="57"/>
        <v>0</v>
      </c>
      <c r="BZ84" s="79">
        <f t="shared" si="57"/>
        <v>0</v>
      </c>
      <c r="CA84" s="79">
        <f t="shared" si="57"/>
        <v>0</v>
      </c>
      <c r="CB84" s="79">
        <f t="shared" si="57"/>
        <v>0</v>
      </c>
      <c r="CC84" s="145" t="s">
        <v>96</v>
      </c>
      <c r="CF84" s="79">
        <f>CF18+CF24+CF29+CF30</f>
        <v>0</v>
      </c>
      <c r="CG84" s="79">
        <f t="shared" si="57"/>
        <v>0</v>
      </c>
      <c r="CH84" s="79">
        <f t="shared" si="57"/>
        <v>0</v>
      </c>
      <c r="CI84" s="79">
        <f t="shared" si="57"/>
        <v>0</v>
      </c>
      <c r="CJ84" s="79">
        <f t="shared" si="57"/>
        <v>0</v>
      </c>
      <c r="CK84" s="79">
        <f t="shared" si="57"/>
        <v>0</v>
      </c>
      <c r="CL84" s="79">
        <f t="shared" si="57"/>
        <v>0</v>
      </c>
      <c r="CM84" s="79">
        <f t="shared" si="57"/>
        <v>0</v>
      </c>
      <c r="CN84" s="79">
        <f t="shared" si="57"/>
        <v>0</v>
      </c>
      <c r="CO84" s="79">
        <f t="shared" si="57"/>
        <v>0</v>
      </c>
      <c r="CP84" s="79">
        <f t="shared" si="57"/>
        <v>0</v>
      </c>
      <c r="CQ84" s="79">
        <f t="shared" si="57"/>
        <v>0</v>
      </c>
      <c r="CR84" s="79">
        <f t="shared" si="57"/>
        <v>0</v>
      </c>
      <c r="CS84" s="145" t="s">
        <v>96</v>
      </c>
      <c r="CV84" s="79">
        <f>CV18+CV24+CV29+CV30</f>
        <v>0</v>
      </c>
      <c r="CW84" s="79">
        <f t="shared" si="57"/>
        <v>0</v>
      </c>
      <c r="CX84" s="79">
        <f t="shared" si="57"/>
        <v>0</v>
      </c>
      <c r="CY84" s="79">
        <f t="shared" si="57"/>
        <v>0</v>
      </c>
      <c r="CZ84" s="79">
        <f t="shared" si="57"/>
        <v>0</v>
      </c>
      <c r="DA84" s="79">
        <f t="shared" si="57"/>
        <v>0</v>
      </c>
      <c r="DB84" s="79">
        <f t="shared" si="57"/>
        <v>0</v>
      </c>
      <c r="DC84" s="79">
        <f t="shared" si="57"/>
        <v>0</v>
      </c>
      <c r="DD84" s="79">
        <f t="shared" si="57"/>
        <v>0</v>
      </c>
      <c r="DE84" s="79">
        <f t="shared" si="57"/>
        <v>0</v>
      </c>
      <c r="DF84" s="79">
        <f t="shared" si="57"/>
        <v>0</v>
      </c>
      <c r="DG84" s="79">
        <f t="shared" si="57"/>
        <v>0</v>
      </c>
      <c r="DH84" s="79">
        <f t="shared" si="57"/>
        <v>0</v>
      </c>
      <c r="DI84" s="145" t="s">
        <v>96</v>
      </c>
      <c r="DL84" s="79">
        <f>DL18+DL24+DL29+DL30</f>
        <v>0</v>
      </c>
      <c r="DM84" s="79">
        <f t="shared" si="57"/>
        <v>0</v>
      </c>
      <c r="DN84" s="79">
        <f t="shared" si="57"/>
        <v>0</v>
      </c>
      <c r="DO84" s="79">
        <f t="shared" si="57"/>
        <v>0</v>
      </c>
      <c r="DP84" s="79">
        <f t="shared" si="57"/>
        <v>0</v>
      </c>
      <c r="DQ84" s="79">
        <f t="shared" si="57"/>
        <v>0</v>
      </c>
      <c r="DR84" s="79">
        <f t="shared" si="57"/>
        <v>0</v>
      </c>
      <c r="DS84" s="79">
        <f t="shared" si="57"/>
        <v>0</v>
      </c>
      <c r="DT84" s="79">
        <f t="shared" si="57"/>
        <v>0</v>
      </c>
      <c r="DU84" s="79">
        <f t="shared" si="57"/>
        <v>0</v>
      </c>
      <c r="DV84" s="79">
        <f t="shared" si="57"/>
        <v>0</v>
      </c>
      <c r="DW84" s="79">
        <f t="shared" si="57"/>
        <v>0</v>
      </c>
      <c r="DX84" s="79">
        <f t="shared" si="57"/>
        <v>0</v>
      </c>
      <c r="DY84" s="145" t="s">
        <v>96</v>
      </c>
      <c r="EB84" s="79">
        <f>EB18+EB24+EB29+EB30</f>
        <v>0</v>
      </c>
      <c r="EC84" s="79">
        <f t="shared" ref="EC84:GJ84" si="58">EC18+EC24+EC29+EC30</f>
        <v>0</v>
      </c>
      <c r="ED84" s="79">
        <f t="shared" si="58"/>
        <v>0</v>
      </c>
      <c r="EE84" s="79">
        <f t="shared" si="58"/>
        <v>0</v>
      </c>
      <c r="EF84" s="79">
        <f t="shared" si="58"/>
        <v>0</v>
      </c>
      <c r="EG84" s="79">
        <f t="shared" si="58"/>
        <v>0</v>
      </c>
      <c r="EH84" s="79">
        <f t="shared" si="58"/>
        <v>0</v>
      </c>
      <c r="EI84" s="79">
        <f t="shared" si="58"/>
        <v>0</v>
      </c>
      <c r="EJ84" s="79">
        <f t="shared" si="58"/>
        <v>0</v>
      </c>
      <c r="EK84" s="79">
        <f t="shared" si="58"/>
        <v>0</v>
      </c>
      <c r="EL84" s="79">
        <f t="shared" si="58"/>
        <v>0</v>
      </c>
      <c r="EM84" s="79">
        <f t="shared" si="58"/>
        <v>0</v>
      </c>
      <c r="EN84" s="79">
        <f t="shared" si="58"/>
        <v>0</v>
      </c>
      <c r="EO84" s="145" t="s">
        <v>96</v>
      </c>
      <c r="ER84" s="79">
        <f>ER18+ER24+ER29+ER30</f>
        <v>0</v>
      </c>
      <c r="ES84" s="79">
        <f t="shared" si="58"/>
        <v>0</v>
      </c>
      <c r="ET84" s="79">
        <f t="shared" si="58"/>
        <v>0</v>
      </c>
      <c r="EU84" s="79">
        <f t="shared" si="58"/>
        <v>0</v>
      </c>
      <c r="EV84" s="79">
        <f t="shared" si="58"/>
        <v>0</v>
      </c>
      <c r="EW84" s="79">
        <f t="shared" si="58"/>
        <v>0</v>
      </c>
      <c r="EX84" s="79">
        <f t="shared" si="58"/>
        <v>0</v>
      </c>
      <c r="EY84" s="79">
        <f t="shared" si="58"/>
        <v>0</v>
      </c>
      <c r="EZ84" s="79">
        <f t="shared" si="58"/>
        <v>0</v>
      </c>
      <c r="FA84" s="79">
        <f t="shared" si="58"/>
        <v>0</v>
      </c>
      <c r="FB84" s="79">
        <f t="shared" si="58"/>
        <v>0</v>
      </c>
      <c r="FC84" s="79">
        <f t="shared" si="58"/>
        <v>0</v>
      </c>
      <c r="FD84" s="79">
        <f t="shared" si="58"/>
        <v>0</v>
      </c>
      <c r="FE84" s="145" t="s">
        <v>96</v>
      </c>
      <c r="FH84" s="79">
        <f>FH18+FH24+FH29+FH30</f>
        <v>0</v>
      </c>
      <c r="FI84" s="79">
        <f t="shared" si="58"/>
        <v>0</v>
      </c>
      <c r="FJ84" s="79">
        <f t="shared" si="58"/>
        <v>0</v>
      </c>
      <c r="FK84" s="79">
        <f t="shared" si="58"/>
        <v>0</v>
      </c>
      <c r="FL84" s="79">
        <f t="shared" si="58"/>
        <v>0</v>
      </c>
      <c r="FM84" s="79">
        <f t="shared" si="58"/>
        <v>0</v>
      </c>
      <c r="FN84" s="79">
        <f t="shared" si="58"/>
        <v>0</v>
      </c>
      <c r="FO84" s="79">
        <f t="shared" si="58"/>
        <v>0</v>
      </c>
      <c r="FP84" s="79">
        <f t="shared" si="58"/>
        <v>0</v>
      </c>
      <c r="FQ84" s="79">
        <f t="shared" si="58"/>
        <v>0</v>
      </c>
      <c r="FR84" s="79">
        <f t="shared" si="58"/>
        <v>0</v>
      </c>
      <c r="FS84" s="79">
        <f t="shared" si="58"/>
        <v>0</v>
      </c>
      <c r="FT84" s="79">
        <f t="shared" si="58"/>
        <v>0</v>
      </c>
      <c r="FU84" s="145" t="s">
        <v>96</v>
      </c>
      <c r="FX84" s="79">
        <f>FX18+FX24+FX29+FX30</f>
        <v>0</v>
      </c>
      <c r="FY84" s="79">
        <f t="shared" si="58"/>
        <v>0</v>
      </c>
      <c r="FZ84" s="79">
        <f t="shared" si="58"/>
        <v>0</v>
      </c>
      <c r="GA84" s="79">
        <f t="shared" si="58"/>
        <v>0</v>
      </c>
      <c r="GB84" s="79">
        <f t="shared" si="58"/>
        <v>0</v>
      </c>
      <c r="GC84" s="79">
        <f t="shared" si="58"/>
        <v>0</v>
      </c>
      <c r="GD84" s="79">
        <f t="shared" si="58"/>
        <v>0</v>
      </c>
      <c r="GE84" s="79">
        <f t="shared" si="58"/>
        <v>0</v>
      </c>
      <c r="GF84" s="79">
        <f t="shared" si="58"/>
        <v>0</v>
      </c>
      <c r="GG84" s="79">
        <f t="shared" si="58"/>
        <v>0</v>
      </c>
      <c r="GH84" s="79">
        <f t="shared" si="58"/>
        <v>0</v>
      </c>
      <c r="GI84" s="79">
        <f t="shared" si="58"/>
        <v>0</v>
      </c>
      <c r="GJ84" s="79">
        <f t="shared" si="58"/>
        <v>0</v>
      </c>
      <c r="GK84" s="145" t="s">
        <v>96</v>
      </c>
      <c r="GN84" s="79">
        <f>GN18+GN24+GN29+GN30</f>
        <v>0</v>
      </c>
      <c r="GO84" s="79">
        <f t="shared" ref="GO84:IV84" si="59">GO18+GO24+GO29+GO30</f>
        <v>0</v>
      </c>
      <c r="GP84" s="79">
        <f t="shared" si="59"/>
        <v>0</v>
      </c>
      <c r="GQ84" s="79">
        <f t="shared" si="59"/>
        <v>0</v>
      </c>
      <c r="GR84" s="79">
        <f t="shared" si="59"/>
        <v>0</v>
      </c>
      <c r="GS84" s="79">
        <f t="shared" si="59"/>
        <v>0</v>
      </c>
      <c r="GT84" s="79">
        <f t="shared" si="59"/>
        <v>0</v>
      </c>
      <c r="GU84" s="79">
        <f t="shared" si="59"/>
        <v>0</v>
      </c>
      <c r="GV84" s="79">
        <f t="shared" si="59"/>
        <v>0</v>
      </c>
      <c r="GW84" s="79">
        <f t="shared" si="59"/>
        <v>0</v>
      </c>
      <c r="GX84" s="79">
        <f t="shared" si="59"/>
        <v>0</v>
      </c>
      <c r="GY84" s="79">
        <f t="shared" si="59"/>
        <v>0</v>
      </c>
      <c r="GZ84" s="79">
        <f t="shared" si="59"/>
        <v>0</v>
      </c>
      <c r="HA84" s="145" t="s">
        <v>96</v>
      </c>
      <c r="HD84" s="79">
        <f>HD18+HD24+HD29+HD30</f>
        <v>0</v>
      </c>
      <c r="HE84" s="79">
        <f t="shared" si="59"/>
        <v>0</v>
      </c>
      <c r="HF84" s="79">
        <f t="shared" si="59"/>
        <v>0</v>
      </c>
      <c r="HG84" s="79">
        <f t="shared" si="59"/>
        <v>0</v>
      </c>
      <c r="HH84" s="79">
        <f t="shared" si="59"/>
        <v>0</v>
      </c>
      <c r="HI84" s="79">
        <f t="shared" si="59"/>
        <v>0</v>
      </c>
      <c r="HJ84" s="79">
        <f t="shared" si="59"/>
        <v>0</v>
      </c>
      <c r="HK84" s="79">
        <f t="shared" si="59"/>
        <v>0</v>
      </c>
      <c r="HL84" s="79">
        <f t="shared" si="59"/>
        <v>0</v>
      </c>
      <c r="HM84" s="79">
        <f t="shared" si="59"/>
        <v>0</v>
      </c>
      <c r="HN84" s="79">
        <f t="shared" si="59"/>
        <v>0</v>
      </c>
      <c r="HO84" s="79">
        <f t="shared" si="59"/>
        <v>0</v>
      </c>
      <c r="HP84" s="79">
        <f t="shared" si="59"/>
        <v>0</v>
      </c>
      <c r="HQ84" s="145" t="s">
        <v>96</v>
      </c>
      <c r="HT84" s="79">
        <f>HT18+HT24+HT29+HT30</f>
        <v>0</v>
      </c>
      <c r="HU84" s="79">
        <f t="shared" si="59"/>
        <v>0</v>
      </c>
      <c r="HV84" s="79">
        <f t="shared" si="59"/>
        <v>0</v>
      </c>
      <c r="HW84" s="79">
        <f t="shared" si="59"/>
        <v>0</v>
      </c>
      <c r="HX84" s="79">
        <f t="shared" si="59"/>
        <v>0</v>
      </c>
      <c r="HY84" s="79">
        <f t="shared" si="59"/>
        <v>0</v>
      </c>
      <c r="HZ84" s="79">
        <f t="shared" si="59"/>
        <v>0</v>
      </c>
      <c r="IA84" s="79">
        <f t="shared" si="59"/>
        <v>0</v>
      </c>
      <c r="IB84" s="79">
        <f t="shared" si="59"/>
        <v>0</v>
      </c>
      <c r="IC84" s="79">
        <f t="shared" si="59"/>
        <v>0</v>
      </c>
      <c r="ID84" s="79">
        <f t="shared" si="59"/>
        <v>0</v>
      </c>
      <c r="IE84" s="79">
        <f t="shared" si="59"/>
        <v>0</v>
      </c>
      <c r="IF84" s="79">
        <f t="shared" si="59"/>
        <v>0</v>
      </c>
      <c r="IG84" s="145" t="s">
        <v>96</v>
      </c>
      <c r="IJ84" s="79">
        <f>IJ18+IJ24+IJ29+IJ30</f>
        <v>0</v>
      </c>
      <c r="IK84" s="79">
        <f t="shared" si="59"/>
        <v>0</v>
      </c>
      <c r="IL84" s="79">
        <f t="shared" si="59"/>
        <v>0</v>
      </c>
      <c r="IM84" s="79">
        <f t="shared" si="59"/>
        <v>0</v>
      </c>
      <c r="IN84" s="79">
        <f t="shared" si="59"/>
        <v>0</v>
      </c>
      <c r="IO84" s="79">
        <f t="shared" si="59"/>
        <v>0</v>
      </c>
      <c r="IP84" s="79">
        <f t="shared" si="59"/>
        <v>0</v>
      </c>
      <c r="IQ84" s="79">
        <f t="shared" si="59"/>
        <v>0</v>
      </c>
      <c r="IR84" s="79">
        <f t="shared" si="59"/>
        <v>0</v>
      </c>
      <c r="IS84" s="79">
        <f t="shared" si="59"/>
        <v>0</v>
      </c>
      <c r="IT84" s="79">
        <f t="shared" si="59"/>
        <v>0</v>
      </c>
      <c r="IU84" s="79">
        <f t="shared" si="59"/>
        <v>0</v>
      </c>
      <c r="IV84" s="79">
        <f t="shared" si="59"/>
        <v>0</v>
      </c>
      <c r="IW84" s="145" t="s">
        <v>96</v>
      </c>
      <c r="IZ84" s="79">
        <f>IZ18+IZ24+IZ29+IZ30</f>
        <v>0</v>
      </c>
      <c r="JA84" s="79">
        <f t="shared" ref="JA84:LH84" si="60">JA18+JA24+JA29+JA30</f>
        <v>0</v>
      </c>
      <c r="JB84" s="79">
        <f t="shared" si="60"/>
        <v>0</v>
      </c>
      <c r="JC84" s="79">
        <f t="shared" si="60"/>
        <v>0</v>
      </c>
      <c r="JD84" s="79">
        <f t="shared" si="60"/>
        <v>0</v>
      </c>
      <c r="JE84" s="79">
        <f t="shared" si="60"/>
        <v>0</v>
      </c>
      <c r="JF84" s="79">
        <f t="shared" si="60"/>
        <v>0</v>
      </c>
      <c r="JG84" s="79">
        <f t="shared" si="60"/>
        <v>0</v>
      </c>
      <c r="JH84" s="79">
        <f t="shared" si="60"/>
        <v>0</v>
      </c>
      <c r="JI84" s="79">
        <f t="shared" si="60"/>
        <v>0</v>
      </c>
      <c r="JJ84" s="79">
        <f t="shared" si="60"/>
        <v>0</v>
      </c>
      <c r="JK84" s="79">
        <f t="shared" si="60"/>
        <v>0</v>
      </c>
      <c r="JL84" s="79">
        <f t="shared" si="60"/>
        <v>0</v>
      </c>
      <c r="JM84" s="145" t="s">
        <v>96</v>
      </c>
      <c r="JP84" s="79">
        <f>JP18+JP24+JP29+JP30</f>
        <v>0</v>
      </c>
      <c r="JQ84" s="79">
        <f t="shared" si="60"/>
        <v>0</v>
      </c>
      <c r="JR84" s="79">
        <f t="shared" si="60"/>
        <v>0</v>
      </c>
      <c r="JS84" s="79">
        <f t="shared" si="60"/>
        <v>0</v>
      </c>
      <c r="JT84" s="79">
        <f t="shared" si="60"/>
        <v>0</v>
      </c>
      <c r="JU84" s="79">
        <f t="shared" si="60"/>
        <v>0</v>
      </c>
      <c r="JV84" s="79">
        <f t="shared" si="60"/>
        <v>0</v>
      </c>
      <c r="JW84" s="79">
        <f t="shared" si="60"/>
        <v>0</v>
      </c>
      <c r="JX84" s="79">
        <f t="shared" si="60"/>
        <v>0</v>
      </c>
      <c r="JY84" s="79">
        <f t="shared" si="60"/>
        <v>0</v>
      </c>
      <c r="JZ84" s="79">
        <f t="shared" si="60"/>
        <v>0</v>
      </c>
      <c r="KA84" s="79">
        <f t="shared" si="60"/>
        <v>0</v>
      </c>
      <c r="KB84" s="79">
        <f t="shared" si="60"/>
        <v>0</v>
      </c>
      <c r="KC84" s="145" t="s">
        <v>96</v>
      </c>
      <c r="KF84" s="79">
        <f>KF18+KF24+KF29+KF30</f>
        <v>0</v>
      </c>
      <c r="KG84" s="79">
        <f t="shared" si="60"/>
        <v>0</v>
      </c>
      <c r="KH84" s="79">
        <f t="shared" si="60"/>
        <v>0</v>
      </c>
      <c r="KI84" s="79">
        <f t="shared" si="60"/>
        <v>0</v>
      </c>
      <c r="KJ84" s="79">
        <f t="shared" si="60"/>
        <v>0</v>
      </c>
      <c r="KK84" s="79">
        <f t="shared" si="60"/>
        <v>0</v>
      </c>
      <c r="KL84" s="79">
        <f t="shared" si="60"/>
        <v>0</v>
      </c>
      <c r="KM84" s="79">
        <f t="shared" si="60"/>
        <v>0</v>
      </c>
      <c r="KN84" s="79">
        <f t="shared" si="60"/>
        <v>0</v>
      </c>
      <c r="KO84" s="79">
        <f t="shared" si="60"/>
        <v>0</v>
      </c>
      <c r="KP84" s="79">
        <f t="shared" si="60"/>
        <v>0</v>
      </c>
      <c r="KQ84" s="79">
        <f t="shared" si="60"/>
        <v>0</v>
      </c>
      <c r="KR84" s="79">
        <f t="shared" si="60"/>
        <v>0</v>
      </c>
      <c r="KS84" s="145" t="s">
        <v>96</v>
      </c>
      <c r="KV84" s="79">
        <f>KV18+KV24+KV29+KV30</f>
        <v>0</v>
      </c>
      <c r="KW84" s="79">
        <f t="shared" si="60"/>
        <v>0</v>
      </c>
      <c r="KX84" s="79">
        <f t="shared" si="60"/>
        <v>0</v>
      </c>
      <c r="KY84" s="79">
        <f t="shared" si="60"/>
        <v>0</v>
      </c>
      <c r="KZ84" s="79">
        <f t="shared" si="60"/>
        <v>0</v>
      </c>
      <c r="LA84" s="79">
        <f t="shared" si="60"/>
        <v>0</v>
      </c>
      <c r="LB84" s="79">
        <f t="shared" si="60"/>
        <v>0</v>
      </c>
      <c r="LC84" s="79">
        <f t="shared" si="60"/>
        <v>0</v>
      </c>
      <c r="LD84" s="79">
        <f t="shared" si="60"/>
        <v>0</v>
      </c>
      <c r="LE84" s="79">
        <f t="shared" si="60"/>
        <v>0</v>
      </c>
      <c r="LF84" s="79">
        <f t="shared" si="60"/>
        <v>0</v>
      </c>
      <c r="LG84" s="79">
        <f t="shared" si="60"/>
        <v>0</v>
      </c>
      <c r="LH84" s="79">
        <f t="shared" si="60"/>
        <v>0</v>
      </c>
      <c r="LI84" s="145" t="s">
        <v>96</v>
      </c>
      <c r="LL84" s="79">
        <f>LL18+LL24+LL29+LL30</f>
        <v>0</v>
      </c>
      <c r="LM84" s="79">
        <f t="shared" ref="LM84:NT84" si="61">LM18+LM24+LM29+LM30</f>
        <v>0</v>
      </c>
      <c r="LN84" s="79">
        <f t="shared" si="61"/>
        <v>0</v>
      </c>
      <c r="LO84" s="79">
        <f t="shared" si="61"/>
        <v>0</v>
      </c>
      <c r="LP84" s="79">
        <f t="shared" si="61"/>
        <v>0</v>
      </c>
      <c r="LQ84" s="79">
        <f t="shared" si="61"/>
        <v>0</v>
      </c>
      <c r="LR84" s="79">
        <f t="shared" si="61"/>
        <v>0</v>
      </c>
      <c r="LS84" s="79">
        <f t="shared" si="61"/>
        <v>0</v>
      </c>
      <c r="LT84" s="79">
        <f t="shared" si="61"/>
        <v>0</v>
      </c>
      <c r="LU84" s="79">
        <f t="shared" si="61"/>
        <v>0</v>
      </c>
      <c r="LV84" s="79">
        <f t="shared" si="61"/>
        <v>0</v>
      </c>
      <c r="LW84" s="79">
        <f t="shared" si="61"/>
        <v>0</v>
      </c>
      <c r="LX84" s="79">
        <f t="shared" si="61"/>
        <v>0</v>
      </c>
      <c r="LY84" s="145" t="s">
        <v>96</v>
      </c>
      <c r="MB84" s="79">
        <f>MB18+MB24+MB29+MB30</f>
        <v>0</v>
      </c>
      <c r="MC84" s="79">
        <f t="shared" si="61"/>
        <v>0</v>
      </c>
      <c r="MD84" s="79">
        <f t="shared" si="61"/>
        <v>0</v>
      </c>
      <c r="ME84" s="79">
        <f t="shared" si="61"/>
        <v>0</v>
      </c>
      <c r="MF84" s="79">
        <f t="shared" si="61"/>
        <v>0</v>
      </c>
      <c r="MG84" s="79">
        <f t="shared" si="61"/>
        <v>0</v>
      </c>
      <c r="MH84" s="79">
        <f t="shared" si="61"/>
        <v>0</v>
      </c>
      <c r="MI84" s="79">
        <f t="shared" si="61"/>
        <v>0</v>
      </c>
      <c r="MJ84" s="79">
        <f t="shared" si="61"/>
        <v>0</v>
      </c>
      <c r="MK84" s="79">
        <f t="shared" si="61"/>
        <v>0</v>
      </c>
      <c r="ML84" s="79">
        <f t="shared" si="61"/>
        <v>0</v>
      </c>
      <c r="MM84" s="79">
        <f t="shared" si="61"/>
        <v>0</v>
      </c>
      <c r="MN84" s="79">
        <f t="shared" si="61"/>
        <v>0</v>
      </c>
      <c r="MO84" s="145" t="s">
        <v>96</v>
      </c>
      <c r="MR84" s="79">
        <f>MR18+MR24+MR29+MR30</f>
        <v>0</v>
      </c>
      <c r="MS84" s="79">
        <f t="shared" si="61"/>
        <v>0</v>
      </c>
      <c r="MT84" s="79">
        <f t="shared" si="61"/>
        <v>0</v>
      </c>
      <c r="MU84" s="79">
        <f t="shared" si="61"/>
        <v>0</v>
      </c>
      <c r="MV84" s="79">
        <f t="shared" si="61"/>
        <v>0</v>
      </c>
      <c r="MW84" s="79">
        <f t="shared" si="61"/>
        <v>0</v>
      </c>
      <c r="MX84" s="79">
        <f t="shared" si="61"/>
        <v>0</v>
      </c>
      <c r="MY84" s="79">
        <f t="shared" si="61"/>
        <v>0</v>
      </c>
      <c r="MZ84" s="79">
        <f t="shared" si="61"/>
        <v>0</v>
      </c>
      <c r="NA84" s="79">
        <f t="shared" si="61"/>
        <v>0</v>
      </c>
      <c r="NB84" s="79">
        <f t="shared" si="61"/>
        <v>0</v>
      </c>
      <c r="NC84" s="79">
        <f t="shared" si="61"/>
        <v>0</v>
      </c>
      <c r="ND84" s="79">
        <f t="shared" si="61"/>
        <v>0</v>
      </c>
      <c r="NE84" s="145" t="s">
        <v>96</v>
      </c>
      <c r="NH84" s="79">
        <f>NH18+NH24+NH29+NH30</f>
        <v>0</v>
      </c>
      <c r="NI84" s="79">
        <f t="shared" si="61"/>
        <v>0</v>
      </c>
      <c r="NJ84" s="79">
        <f t="shared" si="61"/>
        <v>0</v>
      </c>
      <c r="NK84" s="79">
        <f t="shared" si="61"/>
        <v>0</v>
      </c>
      <c r="NL84" s="79">
        <f t="shared" si="61"/>
        <v>0</v>
      </c>
      <c r="NM84" s="79">
        <f t="shared" si="61"/>
        <v>0</v>
      </c>
      <c r="NN84" s="79">
        <f t="shared" si="61"/>
        <v>0</v>
      </c>
      <c r="NO84" s="79">
        <f t="shared" si="61"/>
        <v>0</v>
      </c>
      <c r="NP84" s="79">
        <f t="shared" si="61"/>
        <v>0</v>
      </c>
      <c r="NQ84" s="79">
        <f t="shared" si="61"/>
        <v>0</v>
      </c>
      <c r="NR84" s="79">
        <f t="shared" si="61"/>
        <v>0</v>
      </c>
      <c r="NS84" s="79">
        <f t="shared" si="61"/>
        <v>0</v>
      </c>
      <c r="NT84" s="79">
        <f t="shared" si="61"/>
        <v>0</v>
      </c>
      <c r="NU84" s="145" t="s">
        <v>96</v>
      </c>
      <c r="NX84" s="79">
        <f>NX18+NX24+NX29+NX30</f>
        <v>0</v>
      </c>
      <c r="NY84" s="79">
        <f t="shared" ref="NY84:QF84" si="62">NY18+NY24+NY29+NY30</f>
        <v>0</v>
      </c>
      <c r="NZ84" s="79">
        <f t="shared" si="62"/>
        <v>0</v>
      </c>
      <c r="OA84" s="79">
        <f t="shared" si="62"/>
        <v>0</v>
      </c>
      <c r="OB84" s="79">
        <f t="shared" si="62"/>
        <v>0</v>
      </c>
      <c r="OC84" s="79">
        <f t="shared" si="62"/>
        <v>0</v>
      </c>
      <c r="OD84" s="79">
        <f t="shared" si="62"/>
        <v>0</v>
      </c>
      <c r="OE84" s="79">
        <f t="shared" si="62"/>
        <v>0</v>
      </c>
      <c r="OF84" s="79">
        <f t="shared" si="62"/>
        <v>0</v>
      </c>
      <c r="OG84" s="79">
        <f t="shared" si="62"/>
        <v>0</v>
      </c>
      <c r="OH84" s="79">
        <f t="shared" si="62"/>
        <v>0</v>
      </c>
      <c r="OI84" s="79">
        <f t="shared" si="62"/>
        <v>0</v>
      </c>
      <c r="OJ84" s="79">
        <f t="shared" si="62"/>
        <v>0</v>
      </c>
      <c r="OK84" s="145" t="s">
        <v>96</v>
      </c>
      <c r="ON84" s="79">
        <f>ON18+ON24+ON29+ON30</f>
        <v>0</v>
      </c>
      <c r="OO84" s="79">
        <f t="shared" si="62"/>
        <v>0</v>
      </c>
      <c r="OP84" s="79">
        <f t="shared" si="62"/>
        <v>0</v>
      </c>
      <c r="OQ84" s="79">
        <f t="shared" si="62"/>
        <v>0</v>
      </c>
      <c r="OR84" s="79">
        <f t="shared" si="62"/>
        <v>0</v>
      </c>
      <c r="OS84" s="79">
        <f t="shared" si="62"/>
        <v>0</v>
      </c>
      <c r="OT84" s="79">
        <f t="shared" si="62"/>
        <v>0</v>
      </c>
      <c r="OU84" s="79">
        <f t="shared" si="62"/>
        <v>0</v>
      </c>
      <c r="OV84" s="79">
        <f t="shared" si="62"/>
        <v>0</v>
      </c>
      <c r="OW84" s="79">
        <f t="shared" si="62"/>
        <v>0</v>
      </c>
      <c r="OX84" s="79">
        <f t="shared" si="62"/>
        <v>0</v>
      </c>
      <c r="OY84" s="79">
        <f t="shared" si="62"/>
        <v>0</v>
      </c>
      <c r="OZ84" s="79">
        <f t="shared" si="62"/>
        <v>0</v>
      </c>
      <c r="PA84" s="145" t="s">
        <v>96</v>
      </c>
      <c r="PD84" s="79">
        <f>PD18+PD24+PD29+PD30</f>
        <v>0</v>
      </c>
      <c r="PE84" s="79">
        <f t="shared" si="62"/>
        <v>0</v>
      </c>
      <c r="PF84" s="79">
        <f t="shared" si="62"/>
        <v>0</v>
      </c>
      <c r="PG84" s="79">
        <f t="shared" si="62"/>
        <v>0</v>
      </c>
      <c r="PH84" s="79">
        <f t="shared" si="62"/>
        <v>0</v>
      </c>
      <c r="PI84" s="79">
        <f t="shared" si="62"/>
        <v>0</v>
      </c>
      <c r="PJ84" s="79">
        <f t="shared" si="62"/>
        <v>0</v>
      </c>
      <c r="PK84" s="79">
        <f t="shared" si="62"/>
        <v>0</v>
      </c>
      <c r="PL84" s="79">
        <f t="shared" si="62"/>
        <v>0</v>
      </c>
      <c r="PM84" s="79">
        <f t="shared" si="62"/>
        <v>0</v>
      </c>
      <c r="PN84" s="79">
        <f t="shared" si="62"/>
        <v>0</v>
      </c>
      <c r="PO84" s="79">
        <f t="shared" si="62"/>
        <v>0</v>
      </c>
      <c r="PP84" s="79">
        <f t="shared" si="62"/>
        <v>0</v>
      </c>
      <c r="PQ84" s="145" t="s">
        <v>96</v>
      </c>
      <c r="PT84" s="79">
        <f>PT18+PT24+PT29+PT30</f>
        <v>0</v>
      </c>
      <c r="PU84" s="79">
        <f t="shared" si="62"/>
        <v>0</v>
      </c>
      <c r="PV84" s="79">
        <f t="shared" si="62"/>
        <v>0</v>
      </c>
      <c r="PW84" s="79">
        <f t="shared" si="62"/>
        <v>0</v>
      </c>
      <c r="PX84" s="79">
        <f t="shared" si="62"/>
        <v>0</v>
      </c>
      <c r="PY84" s="79">
        <f t="shared" si="62"/>
        <v>0</v>
      </c>
      <c r="PZ84" s="79">
        <f t="shared" si="62"/>
        <v>0</v>
      </c>
      <c r="QA84" s="79">
        <f t="shared" si="62"/>
        <v>0</v>
      </c>
      <c r="QB84" s="79">
        <f t="shared" si="62"/>
        <v>0</v>
      </c>
      <c r="QC84" s="79">
        <f t="shared" si="62"/>
        <v>0</v>
      </c>
      <c r="QD84" s="79">
        <f t="shared" si="62"/>
        <v>0</v>
      </c>
      <c r="QE84" s="79">
        <f t="shared" si="62"/>
        <v>0</v>
      </c>
      <c r="QF84" s="79">
        <f t="shared" si="62"/>
        <v>0</v>
      </c>
      <c r="QG84" s="145" t="s">
        <v>96</v>
      </c>
      <c r="QJ84" s="79">
        <f>QJ18+QJ24+QJ29+QJ30</f>
        <v>0</v>
      </c>
      <c r="QK84" s="79">
        <f t="shared" ref="QK84:SR84" si="63">QK18+QK24+QK29+QK30</f>
        <v>0</v>
      </c>
      <c r="QL84" s="79">
        <f t="shared" si="63"/>
        <v>0</v>
      </c>
      <c r="QM84" s="79">
        <f t="shared" si="63"/>
        <v>0</v>
      </c>
      <c r="QN84" s="79">
        <f t="shared" si="63"/>
        <v>0</v>
      </c>
      <c r="QO84" s="79">
        <f t="shared" si="63"/>
        <v>0</v>
      </c>
      <c r="QP84" s="79">
        <f t="shared" si="63"/>
        <v>0</v>
      </c>
      <c r="QQ84" s="79">
        <f t="shared" si="63"/>
        <v>0</v>
      </c>
      <c r="QR84" s="79">
        <f t="shared" si="63"/>
        <v>0</v>
      </c>
      <c r="QS84" s="79">
        <f t="shared" si="63"/>
        <v>0</v>
      </c>
      <c r="QT84" s="79">
        <f t="shared" si="63"/>
        <v>0</v>
      </c>
      <c r="QU84" s="79">
        <f t="shared" si="63"/>
        <v>0</v>
      </c>
      <c r="QV84" s="79">
        <f t="shared" si="63"/>
        <v>0</v>
      </c>
      <c r="QW84" s="145" t="s">
        <v>96</v>
      </c>
      <c r="QZ84" s="79">
        <f>QZ18+QZ24+QZ29+QZ30</f>
        <v>0</v>
      </c>
      <c r="RA84" s="79">
        <f t="shared" si="63"/>
        <v>0</v>
      </c>
      <c r="RB84" s="79">
        <f t="shared" si="63"/>
        <v>0</v>
      </c>
      <c r="RC84" s="79">
        <f t="shared" si="63"/>
        <v>0</v>
      </c>
      <c r="RD84" s="79">
        <f t="shared" si="63"/>
        <v>0</v>
      </c>
      <c r="RE84" s="79">
        <f t="shared" si="63"/>
        <v>0</v>
      </c>
      <c r="RF84" s="79">
        <f t="shared" si="63"/>
        <v>0</v>
      </c>
      <c r="RG84" s="79">
        <f t="shared" si="63"/>
        <v>0</v>
      </c>
      <c r="RH84" s="79">
        <f t="shared" si="63"/>
        <v>0</v>
      </c>
      <c r="RI84" s="79">
        <f t="shared" si="63"/>
        <v>0</v>
      </c>
      <c r="RJ84" s="79">
        <f t="shared" si="63"/>
        <v>0</v>
      </c>
      <c r="RK84" s="79">
        <f t="shared" si="63"/>
        <v>0</v>
      </c>
      <c r="RL84" s="79">
        <f t="shared" si="63"/>
        <v>0</v>
      </c>
      <c r="RM84" s="145" t="s">
        <v>96</v>
      </c>
      <c r="RP84" s="79">
        <f>RP18+RP24+RP29+RP30</f>
        <v>0</v>
      </c>
      <c r="RQ84" s="79">
        <f t="shared" si="63"/>
        <v>0</v>
      </c>
      <c r="RR84" s="79">
        <f t="shared" si="63"/>
        <v>0</v>
      </c>
      <c r="RS84" s="79">
        <f t="shared" si="63"/>
        <v>0</v>
      </c>
      <c r="RT84" s="79">
        <f t="shared" si="63"/>
        <v>0</v>
      </c>
      <c r="RU84" s="79">
        <f t="shared" si="63"/>
        <v>0</v>
      </c>
      <c r="RV84" s="79">
        <f t="shared" si="63"/>
        <v>0</v>
      </c>
      <c r="RW84" s="79">
        <f t="shared" si="63"/>
        <v>0</v>
      </c>
      <c r="RX84" s="79">
        <f t="shared" si="63"/>
        <v>0</v>
      </c>
      <c r="RY84" s="79">
        <f t="shared" si="63"/>
        <v>0</v>
      </c>
      <c r="RZ84" s="79">
        <f t="shared" si="63"/>
        <v>0</v>
      </c>
      <c r="SA84" s="79">
        <f t="shared" si="63"/>
        <v>0</v>
      </c>
      <c r="SB84" s="79">
        <f t="shared" si="63"/>
        <v>0</v>
      </c>
      <c r="SC84" s="145" t="s">
        <v>96</v>
      </c>
      <c r="SF84" s="79">
        <f>SF18+SF24+SF29+SF30</f>
        <v>0</v>
      </c>
      <c r="SG84" s="79">
        <f t="shared" si="63"/>
        <v>0</v>
      </c>
      <c r="SH84" s="79">
        <f t="shared" si="63"/>
        <v>0</v>
      </c>
      <c r="SI84" s="79">
        <f t="shared" si="63"/>
        <v>0</v>
      </c>
      <c r="SJ84" s="79">
        <f t="shared" si="63"/>
        <v>0</v>
      </c>
      <c r="SK84" s="79">
        <f t="shared" si="63"/>
        <v>0</v>
      </c>
      <c r="SL84" s="79">
        <f t="shared" si="63"/>
        <v>0</v>
      </c>
      <c r="SM84" s="79">
        <f t="shared" si="63"/>
        <v>0</v>
      </c>
      <c r="SN84" s="79">
        <f t="shared" si="63"/>
        <v>0</v>
      </c>
      <c r="SO84" s="79">
        <f t="shared" si="63"/>
        <v>0</v>
      </c>
      <c r="SP84" s="79">
        <f t="shared" si="63"/>
        <v>0</v>
      </c>
      <c r="SQ84" s="79">
        <f t="shared" si="63"/>
        <v>0</v>
      </c>
      <c r="SR84" s="79">
        <f t="shared" si="63"/>
        <v>0</v>
      </c>
      <c r="SS84" s="145" t="s">
        <v>96</v>
      </c>
      <c r="SV84" s="79">
        <f>SV18+SV24+SV29+SV30</f>
        <v>0</v>
      </c>
      <c r="SW84" s="79">
        <f t="shared" ref="SW84:VD84" si="64">SW18+SW24+SW29+SW30</f>
        <v>0</v>
      </c>
      <c r="SX84" s="79">
        <f t="shared" si="64"/>
        <v>0</v>
      </c>
      <c r="SY84" s="79">
        <f t="shared" si="64"/>
        <v>0</v>
      </c>
      <c r="SZ84" s="79">
        <f t="shared" si="64"/>
        <v>0</v>
      </c>
      <c r="TA84" s="79">
        <f t="shared" si="64"/>
        <v>0</v>
      </c>
      <c r="TB84" s="79">
        <f t="shared" si="64"/>
        <v>0</v>
      </c>
      <c r="TC84" s="79">
        <f t="shared" si="64"/>
        <v>0</v>
      </c>
      <c r="TD84" s="79">
        <f t="shared" si="64"/>
        <v>0</v>
      </c>
      <c r="TE84" s="79">
        <f t="shared" si="64"/>
        <v>0</v>
      </c>
      <c r="TF84" s="79">
        <f t="shared" si="64"/>
        <v>0</v>
      </c>
      <c r="TG84" s="79">
        <f t="shared" si="64"/>
        <v>0</v>
      </c>
      <c r="TH84" s="79">
        <f t="shared" si="64"/>
        <v>0</v>
      </c>
      <c r="TI84" s="145" t="s">
        <v>96</v>
      </c>
      <c r="TL84" s="79">
        <f>TL18+TL24+TL29+TL30</f>
        <v>0</v>
      </c>
      <c r="TM84" s="79">
        <f t="shared" si="64"/>
        <v>0</v>
      </c>
      <c r="TN84" s="79">
        <f t="shared" si="64"/>
        <v>0</v>
      </c>
      <c r="TO84" s="79">
        <f t="shared" si="64"/>
        <v>0</v>
      </c>
      <c r="TP84" s="79">
        <f t="shared" si="64"/>
        <v>0</v>
      </c>
      <c r="TQ84" s="79">
        <f t="shared" si="64"/>
        <v>0</v>
      </c>
      <c r="TR84" s="79">
        <f t="shared" si="64"/>
        <v>0</v>
      </c>
      <c r="TS84" s="79">
        <f t="shared" si="64"/>
        <v>0</v>
      </c>
      <c r="TT84" s="79">
        <f t="shared" si="64"/>
        <v>0</v>
      </c>
      <c r="TU84" s="79">
        <f t="shared" si="64"/>
        <v>0</v>
      </c>
      <c r="TV84" s="79">
        <f t="shared" si="64"/>
        <v>0</v>
      </c>
      <c r="TW84" s="79">
        <f t="shared" si="64"/>
        <v>0</v>
      </c>
      <c r="TX84" s="79">
        <f t="shared" si="64"/>
        <v>0</v>
      </c>
      <c r="TY84" s="145" t="s">
        <v>96</v>
      </c>
      <c r="UB84" s="79">
        <f>UB18+UB24+UB29+UB30</f>
        <v>0</v>
      </c>
      <c r="UC84" s="79">
        <f t="shared" si="64"/>
        <v>0</v>
      </c>
      <c r="UD84" s="79">
        <f t="shared" si="64"/>
        <v>0</v>
      </c>
      <c r="UE84" s="79">
        <f t="shared" si="64"/>
        <v>0</v>
      </c>
      <c r="UF84" s="79">
        <f t="shared" si="64"/>
        <v>0</v>
      </c>
      <c r="UG84" s="79">
        <f t="shared" si="64"/>
        <v>0</v>
      </c>
      <c r="UH84" s="79">
        <f t="shared" si="64"/>
        <v>0</v>
      </c>
      <c r="UI84" s="79">
        <f t="shared" si="64"/>
        <v>0</v>
      </c>
      <c r="UJ84" s="79">
        <f t="shared" si="64"/>
        <v>0</v>
      </c>
      <c r="UK84" s="79">
        <f t="shared" si="64"/>
        <v>0</v>
      </c>
      <c r="UL84" s="79">
        <f t="shared" si="64"/>
        <v>0</v>
      </c>
      <c r="UM84" s="79">
        <f t="shared" si="64"/>
        <v>0</v>
      </c>
      <c r="UN84" s="79">
        <f t="shared" si="64"/>
        <v>0</v>
      </c>
      <c r="UO84" s="145" t="s">
        <v>96</v>
      </c>
      <c r="UR84" s="79">
        <f>UR18+UR24+UR29+UR30</f>
        <v>0</v>
      </c>
      <c r="US84" s="79">
        <f t="shared" si="64"/>
        <v>0</v>
      </c>
      <c r="UT84" s="79">
        <f t="shared" si="64"/>
        <v>0</v>
      </c>
      <c r="UU84" s="79">
        <f t="shared" si="64"/>
        <v>0</v>
      </c>
      <c r="UV84" s="79">
        <f t="shared" si="64"/>
        <v>0</v>
      </c>
      <c r="UW84" s="79">
        <f t="shared" si="64"/>
        <v>0</v>
      </c>
      <c r="UX84" s="79">
        <f t="shared" si="64"/>
        <v>0</v>
      </c>
      <c r="UY84" s="79">
        <f t="shared" si="64"/>
        <v>0</v>
      </c>
      <c r="UZ84" s="79">
        <f t="shared" si="64"/>
        <v>0</v>
      </c>
      <c r="VA84" s="79">
        <f t="shared" si="64"/>
        <v>0</v>
      </c>
      <c r="VB84" s="79">
        <f t="shared" si="64"/>
        <v>0</v>
      </c>
      <c r="VC84" s="79">
        <f t="shared" si="64"/>
        <v>0</v>
      </c>
      <c r="VD84" s="79">
        <f t="shared" si="64"/>
        <v>0</v>
      </c>
      <c r="VE84" s="145" t="s">
        <v>96</v>
      </c>
      <c r="VH84" s="79">
        <f>VH18+VH24+VH29+VH30</f>
        <v>0</v>
      </c>
      <c r="VI84" s="79">
        <f t="shared" ref="VI84:XP84" si="65">VI18+VI24+VI29+VI30</f>
        <v>0</v>
      </c>
      <c r="VJ84" s="79">
        <f t="shared" si="65"/>
        <v>0</v>
      </c>
      <c r="VK84" s="79">
        <f t="shared" si="65"/>
        <v>0</v>
      </c>
      <c r="VL84" s="79">
        <f t="shared" si="65"/>
        <v>0</v>
      </c>
      <c r="VM84" s="79">
        <f t="shared" si="65"/>
        <v>0</v>
      </c>
      <c r="VN84" s="79">
        <f t="shared" si="65"/>
        <v>0</v>
      </c>
      <c r="VO84" s="79">
        <f t="shared" si="65"/>
        <v>0</v>
      </c>
      <c r="VP84" s="79">
        <f t="shared" si="65"/>
        <v>0</v>
      </c>
      <c r="VQ84" s="79">
        <f t="shared" si="65"/>
        <v>0</v>
      </c>
      <c r="VR84" s="79">
        <f t="shared" si="65"/>
        <v>0</v>
      </c>
      <c r="VS84" s="79">
        <f t="shared" si="65"/>
        <v>0</v>
      </c>
      <c r="VT84" s="79">
        <f t="shared" si="65"/>
        <v>0</v>
      </c>
      <c r="VU84" s="145" t="s">
        <v>96</v>
      </c>
      <c r="VX84" s="79">
        <f>VX18+VX24+VX29+VX30</f>
        <v>0</v>
      </c>
      <c r="VY84" s="79">
        <f t="shared" si="65"/>
        <v>0</v>
      </c>
      <c r="VZ84" s="79">
        <f t="shared" si="65"/>
        <v>0</v>
      </c>
      <c r="WA84" s="79">
        <f t="shared" si="65"/>
        <v>0</v>
      </c>
      <c r="WB84" s="79">
        <f t="shared" si="65"/>
        <v>0</v>
      </c>
      <c r="WC84" s="79">
        <f t="shared" si="65"/>
        <v>0</v>
      </c>
      <c r="WD84" s="79">
        <f t="shared" si="65"/>
        <v>0</v>
      </c>
      <c r="WE84" s="79">
        <f t="shared" si="65"/>
        <v>0</v>
      </c>
      <c r="WF84" s="79">
        <f t="shared" si="65"/>
        <v>0</v>
      </c>
      <c r="WG84" s="79">
        <f t="shared" si="65"/>
        <v>0</v>
      </c>
      <c r="WH84" s="79">
        <f t="shared" si="65"/>
        <v>0</v>
      </c>
      <c r="WI84" s="79">
        <f t="shared" si="65"/>
        <v>0</v>
      </c>
      <c r="WJ84" s="79">
        <f t="shared" si="65"/>
        <v>0</v>
      </c>
      <c r="WK84" s="145" t="s">
        <v>96</v>
      </c>
      <c r="WN84" s="79">
        <f>WN18+WN24+WN29+WN30</f>
        <v>0</v>
      </c>
      <c r="WO84" s="79">
        <f t="shared" si="65"/>
        <v>0</v>
      </c>
      <c r="WP84" s="79">
        <f t="shared" si="65"/>
        <v>0</v>
      </c>
      <c r="WQ84" s="79">
        <f t="shared" si="65"/>
        <v>0</v>
      </c>
      <c r="WR84" s="79">
        <f t="shared" si="65"/>
        <v>0</v>
      </c>
      <c r="WS84" s="79">
        <f t="shared" si="65"/>
        <v>0</v>
      </c>
      <c r="WT84" s="79">
        <f t="shared" si="65"/>
        <v>0</v>
      </c>
      <c r="WU84" s="79">
        <f t="shared" si="65"/>
        <v>0</v>
      </c>
      <c r="WV84" s="79">
        <f t="shared" si="65"/>
        <v>0</v>
      </c>
      <c r="WW84" s="79">
        <f t="shared" si="65"/>
        <v>0</v>
      </c>
      <c r="WX84" s="79">
        <f t="shared" si="65"/>
        <v>0</v>
      </c>
      <c r="WY84" s="79">
        <f t="shared" si="65"/>
        <v>0</v>
      </c>
      <c r="WZ84" s="79">
        <f t="shared" si="65"/>
        <v>0</v>
      </c>
      <c r="XA84" s="145" t="s">
        <v>96</v>
      </c>
      <c r="XD84" s="79">
        <f>XD18+XD24+XD29+XD30</f>
        <v>0</v>
      </c>
      <c r="XE84" s="79">
        <f t="shared" si="65"/>
        <v>0</v>
      </c>
      <c r="XF84" s="79">
        <f t="shared" si="65"/>
        <v>0</v>
      </c>
      <c r="XG84" s="79">
        <f t="shared" si="65"/>
        <v>0</v>
      </c>
      <c r="XH84" s="79">
        <f t="shared" si="65"/>
        <v>0</v>
      </c>
      <c r="XI84" s="79">
        <f t="shared" si="65"/>
        <v>0</v>
      </c>
      <c r="XJ84" s="79">
        <f t="shared" si="65"/>
        <v>0</v>
      </c>
      <c r="XK84" s="79">
        <f t="shared" si="65"/>
        <v>0</v>
      </c>
      <c r="XL84" s="79">
        <f t="shared" si="65"/>
        <v>0</v>
      </c>
      <c r="XM84" s="79">
        <f t="shared" si="65"/>
        <v>0</v>
      </c>
      <c r="XN84" s="79">
        <f t="shared" si="65"/>
        <v>0</v>
      </c>
      <c r="XO84" s="79">
        <f t="shared" si="65"/>
        <v>0</v>
      </c>
      <c r="XP84" s="79">
        <f t="shared" si="65"/>
        <v>0</v>
      </c>
      <c r="XQ84" s="145" t="s">
        <v>96</v>
      </c>
      <c r="XT84" s="79">
        <f>XT18+XT24+XT29+XT30</f>
        <v>0</v>
      </c>
      <c r="XU84" s="79">
        <f t="shared" ref="XU84:AAB84" si="66">XU18+XU24+XU29+XU30</f>
        <v>0</v>
      </c>
      <c r="XV84" s="79">
        <f t="shared" si="66"/>
        <v>0</v>
      </c>
      <c r="XW84" s="79">
        <f t="shared" si="66"/>
        <v>0</v>
      </c>
      <c r="XX84" s="79">
        <f t="shared" si="66"/>
        <v>0</v>
      </c>
      <c r="XY84" s="79">
        <f t="shared" si="66"/>
        <v>0</v>
      </c>
      <c r="XZ84" s="79">
        <f t="shared" si="66"/>
        <v>0</v>
      </c>
      <c r="YA84" s="79">
        <f t="shared" si="66"/>
        <v>0</v>
      </c>
      <c r="YB84" s="79">
        <f t="shared" si="66"/>
        <v>0</v>
      </c>
      <c r="YC84" s="79">
        <f t="shared" si="66"/>
        <v>0</v>
      </c>
      <c r="YD84" s="79">
        <f t="shared" si="66"/>
        <v>0</v>
      </c>
      <c r="YE84" s="79">
        <f t="shared" si="66"/>
        <v>0</v>
      </c>
      <c r="YF84" s="79">
        <f t="shared" si="66"/>
        <v>0</v>
      </c>
      <c r="YG84" s="145" t="s">
        <v>96</v>
      </c>
      <c r="YJ84" s="79">
        <f>YJ18+YJ24+YJ29+YJ30</f>
        <v>0</v>
      </c>
      <c r="YK84" s="79">
        <f t="shared" si="66"/>
        <v>0</v>
      </c>
      <c r="YL84" s="79">
        <f t="shared" si="66"/>
        <v>0</v>
      </c>
      <c r="YM84" s="79">
        <f t="shared" si="66"/>
        <v>0</v>
      </c>
      <c r="YN84" s="79">
        <f t="shared" si="66"/>
        <v>0</v>
      </c>
      <c r="YO84" s="79">
        <f t="shared" si="66"/>
        <v>0</v>
      </c>
      <c r="YP84" s="79">
        <f t="shared" si="66"/>
        <v>0</v>
      </c>
      <c r="YQ84" s="79">
        <f t="shared" si="66"/>
        <v>0</v>
      </c>
      <c r="YR84" s="79">
        <f t="shared" si="66"/>
        <v>0</v>
      </c>
      <c r="YS84" s="79">
        <f t="shared" si="66"/>
        <v>0</v>
      </c>
      <c r="YT84" s="79">
        <f t="shared" si="66"/>
        <v>0</v>
      </c>
      <c r="YU84" s="79">
        <f t="shared" si="66"/>
        <v>0</v>
      </c>
      <c r="YV84" s="79">
        <f t="shared" si="66"/>
        <v>0</v>
      </c>
      <c r="YW84" s="145" t="s">
        <v>96</v>
      </c>
      <c r="YZ84" s="79">
        <f>YZ18+YZ24+YZ29+YZ30</f>
        <v>0</v>
      </c>
      <c r="ZA84" s="79">
        <f t="shared" si="66"/>
        <v>0</v>
      </c>
      <c r="ZB84" s="79">
        <f t="shared" si="66"/>
        <v>0</v>
      </c>
      <c r="ZC84" s="79">
        <f t="shared" si="66"/>
        <v>0</v>
      </c>
      <c r="ZD84" s="79">
        <f t="shared" si="66"/>
        <v>0</v>
      </c>
      <c r="ZE84" s="79">
        <f t="shared" si="66"/>
        <v>0</v>
      </c>
      <c r="ZF84" s="79">
        <f t="shared" si="66"/>
        <v>0</v>
      </c>
      <c r="ZG84" s="79">
        <f t="shared" si="66"/>
        <v>0</v>
      </c>
      <c r="ZH84" s="79">
        <f t="shared" si="66"/>
        <v>0</v>
      </c>
      <c r="ZI84" s="79">
        <f t="shared" si="66"/>
        <v>0</v>
      </c>
      <c r="ZJ84" s="79">
        <f t="shared" si="66"/>
        <v>0</v>
      </c>
      <c r="ZK84" s="79">
        <f t="shared" si="66"/>
        <v>0</v>
      </c>
      <c r="ZL84" s="79">
        <f t="shared" si="66"/>
        <v>0</v>
      </c>
      <c r="ZM84" s="145" t="s">
        <v>96</v>
      </c>
      <c r="ZP84" s="79">
        <f>ZP18+ZP24+ZP29+ZP30</f>
        <v>0</v>
      </c>
      <c r="ZQ84" s="79">
        <f t="shared" si="66"/>
        <v>0</v>
      </c>
      <c r="ZR84" s="79">
        <f t="shared" si="66"/>
        <v>0</v>
      </c>
      <c r="ZS84" s="79">
        <f t="shared" si="66"/>
        <v>0</v>
      </c>
      <c r="ZT84" s="79">
        <f t="shared" si="66"/>
        <v>0</v>
      </c>
      <c r="ZU84" s="79">
        <f t="shared" si="66"/>
        <v>0</v>
      </c>
      <c r="ZV84" s="79">
        <f t="shared" si="66"/>
        <v>0</v>
      </c>
      <c r="ZW84" s="79">
        <f t="shared" si="66"/>
        <v>0</v>
      </c>
      <c r="ZX84" s="79">
        <f t="shared" si="66"/>
        <v>0</v>
      </c>
      <c r="ZY84" s="79">
        <f t="shared" si="66"/>
        <v>0</v>
      </c>
      <c r="ZZ84" s="79">
        <f t="shared" si="66"/>
        <v>0</v>
      </c>
      <c r="AAA84" s="79">
        <f t="shared" si="66"/>
        <v>0</v>
      </c>
      <c r="AAB84" s="79">
        <f t="shared" si="66"/>
        <v>0</v>
      </c>
      <c r="AAC84" s="145" t="s">
        <v>96</v>
      </c>
      <c r="AAF84" s="79">
        <f>AAF18+AAF24+AAF29+AAF30</f>
        <v>0</v>
      </c>
      <c r="AAG84" s="79">
        <f t="shared" ref="AAG84:ACN84" si="67">AAG18+AAG24+AAG29+AAG30</f>
        <v>0</v>
      </c>
      <c r="AAH84" s="79">
        <f t="shared" si="67"/>
        <v>0</v>
      </c>
      <c r="AAI84" s="79">
        <f t="shared" si="67"/>
        <v>0</v>
      </c>
      <c r="AAJ84" s="79">
        <f t="shared" si="67"/>
        <v>0</v>
      </c>
      <c r="AAK84" s="79">
        <f t="shared" si="67"/>
        <v>0</v>
      </c>
      <c r="AAL84" s="79">
        <f t="shared" si="67"/>
        <v>0</v>
      </c>
      <c r="AAM84" s="79">
        <f t="shared" si="67"/>
        <v>0</v>
      </c>
      <c r="AAN84" s="79">
        <f t="shared" si="67"/>
        <v>0</v>
      </c>
      <c r="AAO84" s="79">
        <f t="shared" si="67"/>
        <v>0</v>
      </c>
      <c r="AAP84" s="79">
        <f t="shared" si="67"/>
        <v>0</v>
      </c>
      <c r="AAQ84" s="79">
        <f t="shared" si="67"/>
        <v>0</v>
      </c>
      <c r="AAR84" s="79">
        <f t="shared" si="67"/>
        <v>0</v>
      </c>
      <c r="AAS84" s="145" t="s">
        <v>96</v>
      </c>
      <c r="AAV84" s="79">
        <f>AAV18+AAV24+AAV29+AAV30</f>
        <v>0</v>
      </c>
      <c r="AAW84" s="79">
        <f t="shared" si="67"/>
        <v>0</v>
      </c>
      <c r="AAX84" s="79">
        <f t="shared" si="67"/>
        <v>0</v>
      </c>
      <c r="AAY84" s="79">
        <f t="shared" si="67"/>
        <v>0</v>
      </c>
      <c r="AAZ84" s="79">
        <f t="shared" si="67"/>
        <v>0</v>
      </c>
      <c r="ABA84" s="79">
        <f t="shared" si="67"/>
        <v>0</v>
      </c>
      <c r="ABB84" s="79">
        <f t="shared" si="67"/>
        <v>0</v>
      </c>
      <c r="ABC84" s="79">
        <f t="shared" si="67"/>
        <v>0</v>
      </c>
      <c r="ABD84" s="79">
        <f t="shared" si="67"/>
        <v>0</v>
      </c>
      <c r="ABE84" s="79">
        <f t="shared" si="67"/>
        <v>0</v>
      </c>
      <c r="ABF84" s="79">
        <f t="shared" si="67"/>
        <v>0</v>
      </c>
      <c r="ABG84" s="79">
        <f t="shared" si="67"/>
        <v>0</v>
      </c>
      <c r="ABH84" s="79">
        <f t="shared" si="67"/>
        <v>0</v>
      </c>
      <c r="ABI84" s="145" t="s">
        <v>96</v>
      </c>
      <c r="ABL84" s="79">
        <f>ABL18+ABL24+ABL29+ABL30</f>
        <v>0</v>
      </c>
      <c r="ABM84" s="79">
        <f t="shared" si="67"/>
        <v>0</v>
      </c>
      <c r="ABN84" s="79">
        <f t="shared" si="67"/>
        <v>0</v>
      </c>
      <c r="ABO84" s="79">
        <f t="shared" si="67"/>
        <v>0</v>
      </c>
      <c r="ABP84" s="79">
        <f t="shared" si="67"/>
        <v>0</v>
      </c>
      <c r="ABQ84" s="79">
        <f t="shared" si="67"/>
        <v>0</v>
      </c>
      <c r="ABR84" s="79">
        <f t="shared" si="67"/>
        <v>0</v>
      </c>
      <c r="ABS84" s="79">
        <f t="shared" si="67"/>
        <v>0</v>
      </c>
      <c r="ABT84" s="79">
        <f t="shared" si="67"/>
        <v>0</v>
      </c>
      <c r="ABU84" s="79">
        <f t="shared" si="67"/>
        <v>0</v>
      </c>
      <c r="ABV84" s="79">
        <f t="shared" si="67"/>
        <v>0</v>
      </c>
      <c r="ABW84" s="79">
        <f t="shared" si="67"/>
        <v>0</v>
      </c>
      <c r="ABX84" s="79">
        <f t="shared" si="67"/>
        <v>0</v>
      </c>
      <c r="ABY84" s="145" t="s">
        <v>96</v>
      </c>
      <c r="ACB84" s="79">
        <f>ACB18+ACB24+ACB29+ACB30</f>
        <v>0</v>
      </c>
      <c r="ACC84" s="79">
        <f t="shared" si="67"/>
        <v>0</v>
      </c>
      <c r="ACD84" s="79">
        <f t="shared" si="67"/>
        <v>0</v>
      </c>
      <c r="ACE84" s="79">
        <f t="shared" si="67"/>
        <v>0</v>
      </c>
      <c r="ACF84" s="79">
        <f t="shared" si="67"/>
        <v>0</v>
      </c>
      <c r="ACG84" s="79">
        <f t="shared" si="67"/>
        <v>0</v>
      </c>
      <c r="ACH84" s="79">
        <f t="shared" si="67"/>
        <v>0</v>
      </c>
      <c r="ACI84" s="79">
        <f t="shared" si="67"/>
        <v>0</v>
      </c>
      <c r="ACJ84" s="79">
        <f t="shared" si="67"/>
        <v>0</v>
      </c>
      <c r="ACK84" s="79">
        <f t="shared" si="67"/>
        <v>0</v>
      </c>
      <c r="ACL84" s="79">
        <f t="shared" si="67"/>
        <v>0</v>
      </c>
      <c r="ACM84" s="79">
        <f t="shared" si="67"/>
        <v>0</v>
      </c>
      <c r="ACN84" s="79">
        <f t="shared" si="67"/>
        <v>0</v>
      </c>
      <c r="ACO84" s="145" t="s">
        <v>96</v>
      </c>
      <c r="ACR84" s="79">
        <f>ACR18+ACR24+ACR29+ACR30</f>
        <v>0</v>
      </c>
      <c r="ACS84" s="79">
        <f t="shared" ref="ACS84:AEZ84" si="68">ACS18+ACS24+ACS29+ACS30</f>
        <v>0</v>
      </c>
      <c r="ACT84" s="79">
        <f t="shared" si="68"/>
        <v>0</v>
      </c>
      <c r="ACU84" s="79">
        <f t="shared" si="68"/>
        <v>0</v>
      </c>
      <c r="ACV84" s="79">
        <f t="shared" si="68"/>
        <v>0</v>
      </c>
      <c r="ACW84" s="79">
        <f t="shared" si="68"/>
        <v>0</v>
      </c>
      <c r="ACX84" s="79">
        <f t="shared" si="68"/>
        <v>0</v>
      </c>
      <c r="ACY84" s="79">
        <f t="shared" si="68"/>
        <v>0</v>
      </c>
      <c r="ACZ84" s="79">
        <f t="shared" si="68"/>
        <v>0</v>
      </c>
      <c r="ADA84" s="79">
        <f t="shared" si="68"/>
        <v>0</v>
      </c>
      <c r="ADB84" s="79">
        <f t="shared" si="68"/>
        <v>0</v>
      </c>
      <c r="ADC84" s="79">
        <f t="shared" si="68"/>
        <v>0</v>
      </c>
      <c r="ADD84" s="79">
        <f t="shared" si="68"/>
        <v>0</v>
      </c>
      <c r="ADE84" s="145" t="s">
        <v>96</v>
      </c>
      <c r="ADH84" s="79">
        <f>ADH18+ADH24+ADH29+ADH30</f>
        <v>0</v>
      </c>
      <c r="ADI84" s="79">
        <f t="shared" si="68"/>
        <v>0</v>
      </c>
      <c r="ADJ84" s="79">
        <f t="shared" si="68"/>
        <v>0</v>
      </c>
      <c r="ADK84" s="79">
        <f t="shared" si="68"/>
        <v>0</v>
      </c>
      <c r="ADL84" s="79">
        <f t="shared" si="68"/>
        <v>0</v>
      </c>
      <c r="ADM84" s="79">
        <f t="shared" si="68"/>
        <v>0</v>
      </c>
      <c r="ADN84" s="79">
        <f t="shared" si="68"/>
        <v>0</v>
      </c>
      <c r="ADO84" s="79">
        <f t="shared" si="68"/>
        <v>0</v>
      </c>
      <c r="ADP84" s="79">
        <f t="shared" si="68"/>
        <v>0</v>
      </c>
      <c r="ADQ84" s="79">
        <f t="shared" si="68"/>
        <v>0</v>
      </c>
      <c r="ADR84" s="79">
        <f t="shared" si="68"/>
        <v>0</v>
      </c>
      <c r="ADS84" s="79">
        <f t="shared" si="68"/>
        <v>0</v>
      </c>
      <c r="ADT84" s="79">
        <f t="shared" si="68"/>
        <v>0</v>
      </c>
      <c r="ADU84" s="145" t="s">
        <v>96</v>
      </c>
      <c r="ADX84" s="79">
        <f>ADX18+ADX24+ADX29+ADX30</f>
        <v>0</v>
      </c>
      <c r="ADY84" s="79">
        <f t="shared" si="68"/>
        <v>0</v>
      </c>
      <c r="ADZ84" s="79">
        <f t="shared" si="68"/>
        <v>0</v>
      </c>
      <c r="AEA84" s="79">
        <f t="shared" si="68"/>
        <v>0</v>
      </c>
      <c r="AEB84" s="79">
        <f t="shared" si="68"/>
        <v>0</v>
      </c>
      <c r="AEC84" s="79">
        <f t="shared" si="68"/>
        <v>0</v>
      </c>
      <c r="AED84" s="79">
        <f t="shared" si="68"/>
        <v>0</v>
      </c>
      <c r="AEE84" s="79">
        <f t="shared" si="68"/>
        <v>0</v>
      </c>
      <c r="AEF84" s="79">
        <f t="shared" si="68"/>
        <v>0</v>
      </c>
      <c r="AEG84" s="79">
        <f t="shared" si="68"/>
        <v>0</v>
      </c>
      <c r="AEH84" s="79">
        <f t="shared" si="68"/>
        <v>0</v>
      </c>
      <c r="AEI84" s="79">
        <f t="shared" si="68"/>
        <v>0</v>
      </c>
      <c r="AEJ84" s="79">
        <f t="shared" si="68"/>
        <v>0</v>
      </c>
      <c r="AEK84" s="145" t="s">
        <v>96</v>
      </c>
      <c r="AEN84" s="79">
        <f>AEN18+AEN24+AEN29+AEN30</f>
        <v>0</v>
      </c>
      <c r="AEO84" s="79">
        <f t="shared" si="68"/>
        <v>0</v>
      </c>
      <c r="AEP84" s="79">
        <f t="shared" si="68"/>
        <v>0</v>
      </c>
      <c r="AEQ84" s="79">
        <f t="shared" si="68"/>
        <v>0</v>
      </c>
      <c r="AER84" s="79">
        <f t="shared" si="68"/>
        <v>0</v>
      </c>
      <c r="AES84" s="79">
        <f t="shared" si="68"/>
        <v>0</v>
      </c>
      <c r="AET84" s="79">
        <f t="shared" si="68"/>
        <v>0</v>
      </c>
      <c r="AEU84" s="79">
        <f t="shared" si="68"/>
        <v>0</v>
      </c>
      <c r="AEV84" s="79">
        <f t="shared" si="68"/>
        <v>0</v>
      </c>
      <c r="AEW84" s="79">
        <f t="shared" si="68"/>
        <v>0</v>
      </c>
      <c r="AEX84" s="79">
        <f t="shared" si="68"/>
        <v>0</v>
      </c>
      <c r="AEY84" s="79">
        <f t="shared" si="68"/>
        <v>0</v>
      </c>
      <c r="AEZ84" s="79">
        <f t="shared" si="68"/>
        <v>0</v>
      </c>
      <c r="AFA84" s="145" t="s">
        <v>96</v>
      </c>
      <c r="AFD84" s="79">
        <f>AFD18+AFD24+AFD29+AFD30</f>
        <v>0</v>
      </c>
      <c r="AFE84" s="79">
        <f t="shared" ref="AFE84:AHL84" si="69">AFE18+AFE24+AFE29+AFE30</f>
        <v>0</v>
      </c>
      <c r="AFF84" s="79">
        <f t="shared" si="69"/>
        <v>0</v>
      </c>
      <c r="AFG84" s="79">
        <f t="shared" si="69"/>
        <v>0</v>
      </c>
      <c r="AFH84" s="79">
        <f t="shared" si="69"/>
        <v>0</v>
      </c>
      <c r="AFI84" s="79">
        <f t="shared" si="69"/>
        <v>0</v>
      </c>
      <c r="AFJ84" s="79">
        <f t="shared" si="69"/>
        <v>0</v>
      </c>
      <c r="AFK84" s="79">
        <f t="shared" si="69"/>
        <v>0</v>
      </c>
      <c r="AFL84" s="79">
        <f t="shared" si="69"/>
        <v>0</v>
      </c>
      <c r="AFM84" s="79">
        <f t="shared" si="69"/>
        <v>0</v>
      </c>
      <c r="AFN84" s="79">
        <f t="shared" si="69"/>
        <v>0</v>
      </c>
      <c r="AFO84" s="79">
        <f t="shared" si="69"/>
        <v>0</v>
      </c>
      <c r="AFP84" s="79">
        <f t="shared" si="69"/>
        <v>0</v>
      </c>
      <c r="AFQ84" s="145" t="s">
        <v>96</v>
      </c>
      <c r="AFT84" s="79">
        <f>AFT18+AFT24+AFT29+AFT30</f>
        <v>0</v>
      </c>
      <c r="AFU84" s="79">
        <f t="shared" si="69"/>
        <v>0</v>
      </c>
      <c r="AFV84" s="79">
        <f t="shared" si="69"/>
        <v>0</v>
      </c>
      <c r="AFW84" s="79">
        <f t="shared" si="69"/>
        <v>0</v>
      </c>
      <c r="AFX84" s="79">
        <f t="shared" si="69"/>
        <v>0</v>
      </c>
      <c r="AFY84" s="79">
        <f t="shared" si="69"/>
        <v>0</v>
      </c>
      <c r="AFZ84" s="79">
        <f t="shared" si="69"/>
        <v>0</v>
      </c>
      <c r="AGA84" s="79">
        <f t="shared" si="69"/>
        <v>0</v>
      </c>
      <c r="AGB84" s="79">
        <f t="shared" si="69"/>
        <v>0</v>
      </c>
      <c r="AGC84" s="79">
        <f t="shared" si="69"/>
        <v>0</v>
      </c>
      <c r="AGD84" s="79">
        <f t="shared" si="69"/>
        <v>0</v>
      </c>
      <c r="AGE84" s="79">
        <f t="shared" si="69"/>
        <v>0</v>
      </c>
      <c r="AGF84" s="79">
        <f t="shared" si="69"/>
        <v>0</v>
      </c>
      <c r="AGG84" s="145" t="s">
        <v>96</v>
      </c>
      <c r="AGJ84" s="79">
        <f>AGJ18+AGJ24+AGJ29+AGJ30</f>
        <v>0</v>
      </c>
      <c r="AGK84" s="79">
        <f t="shared" si="69"/>
        <v>0</v>
      </c>
      <c r="AGL84" s="79">
        <f t="shared" si="69"/>
        <v>0</v>
      </c>
      <c r="AGM84" s="79">
        <f t="shared" si="69"/>
        <v>0</v>
      </c>
      <c r="AGN84" s="79">
        <f t="shared" si="69"/>
        <v>0</v>
      </c>
      <c r="AGO84" s="79">
        <f t="shared" si="69"/>
        <v>0</v>
      </c>
      <c r="AGP84" s="79">
        <f t="shared" si="69"/>
        <v>0</v>
      </c>
      <c r="AGQ84" s="79">
        <f t="shared" si="69"/>
        <v>0</v>
      </c>
      <c r="AGR84" s="79">
        <f t="shared" si="69"/>
        <v>0</v>
      </c>
      <c r="AGS84" s="79">
        <f t="shared" si="69"/>
        <v>0</v>
      </c>
      <c r="AGT84" s="79">
        <f t="shared" si="69"/>
        <v>0</v>
      </c>
      <c r="AGU84" s="79">
        <f t="shared" si="69"/>
        <v>0</v>
      </c>
      <c r="AGV84" s="79">
        <f t="shared" si="69"/>
        <v>0</v>
      </c>
      <c r="AGW84" s="145" t="s">
        <v>96</v>
      </c>
      <c r="AGZ84" s="79">
        <f>AGZ18+AGZ24+AGZ29+AGZ30</f>
        <v>0</v>
      </c>
      <c r="AHA84" s="79">
        <f t="shared" si="69"/>
        <v>0</v>
      </c>
      <c r="AHB84" s="79">
        <f t="shared" si="69"/>
        <v>0</v>
      </c>
      <c r="AHC84" s="79">
        <f t="shared" si="69"/>
        <v>0</v>
      </c>
      <c r="AHD84" s="79">
        <f t="shared" si="69"/>
        <v>0</v>
      </c>
      <c r="AHE84" s="79">
        <f t="shared" si="69"/>
        <v>0</v>
      </c>
      <c r="AHF84" s="79">
        <f t="shared" si="69"/>
        <v>0</v>
      </c>
      <c r="AHG84" s="79">
        <f t="shared" si="69"/>
        <v>0</v>
      </c>
      <c r="AHH84" s="79">
        <f t="shared" si="69"/>
        <v>0</v>
      </c>
      <c r="AHI84" s="79">
        <f t="shared" si="69"/>
        <v>0</v>
      </c>
      <c r="AHJ84" s="79">
        <f t="shared" si="69"/>
        <v>0</v>
      </c>
      <c r="AHK84" s="79">
        <f t="shared" si="69"/>
        <v>0</v>
      </c>
      <c r="AHL84" s="79">
        <f t="shared" si="69"/>
        <v>0</v>
      </c>
      <c r="AHM84" s="145" t="s">
        <v>96</v>
      </c>
      <c r="AHP84" s="79">
        <f>AHP18+AHP24+AHP29+AHP30</f>
        <v>0</v>
      </c>
      <c r="AHQ84" s="79">
        <f t="shared" ref="AHQ84:AJX84" si="70">AHQ18+AHQ24+AHQ29+AHQ30</f>
        <v>0</v>
      </c>
      <c r="AHR84" s="79">
        <f t="shared" si="70"/>
        <v>0</v>
      </c>
      <c r="AHS84" s="79">
        <f t="shared" si="70"/>
        <v>0</v>
      </c>
      <c r="AHT84" s="79">
        <f t="shared" si="70"/>
        <v>0</v>
      </c>
      <c r="AHU84" s="79">
        <f t="shared" si="70"/>
        <v>0</v>
      </c>
      <c r="AHV84" s="79">
        <f t="shared" si="70"/>
        <v>0</v>
      </c>
      <c r="AHW84" s="79">
        <f t="shared" si="70"/>
        <v>0</v>
      </c>
      <c r="AHX84" s="79">
        <f t="shared" si="70"/>
        <v>0</v>
      </c>
      <c r="AHY84" s="79">
        <f t="shared" si="70"/>
        <v>0</v>
      </c>
      <c r="AHZ84" s="79">
        <f t="shared" si="70"/>
        <v>0</v>
      </c>
      <c r="AIA84" s="79">
        <f t="shared" si="70"/>
        <v>0</v>
      </c>
      <c r="AIB84" s="79">
        <f t="shared" si="70"/>
        <v>0</v>
      </c>
      <c r="AIC84" s="145" t="s">
        <v>96</v>
      </c>
      <c r="AIF84" s="79">
        <f>AIF18+AIF24+AIF29+AIF30</f>
        <v>0</v>
      </c>
      <c r="AIG84" s="79">
        <f t="shared" si="70"/>
        <v>0</v>
      </c>
      <c r="AIH84" s="79">
        <f t="shared" si="70"/>
        <v>0</v>
      </c>
      <c r="AII84" s="79">
        <f t="shared" si="70"/>
        <v>0</v>
      </c>
      <c r="AIJ84" s="79">
        <f t="shared" si="70"/>
        <v>0</v>
      </c>
      <c r="AIK84" s="79">
        <f t="shared" si="70"/>
        <v>0</v>
      </c>
      <c r="AIL84" s="79">
        <f t="shared" si="70"/>
        <v>0</v>
      </c>
      <c r="AIM84" s="79">
        <f t="shared" si="70"/>
        <v>0</v>
      </c>
      <c r="AIN84" s="79">
        <f t="shared" si="70"/>
        <v>0</v>
      </c>
      <c r="AIO84" s="79">
        <f t="shared" si="70"/>
        <v>0</v>
      </c>
      <c r="AIP84" s="79">
        <f t="shared" si="70"/>
        <v>0</v>
      </c>
      <c r="AIQ84" s="79">
        <f t="shared" si="70"/>
        <v>0</v>
      </c>
      <c r="AIR84" s="79">
        <f t="shared" si="70"/>
        <v>0</v>
      </c>
      <c r="AIS84" s="145" t="s">
        <v>96</v>
      </c>
      <c r="AIV84" s="79">
        <f>AIV18+AIV24+AIV29+AIV30</f>
        <v>0</v>
      </c>
      <c r="AIW84" s="79">
        <f t="shared" si="70"/>
        <v>0</v>
      </c>
      <c r="AIX84" s="79">
        <f t="shared" si="70"/>
        <v>0</v>
      </c>
      <c r="AIY84" s="79">
        <f t="shared" si="70"/>
        <v>0</v>
      </c>
      <c r="AIZ84" s="79">
        <f t="shared" si="70"/>
        <v>0</v>
      </c>
      <c r="AJA84" s="79">
        <f t="shared" si="70"/>
        <v>0</v>
      </c>
      <c r="AJB84" s="79">
        <f t="shared" si="70"/>
        <v>0</v>
      </c>
      <c r="AJC84" s="79">
        <f t="shared" si="70"/>
        <v>0</v>
      </c>
      <c r="AJD84" s="79">
        <f t="shared" si="70"/>
        <v>0</v>
      </c>
      <c r="AJE84" s="79">
        <f t="shared" si="70"/>
        <v>0</v>
      </c>
      <c r="AJF84" s="79">
        <f t="shared" si="70"/>
        <v>0</v>
      </c>
      <c r="AJG84" s="79">
        <f t="shared" si="70"/>
        <v>0</v>
      </c>
      <c r="AJH84" s="79">
        <f t="shared" si="70"/>
        <v>0</v>
      </c>
      <c r="AJI84" s="145" t="s">
        <v>96</v>
      </c>
      <c r="AJL84" s="79">
        <f>AJL18+AJL24+AJL29+AJL30</f>
        <v>0</v>
      </c>
      <c r="AJM84" s="79">
        <f t="shared" si="70"/>
        <v>0</v>
      </c>
      <c r="AJN84" s="79">
        <f t="shared" si="70"/>
        <v>0</v>
      </c>
      <c r="AJO84" s="79">
        <f t="shared" si="70"/>
        <v>0</v>
      </c>
      <c r="AJP84" s="79">
        <f t="shared" si="70"/>
        <v>0</v>
      </c>
      <c r="AJQ84" s="79">
        <f t="shared" si="70"/>
        <v>0</v>
      </c>
      <c r="AJR84" s="79">
        <f t="shared" si="70"/>
        <v>0</v>
      </c>
      <c r="AJS84" s="79">
        <f t="shared" si="70"/>
        <v>0</v>
      </c>
      <c r="AJT84" s="79">
        <f t="shared" si="70"/>
        <v>0</v>
      </c>
      <c r="AJU84" s="79">
        <f t="shared" si="70"/>
        <v>0</v>
      </c>
      <c r="AJV84" s="79">
        <f t="shared" si="70"/>
        <v>0</v>
      </c>
      <c r="AJW84" s="79">
        <f t="shared" si="70"/>
        <v>0</v>
      </c>
      <c r="AJX84" s="79">
        <f t="shared" si="70"/>
        <v>0</v>
      </c>
      <c r="AJY84" s="145" t="s">
        <v>96</v>
      </c>
      <c r="AKB84" s="79">
        <f>AKB18+AKB24+AKB29+AKB30</f>
        <v>0</v>
      </c>
      <c r="AKC84" s="79">
        <f t="shared" ref="AKC84:AMJ84" si="71">AKC18+AKC24+AKC29+AKC30</f>
        <v>0</v>
      </c>
      <c r="AKD84" s="79">
        <f t="shared" si="71"/>
        <v>0</v>
      </c>
      <c r="AKE84" s="79">
        <f t="shared" si="71"/>
        <v>0</v>
      </c>
      <c r="AKF84" s="79">
        <f t="shared" si="71"/>
        <v>0</v>
      </c>
      <c r="AKG84" s="79">
        <f t="shared" si="71"/>
        <v>0</v>
      </c>
      <c r="AKH84" s="79">
        <f t="shared" si="71"/>
        <v>0</v>
      </c>
      <c r="AKI84" s="79">
        <f t="shared" si="71"/>
        <v>0</v>
      </c>
      <c r="AKJ84" s="79">
        <f t="shared" si="71"/>
        <v>0</v>
      </c>
      <c r="AKK84" s="79">
        <f t="shared" si="71"/>
        <v>0</v>
      </c>
      <c r="AKL84" s="79">
        <f t="shared" si="71"/>
        <v>0</v>
      </c>
      <c r="AKM84" s="79">
        <f t="shared" si="71"/>
        <v>0</v>
      </c>
      <c r="AKN84" s="79">
        <f t="shared" si="71"/>
        <v>0</v>
      </c>
      <c r="AKO84" s="145" t="s">
        <v>96</v>
      </c>
      <c r="AKR84" s="79">
        <f>AKR18+AKR24+AKR29+AKR30</f>
        <v>0</v>
      </c>
      <c r="AKS84" s="79">
        <f t="shared" si="71"/>
        <v>0</v>
      </c>
      <c r="AKT84" s="79">
        <f t="shared" si="71"/>
        <v>0</v>
      </c>
      <c r="AKU84" s="79">
        <f t="shared" si="71"/>
        <v>0</v>
      </c>
      <c r="AKV84" s="79">
        <f t="shared" si="71"/>
        <v>0</v>
      </c>
      <c r="AKW84" s="79">
        <f t="shared" si="71"/>
        <v>0</v>
      </c>
      <c r="AKX84" s="79">
        <f t="shared" si="71"/>
        <v>0</v>
      </c>
      <c r="AKY84" s="79">
        <f t="shared" si="71"/>
        <v>0</v>
      </c>
      <c r="AKZ84" s="79">
        <f t="shared" si="71"/>
        <v>0</v>
      </c>
      <c r="ALA84" s="79">
        <f t="shared" si="71"/>
        <v>0</v>
      </c>
      <c r="ALB84" s="79">
        <f t="shared" si="71"/>
        <v>0</v>
      </c>
      <c r="ALC84" s="79">
        <f t="shared" si="71"/>
        <v>0</v>
      </c>
      <c r="ALD84" s="79">
        <f t="shared" si="71"/>
        <v>0</v>
      </c>
      <c r="ALE84" s="145" t="s">
        <v>96</v>
      </c>
      <c r="ALH84" s="79">
        <f>ALH18+ALH24+ALH29+ALH30</f>
        <v>0</v>
      </c>
      <c r="ALI84" s="79">
        <f t="shared" si="71"/>
        <v>0</v>
      </c>
      <c r="ALJ84" s="79">
        <f t="shared" si="71"/>
        <v>0</v>
      </c>
      <c r="ALK84" s="79">
        <f t="shared" si="71"/>
        <v>0</v>
      </c>
      <c r="ALL84" s="79">
        <f t="shared" si="71"/>
        <v>0</v>
      </c>
      <c r="ALM84" s="79">
        <f t="shared" si="71"/>
        <v>0</v>
      </c>
      <c r="ALN84" s="79">
        <f t="shared" si="71"/>
        <v>0</v>
      </c>
      <c r="ALO84" s="79">
        <f t="shared" si="71"/>
        <v>0</v>
      </c>
      <c r="ALP84" s="79">
        <f t="shared" si="71"/>
        <v>0</v>
      </c>
      <c r="ALQ84" s="79">
        <f t="shared" si="71"/>
        <v>0</v>
      </c>
      <c r="ALR84" s="79">
        <f t="shared" si="71"/>
        <v>0</v>
      </c>
      <c r="ALS84" s="79">
        <f t="shared" si="71"/>
        <v>0</v>
      </c>
      <c r="ALT84" s="79">
        <f t="shared" si="71"/>
        <v>0</v>
      </c>
      <c r="ALU84" s="145" t="s">
        <v>96</v>
      </c>
      <c r="ALX84" s="79">
        <f>ALX18+ALX24+ALX29+ALX30</f>
        <v>0</v>
      </c>
      <c r="ALY84" s="79">
        <f t="shared" si="71"/>
        <v>0</v>
      </c>
      <c r="ALZ84" s="79">
        <f t="shared" si="71"/>
        <v>0</v>
      </c>
      <c r="AMA84" s="79">
        <f t="shared" si="71"/>
        <v>0</v>
      </c>
      <c r="AMB84" s="79">
        <f t="shared" si="71"/>
        <v>0</v>
      </c>
      <c r="AMC84" s="79">
        <f t="shared" si="71"/>
        <v>0</v>
      </c>
      <c r="AMD84" s="79">
        <f t="shared" si="71"/>
        <v>0</v>
      </c>
      <c r="AME84" s="79">
        <f t="shared" si="71"/>
        <v>0</v>
      </c>
      <c r="AMF84" s="79">
        <f t="shared" si="71"/>
        <v>0</v>
      </c>
      <c r="AMG84" s="79">
        <f t="shared" si="71"/>
        <v>0</v>
      </c>
      <c r="AMH84" s="79">
        <f t="shared" si="71"/>
        <v>0</v>
      </c>
      <c r="AMI84" s="79">
        <f t="shared" si="71"/>
        <v>0</v>
      </c>
      <c r="AMJ84" s="79">
        <f t="shared" si="71"/>
        <v>0</v>
      </c>
      <c r="AMK84" s="145" t="s">
        <v>96</v>
      </c>
      <c r="AMN84" s="79">
        <f>AMN18+AMN24+AMN29+AMN30</f>
        <v>0</v>
      </c>
      <c r="AMO84" s="79">
        <f t="shared" ref="AMO84:AOV84" si="72">AMO18+AMO24+AMO29+AMO30</f>
        <v>0</v>
      </c>
      <c r="AMP84" s="79">
        <f t="shared" si="72"/>
        <v>0</v>
      </c>
      <c r="AMQ84" s="79">
        <f t="shared" si="72"/>
        <v>0</v>
      </c>
      <c r="AMR84" s="79">
        <f t="shared" si="72"/>
        <v>0</v>
      </c>
      <c r="AMS84" s="79">
        <f t="shared" si="72"/>
        <v>0</v>
      </c>
      <c r="AMT84" s="79">
        <f t="shared" si="72"/>
        <v>0</v>
      </c>
      <c r="AMU84" s="79">
        <f t="shared" si="72"/>
        <v>0</v>
      </c>
      <c r="AMV84" s="79">
        <f t="shared" si="72"/>
        <v>0</v>
      </c>
      <c r="AMW84" s="79">
        <f t="shared" si="72"/>
        <v>0</v>
      </c>
      <c r="AMX84" s="79">
        <f t="shared" si="72"/>
        <v>0</v>
      </c>
      <c r="AMY84" s="79">
        <f t="shared" si="72"/>
        <v>0</v>
      </c>
      <c r="AMZ84" s="79">
        <f t="shared" si="72"/>
        <v>0</v>
      </c>
      <c r="ANA84" s="145" t="s">
        <v>96</v>
      </c>
      <c r="AND84" s="79">
        <f>AND18+AND24+AND29+AND30</f>
        <v>0</v>
      </c>
      <c r="ANE84" s="79">
        <f t="shared" si="72"/>
        <v>0</v>
      </c>
      <c r="ANF84" s="79">
        <f t="shared" si="72"/>
        <v>0</v>
      </c>
      <c r="ANG84" s="79">
        <f t="shared" si="72"/>
        <v>0</v>
      </c>
      <c r="ANH84" s="79">
        <f t="shared" si="72"/>
        <v>0</v>
      </c>
      <c r="ANI84" s="79">
        <f t="shared" si="72"/>
        <v>0</v>
      </c>
      <c r="ANJ84" s="79">
        <f t="shared" si="72"/>
        <v>0</v>
      </c>
      <c r="ANK84" s="79">
        <f t="shared" si="72"/>
        <v>0</v>
      </c>
      <c r="ANL84" s="79">
        <f t="shared" si="72"/>
        <v>0</v>
      </c>
      <c r="ANM84" s="79">
        <f t="shared" si="72"/>
        <v>0</v>
      </c>
      <c r="ANN84" s="79">
        <f t="shared" si="72"/>
        <v>0</v>
      </c>
      <c r="ANO84" s="79">
        <f t="shared" si="72"/>
        <v>0</v>
      </c>
      <c r="ANP84" s="79">
        <f t="shared" si="72"/>
        <v>0</v>
      </c>
      <c r="ANQ84" s="145" t="s">
        <v>96</v>
      </c>
      <c r="ANT84" s="79">
        <f>ANT18+ANT24+ANT29+ANT30</f>
        <v>0</v>
      </c>
      <c r="ANU84" s="79">
        <f t="shared" si="72"/>
        <v>0</v>
      </c>
      <c r="ANV84" s="79">
        <f t="shared" si="72"/>
        <v>0</v>
      </c>
      <c r="ANW84" s="79">
        <f t="shared" si="72"/>
        <v>0</v>
      </c>
      <c r="ANX84" s="79">
        <f t="shared" si="72"/>
        <v>0</v>
      </c>
      <c r="ANY84" s="79">
        <f t="shared" si="72"/>
        <v>0</v>
      </c>
      <c r="ANZ84" s="79">
        <f t="shared" si="72"/>
        <v>0</v>
      </c>
      <c r="AOA84" s="79">
        <f t="shared" si="72"/>
        <v>0</v>
      </c>
      <c r="AOB84" s="79">
        <f t="shared" si="72"/>
        <v>0</v>
      </c>
      <c r="AOC84" s="79">
        <f t="shared" si="72"/>
        <v>0</v>
      </c>
      <c r="AOD84" s="79">
        <f t="shared" si="72"/>
        <v>0</v>
      </c>
      <c r="AOE84" s="79">
        <f t="shared" si="72"/>
        <v>0</v>
      </c>
      <c r="AOF84" s="79">
        <f t="shared" si="72"/>
        <v>0</v>
      </c>
      <c r="AOG84" s="145" t="s">
        <v>96</v>
      </c>
      <c r="AOJ84" s="79">
        <f>AOJ18+AOJ24+AOJ29+AOJ30</f>
        <v>0</v>
      </c>
      <c r="AOK84" s="79">
        <f t="shared" si="72"/>
        <v>0</v>
      </c>
      <c r="AOL84" s="79">
        <f t="shared" si="72"/>
        <v>0</v>
      </c>
      <c r="AOM84" s="79">
        <f t="shared" si="72"/>
        <v>0</v>
      </c>
      <c r="AON84" s="79">
        <f t="shared" si="72"/>
        <v>0</v>
      </c>
      <c r="AOO84" s="79">
        <f t="shared" si="72"/>
        <v>0</v>
      </c>
      <c r="AOP84" s="79">
        <f t="shared" si="72"/>
        <v>0</v>
      </c>
      <c r="AOQ84" s="79">
        <f t="shared" si="72"/>
        <v>0</v>
      </c>
      <c r="AOR84" s="79">
        <f t="shared" si="72"/>
        <v>0</v>
      </c>
      <c r="AOS84" s="79">
        <f t="shared" si="72"/>
        <v>0</v>
      </c>
      <c r="AOT84" s="79">
        <f t="shared" si="72"/>
        <v>0</v>
      </c>
      <c r="AOU84" s="79">
        <f t="shared" si="72"/>
        <v>0</v>
      </c>
      <c r="AOV84" s="79">
        <f t="shared" si="72"/>
        <v>0</v>
      </c>
      <c r="AOW84" s="145" t="s">
        <v>96</v>
      </c>
      <c r="AOZ84" s="79">
        <f>AOZ18+AOZ24+AOZ29+AOZ30</f>
        <v>0</v>
      </c>
      <c r="APA84" s="79">
        <f t="shared" ref="APA84:ARH84" si="73">APA18+APA24+APA29+APA30</f>
        <v>0</v>
      </c>
      <c r="APB84" s="79">
        <f t="shared" si="73"/>
        <v>0</v>
      </c>
      <c r="APC84" s="79">
        <f t="shared" si="73"/>
        <v>0</v>
      </c>
      <c r="APD84" s="79">
        <f t="shared" si="73"/>
        <v>0</v>
      </c>
      <c r="APE84" s="79">
        <f t="shared" si="73"/>
        <v>0</v>
      </c>
      <c r="APF84" s="79">
        <f t="shared" si="73"/>
        <v>0</v>
      </c>
      <c r="APG84" s="79">
        <f t="shared" si="73"/>
        <v>0</v>
      </c>
      <c r="APH84" s="79">
        <f t="shared" si="73"/>
        <v>0</v>
      </c>
      <c r="API84" s="79">
        <f t="shared" si="73"/>
        <v>0</v>
      </c>
      <c r="APJ84" s="79">
        <f t="shared" si="73"/>
        <v>0</v>
      </c>
      <c r="APK84" s="79">
        <f t="shared" si="73"/>
        <v>0</v>
      </c>
      <c r="APL84" s="79">
        <f t="shared" si="73"/>
        <v>0</v>
      </c>
      <c r="APM84" s="145" t="s">
        <v>96</v>
      </c>
      <c r="APP84" s="79">
        <f>APP18+APP24+APP29+APP30</f>
        <v>0</v>
      </c>
      <c r="APQ84" s="79">
        <f t="shared" si="73"/>
        <v>0</v>
      </c>
      <c r="APR84" s="79">
        <f t="shared" si="73"/>
        <v>0</v>
      </c>
      <c r="APS84" s="79">
        <f t="shared" si="73"/>
        <v>0</v>
      </c>
      <c r="APT84" s="79">
        <f t="shared" si="73"/>
        <v>0</v>
      </c>
      <c r="APU84" s="79">
        <f t="shared" si="73"/>
        <v>0</v>
      </c>
      <c r="APV84" s="79">
        <f t="shared" si="73"/>
        <v>0</v>
      </c>
      <c r="APW84" s="79">
        <f t="shared" si="73"/>
        <v>0</v>
      </c>
      <c r="APX84" s="79">
        <f t="shared" si="73"/>
        <v>0</v>
      </c>
      <c r="APY84" s="79">
        <f t="shared" si="73"/>
        <v>0</v>
      </c>
      <c r="APZ84" s="79">
        <f t="shared" si="73"/>
        <v>0</v>
      </c>
      <c r="AQA84" s="79">
        <f t="shared" si="73"/>
        <v>0</v>
      </c>
      <c r="AQB84" s="79">
        <f t="shared" si="73"/>
        <v>0</v>
      </c>
      <c r="AQC84" s="145" t="s">
        <v>96</v>
      </c>
      <c r="AQF84" s="79">
        <f>AQF18+AQF24+AQF29+AQF30</f>
        <v>0</v>
      </c>
      <c r="AQG84" s="79">
        <f t="shared" si="73"/>
        <v>0</v>
      </c>
      <c r="AQH84" s="79">
        <f t="shared" si="73"/>
        <v>0</v>
      </c>
      <c r="AQI84" s="79">
        <f t="shared" si="73"/>
        <v>0</v>
      </c>
      <c r="AQJ84" s="79">
        <f t="shared" si="73"/>
        <v>0</v>
      </c>
      <c r="AQK84" s="79">
        <f t="shared" si="73"/>
        <v>0</v>
      </c>
      <c r="AQL84" s="79">
        <f t="shared" si="73"/>
        <v>0</v>
      </c>
      <c r="AQM84" s="79">
        <f t="shared" si="73"/>
        <v>0</v>
      </c>
      <c r="AQN84" s="79">
        <f t="shared" si="73"/>
        <v>0</v>
      </c>
      <c r="AQO84" s="79">
        <f t="shared" si="73"/>
        <v>0</v>
      </c>
      <c r="AQP84" s="79">
        <f t="shared" si="73"/>
        <v>0</v>
      </c>
      <c r="AQQ84" s="79">
        <f t="shared" si="73"/>
        <v>0</v>
      </c>
      <c r="AQR84" s="79">
        <f t="shared" si="73"/>
        <v>0</v>
      </c>
      <c r="AQS84" s="145" t="s">
        <v>96</v>
      </c>
      <c r="AQV84" s="79">
        <f>AQV18+AQV24+AQV29+AQV30</f>
        <v>0</v>
      </c>
      <c r="AQW84" s="79">
        <f t="shared" si="73"/>
        <v>0</v>
      </c>
      <c r="AQX84" s="79">
        <f t="shared" si="73"/>
        <v>0</v>
      </c>
      <c r="AQY84" s="79">
        <f t="shared" si="73"/>
        <v>0</v>
      </c>
      <c r="AQZ84" s="79">
        <f t="shared" si="73"/>
        <v>0</v>
      </c>
      <c r="ARA84" s="79">
        <f t="shared" si="73"/>
        <v>0</v>
      </c>
      <c r="ARB84" s="79">
        <f t="shared" si="73"/>
        <v>0</v>
      </c>
      <c r="ARC84" s="79">
        <f t="shared" si="73"/>
        <v>0</v>
      </c>
      <c r="ARD84" s="79">
        <f t="shared" si="73"/>
        <v>0</v>
      </c>
      <c r="ARE84" s="79">
        <f t="shared" si="73"/>
        <v>0</v>
      </c>
      <c r="ARF84" s="79">
        <f t="shared" si="73"/>
        <v>0</v>
      </c>
      <c r="ARG84" s="79">
        <f t="shared" si="73"/>
        <v>0</v>
      </c>
      <c r="ARH84" s="79">
        <f t="shared" si="73"/>
        <v>0</v>
      </c>
      <c r="ARI84" s="145" t="s">
        <v>96</v>
      </c>
      <c r="ARL84" s="79">
        <f>ARL18+ARL24+ARL29+ARL30</f>
        <v>0</v>
      </c>
      <c r="ARM84" s="79">
        <f t="shared" ref="ARM84:ATT84" si="74">ARM18+ARM24+ARM29+ARM30</f>
        <v>0</v>
      </c>
      <c r="ARN84" s="79">
        <f t="shared" si="74"/>
        <v>0</v>
      </c>
      <c r="ARO84" s="79">
        <f t="shared" si="74"/>
        <v>0</v>
      </c>
      <c r="ARP84" s="79">
        <f t="shared" si="74"/>
        <v>0</v>
      </c>
      <c r="ARQ84" s="79">
        <f t="shared" si="74"/>
        <v>0</v>
      </c>
      <c r="ARR84" s="79">
        <f t="shared" si="74"/>
        <v>0</v>
      </c>
      <c r="ARS84" s="79">
        <f t="shared" si="74"/>
        <v>0</v>
      </c>
      <c r="ART84" s="79">
        <f t="shared" si="74"/>
        <v>0</v>
      </c>
      <c r="ARU84" s="79">
        <f t="shared" si="74"/>
        <v>0</v>
      </c>
      <c r="ARV84" s="79">
        <f t="shared" si="74"/>
        <v>0</v>
      </c>
      <c r="ARW84" s="79">
        <f t="shared" si="74"/>
        <v>0</v>
      </c>
      <c r="ARX84" s="79">
        <f t="shared" si="74"/>
        <v>0</v>
      </c>
      <c r="ARY84" s="145" t="s">
        <v>96</v>
      </c>
      <c r="ASB84" s="79">
        <f>ASB18+ASB24+ASB29+ASB30</f>
        <v>0</v>
      </c>
      <c r="ASC84" s="79">
        <f t="shared" si="74"/>
        <v>0</v>
      </c>
      <c r="ASD84" s="79">
        <f t="shared" si="74"/>
        <v>0</v>
      </c>
      <c r="ASE84" s="79">
        <f t="shared" si="74"/>
        <v>0</v>
      </c>
      <c r="ASF84" s="79">
        <f t="shared" si="74"/>
        <v>0</v>
      </c>
      <c r="ASG84" s="79">
        <f t="shared" si="74"/>
        <v>0</v>
      </c>
      <c r="ASH84" s="79">
        <f t="shared" si="74"/>
        <v>0</v>
      </c>
      <c r="ASI84" s="79">
        <f t="shared" si="74"/>
        <v>0</v>
      </c>
      <c r="ASJ84" s="79">
        <f t="shared" si="74"/>
        <v>0</v>
      </c>
      <c r="ASK84" s="79">
        <f t="shared" si="74"/>
        <v>0</v>
      </c>
      <c r="ASL84" s="79">
        <f t="shared" si="74"/>
        <v>0</v>
      </c>
      <c r="ASM84" s="79">
        <f t="shared" si="74"/>
        <v>0</v>
      </c>
      <c r="ASN84" s="79">
        <f t="shared" si="74"/>
        <v>0</v>
      </c>
      <c r="ASO84" s="145" t="s">
        <v>96</v>
      </c>
      <c r="ASR84" s="79">
        <f>ASR18+ASR24+ASR29+ASR30</f>
        <v>0</v>
      </c>
      <c r="ASS84" s="79">
        <f t="shared" si="74"/>
        <v>0</v>
      </c>
      <c r="AST84" s="79">
        <f t="shared" si="74"/>
        <v>0</v>
      </c>
      <c r="ASU84" s="79">
        <f t="shared" si="74"/>
        <v>0</v>
      </c>
      <c r="ASV84" s="79">
        <f t="shared" si="74"/>
        <v>0</v>
      </c>
      <c r="ASW84" s="79">
        <f t="shared" si="74"/>
        <v>0</v>
      </c>
      <c r="ASX84" s="79">
        <f t="shared" si="74"/>
        <v>0</v>
      </c>
      <c r="ASY84" s="79">
        <f t="shared" si="74"/>
        <v>0</v>
      </c>
      <c r="ASZ84" s="79">
        <f t="shared" si="74"/>
        <v>0</v>
      </c>
      <c r="ATA84" s="79">
        <f t="shared" si="74"/>
        <v>0</v>
      </c>
      <c r="ATB84" s="79">
        <f t="shared" si="74"/>
        <v>0</v>
      </c>
      <c r="ATC84" s="79">
        <f t="shared" si="74"/>
        <v>0</v>
      </c>
      <c r="ATD84" s="79">
        <f t="shared" si="74"/>
        <v>0</v>
      </c>
      <c r="ATE84" s="145" t="s">
        <v>96</v>
      </c>
      <c r="ATH84" s="79">
        <f>ATH18+ATH24+ATH29+ATH30</f>
        <v>0</v>
      </c>
      <c r="ATI84" s="79">
        <f t="shared" si="74"/>
        <v>0</v>
      </c>
      <c r="ATJ84" s="79">
        <f t="shared" si="74"/>
        <v>0</v>
      </c>
      <c r="ATK84" s="79">
        <f t="shared" si="74"/>
        <v>0</v>
      </c>
      <c r="ATL84" s="79">
        <f t="shared" si="74"/>
        <v>0</v>
      </c>
      <c r="ATM84" s="79">
        <f t="shared" si="74"/>
        <v>0</v>
      </c>
      <c r="ATN84" s="79">
        <f t="shared" si="74"/>
        <v>0</v>
      </c>
      <c r="ATO84" s="79">
        <f t="shared" si="74"/>
        <v>0</v>
      </c>
      <c r="ATP84" s="79">
        <f t="shared" si="74"/>
        <v>0</v>
      </c>
      <c r="ATQ84" s="79">
        <f t="shared" si="74"/>
        <v>0</v>
      </c>
      <c r="ATR84" s="79">
        <f t="shared" si="74"/>
        <v>0</v>
      </c>
      <c r="ATS84" s="79">
        <f t="shared" si="74"/>
        <v>0</v>
      </c>
      <c r="ATT84" s="79">
        <f t="shared" si="74"/>
        <v>0</v>
      </c>
      <c r="ATU84" s="145" t="s">
        <v>96</v>
      </c>
      <c r="ATX84" s="79">
        <f>ATX18+ATX24+ATX29+ATX30</f>
        <v>0</v>
      </c>
      <c r="ATY84" s="79">
        <f t="shared" ref="ATY84:AWF84" si="75">ATY18+ATY24+ATY29+ATY30</f>
        <v>0</v>
      </c>
      <c r="ATZ84" s="79">
        <f t="shared" si="75"/>
        <v>0</v>
      </c>
      <c r="AUA84" s="79">
        <f t="shared" si="75"/>
        <v>0</v>
      </c>
      <c r="AUB84" s="79">
        <f t="shared" si="75"/>
        <v>0</v>
      </c>
      <c r="AUC84" s="79">
        <f t="shared" si="75"/>
        <v>0</v>
      </c>
      <c r="AUD84" s="79">
        <f t="shared" si="75"/>
        <v>0</v>
      </c>
      <c r="AUE84" s="79">
        <f t="shared" si="75"/>
        <v>0</v>
      </c>
      <c r="AUF84" s="79">
        <f t="shared" si="75"/>
        <v>0</v>
      </c>
      <c r="AUG84" s="79">
        <f t="shared" si="75"/>
        <v>0</v>
      </c>
      <c r="AUH84" s="79">
        <f t="shared" si="75"/>
        <v>0</v>
      </c>
      <c r="AUI84" s="79">
        <f t="shared" si="75"/>
        <v>0</v>
      </c>
      <c r="AUJ84" s="79">
        <f t="shared" si="75"/>
        <v>0</v>
      </c>
      <c r="AUK84" s="145" t="s">
        <v>96</v>
      </c>
      <c r="AUN84" s="79">
        <f>AUN18+AUN24+AUN29+AUN30</f>
        <v>0</v>
      </c>
      <c r="AUO84" s="79">
        <f t="shared" si="75"/>
        <v>0</v>
      </c>
      <c r="AUP84" s="79">
        <f t="shared" si="75"/>
        <v>0</v>
      </c>
      <c r="AUQ84" s="79">
        <f t="shared" si="75"/>
        <v>0</v>
      </c>
      <c r="AUR84" s="79">
        <f t="shared" si="75"/>
        <v>0</v>
      </c>
      <c r="AUS84" s="79">
        <f t="shared" si="75"/>
        <v>0</v>
      </c>
      <c r="AUT84" s="79">
        <f t="shared" si="75"/>
        <v>0</v>
      </c>
      <c r="AUU84" s="79">
        <f t="shared" si="75"/>
        <v>0</v>
      </c>
      <c r="AUV84" s="79">
        <f t="shared" si="75"/>
        <v>0</v>
      </c>
      <c r="AUW84" s="79">
        <f t="shared" si="75"/>
        <v>0</v>
      </c>
      <c r="AUX84" s="79">
        <f t="shared" si="75"/>
        <v>0</v>
      </c>
      <c r="AUY84" s="79">
        <f t="shared" si="75"/>
        <v>0</v>
      </c>
      <c r="AUZ84" s="79">
        <f t="shared" si="75"/>
        <v>0</v>
      </c>
      <c r="AVA84" s="145" t="s">
        <v>96</v>
      </c>
      <c r="AVD84" s="79">
        <f>AVD18+AVD24+AVD29+AVD30</f>
        <v>0</v>
      </c>
      <c r="AVE84" s="79">
        <f t="shared" si="75"/>
        <v>0</v>
      </c>
      <c r="AVF84" s="79">
        <f t="shared" si="75"/>
        <v>0</v>
      </c>
      <c r="AVG84" s="79">
        <f t="shared" si="75"/>
        <v>0</v>
      </c>
      <c r="AVH84" s="79">
        <f t="shared" si="75"/>
        <v>0</v>
      </c>
      <c r="AVI84" s="79">
        <f t="shared" si="75"/>
        <v>0</v>
      </c>
      <c r="AVJ84" s="79">
        <f t="shared" si="75"/>
        <v>0</v>
      </c>
      <c r="AVK84" s="79">
        <f t="shared" si="75"/>
        <v>0</v>
      </c>
      <c r="AVL84" s="79">
        <f t="shared" si="75"/>
        <v>0</v>
      </c>
      <c r="AVM84" s="79">
        <f t="shared" si="75"/>
        <v>0</v>
      </c>
      <c r="AVN84" s="79">
        <f t="shared" si="75"/>
        <v>0</v>
      </c>
      <c r="AVO84" s="79">
        <f t="shared" si="75"/>
        <v>0</v>
      </c>
      <c r="AVP84" s="79">
        <f t="shared" si="75"/>
        <v>0</v>
      </c>
      <c r="AVQ84" s="145" t="s">
        <v>96</v>
      </c>
      <c r="AVT84" s="79">
        <f>AVT18+AVT24+AVT29+AVT30</f>
        <v>0</v>
      </c>
      <c r="AVU84" s="79">
        <f t="shared" si="75"/>
        <v>0</v>
      </c>
      <c r="AVV84" s="79">
        <f t="shared" si="75"/>
        <v>0</v>
      </c>
      <c r="AVW84" s="79">
        <f t="shared" si="75"/>
        <v>0</v>
      </c>
      <c r="AVX84" s="79">
        <f t="shared" si="75"/>
        <v>0</v>
      </c>
      <c r="AVY84" s="79">
        <f t="shared" si="75"/>
        <v>0</v>
      </c>
      <c r="AVZ84" s="79">
        <f t="shared" si="75"/>
        <v>0</v>
      </c>
      <c r="AWA84" s="79">
        <f t="shared" si="75"/>
        <v>0</v>
      </c>
      <c r="AWB84" s="79">
        <f t="shared" si="75"/>
        <v>0</v>
      </c>
      <c r="AWC84" s="79">
        <f t="shared" si="75"/>
        <v>0</v>
      </c>
      <c r="AWD84" s="79">
        <f t="shared" si="75"/>
        <v>0</v>
      </c>
      <c r="AWE84" s="79">
        <f t="shared" si="75"/>
        <v>0</v>
      </c>
      <c r="AWF84" s="79">
        <f t="shared" si="75"/>
        <v>0</v>
      </c>
      <c r="AWG84" s="145" t="s">
        <v>96</v>
      </c>
      <c r="AWJ84" s="79">
        <f>AWJ18+AWJ24+AWJ29+AWJ30</f>
        <v>0</v>
      </c>
      <c r="AWK84" s="79">
        <f t="shared" ref="AWK84:AYR84" si="76">AWK18+AWK24+AWK29+AWK30</f>
        <v>0</v>
      </c>
      <c r="AWL84" s="79">
        <f t="shared" si="76"/>
        <v>0</v>
      </c>
      <c r="AWM84" s="79">
        <f t="shared" si="76"/>
        <v>0</v>
      </c>
      <c r="AWN84" s="79">
        <f t="shared" si="76"/>
        <v>0</v>
      </c>
      <c r="AWO84" s="79">
        <f t="shared" si="76"/>
        <v>0</v>
      </c>
      <c r="AWP84" s="79">
        <f t="shared" si="76"/>
        <v>0</v>
      </c>
      <c r="AWQ84" s="79">
        <f t="shared" si="76"/>
        <v>0</v>
      </c>
      <c r="AWR84" s="79">
        <f t="shared" si="76"/>
        <v>0</v>
      </c>
      <c r="AWS84" s="79">
        <f t="shared" si="76"/>
        <v>0</v>
      </c>
      <c r="AWT84" s="79">
        <f t="shared" si="76"/>
        <v>0</v>
      </c>
      <c r="AWU84" s="79">
        <f t="shared" si="76"/>
        <v>0</v>
      </c>
      <c r="AWV84" s="79">
        <f t="shared" si="76"/>
        <v>0</v>
      </c>
      <c r="AWW84" s="145" t="s">
        <v>96</v>
      </c>
      <c r="AWZ84" s="79">
        <f>AWZ18+AWZ24+AWZ29+AWZ30</f>
        <v>0</v>
      </c>
      <c r="AXA84" s="79">
        <f t="shared" si="76"/>
        <v>0</v>
      </c>
      <c r="AXB84" s="79">
        <f t="shared" si="76"/>
        <v>0</v>
      </c>
      <c r="AXC84" s="79">
        <f t="shared" si="76"/>
        <v>0</v>
      </c>
      <c r="AXD84" s="79">
        <f t="shared" si="76"/>
        <v>0</v>
      </c>
      <c r="AXE84" s="79">
        <f t="shared" si="76"/>
        <v>0</v>
      </c>
      <c r="AXF84" s="79">
        <f t="shared" si="76"/>
        <v>0</v>
      </c>
      <c r="AXG84" s="79">
        <f t="shared" si="76"/>
        <v>0</v>
      </c>
      <c r="AXH84" s="79">
        <f t="shared" si="76"/>
        <v>0</v>
      </c>
      <c r="AXI84" s="79">
        <f t="shared" si="76"/>
        <v>0</v>
      </c>
      <c r="AXJ84" s="79">
        <f t="shared" si="76"/>
        <v>0</v>
      </c>
      <c r="AXK84" s="79">
        <f t="shared" si="76"/>
        <v>0</v>
      </c>
      <c r="AXL84" s="79">
        <f t="shared" si="76"/>
        <v>0</v>
      </c>
      <c r="AXM84" s="145" t="s">
        <v>96</v>
      </c>
      <c r="AXP84" s="79">
        <f>AXP18+AXP24+AXP29+AXP30</f>
        <v>0</v>
      </c>
      <c r="AXQ84" s="79">
        <f t="shared" si="76"/>
        <v>0</v>
      </c>
      <c r="AXR84" s="79">
        <f t="shared" si="76"/>
        <v>0</v>
      </c>
      <c r="AXS84" s="79">
        <f t="shared" si="76"/>
        <v>0</v>
      </c>
      <c r="AXT84" s="79">
        <f t="shared" si="76"/>
        <v>0</v>
      </c>
      <c r="AXU84" s="79">
        <f t="shared" si="76"/>
        <v>0</v>
      </c>
      <c r="AXV84" s="79">
        <f t="shared" si="76"/>
        <v>0</v>
      </c>
      <c r="AXW84" s="79">
        <f t="shared" si="76"/>
        <v>0</v>
      </c>
      <c r="AXX84" s="79">
        <f t="shared" si="76"/>
        <v>0</v>
      </c>
      <c r="AXY84" s="79">
        <f t="shared" si="76"/>
        <v>0</v>
      </c>
      <c r="AXZ84" s="79">
        <f t="shared" si="76"/>
        <v>0</v>
      </c>
      <c r="AYA84" s="79">
        <f t="shared" si="76"/>
        <v>0</v>
      </c>
      <c r="AYB84" s="79">
        <f t="shared" si="76"/>
        <v>0</v>
      </c>
      <c r="AYC84" s="145" t="s">
        <v>96</v>
      </c>
      <c r="AYF84" s="79">
        <f>AYF18+AYF24+AYF29+AYF30</f>
        <v>0</v>
      </c>
      <c r="AYG84" s="79">
        <f t="shared" si="76"/>
        <v>0</v>
      </c>
      <c r="AYH84" s="79">
        <f t="shared" si="76"/>
        <v>0</v>
      </c>
      <c r="AYI84" s="79">
        <f t="shared" si="76"/>
        <v>0</v>
      </c>
      <c r="AYJ84" s="79">
        <f t="shared" si="76"/>
        <v>0</v>
      </c>
      <c r="AYK84" s="79">
        <f t="shared" si="76"/>
        <v>0</v>
      </c>
      <c r="AYL84" s="79">
        <f t="shared" si="76"/>
        <v>0</v>
      </c>
      <c r="AYM84" s="79">
        <f t="shared" si="76"/>
        <v>0</v>
      </c>
      <c r="AYN84" s="79">
        <f t="shared" si="76"/>
        <v>0</v>
      </c>
      <c r="AYO84" s="79">
        <f t="shared" si="76"/>
        <v>0</v>
      </c>
      <c r="AYP84" s="79">
        <f t="shared" si="76"/>
        <v>0</v>
      </c>
      <c r="AYQ84" s="79">
        <f t="shared" si="76"/>
        <v>0</v>
      </c>
      <c r="AYR84" s="79">
        <f t="shared" si="76"/>
        <v>0</v>
      </c>
      <c r="AYS84" s="145" t="s">
        <v>96</v>
      </c>
      <c r="AYV84" s="79">
        <f>AYV18+AYV24+AYV29+AYV30</f>
        <v>0</v>
      </c>
      <c r="AYW84" s="79">
        <f t="shared" ref="AYW84:BBD84" si="77">AYW18+AYW24+AYW29+AYW30</f>
        <v>0</v>
      </c>
      <c r="AYX84" s="79">
        <f t="shared" si="77"/>
        <v>0</v>
      </c>
      <c r="AYY84" s="79">
        <f t="shared" si="77"/>
        <v>0</v>
      </c>
      <c r="AYZ84" s="79">
        <f t="shared" si="77"/>
        <v>0</v>
      </c>
      <c r="AZA84" s="79">
        <f t="shared" si="77"/>
        <v>0</v>
      </c>
      <c r="AZB84" s="79">
        <f t="shared" si="77"/>
        <v>0</v>
      </c>
      <c r="AZC84" s="79">
        <f t="shared" si="77"/>
        <v>0</v>
      </c>
      <c r="AZD84" s="79">
        <f t="shared" si="77"/>
        <v>0</v>
      </c>
      <c r="AZE84" s="79">
        <f t="shared" si="77"/>
        <v>0</v>
      </c>
      <c r="AZF84" s="79">
        <f t="shared" si="77"/>
        <v>0</v>
      </c>
      <c r="AZG84" s="79">
        <f t="shared" si="77"/>
        <v>0</v>
      </c>
      <c r="AZH84" s="79">
        <f t="shared" si="77"/>
        <v>0</v>
      </c>
      <c r="AZI84" s="145" t="s">
        <v>96</v>
      </c>
      <c r="AZL84" s="79">
        <f>AZL18+AZL24+AZL29+AZL30</f>
        <v>0</v>
      </c>
      <c r="AZM84" s="79">
        <f t="shared" si="77"/>
        <v>0</v>
      </c>
      <c r="AZN84" s="79">
        <f t="shared" si="77"/>
        <v>0</v>
      </c>
      <c r="AZO84" s="79">
        <f t="shared" si="77"/>
        <v>0</v>
      </c>
      <c r="AZP84" s="79">
        <f t="shared" si="77"/>
        <v>0</v>
      </c>
      <c r="AZQ84" s="79">
        <f t="shared" si="77"/>
        <v>0</v>
      </c>
      <c r="AZR84" s="79">
        <f t="shared" si="77"/>
        <v>0</v>
      </c>
      <c r="AZS84" s="79">
        <f t="shared" si="77"/>
        <v>0</v>
      </c>
      <c r="AZT84" s="79">
        <f t="shared" si="77"/>
        <v>0</v>
      </c>
      <c r="AZU84" s="79">
        <f t="shared" si="77"/>
        <v>0</v>
      </c>
      <c r="AZV84" s="79">
        <f t="shared" si="77"/>
        <v>0</v>
      </c>
      <c r="AZW84" s="79">
        <f t="shared" si="77"/>
        <v>0</v>
      </c>
      <c r="AZX84" s="79">
        <f t="shared" si="77"/>
        <v>0</v>
      </c>
      <c r="AZY84" s="145" t="s">
        <v>96</v>
      </c>
      <c r="BAB84" s="79">
        <f>BAB18+BAB24+BAB29+BAB30</f>
        <v>0</v>
      </c>
      <c r="BAC84" s="79">
        <f t="shared" si="77"/>
        <v>0</v>
      </c>
      <c r="BAD84" s="79">
        <f t="shared" si="77"/>
        <v>0</v>
      </c>
      <c r="BAE84" s="79">
        <f t="shared" si="77"/>
        <v>0</v>
      </c>
      <c r="BAF84" s="79">
        <f t="shared" si="77"/>
        <v>0</v>
      </c>
      <c r="BAG84" s="79">
        <f t="shared" si="77"/>
        <v>0</v>
      </c>
      <c r="BAH84" s="79">
        <f t="shared" si="77"/>
        <v>0</v>
      </c>
      <c r="BAI84" s="79">
        <f t="shared" si="77"/>
        <v>0</v>
      </c>
      <c r="BAJ84" s="79">
        <f t="shared" si="77"/>
        <v>0</v>
      </c>
      <c r="BAK84" s="79">
        <f t="shared" si="77"/>
        <v>0</v>
      </c>
      <c r="BAL84" s="79">
        <f t="shared" si="77"/>
        <v>0</v>
      </c>
      <c r="BAM84" s="79">
        <f t="shared" si="77"/>
        <v>0</v>
      </c>
      <c r="BAN84" s="79">
        <f t="shared" si="77"/>
        <v>0</v>
      </c>
      <c r="BAO84" s="145" t="s">
        <v>96</v>
      </c>
      <c r="BAR84" s="79">
        <f>BAR18+BAR24+BAR29+BAR30</f>
        <v>0</v>
      </c>
      <c r="BAS84" s="79">
        <f t="shared" si="77"/>
        <v>0</v>
      </c>
      <c r="BAT84" s="79">
        <f t="shared" si="77"/>
        <v>0</v>
      </c>
      <c r="BAU84" s="79">
        <f t="shared" si="77"/>
        <v>0</v>
      </c>
      <c r="BAV84" s="79">
        <f t="shared" si="77"/>
        <v>0</v>
      </c>
      <c r="BAW84" s="79">
        <f t="shared" si="77"/>
        <v>0</v>
      </c>
      <c r="BAX84" s="79">
        <f t="shared" si="77"/>
        <v>0</v>
      </c>
      <c r="BAY84" s="79">
        <f t="shared" si="77"/>
        <v>0</v>
      </c>
      <c r="BAZ84" s="79">
        <f t="shared" si="77"/>
        <v>0</v>
      </c>
      <c r="BBA84" s="79">
        <f t="shared" si="77"/>
        <v>0</v>
      </c>
      <c r="BBB84" s="79">
        <f t="shared" si="77"/>
        <v>0</v>
      </c>
      <c r="BBC84" s="79">
        <f t="shared" si="77"/>
        <v>0</v>
      </c>
      <c r="BBD84" s="79">
        <f t="shared" si="77"/>
        <v>0</v>
      </c>
      <c r="BBE84" s="145" t="s">
        <v>96</v>
      </c>
      <c r="BBH84" s="79">
        <f>BBH18+BBH24+BBH29+BBH30</f>
        <v>0</v>
      </c>
      <c r="BBI84" s="79">
        <f t="shared" ref="BBI84:BDP84" si="78">BBI18+BBI24+BBI29+BBI30</f>
        <v>0</v>
      </c>
      <c r="BBJ84" s="79">
        <f t="shared" si="78"/>
        <v>0</v>
      </c>
      <c r="BBK84" s="79">
        <f t="shared" si="78"/>
        <v>0</v>
      </c>
      <c r="BBL84" s="79">
        <f t="shared" si="78"/>
        <v>0</v>
      </c>
      <c r="BBM84" s="79">
        <f t="shared" si="78"/>
        <v>0</v>
      </c>
      <c r="BBN84" s="79">
        <f t="shared" si="78"/>
        <v>0</v>
      </c>
      <c r="BBO84" s="79">
        <f t="shared" si="78"/>
        <v>0</v>
      </c>
      <c r="BBP84" s="79">
        <f t="shared" si="78"/>
        <v>0</v>
      </c>
      <c r="BBQ84" s="79">
        <f t="shared" si="78"/>
        <v>0</v>
      </c>
      <c r="BBR84" s="79">
        <f t="shared" si="78"/>
        <v>0</v>
      </c>
      <c r="BBS84" s="79">
        <f t="shared" si="78"/>
        <v>0</v>
      </c>
      <c r="BBT84" s="79">
        <f t="shared" si="78"/>
        <v>0</v>
      </c>
      <c r="BBU84" s="145" t="s">
        <v>96</v>
      </c>
      <c r="BBX84" s="79">
        <f>BBX18+BBX24+BBX29+BBX30</f>
        <v>0</v>
      </c>
      <c r="BBY84" s="79">
        <f t="shared" si="78"/>
        <v>0</v>
      </c>
      <c r="BBZ84" s="79">
        <f t="shared" si="78"/>
        <v>0</v>
      </c>
      <c r="BCA84" s="79">
        <f t="shared" si="78"/>
        <v>0</v>
      </c>
      <c r="BCB84" s="79">
        <f t="shared" si="78"/>
        <v>0</v>
      </c>
      <c r="BCC84" s="79">
        <f t="shared" si="78"/>
        <v>0</v>
      </c>
      <c r="BCD84" s="79">
        <f t="shared" si="78"/>
        <v>0</v>
      </c>
      <c r="BCE84" s="79">
        <f t="shared" si="78"/>
        <v>0</v>
      </c>
      <c r="BCF84" s="79">
        <f t="shared" si="78"/>
        <v>0</v>
      </c>
      <c r="BCG84" s="79">
        <f t="shared" si="78"/>
        <v>0</v>
      </c>
      <c r="BCH84" s="79">
        <f t="shared" si="78"/>
        <v>0</v>
      </c>
      <c r="BCI84" s="79">
        <f t="shared" si="78"/>
        <v>0</v>
      </c>
      <c r="BCJ84" s="79">
        <f t="shared" si="78"/>
        <v>0</v>
      </c>
      <c r="BCK84" s="145" t="s">
        <v>96</v>
      </c>
      <c r="BCN84" s="79">
        <f>BCN18+BCN24+BCN29+BCN30</f>
        <v>0</v>
      </c>
      <c r="BCO84" s="79">
        <f t="shared" si="78"/>
        <v>0</v>
      </c>
      <c r="BCP84" s="79">
        <f t="shared" si="78"/>
        <v>0</v>
      </c>
      <c r="BCQ84" s="79">
        <f t="shared" si="78"/>
        <v>0</v>
      </c>
      <c r="BCR84" s="79">
        <f t="shared" si="78"/>
        <v>0</v>
      </c>
      <c r="BCS84" s="79">
        <f t="shared" si="78"/>
        <v>0</v>
      </c>
      <c r="BCT84" s="79">
        <f t="shared" si="78"/>
        <v>0</v>
      </c>
      <c r="BCU84" s="79">
        <f t="shared" si="78"/>
        <v>0</v>
      </c>
      <c r="BCV84" s="79">
        <f t="shared" si="78"/>
        <v>0</v>
      </c>
      <c r="BCW84" s="79">
        <f t="shared" si="78"/>
        <v>0</v>
      </c>
      <c r="BCX84" s="79">
        <f t="shared" si="78"/>
        <v>0</v>
      </c>
      <c r="BCY84" s="79">
        <f t="shared" si="78"/>
        <v>0</v>
      </c>
      <c r="BCZ84" s="79">
        <f t="shared" si="78"/>
        <v>0</v>
      </c>
      <c r="BDA84" s="145" t="s">
        <v>96</v>
      </c>
      <c r="BDD84" s="79">
        <f>BDD18+BDD24+BDD29+BDD30</f>
        <v>0</v>
      </c>
      <c r="BDE84" s="79">
        <f t="shared" si="78"/>
        <v>0</v>
      </c>
      <c r="BDF84" s="79">
        <f t="shared" si="78"/>
        <v>0</v>
      </c>
      <c r="BDG84" s="79">
        <f t="shared" si="78"/>
        <v>0</v>
      </c>
      <c r="BDH84" s="79">
        <f t="shared" si="78"/>
        <v>0</v>
      </c>
      <c r="BDI84" s="79">
        <f t="shared" si="78"/>
        <v>0</v>
      </c>
      <c r="BDJ84" s="79">
        <f t="shared" si="78"/>
        <v>0</v>
      </c>
      <c r="BDK84" s="79">
        <f t="shared" si="78"/>
        <v>0</v>
      </c>
      <c r="BDL84" s="79">
        <f t="shared" si="78"/>
        <v>0</v>
      </c>
      <c r="BDM84" s="79">
        <f t="shared" si="78"/>
        <v>0</v>
      </c>
      <c r="BDN84" s="79">
        <f t="shared" si="78"/>
        <v>0</v>
      </c>
      <c r="BDO84" s="79">
        <f t="shared" si="78"/>
        <v>0</v>
      </c>
      <c r="BDP84" s="79">
        <f t="shared" si="78"/>
        <v>0</v>
      </c>
      <c r="BDQ84" s="145" t="s">
        <v>96</v>
      </c>
      <c r="BDT84" s="79">
        <f>BDT18+BDT24+BDT29+BDT30</f>
        <v>0</v>
      </c>
      <c r="BDU84" s="79">
        <f t="shared" ref="BDU84:BGB84" si="79">BDU18+BDU24+BDU29+BDU30</f>
        <v>0</v>
      </c>
      <c r="BDV84" s="79">
        <f t="shared" si="79"/>
        <v>0</v>
      </c>
      <c r="BDW84" s="79">
        <f t="shared" si="79"/>
        <v>0</v>
      </c>
      <c r="BDX84" s="79">
        <f t="shared" si="79"/>
        <v>0</v>
      </c>
      <c r="BDY84" s="79">
        <f t="shared" si="79"/>
        <v>0</v>
      </c>
      <c r="BDZ84" s="79">
        <f t="shared" si="79"/>
        <v>0</v>
      </c>
      <c r="BEA84" s="79">
        <f t="shared" si="79"/>
        <v>0</v>
      </c>
      <c r="BEB84" s="79">
        <f t="shared" si="79"/>
        <v>0</v>
      </c>
      <c r="BEC84" s="79">
        <f t="shared" si="79"/>
        <v>0</v>
      </c>
      <c r="BED84" s="79">
        <f t="shared" si="79"/>
        <v>0</v>
      </c>
      <c r="BEE84" s="79">
        <f t="shared" si="79"/>
        <v>0</v>
      </c>
      <c r="BEF84" s="79">
        <f t="shared" si="79"/>
        <v>0</v>
      </c>
      <c r="BEG84" s="145" t="s">
        <v>96</v>
      </c>
      <c r="BEJ84" s="79">
        <f>BEJ18+BEJ24+BEJ29+BEJ30</f>
        <v>0</v>
      </c>
      <c r="BEK84" s="79">
        <f t="shared" si="79"/>
        <v>0</v>
      </c>
      <c r="BEL84" s="79">
        <f t="shared" si="79"/>
        <v>0</v>
      </c>
      <c r="BEM84" s="79">
        <f t="shared" si="79"/>
        <v>0</v>
      </c>
      <c r="BEN84" s="79">
        <f t="shared" si="79"/>
        <v>0</v>
      </c>
      <c r="BEO84" s="79">
        <f t="shared" si="79"/>
        <v>0</v>
      </c>
      <c r="BEP84" s="79">
        <f t="shared" si="79"/>
        <v>0</v>
      </c>
      <c r="BEQ84" s="79">
        <f t="shared" si="79"/>
        <v>0</v>
      </c>
      <c r="BER84" s="79">
        <f t="shared" si="79"/>
        <v>0</v>
      </c>
      <c r="BES84" s="79">
        <f t="shared" si="79"/>
        <v>0</v>
      </c>
      <c r="BET84" s="79">
        <f t="shared" si="79"/>
        <v>0</v>
      </c>
      <c r="BEU84" s="79">
        <f t="shared" si="79"/>
        <v>0</v>
      </c>
      <c r="BEV84" s="79">
        <f t="shared" si="79"/>
        <v>0</v>
      </c>
      <c r="BEW84" s="145" t="s">
        <v>96</v>
      </c>
      <c r="BEZ84" s="79">
        <f>BEZ18+BEZ24+BEZ29+BEZ30</f>
        <v>0</v>
      </c>
      <c r="BFA84" s="79">
        <f t="shared" si="79"/>
        <v>0</v>
      </c>
      <c r="BFB84" s="79">
        <f t="shared" si="79"/>
        <v>0</v>
      </c>
      <c r="BFC84" s="79">
        <f t="shared" si="79"/>
        <v>0</v>
      </c>
      <c r="BFD84" s="79">
        <f t="shared" si="79"/>
        <v>0</v>
      </c>
      <c r="BFE84" s="79">
        <f t="shared" si="79"/>
        <v>0</v>
      </c>
      <c r="BFF84" s="79">
        <f t="shared" si="79"/>
        <v>0</v>
      </c>
      <c r="BFG84" s="79">
        <f t="shared" si="79"/>
        <v>0</v>
      </c>
      <c r="BFH84" s="79">
        <f t="shared" si="79"/>
        <v>0</v>
      </c>
      <c r="BFI84" s="79">
        <f t="shared" si="79"/>
        <v>0</v>
      </c>
      <c r="BFJ84" s="79">
        <f t="shared" si="79"/>
        <v>0</v>
      </c>
      <c r="BFK84" s="79">
        <f t="shared" si="79"/>
        <v>0</v>
      </c>
      <c r="BFL84" s="79">
        <f t="shared" si="79"/>
        <v>0</v>
      </c>
      <c r="BFM84" s="145" t="s">
        <v>96</v>
      </c>
      <c r="BFP84" s="79">
        <f>BFP18+BFP24+BFP29+BFP30</f>
        <v>0</v>
      </c>
      <c r="BFQ84" s="79">
        <f t="shared" si="79"/>
        <v>0</v>
      </c>
      <c r="BFR84" s="79">
        <f t="shared" si="79"/>
        <v>0</v>
      </c>
      <c r="BFS84" s="79">
        <f t="shared" si="79"/>
        <v>0</v>
      </c>
      <c r="BFT84" s="79">
        <f t="shared" si="79"/>
        <v>0</v>
      </c>
      <c r="BFU84" s="79">
        <f t="shared" si="79"/>
        <v>0</v>
      </c>
      <c r="BFV84" s="79">
        <f t="shared" si="79"/>
        <v>0</v>
      </c>
      <c r="BFW84" s="79">
        <f t="shared" si="79"/>
        <v>0</v>
      </c>
      <c r="BFX84" s="79">
        <f t="shared" si="79"/>
        <v>0</v>
      </c>
      <c r="BFY84" s="79">
        <f t="shared" si="79"/>
        <v>0</v>
      </c>
      <c r="BFZ84" s="79">
        <f t="shared" si="79"/>
        <v>0</v>
      </c>
      <c r="BGA84" s="79">
        <f t="shared" si="79"/>
        <v>0</v>
      </c>
      <c r="BGB84" s="79">
        <f t="shared" si="79"/>
        <v>0</v>
      </c>
      <c r="BGC84" s="145" t="s">
        <v>96</v>
      </c>
      <c r="BGF84" s="79">
        <f>BGF18+BGF24+BGF29+BGF30</f>
        <v>0</v>
      </c>
      <c r="BGG84" s="79">
        <f t="shared" ref="BGG84:BIN84" si="80">BGG18+BGG24+BGG29+BGG30</f>
        <v>0</v>
      </c>
      <c r="BGH84" s="79">
        <f t="shared" si="80"/>
        <v>0</v>
      </c>
      <c r="BGI84" s="79">
        <f t="shared" si="80"/>
        <v>0</v>
      </c>
      <c r="BGJ84" s="79">
        <f t="shared" si="80"/>
        <v>0</v>
      </c>
      <c r="BGK84" s="79">
        <f t="shared" si="80"/>
        <v>0</v>
      </c>
      <c r="BGL84" s="79">
        <f t="shared" si="80"/>
        <v>0</v>
      </c>
      <c r="BGM84" s="79">
        <f t="shared" si="80"/>
        <v>0</v>
      </c>
      <c r="BGN84" s="79">
        <f t="shared" si="80"/>
        <v>0</v>
      </c>
      <c r="BGO84" s="79">
        <f t="shared" si="80"/>
        <v>0</v>
      </c>
      <c r="BGP84" s="79">
        <f t="shared" si="80"/>
        <v>0</v>
      </c>
      <c r="BGQ84" s="79">
        <f t="shared" si="80"/>
        <v>0</v>
      </c>
      <c r="BGR84" s="79">
        <f t="shared" si="80"/>
        <v>0</v>
      </c>
      <c r="BGS84" s="145" t="s">
        <v>96</v>
      </c>
      <c r="BGV84" s="79">
        <f>BGV18+BGV24+BGV29+BGV30</f>
        <v>0</v>
      </c>
      <c r="BGW84" s="79">
        <f t="shared" si="80"/>
        <v>0</v>
      </c>
      <c r="BGX84" s="79">
        <f t="shared" si="80"/>
        <v>0</v>
      </c>
      <c r="BGY84" s="79">
        <f t="shared" si="80"/>
        <v>0</v>
      </c>
      <c r="BGZ84" s="79">
        <f t="shared" si="80"/>
        <v>0</v>
      </c>
      <c r="BHA84" s="79">
        <f t="shared" si="80"/>
        <v>0</v>
      </c>
      <c r="BHB84" s="79">
        <f t="shared" si="80"/>
        <v>0</v>
      </c>
      <c r="BHC84" s="79">
        <f t="shared" si="80"/>
        <v>0</v>
      </c>
      <c r="BHD84" s="79">
        <f t="shared" si="80"/>
        <v>0</v>
      </c>
      <c r="BHE84" s="79">
        <f t="shared" si="80"/>
        <v>0</v>
      </c>
      <c r="BHF84" s="79">
        <f t="shared" si="80"/>
        <v>0</v>
      </c>
      <c r="BHG84" s="79">
        <f t="shared" si="80"/>
        <v>0</v>
      </c>
      <c r="BHH84" s="79">
        <f t="shared" si="80"/>
        <v>0</v>
      </c>
      <c r="BHI84" s="145" t="s">
        <v>96</v>
      </c>
      <c r="BHL84" s="79">
        <f>BHL18+BHL24+BHL29+BHL30</f>
        <v>0</v>
      </c>
      <c r="BHM84" s="79">
        <f t="shared" si="80"/>
        <v>0</v>
      </c>
      <c r="BHN84" s="79">
        <f t="shared" si="80"/>
        <v>0</v>
      </c>
      <c r="BHO84" s="79">
        <f t="shared" si="80"/>
        <v>0</v>
      </c>
      <c r="BHP84" s="79">
        <f t="shared" si="80"/>
        <v>0</v>
      </c>
      <c r="BHQ84" s="79">
        <f t="shared" si="80"/>
        <v>0</v>
      </c>
      <c r="BHR84" s="79">
        <f t="shared" si="80"/>
        <v>0</v>
      </c>
      <c r="BHS84" s="79">
        <f t="shared" si="80"/>
        <v>0</v>
      </c>
      <c r="BHT84" s="79">
        <f t="shared" si="80"/>
        <v>0</v>
      </c>
      <c r="BHU84" s="79">
        <f t="shared" si="80"/>
        <v>0</v>
      </c>
      <c r="BHV84" s="79">
        <f t="shared" si="80"/>
        <v>0</v>
      </c>
      <c r="BHW84" s="79">
        <f t="shared" si="80"/>
        <v>0</v>
      </c>
      <c r="BHX84" s="79">
        <f t="shared" si="80"/>
        <v>0</v>
      </c>
      <c r="BHY84" s="145" t="s">
        <v>96</v>
      </c>
      <c r="BIB84" s="79">
        <f>BIB18+BIB24+BIB29+BIB30</f>
        <v>0</v>
      </c>
      <c r="BIC84" s="79">
        <f t="shared" si="80"/>
        <v>0</v>
      </c>
      <c r="BID84" s="79">
        <f t="shared" si="80"/>
        <v>0</v>
      </c>
      <c r="BIE84" s="79">
        <f t="shared" si="80"/>
        <v>0</v>
      </c>
      <c r="BIF84" s="79">
        <f t="shared" si="80"/>
        <v>0</v>
      </c>
      <c r="BIG84" s="79">
        <f t="shared" si="80"/>
        <v>0</v>
      </c>
      <c r="BIH84" s="79">
        <f t="shared" si="80"/>
        <v>0</v>
      </c>
      <c r="BII84" s="79">
        <f t="shared" si="80"/>
        <v>0</v>
      </c>
      <c r="BIJ84" s="79">
        <f t="shared" si="80"/>
        <v>0</v>
      </c>
      <c r="BIK84" s="79">
        <f t="shared" si="80"/>
        <v>0</v>
      </c>
      <c r="BIL84" s="79">
        <f t="shared" si="80"/>
        <v>0</v>
      </c>
      <c r="BIM84" s="79">
        <f t="shared" si="80"/>
        <v>0</v>
      </c>
      <c r="BIN84" s="79">
        <f t="shared" si="80"/>
        <v>0</v>
      </c>
      <c r="BIO84" s="145" t="s">
        <v>96</v>
      </c>
      <c r="BIR84" s="79">
        <f>BIR18+BIR24+BIR29+BIR30</f>
        <v>0</v>
      </c>
      <c r="BIS84" s="79">
        <f t="shared" ref="BIS84:BKZ84" si="81">BIS18+BIS24+BIS29+BIS30</f>
        <v>0</v>
      </c>
      <c r="BIT84" s="79">
        <f t="shared" si="81"/>
        <v>0</v>
      </c>
      <c r="BIU84" s="79">
        <f t="shared" si="81"/>
        <v>0</v>
      </c>
      <c r="BIV84" s="79">
        <f t="shared" si="81"/>
        <v>0</v>
      </c>
      <c r="BIW84" s="79">
        <f t="shared" si="81"/>
        <v>0</v>
      </c>
      <c r="BIX84" s="79">
        <f t="shared" si="81"/>
        <v>0</v>
      </c>
      <c r="BIY84" s="79">
        <f t="shared" si="81"/>
        <v>0</v>
      </c>
      <c r="BIZ84" s="79">
        <f t="shared" si="81"/>
        <v>0</v>
      </c>
      <c r="BJA84" s="79">
        <f t="shared" si="81"/>
        <v>0</v>
      </c>
      <c r="BJB84" s="79">
        <f t="shared" si="81"/>
        <v>0</v>
      </c>
      <c r="BJC84" s="79">
        <f t="shared" si="81"/>
        <v>0</v>
      </c>
      <c r="BJD84" s="79">
        <f t="shared" si="81"/>
        <v>0</v>
      </c>
      <c r="BJE84" s="145" t="s">
        <v>96</v>
      </c>
      <c r="BJH84" s="79">
        <f>BJH18+BJH24+BJH29+BJH30</f>
        <v>0</v>
      </c>
      <c r="BJI84" s="79">
        <f t="shared" si="81"/>
        <v>0</v>
      </c>
      <c r="BJJ84" s="79">
        <f t="shared" si="81"/>
        <v>0</v>
      </c>
      <c r="BJK84" s="79">
        <f t="shared" si="81"/>
        <v>0</v>
      </c>
      <c r="BJL84" s="79">
        <f t="shared" si="81"/>
        <v>0</v>
      </c>
      <c r="BJM84" s="79">
        <f t="shared" si="81"/>
        <v>0</v>
      </c>
      <c r="BJN84" s="79">
        <f t="shared" si="81"/>
        <v>0</v>
      </c>
      <c r="BJO84" s="79">
        <f t="shared" si="81"/>
        <v>0</v>
      </c>
      <c r="BJP84" s="79">
        <f t="shared" si="81"/>
        <v>0</v>
      </c>
      <c r="BJQ84" s="79">
        <f t="shared" si="81"/>
        <v>0</v>
      </c>
      <c r="BJR84" s="79">
        <f t="shared" si="81"/>
        <v>0</v>
      </c>
      <c r="BJS84" s="79">
        <f t="shared" si="81"/>
        <v>0</v>
      </c>
      <c r="BJT84" s="79">
        <f t="shared" si="81"/>
        <v>0</v>
      </c>
      <c r="BJU84" s="145" t="s">
        <v>96</v>
      </c>
      <c r="BJX84" s="79">
        <f>BJX18+BJX24+BJX29+BJX30</f>
        <v>0</v>
      </c>
      <c r="BJY84" s="79">
        <f t="shared" si="81"/>
        <v>0</v>
      </c>
      <c r="BJZ84" s="79">
        <f t="shared" si="81"/>
        <v>0</v>
      </c>
      <c r="BKA84" s="79">
        <f t="shared" si="81"/>
        <v>0</v>
      </c>
      <c r="BKB84" s="79">
        <f t="shared" si="81"/>
        <v>0</v>
      </c>
      <c r="BKC84" s="79">
        <f t="shared" si="81"/>
        <v>0</v>
      </c>
      <c r="BKD84" s="79">
        <f t="shared" si="81"/>
        <v>0</v>
      </c>
      <c r="BKE84" s="79">
        <f t="shared" si="81"/>
        <v>0</v>
      </c>
      <c r="BKF84" s="79">
        <f t="shared" si="81"/>
        <v>0</v>
      </c>
      <c r="BKG84" s="79">
        <f t="shared" si="81"/>
        <v>0</v>
      </c>
      <c r="BKH84" s="79">
        <f t="shared" si="81"/>
        <v>0</v>
      </c>
      <c r="BKI84" s="79">
        <f t="shared" si="81"/>
        <v>0</v>
      </c>
      <c r="BKJ84" s="79">
        <f t="shared" si="81"/>
        <v>0</v>
      </c>
      <c r="BKK84" s="145" t="s">
        <v>96</v>
      </c>
      <c r="BKN84" s="79">
        <f>BKN18+BKN24+BKN29+BKN30</f>
        <v>0</v>
      </c>
      <c r="BKO84" s="79">
        <f t="shared" si="81"/>
        <v>0</v>
      </c>
      <c r="BKP84" s="79">
        <f t="shared" si="81"/>
        <v>0</v>
      </c>
      <c r="BKQ84" s="79">
        <f t="shared" si="81"/>
        <v>0</v>
      </c>
      <c r="BKR84" s="79">
        <f t="shared" si="81"/>
        <v>0</v>
      </c>
      <c r="BKS84" s="79">
        <f t="shared" si="81"/>
        <v>0</v>
      </c>
      <c r="BKT84" s="79">
        <f t="shared" si="81"/>
        <v>0</v>
      </c>
      <c r="BKU84" s="79">
        <f t="shared" si="81"/>
        <v>0</v>
      </c>
      <c r="BKV84" s="79">
        <f t="shared" si="81"/>
        <v>0</v>
      </c>
      <c r="BKW84" s="79">
        <f t="shared" si="81"/>
        <v>0</v>
      </c>
      <c r="BKX84" s="79">
        <f t="shared" si="81"/>
        <v>0</v>
      </c>
      <c r="BKY84" s="79">
        <f t="shared" si="81"/>
        <v>0</v>
      </c>
      <c r="BKZ84" s="79">
        <f t="shared" si="81"/>
        <v>0</v>
      </c>
      <c r="BLA84" s="145" t="s">
        <v>96</v>
      </c>
      <c r="BLD84" s="79">
        <f>BLD18+BLD24+BLD29+BLD30</f>
        <v>0</v>
      </c>
      <c r="BLE84" s="79">
        <f t="shared" ref="BLE84:BNL84" si="82">BLE18+BLE24+BLE29+BLE30</f>
        <v>0</v>
      </c>
      <c r="BLF84" s="79">
        <f t="shared" si="82"/>
        <v>0</v>
      </c>
      <c r="BLG84" s="79">
        <f t="shared" si="82"/>
        <v>0</v>
      </c>
      <c r="BLH84" s="79">
        <f t="shared" si="82"/>
        <v>0</v>
      </c>
      <c r="BLI84" s="79">
        <f t="shared" si="82"/>
        <v>0</v>
      </c>
      <c r="BLJ84" s="79">
        <f t="shared" si="82"/>
        <v>0</v>
      </c>
      <c r="BLK84" s="79">
        <f t="shared" si="82"/>
        <v>0</v>
      </c>
      <c r="BLL84" s="79">
        <f t="shared" si="82"/>
        <v>0</v>
      </c>
      <c r="BLM84" s="79">
        <f t="shared" si="82"/>
        <v>0</v>
      </c>
      <c r="BLN84" s="79">
        <f t="shared" si="82"/>
        <v>0</v>
      </c>
      <c r="BLO84" s="79">
        <f t="shared" si="82"/>
        <v>0</v>
      </c>
      <c r="BLP84" s="79">
        <f t="shared" si="82"/>
        <v>0</v>
      </c>
      <c r="BLQ84" s="145" t="s">
        <v>96</v>
      </c>
      <c r="BLT84" s="79">
        <f>BLT18+BLT24+BLT29+BLT30</f>
        <v>0</v>
      </c>
      <c r="BLU84" s="79">
        <f t="shared" si="82"/>
        <v>0</v>
      </c>
      <c r="BLV84" s="79">
        <f t="shared" si="82"/>
        <v>0</v>
      </c>
      <c r="BLW84" s="79">
        <f t="shared" si="82"/>
        <v>0</v>
      </c>
      <c r="BLX84" s="79">
        <f t="shared" si="82"/>
        <v>0</v>
      </c>
      <c r="BLY84" s="79">
        <f t="shared" si="82"/>
        <v>0</v>
      </c>
      <c r="BLZ84" s="79">
        <f t="shared" si="82"/>
        <v>0</v>
      </c>
      <c r="BMA84" s="79">
        <f t="shared" si="82"/>
        <v>0</v>
      </c>
      <c r="BMB84" s="79">
        <f t="shared" si="82"/>
        <v>0</v>
      </c>
      <c r="BMC84" s="79">
        <f t="shared" si="82"/>
        <v>0</v>
      </c>
      <c r="BMD84" s="79">
        <f t="shared" si="82"/>
        <v>0</v>
      </c>
      <c r="BME84" s="79">
        <f t="shared" si="82"/>
        <v>0</v>
      </c>
      <c r="BMF84" s="79">
        <f t="shared" si="82"/>
        <v>0</v>
      </c>
      <c r="BMG84" s="145" t="s">
        <v>96</v>
      </c>
      <c r="BMJ84" s="79">
        <f>BMJ18+BMJ24+BMJ29+BMJ30</f>
        <v>0</v>
      </c>
      <c r="BMK84" s="79">
        <f t="shared" si="82"/>
        <v>0</v>
      </c>
      <c r="BML84" s="79">
        <f t="shared" si="82"/>
        <v>0</v>
      </c>
      <c r="BMM84" s="79">
        <f t="shared" si="82"/>
        <v>0</v>
      </c>
      <c r="BMN84" s="79">
        <f t="shared" si="82"/>
        <v>0</v>
      </c>
      <c r="BMO84" s="79">
        <f t="shared" si="82"/>
        <v>0</v>
      </c>
      <c r="BMP84" s="79">
        <f t="shared" si="82"/>
        <v>0</v>
      </c>
      <c r="BMQ84" s="79">
        <f t="shared" si="82"/>
        <v>0</v>
      </c>
      <c r="BMR84" s="79">
        <f t="shared" si="82"/>
        <v>0</v>
      </c>
      <c r="BMS84" s="79">
        <f t="shared" si="82"/>
        <v>0</v>
      </c>
      <c r="BMT84" s="79">
        <f t="shared" si="82"/>
        <v>0</v>
      </c>
      <c r="BMU84" s="79">
        <f t="shared" si="82"/>
        <v>0</v>
      </c>
      <c r="BMV84" s="79">
        <f t="shared" si="82"/>
        <v>0</v>
      </c>
      <c r="BMW84" s="145" t="s">
        <v>96</v>
      </c>
      <c r="BMZ84" s="79">
        <f>BMZ18+BMZ24+BMZ29+BMZ30</f>
        <v>0</v>
      </c>
      <c r="BNA84" s="79">
        <f t="shared" si="82"/>
        <v>0</v>
      </c>
      <c r="BNB84" s="79">
        <f t="shared" si="82"/>
        <v>0</v>
      </c>
      <c r="BNC84" s="79">
        <f t="shared" si="82"/>
        <v>0</v>
      </c>
      <c r="BND84" s="79">
        <f t="shared" si="82"/>
        <v>0</v>
      </c>
      <c r="BNE84" s="79">
        <f t="shared" si="82"/>
        <v>0</v>
      </c>
      <c r="BNF84" s="79">
        <f t="shared" si="82"/>
        <v>0</v>
      </c>
      <c r="BNG84" s="79">
        <f t="shared" si="82"/>
        <v>0</v>
      </c>
      <c r="BNH84" s="79">
        <f t="shared" si="82"/>
        <v>0</v>
      </c>
      <c r="BNI84" s="79">
        <f t="shared" si="82"/>
        <v>0</v>
      </c>
      <c r="BNJ84" s="79">
        <f t="shared" si="82"/>
        <v>0</v>
      </c>
      <c r="BNK84" s="79">
        <f t="shared" si="82"/>
        <v>0</v>
      </c>
      <c r="BNL84" s="79">
        <f t="shared" si="82"/>
        <v>0</v>
      </c>
      <c r="BNM84" s="145" t="s">
        <v>96</v>
      </c>
      <c r="BNP84" s="79">
        <f>BNP18+BNP24+BNP29+BNP30</f>
        <v>0</v>
      </c>
      <c r="BNQ84" s="79">
        <f t="shared" ref="BNQ84:BPX84" si="83">BNQ18+BNQ24+BNQ29+BNQ30</f>
        <v>0</v>
      </c>
      <c r="BNR84" s="79">
        <f t="shared" si="83"/>
        <v>0</v>
      </c>
      <c r="BNS84" s="79">
        <f t="shared" si="83"/>
        <v>0</v>
      </c>
      <c r="BNT84" s="79">
        <f t="shared" si="83"/>
        <v>0</v>
      </c>
      <c r="BNU84" s="79">
        <f t="shared" si="83"/>
        <v>0</v>
      </c>
      <c r="BNV84" s="79">
        <f t="shared" si="83"/>
        <v>0</v>
      </c>
      <c r="BNW84" s="79">
        <f t="shared" si="83"/>
        <v>0</v>
      </c>
      <c r="BNX84" s="79">
        <f t="shared" si="83"/>
        <v>0</v>
      </c>
      <c r="BNY84" s="79">
        <f t="shared" si="83"/>
        <v>0</v>
      </c>
      <c r="BNZ84" s="79">
        <f t="shared" si="83"/>
        <v>0</v>
      </c>
      <c r="BOA84" s="79">
        <f t="shared" si="83"/>
        <v>0</v>
      </c>
      <c r="BOB84" s="79">
        <f t="shared" si="83"/>
        <v>0</v>
      </c>
      <c r="BOC84" s="145" t="s">
        <v>96</v>
      </c>
      <c r="BOF84" s="79">
        <f>BOF18+BOF24+BOF29+BOF30</f>
        <v>0</v>
      </c>
      <c r="BOG84" s="79">
        <f t="shared" si="83"/>
        <v>0</v>
      </c>
      <c r="BOH84" s="79">
        <f t="shared" si="83"/>
        <v>0</v>
      </c>
      <c r="BOI84" s="79">
        <f t="shared" si="83"/>
        <v>0</v>
      </c>
      <c r="BOJ84" s="79">
        <f t="shared" si="83"/>
        <v>0</v>
      </c>
      <c r="BOK84" s="79">
        <f t="shared" si="83"/>
        <v>0</v>
      </c>
      <c r="BOL84" s="79">
        <f t="shared" si="83"/>
        <v>0</v>
      </c>
      <c r="BOM84" s="79">
        <f t="shared" si="83"/>
        <v>0</v>
      </c>
      <c r="BON84" s="79">
        <f t="shared" si="83"/>
        <v>0</v>
      </c>
      <c r="BOO84" s="79">
        <f t="shared" si="83"/>
        <v>0</v>
      </c>
      <c r="BOP84" s="79">
        <f t="shared" si="83"/>
        <v>0</v>
      </c>
      <c r="BOQ84" s="79">
        <f t="shared" si="83"/>
        <v>0</v>
      </c>
      <c r="BOR84" s="79">
        <f t="shared" si="83"/>
        <v>0</v>
      </c>
      <c r="BOS84" s="145" t="s">
        <v>96</v>
      </c>
      <c r="BOV84" s="79">
        <f>BOV18+BOV24+BOV29+BOV30</f>
        <v>0</v>
      </c>
      <c r="BOW84" s="79">
        <f t="shared" si="83"/>
        <v>0</v>
      </c>
      <c r="BOX84" s="79">
        <f t="shared" si="83"/>
        <v>0</v>
      </c>
      <c r="BOY84" s="79">
        <f t="shared" si="83"/>
        <v>0</v>
      </c>
      <c r="BOZ84" s="79">
        <f t="shared" si="83"/>
        <v>0</v>
      </c>
      <c r="BPA84" s="79">
        <f t="shared" si="83"/>
        <v>0</v>
      </c>
      <c r="BPB84" s="79">
        <f t="shared" si="83"/>
        <v>0</v>
      </c>
      <c r="BPC84" s="79">
        <f t="shared" si="83"/>
        <v>0</v>
      </c>
      <c r="BPD84" s="79">
        <f t="shared" si="83"/>
        <v>0</v>
      </c>
      <c r="BPE84" s="79">
        <f t="shared" si="83"/>
        <v>0</v>
      </c>
      <c r="BPF84" s="79">
        <f t="shared" si="83"/>
        <v>0</v>
      </c>
      <c r="BPG84" s="79">
        <f t="shared" si="83"/>
        <v>0</v>
      </c>
      <c r="BPH84" s="79">
        <f t="shared" si="83"/>
        <v>0</v>
      </c>
      <c r="BPI84" s="145" t="s">
        <v>96</v>
      </c>
      <c r="BPL84" s="79">
        <f>BPL18+BPL24+BPL29+BPL30</f>
        <v>0</v>
      </c>
      <c r="BPM84" s="79">
        <f t="shared" si="83"/>
        <v>0</v>
      </c>
      <c r="BPN84" s="79">
        <f t="shared" si="83"/>
        <v>0</v>
      </c>
      <c r="BPO84" s="79">
        <f t="shared" si="83"/>
        <v>0</v>
      </c>
      <c r="BPP84" s="79">
        <f t="shared" si="83"/>
        <v>0</v>
      </c>
      <c r="BPQ84" s="79">
        <f t="shared" si="83"/>
        <v>0</v>
      </c>
      <c r="BPR84" s="79">
        <f t="shared" si="83"/>
        <v>0</v>
      </c>
      <c r="BPS84" s="79">
        <f t="shared" si="83"/>
        <v>0</v>
      </c>
      <c r="BPT84" s="79">
        <f t="shared" si="83"/>
        <v>0</v>
      </c>
      <c r="BPU84" s="79">
        <f t="shared" si="83"/>
        <v>0</v>
      </c>
      <c r="BPV84" s="79">
        <f t="shared" si="83"/>
        <v>0</v>
      </c>
      <c r="BPW84" s="79">
        <f t="shared" si="83"/>
        <v>0</v>
      </c>
      <c r="BPX84" s="79">
        <f t="shared" si="83"/>
        <v>0</v>
      </c>
      <c r="BPY84" s="145" t="s">
        <v>96</v>
      </c>
      <c r="BQB84" s="79">
        <f>BQB18+BQB24+BQB29+BQB30</f>
        <v>0</v>
      </c>
      <c r="BQC84" s="79">
        <f t="shared" ref="BQC84:BSJ84" si="84">BQC18+BQC24+BQC29+BQC30</f>
        <v>0</v>
      </c>
      <c r="BQD84" s="79">
        <f t="shared" si="84"/>
        <v>0</v>
      </c>
      <c r="BQE84" s="79">
        <f t="shared" si="84"/>
        <v>0</v>
      </c>
      <c r="BQF84" s="79">
        <f t="shared" si="84"/>
        <v>0</v>
      </c>
      <c r="BQG84" s="79">
        <f t="shared" si="84"/>
        <v>0</v>
      </c>
      <c r="BQH84" s="79">
        <f t="shared" si="84"/>
        <v>0</v>
      </c>
      <c r="BQI84" s="79">
        <f t="shared" si="84"/>
        <v>0</v>
      </c>
      <c r="BQJ84" s="79">
        <f t="shared" si="84"/>
        <v>0</v>
      </c>
      <c r="BQK84" s="79">
        <f t="shared" si="84"/>
        <v>0</v>
      </c>
      <c r="BQL84" s="79">
        <f t="shared" si="84"/>
        <v>0</v>
      </c>
      <c r="BQM84" s="79">
        <f t="shared" si="84"/>
        <v>0</v>
      </c>
      <c r="BQN84" s="79">
        <f t="shared" si="84"/>
        <v>0</v>
      </c>
      <c r="BQO84" s="145" t="s">
        <v>96</v>
      </c>
      <c r="BQR84" s="79">
        <f>BQR18+BQR24+BQR29+BQR30</f>
        <v>0</v>
      </c>
      <c r="BQS84" s="79">
        <f t="shared" si="84"/>
        <v>0</v>
      </c>
      <c r="BQT84" s="79">
        <f t="shared" si="84"/>
        <v>0</v>
      </c>
      <c r="BQU84" s="79">
        <f t="shared" si="84"/>
        <v>0</v>
      </c>
      <c r="BQV84" s="79">
        <f t="shared" si="84"/>
        <v>0</v>
      </c>
      <c r="BQW84" s="79">
        <f t="shared" si="84"/>
        <v>0</v>
      </c>
      <c r="BQX84" s="79">
        <f t="shared" si="84"/>
        <v>0</v>
      </c>
      <c r="BQY84" s="79">
        <f t="shared" si="84"/>
        <v>0</v>
      </c>
      <c r="BQZ84" s="79">
        <f t="shared" si="84"/>
        <v>0</v>
      </c>
      <c r="BRA84" s="79">
        <f t="shared" si="84"/>
        <v>0</v>
      </c>
      <c r="BRB84" s="79">
        <f t="shared" si="84"/>
        <v>0</v>
      </c>
      <c r="BRC84" s="79">
        <f t="shared" si="84"/>
        <v>0</v>
      </c>
      <c r="BRD84" s="79">
        <f t="shared" si="84"/>
        <v>0</v>
      </c>
      <c r="BRE84" s="145" t="s">
        <v>96</v>
      </c>
      <c r="BRH84" s="79">
        <f>BRH18+BRH24+BRH29+BRH30</f>
        <v>0</v>
      </c>
      <c r="BRI84" s="79">
        <f t="shared" si="84"/>
        <v>0</v>
      </c>
      <c r="BRJ84" s="79">
        <f t="shared" si="84"/>
        <v>0</v>
      </c>
      <c r="BRK84" s="79">
        <f t="shared" si="84"/>
        <v>0</v>
      </c>
      <c r="BRL84" s="79">
        <f t="shared" si="84"/>
        <v>0</v>
      </c>
      <c r="BRM84" s="79">
        <f t="shared" si="84"/>
        <v>0</v>
      </c>
      <c r="BRN84" s="79">
        <f t="shared" si="84"/>
        <v>0</v>
      </c>
      <c r="BRO84" s="79">
        <f t="shared" si="84"/>
        <v>0</v>
      </c>
      <c r="BRP84" s="79">
        <f t="shared" si="84"/>
        <v>0</v>
      </c>
      <c r="BRQ84" s="79">
        <f t="shared" si="84"/>
        <v>0</v>
      </c>
      <c r="BRR84" s="79">
        <f t="shared" si="84"/>
        <v>0</v>
      </c>
      <c r="BRS84" s="79">
        <f t="shared" si="84"/>
        <v>0</v>
      </c>
      <c r="BRT84" s="79">
        <f t="shared" si="84"/>
        <v>0</v>
      </c>
      <c r="BRU84" s="145" t="s">
        <v>96</v>
      </c>
      <c r="BRX84" s="79">
        <f>BRX18+BRX24+BRX29+BRX30</f>
        <v>0</v>
      </c>
      <c r="BRY84" s="79">
        <f t="shared" si="84"/>
        <v>0</v>
      </c>
      <c r="BRZ84" s="79">
        <f t="shared" si="84"/>
        <v>0</v>
      </c>
      <c r="BSA84" s="79">
        <f t="shared" si="84"/>
        <v>0</v>
      </c>
      <c r="BSB84" s="79">
        <f t="shared" si="84"/>
        <v>0</v>
      </c>
      <c r="BSC84" s="79">
        <f t="shared" si="84"/>
        <v>0</v>
      </c>
      <c r="BSD84" s="79">
        <f t="shared" si="84"/>
        <v>0</v>
      </c>
      <c r="BSE84" s="79">
        <f t="shared" si="84"/>
        <v>0</v>
      </c>
      <c r="BSF84" s="79">
        <f t="shared" si="84"/>
        <v>0</v>
      </c>
      <c r="BSG84" s="79">
        <f t="shared" si="84"/>
        <v>0</v>
      </c>
      <c r="BSH84" s="79">
        <f t="shared" si="84"/>
        <v>0</v>
      </c>
      <c r="BSI84" s="79">
        <f t="shared" si="84"/>
        <v>0</v>
      </c>
      <c r="BSJ84" s="79">
        <f t="shared" si="84"/>
        <v>0</v>
      </c>
      <c r="BSK84" s="145" t="s">
        <v>96</v>
      </c>
      <c r="BSN84" s="79">
        <f>BSN18+BSN24+BSN29+BSN30</f>
        <v>0</v>
      </c>
      <c r="BSO84" s="79">
        <f t="shared" ref="BSO84:BUV84" si="85">BSO18+BSO24+BSO29+BSO30</f>
        <v>0</v>
      </c>
      <c r="BSP84" s="79">
        <f t="shared" si="85"/>
        <v>0</v>
      </c>
      <c r="BSQ84" s="79">
        <f t="shared" si="85"/>
        <v>0</v>
      </c>
      <c r="BSR84" s="79">
        <f t="shared" si="85"/>
        <v>0</v>
      </c>
      <c r="BSS84" s="79">
        <f t="shared" si="85"/>
        <v>0</v>
      </c>
      <c r="BST84" s="79">
        <f t="shared" si="85"/>
        <v>0</v>
      </c>
      <c r="BSU84" s="79">
        <f t="shared" si="85"/>
        <v>0</v>
      </c>
      <c r="BSV84" s="79">
        <f t="shared" si="85"/>
        <v>0</v>
      </c>
      <c r="BSW84" s="79">
        <f t="shared" si="85"/>
        <v>0</v>
      </c>
      <c r="BSX84" s="79">
        <f t="shared" si="85"/>
        <v>0</v>
      </c>
      <c r="BSY84" s="79">
        <f t="shared" si="85"/>
        <v>0</v>
      </c>
      <c r="BSZ84" s="79">
        <f t="shared" si="85"/>
        <v>0</v>
      </c>
      <c r="BTA84" s="145" t="s">
        <v>96</v>
      </c>
      <c r="BTD84" s="79">
        <f>BTD18+BTD24+BTD29+BTD30</f>
        <v>0</v>
      </c>
      <c r="BTE84" s="79">
        <f t="shared" si="85"/>
        <v>0</v>
      </c>
      <c r="BTF84" s="79">
        <f t="shared" si="85"/>
        <v>0</v>
      </c>
      <c r="BTG84" s="79">
        <f t="shared" si="85"/>
        <v>0</v>
      </c>
      <c r="BTH84" s="79">
        <f t="shared" si="85"/>
        <v>0</v>
      </c>
      <c r="BTI84" s="79">
        <f t="shared" si="85"/>
        <v>0</v>
      </c>
      <c r="BTJ84" s="79">
        <f t="shared" si="85"/>
        <v>0</v>
      </c>
      <c r="BTK84" s="79">
        <f t="shared" si="85"/>
        <v>0</v>
      </c>
      <c r="BTL84" s="79">
        <f t="shared" si="85"/>
        <v>0</v>
      </c>
      <c r="BTM84" s="79">
        <f t="shared" si="85"/>
        <v>0</v>
      </c>
      <c r="BTN84" s="79">
        <f t="shared" si="85"/>
        <v>0</v>
      </c>
      <c r="BTO84" s="79">
        <f t="shared" si="85"/>
        <v>0</v>
      </c>
      <c r="BTP84" s="79">
        <f t="shared" si="85"/>
        <v>0</v>
      </c>
      <c r="BTQ84" s="145" t="s">
        <v>96</v>
      </c>
      <c r="BTT84" s="79">
        <f>BTT18+BTT24+BTT29+BTT30</f>
        <v>0</v>
      </c>
      <c r="BTU84" s="79">
        <f t="shared" si="85"/>
        <v>0</v>
      </c>
      <c r="BTV84" s="79">
        <f t="shared" si="85"/>
        <v>0</v>
      </c>
      <c r="BTW84" s="79">
        <f t="shared" si="85"/>
        <v>0</v>
      </c>
      <c r="BTX84" s="79">
        <f t="shared" si="85"/>
        <v>0</v>
      </c>
      <c r="BTY84" s="79">
        <f t="shared" si="85"/>
        <v>0</v>
      </c>
      <c r="BTZ84" s="79">
        <f t="shared" si="85"/>
        <v>0</v>
      </c>
      <c r="BUA84" s="79">
        <f t="shared" si="85"/>
        <v>0</v>
      </c>
      <c r="BUB84" s="79">
        <f t="shared" si="85"/>
        <v>0</v>
      </c>
      <c r="BUC84" s="79">
        <f t="shared" si="85"/>
        <v>0</v>
      </c>
      <c r="BUD84" s="79">
        <f t="shared" si="85"/>
        <v>0</v>
      </c>
      <c r="BUE84" s="79">
        <f t="shared" si="85"/>
        <v>0</v>
      </c>
      <c r="BUF84" s="79">
        <f t="shared" si="85"/>
        <v>0</v>
      </c>
      <c r="BUG84" s="145" t="s">
        <v>96</v>
      </c>
      <c r="BUJ84" s="79">
        <f>BUJ18+BUJ24+BUJ29+BUJ30</f>
        <v>0</v>
      </c>
      <c r="BUK84" s="79">
        <f t="shared" si="85"/>
        <v>0</v>
      </c>
      <c r="BUL84" s="79">
        <f t="shared" si="85"/>
        <v>0</v>
      </c>
      <c r="BUM84" s="79">
        <f t="shared" si="85"/>
        <v>0</v>
      </c>
      <c r="BUN84" s="79">
        <f t="shared" si="85"/>
        <v>0</v>
      </c>
      <c r="BUO84" s="79">
        <f t="shared" si="85"/>
        <v>0</v>
      </c>
      <c r="BUP84" s="79">
        <f t="shared" si="85"/>
        <v>0</v>
      </c>
      <c r="BUQ84" s="79">
        <f t="shared" si="85"/>
        <v>0</v>
      </c>
      <c r="BUR84" s="79">
        <f t="shared" si="85"/>
        <v>0</v>
      </c>
      <c r="BUS84" s="79">
        <f t="shared" si="85"/>
        <v>0</v>
      </c>
      <c r="BUT84" s="79">
        <f t="shared" si="85"/>
        <v>0</v>
      </c>
      <c r="BUU84" s="79">
        <f t="shared" si="85"/>
        <v>0</v>
      </c>
      <c r="BUV84" s="79">
        <f t="shared" si="85"/>
        <v>0</v>
      </c>
      <c r="BUW84" s="145" t="s">
        <v>96</v>
      </c>
      <c r="BUZ84" s="79">
        <f>BUZ18+BUZ24+BUZ29+BUZ30</f>
        <v>0</v>
      </c>
      <c r="BVA84" s="79">
        <f t="shared" ref="BVA84:BXH84" si="86">BVA18+BVA24+BVA29+BVA30</f>
        <v>0</v>
      </c>
      <c r="BVB84" s="79">
        <f t="shared" si="86"/>
        <v>0</v>
      </c>
      <c r="BVC84" s="79">
        <f t="shared" si="86"/>
        <v>0</v>
      </c>
      <c r="BVD84" s="79">
        <f t="shared" si="86"/>
        <v>0</v>
      </c>
      <c r="BVE84" s="79">
        <f t="shared" si="86"/>
        <v>0</v>
      </c>
      <c r="BVF84" s="79">
        <f t="shared" si="86"/>
        <v>0</v>
      </c>
      <c r="BVG84" s="79">
        <f t="shared" si="86"/>
        <v>0</v>
      </c>
      <c r="BVH84" s="79">
        <f t="shared" si="86"/>
        <v>0</v>
      </c>
      <c r="BVI84" s="79">
        <f t="shared" si="86"/>
        <v>0</v>
      </c>
      <c r="BVJ84" s="79">
        <f t="shared" si="86"/>
        <v>0</v>
      </c>
      <c r="BVK84" s="79">
        <f t="shared" si="86"/>
        <v>0</v>
      </c>
      <c r="BVL84" s="79">
        <f t="shared" si="86"/>
        <v>0</v>
      </c>
      <c r="BVM84" s="145" t="s">
        <v>96</v>
      </c>
      <c r="BVP84" s="79">
        <f>BVP18+BVP24+BVP29+BVP30</f>
        <v>0</v>
      </c>
      <c r="BVQ84" s="79">
        <f t="shared" si="86"/>
        <v>0</v>
      </c>
      <c r="BVR84" s="79">
        <f t="shared" si="86"/>
        <v>0</v>
      </c>
      <c r="BVS84" s="79">
        <f t="shared" si="86"/>
        <v>0</v>
      </c>
      <c r="BVT84" s="79">
        <f t="shared" si="86"/>
        <v>0</v>
      </c>
      <c r="BVU84" s="79">
        <f t="shared" si="86"/>
        <v>0</v>
      </c>
      <c r="BVV84" s="79">
        <f t="shared" si="86"/>
        <v>0</v>
      </c>
      <c r="BVW84" s="79">
        <f t="shared" si="86"/>
        <v>0</v>
      </c>
      <c r="BVX84" s="79">
        <f t="shared" si="86"/>
        <v>0</v>
      </c>
      <c r="BVY84" s="79">
        <f t="shared" si="86"/>
        <v>0</v>
      </c>
      <c r="BVZ84" s="79">
        <f t="shared" si="86"/>
        <v>0</v>
      </c>
      <c r="BWA84" s="79">
        <f t="shared" si="86"/>
        <v>0</v>
      </c>
      <c r="BWB84" s="79">
        <f t="shared" si="86"/>
        <v>0</v>
      </c>
      <c r="BWC84" s="145" t="s">
        <v>96</v>
      </c>
      <c r="BWF84" s="79">
        <f>BWF18+BWF24+BWF29+BWF30</f>
        <v>0</v>
      </c>
      <c r="BWG84" s="79">
        <f t="shared" si="86"/>
        <v>0</v>
      </c>
      <c r="BWH84" s="79">
        <f t="shared" si="86"/>
        <v>0</v>
      </c>
      <c r="BWI84" s="79">
        <f t="shared" si="86"/>
        <v>0</v>
      </c>
      <c r="BWJ84" s="79">
        <f t="shared" si="86"/>
        <v>0</v>
      </c>
      <c r="BWK84" s="79">
        <f t="shared" si="86"/>
        <v>0</v>
      </c>
      <c r="BWL84" s="79">
        <f t="shared" si="86"/>
        <v>0</v>
      </c>
      <c r="BWM84" s="79">
        <f t="shared" si="86"/>
        <v>0</v>
      </c>
      <c r="BWN84" s="79">
        <f t="shared" si="86"/>
        <v>0</v>
      </c>
      <c r="BWO84" s="79">
        <f t="shared" si="86"/>
        <v>0</v>
      </c>
      <c r="BWP84" s="79">
        <f t="shared" si="86"/>
        <v>0</v>
      </c>
      <c r="BWQ84" s="79">
        <f t="shared" si="86"/>
        <v>0</v>
      </c>
      <c r="BWR84" s="79">
        <f t="shared" si="86"/>
        <v>0</v>
      </c>
      <c r="BWS84" s="145" t="s">
        <v>96</v>
      </c>
      <c r="BWV84" s="79">
        <f>BWV18+BWV24+BWV29+BWV30</f>
        <v>0</v>
      </c>
      <c r="BWW84" s="79">
        <f t="shared" si="86"/>
        <v>0</v>
      </c>
      <c r="BWX84" s="79">
        <f t="shared" si="86"/>
        <v>0</v>
      </c>
      <c r="BWY84" s="79">
        <f t="shared" si="86"/>
        <v>0</v>
      </c>
      <c r="BWZ84" s="79">
        <f t="shared" si="86"/>
        <v>0</v>
      </c>
      <c r="BXA84" s="79">
        <f t="shared" si="86"/>
        <v>0</v>
      </c>
      <c r="BXB84" s="79">
        <f t="shared" si="86"/>
        <v>0</v>
      </c>
      <c r="BXC84" s="79">
        <f t="shared" si="86"/>
        <v>0</v>
      </c>
      <c r="BXD84" s="79">
        <f t="shared" si="86"/>
        <v>0</v>
      </c>
      <c r="BXE84" s="79">
        <f t="shared" si="86"/>
        <v>0</v>
      </c>
      <c r="BXF84" s="79">
        <f t="shared" si="86"/>
        <v>0</v>
      </c>
      <c r="BXG84" s="79">
        <f t="shared" si="86"/>
        <v>0</v>
      </c>
      <c r="BXH84" s="79">
        <f t="shared" si="86"/>
        <v>0</v>
      </c>
      <c r="BXI84" s="145" t="s">
        <v>96</v>
      </c>
      <c r="BXL84" s="79">
        <f>BXL18+BXL24+BXL29+BXL30</f>
        <v>0</v>
      </c>
      <c r="BXM84" s="79">
        <f t="shared" ref="BXM84:BZT84" si="87">BXM18+BXM24+BXM29+BXM30</f>
        <v>0</v>
      </c>
      <c r="BXN84" s="79">
        <f t="shared" si="87"/>
        <v>0</v>
      </c>
      <c r="BXO84" s="79">
        <f t="shared" si="87"/>
        <v>0</v>
      </c>
      <c r="BXP84" s="79">
        <f t="shared" si="87"/>
        <v>0</v>
      </c>
      <c r="BXQ84" s="79">
        <f t="shared" si="87"/>
        <v>0</v>
      </c>
      <c r="BXR84" s="79">
        <f t="shared" si="87"/>
        <v>0</v>
      </c>
      <c r="BXS84" s="79">
        <f t="shared" si="87"/>
        <v>0</v>
      </c>
      <c r="BXT84" s="79">
        <f t="shared" si="87"/>
        <v>0</v>
      </c>
      <c r="BXU84" s="79">
        <f t="shared" si="87"/>
        <v>0</v>
      </c>
      <c r="BXV84" s="79">
        <f t="shared" si="87"/>
        <v>0</v>
      </c>
      <c r="BXW84" s="79">
        <f t="shared" si="87"/>
        <v>0</v>
      </c>
      <c r="BXX84" s="79">
        <f t="shared" si="87"/>
        <v>0</v>
      </c>
      <c r="BXY84" s="145" t="s">
        <v>96</v>
      </c>
      <c r="BYB84" s="79">
        <f>BYB18+BYB24+BYB29+BYB30</f>
        <v>0</v>
      </c>
      <c r="BYC84" s="79">
        <f t="shared" si="87"/>
        <v>0</v>
      </c>
      <c r="BYD84" s="79">
        <f t="shared" si="87"/>
        <v>0</v>
      </c>
      <c r="BYE84" s="79">
        <f t="shared" si="87"/>
        <v>0</v>
      </c>
      <c r="BYF84" s="79">
        <f t="shared" si="87"/>
        <v>0</v>
      </c>
      <c r="BYG84" s="79">
        <f t="shared" si="87"/>
        <v>0</v>
      </c>
      <c r="BYH84" s="79">
        <f t="shared" si="87"/>
        <v>0</v>
      </c>
      <c r="BYI84" s="79">
        <f t="shared" si="87"/>
        <v>0</v>
      </c>
      <c r="BYJ84" s="79">
        <f t="shared" si="87"/>
        <v>0</v>
      </c>
      <c r="BYK84" s="79">
        <f t="shared" si="87"/>
        <v>0</v>
      </c>
      <c r="BYL84" s="79">
        <f t="shared" si="87"/>
        <v>0</v>
      </c>
      <c r="BYM84" s="79">
        <f t="shared" si="87"/>
        <v>0</v>
      </c>
      <c r="BYN84" s="79">
        <f t="shared" si="87"/>
        <v>0</v>
      </c>
      <c r="BYO84" s="145" t="s">
        <v>96</v>
      </c>
      <c r="BYR84" s="79">
        <f>BYR18+BYR24+BYR29+BYR30</f>
        <v>0</v>
      </c>
      <c r="BYS84" s="79">
        <f t="shared" si="87"/>
        <v>0</v>
      </c>
      <c r="BYT84" s="79">
        <f t="shared" si="87"/>
        <v>0</v>
      </c>
      <c r="BYU84" s="79">
        <f t="shared" si="87"/>
        <v>0</v>
      </c>
      <c r="BYV84" s="79">
        <f t="shared" si="87"/>
        <v>0</v>
      </c>
      <c r="BYW84" s="79">
        <f t="shared" si="87"/>
        <v>0</v>
      </c>
      <c r="BYX84" s="79">
        <f t="shared" si="87"/>
        <v>0</v>
      </c>
      <c r="BYY84" s="79">
        <f t="shared" si="87"/>
        <v>0</v>
      </c>
      <c r="BYZ84" s="79">
        <f t="shared" si="87"/>
        <v>0</v>
      </c>
      <c r="BZA84" s="79">
        <f t="shared" si="87"/>
        <v>0</v>
      </c>
      <c r="BZB84" s="79">
        <f t="shared" si="87"/>
        <v>0</v>
      </c>
      <c r="BZC84" s="79">
        <f t="shared" si="87"/>
        <v>0</v>
      </c>
      <c r="BZD84" s="79">
        <f t="shared" si="87"/>
        <v>0</v>
      </c>
      <c r="BZE84" s="145" t="s">
        <v>96</v>
      </c>
      <c r="BZH84" s="79">
        <f>BZH18+BZH24+BZH29+BZH30</f>
        <v>0</v>
      </c>
      <c r="BZI84" s="79">
        <f t="shared" si="87"/>
        <v>0</v>
      </c>
      <c r="BZJ84" s="79">
        <f t="shared" si="87"/>
        <v>0</v>
      </c>
      <c r="BZK84" s="79">
        <f t="shared" si="87"/>
        <v>0</v>
      </c>
      <c r="BZL84" s="79">
        <f t="shared" si="87"/>
        <v>0</v>
      </c>
      <c r="BZM84" s="79">
        <f t="shared" si="87"/>
        <v>0</v>
      </c>
      <c r="BZN84" s="79">
        <f t="shared" si="87"/>
        <v>0</v>
      </c>
      <c r="BZO84" s="79">
        <f t="shared" si="87"/>
        <v>0</v>
      </c>
      <c r="BZP84" s="79">
        <f t="shared" si="87"/>
        <v>0</v>
      </c>
      <c r="BZQ84" s="79">
        <f t="shared" si="87"/>
        <v>0</v>
      </c>
      <c r="BZR84" s="79">
        <f t="shared" si="87"/>
        <v>0</v>
      </c>
      <c r="BZS84" s="79">
        <f t="shared" si="87"/>
        <v>0</v>
      </c>
      <c r="BZT84" s="79">
        <f t="shared" si="87"/>
        <v>0</v>
      </c>
      <c r="BZU84" s="145" t="s">
        <v>96</v>
      </c>
      <c r="BZX84" s="79">
        <f>BZX18+BZX24+BZX29+BZX30</f>
        <v>0</v>
      </c>
      <c r="BZY84" s="79">
        <f t="shared" ref="BZY84:CCF84" si="88">BZY18+BZY24+BZY29+BZY30</f>
        <v>0</v>
      </c>
      <c r="BZZ84" s="79">
        <f t="shared" si="88"/>
        <v>0</v>
      </c>
      <c r="CAA84" s="79">
        <f t="shared" si="88"/>
        <v>0</v>
      </c>
      <c r="CAB84" s="79">
        <f t="shared" si="88"/>
        <v>0</v>
      </c>
      <c r="CAC84" s="79">
        <f t="shared" si="88"/>
        <v>0</v>
      </c>
      <c r="CAD84" s="79">
        <f t="shared" si="88"/>
        <v>0</v>
      </c>
      <c r="CAE84" s="79">
        <f t="shared" si="88"/>
        <v>0</v>
      </c>
      <c r="CAF84" s="79">
        <f t="shared" si="88"/>
        <v>0</v>
      </c>
      <c r="CAG84" s="79">
        <f t="shared" si="88"/>
        <v>0</v>
      </c>
      <c r="CAH84" s="79">
        <f t="shared" si="88"/>
        <v>0</v>
      </c>
      <c r="CAI84" s="79">
        <f t="shared" si="88"/>
        <v>0</v>
      </c>
      <c r="CAJ84" s="79">
        <f t="shared" si="88"/>
        <v>0</v>
      </c>
      <c r="CAK84" s="145" t="s">
        <v>96</v>
      </c>
      <c r="CAN84" s="79">
        <f>CAN18+CAN24+CAN29+CAN30</f>
        <v>0</v>
      </c>
      <c r="CAO84" s="79">
        <f t="shared" si="88"/>
        <v>0</v>
      </c>
      <c r="CAP84" s="79">
        <f t="shared" si="88"/>
        <v>0</v>
      </c>
      <c r="CAQ84" s="79">
        <f t="shared" si="88"/>
        <v>0</v>
      </c>
      <c r="CAR84" s="79">
        <f t="shared" si="88"/>
        <v>0</v>
      </c>
      <c r="CAS84" s="79">
        <f t="shared" si="88"/>
        <v>0</v>
      </c>
      <c r="CAT84" s="79">
        <f t="shared" si="88"/>
        <v>0</v>
      </c>
      <c r="CAU84" s="79">
        <f t="shared" si="88"/>
        <v>0</v>
      </c>
      <c r="CAV84" s="79">
        <f t="shared" si="88"/>
        <v>0</v>
      </c>
      <c r="CAW84" s="79">
        <f t="shared" si="88"/>
        <v>0</v>
      </c>
      <c r="CAX84" s="79">
        <f t="shared" si="88"/>
        <v>0</v>
      </c>
      <c r="CAY84" s="79">
        <f t="shared" si="88"/>
        <v>0</v>
      </c>
      <c r="CAZ84" s="79">
        <f t="shared" si="88"/>
        <v>0</v>
      </c>
      <c r="CBA84" s="145" t="s">
        <v>96</v>
      </c>
      <c r="CBD84" s="79">
        <f>CBD18+CBD24+CBD29+CBD30</f>
        <v>0</v>
      </c>
      <c r="CBE84" s="79">
        <f t="shared" si="88"/>
        <v>0</v>
      </c>
      <c r="CBF84" s="79">
        <f t="shared" si="88"/>
        <v>0</v>
      </c>
      <c r="CBG84" s="79">
        <f t="shared" si="88"/>
        <v>0</v>
      </c>
      <c r="CBH84" s="79">
        <f t="shared" si="88"/>
        <v>0</v>
      </c>
      <c r="CBI84" s="79">
        <f t="shared" si="88"/>
        <v>0</v>
      </c>
      <c r="CBJ84" s="79">
        <f t="shared" si="88"/>
        <v>0</v>
      </c>
      <c r="CBK84" s="79">
        <f t="shared" si="88"/>
        <v>0</v>
      </c>
      <c r="CBL84" s="79">
        <f t="shared" si="88"/>
        <v>0</v>
      </c>
      <c r="CBM84" s="79">
        <f t="shared" si="88"/>
        <v>0</v>
      </c>
      <c r="CBN84" s="79">
        <f t="shared" si="88"/>
        <v>0</v>
      </c>
      <c r="CBO84" s="79">
        <f t="shared" si="88"/>
        <v>0</v>
      </c>
      <c r="CBP84" s="79">
        <f t="shared" si="88"/>
        <v>0</v>
      </c>
      <c r="CBQ84" s="145" t="s">
        <v>96</v>
      </c>
      <c r="CBT84" s="79">
        <f>CBT18+CBT24+CBT29+CBT30</f>
        <v>0</v>
      </c>
      <c r="CBU84" s="79">
        <f t="shared" si="88"/>
        <v>0</v>
      </c>
      <c r="CBV84" s="79">
        <f t="shared" si="88"/>
        <v>0</v>
      </c>
      <c r="CBW84" s="79">
        <f t="shared" si="88"/>
        <v>0</v>
      </c>
      <c r="CBX84" s="79">
        <f t="shared" si="88"/>
        <v>0</v>
      </c>
      <c r="CBY84" s="79">
        <f t="shared" si="88"/>
        <v>0</v>
      </c>
      <c r="CBZ84" s="79">
        <f t="shared" si="88"/>
        <v>0</v>
      </c>
      <c r="CCA84" s="79">
        <f t="shared" si="88"/>
        <v>0</v>
      </c>
      <c r="CCB84" s="79">
        <f t="shared" si="88"/>
        <v>0</v>
      </c>
      <c r="CCC84" s="79">
        <f t="shared" si="88"/>
        <v>0</v>
      </c>
      <c r="CCD84" s="79">
        <f t="shared" si="88"/>
        <v>0</v>
      </c>
      <c r="CCE84" s="79">
        <f t="shared" si="88"/>
        <v>0</v>
      </c>
      <c r="CCF84" s="79">
        <f t="shared" si="88"/>
        <v>0</v>
      </c>
      <c r="CCG84" s="145" t="s">
        <v>96</v>
      </c>
      <c r="CCJ84" s="79">
        <f>CCJ18+CCJ24+CCJ29+CCJ30</f>
        <v>0</v>
      </c>
      <c r="CCK84" s="79">
        <f t="shared" ref="CCK84:CER84" si="89">CCK18+CCK24+CCK29+CCK30</f>
        <v>0</v>
      </c>
      <c r="CCL84" s="79">
        <f t="shared" si="89"/>
        <v>0</v>
      </c>
      <c r="CCM84" s="79">
        <f t="shared" si="89"/>
        <v>0</v>
      </c>
      <c r="CCN84" s="79">
        <f t="shared" si="89"/>
        <v>0</v>
      </c>
      <c r="CCO84" s="79">
        <f t="shared" si="89"/>
        <v>0</v>
      </c>
      <c r="CCP84" s="79">
        <f t="shared" si="89"/>
        <v>0</v>
      </c>
      <c r="CCQ84" s="79">
        <f t="shared" si="89"/>
        <v>0</v>
      </c>
      <c r="CCR84" s="79">
        <f t="shared" si="89"/>
        <v>0</v>
      </c>
      <c r="CCS84" s="79">
        <f t="shared" si="89"/>
        <v>0</v>
      </c>
      <c r="CCT84" s="79">
        <f t="shared" si="89"/>
        <v>0</v>
      </c>
      <c r="CCU84" s="79">
        <f t="shared" si="89"/>
        <v>0</v>
      </c>
      <c r="CCV84" s="79">
        <f t="shared" si="89"/>
        <v>0</v>
      </c>
      <c r="CCW84" s="145" t="s">
        <v>96</v>
      </c>
      <c r="CCZ84" s="79">
        <f>CCZ18+CCZ24+CCZ29+CCZ30</f>
        <v>0</v>
      </c>
      <c r="CDA84" s="79">
        <f t="shared" si="89"/>
        <v>0</v>
      </c>
      <c r="CDB84" s="79">
        <f t="shared" si="89"/>
        <v>0</v>
      </c>
      <c r="CDC84" s="79">
        <f t="shared" si="89"/>
        <v>0</v>
      </c>
      <c r="CDD84" s="79">
        <f t="shared" si="89"/>
        <v>0</v>
      </c>
      <c r="CDE84" s="79">
        <f t="shared" si="89"/>
        <v>0</v>
      </c>
      <c r="CDF84" s="79">
        <f t="shared" si="89"/>
        <v>0</v>
      </c>
      <c r="CDG84" s="79">
        <f t="shared" si="89"/>
        <v>0</v>
      </c>
      <c r="CDH84" s="79">
        <f t="shared" si="89"/>
        <v>0</v>
      </c>
      <c r="CDI84" s="79">
        <f t="shared" si="89"/>
        <v>0</v>
      </c>
      <c r="CDJ84" s="79">
        <f t="shared" si="89"/>
        <v>0</v>
      </c>
      <c r="CDK84" s="79">
        <f t="shared" si="89"/>
        <v>0</v>
      </c>
      <c r="CDL84" s="79">
        <f t="shared" si="89"/>
        <v>0</v>
      </c>
      <c r="CDM84" s="145" t="s">
        <v>96</v>
      </c>
      <c r="CDP84" s="79">
        <f>CDP18+CDP24+CDP29+CDP30</f>
        <v>0</v>
      </c>
      <c r="CDQ84" s="79">
        <f t="shared" si="89"/>
        <v>0</v>
      </c>
      <c r="CDR84" s="79">
        <f t="shared" si="89"/>
        <v>0</v>
      </c>
      <c r="CDS84" s="79">
        <f t="shared" si="89"/>
        <v>0</v>
      </c>
      <c r="CDT84" s="79">
        <f t="shared" si="89"/>
        <v>0</v>
      </c>
      <c r="CDU84" s="79">
        <f t="shared" si="89"/>
        <v>0</v>
      </c>
      <c r="CDV84" s="79">
        <f t="shared" si="89"/>
        <v>0</v>
      </c>
      <c r="CDW84" s="79">
        <f t="shared" si="89"/>
        <v>0</v>
      </c>
      <c r="CDX84" s="79">
        <f t="shared" si="89"/>
        <v>0</v>
      </c>
      <c r="CDY84" s="79">
        <f t="shared" si="89"/>
        <v>0</v>
      </c>
      <c r="CDZ84" s="79">
        <f t="shared" si="89"/>
        <v>0</v>
      </c>
      <c r="CEA84" s="79">
        <f t="shared" si="89"/>
        <v>0</v>
      </c>
      <c r="CEB84" s="79">
        <f t="shared" si="89"/>
        <v>0</v>
      </c>
      <c r="CEC84" s="145" t="s">
        <v>96</v>
      </c>
      <c r="CEF84" s="79">
        <f>CEF18+CEF24+CEF29+CEF30</f>
        <v>0</v>
      </c>
      <c r="CEG84" s="79">
        <f t="shared" si="89"/>
        <v>0</v>
      </c>
      <c r="CEH84" s="79">
        <f t="shared" si="89"/>
        <v>0</v>
      </c>
      <c r="CEI84" s="79">
        <f t="shared" si="89"/>
        <v>0</v>
      </c>
      <c r="CEJ84" s="79">
        <f t="shared" si="89"/>
        <v>0</v>
      </c>
      <c r="CEK84" s="79">
        <f t="shared" si="89"/>
        <v>0</v>
      </c>
      <c r="CEL84" s="79">
        <f t="shared" si="89"/>
        <v>0</v>
      </c>
      <c r="CEM84" s="79">
        <f t="shared" si="89"/>
        <v>0</v>
      </c>
      <c r="CEN84" s="79">
        <f t="shared" si="89"/>
        <v>0</v>
      </c>
      <c r="CEO84" s="79">
        <f t="shared" si="89"/>
        <v>0</v>
      </c>
      <c r="CEP84" s="79">
        <f t="shared" si="89"/>
        <v>0</v>
      </c>
      <c r="CEQ84" s="79">
        <f t="shared" si="89"/>
        <v>0</v>
      </c>
      <c r="CER84" s="79">
        <f t="shared" si="89"/>
        <v>0</v>
      </c>
      <c r="CES84" s="145" t="s">
        <v>96</v>
      </c>
      <c r="CEV84" s="79">
        <f>CEV18+CEV24+CEV29+CEV30</f>
        <v>0</v>
      </c>
      <c r="CEW84" s="79">
        <f t="shared" ref="CEW84:CHD84" si="90">CEW18+CEW24+CEW29+CEW30</f>
        <v>0</v>
      </c>
      <c r="CEX84" s="79">
        <f t="shared" si="90"/>
        <v>0</v>
      </c>
      <c r="CEY84" s="79">
        <f t="shared" si="90"/>
        <v>0</v>
      </c>
      <c r="CEZ84" s="79">
        <f t="shared" si="90"/>
        <v>0</v>
      </c>
      <c r="CFA84" s="79">
        <f t="shared" si="90"/>
        <v>0</v>
      </c>
      <c r="CFB84" s="79">
        <f t="shared" si="90"/>
        <v>0</v>
      </c>
      <c r="CFC84" s="79">
        <f t="shared" si="90"/>
        <v>0</v>
      </c>
      <c r="CFD84" s="79">
        <f t="shared" si="90"/>
        <v>0</v>
      </c>
      <c r="CFE84" s="79">
        <f t="shared" si="90"/>
        <v>0</v>
      </c>
      <c r="CFF84" s="79">
        <f t="shared" si="90"/>
        <v>0</v>
      </c>
      <c r="CFG84" s="79">
        <f t="shared" si="90"/>
        <v>0</v>
      </c>
      <c r="CFH84" s="79">
        <f t="shared" si="90"/>
        <v>0</v>
      </c>
      <c r="CFI84" s="145" t="s">
        <v>96</v>
      </c>
      <c r="CFL84" s="79">
        <f>CFL18+CFL24+CFL29+CFL30</f>
        <v>0</v>
      </c>
      <c r="CFM84" s="79">
        <f t="shared" si="90"/>
        <v>0</v>
      </c>
      <c r="CFN84" s="79">
        <f t="shared" si="90"/>
        <v>0</v>
      </c>
      <c r="CFO84" s="79">
        <f t="shared" si="90"/>
        <v>0</v>
      </c>
      <c r="CFP84" s="79">
        <f t="shared" si="90"/>
        <v>0</v>
      </c>
      <c r="CFQ84" s="79">
        <f t="shared" si="90"/>
        <v>0</v>
      </c>
      <c r="CFR84" s="79">
        <f t="shared" si="90"/>
        <v>0</v>
      </c>
      <c r="CFS84" s="79">
        <f t="shared" si="90"/>
        <v>0</v>
      </c>
      <c r="CFT84" s="79">
        <f t="shared" si="90"/>
        <v>0</v>
      </c>
      <c r="CFU84" s="79">
        <f t="shared" si="90"/>
        <v>0</v>
      </c>
      <c r="CFV84" s="79">
        <f t="shared" si="90"/>
        <v>0</v>
      </c>
      <c r="CFW84" s="79">
        <f t="shared" si="90"/>
        <v>0</v>
      </c>
      <c r="CFX84" s="79">
        <f t="shared" si="90"/>
        <v>0</v>
      </c>
      <c r="CFY84" s="145" t="s">
        <v>96</v>
      </c>
      <c r="CGB84" s="79">
        <f>CGB18+CGB24+CGB29+CGB30</f>
        <v>0</v>
      </c>
      <c r="CGC84" s="79">
        <f t="shared" si="90"/>
        <v>0</v>
      </c>
      <c r="CGD84" s="79">
        <f t="shared" si="90"/>
        <v>0</v>
      </c>
      <c r="CGE84" s="79">
        <f t="shared" si="90"/>
        <v>0</v>
      </c>
      <c r="CGF84" s="79">
        <f t="shared" si="90"/>
        <v>0</v>
      </c>
      <c r="CGG84" s="79">
        <f t="shared" si="90"/>
        <v>0</v>
      </c>
      <c r="CGH84" s="79">
        <f t="shared" si="90"/>
        <v>0</v>
      </c>
      <c r="CGI84" s="79">
        <f t="shared" si="90"/>
        <v>0</v>
      </c>
      <c r="CGJ84" s="79">
        <f t="shared" si="90"/>
        <v>0</v>
      </c>
      <c r="CGK84" s="79">
        <f t="shared" si="90"/>
        <v>0</v>
      </c>
      <c r="CGL84" s="79">
        <f t="shared" si="90"/>
        <v>0</v>
      </c>
      <c r="CGM84" s="79">
        <f t="shared" si="90"/>
        <v>0</v>
      </c>
      <c r="CGN84" s="79">
        <f t="shared" si="90"/>
        <v>0</v>
      </c>
      <c r="CGO84" s="145" t="s">
        <v>96</v>
      </c>
      <c r="CGR84" s="79">
        <f>CGR18+CGR24+CGR29+CGR30</f>
        <v>0</v>
      </c>
      <c r="CGS84" s="79">
        <f t="shared" si="90"/>
        <v>0</v>
      </c>
      <c r="CGT84" s="79">
        <f t="shared" si="90"/>
        <v>0</v>
      </c>
      <c r="CGU84" s="79">
        <f t="shared" si="90"/>
        <v>0</v>
      </c>
      <c r="CGV84" s="79">
        <f t="shared" si="90"/>
        <v>0</v>
      </c>
      <c r="CGW84" s="79">
        <f t="shared" si="90"/>
        <v>0</v>
      </c>
      <c r="CGX84" s="79">
        <f t="shared" si="90"/>
        <v>0</v>
      </c>
      <c r="CGY84" s="79">
        <f t="shared" si="90"/>
        <v>0</v>
      </c>
      <c r="CGZ84" s="79">
        <f t="shared" si="90"/>
        <v>0</v>
      </c>
      <c r="CHA84" s="79">
        <f t="shared" si="90"/>
        <v>0</v>
      </c>
      <c r="CHB84" s="79">
        <f t="shared" si="90"/>
        <v>0</v>
      </c>
      <c r="CHC84" s="79">
        <f t="shared" si="90"/>
        <v>0</v>
      </c>
      <c r="CHD84" s="79">
        <f t="shared" si="90"/>
        <v>0</v>
      </c>
      <c r="CHE84" s="145" t="s">
        <v>96</v>
      </c>
      <c r="CHH84" s="79">
        <f>CHH18+CHH24+CHH29+CHH30</f>
        <v>0</v>
      </c>
      <c r="CHI84" s="79">
        <f t="shared" ref="CHI84:CJP84" si="91">CHI18+CHI24+CHI29+CHI30</f>
        <v>0</v>
      </c>
      <c r="CHJ84" s="79">
        <f t="shared" si="91"/>
        <v>0</v>
      </c>
      <c r="CHK84" s="79">
        <f t="shared" si="91"/>
        <v>0</v>
      </c>
      <c r="CHL84" s="79">
        <f t="shared" si="91"/>
        <v>0</v>
      </c>
      <c r="CHM84" s="79">
        <f t="shared" si="91"/>
        <v>0</v>
      </c>
      <c r="CHN84" s="79">
        <f t="shared" si="91"/>
        <v>0</v>
      </c>
      <c r="CHO84" s="79">
        <f t="shared" si="91"/>
        <v>0</v>
      </c>
      <c r="CHP84" s="79">
        <f t="shared" si="91"/>
        <v>0</v>
      </c>
      <c r="CHQ84" s="79">
        <f t="shared" si="91"/>
        <v>0</v>
      </c>
      <c r="CHR84" s="79">
        <f t="shared" si="91"/>
        <v>0</v>
      </c>
      <c r="CHS84" s="79">
        <f t="shared" si="91"/>
        <v>0</v>
      </c>
      <c r="CHT84" s="79">
        <f t="shared" si="91"/>
        <v>0</v>
      </c>
      <c r="CHU84" s="145" t="s">
        <v>96</v>
      </c>
      <c r="CHX84" s="79">
        <f>CHX18+CHX24+CHX29+CHX30</f>
        <v>0</v>
      </c>
      <c r="CHY84" s="79">
        <f t="shared" si="91"/>
        <v>0</v>
      </c>
      <c r="CHZ84" s="79">
        <f t="shared" si="91"/>
        <v>0</v>
      </c>
      <c r="CIA84" s="79">
        <f t="shared" si="91"/>
        <v>0</v>
      </c>
      <c r="CIB84" s="79">
        <f t="shared" si="91"/>
        <v>0</v>
      </c>
      <c r="CIC84" s="79">
        <f t="shared" si="91"/>
        <v>0</v>
      </c>
      <c r="CID84" s="79">
        <f t="shared" si="91"/>
        <v>0</v>
      </c>
      <c r="CIE84" s="79">
        <f t="shared" si="91"/>
        <v>0</v>
      </c>
      <c r="CIF84" s="79">
        <f t="shared" si="91"/>
        <v>0</v>
      </c>
      <c r="CIG84" s="79">
        <f t="shared" si="91"/>
        <v>0</v>
      </c>
      <c r="CIH84" s="79">
        <f t="shared" si="91"/>
        <v>0</v>
      </c>
      <c r="CII84" s="79">
        <f t="shared" si="91"/>
        <v>0</v>
      </c>
      <c r="CIJ84" s="79">
        <f t="shared" si="91"/>
        <v>0</v>
      </c>
      <c r="CIK84" s="145" t="s">
        <v>96</v>
      </c>
      <c r="CIN84" s="79">
        <f>CIN18+CIN24+CIN29+CIN30</f>
        <v>0</v>
      </c>
      <c r="CIO84" s="79">
        <f t="shared" si="91"/>
        <v>0</v>
      </c>
      <c r="CIP84" s="79">
        <f t="shared" si="91"/>
        <v>0</v>
      </c>
      <c r="CIQ84" s="79">
        <f t="shared" si="91"/>
        <v>0</v>
      </c>
      <c r="CIR84" s="79">
        <f t="shared" si="91"/>
        <v>0</v>
      </c>
      <c r="CIS84" s="79">
        <f t="shared" si="91"/>
        <v>0</v>
      </c>
      <c r="CIT84" s="79">
        <f t="shared" si="91"/>
        <v>0</v>
      </c>
      <c r="CIU84" s="79">
        <f t="shared" si="91"/>
        <v>0</v>
      </c>
      <c r="CIV84" s="79">
        <f t="shared" si="91"/>
        <v>0</v>
      </c>
      <c r="CIW84" s="79">
        <f t="shared" si="91"/>
        <v>0</v>
      </c>
      <c r="CIX84" s="79">
        <f t="shared" si="91"/>
        <v>0</v>
      </c>
      <c r="CIY84" s="79">
        <f t="shared" si="91"/>
        <v>0</v>
      </c>
      <c r="CIZ84" s="79">
        <f t="shared" si="91"/>
        <v>0</v>
      </c>
      <c r="CJA84" s="145" t="s">
        <v>96</v>
      </c>
      <c r="CJD84" s="79">
        <f>CJD18+CJD24+CJD29+CJD30</f>
        <v>0</v>
      </c>
      <c r="CJE84" s="79">
        <f t="shared" si="91"/>
        <v>0</v>
      </c>
      <c r="CJF84" s="79">
        <f t="shared" si="91"/>
        <v>0</v>
      </c>
      <c r="CJG84" s="79">
        <f t="shared" si="91"/>
        <v>0</v>
      </c>
      <c r="CJH84" s="79">
        <f t="shared" si="91"/>
        <v>0</v>
      </c>
      <c r="CJI84" s="79">
        <f t="shared" si="91"/>
        <v>0</v>
      </c>
      <c r="CJJ84" s="79">
        <f t="shared" si="91"/>
        <v>0</v>
      </c>
      <c r="CJK84" s="79">
        <f t="shared" si="91"/>
        <v>0</v>
      </c>
      <c r="CJL84" s="79">
        <f t="shared" si="91"/>
        <v>0</v>
      </c>
      <c r="CJM84" s="79">
        <f t="shared" si="91"/>
        <v>0</v>
      </c>
      <c r="CJN84" s="79">
        <f t="shared" si="91"/>
        <v>0</v>
      </c>
      <c r="CJO84" s="79">
        <f t="shared" si="91"/>
        <v>0</v>
      </c>
      <c r="CJP84" s="79">
        <f t="shared" si="91"/>
        <v>0</v>
      </c>
      <c r="CJQ84" s="145" t="s">
        <v>96</v>
      </c>
      <c r="CJT84" s="79">
        <f>CJT18+CJT24+CJT29+CJT30</f>
        <v>0</v>
      </c>
      <c r="CJU84" s="79">
        <f t="shared" ref="CJU84:CMB84" si="92">CJU18+CJU24+CJU29+CJU30</f>
        <v>0</v>
      </c>
      <c r="CJV84" s="79">
        <f t="shared" si="92"/>
        <v>0</v>
      </c>
      <c r="CJW84" s="79">
        <f t="shared" si="92"/>
        <v>0</v>
      </c>
      <c r="CJX84" s="79">
        <f t="shared" si="92"/>
        <v>0</v>
      </c>
      <c r="CJY84" s="79">
        <f t="shared" si="92"/>
        <v>0</v>
      </c>
      <c r="CJZ84" s="79">
        <f t="shared" si="92"/>
        <v>0</v>
      </c>
      <c r="CKA84" s="79">
        <f t="shared" si="92"/>
        <v>0</v>
      </c>
      <c r="CKB84" s="79">
        <f t="shared" si="92"/>
        <v>0</v>
      </c>
      <c r="CKC84" s="79">
        <f t="shared" si="92"/>
        <v>0</v>
      </c>
      <c r="CKD84" s="79">
        <f t="shared" si="92"/>
        <v>0</v>
      </c>
      <c r="CKE84" s="79">
        <f t="shared" si="92"/>
        <v>0</v>
      </c>
      <c r="CKF84" s="79">
        <f t="shared" si="92"/>
        <v>0</v>
      </c>
      <c r="CKG84" s="145" t="s">
        <v>96</v>
      </c>
      <c r="CKJ84" s="79">
        <f>CKJ18+CKJ24+CKJ29+CKJ30</f>
        <v>0</v>
      </c>
      <c r="CKK84" s="79">
        <f t="shared" si="92"/>
        <v>0</v>
      </c>
      <c r="CKL84" s="79">
        <f t="shared" si="92"/>
        <v>0</v>
      </c>
      <c r="CKM84" s="79">
        <f t="shared" si="92"/>
        <v>0</v>
      </c>
      <c r="CKN84" s="79">
        <f t="shared" si="92"/>
        <v>0</v>
      </c>
      <c r="CKO84" s="79">
        <f t="shared" si="92"/>
        <v>0</v>
      </c>
      <c r="CKP84" s="79">
        <f t="shared" si="92"/>
        <v>0</v>
      </c>
      <c r="CKQ84" s="79">
        <f t="shared" si="92"/>
        <v>0</v>
      </c>
      <c r="CKR84" s="79">
        <f t="shared" si="92"/>
        <v>0</v>
      </c>
      <c r="CKS84" s="79">
        <f t="shared" si="92"/>
        <v>0</v>
      </c>
      <c r="CKT84" s="79">
        <f t="shared" si="92"/>
        <v>0</v>
      </c>
      <c r="CKU84" s="79">
        <f t="shared" si="92"/>
        <v>0</v>
      </c>
      <c r="CKV84" s="79">
        <f t="shared" si="92"/>
        <v>0</v>
      </c>
      <c r="CKW84" s="145" t="s">
        <v>96</v>
      </c>
      <c r="CKZ84" s="79">
        <f>CKZ18+CKZ24+CKZ29+CKZ30</f>
        <v>0</v>
      </c>
      <c r="CLA84" s="79">
        <f t="shared" si="92"/>
        <v>0</v>
      </c>
      <c r="CLB84" s="79">
        <f t="shared" si="92"/>
        <v>0</v>
      </c>
      <c r="CLC84" s="79">
        <f t="shared" si="92"/>
        <v>0</v>
      </c>
      <c r="CLD84" s="79">
        <f t="shared" si="92"/>
        <v>0</v>
      </c>
      <c r="CLE84" s="79">
        <f t="shared" si="92"/>
        <v>0</v>
      </c>
      <c r="CLF84" s="79">
        <f t="shared" si="92"/>
        <v>0</v>
      </c>
      <c r="CLG84" s="79">
        <f t="shared" si="92"/>
        <v>0</v>
      </c>
      <c r="CLH84" s="79">
        <f t="shared" si="92"/>
        <v>0</v>
      </c>
      <c r="CLI84" s="79">
        <f t="shared" si="92"/>
        <v>0</v>
      </c>
      <c r="CLJ84" s="79">
        <f t="shared" si="92"/>
        <v>0</v>
      </c>
      <c r="CLK84" s="79">
        <f t="shared" si="92"/>
        <v>0</v>
      </c>
      <c r="CLL84" s="79">
        <f t="shared" si="92"/>
        <v>0</v>
      </c>
      <c r="CLM84" s="145" t="s">
        <v>96</v>
      </c>
      <c r="CLP84" s="79">
        <f>CLP18+CLP24+CLP29+CLP30</f>
        <v>0</v>
      </c>
      <c r="CLQ84" s="79">
        <f t="shared" si="92"/>
        <v>0</v>
      </c>
      <c r="CLR84" s="79">
        <f t="shared" si="92"/>
        <v>0</v>
      </c>
      <c r="CLS84" s="79">
        <f t="shared" si="92"/>
        <v>0</v>
      </c>
      <c r="CLT84" s="79">
        <f t="shared" si="92"/>
        <v>0</v>
      </c>
      <c r="CLU84" s="79">
        <f t="shared" si="92"/>
        <v>0</v>
      </c>
      <c r="CLV84" s="79">
        <f t="shared" si="92"/>
        <v>0</v>
      </c>
      <c r="CLW84" s="79">
        <f t="shared" si="92"/>
        <v>0</v>
      </c>
      <c r="CLX84" s="79">
        <f t="shared" si="92"/>
        <v>0</v>
      </c>
      <c r="CLY84" s="79">
        <f t="shared" si="92"/>
        <v>0</v>
      </c>
      <c r="CLZ84" s="79">
        <f t="shared" si="92"/>
        <v>0</v>
      </c>
      <c r="CMA84" s="79">
        <f t="shared" si="92"/>
        <v>0</v>
      </c>
      <c r="CMB84" s="79">
        <f t="shared" si="92"/>
        <v>0</v>
      </c>
      <c r="CMC84" s="145" t="s">
        <v>96</v>
      </c>
      <c r="CMF84" s="79">
        <f>CMF18+CMF24+CMF29+CMF30</f>
        <v>0</v>
      </c>
      <c r="CMG84" s="79">
        <f t="shared" ref="CMG84:CON84" si="93">CMG18+CMG24+CMG29+CMG30</f>
        <v>0</v>
      </c>
      <c r="CMH84" s="79">
        <f t="shared" si="93"/>
        <v>0</v>
      </c>
      <c r="CMI84" s="79">
        <f t="shared" si="93"/>
        <v>0</v>
      </c>
      <c r="CMJ84" s="79">
        <f t="shared" si="93"/>
        <v>0</v>
      </c>
      <c r="CMK84" s="79">
        <f t="shared" si="93"/>
        <v>0</v>
      </c>
      <c r="CML84" s="79">
        <f t="shared" si="93"/>
        <v>0</v>
      </c>
      <c r="CMM84" s="79">
        <f t="shared" si="93"/>
        <v>0</v>
      </c>
      <c r="CMN84" s="79">
        <f t="shared" si="93"/>
        <v>0</v>
      </c>
      <c r="CMO84" s="79">
        <f t="shared" si="93"/>
        <v>0</v>
      </c>
      <c r="CMP84" s="79">
        <f t="shared" si="93"/>
        <v>0</v>
      </c>
      <c r="CMQ84" s="79">
        <f t="shared" si="93"/>
        <v>0</v>
      </c>
      <c r="CMR84" s="79">
        <f t="shared" si="93"/>
        <v>0</v>
      </c>
      <c r="CMS84" s="145" t="s">
        <v>96</v>
      </c>
      <c r="CMV84" s="79">
        <f>CMV18+CMV24+CMV29+CMV30</f>
        <v>0</v>
      </c>
      <c r="CMW84" s="79">
        <f t="shared" si="93"/>
        <v>0</v>
      </c>
      <c r="CMX84" s="79">
        <f t="shared" si="93"/>
        <v>0</v>
      </c>
      <c r="CMY84" s="79">
        <f t="shared" si="93"/>
        <v>0</v>
      </c>
      <c r="CMZ84" s="79">
        <f t="shared" si="93"/>
        <v>0</v>
      </c>
      <c r="CNA84" s="79">
        <f t="shared" si="93"/>
        <v>0</v>
      </c>
      <c r="CNB84" s="79">
        <f t="shared" si="93"/>
        <v>0</v>
      </c>
      <c r="CNC84" s="79">
        <f t="shared" si="93"/>
        <v>0</v>
      </c>
      <c r="CND84" s="79">
        <f t="shared" si="93"/>
        <v>0</v>
      </c>
      <c r="CNE84" s="79">
        <f t="shared" si="93"/>
        <v>0</v>
      </c>
      <c r="CNF84" s="79">
        <f t="shared" si="93"/>
        <v>0</v>
      </c>
      <c r="CNG84" s="79">
        <f t="shared" si="93"/>
        <v>0</v>
      </c>
      <c r="CNH84" s="79">
        <f t="shared" si="93"/>
        <v>0</v>
      </c>
      <c r="CNI84" s="145" t="s">
        <v>96</v>
      </c>
      <c r="CNL84" s="79">
        <f>CNL18+CNL24+CNL29+CNL30</f>
        <v>0</v>
      </c>
      <c r="CNM84" s="79">
        <f t="shared" si="93"/>
        <v>0</v>
      </c>
      <c r="CNN84" s="79">
        <f t="shared" si="93"/>
        <v>0</v>
      </c>
      <c r="CNO84" s="79">
        <f t="shared" si="93"/>
        <v>0</v>
      </c>
      <c r="CNP84" s="79">
        <f t="shared" si="93"/>
        <v>0</v>
      </c>
      <c r="CNQ84" s="79">
        <f t="shared" si="93"/>
        <v>0</v>
      </c>
      <c r="CNR84" s="79">
        <f t="shared" si="93"/>
        <v>0</v>
      </c>
      <c r="CNS84" s="79">
        <f t="shared" si="93"/>
        <v>0</v>
      </c>
      <c r="CNT84" s="79">
        <f t="shared" si="93"/>
        <v>0</v>
      </c>
      <c r="CNU84" s="79">
        <f t="shared" si="93"/>
        <v>0</v>
      </c>
      <c r="CNV84" s="79">
        <f t="shared" si="93"/>
        <v>0</v>
      </c>
      <c r="CNW84" s="79">
        <f t="shared" si="93"/>
        <v>0</v>
      </c>
      <c r="CNX84" s="79">
        <f t="shared" si="93"/>
        <v>0</v>
      </c>
      <c r="CNY84" s="145" t="s">
        <v>96</v>
      </c>
      <c r="COB84" s="79">
        <f>COB18+COB24+COB29+COB30</f>
        <v>0</v>
      </c>
      <c r="COC84" s="79">
        <f t="shared" si="93"/>
        <v>0</v>
      </c>
      <c r="COD84" s="79">
        <f t="shared" si="93"/>
        <v>0</v>
      </c>
      <c r="COE84" s="79">
        <f t="shared" si="93"/>
        <v>0</v>
      </c>
      <c r="COF84" s="79">
        <f t="shared" si="93"/>
        <v>0</v>
      </c>
      <c r="COG84" s="79">
        <f t="shared" si="93"/>
        <v>0</v>
      </c>
      <c r="COH84" s="79">
        <f t="shared" si="93"/>
        <v>0</v>
      </c>
      <c r="COI84" s="79">
        <f t="shared" si="93"/>
        <v>0</v>
      </c>
      <c r="COJ84" s="79">
        <f t="shared" si="93"/>
        <v>0</v>
      </c>
      <c r="COK84" s="79">
        <f t="shared" si="93"/>
        <v>0</v>
      </c>
      <c r="COL84" s="79">
        <f t="shared" si="93"/>
        <v>0</v>
      </c>
      <c r="COM84" s="79">
        <f t="shared" si="93"/>
        <v>0</v>
      </c>
      <c r="CON84" s="79">
        <f t="shared" si="93"/>
        <v>0</v>
      </c>
      <c r="COO84" s="145" t="s">
        <v>96</v>
      </c>
      <c r="COR84" s="79">
        <f>COR18+COR24+COR29+COR30</f>
        <v>0</v>
      </c>
      <c r="COS84" s="79">
        <f t="shared" ref="COS84:CQZ84" si="94">COS18+COS24+COS29+COS30</f>
        <v>0</v>
      </c>
      <c r="COT84" s="79">
        <f t="shared" si="94"/>
        <v>0</v>
      </c>
      <c r="COU84" s="79">
        <f t="shared" si="94"/>
        <v>0</v>
      </c>
      <c r="COV84" s="79">
        <f t="shared" si="94"/>
        <v>0</v>
      </c>
      <c r="COW84" s="79">
        <f t="shared" si="94"/>
        <v>0</v>
      </c>
      <c r="COX84" s="79">
        <f t="shared" si="94"/>
        <v>0</v>
      </c>
      <c r="COY84" s="79">
        <f t="shared" si="94"/>
        <v>0</v>
      </c>
      <c r="COZ84" s="79">
        <f t="shared" si="94"/>
        <v>0</v>
      </c>
      <c r="CPA84" s="79">
        <f t="shared" si="94"/>
        <v>0</v>
      </c>
      <c r="CPB84" s="79">
        <f t="shared" si="94"/>
        <v>0</v>
      </c>
      <c r="CPC84" s="79">
        <f t="shared" si="94"/>
        <v>0</v>
      </c>
      <c r="CPD84" s="79">
        <f t="shared" si="94"/>
        <v>0</v>
      </c>
      <c r="CPE84" s="145" t="s">
        <v>96</v>
      </c>
      <c r="CPH84" s="79">
        <f>CPH18+CPH24+CPH29+CPH30</f>
        <v>0</v>
      </c>
      <c r="CPI84" s="79">
        <f t="shared" si="94"/>
        <v>0</v>
      </c>
      <c r="CPJ84" s="79">
        <f t="shared" si="94"/>
        <v>0</v>
      </c>
      <c r="CPK84" s="79">
        <f t="shared" si="94"/>
        <v>0</v>
      </c>
      <c r="CPL84" s="79">
        <f t="shared" si="94"/>
        <v>0</v>
      </c>
      <c r="CPM84" s="79">
        <f t="shared" si="94"/>
        <v>0</v>
      </c>
      <c r="CPN84" s="79">
        <f t="shared" si="94"/>
        <v>0</v>
      </c>
      <c r="CPO84" s="79">
        <f t="shared" si="94"/>
        <v>0</v>
      </c>
      <c r="CPP84" s="79">
        <f t="shared" si="94"/>
        <v>0</v>
      </c>
      <c r="CPQ84" s="79">
        <f t="shared" si="94"/>
        <v>0</v>
      </c>
      <c r="CPR84" s="79">
        <f t="shared" si="94"/>
        <v>0</v>
      </c>
      <c r="CPS84" s="79">
        <f t="shared" si="94"/>
        <v>0</v>
      </c>
      <c r="CPT84" s="79">
        <f t="shared" si="94"/>
        <v>0</v>
      </c>
      <c r="CPU84" s="145" t="s">
        <v>96</v>
      </c>
      <c r="CPX84" s="79">
        <f>CPX18+CPX24+CPX29+CPX30</f>
        <v>0</v>
      </c>
      <c r="CPY84" s="79">
        <f t="shared" si="94"/>
        <v>0</v>
      </c>
      <c r="CPZ84" s="79">
        <f t="shared" si="94"/>
        <v>0</v>
      </c>
      <c r="CQA84" s="79">
        <f t="shared" si="94"/>
        <v>0</v>
      </c>
      <c r="CQB84" s="79">
        <f t="shared" si="94"/>
        <v>0</v>
      </c>
      <c r="CQC84" s="79">
        <f t="shared" si="94"/>
        <v>0</v>
      </c>
      <c r="CQD84" s="79">
        <f t="shared" si="94"/>
        <v>0</v>
      </c>
      <c r="CQE84" s="79">
        <f t="shared" si="94"/>
        <v>0</v>
      </c>
      <c r="CQF84" s="79">
        <f t="shared" si="94"/>
        <v>0</v>
      </c>
      <c r="CQG84" s="79">
        <f t="shared" si="94"/>
        <v>0</v>
      </c>
      <c r="CQH84" s="79">
        <f t="shared" si="94"/>
        <v>0</v>
      </c>
      <c r="CQI84" s="79">
        <f t="shared" si="94"/>
        <v>0</v>
      </c>
      <c r="CQJ84" s="79">
        <f t="shared" si="94"/>
        <v>0</v>
      </c>
      <c r="CQK84" s="145" t="s">
        <v>96</v>
      </c>
      <c r="CQN84" s="79">
        <f>CQN18+CQN24+CQN29+CQN30</f>
        <v>0</v>
      </c>
      <c r="CQO84" s="79">
        <f t="shared" si="94"/>
        <v>0</v>
      </c>
      <c r="CQP84" s="79">
        <f t="shared" si="94"/>
        <v>0</v>
      </c>
      <c r="CQQ84" s="79">
        <f t="shared" si="94"/>
        <v>0</v>
      </c>
      <c r="CQR84" s="79">
        <f t="shared" si="94"/>
        <v>0</v>
      </c>
      <c r="CQS84" s="79">
        <f t="shared" si="94"/>
        <v>0</v>
      </c>
      <c r="CQT84" s="79">
        <f t="shared" si="94"/>
        <v>0</v>
      </c>
      <c r="CQU84" s="79">
        <f t="shared" si="94"/>
        <v>0</v>
      </c>
      <c r="CQV84" s="79">
        <f t="shared" si="94"/>
        <v>0</v>
      </c>
      <c r="CQW84" s="79">
        <f t="shared" si="94"/>
        <v>0</v>
      </c>
      <c r="CQX84" s="79">
        <f t="shared" si="94"/>
        <v>0</v>
      </c>
      <c r="CQY84" s="79">
        <f t="shared" si="94"/>
        <v>0</v>
      </c>
      <c r="CQZ84" s="79">
        <f t="shared" si="94"/>
        <v>0</v>
      </c>
      <c r="CRA84" s="145" t="s">
        <v>96</v>
      </c>
      <c r="CRD84" s="79">
        <f>CRD18+CRD24+CRD29+CRD30</f>
        <v>0</v>
      </c>
      <c r="CRE84" s="79">
        <f t="shared" ref="CRE84:CTL84" si="95">CRE18+CRE24+CRE29+CRE30</f>
        <v>0</v>
      </c>
      <c r="CRF84" s="79">
        <f t="shared" si="95"/>
        <v>0</v>
      </c>
      <c r="CRG84" s="79">
        <f t="shared" si="95"/>
        <v>0</v>
      </c>
      <c r="CRH84" s="79">
        <f t="shared" si="95"/>
        <v>0</v>
      </c>
      <c r="CRI84" s="79">
        <f t="shared" si="95"/>
        <v>0</v>
      </c>
      <c r="CRJ84" s="79">
        <f t="shared" si="95"/>
        <v>0</v>
      </c>
      <c r="CRK84" s="79">
        <f t="shared" si="95"/>
        <v>0</v>
      </c>
      <c r="CRL84" s="79">
        <f t="shared" si="95"/>
        <v>0</v>
      </c>
      <c r="CRM84" s="79">
        <f t="shared" si="95"/>
        <v>0</v>
      </c>
      <c r="CRN84" s="79">
        <f t="shared" si="95"/>
        <v>0</v>
      </c>
      <c r="CRO84" s="79">
        <f t="shared" si="95"/>
        <v>0</v>
      </c>
      <c r="CRP84" s="79">
        <f t="shared" si="95"/>
        <v>0</v>
      </c>
      <c r="CRQ84" s="145" t="s">
        <v>96</v>
      </c>
      <c r="CRT84" s="79">
        <f>CRT18+CRT24+CRT29+CRT30</f>
        <v>0</v>
      </c>
      <c r="CRU84" s="79">
        <f t="shared" si="95"/>
        <v>0</v>
      </c>
      <c r="CRV84" s="79">
        <f t="shared" si="95"/>
        <v>0</v>
      </c>
      <c r="CRW84" s="79">
        <f t="shared" si="95"/>
        <v>0</v>
      </c>
      <c r="CRX84" s="79">
        <f t="shared" si="95"/>
        <v>0</v>
      </c>
      <c r="CRY84" s="79">
        <f t="shared" si="95"/>
        <v>0</v>
      </c>
      <c r="CRZ84" s="79">
        <f t="shared" si="95"/>
        <v>0</v>
      </c>
      <c r="CSA84" s="79">
        <f t="shared" si="95"/>
        <v>0</v>
      </c>
      <c r="CSB84" s="79">
        <f t="shared" si="95"/>
        <v>0</v>
      </c>
      <c r="CSC84" s="79">
        <f t="shared" si="95"/>
        <v>0</v>
      </c>
      <c r="CSD84" s="79">
        <f t="shared" si="95"/>
        <v>0</v>
      </c>
      <c r="CSE84" s="79">
        <f t="shared" si="95"/>
        <v>0</v>
      </c>
      <c r="CSF84" s="79">
        <f t="shared" si="95"/>
        <v>0</v>
      </c>
      <c r="CSG84" s="145" t="s">
        <v>96</v>
      </c>
      <c r="CSJ84" s="79">
        <f>CSJ18+CSJ24+CSJ29+CSJ30</f>
        <v>0</v>
      </c>
      <c r="CSK84" s="79">
        <f t="shared" si="95"/>
        <v>0</v>
      </c>
      <c r="CSL84" s="79">
        <f t="shared" si="95"/>
        <v>0</v>
      </c>
      <c r="CSM84" s="79">
        <f t="shared" si="95"/>
        <v>0</v>
      </c>
      <c r="CSN84" s="79">
        <f t="shared" si="95"/>
        <v>0</v>
      </c>
      <c r="CSO84" s="79">
        <f t="shared" si="95"/>
        <v>0</v>
      </c>
      <c r="CSP84" s="79">
        <f t="shared" si="95"/>
        <v>0</v>
      </c>
      <c r="CSQ84" s="79">
        <f t="shared" si="95"/>
        <v>0</v>
      </c>
      <c r="CSR84" s="79">
        <f t="shared" si="95"/>
        <v>0</v>
      </c>
      <c r="CSS84" s="79">
        <f t="shared" si="95"/>
        <v>0</v>
      </c>
      <c r="CST84" s="79">
        <f t="shared" si="95"/>
        <v>0</v>
      </c>
      <c r="CSU84" s="79">
        <f t="shared" si="95"/>
        <v>0</v>
      </c>
      <c r="CSV84" s="79">
        <f t="shared" si="95"/>
        <v>0</v>
      </c>
      <c r="CSW84" s="145" t="s">
        <v>96</v>
      </c>
      <c r="CSZ84" s="79">
        <f>CSZ18+CSZ24+CSZ29+CSZ30</f>
        <v>0</v>
      </c>
      <c r="CTA84" s="79">
        <f t="shared" si="95"/>
        <v>0</v>
      </c>
      <c r="CTB84" s="79">
        <f t="shared" si="95"/>
        <v>0</v>
      </c>
      <c r="CTC84" s="79">
        <f t="shared" si="95"/>
        <v>0</v>
      </c>
      <c r="CTD84" s="79">
        <f t="shared" si="95"/>
        <v>0</v>
      </c>
      <c r="CTE84" s="79">
        <f t="shared" si="95"/>
        <v>0</v>
      </c>
      <c r="CTF84" s="79">
        <f t="shared" si="95"/>
        <v>0</v>
      </c>
      <c r="CTG84" s="79">
        <f t="shared" si="95"/>
        <v>0</v>
      </c>
      <c r="CTH84" s="79">
        <f t="shared" si="95"/>
        <v>0</v>
      </c>
      <c r="CTI84" s="79">
        <f t="shared" si="95"/>
        <v>0</v>
      </c>
      <c r="CTJ84" s="79">
        <f t="shared" si="95"/>
        <v>0</v>
      </c>
      <c r="CTK84" s="79">
        <f t="shared" si="95"/>
        <v>0</v>
      </c>
      <c r="CTL84" s="79">
        <f t="shared" si="95"/>
        <v>0</v>
      </c>
      <c r="CTM84" s="145" t="s">
        <v>96</v>
      </c>
      <c r="CTP84" s="79">
        <f>CTP18+CTP24+CTP29+CTP30</f>
        <v>0</v>
      </c>
      <c r="CTQ84" s="79">
        <f t="shared" ref="CTQ84:CVX84" si="96">CTQ18+CTQ24+CTQ29+CTQ30</f>
        <v>0</v>
      </c>
      <c r="CTR84" s="79">
        <f t="shared" si="96"/>
        <v>0</v>
      </c>
      <c r="CTS84" s="79">
        <f t="shared" si="96"/>
        <v>0</v>
      </c>
      <c r="CTT84" s="79">
        <f t="shared" si="96"/>
        <v>0</v>
      </c>
      <c r="CTU84" s="79">
        <f t="shared" si="96"/>
        <v>0</v>
      </c>
      <c r="CTV84" s="79">
        <f t="shared" si="96"/>
        <v>0</v>
      </c>
      <c r="CTW84" s="79">
        <f t="shared" si="96"/>
        <v>0</v>
      </c>
      <c r="CTX84" s="79">
        <f t="shared" si="96"/>
        <v>0</v>
      </c>
      <c r="CTY84" s="79">
        <f t="shared" si="96"/>
        <v>0</v>
      </c>
      <c r="CTZ84" s="79">
        <f t="shared" si="96"/>
        <v>0</v>
      </c>
      <c r="CUA84" s="79">
        <f t="shared" si="96"/>
        <v>0</v>
      </c>
      <c r="CUB84" s="79">
        <f t="shared" si="96"/>
        <v>0</v>
      </c>
      <c r="CUC84" s="145" t="s">
        <v>96</v>
      </c>
      <c r="CUF84" s="79">
        <f>CUF18+CUF24+CUF29+CUF30</f>
        <v>0</v>
      </c>
      <c r="CUG84" s="79">
        <f t="shared" si="96"/>
        <v>0</v>
      </c>
      <c r="CUH84" s="79">
        <f t="shared" si="96"/>
        <v>0</v>
      </c>
      <c r="CUI84" s="79">
        <f t="shared" si="96"/>
        <v>0</v>
      </c>
      <c r="CUJ84" s="79">
        <f t="shared" si="96"/>
        <v>0</v>
      </c>
      <c r="CUK84" s="79">
        <f t="shared" si="96"/>
        <v>0</v>
      </c>
      <c r="CUL84" s="79">
        <f t="shared" si="96"/>
        <v>0</v>
      </c>
      <c r="CUM84" s="79">
        <f t="shared" si="96"/>
        <v>0</v>
      </c>
      <c r="CUN84" s="79">
        <f t="shared" si="96"/>
        <v>0</v>
      </c>
      <c r="CUO84" s="79">
        <f t="shared" si="96"/>
        <v>0</v>
      </c>
      <c r="CUP84" s="79">
        <f t="shared" si="96"/>
        <v>0</v>
      </c>
      <c r="CUQ84" s="79">
        <f t="shared" si="96"/>
        <v>0</v>
      </c>
      <c r="CUR84" s="79">
        <f t="shared" si="96"/>
        <v>0</v>
      </c>
      <c r="CUS84" s="145" t="s">
        <v>96</v>
      </c>
      <c r="CUV84" s="79">
        <f>CUV18+CUV24+CUV29+CUV30</f>
        <v>0</v>
      </c>
      <c r="CUW84" s="79">
        <f t="shared" si="96"/>
        <v>0</v>
      </c>
      <c r="CUX84" s="79">
        <f t="shared" si="96"/>
        <v>0</v>
      </c>
      <c r="CUY84" s="79">
        <f t="shared" si="96"/>
        <v>0</v>
      </c>
      <c r="CUZ84" s="79">
        <f t="shared" si="96"/>
        <v>0</v>
      </c>
      <c r="CVA84" s="79">
        <f t="shared" si="96"/>
        <v>0</v>
      </c>
      <c r="CVB84" s="79">
        <f t="shared" si="96"/>
        <v>0</v>
      </c>
      <c r="CVC84" s="79">
        <f t="shared" si="96"/>
        <v>0</v>
      </c>
      <c r="CVD84" s="79">
        <f t="shared" si="96"/>
        <v>0</v>
      </c>
      <c r="CVE84" s="79">
        <f t="shared" si="96"/>
        <v>0</v>
      </c>
      <c r="CVF84" s="79">
        <f t="shared" si="96"/>
        <v>0</v>
      </c>
      <c r="CVG84" s="79">
        <f t="shared" si="96"/>
        <v>0</v>
      </c>
      <c r="CVH84" s="79">
        <f t="shared" si="96"/>
        <v>0</v>
      </c>
      <c r="CVI84" s="145" t="s">
        <v>96</v>
      </c>
      <c r="CVL84" s="79">
        <f>CVL18+CVL24+CVL29+CVL30</f>
        <v>0</v>
      </c>
      <c r="CVM84" s="79">
        <f t="shared" si="96"/>
        <v>0</v>
      </c>
      <c r="CVN84" s="79">
        <f t="shared" si="96"/>
        <v>0</v>
      </c>
      <c r="CVO84" s="79">
        <f t="shared" si="96"/>
        <v>0</v>
      </c>
      <c r="CVP84" s="79">
        <f t="shared" si="96"/>
        <v>0</v>
      </c>
      <c r="CVQ84" s="79">
        <f t="shared" si="96"/>
        <v>0</v>
      </c>
      <c r="CVR84" s="79">
        <f t="shared" si="96"/>
        <v>0</v>
      </c>
      <c r="CVS84" s="79">
        <f t="shared" si="96"/>
        <v>0</v>
      </c>
      <c r="CVT84" s="79">
        <f t="shared" si="96"/>
        <v>0</v>
      </c>
      <c r="CVU84" s="79">
        <f t="shared" si="96"/>
        <v>0</v>
      </c>
      <c r="CVV84" s="79">
        <f t="shared" si="96"/>
        <v>0</v>
      </c>
      <c r="CVW84" s="79">
        <f t="shared" si="96"/>
        <v>0</v>
      </c>
      <c r="CVX84" s="79">
        <f t="shared" si="96"/>
        <v>0</v>
      </c>
      <c r="CVY84" s="145" t="s">
        <v>96</v>
      </c>
      <c r="CWB84" s="79">
        <f>CWB18+CWB24+CWB29+CWB30</f>
        <v>0</v>
      </c>
      <c r="CWC84" s="79">
        <f t="shared" ref="CWC84:CYJ84" si="97">CWC18+CWC24+CWC29+CWC30</f>
        <v>0</v>
      </c>
      <c r="CWD84" s="79">
        <f t="shared" si="97"/>
        <v>0</v>
      </c>
      <c r="CWE84" s="79">
        <f t="shared" si="97"/>
        <v>0</v>
      </c>
      <c r="CWF84" s="79">
        <f t="shared" si="97"/>
        <v>0</v>
      </c>
      <c r="CWG84" s="79">
        <f t="shared" si="97"/>
        <v>0</v>
      </c>
      <c r="CWH84" s="79">
        <f t="shared" si="97"/>
        <v>0</v>
      </c>
      <c r="CWI84" s="79">
        <f t="shared" si="97"/>
        <v>0</v>
      </c>
      <c r="CWJ84" s="79">
        <f t="shared" si="97"/>
        <v>0</v>
      </c>
      <c r="CWK84" s="79">
        <f t="shared" si="97"/>
        <v>0</v>
      </c>
      <c r="CWL84" s="79">
        <f t="shared" si="97"/>
        <v>0</v>
      </c>
      <c r="CWM84" s="79">
        <f t="shared" si="97"/>
        <v>0</v>
      </c>
      <c r="CWN84" s="79">
        <f t="shared" si="97"/>
        <v>0</v>
      </c>
      <c r="CWO84" s="145" t="s">
        <v>96</v>
      </c>
      <c r="CWR84" s="79">
        <f>CWR18+CWR24+CWR29+CWR30</f>
        <v>0</v>
      </c>
      <c r="CWS84" s="79">
        <f t="shared" si="97"/>
        <v>0</v>
      </c>
      <c r="CWT84" s="79">
        <f t="shared" si="97"/>
        <v>0</v>
      </c>
      <c r="CWU84" s="79">
        <f t="shared" si="97"/>
        <v>0</v>
      </c>
      <c r="CWV84" s="79">
        <f t="shared" si="97"/>
        <v>0</v>
      </c>
      <c r="CWW84" s="79">
        <f t="shared" si="97"/>
        <v>0</v>
      </c>
      <c r="CWX84" s="79">
        <f t="shared" si="97"/>
        <v>0</v>
      </c>
      <c r="CWY84" s="79">
        <f t="shared" si="97"/>
        <v>0</v>
      </c>
      <c r="CWZ84" s="79">
        <f t="shared" si="97"/>
        <v>0</v>
      </c>
      <c r="CXA84" s="79">
        <f t="shared" si="97"/>
        <v>0</v>
      </c>
      <c r="CXB84" s="79">
        <f t="shared" si="97"/>
        <v>0</v>
      </c>
      <c r="CXC84" s="79">
        <f t="shared" si="97"/>
        <v>0</v>
      </c>
      <c r="CXD84" s="79">
        <f t="shared" si="97"/>
        <v>0</v>
      </c>
      <c r="CXE84" s="145" t="s">
        <v>96</v>
      </c>
      <c r="CXH84" s="79">
        <f>CXH18+CXH24+CXH29+CXH30</f>
        <v>0</v>
      </c>
      <c r="CXI84" s="79">
        <f t="shared" si="97"/>
        <v>0</v>
      </c>
      <c r="CXJ84" s="79">
        <f t="shared" si="97"/>
        <v>0</v>
      </c>
      <c r="CXK84" s="79">
        <f t="shared" si="97"/>
        <v>0</v>
      </c>
      <c r="CXL84" s="79">
        <f t="shared" si="97"/>
        <v>0</v>
      </c>
      <c r="CXM84" s="79">
        <f t="shared" si="97"/>
        <v>0</v>
      </c>
      <c r="CXN84" s="79">
        <f t="shared" si="97"/>
        <v>0</v>
      </c>
      <c r="CXO84" s="79">
        <f t="shared" si="97"/>
        <v>0</v>
      </c>
      <c r="CXP84" s="79">
        <f t="shared" si="97"/>
        <v>0</v>
      </c>
      <c r="CXQ84" s="79">
        <f t="shared" si="97"/>
        <v>0</v>
      </c>
      <c r="CXR84" s="79">
        <f t="shared" si="97"/>
        <v>0</v>
      </c>
      <c r="CXS84" s="79">
        <f t="shared" si="97"/>
        <v>0</v>
      </c>
      <c r="CXT84" s="79">
        <f t="shared" si="97"/>
        <v>0</v>
      </c>
      <c r="CXU84" s="145" t="s">
        <v>96</v>
      </c>
      <c r="CXX84" s="79">
        <f>CXX18+CXX24+CXX29+CXX30</f>
        <v>0</v>
      </c>
      <c r="CXY84" s="79">
        <f t="shared" si="97"/>
        <v>0</v>
      </c>
      <c r="CXZ84" s="79">
        <f t="shared" si="97"/>
        <v>0</v>
      </c>
      <c r="CYA84" s="79">
        <f t="shared" si="97"/>
        <v>0</v>
      </c>
      <c r="CYB84" s="79">
        <f t="shared" si="97"/>
        <v>0</v>
      </c>
      <c r="CYC84" s="79">
        <f t="shared" si="97"/>
        <v>0</v>
      </c>
      <c r="CYD84" s="79">
        <f t="shared" si="97"/>
        <v>0</v>
      </c>
      <c r="CYE84" s="79">
        <f t="shared" si="97"/>
        <v>0</v>
      </c>
      <c r="CYF84" s="79">
        <f t="shared" si="97"/>
        <v>0</v>
      </c>
      <c r="CYG84" s="79">
        <f t="shared" si="97"/>
        <v>0</v>
      </c>
      <c r="CYH84" s="79">
        <f t="shared" si="97"/>
        <v>0</v>
      </c>
      <c r="CYI84" s="79">
        <f t="shared" si="97"/>
        <v>0</v>
      </c>
      <c r="CYJ84" s="79">
        <f t="shared" si="97"/>
        <v>0</v>
      </c>
      <c r="CYK84" s="145" t="s">
        <v>96</v>
      </c>
      <c r="CYN84" s="79">
        <f>CYN18+CYN24+CYN29+CYN30</f>
        <v>0</v>
      </c>
      <c r="CYO84" s="79">
        <f t="shared" ref="CYO84:DAV84" si="98">CYO18+CYO24+CYO29+CYO30</f>
        <v>0</v>
      </c>
      <c r="CYP84" s="79">
        <f t="shared" si="98"/>
        <v>0</v>
      </c>
      <c r="CYQ84" s="79">
        <f t="shared" si="98"/>
        <v>0</v>
      </c>
      <c r="CYR84" s="79">
        <f t="shared" si="98"/>
        <v>0</v>
      </c>
      <c r="CYS84" s="79">
        <f t="shared" si="98"/>
        <v>0</v>
      </c>
      <c r="CYT84" s="79">
        <f t="shared" si="98"/>
        <v>0</v>
      </c>
      <c r="CYU84" s="79">
        <f t="shared" si="98"/>
        <v>0</v>
      </c>
      <c r="CYV84" s="79">
        <f t="shared" si="98"/>
        <v>0</v>
      </c>
      <c r="CYW84" s="79">
        <f t="shared" si="98"/>
        <v>0</v>
      </c>
      <c r="CYX84" s="79">
        <f t="shared" si="98"/>
        <v>0</v>
      </c>
      <c r="CYY84" s="79">
        <f t="shared" si="98"/>
        <v>0</v>
      </c>
      <c r="CYZ84" s="79">
        <f t="shared" si="98"/>
        <v>0</v>
      </c>
      <c r="CZA84" s="145" t="s">
        <v>96</v>
      </c>
      <c r="CZD84" s="79">
        <f>CZD18+CZD24+CZD29+CZD30</f>
        <v>0</v>
      </c>
      <c r="CZE84" s="79">
        <f t="shared" si="98"/>
        <v>0</v>
      </c>
      <c r="CZF84" s="79">
        <f t="shared" si="98"/>
        <v>0</v>
      </c>
      <c r="CZG84" s="79">
        <f t="shared" si="98"/>
        <v>0</v>
      </c>
      <c r="CZH84" s="79">
        <f t="shared" si="98"/>
        <v>0</v>
      </c>
      <c r="CZI84" s="79">
        <f t="shared" si="98"/>
        <v>0</v>
      </c>
      <c r="CZJ84" s="79">
        <f t="shared" si="98"/>
        <v>0</v>
      </c>
      <c r="CZK84" s="79">
        <f t="shared" si="98"/>
        <v>0</v>
      </c>
      <c r="CZL84" s="79">
        <f t="shared" si="98"/>
        <v>0</v>
      </c>
      <c r="CZM84" s="79">
        <f t="shared" si="98"/>
        <v>0</v>
      </c>
      <c r="CZN84" s="79">
        <f t="shared" si="98"/>
        <v>0</v>
      </c>
      <c r="CZO84" s="79">
        <f t="shared" si="98"/>
        <v>0</v>
      </c>
      <c r="CZP84" s="79">
        <f t="shared" si="98"/>
        <v>0</v>
      </c>
      <c r="CZQ84" s="145" t="s">
        <v>96</v>
      </c>
      <c r="CZT84" s="79">
        <f>CZT18+CZT24+CZT29+CZT30</f>
        <v>0</v>
      </c>
      <c r="CZU84" s="79">
        <f t="shared" si="98"/>
        <v>0</v>
      </c>
      <c r="CZV84" s="79">
        <f t="shared" si="98"/>
        <v>0</v>
      </c>
      <c r="CZW84" s="79">
        <f t="shared" si="98"/>
        <v>0</v>
      </c>
      <c r="CZX84" s="79">
        <f t="shared" si="98"/>
        <v>0</v>
      </c>
      <c r="CZY84" s="79">
        <f t="shared" si="98"/>
        <v>0</v>
      </c>
      <c r="CZZ84" s="79">
        <f t="shared" si="98"/>
        <v>0</v>
      </c>
      <c r="DAA84" s="79">
        <f t="shared" si="98"/>
        <v>0</v>
      </c>
      <c r="DAB84" s="79">
        <f t="shared" si="98"/>
        <v>0</v>
      </c>
      <c r="DAC84" s="79">
        <f t="shared" si="98"/>
        <v>0</v>
      </c>
      <c r="DAD84" s="79">
        <f t="shared" si="98"/>
        <v>0</v>
      </c>
      <c r="DAE84" s="79">
        <f t="shared" si="98"/>
        <v>0</v>
      </c>
      <c r="DAF84" s="79">
        <f t="shared" si="98"/>
        <v>0</v>
      </c>
      <c r="DAG84" s="145" t="s">
        <v>96</v>
      </c>
      <c r="DAJ84" s="79">
        <f>DAJ18+DAJ24+DAJ29+DAJ30</f>
        <v>0</v>
      </c>
      <c r="DAK84" s="79">
        <f t="shared" si="98"/>
        <v>0</v>
      </c>
      <c r="DAL84" s="79">
        <f t="shared" si="98"/>
        <v>0</v>
      </c>
      <c r="DAM84" s="79">
        <f t="shared" si="98"/>
        <v>0</v>
      </c>
      <c r="DAN84" s="79">
        <f t="shared" si="98"/>
        <v>0</v>
      </c>
      <c r="DAO84" s="79">
        <f t="shared" si="98"/>
        <v>0</v>
      </c>
      <c r="DAP84" s="79">
        <f t="shared" si="98"/>
        <v>0</v>
      </c>
      <c r="DAQ84" s="79">
        <f t="shared" si="98"/>
        <v>0</v>
      </c>
      <c r="DAR84" s="79">
        <f t="shared" si="98"/>
        <v>0</v>
      </c>
      <c r="DAS84" s="79">
        <f t="shared" si="98"/>
        <v>0</v>
      </c>
      <c r="DAT84" s="79">
        <f t="shared" si="98"/>
        <v>0</v>
      </c>
      <c r="DAU84" s="79">
        <f t="shared" si="98"/>
        <v>0</v>
      </c>
      <c r="DAV84" s="79">
        <f t="shared" si="98"/>
        <v>0</v>
      </c>
      <c r="DAW84" s="145" t="s">
        <v>96</v>
      </c>
      <c r="DAZ84" s="79">
        <f>DAZ18+DAZ24+DAZ29+DAZ30</f>
        <v>0</v>
      </c>
      <c r="DBA84" s="79">
        <f t="shared" ref="DBA84:DDH84" si="99">DBA18+DBA24+DBA29+DBA30</f>
        <v>0</v>
      </c>
      <c r="DBB84" s="79">
        <f t="shared" si="99"/>
        <v>0</v>
      </c>
      <c r="DBC84" s="79">
        <f t="shared" si="99"/>
        <v>0</v>
      </c>
      <c r="DBD84" s="79">
        <f t="shared" si="99"/>
        <v>0</v>
      </c>
      <c r="DBE84" s="79">
        <f t="shared" si="99"/>
        <v>0</v>
      </c>
      <c r="DBF84" s="79">
        <f t="shared" si="99"/>
        <v>0</v>
      </c>
      <c r="DBG84" s="79">
        <f t="shared" si="99"/>
        <v>0</v>
      </c>
      <c r="DBH84" s="79">
        <f t="shared" si="99"/>
        <v>0</v>
      </c>
      <c r="DBI84" s="79">
        <f t="shared" si="99"/>
        <v>0</v>
      </c>
      <c r="DBJ84" s="79">
        <f t="shared" si="99"/>
        <v>0</v>
      </c>
      <c r="DBK84" s="79">
        <f t="shared" si="99"/>
        <v>0</v>
      </c>
      <c r="DBL84" s="79">
        <f t="shared" si="99"/>
        <v>0</v>
      </c>
      <c r="DBM84" s="145" t="s">
        <v>96</v>
      </c>
      <c r="DBP84" s="79">
        <f>DBP18+DBP24+DBP29+DBP30</f>
        <v>0</v>
      </c>
      <c r="DBQ84" s="79">
        <f t="shared" si="99"/>
        <v>0</v>
      </c>
      <c r="DBR84" s="79">
        <f t="shared" si="99"/>
        <v>0</v>
      </c>
      <c r="DBS84" s="79">
        <f t="shared" si="99"/>
        <v>0</v>
      </c>
      <c r="DBT84" s="79">
        <f t="shared" si="99"/>
        <v>0</v>
      </c>
      <c r="DBU84" s="79">
        <f t="shared" si="99"/>
        <v>0</v>
      </c>
      <c r="DBV84" s="79">
        <f t="shared" si="99"/>
        <v>0</v>
      </c>
      <c r="DBW84" s="79">
        <f t="shared" si="99"/>
        <v>0</v>
      </c>
      <c r="DBX84" s="79">
        <f t="shared" si="99"/>
        <v>0</v>
      </c>
      <c r="DBY84" s="79">
        <f t="shared" si="99"/>
        <v>0</v>
      </c>
      <c r="DBZ84" s="79">
        <f t="shared" si="99"/>
        <v>0</v>
      </c>
      <c r="DCA84" s="79">
        <f t="shared" si="99"/>
        <v>0</v>
      </c>
      <c r="DCB84" s="79">
        <f t="shared" si="99"/>
        <v>0</v>
      </c>
      <c r="DCC84" s="145" t="s">
        <v>96</v>
      </c>
      <c r="DCF84" s="79">
        <f>DCF18+DCF24+DCF29+DCF30</f>
        <v>0</v>
      </c>
      <c r="DCG84" s="79">
        <f t="shared" si="99"/>
        <v>0</v>
      </c>
      <c r="DCH84" s="79">
        <f t="shared" si="99"/>
        <v>0</v>
      </c>
      <c r="DCI84" s="79">
        <f t="shared" si="99"/>
        <v>0</v>
      </c>
      <c r="DCJ84" s="79">
        <f t="shared" si="99"/>
        <v>0</v>
      </c>
      <c r="DCK84" s="79">
        <f t="shared" si="99"/>
        <v>0</v>
      </c>
      <c r="DCL84" s="79">
        <f t="shared" si="99"/>
        <v>0</v>
      </c>
      <c r="DCM84" s="79">
        <f t="shared" si="99"/>
        <v>0</v>
      </c>
      <c r="DCN84" s="79">
        <f t="shared" si="99"/>
        <v>0</v>
      </c>
      <c r="DCO84" s="79">
        <f t="shared" si="99"/>
        <v>0</v>
      </c>
      <c r="DCP84" s="79">
        <f t="shared" si="99"/>
        <v>0</v>
      </c>
      <c r="DCQ84" s="79">
        <f t="shared" si="99"/>
        <v>0</v>
      </c>
      <c r="DCR84" s="79">
        <f t="shared" si="99"/>
        <v>0</v>
      </c>
      <c r="DCS84" s="145" t="s">
        <v>96</v>
      </c>
      <c r="DCV84" s="79">
        <f>DCV18+DCV24+DCV29+DCV30</f>
        <v>0</v>
      </c>
      <c r="DCW84" s="79">
        <f t="shared" si="99"/>
        <v>0</v>
      </c>
      <c r="DCX84" s="79">
        <f t="shared" si="99"/>
        <v>0</v>
      </c>
      <c r="DCY84" s="79">
        <f t="shared" si="99"/>
        <v>0</v>
      </c>
      <c r="DCZ84" s="79">
        <f t="shared" si="99"/>
        <v>0</v>
      </c>
      <c r="DDA84" s="79">
        <f t="shared" si="99"/>
        <v>0</v>
      </c>
      <c r="DDB84" s="79">
        <f t="shared" si="99"/>
        <v>0</v>
      </c>
      <c r="DDC84" s="79">
        <f t="shared" si="99"/>
        <v>0</v>
      </c>
      <c r="DDD84" s="79">
        <f t="shared" si="99"/>
        <v>0</v>
      </c>
      <c r="DDE84" s="79">
        <f t="shared" si="99"/>
        <v>0</v>
      </c>
      <c r="DDF84" s="79">
        <f t="shared" si="99"/>
        <v>0</v>
      </c>
      <c r="DDG84" s="79">
        <f t="shared" si="99"/>
        <v>0</v>
      </c>
      <c r="DDH84" s="79">
        <f t="shared" si="99"/>
        <v>0</v>
      </c>
      <c r="DDI84" s="145" t="s">
        <v>96</v>
      </c>
      <c r="DDL84" s="79">
        <f>DDL18+DDL24+DDL29+DDL30</f>
        <v>0</v>
      </c>
      <c r="DDM84" s="79">
        <f t="shared" ref="DDM84:DFT84" si="100">DDM18+DDM24+DDM29+DDM30</f>
        <v>0</v>
      </c>
      <c r="DDN84" s="79">
        <f t="shared" si="100"/>
        <v>0</v>
      </c>
      <c r="DDO84" s="79">
        <f t="shared" si="100"/>
        <v>0</v>
      </c>
      <c r="DDP84" s="79">
        <f t="shared" si="100"/>
        <v>0</v>
      </c>
      <c r="DDQ84" s="79">
        <f t="shared" si="100"/>
        <v>0</v>
      </c>
      <c r="DDR84" s="79">
        <f t="shared" si="100"/>
        <v>0</v>
      </c>
      <c r="DDS84" s="79">
        <f t="shared" si="100"/>
        <v>0</v>
      </c>
      <c r="DDT84" s="79">
        <f t="shared" si="100"/>
        <v>0</v>
      </c>
      <c r="DDU84" s="79">
        <f t="shared" si="100"/>
        <v>0</v>
      </c>
      <c r="DDV84" s="79">
        <f t="shared" si="100"/>
        <v>0</v>
      </c>
      <c r="DDW84" s="79">
        <f t="shared" si="100"/>
        <v>0</v>
      </c>
      <c r="DDX84" s="79">
        <f t="shared" si="100"/>
        <v>0</v>
      </c>
      <c r="DDY84" s="145" t="s">
        <v>96</v>
      </c>
      <c r="DEB84" s="79">
        <f>DEB18+DEB24+DEB29+DEB30</f>
        <v>0</v>
      </c>
      <c r="DEC84" s="79">
        <f t="shared" si="100"/>
        <v>0</v>
      </c>
      <c r="DED84" s="79">
        <f t="shared" si="100"/>
        <v>0</v>
      </c>
      <c r="DEE84" s="79">
        <f t="shared" si="100"/>
        <v>0</v>
      </c>
      <c r="DEF84" s="79">
        <f t="shared" si="100"/>
        <v>0</v>
      </c>
      <c r="DEG84" s="79">
        <f t="shared" si="100"/>
        <v>0</v>
      </c>
      <c r="DEH84" s="79">
        <f t="shared" si="100"/>
        <v>0</v>
      </c>
      <c r="DEI84" s="79">
        <f t="shared" si="100"/>
        <v>0</v>
      </c>
      <c r="DEJ84" s="79">
        <f t="shared" si="100"/>
        <v>0</v>
      </c>
      <c r="DEK84" s="79">
        <f t="shared" si="100"/>
        <v>0</v>
      </c>
      <c r="DEL84" s="79">
        <f t="shared" si="100"/>
        <v>0</v>
      </c>
      <c r="DEM84" s="79">
        <f t="shared" si="100"/>
        <v>0</v>
      </c>
      <c r="DEN84" s="79">
        <f t="shared" si="100"/>
        <v>0</v>
      </c>
      <c r="DEO84" s="145" t="s">
        <v>96</v>
      </c>
      <c r="DER84" s="79">
        <f>DER18+DER24+DER29+DER30</f>
        <v>0</v>
      </c>
      <c r="DES84" s="79">
        <f t="shared" si="100"/>
        <v>0</v>
      </c>
      <c r="DET84" s="79">
        <f t="shared" si="100"/>
        <v>0</v>
      </c>
      <c r="DEU84" s="79">
        <f t="shared" si="100"/>
        <v>0</v>
      </c>
      <c r="DEV84" s="79">
        <f t="shared" si="100"/>
        <v>0</v>
      </c>
      <c r="DEW84" s="79">
        <f t="shared" si="100"/>
        <v>0</v>
      </c>
      <c r="DEX84" s="79">
        <f t="shared" si="100"/>
        <v>0</v>
      </c>
      <c r="DEY84" s="79">
        <f t="shared" si="100"/>
        <v>0</v>
      </c>
      <c r="DEZ84" s="79">
        <f t="shared" si="100"/>
        <v>0</v>
      </c>
      <c r="DFA84" s="79">
        <f t="shared" si="100"/>
        <v>0</v>
      </c>
      <c r="DFB84" s="79">
        <f t="shared" si="100"/>
        <v>0</v>
      </c>
      <c r="DFC84" s="79">
        <f t="shared" si="100"/>
        <v>0</v>
      </c>
      <c r="DFD84" s="79">
        <f t="shared" si="100"/>
        <v>0</v>
      </c>
      <c r="DFE84" s="145" t="s">
        <v>96</v>
      </c>
      <c r="DFH84" s="79">
        <f>DFH18+DFH24+DFH29+DFH30</f>
        <v>0</v>
      </c>
      <c r="DFI84" s="79">
        <f t="shared" si="100"/>
        <v>0</v>
      </c>
      <c r="DFJ84" s="79">
        <f t="shared" si="100"/>
        <v>0</v>
      </c>
      <c r="DFK84" s="79">
        <f t="shared" si="100"/>
        <v>0</v>
      </c>
      <c r="DFL84" s="79">
        <f t="shared" si="100"/>
        <v>0</v>
      </c>
      <c r="DFM84" s="79">
        <f t="shared" si="100"/>
        <v>0</v>
      </c>
      <c r="DFN84" s="79">
        <f t="shared" si="100"/>
        <v>0</v>
      </c>
      <c r="DFO84" s="79">
        <f t="shared" si="100"/>
        <v>0</v>
      </c>
      <c r="DFP84" s="79">
        <f t="shared" si="100"/>
        <v>0</v>
      </c>
      <c r="DFQ84" s="79">
        <f t="shared" si="100"/>
        <v>0</v>
      </c>
      <c r="DFR84" s="79">
        <f t="shared" si="100"/>
        <v>0</v>
      </c>
      <c r="DFS84" s="79">
        <f t="shared" si="100"/>
        <v>0</v>
      </c>
      <c r="DFT84" s="79">
        <f t="shared" si="100"/>
        <v>0</v>
      </c>
      <c r="DFU84" s="145" t="s">
        <v>96</v>
      </c>
      <c r="DFX84" s="79">
        <f>DFX18+DFX24+DFX29+DFX30</f>
        <v>0</v>
      </c>
      <c r="DFY84" s="79">
        <f t="shared" ref="DFY84:DIF84" si="101">DFY18+DFY24+DFY29+DFY30</f>
        <v>0</v>
      </c>
      <c r="DFZ84" s="79">
        <f t="shared" si="101"/>
        <v>0</v>
      </c>
      <c r="DGA84" s="79">
        <f t="shared" si="101"/>
        <v>0</v>
      </c>
      <c r="DGB84" s="79">
        <f t="shared" si="101"/>
        <v>0</v>
      </c>
      <c r="DGC84" s="79">
        <f t="shared" si="101"/>
        <v>0</v>
      </c>
      <c r="DGD84" s="79">
        <f t="shared" si="101"/>
        <v>0</v>
      </c>
      <c r="DGE84" s="79">
        <f t="shared" si="101"/>
        <v>0</v>
      </c>
      <c r="DGF84" s="79">
        <f t="shared" si="101"/>
        <v>0</v>
      </c>
      <c r="DGG84" s="79">
        <f t="shared" si="101"/>
        <v>0</v>
      </c>
      <c r="DGH84" s="79">
        <f t="shared" si="101"/>
        <v>0</v>
      </c>
      <c r="DGI84" s="79">
        <f t="shared" si="101"/>
        <v>0</v>
      </c>
      <c r="DGJ84" s="79">
        <f t="shared" si="101"/>
        <v>0</v>
      </c>
      <c r="DGK84" s="145" t="s">
        <v>96</v>
      </c>
      <c r="DGN84" s="79">
        <f>DGN18+DGN24+DGN29+DGN30</f>
        <v>0</v>
      </c>
      <c r="DGO84" s="79">
        <f t="shared" si="101"/>
        <v>0</v>
      </c>
      <c r="DGP84" s="79">
        <f t="shared" si="101"/>
        <v>0</v>
      </c>
      <c r="DGQ84" s="79">
        <f t="shared" si="101"/>
        <v>0</v>
      </c>
      <c r="DGR84" s="79">
        <f t="shared" si="101"/>
        <v>0</v>
      </c>
      <c r="DGS84" s="79">
        <f t="shared" si="101"/>
        <v>0</v>
      </c>
      <c r="DGT84" s="79">
        <f t="shared" si="101"/>
        <v>0</v>
      </c>
      <c r="DGU84" s="79">
        <f t="shared" si="101"/>
        <v>0</v>
      </c>
      <c r="DGV84" s="79">
        <f t="shared" si="101"/>
        <v>0</v>
      </c>
      <c r="DGW84" s="79">
        <f t="shared" si="101"/>
        <v>0</v>
      </c>
      <c r="DGX84" s="79">
        <f t="shared" si="101"/>
        <v>0</v>
      </c>
      <c r="DGY84" s="79">
        <f t="shared" si="101"/>
        <v>0</v>
      </c>
      <c r="DGZ84" s="79">
        <f t="shared" si="101"/>
        <v>0</v>
      </c>
      <c r="DHA84" s="145" t="s">
        <v>96</v>
      </c>
      <c r="DHD84" s="79">
        <f>DHD18+DHD24+DHD29+DHD30</f>
        <v>0</v>
      </c>
      <c r="DHE84" s="79">
        <f t="shared" si="101"/>
        <v>0</v>
      </c>
      <c r="DHF84" s="79">
        <f t="shared" si="101"/>
        <v>0</v>
      </c>
      <c r="DHG84" s="79">
        <f t="shared" si="101"/>
        <v>0</v>
      </c>
      <c r="DHH84" s="79">
        <f t="shared" si="101"/>
        <v>0</v>
      </c>
      <c r="DHI84" s="79">
        <f t="shared" si="101"/>
        <v>0</v>
      </c>
      <c r="DHJ84" s="79">
        <f t="shared" si="101"/>
        <v>0</v>
      </c>
      <c r="DHK84" s="79">
        <f t="shared" si="101"/>
        <v>0</v>
      </c>
      <c r="DHL84" s="79">
        <f t="shared" si="101"/>
        <v>0</v>
      </c>
      <c r="DHM84" s="79">
        <f t="shared" si="101"/>
        <v>0</v>
      </c>
      <c r="DHN84" s="79">
        <f t="shared" si="101"/>
        <v>0</v>
      </c>
      <c r="DHO84" s="79">
        <f t="shared" si="101"/>
        <v>0</v>
      </c>
      <c r="DHP84" s="79">
        <f t="shared" si="101"/>
        <v>0</v>
      </c>
      <c r="DHQ84" s="145" t="s">
        <v>96</v>
      </c>
      <c r="DHT84" s="79">
        <f>DHT18+DHT24+DHT29+DHT30</f>
        <v>0</v>
      </c>
      <c r="DHU84" s="79">
        <f t="shared" si="101"/>
        <v>0</v>
      </c>
      <c r="DHV84" s="79">
        <f t="shared" si="101"/>
        <v>0</v>
      </c>
      <c r="DHW84" s="79">
        <f t="shared" si="101"/>
        <v>0</v>
      </c>
      <c r="DHX84" s="79">
        <f t="shared" si="101"/>
        <v>0</v>
      </c>
      <c r="DHY84" s="79">
        <f t="shared" si="101"/>
        <v>0</v>
      </c>
      <c r="DHZ84" s="79">
        <f t="shared" si="101"/>
        <v>0</v>
      </c>
      <c r="DIA84" s="79">
        <f t="shared" si="101"/>
        <v>0</v>
      </c>
      <c r="DIB84" s="79">
        <f t="shared" si="101"/>
        <v>0</v>
      </c>
      <c r="DIC84" s="79">
        <f t="shared" si="101"/>
        <v>0</v>
      </c>
      <c r="DID84" s="79">
        <f t="shared" si="101"/>
        <v>0</v>
      </c>
      <c r="DIE84" s="79">
        <f t="shared" si="101"/>
        <v>0</v>
      </c>
      <c r="DIF84" s="79">
        <f t="shared" si="101"/>
        <v>0</v>
      </c>
      <c r="DIG84" s="145" t="s">
        <v>96</v>
      </c>
      <c r="DIJ84" s="79">
        <f>DIJ18+DIJ24+DIJ29+DIJ30</f>
        <v>0</v>
      </c>
      <c r="DIK84" s="79">
        <f t="shared" ref="DIK84:DKR84" si="102">DIK18+DIK24+DIK29+DIK30</f>
        <v>0</v>
      </c>
      <c r="DIL84" s="79">
        <f t="shared" si="102"/>
        <v>0</v>
      </c>
      <c r="DIM84" s="79">
        <f t="shared" si="102"/>
        <v>0</v>
      </c>
      <c r="DIN84" s="79">
        <f t="shared" si="102"/>
        <v>0</v>
      </c>
      <c r="DIO84" s="79">
        <f t="shared" si="102"/>
        <v>0</v>
      </c>
      <c r="DIP84" s="79">
        <f t="shared" si="102"/>
        <v>0</v>
      </c>
      <c r="DIQ84" s="79">
        <f t="shared" si="102"/>
        <v>0</v>
      </c>
      <c r="DIR84" s="79">
        <f t="shared" si="102"/>
        <v>0</v>
      </c>
      <c r="DIS84" s="79">
        <f t="shared" si="102"/>
        <v>0</v>
      </c>
      <c r="DIT84" s="79">
        <f t="shared" si="102"/>
        <v>0</v>
      </c>
      <c r="DIU84" s="79">
        <f t="shared" si="102"/>
        <v>0</v>
      </c>
      <c r="DIV84" s="79">
        <f t="shared" si="102"/>
        <v>0</v>
      </c>
      <c r="DIW84" s="145" t="s">
        <v>96</v>
      </c>
      <c r="DIZ84" s="79">
        <f>DIZ18+DIZ24+DIZ29+DIZ30</f>
        <v>0</v>
      </c>
      <c r="DJA84" s="79">
        <f t="shared" si="102"/>
        <v>0</v>
      </c>
      <c r="DJB84" s="79">
        <f t="shared" si="102"/>
        <v>0</v>
      </c>
      <c r="DJC84" s="79">
        <f t="shared" si="102"/>
        <v>0</v>
      </c>
      <c r="DJD84" s="79">
        <f t="shared" si="102"/>
        <v>0</v>
      </c>
      <c r="DJE84" s="79">
        <f t="shared" si="102"/>
        <v>0</v>
      </c>
      <c r="DJF84" s="79">
        <f t="shared" si="102"/>
        <v>0</v>
      </c>
      <c r="DJG84" s="79">
        <f t="shared" si="102"/>
        <v>0</v>
      </c>
      <c r="DJH84" s="79">
        <f t="shared" si="102"/>
        <v>0</v>
      </c>
      <c r="DJI84" s="79">
        <f t="shared" si="102"/>
        <v>0</v>
      </c>
      <c r="DJJ84" s="79">
        <f t="shared" si="102"/>
        <v>0</v>
      </c>
      <c r="DJK84" s="79">
        <f t="shared" si="102"/>
        <v>0</v>
      </c>
      <c r="DJL84" s="79">
        <f t="shared" si="102"/>
        <v>0</v>
      </c>
      <c r="DJM84" s="145" t="s">
        <v>96</v>
      </c>
      <c r="DJP84" s="79">
        <f>DJP18+DJP24+DJP29+DJP30</f>
        <v>0</v>
      </c>
      <c r="DJQ84" s="79">
        <f t="shared" si="102"/>
        <v>0</v>
      </c>
      <c r="DJR84" s="79">
        <f t="shared" si="102"/>
        <v>0</v>
      </c>
      <c r="DJS84" s="79">
        <f t="shared" si="102"/>
        <v>0</v>
      </c>
      <c r="DJT84" s="79">
        <f t="shared" si="102"/>
        <v>0</v>
      </c>
      <c r="DJU84" s="79">
        <f t="shared" si="102"/>
        <v>0</v>
      </c>
      <c r="DJV84" s="79">
        <f t="shared" si="102"/>
        <v>0</v>
      </c>
      <c r="DJW84" s="79">
        <f t="shared" si="102"/>
        <v>0</v>
      </c>
      <c r="DJX84" s="79">
        <f t="shared" si="102"/>
        <v>0</v>
      </c>
      <c r="DJY84" s="79">
        <f t="shared" si="102"/>
        <v>0</v>
      </c>
      <c r="DJZ84" s="79">
        <f t="shared" si="102"/>
        <v>0</v>
      </c>
      <c r="DKA84" s="79">
        <f t="shared" si="102"/>
        <v>0</v>
      </c>
      <c r="DKB84" s="79">
        <f t="shared" si="102"/>
        <v>0</v>
      </c>
      <c r="DKC84" s="145" t="s">
        <v>96</v>
      </c>
      <c r="DKF84" s="79">
        <f>DKF18+DKF24+DKF29+DKF30</f>
        <v>0</v>
      </c>
      <c r="DKG84" s="79">
        <f t="shared" si="102"/>
        <v>0</v>
      </c>
      <c r="DKH84" s="79">
        <f t="shared" si="102"/>
        <v>0</v>
      </c>
      <c r="DKI84" s="79">
        <f t="shared" si="102"/>
        <v>0</v>
      </c>
      <c r="DKJ84" s="79">
        <f t="shared" si="102"/>
        <v>0</v>
      </c>
      <c r="DKK84" s="79">
        <f t="shared" si="102"/>
        <v>0</v>
      </c>
      <c r="DKL84" s="79">
        <f t="shared" si="102"/>
        <v>0</v>
      </c>
      <c r="DKM84" s="79">
        <f t="shared" si="102"/>
        <v>0</v>
      </c>
      <c r="DKN84" s="79">
        <f t="shared" si="102"/>
        <v>0</v>
      </c>
      <c r="DKO84" s="79">
        <f t="shared" si="102"/>
        <v>0</v>
      </c>
      <c r="DKP84" s="79">
        <f t="shared" si="102"/>
        <v>0</v>
      </c>
      <c r="DKQ84" s="79">
        <f t="shared" si="102"/>
        <v>0</v>
      </c>
      <c r="DKR84" s="79">
        <f t="shared" si="102"/>
        <v>0</v>
      </c>
      <c r="DKS84" s="145" t="s">
        <v>96</v>
      </c>
      <c r="DKV84" s="79">
        <f>DKV18+DKV24+DKV29+DKV30</f>
        <v>0</v>
      </c>
      <c r="DKW84" s="79">
        <f t="shared" ref="DKW84:DND84" si="103">DKW18+DKW24+DKW29+DKW30</f>
        <v>0</v>
      </c>
      <c r="DKX84" s="79">
        <f t="shared" si="103"/>
        <v>0</v>
      </c>
      <c r="DKY84" s="79">
        <f t="shared" si="103"/>
        <v>0</v>
      </c>
      <c r="DKZ84" s="79">
        <f t="shared" si="103"/>
        <v>0</v>
      </c>
      <c r="DLA84" s="79">
        <f t="shared" si="103"/>
        <v>0</v>
      </c>
      <c r="DLB84" s="79">
        <f t="shared" si="103"/>
        <v>0</v>
      </c>
      <c r="DLC84" s="79">
        <f t="shared" si="103"/>
        <v>0</v>
      </c>
      <c r="DLD84" s="79">
        <f t="shared" si="103"/>
        <v>0</v>
      </c>
      <c r="DLE84" s="79">
        <f t="shared" si="103"/>
        <v>0</v>
      </c>
      <c r="DLF84" s="79">
        <f t="shared" si="103"/>
        <v>0</v>
      </c>
      <c r="DLG84" s="79">
        <f t="shared" si="103"/>
        <v>0</v>
      </c>
      <c r="DLH84" s="79">
        <f t="shared" si="103"/>
        <v>0</v>
      </c>
      <c r="DLI84" s="145" t="s">
        <v>96</v>
      </c>
      <c r="DLL84" s="79">
        <f>DLL18+DLL24+DLL29+DLL30</f>
        <v>0</v>
      </c>
      <c r="DLM84" s="79">
        <f t="shared" si="103"/>
        <v>0</v>
      </c>
      <c r="DLN84" s="79">
        <f t="shared" si="103"/>
        <v>0</v>
      </c>
      <c r="DLO84" s="79">
        <f t="shared" si="103"/>
        <v>0</v>
      </c>
      <c r="DLP84" s="79">
        <f t="shared" si="103"/>
        <v>0</v>
      </c>
      <c r="DLQ84" s="79">
        <f t="shared" si="103"/>
        <v>0</v>
      </c>
      <c r="DLR84" s="79">
        <f t="shared" si="103"/>
        <v>0</v>
      </c>
      <c r="DLS84" s="79">
        <f t="shared" si="103"/>
        <v>0</v>
      </c>
      <c r="DLT84" s="79">
        <f t="shared" si="103"/>
        <v>0</v>
      </c>
      <c r="DLU84" s="79">
        <f t="shared" si="103"/>
        <v>0</v>
      </c>
      <c r="DLV84" s="79">
        <f t="shared" si="103"/>
        <v>0</v>
      </c>
      <c r="DLW84" s="79">
        <f t="shared" si="103"/>
        <v>0</v>
      </c>
      <c r="DLX84" s="79">
        <f t="shared" si="103"/>
        <v>0</v>
      </c>
      <c r="DLY84" s="145" t="s">
        <v>96</v>
      </c>
      <c r="DMB84" s="79">
        <f>DMB18+DMB24+DMB29+DMB30</f>
        <v>0</v>
      </c>
      <c r="DMC84" s="79">
        <f t="shared" si="103"/>
        <v>0</v>
      </c>
      <c r="DMD84" s="79">
        <f t="shared" si="103"/>
        <v>0</v>
      </c>
      <c r="DME84" s="79">
        <f t="shared" si="103"/>
        <v>0</v>
      </c>
      <c r="DMF84" s="79">
        <f t="shared" si="103"/>
        <v>0</v>
      </c>
      <c r="DMG84" s="79">
        <f t="shared" si="103"/>
        <v>0</v>
      </c>
      <c r="DMH84" s="79">
        <f t="shared" si="103"/>
        <v>0</v>
      </c>
      <c r="DMI84" s="79">
        <f t="shared" si="103"/>
        <v>0</v>
      </c>
      <c r="DMJ84" s="79">
        <f t="shared" si="103"/>
        <v>0</v>
      </c>
      <c r="DMK84" s="79">
        <f t="shared" si="103"/>
        <v>0</v>
      </c>
      <c r="DML84" s="79">
        <f t="shared" si="103"/>
        <v>0</v>
      </c>
      <c r="DMM84" s="79">
        <f t="shared" si="103"/>
        <v>0</v>
      </c>
      <c r="DMN84" s="79">
        <f t="shared" si="103"/>
        <v>0</v>
      </c>
      <c r="DMO84" s="145" t="s">
        <v>96</v>
      </c>
      <c r="DMR84" s="79">
        <f>DMR18+DMR24+DMR29+DMR30</f>
        <v>0</v>
      </c>
      <c r="DMS84" s="79">
        <f t="shared" si="103"/>
        <v>0</v>
      </c>
      <c r="DMT84" s="79">
        <f t="shared" si="103"/>
        <v>0</v>
      </c>
      <c r="DMU84" s="79">
        <f t="shared" si="103"/>
        <v>0</v>
      </c>
      <c r="DMV84" s="79">
        <f t="shared" si="103"/>
        <v>0</v>
      </c>
      <c r="DMW84" s="79">
        <f t="shared" si="103"/>
        <v>0</v>
      </c>
      <c r="DMX84" s="79">
        <f t="shared" si="103"/>
        <v>0</v>
      </c>
      <c r="DMY84" s="79">
        <f t="shared" si="103"/>
        <v>0</v>
      </c>
      <c r="DMZ84" s="79">
        <f t="shared" si="103"/>
        <v>0</v>
      </c>
      <c r="DNA84" s="79">
        <f t="shared" si="103"/>
        <v>0</v>
      </c>
      <c r="DNB84" s="79">
        <f t="shared" si="103"/>
        <v>0</v>
      </c>
      <c r="DNC84" s="79">
        <f t="shared" si="103"/>
        <v>0</v>
      </c>
      <c r="DND84" s="79">
        <f t="shared" si="103"/>
        <v>0</v>
      </c>
      <c r="DNE84" s="145" t="s">
        <v>96</v>
      </c>
      <c r="DNH84" s="79">
        <f>DNH18+DNH24+DNH29+DNH30</f>
        <v>0</v>
      </c>
      <c r="DNI84" s="79">
        <f t="shared" ref="DNI84:DPP84" si="104">DNI18+DNI24+DNI29+DNI30</f>
        <v>0</v>
      </c>
      <c r="DNJ84" s="79">
        <f t="shared" si="104"/>
        <v>0</v>
      </c>
      <c r="DNK84" s="79">
        <f t="shared" si="104"/>
        <v>0</v>
      </c>
      <c r="DNL84" s="79">
        <f t="shared" si="104"/>
        <v>0</v>
      </c>
      <c r="DNM84" s="79">
        <f t="shared" si="104"/>
        <v>0</v>
      </c>
      <c r="DNN84" s="79">
        <f t="shared" si="104"/>
        <v>0</v>
      </c>
      <c r="DNO84" s="79">
        <f t="shared" si="104"/>
        <v>0</v>
      </c>
      <c r="DNP84" s="79">
        <f t="shared" si="104"/>
        <v>0</v>
      </c>
      <c r="DNQ84" s="79">
        <f t="shared" si="104"/>
        <v>0</v>
      </c>
      <c r="DNR84" s="79">
        <f t="shared" si="104"/>
        <v>0</v>
      </c>
      <c r="DNS84" s="79">
        <f t="shared" si="104"/>
        <v>0</v>
      </c>
      <c r="DNT84" s="79">
        <f t="shared" si="104"/>
        <v>0</v>
      </c>
      <c r="DNU84" s="145" t="s">
        <v>96</v>
      </c>
      <c r="DNX84" s="79">
        <f>DNX18+DNX24+DNX29+DNX30</f>
        <v>0</v>
      </c>
      <c r="DNY84" s="79">
        <f t="shared" si="104"/>
        <v>0</v>
      </c>
      <c r="DNZ84" s="79">
        <f t="shared" si="104"/>
        <v>0</v>
      </c>
      <c r="DOA84" s="79">
        <f t="shared" si="104"/>
        <v>0</v>
      </c>
      <c r="DOB84" s="79">
        <f t="shared" si="104"/>
        <v>0</v>
      </c>
      <c r="DOC84" s="79">
        <f t="shared" si="104"/>
        <v>0</v>
      </c>
      <c r="DOD84" s="79">
        <f t="shared" si="104"/>
        <v>0</v>
      </c>
      <c r="DOE84" s="79">
        <f t="shared" si="104"/>
        <v>0</v>
      </c>
      <c r="DOF84" s="79">
        <f t="shared" si="104"/>
        <v>0</v>
      </c>
      <c r="DOG84" s="79">
        <f t="shared" si="104"/>
        <v>0</v>
      </c>
      <c r="DOH84" s="79">
        <f t="shared" si="104"/>
        <v>0</v>
      </c>
      <c r="DOI84" s="79">
        <f t="shared" si="104"/>
        <v>0</v>
      </c>
      <c r="DOJ84" s="79">
        <f t="shared" si="104"/>
        <v>0</v>
      </c>
      <c r="DOK84" s="145" t="s">
        <v>96</v>
      </c>
      <c r="DON84" s="79">
        <f>DON18+DON24+DON29+DON30</f>
        <v>0</v>
      </c>
      <c r="DOO84" s="79">
        <f t="shared" si="104"/>
        <v>0</v>
      </c>
      <c r="DOP84" s="79">
        <f t="shared" si="104"/>
        <v>0</v>
      </c>
      <c r="DOQ84" s="79">
        <f t="shared" si="104"/>
        <v>0</v>
      </c>
      <c r="DOR84" s="79">
        <f t="shared" si="104"/>
        <v>0</v>
      </c>
      <c r="DOS84" s="79">
        <f t="shared" si="104"/>
        <v>0</v>
      </c>
      <c r="DOT84" s="79">
        <f t="shared" si="104"/>
        <v>0</v>
      </c>
      <c r="DOU84" s="79">
        <f t="shared" si="104"/>
        <v>0</v>
      </c>
      <c r="DOV84" s="79">
        <f t="shared" si="104"/>
        <v>0</v>
      </c>
      <c r="DOW84" s="79">
        <f t="shared" si="104"/>
        <v>0</v>
      </c>
      <c r="DOX84" s="79">
        <f t="shared" si="104"/>
        <v>0</v>
      </c>
      <c r="DOY84" s="79">
        <f t="shared" si="104"/>
        <v>0</v>
      </c>
      <c r="DOZ84" s="79">
        <f t="shared" si="104"/>
        <v>0</v>
      </c>
      <c r="DPA84" s="145" t="s">
        <v>96</v>
      </c>
      <c r="DPD84" s="79">
        <f>DPD18+DPD24+DPD29+DPD30</f>
        <v>0</v>
      </c>
      <c r="DPE84" s="79">
        <f t="shared" si="104"/>
        <v>0</v>
      </c>
      <c r="DPF84" s="79">
        <f t="shared" si="104"/>
        <v>0</v>
      </c>
      <c r="DPG84" s="79">
        <f t="shared" si="104"/>
        <v>0</v>
      </c>
      <c r="DPH84" s="79">
        <f t="shared" si="104"/>
        <v>0</v>
      </c>
      <c r="DPI84" s="79">
        <f t="shared" si="104"/>
        <v>0</v>
      </c>
      <c r="DPJ84" s="79">
        <f t="shared" si="104"/>
        <v>0</v>
      </c>
      <c r="DPK84" s="79">
        <f t="shared" si="104"/>
        <v>0</v>
      </c>
      <c r="DPL84" s="79">
        <f t="shared" si="104"/>
        <v>0</v>
      </c>
      <c r="DPM84" s="79">
        <f t="shared" si="104"/>
        <v>0</v>
      </c>
      <c r="DPN84" s="79">
        <f t="shared" si="104"/>
        <v>0</v>
      </c>
      <c r="DPO84" s="79">
        <f t="shared" si="104"/>
        <v>0</v>
      </c>
      <c r="DPP84" s="79">
        <f t="shared" si="104"/>
        <v>0</v>
      </c>
      <c r="DPQ84" s="145" t="s">
        <v>96</v>
      </c>
      <c r="DPT84" s="79">
        <f>DPT18+DPT24+DPT29+DPT30</f>
        <v>0</v>
      </c>
      <c r="DPU84" s="79">
        <f t="shared" ref="DPU84:DSB84" si="105">DPU18+DPU24+DPU29+DPU30</f>
        <v>0</v>
      </c>
      <c r="DPV84" s="79">
        <f t="shared" si="105"/>
        <v>0</v>
      </c>
      <c r="DPW84" s="79">
        <f t="shared" si="105"/>
        <v>0</v>
      </c>
      <c r="DPX84" s="79">
        <f t="shared" si="105"/>
        <v>0</v>
      </c>
      <c r="DPY84" s="79">
        <f t="shared" si="105"/>
        <v>0</v>
      </c>
      <c r="DPZ84" s="79">
        <f t="shared" si="105"/>
        <v>0</v>
      </c>
      <c r="DQA84" s="79">
        <f t="shared" si="105"/>
        <v>0</v>
      </c>
      <c r="DQB84" s="79">
        <f t="shared" si="105"/>
        <v>0</v>
      </c>
      <c r="DQC84" s="79">
        <f t="shared" si="105"/>
        <v>0</v>
      </c>
      <c r="DQD84" s="79">
        <f t="shared" si="105"/>
        <v>0</v>
      </c>
      <c r="DQE84" s="79">
        <f t="shared" si="105"/>
        <v>0</v>
      </c>
      <c r="DQF84" s="79">
        <f t="shared" si="105"/>
        <v>0</v>
      </c>
      <c r="DQG84" s="145" t="s">
        <v>96</v>
      </c>
      <c r="DQJ84" s="79">
        <f>DQJ18+DQJ24+DQJ29+DQJ30</f>
        <v>0</v>
      </c>
      <c r="DQK84" s="79">
        <f t="shared" si="105"/>
        <v>0</v>
      </c>
      <c r="DQL84" s="79">
        <f t="shared" si="105"/>
        <v>0</v>
      </c>
      <c r="DQM84" s="79">
        <f t="shared" si="105"/>
        <v>0</v>
      </c>
      <c r="DQN84" s="79">
        <f t="shared" si="105"/>
        <v>0</v>
      </c>
      <c r="DQO84" s="79">
        <f t="shared" si="105"/>
        <v>0</v>
      </c>
      <c r="DQP84" s="79">
        <f t="shared" si="105"/>
        <v>0</v>
      </c>
      <c r="DQQ84" s="79">
        <f t="shared" si="105"/>
        <v>0</v>
      </c>
      <c r="DQR84" s="79">
        <f t="shared" si="105"/>
        <v>0</v>
      </c>
      <c r="DQS84" s="79">
        <f t="shared" si="105"/>
        <v>0</v>
      </c>
      <c r="DQT84" s="79">
        <f t="shared" si="105"/>
        <v>0</v>
      </c>
      <c r="DQU84" s="79">
        <f t="shared" si="105"/>
        <v>0</v>
      </c>
      <c r="DQV84" s="79">
        <f t="shared" si="105"/>
        <v>0</v>
      </c>
      <c r="DQW84" s="145" t="s">
        <v>96</v>
      </c>
      <c r="DQZ84" s="79">
        <f>DQZ18+DQZ24+DQZ29+DQZ30</f>
        <v>0</v>
      </c>
      <c r="DRA84" s="79">
        <f t="shared" si="105"/>
        <v>0</v>
      </c>
      <c r="DRB84" s="79">
        <f t="shared" si="105"/>
        <v>0</v>
      </c>
      <c r="DRC84" s="79">
        <f t="shared" si="105"/>
        <v>0</v>
      </c>
      <c r="DRD84" s="79">
        <f t="shared" si="105"/>
        <v>0</v>
      </c>
      <c r="DRE84" s="79">
        <f t="shared" si="105"/>
        <v>0</v>
      </c>
      <c r="DRF84" s="79">
        <f t="shared" si="105"/>
        <v>0</v>
      </c>
      <c r="DRG84" s="79">
        <f t="shared" si="105"/>
        <v>0</v>
      </c>
      <c r="DRH84" s="79">
        <f t="shared" si="105"/>
        <v>0</v>
      </c>
      <c r="DRI84" s="79">
        <f t="shared" si="105"/>
        <v>0</v>
      </c>
      <c r="DRJ84" s="79">
        <f t="shared" si="105"/>
        <v>0</v>
      </c>
      <c r="DRK84" s="79">
        <f t="shared" si="105"/>
        <v>0</v>
      </c>
      <c r="DRL84" s="79">
        <f t="shared" si="105"/>
        <v>0</v>
      </c>
      <c r="DRM84" s="145" t="s">
        <v>96</v>
      </c>
      <c r="DRP84" s="79">
        <f>DRP18+DRP24+DRP29+DRP30</f>
        <v>0</v>
      </c>
      <c r="DRQ84" s="79">
        <f t="shared" si="105"/>
        <v>0</v>
      </c>
      <c r="DRR84" s="79">
        <f t="shared" si="105"/>
        <v>0</v>
      </c>
      <c r="DRS84" s="79">
        <f t="shared" si="105"/>
        <v>0</v>
      </c>
      <c r="DRT84" s="79">
        <f t="shared" si="105"/>
        <v>0</v>
      </c>
      <c r="DRU84" s="79">
        <f t="shared" si="105"/>
        <v>0</v>
      </c>
      <c r="DRV84" s="79">
        <f t="shared" si="105"/>
        <v>0</v>
      </c>
      <c r="DRW84" s="79">
        <f t="shared" si="105"/>
        <v>0</v>
      </c>
      <c r="DRX84" s="79">
        <f t="shared" si="105"/>
        <v>0</v>
      </c>
      <c r="DRY84" s="79">
        <f t="shared" si="105"/>
        <v>0</v>
      </c>
      <c r="DRZ84" s="79">
        <f t="shared" si="105"/>
        <v>0</v>
      </c>
      <c r="DSA84" s="79">
        <f t="shared" si="105"/>
        <v>0</v>
      </c>
      <c r="DSB84" s="79">
        <f t="shared" si="105"/>
        <v>0</v>
      </c>
      <c r="DSC84" s="145" t="s">
        <v>96</v>
      </c>
      <c r="DSF84" s="79">
        <f>DSF18+DSF24+DSF29+DSF30</f>
        <v>0</v>
      </c>
      <c r="DSG84" s="79">
        <f t="shared" ref="DSG84:DUN84" si="106">DSG18+DSG24+DSG29+DSG30</f>
        <v>0</v>
      </c>
      <c r="DSH84" s="79">
        <f t="shared" si="106"/>
        <v>0</v>
      </c>
      <c r="DSI84" s="79">
        <f t="shared" si="106"/>
        <v>0</v>
      </c>
      <c r="DSJ84" s="79">
        <f t="shared" si="106"/>
        <v>0</v>
      </c>
      <c r="DSK84" s="79">
        <f t="shared" si="106"/>
        <v>0</v>
      </c>
      <c r="DSL84" s="79">
        <f t="shared" si="106"/>
        <v>0</v>
      </c>
      <c r="DSM84" s="79">
        <f t="shared" si="106"/>
        <v>0</v>
      </c>
      <c r="DSN84" s="79">
        <f t="shared" si="106"/>
        <v>0</v>
      </c>
      <c r="DSO84" s="79">
        <f t="shared" si="106"/>
        <v>0</v>
      </c>
      <c r="DSP84" s="79">
        <f t="shared" si="106"/>
        <v>0</v>
      </c>
      <c r="DSQ84" s="79">
        <f t="shared" si="106"/>
        <v>0</v>
      </c>
      <c r="DSR84" s="79">
        <f t="shared" si="106"/>
        <v>0</v>
      </c>
      <c r="DSS84" s="145" t="s">
        <v>96</v>
      </c>
      <c r="DSV84" s="79">
        <f>DSV18+DSV24+DSV29+DSV30</f>
        <v>0</v>
      </c>
      <c r="DSW84" s="79">
        <f t="shared" si="106"/>
        <v>0</v>
      </c>
      <c r="DSX84" s="79">
        <f t="shared" si="106"/>
        <v>0</v>
      </c>
      <c r="DSY84" s="79">
        <f t="shared" si="106"/>
        <v>0</v>
      </c>
      <c r="DSZ84" s="79">
        <f t="shared" si="106"/>
        <v>0</v>
      </c>
      <c r="DTA84" s="79">
        <f t="shared" si="106"/>
        <v>0</v>
      </c>
      <c r="DTB84" s="79">
        <f t="shared" si="106"/>
        <v>0</v>
      </c>
      <c r="DTC84" s="79">
        <f t="shared" si="106"/>
        <v>0</v>
      </c>
      <c r="DTD84" s="79">
        <f t="shared" si="106"/>
        <v>0</v>
      </c>
      <c r="DTE84" s="79">
        <f t="shared" si="106"/>
        <v>0</v>
      </c>
      <c r="DTF84" s="79">
        <f t="shared" si="106"/>
        <v>0</v>
      </c>
      <c r="DTG84" s="79">
        <f t="shared" si="106"/>
        <v>0</v>
      </c>
      <c r="DTH84" s="79">
        <f t="shared" si="106"/>
        <v>0</v>
      </c>
      <c r="DTI84" s="145" t="s">
        <v>96</v>
      </c>
      <c r="DTL84" s="79">
        <f>DTL18+DTL24+DTL29+DTL30</f>
        <v>0</v>
      </c>
      <c r="DTM84" s="79">
        <f t="shared" si="106"/>
        <v>0</v>
      </c>
      <c r="DTN84" s="79">
        <f t="shared" si="106"/>
        <v>0</v>
      </c>
      <c r="DTO84" s="79">
        <f t="shared" si="106"/>
        <v>0</v>
      </c>
      <c r="DTP84" s="79">
        <f t="shared" si="106"/>
        <v>0</v>
      </c>
      <c r="DTQ84" s="79">
        <f t="shared" si="106"/>
        <v>0</v>
      </c>
      <c r="DTR84" s="79">
        <f t="shared" si="106"/>
        <v>0</v>
      </c>
      <c r="DTS84" s="79">
        <f t="shared" si="106"/>
        <v>0</v>
      </c>
      <c r="DTT84" s="79">
        <f t="shared" si="106"/>
        <v>0</v>
      </c>
      <c r="DTU84" s="79">
        <f t="shared" si="106"/>
        <v>0</v>
      </c>
      <c r="DTV84" s="79">
        <f t="shared" si="106"/>
        <v>0</v>
      </c>
      <c r="DTW84" s="79">
        <f t="shared" si="106"/>
        <v>0</v>
      </c>
      <c r="DTX84" s="79">
        <f t="shared" si="106"/>
        <v>0</v>
      </c>
      <c r="DTY84" s="145" t="s">
        <v>96</v>
      </c>
      <c r="DUB84" s="79">
        <f>DUB18+DUB24+DUB29+DUB30</f>
        <v>0</v>
      </c>
      <c r="DUC84" s="79">
        <f t="shared" si="106"/>
        <v>0</v>
      </c>
      <c r="DUD84" s="79">
        <f t="shared" si="106"/>
        <v>0</v>
      </c>
      <c r="DUE84" s="79">
        <f t="shared" si="106"/>
        <v>0</v>
      </c>
      <c r="DUF84" s="79">
        <f t="shared" si="106"/>
        <v>0</v>
      </c>
      <c r="DUG84" s="79">
        <f t="shared" si="106"/>
        <v>0</v>
      </c>
      <c r="DUH84" s="79">
        <f t="shared" si="106"/>
        <v>0</v>
      </c>
      <c r="DUI84" s="79">
        <f t="shared" si="106"/>
        <v>0</v>
      </c>
      <c r="DUJ84" s="79">
        <f t="shared" si="106"/>
        <v>0</v>
      </c>
      <c r="DUK84" s="79">
        <f t="shared" si="106"/>
        <v>0</v>
      </c>
      <c r="DUL84" s="79">
        <f t="shared" si="106"/>
        <v>0</v>
      </c>
      <c r="DUM84" s="79">
        <f t="shared" si="106"/>
        <v>0</v>
      </c>
      <c r="DUN84" s="79">
        <f t="shared" si="106"/>
        <v>0</v>
      </c>
      <c r="DUO84" s="145" t="s">
        <v>96</v>
      </c>
      <c r="DUR84" s="79">
        <f>DUR18+DUR24+DUR29+DUR30</f>
        <v>0</v>
      </c>
      <c r="DUS84" s="79">
        <f t="shared" ref="DUS84:DWZ84" si="107">DUS18+DUS24+DUS29+DUS30</f>
        <v>0</v>
      </c>
      <c r="DUT84" s="79">
        <f t="shared" si="107"/>
        <v>0</v>
      </c>
      <c r="DUU84" s="79">
        <f t="shared" si="107"/>
        <v>0</v>
      </c>
      <c r="DUV84" s="79">
        <f t="shared" si="107"/>
        <v>0</v>
      </c>
      <c r="DUW84" s="79">
        <f t="shared" si="107"/>
        <v>0</v>
      </c>
      <c r="DUX84" s="79">
        <f t="shared" si="107"/>
        <v>0</v>
      </c>
      <c r="DUY84" s="79">
        <f t="shared" si="107"/>
        <v>0</v>
      </c>
      <c r="DUZ84" s="79">
        <f t="shared" si="107"/>
        <v>0</v>
      </c>
      <c r="DVA84" s="79">
        <f t="shared" si="107"/>
        <v>0</v>
      </c>
      <c r="DVB84" s="79">
        <f t="shared" si="107"/>
        <v>0</v>
      </c>
      <c r="DVC84" s="79">
        <f t="shared" si="107"/>
        <v>0</v>
      </c>
      <c r="DVD84" s="79">
        <f t="shared" si="107"/>
        <v>0</v>
      </c>
      <c r="DVE84" s="145" t="s">
        <v>96</v>
      </c>
      <c r="DVH84" s="79">
        <f>DVH18+DVH24+DVH29+DVH30</f>
        <v>0</v>
      </c>
      <c r="DVI84" s="79">
        <f t="shared" si="107"/>
        <v>0</v>
      </c>
      <c r="DVJ84" s="79">
        <f t="shared" si="107"/>
        <v>0</v>
      </c>
      <c r="DVK84" s="79">
        <f t="shared" si="107"/>
        <v>0</v>
      </c>
      <c r="DVL84" s="79">
        <f t="shared" si="107"/>
        <v>0</v>
      </c>
      <c r="DVM84" s="79">
        <f t="shared" si="107"/>
        <v>0</v>
      </c>
      <c r="DVN84" s="79">
        <f t="shared" si="107"/>
        <v>0</v>
      </c>
      <c r="DVO84" s="79">
        <f t="shared" si="107"/>
        <v>0</v>
      </c>
      <c r="DVP84" s="79">
        <f t="shared" si="107"/>
        <v>0</v>
      </c>
      <c r="DVQ84" s="79">
        <f t="shared" si="107"/>
        <v>0</v>
      </c>
      <c r="DVR84" s="79">
        <f t="shared" si="107"/>
        <v>0</v>
      </c>
      <c r="DVS84" s="79">
        <f t="shared" si="107"/>
        <v>0</v>
      </c>
      <c r="DVT84" s="79">
        <f t="shared" si="107"/>
        <v>0</v>
      </c>
      <c r="DVU84" s="145" t="s">
        <v>96</v>
      </c>
      <c r="DVX84" s="79">
        <f>DVX18+DVX24+DVX29+DVX30</f>
        <v>0</v>
      </c>
      <c r="DVY84" s="79">
        <f t="shared" si="107"/>
        <v>0</v>
      </c>
      <c r="DVZ84" s="79">
        <f t="shared" si="107"/>
        <v>0</v>
      </c>
      <c r="DWA84" s="79">
        <f t="shared" si="107"/>
        <v>0</v>
      </c>
      <c r="DWB84" s="79">
        <f t="shared" si="107"/>
        <v>0</v>
      </c>
      <c r="DWC84" s="79">
        <f t="shared" si="107"/>
        <v>0</v>
      </c>
      <c r="DWD84" s="79">
        <f t="shared" si="107"/>
        <v>0</v>
      </c>
      <c r="DWE84" s="79">
        <f t="shared" si="107"/>
        <v>0</v>
      </c>
      <c r="DWF84" s="79">
        <f t="shared" si="107"/>
        <v>0</v>
      </c>
      <c r="DWG84" s="79">
        <f t="shared" si="107"/>
        <v>0</v>
      </c>
      <c r="DWH84" s="79">
        <f t="shared" si="107"/>
        <v>0</v>
      </c>
      <c r="DWI84" s="79">
        <f t="shared" si="107"/>
        <v>0</v>
      </c>
      <c r="DWJ84" s="79">
        <f t="shared" si="107"/>
        <v>0</v>
      </c>
      <c r="DWK84" s="145" t="s">
        <v>96</v>
      </c>
      <c r="DWN84" s="79">
        <f>DWN18+DWN24+DWN29+DWN30</f>
        <v>0</v>
      </c>
      <c r="DWO84" s="79">
        <f t="shared" si="107"/>
        <v>0</v>
      </c>
      <c r="DWP84" s="79">
        <f t="shared" si="107"/>
        <v>0</v>
      </c>
      <c r="DWQ84" s="79">
        <f t="shared" si="107"/>
        <v>0</v>
      </c>
      <c r="DWR84" s="79">
        <f t="shared" si="107"/>
        <v>0</v>
      </c>
      <c r="DWS84" s="79">
        <f t="shared" si="107"/>
        <v>0</v>
      </c>
      <c r="DWT84" s="79">
        <f t="shared" si="107"/>
        <v>0</v>
      </c>
      <c r="DWU84" s="79">
        <f t="shared" si="107"/>
        <v>0</v>
      </c>
      <c r="DWV84" s="79">
        <f t="shared" si="107"/>
        <v>0</v>
      </c>
      <c r="DWW84" s="79">
        <f t="shared" si="107"/>
        <v>0</v>
      </c>
      <c r="DWX84" s="79">
        <f t="shared" si="107"/>
        <v>0</v>
      </c>
      <c r="DWY84" s="79">
        <f t="shared" si="107"/>
        <v>0</v>
      </c>
      <c r="DWZ84" s="79">
        <f t="shared" si="107"/>
        <v>0</v>
      </c>
      <c r="DXA84" s="145" t="s">
        <v>96</v>
      </c>
      <c r="DXD84" s="79">
        <f>DXD18+DXD24+DXD29+DXD30</f>
        <v>0</v>
      </c>
      <c r="DXE84" s="79">
        <f t="shared" ref="DXE84:DZL84" si="108">DXE18+DXE24+DXE29+DXE30</f>
        <v>0</v>
      </c>
      <c r="DXF84" s="79">
        <f t="shared" si="108"/>
        <v>0</v>
      </c>
      <c r="DXG84" s="79">
        <f t="shared" si="108"/>
        <v>0</v>
      </c>
      <c r="DXH84" s="79">
        <f t="shared" si="108"/>
        <v>0</v>
      </c>
      <c r="DXI84" s="79">
        <f t="shared" si="108"/>
        <v>0</v>
      </c>
      <c r="DXJ84" s="79">
        <f t="shared" si="108"/>
        <v>0</v>
      </c>
      <c r="DXK84" s="79">
        <f t="shared" si="108"/>
        <v>0</v>
      </c>
      <c r="DXL84" s="79">
        <f t="shared" si="108"/>
        <v>0</v>
      </c>
      <c r="DXM84" s="79">
        <f t="shared" si="108"/>
        <v>0</v>
      </c>
      <c r="DXN84" s="79">
        <f t="shared" si="108"/>
        <v>0</v>
      </c>
      <c r="DXO84" s="79">
        <f t="shared" si="108"/>
        <v>0</v>
      </c>
      <c r="DXP84" s="79">
        <f t="shared" si="108"/>
        <v>0</v>
      </c>
      <c r="DXQ84" s="145" t="s">
        <v>96</v>
      </c>
      <c r="DXT84" s="79">
        <f>DXT18+DXT24+DXT29+DXT30</f>
        <v>0</v>
      </c>
      <c r="DXU84" s="79">
        <f t="shared" si="108"/>
        <v>0</v>
      </c>
      <c r="DXV84" s="79">
        <f t="shared" si="108"/>
        <v>0</v>
      </c>
      <c r="DXW84" s="79">
        <f t="shared" si="108"/>
        <v>0</v>
      </c>
      <c r="DXX84" s="79">
        <f t="shared" si="108"/>
        <v>0</v>
      </c>
      <c r="DXY84" s="79">
        <f t="shared" si="108"/>
        <v>0</v>
      </c>
      <c r="DXZ84" s="79">
        <f t="shared" si="108"/>
        <v>0</v>
      </c>
      <c r="DYA84" s="79">
        <f t="shared" si="108"/>
        <v>0</v>
      </c>
      <c r="DYB84" s="79">
        <f t="shared" si="108"/>
        <v>0</v>
      </c>
      <c r="DYC84" s="79">
        <f t="shared" si="108"/>
        <v>0</v>
      </c>
      <c r="DYD84" s="79">
        <f t="shared" si="108"/>
        <v>0</v>
      </c>
      <c r="DYE84" s="79">
        <f t="shared" si="108"/>
        <v>0</v>
      </c>
      <c r="DYF84" s="79">
        <f t="shared" si="108"/>
        <v>0</v>
      </c>
      <c r="DYG84" s="145" t="s">
        <v>96</v>
      </c>
      <c r="DYJ84" s="79">
        <f>DYJ18+DYJ24+DYJ29+DYJ30</f>
        <v>0</v>
      </c>
      <c r="DYK84" s="79">
        <f t="shared" si="108"/>
        <v>0</v>
      </c>
      <c r="DYL84" s="79">
        <f t="shared" si="108"/>
        <v>0</v>
      </c>
      <c r="DYM84" s="79">
        <f t="shared" si="108"/>
        <v>0</v>
      </c>
      <c r="DYN84" s="79">
        <f t="shared" si="108"/>
        <v>0</v>
      </c>
      <c r="DYO84" s="79">
        <f t="shared" si="108"/>
        <v>0</v>
      </c>
      <c r="DYP84" s="79">
        <f t="shared" si="108"/>
        <v>0</v>
      </c>
      <c r="DYQ84" s="79">
        <f t="shared" si="108"/>
        <v>0</v>
      </c>
      <c r="DYR84" s="79">
        <f t="shared" si="108"/>
        <v>0</v>
      </c>
      <c r="DYS84" s="79">
        <f t="shared" si="108"/>
        <v>0</v>
      </c>
      <c r="DYT84" s="79">
        <f t="shared" si="108"/>
        <v>0</v>
      </c>
      <c r="DYU84" s="79">
        <f t="shared" si="108"/>
        <v>0</v>
      </c>
      <c r="DYV84" s="79">
        <f t="shared" si="108"/>
        <v>0</v>
      </c>
      <c r="DYW84" s="145" t="s">
        <v>96</v>
      </c>
      <c r="DYZ84" s="79">
        <f>DYZ18+DYZ24+DYZ29+DYZ30</f>
        <v>0</v>
      </c>
      <c r="DZA84" s="79">
        <f t="shared" si="108"/>
        <v>0</v>
      </c>
      <c r="DZB84" s="79">
        <f t="shared" si="108"/>
        <v>0</v>
      </c>
      <c r="DZC84" s="79">
        <f t="shared" si="108"/>
        <v>0</v>
      </c>
      <c r="DZD84" s="79">
        <f t="shared" si="108"/>
        <v>0</v>
      </c>
      <c r="DZE84" s="79">
        <f t="shared" si="108"/>
        <v>0</v>
      </c>
      <c r="DZF84" s="79">
        <f t="shared" si="108"/>
        <v>0</v>
      </c>
      <c r="DZG84" s="79">
        <f t="shared" si="108"/>
        <v>0</v>
      </c>
      <c r="DZH84" s="79">
        <f t="shared" si="108"/>
        <v>0</v>
      </c>
      <c r="DZI84" s="79">
        <f t="shared" si="108"/>
        <v>0</v>
      </c>
      <c r="DZJ84" s="79">
        <f t="shared" si="108"/>
        <v>0</v>
      </c>
      <c r="DZK84" s="79">
        <f t="shared" si="108"/>
        <v>0</v>
      </c>
      <c r="DZL84" s="79">
        <f t="shared" si="108"/>
        <v>0</v>
      </c>
      <c r="DZM84" s="145" t="s">
        <v>96</v>
      </c>
      <c r="DZP84" s="79">
        <f>DZP18+DZP24+DZP29+DZP30</f>
        <v>0</v>
      </c>
      <c r="DZQ84" s="79">
        <f t="shared" ref="DZQ84:EBX84" si="109">DZQ18+DZQ24+DZQ29+DZQ30</f>
        <v>0</v>
      </c>
      <c r="DZR84" s="79">
        <f t="shared" si="109"/>
        <v>0</v>
      </c>
      <c r="DZS84" s="79">
        <f t="shared" si="109"/>
        <v>0</v>
      </c>
      <c r="DZT84" s="79">
        <f t="shared" si="109"/>
        <v>0</v>
      </c>
      <c r="DZU84" s="79">
        <f t="shared" si="109"/>
        <v>0</v>
      </c>
      <c r="DZV84" s="79">
        <f t="shared" si="109"/>
        <v>0</v>
      </c>
      <c r="DZW84" s="79">
        <f t="shared" si="109"/>
        <v>0</v>
      </c>
      <c r="DZX84" s="79">
        <f t="shared" si="109"/>
        <v>0</v>
      </c>
      <c r="DZY84" s="79">
        <f t="shared" si="109"/>
        <v>0</v>
      </c>
      <c r="DZZ84" s="79">
        <f t="shared" si="109"/>
        <v>0</v>
      </c>
      <c r="EAA84" s="79">
        <f t="shared" si="109"/>
        <v>0</v>
      </c>
      <c r="EAB84" s="79">
        <f t="shared" si="109"/>
        <v>0</v>
      </c>
      <c r="EAC84" s="145" t="s">
        <v>96</v>
      </c>
      <c r="EAF84" s="79">
        <f>EAF18+EAF24+EAF29+EAF30</f>
        <v>0</v>
      </c>
      <c r="EAG84" s="79">
        <f t="shared" si="109"/>
        <v>0</v>
      </c>
      <c r="EAH84" s="79">
        <f t="shared" si="109"/>
        <v>0</v>
      </c>
      <c r="EAI84" s="79">
        <f t="shared" si="109"/>
        <v>0</v>
      </c>
      <c r="EAJ84" s="79">
        <f t="shared" si="109"/>
        <v>0</v>
      </c>
      <c r="EAK84" s="79">
        <f t="shared" si="109"/>
        <v>0</v>
      </c>
      <c r="EAL84" s="79">
        <f t="shared" si="109"/>
        <v>0</v>
      </c>
      <c r="EAM84" s="79">
        <f t="shared" si="109"/>
        <v>0</v>
      </c>
      <c r="EAN84" s="79">
        <f t="shared" si="109"/>
        <v>0</v>
      </c>
      <c r="EAO84" s="79">
        <f t="shared" si="109"/>
        <v>0</v>
      </c>
      <c r="EAP84" s="79">
        <f t="shared" si="109"/>
        <v>0</v>
      </c>
      <c r="EAQ84" s="79">
        <f t="shared" si="109"/>
        <v>0</v>
      </c>
      <c r="EAR84" s="79">
        <f t="shared" si="109"/>
        <v>0</v>
      </c>
      <c r="EAS84" s="145" t="s">
        <v>96</v>
      </c>
      <c r="EAV84" s="79">
        <f>EAV18+EAV24+EAV29+EAV30</f>
        <v>0</v>
      </c>
      <c r="EAW84" s="79">
        <f t="shared" si="109"/>
        <v>0</v>
      </c>
      <c r="EAX84" s="79">
        <f t="shared" si="109"/>
        <v>0</v>
      </c>
      <c r="EAY84" s="79">
        <f t="shared" si="109"/>
        <v>0</v>
      </c>
      <c r="EAZ84" s="79">
        <f t="shared" si="109"/>
        <v>0</v>
      </c>
      <c r="EBA84" s="79">
        <f t="shared" si="109"/>
        <v>0</v>
      </c>
      <c r="EBB84" s="79">
        <f t="shared" si="109"/>
        <v>0</v>
      </c>
      <c r="EBC84" s="79">
        <f t="shared" si="109"/>
        <v>0</v>
      </c>
      <c r="EBD84" s="79">
        <f t="shared" si="109"/>
        <v>0</v>
      </c>
      <c r="EBE84" s="79">
        <f t="shared" si="109"/>
        <v>0</v>
      </c>
      <c r="EBF84" s="79">
        <f t="shared" si="109"/>
        <v>0</v>
      </c>
      <c r="EBG84" s="79">
        <f t="shared" si="109"/>
        <v>0</v>
      </c>
      <c r="EBH84" s="79">
        <f t="shared" si="109"/>
        <v>0</v>
      </c>
      <c r="EBI84" s="145" t="s">
        <v>96</v>
      </c>
      <c r="EBL84" s="79">
        <f>EBL18+EBL24+EBL29+EBL30</f>
        <v>0</v>
      </c>
      <c r="EBM84" s="79">
        <f t="shared" si="109"/>
        <v>0</v>
      </c>
      <c r="EBN84" s="79">
        <f t="shared" si="109"/>
        <v>0</v>
      </c>
      <c r="EBO84" s="79">
        <f t="shared" si="109"/>
        <v>0</v>
      </c>
      <c r="EBP84" s="79">
        <f t="shared" si="109"/>
        <v>0</v>
      </c>
      <c r="EBQ84" s="79">
        <f t="shared" si="109"/>
        <v>0</v>
      </c>
      <c r="EBR84" s="79">
        <f t="shared" si="109"/>
        <v>0</v>
      </c>
      <c r="EBS84" s="79">
        <f t="shared" si="109"/>
        <v>0</v>
      </c>
      <c r="EBT84" s="79">
        <f t="shared" si="109"/>
        <v>0</v>
      </c>
      <c r="EBU84" s="79">
        <f t="shared" si="109"/>
        <v>0</v>
      </c>
      <c r="EBV84" s="79">
        <f t="shared" si="109"/>
        <v>0</v>
      </c>
      <c r="EBW84" s="79">
        <f t="shared" si="109"/>
        <v>0</v>
      </c>
      <c r="EBX84" s="79">
        <f t="shared" si="109"/>
        <v>0</v>
      </c>
      <c r="EBY84" s="145" t="s">
        <v>96</v>
      </c>
      <c r="ECB84" s="79">
        <f>ECB18+ECB24+ECB29+ECB30</f>
        <v>0</v>
      </c>
      <c r="ECC84" s="79">
        <f t="shared" ref="ECC84:EEJ84" si="110">ECC18+ECC24+ECC29+ECC30</f>
        <v>0</v>
      </c>
      <c r="ECD84" s="79">
        <f t="shared" si="110"/>
        <v>0</v>
      </c>
      <c r="ECE84" s="79">
        <f t="shared" si="110"/>
        <v>0</v>
      </c>
      <c r="ECF84" s="79">
        <f t="shared" si="110"/>
        <v>0</v>
      </c>
      <c r="ECG84" s="79">
        <f t="shared" si="110"/>
        <v>0</v>
      </c>
      <c r="ECH84" s="79">
        <f t="shared" si="110"/>
        <v>0</v>
      </c>
      <c r="ECI84" s="79">
        <f t="shared" si="110"/>
        <v>0</v>
      </c>
      <c r="ECJ84" s="79">
        <f t="shared" si="110"/>
        <v>0</v>
      </c>
      <c r="ECK84" s="79">
        <f t="shared" si="110"/>
        <v>0</v>
      </c>
      <c r="ECL84" s="79">
        <f t="shared" si="110"/>
        <v>0</v>
      </c>
      <c r="ECM84" s="79">
        <f t="shared" si="110"/>
        <v>0</v>
      </c>
      <c r="ECN84" s="79">
        <f t="shared" si="110"/>
        <v>0</v>
      </c>
      <c r="ECO84" s="145" t="s">
        <v>96</v>
      </c>
      <c r="ECR84" s="79">
        <f>ECR18+ECR24+ECR29+ECR30</f>
        <v>0</v>
      </c>
      <c r="ECS84" s="79">
        <f t="shared" si="110"/>
        <v>0</v>
      </c>
      <c r="ECT84" s="79">
        <f t="shared" si="110"/>
        <v>0</v>
      </c>
      <c r="ECU84" s="79">
        <f t="shared" si="110"/>
        <v>0</v>
      </c>
      <c r="ECV84" s="79">
        <f t="shared" si="110"/>
        <v>0</v>
      </c>
      <c r="ECW84" s="79">
        <f t="shared" si="110"/>
        <v>0</v>
      </c>
      <c r="ECX84" s="79">
        <f t="shared" si="110"/>
        <v>0</v>
      </c>
      <c r="ECY84" s="79">
        <f t="shared" si="110"/>
        <v>0</v>
      </c>
      <c r="ECZ84" s="79">
        <f t="shared" si="110"/>
        <v>0</v>
      </c>
      <c r="EDA84" s="79">
        <f t="shared" si="110"/>
        <v>0</v>
      </c>
      <c r="EDB84" s="79">
        <f t="shared" si="110"/>
        <v>0</v>
      </c>
      <c r="EDC84" s="79">
        <f t="shared" si="110"/>
        <v>0</v>
      </c>
      <c r="EDD84" s="79">
        <f t="shared" si="110"/>
        <v>0</v>
      </c>
      <c r="EDE84" s="145" t="s">
        <v>96</v>
      </c>
      <c r="EDH84" s="79">
        <f>EDH18+EDH24+EDH29+EDH30</f>
        <v>0</v>
      </c>
      <c r="EDI84" s="79">
        <f t="shared" si="110"/>
        <v>0</v>
      </c>
      <c r="EDJ84" s="79">
        <f t="shared" si="110"/>
        <v>0</v>
      </c>
      <c r="EDK84" s="79">
        <f t="shared" si="110"/>
        <v>0</v>
      </c>
      <c r="EDL84" s="79">
        <f t="shared" si="110"/>
        <v>0</v>
      </c>
      <c r="EDM84" s="79">
        <f t="shared" si="110"/>
        <v>0</v>
      </c>
      <c r="EDN84" s="79">
        <f t="shared" si="110"/>
        <v>0</v>
      </c>
      <c r="EDO84" s="79">
        <f t="shared" si="110"/>
        <v>0</v>
      </c>
      <c r="EDP84" s="79">
        <f t="shared" si="110"/>
        <v>0</v>
      </c>
      <c r="EDQ84" s="79">
        <f t="shared" si="110"/>
        <v>0</v>
      </c>
      <c r="EDR84" s="79">
        <f t="shared" si="110"/>
        <v>0</v>
      </c>
      <c r="EDS84" s="79">
        <f t="shared" si="110"/>
        <v>0</v>
      </c>
      <c r="EDT84" s="79">
        <f t="shared" si="110"/>
        <v>0</v>
      </c>
      <c r="EDU84" s="145" t="s">
        <v>96</v>
      </c>
      <c r="EDX84" s="79">
        <f>EDX18+EDX24+EDX29+EDX30</f>
        <v>0</v>
      </c>
      <c r="EDY84" s="79">
        <f t="shared" si="110"/>
        <v>0</v>
      </c>
      <c r="EDZ84" s="79">
        <f t="shared" si="110"/>
        <v>0</v>
      </c>
      <c r="EEA84" s="79">
        <f t="shared" si="110"/>
        <v>0</v>
      </c>
      <c r="EEB84" s="79">
        <f t="shared" si="110"/>
        <v>0</v>
      </c>
      <c r="EEC84" s="79">
        <f t="shared" si="110"/>
        <v>0</v>
      </c>
      <c r="EED84" s="79">
        <f t="shared" si="110"/>
        <v>0</v>
      </c>
      <c r="EEE84" s="79">
        <f t="shared" si="110"/>
        <v>0</v>
      </c>
      <c r="EEF84" s="79">
        <f t="shared" si="110"/>
        <v>0</v>
      </c>
      <c r="EEG84" s="79">
        <f t="shared" si="110"/>
        <v>0</v>
      </c>
      <c r="EEH84" s="79">
        <f t="shared" si="110"/>
        <v>0</v>
      </c>
      <c r="EEI84" s="79">
        <f t="shared" si="110"/>
        <v>0</v>
      </c>
      <c r="EEJ84" s="79">
        <f t="shared" si="110"/>
        <v>0</v>
      </c>
      <c r="EEK84" s="145" t="s">
        <v>96</v>
      </c>
      <c r="EEN84" s="79">
        <f>EEN18+EEN24+EEN29+EEN30</f>
        <v>0</v>
      </c>
      <c r="EEO84" s="79">
        <f t="shared" ref="EEO84:EGV84" si="111">EEO18+EEO24+EEO29+EEO30</f>
        <v>0</v>
      </c>
      <c r="EEP84" s="79">
        <f t="shared" si="111"/>
        <v>0</v>
      </c>
      <c r="EEQ84" s="79">
        <f t="shared" si="111"/>
        <v>0</v>
      </c>
      <c r="EER84" s="79">
        <f t="shared" si="111"/>
        <v>0</v>
      </c>
      <c r="EES84" s="79">
        <f t="shared" si="111"/>
        <v>0</v>
      </c>
      <c r="EET84" s="79">
        <f t="shared" si="111"/>
        <v>0</v>
      </c>
      <c r="EEU84" s="79">
        <f t="shared" si="111"/>
        <v>0</v>
      </c>
      <c r="EEV84" s="79">
        <f t="shared" si="111"/>
        <v>0</v>
      </c>
      <c r="EEW84" s="79">
        <f t="shared" si="111"/>
        <v>0</v>
      </c>
      <c r="EEX84" s="79">
        <f t="shared" si="111"/>
        <v>0</v>
      </c>
      <c r="EEY84" s="79">
        <f t="shared" si="111"/>
        <v>0</v>
      </c>
      <c r="EEZ84" s="79">
        <f t="shared" si="111"/>
        <v>0</v>
      </c>
      <c r="EFA84" s="145" t="s">
        <v>96</v>
      </c>
      <c r="EFD84" s="79">
        <f>EFD18+EFD24+EFD29+EFD30</f>
        <v>0</v>
      </c>
      <c r="EFE84" s="79">
        <f t="shared" si="111"/>
        <v>0</v>
      </c>
      <c r="EFF84" s="79">
        <f t="shared" si="111"/>
        <v>0</v>
      </c>
      <c r="EFG84" s="79">
        <f t="shared" si="111"/>
        <v>0</v>
      </c>
      <c r="EFH84" s="79">
        <f t="shared" si="111"/>
        <v>0</v>
      </c>
      <c r="EFI84" s="79">
        <f t="shared" si="111"/>
        <v>0</v>
      </c>
      <c r="EFJ84" s="79">
        <f t="shared" si="111"/>
        <v>0</v>
      </c>
      <c r="EFK84" s="79">
        <f t="shared" si="111"/>
        <v>0</v>
      </c>
      <c r="EFL84" s="79">
        <f t="shared" si="111"/>
        <v>0</v>
      </c>
      <c r="EFM84" s="79">
        <f t="shared" si="111"/>
        <v>0</v>
      </c>
      <c r="EFN84" s="79">
        <f t="shared" si="111"/>
        <v>0</v>
      </c>
      <c r="EFO84" s="79">
        <f t="shared" si="111"/>
        <v>0</v>
      </c>
      <c r="EFP84" s="79">
        <f t="shared" si="111"/>
        <v>0</v>
      </c>
      <c r="EFQ84" s="145" t="s">
        <v>96</v>
      </c>
      <c r="EFT84" s="79">
        <f>EFT18+EFT24+EFT29+EFT30</f>
        <v>0</v>
      </c>
      <c r="EFU84" s="79">
        <f t="shared" si="111"/>
        <v>0</v>
      </c>
      <c r="EFV84" s="79">
        <f t="shared" si="111"/>
        <v>0</v>
      </c>
      <c r="EFW84" s="79">
        <f t="shared" si="111"/>
        <v>0</v>
      </c>
      <c r="EFX84" s="79">
        <f t="shared" si="111"/>
        <v>0</v>
      </c>
      <c r="EFY84" s="79">
        <f t="shared" si="111"/>
        <v>0</v>
      </c>
      <c r="EFZ84" s="79">
        <f t="shared" si="111"/>
        <v>0</v>
      </c>
      <c r="EGA84" s="79">
        <f t="shared" si="111"/>
        <v>0</v>
      </c>
      <c r="EGB84" s="79">
        <f t="shared" si="111"/>
        <v>0</v>
      </c>
      <c r="EGC84" s="79">
        <f t="shared" si="111"/>
        <v>0</v>
      </c>
      <c r="EGD84" s="79">
        <f t="shared" si="111"/>
        <v>0</v>
      </c>
      <c r="EGE84" s="79">
        <f t="shared" si="111"/>
        <v>0</v>
      </c>
      <c r="EGF84" s="79">
        <f t="shared" si="111"/>
        <v>0</v>
      </c>
      <c r="EGG84" s="145" t="s">
        <v>96</v>
      </c>
      <c r="EGJ84" s="79">
        <f>EGJ18+EGJ24+EGJ29+EGJ30</f>
        <v>0</v>
      </c>
      <c r="EGK84" s="79">
        <f t="shared" si="111"/>
        <v>0</v>
      </c>
      <c r="EGL84" s="79">
        <f t="shared" si="111"/>
        <v>0</v>
      </c>
      <c r="EGM84" s="79">
        <f t="shared" si="111"/>
        <v>0</v>
      </c>
      <c r="EGN84" s="79">
        <f t="shared" si="111"/>
        <v>0</v>
      </c>
      <c r="EGO84" s="79">
        <f t="shared" si="111"/>
        <v>0</v>
      </c>
      <c r="EGP84" s="79">
        <f t="shared" si="111"/>
        <v>0</v>
      </c>
      <c r="EGQ84" s="79">
        <f t="shared" si="111"/>
        <v>0</v>
      </c>
      <c r="EGR84" s="79">
        <f t="shared" si="111"/>
        <v>0</v>
      </c>
      <c r="EGS84" s="79">
        <f t="shared" si="111"/>
        <v>0</v>
      </c>
      <c r="EGT84" s="79">
        <f t="shared" si="111"/>
        <v>0</v>
      </c>
      <c r="EGU84" s="79">
        <f t="shared" si="111"/>
        <v>0</v>
      </c>
      <c r="EGV84" s="79">
        <f t="shared" si="111"/>
        <v>0</v>
      </c>
      <c r="EGW84" s="145" t="s">
        <v>96</v>
      </c>
      <c r="EGZ84" s="79">
        <f>EGZ18+EGZ24+EGZ29+EGZ30</f>
        <v>0</v>
      </c>
      <c r="EHA84" s="79">
        <f t="shared" ref="EHA84:EJH84" si="112">EHA18+EHA24+EHA29+EHA30</f>
        <v>0</v>
      </c>
      <c r="EHB84" s="79">
        <f t="shared" si="112"/>
        <v>0</v>
      </c>
      <c r="EHC84" s="79">
        <f t="shared" si="112"/>
        <v>0</v>
      </c>
      <c r="EHD84" s="79">
        <f t="shared" si="112"/>
        <v>0</v>
      </c>
      <c r="EHE84" s="79">
        <f t="shared" si="112"/>
        <v>0</v>
      </c>
      <c r="EHF84" s="79">
        <f t="shared" si="112"/>
        <v>0</v>
      </c>
      <c r="EHG84" s="79">
        <f t="shared" si="112"/>
        <v>0</v>
      </c>
      <c r="EHH84" s="79">
        <f t="shared" si="112"/>
        <v>0</v>
      </c>
      <c r="EHI84" s="79">
        <f t="shared" si="112"/>
        <v>0</v>
      </c>
      <c r="EHJ84" s="79">
        <f t="shared" si="112"/>
        <v>0</v>
      </c>
      <c r="EHK84" s="79">
        <f t="shared" si="112"/>
        <v>0</v>
      </c>
      <c r="EHL84" s="79">
        <f t="shared" si="112"/>
        <v>0</v>
      </c>
      <c r="EHM84" s="145" t="s">
        <v>96</v>
      </c>
      <c r="EHP84" s="79">
        <f>EHP18+EHP24+EHP29+EHP30</f>
        <v>0</v>
      </c>
      <c r="EHQ84" s="79">
        <f t="shared" si="112"/>
        <v>0</v>
      </c>
      <c r="EHR84" s="79">
        <f t="shared" si="112"/>
        <v>0</v>
      </c>
      <c r="EHS84" s="79">
        <f t="shared" si="112"/>
        <v>0</v>
      </c>
      <c r="EHT84" s="79">
        <f t="shared" si="112"/>
        <v>0</v>
      </c>
      <c r="EHU84" s="79">
        <f t="shared" si="112"/>
        <v>0</v>
      </c>
      <c r="EHV84" s="79">
        <f t="shared" si="112"/>
        <v>0</v>
      </c>
      <c r="EHW84" s="79">
        <f t="shared" si="112"/>
        <v>0</v>
      </c>
      <c r="EHX84" s="79">
        <f t="shared" si="112"/>
        <v>0</v>
      </c>
      <c r="EHY84" s="79">
        <f t="shared" si="112"/>
        <v>0</v>
      </c>
      <c r="EHZ84" s="79">
        <f t="shared" si="112"/>
        <v>0</v>
      </c>
      <c r="EIA84" s="79">
        <f t="shared" si="112"/>
        <v>0</v>
      </c>
      <c r="EIB84" s="79">
        <f t="shared" si="112"/>
        <v>0</v>
      </c>
      <c r="EIC84" s="145" t="s">
        <v>96</v>
      </c>
      <c r="EIF84" s="79">
        <f>EIF18+EIF24+EIF29+EIF30</f>
        <v>0</v>
      </c>
      <c r="EIG84" s="79">
        <f t="shared" si="112"/>
        <v>0</v>
      </c>
      <c r="EIH84" s="79">
        <f t="shared" si="112"/>
        <v>0</v>
      </c>
      <c r="EII84" s="79">
        <f t="shared" si="112"/>
        <v>0</v>
      </c>
      <c r="EIJ84" s="79">
        <f t="shared" si="112"/>
        <v>0</v>
      </c>
      <c r="EIK84" s="79">
        <f t="shared" si="112"/>
        <v>0</v>
      </c>
      <c r="EIL84" s="79">
        <f t="shared" si="112"/>
        <v>0</v>
      </c>
      <c r="EIM84" s="79">
        <f t="shared" si="112"/>
        <v>0</v>
      </c>
      <c r="EIN84" s="79">
        <f t="shared" si="112"/>
        <v>0</v>
      </c>
      <c r="EIO84" s="79">
        <f t="shared" si="112"/>
        <v>0</v>
      </c>
      <c r="EIP84" s="79">
        <f t="shared" si="112"/>
        <v>0</v>
      </c>
      <c r="EIQ84" s="79">
        <f t="shared" si="112"/>
        <v>0</v>
      </c>
      <c r="EIR84" s="79">
        <f t="shared" si="112"/>
        <v>0</v>
      </c>
      <c r="EIS84" s="145" t="s">
        <v>96</v>
      </c>
      <c r="EIV84" s="79">
        <f>EIV18+EIV24+EIV29+EIV30</f>
        <v>0</v>
      </c>
      <c r="EIW84" s="79">
        <f t="shared" si="112"/>
        <v>0</v>
      </c>
      <c r="EIX84" s="79">
        <f t="shared" si="112"/>
        <v>0</v>
      </c>
      <c r="EIY84" s="79">
        <f t="shared" si="112"/>
        <v>0</v>
      </c>
      <c r="EIZ84" s="79">
        <f t="shared" si="112"/>
        <v>0</v>
      </c>
      <c r="EJA84" s="79">
        <f t="shared" si="112"/>
        <v>0</v>
      </c>
      <c r="EJB84" s="79">
        <f t="shared" si="112"/>
        <v>0</v>
      </c>
      <c r="EJC84" s="79">
        <f t="shared" si="112"/>
        <v>0</v>
      </c>
      <c r="EJD84" s="79">
        <f t="shared" si="112"/>
        <v>0</v>
      </c>
      <c r="EJE84" s="79">
        <f t="shared" si="112"/>
        <v>0</v>
      </c>
      <c r="EJF84" s="79">
        <f t="shared" si="112"/>
        <v>0</v>
      </c>
      <c r="EJG84" s="79">
        <f t="shared" si="112"/>
        <v>0</v>
      </c>
      <c r="EJH84" s="79">
        <f t="shared" si="112"/>
        <v>0</v>
      </c>
      <c r="EJI84" s="145" t="s">
        <v>96</v>
      </c>
      <c r="EJL84" s="79">
        <f>EJL18+EJL24+EJL29+EJL30</f>
        <v>0</v>
      </c>
      <c r="EJM84" s="79">
        <f t="shared" ref="EJM84:ELT84" si="113">EJM18+EJM24+EJM29+EJM30</f>
        <v>0</v>
      </c>
      <c r="EJN84" s="79">
        <f t="shared" si="113"/>
        <v>0</v>
      </c>
      <c r="EJO84" s="79">
        <f t="shared" si="113"/>
        <v>0</v>
      </c>
      <c r="EJP84" s="79">
        <f t="shared" si="113"/>
        <v>0</v>
      </c>
      <c r="EJQ84" s="79">
        <f t="shared" si="113"/>
        <v>0</v>
      </c>
      <c r="EJR84" s="79">
        <f t="shared" si="113"/>
        <v>0</v>
      </c>
      <c r="EJS84" s="79">
        <f t="shared" si="113"/>
        <v>0</v>
      </c>
      <c r="EJT84" s="79">
        <f t="shared" si="113"/>
        <v>0</v>
      </c>
      <c r="EJU84" s="79">
        <f t="shared" si="113"/>
        <v>0</v>
      </c>
      <c r="EJV84" s="79">
        <f t="shared" si="113"/>
        <v>0</v>
      </c>
      <c r="EJW84" s="79">
        <f t="shared" si="113"/>
        <v>0</v>
      </c>
      <c r="EJX84" s="79">
        <f t="shared" si="113"/>
        <v>0</v>
      </c>
      <c r="EJY84" s="145" t="s">
        <v>96</v>
      </c>
      <c r="EKB84" s="79">
        <f>EKB18+EKB24+EKB29+EKB30</f>
        <v>0</v>
      </c>
      <c r="EKC84" s="79">
        <f t="shared" si="113"/>
        <v>0</v>
      </c>
      <c r="EKD84" s="79">
        <f t="shared" si="113"/>
        <v>0</v>
      </c>
      <c r="EKE84" s="79">
        <f t="shared" si="113"/>
        <v>0</v>
      </c>
      <c r="EKF84" s="79">
        <f t="shared" si="113"/>
        <v>0</v>
      </c>
      <c r="EKG84" s="79">
        <f t="shared" si="113"/>
        <v>0</v>
      </c>
      <c r="EKH84" s="79">
        <f t="shared" si="113"/>
        <v>0</v>
      </c>
      <c r="EKI84" s="79">
        <f t="shared" si="113"/>
        <v>0</v>
      </c>
      <c r="EKJ84" s="79">
        <f t="shared" si="113"/>
        <v>0</v>
      </c>
      <c r="EKK84" s="79">
        <f t="shared" si="113"/>
        <v>0</v>
      </c>
      <c r="EKL84" s="79">
        <f t="shared" si="113"/>
        <v>0</v>
      </c>
      <c r="EKM84" s="79">
        <f t="shared" si="113"/>
        <v>0</v>
      </c>
      <c r="EKN84" s="79">
        <f t="shared" si="113"/>
        <v>0</v>
      </c>
      <c r="EKO84" s="145" t="s">
        <v>96</v>
      </c>
      <c r="EKR84" s="79">
        <f>EKR18+EKR24+EKR29+EKR30</f>
        <v>0</v>
      </c>
      <c r="EKS84" s="79">
        <f t="shared" si="113"/>
        <v>0</v>
      </c>
      <c r="EKT84" s="79">
        <f t="shared" si="113"/>
        <v>0</v>
      </c>
      <c r="EKU84" s="79">
        <f t="shared" si="113"/>
        <v>0</v>
      </c>
      <c r="EKV84" s="79">
        <f t="shared" si="113"/>
        <v>0</v>
      </c>
      <c r="EKW84" s="79">
        <f t="shared" si="113"/>
        <v>0</v>
      </c>
      <c r="EKX84" s="79">
        <f t="shared" si="113"/>
        <v>0</v>
      </c>
      <c r="EKY84" s="79">
        <f t="shared" si="113"/>
        <v>0</v>
      </c>
      <c r="EKZ84" s="79">
        <f t="shared" si="113"/>
        <v>0</v>
      </c>
      <c r="ELA84" s="79">
        <f t="shared" si="113"/>
        <v>0</v>
      </c>
      <c r="ELB84" s="79">
        <f t="shared" si="113"/>
        <v>0</v>
      </c>
      <c r="ELC84" s="79">
        <f t="shared" si="113"/>
        <v>0</v>
      </c>
      <c r="ELD84" s="79">
        <f t="shared" si="113"/>
        <v>0</v>
      </c>
      <c r="ELE84" s="145" t="s">
        <v>96</v>
      </c>
      <c r="ELH84" s="79">
        <f>ELH18+ELH24+ELH29+ELH30</f>
        <v>0</v>
      </c>
      <c r="ELI84" s="79">
        <f t="shared" si="113"/>
        <v>0</v>
      </c>
      <c r="ELJ84" s="79">
        <f t="shared" si="113"/>
        <v>0</v>
      </c>
      <c r="ELK84" s="79">
        <f t="shared" si="113"/>
        <v>0</v>
      </c>
      <c r="ELL84" s="79">
        <f t="shared" si="113"/>
        <v>0</v>
      </c>
      <c r="ELM84" s="79">
        <f t="shared" si="113"/>
        <v>0</v>
      </c>
      <c r="ELN84" s="79">
        <f t="shared" si="113"/>
        <v>0</v>
      </c>
      <c r="ELO84" s="79">
        <f t="shared" si="113"/>
        <v>0</v>
      </c>
      <c r="ELP84" s="79">
        <f t="shared" si="113"/>
        <v>0</v>
      </c>
      <c r="ELQ84" s="79">
        <f t="shared" si="113"/>
        <v>0</v>
      </c>
      <c r="ELR84" s="79">
        <f t="shared" si="113"/>
        <v>0</v>
      </c>
      <c r="ELS84" s="79">
        <f t="shared" si="113"/>
        <v>0</v>
      </c>
      <c r="ELT84" s="79">
        <f t="shared" si="113"/>
        <v>0</v>
      </c>
      <c r="ELU84" s="145" t="s">
        <v>96</v>
      </c>
      <c r="ELX84" s="79">
        <f>ELX18+ELX24+ELX29+ELX30</f>
        <v>0</v>
      </c>
      <c r="ELY84" s="79">
        <f t="shared" ref="ELY84:EOF84" si="114">ELY18+ELY24+ELY29+ELY30</f>
        <v>0</v>
      </c>
      <c r="ELZ84" s="79">
        <f t="shared" si="114"/>
        <v>0</v>
      </c>
      <c r="EMA84" s="79">
        <f t="shared" si="114"/>
        <v>0</v>
      </c>
      <c r="EMB84" s="79">
        <f t="shared" si="114"/>
        <v>0</v>
      </c>
      <c r="EMC84" s="79">
        <f t="shared" si="114"/>
        <v>0</v>
      </c>
      <c r="EMD84" s="79">
        <f t="shared" si="114"/>
        <v>0</v>
      </c>
      <c r="EME84" s="79">
        <f t="shared" si="114"/>
        <v>0</v>
      </c>
      <c r="EMF84" s="79">
        <f t="shared" si="114"/>
        <v>0</v>
      </c>
      <c r="EMG84" s="79">
        <f t="shared" si="114"/>
        <v>0</v>
      </c>
      <c r="EMH84" s="79">
        <f t="shared" si="114"/>
        <v>0</v>
      </c>
      <c r="EMI84" s="79">
        <f t="shared" si="114"/>
        <v>0</v>
      </c>
      <c r="EMJ84" s="79">
        <f t="shared" si="114"/>
        <v>0</v>
      </c>
      <c r="EMK84" s="145" t="s">
        <v>96</v>
      </c>
      <c r="EMN84" s="79">
        <f>EMN18+EMN24+EMN29+EMN30</f>
        <v>0</v>
      </c>
      <c r="EMO84" s="79">
        <f t="shared" si="114"/>
        <v>0</v>
      </c>
      <c r="EMP84" s="79">
        <f t="shared" si="114"/>
        <v>0</v>
      </c>
      <c r="EMQ84" s="79">
        <f t="shared" si="114"/>
        <v>0</v>
      </c>
      <c r="EMR84" s="79">
        <f t="shared" si="114"/>
        <v>0</v>
      </c>
      <c r="EMS84" s="79">
        <f t="shared" si="114"/>
        <v>0</v>
      </c>
      <c r="EMT84" s="79">
        <f t="shared" si="114"/>
        <v>0</v>
      </c>
      <c r="EMU84" s="79">
        <f t="shared" si="114"/>
        <v>0</v>
      </c>
      <c r="EMV84" s="79">
        <f t="shared" si="114"/>
        <v>0</v>
      </c>
      <c r="EMW84" s="79">
        <f t="shared" si="114"/>
        <v>0</v>
      </c>
      <c r="EMX84" s="79">
        <f t="shared" si="114"/>
        <v>0</v>
      </c>
      <c r="EMY84" s="79">
        <f t="shared" si="114"/>
        <v>0</v>
      </c>
      <c r="EMZ84" s="79">
        <f t="shared" si="114"/>
        <v>0</v>
      </c>
      <c r="ENA84" s="145" t="s">
        <v>96</v>
      </c>
      <c r="END84" s="79">
        <f>END18+END24+END29+END30</f>
        <v>0</v>
      </c>
      <c r="ENE84" s="79">
        <f t="shared" si="114"/>
        <v>0</v>
      </c>
      <c r="ENF84" s="79">
        <f t="shared" si="114"/>
        <v>0</v>
      </c>
      <c r="ENG84" s="79">
        <f t="shared" si="114"/>
        <v>0</v>
      </c>
      <c r="ENH84" s="79">
        <f t="shared" si="114"/>
        <v>0</v>
      </c>
      <c r="ENI84" s="79">
        <f t="shared" si="114"/>
        <v>0</v>
      </c>
      <c r="ENJ84" s="79">
        <f t="shared" si="114"/>
        <v>0</v>
      </c>
      <c r="ENK84" s="79">
        <f t="shared" si="114"/>
        <v>0</v>
      </c>
      <c r="ENL84" s="79">
        <f t="shared" si="114"/>
        <v>0</v>
      </c>
      <c r="ENM84" s="79">
        <f t="shared" si="114"/>
        <v>0</v>
      </c>
      <c r="ENN84" s="79">
        <f t="shared" si="114"/>
        <v>0</v>
      </c>
      <c r="ENO84" s="79">
        <f t="shared" si="114"/>
        <v>0</v>
      </c>
      <c r="ENP84" s="79">
        <f t="shared" si="114"/>
        <v>0</v>
      </c>
      <c r="ENQ84" s="145" t="s">
        <v>96</v>
      </c>
      <c r="ENT84" s="79">
        <f>ENT18+ENT24+ENT29+ENT30</f>
        <v>0</v>
      </c>
      <c r="ENU84" s="79">
        <f t="shared" si="114"/>
        <v>0</v>
      </c>
      <c r="ENV84" s="79">
        <f t="shared" si="114"/>
        <v>0</v>
      </c>
      <c r="ENW84" s="79">
        <f t="shared" si="114"/>
        <v>0</v>
      </c>
      <c r="ENX84" s="79">
        <f t="shared" si="114"/>
        <v>0</v>
      </c>
      <c r="ENY84" s="79">
        <f t="shared" si="114"/>
        <v>0</v>
      </c>
      <c r="ENZ84" s="79">
        <f t="shared" si="114"/>
        <v>0</v>
      </c>
      <c r="EOA84" s="79">
        <f t="shared" si="114"/>
        <v>0</v>
      </c>
      <c r="EOB84" s="79">
        <f t="shared" si="114"/>
        <v>0</v>
      </c>
      <c r="EOC84" s="79">
        <f t="shared" si="114"/>
        <v>0</v>
      </c>
      <c r="EOD84" s="79">
        <f t="shared" si="114"/>
        <v>0</v>
      </c>
      <c r="EOE84" s="79">
        <f t="shared" si="114"/>
        <v>0</v>
      </c>
      <c r="EOF84" s="79">
        <f t="shared" si="114"/>
        <v>0</v>
      </c>
      <c r="EOG84" s="145" t="s">
        <v>96</v>
      </c>
      <c r="EOJ84" s="79">
        <f>EOJ18+EOJ24+EOJ29+EOJ30</f>
        <v>0</v>
      </c>
      <c r="EOK84" s="79">
        <f t="shared" ref="EOK84:EQR84" si="115">EOK18+EOK24+EOK29+EOK30</f>
        <v>0</v>
      </c>
      <c r="EOL84" s="79">
        <f t="shared" si="115"/>
        <v>0</v>
      </c>
      <c r="EOM84" s="79">
        <f t="shared" si="115"/>
        <v>0</v>
      </c>
      <c r="EON84" s="79">
        <f t="shared" si="115"/>
        <v>0</v>
      </c>
      <c r="EOO84" s="79">
        <f t="shared" si="115"/>
        <v>0</v>
      </c>
      <c r="EOP84" s="79">
        <f t="shared" si="115"/>
        <v>0</v>
      </c>
      <c r="EOQ84" s="79">
        <f t="shared" si="115"/>
        <v>0</v>
      </c>
      <c r="EOR84" s="79">
        <f t="shared" si="115"/>
        <v>0</v>
      </c>
      <c r="EOS84" s="79">
        <f t="shared" si="115"/>
        <v>0</v>
      </c>
      <c r="EOT84" s="79">
        <f t="shared" si="115"/>
        <v>0</v>
      </c>
      <c r="EOU84" s="79">
        <f t="shared" si="115"/>
        <v>0</v>
      </c>
      <c r="EOV84" s="79">
        <f t="shared" si="115"/>
        <v>0</v>
      </c>
      <c r="EOW84" s="145" t="s">
        <v>96</v>
      </c>
      <c r="EOZ84" s="79">
        <f>EOZ18+EOZ24+EOZ29+EOZ30</f>
        <v>0</v>
      </c>
      <c r="EPA84" s="79">
        <f t="shared" si="115"/>
        <v>0</v>
      </c>
      <c r="EPB84" s="79">
        <f t="shared" si="115"/>
        <v>0</v>
      </c>
      <c r="EPC84" s="79">
        <f t="shared" si="115"/>
        <v>0</v>
      </c>
      <c r="EPD84" s="79">
        <f t="shared" si="115"/>
        <v>0</v>
      </c>
      <c r="EPE84" s="79">
        <f t="shared" si="115"/>
        <v>0</v>
      </c>
      <c r="EPF84" s="79">
        <f t="shared" si="115"/>
        <v>0</v>
      </c>
      <c r="EPG84" s="79">
        <f t="shared" si="115"/>
        <v>0</v>
      </c>
      <c r="EPH84" s="79">
        <f t="shared" si="115"/>
        <v>0</v>
      </c>
      <c r="EPI84" s="79">
        <f t="shared" si="115"/>
        <v>0</v>
      </c>
      <c r="EPJ84" s="79">
        <f t="shared" si="115"/>
        <v>0</v>
      </c>
      <c r="EPK84" s="79">
        <f t="shared" si="115"/>
        <v>0</v>
      </c>
      <c r="EPL84" s="79">
        <f t="shared" si="115"/>
        <v>0</v>
      </c>
      <c r="EPM84" s="145" t="s">
        <v>96</v>
      </c>
      <c r="EPP84" s="79">
        <f>EPP18+EPP24+EPP29+EPP30</f>
        <v>0</v>
      </c>
      <c r="EPQ84" s="79">
        <f t="shared" si="115"/>
        <v>0</v>
      </c>
      <c r="EPR84" s="79">
        <f t="shared" si="115"/>
        <v>0</v>
      </c>
      <c r="EPS84" s="79">
        <f t="shared" si="115"/>
        <v>0</v>
      </c>
      <c r="EPT84" s="79">
        <f t="shared" si="115"/>
        <v>0</v>
      </c>
      <c r="EPU84" s="79">
        <f t="shared" si="115"/>
        <v>0</v>
      </c>
      <c r="EPV84" s="79">
        <f t="shared" si="115"/>
        <v>0</v>
      </c>
      <c r="EPW84" s="79">
        <f t="shared" si="115"/>
        <v>0</v>
      </c>
      <c r="EPX84" s="79">
        <f t="shared" si="115"/>
        <v>0</v>
      </c>
      <c r="EPY84" s="79">
        <f t="shared" si="115"/>
        <v>0</v>
      </c>
      <c r="EPZ84" s="79">
        <f t="shared" si="115"/>
        <v>0</v>
      </c>
      <c r="EQA84" s="79">
        <f t="shared" si="115"/>
        <v>0</v>
      </c>
      <c r="EQB84" s="79">
        <f t="shared" si="115"/>
        <v>0</v>
      </c>
      <c r="EQC84" s="145" t="s">
        <v>96</v>
      </c>
      <c r="EQF84" s="79">
        <f>EQF18+EQF24+EQF29+EQF30</f>
        <v>0</v>
      </c>
      <c r="EQG84" s="79">
        <f t="shared" si="115"/>
        <v>0</v>
      </c>
      <c r="EQH84" s="79">
        <f t="shared" si="115"/>
        <v>0</v>
      </c>
      <c r="EQI84" s="79">
        <f t="shared" si="115"/>
        <v>0</v>
      </c>
      <c r="EQJ84" s="79">
        <f t="shared" si="115"/>
        <v>0</v>
      </c>
      <c r="EQK84" s="79">
        <f t="shared" si="115"/>
        <v>0</v>
      </c>
      <c r="EQL84" s="79">
        <f t="shared" si="115"/>
        <v>0</v>
      </c>
      <c r="EQM84" s="79">
        <f t="shared" si="115"/>
        <v>0</v>
      </c>
      <c r="EQN84" s="79">
        <f t="shared" si="115"/>
        <v>0</v>
      </c>
      <c r="EQO84" s="79">
        <f t="shared" si="115"/>
        <v>0</v>
      </c>
      <c r="EQP84" s="79">
        <f t="shared" si="115"/>
        <v>0</v>
      </c>
      <c r="EQQ84" s="79">
        <f t="shared" si="115"/>
        <v>0</v>
      </c>
      <c r="EQR84" s="79">
        <f t="shared" si="115"/>
        <v>0</v>
      </c>
      <c r="EQS84" s="145" t="s">
        <v>96</v>
      </c>
      <c r="EQV84" s="79">
        <f>EQV18+EQV24+EQV29+EQV30</f>
        <v>0</v>
      </c>
      <c r="EQW84" s="79">
        <f t="shared" ref="EQW84:ETD84" si="116">EQW18+EQW24+EQW29+EQW30</f>
        <v>0</v>
      </c>
      <c r="EQX84" s="79">
        <f t="shared" si="116"/>
        <v>0</v>
      </c>
      <c r="EQY84" s="79">
        <f t="shared" si="116"/>
        <v>0</v>
      </c>
      <c r="EQZ84" s="79">
        <f t="shared" si="116"/>
        <v>0</v>
      </c>
      <c r="ERA84" s="79">
        <f t="shared" si="116"/>
        <v>0</v>
      </c>
      <c r="ERB84" s="79">
        <f t="shared" si="116"/>
        <v>0</v>
      </c>
      <c r="ERC84" s="79">
        <f t="shared" si="116"/>
        <v>0</v>
      </c>
      <c r="ERD84" s="79">
        <f t="shared" si="116"/>
        <v>0</v>
      </c>
      <c r="ERE84" s="79">
        <f t="shared" si="116"/>
        <v>0</v>
      </c>
      <c r="ERF84" s="79">
        <f t="shared" si="116"/>
        <v>0</v>
      </c>
      <c r="ERG84" s="79">
        <f t="shared" si="116"/>
        <v>0</v>
      </c>
      <c r="ERH84" s="79">
        <f t="shared" si="116"/>
        <v>0</v>
      </c>
      <c r="ERI84" s="145" t="s">
        <v>96</v>
      </c>
      <c r="ERL84" s="79">
        <f>ERL18+ERL24+ERL29+ERL30</f>
        <v>0</v>
      </c>
      <c r="ERM84" s="79">
        <f t="shared" si="116"/>
        <v>0</v>
      </c>
      <c r="ERN84" s="79">
        <f t="shared" si="116"/>
        <v>0</v>
      </c>
      <c r="ERO84" s="79">
        <f t="shared" si="116"/>
        <v>0</v>
      </c>
      <c r="ERP84" s="79">
        <f t="shared" si="116"/>
        <v>0</v>
      </c>
      <c r="ERQ84" s="79">
        <f t="shared" si="116"/>
        <v>0</v>
      </c>
      <c r="ERR84" s="79">
        <f t="shared" si="116"/>
        <v>0</v>
      </c>
      <c r="ERS84" s="79">
        <f t="shared" si="116"/>
        <v>0</v>
      </c>
      <c r="ERT84" s="79">
        <f t="shared" si="116"/>
        <v>0</v>
      </c>
      <c r="ERU84" s="79">
        <f t="shared" si="116"/>
        <v>0</v>
      </c>
      <c r="ERV84" s="79">
        <f t="shared" si="116"/>
        <v>0</v>
      </c>
      <c r="ERW84" s="79">
        <f t="shared" si="116"/>
        <v>0</v>
      </c>
      <c r="ERX84" s="79">
        <f t="shared" si="116"/>
        <v>0</v>
      </c>
      <c r="ERY84" s="145" t="s">
        <v>96</v>
      </c>
      <c r="ESB84" s="79">
        <f>ESB18+ESB24+ESB29+ESB30</f>
        <v>0</v>
      </c>
      <c r="ESC84" s="79">
        <f t="shared" si="116"/>
        <v>0</v>
      </c>
      <c r="ESD84" s="79">
        <f t="shared" si="116"/>
        <v>0</v>
      </c>
      <c r="ESE84" s="79">
        <f t="shared" si="116"/>
        <v>0</v>
      </c>
      <c r="ESF84" s="79">
        <f t="shared" si="116"/>
        <v>0</v>
      </c>
      <c r="ESG84" s="79">
        <f t="shared" si="116"/>
        <v>0</v>
      </c>
      <c r="ESH84" s="79">
        <f t="shared" si="116"/>
        <v>0</v>
      </c>
      <c r="ESI84" s="79">
        <f t="shared" si="116"/>
        <v>0</v>
      </c>
      <c r="ESJ84" s="79">
        <f t="shared" si="116"/>
        <v>0</v>
      </c>
      <c r="ESK84" s="79">
        <f t="shared" si="116"/>
        <v>0</v>
      </c>
      <c r="ESL84" s="79">
        <f t="shared" si="116"/>
        <v>0</v>
      </c>
      <c r="ESM84" s="79">
        <f t="shared" si="116"/>
        <v>0</v>
      </c>
      <c r="ESN84" s="79">
        <f t="shared" si="116"/>
        <v>0</v>
      </c>
      <c r="ESO84" s="145" t="s">
        <v>96</v>
      </c>
      <c r="ESR84" s="79">
        <f>ESR18+ESR24+ESR29+ESR30</f>
        <v>0</v>
      </c>
      <c r="ESS84" s="79">
        <f t="shared" si="116"/>
        <v>0</v>
      </c>
      <c r="EST84" s="79">
        <f t="shared" si="116"/>
        <v>0</v>
      </c>
      <c r="ESU84" s="79">
        <f t="shared" si="116"/>
        <v>0</v>
      </c>
      <c r="ESV84" s="79">
        <f t="shared" si="116"/>
        <v>0</v>
      </c>
      <c r="ESW84" s="79">
        <f t="shared" si="116"/>
        <v>0</v>
      </c>
      <c r="ESX84" s="79">
        <f t="shared" si="116"/>
        <v>0</v>
      </c>
      <c r="ESY84" s="79">
        <f t="shared" si="116"/>
        <v>0</v>
      </c>
      <c r="ESZ84" s="79">
        <f t="shared" si="116"/>
        <v>0</v>
      </c>
      <c r="ETA84" s="79">
        <f t="shared" si="116"/>
        <v>0</v>
      </c>
      <c r="ETB84" s="79">
        <f t="shared" si="116"/>
        <v>0</v>
      </c>
      <c r="ETC84" s="79">
        <f t="shared" si="116"/>
        <v>0</v>
      </c>
      <c r="ETD84" s="79">
        <f t="shared" si="116"/>
        <v>0</v>
      </c>
      <c r="ETE84" s="145" t="s">
        <v>96</v>
      </c>
      <c r="ETH84" s="79">
        <f>ETH18+ETH24+ETH29+ETH30</f>
        <v>0</v>
      </c>
      <c r="ETI84" s="79">
        <f t="shared" ref="ETI84:EVP84" si="117">ETI18+ETI24+ETI29+ETI30</f>
        <v>0</v>
      </c>
      <c r="ETJ84" s="79">
        <f t="shared" si="117"/>
        <v>0</v>
      </c>
      <c r="ETK84" s="79">
        <f t="shared" si="117"/>
        <v>0</v>
      </c>
      <c r="ETL84" s="79">
        <f t="shared" si="117"/>
        <v>0</v>
      </c>
      <c r="ETM84" s="79">
        <f t="shared" si="117"/>
        <v>0</v>
      </c>
      <c r="ETN84" s="79">
        <f t="shared" si="117"/>
        <v>0</v>
      </c>
      <c r="ETO84" s="79">
        <f t="shared" si="117"/>
        <v>0</v>
      </c>
      <c r="ETP84" s="79">
        <f t="shared" si="117"/>
        <v>0</v>
      </c>
      <c r="ETQ84" s="79">
        <f t="shared" si="117"/>
        <v>0</v>
      </c>
      <c r="ETR84" s="79">
        <f t="shared" si="117"/>
        <v>0</v>
      </c>
      <c r="ETS84" s="79">
        <f t="shared" si="117"/>
        <v>0</v>
      </c>
      <c r="ETT84" s="79">
        <f t="shared" si="117"/>
        <v>0</v>
      </c>
      <c r="ETU84" s="145" t="s">
        <v>96</v>
      </c>
      <c r="ETX84" s="79">
        <f>ETX18+ETX24+ETX29+ETX30</f>
        <v>0</v>
      </c>
      <c r="ETY84" s="79">
        <f t="shared" si="117"/>
        <v>0</v>
      </c>
      <c r="ETZ84" s="79">
        <f t="shared" si="117"/>
        <v>0</v>
      </c>
      <c r="EUA84" s="79">
        <f t="shared" si="117"/>
        <v>0</v>
      </c>
      <c r="EUB84" s="79">
        <f t="shared" si="117"/>
        <v>0</v>
      </c>
      <c r="EUC84" s="79">
        <f t="shared" si="117"/>
        <v>0</v>
      </c>
      <c r="EUD84" s="79">
        <f t="shared" si="117"/>
        <v>0</v>
      </c>
      <c r="EUE84" s="79">
        <f t="shared" si="117"/>
        <v>0</v>
      </c>
      <c r="EUF84" s="79">
        <f t="shared" si="117"/>
        <v>0</v>
      </c>
      <c r="EUG84" s="79">
        <f t="shared" si="117"/>
        <v>0</v>
      </c>
      <c r="EUH84" s="79">
        <f t="shared" si="117"/>
        <v>0</v>
      </c>
      <c r="EUI84" s="79">
        <f t="shared" si="117"/>
        <v>0</v>
      </c>
      <c r="EUJ84" s="79">
        <f t="shared" si="117"/>
        <v>0</v>
      </c>
      <c r="EUK84" s="145" t="s">
        <v>96</v>
      </c>
      <c r="EUN84" s="79">
        <f>EUN18+EUN24+EUN29+EUN30</f>
        <v>0</v>
      </c>
      <c r="EUO84" s="79">
        <f t="shared" si="117"/>
        <v>0</v>
      </c>
      <c r="EUP84" s="79">
        <f t="shared" si="117"/>
        <v>0</v>
      </c>
      <c r="EUQ84" s="79">
        <f t="shared" si="117"/>
        <v>0</v>
      </c>
      <c r="EUR84" s="79">
        <f t="shared" si="117"/>
        <v>0</v>
      </c>
      <c r="EUS84" s="79">
        <f t="shared" si="117"/>
        <v>0</v>
      </c>
      <c r="EUT84" s="79">
        <f t="shared" si="117"/>
        <v>0</v>
      </c>
      <c r="EUU84" s="79">
        <f t="shared" si="117"/>
        <v>0</v>
      </c>
      <c r="EUV84" s="79">
        <f t="shared" si="117"/>
        <v>0</v>
      </c>
      <c r="EUW84" s="79">
        <f t="shared" si="117"/>
        <v>0</v>
      </c>
      <c r="EUX84" s="79">
        <f t="shared" si="117"/>
        <v>0</v>
      </c>
      <c r="EUY84" s="79">
        <f t="shared" si="117"/>
        <v>0</v>
      </c>
      <c r="EUZ84" s="79">
        <f t="shared" si="117"/>
        <v>0</v>
      </c>
      <c r="EVA84" s="145" t="s">
        <v>96</v>
      </c>
      <c r="EVD84" s="79">
        <f>EVD18+EVD24+EVD29+EVD30</f>
        <v>0</v>
      </c>
      <c r="EVE84" s="79">
        <f t="shared" si="117"/>
        <v>0</v>
      </c>
      <c r="EVF84" s="79">
        <f t="shared" si="117"/>
        <v>0</v>
      </c>
      <c r="EVG84" s="79">
        <f t="shared" si="117"/>
        <v>0</v>
      </c>
      <c r="EVH84" s="79">
        <f t="shared" si="117"/>
        <v>0</v>
      </c>
      <c r="EVI84" s="79">
        <f t="shared" si="117"/>
        <v>0</v>
      </c>
      <c r="EVJ84" s="79">
        <f t="shared" si="117"/>
        <v>0</v>
      </c>
      <c r="EVK84" s="79">
        <f t="shared" si="117"/>
        <v>0</v>
      </c>
      <c r="EVL84" s="79">
        <f t="shared" si="117"/>
        <v>0</v>
      </c>
      <c r="EVM84" s="79">
        <f t="shared" si="117"/>
        <v>0</v>
      </c>
      <c r="EVN84" s="79">
        <f t="shared" si="117"/>
        <v>0</v>
      </c>
      <c r="EVO84" s="79">
        <f t="shared" si="117"/>
        <v>0</v>
      </c>
      <c r="EVP84" s="79">
        <f t="shared" si="117"/>
        <v>0</v>
      </c>
      <c r="EVQ84" s="145" t="s">
        <v>96</v>
      </c>
      <c r="EVT84" s="79">
        <f>EVT18+EVT24+EVT29+EVT30</f>
        <v>0</v>
      </c>
      <c r="EVU84" s="79">
        <f t="shared" ref="EVU84:EYB84" si="118">EVU18+EVU24+EVU29+EVU30</f>
        <v>0</v>
      </c>
      <c r="EVV84" s="79">
        <f t="shared" si="118"/>
        <v>0</v>
      </c>
      <c r="EVW84" s="79">
        <f t="shared" si="118"/>
        <v>0</v>
      </c>
      <c r="EVX84" s="79">
        <f t="shared" si="118"/>
        <v>0</v>
      </c>
      <c r="EVY84" s="79">
        <f t="shared" si="118"/>
        <v>0</v>
      </c>
      <c r="EVZ84" s="79">
        <f t="shared" si="118"/>
        <v>0</v>
      </c>
      <c r="EWA84" s="79">
        <f t="shared" si="118"/>
        <v>0</v>
      </c>
      <c r="EWB84" s="79">
        <f t="shared" si="118"/>
        <v>0</v>
      </c>
      <c r="EWC84" s="79">
        <f t="shared" si="118"/>
        <v>0</v>
      </c>
      <c r="EWD84" s="79">
        <f t="shared" si="118"/>
        <v>0</v>
      </c>
      <c r="EWE84" s="79">
        <f t="shared" si="118"/>
        <v>0</v>
      </c>
      <c r="EWF84" s="79">
        <f t="shared" si="118"/>
        <v>0</v>
      </c>
      <c r="EWG84" s="145" t="s">
        <v>96</v>
      </c>
      <c r="EWJ84" s="79">
        <f>EWJ18+EWJ24+EWJ29+EWJ30</f>
        <v>0</v>
      </c>
      <c r="EWK84" s="79">
        <f t="shared" si="118"/>
        <v>0</v>
      </c>
      <c r="EWL84" s="79">
        <f t="shared" si="118"/>
        <v>0</v>
      </c>
      <c r="EWM84" s="79">
        <f t="shared" si="118"/>
        <v>0</v>
      </c>
      <c r="EWN84" s="79">
        <f t="shared" si="118"/>
        <v>0</v>
      </c>
      <c r="EWO84" s="79">
        <f t="shared" si="118"/>
        <v>0</v>
      </c>
      <c r="EWP84" s="79">
        <f t="shared" si="118"/>
        <v>0</v>
      </c>
      <c r="EWQ84" s="79">
        <f t="shared" si="118"/>
        <v>0</v>
      </c>
      <c r="EWR84" s="79">
        <f t="shared" si="118"/>
        <v>0</v>
      </c>
      <c r="EWS84" s="79">
        <f t="shared" si="118"/>
        <v>0</v>
      </c>
      <c r="EWT84" s="79">
        <f t="shared" si="118"/>
        <v>0</v>
      </c>
      <c r="EWU84" s="79">
        <f t="shared" si="118"/>
        <v>0</v>
      </c>
      <c r="EWV84" s="79">
        <f t="shared" si="118"/>
        <v>0</v>
      </c>
      <c r="EWW84" s="145" t="s">
        <v>96</v>
      </c>
      <c r="EWZ84" s="79">
        <f>EWZ18+EWZ24+EWZ29+EWZ30</f>
        <v>0</v>
      </c>
      <c r="EXA84" s="79">
        <f t="shared" si="118"/>
        <v>0</v>
      </c>
      <c r="EXB84" s="79">
        <f t="shared" si="118"/>
        <v>0</v>
      </c>
      <c r="EXC84" s="79">
        <f t="shared" si="118"/>
        <v>0</v>
      </c>
      <c r="EXD84" s="79">
        <f t="shared" si="118"/>
        <v>0</v>
      </c>
      <c r="EXE84" s="79">
        <f t="shared" si="118"/>
        <v>0</v>
      </c>
      <c r="EXF84" s="79">
        <f t="shared" si="118"/>
        <v>0</v>
      </c>
      <c r="EXG84" s="79">
        <f t="shared" si="118"/>
        <v>0</v>
      </c>
      <c r="EXH84" s="79">
        <f t="shared" si="118"/>
        <v>0</v>
      </c>
      <c r="EXI84" s="79">
        <f t="shared" si="118"/>
        <v>0</v>
      </c>
      <c r="EXJ84" s="79">
        <f t="shared" si="118"/>
        <v>0</v>
      </c>
      <c r="EXK84" s="79">
        <f t="shared" si="118"/>
        <v>0</v>
      </c>
      <c r="EXL84" s="79">
        <f t="shared" si="118"/>
        <v>0</v>
      </c>
      <c r="EXM84" s="145" t="s">
        <v>96</v>
      </c>
      <c r="EXP84" s="79">
        <f>EXP18+EXP24+EXP29+EXP30</f>
        <v>0</v>
      </c>
      <c r="EXQ84" s="79">
        <f t="shared" si="118"/>
        <v>0</v>
      </c>
      <c r="EXR84" s="79">
        <f t="shared" si="118"/>
        <v>0</v>
      </c>
      <c r="EXS84" s="79">
        <f t="shared" si="118"/>
        <v>0</v>
      </c>
      <c r="EXT84" s="79">
        <f t="shared" si="118"/>
        <v>0</v>
      </c>
      <c r="EXU84" s="79">
        <f t="shared" si="118"/>
        <v>0</v>
      </c>
      <c r="EXV84" s="79">
        <f t="shared" si="118"/>
        <v>0</v>
      </c>
      <c r="EXW84" s="79">
        <f t="shared" si="118"/>
        <v>0</v>
      </c>
      <c r="EXX84" s="79">
        <f t="shared" si="118"/>
        <v>0</v>
      </c>
      <c r="EXY84" s="79">
        <f t="shared" si="118"/>
        <v>0</v>
      </c>
      <c r="EXZ84" s="79">
        <f t="shared" si="118"/>
        <v>0</v>
      </c>
      <c r="EYA84" s="79">
        <f t="shared" si="118"/>
        <v>0</v>
      </c>
      <c r="EYB84" s="79">
        <f t="shared" si="118"/>
        <v>0</v>
      </c>
      <c r="EYC84" s="145" t="s">
        <v>96</v>
      </c>
      <c r="EYF84" s="79">
        <f>EYF18+EYF24+EYF29+EYF30</f>
        <v>0</v>
      </c>
      <c r="EYG84" s="79">
        <f t="shared" ref="EYG84:FAN84" si="119">EYG18+EYG24+EYG29+EYG30</f>
        <v>0</v>
      </c>
      <c r="EYH84" s="79">
        <f t="shared" si="119"/>
        <v>0</v>
      </c>
      <c r="EYI84" s="79">
        <f t="shared" si="119"/>
        <v>0</v>
      </c>
      <c r="EYJ84" s="79">
        <f t="shared" si="119"/>
        <v>0</v>
      </c>
      <c r="EYK84" s="79">
        <f t="shared" si="119"/>
        <v>0</v>
      </c>
      <c r="EYL84" s="79">
        <f t="shared" si="119"/>
        <v>0</v>
      </c>
      <c r="EYM84" s="79">
        <f t="shared" si="119"/>
        <v>0</v>
      </c>
      <c r="EYN84" s="79">
        <f t="shared" si="119"/>
        <v>0</v>
      </c>
      <c r="EYO84" s="79">
        <f t="shared" si="119"/>
        <v>0</v>
      </c>
      <c r="EYP84" s="79">
        <f t="shared" si="119"/>
        <v>0</v>
      </c>
      <c r="EYQ84" s="79">
        <f t="shared" si="119"/>
        <v>0</v>
      </c>
      <c r="EYR84" s="79">
        <f t="shared" si="119"/>
        <v>0</v>
      </c>
      <c r="EYS84" s="145" t="s">
        <v>96</v>
      </c>
      <c r="EYV84" s="79">
        <f>EYV18+EYV24+EYV29+EYV30</f>
        <v>0</v>
      </c>
      <c r="EYW84" s="79">
        <f t="shared" si="119"/>
        <v>0</v>
      </c>
      <c r="EYX84" s="79">
        <f t="shared" si="119"/>
        <v>0</v>
      </c>
      <c r="EYY84" s="79">
        <f t="shared" si="119"/>
        <v>0</v>
      </c>
      <c r="EYZ84" s="79">
        <f t="shared" si="119"/>
        <v>0</v>
      </c>
      <c r="EZA84" s="79">
        <f t="shared" si="119"/>
        <v>0</v>
      </c>
      <c r="EZB84" s="79">
        <f t="shared" si="119"/>
        <v>0</v>
      </c>
      <c r="EZC84" s="79">
        <f t="shared" si="119"/>
        <v>0</v>
      </c>
      <c r="EZD84" s="79">
        <f t="shared" si="119"/>
        <v>0</v>
      </c>
      <c r="EZE84" s="79">
        <f t="shared" si="119"/>
        <v>0</v>
      </c>
      <c r="EZF84" s="79">
        <f t="shared" si="119"/>
        <v>0</v>
      </c>
      <c r="EZG84" s="79">
        <f t="shared" si="119"/>
        <v>0</v>
      </c>
      <c r="EZH84" s="79">
        <f t="shared" si="119"/>
        <v>0</v>
      </c>
      <c r="EZI84" s="145" t="s">
        <v>96</v>
      </c>
      <c r="EZL84" s="79">
        <f>EZL18+EZL24+EZL29+EZL30</f>
        <v>0</v>
      </c>
      <c r="EZM84" s="79">
        <f t="shared" si="119"/>
        <v>0</v>
      </c>
      <c r="EZN84" s="79">
        <f t="shared" si="119"/>
        <v>0</v>
      </c>
      <c r="EZO84" s="79">
        <f t="shared" si="119"/>
        <v>0</v>
      </c>
      <c r="EZP84" s="79">
        <f t="shared" si="119"/>
        <v>0</v>
      </c>
      <c r="EZQ84" s="79">
        <f t="shared" si="119"/>
        <v>0</v>
      </c>
      <c r="EZR84" s="79">
        <f t="shared" si="119"/>
        <v>0</v>
      </c>
      <c r="EZS84" s="79">
        <f t="shared" si="119"/>
        <v>0</v>
      </c>
      <c r="EZT84" s="79">
        <f t="shared" si="119"/>
        <v>0</v>
      </c>
      <c r="EZU84" s="79">
        <f t="shared" si="119"/>
        <v>0</v>
      </c>
      <c r="EZV84" s="79">
        <f t="shared" si="119"/>
        <v>0</v>
      </c>
      <c r="EZW84" s="79">
        <f t="shared" si="119"/>
        <v>0</v>
      </c>
      <c r="EZX84" s="79">
        <f t="shared" si="119"/>
        <v>0</v>
      </c>
      <c r="EZY84" s="145" t="s">
        <v>96</v>
      </c>
      <c r="FAB84" s="79">
        <f>FAB18+FAB24+FAB29+FAB30</f>
        <v>0</v>
      </c>
      <c r="FAC84" s="79">
        <f t="shared" si="119"/>
        <v>0</v>
      </c>
      <c r="FAD84" s="79">
        <f t="shared" si="119"/>
        <v>0</v>
      </c>
      <c r="FAE84" s="79">
        <f t="shared" si="119"/>
        <v>0</v>
      </c>
      <c r="FAF84" s="79">
        <f t="shared" si="119"/>
        <v>0</v>
      </c>
      <c r="FAG84" s="79">
        <f t="shared" si="119"/>
        <v>0</v>
      </c>
      <c r="FAH84" s="79">
        <f t="shared" si="119"/>
        <v>0</v>
      </c>
      <c r="FAI84" s="79">
        <f t="shared" si="119"/>
        <v>0</v>
      </c>
      <c r="FAJ84" s="79">
        <f t="shared" si="119"/>
        <v>0</v>
      </c>
      <c r="FAK84" s="79">
        <f t="shared" si="119"/>
        <v>0</v>
      </c>
      <c r="FAL84" s="79">
        <f t="shared" si="119"/>
        <v>0</v>
      </c>
      <c r="FAM84" s="79">
        <f t="shared" si="119"/>
        <v>0</v>
      </c>
      <c r="FAN84" s="79">
        <f t="shared" si="119"/>
        <v>0</v>
      </c>
      <c r="FAO84" s="145" t="s">
        <v>96</v>
      </c>
      <c r="FAR84" s="79">
        <f>FAR18+FAR24+FAR29+FAR30</f>
        <v>0</v>
      </c>
      <c r="FAS84" s="79">
        <f t="shared" ref="FAS84:FCZ84" si="120">FAS18+FAS24+FAS29+FAS30</f>
        <v>0</v>
      </c>
      <c r="FAT84" s="79">
        <f t="shared" si="120"/>
        <v>0</v>
      </c>
      <c r="FAU84" s="79">
        <f t="shared" si="120"/>
        <v>0</v>
      </c>
      <c r="FAV84" s="79">
        <f t="shared" si="120"/>
        <v>0</v>
      </c>
      <c r="FAW84" s="79">
        <f t="shared" si="120"/>
        <v>0</v>
      </c>
      <c r="FAX84" s="79">
        <f t="shared" si="120"/>
        <v>0</v>
      </c>
      <c r="FAY84" s="79">
        <f t="shared" si="120"/>
        <v>0</v>
      </c>
      <c r="FAZ84" s="79">
        <f t="shared" si="120"/>
        <v>0</v>
      </c>
      <c r="FBA84" s="79">
        <f t="shared" si="120"/>
        <v>0</v>
      </c>
      <c r="FBB84" s="79">
        <f t="shared" si="120"/>
        <v>0</v>
      </c>
      <c r="FBC84" s="79">
        <f t="shared" si="120"/>
        <v>0</v>
      </c>
      <c r="FBD84" s="79">
        <f t="shared" si="120"/>
        <v>0</v>
      </c>
      <c r="FBE84" s="145" t="s">
        <v>96</v>
      </c>
      <c r="FBH84" s="79">
        <f>FBH18+FBH24+FBH29+FBH30</f>
        <v>0</v>
      </c>
      <c r="FBI84" s="79">
        <f t="shared" si="120"/>
        <v>0</v>
      </c>
      <c r="FBJ84" s="79">
        <f t="shared" si="120"/>
        <v>0</v>
      </c>
      <c r="FBK84" s="79">
        <f t="shared" si="120"/>
        <v>0</v>
      </c>
      <c r="FBL84" s="79">
        <f t="shared" si="120"/>
        <v>0</v>
      </c>
      <c r="FBM84" s="79">
        <f t="shared" si="120"/>
        <v>0</v>
      </c>
      <c r="FBN84" s="79">
        <f t="shared" si="120"/>
        <v>0</v>
      </c>
      <c r="FBO84" s="79">
        <f t="shared" si="120"/>
        <v>0</v>
      </c>
      <c r="FBP84" s="79">
        <f t="shared" si="120"/>
        <v>0</v>
      </c>
      <c r="FBQ84" s="79">
        <f t="shared" si="120"/>
        <v>0</v>
      </c>
      <c r="FBR84" s="79">
        <f t="shared" si="120"/>
        <v>0</v>
      </c>
      <c r="FBS84" s="79">
        <f t="shared" si="120"/>
        <v>0</v>
      </c>
      <c r="FBT84" s="79">
        <f t="shared" si="120"/>
        <v>0</v>
      </c>
      <c r="FBU84" s="145" t="s">
        <v>96</v>
      </c>
      <c r="FBX84" s="79">
        <f>FBX18+FBX24+FBX29+FBX30</f>
        <v>0</v>
      </c>
      <c r="FBY84" s="79">
        <f t="shared" si="120"/>
        <v>0</v>
      </c>
      <c r="FBZ84" s="79">
        <f t="shared" si="120"/>
        <v>0</v>
      </c>
      <c r="FCA84" s="79">
        <f t="shared" si="120"/>
        <v>0</v>
      </c>
      <c r="FCB84" s="79">
        <f t="shared" si="120"/>
        <v>0</v>
      </c>
      <c r="FCC84" s="79">
        <f t="shared" si="120"/>
        <v>0</v>
      </c>
      <c r="FCD84" s="79">
        <f t="shared" si="120"/>
        <v>0</v>
      </c>
      <c r="FCE84" s="79">
        <f t="shared" si="120"/>
        <v>0</v>
      </c>
      <c r="FCF84" s="79">
        <f t="shared" si="120"/>
        <v>0</v>
      </c>
      <c r="FCG84" s="79">
        <f t="shared" si="120"/>
        <v>0</v>
      </c>
      <c r="FCH84" s="79">
        <f t="shared" si="120"/>
        <v>0</v>
      </c>
      <c r="FCI84" s="79">
        <f t="shared" si="120"/>
        <v>0</v>
      </c>
      <c r="FCJ84" s="79">
        <f t="shared" si="120"/>
        <v>0</v>
      </c>
      <c r="FCK84" s="145" t="s">
        <v>96</v>
      </c>
      <c r="FCN84" s="79">
        <f>FCN18+FCN24+FCN29+FCN30</f>
        <v>0</v>
      </c>
      <c r="FCO84" s="79">
        <f t="shared" si="120"/>
        <v>0</v>
      </c>
      <c r="FCP84" s="79">
        <f t="shared" si="120"/>
        <v>0</v>
      </c>
      <c r="FCQ84" s="79">
        <f t="shared" si="120"/>
        <v>0</v>
      </c>
      <c r="FCR84" s="79">
        <f t="shared" si="120"/>
        <v>0</v>
      </c>
      <c r="FCS84" s="79">
        <f t="shared" si="120"/>
        <v>0</v>
      </c>
      <c r="FCT84" s="79">
        <f t="shared" si="120"/>
        <v>0</v>
      </c>
      <c r="FCU84" s="79">
        <f t="shared" si="120"/>
        <v>0</v>
      </c>
      <c r="FCV84" s="79">
        <f t="shared" si="120"/>
        <v>0</v>
      </c>
      <c r="FCW84" s="79">
        <f t="shared" si="120"/>
        <v>0</v>
      </c>
      <c r="FCX84" s="79">
        <f t="shared" si="120"/>
        <v>0</v>
      </c>
      <c r="FCY84" s="79">
        <f t="shared" si="120"/>
        <v>0</v>
      </c>
      <c r="FCZ84" s="79">
        <f t="shared" si="120"/>
        <v>0</v>
      </c>
      <c r="FDA84" s="145" t="s">
        <v>96</v>
      </c>
      <c r="FDD84" s="79">
        <f>FDD18+FDD24+FDD29+FDD30</f>
        <v>0</v>
      </c>
      <c r="FDE84" s="79">
        <f t="shared" ref="FDE84:FFL84" si="121">FDE18+FDE24+FDE29+FDE30</f>
        <v>0</v>
      </c>
      <c r="FDF84" s="79">
        <f t="shared" si="121"/>
        <v>0</v>
      </c>
      <c r="FDG84" s="79">
        <f t="shared" si="121"/>
        <v>0</v>
      </c>
      <c r="FDH84" s="79">
        <f t="shared" si="121"/>
        <v>0</v>
      </c>
      <c r="FDI84" s="79">
        <f t="shared" si="121"/>
        <v>0</v>
      </c>
      <c r="FDJ84" s="79">
        <f t="shared" si="121"/>
        <v>0</v>
      </c>
      <c r="FDK84" s="79">
        <f t="shared" si="121"/>
        <v>0</v>
      </c>
      <c r="FDL84" s="79">
        <f t="shared" si="121"/>
        <v>0</v>
      </c>
      <c r="FDM84" s="79">
        <f t="shared" si="121"/>
        <v>0</v>
      </c>
      <c r="FDN84" s="79">
        <f t="shared" si="121"/>
        <v>0</v>
      </c>
      <c r="FDO84" s="79">
        <f t="shared" si="121"/>
        <v>0</v>
      </c>
      <c r="FDP84" s="79">
        <f t="shared" si="121"/>
        <v>0</v>
      </c>
      <c r="FDQ84" s="145" t="s">
        <v>96</v>
      </c>
      <c r="FDT84" s="79">
        <f>FDT18+FDT24+FDT29+FDT30</f>
        <v>0</v>
      </c>
      <c r="FDU84" s="79">
        <f t="shared" si="121"/>
        <v>0</v>
      </c>
      <c r="FDV84" s="79">
        <f t="shared" si="121"/>
        <v>0</v>
      </c>
      <c r="FDW84" s="79">
        <f t="shared" si="121"/>
        <v>0</v>
      </c>
      <c r="FDX84" s="79">
        <f t="shared" si="121"/>
        <v>0</v>
      </c>
      <c r="FDY84" s="79">
        <f t="shared" si="121"/>
        <v>0</v>
      </c>
      <c r="FDZ84" s="79">
        <f t="shared" si="121"/>
        <v>0</v>
      </c>
      <c r="FEA84" s="79">
        <f t="shared" si="121"/>
        <v>0</v>
      </c>
      <c r="FEB84" s="79">
        <f t="shared" si="121"/>
        <v>0</v>
      </c>
      <c r="FEC84" s="79">
        <f t="shared" si="121"/>
        <v>0</v>
      </c>
      <c r="FED84" s="79">
        <f t="shared" si="121"/>
        <v>0</v>
      </c>
      <c r="FEE84" s="79">
        <f t="shared" si="121"/>
        <v>0</v>
      </c>
      <c r="FEF84" s="79">
        <f t="shared" si="121"/>
        <v>0</v>
      </c>
      <c r="FEG84" s="145" t="s">
        <v>96</v>
      </c>
      <c r="FEJ84" s="79">
        <f>FEJ18+FEJ24+FEJ29+FEJ30</f>
        <v>0</v>
      </c>
      <c r="FEK84" s="79">
        <f t="shared" si="121"/>
        <v>0</v>
      </c>
      <c r="FEL84" s="79">
        <f t="shared" si="121"/>
        <v>0</v>
      </c>
      <c r="FEM84" s="79">
        <f t="shared" si="121"/>
        <v>0</v>
      </c>
      <c r="FEN84" s="79">
        <f t="shared" si="121"/>
        <v>0</v>
      </c>
      <c r="FEO84" s="79">
        <f t="shared" si="121"/>
        <v>0</v>
      </c>
      <c r="FEP84" s="79">
        <f t="shared" si="121"/>
        <v>0</v>
      </c>
      <c r="FEQ84" s="79">
        <f t="shared" si="121"/>
        <v>0</v>
      </c>
      <c r="FER84" s="79">
        <f t="shared" si="121"/>
        <v>0</v>
      </c>
      <c r="FES84" s="79">
        <f t="shared" si="121"/>
        <v>0</v>
      </c>
      <c r="FET84" s="79">
        <f t="shared" si="121"/>
        <v>0</v>
      </c>
      <c r="FEU84" s="79">
        <f t="shared" si="121"/>
        <v>0</v>
      </c>
      <c r="FEV84" s="79">
        <f t="shared" si="121"/>
        <v>0</v>
      </c>
      <c r="FEW84" s="145" t="s">
        <v>96</v>
      </c>
      <c r="FEZ84" s="79">
        <f>FEZ18+FEZ24+FEZ29+FEZ30</f>
        <v>0</v>
      </c>
      <c r="FFA84" s="79">
        <f t="shared" si="121"/>
        <v>0</v>
      </c>
      <c r="FFB84" s="79">
        <f t="shared" si="121"/>
        <v>0</v>
      </c>
      <c r="FFC84" s="79">
        <f t="shared" si="121"/>
        <v>0</v>
      </c>
      <c r="FFD84" s="79">
        <f t="shared" si="121"/>
        <v>0</v>
      </c>
      <c r="FFE84" s="79">
        <f t="shared" si="121"/>
        <v>0</v>
      </c>
      <c r="FFF84" s="79">
        <f t="shared" si="121"/>
        <v>0</v>
      </c>
      <c r="FFG84" s="79">
        <f t="shared" si="121"/>
        <v>0</v>
      </c>
      <c r="FFH84" s="79">
        <f t="shared" si="121"/>
        <v>0</v>
      </c>
      <c r="FFI84" s="79">
        <f t="shared" si="121"/>
        <v>0</v>
      </c>
      <c r="FFJ84" s="79">
        <f t="shared" si="121"/>
        <v>0</v>
      </c>
      <c r="FFK84" s="79">
        <f t="shared" si="121"/>
        <v>0</v>
      </c>
      <c r="FFL84" s="79">
        <f t="shared" si="121"/>
        <v>0</v>
      </c>
      <c r="FFM84" s="145" t="s">
        <v>96</v>
      </c>
      <c r="FFP84" s="79">
        <f>FFP18+FFP24+FFP29+FFP30</f>
        <v>0</v>
      </c>
      <c r="FFQ84" s="79">
        <f t="shared" ref="FFQ84:FHX84" si="122">FFQ18+FFQ24+FFQ29+FFQ30</f>
        <v>0</v>
      </c>
      <c r="FFR84" s="79">
        <f t="shared" si="122"/>
        <v>0</v>
      </c>
      <c r="FFS84" s="79">
        <f t="shared" si="122"/>
        <v>0</v>
      </c>
      <c r="FFT84" s="79">
        <f t="shared" si="122"/>
        <v>0</v>
      </c>
      <c r="FFU84" s="79">
        <f t="shared" si="122"/>
        <v>0</v>
      </c>
      <c r="FFV84" s="79">
        <f t="shared" si="122"/>
        <v>0</v>
      </c>
      <c r="FFW84" s="79">
        <f t="shared" si="122"/>
        <v>0</v>
      </c>
      <c r="FFX84" s="79">
        <f t="shared" si="122"/>
        <v>0</v>
      </c>
      <c r="FFY84" s="79">
        <f t="shared" si="122"/>
        <v>0</v>
      </c>
      <c r="FFZ84" s="79">
        <f t="shared" si="122"/>
        <v>0</v>
      </c>
      <c r="FGA84" s="79">
        <f t="shared" si="122"/>
        <v>0</v>
      </c>
      <c r="FGB84" s="79">
        <f t="shared" si="122"/>
        <v>0</v>
      </c>
      <c r="FGC84" s="145" t="s">
        <v>96</v>
      </c>
      <c r="FGF84" s="79">
        <f>FGF18+FGF24+FGF29+FGF30</f>
        <v>0</v>
      </c>
      <c r="FGG84" s="79">
        <f t="shared" si="122"/>
        <v>0</v>
      </c>
      <c r="FGH84" s="79">
        <f t="shared" si="122"/>
        <v>0</v>
      </c>
      <c r="FGI84" s="79">
        <f t="shared" si="122"/>
        <v>0</v>
      </c>
      <c r="FGJ84" s="79">
        <f t="shared" si="122"/>
        <v>0</v>
      </c>
      <c r="FGK84" s="79">
        <f t="shared" si="122"/>
        <v>0</v>
      </c>
      <c r="FGL84" s="79">
        <f t="shared" si="122"/>
        <v>0</v>
      </c>
      <c r="FGM84" s="79">
        <f t="shared" si="122"/>
        <v>0</v>
      </c>
      <c r="FGN84" s="79">
        <f t="shared" si="122"/>
        <v>0</v>
      </c>
      <c r="FGO84" s="79">
        <f t="shared" si="122"/>
        <v>0</v>
      </c>
      <c r="FGP84" s="79">
        <f t="shared" si="122"/>
        <v>0</v>
      </c>
      <c r="FGQ84" s="79">
        <f t="shared" si="122"/>
        <v>0</v>
      </c>
      <c r="FGR84" s="79">
        <f t="shared" si="122"/>
        <v>0</v>
      </c>
      <c r="FGS84" s="145" t="s">
        <v>96</v>
      </c>
      <c r="FGV84" s="79">
        <f>FGV18+FGV24+FGV29+FGV30</f>
        <v>0</v>
      </c>
      <c r="FGW84" s="79">
        <f t="shared" si="122"/>
        <v>0</v>
      </c>
      <c r="FGX84" s="79">
        <f t="shared" si="122"/>
        <v>0</v>
      </c>
      <c r="FGY84" s="79">
        <f t="shared" si="122"/>
        <v>0</v>
      </c>
      <c r="FGZ84" s="79">
        <f t="shared" si="122"/>
        <v>0</v>
      </c>
      <c r="FHA84" s="79">
        <f t="shared" si="122"/>
        <v>0</v>
      </c>
      <c r="FHB84" s="79">
        <f t="shared" si="122"/>
        <v>0</v>
      </c>
      <c r="FHC84" s="79">
        <f t="shared" si="122"/>
        <v>0</v>
      </c>
      <c r="FHD84" s="79">
        <f t="shared" si="122"/>
        <v>0</v>
      </c>
      <c r="FHE84" s="79">
        <f t="shared" si="122"/>
        <v>0</v>
      </c>
      <c r="FHF84" s="79">
        <f t="shared" si="122"/>
        <v>0</v>
      </c>
      <c r="FHG84" s="79">
        <f t="shared" si="122"/>
        <v>0</v>
      </c>
      <c r="FHH84" s="79">
        <f t="shared" si="122"/>
        <v>0</v>
      </c>
      <c r="FHI84" s="145" t="s">
        <v>96</v>
      </c>
      <c r="FHL84" s="79">
        <f>FHL18+FHL24+FHL29+FHL30</f>
        <v>0</v>
      </c>
      <c r="FHM84" s="79">
        <f t="shared" si="122"/>
        <v>0</v>
      </c>
      <c r="FHN84" s="79">
        <f t="shared" si="122"/>
        <v>0</v>
      </c>
      <c r="FHO84" s="79">
        <f t="shared" si="122"/>
        <v>0</v>
      </c>
      <c r="FHP84" s="79">
        <f t="shared" si="122"/>
        <v>0</v>
      </c>
      <c r="FHQ84" s="79">
        <f t="shared" si="122"/>
        <v>0</v>
      </c>
      <c r="FHR84" s="79">
        <f t="shared" si="122"/>
        <v>0</v>
      </c>
      <c r="FHS84" s="79">
        <f t="shared" si="122"/>
        <v>0</v>
      </c>
      <c r="FHT84" s="79">
        <f t="shared" si="122"/>
        <v>0</v>
      </c>
      <c r="FHU84" s="79">
        <f t="shared" si="122"/>
        <v>0</v>
      </c>
      <c r="FHV84" s="79">
        <f t="shared" si="122"/>
        <v>0</v>
      </c>
      <c r="FHW84" s="79">
        <f t="shared" si="122"/>
        <v>0</v>
      </c>
      <c r="FHX84" s="79">
        <f t="shared" si="122"/>
        <v>0</v>
      </c>
      <c r="FHY84" s="145" t="s">
        <v>96</v>
      </c>
      <c r="FIB84" s="79">
        <f>FIB18+FIB24+FIB29+FIB30</f>
        <v>0</v>
      </c>
      <c r="FIC84" s="79">
        <f t="shared" ref="FIC84:FKJ84" si="123">FIC18+FIC24+FIC29+FIC30</f>
        <v>0</v>
      </c>
      <c r="FID84" s="79">
        <f t="shared" si="123"/>
        <v>0</v>
      </c>
      <c r="FIE84" s="79">
        <f t="shared" si="123"/>
        <v>0</v>
      </c>
      <c r="FIF84" s="79">
        <f t="shared" si="123"/>
        <v>0</v>
      </c>
      <c r="FIG84" s="79">
        <f t="shared" si="123"/>
        <v>0</v>
      </c>
      <c r="FIH84" s="79">
        <f t="shared" si="123"/>
        <v>0</v>
      </c>
      <c r="FII84" s="79">
        <f t="shared" si="123"/>
        <v>0</v>
      </c>
      <c r="FIJ84" s="79">
        <f t="shared" si="123"/>
        <v>0</v>
      </c>
      <c r="FIK84" s="79">
        <f t="shared" si="123"/>
        <v>0</v>
      </c>
      <c r="FIL84" s="79">
        <f t="shared" si="123"/>
        <v>0</v>
      </c>
      <c r="FIM84" s="79">
        <f t="shared" si="123"/>
        <v>0</v>
      </c>
      <c r="FIN84" s="79">
        <f t="shared" si="123"/>
        <v>0</v>
      </c>
      <c r="FIO84" s="145" t="s">
        <v>96</v>
      </c>
      <c r="FIR84" s="79">
        <f>FIR18+FIR24+FIR29+FIR30</f>
        <v>0</v>
      </c>
      <c r="FIS84" s="79">
        <f t="shared" si="123"/>
        <v>0</v>
      </c>
      <c r="FIT84" s="79">
        <f t="shared" si="123"/>
        <v>0</v>
      </c>
      <c r="FIU84" s="79">
        <f t="shared" si="123"/>
        <v>0</v>
      </c>
      <c r="FIV84" s="79">
        <f t="shared" si="123"/>
        <v>0</v>
      </c>
      <c r="FIW84" s="79">
        <f t="shared" si="123"/>
        <v>0</v>
      </c>
      <c r="FIX84" s="79">
        <f t="shared" si="123"/>
        <v>0</v>
      </c>
      <c r="FIY84" s="79">
        <f t="shared" si="123"/>
        <v>0</v>
      </c>
      <c r="FIZ84" s="79">
        <f t="shared" si="123"/>
        <v>0</v>
      </c>
      <c r="FJA84" s="79">
        <f t="shared" si="123"/>
        <v>0</v>
      </c>
      <c r="FJB84" s="79">
        <f t="shared" si="123"/>
        <v>0</v>
      </c>
      <c r="FJC84" s="79">
        <f t="shared" si="123"/>
        <v>0</v>
      </c>
      <c r="FJD84" s="79">
        <f t="shared" si="123"/>
        <v>0</v>
      </c>
      <c r="FJE84" s="145" t="s">
        <v>96</v>
      </c>
      <c r="FJH84" s="79">
        <f>FJH18+FJH24+FJH29+FJH30</f>
        <v>0</v>
      </c>
      <c r="FJI84" s="79">
        <f t="shared" si="123"/>
        <v>0</v>
      </c>
      <c r="FJJ84" s="79">
        <f t="shared" si="123"/>
        <v>0</v>
      </c>
      <c r="FJK84" s="79">
        <f t="shared" si="123"/>
        <v>0</v>
      </c>
      <c r="FJL84" s="79">
        <f t="shared" si="123"/>
        <v>0</v>
      </c>
      <c r="FJM84" s="79">
        <f t="shared" si="123"/>
        <v>0</v>
      </c>
      <c r="FJN84" s="79">
        <f t="shared" si="123"/>
        <v>0</v>
      </c>
      <c r="FJO84" s="79">
        <f t="shared" si="123"/>
        <v>0</v>
      </c>
      <c r="FJP84" s="79">
        <f t="shared" si="123"/>
        <v>0</v>
      </c>
      <c r="FJQ84" s="79">
        <f t="shared" si="123"/>
        <v>0</v>
      </c>
      <c r="FJR84" s="79">
        <f t="shared" si="123"/>
        <v>0</v>
      </c>
      <c r="FJS84" s="79">
        <f t="shared" si="123"/>
        <v>0</v>
      </c>
      <c r="FJT84" s="79">
        <f t="shared" si="123"/>
        <v>0</v>
      </c>
      <c r="FJU84" s="145" t="s">
        <v>96</v>
      </c>
      <c r="FJX84" s="79">
        <f>FJX18+FJX24+FJX29+FJX30</f>
        <v>0</v>
      </c>
      <c r="FJY84" s="79">
        <f t="shared" si="123"/>
        <v>0</v>
      </c>
      <c r="FJZ84" s="79">
        <f t="shared" si="123"/>
        <v>0</v>
      </c>
      <c r="FKA84" s="79">
        <f t="shared" si="123"/>
        <v>0</v>
      </c>
      <c r="FKB84" s="79">
        <f t="shared" si="123"/>
        <v>0</v>
      </c>
      <c r="FKC84" s="79">
        <f t="shared" si="123"/>
        <v>0</v>
      </c>
      <c r="FKD84" s="79">
        <f t="shared" si="123"/>
        <v>0</v>
      </c>
      <c r="FKE84" s="79">
        <f t="shared" si="123"/>
        <v>0</v>
      </c>
      <c r="FKF84" s="79">
        <f t="shared" si="123"/>
        <v>0</v>
      </c>
      <c r="FKG84" s="79">
        <f t="shared" si="123"/>
        <v>0</v>
      </c>
      <c r="FKH84" s="79">
        <f t="shared" si="123"/>
        <v>0</v>
      </c>
      <c r="FKI84" s="79">
        <f t="shared" si="123"/>
        <v>0</v>
      </c>
      <c r="FKJ84" s="79">
        <f t="shared" si="123"/>
        <v>0</v>
      </c>
      <c r="FKK84" s="145" t="s">
        <v>96</v>
      </c>
      <c r="FKN84" s="79">
        <f>FKN18+FKN24+FKN29+FKN30</f>
        <v>0</v>
      </c>
      <c r="FKO84" s="79">
        <f t="shared" ref="FKO84:FMV84" si="124">FKO18+FKO24+FKO29+FKO30</f>
        <v>0</v>
      </c>
      <c r="FKP84" s="79">
        <f t="shared" si="124"/>
        <v>0</v>
      </c>
      <c r="FKQ84" s="79">
        <f t="shared" si="124"/>
        <v>0</v>
      </c>
      <c r="FKR84" s="79">
        <f t="shared" si="124"/>
        <v>0</v>
      </c>
      <c r="FKS84" s="79">
        <f t="shared" si="124"/>
        <v>0</v>
      </c>
      <c r="FKT84" s="79">
        <f t="shared" si="124"/>
        <v>0</v>
      </c>
      <c r="FKU84" s="79">
        <f t="shared" si="124"/>
        <v>0</v>
      </c>
      <c r="FKV84" s="79">
        <f t="shared" si="124"/>
        <v>0</v>
      </c>
      <c r="FKW84" s="79">
        <f t="shared" si="124"/>
        <v>0</v>
      </c>
      <c r="FKX84" s="79">
        <f t="shared" si="124"/>
        <v>0</v>
      </c>
      <c r="FKY84" s="79">
        <f t="shared" si="124"/>
        <v>0</v>
      </c>
      <c r="FKZ84" s="79">
        <f t="shared" si="124"/>
        <v>0</v>
      </c>
      <c r="FLA84" s="145" t="s">
        <v>96</v>
      </c>
      <c r="FLD84" s="79">
        <f>FLD18+FLD24+FLD29+FLD30</f>
        <v>0</v>
      </c>
      <c r="FLE84" s="79">
        <f t="shared" si="124"/>
        <v>0</v>
      </c>
      <c r="FLF84" s="79">
        <f t="shared" si="124"/>
        <v>0</v>
      </c>
      <c r="FLG84" s="79">
        <f t="shared" si="124"/>
        <v>0</v>
      </c>
      <c r="FLH84" s="79">
        <f t="shared" si="124"/>
        <v>0</v>
      </c>
      <c r="FLI84" s="79">
        <f t="shared" si="124"/>
        <v>0</v>
      </c>
      <c r="FLJ84" s="79">
        <f t="shared" si="124"/>
        <v>0</v>
      </c>
      <c r="FLK84" s="79">
        <f t="shared" si="124"/>
        <v>0</v>
      </c>
      <c r="FLL84" s="79">
        <f t="shared" si="124"/>
        <v>0</v>
      </c>
      <c r="FLM84" s="79">
        <f t="shared" si="124"/>
        <v>0</v>
      </c>
      <c r="FLN84" s="79">
        <f t="shared" si="124"/>
        <v>0</v>
      </c>
      <c r="FLO84" s="79">
        <f t="shared" si="124"/>
        <v>0</v>
      </c>
      <c r="FLP84" s="79">
        <f t="shared" si="124"/>
        <v>0</v>
      </c>
      <c r="FLQ84" s="145" t="s">
        <v>96</v>
      </c>
      <c r="FLT84" s="79">
        <f>FLT18+FLT24+FLT29+FLT30</f>
        <v>0</v>
      </c>
      <c r="FLU84" s="79">
        <f t="shared" si="124"/>
        <v>0</v>
      </c>
      <c r="FLV84" s="79">
        <f t="shared" si="124"/>
        <v>0</v>
      </c>
      <c r="FLW84" s="79">
        <f t="shared" si="124"/>
        <v>0</v>
      </c>
      <c r="FLX84" s="79">
        <f t="shared" si="124"/>
        <v>0</v>
      </c>
      <c r="FLY84" s="79">
        <f t="shared" si="124"/>
        <v>0</v>
      </c>
      <c r="FLZ84" s="79">
        <f t="shared" si="124"/>
        <v>0</v>
      </c>
      <c r="FMA84" s="79">
        <f t="shared" si="124"/>
        <v>0</v>
      </c>
      <c r="FMB84" s="79">
        <f t="shared" si="124"/>
        <v>0</v>
      </c>
      <c r="FMC84" s="79">
        <f t="shared" si="124"/>
        <v>0</v>
      </c>
      <c r="FMD84" s="79">
        <f t="shared" si="124"/>
        <v>0</v>
      </c>
      <c r="FME84" s="79">
        <f t="shared" si="124"/>
        <v>0</v>
      </c>
      <c r="FMF84" s="79">
        <f t="shared" si="124"/>
        <v>0</v>
      </c>
      <c r="FMG84" s="145" t="s">
        <v>96</v>
      </c>
      <c r="FMJ84" s="79">
        <f>FMJ18+FMJ24+FMJ29+FMJ30</f>
        <v>0</v>
      </c>
      <c r="FMK84" s="79">
        <f t="shared" si="124"/>
        <v>0</v>
      </c>
      <c r="FML84" s="79">
        <f t="shared" si="124"/>
        <v>0</v>
      </c>
      <c r="FMM84" s="79">
        <f t="shared" si="124"/>
        <v>0</v>
      </c>
      <c r="FMN84" s="79">
        <f t="shared" si="124"/>
        <v>0</v>
      </c>
      <c r="FMO84" s="79">
        <f t="shared" si="124"/>
        <v>0</v>
      </c>
      <c r="FMP84" s="79">
        <f t="shared" si="124"/>
        <v>0</v>
      </c>
      <c r="FMQ84" s="79">
        <f t="shared" si="124"/>
        <v>0</v>
      </c>
      <c r="FMR84" s="79">
        <f t="shared" si="124"/>
        <v>0</v>
      </c>
      <c r="FMS84" s="79">
        <f t="shared" si="124"/>
        <v>0</v>
      </c>
      <c r="FMT84" s="79">
        <f t="shared" si="124"/>
        <v>0</v>
      </c>
      <c r="FMU84" s="79">
        <f t="shared" si="124"/>
        <v>0</v>
      </c>
      <c r="FMV84" s="79">
        <f t="shared" si="124"/>
        <v>0</v>
      </c>
      <c r="FMW84" s="145" t="s">
        <v>96</v>
      </c>
      <c r="FMZ84" s="79">
        <f>FMZ18+FMZ24+FMZ29+FMZ30</f>
        <v>0</v>
      </c>
      <c r="FNA84" s="79">
        <f t="shared" ref="FNA84:FPH84" si="125">FNA18+FNA24+FNA29+FNA30</f>
        <v>0</v>
      </c>
      <c r="FNB84" s="79">
        <f t="shared" si="125"/>
        <v>0</v>
      </c>
      <c r="FNC84" s="79">
        <f t="shared" si="125"/>
        <v>0</v>
      </c>
      <c r="FND84" s="79">
        <f t="shared" si="125"/>
        <v>0</v>
      </c>
      <c r="FNE84" s="79">
        <f t="shared" si="125"/>
        <v>0</v>
      </c>
      <c r="FNF84" s="79">
        <f t="shared" si="125"/>
        <v>0</v>
      </c>
      <c r="FNG84" s="79">
        <f t="shared" si="125"/>
        <v>0</v>
      </c>
      <c r="FNH84" s="79">
        <f t="shared" si="125"/>
        <v>0</v>
      </c>
      <c r="FNI84" s="79">
        <f t="shared" si="125"/>
        <v>0</v>
      </c>
      <c r="FNJ84" s="79">
        <f t="shared" si="125"/>
        <v>0</v>
      </c>
      <c r="FNK84" s="79">
        <f t="shared" si="125"/>
        <v>0</v>
      </c>
      <c r="FNL84" s="79">
        <f t="shared" si="125"/>
        <v>0</v>
      </c>
      <c r="FNM84" s="145" t="s">
        <v>96</v>
      </c>
      <c r="FNP84" s="79">
        <f>FNP18+FNP24+FNP29+FNP30</f>
        <v>0</v>
      </c>
      <c r="FNQ84" s="79">
        <f t="shared" si="125"/>
        <v>0</v>
      </c>
      <c r="FNR84" s="79">
        <f t="shared" si="125"/>
        <v>0</v>
      </c>
      <c r="FNS84" s="79">
        <f t="shared" si="125"/>
        <v>0</v>
      </c>
      <c r="FNT84" s="79">
        <f t="shared" si="125"/>
        <v>0</v>
      </c>
      <c r="FNU84" s="79">
        <f t="shared" si="125"/>
        <v>0</v>
      </c>
      <c r="FNV84" s="79">
        <f t="shared" si="125"/>
        <v>0</v>
      </c>
      <c r="FNW84" s="79">
        <f t="shared" si="125"/>
        <v>0</v>
      </c>
      <c r="FNX84" s="79">
        <f t="shared" si="125"/>
        <v>0</v>
      </c>
      <c r="FNY84" s="79">
        <f t="shared" si="125"/>
        <v>0</v>
      </c>
      <c r="FNZ84" s="79">
        <f t="shared" si="125"/>
        <v>0</v>
      </c>
      <c r="FOA84" s="79">
        <f t="shared" si="125"/>
        <v>0</v>
      </c>
      <c r="FOB84" s="79">
        <f t="shared" si="125"/>
        <v>0</v>
      </c>
      <c r="FOC84" s="145" t="s">
        <v>96</v>
      </c>
      <c r="FOF84" s="79">
        <f>FOF18+FOF24+FOF29+FOF30</f>
        <v>0</v>
      </c>
      <c r="FOG84" s="79">
        <f t="shared" si="125"/>
        <v>0</v>
      </c>
      <c r="FOH84" s="79">
        <f t="shared" si="125"/>
        <v>0</v>
      </c>
      <c r="FOI84" s="79">
        <f t="shared" si="125"/>
        <v>0</v>
      </c>
      <c r="FOJ84" s="79">
        <f t="shared" si="125"/>
        <v>0</v>
      </c>
      <c r="FOK84" s="79">
        <f t="shared" si="125"/>
        <v>0</v>
      </c>
      <c r="FOL84" s="79">
        <f t="shared" si="125"/>
        <v>0</v>
      </c>
      <c r="FOM84" s="79">
        <f t="shared" si="125"/>
        <v>0</v>
      </c>
      <c r="FON84" s="79">
        <f t="shared" si="125"/>
        <v>0</v>
      </c>
      <c r="FOO84" s="79">
        <f t="shared" si="125"/>
        <v>0</v>
      </c>
      <c r="FOP84" s="79">
        <f t="shared" si="125"/>
        <v>0</v>
      </c>
      <c r="FOQ84" s="79">
        <f t="shared" si="125"/>
        <v>0</v>
      </c>
      <c r="FOR84" s="79">
        <f t="shared" si="125"/>
        <v>0</v>
      </c>
      <c r="FOS84" s="145" t="s">
        <v>96</v>
      </c>
      <c r="FOV84" s="79">
        <f>FOV18+FOV24+FOV29+FOV30</f>
        <v>0</v>
      </c>
      <c r="FOW84" s="79">
        <f t="shared" si="125"/>
        <v>0</v>
      </c>
      <c r="FOX84" s="79">
        <f t="shared" si="125"/>
        <v>0</v>
      </c>
      <c r="FOY84" s="79">
        <f t="shared" si="125"/>
        <v>0</v>
      </c>
      <c r="FOZ84" s="79">
        <f t="shared" si="125"/>
        <v>0</v>
      </c>
      <c r="FPA84" s="79">
        <f t="shared" si="125"/>
        <v>0</v>
      </c>
      <c r="FPB84" s="79">
        <f t="shared" si="125"/>
        <v>0</v>
      </c>
      <c r="FPC84" s="79">
        <f t="shared" si="125"/>
        <v>0</v>
      </c>
      <c r="FPD84" s="79">
        <f t="shared" si="125"/>
        <v>0</v>
      </c>
      <c r="FPE84" s="79">
        <f t="shared" si="125"/>
        <v>0</v>
      </c>
      <c r="FPF84" s="79">
        <f t="shared" si="125"/>
        <v>0</v>
      </c>
      <c r="FPG84" s="79">
        <f t="shared" si="125"/>
        <v>0</v>
      </c>
      <c r="FPH84" s="79">
        <f t="shared" si="125"/>
        <v>0</v>
      </c>
      <c r="FPI84" s="145" t="s">
        <v>96</v>
      </c>
      <c r="FPL84" s="79">
        <f>FPL18+FPL24+FPL29+FPL30</f>
        <v>0</v>
      </c>
      <c r="FPM84" s="79">
        <f t="shared" ref="FPM84:FRT84" si="126">FPM18+FPM24+FPM29+FPM30</f>
        <v>0</v>
      </c>
      <c r="FPN84" s="79">
        <f t="shared" si="126"/>
        <v>0</v>
      </c>
      <c r="FPO84" s="79">
        <f t="shared" si="126"/>
        <v>0</v>
      </c>
      <c r="FPP84" s="79">
        <f t="shared" si="126"/>
        <v>0</v>
      </c>
      <c r="FPQ84" s="79">
        <f t="shared" si="126"/>
        <v>0</v>
      </c>
      <c r="FPR84" s="79">
        <f t="shared" si="126"/>
        <v>0</v>
      </c>
      <c r="FPS84" s="79">
        <f t="shared" si="126"/>
        <v>0</v>
      </c>
      <c r="FPT84" s="79">
        <f t="shared" si="126"/>
        <v>0</v>
      </c>
      <c r="FPU84" s="79">
        <f t="shared" si="126"/>
        <v>0</v>
      </c>
      <c r="FPV84" s="79">
        <f t="shared" si="126"/>
        <v>0</v>
      </c>
      <c r="FPW84" s="79">
        <f t="shared" si="126"/>
        <v>0</v>
      </c>
      <c r="FPX84" s="79">
        <f t="shared" si="126"/>
        <v>0</v>
      </c>
      <c r="FPY84" s="145" t="s">
        <v>96</v>
      </c>
      <c r="FQB84" s="79">
        <f>FQB18+FQB24+FQB29+FQB30</f>
        <v>0</v>
      </c>
      <c r="FQC84" s="79">
        <f t="shared" si="126"/>
        <v>0</v>
      </c>
      <c r="FQD84" s="79">
        <f t="shared" si="126"/>
        <v>0</v>
      </c>
      <c r="FQE84" s="79">
        <f t="shared" si="126"/>
        <v>0</v>
      </c>
      <c r="FQF84" s="79">
        <f t="shared" si="126"/>
        <v>0</v>
      </c>
      <c r="FQG84" s="79">
        <f t="shared" si="126"/>
        <v>0</v>
      </c>
      <c r="FQH84" s="79">
        <f t="shared" si="126"/>
        <v>0</v>
      </c>
      <c r="FQI84" s="79">
        <f t="shared" si="126"/>
        <v>0</v>
      </c>
      <c r="FQJ84" s="79">
        <f t="shared" si="126"/>
        <v>0</v>
      </c>
      <c r="FQK84" s="79">
        <f t="shared" si="126"/>
        <v>0</v>
      </c>
      <c r="FQL84" s="79">
        <f t="shared" si="126"/>
        <v>0</v>
      </c>
      <c r="FQM84" s="79">
        <f t="shared" si="126"/>
        <v>0</v>
      </c>
      <c r="FQN84" s="79">
        <f t="shared" si="126"/>
        <v>0</v>
      </c>
      <c r="FQO84" s="145" t="s">
        <v>96</v>
      </c>
      <c r="FQR84" s="79">
        <f>FQR18+FQR24+FQR29+FQR30</f>
        <v>0</v>
      </c>
      <c r="FQS84" s="79">
        <f t="shared" si="126"/>
        <v>0</v>
      </c>
      <c r="FQT84" s="79">
        <f t="shared" si="126"/>
        <v>0</v>
      </c>
      <c r="FQU84" s="79">
        <f t="shared" si="126"/>
        <v>0</v>
      </c>
      <c r="FQV84" s="79">
        <f t="shared" si="126"/>
        <v>0</v>
      </c>
      <c r="FQW84" s="79">
        <f t="shared" si="126"/>
        <v>0</v>
      </c>
      <c r="FQX84" s="79">
        <f t="shared" si="126"/>
        <v>0</v>
      </c>
      <c r="FQY84" s="79">
        <f t="shared" si="126"/>
        <v>0</v>
      </c>
      <c r="FQZ84" s="79">
        <f t="shared" si="126"/>
        <v>0</v>
      </c>
      <c r="FRA84" s="79">
        <f t="shared" si="126"/>
        <v>0</v>
      </c>
      <c r="FRB84" s="79">
        <f t="shared" si="126"/>
        <v>0</v>
      </c>
      <c r="FRC84" s="79">
        <f t="shared" si="126"/>
        <v>0</v>
      </c>
      <c r="FRD84" s="79">
        <f t="shared" si="126"/>
        <v>0</v>
      </c>
      <c r="FRE84" s="145" t="s">
        <v>96</v>
      </c>
      <c r="FRH84" s="79">
        <f>FRH18+FRH24+FRH29+FRH30</f>
        <v>0</v>
      </c>
      <c r="FRI84" s="79">
        <f t="shared" si="126"/>
        <v>0</v>
      </c>
      <c r="FRJ84" s="79">
        <f t="shared" si="126"/>
        <v>0</v>
      </c>
      <c r="FRK84" s="79">
        <f t="shared" si="126"/>
        <v>0</v>
      </c>
      <c r="FRL84" s="79">
        <f t="shared" si="126"/>
        <v>0</v>
      </c>
      <c r="FRM84" s="79">
        <f t="shared" si="126"/>
        <v>0</v>
      </c>
      <c r="FRN84" s="79">
        <f t="shared" si="126"/>
        <v>0</v>
      </c>
      <c r="FRO84" s="79">
        <f t="shared" si="126"/>
        <v>0</v>
      </c>
      <c r="FRP84" s="79">
        <f t="shared" si="126"/>
        <v>0</v>
      </c>
      <c r="FRQ84" s="79">
        <f t="shared" si="126"/>
        <v>0</v>
      </c>
      <c r="FRR84" s="79">
        <f t="shared" si="126"/>
        <v>0</v>
      </c>
      <c r="FRS84" s="79">
        <f t="shared" si="126"/>
        <v>0</v>
      </c>
      <c r="FRT84" s="79">
        <f t="shared" si="126"/>
        <v>0</v>
      </c>
      <c r="FRU84" s="145" t="s">
        <v>96</v>
      </c>
      <c r="FRX84" s="79">
        <f>FRX18+FRX24+FRX29+FRX30</f>
        <v>0</v>
      </c>
      <c r="FRY84" s="79">
        <f t="shared" ref="FRY84:FUF84" si="127">FRY18+FRY24+FRY29+FRY30</f>
        <v>0</v>
      </c>
      <c r="FRZ84" s="79">
        <f t="shared" si="127"/>
        <v>0</v>
      </c>
      <c r="FSA84" s="79">
        <f t="shared" si="127"/>
        <v>0</v>
      </c>
      <c r="FSB84" s="79">
        <f t="shared" si="127"/>
        <v>0</v>
      </c>
      <c r="FSC84" s="79">
        <f t="shared" si="127"/>
        <v>0</v>
      </c>
      <c r="FSD84" s="79">
        <f t="shared" si="127"/>
        <v>0</v>
      </c>
      <c r="FSE84" s="79">
        <f t="shared" si="127"/>
        <v>0</v>
      </c>
      <c r="FSF84" s="79">
        <f t="shared" si="127"/>
        <v>0</v>
      </c>
      <c r="FSG84" s="79">
        <f t="shared" si="127"/>
        <v>0</v>
      </c>
      <c r="FSH84" s="79">
        <f t="shared" si="127"/>
        <v>0</v>
      </c>
      <c r="FSI84" s="79">
        <f t="shared" si="127"/>
        <v>0</v>
      </c>
      <c r="FSJ84" s="79">
        <f t="shared" si="127"/>
        <v>0</v>
      </c>
      <c r="FSK84" s="145" t="s">
        <v>96</v>
      </c>
      <c r="FSN84" s="79">
        <f>FSN18+FSN24+FSN29+FSN30</f>
        <v>0</v>
      </c>
      <c r="FSO84" s="79">
        <f t="shared" si="127"/>
        <v>0</v>
      </c>
      <c r="FSP84" s="79">
        <f t="shared" si="127"/>
        <v>0</v>
      </c>
      <c r="FSQ84" s="79">
        <f t="shared" si="127"/>
        <v>0</v>
      </c>
      <c r="FSR84" s="79">
        <f t="shared" si="127"/>
        <v>0</v>
      </c>
      <c r="FSS84" s="79">
        <f t="shared" si="127"/>
        <v>0</v>
      </c>
      <c r="FST84" s="79">
        <f t="shared" si="127"/>
        <v>0</v>
      </c>
      <c r="FSU84" s="79">
        <f t="shared" si="127"/>
        <v>0</v>
      </c>
      <c r="FSV84" s="79">
        <f t="shared" si="127"/>
        <v>0</v>
      </c>
      <c r="FSW84" s="79">
        <f t="shared" si="127"/>
        <v>0</v>
      </c>
      <c r="FSX84" s="79">
        <f t="shared" si="127"/>
        <v>0</v>
      </c>
      <c r="FSY84" s="79">
        <f t="shared" si="127"/>
        <v>0</v>
      </c>
      <c r="FSZ84" s="79">
        <f t="shared" si="127"/>
        <v>0</v>
      </c>
      <c r="FTA84" s="145" t="s">
        <v>96</v>
      </c>
      <c r="FTD84" s="79">
        <f>FTD18+FTD24+FTD29+FTD30</f>
        <v>0</v>
      </c>
      <c r="FTE84" s="79">
        <f t="shared" si="127"/>
        <v>0</v>
      </c>
      <c r="FTF84" s="79">
        <f t="shared" si="127"/>
        <v>0</v>
      </c>
      <c r="FTG84" s="79">
        <f t="shared" si="127"/>
        <v>0</v>
      </c>
      <c r="FTH84" s="79">
        <f t="shared" si="127"/>
        <v>0</v>
      </c>
      <c r="FTI84" s="79">
        <f t="shared" si="127"/>
        <v>0</v>
      </c>
      <c r="FTJ84" s="79">
        <f t="shared" si="127"/>
        <v>0</v>
      </c>
      <c r="FTK84" s="79">
        <f t="shared" si="127"/>
        <v>0</v>
      </c>
      <c r="FTL84" s="79">
        <f t="shared" si="127"/>
        <v>0</v>
      </c>
      <c r="FTM84" s="79">
        <f t="shared" si="127"/>
        <v>0</v>
      </c>
      <c r="FTN84" s="79">
        <f t="shared" si="127"/>
        <v>0</v>
      </c>
      <c r="FTO84" s="79">
        <f t="shared" si="127"/>
        <v>0</v>
      </c>
      <c r="FTP84" s="79">
        <f t="shared" si="127"/>
        <v>0</v>
      </c>
      <c r="FTQ84" s="145" t="s">
        <v>96</v>
      </c>
      <c r="FTT84" s="79">
        <f>FTT18+FTT24+FTT29+FTT30</f>
        <v>0</v>
      </c>
      <c r="FTU84" s="79">
        <f t="shared" si="127"/>
        <v>0</v>
      </c>
      <c r="FTV84" s="79">
        <f t="shared" si="127"/>
        <v>0</v>
      </c>
      <c r="FTW84" s="79">
        <f t="shared" si="127"/>
        <v>0</v>
      </c>
      <c r="FTX84" s="79">
        <f t="shared" si="127"/>
        <v>0</v>
      </c>
      <c r="FTY84" s="79">
        <f t="shared" si="127"/>
        <v>0</v>
      </c>
      <c r="FTZ84" s="79">
        <f t="shared" si="127"/>
        <v>0</v>
      </c>
      <c r="FUA84" s="79">
        <f t="shared" si="127"/>
        <v>0</v>
      </c>
      <c r="FUB84" s="79">
        <f t="shared" si="127"/>
        <v>0</v>
      </c>
      <c r="FUC84" s="79">
        <f t="shared" si="127"/>
        <v>0</v>
      </c>
      <c r="FUD84" s="79">
        <f t="shared" si="127"/>
        <v>0</v>
      </c>
      <c r="FUE84" s="79">
        <f t="shared" si="127"/>
        <v>0</v>
      </c>
      <c r="FUF84" s="79">
        <f t="shared" si="127"/>
        <v>0</v>
      </c>
      <c r="FUG84" s="145" t="s">
        <v>96</v>
      </c>
      <c r="FUJ84" s="79">
        <f>FUJ18+FUJ24+FUJ29+FUJ30</f>
        <v>0</v>
      </c>
      <c r="FUK84" s="79">
        <f t="shared" ref="FUK84:FWR84" si="128">FUK18+FUK24+FUK29+FUK30</f>
        <v>0</v>
      </c>
      <c r="FUL84" s="79">
        <f t="shared" si="128"/>
        <v>0</v>
      </c>
      <c r="FUM84" s="79">
        <f t="shared" si="128"/>
        <v>0</v>
      </c>
      <c r="FUN84" s="79">
        <f t="shared" si="128"/>
        <v>0</v>
      </c>
      <c r="FUO84" s="79">
        <f t="shared" si="128"/>
        <v>0</v>
      </c>
      <c r="FUP84" s="79">
        <f t="shared" si="128"/>
        <v>0</v>
      </c>
      <c r="FUQ84" s="79">
        <f t="shared" si="128"/>
        <v>0</v>
      </c>
      <c r="FUR84" s="79">
        <f t="shared" si="128"/>
        <v>0</v>
      </c>
      <c r="FUS84" s="79">
        <f t="shared" si="128"/>
        <v>0</v>
      </c>
      <c r="FUT84" s="79">
        <f t="shared" si="128"/>
        <v>0</v>
      </c>
      <c r="FUU84" s="79">
        <f t="shared" si="128"/>
        <v>0</v>
      </c>
      <c r="FUV84" s="79">
        <f t="shared" si="128"/>
        <v>0</v>
      </c>
      <c r="FUW84" s="145" t="s">
        <v>96</v>
      </c>
      <c r="FUZ84" s="79">
        <f>FUZ18+FUZ24+FUZ29+FUZ30</f>
        <v>0</v>
      </c>
      <c r="FVA84" s="79">
        <f t="shared" si="128"/>
        <v>0</v>
      </c>
      <c r="FVB84" s="79">
        <f t="shared" si="128"/>
        <v>0</v>
      </c>
      <c r="FVC84" s="79">
        <f t="shared" si="128"/>
        <v>0</v>
      </c>
      <c r="FVD84" s="79">
        <f t="shared" si="128"/>
        <v>0</v>
      </c>
      <c r="FVE84" s="79">
        <f t="shared" si="128"/>
        <v>0</v>
      </c>
      <c r="FVF84" s="79">
        <f t="shared" si="128"/>
        <v>0</v>
      </c>
      <c r="FVG84" s="79">
        <f t="shared" si="128"/>
        <v>0</v>
      </c>
      <c r="FVH84" s="79">
        <f t="shared" si="128"/>
        <v>0</v>
      </c>
      <c r="FVI84" s="79">
        <f t="shared" si="128"/>
        <v>0</v>
      </c>
      <c r="FVJ84" s="79">
        <f t="shared" si="128"/>
        <v>0</v>
      </c>
      <c r="FVK84" s="79">
        <f t="shared" si="128"/>
        <v>0</v>
      </c>
      <c r="FVL84" s="79">
        <f t="shared" si="128"/>
        <v>0</v>
      </c>
      <c r="FVM84" s="145" t="s">
        <v>96</v>
      </c>
      <c r="FVP84" s="79">
        <f>FVP18+FVP24+FVP29+FVP30</f>
        <v>0</v>
      </c>
      <c r="FVQ84" s="79">
        <f t="shared" si="128"/>
        <v>0</v>
      </c>
      <c r="FVR84" s="79">
        <f t="shared" si="128"/>
        <v>0</v>
      </c>
      <c r="FVS84" s="79">
        <f t="shared" si="128"/>
        <v>0</v>
      </c>
      <c r="FVT84" s="79">
        <f t="shared" si="128"/>
        <v>0</v>
      </c>
      <c r="FVU84" s="79">
        <f t="shared" si="128"/>
        <v>0</v>
      </c>
      <c r="FVV84" s="79">
        <f t="shared" si="128"/>
        <v>0</v>
      </c>
      <c r="FVW84" s="79">
        <f t="shared" si="128"/>
        <v>0</v>
      </c>
      <c r="FVX84" s="79">
        <f t="shared" si="128"/>
        <v>0</v>
      </c>
      <c r="FVY84" s="79">
        <f t="shared" si="128"/>
        <v>0</v>
      </c>
      <c r="FVZ84" s="79">
        <f t="shared" si="128"/>
        <v>0</v>
      </c>
      <c r="FWA84" s="79">
        <f t="shared" si="128"/>
        <v>0</v>
      </c>
      <c r="FWB84" s="79">
        <f t="shared" si="128"/>
        <v>0</v>
      </c>
      <c r="FWC84" s="145" t="s">
        <v>96</v>
      </c>
      <c r="FWF84" s="79">
        <f>FWF18+FWF24+FWF29+FWF30</f>
        <v>0</v>
      </c>
      <c r="FWG84" s="79">
        <f t="shared" si="128"/>
        <v>0</v>
      </c>
      <c r="FWH84" s="79">
        <f t="shared" si="128"/>
        <v>0</v>
      </c>
      <c r="FWI84" s="79">
        <f t="shared" si="128"/>
        <v>0</v>
      </c>
      <c r="FWJ84" s="79">
        <f t="shared" si="128"/>
        <v>0</v>
      </c>
      <c r="FWK84" s="79">
        <f t="shared" si="128"/>
        <v>0</v>
      </c>
      <c r="FWL84" s="79">
        <f t="shared" si="128"/>
        <v>0</v>
      </c>
      <c r="FWM84" s="79">
        <f t="shared" si="128"/>
        <v>0</v>
      </c>
      <c r="FWN84" s="79">
        <f t="shared" si="128"/>
        <v>0</v>
      </c>
      <c r="FWO84" s="79">
        <f t="shared" si="128"/>
        <v>0</v>
      </c>
      <c r="FWP84" s="79">
        <f t="shared" si="128"/>
        <v>0</v>
      </c>
      <c r="FWQ84" s="79">
        <f t="shared" si="128"/>
        <v>0</v>
      </c>
      <c r="FWR84" s="79">
        <f t="shared" si="128"/>
        <v>0</v>
      </c>
      <c r="FWS84" s="145" t="s">
        <v>96</v>
      </c>
      <c r="FWV84" s="79">
        <f>FWV18+FWV24+FWV29+FWV30</f>
        <v>0</v>
      </c>
      <c r="FWW84" s="79">
        <f t="shared" ref="FWW84:FZD84" si="129">FWW18+FWW24+FWW29+FWW30</f>
        <v>0</v>
      </c>
      <c r="FWX84" s="79">
        <f t="shared" si="129"/>
        <v>0</v>
      </c>
      <c r="FWY84" s="79">
        <f t="shared" si="129"/>
        <v>0</v>
      </c>
      <c r="FWZ84" s="79">
        <f t="shared" si="129"/>
        <v>0</v>
      </c>
      <c r="FXA84" s="79">
        <f t="shared" si="129"/>
        <v>0</v>
      </c>
      <c r="FXB84" s="79">
        <f t="shared" si="129"/>
        <v>0</v>
      </c>
      <c r="FXC84" s="79">
        <f t="shared" si="129"/>
        <v>0</v>
      </c>
      <c r="FXD84" s="79">
        <f t="shared" si="129"/>
        <v>0</v>
      </c>
      <c r="FXE84" s="79">
        <f t="shared" si="129"/>
        <v>0</v>
      </c>
      <c r="FXF84" s="79">
        <f t="shared" si="129"/>
        <v>0</v>
      </c>
      <c r="FXG84" s="79">
        <f t="shared" si="129"/>
        <v>0</v>
      </c>
      <c r="FXH84" s="79">
        <f t="shared" si="129"/>
        <v>0</v>
      </c>
      <c r="FXI84" s="145" t="s">
        <v>96</v>
      </c>
      <c r="FXL84" s="79">
        <f>FXL18+FXL24+FXL29+FXL30</f>
        <v>0</v>
      </c>
      <c r="FXM84" s="79">
        <f t="shared" si="129"/>
        <v>0</v>
      </c>
      <c r="FXN84" s="79">
        <f t="shared" si="129"/>
        <v>0</v>
      </c>
      <c r="FXO84" s="79">
        <f t="shared" si="129"/>
        <v>0</v>
      </c>
      <c r="FXP84" s="79">
        <f t="shared" si="129"/>
        <v>0</v>
      </c>
      <c r="FXQ84" s="79">
        <f t="shared" si="129"/>
        <v>0</v>
      </c>
      <c r="FXR84" s="79">
        <f t="shared" si="129"/>
        <v>0</v>
      </c>
      <c r="FXS84" s="79">
        <f t="shared" si="129"/>
        <v>0</v>
      </c>
      <c r="FXT84" s="79">
        <f t="shared" si="129"/>
        <v>0</v>
      </c>
      <c r="FXU84" s="79">
        <f t="shared" si="129"/>
        <v>0</v>
      </c>
      <c r="FXV84" s="79">
        <f t="shared" si="129"/>
        <v>0</v>
      </c>
      <c r="FXW84" s="79">
        <f t="shared" si="129"/>
        <v>0</v>
      </c>
      <c r="FXX84" s="79">
        <f t="shared" si="129"/>
        <v>0</v>
      </c>
      <c r="FXY84" s="145" t="s">
        <v>96</v>
      </c>
      <c r="FYB84" s="79">
        <f>FYB18+FYB24+FYB29+FYB30</f>
        <v>0</v>
      </c>
      <c r="FYC84" s="79">
        <f t="shared" si="129"/>
        <v>0</v>
      </c>
      <c r="FYD84" s="79">
        <f t="shared" si="129"/>
        <v>0</v>
      </c>
      <c r="FYE84" s="79">
        <f t="shared" si="129"/>
        <v>0</v>
      </c>
      <c r="FYF84" s="79">
        <f t="shared" si="129"/>
        <v>0</v>
      </c>
      <c r="FYG84" s="79">
        <f t="shared" si="129"/>
        <v>0</v>
      </c>
      <c r="FYH84" s="79">
        <f t="shared" si="129"/>
        <v>0</v>
      </c>
      <c r="FYI84" s="79">
        <f t="shared" si="129"/>
        <v>0</v>
      </c>
      <c r="FYJ84" s="79">
        <f t="shared" si="129"/>
        <v>0</v>
      </c>
      <c r="FYK84" s="79">
        <f t="shared" si="129"/>
        <v>0</v>
      </c>
      <c r="FYL84" s="79">
        <f t="shared" si="129"/>
        <v>0</v>
      </c>
      <c r="FYM84" s="79">
        <f t="shared" si="129"/>
        <v>0</v>
      </c>
      <c r="FYN84" s="79">
        <f t="shared" si="129"/>
        <v>0</v>
      </c>
      <c r="FYO84" s="145" t="s">
        <v>96</v>
      </c>
      <c r="FYR84" s="79">
        <f>FYR18+FYR24+FYR29+FYR30</f>
        <v>0</v>
      </c>
      <c r="FYS84" s="79">
        <f t="shared" si="129"/>
        <v>0</v>
      </c>
      <c r="FYT84" s="79">
        <f t="shared" si="129"/>
        <v>0</v>
      </c>
      <c r="FYU84" s="79">
        <f t="shared" si="129"/>
        <v>0</v>
      </c>
      <c r="FYV84" s="79">
        <f t="shared" si="129"/>
        <v>0</v>
      </c>
      <c r="FYW84" s="79">
        <f t="shared" si="129"/>
        <v>0</v>
      </c>
      <c r="FYX84" s="79">
        <f t="shared" si="129"/>
        <v>0</v>
      </c>
      <c r="FYY84" s="79">
        <f t="shared" si="129"/>
        <v>0</v>
      </c>
      <c r="FYZ84" s="79">
        <f t="shared" si="129"/>
        <v>0</v>
      </c>
      <c r="FZA84" s="79">
        <f t="shared" si="129"/>
        <v>0</v>
      </c>
      <c r="FZB84" s="79">
        <f t="shared" si="129"/>
        <v>0</v>
      </c>
      <c r="FZC84" s="79">
        <f t="shared" si="129"/>
        <v>0</v>
      </c>
      <c r="FZD84" s="79">
        <f t="shared" si="129"/>
        <v>0</v>
      </c>
      <c r="FZE84" s="145" t="s">
        <v>96</v>
      </c>
      <c r="FZH84" s="79">
        <f>FZH18+FZH24+FZH29+FZH30</f>
        <v>0</v>
      </c>
      <c r="FZI84" s="79">
        <f t="shared" ref="FZI84:GBP84" si="130">FZI18+FZI24+FZI29+FZI30</f>
        <v>0</v>
      </c>
      <c r="FZJ84" s="79">
        <f t="shared" si="130"/>
        <v>0</v>
      </c>
      <c r="FZK84" s="79">
        <f t="shared" si="130"/>
        <v>0</v>
      </c>
      <c r="FZL84" s="79">
        <f t="shared" si="130"/>
        <v>0</v>
      </c>
      <c r="FZM84" s="79">
        <f t="shared" si="130"/>
        <v>0</v>
      </c>
      <c r="FZN84" s="79">
        <f t="shared" si="130"/>
        <v>0</v>
      </c>
      <c r="FZO84" s="79">
        <f t="shared" si="130"/>
        <v>0</v>
      </c>
      <c r="FZP84" s="79">
        <f t="shared" si="130"/>
        <v>0</v>
      </c>
      <c r="FZQ84" s="79">
        <f t="shared" si="130"/>
        <v>0</v>
      </c>
      <c r="FZR84" s="79">
        <f t="shared" si="130"/>
        <v>0</v>
      </c>
      <c r="FZS84" s="79">
        <f t="shared" si="130"/>
        <v>0</v>
      </c>
      <c r="FZT84" s="79">
        <f t="shared" si="130"/>
        <v>0</v>
      </c>
      <c r="FZU84" s="145" t="s">
        <v>96</v>
      </c>
      <c r="FZX84" s="79">
        <f>FZX18+FZX24+FZX29+FZX30</f>
        <v>0</v>
      </c>
      <c r="FZY84" s="79">
        <f t="shared" si="130"/>
        <v>0</v>
      </c>
      <c r="FZZ84" s="79">
        <f t="shared" si="130"/>
        <v>0</v>
      </c>
      <c r="GAA84" s="79">
        <f t="shared" si="130"/>
        <v>0</v>
      </c>
      <c r="GAB84" s="79">
        <f t="shared" si="130"/>
        <v>0</v>
      </c>
      <c r="GAC84" s="79">
        <f t="shared" si="130"/>
        <v>0</v>
      </c>
      <c r="GAD84" s="79">
        <f t="shared" si="130"/>
        <v>0</v>
      </c>
      <c r="GAE84" s="79">
        <f t="shared" si="130"/>
        <v>0</v>
      </c>
      <c r="GAF84" s="79">
        <f t="shared" si="130"/>
        <v>0</v>
      </c>
      <c r="GAG84" s="79">
        <f t="shared" si="130"/>
        <v>0</v>
      </c>
      <c r="GAH84" s="79">
        <f t="shared" si="130"/>
        <v>0</v>
      </c>
      <c r="GAI84" s="79">
        <f t="shared" si="130"/>
        <v>0</v>
      </c>
      <c r="GAJ84" s="79">
        <f t="shared" si="130"/>
        <v>0</v>
      </c>
      <c r="GAK84" s="145" t="s">
        <v>96</v>
      </c>
      <c r="GAN84" s="79">
        <f>GAN18+GAN24+GAN29+GAN30</f>
        <v>0</v>
      </c>
      <c r="GAO84" s="79">
        <f t="shared" si="130"/>
        <v>0</v>
      </c>
      <c r="GAP84" s="79">
        <f t="shared" si="130"/>
        <v>0</v>
      </c>
      <c r="GAQ84" s="79">
        <f t="shared" si="130"/>
        <v>0</v>
      </c>
      <c r="GAR84" s="79">
        <f t="shared" si="130"/>
        <v>0</v>
      </c>
      <c r="GAS84" s="79">
        <f t="shared" si="130"/>
        <v>0</v>
      </c>
      <c r="GAT84" s="79">
        <f t="shared" si="130"/>
        <v>0</v>
      </c>
      <c r="GAU84" s="79">
        <f t="shared" si="130"/>
        <v>0</v>
      </c>
      <c r="GAV84" s="79">
        <f t="shared" si="130"/>
        <v>0</v>
      </c>
      <c r="GAW84" s="79">
        <f t="shared" si="130"/>
        <v>0</v>
      </c>
      <c r="GAX84" s="79">
        <f t="shared" si="130"/>
        <v>0</v>
      </c>
      <c r="GAY84" s="79">
        <f t="shared" si="130"/>
        <v>0</v>
      </c>
      <c r="GAZ84" s="79">
        <f t="shared" si="130"/>
        <v>0</v>
      </c>
      <c r="GBA84" s="145" t="s">
        <v>96</v>
      </c>
      <c r="GBD84" s="79">
        <f>GBD18+GBD24+GBD29+GBD30</f>
        <v>0</v>
      </c>
      <c r="GBE84" s="79">
        <f t="shared" si="130"/>
        <v>0</v>
      </c>
      <c r="GBF84" s="79">
        <f t="shared" si="130"/>
        <v>0</v>
      </c>
      <c r="GBG84" s="79">
        <f t="shared" si="130"/>
        <v>0</v>
      </c>
      <c r="GBH84" s="79">
        <f t="shared" si="130"/>
        <v>0</v>
      </c>
      <c r="GBI84" s="79">
        <f t="shared" si="130"/>
        <v>0</v>
      </c>
      <c r="GBJ84" s="79">
        <f t="shared" si="130"/>
        <v>0</v>
      </c>
      <c r="GBK84" s="79">
        <f t="shared" si="130"/>
        <v>0</v>
      </c>
      <c r="GBL84" s="79">
        <f t="shared" si="130"/>
        <v>0</v>
      </c>
      <c r="GBM84" s="79">
        <f t="shared" si="130"/>
        <v>0</v>
      </c>
      <c r="GBN84" s="79">
        <f t="shared" si="130"/>
        <v>0</v>
      </c>
      <c r="GBO84" s="79">
        <f t="shared" si="130"/>
        <v>0</v>
      </c>
      <c r="GBP84" s="79">
        <f t="shared" si="130"/>
        <v>0</v>
      </c>
      <c r="GBQ84" s="145" t="s">
        <v>96</v>
      </c>
      <c r="GBT84" s="79">
        <f>GBT18+GBT24+GBT29+GBT30</f>
        <v>0</v>
      </c>
      <c r="GBU84" s="79">
        <f t="shared" ref="GBU84:GEB84" si="131">GBU18+GBU24+GBU29+GBU30</f>
        <v>0</v>
      </c>
      <c r="GBV84" s="79">
        <f t="shared" si="131"/>
        <v>0</v>
      </c>
      <c r="GBW84" s="79">
        <f t="shared" si="131"/>
        <v>0</v>
      </c>
      <c r="GBX84" s="79">
        <f t="shared" si="131"/>
        <v>0</v>
      </c>
      <c r="GBY84" s="79">
        <f t="shared" si="131"/>
        <v>0</v>
      </c>
      <c r="GBZ84" s="79">
        <f t="shared" si="131"/>
        <v>0</v>
      </c>
      <c r="GCA84" s="79">
        <f t="shared" si="131"/>
        <v>0</v>
      </c>
      <c r="GCB84" s="79">
        <f t="shared" si="131"/>
        <v>0</v>
      </c>
      <c r="GCC84" s="79">
        <f t="shared" si="131"/>
        <v>0</v>
      </c>
      <c r="GCD84" s="79">
        <f t="shared" si="131"/>
        <v>0</v>
      </c>
      <c r="GCE84" s="79">
        <f t="shared" si="131"/>
        <v>0</v>
      </c>
      <c r="GCF84" s="79">
        <f t="shared" si="131"/>
        <v>0</v>
      </c>
      <c r="GCG84" s="145" t="s">
        <v>96</v>
      </c>
      <c r="GCJ84" s="79">
        <f>GCJ18+GCJ24+GCJ29+GCJ30</f>
        <v>0</v>
      </c>
      <c r="GCK84" s="79">
        <f t="shared" si="131"/>
        <v>0</v>
      </c>
      <c r="GCL84" s="79">
        <f t="shared" si="131"/>
        <v>0</v>
      </c>
      <c r="GCM84" s="79">
        <f t="shared" si="131"/>
        <v>0</v>
      </c>
      <c r="GCN84" s="79">
        <f t="shared" si="131"/>
        <v>0</v>
      </c>
      <c r="GCO84" s="79">
        <f t="shared" si="131"/>
        <v>0</v>
      </c>
      <c r="GCP84" s="79">
        <f t="shared" si="131"/>
        <v>0</v>
      </c>
      <c r="GCQ84" s="79">
        <f t="shared" si="131"/>
        <v>0</v>
      </c>
      <c r="GCR84" s="79">
        <f t="shared" si="131"/>
        <v>0</v>
      </c>
      <c r="GCS84" s="79">
        <f t="shared" si="131"/>
        <v>0</v>
      </c>
      <c r="GCT84" s="79">
        <f t="shared" si="131"/>
        <v>0</v>
      </c>
      <c r="GCU84" s="79">
        <f t="shared" si="131"/>
        <v>0</v>
      </c>
      <c r="GCV84" s="79">
        <f t="shared" si="131"/>
        <v>0</v>
      </c>
      <c r="GCW84" s="145" t="s">
        <v>96</v>
      </c>
      <c r="GCZ84" s="79">
        <f>GCZ18+GCZ24+GCZ29+GCZ30</f>
        <v>0</v>
      </c>
      <c r="GDA84" s="79">
        <f t="shared" si="131"/>
        <v>0</v>
      </c>
      <c r="GDB84" s="79">
        <f t="shared" si="131"/>
        <v>0</v>
      </c>
      <c r="GDC84" s="79">
        <f t="shared" si="131"/>
        <v>0</v>
      </c>
      <c r="GDD84" s="79">
        <f t="shared" si="131"/>
        <v>0</v>
      </c>
      <c r="GDE84" s="79">
        <f t="shared" si="131"/>
        <v>0</v>
      </c>
      <c r="GDF84" s="79">
        <f t="shared" si="131"/>
        <v>0</v>
      </c>
      <c r="GDG84" s="79">
        <f t="shared" si="131"/>
        <v>0</v>
      </c>
      <c r="GDH84" s="79">
        <f t="shared" si="131"/>
        <v>0</v>
      </c>
      <c r="GDI84" s="79">
        <f t="shared" si="131"/>
        <v>0</v>
      </c>
      <c r="GDJ84" s="79">
        <f t="shared" si="131"/>
        <v>0</v>
      </c>
      <c r="GDK84" s="79">
        <f t="shared" si="131"/>
        <v>0</v>
      </c>
      <c r="GDL84" s="79">
        <f t="shared" si="131"/>
        <v>0</v>
      </c>
      <c r="GDM84" s="145" t="s">
        <v>96</v>
      </c>
      <c r="GDP84" s="79">
        <f>GDP18+GDP24+GDP29+GDP30</f>
        <v>0</v>
      </c>
      <c r="GDQ84" s="79">
        <f t="shared" si="131"/>
        <v>0</v>
      </c>
      <c r="GDR84" s="79">
        <f t="shared" si="131"/>
        <v>0</v>
      </c>
      <c r="GDS84" s="79">
        <f t="shared" si="131"/>
        <v>0</v>
      </c>
      <c r="GDT84" s="79">
        <f t="shared" si="131"/>
        <v>0</v>
      </c>
      <c r="GDU84" s="79">
        <f t="shared" si="131"/>
        <v>0</v>
      </c>
      <c r="GDV84" s="79">
        <f t="shared" si="131"/>
        <v>0</v>
      </c>
      <c r="GDW84" s="79">
        <f t="shared" si="131"/>
        <v>0</v>
      </c>
      <c r="GDX84" s="79">
        <f t="shared" si="131"/>
        <v>0</v>
      </c>
      <c r="GDY84" s="79">
        <f t="shared" si="131"/>
        <v>0</v>
      </c>
      <c r="GDZ84" s="79">
        <f t="shared" si="131"/>
        <v>0</v>
      </c>
      <c r="GEA84" s="79">
        <f t="shared" si="131"/>
        <v>0</v>
      </c>
      <c r="GEB84" s="79">
        <f t="shared" si="131"/>
        <v>0</v>
      </c>
      <c r="GEC84" s="145" t="s">
        <v>96</v>
      </c>
      <c r="GEF84" s="79">
        <f>GEF18+GEF24+GEF29+GEF30</f>
        <v>0</v>
      </c>
      <c r="GEG84" s="79">
        <f t="shared" ref="GEG84:GGN84" si="132">GEG18+GEG24+GEG29+GEG30</f>
        <v>0</v>
      </c>
      <c r="GEH84" s="79">
        <f t="shared" si="132"/>
        <v>0</v>
      </c>
      <c r="GEI84" s="79">
        <f t="shared" si="132"/>
        <v>0</v>
      </c>
      <c r="GEJ84" s="79">
        <f t="shared" si="132"/>
        <v>0</v>
      </c>
      <c r="GEK84" s="79">
        <f t="shared" si="132"/>
        <v>0</v>
      </c>
      <c r="GEL84" s="79">
        <f t="shared" si="132"/>
        <v>0</v>
      </c>
      <c r="GEM84" s="79">
        <f t="shared" si="132"/>
        <v>0</v>
      </c>
      <c r="GEN84" s="79">
        <f t="shared" si="132"/>
        <v>0</v>
      </c>
      <c r="GEO84" s="79">
        <f t="shared" si="132"/>
        <v>0</v>
      </c>
      <c r="GEP84" s="79">
        <f t="shared" si="132"/>
        <v>0</v>
      </c>
      <c r="GEQ84" s="79">
        <f t="shared" si="132"/>
        <v>0</v>
      </c>
      <c r="GER84" s="79">
        <f t="shared" si="132"/>
        <v>0</v>
      </c>
      <c r="GES84" s="145" t="s">
        <v>96</v>
      </c>
      <c r="GEV84" s="79">
        <f>GEV18+GEV24+GEV29+GEV30</f>
        <v>0</v>
      </c>
      <c r="GEW84" s="79">
        <f t="shared" si="132"/>
        <v>0</v>
      </c>
      <c r="GEX84" s="79">
        <f t="shared" si="132"/>
        <v>0</v>
      </c>
      <c r="GEY84" s="79">
        <f t="shared" si="132"/>
        <v>0</v>
      </c>
      <c r="GEZ84" s="79">
        <f t="shared" si="132"/>
        <v>0</v>
      </c>
      <c r="GFA84" s="79">
        <f t="shared" si="132"/>
        <v>0</v>
      </c>
      <c r="GFB84" s="79">
        <f t="shared" si="132"/>
        <v>0</v>
      </c>
      <c r="GFC84" s="79">
        <f t="shared" si="132"/>
        <v>0</v>
      </c>
      <c r="GFD84" s="79">
        <f t="shared" si="132"/>
        <v>0</v>
      </c>
      <c r="GFE84" s="79">
        <f t="shared" si="132"/>
        <v>0</v>
      </c>
      <c r="GFF84" s="79">
        <f t="shared" si="132"/>
        <v>0</v>
      </c>
      <c r="GFG84" s="79">
        <f t="shared" si="132"/>
        <v>0</v>
      </c>
      <c r="GFH84" s="79">
        <f t="shared" si="132"/>
        <v>0</v>
      </c>
      <c r="GFI84" s="145" t="s">
        <v>96</v>
      </c>
      <c r="GFL84" s="79">
        <f>GFL18+GFL24+GFL29+GFL30</f>
        <v>0</v>
      </c>
      <c r="GFM84" s="79">
        <f t="shared" si="132"/>
        <v>0</v>
      </c>
      <c r="GFN84" s="79">
        <f t="shared" si="132"/>
        <v>0</v>
      </c>
      <c r="GFO84" s="79">
        <f t="shared" si="132"/>
        <v>0</v>
      </c>
      <c r="GFP84" s="79">
        <f t="shared" si="132"/>
        <v>0</v>
      </c>
      <c r="GFQ84" s="79">
        <f t="shared" si="132"/>
        <v>0</v>
      </c>
      <c r="GFR84" s="79">
        <f t="shared" si="132"/>
        <v>0</v>
      </c>
      <c r="GFS84" s="79">
        <f t="shared" si="132"/>
        <v>0</v>
      </c>
      <c r="GFT84" s="79">
        <f t="shared" si="132"/>
        <v>0</v>
      </c>
      <c r="GFU84" s="79">
        <f t="shared" si="132"/>
        <v>0</v>
      </c>
      <c r="GFV84" s="79">
        <f t="shared" si="132"/>
        <v>0</v>
      </c>
      <c r="GFW84" s="79">
        <f t="shared" si="132"/>
        <v>0</v>
      </c>
      <c r="GFX84" s="79">
        <f t="shared" si="132"/>
        <v>0</v>
      </c>
      <c r="GFY84" s="145" t="s">
        <v>96</v>
      </c>
      <c r="GGB84" s="79">
        <f>GGB18+GGB24+GGB29+GGB30</f>
        <v>0</v>
      </c>
      <c r="GGC84" s="79">
        <f t="shared" si="132"/>
        <v>0</v>
      </c>
      <c r="GGD84" s="79">
        <f t="shared" si="132"/>
        <v>0</v>
      </c>
      <c r="GGE84" s="79">
        <f t="shared" si="132"/>
        <v>0</v>
      </c>
      <c r="GGF84" s="79">
        <f t="shared" si="132"/>
        <v>0</v>
      </c>
      <c r="GGG84" s="79">
        <f t="shared" si="132"/>
        <v>0</v>
      </c>
      <c r="GGH84" s="79">
        <f t="shared" si="132"/>
        <v>0</v>
      </c>
      <c r="GGI84" s="79">
        <f t="shared" si="132"/>
        <v>0</v>
      </c>
      <c r="GGJ84" s="79">
        <f t="shared" si="132"/>
        <v>0</v>
      </c>
      <c r="GGK84" s="79">
        <f t="shared" si="132"/>
        <v>0</v>
      </c>
      <c r="GGL84" s="79">
        <f t="shared" si="132"/>
        <v>0</v>
      </c>
      <c r="GGM84" s="79">
        <f t="shared" si="132"/>
        <v>0</v>
      </c>
      <c r="GGN84" s="79">
        <f t="shared" si="132"/>
        <v>0</v>
      </c>
      <c r="GGO84" s="145" t="s">
        <v>96</v>
      </c>
      <c r="GGR84" s="79">
        <f>GGR18+GGR24+GGR29+GGR30</f>
        <v>0</v>
      </c>
      <c r="GGS84" s="79">
        <f t="shared" ref="GGS84:GIZ84" si="133">GGS18+GGS24+GGS29+GGS30</f>
        <v>0</v>
      </c>
      <c r="GGT84" s="79">
        <f t="shared" si="133"/>
        <v>0</v>
      </c>
      <c r="GGU84" s="79">
        <f t="shared" si="133"/>
        <v>0</v>
      </c>
      <c r="GGV84" s="79">
        <f t="shared" si="133"/>
        <v>0</v>
      </c>
      <c r="GGW84" s="79">
        <f t="shared" si="133"/>
        <v>0</v>
      </c>
      <c r="GGX84" s="79">
        <f t="shared" si="133"/>
        <v>0</v>
      </c>
      <c r="GGY84" s="79">
        <f t="shared" si="133"/>
        <v>0</v>
      </c>
      <c r="GGZ84" s="79">
        <f t="shared" si="133"/>
        <v>0</v>
      </c>
      <c r="GHA84" s="79">
        <f t="shared" si="133"/>
        <v>0</v>
      </c>
      <c r="GHB84" s="79">
        <f t="shared" si="133"/>
        <v>0</v>
      </c>
      <c r="GHC84" s="79">
        <f t="shared" si="133"/>
        <v>0</v>
      </c>
      <c r="GHD84" s="79">
        <f t="shared" si="133"/>
        <v>0</v>
      </c>
      <c r="GHE84" s="145" t="s">
        <v>96</v>
      </c>
      <c r="GHH84" s="79">
        <f>GHH18+GHH24+GHH29+GHH30</f>
        <v>0</v>
      </c>
      <c r="GHI84" s="79">
        <f t="shared" si="133"/>
        <v>0</v>
      </c>
      <c r="GHJ84" s="79">
        <f t="shared" si="133"/>
        <v>0</v>
      </c>
      <c r="GHK84" s="79">
        <f t="shared" si="133"/>
        <v>0</v>
      </c>
      <c r="GHL84" s="79">
        <f t="shared" si="133"/>
        <v>0</v>
      </c>
      <c r="GHM84" s="79">
        <f t="shared" si="133"/>
        <v>0</v>
      </c>
      <c r="GHN84" s="79">
        <f t="shared" si="133"/>
        <v>0</v>
      </c>
      <c r="GHO84" s="79">
        <f t="shared" si="133"/>
        <v>0</v>
      </c>
      <c r="GHP84" s="79">
        <f t="shared" si="133"/>
        <v>0</v>
      </c>
      <c r="GHQ84" s="79">
        <f t="shared" si="133"/>
        <v>0</v>
      </c>
      <c r="GHR84" s="79">
        <f t="shared" si="133"/>
        <v>0</v>
      </c>
      <c r="GHS84" s="79">
        <f t="shared" si="133"/>
        <v>0</v>
      </c>
      <c r="GHT84" s="79">
        <f t="shared" si="133"/>
        <v>0</v>
      </c>
      <c r="GHU84" s="145" t="s">
        <v>96</v>
      </c>
      <c r="GHX84" s="79">
        <f>GHX18+GHX24+GHX29+GHX30</f>
        <v>0</v>
      </c>
      <c r="GHY84" s="79">
        <f t="shared" si="133"/>
        <v>0</v>
      </c>
      <c r="GHZ84" s="79">
        <f t="shared" si="133"/>
        <v>0</v>
      </c>
      <c r="GIA84" s="79">
        <f t="shared" si="133"/>
        <v>0</v>
      </c>
      <c r="GIB84" s="79">
        <f t="shared" si="133"/>
        <v>0</v>
      </c>
      <c r="GIC84" s="79">
        <f t="shared" si="133"/>
        <v>0</v>
      </c>
      <c r="GID84" s="79">
        <f t="shared" si="133"/>
        <v>0</v>
      </c>
      <c r="GIE84" s="79">
        <f t="shared" si="133"/>
        <v>0</v>
      </c>
      <c r="GIF84" s="79">
        <f t="shared" si="133"/>
        <v>0</v>
      </c>
      <c r="GIG84" s="79">
        <f t="shared" si="133"/>
        <v>0</v>
      </c>
      <c r="GIH84" s="79">
        <f t="shared" si="133"/>
        <v>0</v>
      </c>
      <c r="GII84" s="79">
        <f t="shared" si="133"/>
        <v>0</v>
      </c>
      <c r="GIJ84" s="79">
        <f t="shared" si="133"/>
        <v>0</v>
      </c>
      <c r="GIK84" s="145" t="s">
        <v>96</v>
      </c>
      <c r="GIN84" s="79">
        <f>GIN18+GIN24+GIN29+GIN30</f>
        <v>0</v>
      </c>
      <c r="GIO84" s="79">
        <f t="shared" si="133"/>
        <v>0</v>
      </c>
      <c r="GIP84" s="79">
        <f t="shared" si="133"/>
        <v>0</v>
      </c>
      <c r="GIQ84" s="79">
        <f t="shared" si="133"/>
        <v>0</v>
      </c>
      <c r="GIR84" s="79">
        <f t="shared" si="133"/>
        <v>0</v>
      </c>
      <c r="GIS84" s="79">
        <f t="shared" si="133"/>
        <v>0</v>
      </c>
      <c r="GIT84" s="79">
        <f t="shared" si="133"/>
        <v>0</v>
      </c>
      <c r="GIU84" s="79">
        <f t="shared" si="133"/>
        <v>0</v>
      </c>
      <c r="GIV84" s="79">
        <f t="shared" si="133"/>
        <v>0</v>
      </c>
      <c r="GIW84" s="79">
        <f t="shared" si="133"/>
        <v>0</v>
      </c>
      <c r="GIX84" s="79">
        <f t="shared" si="133"/>
        <v>0</v>
      </c>
      <c r="GIY84" s="79">
        <f t="shared" si="133"/>
        <v>0</v>
      </c>
      <c r="GIZ84" s="79">
        <f t="shared" si="133"/>
        <v>0</v>
      </c>
      <c r="GJA84" s="145" t="s">
        <v>96</v>
      </c>
      <c r="GJD84" s="79">
        <f>GJD18+GJD24+GJD29+GJD30</f>
        <v>0</v>
      </c>
      <c r="GJE84" s="79">
        <f t="shared" ref="GJE84:GLL84" si="134">GJE18+GJE24+GJE29+GJE30</f>
        <v>0</v>
      </c>
      <c r="GJF84" s="79">
        <f t="shared" si="134"/>
        <v>0</v>
      </c>
      <c r="GJG84" s="79">
        <f t="shared" si="134"/>
        <v>0</v>
      </c>
      <c r="GJH84" s="79">
        <f t="shared" si="134"/>
        <v>0</v>
      </c>
      <c r="GJI84" s="79">
        <f t="shared" si="134"/>
        <v>0</v>
      </c>
      <c r="GJJ84" s="79">
        <f t="shared" si="134"/>
        <v>0</v>
      </c>
      <c r="GJK84" s="79">
        <f t="shared" si="134"/>
        <v>0</v>
      </c>
      <c r="GJL84" s="79">
        <f t="shared" si="134"/>
        <v>0</v>
      </c>
      <c r="GJM84" s="79">
        <f t="shared" si="134"/>
        <v>0</v>
      </c>
      <c r="GJN84" s="79">
        <f t="shared" si="134"/>
        <v>0</v>
      </c>
      <c r="GJO84" s="79">
        <f t="shared" si="134"/>
        <v>0</v>
      </c>
      <c r="GJP84" s="79">
        <f t="shared" si="134"/>
        <v>0</v>
      </c>
      <c r="GJQ84" s="145" t="s">
        <v>96</v>
      </c>
      <c r="GJT84" s="79">
        <f>GJT18+GJT24+GJT29+GJT30</f>
        <v>0</v>
      </c>
      <c r="GJU84" s="79">
        <f t="shared" si="134"/>
        <v>0</v>
      </c>
      <c r="GJV84" s="79">
        <f t="shared" si="134"/>
        <v>0</v>
      </c>
      <c r="GJW84" s="79">
        <f t="shared" si="134"/>
        <v>0</v>
      </c>
      <c r="GJX84" s="79">
        <f t="shared" si="134"/>
        <v>0</v>
      </c>
      <c r="GJY84" s="79">
        <f t="shared" si="134"/>
        <v>0</v>
      </c>
      <c r="GJZ84" s="79">
        <f t="shared" si="134"/>
        <v>0</v>
      </c>
      <c r="GKA84" s="79">
        <f t="shared" si="134"/>
        <v>0</v>
      </c>
      <c r="GKB84" s="79">
        <f t="shared" si="134"/>
        <v>0</v>
      </c>
      <c r="GKC84" s="79">
        <f t="shared" si="134"/>
        <v>0</v>
      </c>
      <c r="GKD84" s="79">
        <f t="shared" si="134"/>
        <v>0</v>
      </c>
      <c r="GKE84" s="79">
        <f t="shared" si="134"/>
        <v>0</v>
      </c>
      <c r="GKF84" s="79">
        <f t="shared" si="134"/>
        <v>0</v>
      </c>
      <c r="GKG84" s="145" t="s">
        <v>96</v>
      </c>
      <c r="GKJ84" s="79">
        <f>GKJ18+GKJ24+GKJ29+GKJ30</f>
        <v>0</v>
      </c>
      <c r="GKK84" s="79">
        <f t="shared" si="134"/>
        <v>0</v>
      </c>
      <c r="GKL84" s="79">
        <f t="shared" si="134"/>
        <v>0</v>
      </c>
      <c r="GKM84" s="79">
        <f t="shared" si="134"/>
        <v>0</v>
      </c>
      <c r="GKN84" s="79">
        <f t="shared" si="134"/>
        <v>0</v>
      </c>
      <c r="GKO84" s="79">
        <f t="shared" si="134"/>
        <v>0</v>
      </c>
      <c r="GKP84" s="79">
        <f t="shared" si="134"/>
        <v>0</v>
      </c>
      <c r="GKQ84" s="79">
        <f t="shared" si="134"/>
        <v>0</v>
      </c>
      <c r="GKR84" s="79">
        <f t="shared" si="134"/>
        <v>0</v>
      </c>
      <c r="GKS84" s="79">
        <f t="shared" si="134"/>
        <v>0</v>
      </c>
      <c r="GKT84" s="79">
        <f t="shared" si="134"/>
        <v>0</v>
      </c>
      <c r="GKU84" s="79">
        <f t="shared" si="134"/>
        <v>0</v>
      </c>
      <c r="GKV84" s="79">
        <f t="shared" si="134"/>
        <v>0</v>
      </c>
      <c r="GKW84" s="145" t="s">
        <v>96</v>
      </c>
      <c r="GKZ84" s="79">
        <f>GKZ18+GKZ24+GKZ29+GKZ30</f>
        <v>0</v>
      </c>
      <c r="GLA84" s="79">
        <f t="shared" si="134"/>
        <v>0</v>
      </c>
      <c r="GLB84" s="79">
        <f t="shared" si="134"/>
        <v>0</v>
      </c>
      <c r="GLC84" s="79">
        <f t="shared" si="134"/>
        <v>0</v>
      </c>
      <c r="GLD84" s="79">
        <f t="shared" si="134"/>
        <v>0</v>
      </c>
      <c r="GLE84" s="79">
        <f t="shared" si="134"/>
        <v>0</v>
      </c>
      <c r="GLF84" s="79">
        <f t="shared" si="134"/>
        <v>0</v>
      </c>
      <c r="GLG84" s="79">
        <f t="shared" si="134"/>
        <v>0</v>
      </c>
      <c r="GLH84" s="79">
        <f t="shared" si="134"/>
        <v>0</v>
      </c>
      <c r="GLI84" s="79">
        <f t="shared" si="134"/>
        <v>0</v>
      </c>
      <c r="GLJ84" s="79">
        <f t="shared" si="134"/>
        <v>0</v>
      </c>
      <c r="GLK84" s="79">
        <f t="shared" si="134"/>
        <v>0</v>
      </c>
      <c r="GLL84" s="79">
        <f t="shared" si="134"/>
        <v>0</v>
      </c>
      <c r="GLM84" s="145" t="s">
        <v>96</v>
      </c>
      <c r="GLP84" s="79">
        <f>GLP18+GLP24+GLP29+GLP30</f>
        <v>0</v>
      </c>
      <c r="GLQ84" s="79">
        <f t="shared" ref="GLQ84:GNX84" si="135">GLQ18+GLQ24+GLQ29+GLQ30</f>
        <v>0</v>
      </c>
      <c r="GLR84" s="79">
        <f t="shared" si="135"/>
        <v>0</v>
      </c>
      <c r="GLS84" s="79">
        <f t="shared" si="135"/>
        <v>0</v>
      </c>
      <c r="GLT84" s="79">
        <f t="shared" si="135"/>
        <v>0</v>
      </c>
      <c r="GLU84" s="79">
        <f t="shared" si="135"/>
        <v>0</v>
      </c>
      <c r="GLV84" s="79">
        <f t="shared" si="135"/>
        <v>0</v>
      </c>
      <c r="GLW84" s="79">
        <f t="shared" si="135"/>
        <v>0</v>
      </c>
      <c r="GLX84" s="79">
        <f t="shared" si="135"/>
        <v>0</v>
      </c>
      <c r="GLY84" s="79">
        <f t="shared" si="135"/>
        <v>0</v>
      </c>
      <c r="GLZ84" s="79">
        <f t="shared" si="135"/>
        <v>0</v>
      </c>
      <c r="GMA84" s="79">
        <f t="shared" si="135"/>
        <v>0</v>
      </c>
      <c r="GMB84" s="79">
        <f t="shared" si="135"/>
        <v>0</v>
      </c>
      <c r="GMC84" s="145" t="s">
        <v>96</v>
      </c>
      <c r="GMF84" s="79">
        <f>GMF18+GMF24+GMF29+GMF30</f>
        <v>0</v>
      </c>
      <c r="GMG84" s="79">
        <f t="shared" si="135"/>
        <v>0</v>
      </c>
      <c r="GMH84" s="79">
        <f t="shared" si="135"/>
        <v>0</v>
      </c>
      <c r="GMI84" s="79">
        <f t="shared" si="135"/>
        <v>0</v>
      </c>
      <c r="GMJ84" s="79">
        <f t="shared" si="135"/>
        <v>0</v>
      </c>
      <c r="GMK84" s="79">
        <f t="shared" si="135"/>
        <v>0</v>
      </c>
      <c r="GML84" s="79">
        <f t="shared" si="135"/>
        <v>0</v>
      </c>
      <c r="GMM84" s="79">
        <f t="shared" si="135"/>
        <v>0</v>
      </c>
      <c r="GMN84" s="79">
        <f t="shared" si="135"/>
        <v>0</v>
      </c>
      <c r="GMO84" s="79">
        <f t="shared" si="135"/>
        <v>0</v>
      </c>
      <c r="GMP84" s="79">
        <f t="shared" si="135"/>
        <v>0</v>
      </c>
      <c r="GMQ84" s="79">
        <f t="shared" si="135"/>
        <v>0</v>
      </c>
      <c r="GMR84" s="79">
        <f t="shared" si="135"/>
        <v>0</v>
      </c>
      <c r="GMS84" s="145" t="s">
        <v>96</v>
      </c>
      <c r="GMV84" s="79">
        <f>GMV18+GMV24+GMV29+GMV30</f>
        <v>0</v>
      </c>
      <c r="GMW84" s="79">
        <f t="shared" si="135"/>
        <v>0</v>
      </c>
      <c r="GMX84" s="79">
        <f t="shared" si="135"/>
        <v>0</v>
      </c>
      <c r="GMY84" s="79">
        <f t="shared" si="135"/>
        <v>0</v>
      </c>
      <c r="GMZ84" s="79">
        <f t="shared" si="135"/>
        <v>0</v>
      </c>
      <c r="GNA84" s="79">
        <f t="shared" si="135"/>
        <v>0</v>
      </c>
      <c r="GNB84" s="79">
        <f t="shared" si="135"/>
        <v>0</v>
      </c>
      <c r="GNC84" s="79">
        <f t="shared" si="135"/>
        <v>0</v>
      </c>
      <c r="GND84" s="79">
        <f t="shared" si="135"/>
        <v>0</v>
      </c>
      <c r="GNE84" s="79">
        <f t="shared" si="135"/>
        <v>0</v>
      </c>
      <c r="GNF84" s="79">
        <f t="shared" si="135"/>
        <v>0</v>
      </c>
      <c r="GNG84" s="79">
        <f t="shared" si="135"/>
        <v>0</v>
      </c>
      <c r="GNH84" s="79">
        <f t="shared" si="135"/>
        <v>0</v>
      </c>
      <c r="GNI84" s="145" t="s">
        <v>96</v>
      </c>
      <c r="GNL84" s="79">
        <f>GNL18+GNL24+GNL29+GNL30</f>
        <v>0</v>
      </c>
      <c r="GNM84" s="79">
        <f t="shared" si="135"/>
        <v>0</v>
      </c>
      <c r="GNN84" s="79">
        <f t="shared" si="135"/>
        <v>0</v>
      </c>
      <c r="GNO84" s="79">
        <f t="shared" si="135"/>
        <v>0</v>
      </c>
      <c r="GNP84" s="79">
        <f t="shared" si="135"/>
        <v>0</v>
      </c>
      <c r="GNQ84" s="79">
        <f t="shared" si="135"/>
        <v>0</v>
      </c>
      <c r="GNR84" s="79">
        <f t="shared" si="135"/>
        <v>0</v>
      </c>
      <c r="GNS84" s="79">
        <f t="shared" si="135"/>
        <v>0</v>
      </c>
      <c r="GNT84" s="79">
        <f t="shared" si="135"/>
        <v>0</v>
      </c>
      <c r="GNU84" s="79">
        <f t="shared" si="135"/>
        <v>0</v>
      </c>
      <c r="GNV84" s="79">
        <f t="shared" si="135"/>
        <v>0</v>
      </c>
      <c r="GNW84" s="79">
        <f t="shared" si="135"/>
        <v>0</v>
      </c>
      <c r="GNX84" s="79">
        <f t="shared" si="135"/>
        <v>0</v>
      </c>
      <c r="GNY84" s="145" t="s">
        <v>96</v>
      </c>
      <c r="GOB84" s="79">
        <f>GOB18+GOB24+GOB29+GOB30</f>
        <v>0</v>
      </c>
      <c r="GOC84" s="79">
        <f t="shared" ref="GOC84:GQJ84" si="136">GOC18+GOC24+GOC29+GOC30</f>
        <v>0</v>
      </c>
      <c r="GOD84" s="79">
        <f t="shared" si="136"/>
        <v>0</v>
      </c>
      <c r="GOE84" s="79">
        <f t="shared" si="136"/>
        <v>0</v>
      </c>
      <c r="GOF84" s="79">
        <f t="shared" si="136"/>
        <v>0</v>
      </c>
      <c r="GOG84" s="79">
        <f t="shared" si="136"/>
        <v>0</v>
      </c>
      <c r="GOH84" s="79">
        <f t="shared" si="136"/>
        <v>0</v>
      </c>
      <c r="GOI84" s="79">
        <f t="shared" si="136"/>
        <v>0</v>
      </c>
      <c r="GOJ84" s="79">
        <f t="shared" si="136"/>
        <v>0</v>
      </c>
      <c r="GOK84" s="79">
        <f t="shared" si="136"/>
        <v>0</v>
      </c>
      <c r="GOL84" s="79">
        <f t="shared" si="136"/>
        <v>0</v>
      </c>
      <c r="GOM84" s="79">
        <f t="shared" si="136"/>
        <v>0</v>
      </c>
      <c r="GON84" s="79">
        <f t="shared" si="136"/>
        <v>0</v>
      </c>
      <c r="GOO84" s="145" t="s">
        <v>96</v>
      </c>
      <c r="GOR84" s="79">
        <f>GOR18+GOR24+GOR29+GOR30</f>
        <v>0</v>
      </c>
      <c r="GOS84" s="79">
        <f t="shared" si="136"/>
        <v>0</v>
      </c>
      <c r="GOT84" s="79">
        <f t="shared" si="136"/>
        <v>0</v>
      </c>
      <c r="GOU84" s="79">
        <f t="shared" si="136"/>
        <v>0</v>
      </c>
      <c r="GOV84" s="79">
        <f t="shared" si="136"/>
        <v>0</v>
      </c>
      <c r="GOW84" s="79">
        <f t="shared" si="136"/>
        <v>0</v>
      </c>
      <c r="GOX84" s="79">
        <f t="shared" si="136"/>
        <v>0</v>
      </c>
      <c r="GOY84" s="79">
        <f t="shared" si="136"/>
        <v>0</v>
      </c>
      <c r="GOZ84" s="79">
        <f t="shared" si="136"/>
        <v>0</v>
      </c>
      <c r="GPA84" s="79">
        <f t="shared" si="136"/>
        <v>0</v>
      </c>
      <c r="GPB84" s="79">
        <f t="shared" si="136"/>
        <v>0</v>
      </c>
      <c r="GPC84" s="79">
        <f t="shared" si="136"/>
        <v>0</v>
      </c>
      <c r="GPD84" s="79">
        <f t="shared" si="136"/>
        <v>0</v>
      </c>
      <c r="GPE84" s="145" t="s">
        <v>96</v>
      </c>
      <c r="GPH84" s="79">
        <f>GPH18+GPH24+GPH29+GPH30</f>
        <v>0</v>
      </c>
      <c r="GPI84" s="79">
        <f t="shared" si="136"/>
        <v>0</v>
      </c>
      <c r="GPJ84" s="79">
        <f t="shared" si="136"/>
        <v>0</v>
      </c>
      <c r="GPK84" s="79">
        <f t="shared" si="136"/>
        <v>0</v>
      </c>
      <c r="GPL84" s="79">
        <f t="shared" si="136"/>
        <v>0</v>
      </c>
      <c r="GPM84" s="79">
        <f t="shared" si="136"/>
        <v>0</v>
      </c>
      <c r="GPN84" s="79">
        <f t="shared" si="136"/>
        <v>0</v>
      </c>
      <c r="GPO84" s="79">
        <f t="shared" si="136"/>
        <v>0</v>
      </c>
      <c r="GPP84" s="79">
        <f t="shared" si="136"/>
        <v>0</v>
      </c>
      <c r="GPQ84" s="79">
        <f t="shared" si="136"/>
        <v>0</v>
      </c>
      <c r="GPR84" s="79">
        <f t="shared" si="136"/>
        <v>0</v>
      </c>
      <c r="GPS84" s="79">
        <f t="shared" si="136"/>
        <v>0</v>
      </c>
      <c r="GPT84" s="79">
        <f t="shared" si="136"/>
        <v>0</v>
      </c>
      <c r="GPU84" s="145" t="s">
        <v>96</v>
      </c>
      <c r="GPX84" s="79">
        <f>GPX18+GPX24+GPX29+GPX30</f>
        <v>0</v>
      </c>
      <c r="GPY84" s="79">
        <f t="shared" si="136"/>
        <v>0</v>
      </c>
      <c r="GPZ84" s="79">
        <f t="shared" si="136"/>
        <v>0</v>
      </c>
      <c r="GQA84" s="79">
        <f t="shared" si="136"/>
        <v>0</v>
      </c>
      <c r="GQB84" s="79">
        <f t="shared" si="136"/>
        <v>0</v>
      </c>
      <c r="GQC84" s="79">
        <f t="shared" si="136"/>
        <v>0</v>
      </c>
      <c r="GQD84" s="79">
        <f t="shared" si="136"/>
        <v>0</v>
      </c>
      <c r="GQE84" s="79">
        <f t="shared" si="136"/>
        <v>0</v>
      </c>
      <c r="GQF84" s="79">
        <f t="shared" si="136"/>
        <v>0</v>
      </c>
      <c r="GQG84" s="79">
        <f t="shared" si="136"/>
        <v>0</v>
      </c>
      <c r="GQH84" s="79">
        <f t="shared" si="136"/>
        <v>0</v>
      </c>
      <c r="GQI84" s="79">
        <f t="shared" si="136"/>
        <v>0</v>
      </c>
      <c r="GQJ84" s="79">
        <f t="shared" si="136"/>
        <v>0</v>
      </c>
      <c r="GQK84" s="145" t="s">
        <v>96</v>
      </c>
      <c r="GQN84" s="79">
        <f>GQN18+GQN24+GQN29+GQN30</f>
        <v>0</v>
      </c>
      <c r="GQO84" s="79">
        <f t="shared" ref="GQO84:GSV84" si="137">GQO18+GQO24+GQO29+GQO30</f>
        <v>0</v>
      </c>
      <c r="GQP84" s="79">
        <f t="shared" si="137"/>
        <v>0</v>
      </c>
      <c r="GQQ84" s="79">
        <f t="shared" si="137"/>
        <v>0</v>
      </c>
      <c r="GQR84" s="79">
        <f t="shared" si="137"/>
        <v>0</v>
      </c>
      <c r="GQS84" s="79">
        <f t="shared" si="137"/>
        <v>0</v>
      </c>
      <c r="GQT84" s="79">
        <f t="shared" si="137"/>
        <v>0</v>
      </c>
      <c r="GQU84" s="79">
        <f t="shared" si="137"/>
        <v>0</v>
      </c>
      <c r="GQV84" s="79">
        <f t="shared" si="137"/>
        <v>0</v>
      </c>
      <c r="GQW84" s="79">
        <f t="shared" si="137"/>
        <v>0</v>
      </c>
      <c r="GQX84" s="79">
        <f t="shared" si="137"/>
        <v>0</v>
      </c>
      <c r="GQY84" s="79">
        <f t="shared" si="137"/>
        <v>0</v>
      </c>
      <c r="GQZ84" s="79">
        <f t="shared" si="137"/>
        <v>0</v>
      </c>
      <c r="GRA84" s="145" t="s">
        <v>96</v>
      </c>
      <c r="GRD84" s="79">
        <f>GRD18+GRD24+GRD29+GRD30</f>
        <v>0</v>
      </c>
      <c r="GRE84" s="79">
        <f t="shared" si="137"/>
        <v>0</v>
      </c>
      <c r="GRF84" s="79">
        <f t="shared" si="137"/>
        <v>0</v>
      </c>
      <c r="GRG84" s="79">
        <f t="shared" si="137"/>
        <v>0</v>
      </c>
      <c r="GRH84" s="79">
        <f t="shared" si="137"/>
        <v>0</v>
      </c>
      <c r="GRI84" s="79">
        <f t="shared" si="137"/>
        <v>0</v>
      </c>
      <c r="GRJ84" s="79">
        <f t="shared" si="137"/>
        <v>0</v>
      </c>
      <c r="GRK84" s="79">
        <f t="shared" si="137"/>
        <v>0</v>
      </c>
      <c r="GRL84" s="79">
        <f t="shared" si="137"/>
        <v>0</v>
      </c>
      <c r="GRM84" s="79">
        <f t="shared" si="137"/>
        <v>0</v>
      </c>
      <c r="GRN84" s="79">
        <f t="shared" si="137"/>
        <v>0</v>
      </c>
      <c r="GRO84" s="79">
        <f t="shared" si="137"/>
        <v>0</v>
      </c>
      <c r="GRP84" s="79">
        <f t="shared" si="137"/>
        <v>0</v>
      </c>
      <c r="GRQ84" s="145" t="s">
        <v>96</v>
      </c>
      <c r="GRT84" s="79">
        <f>GRT18+GRT24+GRT29+GRT30</f>
        <v>0</v>
      </c>
      <c r="GRU84" s="79">
        <f t="shared" si="137"/>
        <v>0</v>
      </c>
      <c r="GRV84" s="79">
        <f t="shared" si="137"/>
        <v>0</v>
      </c>
      <c r="GRW84" s="79">
        <f t="shared" si="137"/>
        <v>0</v>
      </c>
      <c r="GRX84" s="79">
        <f t="shared" si="137"/>
        <v>0</v>
      </c>
      <c r="GRY84" s="79">
        <f t="shared" si="137"/>
        <v>0</v>
      </c>
      <c r="GRZ84" s="79">
        <f t="shared" si="137"/>
        <v>0</v>
      </c>
      <c r="GSA84" s="79">
        <f t="shared" si="137"/>
        <v>0</v>
      </c>
      <c r="GSB84" s="79">
        <f t="shared" si="137"/>
        <v>0</v>
      </c>
      <c r="GSC84" s="79">
        <f t="shared" si="137"/>
        <v>0</v>
      </c>
      <c r="GSD84" s="79">
        <f t="shared" si="137"/>
        <v>0</v>
      </c>
      <c r="GSE84" s="79">
        <f t="shared" si="137"/>
        <v>0</v>
      </c>
      <c r="GSF84" s="79">
        <f t="shared" si="137"/>
        <v>0</v>
      </c>
      <c r="GSG84" s="145" t="s">
        <v>96</v>
      </c>
      <c r="GSJ84" s="79">
        <f>GSJ18+GSJ24+GSJ29+GSJ30</f>
        <v>0</v>
      </c>
      <c r="GSK84" s="79">
        <f t="shared" si="137"/>
        <v>0</v>
      </c>
      <c r="GSL84" s="79">
        <f t="shared" si="137"/>
        <v>0</v>
      </c>
      <c r="GSM84" s="79">
        <f t="shared" si="137"/>
        <v>0</v>
      </c>
      <c r="GSN84" s="79">
        <f t="shared" si="137"/>
        <v>0</v>
      </c>
      <c r="GSO84" s="79">
        <f t="shared" si="137"/>
        <v>0</v>
      </c>
      <c r="GSP84" s="79">
        <f t="shared" si="137"/>
        <v>0</v>
      </c>
      <c r="GSQ84" s="79">
        <f t="shared" si="137"/>
        <v>0</v>
      </c>
      <c r="GSR84" s="79">
        <f t="shared" si="137"/>
        <v>0</v>
      </c>
      <c r="GSS84" s="79">
        <f t="shared" si="137"/>
        <v>0</v>
      </c>
      <c r="GST84" s="79">
        <f t="shared" si="137"/>
        <v>0</v>
      </c>
      <c r="GSU84" s="79">
        <f t="shared" si="137"/>
        <v>0</v>
      </c>
      <c r="GSV84" s="79">
        <f t="shared" si="137"/>
        <v>0</v>
      </c>
      <c r="GSW84" s="145" t="s">
        <v>96</v>
      </c>
      <c r="GSZ84" s="79">
        <f>GSZ18+GSZ24+GSZ29+GSZ30</f>
        <v>0</v>
      </c>
      <c r="GTA84" s="79">
        <f t="shared" ref="GTA84:GVH84" si="138">GTA18+GTA24+GTA29+GTA30</f>
        <v>0</v>
      </c>
      <c r="GTB84" s="79">
        <f t="shared" si="138"/>
        <v>0</v>
      </c>
      <c r="GTC84" s="79">
        <f t="shared" si="138"/>
        <v>0</v>
      </c>
      <c r="GTD84" s="79">
        <f t="shared" si="138"/>
        <v>0</v>
      </c>
      <c r="GTE84" s="79">
        <f t="shared" si="138"/>
        <v>0</v>
      </c>
      <c r="GTF84" s="79">
        <f t="shared" si="138"/>
        <v>0</v>
      </c>
      <c r="GTG84" s="79">
        <f t="shared" si="138"/>
        <v>0</v>
      </c>
      <c r="GTH84" s="79">
        <f t="shared" si="138"/>
        <v>0</v>
      </c>
      <c r="GTI84" s="79">
        <f t="shared" si="138"/>
        <v>0</v>
      </c>
      <c r="GTJ84" s="79">
        <f t="shared" si="138"/>
        <v>0</v>
      </c>
      <c r="GTK84" s="79">
        <f t="shared" si="138"/>
        <v>0</v>
      </c>
      <c r="GTL84" s="79">
        <f t="shared" si="138"/>
        <v>0</v>
      </c>
      <c r="GTM84" s="145" t="s">
        <v>96</v>
      </c>
      <c r="GTP84" s="79">
        <f>GTP18+GTP24+GTP29+GTP30</f>
        <v>0</v>
      </c>
      <c r="GTQ84" s="79">
        <f t="shared" si="138"/>
        <v>0</v>
      </c>
      <c r="GTR84" s="79">
        <f t="shared" si="138"/>
        <v>0</v>
      </c>
      <c r="GTS84" s="79">
        <f t="shared" si="138"/>
        <v>0</v>
      </c>
      <c r="GTT84" s="79">
        <f t="shared" si="138"/>
        <v>0</v>
      </c>
      <c r="GTU84" s="79">
        <f t="shared" si="138"/>
        <v>0</v>
      </c>
      <c r="GTV84" s="79">
        <f t="shared" si="138"/>
        <v>0</v>
      </c>
      <c r="GTW84" s="79">
        <f t="shared" si="138"/>
        <v>0</v>
      </c>
      <c r="GTX84" s="79">
        <f t="shared" si="138"/>
        <v>0</v>
      </c>
      <c r="GTY84" s="79">
        <f t="shared" si="138"/>
        <v>0</v>
      </c>
      <c r="GTZ84" s="79">
        <f t="shared" si="138"/>
        <v>0</v>
      </c>
      <c r="GUA84" s="79">
        <f t="shared" si="138"/>
        <v>0</v>
      </c>
      <c r="GUB84" s="79">
        <f t="shared" si="138"/>
        <v>0</v>
      </c>
      <c r="GUC84" s="145" t="s">
        <v>96</v>
      </c>
      <c r="GUF84" s="79">
        <f>GUF18+GUF24+GUF29+GUF30</f>
        <v>0</v>
      </c>
      <c r="GUG84" s="79">
        <f t="shared" si="138"/>
        <v>0</v>
      </c>
      <c r="GUH84" s="79">
        <f t="shared" si="138"/>
        <v>0</v>
      </c>
      <c r="GUI84" s="79">
        <f t="shared" si="138"/>
        <v>0</v>
      </c>
      <c r="GUJ84" s="79">
        <f t="shared" si="138"/>
        <v>0</v>
      </c>
      <c r="GUK84" s="79">
        <f t="shared" si="138"/>
        <v>0</v>
      </c>
      <c r="GUL84" s="79">
        <f t="shared" si="138"/>
        <v>0</v>
      </c>
      <c r="GUM84" s="79">
        <f t="shared" si="138"/>
        <v>0</v>
      </c>
      <c r="GUN84" s="79">
        <f t="shared" si="138"/>
        <v>0</v>
      </c>
      <c r="GUO84" s="79">
        <f t="shared" si="138"/>
        <v>0</v>
      </c>
      <c r="GUP84" s="79">
        <f t="shared" si="138"/>
        <v>0</v>
      </c>
      <c r="GUQ84" s="79">
        <f t="shared" si="138"/>
        <v>0</v>
      </c>
      <c r="GUR84" s="79">
        <f t="shared" si="138"/>
        <v>0</v>
      </c>
      <c r="GUS84" s="145" t="s">
        <v>96</v>
      </c>
      <c r="GUV84" s="79">
        <f>GUV18+GUV24+GUV29+GUV30</f>
        <v>0</v>
      </c>
      <c r="GUW84" s="79">
        <f t="shared" si="138"/>
        <v>0</v>
      </c>
      <c r="GUX84" s="79">
        <f t="shared" si="138"/>
        <v>0</v>
      </c>
      <c r="GUY84" s="79">
        <f t="shared" si="138"/>
        <v>0</v>
      </c>
      <c r="GUZ84" s="79">
        <f t="shared" si="138"/>
        <v>0</v>
      </c>
      <c r="GVA84" s="79">
        <f t="shared" si="138"/>
        <v>0</v>
      </c>
      <c r="GVB84" s="79">
        <f t="shared" si="138"/>
        <v>0</v>
      </c>
      <c r="GVC84" s="79">
        <f t="shared" si="138"/>
        <v>0</v>
      </c>
      <c r="GVD84" s="79">
        <f t="shared" si="138"/>
        <v>0</v>
      </c>
      <c r="GVE84" s="79">
        <f t="shared" si="138"/>
        <v>0</v>
      </c>
      <c r="GVF84" s="79">
        <f t="shared" si="138"/>
        <v>0</v>
      </c>
      <c r="GVG84" s="79">
        <f t="shared" si="138"/>
        <v>0</v>
      </c>
      <c r="GVH84" s="79">
        <f t="shared" si="138"/>
        <v>0</v>
      </c>
      <c r="GVI84" s="145" t="s">
        <v>96</v>
      </c>
      <c r="GVL84" s="79">
        <f>GVL18+GVL24+GVL29+GVL30</f>
        <v>0</v>
      </c>
      <c r="GVM84" s="79">
        <f t="shared" ref="GVM84:GXT84" si="139">GVM18+GVM24+GVM29+GVM30</f>
        <v>0</v>
      </c>
      <c r="GVN84" s="79">
        <f t="shared" si="139"/>
        <v>0</v>
      </c>
      <c r="GVO84" s="79">
        <f t="shared" si="139"/>
        <v>0</v>
      </c>
      <c r="GVP84" s="79">
        <f t="shared" si="139"/>
        <v>0</v>
      </c>
      <c r="GVQ84" s="79">
        <f t="shared" si="139"/>
        <v>0</v>
      </c>
      <c r="GVR84" s="79">
        <f t="shared" si="139"/>
        <v>0</v>
      </c>
      <c r="GVS84" s="79">
        <f t="shared" si="139"/>
        <v>0</v>
      </c>
      <c r="GVT84" s="79">
        <f t="shared" si="139"/>
        <v>0</v>
      </c>
      <c r="GVU84" s="79">
        <f t="shared" si="139"/>
        <v>0</v>
      </c>
      <c r="GVV84" s="79">
        <f t="shared" si="139"/>
        <v>0</v>
      </c>
      <c r="GVW84" s="79">
        <f t="shared" si="139"/>
        <v>0</v>
      </c>
      <c r="GVX84" s="79">
        <f t="shared" si="139"/>
        <v>0</v>
      </c>
      <c r="GVY84" s="145" t="s">
        <v>96</v>
      </c>
      <c r="GWB84" s="79">
        <f>GWB18+GWB24+GWB29+GWB30</f>
        <v>0</v>
      </c>
      <c r="GWC84" s="79">
        <f t="shared" si="139"/>
        <v>0</v>
      </c>
      <c r="GWD84" s="79">
        <f t="shared" si="139"/>
        <v>0</v>
      </c>
      <c r="GWE84" s="79">
        <f t="shared" si="139"/>
        <v>0</v>
      </c>
      <c r="GWF84" s="79">
        <f t="shared" si="139"/>
        <v>0</v>
      </c>
      <c r="GWG84" s="79">
        <f t="shared" si="139"/>
        <v>0</v>
      </c>
      <c r="GWH84" s="79">
        <f t="shared" si="139"/>
        <v>0</v>
      </c>
      <c r="GWI84" s="79">
        <f t="shared" si="139"/>
        <v>0</v>
      </c>
      <c r="GWJ84" s="79">
        <f t="shared" si="139"/>
        <v>0</v>
      </c>
      <c r="GWK84" s="79">
        <f t="shared" si="139"/>
        <v>0</v>
      </c>
      <c r="GWL84" s="79">
        <f t="shared" si="139"/>
        <v>0</v>
      </c>
      <c r="GWM84" s="79">
        <f t="shared" si="139"/>
        <v>0</v>
      </c>
      <c r="GWN84" s="79">
        <f t="shared" si="139"/>
        <v>0</v>
      </c>
      <c r="GWO84" s="145" t="s">
        <v>96</v>
      </c>
      <c r="GWR84" s="79">
        <f>GWR18+GWR24+GWR29+GWR30</f>
        <v>0</v>
      </c>
      <c r="GWS84" s="79">
        <f t="shared" si="139"/>
        <v>0</v>
      </c>
      <c r="GWT84" s="79">
        <f t="shared" si="139"/>
        <v>0</v>
      </c>
      <c r="GWU84" s="79">
        <f t="shared" si="139"/>
        <v>0</v>
      </c>
      <c r="GWV84" s="79">
        <f t="shared" si="139"/>
        <v>0</v>
      </c>
      <c r="GWW84" s="79">
        <f t="shared" si="139"/>
        <v>0</v>
      </c>
      <c r="GWX84" s="79">
        <f t="shared" si="139"/>
        <v>0</v>
      </c>
      <c r="GWY84" s="79">
        <f t="shared" si="139"/>
        <v>0</v>
      </c>
      <c r="GWZ84" s="79">
        <f t="shared" si="139"/>
        <v>0</v>
      </c>
      <c r="GXA84" s="79">
        <f t="shared" si="139"/>
        <v>0</v>
      </c>
      <c r="GXB84" s="79">
        <f t="shared" si="139"/>
        <v>0</v>
      </c>
      <c r="GXC84" s="79">
        <f t="shared" si="139"/>
        <v>0</v>
      </c>
      <c r="GXD84" s="79">
        <f t="shared" si="139"/>
        <v>0</v>
      </c>
      <c r="GXE84" s="145" t="s">
        <v>96</v>
      </c>
      <c r="GXH84" s="79">
        <f>GXH18+GXH24+GXH29+GXH30</f>
        <v>0</v>
      </c>
      <c r="GXI84" s="79">
        <f t="shared" si="139"/>
        <v>0</v>
      </c>
      <c r="GXJ84" s="79">
        <f t="shared" si="139"/>
        <v>0</v>
      </c>
      <c r="GXK84" s="79">
        <f t="shared" si="139"/>
        <v>0</v>
      </c>
      <c r="GXL84" s="79">
        <f t="shared" si="139"/>
        <v>0</v>
      </c>
      <c r="GXM84" s="79">
        <f t="shared" si="139"/>
        <v>0</v>
      </c>
      <c r="GXN84" s="79">
        <f t="shared" si="139"/>
        <v>0</v>
      </c>
      <c r="GXO84" s="79">
        <f t="shared" si="139"/>
        <v>0</v>
      </c>
      <c r="GXP84" s="79">
        <f t="shared" si="139"/>
        <v>0</v>
      </c>
      <c r="GXQ84" s="79">
        <f t="shared" si="139"/>
        <v>0</v>
      </c>
      <c r="GXR84" s="79">
        <f t="shared" si="139"/>
        <v>0</v>
      </c>
      <c r="GXS84" s="79">
        <f t="shared" si="139"/>
        <v>0</v>
      </c>
      <c r="GXT84" s="79">
        <f t="shared" si="139"/>
        <v>0</v>
      </c>
      <c r="GXU84" s="145" t="s">
        <v>96</v>
      </c>
      <c r="GXX84" s="79">
        <f>GXX18+GXX24+GXX29+GXX30</f>
        <v>0</v>
      </c>
      <c r="GXY84" s="79">
        <f t="shared" ref="GXY84:HAF84" si="140">GXY18+GXY24+GXY29+GXY30</f>
        <v>0</v>
      </c>
      <c r="GXZ84" s="79">
        <f t="shared" si="140"/>
        <v>0</v>
      </c>
      <c r="GYA84" s="79">
        <f t="shared" si="140"/>
        <v>0</v>
      </c>
      <c r="GYB84" s="79">
        <f t="shared" si="140"/>
        <v>0</v>
      </c>
      <c r="GYC84" s="79">
        <f t="shared" si="140"/>
        <v>0</v>
      </c>
      <c r="GYD84" s="79">
        <f t="shared" si="140"/>
        <v>0</v>
      </c>
      <c r="GYE84" s="79">
        <f t="shared" si="140"/>
        <v>0</v>
      </c>
      <c r="GYF84" s="79">
        <f t="shared" si="140"/>
        <v>0</v>
      </c>
      <c r="GYG84" s="79">
        <f t="shared" si="140"/>
        <v>0</v>
      </c>
      <c r="GYH84" s="79">
        <f t="shared" si="140"/>
        <v>0</v>
      </c>
      <c r="GYI84" s="79">
        <f t="shared" si="140"/>
        <v>0</v>
      </c>
      <c r="GYJ84" s="79">
        <f t="shared" si="140"/>
        <v>0</v>
      </c>
      <c r="GYK84" s="145" t="s">
        <v>96</v>
      </c>
      <c r="GYN84" s="79">
        <f>GYN18+GYN24+GYN29+GYN30</f>
        <v>0</v>
      </c>
      <c r="GYO84" s="79">
        <f t="shared" si="140"/>
        <v>0</v>
      </c>
      <c r="GYP84" s="79">
        <f t="shared" si="140"/>
        <v>0</v>
      </c>
      <c r="GYQ84" s="79">
        <f t="shared" si="140"/>
        <v>0</v>
      </c>
      <c r="GYR84" s="79">
        <f t="shared" si="140"/>
        <v>0</v>
      </c>
      <c r="GYS84" s="79">
        <f t="shared" si="140"/>
        <v>0</v>
      </c>
      <c r="GYT84" s="79">
        <f t="shared" si="140"/>
        <v>0</v>
      </c>
      <c r="GYU84" s="79">
        <f t="shared" si="140"/>
        <v>0</v>
      </c>
      <c r="GYV84" s="79">
        <f t="shared" si="140"/>
        <v>0</v>
      </c>
      <c r="GYW84" s="79">
        <f t="shared" si="140"/>
        <v>0</v>
      </c>
      <c r="GYX84" s="79">
        <f t="shared" si="140"/>
        <v>0</v>
      </c>
      <c r="GYY84" s="79">
        <f t="shared" si="140"/>
        <v>0</v>
      </c>
      <c r="GYZ84" s="79">
        <f t="shared" si="140"/>
        <v>0</v>
      </c>
      <c r="GZA84" s="145" t="s">
        <v>96</v>
      </c>
      <c r="GZD84" s="79">
        <f>GZD18+GZD24+GZD29+GZD30</f>
        <v>0</v>
      </c>
      <c r="GZE84" s="79">
        <f t="shared" si="140"/>
        <v>0</v>
      </c>
      <c r="GZF84" s="79">
        <f t="shared" si="140"/>
        <v>0</v>
      </c>
      <c r="GZG84" s="79">
        <f t="shared" si="140"/>
        <v>0</v>
      </c>
      <c r="GZH84" s="79">
        <f t="shared" si="140"/>
        <v>0</v>
      </c>
      <c r="GZI84" s="79">
        <f t="shared" si="140"/>
        <v>0</v>
      </c>
      <c r="GZJ84" s="79">
        <f t="shared" si="140"/>
        <v>0</v>
      </c>
      <c r="GZK84" s="79">
        <f t="shared" si="140"/>
        <v>0</v>
      </c>
      <c r="GZL84" s="79">
        <f t="shared" si="140"/>
        <v>0</v>
      </c>
      <c r="GZM84" s="79">
        <f t="shared" si="140"/>
        <v>0</v>
      </c>
      <c r="GZN84" s="79">
        <f t="shared" si="140"/>
        <v>0</v>
      </c>
      <c r="GZO84" s="79">
        <f t="shared" si="140"/>
        <v>0</v>
      </c>
      <c r="GZP84" s="79">
        <f t="shared" si="140"/>
        <v>0</v>
      </c>
      <c r="GZQ84" s="145" t="s">
        <v>96</v>
      </c>
      <c r="GZT84" s="79">
        <f>GZT18+GZT24+GZT29+GZT30</f>
        <v>0</v>
      </c>
      <c r="GZU84" s="79">
        <f t="shared" si="140"/>
        <v>0</v>
      </c>
      <c r="GZV84" s="79">
        <f t="shared" si="140"/>
        <v>0</v>
      </c>
      <c r="GZW84" s="79">
        <f t="shared" si="140"/>
        <v>0</v>
      </c>
      <c r="GZX84" s="79">
        <f t="shared" si="140"/>
        <v>0</v>
      </c>
      <c r="GZY84" s="79">
        <f t="shared" si="140"/>
        <v>0</v>
      </c>
      <c r="GZZ84" s="79">
        <f t="shared" si="140"/>
        <v>0</v>
      </c>
      <c r="HAA84" s="79">
        <f t="shared" si="140"/>
        <v>0</v>
      </c>
      <c r="HAB84" s="79">
        <f t="shared" si="140"/>
        <v>0</v>
      </c>
      <c r="HAC84" s="79">
        <f t="shared" si="140"/>
        <v>0</v>
      </c>
      <c r="HAD84" s="79">
        <f t="shared" si="140"/>
        <v>0</v>
      </c>
      <c r="HAE84" s="79">
        <f t="shared" si="140"/>
        <v>0</v>
      </c>
      <c r="HAF84" s="79">
        <f t="shared" si="140"/>
        <v>0</v>
      </c>
      <c r="HAG84" s="145" t="s">
        <v>96</v>
      </c>
      <c r="HAJ84" s="79">
        <f>HAJ18+HAJ24+HAJ29+HAJ30</f>
        <v>0</v>
      </c>
      <c r="HAK84" s="79">
        <f t="shared" ref="HAK84:HCR84" si="141">HAK18+HAK24+HAK29+HAK30</f>
        <v>0</v>
      </c>
      <c r="HAL84" s="79">
        <f t="shared" si="141"/>
        <v>0</v>
      </c>
      <c r="HAM84" s="79">
        <f t="shared" si="141"/>
        <v>0</v>
      </c>
      <c r="HAN84" s="79">
        <f t="shared" si="141"/>
        <v>0</v>
      </c>
      <c r="HAO84" s="79">
        <f t="shared" si="141"/>
        <v>0</v>
      </c>
      <c r="HAP84" s="79">
        <f t="shared" si="141"/>
        <v>0</v>
      </c>
      <c r="HAQ84" s="79">
        <f t="shared" si="141"/>
        <v>0</v>
      </c>
      <c r="HAR84" s="79">
        <f t="shared" si="141"/>
        <v>0</v>
      </c>
      <c r="HAS84" s="79">
        <f t="shared" si="141"/>
        <v>0</v>
      </c>
      <c r="HAT84" s="79">
        <f t="shared" si="141"/>
        <v>0</v>
      </c>
      <c r="HAU84" s="79">
        <f t="shared" si="141"/>
        <v>0</v>
      </c>
      <c r="HAV84" s="79">
        <f t="shared" si="141"/>
        <v>0</v>
      </c>
      <c r="HAW84" s="145" t="s">
        <v>96</v>
      </c>
      <c r="HAZ84" s="79">
        <f>HAZ18+HAZ24+HAZ29+HAZ30</f>
        <v>0</v>
      </c>
      <c r="HBA84" s="79">
        <f t="shared" si="141"/>
        <v>0</v>
      </c>
      <c r="HBB84" s="79">
        <f t="shared" si="141"/>
        <v>0</v>
      </c>
      <c r="HBC84" s="79">
        <f t="shared" si="141"/>
        <v>0</v>
      </c>
      <c r="HBD84" s="79">
        <f t="shared" si="141"/>
        <v>0</v>
      </c>
      <c r="HBE84" s="79">
        <f t="shared" si="141"/>
        <v>0</v>
      </c>
      <c r="HBF84" s="79">
        <f t="shared" si="141"/>
        <v>0</v>
      </c>
      <c r="HBG84" s="79">
        <f t="shared" si="141"/>
        <v>0</v>
      </c>
      <c r="HBH84" s="79">
        <f t="shared" si="141"/>
        <v>0</v>
      </c>
      <c r="HBI84" s="79">
        <f t="shared" si="141"/>
        <v>0</v>
      </c>
      <c r="HBJ84" s="79">
        <f t="shared" si="141"/>
        <v>0</v>
      </c>
      <c r="HBK84" s="79">
        <f t="shared" si="141"/>
        <v>0</v>
      </c>
      <c r="HBL84" s="79">
        <f t="shared" si="141"/>
        <v>0</v>
      </c>
      <c r="HBM84" s="145" t="s">
        <v>96</v>
      </c>
      <c r="HBP84" s="79">
        <f>HBP18+HBP24+HBP29+HBP30</f>
        <v>0</v>
      </c>
      <c r="HBQ84" s="79">
        <f t="shared" si="141"/>
        <v>0</v>
      </c>
      <c r="HBR84" s="79">
        <f t="shared" si="141"/>
        <v>0</v>
      </c>
      <c r="HBS84" s="79">
        <f t="shared" si="141"/>
        <v>0</v>
      </c>
      <c r="HBT84" s="79">
        <f t="shared" si="141"/>
        <v>0</v>
      </c>
      <c r="HBU84" s="79">
        <f t="shared" si="141"/>
        <v>0</v>
      </c>
      <c r="HBV84" s="79">
        <f t="shared" si="141"/>
        <v>0</v>
      </c>
      <c r="HBW84" s="79">
        <f t="shared" si="141"/>
        <v>0</v>
      </c>
      <c r="HBX84" s="79">
        <f t="shared" si="141"/>
        <v>0</v>
      </c>
      <c r="HBY84" s="79">
        <f t="shared" si="141"/>
        <v>0</v>
      </c>
      <c r="HBZ84" s="79">
        <f t="shared" si="141"/>
        <v>0</v>
      </c>
      <c r="HCA84" s="79">
        <f t="shared" si="141"/>
        <v>0</v>
      </c>
      <c r="HCB84" s="79">
        <f t="shared" si="141"/>
        <v>0</v>
      </c>
      <c r="HCC84" s="145" t="s">
        <v>96</v>
      </c>
      <c r="HCF84" s="79">
        <f>HCF18+HCF24+HCF29+HCF30</f>
        <v>0</v>
      </c>
      <c r="HCG84" s="79">
        <f t="shared" si="141"/>
        <v>0</v>
      </c>
      <c r="HCH84" s="79">
        <f t="shared" si="141"/>
        <v>0</v>
      </c>
      <c r="HCI84" s="79">
        <f t="shared" si="141"/>
        <v>0</v>
      </c>
      <c r="HCJ84" s="79">
        <f t="shared" si="141"/>
        <v>0</v>
      </c>
      <c r="HCK84" s="79">
        <f t="shared" si="141"/>
        <v>0</v>
      </c>
      <c r="HCL84" s="79">
        <f t="shared" si="141"/>
        <v>0</v>
      </c>
      <c r="HCM84" s="79">
        <f t="shared" si="141"/>
        <v>0</v>
      </c>
      <c r="HCN84" s="79">
        <f t="shared" si="141"/>
        <v>0</v>
      </c>
      <c r="HCO84" s="79">
        <f t="shared" si="141"/>
        <v>0</v>
      </c>
      <c r="HCP84" s="79">
        <f t="shared" si="141"/>
        <v>0</v>
      </c>
      <c r="HCQ84" s="79">
        <f t="shared" si="141"/>
        <v>0</v>
      </c>
      <c r="HCR84" s="79">
        <f t="shared" si="141"/>
        <v>0</v>
      </c>
      <c r="HCS84" s="145" t="s">
        <v>96</v>
      </c>
      <c r="HCV84" s="79">
        <f>HCV18+HCV24+HCV29+HCV30</f>
        <v>0</v>
      </c>
      <c r="HCW84" s="79">
        <f t="shared" ref="HCW84:HFD84" si="142">HCW18+HCW24+HCW29+HCW30</f>
        <v>0</v>
      </c>
      <c r="HCX84" s="79">
        <f t="shared" si="142"/>
        <v>0</v>
      </c>
      <c r="HCY84" s="79">
        <f t="shared" si="142"/>
        <v>0</v>
      </c>
      <c r="HCZ84" s="79">
        <f t="shared" si="142"/>
        <v>0</v>
      </c>
      <c r="HDA84" s="79">
        <f t="shared" si="142"/>
        <v>0</v>
      </c>
      <c r="HDB84" s="79">
        <f t="shared" si="142"/>
        <v>0</v>
      </c>
      <c r="HDC84" s="79">
        <f t="shared" si="142"/>
        <v>0</v>
      </c>
      <c r="HDD84" s="79">
        <f t="shared" si="142"/>
        <v>0</v>
      </c>
      <c r="HDE84" s="79">
        <f t="shared" si="142"/>
        <v>0</v>
      </c>
      <c r="HDF84" s="79">
        <f t="shared" si="142"/>
        <v>0</v>
      </c>
      <c r="HDG84" s="79">
        <f t="shared" si="142"/>
        <v>0</v>
      </c>
      <c r="HDH84" s="79">
        <f t="shared" si="142"/>
        <v>0</v>
      </c>
      <c r="HDI84" s="145" t="s">
        <v>96</v>
      </c>
      <c r="HDL84" s="79">
        <f>HDL18+HDL24+HDL29+HDL30</f>
        <v>0</v>
      </c>
      <c r="HDM84" s="79">
        <f t="shared" si="142"/>
        <v>0</v>
      </c>
      <c r="HDN84" s="79">
        <f t="shared" si="142"/>
        <v>0</v>
      </c>
      <c r="HDO84" s="79">
        <f t="shared" si="142"/>
        <v>0</v>
      </c>
      <c r="HDP84" s="79">
        <f t="shared" si="142"/>
        <v>0</v>
      </c>
      <c r="HDQ84" s="79">
        <f t="shared" si="142"/>
        <v>0</v>
      </c>
      <c r="HDR84" s="79">
        <f t="shared" si="142"/>
        <v>0</v>
      </c>
      <c r="HDS84" s="79">
        <f t="shared" si="142"/>
        <v>0</v>
      </c>
      <c r="HDT84" s="79">
        <f t="shared" si="142"/>
        <v>0</v>
      </c>
      <c r="HDU84" s="79">
        <f t="shared" si="142"/>
        <v>0</v>
      </c>
      <c r="HDV84" s="79">
        <f t="shared" si="142"/>
        <v>0</v>
      </c>
      <c r="HDW84" s="79">
        <f t="shared" si="142"/>
        <v>0</v>
      </c>
      <c r="HDX84" s="79">
        <f t="shared" si="142"/>
        <v>0</v>
      </c>
      <c r="HDY84" s="145" t="s">
        <v>96</v>
      </c>
      <c r="HEB84" s="79">
        <f>HEB18+HEB24+HEB29+HEB30</f>
        <v>0</v>
      </c>
      <c r="HEC84" s="79">
        <f t="shared" si="142"/>
        <v>0</v>
      </c>
      <c r="HED84" s="79">
        <f t="shared" si="142"/>
        <v>0</v>
      </c>
      <c r="HEE84" s="79">
        <f t="shared" si="142"/>
        <v>0</v>
      </c>
      <c r="HEF84" s="79">
        <f t="shared" si="142"/>
        <v>0</v>
      </c>
      <c r="HEG84" s="79">
        <f t="shared" si="142"/>
        <v>0</v>
      </c>
      <c r="HEH84" s="79">
        <f t="shared" si="142"/>
        <v>0</v>
      </c>
      <c r="HEI84" s="79">
        <f t="shared" si="142"/>
        <v>0</v>
      </c>
      <c r="HEJ84" s="79">
        <f t="shared" si="142"/>
        <v>0</v>
      </c>
      <c r="HEK84" s="79">
        <f t="shared" si="142"/>
        <v>0</v>
      </c>
      <c r="HEL84" s="79">
        <f t="shared" si="142"/>
        <v>0</v>
      </c>
      <c r="HEM84" s="79">
        <f t="shared" si="142"/>
        <v>0</v>
      </c>
      <c r="HEN84" s="79">
        <f t="shared" si="142"/>
        <v>0</v>
      </c>
      <c r="HEO84" s="145" t="s">
        <v>96</v>
      </c>
      <c r="HER84" s="79">
        <f>HER18+HER24+HER29+HER30</f>
        <v>0</v>
      </c>
      <c r="HES84" s="79">
        <f t="shared" si="142"/>
        <v>0</v>
      </c>
      <c r="HET84" s="79">
        <f t="shared" si="142"/>
        <v>0</v>
      </c>
      <c r="HEU84" s="79">
        <f t="shared" si="142"/>
        <v>0</v>
      </c>
      <c r="HEV84" s="79">
        <f t="shared" si="142"/>
        <v>0</v>
      </c>
      <c r="HEW84" s="79">
        <f t="shared" si="142"/>
        <v>0</v>
      </c>
      <c r="HEX84" s="79">
        <f t="shared" si="142"/>
        <v>0</v>
      </c>
      <c r="HEY84" s="79">
        <f t="shared" si="142"/>
        <v>0</v>
      </c>
      <c r="HEZ84" s="79">
        <f t="shared" si="142"/>
        <v>0</v>
      </c>
      <c r="HFA84" s="79">
        <f t="shared" si="142"/>
        <v>0</v>
      </c>
      <c r="HFB84" s="79">
        <f t="shared" si="142"/>
        <v>0</v>
      </c>
      <c r="HFC84" s="79">
        <f t="shared" si="142"/>
        <v>0</v>
      </c>
      <c r="HFD84" s="79">
        <f t="shared" si="142"/>
        <v>0</v>
      </c>
      <c r="HFE84" s="145" t="s">
        <v>96</v>
      </c>
      <c r="HFH84" s="79">
        <f>HFH18+HFH24+HFH29+HFH30</f>
        <v>0</v>
      </c>
      <c r="HFI84" s="79">
        <f t="shared" ref="HFI84:HHP84" si="143">HFI18+HFI24+HFI29+HFI30</f>
        <v>0</v>
      </c>
      <c r="HFJ84" s="79">
        <f t="shared" si="143"/>
        <v>0</v>
      </c>
      <c r="HFK84" s="79">
        <f t="shared" si="143"/>
        <v>0</v>
      </c>
      <c r="HFL84" s="79">
        <f t="shared" si="143"/>
        <v>0</v>
      </c>
      <c r="HFM84" s="79">
        <f t="shared" si="143"/>
        <v>0</v>
      </c>
      <c r="HFN84" s="79">
        <f t="shared" si="143"/>
        <v>0</v>
      </c>
      <c r="HFO84" s="79">
        <f t="shared" si="143"/>
        <v>0</v>
      </c>
      <c r="HFP84" s="79">
        <f t="shared" si="143"/>
        <v>0</v>
      </c>
      <c r="HFQ84" s="79">
        <f t="shared" si="143"/>
        <v>0</v>
      </c>
      <c r="HFR84" s="79">
        <f t="shared" si="143"/>
        <v>0</v>
      </c>
      <c r="HFS84" s="79">
        <f t="shared" si="143"/>
        <v>0</v>
      </c>
      <c r="HFT84" s="79">
        <f t="shared" si="143"/>
        <v>0</v>
      </c>
      <c r="HFU84" s="145" t="s">
        <v>96</v>
      </c>
      <c r="HFX84" s="79">
        <f>HFX18+HFX24+HFX29+HFX30</f>
        <v>0</v>
      </c>
      <c r="HFY84" s="79">
        <f t="shared" si="143"/>
        <v>0</v>
      </c>
      <c r="HFZ84" s="79">
        <f t="shared" si="143"/>
        <v>0</v>
      </c>
      <c r="HGA84" s="79">
        <f t="shared" si="143"/>
        <v>0</v>
      </c>
      <c r="HGB84" s="79">
        <f t="shared" si="143"/>
        <v>0</v>
      </c>
      <c r="HGC84" s="79">
        <f t="shared" si="143"/>
        <v>0</v>
      </c>
      <c r="HGD84" s="79">
        <f t="shared" si="143"/>
        <v>0</v>
      </c>
      <c r="HGE84" s="79">
        <f t="shared" si="143"/>
        <v>0</v>
      </c>
      <c r="HGF84" s="79">
        <f t="shared" si="143"/>
        <v>0</v>
      </c>
      <c r="HGG84" s="79">
        <f t="shared" si="143"/>
        <v>0</v>
      </c>
      <c r="HGH84" s="79">
        <f t="shared" si="143"/>
        <v>0</v>
      </c>
      <c r="HGI84" s="79">
        <f t="shared" si="143"/>
        <v>0</v>
      </c>
      <c r="HGJ84" s="79">
        <f t="shared" si="143"/>
        <v>0</v>
      </c>
      <c r="HGK84" s="145" t="s">
        <v>96</v>
      </c>
      <c r="HGN84" s="79">
        <f>HGN18+HGN24+HGN29+HGN30</f>
        <v>0</v>
      </c>
      <c r="HGO84" s="79">
        <f t="shared" si="143"/>
        <v>0</v>
      </c>
      <c r="HGP84" s="79">
        <f t="shared" si="143"/>
        <v>0</v>
      </c>
      <c r="HGQ84" s="79">
        <f t="shared" si="143"/>
        <v>0</v>
      </c>
      <c r="HGR84" s="79">
        <f t="shared" si="143"/>
        <v>0</v>
      </c>
      <c r="HGS84" s="79">
        <f t="shared" si="143"/>
        <v>0</v>
      </c>
      <c r="HGT84" s="79">
        <f t="shared" si="143"/>
        <v>0</v>
      </c>
      <c r="HGU84" s="79">
        <f t="shared" si="143"/>
        <v>0</v>
      </c>
      <c r="HGV84" s="79">
        <f t="shared" si="143"/>
        <v>0</v>
      </c>
      <c r="HGW84" s="79">
        <f t="shared" si="143"/>
        <v>0</v>
      </c>
      <c r="HGX84" s="79">
        <f t="shared" si="143"/>
        <v>0</v>
      </c>
      <c r="HGY84" s="79">
        <f t="shared" si="143"/>
        <v>0</v>
      </c>
      <c r="HGZ84" s="79">
        <f t="shared" si="143"/>
        <v>0</v>
      </c>
      <c r="HHA84" s="145" t="s">
        <v>96</v>
      </c>
      <c r="HHD84" s="79">
        <f>HHD18+HHD24+HHD29+HHD30</f>
        <v>0</v>
      </c>
      <c r="HHE84" s="79">
        <f t="shared" si="143"/>
        <v>0</v>
      </c>
      <c r="HHF84" s="79">
        <f t="shared" si="143"/>
        <v>0</v>
      </c>
      <c r="HHG84" s="79">
        <f t="shared" si="143"/>
        <v>0</v>
      </c>
      <c r="HHH84" s="79">
        <f t="shared" si="143"/>
        <v>0</v>
      </c>
      <c r="HHI84" s="79">
        <f t="shared" si="143"/>
        <v>0</v>
      </c>
      <c r="HHJ84" s="79">
        <f t="shared" si="143"/>
        <v>0</v>
      </c>
      <c r="HHK84" s="79">
        <f t="shared" si="143"/>
        <v>0</v>
      </c>
      <c r="HHL84" s="79">
        <f t="shared" si="143"/>
        <v>0</v>
      </c>
      <c r="HHM84" s="79">
        <f t="shared" si="143"/>
        <v>0</v>
      </c>
      <c r="HHN84" s="79">
        <f t="shared" si="143"/>
        <v>0</v>
      </c>
      <c r="HHO84" s="79">
        <f t="shared" si="143"/>
        <v>0</v>
      </c>
      <c r="HHP84" s="79">
        <f t="shared" si="143"/>
        <v>0</v>
      </c>
      <c r="HHQ84" s="145" t="s">
        <v>96</v>
      </c>
      <c r="HHT84" s="79">
        <f>HHT18+HHT24+HHT29+HHT30</f>
        <v>0</v>
      </c>
      <c r="HHU84" s="79">
        <f t="shared" ref="HHU84:HKB84" si="144">HHU18+HHU24+HHU29+HHU30</f>
        <v>0</v>
      </c>
      <c r="HHV84" s="79">
        <f t="shared" si="144"/>
        <v>0</v>
      </c>
      <c r="HHW84" s="79">
        <f t="shared" si="144"/>
        <v>0</v>
      </c>
      <c r="HHX84" s="79">
        <f t="shared" si="144"/>
        <v>0</v>
      </c>
      <c r="HHY84" s="79">
        <f t="shared" si="144"/>
        <v>0</v>
      </c>
      <c r="HHZ84" s="79">
        <f t="shared" si="144"/>
        <v>0</v>
      </c>
      <c r="HIA84" s="79">
        <f t="shared" si="144"/>
        <v>0</v>
      </c>
      <c r="HIB84" s="79">
        <f t="shared" si="144"/>
        <v>0</v>
      </c>
      <c r="HIC84" s="79">
        <f t="shared" si="144"/>
        <v>0</v>
      </c>
      <c r="HID84" s="79">
        <f t="shared" si="144"/>
        <v>0</v>
      </c>
      <c r="HIE84" s="79">
        <f t="shared" si="144"/>
        <v>0</v>
      </c>
      <c r="HIF84" s="79">
        <f t="shared" si="144"/>
        <v>0</v>
      </c>
      <c r="HIG84" s="145" t="s">
        <v>96</v>
      </c>
      <c r="HIJ84" s="79">
        <f>HIJ18+HIJ24+HIJ29+HIJ30</f>
        <v>0</v>
      </c>
      <c r="HIK84" s="79">
        <f t="shared" si="144"/>
        <v>0</v>
      </c>
      <c r="HIL84" s="79">
        <f t="shared" si="144"/>
        <v>0</v>
      </c>
      <c r="HIM84" s="79">
        <f t="shared" si="144"/>
        <v>0</v>
      </c>
      <c r="HIN84" s="79">
        <f t="shared" si="144"/>
        <v>0</v>
      </c>
      <c r="HIO84" s="79">
        <f t="shared" si="144"/>
        <v>0</v>
      </c>
      <c r="HIP84" s="79">
        <f t="shared" si="144"/>
        <v>0</v>
      </c>
      <c r="HIQ84" s="79">
        <f t="shared" si="144"/>
        <v>0</v>
      </c>
      <c r="HIR84" s="79">
        <f t="shared" si="144"/>
        <v>0</v>
      </c>
      <c r="HIS84" s="79">
        <f t="shared" si="144"/>
        <v>0</v>
      </c>
      <c r="HIT84" s="79">
        <f t="shared" si="144"/>
        <v>0</v>
      </c>
      <c r="HIU84" s="79">
        <f t="shared" si="144"/>
        <v>0</v>
      </c>
      <c r="HIV84" s="79">
        <f t="shared" si="144"/>
        <v>0</v>
      </c>
      <c r="HIW84" s="145" t="s">
        <v>96</v>
      </c>
      <c r="HIZ84" s="79">
        <f>HIZ18+HIZ24+HIZ29+HIZ30</f>
        <v>0</v>
      </c>
      <c r="HJA84" s="79">
        <f t="shared" si="144"/>
        <v>0</v>
      </c>
      <c r="HJB84" s="79">
        <f t="shared" si="144"/>
        <v>0</v>
      </c>
      <c r="HJC84" s="79">
        <f t="shared" si="144"/>
        <v>0</v>
      </c>
      <c r="HJD84" s="79">
        <f t="shared" si="144"/>
        <v>0</v>
      </c>
      <c r="HJE84" s="79">
        <f t="shared" si="144"/>
        <v>0</v>
      </c>
      <c r="HJF84" s="79">
        <f t="shared" si="144"/>
        <v>0</v>
      </c>
      <c r="HJG84" s="79">
        <f t="shared" si="144"/>
        <v>0</v>
      </c>
      <c r="HJH84" s="79">
        <f t="shared" si="144"/>
        <v>0</v>
      </c>
      <c r="HJI84" s="79">
        <f t="shared" si="144"/>
        <v>0</v>
      </c>
      <c r="HJJ84" s="79">
        <f t="shared" si="144"/>
        <v>0</v>
      </c>
      <c r="HJK84" s="79">
        <f t="shared" si="144"/>
        <v>0</v>
      </c>
      <c r="HJL84" s="79">
        <f t="shared" si="144"/>
        <v>0</v>
      </c>
      <c r="HJM84" s="145" t="s">
        <v>96</v>
      </c>
      <c r="HJP84" s="79">
        <f>HJP18+HJP24+HJP29+HJP30</f>
        <v>0</v>
      </c>
      <c r="HJQ84" s="79">
        <f t="shared" si="144"/>
        <v>0</v>
      </c>
      <c r="HJR84" s="79">
        <f t="shared" si="144"/>
        <v>0</v>
      </c>
      <c r="HJS84" s="79">
        <f t="shared" si="144"/>
        <v>0</v>
      </c>
      <c r="HJT84" s="79">
        <f t="shared" si="144"/>
        <v>0</v>
      </c>
      <c r="HJU84" s="79">
        <f t="shared" si="144"/>
        <v>0</v>
      </c>
      <c r="HJV84" s="79">
        <f t="shared" si="144"/>
        <v>0</v>
      </c>
      <c r="HJW84" s="79">
        <f t="shared" si="144"/>
        <v>0</v>
      </c>
      <c r="HJX84" s="79">
        <f t="shared" si="144"/>
        <v>0</v>
      </c>
      <c r="HJY84" s="79">
        <f t="shared" si="144"/>
        <v>0</v>
      </c>
      <c r="HJZ84" s="79">
        <f t="shared" si="144"/>
        <v>0</v>
      </c>
      <c r="HKA84" s="79">
        <f t="shared" si="144"/>
        <v>0</v>
      </c>
      <c r="HKB84" s="79">
        <f t="shared" si="144"/>
        <v>0</v>
      </c>
      <c r="HKC84" s="145" t="s">
        <v>96</v>
      </c>
      <c r="HKF84" s="79">
        <f>HKF18+HKF24+HKF29+HKF30</f>
        <v>0</v>
      </c>
      <c r="HKG84" s="79">
        <f t="shared" ref="HKG84:HMN84" si="145">HKG18+HKG24+HKG29+HKG30</f>
        <v>0</v>
      </c>
      <c r="HKH84" s="79">
        <f t="shared" si="145"/>
        <v>0</v>
      </c>
      <c r="HKI84" s="79">
        <f t="shared" si="145"/>
        <v>0</v>
      </c>
      <c r="HKJ84" s="79">
        <f t="shared" si="145"/>
        <v>0</v>
      </c>
      <c r="HKK84" s="79">
        <f t="shared" si="145"/>
        <v>0</v>
      </c>
      <c r="HKL84" s="79">
        <f t="shared" si="145"/>
        <v>0</v>
      </c>
      <c r="HKM84" s="79">
        <f t="shared" si="145"/>
        <v>0</v>
      </c>
      <c r="HKN84" s="79">
        <f t="shared" si="145"/>
        <v>0</v>
      </c>
      <c r="HKO84" s="79">
        <f t="shared" si="145"/>
        <v>0</v>
      </c>
      <c r="HKP84" s="79">
        <f t="shared" si="145"/>
        <v>0</v>
      </c>
      <c r="HKQ84" s="79">
        <f t="shared" si="145"/>
        <v>0</v>
      </c>
      <c r="HKR84" s="79">
        <f t="shared" si="145"/>
        <v>0</v>
      </c>
      <c r="HKS84" s="145" t="s">
        <v>96</v>
      </c>
      <c r="HKV84" s="79">
        <f>HKV18+HKV24+HKV29+HKV30</f>
        <v>0</v>
      </c>
      <c r="HKW84" s="79">
        <f t="shared" si="145"/>
        <v>0</v>
      </c>
      <c r="HKX84" s="79">
        <f t="shared" si="145"/>
        <v>0</v>
      </c>
      <c r="HKY84" s="79">
        <f t="shared" si="145"/>
        <v>0</v>
      </c>
      <c r="HKZ84" s="79">
        <f t="shared" si="145"/>
        <v>0</v>
      </c>
      <c r="HLA84" s="79">
        <f t="shared" si="145"/>
        <v>0</v>
      </c>
      <c r="HLB84" s="79">
        <f t="shared" si="145"/>
        <v>0</v>
      </c>
      <c r="HLC84" s="79">
        <f t="shared" si="145"/>
        <v>0</v>
      </c>
      <c r="HLD84" s="79">
        <f t="shared" si="145"/>
        <v>0</v>
      </c>
      <c r="HLE84" s="79">
        <f t="shared" si="145"/>
        <v>0</v>
      </c>
      <c r="HLF84" s="79">
        <f t="shared" si="145"/>
        <v>0</v>
      </c>
      <c r="HLG84" s="79">
        <f t="shared" si="145"/>
        <v>0</v>
      </c>
      <c r="HLH84" s="79">
        <f t="shared" si="145"/>
        <v>0</v>
      </c>
      <c r="HLI84" s="145" t="s">
        <v>96</v>
      </c>
      <c r="HLL84" s="79">
        <f>HLL18+HLL24+HLL29+HLL30</f>
        <v>0</v>
      </c>
      <c r="HLM84" s="79">
        <f t="shared" si="145"/>
        <v>0</v>
      </c>
      <c r="HLN84" s="79">
        <f t="shared" si="145"/>
        <v>0</v>
      </c>
      <c r="HLO84" s="79">
        <f t="shared" si="145"/>
        <v>0</v>
      </c>
      <c r="HLP84" s="79">
        <f t="shared" si="145"/>
        <v>0</v>
      </c>
      <c r="HLQ84" s="79">
        <f t="shared" si="145"/>
        <v>0</v>
      </c>
      <c r="HLR84" s="79">
        <f t="shared" si="145"/>
        <v>0</v>
      </c>
      <c r="HLS84" s="79">
        <f t="shared" si="145"/>
        <v>0</v>
      </c>
      <c r="HLT84" s="79">
        <f t="shared" si="145"/>
        <v>0</v>
      </c>
      <c r="HLU84" s="79">
        <f t="shared" si="145"/>
        <v>0</v>
      </c>
      <c r="HLV84" s="79">
        <f t="shared" si="145"/>
        <v>0</v>
      </c>
      <c r="HLW84" s="79">
        <f t="shared" si="145"/>
        <v>0</v>
      </c>
      <c r="HLX84" s="79">
        <f t="shared" si="145"/>
        <v>0</v>
      </c>
      <c r="HLY84" s="145" t="s">
        <v>96</v>
      </c>
      <c r="HMB84" s="79">
        <f>HMB18+HMB24+HMB29+HMB30</f>
        <v>0</v>
      </c>
      <c r="HMC84" s="79">
        <f t="shared" si="145"/>
        <v>0</v>
      </c>
      <c r="HMD84" s="79">
        <f t="shared" si="145"/>
        <v>0</v>
      </c>
      <c r="HME84" s="79">
        <f t="shared" si="145"/>
        <v>0</v>
      </c>
      <c r="HMF84" s="79">
        <f t="shared" si="145"/>
        <v>0</v>
      </c>
      <c r="HMG84" s="79">
        <f t="shared" si="145"/>
        <v>0</v>
      </c>
      <c r="HMH84" s="79">
        <f t="shared" si="145"/>
        <v>0</v>
      </c>
      <c r="HMI84" s="79">
        <f t="shared" si="145"/>
        <v>0</v>
      </c>
      <c r="HMJ84" s="79">
        <f t="shared" si="145"/>
        <v>0</v>
      </c>
      <c r="HMK84" s="79">
        <f t="shared" si="145"/>
        <v>0</v>
      </c>
      <c r="HML84" s="79">
        <f t="shared" si="145"/>
        <v>0</v>
      </c>
      <c r="HMM84" s="79">
        <f t="shared" si="145"/>
        <v>0</v>
      </c>
      <c r="HMN84" s="79">
        <f t="shared" si="145"/>
        <v>0</v>
      </c>
      <c r="HMO84" s="145" t="s">
        <v>96</v>
      </c>
      <c r="HMR84" s="79">
        <f>HMR18+HMR24+HMR29+HMR30</f>
        <v>0</v>
      </c>
      <c r="HMS84" s="79">
        <f t="shared" ref="HMS84:HOZ84" si="146">HMS18+HMS24+HMS29+HMS30</f>
        <v>0</v>
      </c>
      <c r="HMT84" s="79">
        <f t="shared" si="146"/>
        <v>0</v>
      </c>
      <c r="HMU84" s="79">
        <f t="shared" si="146"/>
        <v>0</v>
      </c>
      <c r="HMV84" s="79">
        <f t="shared" si="146"/>
        <v>0</v>
      </c>
      <c r="HMW84" s="79">
        <f t="shared" si="146"/>
        <v>0</v>
      </c>
      <c r="HMX84" s="79">
        <f t="shared" si="146"/>
        <v>0</v>
      </c>
      <c r="HMY84" s="79">
        <f t="shared" si="146"/>
        <v>0</v>
      </c>
      <c r="HMZ84" s="79">
        <f t="shared" si="146"/>
        <v>0</v>
      </c>
      <c r="HNA84" s="79">
        <f t="shared" si="146"/>
        <v>0</v>
      </c>
      <c r="HNB84" s="79">
        <f t="shared" si="146"/>
        <v>0</v>
      </c>
      <c r="HNC84" s="79">
        <f t="shared" si="146"/>
        <v>0</v>
      </c>
      <c r="HND84" s="79">
        <f t="shared" si="146"/>
        <v>0</v>
      </c>
      <c r="HNE84" s="145" t="s">
        <v>96</v>
      </c>
      <c r="HNH84" s="79">
        <f>HNH18+HNH24+HNH29+HNH30</f>
        <v>0</v>
      </c>
      <c r="HNI84" s="79">
        <f t="shared" si="146"/>
        <v>0</v>
      </c>
      <c r="HNJ84" s="79">
        <f t="shared" si="146"/>
        <v>0</v>
      </c>
      <c r="HNK84" s="79">
        <f t="shared" si="146"/>
        <v>0</v>
      </c>
      <c r="HNL84" s="79">
        <f t="shared" si="146"/>
        <v>0</v>
      </c>
      <c r="HNM84" s="79">
        <f t="shared" si="146"/>
        <v>0</v>
      </c>
      <c r="HNN84" s="79">
        <f t="shared" si="146"/>
        <v>0</v>
      </c>
      <c r="HNO84" s="79">
        <f t="shared" si="146"/>
        <v>0</v>
      </c>
      <c r="HNP84" s="79">
        <f t="shared" si="146"/>
        <v>0</v>
      </c>
      <c r="HNQ84" s="79">
        <f t="shared" si="146"/>
        <v>0</v>
      </c>
      <c r="HNR84" s="79">
        <f t="shared" si="146"/>
        <v>0</v>
      </c>
      <c r="HNS84" s="79">
        <f t="shared" si="146"/>
        <v>0</v>
      </c>
      <c r="HNT84" s="79">
        <f t="shared" si="146"/>
        <v>0</v>
      </c>
      <c r="HNU84" s="145" t="s">
        <v>96</v>
      </c>
      <c r="HNX84" s="79">
        <f>HNX18+HNX24+HNX29+HNX30</f>
        <v>0</v>
      </c>
      <c r="HNY84" s="79">
        <f t="shared" si="146"/>
        <v>0</v>
      </c>
      <c r="HNZ84" s="79">
        <f t="shared" si="146"/>
        <v>0</v>
      </c>
      <c r="HOA84" s="79">
        <f t="shared" si="146"/>
        <v>0</v>
      </c>
      <c r="HOB84" s="79">
        <f t="shared" si="146"/>
        <v>0</v>
      </c>
      <c r="HOC84" s="79">
        <f t="shared" si="146"/>
        <v>0</v>
      </c>
      <c r="HOD84" s="79">
        <f t="shared" si="146"/>
        <v>0</v>
      </c>
      <c r="HOE84" s="79">
        <f t="shared" si="146"/>
        <v>0</v>
      </c>
      <c r="HOF84" s="79">
        <f t="shared" si="146"/>
        <v>0</v>
      </c>
      <c r="HOG84" s="79">
        <f t="shared" si="146"/>
        <v>0</v>
      </c>
      <c r="HOH84" s="79">
        <f t="shared" si="146"/>
        <v>0</v>
      </c>
      <c r="HOI84" s="79">
        <f t="shared" si="146"/>
        <v>0</v>
      </c>
      <c r="HOJ84" s="79">
        <f t="shared" si="146"/>
        <v>0</v>
      </c>
      <c r="HOK84" s="145" t="s">
        <v>96</v>
      </c>
      <c r="HON84" s="79">
        <f>HON18+HON24+HON29+HON30</f>
        <v>0</v>
      </c>
      <c r="HOO84" s="79">
        <f t="shared" si="146"/>
        <v>0</v>
      </c>
      <c r="HOP84" s="79">
        <f t="shared" si="146"/>
        <v>0</v>
      </c>
      <c r="HOQ84" s="79">
        <f t="shared" si="146"/>
        <v>0</v>
      </c>
      <c r="HOR84" s="79">
        <f t="shared" si="146"/>
        <v>0</v>
      </c>
      <c r="HOS84" s="79">
        <f t="shared" si="146"/>
        <v>0</v>
      </c>
      <c r="HOT84" s="79">
        <f t="shared" si="146"/>
        <v>0</v>
      </c>
      <c r="HOU84" s="79">
        <f t="shared" si="146"/>
        <v>0</v>
      </c>
      <c r="HOV84" s="79">
        <f t="shared" si="146"/>
        <v>0</v>
      </c>
      <c r="HOW84" s="79">
        <f t="shared" si="146"/>
        <v>0</v>
      </c>
      <c r="HOX84" s="79">
        <f t="shared" si="146"/>
        <v>0</v>
      </c>
      <c r="HOY84" s="79">
        <f t="shared" si="146"/>
        <v>0</v>
      </c>
      <c r="HOZ84" s="79">
        <f t="shared" si="146"/>
        <v>0</v>
      </c>
      <c r="HPA84" s="145" t="s">
        <v>96</v>
      </c>
      <c r="HPD84" s="79">
        <f>HPD18+HPD24+HPD29+HPD30</f>
        <v>0</v>
      </c>
      <c r="HPE84" s="79">
        <f t="shared" ref="HPE84:HRL84" si="147">HPE18+HPE24+HPE29+HPE30</f>
        <v>0</v>
      </c>
      <c r="HPF84" s="79">
        <f t="shared" si="147"/>
        <v>0</v>
      </c>
      <c r="HPG84" s="79">
        <f t="shared" si="147"/>
        <v>0</v>
      </c>
      <c r="HPH84" s="79">
        <f t="shared" si="147"/>
        <v>0</v>
      </c>
      <c r="HPI84" s="79">
        <f t="shared" si="147"/>
        <v>0</v>
      </c>
      <c r="HPJ84" s="79">
        <f t="shared" si="147"/>
        <v>0</v>
      </c>
      <c r="HPK84" s="79">
        <f t="shared" si="147"/>
        <v>0</v>
      </c>
      <c r="HPL84" s="79">
        <f t="shared" si="147"/>
        <v>0</v>
      </c>
      <c r="HPM84" s="79">
        <f t="shared" si="147"/>
        <v>0</v>
      </c>
      <c r="HPN84" s="79">
        <f t="shared" si="147"/>
        <v>0</v>
      </c>
      <c r="HPO84" s="79">
        <f t="shared" si="147"/>
        <v>0</v>
      </c>
      <c r="HPP84" s="79">
        <f t="shared" si="147"/>
        <v>0</v>
      </c>
      <c r="HPQ84" s="145" t="s">
        <v>96</v>
      </c>
      <c r="HPT84" s="79">
        <f>HPT18+HPT24+HPT29+HPT30</f>
        <v>0</v>
      </c>
      <c r="HPU84" s="79">
        <f t="shared" si="147"/>
        <v>0</v>
      </c>
      <c r="HPV84" s="79">
        <f t="shared" si="147"/>
        <v>0</v>
      </c>
      <c r="HPW84" s="79">
        <f t="shared" si="147"/>
        <v>0</v>
      </c>
      <c r="HPX84" s="79">
        <f t="shared" si="147"/>
        <v>0</v>
      </c>
      <c r="HPY84" s="79">
        <f t="shared" si="147"/>
        <v>0</v>
      </c>
      <c r="HPZ84" s="79">
        <f t="shared" si="147"/>
        <v>0</v>
      </c>
      <c r="HQA84" s="79">
        <f t="shared" si="147"/>
        <v>0</v>
      </c>
      <c r="HQB84" s="79">
        <f t="shared" si="147"/>
        <v>0</v>
      </c>
      <c r="HQC84" s="79">
        <f t="shared" si="147"/>
        <v>0</v>
      </c>
      <c r="HQD84" s="79">
        <f t="shared" si="147"/>
        <v>0</v>
      </c>
      <c r="HQE84" s="79">
        <f t="shared" si="147"/>
        <v>0</v>
      </c>
      <c r="HQF84" s="79">
        <f t="shared" si="147"/>
        <v>0</v>
      </c>
      <c r="HQG84" s="145" t="s">
        <v>96</v>
      </c>
      <c r="HQJ84" s="79">
        <f>HQJ18+HQJ24+HQJ29+HQJ30</f>
        <v>0</v>
      </c>
      <c r="HQK84" s="79">
        <f t="shared" si="147"/>
        <v>0</v>
      </c>
      <c r="HQL84" s="79">
        <f t="shared" si="147"/>
        <v>0</v>
      </c>
      <c r="HQM84" s="79">
        <f t="shared" si="147"/>
        <v>0</v>
      </c>
      <c r="HQN84" s="79">
        <f t="shared" si="147"/>
        <v>0</v>
      </c>
      <c r="HQO84" s="79">
        <f t="shared" si="147"/>
        <v>0</v>
      </c>
      <c r="HQP84" s="79">
        <f t="shared" si="147"/>
        <v>0</v>
      </c>
      <c r="HQQ84" s="79">
        <f t="shared" si="147"/>
        <v>0</v>
      </c>
      <c r="HQR84" s="79">
        <f t="shared" si="147"/>
        <v>0</v>
      </c>
      <c r="HQS84" s="79">
        <f t="shared" si="147"/>
        <v>0</v>
      </c>
      <c r="HQT84" s="79">
        <f t="shared" si="147"/>
        <v>0</v>
      </c>
      <c r="HQU84" s="79">
        <f t="shared" si="147"/>
        <v>0</v>
      </c>
      <c r="HQV84" s="79">
        <f t="shared" si="147"/>
        <v>0</v>
      </c>
      <c r="HQW84" s="145" t="s">
        <v>96</v>
      </c>
      <c r="HQZ84" s="79">
        <f>HQZ18+HQZ24+HQZ29+HQZ30</f>
        <v>0</v>
      </c>
      <c r="HRA84" s="79">
        <f t="shared" si="147"/>
        <v>0</v>
      </c>
      <c r="HRB84" s="79">
        <f t="shared" si="147"/>
        <v>0</v>
      </c>
      <c r="HRC84" s="79">
        <f t="shared" si="147"/>
        <v>0</v>
      </c>
      <c r="HRD84" s="79">
        <f t="shared" si="147"/>
        <v>0</v>
      </c>
      <c r="HRE84" s="79">
        <f t="shared" si="147"/>
        <v>0</v>
      </c>
      <c r="HRF84" s="79">
        <f t="shared" si="147"/>
        <v>0</v>
      </c>
      <c r="HRG84" s="79">
        <f t="shared" si="147"/>
        <v>0</v>
      </c>
      <c r="HRH84" s="79">
        <f t="shared" si="147"/>
        <v>0</v>
      </c>
      <c r="HRI84" s="79">
        <f t="shared" si="147"/>
        <v>0</v>
      </c>
      <c r="HRJ84" s="79">
        <f t="shared" si="147"/>
        <v>0</v>
      </c>
      <c r="HRK84" s="79">
        <f t="shared" si="147"/>
        <v>0</v>
      </c>
      <c r="HRL84" s="79">
        <f t="shared" si="147"/>
        <v>0</v>
      </c>
      <c r="HRM84" s="145" t="s">
        <v>96</v>
      </c>
      <c r="HRP84" s="79">
        <f>HRP18+HRP24+HRP29+HRP30</f>
        <v>0</v>
      </c>
      <c r="HRQ84" s="79">
        <f t="shared" ref="HRQ84:HTX84" si="148">HRQ18+HRQ24+HRQ29+HRQ30</f>
        <v>0</v>
      </c>
      <c r="HRR84" s="79">
        <f t="shared" si="148"/>
        <v>0</v>
      </c>
      <c r="HRS84" s="79">
        <f t="shared" si="148"/>
        <v>0</v>
      </c>
      <c r="HRT84" s="79">
        <f t="shared" si="148"/>
        <v>0</v>
      </c>
      <c r="HRU84" s="79">
        <f t="shared" si="148"/>
        <v>0</v>
      </c>
      <c r="HRV84" s="79">
        <f t="shared" si="148"/>
        <v>0</v>
      </c>
      <c r="HRW84" s="79">
        <f t="shared" si="148"/>
        <v>0</v>
      </c>
      <c r="HRX84" s="79">
        <f t="shared" si="148"/>
        <v>0</v>
      </c>
      <c r="HRY84" s="79">
        <f t="shared" si="148"/>
        <v>0</v>
      </c>
      <c r="HRZ84" s="79">
        <f t="shared" si="148"/>
        <v>0</v>
      </c>
      <c r="HSA84" s="79">
        <f t="shared" si="148"/>
        <v>0</v>
      </c>
      <c r="HSB84" s="79">
        <f t="shared" si="148"/>
        <v>0</v>
      </c>
      <c r="HSC84" s="145" t="s">
        <v>96</v>
      </c>
      <c r="HSF84" s="79">
        <f>HSF18+HSF24+HSF29+HSF30</f>
        <v>0</v>
      </c>
      <c r="HSG84" s="79">
        <f t="shared" si="148"/>
        <v>0</v>
      </c>
      <c r="HSH84" s="79">
        <f t="shared" si="148"/>
        <v>0</v>
      </c>
      <c r="HSI84" s="79">
        <f t="shared" si="148"/>
        <v>0</v>
      </c>
      <c r="HSJ84" s="79">
        <f t="shared" si="148"/>
        <v>0</v>
      </c>
      <c r="HSK84" s="79">
        <f t="shared" si="148"/>
        <v>0</v>
      </c>
      <c r="HSL84" s="79">
        <f t="shared" si="148"/>
        <v>0</v>
      </c>
      <c r="HSM84" s="79">
        <f t="shared" si="148"/>
        <v>0</v>
      </c>
      <c r="HSN84" s="79">
        <f t="shared" si="148"/>
        <v>0</v>
      </c>
      <c r="HSO84" s="79">
        <f t="shared" si="148"/>
        <v>0</v>
      </c>
      <c r="HSP84" s="79">
        <f t="shared" si="148"/>
        <v>0</v>
      </c>
      <c r="HSQ84" s="79">
        <f t="shared" si="148"/>
        <v>0</v>
      </c>
      <c r="HSR84" s="79">
        <f t="shared" si="148"/>
        <v>0</v>
      </c>
      <c r="HSS84" s="145" t="s">
        <v>96</v>
      </c>
      <c r="HSV84" s="79">
        <f>HSV18+HSV24+HSV29+HSV30</f>
        <v>0</v>
      </c>
      <c r="HSW84" s="79">
        <f t="shared" si="148"/>
        <v>0</v>
      </c>
      <c r="HSX84" s="79">
        <f t="shared" si="148"/>
        <v>0</v>
      </c>
      <c r="HSY84" s="79">
        <f t="shared" si="148"/>
        <v>0</v>
      </c>
      <c r="HSZ84" s="79">
        <f t="shared" si="148"/>
        <v>0</v>
      </c>
      <c r="HTA84" s="79">
        <f t="shared" si="148"/>
        <v>0</v>
      </c>
      <c r="HTB84" s="79">
        <f t="shared" si="148"/>
        <v>0</v>
      </c>
      <c r="HTC84" s="79">
        <f t="shared" si="148"/>
        <v>0</v>
      </c>
      <c r="HTD84" s="79">
        <f t="shared" si="148"/>
        <v>0</v>
      </c>
      <c r="HTE84" s="79">
        <f t="shared" si="148"/>
        <v>0</v>
      </c>
      <c r="HTF84" s="79">
        <f t="shared" si="148"/>
        <v>0</v>
      </c>
      <c r="HTG84" s="79">
        <f t="shared" si="148"/>
        <v>0</v>
      </c>
      <c r="HTH84" s="79">
        <f t="shared" si="148"/>
        <v>0</v>
      </c>
      <c r="HTI84" s="145" t="s">
        <v>96</v>
      </c>
      <c r="HTL84" s="79">
        <f>HTL18+HTL24+HTL29+HTL30</f>
        <v>0</v>
      </c>
      <c r="HTM84" s="79">
        <f t="shared" si="148"/>
        <v>0</v>
      </c>
      <c r="HTN84" s="79">
        <f t="shared" si="148"/>
        <v>0</v>
      </c>
      <c r="HTO84" s="79">
        <f t="shared" si="148"/>
        <v>0</v>
      </c>
      <c r="HTP84" s="79">
        <f t="shared" si="148"/>
        <v>0</v>
      </c>
      <c r="HTQ84" s="79">
        <f t="shared" si="148"/>
        <v>0</v>
      </c>
      <c r="HTR84" s="79">
        <f t="shared" si="148"/>
        <v>0</v>
      </c>
      <c r="HTS84" s="79">
        <f t="shared" si="148"/>
        <v>0</v>
      </c>
      <c r="HTT84" s="79">
        <f t="shared" si="148"/>
        <v>0</v>
      </c>
      <c r="HTU84" s="79">
        <f t="shared" si="148"/>
        <v>0</v>
      </c>
      <c r="HTV84" s="79">
        <f t="shared" si="148"/>
        <v>0</v>
      </c>
      <c r="HTW84" s="79">
        <f t="shared" si="148"/>
        <v>0</v>
      </c>
      <c r="HTX84" s="79">
        <f t="shared" si="148"/>
        <v>0</v>
      </c>
      <c r="HTY84" s="145" t="s">
        <v>96</v>
      </c>
      <c r="HUB84" s="79">
        <f>HUB18+HUB24+HUB29+HUB30</f>
        <v>0</v>
      </c>
      <c r="HUC84" s="79">
        <f t="shared" ref="HUC84:HWJ84" si="149">HUC18+HUC24+HUC29+HUC30</f>
        <v>0</v>
      </c>
      <c r="HUD84" s="79">
        <f t="shared" si="149"/>
        <v>0</v>
      </c>
      <c r="HUE84" s="79">
        <f t="shared" si="149"/>
        <v>0</v>
      </c>
      <c r="HUF84" s="79">
        <f t="shared" si="149"/>
        <v>0</v>
      </c>
      <c r="HUG84" s="79">
        <f t="shared" si="149"/>
        <v>0</v>
      </c>
      <c r="HUH84" s="79">
        <f t="shared" si="149"/>
        <v>0</v>
      </c>
      <c r="HUI84" s="79">
        <f t="shared" si="149"/>
        <v>0</v>
      </c>
      <c r="HUJ84" s="79">
        <f t="shared" si="149"/>
        <v>0</v>
      </c>
      <c r="HUK84" s="79">
        <f t="shared" si="149"/>
        <v>0</v>
      </c>
      <c r="HUL84" s="79">
        <f t="shared" si="149"/>
        <v>0</v>
      </c>
      <c r="HUM84" s="79">
        <f t="shared" si="149"/>
        <v>0</v>
      </c>
      <c r="HUN84" s="79">
        <f t="shared" si="149"/>
        <v>0</v>
      </c>
      <c r="HUO84" s="145" t="s">
        <v>96</v>
      </c>
      <c r="HUR84" s="79">
        <f>HUR18+HUR24+HUR29+HUR30</f>
        <v>0</v>
      </c>
      <c r="HUS84" s="79">
        <f t="shared" si="149"/>
        <v>0</v>
      </c>
      <c r="HUT84" s="79">
        <f t="shared" si="149"/>
        <v>0</v>
      </c>
      <c r="HUU84" s="79">
        <f t="shared" si="149"/>
        <v>0</v>
      </c>
      <c r="HUV84" s="79">
        <f t="shared" si="149"/>
        <v>0</v>
      </c>
      <c r="HUW84" s="79">
        <f t="shared" si="149"/>
        <v>0</v>
      </c>
      <c r="HUX84" s="79">
        <f t="shared" si="149"/>
        <v>0</v>
      </c>
      <c r="HUY84" s="79">
        <f t="shared" si="149"/>
        <v>0</v>
      </c>
      <c r="HUZ84" s="79">
        <f t="shared" si="149"/>
        <v>0</v>
      </c>
      <c r="HVA84" s="79">
        <f t="shared" si="149"/>
        <v>0</v>
      </c>
      <c r="HVB84" s="79">
        <f t="shared" si="149"/>
        <v>0</v>
      </c>
      <c r="HVC84" s="79">
        <f t="shared" si="149"/>
        <v>0</v>
      </c>
      <c r="HVD84" s="79">
        <f t="shared" si="149"/>
        <v>0</v>
      </c>
      <c r="HVE84" s="145" t="s">
        <v>96</v>
      </c>
      <c r="HVH84" s="79">
        <f>HVH18+HVH24+HVH29+HVH30</f>
        <v>0</v>
      </c>
      <c r="HVI84" s="79">
        <f t="shared" si="149"/>
        <v>0</v>
      </c>
      <c r="HVJ84" s="79">
        <f t="shared" si="149"/>
        <v>0</v>
      </c>
      <c r="HVK84" s="79">
        <f t="shared" si="149"/>
        <v>0</v>
      </c>
      <c r="HVL84" s="79">
        <f t="shared" si="149"/>
        <v>0</v>
      </c>
      <c r="HVM84" s="79">
        <f t="shared" si="149"/>
        <v>0</v>
      </c>
      <c r="HVN84" s="79">
        <f t="shared" si="149"/>
        <v>0</v>
      </c>
      <c r="HVO84" s="79">
        <f t="shared" si="149"/>
        <v>0</v>
      </c>
      <c r="HVP84" s="79">
        <f t="shared" si="149"/>
        <v>0</v>
      </c>
      <c r="HVQ84" s="79">
        <f t="shared" si="149"/>
        <v>0</v>
      </c>
      <c r="HVR84" s="79">
        <f t="shared" si="149"/>
        <v>0</v>
      </c>
      <c r="HVS84" s="79">
        <f t="shared" si="149"/>
        <v>0</v>
      </c>
      <c r="HVT84" s="79">
        <f t="shared" si="149"/>
        <v>0</v>
      </c>
      <c r="HVU84" s="145" t="s">
        <v>96</v>
      </c>
      <c r="HVX84" s="79">
        <f>HVX18+HVX24+HVX29+HVX30</f>
        <v>0</v>
      </c>
      <c r="HVY84" s="79">
        <f t="shared" si="149"/>
        <v>0</v>
      </c>
      <c r="HVZ84" s="79">
        <f t="shared" si="149"/>
        <v>0</v>
      </c>
      <c r="HWA84" s="79">
        <f t="shared" si="149"/>
        <v>0</v>
      </c>
      <c r="HWB84" s="79">
        <f t="shared" si="149"/>
        <v>0</v>
      </c>
      <c r="HWC84" s="79">
        <f t="shared" si="149"/>
        <v>0</v>
      </c>
      <c r="HWD84" s="79">
        <f t="shared" si="149"/>
        <v>0</v>
      </c>
      <c r="HWE84" s="79">
        <f t="shared" si="149"/>
        <v>0</v>
      </c>
      <c r="HWF84" s="79">
        <f t="shared" si="149"/>
        <v>0</v>
      </c>
      <c r="HWG84" s="79">
        <f t="shared" si="149"/>
        <v>0</v>
      </c>
      <c r="HWH84" s="79">
        <f t="shared" si="149"/>
        <v>0</v>
      </c>
      <c r="HWI84" s="79">
        <f t="shared" si="149"/>
        <v>0</v>
      </c>
      <c r="HWJ84" s="79">
        <f t="shared" si="149"/>
        <v>0</v>
      </c>
      <c r="HWK84" s="145" t="s">
        <v>96</v>
      </c>
      <c r="HWN84" s="79">
        <f>HWN18+HWN24+HWN29+HWN30</f>
        <v>0</v>
      </c>
      <c r="HWO84" s="79">
        <f t="shared" ref="HWO84:HYV84" si="150">HWO18+HWO24+HWO29+HWO30</f>
        <v>0</v>
      </c>
      <c r="HWP84" s="79">
        <f t="shared" si="150"/>
        <v>0</v>
      </c>
      <c r="HWQ84" s="79">
        <f t="shared" si="150"/>
        <v>0</v>
      </c>
      <c r="HWR84" s="79">
        <f t="shared" si="150"/>
        <v>0</v>
      </c>
      <c r="HWS84" s="79">
        <f t="shared" si="150"/>
        <v>0</v>
      </c>
      <c r="HWT84" s="79">
        <f t="shared" si="150"/>
        <v>0</v>
      </c>
      <c r="HWU84" s="79">
        <f t="shared" si="150"/>
        <v>0</v>
      </c>
      <c r="HWV84" s="79">
        <f t="shared" si="150"/>
        <v>0</v>
      </c>
      <c r="HWW84" s="79">
        <f t="shared" si="150"/>
        <v>0</v>
      </c>
      <c r="HWX84" s="79">
        <f t="shared" si="150"/>
        <v>0</v>
      </c>
      <c r="HWY84" s="79">
        <f t="shared" si="150"/>
        <v>0</v>
      </c>
      <c r="HWZ84" s="79">
        <f t="shared" si="150"/>
        <v>0</v>
      </c>
      <c r="HXA84" s="145" t="s">
        <v>96</v>
      </c>
      <c r="HXD84" s="79">
        <f>HXD18+HXD24+HXD29+HXD30</f>
        <v>0</v>
      </c>
      <c r="HXE84" s="79">
        <f t="shared" si="150"/>
        <v>0</v>
      </c>
      <c r="HXF84" s="79">
        <f t="shared" si="150"/>
        <v>0</v>
      </c>
      <c r="HXG84" s="79">
        <f t="shared" si="150"/>
        <v>0</v>
      </c>
      <c r="HXH84" s="79">
        <f t="shared" si="150"/>
        <v>0</v>
      </c>
      <c r="HXI84" s="79">
        <f t="shared" si="150"/>
        <v>0</v>
      </c>
      <c r="HXJ84" s="79">
        <f t="shared" si="150"/>
        <v>0</v>
      </c>
      <c r="HXK84" s="79">
        <f t="shared" si="150"/>
        <v>0</v>
      </c>
      <c r="HXL84" s="79">
        <f t="shared" si="150"/>
        <v>0</v>
      </c>
      <c r="HXM84" s="79">
        <f t="shared" si="150"/>
        <v>0</v>
      </c>
      <c r="HXN84" s="79">
        <f t="shared" si="150"/>
        <v>0</v>
      </c>
      <c r="HXO84" s="79">
        <f t="shared" si="150"/>
        <v>0</v>
      </c>
      <c r="HXP84" s="79">
        <f t="shared" si="150"/>
        <v>0</v>
      </c>
      <c r="HXQ84" s="145" t="s">
        <v>96</v>
      </c>
      <c r="HXT84" s="79">
        <f>HXT18+HXT24+HXT29+HXT30</f>
        <v>0</v>
      </c>
      <c r="HXU84" s="79">
        <f t="shared" si="150"/>
        <v>0</v>
      </c>
      <c r="HXV84" s="79">
        <f t="shared" si="150"/>
        <v>0</v>
      </c>
      <c r="HXW84" s="79">
        <f t="shared" si="150"/>
        <v>0</v>
      </c>
      <c r="HXX84" s="79">
        <f t="shared" si="150"/>
        <v>0</v>
      </c>
      <c r="HXY84" s="79">
        <f t="shared" si="150"/>
        <v>0</v>
      </c>
      <c r="HXZ84" s="79">
        <f t="shared" si="150"/>
        <v>0</v>
      </c>
      <c r="HYA84" s="79">
        <f t="shared" si="150"/>
        <v>0</v>
      </c>
      <c r="HYB84" s="79">
        <f t="shared" si="150"/>
        <v>0</v>
      </c>
      <c r="HYC84" s="79">
        <f t="shared" si="150"/>
        <v>0</v>
      </c>
      <c r="HYD84" s="79">
        <f t="shared" si="150"/>
        <v>0</v>
      </c>
      <c r="HYE84" s="79">
        <f t="shared" si="150"/>
        <v>0</v>
      </c>
      <c r="HYF84" s="79">
        <f t="shared" si="150"/>
        <v>0</v>
      </c>
      <c r="HYG84" s="145" t="s">
        <v>96</v>
      </c>
      <c r="HYJ84" s="79">
        <f>HYJ18+HYJ24+HYJ29+HYJ30</f>
        <v>0</v>
      </c>
      <c r="HYK84" s="79">
        <f t="shared" si="150"/>
        <v>0</v>
      </c>
      <c r="HYL84" s="79">
        <f t="shared" si="150"/>
        <v>0</v>
      </c>
      <c r="HYM84" s="79">
        <f t="shared" si="150"/>
        <v>0</v>
      </c>
      <c r="HYN84" s="79">
        <f t="shared" si="150"/>
        <v>0</v>
      </c>
      <c r="HYO84" s="79">
        <f t="shared" si="150"/>
        <v>0</v>
      </c>
      <c r="HYP84" s="79">
        <f t="shared" si="150"/>
        <v>0</v>
      </c>
      <c r="HYQ84" s="79">
        <f t="shared" si="150"/>
        <v>0</v>
      </c>
      <c r="HYR84" s="79">
        <f t="shared" si="150"/>
        <v>0</v>
      </c>
      <c r="HYS84" s="79">
        <f t="shared" si="150"/>
        <v>0</v>
      </c>
      <c r="HYT84" s="79">
        <f t="shared" si="150"/>
        <v>0</v>
      </c>
      <c r="HYU84" s="79">
        <f t="shared" si="150"/>
        <v>0</v>
      </c>
      <c r="HYV84" s="79">
        <f t="shared" si="150"/>
        <v>0</v>
      </c>
      <c r="HYW84" s="145" t="s">
        <v>96</v>
      </c>
      <c r="HYZ84" s="79">
        <f>HYZ18+HYZ24+HYZ29+HYZ30</f>
        <v>0</v>
      </c>
      <c r="HZA84" s="79">
        <f t="shared" ref="HZA84:IBH84" si="151">HZA18+HZA24+HZA29+HZA30</f>
        <v>0</v>
      </c>
      <c r="HZB84" s="79">
        <f t="shared" si="151"/>
        <v>0</v>
      </c>
      <c r="HZC84" s="79">
        <f t="shared" si="151"/>
        <v>0</v>
      </c>
      <c r="HZD84" s="79">
        <f t="shared" si="151"/>
        <v>0</v>
      </c>
      <c r="HZE84" s="79">
        <f t="shared" si="151"/>
        <v>0</v>
      </c>
      <c r="HZF84" s="79">
        <f t="shared" si="151"/>
        <v>0</v>
      </c>
      <c r="HZG84" s="79">
        <f t="shared" si="151"/>
        <v>0</v>
      </c>
      <c r="HZH84" s="79">
        <f t="shared" si="151"/>
        <v>0</v>
      </c>
      <c r="HZI84" s="79">
        <f t="shared" si="151"/>
        <v>0</v>
      </c>
      <c r="HZJ84" s="79">
        <f t="shared" si="151"/>
        <v>0</v>
      </c>
      <c r="HZK84" s="79">
        <f t="shared" si="151"/>
        <v>0</v>
      </c>
      <c r="HZL84" s="79">
        <f t="shared" si="151"/>
        <v>0</v>
      </c>
      <c r="HZM84" s="145" t="s">
        <v>96</v>
      </c>
      <c r="HZP84" s="79">
        <f>HZP18+HZP24+HZP29+HZP30</f>
        <v>0</v>
      </c>
      <c r="HZQ84" s="79">
        <f t="shared" si="151"/>
        <v>0</v>
      </c>
      <c r="HZR84" s="79">
        <f t="shared" si="151"/>
        <v>0</v>
      </c>
      <c r="HZS84" s="79">
        <f t="shared" si="151"/>
        <v>0</v>
      </c>
      <c r="HZT84" s="79">
        <f t="shared" si="151"/>
        <v>0</v>
      </c>
      <c r="HZU84" s="79">
        <f t="shared" si="151"/>
        <v>0</v>
      </c>
      <c r="HZV84" s="79">
        <f t="shared" si="151"/>
        <v>0</v>
      </c>
      <c r="HZW84" s="79">
        <f t="shared" si="151"/>
        <v>0</v>
      </c>
      <c r="HZX84" s="79">
        <f t="shared" si="151"/>
        <v>0</v>
      </c>
      <c r="HZY84" s="79">
        <f t="shared" si="151"/>
        <v>0</v>
      </c>
      <c r="HZZ84" s="79">
        <f t="shared" si="151"/>
        <v>0</v>
      </c>
      <c r="IAA84" s="79">
        <f t="shared" si="151"/>
        <v>0</v>
      </c>
      <c r="IAB84" s="79">
        <f t="shared" si="151"/>
        <v>0</v>
      </c>
      <c r="IAC84" s="145" t="s">
        <v>96</v>
      </c>
      <c r="IAF84" s="79">
        <f>IAF18+IAF24+IAF29+IAF30</f>
        <v>0</v>
      </c>
      <c r="IAG84" s="79">
        <f t="shared" si="151"/>
        <v>0</v>
      </c>
      <c r="IAH84" s="79">
        <f t="shared" si="151"/>
        <v>0</v>
      </c>
      <c r="IAI84" s="79">
        <f t="shared" si="151"/>
        <v>0</v>
      </c>
      <c r="IAJ84" s="79">
        <f t="shared" si="151"/>
        <v>0</v>
      </c>
      <c r="IAK84" s="79">
        <f t="shared" si="151"/>
        <v>0</v>
      </c>
      <c r="IAL84" s="79">
        <f t="shared" si="151"/>
        <v>0</v>
      </c>
      <c r="IAM84" s="79">
        <f t="shared" si="151"/>
        <v>0</v>
      </c>
      <c r="IAN84" s="79">
        <f t="shared" si="151"/>
        <v>0</v>
      </c>
      <c r="IAO84" s="79">
        <f t="shared" si="151"/>
        <v>0</v>
      </c>
      <c r="IAP84" s="79">
        <f t="shared" si="151"/>
        <v>0</v>
      </c>
      <c r="IAQ84" s="79">
        <f t="shared" si="151"/>
        <v>0</v>
      </c>
      <c r="IAR84" s="79">
        <f t="shared" si="151"/>
        <v>0</v>
      </c>
      <c r="IAS84" s="145" t="s">
        <v>96</v>
      </c>
      <c r="IAV84" s="79">
        <f>IAV18+IAV24+IAV29+IAV30</f>
        <v>0</v>
      </c>
      <c r="IAW84" s="79">
        <f t="shared" si="151"/>
        <v>0</v>
      </c>
      <c r="IAX84" s="79">
        <f t="shared" si="151"/>
        <v>0</v>
      </c>
      <c r="IAY84" s="79">
        <f t="shared" si="151"/>
        <v>0</v>
      </c>
      <c r="IAZ84" s="79">
        <f t="shared" si="151"/>
        <v>0</v>
      </c>
      <c r="IBA84" s="79">
        <f t="shared" si="151"/>
        <v>0</v>
      </c>
      <c r="IBB84" s="79">
        <f t="shared" si="151"/>
        <v>0</v>
      </c>
      <c r="IBC84" s="79">
        <f t="shared" si="151"/>
        <v>0</v>
      </c>
      <c r="IBD84" s="79">
        <f t="shared" si="151"/>
        <v>0</v>
      </c>
      <c r="IBE84" s="79">
        <f t="shared" si="151"/>
        <v>0</v>
      </c>
      <c r="IBF84" s="79">
        <f t="shared" si="151"/>
        <v>0</v>
      </c>
      <c r="IBG84" s="79">
        <f t="shared" si="151"/>
        <v>0</v>
      </c>
      <c r="IBH84" s="79">
        <f t="shared" si="151"/>
        <v>0</v>
      </c>
      <c r="IBI84" s="145" t="s">
        <v>96</v>
      </c>
      <c r="IBL84" s="79">
        <f>IBL18+IBL24+IBL29+IBL30</f>
        <v>0</v>
      </c>
      <c r="IBM84" s="79">
        <f t="shared" ref="IBM84:IDT84" si="152">IBM18+IBM24+IBM29+IBM30</f>
        <v>0</v>
      </c>
      <c r="IBN84" s="79">
        <f t="shared" si="152"/>
        <v>0</v>
      </c>
      <c r="IBO84" s="79">
        <f t="shared" si="152"/>
        <v>0</v>
      </c>
      <c r="IBP84" s="79">
        <f t="shared" si="152"/>
        <v>0</v>
      </c>
      <c r="IBQ84" s="79">
        <f t="shared" si="152"/>
        <v>0</v>
      </c>
      <c r="IBR84" s="79">
        <f t="shared" si="152"/>
        <v>0</v>
      </c>
      <c r="IBS84" s="79">
        <f t="shared" si="152"/>
        <v>0</v>
      </c>
      <c r="IBT84" s="79">
        <f t="shared" si="152"/>
        <v>0</v>
      </c>
      <c r="IBU84" s="79">
        <f t="shared" si="152"/>
        <v>0</v>
      </c>
      <c r="IBV84" s="79">
        <f t="shared" si="152"/>
        <v>0</v>
      </c>
      <c r="IBW84" s="79">
        <f t="shared" si="152"/>
        <v>0</v>
      </c>
      <c r="IBX84" s="79">
        <f t="shared" si="152"/>
        <v>0</v>
      </c>
      <c r="IBY84" s="145" t="s">
        <v>96</v>
      </c>
      <c r="ICB84" s="79">
        <f>ICB18+ICB24+ICB29+ICB30</f>
        <v>0</v>
      </c>
      <c r="ICC84" s="79">
        <f t="shared" si="152"/>
        <v>0</v>
      </c>
      <c r="ICD84" s="79">
        <f t="shared" si="152"/>
        <v>0</v>
      </c>
      <c r="ICE84" s="79">
        <f t="shared" si="152"/>
        <v>0</v>
      </c>
      <c r="ICF84" s="79">
        <f t="shared" si="152"/>
        <v>0</v>
      </c>
      <c r="ICG84" s="79">
        <f t="shared" si="152"/>
        <v>0</v>
      </c>
      <c r="ICH84" s="79">
        <f t="shared" si="152"/>
        <v>0</v>
      </c>
      <c r="ICI84" s="79">
        <f t="shared" si="152"/>
        <v>0</v>
      </c>
      <c r="ICJ84" s="79">
        <f t="shared" si="152"/>
        <v>0</v>
      </c>
      <c r="ICK84" s="79">
        <f t="shared" si="152"/>
        <v>0</v>
      </c>
      <c r="ICL84" s="79">
        <f t="shared" si="152"/>
        <v>0</v>
      </c>
      <c r="ICM84" s="79">
        <f t="shared" si="152"/>
        <v>0</v>
      </c>
      <c r="ICN84" s="79">
        <f t="shared" si="152"/>
        <v>0</v>
      </c>
      <c r="ICO84" s="145" t="s">
        <v>96</v>
      </c>
      <c r="ICR84" s="79">
        <f>ICR18+ICR24+ICR29+ICR30</f>
        <v>0</v>
      </c>
      <c r="ICS84" s="79">
        <f t="shared" si="152"/>
        <v>0</v>
      </c>
      <c r="ICT84" s="79">
        <f t="shared" si="152"/>
        <v>0</v>
      </c>
      <c r="ICU84" s="79">
        <f t="shared" si="152"/>
        <v>0</v>
      </c>
      <c r="ICV84" s="79">
        <f t="shared" si="152"/>
        <v>0</v>
      </c>
      <c r="ICW84" s="79">
        <f t="shared" si="152"/>
        <v>0</v>
      </c>
      <c r="ICX84" s="79">
        <f t="shared" si="152"/>
        <v>0</v>
      </c>
      <c r="ICY84" s="79">
        <f t="shared" si="152"/>
        <v>0</v>
      </c>
      <c r="ICZ84" s="79">
        <f t="shared" si="152"/>
        <v>0</v>
      </c>
      <c r="IDA84" s="79">
        <f t="shared" si="152"/>
        <v>0</v>
      </c>
      <c r="IDB84" s="79">
        <f t="shared" si="152"/>
        <v>0</v>
      </c>
      <c r="IDC84" s="79">
        <f t="shared" si="152"/>
        <v>0</v>
      </c>
      <c r="IDD84" s="79">
        <f t="shared" si="152"/>
        <v>0</v>
      </c>
      <c r="IDE84" s="145" t="s">
        <v>96</v>
      </c>
      <c r="IDH84" s="79">
        <f>IDH18+IDH24+IDH29+IDH30</f>
        <v>0</v>
      </c>
      <c r="IDI84" s="79">
        <f t="shared" si="152"/>
        <v>0</v>
      </c>
      <c r="IDJ84" s="79">
        <f t="shared" si="152"/>
        <v>0</v>
      </c>
      <c r="IDK84" s="79">
        <f t="shared" si="152"/>
        <v>0</v>
      </c>
      <c r="IDL84" s="79">
        <f t="shared" si="152"/>
        <v>0</v>
      </c>
      <c r="IDM84" s="79">
        <f t="shared" si="152"/>
        <v>0</v>
      </c>
      <c r="IDN84" s="79">
        <f t="shared" si="152"/>
        <v>0</v>
      </c>
      <c r="IDO84" s="79">
        <f t="shared" si="152"/>
        <v>0</v>
      </c>
      <c r="IDP84" s="79">
        <f t="shared" si="152"/>
        <v>0</v>
      </c>
      <c r="IDQ84" s="79">
        <f t="shared" si="152"/>
        <v>0</v>
      </c>
      <c r="IDR84" s="79">
        <f t="shared" si="152"/>
        <v>0</v>
      </c>
      <c r="IDS84" s="79">
        <f t="shared" si="152"/>
        <v>0</v>
      </c>
      <c r="IDT84" s="79">
        <f t="shared" si="152"/>
        <v>0</v>
      </c>
      <c r="IDU84" s="145" t="s">
        <v>96</v>
      </c>
      <c r="IDX84" s="79">
        <f>IDX18+IDX24+IDX29+IDX30</f>
        <v>0</v>
      </c>
      <c r="IDY84" s="79">
        <f t="shared" ref="IDY84:IGF84" si="153">IDY18+IDY24+IDY29+IDY30</f>
        <v>0</v>
      </c>
      <c r="IDZ84" s="79">
        <f t="shared" si="153"/>
        <v>0</v>
      </c>
      <c r="IEA84" s="79">
        <f t="shared" si="153"/>
        <v>0</v>
      </c>
      <c r="IEB84" s="79">
        <f t="shared" si="153"/>
        <v>0</v>
      </c>
      <c r="IEC84" s="79">
        <f t="shared" si="153"/>
        <v>0</v>
      </c>
      <c r="IED84" s="79">
        <f t="shared" si="153"/>
        <v>0</v>
      </c>
      <c r="IEE84" s="79">
        <f t="shared" si="153"/>
        <v>0</v>
      </c>
      <c r="IEF84" s="79">
        <f t="shared" si="153"/>
        <v>0</v>
      </c>
      <c r="IEG84" s="79">
        <f t="shared" si="153"/>
        <v>0</v>
      </c>
      <c r="IEH84" s="79">
        <f t="shared" si="153"/>
        <v>0</v>
      </c>
      <c r="IEI84" s="79">
        <f t="shared" si="153"/>
        <v>0</v>
      </c>
      <c r="IEJ84" s="79">
        <f t="shared" si="153"/>
        <v>0</v>
      </c>
      <c r="IEK84" s="145" t="s">
        <v>96</v>
      </c>
      <c r="IEN84" s="79">
        <f>IEN18+IEN24+IEN29+IEN30</f>
        <v>0</v>
      </c>
      <c r="IEO84" s="79">
        <f t="shared" si="153"/>
        <v>0</v>
      </c>
      <c r="IEP84" s="79">
        <f t="shared" si="153"/>
        <v>0</v>
      </c>
      <c r="IEQ84" s="79">
        <f t="shared" si="153"/>
        <v>0</v>
      </c>
      <c r="IER84" s="79">
        <f t="shared" si="153"/>
        <v>0</v>
      </c>
      <c r="IES84" s="79">
        <f t="shared" si="153"/>
        <v>0</v>
      </c>
      <c r="IET84" s="79">
        <f t="shared" si="153"/>
        <v>0</v>
      </c>
      <c r="IEU84" s="79">
        <f t="shared" si="153"/>
        <v>0</v>
      </c>
      <c r="IEV84" s="79">
        <f t="shared" si="153"/>
        <v>0</v>
      </c>
      <c r="IEW84" s="79">
        <f t="shared" si="153"/>
        <v>0</v>
      </c>
      <c r="IEX84" s="79">
        <f t="shared" si="153"/>
        <v>0</v>
      </c>
      <c r="IEY84" s="79">
        <f t="shared" si="153"/>
        <v>0</v>
      </c>
      <c r="IEZ84" s="79">
        <f t="shared" si="153"/>
        <v>0</v>
      </c>
      <c r="IFA84" s="145" t="s">
        <v>96</v>
      </c>
      <c r="IFD84" s="79">
        <f>IFD18+IFD24+IFD29+IFD30</f>
        <v>0</v>
      </c>
      <c r="IFE84" s="79">
        <f t="shared" si="153"/>
        <v>0</v>
      </c>
      <c r="IFF84" s="79">
        <f t="shared" si="153"/>
        <v>0</v>
      </c>
      <c r="IFG84" s="79">
        <f t="shared" si="153"/>
        <v>0</v>
      </c>
      <c r="IFH84" s="79">
        <f t="shared" si="153"/>
        <v>0</v>
      </c>
      <c r="IFI84" s="79">
        <f t="shared" si="153"/>
        <v>0</v>
      </c>
      <c r="IFJ84" s="79">
        <f t="shared" si="153"/>
        <v>0</v>
      </c>
      <c r="IFK84" s="79">
        <f t="shared" si="153"/>
        <v>0</v>
      </c>
      <c r="IFL84" s="79">
        <f t="shared" si="153"/>
        <v>0</v>
      </c>
      <c r="IFM84" s="79">
        <f t="shared" si="153"/>
        <v>0</v>
      </c>
      <c r="IFN84" s="79">
        <f t="shared" si="153"/>
        <v>0</v>
      </c>
      <c r="IFO84" s="79">
        <f t="shared" si="153"/>
        <v>0</v>
      </c>
      <c r="IFP84" s="79">
        <f t="shared" si="153"/>
        <v>0</v>
      </c>
      <c r="IFQ84" s="145" t="s">
        <v>96</v>
      </c>
      <c r="IFT84" s="79">
        <f>IFT18+IFT24+IFT29+IFT30</f>
        <v>0</v>
      </c>
      <c r="IFU84" s="79">
        <f t="shared" si="153"/>
        <v>0</v>
      </c>
      <c r="IFV84" s="79">
        <f t="shared" si="153"/>
        <v>0</v>
      </c>
      <c r="IFW84" s="79">
        <f t="shared" si="153"/>
        <v>0</v>
      </c>
      <c r="IFX84" s="79">
        <f t="shared" si="153"/>
        <v>0</v>
      </c>
      <c r="IFY84" s="79">
        <f t="shared" si="153"/>
        <v>0</v>
      </c>
      <c r="IFZ84" s="79">
        <f t="shared" si="153"/>
        <v>0</v>
      </c>
      <c r="IGA84" s="79">
        <f t="shared" si="153"/>
        <v>0</v>
      </c>
      <c r="IGB84" s="79">
        <f t="shared" si="153"/>
        <v>0</v>
      </c>
      <c r="IGC84" s="79">
        <f t="shared" si="153"/>
        <v>0</v>
      </c>
      <c r="IGD84" s="79">
        <f t="shared" si="153"/>
        <v>0</v>
      </c>
      <c r="IGE84" s="79">
        <f t="shared" si="153"/>
        <v>0</v>
      </c>
      <c r="IGF84" s="79">
        <f t="shared" si="153"/>
        <v>0</v>
      </c>
      <c r="IGG84" s="145" t="s">
        <v>96</v>
      </c>
      <c r="IGJ84" s="79">
        <f>IGJ18+IGJ24+IGJ29+IGJ30</f>
        <v>0</v>
      </c>
      <c r="IGK84" s="79">
        <f t="shared" ref="IGK84:IIR84" si="154">IGK18+IGK24+IGK29+IGK30</f>
        <v>0</v>
      </c>
      <c r="IGL84" s="79">
        <f t="shared" si="154"/>
        <v>0</v>
      </c>
      <c r="IGM84" s="79">
        <f t="shared" si="154"/>
        <v>0</v>
      </c>
      <c r="IGN84" s="79">
        <f t="shared" si="154"/>
        <v>0</v>
      </c>
      <c r="IGO84" s="79">
        <f t="shared" si="154"/>
        <v>0</v>
      </c>
      <c r="IGP84" s="79">
        <f t="shared" si="154"/>
        <v>0</v>
      </c>
      <c r="IGQ84" s="79">
        <f t="shared" si="154"/>
        <v>0</v>
      </c>
      <c r="IGR84" s="79">
        <f t="shared" si="154"/>
        <v>0</v>
      </c>
      <c r="IGS84" s="79">
        <f t="shared" si="154"/>
        <v>0</v>
      </c>
      <c r="IGT84" s="79">
        <f t="shared" si="154"/>
        <v>0</v>
      </c>
      <c r="IGU84" s="79">
        <f t="shared" si="154"/>
        <v>0</v>
      </c>
      <c r="IGV84" s="79">
        <f t="shared" si="154"/>
        <v>0</v>
      </c>
      <c r="IGW84" s="145" t="s">
        <v>96</v>
      </c>
      <c r="IGZ84" s="79">
        <f>IGZ18+IGZ24+IGZ29+IGZ30</f>
        <v>0</v>
      </c>
      <c r="IHA84" s="79">
        <f t="shared" si="154"/>
        <v>0</v>
      </c>
      <c r="IHB84" s="79">
        <f t="shared" si="154"/>
        <v>0</v>
      </c>
      <c r="IHC84" s="79">
        <f t="shared" si="154"/>
        <v>0</v>
      </c>
      <c r="IHD84" s="79">
        <f t="shared" si="154"/>
        <v>0</v>
      </c>
      <c r="IHE84" s="79">
        <f t="shared" si="154"/>
        <v>0</v>
      </c>
      <c r="IHF84" s="79">
        <f t="shared" si="154"/>
        <v>0</v>
      </c>
      <c r="IHG84" s="79">
        <f t="shared" si="154"/>
        <v>0</v>
      </c>
      <c r="IHH84" s="79">
        <f t="shared" si="154"/>
        <v>0</v>
      </c>
      <c r="IHI84" s="79">
        <f t="shared" si="154"/>
        <v>0</v>
      </c>
      <c r="IHJ84" s="79">
        <f t="shared" si="154"/>
        <v>0</v>
      </c>
      <c r="IHK84" s="79">
        <f t="shared" si="154"/>
        <v>0</v>
      </c>
      <c r="IHL84" s="79">
        <f t="shared" si="154"/>
        <v>0</v>
      </c>
      <c r="IHM84" s="145" t="s">
        <v>96</v>
      </c>
      <c r="IHP84" s="79">
        <f>IHP18+IHP24+IHP29+IHP30</f>
        <v>0</v>
      </c>
      <c r="IHQ84" s="79">
        <f t="shared" si="154"/>
        <v>0</v>
      </c>
      <c r="IHR84" s="79">
        <f t="shared" si="154"/>
        <v>0</v>
      </c>
      <c r="IHS84" s="79">
        <f t="shared" si="154"/>
        <v>0</v>
      </c>
      <c r="IHT84" s="79">
        <f t="shared" si="154"/>
        <v>0</v>
      </c>
      <c r="IHU84" s="79">
        <f t="shared" si="154"/>
        <v>0</v>
      </c>
      <c r="IHV84" s="79">
        <f t="shared" si="154"/>
        <v>0</v>
      </c>
      <c r="IHW84" s="79">
        <f t="shared" si="154"/>
        <v>0</v>
      </c>
      <c r="IHX84" s="79">
        <f t="shared" si="154"/>
        <v>0</v>
      </c>
      <c r="IHY84" s="79">
        <f t="shared" si="154"/>
        <v>0</v>
      </c>
      <c r="IHZ84" s="79">
        <f t="shared" si="154"/>
        <v>0</v>
      </c>
      <c r="IIA84" s="79">
        <f t="shared" si="154"/>
        <v>0</v>
      </c>
      <c r="IIB84" s="79">
        <f t="shared" si="154"/>
        <v>0</v>
      </c>
      <c r="IIC84" s="145" t="s">
        <v>96</v>
      </c>
      <c r="IIF84" s="79">
        <f>IIF18+IIF24+IIF29+IIF30</f>
        <v>0</v>
      </c>
      <c r="IIG84" s="79">
        <f t="shared" si="154"/>
        <v>0</v>
      </c>
      <c r="IIH84" s="79">
        <f t="shared" si="154"/>
        <v>0</v>
      </c>
      <c r="III84" s="79">
        <f t="shared" si="154"/>
        <v>0</v>
      </c>
      <c r="IIJ84" s="79">
        <f t="shared" si="154"/>
        <v>0</v>
      </c>
      <c r="IIK84" s="79">
        <f t="shared" si="154"/>
        <v>0</v>
      </c>
      <c r="IIL84" s="79">
        <f t="shared" si="154"/>
        <v>0</v>
      </c>
      <c r="IIM84" s="79">
        <f t="shared" si="154"/>
        <v>0</v>
      </c>
      <c r="IIN84" s="79">
        <f t="shared" si="154"/>
        <v>0</v>
      </c>
      <c r="IIO84" s="79">
        <f t="shared" si="154"/>
        <v>0</v>
      </c>
      <c r="IIP84" s="79">
        <f t="shared" si="154"/>
        <v>0</v>
      </c>
      <c r="IIQ84" s="79">
        <f t="shared" si="154"/>
        <v>0</v>
      </c>
      <c r="IIR84" s="79">
        <f t="shared" si="154"/>
        <v>0</v>
      </c>
      <c r="IIS84" s="145" t="s">
        <v>96</v>
      </c>
      <c r="IIV84" s="79">
        <f>IIV18+IIV24+IIV29+IIV30</f>
        <v>0</v>
      </c>
      <c r="IIW84" s="79">
        <f t="shared" ref="IIW84:ILD84" si="155">IIW18+IIW24+IIW29+IIW30</f>
        <v>0</v>
      </c>
      <c r="IIX84" s="79">
        <f t="shared" si="155"/>
        <v>0</v>
      </c>
      <c r="IIY84" s="79">
        <f t="shared" si="155"/>
        <v>0</v>
      </c>
      <c r="IIZ84" s="79">
        <f t="shared" si="155"/>
        <v>0</v>
      </c>
      <c r="IJA84" s="79">
        <f t="shared" si="155"/>
        <v>0</v>
      </c>
      <c r="IJB84" s="79">
        <f t="shared" si="155"/>
        <v>0</v>
      </c>
      <c r="IJC84" s="79">
        <f t="shared" si="155"/>
        <v>0</v>
      </c>
      <c r="IJD84" s="79">
        <f t="shared" si="155"/>
        <v>0</v>
      </c>
      <c r="IJE84" s="79">
        <f t="shared" si="155"/>
        <v>0</v>
      </c>
      <c r="IJF84" s="79">
        <f t="shared" si="155"/>
        <v>0</v>
      </c>
      <c r="IJG84" s="79">
        <f t="shared" si="155"/>
        <v>0</v>
      </c>
      <c r="IJH84" s="79">
        <f t="shared" si="155"/>
        <v>0</v>
      </c>
      <c r="IJI84" s="145" t="s">
        <v>96</v>
      </c>
      <c r="IJL84" s="79">
        <f>IJL18+IJL24+IJL29+IJL30</f>
        <v>0</v>
      </c>
      <c r="IJM84" s="79">
        <f t="shared" si="155"/>
        <v>0</v>
      </c>
      <c r="IJN84" s="79">
        <f t="shared" si="155"/>
        <v>0</v>
      </c>
      <c r="IJO84" s="79">
        <f t="shared" si="155"/>
        <v>0</v>
      </c>
      <c r="IJP84" s="79">
        <f t="shared" si="155"/>
        <v>0</v>
      </c>
      <c r="IJQ84" s="79">
        <f t="shared" si="155"/>
        <v>0</v>
      </c>
      <c r="IJR84" s="79">
        <f t="shared" si="155"/>
        <v>0</v>
      </c>
      <c r="IJS84" s="79">
        <f t="shared" si="155"/>
        <v>0</v>
      </c>
      <c r="IJT84" s="79">
        <f t="shared" si="155"/>
        <v>0</v>
      </c>
      <c r="IJU84" s="79">
        <f t="shared" si="155"/>
        <v>0</v>
      </c>
      <c r="IJV84" s="79">
        <f t="shared" si="155"/>
        <v>0</v>
      </c>
      <c r="IJW84" s="79">
        <f t="shared" si="155"/>
        <v>0</v>
      </c>
      <c r="IJX84" s="79">
        <f t="shared" si="155"/>
        <v>0</v>
      </c>
      <c r="IJY84" s="145" t="s">
        <v>96</v>
      </c>
      <c r="IKB84" s="79">
        <f>IKB18+IKB24+IKB29+IKB30</f>
        <v>0</v>
      </c>
      <c r="IKC84" s="79">
        <f t="shared" si="155"/>
        <v>0</v>
      </c>
      <c r="IKD84" s="79">
        <f t="shared" si="155"/>
        <v>0</v>
      </c>
      <c r="IKE84" s="79">
        <f t="shared" si="155"/>
        <v>0</v>
      </c>
      <c r="IKF84" s="79">
        <f t="shared" si="155"/>
        <v>0</v>
      </c>
      <c r="IKG84" s="79">
        <f t="shared" si="155"/>
        <v>0</v>
      </c>
      <c r="IKH84" s="79">
        <f t="shared" si="155"/>
        <v>0</v>
      </c>
      <c r="IKI84" s="79">
        <f t="shared" si="155"/>
        <v>0</v>
      </c>
      <c r="IKJ84" s="79">
        <f t="shared" si="155"/>
        <v>0</v>
      </c>
      <c r="IKK84" s="79">
        <f t="shared" si="155"/>
        <v>0</v>
      </c>
      <c r="IKL84" s="79">
        <f t="shared" si="155"/>
        <v>0</v>
      </c>
      <c r="IKM84" s="79">
        <f t="shared" si="155"/>
        <v>0</v>
      </c>
      <c r="IKN84" s="79">
        <f t="shared" si="155"/>
        <v>0</v>
      </c>
      <c r="IKO84" s="145" t="s">
        <v>96</v>
      </c>
      <c r="IKR84" s="79">
        <f>IKR18+IKR24+IKR29+IKR30</f>
        <v>0</v>
      </c>
      <c r="IKS84" s="79">
        <f t="shared" si="155"/>
        <v>0</v>
      </c>
      <c r="IKT84" s="79">
        <f t="shared" si="155"/>
        <v>0</v>
      </c>
      <c r="IKU84" s="79">
        <f t="shared" si="155"/>
        <v>0</v>
      </c>
      <c r="IKV84" s="79">
        <f t="shared" si="155"/>
        <v>0</v>
      </c>
      <c r="IKW84" s="79">
        <f t="shared" si="155"/>
        <v>0</v>
      </c>
      <c r="IKX84" s="79">
        <f t="shared" si="155"/>
        <v>0</v>
      </c>
      <c r="IKY84" s="79">
        <f t="shared" si="155"/>
        <v>0</v>
      </c>
      <c r="IKZ84" s="79">
        <f t="shared" si="155"/>
        <v>0</v>
      </c>
      <c r="ILA84" s="79">
        <f t="shared" si="155"/>
        <v>0</v>
      </c>
      <c r="ILB84" s="79">
        <f t="shared" si="155"/>
        <v>0</v>
      </c>
      <c r="ILC84" s="79">
        <f t="shared" si="155"/>
        <v>0</v>
      </c>
      <c r="ILD84" s="79">
        <f t="shared" si="155"/>
        <v>0</v>
      </c>
      <c r="ILE84" s="145" t="s">
        <v>96</v>
      </c>
      <c r="ILH84" s="79">
        <f>ILH18+ILH24+ILH29+ILH30</f>
        <v>0</v>
      </c>
      <c r="ILI84" s="79">
        <f t="shared" ref="ILI84:INP84" si="156">ILI18+ILI24+ILI29+ILI30</f>
        <v>0</v>
      </c>
      <c r="ILJ84" s="79">
        <f t="shared" si="156"/>
        <v>0</v>
      </c>
      <c r="ILK84" s="79">
        <f t="shared" si="156"/>
        <v>0</v>
      </c>
      <c r="ILL84" s="79">
        <f t="shared" si="156"/>
        <v>0</v>
      </c>
      <c r="ILM84" s="79">
        <f t="shared" si="156"/>
        <v>0</v>
      </c>
      <c r="ILN84" s="79">
        <f t="shared" si="156"/>
        <v>0</v>
      </c>
      <c r="ILO84" s="79">
        <f t="shared" si="156"/>
        <v>0</v>
      </c>
      <c r="ILP84" s="79">
        <f t="shared" si="156"/>
        <v>0</v>
      </c>
      <c r="ILQ84" s="79">
        <f t="shared" si="156"/>
        <v>0</v>
      </c>
      <c r="ILR84" s="79">
        <f t="shared" si="156"/>
        <v>0</v>
      </c>
      <c r="ILS84" s="79">
        <f t="shared" si="156"/>
        <v>0</v>
      </c>
      <c r="ILT84" s="79">
        <f t="shared" si="156"/>
        <v>0</v>
      </c>
      <c r="ILU84" s="145" t="s">
        <v>96</v>
      </c>
      <c r="ILX84" s="79">
        <f>ILX18+ILX24+ILX29+ILX30</f>
        <v>0</v>
      </c>
      <c r="ILY84" s="79">
        <f t="shared" si="156"/>
        <v>0</v>
      </c>
      <c r="ILZ84" s="79">
        <f t="shared" si="156"/>
        <v>0</v>
      </c>
      <c r="IMA84" s="79">
        <f t="shared" si="156"/>
        <v>0</v>
      </c>
      <c r="IMB84" s="79">
        <f t="shared" si="156"/>
        <v>0</v>
      </c>
      <c r="IMC84" s="79">
        <f t="shared" si="156"/>
        <v>0</v>
      </c>
      <c r="IMD84" s="79">
        <f t="shared" si="156"/>
        <v>0</v>
      </c>
      <c r="IME84" s="79">
        <f t="shared" si="156"/>
        <v>0</v>
      </c>
      <c r="IMF84" s="79">
        <f t="shared" si="156"/>
        <v>0</v>
      </c>
      <c r="IMG84" s="79">
        <f t="shared" si="156"/>
        <v>0</v>
      </c>
      <c r="IMH84" s="79">
        <f t="shared" si="156"/>
        <v>0</v>
      </c>
      <c r="IMI84" s="79">
        <f t="shared" si="156"/>
        <v>0</v>
      </c>
      <c r="IMJ84" s="79">
        <f t="shared" si="156"/>
        <v>0</v>
      </c>
      <c r="IMK84" s="145" t="s">
        <v>96</v>
      </c>
      <c r="IMN84" s="79">
        <f>IMN18+IMN24+IMN29+IMN30</f>
        <v>0</v>
      </c>
      <c r="IMO84" s="79">
        <f t="shared" si="156"/>
        <v>0</v>
      </c>
      <c r="IMP84" s="79">
        <f t="shared" si="156"/>
        <v>0</v>
      </c>
      <c r="IMQ84" s="79">
        <f t="shared" si="156"/>
        <v>0</v>
      </c>
      <c r="IMR84" s="79">
        <f t="shared" si="156"/>
        <v>0</v>
      </c>
      <c r="IMS84" s="79">
        <f t="shared" si="156"/>
        <v>0</v>
      </c>
      <c r="IMT84" s="79">
        <f t="shared" si="156"/>
        <v>0</v>
      </c>
      <c r="IMU84" s="79">
        <f t="shared" si="156"/>
        <v>0</v>
      </c>
      <c r="IMV84" s="79">
        <f t="shared" si="156"/>
        <v>0</v>
      </c>
      <c r="IMW84" s="79">
        <f t="shared" si="156"/>
        <v>0</v>
      </c>
      <c r="IMX84" s="79">
        <f t="shared" si="156"/>
        <v>0</v>
      </c>
      <c r="IMY84" s="79">
        <f t="shared" si="156"/>
        <v>0</v>
      </c>
      <c r="IMZ84" s="79">
        <f t="shared" si="156"/>
        <v>0</v>
      </c>
      <c r="INA84" s="145" t="s">
        <v>96</v>
      </c>
      <c r="IND84" s="79">
        <f>IND18+IND24+IND29+IND30</f>
        <v>0</v>
      </c>
      <c r="INE84" s="79">
        <f t="shared" si="156"/>
        <v>0</v>
      </c>
      <c r="INF84" s="79">
        <f t="shared" si="156"/>
        <v>0</v>
      </c>
      <c r="ING84" s="79">
        <f t="shared" si="156"/>
        <v>0</v>
      </c>
      <c r="INH84" s="79">
        <f t="shared" si="156"/>
        <v>0</v>
      </c>
      <c r="INI84" s="79">
        <f t="shared" si="156"/>
        <v>0</v>
      </c>
      <c r="INJ84" s="79">
        <f t="shared" si="156"/>
        <v>0</v>
      </c>
      <c r="INK84" s="79">
        <f t="shared" si="156"/>
        <v>0</v>
      </c>
      <c r="INL84" s="79">
        <f t="shared" si="156"/>
        <v>0</v>
      </c>
      <c r="INM84" s="79">
        <f t="shared" si="156"/>
        <v>0</v>
      </c>
      <c r="INN84" s="79">
        <f t="shared" si="156"/>
        <v>0</v>
      </c>
      <c r="INO84" s="79">
        <f t="shared" si="156"/>
        <v>0</v>
      </c>
      <c r="INP84" s="79">
        <f t="shared" si="156"/>
        <v>0</v>
      </c>
      <c r="INQ84" s="145" t="s">
        <v>96</v>
      </c>
      <c r="INT84" s="79">
        <f>INT18+INT24+INT29+INT30</f>
        <v>0</v>
      </c>
      <c r="INU84" s="79">
        <f t="shared" ref="INU84:IQB84" si="157">INU18+INU24+INU29+INU30</f>
        <v>0</v>
      </c>
      <c r="INV84" s="79">
        <f t="shared" si="157"/>
        <v>0</v>
      </c>
      <c r="INW84" s="79">
        <f t="shared" si="157"/>
        <v>0</v>
      </c>
      <c r="INX84" s="79">
        <f t="shared" si="157"/>
        <v>0</v>
      </c>
      <c r="INY84" s="79">
        <f t="shared" si="157"/>
        <v>0</v>
      </c>
      <c r="INZ84" s="79">
        <f t="shared" si="157"/>
        <v>0</v>
      </c>
      <c r="IOA84" s="79">
        <f t="shared" si="157"/>
        <v>0</v>
      </c>
      <c r="IOB84" s="79">
        <f t="shared" si="157"/>
        <v>0</v>
      </c>
      <c r="IOC84" s="79">
        <f t="shared" si="157"/>
        <v>0</v>
      </c>
      <c r="IOD84" s="79">
        <f t="shared" si="157"/>
        <v>0</v>
      </c>
      <c r="IOE84" s="79">
        <f t="shared" si="157"/>
        <v>0</v>
      </c>
      <c r="IOF84" s="79">
        <f t="shared" si="157"/>
        <v>0</v>
      </c>
      <c r="IOG84" s="145" t="s">
        <v>96</v>
      </c>
      <c r="IOJ84" s="79">
        <f>IOJ18+IOJ24+IOJ29+IOJ30</f>
        <v>0</v>
      </c>
      <c r="IOK84" s="79">
        <f t="shared" si="157"/>
        <v>0</v>
      </c>
      <c r="IOL84" s="79">
        <f t="shared" si="157"/>
        <v>0</v>
      </c>
      <c r="IOM84" s="79">
        <f t="shared" si="157"/>
        <v>0</v>
      </c>
      <c r="ION84" s="79">
        <f t="shared" si="157"/>
        <v>0</v>
      </c>
      <c r="IOO84" s="79">
        <f t="shared" si="157"/>
        <v>0</v>
      </c>
      <c r="IOP84" s="79">
        <f t="shared" si="157"/>
        <v>0</v>
      </c>
      <c r="IOQ84" s="79">
        <f t="shared" si="157"/>
        <v>0</v>
      </c>
      <c r="IOR84" s="79">
        <f t="shared" si="157"/>
        <v>0</v>
      </c>
      <c r="IOS84" s="79">
        <f t="shared" si="157"/>
        <v>0</v>
      </c>
      <c r="IOT84" s="79">
        <f t="shared" si="157"/>
        <v>0</v>
      </c>
      <c r="IOU84" s="79">
        <f t="shared" si="157"/>
        <v>0</v>
      </c>
      <c r="IOV84" s="79">
        <f t="shared" si="157"/>
        <v>0</v>
      </c>
      <c r="IOW84" s="145" t="s">
        <v>96</v>
      </c>
      <c r="IOZ84" s="79">
        <f>IOZ18+IOZ24+IOZ29+IOZ30</f>
        <v>0</v>
      </c>
      <c r="IPA84" s="79">
        <f t="shared" si="157"/>
        <v>0</v>
      </c>
      <c r="IPB84" s="79">
        <f t="shared" si="157"/>
        <v>0</v>
      </c>
      <c r="IPC84" s="79">
        <f t="shared" si="157"/>
        <v>0</v>
      </c>
      <c r="IPD84" s="79">
        <f t="shared" si="157"/>
        <v>0</v>
      </c>
      <c r="IPE84" s="79">
        <f t="shared" si="157"/>
        <v>0</v>
      </c>
      <c r="IPF84" s="79">
        <f t="shared" si="157"/>
        <v>0</v>
      </c>
      <c r="IPG84" s="79">
        <f t="shared" si="157"/>
        <v>0</v>
      </c>
      <c r="IPH84" s="79">
        <f t="shared" si="157"/>
        <v>0</v>
      </c>
      <c r="IPI84" s="79">
        <f t="shared" si="157"/>
        <v>0</v>
      </c>
      <c r="IPJ84" s="79">
        <f t="shared" si="157"/>
        <v>0</v>
      </c>
      <c r="IPK84" s="79">
        <f t="shared" si="157"/>
        <v>0</v>
      </c>
      <c r="IPL84" s="79">
        <f t="shared" si="157"/>
        <v>0</v>
      </c>
      <c r="IPM84" s="145" t="s">
        <v>96</v>
      </c>
      <c r="IPP84" s="79">
        <f>IPP18+IPP24+IPP29+IPP30</f>
        <v>0</v>
      </c>
      <c r="IPQ84" s="79">
        <f t="shared" si="157"/>
        <v>0</v>
      </c>
      <c r="IPR84" s="79">
        <f t="shared" si="157"/>
        <v>0</v>
      </c>
      <c r="IPS84" s="79">
        <f t="shared" si="157"/>
        <v>0</v>
      </c>
      <c r="IPT84" s="79">
        <f t="shared" si="157"/>
        <v>0</v>
      </c>
      <c r="IPU84" s="79">
        <f t="shared" si="157"/>
        <v>0</v>
      </c>
      <c r="IPV84" s="79">
        <f t="shared" si="157"/>
        <v>0</v>
      </c>
      <c r="IPW84" s="79">
        <f t="shared" si="157"/>
        <v>0</v>
      </c>
      <c r="IPX84" s="79">
        <f t="shared" si="157"/>
        <v>0</v>
      </c>
      <c r="IPY84" s="79">
        <f t="shared" si="157"/>
        <v>0</v>
      </c>
      <c r="IPZ84" s="79">
        <f t="shared" si="157"/>
        <v>0</v>
      </c>
      <c r="IQA84" s="79">
        <f t="shared" si="157"/>
        <v>0</v>
      </c>
      <c r="IQB84" s="79">
        <f t="shared" si="157"/>
        <v>0</v>
      </c>
      <c r="IQC84" s="145" t="s">
        <v>96</v>
      </c>
      <c r="IQF84" s="79">
        <f>IQF18+IQF24+IQF29+IQF30</f>
        <v>0</v>
      </c>
      <c r="IQG84" s="79">
        <f t="shared" ref="IQG84:ISN84" si="158">IQG18+IQG24+IQG29+IQG30</f>
        <v>0</v>
      </c>
      <c r="IQH84" s="79">
        <f t="shared" si="158"/>
        <v>0</v>
      </c>
      <c r="IQI84" s="79">
        <f t="shared" si="158"/>
        <v>0</v>
      </c>
      <c r="IQJ84" s="79">
        <f t="shared" si="158"/>
        <v>0</v>
      </c>
      <c r="IQK84" s="79">
        <f t="shared" si="158"/>
        <v>0</v>
      </c>
      <c r="IQL84" s="79">
        <f t="shared" si="158"/>
        <v>0</v>
      </c>
      <c r="IQM84" s="79">
        <f t="shared" si="158"/>
        <v>0</v>
      </c>
      <c r="IQN84" s="79">
        <f t="shared" si="158"/>
        <v>0</v>
      </c>
      <c r="IQO84" s="79">
        <f t="shared" si="158"/>
        <v>0</v>
      </c>
      <c r="IQP84" s="79">
        <f t="shared" si="158"/>
        <v>0</v>
      </c>
      <c r="IQQ84" s="79">
        <f t="shared" si="158"/>
        <v>0</v>
      </c>
      <c r="IQR84" s="79">
        <f t="shared" si="158"/>
        <v>0</v>
      </c>
      <c r="IQS84" s="145" t="s">
        <v>96</v>
      </c>
      <c r="IQV84" s="79">
        <f>IQV18+IQV24+IQV29+IQV30</f>
        <v>0</v>
      </c>
      <c r="IQW84" s="79">
        <f t="shared" si="158"/>
        <v>0</v>
      </c>
      <c r="IQX84" s="79">
        <f t="shared" si="158"/>
        <v>0</v>
      </c>
      <c r="IQY84" s="79">
        <f t="shared" si="158"/>
        <v>0</v>
      </c>
      <c r="IQZ84" s="79">
        <f t="shared" si="158"/>
        <v>0</v>
      </c>
      <c r="IRA84" s="79">
        <f t="shared" si="158"/>
        <v>0</v>
      </c>
      <c r="IRB84" s="79">
        <f t="shared" si="158"/>
        <v>0</v>
      </c>
      <c r="IRC84" s="79">
        <f t="shared" si="158"/>
        <v>0</v>
      </c>
      <c r="IRD84" s="79">
        <f t="shared" si="158"/>
        <v>0</v>
      </c>
      <c r="IRE84" s="79">
        <f t="shared" si="158"/>
        <v>0</v>
      </c>
      <c r="IRF84" s="79">
        <f t="shared" si="158"/>
        <v>0</v>
      </c>
      <c r="IRG84" s="79">
        <f t="shared" si="158"/>
        <v>0</v>
      </c>
      <c r="IRH84" s="79">
        <f t="shared" si="158"/>
        <v>0</v>
      </c>
      <c r="IRI84" s="145" t="s">
        <v>96</v>
      </c>
      <c r="IRL84" s="79">
        <f>IRL18+IRL24+IRL29+IRL30</f>
        <v>0</v>
      </c>
      <c r="IRM84" s="79">
        <f t="shared" si="158"/>
        <v>0</v>
      </c>
      <c r="IRN84" s="79">
        <f t="shared" si="158"/>
        <v>0</v>
      </c>
      <c r="IRO84" s="79">
        <f t="shared" si="158"/>
        <v>0</v>
      </c>
      <c r="IRP84" s="79">
        <f t="shared" si="158"/>
        <v>0</v>
      </c>
      <c r="IRQ84" s="79">
        <f t="shared" si="158"/>
        <v>0</v>
      </c>
      <c r="IRR84" s="79">
        <f t="shared" si="158"/>
        <v>0</v>
      </c>
      <c r="IRS84" s="79">
        <f t="shared" si="158"/>
        <v>0</v>
      </c>
      <c r="IRT84" s="79">
        <f t="shared" si="158"/>
        <v>0</v>
      </c>
      <c r="IRU84" s="79">
        <f t="shared" si="158"/>
        <v>0</v>
      </c>
      <c r="IRV84" s="79">
        <f t="shared" si="158"/>
        <v>0</v>
      </c>
      <c r="IRW84" s="79">
        <f t="shared" si="158"/>
        <v>0</v>
      </c>
      <c r="IRX84" s="79">
        <f t="shared" si="158"/>
        <v>0</v>
      </c>
      <c r="IRY84" s="145" t="s">
        <v>96</v>
      </c>
      <c r="ISB84" s="79">
        <f>ISB18+ISB24+ISB29+ISB30</f>
        <v>0</v>
      </c>
      <c r="ISC84" s="79">
        <f t="shared" si="158"/>
        <v>0</v>
      </c>
      <c r="ISD84" s="79">
        <f t="shared" si="158"/>
        <v>0</v>
      </c>
      <c r="ISE84" s="79">
        <f t="shared" si="158"/>
        <v>0</v>
      </c>
      <c r="ISF84" s="79">
        <f t="shared" si="158"/>
        <v>0</v>
      </c>
      <c r="ISG84" s="79">
        <f t="shared" si="158"/>
        <v>0</v>
      </c>
      <c r="ISH84" s="79">
        <f t="shared" si="158"/>
        <v>0</v>
      </c>
      <c r="ISI84" s="79">
        <f t="shared" si="158"/>
        <v>0</v>
      </c>
      <c r="ISJ84" s="79">
        <f t="shared" si="158"/>
        <v>0</v>
      </c>
      <c r="ISK84" s="79">
        <f t="shared" si="158"/>
        <v>0</v>
      </c>
      <c r="ISL84" s="79">
        <f t="shared" si="158"/>
        <v>0</v>
      </c>
      <c r="ISM84" s="79">
        <f t="shared" si="158"/>
        <v>0</v>
      </c>
      <c r="ISN84" s="79">
        <f t="shared" si="158"/>
        <v>0</v>
      </c>
      <c r="ISO84" s="145" t="s">
        <v>96</v>
      </c>
      <c r="ISR84" s="79">
        <f>ISR18+ISR24+ISR29+ISR30</f>
        <v>0</v>
      </c>
      <c r="ISS84" s="79">
        <f t="shared" ref="ISS84:IUZ84" si="159">ISS18+ISS24+ISS29+ISS30</f>
        <v>0</v>
      </c>
      <c r="IST84" s="79">
        <f t="shared" si="159"/>
        <v>0</v>
      </c>
      <c r="ISU84" s="79">
        <f t="shared" si="159"/>
        <v>0</v>
      </c>
      <c r="ISV84" s="79">
        <f t="shared" si="159"/>
        <v>0</v>
      </c>
      <c r="ISW84" s="79">
        <f t="shared" si="159"/>
        <v>0</v>
      </c>
      <c r="ISX84" s="79">
        <f t="shared" si="159"/>
        <v>0</v>
      </c>
      <c r="ISY84" s="79">
        <f t="shared" si="159"/>
        <v>0</v>
      </c>
      <c r="ISZ84" s="79">
        <f t="shared" si="159"/>
        <v>0</v>
      </c>
      <c r="ITA84" s="79">
        <f t="shared" si="159"/>
        <v>0</v>
      </c>
      <c r="ITB84" s="79">
        <f t="shared" si="159"/>
        <v>0</v>
      </c>
      <c r="ITC84" s="79">
        <f t="shared" si="159"/>
        <v>0</v>
      </c>
      <c r="ITD84" s="79">
        <f t="shared" si="159"/>
        <v>0</v>
      </c>
      <c r="ITE84" s="145" t="s">
        <v>96</v>
      </c>
      <c r="ITH84" s="79">
        <f>ITH18+ITH24+ITH29+ITH30</f>
        <v>0</v>
      </c>
      <c r="ITI84" s="79">
        <f t="shared" si="159"/>
        <v>0</v>
      </c>
      <c r="ITJ84" s="79">
        <f t="shared" si="159"/>
        <v>0</v>
      </c>
      <c r="ITK84" s="79">
        <f t="shared" si="159"/>
        <v>0</v>
      </c>
      <c r="ITL84" s="79">
        <f t="shared" si="159"/>
        <v>0</v>
      </c>
      <c r="ITM84" s="79">
        <f t="shared" si="159"/>
        <v>0</v>
      </c>
      <c r="ITN84" s="79">
        <f t="shared" si="159"/>
        <v>0</v>
      </c>
      <c r="ITO84" s="79">
        <f t="shared" si="159"/>
        <v>0</v>
      </c>
      <c r="ITP84" s="79">
        <f t="shared" si="159"/>
        <v>0</v>
      </c>
      <c r="ITQ84" s="79">
        <f t="shared" si="159"/>
        <v>0</v>
      </c>
      <c r="ITR84" s="79">
        <f t="shared" si="159"/>
        <v>0</v>
      </c>
      <c r="ITS84" s="79">
        <f t="shared" si="159"/>
        <v>0</v>
      </c>
      <c r="ITT84" s="79">
        <f t="shared" si="159"/>
        <v>0</v>
      </c>
      <c r="ITU84" s="145" t="s">
        <v>96</v>
      </c>
      <c r="ITX84" s="79">
        <f>ITX18+ITX24+ITX29+ITX30</f>
        <v>0</v>
      </c>
      <c r="ITY84" s="79">
        <f t="shared" si="159"/>
        <v>0</v>
      </c>
      <c r="ITZ84" s="79">
        <f t="shared" si="159"/>
        <v>0</v>
      </c>
      <c r="IUA84" s="79">
        <f t="shared" si="159"/>
        <v>0</v>
      </c>
      <c r="IUB84" s="79">
        <f t="shared" si="159"/>
        <v>0</v>
      </c>
      <c r="IUC84" s="79">
        <f t="shared" si="159"/>
        <v>0</v>
      </c>
      <c r="IUD84" s="79">
        <f t="shared" si="159"/>
        <v>0</v>
      </c>
      <c r="IUE84" s="79">
        <f t="shared" si="159"/>
        <v>0</v>
      </c>
      <c r="IUF84" s="79">
        <f t="shared" si="159"/>
        <v>0</v>
      </c>
      <c r="IUG84" s="79">
        <f t="shared" si="159"/>
        <v>0</v>
      </c>
      <c r="IUH84" s="79">
        <f t="shared" si="159"/>
        <v>0</v>
      </c>
      <c r="IUI84" s="79">
        <f t="shared" si="159"/>
        <v>0</v>
      </c>
      <c r="IUJ84" s="79">
        <f t="shared" si="159"/>
        <v>0</v>
      </c>
      <c r="IUK84" s="145" t="s">
        <v>96</v>
      </c>
      <c r="IUN84" s="79">
        <f>IUN18+IUN24+IUN29+IUN30</f>
        <v>0</v>
      </c>
      <c r="IUO84" s="79">
        <f t="shared" si="159"/>
        <v>0</v>
      </c>
      <c r="IUP84" s="79">
        <f t="shared" si="159"/>
        <v>0</v>
      </c>
      <c r="IUQ84" s="79">
        <f t="shared" si="159"/>
        <v>0</v>
      </c>
      <c r="IUR84" s="79">
        <f t="shared" si="159"/>
        <v>0</v>
      </c>
      <c r="IUS84" s="79">
        <f t="shared" si="159"/>
        <v>0</v>
      </c>
      <c r="IUT84" s="79">
        <f t="shared" si="159"/>
        <v>0</v>
      </c>
      <c r="IUU84" s="79">
        <f t="shared" si="159"/>
        <v>0</v>
      </c>
      <c r="IUV84" s="79">
        <f t="shared" si="159"/>
        <v>0</v>
      </c>
      <c r="IUW84" s="79">
        <f t="shared" si="159"/>
        <v>0</v>
      </c>
      <c r="IUX84" s="79">
        <f t="shared" si="159"/>
        <v>0</v>
      </c>
      <c r="IUY84" s="79">
        <f t="shared" si="159"/>
        <v>0</v>
      </c>
      <c r="IUZ84" s="79">
        <f t="shared" si="159"/>
        <v>0</v>
      </c>
      <c r="IVA84" s="145" t="s">
        <v>96</v>
      </c>
      <c r="IVD84" s="79">
        <f>IVD18+IVD24+IVD29+IVD30</f>
        <v>0</v>
      </c>
      <c r="IVE84" s="79">
        <f t="shared" ref="IVE84:IXL84" si="160">IVE18+IVE24+IVE29+IVE30</f>
        <v>0</v>
      </c>
      <c r="IVF84" s="79">
        <f t="shared" si="160"/>
        <v>0</v>
      </c>
      <c r="IVG84" s="79">
        <f t="shared" si="160"/>
        <v>0</v>
      </c>
      <c r="IVH84" s="79">
        <f t="shared" si="160"/>
        <v>0</v>
      </c>
      <c r="IVI84" s="79">
        <f t="shared" si="160"/>
        <v>0</v>
      </c>
      <c r="IVJ84" s="79">
        <f t="shared" si="160"/>
        <v>0</v>
      </c>
      <c r="IVK84" s="79">
        <f t="shared" si="160"/>
        <v>0</v>
      </c>
      <c r="IVL84" s="79">
        <f t="shared" si="160"/>
        <v>0</v>
      </c>
      <c r="IVM84" s="79">
        <f t="shared" si="160"/>
        <v>0</v>
      </c>
      <c r="IVN84" s="79">
        <f t="shared" si="160"/>
        <v>0</v>
      </c>
      <c r="IVO84" s="79">
        <f t="shared" si="160"/>
        <v>0</v>
      </c>
      <c r="IVP84" s="79">
        <f t="shared" si="160"/>
        <v>0</v>
      </c>
      <c r="IVQ84" s="145" t="s">
        <v>96</v>
      </c>
      <c r="IVT84" s="79">
        <f>IVT18+IVT24+IVT29+IVT30</f>
        <v>0</v>
      </c>
      <c r="IVU84" s="79">
        <f t="shared" si="160"/>
        <v>0</v>
      </c>
      <c r="IVV84" s="79">
        <f t="shared" si="160"/>
        <v>0</v>
      </c>
      <c r="IVW84" s="79">
        <f t="shared" si="160"/>
        <v>0</v>
      </c>
      <c r="IVX84" s="79">
        <f t="shared" si="160"/>
        <v>0</v>
      </c>
      <c r="IVY84" s="79">
        <f t="shared" si="160"/>
        <v>0</v>
      </c>
      <c r="IVZ84" s="79">
        <f t="shared" si="160"/>
        <v>0</v>
      </c>
      <c r="IWA84" s="79">
        <f t="shared" si="160"/>
        <v>0</v>
      </c>
      <c r="IWB84" s="79">
        <f t="shared" si="160"/>
        <v>0</v>
      </c>
      <c r="IWC84" s="79">
        <f t="shared" si="160"/>
        <v>0</v>
      </c>
      <c r="IWD84" s="79">
        <f t="shared" si="160"/>
        <v>0</v>
      </c>
      <c r="IWE84" s="79">
        <f t="shared" si="160"/>
        <v>0</v>
      </c>
      <c r="IWF84" s="79">
        <f t="shared" si="160"/>
        <v>0</v>
      </c>
      <c r="IWG84" s="145" t="s">
        <v>96</v>
      </c>
      <c r="IWJ84" s="79">
        <f>IWJ18+IWJ24+IWJ29+IWJ30</f>
        <v>0</v>
      </c>
      <c r="IWK84" s="79">
        <f t="shared" si="160"/>
        <v>0</v>
      </c>
      <c r="IWL84" s="79">
        <f t="shared" si="160"/>
        <v>0</v>
      </c>
      <c r="IWM84" s="79">
        <f t="shared" si="160"/>
        <v>0</v>
      </c>
      <c r="IWN84" s="79">
        <f t="shared" si="160"/>
        <v>0</v>
      </c>
      <c r="IWO84" s="79">
        <f t="shared" si="160"/>
        <v>0</v>
      </c>
      <c r="IWP84" s="79">
        <f t="shared" si="160"/>
        <v>0</v>
      </c>
      <c r="IWQ84" s="79">
        <f t="shared" si="160"/>
        <v>0</v>
      </c>
      <c r="IWR84" s="79">
        <f t="shared" si="160"/>
        <v>0</v>
      </c>
      <c r="IWS84" s="79">
        <f t="shared" si="160"/>
        <v>0</v>
      </c>
      <c r="IWT84" s="79">
        <f t="shared" si="160"/>
        <v>0</v>
      </c>
      <c r="IWU84" s="79">
        <f t="shared" si="160"/>
        <v>0</v>
      </c>
      <c r="IWV84" s="79">
        <f t="shared" si="160"/>
        <v>0</v>
      </c>
      <c r="IWW84" s="145" t="s">
        <v>96</v>
      </c>
      <c r="IWZ84" s="79">
        <f>IWZ18+IWZ24+IWZ29+IWZ30</f>
        <v>0</v>
      </c>
      <c r="IXA84" s="79">
        <f t="shared" si="160"/>
        <v>0</v>
      </c>
      <c r="IXB84" s="79">
        <f t="shared" si="160"/>
        <v>0</v>
      </c>
      <c r="IXC84" s="79">
        <f t="shared" si="160"/>
        <v>0</v>
      </c>
      <c r="IXD84" s="79">
        <f t="shared" si="160"/>
        <v>0</v>
      </c>
      <c r="IXE84" s="79">
        <f t="shared" si="160"/>
        <v>0</v>
      </c>
      <c r="IXF84" s="79">
        <f t="shared" si="160"/>
        <v>0</v>
      </c>
      <c r="IXG84" s="79">
        <f t="shared" si="160"/>
        <v>0</v>
      </c>
      <c r="IXH84" s="79">
        <f t="shared" si="160"/>
        <v>0</v>
      </c>
      <c r="IXI84" s="79">
        <f t="shared" si="160"/>
        <v>0</v>
      </c>
      <c r="IXJ84" s="79">
        <f t="shared" si="160"/>
        <v>0</v>
      </c>
      <c r="IXK84" s="79">
        <f t="shared" si="160"/>
        <v>0</v>
      </c>
      <c r="IXL84" s="79">
        <f t="shared" si="160"/>
        <v>0</v>
      </c>
      <c r="IXM84" s="145" t="s">
        <v>96</v>
      </c>
      <c r="IXP84" s="79">
        <f>IXP18+IXP24+IXP29+IXP30</f>
        <v>0</v>
      </c>
      <c r="IXQ84" s="79">
        <f t="shared" ref="IXQ84:IZX84" si="161">IXQ18+IXQ24+IXQ29+IXQ30</f>
        <v>0</v>
      </c>
      <c r="IXR84" s="79">
        <f t="shared" si="161"/>
        <v>0</v>
      </c>
      <c r="IXS84" s="79">
        <f t="shared" si="161"/>
        <v>0</v>
      </c>
      <c r="IXT84" s="79">
        <f t="shared" si="161"/>
        <v>0</v>
      </c>
      <c r="IXU84" s="79">
        <f t="shared" si="161"/>
        <v>0</v>
      </c>
      <c r="IXV84" s="79">
        <f t="shared" si="161"/>
        <v>0</v>
      </c>
      <c r="IXW84" s="79">
        <f t="shared" si="161"/>
        <v>0</v>
      </c>
      <c r="IXX84" s="79">
        <f t="shared" si="161"/>
        <v>0</v>
      </c>
      <c r="IXY84" s="79">
        <f t="shared" si="161"/>
        <v>0</v>
      </c>
      <c r="IXZ84" s="79">
        <f t="shared" si="161"/>
        <v>0</v>
      </c>
      <c r="IYA84" s="79">
        <f t="shared" si="161"/>
        <v>0</v>
      </c>
      <c r="IYB84" s="79">
        <f t="shared" si="161"/>
        <v>0</v>
      </c>
      <c r="IYC84" s="145" t="s">
        <v>96</v>
      </c>
      <c r="IYF84" s="79">
        <f>IYF18+IYF24+IYF29+IYF30</f>
        <v>0</v>
      </c>
      <c r="IYG84" s="79">
        <f t="shared" si="161"/>
        <v>0</v>
      </c>
      <c r="IYH84" s="79">
        <f t="shared" si="161"/>
        <v>0</v>
      </c>
      <c r="IYI84" s="79">
        <f t="shared" si="161"/>
        <v>0</v>
      </c>
      <c r="IYJ84" s="79">
        <f t="shared" si="161"/>
        <v>0</v>
      </c>
      <c r="IYK84" s="79">
        <f t="shared" si="161"/>
        <v>0</v>
      </c>
      <c r="IYL84" s="79">
        <f t="shared" si="161"/>
        <v>0</v>
      </c>
      <c r="IYM84" s="79">
        <f t="shared" si="161"/>
        <v>0</v>
      </c>
      <c r="IYN84" s="79">
        <f t="shared" si="161"/>
        <v>0</v>
      </c>
      <c r="IYO84" s="79">
        <f t="shared" si="161"/>
        <v>0</v>
      </c>
      <c r="IYP84" s="79">
        <f t="shared" si="161"/>
        <v>0</v>
      </c>
      <c r="IYQ84" s="79">
        <f t="shared" si="161"/>
        <v>0</v>
      </c>
      <c r="IYR84" s="79">
        <f t="shared" si="161"/>
        <v>0</v>
      </c>
      <c r="IYS84" s="145" t="s">
        <v>96</v>
      </c>
      <c r="IYV84" s="79">
        <f>IYV18+IYV24+IYV29+IYV30</f>
        <v>0</v>
      </c>
      <c r="IYW84" s="79">
        <f t="shared" si="161"/>
        <v>0</v>
      </c>
      <c r="IYX84" s="79">
        <f t="shared" si="161"/>
        <v>0</v>
      </c>
      <c r="IYY84" s="79">
        <f t="shared" si="161"/>
        <v>0</v>
      </c>
      <c r="IYZ84" s="79">
        <f t="shared" si="161"/>
        <v>0</v>
      </c>
      <c r="IZA84" s="79">
        <f t="shared" si="161"/>
        <v>0</v>
      </c>
      <c r="IZB84" s="79">
        <f t="shared" si="161"/>
        <v>0</v>
      </c>
      <c r="IZC84" s="79">
        <f t="shared" si="161"/>
        <v>0</v>
      </c>
      <c r="IZD84" s="79">
        <f t="shared" si="161"/>
        <v>0</v>
      </c>
      <c r="IZE84" s="79">
        <f t="shared" si="161"/>
        <v>0</v>
      </c>
      <c r="IZF84" s="79">
        <f t="shared" si="161"/>
        <v>0</v>
      </c>
      <c r="IZG84" s="79">
        <f t="shared" si="161"/>
        <v>0</v>
      </c>
      <c r="IZH84" s="79">
        <f t="shared" si="161"/>
        <v>0</v>
      </c>
      <c r="IZI84" s="145" t="s">
        <v>96</v>
      </c>
      <c r="IZL84" s="79">
        <f>IZL18+IZL24+IZL29+IZL30</f>
        <v>0</v>
      </c>
      <c r="IZM84" s="79">
        <f t="shared" si="161"/>
        <v>0</v>
      </c>
      <c r="IZN84" s="79">
        <f t="shared" si="161"/>
        <v>0</v>
      </c>
      <c r="IZO84" s="79">
        <f t="shared" si="161"/>
        <v>0</v>
      </c>
      <c r="IZP84" s="79">
        <f t="shared" si="161"/>
        <v>0</v>
      </c>
      <c r="IZQ84" s="79">
        <f t="shared" si="161"/>
        <v>0</v>
      </c>
      <c r="IZR84" s="79">
        <f t="shared" si="161"/>
        <v>0</v>
      </c>
      <c r="IZS84" s="79">
        <f t="shared" si="161"/>
        <v>0</v>
      </c>
      <c r="IZT84" s="79">
        <f t="shared" si="161"/>
        <v>0</v>
      </c>
      <c r="IZU84" s="79">
        <f t="shared" si="161"/>
        <v>0</v>
      </c>
      <c r="IZV84" s="79">
        <f t="shared" si="161"/>
        <v>0</v>
      </c>
      <c r="IZW84" s="79">
        <f t="shared" si="161"/>
        <v>0</v>
      </c>
      <c r="IZX84" s="79">
        <f t="shared" si="161"/>
        <v>0</v>
      </c>
      <c r="IZY84" s="145" t="s">
        <v>96</v>
      </c>
      <c r="JAB84" s="79">
        <f>JAB18+JAB24+JAB29+JAB30</f>
        <v>0</v>
      </c>
      <c r="JAC84" s="79">
        <f t="shared" ref="JAC84:JCJ84" si="162">JAC18+JAC24+JAC29+JAC30</f>
        <v>0</v>
      </c>
      <c r="JAD84" s="79">
        <f t="shared" si="162"/>
        <v>0</v>
      </c>
      <c r="JAE84" s="79">
        <f t="shared" si="162"/>
        <v>0</v>
      </c>
      <c r="JAF84" s="79">
        <f t="shared" si="162"/>
        <v>0</v>
      </c>
      <c r="JAG84" s="79">
        <f t="shared" si="162"/>
        <v>0</v>
      </c>
      <c r="JAH84" s="79">
        <f t="shared" si="162"/>
        <v>0</v>
      </c>
      <c r="JAI84" s="79">
        <f t="shared" si="162"/>
        <v>0</v>
      </c>
      <c r="JAJ84" s="79">
        <f t="shared" si="162"/>
        <v>0</v>
      </c>
      <c r="JAK84" s="79">
        <f t="shared" si="162"/>
        <v>0</v>
      </c>
      <c r="JAL84" s="79">
        <f t="shared" si="162"/>
        <v>0</v>
      </c>
      <c r="JAM84" s="79">
        <f t="shared" si="162"/>
        <v>0</v>
      </c>
      <c r="JAN84" s="79">
        <f t="shared" si="162"/>
        <v>0</v>
      </c>
      <c r="JAO84" s="145" t="s">
        <v>96</v>
      </c>
      <c r="JAR84" s="79">
        <f>JAR18+JAR24+JAR29+JAR30</f>
        <v>0</v>
      </c>
      <c r="JAS84" s="79">
        <f t="shared" si="162"/>
        <v>0</v>
      </c>
      <c r="JAT84" s="79">
        <f t="shared" si="162"/>
        <v>0</v>
      </c>
      <c r="JAU84" s="79">
        <f t="shared" si="162"/>
        <v>0</v>
      </c>
      <c r="JAV84" s="79">
        <f t="shared" si="162"/>
        <v>0</v>
      </c>
      <c r="JAW84" s="79">
        <f t="shared" si="162"/>
        <v>0</v>
      </c>
      <c r="JAX84" s="79">
        <f t="shared" si="162"/>
        <v>0</v>
      </c>
      <c r="JAY84" s="79">
        <f t="shared" si="162"/>
        <v>0</v>
      </c>
      <c r="JAZ84" s="79">
        <f t="shared" si="162"/>
        <v>0</v>
      </c>
      <c r="JBA84" s="79">
        <f t="shared" si="162"/>
        <v>0</v>
      </c>
      <c r="JBB84" s="79">
        <f t="shared" si="162"/>
        <v>0</v>
      </c>
      <c r="JBC84" s="79">
        <f t="shared" si="162"/>
        <v>0</v>
      </c>
      <c r="JBD84" s="79">
        <f t="shared" si="162"/>
        <v>0</v>
      </c>
      <c r="JBE84" s="145" t="s">
        <v>96</v>
      </c>
      <c r="JBH84" s="79">
        <f>JBH18+JBH24+JBH29+JBH30</f>
        <v>0</v>
      </c>
      <c r="JBI84" s="79">
        <f t="shared" si="162"/>
        <v>0</v>
      </c>
      <c r="JBJ84" s="79">
        <f t="shared" si="162"/>
        <v>0</v>
      </c>
      <c r="JBK84" s="79">
        <f t="shared" si="162"/>
        <v>0</v>
      </c>
      <c r="JBL84" s="79">
        <f t="shared" si="162"/>
        <v>0</v>
      </c>
      <c r="JBM84" s="79">
        <f t="shared" si="162"/>
        <v>0</v>
      </c>
      <c r="JBN84" s="79">
        <f t="shared" si="162"/>
        <v>0</v>
      </c>
      <c r="JBO84" s="79">
        <f t="shared" si="162"/>
        <v>0</v>
      </c>
      <c r="JBP84" s="79">
        <f t="shared" si="162"/>
        <v>0</v>
      </c>
      <c r="JBQ84" s="79">
        <f t="shared" si="162"/>
        <v>0</v>
      </c>
      <c r="JBR84" s="79">
        <f t="shared" si="162"/>
        <v>0</v>
      </c>
      <c r="JBS84" s="79">
        <f t="shared" si="162"/>
        <v>0</v>
      </c>
      <c r="JBT84" s="79">
        <f t="shared" si="162"/>
        <v>0</v>
      </c>
      <c r="JBU84" s="145" t="s">
        <v>96</v>
      </c>
      <c r="JBX84" s="79">
        <f>JBX18+JBX24+JBX29+JBX30</f>
        <v>0</v>
      </c>
      <c r="JBY84" s="79">
        <f t="shared" si="162"/>
        <v>0</v>
      </c>
      <c r="JBZ84" s="79">
        <f t="shared" si="162"/>
        <v>0</v>
      </c>
      <c r="JCA84" s="79">
        <f t="shared" si="162"/>
        <v>0</v>
      </c>
      <c r="JCB84" s="79">
        <f t="shared" si="162"/>
        <v>0</v>
      </c>
      <c r="JCC84" s="79">
        <f t="shared" si="162"/>
        <v>0</v>
      </c>
      <c r="JCD84" s="79">
        <f t="shared" si="162"/>
        <v>0</v>
      </c>
      <c r="JCE84" s="79">
        <f t="shared" si="162"/>
        <v>0</v>
      </c>
      <c r="JCF84" s="79">
        <f t="shared" si="162"/>
        <v>0</v>
      </c>
      <c r="JCG84" s="79">
        <f t="shared" si="162"/>
        <v>0</v>
      </c>
      <c r="JCH84" s="79">
        <f t="shared" si="162"/>
        <v>0</v>
      </c>
      <c r="JCI84" s="79">
        <f t="shared" si="162"/>
        <v>0</v>
      </c>
      <c r="JCJ84" s="79">
        <f t="shared" si="162"/>
        <v>0</v>
      </c>
      <c r="JCK84" s="145" t="s">
        <v>96</v>
      </c>
      <c r="JCN84" s="79">
        <f>JCN18+JCN24+JCN29+JCN30</f>
        <v>0</v>
      </c>
      <c r="JCO84" s="79">
        <f t="shared" ref="JCO84:JEV84" si="163">JCO18+JCO24+JCO29+JCO30</f>
        <v>0</v>
      </c>
      <c r="JCP84" s="79">
        <f t="shared" si="163"/>
        <v>0</v>
      </c>
      <c r="JCQ84" s="79">
        <f t="shared" si="163"/>
        <v>0</v>
      </c>
      <c r="JCR84" s="79">
        <f t="shared" si="163"/>
        <v>0</v>
      </c>
      <c r="JCS84" s="79">
        <f t="shared" si="163"/>
        <v>0</v>
      </c>
      <c r="JCT84" s="79">
        <f t="shared" si="163"/>
        <v>0</v>
      </c>
      <c r="JCU84" s="79">
        <f t="shared" si="163"/>
        <v>0</v>
      </c>
      <c r="JCV84" s="79">
        <f t="shared" si="163"/>
        <v>0</v>
      </c>
      <c r="JCW84" s="79">
        <f t="shared" si="163"/>
        <v>0</v>
      </c>
      <c r="JCX84" s="79">
        <f t="shared" si="163"/>
        <v>0</v>
      </c>
      <c r="JCY84" s="79">
        <f t="shared" si="163"/>
        <v>0</v>
      </c>
      <c r="JCZ84" s="79">
        <f t="shared" si="163"/>
        <v>0</v>
      </c>
      <c r="JDA84" s="145" t="s">
        <v>96</v>
      </c>
      <c r="JDD84" s="79">
        <f>JDD18+JDD24+JDD29+JDD30</f>
        <v>0</v>
      </c>
      <c r="JDE84" s="79">
        <f t="shared" si="163"/>
        <v>0</v>
      </c>
      <c r="JDF84" s="79">
        <f t="shared" si="163"/>
        <v>0</v>
      </c>
      <c r="JDG84" s="79">
        <f t="shared" si="163"/>
        <v>0</v>
      </c>
      <c r="JDH84" s="79">
        <f t="shared" si="163"/>
        <v>0</v>
      </c>
      <c r="JDI84" s="79">
        <f t="shared" si="163"/>
        <v>0</v>
      </c>
      <c r="JDJ84" s="79">
        <f t="shared" si="163"/>
        <v>0</v>
      </c>
      <c r="JDK84" s="79">
        <f t="shared" si="163"/>
        <v>0</v>
      </c>
      <c r="JDL84" s="79">
        <f t="shared" si="163"/>
        <v>0</v>
      </c>
      <c r="JDM84" s="79">
        <f t="shared" si="163"/>
        <v>0</v>
      </c>
      <c r="JDN84" s="79">
        <f t="shared" si="163"/>
        <v>0</v>
      </c>
      <c r="JDO84" s="79">
        <f t="shared" si="163"/>
        <v>0</v>
      </c>
      <c r="JDP84" s="79">
        <f t="shared" si="163"/>
        <v>0</v>
      </c>
      <c r="JDQ84" s="145" t="s">
        <v>96</v>
      </c>
      <c r="JDT84" s="79">
        <f>JDT18+JDT24+JDT29+JDT30</f>
        <v>0</v>
      </c>
      <c r="JDU84" s="79">
        <f t="shared" si="163"/>
        <v>0</v>
      </c>
      <c r="JDV84" s="79">
        <f t="shared" si="163"/>
        <v>0</v>
      </c>
      <c r="JDW84" s="79">
        <f t="shared" si="163"/>
        <v>0</v>
      </c>
      <c r="JDX84" s="79">
        <f t="shared" si="163"/>
        <v>0</v>
      </c>
      <c r="JDY84" s="79">
        <f t="shared" si="163"/>
        <v>0</v>
      </c>
      <c r="JDZ84" s="79">
        <f t="shared" si="163"/>
        <v>0</v>
      </c>
      <c r="JEA84" s="79">
        <f t="shared" si="163"/>
        <v>0</v>
      </c>
      <c r="JEB84" s="79">
        <f t="shared" si="163"/>
        <v>0</v>
      </c>
      <c r="JEC84" s="79">
        <f t="shared" si="163"/>
        <v>0</v>
      </c>
      <c r="JED84" s="79">
        <f t="shared" si="163"/>
        <v>0</v>
      </c>
      <c r="JEE84" s="79">
        <f t="shared" si="163"/>
        <v>0</v>
      </c>
      <c r="JEF84" s="79">
        <f t="shared" si="163"/>
        <v>0</v>
      </c>
      <c r="JEG84" s="145" t="s">
        <v>96</v>
      </c>
      <c r="JEJ84" s="79">
        <f>JEJ18+JEJ24+JEJ29+JEJ30</f>
        <v>0</v>
      </c>
      <c r="JEK84" s="79">
        <f t="shared" si="163"/>
        <v>0</v>
      </c>
      <c r="JEL84" s="79">
        <f t="shared" si="163"/>
        <v>0</v>
      </c>
      <c r="JEM84" s="79">
        <f t="shared" si="163"/>
        <v>0</v>
      </c>
      <c r="JEN84" s="79">
        <f t="shared" si="163"/>
        <v>0</v>
      </c>
      <c r="JEO84" s="79">
        <f t="shared" si="163"/>
        <v>0</v>
      </c>
      <c r="JEP84" s="79">
        <f t="shared" si="163"/>
        <v>0</v>
      </c>
      <c r="JEQ84" s="79">
        <f t="shared" si="163"/>
        <v>0</v>
      </c>
      <c r="JER84" s="79">
        <f t="shared" si="163"/>
        <v>0</v>
      </c>
      <c r="JES84" s="79">
        <f t="shared" si="163"/>
        <v>0</v>
      </c>
      <c r="JET84" s="79">
        <f t="shared" si="163"/>
        <v>0</v>
      </c>
      <c r="JEU84" s="79">
        <f t="shared" si="163"/>
        <v>0</v>
      </c>
      <c r="JEV84" s="79">
        <f t="shared" si="163"/>
        <v>0</v>
      </c>
      <c r="JEW84" s="145" t="s">
        <v>96</v>
      </c>
      <c r="JEZ84" s="79">
        <f>JEZ18+JEZ24+JEZ29+JEZ30</f>
        <v>0</v>
      </c>
      <c r="JFA84" s="79">
        <f t="shared" ref="JFA84:JHH84" si="164">JFA18+JFA24+JFA29+JFA30</f>
        <v>0</v>
      </c>
      <c r="JFB84" s="79">
        <f t="shared" si="164"/>
        <v>0</v>
      </c>
      <c r="JFC84" s="79">
        <f t="shared" si="164"/>
        <v>0</v>
      </c>
      <c r="JFD84" s="79">
        <f t="shared" si="164"/>
        <v>0</v>
      </c>
      <c r="JFE84" s="79">
        <f t="shared" si="164"/>
        <v>0</v>
      </c>
      <c r="JFF84" s="79">
        <f t="shared" si="164"/>
        <v>0</v>
      </c>
      <c r="JFG84" s="79">
        <f t="shared" si="164"/>
        <v>0</v>
      </c>
      <c r="JFH84" s="79">
        <f t="shared" si="164"/>
        <v>0</v>
      </c>
      <c r="JFI84" s="79">
        <f t="shared" si="164"/>
        <v>0</v>
      </c>
      <c r="JFJ84" s="79">
        <f t="shared" si="164"/>
        <v>0</v>
      </c>
      <c r="JFK84" s="79">
        <f t="shared" si="164"/>
        <v>0</v>
      </c>
      <c r="JFL84" s="79">
        <f t="shared" si="164"/>
        <v>0</v>
      </c>
      <c r="JFM84" s="145" t="s">
        <v>96</v>
      </c>
      <c r="JFP84" s="79">
        <f>JFP18+JFP24+JFP29+JFP30</f>
        <v>0</v>
      </c>
      <c r="JFQ84" s="79">
        <f t="shared" si="164"/>
        <v>0</v>
      </c>
      <c r="JFR84" s="79">
        <f t="shared" si="164"/>
        <v>0</v>
      </c>
      <c r="JFS84" s="79">
        <f t="shared" si="164"/>
        <v>0</v>
      </c>
      <c r="JFT84" s="79">
        <f t="shared" si="164"/>
        <v>0</v>
      </c>
      <c r="JFU84" s="79">
        <f t="shared" si="164"/>
        <v>0</v>
      </c>
      <c r="JFV84" s="79">
        <f t="shared" si="164"/>
        <v>0</v>
      </c>
      <c r="JFW84" s="79">
        <f t="shared" si="164"/>
        <v>0</v>
      </c>
      <c r="JFX84" s="79">
        <f t="shared" si="164"/>
        <v>0</v>
      </c>
      <c r="JFY84" s="79">
        <f t="shared" si="164"/>
        <v>0</v>
      </c>
      <c r="JFZ84" s="79">
        <f t="shared" si="164"/>
        <v>0</v>
      </c>
      <c r="JGA84" s="79">
        <f t="shared" si="164"/>
        <v>0</v>
      </c>
      <c r="JGB84" s="79">
        <f t="shared" si="164"/>
        <v>0</v>
      </c>
      <c r="JGC84" s="145" t="s">
        <v>96</v>
      </c>
      <c r="JGF84" s="79">
        <f>JGF18+JGF24+JGF29+JGF30</f>
        <v>0</v>
      </c>
      <c r="JGG84" s="79">
        <f t="shared" si="164"/>
        <v>0</v>
      </c>
      <c r="JGH84" s="79">
        <f t="shared" si="164"/>
        <v>0</v>
      </c>
      <c r="JGI84" s="79">
        <f t="shared" si="164"/>
        <v>0</v>
      </c>
      <c r="JGJ84" s="79">
        <f t="shared" si="164"/>
        <v>0</v>
      </c>
      <c r="JGK84" s="79">
        <f t="shared" si="164"/>
        <v>0</v>
      </c>
      <c r="JGL84" s="79">
        <f t="shared" si="164"/>
        <v>0</v>
      </c>
      <c r="JGM84" s="79">
        <f t="shared" si="164"/>
        <v>0</v>
      </c>
      <c r="JGN84" s="79">
        <f t="shared" si="164"/>
        <v>0</v>
      </c>
      <c r="JGO84" s="79">
        <f t="shared" si="164"/>
        <v>0</v>
      </c>
      <c r="JGP84" s="79">
        <f t="shared" si="164"/>
        <v>0</v>
      </c>
      <c r="JGQ84" s="79">
        <f t="shared" si="164"/>
        <v>0</v>
      </c>
      <c r="JGR84" s="79">
        <f t="shared" si="164"/>
        <v>0</v>
      </c>
      <c r="JGS84" s="145" t="s">
        <v>96</v>
      </c>
      <c r="JGV84" s="79">
        <f>JGV18+JGV24+JGV29+JGV30</f>
        <v>0</v>
      </c>
      <c r="JGW84" s="79">
        <f t="shared" si="164"/>
        <v>0</v>
      </c>
      <c r="JGX84" s="79">
        <f t="shared" si="164"/>
        <v>0</v>
      </c>
      <c r="JGY84" s="79">
        <f t="shared" si="164"/>
        <v>0</v>
      </c>
      <c r="JGZ84" s="79">
        <f t="shared" si="164"/>
        <v>0</v>
      </c>
      <c r="JHA84" s="79">
        <f t="shared" si="164"/>
        <v>0</v>
      </c>
      <c r="JHB84" s="79">
        <f t="shared" si="164"/>
        <v>0</v>
      </c>
      <c r="JHC84" s="79">
        <f t="shared" si="164"/>
        <v>0</v>
      </c>
      <c r="JHD84" s="79">
        <f t="shared" si="164"/>
        <v>0</v>
      </c>
      <c r="JHE84" s="79">
        <f t="shared" si="164"/>
        <v>0</v>
      </c>
      <c r="JHF84" s="79">
        <f t="shared" si="164"/>
        <v>0</v>
      </c>
      <c r="JHG84" s="79">
        <f t="shared" si="164"/>
        <v>0</v>
      </c>
      <c r="JHH84" s="79">
        <f t="shared" si="164"/>
        <v>0</v>
      </c>
      <c r="JHI84" s="145" t="s">
        <v>96</v>
      </c>
      <c r="JHL84" s="79">
        <f>JHL18+JHL24+JHL29+JHL30</f>
        <v>0</v>
      </c>
      <c r="JHM84" s="79">
        <f t="shared" ref="JHM84:JJT84" si="165">JHM18+JHM24+JHM29+JHM30</f>
        <v>0</v>
      </c>
      <c r="JHN84" s="79">
        <f t="shared" si="165"/>
        <v>0</v>
      </c>
      <c r="JHO84" s="79">
        <f t="shared" si="165"/>
        <v>0</v>
      </c>
      <c r="JHP84" s="79">
        <f t="shared" si="165"/>
        <v>0</v>
      </c>
      <c r="JHQ84" s="79">
        <f t="shared" si="165"/>
        <v>0</v>
      </c>
      <c r="JHR84" s="79">
        <f t="shared" si="165"/>
        <v>0</v>
      </c>
      <c r="JHS84" s="79">
        <f t="shared" si="165"/>
        <v>0</v>
      </c>
      <c r="JHT84" s="79">
        <f t="shared" si="165"/>
        <v>0</v>
      </c>
      <c r="JHU84" s="79">
        <f t="shared" si="165"/>
        <v>0</v>
      </c>
      <c r="JHV84" s="79">
        <f t="shared" si="165"/>
        <v>0</v>
      </c>
      <c r="JHW84" s="79">
        <f t="shared" si="165"/>
        <v>0</v>
      </c>
      <c r="JHX84" s="79">
        <f t="shared" si="165"/>
        <v>0</v>
      </c>
      <c r="JHY84" s="145" t="s">
        <v>96</v>
      </c>
      <c r="JIB84" s="79">
        <f>JIB18+JIB24+JIB29+JIB30</f>
        <v>0</v>
      </c>
      <c r="JIC84" s="79">
        <f t="shared" si="165"/>
        <v>0</v>
      </c>
      <c r="JID84" s="79">
        <f t="shared" si="165"/>
        <v>0</v>
      </c>
      <c r="JIE84" s="79">
        <f t="shared" si="165"/>
        <v>0</v>
      </c>
      <c r="JIF84" s="79">
        <f t="shared" si="165"/>
        <v>0</v>
      </c>
      <c r="JIG84" s="79">
        <f t="shared" si="165"/>
        <v>0</v>
      </c>
      <c r="JIH84" s="79">
        <f t="shared" si="165"/>
        <v>0</v>
      </c>
      <c r="JII84" s="79">
        <f t="shared" si="165"/>
        <v>0</v>
      </c>
      <c r="JIJ84" s="79">
        <f t="shared" si="165"/>
        <v>0</v>
      </c>
      <c r="JIK84" s="79">
        <f t="shared" si="165"/>
        <v>0</v>
      </c>
      <c r="JIL84" s="79">
        <f t="shared" si="165"/>
        <v>0</v>
      </c>
      <c r="JIM84" s="79">
        <f t="shared" si="165"/>
        <v>0</v>
      </c>
      <c r="JIN84" s="79">
        <f t="shared" si="165"/>
        <v>0</v>
      </c>
      <c r="JIO84" s="145" t="s">
        <v>96</v>
      </c>
      <c r="JIR84" s="79">
        <f>JIR18+JIR24+JIR29+JIR30</f>
        <v>0</v>
      </c>
      <c r="JIS84" s="79">
        <f t="shared" si="165"/>
        <v>0</v>
      </c>
      <c r="JIT84" s="79">
        <f t="shared" si="165"/>
        <v>0</v>
      </c>
      <c r="JIU84" s="79">
        <f t="shared" si="165"/>
        <v>0</v>
      </c>
      <c r="JIV84" s="79">
        <f t="shared" si="165"/>
        <v>0</v>
      </c>
      <c r="JIW84" s="79">
        <f t="shared" si="165"/>
        <v>0</v>
      </c>
      <c r="JIX84" s="79">
        <f t="shared" si="165"/>
        <v>0</v>
      </c>
      <c r="JIY84" s="79">
        <f t="shared" si="165"/>
        <v>0</v>
      </c>
      <c r="JIZ84" s="79">
        <f t="shared" si="165"/>
        <v>0</v>
      </c>
      <c r="JJA84" s="79">
        <f t="shared" si="165"/>
        <v>0</v>
      </c>
      <c r="JJB84" s="79">
        <f t="shared" si="165"/>
        <v>0</v>
      </c>
      <c r="JJC84" s="79">
        <f t="shared" si="165"/>
        <v>0</v>
      </c>
      <c r="JJD84" s="79">
        <f t="shared" si="165"/>
        <v>0</v>
      </c>
      <c r="JJE84" s="145" t="s">
        <v>96</v>
      </c>
      <c r="JJH84" s="79">
        <f>JJH18+JJH24+JJH29+JJH30</f>
        <v>0</v>
      </c>
      <c r="JJI84" s="79">
        <f t="shared" si="165"/>
        <v>0</v>
      </c>
      <c r="JJJ84" s="79">
        <f t="shared" si="165"/>
        <v>0</v>
      </c>
      <c r="JJK84" s="79">
        <f t="shared" si="165"/>
        <v>0</v>
      </c>
      <c r="JJL84" s="79">
        <f t="shared" si="165"/>
        <v>0</v>
      </c>
      <c r="JJM84" s="79">
        <f t="shared" si="165"/>
        <v>0</v>
      </c>
      <c r="JJN84" s="79">
        <f t="shared" si="165"/>
        <v>0</v>
      </c>
      <c r="JJO84" s="79">
        <f t="shared" si="165"/>
        <v>0</v>
      </c>
      <c r="JJP84" s="79">
        <f t="shared" si="165"/>
        <v>0</v>
      </c>
      <c r="JJQ84" s="79">
        <f t="shared" si="165"/>
        <v>0</v>
      </c>
      <c r="JJR84" s="79">
        <f t="shared" si="165"/>
        <v>0</v>
      </c>
      <c r="JJS84" s="79">
        <f t="shared" si="165"/>
        <v>0</v>
      </c>
      <c r="JJT84" s="79">
        <f t="shared" si="165"/>
        <v>0</v>
      </c>
      <c r="JJU84" s="145" t="s">
        <v>96</v>
      </c>
      <c r="JJX84" s="79">
        <f>JJX18+JJX24+JJX29+JJX30</f>
        <v>0</v>
      </c>
      <c r="JJY84" s="79">
        <f t="shared" ref="JJY84:JMF84" si="166">JJY18+JJY24+JJY29+JJY30</f>
        <v>0</v>
      </c>
      <c r="JJZ84" s="79">
        <f t="shared" si="166"/>
        <v>0</v>
      </c>
      <c r="JKA84" s="79">
        <f t="shared" si="166"/>
        <v>0</v>
      </c>
      <c r="JKB84" s="79">
        <f t="shared" si="166"/>
        <v>0</v>
      </c>
      <c r="JKC84" s="79">
        <f t="shared" si="166"/>
        <v>0</v>
      </c>
      <c r="JKD84" s="79">
        <f t="shared" si="166"/>
        <v>0</v>
      </c>
      <c r="JKE84" s="79">
        <f t="shared" si="166"/>
        <v>0</v>
      </c>
      <c r="JKF84" s="79">
        <f t="shared" si="166"/>
        <v>0</v>
      </c>
      <c r="JKG84" s="79">
        <f t="shared" si="166"/>
        <v>0</v>
      </c>
      <c r="JKH84" s="79">
        <f t="shared" si="166"/>
        <v>0</v>
      </c>
      <c r="JKI84" s="79">
        <f t="shared" si="166"/>
        <v>0</v>
      </c>
      <c r="JKJ84" s="79">
        <f t="shared" si="166"/>
        <v>0</v>
      </c>
      <c r="JKK84" s="145" t="s">
        <v>96</v>
      </c>
      <c r="JKN84" s="79">
        <f>JKN18+JKN24+JKN29+JKN30</f>
        <v>0</v>
      </c>
      <c r="JKO84" s="79">
        <f t="shared" si="166"/>
        <v>0</v>
      </c>
      <c r="JKP84" s="79">
        <f t="shared" si="166"/>
        <v>0</v>
      </c>
      <c r="JKQ84" s="79">
        <f t="shared" si="166"/>
        <v>0</v>
      </c>
      <c r="JKR84" s="79">
        <f t="shared" si="166"/>
        <v>0</v>
      </c>
      <c r="JKS84" s="79">
        <f t="shared" si="166"/>
        <v>0</v>
      </c>
      <c r="JKT84" s="79">
        <f t="shared" si="166"/>
        <v>0</v>
      </c>
      <c r="JKU84" s="79">
        <f t="shared" si="166"/>
        <v>0</v>
      </c>
      <c r="JKV84" s="79">
        <f t="shared" si="166"/>
        <v>0</v>
      </c>
      <c r="JKW84" s="79">
        <f t="shared" si="166"/>
        <v>0</v>
      </c>
      <c r="JKX84" s="79">
        <f t="shared" si="166"/>
        <v>0</v>
      </c>
      <c r="JKY84" s="79">
        <f t="shared" si="166"/>
        <v>0</v>
      </c>
      <c r="JKZ84" s="79">
        <f t="shared" si="166"/>
        <v>0</v>
      </c>
      <c r="JLA84" s="145" t="s">
        <v>96</v>
      </c>
      <c r="JLD84" s="79">
        <f>JLD18+JLD24+JLD29+JLD30</f>
        <v>0</v>
      </c>
      <c r="JLE84" s="79">
        <f t="shared" si="166"/>
        <v>0</v>
      </c>
      <c r="JLF84" s="79">
        <f t="shared" si="166"/>
        <v>0</v>
      </c>
      <c r="JLG84" s="79">
        <f t="shared" si="166"/>
        <v>0</v>
      </c>
      <c r="JLH84" s="79">
        <f t="shared" si="166"/>
        <v>0</v>
      </c>
      <c r="JLI84" s="79">
        <f t="shared" si="166"/>
        <v>0</v>
      </c>
      <c r="JLJ84" s="79">
        <f t="shared" si="166"/>
        <v>0</v>
      </c>
      <c r="JLK84" s="79">
        <f t="shared" si="166"/>
        <v>0</v>
      </c>
      <c r="JLL84" s="79">
        <f t="shared" si="166"/>
        <v>0</v>
      </c>
      <c r="JLM84" s="79">
        <f t="shared" si="166"/>
        <v>0</v>
      </c>
      <c r="JLN84" s="79">
        <f t="shared" si="166"/>
        <v>0</v>
      </c>
      <c r="JLO84" s="79">
        <f t="shared" si="166"/>
        <v>0</v>
      </c>
      <c r="JLP84" s="79">
        <f t="shared" si="166"/>
        <v>0</v>
      </c>
      <c r="JLQ84" s="145" t="s">
        <v>96</v>
      </c>
      <c r="JLT84" s="79">
        <f>JLT18+JLT24+JLT29+JLT30</f>
        <v>0</v>
      </c>
      <c r="JLU84" s="79">
        <f t="shared" si="166"/>
        <v>0</v>
      </c>
      <c r="JLV84" s="79">
        <f t="shared" si="166"/>
        <v>0</v>
      </c>
      <c r="JLW84" s="79">
        <f t="shared" si="166"/>
        <v>0</v>
      </c>
      <c r="JLX84" s="79">
        <f t="shared" si="166"/>
        <v>0</v>
      </c>
      <c r="JLY84" s="79">
        <f t="shared" si="166"/>
        <v>0</v>
      </c>
      <c r="JLZ84" s="79">
        <f t="shared" si="166"/>
        <v>0</v>
      </c>
      <c r="JMA84" s="79">
        <f t="shared" si="166"/>
        <v>0</v>
      </c>
      <c r="JMB84" s="79">
        <f t="shared" si="166"/>
        <v>0</v>
      </c>
      <c r="JMC84" s="79">
        <f t="shared" si="166"/>
        <v>0</v>
      </c>
      <c r="JMD84" s="79">
        <f t="shared" si="166"/>
        <v>0</v>
      </c>
      <c r="JME84" s="79">
        <f t="shared" si="166"/>
        <v>0</v>
      </c>
      <c r="JMF84" s="79">
        <f t="shared" si="166"/>
        <v>0</v>
      </c>
      <c r="JMG84" s="145" t="s">
        <v>96</v>
      </c>
      <c r="JMJ84" s="79">
        <f>JMJ18+JMJ24+JMJ29+JMJ30</f>
        <v>0</v>
      </c>
      <c r="JMK84" s="79">
        <f t="shared" ref="JMK84:JOR84" si="167">JMK18+JMK24+JMK29+JMK30</f>
        <v>0</v>
      </c>
      <c r="JML84" s="79">
        <f t="shared" si="167"/>
        <v>0</v>
      </c>
      <c r="JMM84" s="79">
        <f t="shared" si="167"/>
        <v>0</v>
      </c>
      <c r="JMN84" s="79">
        <f t="shared" si="167"/>
        <v>0</v>
      </c>
      <c r="JMO84" s="79">
        <f t="shared" si="167"/>
        <v>0</v>
      </c>
      <c r="JMP84" s="79">
        <f t="shared" si="167"/>
        <v>0</v>
      </c>
      <c r="JMQ84" s="79">
        <f t="shared" si="167"/>
        <v>0</v>
      </c>
      <c r="JMR84" s="79">
        <f t="shared" si="167"/>
        <v>0</v>
      </c>
      <c r="JMS84" s="79">
        <f t="shared" si="167"/>
        <v>0</v>
      </c>
      <c r="JMT84" s="79">
        <f t="shared" si="167"/>
        <v>0</v>
      </c>
      <c r="JMU84" s="79">
        <f t="shared" si="167"/>
        <v>0</v>
      </c>
      <c r="JMV84" s="79">
        <f t="shared" si="167"/>
        <v>0</v>
      </c>
      <c r="JMW84" s="145" t="s">
        <v>96</v>
      </c>
      <c r="JMZ84" s="79">
        <f>JMZ18+JMZ24+JMZ29+JMZ30</f>
        <v>0</v>
      </c>
      <c r="JNA84" s="79">
        <f t="shared" si="167"/>
        <v>0</v>
      </c>
      <c r="JNB84" s="79">
        <f t="shared" si="167"/>
        <v>0</v>
      </c>
      <c r="JNC84" s="79">
        <f t="shared" si="167"/>
        <v>0</v>
      </c>
      <c r="JND84" s="79">
        <f t="shared" si="167"/>
        <v>0</v>
      </c>
      <c r="JNE84" s="79">
        <f t="shared" si="167"/>
        <v>0</v>
      </c>
      <c r="JNF84" s="79">
        <f t="shared" si="167"/>
        <v>0</v>
      </c>
      <c r="JNG84" s="79">
        <f t="shared" si="167"/>
        <v>0</v>
      </c>
      <c r="JNH84" s="79">
        <f t="shared" si="167"/>
        <v>0</v>
      </c>
      <c r="JNI84" s="79">
        <f t="shared" si="167"/>
        <v>0</v>
      </c>
      <c r="JNJ84" s="79">
        <f t="shared" si="167"/>
        <v>0</v>
      </c>
      <c r="JNK84" s="79">
        <f t="shared" si="167"/>
        <v>0</v>
      </c>
      <c r="JNL84" s="79">
        <f t="shared" si="167"/>
        <v>0</v>
      </c>
      <c r="JNM84" s="145" t="s">
        <v>96</v>
      </c>
      <c r="JNP84" s="79">
        <f>JNP18+JNP24+JNP29+JNP30</f>
        <v>0</v>
      </c>
      <c r="JNQ84" s="79">
        <f t="shared" si="167"/>
        <v>0</v>
      </c>
      <c r="JNR84" s="79">
        <f t="shared" si="167"/>
        <v>0</v>
      </c>
      <c r="JNS84" s="79">
        <f t="shared" si="167"/>
        <v>0</v>
      </c>
      <c r="JNT84" s="79">
        <f t="shared" si="167"/>
        <v>0</v>
      </c>
      <c r="JNU84" s="79">
        <f t="shared" si="167"/>
        <v>0</v>
      </c>
      <c r="JNV84" s="79">
        <f t="shared" si="167"/>
        <v>0</v>
      </c>
      <c r="JNW84" s="79">
        <f t="shared" si="167"/>
        <v>0</v>
      </c>
      <c r="JNX84" s="79">
        <f t="shared" si="167"/>
        <v>0</v>
      </c>
      <c r="JNY84" s="79">
        <f t="shared" si="167"/>
        <v>0</v>
      </c>
      <c r="JNZ84" s="79">
        <f t="shared" si="167"/>
        <v>0</v>
      </c>
      <c r="JOA84" s="79">
        <f t="shared" si="167"/>
        <v>0</v>
      </c>
      <c r="JOB84" s="79">
        <f t="shared" si="167"/>
        <v>0</v>
      </c>
      <c r="JOC84" s="145" t="s">
        <v>96</v>
      </c>
      <c r="JOF84" s="79">
        <f>JOF18+JOF24+JOF29+JOF30</f>
        <v>0</v>
      </c>
      <c r="JOG84" s="79">
        <f t="shared" si="167"/>
        <v>0</v>
      </c>
      <c r="JOH84" s="79">
        <f t="shared" si="167"/>
        <v>0</v>
      </c>
      <c r="JOI84" s="79">
        <f t="shared" si="167"/>
        <v>0</v>
      </c>
      <c r="JOJ84" s="79">
        <f t="shared" si="167"/>
        <v>0</v>
      </c>
      <c r="JOK84" s="79">
        <f t="shared" si="167"/>
        <v>0</v>
      </c>
      <c r="JOL84" s="79">
        <f t="shared" si="167"/>
        <v>0</v>
      </c>
      <c r="JOM84" s="79">
        <f t="shared" si="167"/>
        <v>0</v>
      </c>
      <c r="JON84" s="79">
        <f t="shared" si="167"/>
        <v>0</v>
      </c>
      <c r="JOO84" s="79">
        <f t="shared" si="167"/>
        <v>0</v>
      </c>
      <c r="JOP84" s="79">
        <f t="shared" si="167"/>
        <v>0</v>
      </c>
      <c r="JOQ84" s="79">
        <f t="shared" si="167"/>
        <v>0</v>
      </c>
      <c r="JOR84" s="79">
        <f t="shared" si="167"/>
        <v>0</v>
      </c>
      <c r="JOS84" s="145" t="s">
        <v>96</v>
      </c>
      <c r="JOV84" s="79">
        <f>JOV18+JOV24+JOV29+JOV30</f>
        <v>0</v>
      </c>
      <c r="JOW84" s="79">
        <f t="shared" ref="JOW84:JRD84" si="168">JOW18+JOW24+JOW29+JOW30</f>
        <v>0</v>
      </c>
      <c r="JOX84" s="79">
        <f t="shared" si="168"/>
        <v>0</v>
      </c>
      <c r="JOY84" s="79">
        <f t="shared" si="168"/>
        <v>0</v>
      </c>
      <c r="JOZ84" s="79">
        <f t="shared" si="168"/>
        <v>0</v>
      </c>
      <c r="JPA84" s="79">
        <f t="shared" si="168"/>
        <v>0</v>
      </c>
      <c r="JPB84" s="79">
        <f t="shared" si="168"/>
        <v>0</v>
      </c>
      <c r="JPC84" s="79">
        <f t="shared" si="168"/>
        <v>0</v>
      </c>
      <c r="JPD84" s="79">
        <f t="shared" si="168"/>
        <v>0</v>
      </c>
      <c r="JPE84" s="79">
        <f t="shared" si="168"/>
        <v>0</v>
      </c>
      <c r="JPF84" s="79">
        <f t="shared" si="168"/>
        <v>0</v>
      </c>
      <c r="JPG84" s="79">
        <f t="shared" si="168"/>
        <v>0</v>
      </c>
      <c r="JPH84" s="79">
        <f t="shared" si="168"/>
        <v>0</v>
      </c>
      <c r="JPI84" s="145" t="s">
        <v>96</v>
      </c>
      <c r="JPL84" s="79">
        <f>JPL18+JPL24+JPL29+JPL30</f>
        <v>0</v>
      </c>
      <c r="JPM84" s="79">
        <f t="shared" si="168"/>
        <v>0</v>
      </c>
      <c r="JPN84" s="79">
        <f t="shared" si="168"/>
        <v>0</v>
      </c>
      <c r="JPO84" s="79">
        <f t="shared" si="168"/>
        <v>0</v>
      </c>
      <c r="JPP84" s="79">
        <f t="shared" si="168"/>
        <v>0</v>
      </c>
      <c r="JPQ84" s="79">
        <f t="shared" si="168"/>
        <v>0</v>
      </c>
      <c r="JPR84" s="79">
        <f t="shared" si="168"/>
        <v>0</v>
      </c>
      <c r="JPS84" s="79">
        <f t="shared" si="168"/>
        <v>0</v>
      </c>
      <c r="JPT84" s="79">
        <f t="shared" si="168"/>
        <v>0</v>
      </c>
      <c r="JPU84" s="79">
        <f t="shared" si="168"/>
        <v>0</v>
      </c>
      <c r="JPV84" s="79">
        <f t="shared" si="168"/>
        <v>0</v>
      </c>
      <c r="JPW84" s="79">
        <f t="shared" si="168"/>
        <v>0</v>
      </c>
      <c r="JPX84" s="79">
        <f t="shared" si="168"/>
        <v>0</v>
      </c>
      <c r="JPY84" s="145" t="s">
        <v>96</v>
      </c>
      <c r="JQB84" s="79">
        <f>JQB18+JQB24+JQB29+JQB30</f>
        <v>0</v>
      </c>
      <c r="JQC84" s="79">
        <f t="shared" si="168"/>
        <v>0</v>
      </c>
      <c r="JQD84" s="79">
        <f t="shared" si="168"/>
        <v>0</v>
      </c>
      <c r="JQE84" s="79">
        <f t="shared" si="168"/>
        <v>0</v>
      </c>
      <c r="JQF84" s="79">
        <f t="shared" si="168"/>
        <v>0</v>
      </c>
      <c r="JQG84" s="79">
        <f t="shared" si="168"/>
        <v>0</v>
      </c>
      <c r="JQH84" s="79">
        <f t="shared" si="168"/>
        <v>0</v>
      </c>
      <c r="JQI84" s="79">
        <f t="shared" si="168"/>
        <v>0</v>
      </c>
      <c r="JQJ84" s="79">
        <f t="shared" si="168"/>
        <v>0</v>
      </c>
      <c r="JQK84" s="79">
        <f t="shared" si="168"/>
        <v>0</v>
      </c>
      <c r="JQL84" s="79">
        <f t="shared" si="168"/>
        <v>0</v>
      </c>
      <c r="JQM84" s="79">
        <f t="shared" si="168"/>
        <v>0</v>
      </c>
      <c r="JQN84" s="79">
        <f t="shared" si="168"/>
        <v>0</v>
      </c>
      <c r="JQO84" s="145" t="s">
        <v>96</v>
      </c>
      <c r="JQR84" s="79">
        <f>JQR18+JQR24+JQR29+JQR30</f>
        <v>0</v>
      </c>
      <c r="JQS84" s="79">
        <f t="shared" si="168"/>
        <v>0</v>
      </c>
      <c r="JQT84" s="79">
        <f t="shared" si="168"/>
        <v>0</v>
      </c>
      <c r="JQU84" s="79">
        <f t="shared" si="168"/>
        <v>0</v>
      </c>
      <c r="JQV84" s="79">
        <f t="shared" si="168"/>
        <v>0</v>
      </c>
      <c r="JQW84" s="79">
        <f t="shared" si="168"/>
        <v>0</v>
      </c>
      <c r="JQX84" s="79">
        <f t="shared" si="168"/>
        <v>0</v>
      </c>
      <c r="JQY84" s="79">
        <f t="shared" si="168"/>
        <v>0</v>
      </c>
      <c r="JQZ84" s="79">
        <f t="shared" si="168"/>
        <v>0</v>
      </c>
      <c r="JRA84" s="79">
        <f t="shared" si="168"/>
        <v>0</v>
      </c>
      <c r="JRB84" s="79">
        <f t="shared" si="168"/>
        <v>0</v>
      </c>
      <c r="JRC84" s="79">
        <f t="shared" si="168"/>
        <v>0</v>
      </c>
      <c r="JRD84" s="79">
        <f t="shared" si="168"/>
        <v>0</v>
      </c>
      <c r="JRE84" s="145" t="s">
        <v>96</v>
      </c>
      <c r="JRH84" s="79">
        <f>JRH18+JRH24+JRH29+JRH30</f>
        <v>0</v>
      </c>
      <c r="JRI84" s="79">
        <f t="shared" ref="JRI84:JTP84" si="169">JRI18+JRI24+JRI29+JRI30</f>
        <v>0</v>
      </c>
      <c r="JRJ84" s="79">
        <f t="shared" si="169"/>
        <v>0</v>
      </c>
      <c r="JRK84" s="79">
        <f t="shared" si="169"/>
        <v>0</v>
      </c>
      <c r="JRL84" s="79">
        <f t="shared" si="169"/>
        <v>0</v>
      </c>
      <c r="JRM84" s="79">
        <f t="shared" si="169"/>
        <v>0</v>
      </c>
      <c r="JRN84" s="79">
        <f t="shared" si="169"/>
        <v>0</v>
      </c>
      <c r="JRO84" s="79">
        <f t="shared" si="169"/>
        <v>0</v>
      </c>
      <c r="JRP84" s="79">
        <f t="shared" si="169"/>
        <v>0</v>
      </c>
      <c r="JRQ84" s="79">
        <f t="shared" si="169"/>
        <v>0</v>
      </c>
      <c r="JRR84" s="79">
        <f t="shared" si="169"/>
        <v>0</v>
      </c>
      <c r="JRS84" s="79">
        <f t="shared" si="169"/>
        <v>0</v>
      </c>
      <c r="JRT84" s="79">
        <f t="shared" si="169"/>
        <v>0</v>
      </c>
      <c r="JRU84" s="145" t="s">
        <v>96</v>
      </c>
      <c r="JRX84" s="79">
        <f>JRX18+JRX24+JRX29+JRX30</f>
        <v>0</v>
      </c>
      <c r="JRY84" s="79">
        <f t="shared" si="169"/>
        <v>0</v>
      </c>
      <c r="JRZ84" s="79">
        <f t="shared" si="169"/>
        <v>0</v>
      </c>
      <c r="JSA84" s="79">
        <f t="shared" si="169"/>
        <v>0</v>
      </c>
      <c r="JSB84" s="79">
        <f t="shared" si="169"/>
        <v>0</v>
      </c>
      <c r="JSC84" s="79">
        <f t="shared" si="169"/>
        <v>0</v>
      </c>
      <c r="JSD84" s="79">
        <f t="shared" si="169"/>
        <v>0</v>
      </c>
      <c r="JSE84" s="79">
        <f t="shared" si="169"/>
        <v>0</v>
      </c>
      <c r="JSF84" s="79">
        <f t="shared" si="169"/>
        <v>0</v>
      </c>
      <c r="JSG84" s="79">
        <f t="shared" si="169"/>
        <v>0</v>
      </c>
      <c r="JSH84" s="79">
        <f t="shared" si="169"/>
        <v>0</v>
      </c>
      <c r="JSI84" s="79">
        <f t="shared" si="169"/>
        <v>0</v>
      </c>
      <c r="JSJ84" s="79">
        <f t="shared" si="169"/>
        <v>0</v>
      </c>
      <c r="JSK84" s="145" t="s">
        <v>96</v>
      </c>
      <c r="JSN84" s="79">
        <f>JSN18+JSN24+JSN29+JSN30</f>
        <v>0</v>
      </c>
      <c r="JSO84" s="79">
        <f t="shared" si="169"/>
        <v>0</v>
      </c>
      <c r="JSP84" s="79">
        <f t="shared" si="169"/>
        <v>0</v>
      </c>
      <c r="JSQ84" s="79">
        <f t="shared" si="169"/>
        <v>0</v>
      </c>
      <c r="JSR84" s="79">
        <f t="shared" si="169"/>
        <v>0</v>
      </c>
      <c r="JSS84" s="79">
        <f t="shared" si="169"/>
        <v>0</v>
      </c>
      <c r="JST84" s="79">
        <f t="shared" si="169"/>
        <v>0</v>
      </c>
      <c r="JSU84" s="79">
        <f t="shared" si="169"/>
        <v>0</v>
      </c>
      <c r="JSV84" s="79">
        <f t="shared" si="169"/>
        <v>0</v>
      </c>
      <c r="JSW84" s="79">
        <f t="shared" si="169"/>
        <v>0</v>
      </c>
      <c r="JSX84" s="79">
        <f t="shared" si="169"/>
        <v>0</v>
      </c>
      <c r="JSY84" s="79">
        <f t="shared" si="169"/>
        <v>0</v>
      </c>
      <c r="JSZ84" s="79">
        <f t="shared" si="169"/>
        <v>0</v>
      </c>
      <c r="JTA84" s="145" t="s">
        <v>96</v>
      </c>
      <c r="JTD84" s="79">
        <f>JTD18+JTD24+JTD29+JTD30</f>
        <v>0</v>
      </c>
      <c r="JTE84" s="79">
        <f t="shared" si="169"/>
        <v>0</v>
      </c>
      <c r="JTF84" s="79">
        <f t="shared" si="169"/>
        <v>0</v>
      </c>
      <c r="JTG84" s="79">
        <f t="shared" si="169"/>
        <v>0</v>
      </c>
      <c r="JTH84" s="79">
        <f t="shared" si="169"/>
        <v>0</v>
      </c>
      <c r="JTI84" s="79">
        <f t="shared" si="169"/>
        <v>0</v>
      </c>
      <c r="JTJ84" s="79">
        <f t="shared" si="169"/>
        <v>0</v>
      </c>
      <c r="JTK84" s="79">
        <f t="shared" si="169"/>
        <v>0</v>
      </c>
      <c r="JTL84" s="79">
        <f t="shared" si="169"/>
        <v>0</v>
      </c>
      <c r="JTM84" s="79">
        <f t="shared" si="169"/>
        <v>0</v>
      </c>
      <c r="JTN84" s="79">
        <f t="shared" si="169"/>
        <v>0</v>
      </c>
      <c r="JTO84" s="79">
        <f t="shared" si="169"/>
        <v>0</v>
      </c>
      <c r="JTP84" s="79">
        <f t="shared" si="169"/>
        <v>0</v>
      </c>
      <c r="JTQ84" s="145" t="s">
        <v>96</v>
      </c>
      <c r="JTT84" s="79">
        <f>JTT18+JTT24+JTT29+JTT30</f>
        <v>0</v>
      </c>
      <c r="JTU84" s="79">
        <f t="shared" ref="JTU84:JWB84" si="170">JTU18+JTU24+JTU29+JTU30</f>
        <v>0</v>
      </c>
      <c r="JTV84" s="79">
        <f t="shared" si="170"/>
        <v>0</v>
      </c>
      <c r="JTW84" s="79">
        <f t="shared" si="170"/>
        <v>0</v>
      </c>
      <c r="JTX84" s="79">
        <f t="shared" si="170"/>
        <v>0</v>
      </c>
      <c r="JTY84" s="79">
        <f t="shared" si="170"/>
        <v>0</v>
      </c>
      <c r="JTZ84" s="79">
        <f t="shared" si="170"/>
        <v>0</v>
      </c>
      <c r="JUA84" s="79">
        <f t="shared" si="170"/>
        <v>0</v>
      </c>
      <c r="JUB84" s="79">
        <f t="shared" si="170"/>
        <v>0</v>
      </c>
      <c r="JUC84" s="79">
        <f t="shared" si="170"/>
        <v>0</v>
      </c>
      <c r="JUD84" s="79">
        <f t="shared" si="170"/>
        <v>0</v>
      </c>
      <c r="JUE84" s="79">
        <f t="shared" si="170"/>
        <v>0</v>
      </c>
      <c r="JUF84" s="79">
        <f t="shared" si="170"/>
        <v>0</v>
      </c>
      <c r="JUG84" s="145" t="s">
        <v>96</v>
      </c>
      <c r="JUJ84" s="79">
        <f>JUJ18+JUJ24+JUJ29+JUJ30</f>
        <v>0</v>
      </c>
      <c r="JUK84" s="79">
        <f t="shared" si="170"/>
        <v>0</v>
      </c>
      <c r="JUL84" s="79">
        <f t="shared" si="170"/>
        <v>0</v>
      </c>
      <c r="JUM84" s="79">
        <f t="shared" si="170"/>
        <v>0</v>
      </c>
      <c r="JUN84" s="79">
        <f t="shared" si="170"/>
        <v>0</v>
      </c>
      <c r="JUO84" s="79">
        <f t="shared" si="170"/>
        <v>0</v>
      </c>
      <c r="JUP84" s="79">
        <f t="shared" si="170"/>
        <v>0</v>
      </c>
      <c r="JUQ84" s="79">
        <f t="shared" si="170"/>
        <v>0</v>
      </c>
      <c r="JUR84" s="79">
        <f t="shared" si="170"/>
        <v>0</v>
      </c>
      <c r="JUS84" s="79">
        <f t="shared" si="170"/>
        <v>0</v>
      </c>
      <c r="JUT84" s="79">
        <f t="shared" si="170"/>
        <v>0</v>
      </c>
      <c r="JUU84" s="79">
        <f t="shared" si="170"/>
        <v>0</v>
      </c>
      <c r="JUV84" s="79">
        <f t="shared" si="170"/>
        <v>0</v>
      </c>
      <c r="JUW84" s="145" t="s">
        <v>96</v>
      </c>
      <c r="JUZ84" s="79">
        <f>JUZ18+JUZ24+JUZ29+JUZ30</f>
        <v>0</v>
      </c>
      <c r="JVA84" s="79">
        <f t="shared" si="170"/>
        <v>0</v>
      </c>
      <c r="JVB84" s="79">
        <f t="shared" si="170"/>
        <v>0</v>
      </c>
      <c r="JVC84" s="79">
        <f t="shared" si="170"/>
        <v>0</v>
      </c>
      <c r="JVD84" s="79">
        <f t="shared" si="170"/>
        <v>0</v>
      </c>
      <c r="JVE84" s="79">
        <f t="shared" si="170"/>
        <v>0</v>
      </c>
      <c r="JVF84" s="79">
        <f t="shared" si="170"/>
        <v>0</v>
      </c>
      <c r="JVG84" s="79">
        <f t="shared" si="170"/>
        <v>0</v>
      </c>
      <c r="JVH84" s="79">
        <f t="shared" si="170"/>
        <v>0</v>
      </c>
      <c r="JVI84" s="79">
        <f t="shared" si="170"/>
        <v>0</v>
      </c>
      <c r="JVJ84" s="79">
        <f t="shared" si="170"/>
        <v>0</v>
      </c>
      <c r="JVK84" s="79">
        <f t="shared" si="170"/>
        <v>0</v>
      </c>
      <c r="JVL84" s="79">
        <f t="shared" si="170"/>
        <v>0</v>
      </c>
      <c r="JVM84" s="145" t="s">
        <v>96</v>
      </c>
      <c r="JVP84" s="79">
        <f>JVP18+JVP24+JVP29+JVP30</f>
        <v>0</v>
      </c>
      <c r="JVQ84" s="79">
        <f t="shared" si="170"/>
        <v>0</v>
      </c>
      <c r="JVR84" s="79">
        <f t="shared" si="170"/>
        <v>0</v>
      </c>
      <c r="JVS84" s="79">
        <f t="shared" si="170"/>
        <v>0</v>
      </c>
      <c r="JVT84" s="79">
        <f t="shared" si="170"/>
        <v>0</v>
      </c>
      <c r="JVU84" s="79">
        <f t="shared" si="170"/>
        <v>0</v>
      </c>
      <c r="JVV84" s="79">
        <f t="shared" si="170"/>
        <v>0</v>
      </c>
      <c r="JVW84" s="79">
        <f t="shared" si="170"/>
        <v>0</v>
      </c>
      <c r="JVX84" s="79">
        <f t="shared" si="170"/>
        <v>0</v>
      </c>
      <c r="JVY84" s="79">
        <f t="shared" si="170"/>
        <v>0</v>
      </c>
      <c r="JVZ84" s="79">
        <f t="shared" si="170"/>
        <v>0</v>
      </c>
      <c r="JWA84" s="79">
        <f t="shared" si="170"/>
        <v>0</v>
      </c>
      <c r="JWB84" s="79">
        <f t="shared" si="170"/>
        <v>0</v>
      </c>
      <c r="JWC84" s="145" t="s">
        <v>96</v>
      </c>
      <c r="JWF84" s="79">
        <f>JWF18+JWF24+JWF29+JWF30</f>
        <v>0</v>
      </c>
      <c r="JWG84" s="79">
        <f t="shared" ref="JWG84:JYN84" si="171">JWG18+JWG24+JWG29+JWG30</f>
        <v>0</v>
      </c>
      <c r="JWH84" s="79">
        <f t="shared" si="171"/>
        <v>0</v>
      </c>
      <c r="JWI84" s="79">
        <f t="shared" si="171"/>
        <v>0</v>
      </c>
      <c r="JWJ84" s="79">
        <f t="shared" si="171"/>
        <v>0</v>
      </c>
      <c r="JWK84" s="79">
        <f t="shared" si="171"/>
        <v>0</v>
      </c>
      <c r="JWL84" s="79">
        <f t="shared" si="171"/>
        <v>0</v>
      </c>
      <c r="JWM84" s="79">
        <f t="shared" si="171"/>
        <v>0</v>
      </c>
      <c r="JWN84" s="79">
        <f t="shared" si="171"/>
        <v>0</v>
      </c>
      <c r="JWO84" s="79">
        <f t="shared" si="171"/>
        <v>0</v>
      </c>
      <c r="JWP84" s="79">
        <f t="shared" si="171"/>
        <v>0</v>
      </c>
      <c r="JWQ84" s="79">
        <f t="shared" si="171"/>
        <v>0</v>
      </c>
      <c r="JWR84" s="79">
        <f t="shared" si="171"/>
        <v>0</v>
      </c>
      <c r="JWS84" s="145" t="s">
        <v>96</v>
      </c>
      <c r="JWV84" s="79">
        <f>JWV18+JWV24+JWV29+JWV30</f>
        <v>0</v>
      </c>
      <c r="JWW84" s="79">
        <f t="shared" si="171"/>
        <v>0</v>
      </c>
      <c r="JWX84" s="79">
        <f t="shared" si="171"/>
        <v>0</v>
      </c>
      <c r="JWY84" s="79">
        <f t="shared" si="171"/>
        <v>0</v>
      </c>
      <c r="JWZ84" s="79">
        <f t="shared" si="171"/>
        <v>0</v>
      </c>
      <c r="JXA84" s="79">
        <f t="shared" si="171"/>
        <v>0</v>
      </c>
      <c r="JXB84" s="79">
        <f t="shared" si="171"/>
        <v>0</v>
      </c>
      <c r="JXC84" s="79">
        <f t="shared" si="171"/>
        <v>0</v>
      </c>
      <c r="JXD84" s="79">
        <f t="shared" si="171"/>
        <v>0</v>
      </c>
      <c r="JXE84" s="79">
        <f t="shared" si="171"/>
        <v>0</v>
      </c>
      <c r="JXF84" s="79">
        <f t="shared" si="171"/>
        <v>0</v>
      </c>
      <c r="JXG84" s="79">
        <f t="shared" si="171"/>
        <v>0</v>
      </c>
      <c r="JXH84" s="79">
        <f t="shared" si="171"/>
        <v>0</v>
      </c>
      <c r="JXI84" s="145" t="s">
        <v>96</v>
      </c>
      <c r="JXL84" s="79">
        <f>JXL18+JXL24+JXL29+JXL30</f>
        <v>0</v>
      </c>
      <c r="JXM84" s="79">
        <f t="shared" si="171"/>
        <v>0</v>
      </c>
      <c r="JXN84" s="79">
        <f t="shared" si="171"/>
        <v>0</v>
      </c>
      <c r="JXO84" s="79">
        <f t="shared" si="171"/>
        <v>0</v>
      </c>
      <c r="JXP84" s="79">
        <f t="shared" si="171"/>
        <v>0</v>
      </c>
      <c r="JXQ84" s="79">
        <f t="shared" si="171"/>
        <v>0</v>
      </c>
      <c r="JXR84" s="79">
        <f t="shared" si="171"/>
        <v>0</v>
      </c>
      <c r="JXS84" s="79">
        <f t="shared" si="171"/>
        <v>0</v>
      </c>
      <c r="JXT84" s="79">
        <f t="shared" si="171"/>
        <v>0</v>
      </c>
      <c r="JXU84" s="79">
        <f t="shared" si="171"/>
        <v>0</v>
      </c>
      <c r="JXV84" s="79">
        <f t="shared" si="171"/>
        <v>0</v>
      </c>
      <c r="JXW84" s="79">
        <f t="shared" si="171"/>
        <v>0</v>
      </c>
      <c r="JXX84" s="79">
        <f t="shared" si="171"/>
        <v>0</v>
      </c>
      <c r="JXY84" s="145" t="s">
        <v>96</v>
      </c>
      <c r="JYB84" s="79">
        <f>JYB18+JYB24+JYB29+JYB30</f>
        <v>0</v>
      </c>
      <c r="JYC84" s="79">
        <f t="shared" si="171"/>
        <v>0</v>
      </c>
      <c r="JYD84" s="79">
        <f t="shared" si="171"/>
        <v>0</v>
      </c>
      <c r="JYE84" s="79">
        <f t="shared" si="171"/>
        <v>0</v>
      </c>
      <c r="JYF84" s="79">
        <f t="shared" si="171"/>
        <v>0</v>
      </c>
      <c r="JYG84" s="79">
        <f t="shared" si="171"/>
        <v>0</v>
      </c>
      <c r="JYH84" s="79">
        <f t="shared" si="171"/>
        <v>0</v>
      </c>
      <c r="JYI84" s="79">
        <f t="shared" si="171"/>
        <v>0</v>
      </c>
      <c r="JYJ84" s="79">
        <f t="shared" si="171"/>
        <v>0</v>
      </c>
      <c r="JYK84" s="79">
        <f t="shared" si="171"/>
        <v>0</v>
      </c>
      <c r="JYL84" s="79">
        <f t="shared" si="171"/>
        <v>0</v>
      </c>
      <c r="JYM84" s="79">
        <f t="shared" si="171"/>
        <v>0</v>
      </c>
      <c r="JYN84" s="79">
        <f t="shared" si="171"/>
        <v>0</v>
      </c>
      <c r="JYO84" s="145" t="s">
        <v>96</v>
      </c>
      <c r="JYR84" s="79">
        <f>JYR18+JYR24+JYR29+JYR30</f>
        <v>0</v>
      </c>
      <c r="JYS84" s="79">
        <f t="shared" ref="JYS84:KAZ84" si="172">JYS18+JYS24+JYS29+JYS30</f>
        <v>0</v>
      </c>
      <c r="JYT84" s="79">
        <f t="shared" si="172"/>
        <v>0</v>
      </c>
      <c r="JYU84" s="79">
        <f t="shared" si="172"/>
        <v>0</v>
      </c>
      <c r="JYV84" s="79">
        <f t="shared" si="172"/>
        <v>0</v>
      </c>
      <c r="JYW84" s="79">
        <f t="shared" si="172"/>
        <v>0</v>
      </c>
      <c r="JYX84" s="79">
        <f t="shared" si="172"/>
        <v>0</v>
      </c>
      <c r="JYY84" s="79">
        <f t="shared" si="172"/>
        <v>0</v>
      </c>
      <c r="JYZ84" s="79">
        <f t="shared" si="172"/>
        <v>0</v>
      </c>
      <c r="JZA84" s="79">
        <f t="shared" si="172"/>
        <v>0</v>
      </c>
      <c r="JZB84" s="79">
        <f t="shared" si="172"/>
        <v>0</v>
      </c>
      <c r="JZC84" s="79">
        <f t="shared" si="172"/>
        <v>0</v>
      </c>
      <c r="JZD84" s="79">
        <f t="shared" si="172"/>
        <v>0</v>
      </c>
      <c r="JZE84" s="145" t="s">
        <v>96</v>
      </c>
      <c r="JZH84" s="79">
        <f>JZH18+JZH24+JZH29+JZH30</f>
        <v>0</v>
      </c>
      <c r="JZI84" s="79">
        <f t="shared" si="172"/>
        <v>0</v>
      </c>
      <c r="JZJ84" s="79">
        <f t="shared" si="172"/>
        <v>0</v>
      </c>
      <c r="JZK84" s="79">
        <f t="shared" si="172"/>
        <v>0</v>
      </c>
      <c r="JZL84" s="79">
        <f t="shared" si="172"/>
        <v>0</v>
      </c>
      <c r="JZM84" s="79">
        <f t="shared" si="172"/>
        <v>0</v>
      </c>
      <c r="JZN84" s="79">
        <f t="shared" si="172"/>
        <v>0</v>
      </c>
      <c r="JZO84" s="79">
        <f t="shared" si="172"/>
        <v>0</v>
      </c>
      <c r="JZP84" s="79">
        <f t="shared" si="172"/>
        <v>0</v>
      </c>
      <c r="JZQ84" s="79">
        <f t="shared" si="172"/>
        <v>0</v>
      </c>
      <c r="JZR84" s="79">
        <f t="shared" si="172"/>
        <v>0</v>
      </c>
      <c r="JZS84" s="79">
        <f t="shared" si="172"/>
        <v>0</v>
      </c>
      <c r="JZT84" s="79">
        <f t="shared" si="172"/>
        <v>0</v>
      </c>
      <c r="JZU84" s="145" t="s">
        <v>96</v>
      </c>
      <c r="JZX84" s="79">
        <f>JZX18+JZX24+JZX29+JZX30</f>
        <v>0</v>
      </c>
      <c r="JZY84" s="79">
        <f t="shared" si="172"/>
        <v>0</v>
      </c>
      <c r="JZZ84" s="79">
        <f t="shared" si="172"/>
        <v>0</v>
      </c>
      <c r="KAA84" s="79">
        <f t="shared" si="172"/>
        <v>0</v>
      </c>
      <c r="KAB84" s="79">
        <f t="shared" si="172"/>
        <v>0</v>
      </c>
      <c r="KAC84" s="79">
        <f t="shared" si="172"/>
        <v>0</v>
      </c>
      <c r="KAD84" s="79">
        <f t="shared" si="172"/>
        <v>0</v>
      </c>
      <c r="KAE84" s="79">
        <f t="shared" si="172"/>
        <v>0</v>
      </c>
      <c r="KAF84" s="79">
        <f t="shared" si="172"/>
        <v>0</v>
      </c>
      <c r="KAG84" s="79">
        <f t="shared" si="172"/>
        <v>0</v>
      </c>
      <c r="KAH84" s="79">
        <f t="shared" si="172"/>
        <v>0</v>
      </c>
      <c r="KAI84" s="79">
        <f t="shared" si="172"/>
        <v>0</v>
      </c>
      <c r="KAJ84" s="79">
        <f t="shared" si="172"/>
        <v>0</v>
      </c>
      <c r="KAK84" s="145" t="s">
        <v>96</v>
      </c>
      <c r="KAN84" s="79">
        <f>KAN18+KAN24+KAN29+KAN30</f>
        <v>0</v>
      </c>
      <c r="KAO84" s="79">
        <f t="shared" si="172"/>
        <v>0</v>
      </c>
      <c r="KAP84" s="79">
        <f t="shared" si="172"/>
        <v>0</v>
      </c>
      <c r="KAQ84" s="79">
        <f t="shared" si="172"/>
        <v>0</v>
      </c>
      <c r="KAR84" s="79">
        <f t="shared" si="172"/>
        <v>0</v>
      </c>
      <c r="KAS84" s="79">
        <f t="shared" si="172"/>
        <v>0</v>
      </c>
      <c r="KAT84" s="79">
        <f t="shared" si="172"/>
        <v>0</v>
      </c>
      <c r="KAU84" s="79">
        <f t="shared" si="172"/>
        <v>0</v>
      </c>
      <c r="KAV84" s="79">
        <f t="shared" si="172"/>
        <v>0</v>
      </c>
      <c r="KAW84" s="79">
        <f t="shared" si="172"/>
        <v>0</v>
      </c>
      <c r="KAX84" s="79">
        <f t="shared" si="172"/>
        <v>0</v>
      </c>
      <c r="KAY84" s="79">
        <f t="shared" si="172"/>
        <v>0</v>
      </c>
      <c r="KAZ84" s="79">
        <f t="shared" si="172"/>
        <v>0</v>
      </c>
      <c r="KBA84" s="145" t="s">
        <v>96</v>
      </c>
      <c r="KBD84" s="79">
        <f>KBD18+KBD24+KBD29+KBD30</f>
        <v>0</v>
      </c>
      <c r="KBE84" s="79">
        <f t="shared" ref="KBE84:KDL84" si="173">KBE18+KBE24+KBE29+KBE30</f>
        <v>0</v>
      </c>
      <c r="KBF84" s="79">
        <f t="shared" si="173"/>
        <v>0</v>
      </c>
      <c r="KBG84" s="79">
        <f t="shared" si="173"/>
        <v>0</v>
      </c>
      <c r="KBH84" s="79">
        <f t="shared" si="173"/>
        <v>0</v>
      </c>
      <c r="KBI84" s="79">
        <f t="shared" si="173"/>
        <v>0</v>
      </c>
      <c r="KBJ84" s="79">
        <f t="shared" si="173"/>
        <v>0</v>
      </c>
      <c r="KBK84" s="79">
        <f t="shared" si="173"/>
        <v>0</v>
      </c>
      <c r="KBL84" s="79">
        <f t="shared" si="173"/>
        <v>0</v>
      </c>
      <c r="KBM84" s="79">
        <f t="shared" si="173"/>
        <v>0</v>
      </c>
      <c r="KBN84" s="79">
        <f t="shared" si="173"/>
        <v>0</v>
      </c>
      <c r="KBO84" s="79">
        <f t="shared" si="173"/>
        <v>0</v>
      </c>
      <c r="KBP84" s="79">
        <f t="shared" si="173"/>
        <v>0</v>
      </c>
      <c r="KBQ84" s="145" t="s">
        <v>96</v>
      </c>
      <c r="KBT84" s="79">
        <f>KBT18+KBT24+KBT29+KBT30</f>
        <v>0</v>
      </c>
      <c r="KBU84" s="79">
        <f t="shared" si="173"/>
        <v>0</v>
      </c>
      <c r="KBV84" s="79">
        <f t="shared" si="173"/>
        <v>0</v>
      </c>
      <c r="KBW84" s="79">
        <f t="shared" si="173"/>
        <v>0</v>
      </c>
      <c r="KBX84" s="79">
        <f t="shared" si="173"/>
        <v>0</v>
      </c>
      <c r="KBY84" s="79">
        <f t="shared" si="173"/>
        <v>0</v>
      </c>
      <c r="KBZ84" s="79">
        <f t="shared" si="173"/>
        <v>0</v>
      </c>
      <c r="KCA84" s="79">
        <f t="shared" si="173"/>
        <v>0</v>
      </c>
      <c r="KCB84" s="79">
        <f t="shared" si="173"/>
        <v>0</v>
      </c>
      <c r="KCC84" s="79">
        <f t="shared" si="173"/>
        <v>0</v>
      </c>
      <c r="KCD84" s="79">
        <f t="shared" si="173"/>
        <v>0</v>
      </c>
      <c r="KCE84" s="79">
        <f t="shared" si="173"/>
        <v>0</v>
      </c>
      <c r="KCF84" s="79">
        <f t="shared" si="173"/>
        <v>0</v>
      </c>
      <c r="KCG84" s="145" t="s">
        <v>96</v>
      </c>
      <c r="KCJ84" s="79">
        <f>KCJ18+KCJ24+KCJ29+KCJ30</f>
        <v>0</v>
      </c>
      <c r="KCK84" s="79">
        <f t="shared" si="173"/>
        <v>0</v>
      </c>
      <c r="KCL84" s="79">
        <f t="shared" si="173"/>
        <v>0</v>
      </c>
      <c r="KCM84" s="79">
        <f t="shared" si="173"/>
        <v>0</v>
      </c>
      <c r="KCN84" s="79">
        <f t="shared" si="173"/>
        <v>0</v>
      </c>
      <c r="KCO84" s="79">
        <f t="shared" si="173"/>
        <v>0</v>
      </c>
      <c r="KCP84" s="79">
        <f t="shared" si="173"/>
        <v>0</v>
      </c>
      <c r="KCQ84" s="79">
        <f t="shared" si="173"/>
        <v>0</v>
      </c>
      <c r="KCR84" s="79">
        <f t="shared" si="173"/>
        <v>0</v>
      </c>
      <c r="KCS84" s="79">
        <f t="shared" si="173"/>
        <v>0</v>
      </c>
      <c r="KCT84" s="79">
        <f t="shared" si="173"/>
        <v>0</v>
      </c>
      <c r="KCU84" s="79">
        <f t="shared" si="173"/>
        <v>0</v>
      </c>
      <c r="KCV84" s="79">
        <f t="shared" si="173"/>
        <v>0</v>
      </c>
      <c r="KCW84" s="145" t="s">
        <v>96</v>
      </c>
      <c r="KCZ84" s="79">
        <f>KCZ18+KCZ24+KCZ29+KCZ30</f>
        <v>0</v>
      </c>
      <c r="KDA84" s="79">
        <f t="shared" si="173"/>
        <v>0</v>
      </c>
      <c r="KDB84" s="79">
        <f t="shared" si="173"/>
        <v>0</v>
      </c>
      <c r="KDC84" s="79">
        <f t="shared" si="173"/>
        <v>0</v>
      </c>
      <c r="KDD84" s="79">
        <f t="shared" si="173"/>
        <v>0</v>
      </c>
      <c r="KDE84" s="79">
        <f t="shared" si="173"/>
        <v>0</v>
      </c>
      <c r="KDF84" s="79">
        <f t="shared" si="173"/>
        <v>0</v>
      </c>
      <c r="KDG84" s="79">
        <f t="shared" si="173"/>
        <v>0</v>
      </c>
      <c r="KDH84" s="79">
        <f t="shared" si="173"/>
        <v>0</v>
      </c>
      <c r="KDI84" s="79">
        <f t="shared" si="173"/>
        <v>0</v>
      </c>
      <c r="KDJ84" s="79">
        <f t="shared" si="173"/>
        <v>0</v>
      </c>
      <c r="KDK84" s="79">
        <f t="shared" si="173"/>
        <v>0</v>
      </c>
      <c r="KDL84" s="79">
        <f t="shared" si="173"/>
        <v>0</v>
      </c>
      <c r="KDM84" s="145" t="s">
        <v>96</v>
      </c>
      <c r="KDP84" s="79">
        <f>KDP18+KDP24+KDP29+KDP30</f>
        <v>0</v>
      </c>
      <c r="KDQ84" s="79">
        <f t="shared" ref="KDQ84:KFX84" si="174">KDQ18+KDQ24+KDQ29+KDQ30</f>
        <v>0</v>
      </c>
      <c r="KDR84" s="79">
        <f t="shared" si="174"/>
        <v>0</v>
      </c>
      <c r="KDS84" s="79">
        <f t="shared" si="174"/>
        <v>0</v>
      </c>
      <c r="KDT84" s="79">
        <f t="shared" si="174"/>
        <v>0</v>
      </c>
      <c r="KDU84" s="79">
        <f t="shared" si="174"/>
        <v>0</v>
      </c>
      <c r="KDV84" s="79">
        <f t="shared" si="174"/>
        <v>0</v>
      </c>
      <c r="KDW84" s="79">
        <f t="shared" si="174"/>
        <v>0</v>
      </c>
      <c r="KDX84" s="79">
        <f t="shared" si="174"/>
        <v>0</v>
      </c>
      <c r="KDY84" s="79">
        <f t="shared" si="174"/>
        <v>0</v>
      </c>
      <c r="KDZ84" s="79">
        <f t="shared" si="174"/>
        <v>0</v>
      </c>
      <c r="KEA84" s="79">
        <f t="shared" si="174"/>
        <v>0</v>
      </c>
      <c r="KEB84" s="79">
        <f t="shared" si="174"/>
        <v>0</v>
      </c>
      <c r="KEC84" s="145" t="s">
        <v>96</v>
      </c>
      <c r="KEF84" s="79">
        <f>KEF18+KEF24+KEF29+KEF30</f>
        <v>0</v>
      </c>
      <c r="KEG84" s="79">
        <f t="shared" si="174"/>
        <v>0</v>
      </c>
      <c r="KEH84" s="79">
        <f t="shared" si="174"/>
        <v>0</v>
      </c>
      <c r="KEI84" s="79">
        <f t="shared" si="174"/>
        <v>0</v>
      </c>
      <c r="KEJ84" s="79">
        <f t="shared" si="174"/>
        <v>0</v>
      </c>
      <c r="KEK84" s="79">
        <f t="shared" si="174"/>
        <v>0</v>
      </c>
      <c r="KEL84" s="79">
        <f t="shared" si="174"/>
        <v>0</v>
      </c>
      <c r="KEM84" s="79">
        <f t="shared" si="174"/>
        <v>0</v>
      </c>
      <c r="KEN84" s="79">
        <f t="shared" si="174"/>
        <v>0</v>
      </c>
      <c r="KEO84" s="79">
        <f t="shared" si="174"/>
        <v>0</v>
      </c>
      <c r="KEP84" s="79">
        <f t="shared" si="174"/>
        <v>0</v>
      </c>
      <c r="KEQ84" s="79">
        <f t="shared" si="174"/>
        <v>0</v>
      </c>
      <c r="KER84" s="79">
        <f t="shared" si="174"/>
        <v>0</v>
      </c>
      <c r="KES84" s="145" t="s">
        <v>96</v>
      </c>
      <c r="KEV84" s="79">
        <f>KEV18+KEV24+KEV29+KEV30</f>
        <v>0</v>
      </c>
      <c r="KEW84" s="79">
        <f t="shared" si="174"/>
        <v>0</v>
      </c>
      <c r="KEX84" s="79">
        <f t="shared" si="174"/>
        <v>0</v>
      </c>
      <c r="KEY84" s="79">
        <f t="shared" si="174"/>
        <v>0</v>
      </c>
      <c r="KEZ84" s="79">
        <f t="shared" si="174"/>
        <v>0</v>
      </c>
      <c r="KFA84" s="79">
        <f t="shared" si="174"/>
        <v>0</v>
      </c>
      <c r="KFB84" s="79">
        <f t="shared" si="174"/>
        <v>0</v>
      </c>
      <c r="KFC84" s="79">
        <f t="shared" si="174"/>
        <v>0</v>
      </c>
      <c r="KFD84" s="79">
        <f t="shared" si="174"/>
        <v>0</v>
      </c>
      <c r="KFE84" s="79">
        <f t="shared" si="174"/>
        <v>0</v>
      </c>
      <c r="KFF84" s="79">
        <f t="shared" si="174"/>
        <v>0</v>
      </c>
      <c r="KFG84" s="79">
        <f t="shared" si="174"/>
        <v>0</v>
      </c>
      <c r="KFH84" s="79">
        <f t="shared" si="174"/>
        <v>0</v>
      </c>
      <c r="KFI84" s="145" t="s">
        <v>96</v>
      </c>
      <c r="KFL84" s="79">
        <f>KFL18+KFL24+KFL29+KFL30</f>
        <v>0</v>
      </c>
      <c r="KFM84" s="79">
        <f t="shared" si="174"/>
        <v>0</v>
      </c>
      <c r="KFN84" s="79">
        <f t="shared" si="174"/>
        <v>0</v>
      </c>
      <c r="KFO84" s="79">
        <f t="shared" si="174"/>
        <v>0</v>
      </c>
      <c r="KFP84" s="79">
        <f t="shared" si="174"/>
        <v>0</v>
      </c>
      <c r="KFQ84" s="79">
        <f t="shared" si="174"/>
        <v>0</v>
      </c>
      <c r="KFR84" s="79">
        <f t="shared" si="174"/>
        <v>0</v>
      </c>
      <c r="KFS84" s="79">
        <f t="shared" si="174"/>
        <v>0</v>
      </c>
      <c r="KFT84" s="79">
        <f t="shared" si="174"/>
        <v>0</v>
      </c>
      <c r="KFU84" s="79">
        <f t="shared" si="174"/>
        <v>0</v>
      </c>
      <c r="KFV84" s="79">
        <f t="shared" si="174"/>
        <v>0</v>
      </c>
      <c r="KFW84" s="79">
        <f t="shared" si="174"/>
        <v>0</v>
      </c>
      <c r="KFX84" s="79">
        <f t="shared" si="174"/>
        <v>0</v>
      </c>
      <c r="KFY84" s="145" t="s">
        <v>96</v>
      </c>
      <c r="KGB84" s="79">
        <f>KGB18+KGB24+KGB29+KGB30</f>
        <v>0</v>
      </c>
      <c r="KGC84" s="79">
        <f t="shared" ref="KGC84:KIJ84" si="175">KGC18+KGC24+KGC29+KGC30</f>
        <v>0</v>
      </c>
      <c r="KGD84" s="79">
        <f t="shared" si="175"/>
        <v>0</v>
      </c>
      <c r="KGE84" s="79">
        <f t="shared" si="175"/>
        <v>0</v>
      </c>
      <c r="KGF84" s="79">
        <f t="shared" si="175"/>
        <v>0</v>
      </c>
      <c r="KGG84" s="79">
        <f t="shared" si="175"/>
        <v>0</v>
      </c>
      <c r="KGH84" s="79">
        <f t="shared" si="175"/>
        <v>0</v>
      </c>
      <c r="KGI84" s="79">
        <f t="shared" si="175"/>
        <v>0</v>
      </c>
      <c r="KGJ84" s="79">
        <f t="shared" si="175"/>
        <v>0</v>
      </c>
      <c r="KGK84" s="79">
        <f t="shared" si="175"/>
        <v>0</v>
      </c>
      <c r="KGL84" s="79">
        <f t="shared" si="175"/>
        <v>0</v>
      </c>
      <c r="KGM84" s="79">
        <f t="shared" si="175"/>
        <v>0</v>
      </c>
      <c r="KGN84" s="79">
        <f t="shared" si="175"/>
        <v>0</v>
      </c>
      <c r="KGO84" s="145" t="s">
        <v>96</v>
      </c>
      <c r="KGR84" s="79">
        <f>KGR18+KGR24+KGR29+KGR30</f>
        <v>0</v>
      </c>
      <c r="KGS84" s="79">
        <f t="shared" si="175"/>
        <v>0</v>
      </c>
      <c r="KGT84" s="79">
        <f t="shared" si="175"/>
        <v>0</v>
      </c>
      <c r="KGU84" s="79">
        <f t="shared" si="175"/>
        <v>0</v>
      </c>
      <c r="KGV84" s="79">
        <f t="shared" si="175"/>
        <v>0</v>
      </c>
      <c r="KGW84" s="79">
        <f t="shared" si="175"/>
        <v>0</v>
      </c>
      <c r="KGX84" s="79">
        <f t="shared" si="175"/>
        <v>0</v>
      </c>
      <c r="KGY84" s="79">
        <f t="shared" si="175"/>
        <v>0</v>
      </c>
      <c r="KGZ84" s="79">
        <f t="shared" si="175"/>
        <v>0</v>
      </c>
      <c r="KHA84" s="79">
        <f t="shared" si="175"/>
        <v>0</v>
      </c>
      <c r="KHB84" s="79">
        <f t="shared" si="175"/>
        <v>0</v>
      </c>
      <c r="KHC84" s="79">
        <f t="shared" si="175"/>
        <v>0</v>
      </c>
      <c r="KHD84" s="79">
        <f t="shared" si="175"/>
        <v>0</v>
      </c>
      <c r="KHE84" s="145" t="s">
        <v>96</v>
      </c>
      <c r="KHH84" s="79">
        <f>KHH18+KHH24+KHH29+KHH30</f>
        <v>0</v>
      </c>
      <c r="KHI84" s="79">
        <f t="shared" si="175"/>
        <v>0</v>
      </c>
      <c r="KHJ84" s="79">
        <f t="shared" si="175"/>
        <v>0</v>
      </c>
      <c r="KHK84" s="79">
        <f t="shared" si="175"/>
        <v>0</v>
      </c>
      <c r="KHL84" s="79">
        <f t="shared" si="175"/>
        <v>0</v>
      </c>
      <c r="KHM84" s="79">
        <f t="shared" si="175"/>
        <v>0</v>
      </c>
      <c r="KHN84" s="79">
        <f t="shared" si="175"/>
        <v>0</v>
      </c>
      <c r="KHO84" s="79">
        <f t="shared" si="175"/>
        <v>0</v>
      </c>
      <c r="KHP84" s="79">
        <f t="shared" si="175"/>
        <v>0</v>
      </c>
      <c r="KHQ84" s="79">
        <f t="shared" si="175"/>
        <v>0</v>
      </c>
      <c r="KHR84" s="79">
        <f t="shared" si="175"/>
        <v>0</v>
      </c>
      <c r="KHS84" s="79">
        <f t="shared" si="175"/>
        <v>0</v>
      </c>
      <c r="KHT84" s="79">
        <f t="shared" si="175"/>
        <v>0</v>
      </c>
      <c r="KHU84" s="145" t="s">
        <v>96</v>
      </c>
      <c r="KHX84" s="79">
        <f>KHX18+KHX24+KHX29+KHX30</f>
        <v>0</v>
      </c>
      <c r="KHY84" s="79">
        <f t="shared" si="175"/>
        <v>0</v>
      </c>
      <c r="KHZ84" s="79">
        <f t="shared" si="175"/>
        <v>0</v>
      </c>
      <c r="KIA84" s="79">
        <f t="shared" si="175"/>
        <v>0</v>
      </c>
      <c r="KIB84" s="79">
        <f t="shared" si="175"/>
        <v>0</v>
      </c>
      <c r="KIC84" s="79">
        <f t="shared" si="175"/>
        <v>0</v>
      </c>
      <c r="KID84" s="79">
        <f t="shared" si="175"/>
        <v>0</v>
      </c>
      <c r="KIE84" s="79">
        <f t="shared" si="175"/>
        <v>0</v>
      </c>
      <c r="KIF84" s="79">
        <f t="shared" si="175"/>
        <v>0</v>
      </c>
      <c r="KIG84" s="79">
        <f t="shared" si="175"/>
        <v>0</v>
      </c>
      <c r="KIH84" s="79">
        <f t="shared" si="175"/>
        <v>0</v>
      </c>
      <c r="KII84" s="79">
        <f t="shared" si="175"/>
        <v>0</v>
      </c>
      <c r="KIJ84" s="79">
        <f t="shared" si="175"/>
        <v>0</v>
      </c>
      <c r="KIK84" s="145" t="s">
        <v>96</v>
      </c>
      <c r="KIN84" s="79">
        <f>KIN18+KIN24+KIN29+KIN30</f>
        <v>0</v>
      </c>
      <c r="KIO84" s="79">
        <f t="shared" ref="KIO84:KKV84" si="176">KIO18+KIO24+KIO29+KIO30</f>
        <v>0</v>
      </c>
      <c r="KIP84" s="79">
        <f t="shared" si="176"/>
        <v>0</v>
      </c>
      <c r="KIQ84" s="79">
        <f t="shared" si="176"/>
        <v>0</v>
      </c>
      <c r="KIR84" s="79">
        <f t="shared" si="176"/>
        <v>0</v>
      </c>
      <c r="KIS84" s="79">
        <f t="shared" si="176"/>
        <v>0</v>
      </c>
      <c r="KIT84" s="79">
        <f t="shared" si="176"/>
        <v>0</v>
      </c>
      <c r="KIU84" s="79">
        <f t="shared" si="176"/>
        <v>0</v>
      </c>
      <c r="KIV84" s="79">
        <f t="shared" si="176"/>
        <v>0</v>
      </c>
      <c r="KIW84" s="79">
        <f t="shared" si="176"/>
        <v>0</v>
      </c>
      <c r="KIX84" s="79">
        <f t="shared" si="176"/>
        <v>0</v>
      </c>
      <c r="KIY84" s="79">
        <f t="shared" si="176"/>
        <v>0</v>
      </c>
      <c r="KIZ84" s="79">
        <f t="shared" si="176"/>
        <v>0</v>
      </c>
      <c r="KJA84" s="145" t="s">
        <v>96</v>
      </c>
      <c r="KJD84" s="79">
        <f>KJD18+KJD24+KJD29+KJD30</f>
        <v>0</v>
      </c>
      <c r="KJE84" s="79">
        <f t="shared" si="176"/>
        <v>0</v>
      </c>
      <c r="KJF84" s="79">
        <f t="shared" si="176"/>
        <v>0</v>
      </c>
      <c r="KJG84" s="79">
        <f t="shared" si="176"/>
        <v>0</v>
      </c>
      <c r="KJH84" s="79">
        <f t="shared" si="176"/>
        <v>0</v>
      </c>
      <c r="KJI84" s="79">
        <f t="shared" si="176"/>
        <v>0</v>
      </c>
      <c r="KJJ84" s="79">
        <f t="shared" si="176"/>
        <v>0</v>
      </c>
      <c r="KJK84" s="79">
        <f t="shared" si="176"/>
        <v>0</v>
      </c>
      <c r="KJL84" s="79">
        <f t="shared" si="176"/>
        <v>0</v>
      </c>
      <c r="KJM84" s="79">
        <f t="shared" si="176"/>
        <v>0</v>
      </c>
      <c r="KJN84" s="79">
        <f t="shared" si="176"/>
        <v>0</v>
      </c>
      <c r="KJO84" s="79">
        <f t="shared" si="176"/>
        <v>0</v>
      </c>
      <c r="KJP84" s="79">
        <f t="shared" si="176"/>
        <v>0</v>
      </c>
      <c r="KJQ84" s="145" t="s">
        <v>96</v>
      </c>
      <c r="KJT84" s="79">
        <f>KJT18+KJT24+KJT29+KJT30</f>
        <v>0</v>
      </c>
      <c r="KJU84" s="79">
        <f t="shared" si="176"/>
        <v>0</v>
      </c>
      <c r="KJV84" s="79">
        <f t="shared" si="176"/>
        <v>0</v>
      </c>
      <c r="KJW84" s="79">
        <f t="shared" si="176"/>
        <v>0</v>
      </c>
      <c r="KJX84" s="79">
        <f t="shared" si="176"/>
        <v>0</v>
      </c>
      <c r="KJY84" s="79">
        <f t="shared" si="176"/>
        <v>0</v>
      </c>
      <c r="KJZ84" s="79">
        <f t="shared" si="176"/>
        <v>0</v>
      </c>
      <c r="KKA84" s="79">
        <f t="shared" si="176"/>
        <v>0</v>
      </c>
      <c r="KKB84" s="79">
        <f t="shared" si="176"/>
        <v>0</v>
      </c>
      <c r="KKC84" s="79">
        <f t="shared" si="176"/>
        <v>0</v>
      </c>
      <c r="KKD84" s="79">
        <f t="shared" si="176"/>
        <v>0</v>
      </c>
      <c r="KKE84" s="79">
        <f t="shared" si="176"/>
        <v>0</v>
      </c>
      <c r="KKF84" s="79">
        <f t="shared" si="176"/>
        <v>0</v>
      </c>
      <c r="KKG84" s="145" t="s">
        <v>96</v>
      </c>
      <c r="KKJ84" s="79">
        <f>KKJ18+KKJ24+KKJ29+KKJ30</f>
        <v>0</v>
      </c>
      <c r="KKK84" s="79">
        <f t="shared" si="176"/>
        <v>0</v>
      </c>
      <c r="KKL84" s="79">
        <f t="shared" si="176"/>
        <v>0</v>
      </c>
      <c r="KKM84" s="79">
        <f t="shared" si="176"/>
        <v>0</v>
      </c>
      <c r="KKN84" s="79">
        <f t="shared" si="176"/>
        <v>0</v>
      </c>
      <c r="KKO84" s="79">
        <f t="shared" si="176"/>
        <v>0</v>
      </c>
      <c r="KKP84" s="79">
        <f t="shared" si="176"/>
        <v>0</v>
      </c>
      <c r="KKQ84" s="79">
        <f t="shared" si="176"/>
        <v>0</v>
      </c>
      <c r="KKR84" s="79">
        <f t="shared" si="176"/>
        <v>0</v>
      </c>
      <c r="KKS84" s="79">
        <f t="shared" si="176"/>
        <v>0</v>
      </c>
      <c r="KKT84" s="79">
        <f t="shared" si="176"/>
        <v>0</v>
      </c>
      <c r="KKU84" s="79">
        <f t="shared" si="176"/>
        <v>0</v>
      </c>
      <c r="KKV84" s="79">
        <f t="shared" si="176"/>
        <v>0</v>
      </c>
      <c r="KKW84" s="145" t="s">
        <v>96</v>
      </c>
      <c r="KKZ84" s="79">
        <f>KKZ18+KKZ24+KKZ29+KKZ30</f>
        <v>0</v>
      </c>
      <c r="KLA84" s="79">
        <f t="shared" ref="KLA84:KNH84" si="177">KLA18+KLA24+KLA29+KLA30</f>
        <v>0</v>
      </c>
      <c r="KLB84" s="79">
        <f t="shared" si="177"/>
        <v>0</v>
      </c>
      <c r="KLC84" s="79">
        <f t="shared" si="177"/>
        <v>0</v>
      </c>
      <c r="KLD84" s="79">
        <f t="shared" si="177"/>
        <v>0</v>
      </c>
      <c r="KLE84" s="79">
        <f t="shared" si="177"/>
        <v>0</v>
      </c>
      <c r="KLF84" s="79">
        <f t="shared" si="177"/>
        <v>0</v>
      </c>
      <c r="KLG84" s="79">
        <f t="shared" si="177"/>
        <v>0</v>
      </c>
      <c r="KLH84" s="79">
        <f t="shared" si="177"/>
        <v>0</v>
      </c>
      <c r="KLI84" s="79">
        <f t="shared" si="177"/>
        <v>0</v>
      </c>
      <c r="KLJ84" s="79">
        <f t="shared" si="177"/>
        <v>0</v>
      </c>
      <c r="KLK84" s="79">
        <f t="shared" si="177"/>
        <v>0</v>
      </c>
      <c r="KLL84" s="79">
        <f t="shared" si="177"/>
        <v>0</v>
      </c>
      <c r="KLM84" s="145" t="s">
        <v>96</v>
      </c>
      <c r="KLP84" s="79">
        <f>KLP18+KLP24+KLP29+KLP30</f>
        <v>0</v>
      </c>
      <c r="KLQ84" s="79">
        <f t="shared" si="177"/>
        <v>0</v>
      </c>
      <c r="KLR84" s="79">
        <f t="shared" si="177"/>
        <v>0</v>
      </c>
      <c r="KLS84" s="79">
        <f t="shared" si="177"/>
        <v>0</v>
      </c>
      <c r="KLT84" s="79">
        <f t="shared" si="177"/>
        <v>0</v>
      </c>
      <c r="KLU84" s="79">
        <f t="shared" si="177"/>
        <v>0</v>
      </c>
      <c r="KLV84" s="79">
        <f t="shared" si="177"/>
        <v>0</v>
      </c>
      <c r="KLW84" s="79">
        <f t="shared" si="177"/>
        <v>0</v>
      </c>
      <c r="KLX84" s="79">
        <f t="shared" si="177"/>
        <v>0</v>
      </c>
      <c r="KLY84" s="79">
        <f t="shared" si="177"/>
        <v>0</v>
      </c>
      <c r="KLZ84" s="79">
        <f t="shared" si="177"/>
        <v>0</v>
      </c>
      <c r="KMA84" s="79">
        <f t="shared" si="177"/>
        <v>0</v>
      </c>
      <c r="KMB84" s="79">
        <f t="shared" si="177"/>
        <v>0</v>
      </c>
      <c r="KMC84" s="145" t="s">
        <v>96</v>
      </c>
      <c r="KMF84" s="79">
        <f>KMF18+KMF24+KMF29+KMF30</f>
        <v>0</v>
      </c>
      <c r="KMG84" s="79">
        <f t="shared" si="177"/>
        <v>0</v>
      </c>
      <c r="KMH84" s="79">
        <f t="shared" si="177"/>
        <v>0</v>
      </c>
      <c r="KMI84" s="79">
        <f t="shared" si="177"/>
        <v>0</v>
      </c>
      <c r="KMJ84" s="79">
        <f t="shared" si="177"/>
        <v>0</v>
      </c>
      <c r="KMK84" s="79">
        <f t="shared" si="177"/>
        <v>0</v>
      </c>
      <c r="KML84" s="79">
        <f t="shared" si="177"/>
        <v>0</v>
      </c>
      <c r="KMM84" s="79">
        <f t="shared" si="177"/>
        <v>0</v>
      </c>
      <c r="KMN84" s="79">
        <f t="shared" si="177"/>
        <v>0</v>
      </c>
      <c r="KMO84" s="79">
        <f t="shared" si="177"/>
        <v>0</v>
      </c>
      <c r="KMP84" s="79">
        <f t="shared" si="177"/>
        <v>0</v>
      </c>
      <c r="KMQ84" s="79">
        <f t="shared" si="177"/>
        <v>0</v>
      </c>
      <c r="KMR84" s="79">
        <f t="shared" si="177"/>
        <v>0</v>
      </c>
      <c r="KMS84" s="145" t="s">
        <v>96</v>
      </c>
      <c r="KMV84" s="79">
        <f>KMV18+KMV24+KMV29+KMV30</f>
        <v>0</v>
      </c>
      <c r="KMW84" s="79">
        <f t="shared" si="177"/>
        <v>0</v>
      </c>
      <c r="KMX84" s="79">
        <f t="shared" si="177"/>
        <v>0</v>
      </c>
      <c r="KMY84" s="79">
        <f t="shared" si="177"/>
        <v>0</v>
      </c>
      <c r="KMZ84" s="79">
        <f t="shared" si="177"/>
        <v>0</v>
      </c>
      <c r="KNA84" s="79">
        <f t="shared" si="177"/>
        <v>0</v>
      </c>
      <c r="KNB84" s="79">
        <f t="shared" si="177"/>
        <v>0</v>
      </c>
      <c r="KNC84" s="79">
        <f t="shared" si="177"/>
        <v>0</v>
      </c>
      <c r="KND84" s="79">
        <f t="shared" si="177"/>
        <v>0</v>
      </c>
      <c r="KNE84" s="79">
        <f t="shared" si="177"/>
        <v>0</v>
      </c>
      <c r="KNF84" s="79">
        <f t="shared" si="177"/>
        <v>0</v>
      </c>
      <c r="KNG84" s="79">
        <f t="shared" si="177"/>
        <v>0</v>
      </c>
      <c r="KNH84" s="79">
        <f t="shared" si="177"/>
        <v>0</v>
      </c>
      <c r="KNI84" s="145" t="s">
        <v>96</v>
      </c>
      <c r="KNL84" s="79">
        <f>KNL18+KNL24+KNL29+KNL30</f>
        <v>0</v>
      </c>
      <c r="KNM84" s="79">
        <f t="shared" ref="KNM84:KPT84" si="178">KNM18+KNM24+KNM29+KNM30</f>
        <v>0</v>
      </c>
      <c r="KNN84" s="79">
        <f t="shared" si="178"/>
        <v>0</v>
      </c>
      <c r="KNO84" s="79">
        <f t="shared" si="178"/>
        <v>0</v>
      </c>
      <c r="KNP84" s="79">
        <f t="shared" si="178"/>
        <v>0</v>
      </c>
      <c r="KNQ84" s="79">
        <f t="shared" si="178"/>
        <v>0</v>
      </c>
      <c r="KNR84" s="79">
        <f t="shared" si="178"/>
        <v>0</v>
      </c>
      <c r="KNS84" s="79">
        <f t="shared" si="178"/>
        <v>0</v>
      </c>
      <c r="KNT84" s="79">
        <f t="shared" si="178"/>
        <v>0</v>
      </c>
      <c r="KNU84" s="79">
        <f t="shared" si="178"/>
        <v>0</v>
      </c>
      <c r="KNV84" s="79">
        <f t="shared" si="178"/>
        <v>0</v>
      </c>
      <c r="KNW84" s="79">
        <f t="shared" si="178"/>
        <v>0</v>
      </c>
      <c r="KNX84" s="79">
        <f t="shared" si="178"/>
        <v>0</v>
      </c>
      <c r="KNY84" s="145" t="s">
        <v>96</v>
      </c>
      <c r="KOB84" s="79">
        <f>KOB18+KOB24+KOB29+KOB30</f>
        <v>0</v>
      </c>
      <c r="KOC84" s="79">
        <f t="shared" si="178"/>
        <v>0</v>
      </c>
      <c r="KOD84" s="79">
        <f t="shared" si="178"/>
        <v>0</v>
      </c>
      <c r="KOE84" s="79">
        <f t="shared" si="178"/>
        <v>0</v>
      </c>
      <c r="KOF84" s="79">
        <f t="shared" si="178"/>
        <v>0</v>
      </c>
      <c r="KOG84" s="79">
        <f t="shared" si="178"/>
        <v>0</v>
      </c>
      <c r="KOH84" s="79">
        <f t="shared" si="178"/>
        <v>0</v>
      </c>
      <c r="KOI84" s="79">
        <f t="shared" si="178"/>
        <v>0</v>
      </c>
      <c r="KOJ84" s="79">
        <f t="shared" si="178"/>
        <v>0</v>
      </c>
      <c r="KOK84" s="79">
        <f t="shared" si="178"/>
        <v>0</v>
      </c>
      <c r="KOL84" s="79">
        <f t="shared" si="178"/>
        <v>0</v>
      </c>
      <c r="KOM84" s="79">
        <f t="shared" si="178"/>
        <v>0</v>
      </c>
      <c r="KON84" s="79">
        <f t="shared" si="178"/>
        <v>0</v>
      </c>
      <c r="KOO84" s="145" t="s">
        <v>96</v>
      </c>
      <c r="KOR84" s="79">
        <f>KOR18+KOR24+KOR29+KOR30</f>
        <v>0</v>
      </c>
      <c r="KOS84" s="79">
        <f t="shared" si="178"/>
        <v>0</v>
      </c>
      <c r="KOT84" s="79">
        <f t="shared" si="178"/>
        <v>0</v>
      </c>
      <c r="KOU84" s="79">
        <f t="shared" si="178"/>
        <v>0</v>
      </c>
      <c r="KOV84" s="79">
        <f t="shared" si="178"/>
        <v>0</v>
      </c>
      <c r="KOW84" s="79">
        <f t="shared" si="178"/>
        <v>0</v>
      </c>
      <c r="KOX84" s="79">
        <f t="shared" si="178"/>
        <v>0</v>
      </c>
      <c r="KOY84" s="79">
        <f t="shared" si="178"/>
        <v>0</v>
      </c>
      <c r="KOZ84" s="79">
        <f t="shared" si="178"/>
        <v>0</v>
      </c>
      <c r="KPA84" s="79">
        <f t="shared" si="178"/>
        <v>0</v>
      </c>
      <c r="KPB84" s="79">
        <f t="shared" si="178"/>
        <v>0</v>
      </c>
      <c r="KPC84" s="79">
        <f t="shared" si="178"/>
        <v>0</v>
      </c>
      <c r="KPD84" s="79">
        <f t="shared" si="178"/>
        <v>0</v>
      </c>
      <c r="KPE84" s="145" t="s">
        <v>96</v>
      </c>
      <c r="KPH84" s="79">
        <f>KPH18+KPH24+KPH29+KPH30</f>
        <v>0</v>
      </c>
      <c r="KPI84" s="79">
        <f t="shared" si="178"/>
        <v>0</v>
      </c>
      <c r="KPJ84" s="79">
        <f t="shared" si="178"/>
        <v>0</v>
      </c>
      <c r="KPK84" s="79">
        <f t="shared" si="178"/>
        <v>0</v>
      </c>
      <c r="KPL84" s="79">
        <f t="shared" si="178"/>
        <v>0</v>
      </c>
      <c r="KPM84" s="79">
        <f t="shared" si="178"/>
        <v>0</v>
      </c>
      <c r="KPN84" s="79">
        <f t="shared" si="178"/>
        <v>0</v>
      </c>
      <c r="KPO84" s="79">
        <f t="shared" si="178"/>
        <v>0</v>
      </c>
      <c r="KPP84" s="79">
        <f t="shared" si="178"/>
        <v>0</v>
      </c>
      <c r="KPQ84" s="79">
        <f t="shared" si="178"/>
        <v>0</v>
      </c>
      <c r="KPR84" s="79">
        <f t="shared" si="178"/>
        <v>0</v>
      </c>
      <c r="KPS84" s="79">
        <f t="shared" si="178"/>
        <v>0</v>
      </c>
      <c r="KPT84" s="79">
        <f t="shared" si="178"/>
        <v>0</v>
      </c>
      <c r="KPU84" s="145" t="s">
        <v>96</v>
      </c>
      <c r="KPX84" s="79">
        <f>KPX18+KPX24+KPX29+KPX30</f>
        <v>0</v>
      </c>
      <c r="KPY84" s="79">
        <f t="shared" ref="KPY84:KSF84" si="179">KPY18+KPY24+KPY29+KPY30</f>
        <v>0</v>
      </c>
      <c r="KPZ84" s="79">
        <f t="shared" si="179"/>
        <v>0</v>
      </c>
      <c r="KQA84" s="79">
        <f t="shared" si="179"/>
        <v>0</v>
      </c>
      <c r="KQB84" s="79">
        <f t="shared" si="179"/>
        <v>0</v>
      </c>
      <c r="KQC84" s="79">
        <f t="shared" si="179"/>
        <v>0</v>
      </c>
      <c r="KQD84" s="79">
        <f t="shared" si="179"/>
        <v>0</v>
      </c>
      <c r="KQE84" s="79">
        <f t="shared" si="179"/>
        <v>0</v>
      </c>
      <c r="KQF84" s="79">
        <f t="shared" si="179"/>
        <v>0</v>
      </c>
      <c r="KQG84" s="79">
        <f t="shared" si="179"/>
        <v>0</v>
      </c>
      <c r="KQH84" s="79">
        <f t="shared" si="179"/>
        <v>0</v>
      </c>
      <c r="KQI84" s="79">
        <f t="shared" si="179"/>
        <v>0</v>
      </c>
      <c r="KQJ84" s="79">
        <f t="shared" si="179"/>
        <v>0</v>
      </c>
      <c r="KQK84" s="145" t="s">
        <v>96</v>
      </c>
      <c r="KQN84" s="79">
        <f>KQN18+KQN24+KQN29+KQN30</f>
        <v>0</v>
      </c>
      <c r="KQO84" s="79">
        <f t="shared" si="179"/>
        <v>0</v>
      </c>
      <c r="KQP84" s="79">
        <f t="shared" si="179"/>
        <v>0</v>
      </c>
      <c r="KQQ84" s="79">
        <f t="shared" si="179"/>
        <v>0</v>
      </c>
      <c r="KQR84" s="79">
        <f t="shared" si="179"/>
        <v>0</v>
      </c>
      <c r="KQS84" s="79">
        <f t="shared" si="179"/>
        <v>0</v>
      </c>
      <c r="KQT84" s="79">
        <f t="shared" si="179"/>
        <v>0</v>
      </c>
      <c r="KQU84" s="79">
        <f t="shared" si="179"/>
        <v>0</v>
      </c>
      <c r="KQV84" s="79">
        <f t="shared" si="179"/>
        <v>0</v>
      </c>
      <c r="KQW84" s="79">
        <f t="shared" si="179"/>
        <v>0</v>
      </c>
      <c r="KQX84" s="79">
        <f t="shared" si="179"/>
        <v>0</v>
      </c>
      <c r="KQY84" s="79">
        <f t="shared" si="179"/>
        <v>0</v>
      </c>
      <c r="KQZ84" s="79">
        <f t="shared" si="179"/>
        <v>0</v>
      </c>
      <c r="KRA84" s="145" t="s">
        <v>96</v>
      </c>
      <c r="KRD84" s="79">
        <f>KRD18+KRD24+KRD29+KRD30</f>
        <v>0</v>
      </c>
      <c r="KRE84" s="79">
        <f t="shared" si="179"/>
        <v>0</v>
      </c>
      <c r="KRF84" s="79">
        <f t="shared" si="179"/>
        <v>0</v>
      </c>
      <c r="KRG84" s="79">
        <f t="shared" si="179"/>
        <v>0</v>
      </c>
      <c r="KRH84" s="79">
        <f t="shared" si="179"/>
        <v>0</v>
      </c>
      <c r="KRI84" s="79">
        <f t="shared" si="179"/>
        <v>0</v>
      </c>
      <c r="KRJ84" s="79">
        <f t="shared" si="179"/>
        <v>0</v>
      </c>
      <c r="KRK84" s="79">
        <f t="shared" si="179"/>
        <v>0</v>
      </c>
      <c r="KRL84" s="79">
        <f t="shared" si="179"/>
        <v>0</v>
      </c>
      <c r="KRM84" s="79">
        <f t="shared" si="179"/>
        <v>0</v>
      </c>
      <c r="KRN84" s="79">
        <f t="shared" si="179"/>
        <v>0</v>
      </c>
      <c r="KRO84" s="79">
        <f t="shared" si="179"/>
        <v>0</v>
      </c>
      <c r="KRP84" s="79">
        <f t="shared" si="179"/>
        <v>0</v>
      </c>
      <c r="KRQ84" s="145" t="s">
        <v>96</v>
      </c>
      <c r="KRT84" s="79">
        <f>KRT18+KRT24+KRT29+KRT30</f>
        <v>0</v>
      </c>
      <c r="KRU84" s="79">
        <f t="shared" si="179"/>
        <v>0</v>
      </c>
      <c r="KRV84" s="79">
        <f t="shared" si="179"/>
        <v>0</v>
      </c>
      <c r="KRW84" s="79">
        <f t="shared" si="179"/>
        <v>0</v>
      </c>
      <c r="KRX84" s="79">
        <f t="shared" si="179"/>
        <v>0</v>
      </c>
      <c r="KRY84" s="79">
        <f t="shared" si="179"/>
        <v>0</v>
      </c>
      <c r="KRZ84" s="79">
        <f t="shared" si="179"/>
        <v>0</v>
      </c>
      <c r="KSA84" s="79">
        <f t="shared" si="179"/>
        <v>0</v>
      </c>
      <c r="KSB84" s="79">
        <f t="shared" si="179"/>
        <v>0</v>
      </c>
      <c r="KSC84" s="79">
        <f t="shared" si="179"/>
        <v>0</v>
      </c>
      <c r="KSD84" s="79">
        <f t="shared" si="179"/>
        <v>0</v>
      </c>
      <c r="KSE84" s="79">
        <f t="shared" si="179"/>
        <v>0</v>
      </c>
      <c r="KSF84" s="79">
        <f t="shared" si="179"/>
        <v>0</v>
      </c>
      <c r="KSG84" s="145" t="s">
        <v>96</v>
      </c>
      <c r="KSJ84" s="79">
        <f>KSJ18+KSJ24+KSJ29+KSJ30</f>
        <v>0</v>
      </c>
      <c r="KSK84" s="79">
        <f t="shared" ref="KSK84:KUR84" si="180">KSK18+KSK24+KSK29+KSK30</f>
        <v>0</v>
      </c>
      <c r="KSL84" s="79">
        <f t="shared" si="180"/>
        <v>0</v>
      </c>
      <c r="KSM84" s="79">
        <f t="shared" si="180"/>
        <v>0</v>
      </c>
      <c r="KSN84" s="79">
        <f t="shared" si="180"/>
        <v>0</v>
      </c>
      <c r="KSO84" s="79">
        <f t="shared" si="180"/>
        <v>0</v>
      </c>
      <c r="KSP84" s="79">
        <f t="shared" si="180"/>
        <v>0</v>
      </c>
      <c r="KSQ84" s="79">
        <f t="shared" si="180"/>
        <v>0</v>
      </c>
      <c r="KSR84" s="79">
        <f t="shared" si="180"/>
        <v>0</v>
      </c>
      <c r="KSS84" s="79">
        <f t="shared" si="180"/>
        <v>0</v>
      </c>
      <c r="KST84" s="79">
        <f t="shared" si="180"/>
        <v>0</v>
      </c>
      <c r="KSU84" s="79">
        <f t="shared" si="180"/>
        <v>0</v>
      </c>
      <c r="KSV84" s="79">
        <f t="shared" si="180"/>
        <v>0</v>
      </c>
      <c r="KSW84" s="145" t="s">
        <v>96</v>
      </c>
      <c r="KSZ84" s="79">
        <f>KSZ18+KSZ24+KSZ29+KSZ30</f>
        <v>0</v>
      </c>
      <c r="KTA84" s="79">
        <f t="shared" si="180"/>
        <v>0</v>
      </c>
      <c r="KTB84" s="79">
        <f t="shared" si="180"/>
        <v>0</v>
      </c>
      <c r="KTC84" s="79">
        <f t="shared" si="180"/>
        <v>0</v>
      </c>
      <c r="KTD84" s="79">
        <f t="shared" si="180"/>
        <v>0</v>
      </c>
      <c r="KTE84" s="79">
        <f t="shared" si="180"/>
        <v>0</v>
      </c>
      <c r="KTF84" s="79">
        <f t="shared" si="180"/>
        <v>0</v>
      </c>
      <c r="KTG84" s="79">
        <f t="shared" si="180"/>
        <v>0</v>
      </c>
      <c r="KTH84" s="79">
        <f t="shared" si="180"/>
        <v>0</v>
      </c>
      <c r="KTI84" s="79">
        <f t="shared" si="180"/>
        <v>0</v>
      </c>
      <c r="KTJ84" s="79">
        <f t="shared" si="180"/>
        <v>0</v>
      </c>
      <c r="KTK84" s="79">
        <f t="shared" si="180"/>
        <v>0</v>
      </c>
      <c r="KTL84" s="79">
        <f t="shared" si="180"/>
        <v>0</v>
      </c>
      <c r="KTM84" s="145" t="s">
        <v>96</v>
      </c>
      <c r="KTP84" s="79">
        <f>KTP18+KTP24+KTP29+KTP30</f>
        <v>0</v>
      </c>
      <c r="KTQ84" s="79">
        <f t="shared" si="180"/>
        <v>0</v>
      </c>
      <c r="KTR84" s="79">
        <f t="shared" si="180"/>
        <v>0</v>
      </c>
      <c r="KTS84" s="79">
        <f t="shared" si="180"/>
        <v>0</v>
      </c>
      <c r="KTT84" s="79">
        <f t="shared" si="180"/>
        <v>0</v>
      </c>
      <c r="KTU84" s="79">
        <f t="shared" si="180"/>
        <v>0</v>
      </c>
      <c r="KTV84" s="79">
        <f t="shared" si="180"/>
        <v>0</v>
      </c>
      <c r="KTW84" s="79">
        <f t="shared" si="180"/>
        <v>0</v>
      </c>
      <c r="KTX84" s="79">
        <f t="shared" si="180"/>
        <v>0</v>
      </c>
      <c r="KTY84" s="79">
        <f t="shared" si="180"/>
        <v>0</v>
      </c>
      <c r="KTZ84" s="79">
        <f t="shared" si="180"/>
        <v>0</v>
      </c>
      <c r="KUA84" s="79">
        <f t="shared" si="180"/>
        <v>0</v>
      </c>
      <c r="KUB84" s="79">
        <f t="shared" si="180"/>
        <v>0</v>
      </c>
      <c r="KUC84" s="145" t="s">
        <v>96</v>
      </c>
      <c r="KUF84" s="79">
        <f>KUF18+KUF24+KUF29+KUF30</f>
        <v>0</v>
      </c>
      <c r="KUG84" s="79">
        <f t="shared" si="180"/>
        <v>0</v>
      </c>
      <c r="KUH84" s="79">
        <f t="shared" si="180"/>
        <v>0</v>
      </c>
      <c r="KUI84" s="79">
        <f t="shared" si="180"/>
        <v>0</v>
      </c>
      <c r="KUJ84" s="79">
        <f t="shared" si="180"/>
        <v>0</v>
      </c>
      <c r="KUK84" s="79">
        <f t="shared" si="180"/>
        <v>0</v>
      </c>
      <c r="KUL84" s="79">
        <f t="shared" si="180"/>
        <v>0</v>
      </c>
      <c r="KUM84" s="79">
        <f t="shared" si="180"/>
        <v>0</v>
      </c>
      <c r="KUN84" s="79">
        <f t="shared" si="180"/>
        <v>0</v>
      </c>
      <c r="KUO84" s="79">
        <f t="shared" si="180"/>
        <v>0</v>
      </c>
      <c r="KUP84" s="79">
        <f t="shared" si="180"/>
        <v>0</v>
      </c>
      <c r="KUQ84" s="79">
        <f t="shared" si="180"/>
        <v>0</v>
      </c>
      <c r="KUR84" s="79">
        <f t="shared" si="180"/>
        <v>0</v>
      </c>
      <c r="KUS84" s="145" t="s">
        <v>96</v>
      </c>
      <c r="KUV84" s="79">
        <f>KUV18+KUV24+KUV29+KUV30</f>
        <v>0</v>
      </c>
      <c r="KUW84" s="79">
        <f t="shared" ref="KUW84:KXD84" si="181">KUW18+KUW24+KUW29+KUW30</f>
        <v>0</v>
      </c>
      <c r="KUX84" s="79">
        <f t="shared" si="181"/>
        <v>0</v>
      </c>
      <c r="KUY84" s="79">
        <f t="shared" si="181"/>
        <v>0</v>
      </c>
      <c r="KUZ84" s="79">
        <f t="shared" si="181"/>
        <v>0</v>
      </c>
      <c r="KVA84" s="79">
        <f t="shared" si="181"/>
        <v>0</v>
      </c>
      <c r="KVB84" s="79">
        <f t="shared" si="181"/>
        <v>0</v>
      </c>
      <c r="KVC84" s="79">
        <f t="shared" si="181"/>
        <v>0</v>
      </c>
      <c r="KVD84" s="79">
        <f t="shared" si="181"/>
        <v>0</v>
      </c>
      <c r="KVE84" s="79">
        <f t="shared" si="181"/>
        <v>0</v>
      </c>
      <c r="KVF84" s="79">
        <f t="shared" si="181"/>
        <v>0</v>
      </c>
      <c r="KVG84" s="79">
        <f t="shared" si="181"/>
        <v>0</v>
      </c>
      <c r="KVH84" s="79">
        <f t="shared" si="181"/>
        <v>0</v>
      </c>
      <c r="KVI84" s="145" t="s">
        <v>96</v>
      </c>
      <c r="KVL84" s="79">
        <f>KVL18+KVL24+KVL29+KVL30</f>
        <v>0</v>
      </c>
      <c r="KVM84" s="79">
        <f t="shared" si="181"/>
        <v>0</v>
      </c>
      <c r="KVN84" s="79">
        <f t="shared" si="181"/>
        <v>0</v>
      </c>
      <c r="KVO84" s="79">
        <f t="shared" si="181"/>
        <v>0</v>
      </c>
      <c r="KVP84" s="79">
        <f t="shared" si="181"/>
        <v>0</v>
      </c>
      <c r="KVQ84" s="79">
        <f t="shared" si="181"/>
        <v>0</v>
      </c>
      <c r="KVR84" s="79">
        <f t="shared" si="181"/>
        <v>0</v>
      </c>
      <c r="KVS84" s="79">
        <f t="shared" si="181"/>
        <v>0</v>
      </c>
      <c r="KVT84" s="79">
        <f t="shared" si="181"/>
        <v>0</v>
      </c>
      <c r="KVU84" s="79">
        <f t="shared" si="181"/>
        <v>0</v>
      </c>
      <c r="KVV84" s="79">
        <f t="shared" si="181"/>
        <v>0</v>
      </c>
      <c r="KVW84" s="79">
        <f t="shared" si="181"/>
        <v>0</v>
      </c>
      <c r="KVX84" s="79">
        <f t="shared" si="181"/>
        <v>0</v>
      </c>
      <c r="KVY84" s="145" t="s">
        <v>96</v>
      </c>
      <c r="KWB84" s="79">
        <f>KWB18+KWB24+KWB29+KWB30</f>
        <v>0</v>
      </c>
      <c r="KWC84" s="79">
        <f t="shared" si="181"/>
        <v>0</v>
      </c>
      <c r="KWD84" s="79">
        <f t="shared" si="181"/>
        <v>0</v>
      </c>
      <c r="KWE84" s="79">
        <f t="shared" si="181"/>
        <v>0</v>
      </c>
      <c r="KWF84" s="79">
        <f t="shared" si="181"/>
        <v>0</v>
      </c>
      <c r="KWG84" s="79">
        <f t="shared" si="181"/>
        <v>0</v>
      </c>
      <c r="KWH84" s="79">
        <f t="shared" si="181"/>
        <v>0</v>
      </c>
      <c r="KWI84" s="79">
        <f t="shared" si="181"/>
        <v>0</v>
      </c>
      <c r="KWJ84" s="79">
        <f t="shared" si="181"/>
        <v>0</v>
      </c>
      <c r="KWK84" s="79">
        <f t="shared" si="181"/>
        <v>0</v>
      </c>
      <c r="KWL84" s="79">
        <f t="shared" si="181"/>
        <v>0</v>
      </c>
      <c r="KWM84" s="79">
        <f t="shared" si="181"/>
        <v>0</v>
      </c>
      <c r="KWN84" s="79">
        <f t="shared" si="181"/>
        <v>0</v>
      </c>
      <c r="KWO84" s="145" t="s">
        <v>96</v>
      </c>
      <c r="KWR84" s="79">
        <f>KWR18+KWR24+KWR29+KWR30</f>
        <v>0</v>
      </c>
      <c r="KWS84" s="79">
        <f t="shared" si="181"/>
        <v>0</v>
      </c>
      <c r="KWT84" s="79">
        <f t="shared" si="181"/>
        <v>0</v>
      </c>
      <c r="KWU84" s="79">
        <f t="shared" si="181"/>
        <v>0</v>
      </c>
      <c r="KWV84" s="79">
        <f t="shared" si="181"/>
        <v>0</v>
      </c>
      <c r="KWW84" s="79">
        <f t="shared" si="181"/>
        <v>0</v>
      </c>
      <c r="KWX84" s="79">
        <f t="shared" si="181"/>
        <v>0</v>
      </c>
      <c r="KWY84" s="79">
        <f t="shared" si="181"/>
        <v>0</v>
      </c>
      <c r="KWZ84" s="79">
        <f t="shared" si="181"/>
        <v>0</v>
      </c>
      <c r="KXA84" s="79">
        <f t="shared" si="181"/>
        <v>0</v>
      </c>
      <c r="KXB84" s="79">
        <f t="shared" si="181"/>
        <v>0</v>
      </c>
      <c r="KXC84" s="79">
        <f t="shared" si="181"/>
        <v>0</v>
      </c>
      <c r="KXD84" s="79">
        <f t="shared" si="181"/>
        <v>0</v>
      </c>
      <c r="KXE84" s="145" t="s">
        <v>96</v>
      </c>
      <c r="KXH84" s="79">
        <f>KXH18+KXH24+KXH29+KXH30</f>
        <v>0</v>
      </c>
      <c r="KXI84" s="79">
        <f t="shared" ref="KXI84:KZP84" si="182">KXI18+KXI24+KXI29+KXI30</f>
        <v>0</v>
      </c>
      <c r="KXJ84" s="79">
        <f t="shared" si="182"/>
        <v>0</v>
      </c>
      <c r="KXK84" s="79">
        <f t="shared" si="182"/>
        <v>0</v>
      </c>
      <c r="KXL84" s="79">
        <f t="shared" si="182"/>
        <v>0</v>
      </c>
      <c r="KXM84" s="79">
        <f t="shared" si="182"/>
        <v>0</v>
      </c>
      <c r="KXN84" s="79">
        <f t="shared" si="182"/>
        <v>0</v>
      </c>
      <c r="KXO84" s="79">
        <f t="shared" si="182"/>
        <v>0</v>
      </c>
      <c r="KXP84" s="79">
        <f t="shared" si="182"/>
        <v>0</v>
      </c>
      <c r="KXQ84" s="79">
        <f t="shared" si="182"/>
        <v>0</v>
      </c>
      <c r="KXR84" s="79">
        <f t="shared" si="182"/>
        <v>0</v>
      </c>
      <c r="KXS84" s="79">
        <f t="shared" si="182"/>
        <v>0</v>
      </c>
      <c r="KXT84" s="79">
        <f t="shared" si="182"/>
        <v>0</v>
      </c>
      <c r="KXU84" s="145" t="s">
        <v>96</v>
      </c>
      <c r="KXX84" s="79">
        <f>KXX18+KXX24+KXX29+KXX30</f>
        <v>0</v>
      </c>
      <c r="KXY84" s="79">
        <f t="shared" si="182"/>
        <v>0</v>
      </c>
      <c r="KXZ84" s="79">
        <f t="shared" si="182"/>
        <v>0</v>
      </c>
      <c r="KYA84" s="79">
        <f t="shared" si="182"/>
        <v>0</v>
      </c>
      <c r="KYB84" s="79">
        <f t="shared" si="182"/>
        <v>0</v>
      </c>
      <c r="KYC84" s="79">
        <f t="shared" si="182"/>
        <v>0</v>
      </c>
      <c r="KYD84" s="79">
        <f t="shared" si="182"/>
        <v>0</v>
      </c>
      <c r="KYE84" s="79">
        <f t="shared" si="182"/>
        <v>0</v>
      </c>
      <c r="KYF84" s="79">
        <f t="shared" si="182"/>
        <v>0</v>
      </c>
      <c r="KYG84" s="79">
        <f t="shared" si="182"/>
        <v>0</v>
      </c>
      <c r="KYH84" s="79">
        <f t="shared" si="182"/>
        <v>0</v>
      </c>
      <c r="KYI84" s="79">
        <f t="shared" si="182"/>
        <v>0</v>
      </c>
      <c r="KYJ84" s="79">
        <f t="shared" si="182"/>
        <v>0</v>
      </c>
      <c r="KYK84" s="145" t="s">
        <v>96</v>
      </c>
      <c r="KYN84" s="79">
        <f>KYN18+KYN24+KYN29+KYN30</f>
        <v>0</v>
      </c>
      <c r="KYO84" s="79">
        <f t="shared" si="182"/>
        <v>0</v>
      </c>
      <c r="KYP84" s="79">
        <f t="shared" si="182"/>
        <v>0</v>
      </c>
      <c r="KYQ84" s="79">
        <f t="shared" si="182"/>
        <v>0</v>
      </c>
      <c r="KYR84" s="79">
        <f t="shared" si="182"/>
        <v>0</v>
      </c>
      <c r="KYS84" s="79">
        <f t="shared" si="182"/>
        <v>0</v>
      </c>
      <c r="KYT84" s="79">
        <f t="shared" si="182"/>
        <v>0</v>
      </c>
      <c r="KYU84" s="79">
        <f t="shared" si="182"/>
        <v>0</v>
      </c>
      <c r="KYV84" s="79">
        <f t="shared" si="182"/>
        <v>0</v>
      </c>
      <c r="KYW84" s="79">
        <f t="shared" si="182"/>
        <v>0</v>
      </c>
      <c r="KYX84" s="79">
        <f t="shared" si="182"/>
        <v>0</v>
      </c>
      <c r="KYY84" s="79">
        <f t="shared" si="182"/>
        <v>0</v>
      </c>
      <c r="KYZ84" s="79">
        <f t="shared" si="182"/>
        <v>0</v>
      </c>
      <c r="KZA84" s="145" t="s">
        <v>96</v>
      </c>
      <c r="KZD84" s="79">
        <f>KZD18+KZD24+KZD29+KZD30</f>
        <v>0</v>
      </c>
      <c r="KZE84" s="79">
        <f t="shared" si="182"/>
        <v>0</v>
      </c>
      <c r="KZF84" s="79">
        <f t="shared" si="182"/>
        <v>0</v>
      </c>
      <c r="KZG84" s="79">
        <f t="shared" si="182"/>
        <v>0</v>
      </c>
      <c r="KZH84" s="79">
        <f t="shared" si="182"/>
        <v>0</v>
      </c>
      <c r="KZI84" s="79">
        <f t="shared" si="182"/>
        <v>0</v>
      </c>
      <c r="KZJ84" s="79">
        <f t="shared" si="182"/>
        <v>0</v>
      </c>
      <c r="KZK84" s="79">
        <f t="shared" si="182"/>
        <v>0</v>
      </c>
      <c r="KZL84" s="79">
        <f t="shared" si="182"/>
        <v>0</v>
      </c>
      <c r="KZM84" s="79">
        <f t="shared" si="182"/>
        <v>0</v>
      </c>
      <c r="KZN84" s="79">
        <f t="shared" si="182"/>
        <v>0</v>
      </c>
      <c r="KZO84" s="79">
        <f t="shared" si="182"/>
        <v>0</v>
      </c>
      <c r="KZP84" s="79">
        <f t="shared" si="182"/>
        <v>0</v>
      </c>
      <c r="KZQ84" s="145" t="s">
        <v>96</v>
      </c>
      <c r="KZT84" s="79">
        <f>KZT18+KZT24+KZT29+KZT30</f>
        <v>0</v>
      </c>
      <c r="KZU84" s="79">
        <f t="shared" ref="KZU84:LCB84" si="183">KZU18+KZU24+KZU29+KZU30</f>
        <v>0</v>
      </c>
      <c r="KZV84" s="79">
        <f t="shared" si="183"/>
        <v>0</v>
      </c>
      <c r="KZW84" s="79">
        <f t="shared" si="183"/>
        <v>0</v>
      </c>
      <c r="KZX84" s="79">
        <f t="shared" si="183"/>
        <v>0</v>
      </c>
      <c r="KZY84" s="79">
        <f t="shared" si="183"/>
        <v>0</v>
      </c>
      <c r="KZZ84" s="79">
        <f t="shared" si="183"/>
        <v>0</v>
      </c>
      <c r="LAA84" s="79">
        <f t="shared" si="183"/>
        <v>0</v>
      </c>
      <c r="LAB84" s="79">
        <f t="shared" si="183"/>
        <v>0</v>
      </c>
      <c r="LAC84" s="79">
        <f t="shared" si="183"/>
        <v>0</v>
      </c>
      <c r="LAD84" s="79">
        <f t="shared" si="183"/>
        <v>0</v>
      </c>
      <c r="LAE84" s="79">
        <f t="shared" si="183"/>
        <v>0</v>
      </c>
      <c r="LAF84" s="79">
        <f t="shared" si="183"/>
        <v>0</v>
      </c>
      <c r="LAG84" s="145" t="s">
        <v>96</v>
      </c>
      <c r="LAJ84" s="79">
        <f>LAJ18+LAJ24+LAJ29+LAJ30</f>
        <v>0</v>
      </c>
      <c r="LAK84" s="79">
        <f t="shared" si="183"/>
        <v>0</v>
      </c>
      <c r="LAL84" s="79">
        <f t="shared" si="183"/>
        <v>0</v>
      </c>
      <c r="LAM84" s="79">
        <f t="shared" si="183"/>
        <v>0</v>
      </c>
      <c r="LAN84" s="79">
        <f t="shared" si="183"/>
        <v>0</v>
      </c>
      <c r="LAO84" s="79">
        <f t="shared" si="183"/>
        <v>0</v>
      </c>
      <c r="LAP84" s="79">
        <f t="shared" si="183"/>
        <v>0</v>
      </c>
      <c r="LAQ84" s="79">
        <f t="shared" si="183"/>
        <v>0</v>
      </c>
      <c r="LAR84" s="79">
        <f t="shared" si="183"/>
        <v>0</v>
      </c>
      <c r="LAS84" s="79">
        <f t="shared" si="183"/>
        <v>0</v>
      </c>
      <c r="LAT84" s="79">
        <f t="shared" si="183"/>
        <v>0</v>
      </c>
      <c r="LAU84" s="79">
        <f t="shared" si="183"/>
        <v>0</v>
      </c>
      <c r="LAV84" s="79">
        <f t="shared" si="183"/>
        <v>0</v>
      </c>
      <c r="LAW84" s="145" t="s">
        <v>96</v>
      </c>
      <c r="LAZ84" s="79">
        <f>LAZ18+LAZ24+LAZ29+LAZ30</f>
        <v>0</v>
      </c>
      <c r="LBA84" s="79">
        <f t="shared" si="183"/>
        <v>0</v>
      </c>
      <c r="LBB84" s="79">
        <f t="shared" si="183"/>
        <v>0</v>
      </c>
      <c r="LBC84" s="79">
        <f t="shared" si="183"/>
        <v>0</v>
      </c>
      <c r="LBD84" s="79">
        <f t="shared" si="183"/>
        <v>0</v>
      </c>
      <c r="LBE84" s="79">
        <f t="shared" si="183"/>
        <v>0</v>
      </c>
      <c r="LBF84" s="79">
        <f t="shared" si="183"/>
        <v>0</v>
      </c>
      <c r="LBG84" s="79">
        <f t="shared" si="183"/>
        <v>0</v>
      </c>
      <c r="LBH84" s="79">
        <f t="shared" si="183"/>
        <v>0</v>
      </c>
      <c r="LBI84" s="79">
        <f t="shared" si="183"/>
        <v>0</v>
      </c>
      <c r="LBJ84" s="79">
        <f t="shared" si="183"/>
        <v>0</v>
      </c>
      <c r="LBK84" s="79">
        <f t="shared" si="183"/>
        <v>0</v>
      </c>
      <c r="LBL84" s="79">
        <f t="shared" si="183"/>
        <v>0</v>
      </c>
      <c r="LBM84" s="145" t="s">
        <v>96</v>
      </c>
      <c r="LBP84" s="79">
        <f>LBP18+LBP24+LBP29+LBP30</f>
        <v>0</v>
      </c>
      <c r="LBQ84" s="79">
        <f t="shared" si="183"/>
        <v>0</v>
      </c>
      <c r="LBR84" s="79">
        <f t="shared" si="183"/>
        <v>0</v>
      </c>
      <c r="LBS84" s="79">
        <f t="shared" si="183"/>
        <v>0</v>
      </c>
      <c r="LBT84" s="79">
        <f t="shared" si="183"/>
        <v>0</v>
      </c>
      <c r="LBU84" s="79">
        <f t="shared" si="183"/>
        <v>0</v>
      </c>
      <c r="LBV84" s="79">
        <f t="shared" si="183"/>
        <v>0</v>
      </c>
      <c r="LBW84" s="79">
        <f t="shared" si="183"/>
        <v>0</v>
      </c>
      <c r="LBX84" s="79">
        <f t="shared" si="183"/>
        <v>0</v>
      </c>
      <c r="LBY84" s="79">
        <f t="shared" si="183"/>
        <v>0</v>
      </c>
      <c r="LBZ84" s="79">
        <f t="shared" si="183"/>
        <v>0</v>
      </c>
      <c r="LCA84" s="79">
        <f t="shared" si="183"/>
        <v>0</v>
      </c>
      <c r="LCB84" s="79">
        <f t="shared" si="183"/>
        <v>0</v>
      </c>
      <c r="LCC84" s="145" t="s">
        <v>96</v>
      </c>
      <c r="LCF84" s="79">
        <f>LCF18+LCF24+LCF29+LCF30</f>
        <v>0</v>
      </c>
      <c r="LCG84" s="79">
        <f t="shared" ref="LCG84:LEN84" si="184">LCG18+LCG24+LCG29+LCG30</f>
        <v>0</v>
      </c>
      <c r="LCH84" s="79">
        <f t="shared" si="184"/>
        <v>0</v>
      </c>
      <c r="LCI84" s="79">
        <f t="shared" si="184"/>
        <v>0</v>
      </c>
      <c r="LCJ84" s="79">
        <f t="shared" si="184"/>
        <v>0</v>
      </c>
      <c r="LCK84" s="79">
        <f t="shared" si="184"/>
        <v>0</v>
      </c>
      <c r="LCL84" s="79">
        <f t="shared" si="184"/>
        <v>0</v>
      </c>
      <c r="LCM84" s="79">
        <f t="shared" si="184"/>
        <v>0</v>
      </c>
      <c r="LCN84" s="79">
        <f t="shared" si="184"/>
        <v>0</v>
      </c>
      <c r="LCO84" s="79">
        <f t="shared" si="184"/>
        <v>0</v>
      </c>
      <c r="LCP84" s="79">
        <f t="shared" si="184"/>
        <v>0</v>
      </c>
      <c r="LCQ84" s="79">
        <f t="shared" si="184"/>
        <v>0</v>
      </c>
      <c r="LCR84" s="79">
        <f t="shared" si="184"/>
        <v>0</v>
      </c>
      <c r="LCS84" s="145" t="s">
        <v>96</v>
      </c>
      <c r="LCV84" s="79">
        <f>LCV18+LCV24+LCV29+LCV30</f>
        <v>0</v>
      </c>
      <c r="LCW84" s="79">
        <f t="shared" si="184"/>
        <v>0</v>
      </c>
      <c r="LCX84" s="79">
        <f t="shared" si="184"/>
        <v>0</v>
      </c>
      <c r="LCY84" s="79">
        <f t="shared" si="184"/>
        <v>0</v>
      </c>
      <c r="LCZ84" s="79">
        <f t="shared" si="184"/>
        <v>0</v>
      </c>
      <c r="LDA84" s="79">
        <f t="shared" si="184"/>
        <v>0</v>
      </c>
      <c r="LDB84" s="79">
        <f t="shared" si="184"/>
        <v>0</v>
      </c>
      <c r="LDC84" s="79">
        <f t="shared" si="184"/>
        <v>0</v>
      </c>
      <c r="LDD84" s="79">
        <f t="shared" si="184"/>
        <v>0</v>
      </c>
      <c r="LDE84" s="79">
        <f t="shared" si="184"/>
        <v>0</v>
      </c>
      <c r="LDF84" s="79">
        <f t="shared" si="184"/>
        <v>0</v>
      </c>
      <c r="LDG84" s="79">
        <f t="shared" si="184"/>
        <v>0</v>
      </c>
      <c r="LDH84" s="79">
        <f t="shared" si="184"/>
        <v>0</v>
      </c>
      <c r="LDI84" s="145" t="s">
        <v>96</v>
      </c>
      <c r="LDL84" s="79">
        <f>LDL18+LDL24+LDL29+LDL30</f>
        <v>0</v>
      </c>
      <c r="LDM84" s="79">
        <f t="shared" si="184"/>
        <v>0</v>
      </c>
      <c r="LDN84" s="79">
        <f t="shared" si="184"/>
        <v>0</v>
      </c>
      <c r="LDO84" s="79">
        <f t="shared" si="184"/>
        <v>0</v>
      </c>
      <c r="LDP84" s="79">
        <f t="shared" si="184"/>
        <v>0</v>
      </c>
      <c r="LDQ84" s="79">
        <f t="shared" si="184"/>
        <v>0</v>
      </c>
      <c r="LDR84" s="79">
        <f t="shared" si="184"/>
        <v>0</v>
      </c>
      <c r="LDS84" s="79">
        <f t="shared" si="184"/>
        <v>0</v>
      </c>
      <c r="LDT84" s="79">
        <f t="shared" si="184"/>
        <v>0</v>
      </c>
      <c r="LDU84" s="79">
        <f t="shared" si="184"/>
        <v>0</v>
      </c>
      <c r="LDV84" s="79">
        <f t="shared" si="184"/>
        <v>0</v>
      </c>
      <c r="LDW84" s="79">
        <f t="shared" si="184"/>
        <v>0</v>
      </c>
      <c r="LDX84" s="79">
        <f t="shared" si="184"/>
        <v>0</v>
      </c>
      <c r="LDY84" s="145" t="s">
        <v>96</v>
      </c>
      <c r="LEB84" s="79">
        <f>LEB18+LEB24+LEB29+LEB30</f>
        <v>0</v>
      </c>
      <c r="LEC84" s="79">
        <f t="shared" si="184"/>
        <v>0</v>
      </c>
      <c r="LED84" s="79">
        <f t="shared" si="184"/>
        <v>0</v>
      </c>
      <c r="LEE84" s="79">
        <f t="shared" si="184"/>
        <v>0</v>
      </c>
      <c r="LEF84" s="79">
        <f t="shared" si="184"/>
        <v>0</v>
      </c>
      <c r="LEG84" s="79">
        <f t="shared" si="184"/>
        <v>0</v>
      </c>
      <c r="LEH84" s="79">
        <f t="shared" si="184"/>
        <v>0</v>
      </c>
      <c r="LEI84" s="79">
        <f t="shared" si="184"/>
        <v>0</v>
      </c>
      <c r="LEJ84" s="79">
        <f t="shared" si="184"/>
        <v>0</v>
      </c>
      <c r="LEK84" s="79">
        <f t="shared" si="184"/>
        <v>0</v>
      </c>
      <c r="LEL84" s="79">
        <f t="shared" si="184"/>
        <v>0</v>
      </c>
      <c r="LEM84" s="79">
        <f t="shared" si="184"/>
        <v>0</v>
      </c>
      <c r="LEN84" s="79">
        <f t="shared" si="184"/>
        <v>0</v>
      </c>
      <c r="LEO84" s="145" t="s">
        <v>96</v>
      </c>
      <c r="LER84" s="79">
        <f>LER18+LER24+LER29+LER30</f>
        <v>0</v>
      </c>
      <c r="LES84" s="79">
        <f t="shared" ref="LES84:LGZ84" si="185">LES18+LES24+LES29+LES30</f>
        <v>0</v>
      </c>
      <c r="LET84" s="79">
        <f t="shared" si="185"/>
        <v>0</v>
      </c>
      <c r="LEU84" s="79">
        <f t="shared" si="185"/>
        <v>0</v>
      </c>
      <c r="LEV84" s="79">
        <f t="shared" si="185"/>
        <v>0</v>
      </c>
      <c r="LEW84" s="79">
        <f t="shared" si="185"/>
        <v>0</v>
      </c>
      <c r="LEX84" s="79">
        <f t="shared" si="185"/>
        <v>0</v>
      </c>
      <c r="LEY84" s="79">
        <f t="shared" si="185"/>
        <v>0</v>
      </c>
      <c r="LEZ84" s="79">
        <f t="shared" si="185"/>
        <v>0</v>
      </c>
      <c r="LFA84" s="79">
        <f t="shared" si="185"/>
        <v>0</v>
      </c>
      <c r="LFB84" s="79">
        <f t="shared" si="185"/>
        <v>0</v>
      </c>
      <c r="LFC84" s="79">
        <f t="shared" si="185"/>
        <v>0</v>
      </c>
      <c r="LFD84" s="79">
        <f t="shared" si="185"/>
        <v>0</v>
      </c>
      <c r="LFE84" s="145" t="s">
        <v>96</v>
      </c>
      <c r="LFH84" s="79">
        <f>LFH18+LFH24+LFH29+LFH30</f>
        <v>0</v>
      </c>
      <c r="LFI84" s="79">
        <f t="shared" si="185"/>
        <v>0</v>
      </c>
      <c r="LFJ84" s="79">
        <f t="shared" si="185"/>
        <v>0</v>
      </c>
      <c r="LFK84" s="79">
        <f t="shared" si="185"/>
        <v>0</v>
      </c>
      <c r="LFL84" s="79">
        <f t="shared" si="185"/>
        <v>0</v>
      </c>
      <c r="LFM84" s="79">
        <f t="shared" si="185"/>
        <v>0</v>
      </c>
      <c r="LFN84" s="79">
        <f t="shared" si="185"/>
        <v>0</v>
      </c>
      <c r="LFO84" s="79">
        <f t="shared" si="185"/>
        <v>0</v>
      </c>
      <c r="LFP84" s="79">
        <f t="shared" si="185"/>
        <v>0</v>
      </c>
      <c r="LFQ84" s="79">
        <f t="shared" si="185"/>
        <v>0</v>
      </c>
      <c r="LFR84" s="79">
        <f t="shared" si="185"/>
        <v>0</v>
      </c>
      <c r="LFS84" s="79">
        <f t="shared" si="185"/>
        <v>0</v>
      </c>
      <c r="LFT84" s="79">
        <f t="shared" si="185"/>
        <v>0</v>
      </c>
      <c r="LFU84" s="145" t="s">
        <v>96</v>
      </c>
      <c r="LFX84" s="79">
        <f>LFX18+LFX24+LFX29+LFX30</f>
        <v>0</v>
      </c>
      <c r="LFY84" s="79">
        <f t="shared" si="185"/>
        <v>0</v>
      </c>
      <c r="LFZ84" s="79">
        <f t="shared" si="185"/>
        <v>0</v>
      </c>
      <c r="LGA84" s="79">
        <f t="shared" si="185"/>
        <v>0</v>
      </c>
      <c r="LGB84" s="79">
        <f t="shared" si="185"/>
        <v>0</v>
      </c>
      <c r="LGC84" s="79">
        <f t="shared" si="185"/>
        <v>0</v>
      </c>
      <c r="LGD84" s="79">
        <f t="shared" si="185"/>
        <v>0</v>
      </c>
      <c r="LGE84" s="79">
        <f t="shared" si="185"/>
        <v>0</v>
      </c>
      <c r="LGF84" s="79">
        <f t="shared" si="185"/>
        <v>0</v>
      </c>
      <c r="LGG84" s="79">
        <f t="shared" si="185"/>
        <v>0</v>
      </c>
      <c r="LGH84" s="79">
        <f t="shared" si="185"/>
        <v>0</v>
      </c>
      <c r="LGI84" s="79">
        <f t="shared" si="185"/>
        <v>0</v>
      </c>
      <c r="LGJ84" s="79">
        <f t="shared" si="185"/>
        <v>0</v>
      </c>
      <c r="LGK84" s="145" t="s">
        <v>96</v>
      </c>
      <c r="LGN84" s="79">
        <f>LGN18+LGN24+LGN29+LGN30</f>
        <v>0</v>
      </c>
      <c r="LGO84" s="79">
        <f t="shared" si="185"/>
        <v>0</v>
      </c>
      <c r="LGP84" s="79">
        <f t="shared" si="185"/>
        <v>0</v>
      </c>
      <c r="LGQ84" s="79">
        <f t="shared" si="185"/>
        <v>0</v>
      </c>
      <c r="LGR84" s="79">
        <f t="shared" si="185"/>
        <v>0</v>
      </c>
      <c r="LGS84" s="79">
        <f t="shared" si="185"/>
        <v>0</v>
      </c>
      <c r="LGT84" s="79">
        <f t="shared" si="185"/>
        <v>0</v>
      </c>
      <c r="LGU84" s="79">
        <f t="shared" si="185"/>
        <v>0</v>
      </c>
      <c r="LGV84" s="79">
        <f t="shared" si="185"/>
        <v>0</v>
      </c>
      <c r="LGW84" s="79">
        <f t="shared" si="185"/>
        <v>0</v>
      </c>
      <c r="LGX84" s="79">
        <f t="shared" si="185"/>
        <v>0</v>
      </c>
      <c r="LGY84" s="79">
        <f t="shared" si="185"/>
        <v>0</v>
      </c>
      <c r="LGZ84" s="79">
        <f t="shared" si="185"/>
        <v>0</v>
      </c>
      <c r="LHA84" s="145" t="s">
        <v>96</v>
      </c>
      <c r="LHD84" s="79">
        <f>LHD18+LHD24+LHD29+LHD30</f>
        <v>0</v>
      </c>
      <c r="LHE84" s="79">
        <f t="shared" ref="LHE84:LJL84" si="186">LHE18+LHE24+LHE29+LHE30</f>
        <v>0</v>
      </c>
      <c r="LHF84" s="79">
        <f t="shared" si="186"/>
        <v>0</v>
      </c>
      <c r="LHG84" s="79">
        <f t="shared" si="186"/>
        <v>0</v>
      </c>
      <c r="LHH84" s="79">
        <f t="shared" si="186"/>
        <v>0</v>
      </c>
      <c r="LHI84" s="79">
        <f t="shared" si="186"/>
        <v>0</v>
      </c>
      <c r="LHJ84" s="79">
        <f t="shared" si="186"/>
        <v>0</v>
      </c>
      <c r="LHK84" s="79">
        <f t="shared" si="186"/>
        <v>0</v>
      </c>
      <c r="LHL84" s="79">
        <f t="shared" si="186"/>
        <v>0</v>
      </c>
      <c r="LHM84" s="79">
        <f t="shared" si="186"/>
        <v>0</v>
      </c>
      <c r="LHN84" s="79">
        <f t="shared" si="186"/>
        <v>0</v>
      </c>
      <c r="LHO84" s="79">
        <f t="shared" si="186"/>
        <v>0</v>
      </c>
      <c r="LHP84" s="79">
        <f t="shared" si="186"/>
        <v>0</v>
      </c>
      <c r="LHQ84" s="145" t="s">
        <v>96</v>
      </c>
      <c r="LHT84" s="79">
        <f>LHT18+LHT24+LHT29+LHT30</f>
        <v>0</v>
      </c>
      <c r="LHU84" s="79">
        <f t="shared" si="186"/>
        <v>0</v>
      </c>
      <c r="LHV84" s="79">
        <f t="shared" si="186"/>
        <v>0</v>
      </c>
      <c r="LHW84" s="79">
        <f t="shared" si="186"/>
        <v>0</v>
      </c>
      <c r="LHX84" s="79">
        <f t="shared" si="186"/>
        <v>0</v>
      </c>
      <c r="LHY84" s="79">
        <f t="shared" si="186"/>
        <v>0</v>
      </c>
      <c r="LHZ84" s="79">
        <f t="shared" si="186"/>
        <v>0</v>
      </c>
      <c r="LIA84" s="79">
        <f t="shared" si="186"/>
        <v>0</v>
      </c>
      <c r="LIB84" s="79">
        <f t="shared" si="186"/>
        <v>0</v>
      </c>
      <c r="LIC84" s="79">
        <f t="shared" si="186"/>
        <v>0</v>
      </c>
      <c r="LID84" s="79">
        <f t="shared" si="186"/>
        <v>0</v>
      </c>
      <c r="LIE84" s="79">
        <f t="shared" si="186"/>
        <v>0</v>
      </c>
      <c r="LIF84" s="79">
        <f t="shared" si="186"/>
        <v>0</v>
      </c>
      <c r="LIG84" s="145" t="s">
        <v>96</v>
      </c>
      <c r="LIJ84" s="79">
        <f>LIJ18+LIJ24+LIJ29+LIJ30</f>
        <v>0</v>
      </c>
      <c r="LIK84" s="79">
        <f t="shared" si="186"/>
        <v>0</v>
      </c>
      <c r="LIL84" s="79">
        <f t="shared" si="186"/>
        <v>0</v>
      </c>
      <c r="LIM84" s="79">
        <f t="shared" si="186"/>
        <v>0</v>
      </c>
      <c r="LIN84" s="79">
        <f t="shared" si="186"/>
        <v>0</v>
      </c>
      <c r="LIO84" s="79">
        <f t="shared" si="186"/>
        <v>0</v>
      </c>
      <c r="LIP84" s="79">
        <f t="shared" si="186"/>
        <v>0</v>
      </c>
      <c r="LIQ84" s="79">
        <f t="shared" si="186"/>
        <v>0</v>
      </c>
      <c r="LIR84" s="79">
        <f t="shared" si="186"/>
        <v>0</v>
      </c>
      <c r="LIS84" s="79">
        <f t="shared" si="186"/>
        <v>0</v>
      </c>
      <c r="LIT84" s="79">
        <f t="shared" si="186"/>
        <v>0</v>
      </c>
      <c r="LIU84" s="79">
        <f t="shared" si="186"/>
        <v>0</v>
      </c>
      <c r="LIV84" s="79">
        <f t="shared" si="186"/>
        <v>0</v>
      </c>
      <c r="LIW84" s="145" t="s">
        <v>96</v>
      </c>
      <c r="LIZ84" s="79">
        <f>LIZ18+LIZ24+LIZ29+LIZ30</f>
        <v>0</v>
      </c>
      <c r="LJA84" s="79">
        <f t="shared" si="186"/>
        <v>0</v>
      </c>
      <c r="LJB84" s="79">
        <f t="shared" si="186"/>
        <v>0</v>
      </c>
      <c r="LJC84" s="79">
        <f t="shared" si="186"/>
        <v>0</v>
      </c>
      <c r="LJD84" s="79">
        <f t="shared" si="186"/>
        <v>0</v>
      </c>
      <c r="LJE84" s="79">
        <f t="shared" si="186"/>
        <v>0</v>
      </c>
      <c r="LJF84" s="79">
        <f t="shared" si="186"/>
        <v>0</v>
      </c>
      <c r="LJG84" s="79">
        <f t="shared" si="186"/>
        <v>0</v>
      </c>
      <c r="LJH84" s="79">
        <f t="shared" si="186"/>
        <v>0</v>
      </c>
      <c r="LJI84" s="79">
        <f t="shared" si="186"/>
        <v>0</v>
      </c>
      <c r="LJJ84" s="79">
        <f t="shared" si="186"/>
        <v>0</v>
      </c>
      <c r="LJK84" s="79">
        <f t="shared" si="186"/>
        <v>0</v>
      </c>
      <c r="LJL84" s="79">
        <f t="shared" si="186"/>
        <v>0</v>
      </c>
      <c r="LJM84" s="145" t="s">
        <v>96</v>
      </c>
      <c r="LJP84" s="79">
        <f>LJP18+LJP24+LJP29+LJP30</f>
        <v>0</v>
      </c>
      <c r="LJQ84" s="79">
        <f t="shared" ref="LJQ84:LLX84" si="187">LJQ18+LJQ24+LJQ29+LJQ30</f>
        <v>0</v>
      </c>
      <c r="LJR84" s="79">
        <f t="shared" si="187"/>
        <v>0</v>
      </c>
      <c r="LJS84" s="79">
        <f t="shared" si="187"/>
        <v>0</v>
      </c>
      <c r="LJT84" s="79">
        <f t="shared" si="187"/>
        <v>0</v>
      </c>
      <c r="LJU84" s="79">
        <f t="shared" si="187"/>
        <v>0</v>
      </c>
      <c r="LJV84" s="79">
        <f t="shared" si="187"/>
        <v>0</v>
      </c>
      <c r="LJW84" s="79">
        <f t="shared" si="187"/>
        <v>0</v>
      </c>
      <c r="LJX84" s="79">
        <f t="shared" si="187"/>
        <v>0</v>
      </c>
      <c r="LJY84" s="79">
        <f t="shared" si="187"/>
        <v>0</v>
      </c>
      <c r="LJZ84" s="79">
        <f t="shared" si="187"/>
        <v>0</v>
      </c>
      <c r="LKA84" s="79">
        <f t="shared" si="187"/>
        <v>0</v>
      </c>
      <c r="LKB84" s="79">
        <f t="shared" si="187"/>
        <v>0</v>
      </c>
      <c r="LKC84" s="145" t="s">
        <v>96</v>
      </c>
      <c r="LKF84" s="79">
        <f>LKF18+LKF24+LKF29+LKF30</f>
        <v>0</v>
      </c>
      <c r="LKG84" s="79">
        <f t="shared" si="187"/>
        <v>0</v>
      </c>
      <c r="LKH84" s="79">
        <f t="shared" si="187"/>
        <v>0</v>
      </c>
      <c r="LKI84" s="79">
        <f t="shared" si="187"/>
        <v>0</v>
      </c>
      <c r="LKJ84" s="79">
        <f t="shared" si="187"/>
        <v>0</v>
      </c>
      <c r="LKK84" s="79">
        <f t="shared" si="187"/>
        <v>0</v>
      </c>
      <c r="LKL84" s="79">
        <f t="shared" si="187"/>
        <v>0</v>
      </c>
      <c r="LKM84" s="79">
        <f t="shared" si="187"/>
        <v>0</v>
      </c>
      <c r="LKN84" s="79">
        <f t="shared" si="187"/>
        <v>0</v>
      </c>
      <c r="LKO84" s="79">
        <f t="shared" si="187"/>
        <v>0</v>
      </c>
      <c r="LKP84" s="79">
        <f t="shared" si="187"/>
        <v>0</v>
      </c>
      <c r="LKQ84" s="79">
        <f t="shared" si="187"/>
        <v>0</v>
      </c>
      <c r="LKR84" s="79">
        <f t="shared" si="187"/>
        <v>0</v>
      </c>
      <c r="LKS84" s="145" t="s">
        <v>96</v>
      </c>
      <c r="LKV84" s="79">
        <f>LKV18+LKV24+LKV29+LKV30</f>
        <v>0</v>
      </c>
      <c r="LKW84" s="79">
        <f t="shared" si="187"/>
        <v>0</v>
      </c>
      <c r="LKX84" s="79">
        <f t="shared" si="187"/>
        <v>0</v>
      </c>
      <c r="LKY84" s="79">
        <f t="shared" si="187"/>
        <v>0</v>
      </c>
      <c r="LKZ84" s="79">
        <f t="shared" si="187"/>
        <v>0</v>
      </c>
      <c r="LLA84" s="79">
        <f t="shared" si="187"/>
        <v>0</v>
      </c>
      <c r="LLB84" s="79">
        <f t="shared" si="187"/>
        <v>0</v>
      </c>
      <c r="LLC84" s="79">
        <f t="shared" si="187"/>
        <v>0</v>
      </c>
      <c r="LLD84" s="79">
        <f t="shared" si="187"/>
        <v>0</v>
      </c>
      <c r="LLE84" s="79">
        <f t="shared" si="187"/>
        <v>0</v>
      </c>
      <c r="LLF84" s="79">
        <f t="shared" si="187"/>
        <v>0</v>
      </c>
      <c r="LLG84" s="79">
        <f t="shared" si="187"/>
        <v>0</v>
      </c>
      <c r="LLH84" s="79">
        <f t="shared" si="187"/>
        <v>0</v>
      </c>
      <c r="LLI84" s="145" t="s">
        <v>96</v>
      </c>
      <c r="LLL84" s="79">
        <f>LLL18+LLL24+LLL29+LLL30</f>
        <v>0</v>
      </c>
      <c r="LLM84" s="79">
        <f t="shared" si="187"/>
        <v>0</v>
      </c>
      <c r="LLN84" s="79">
        <f t="shared" si="187"/>
        <v>0</v>
      </c>
      <c r="LLO84" s="79">
        <f t="shared" si="187"/>
        <v>0</v>
      </c>
      <c r="LLP84" s="79">
        <f t="shared" si="187"/>
        <v>0</v>
      </c>
      <c r="LLQ84" s="79">
        <f t="shared" si="187"/>
        <v>0</v>
      </c>
      <c r="LLR84" s="79">
        <f t="shared" si="187"/>
        <v>0</v>
      </c>
      <c r="LLS84" s="79">
        <f t="shared" si="187"/>
        <v>0</v>
      </c>
      <c r="LLT84" s="79">
        <f t="shared" si="187"/>
        <v>0</v>
      </c>
      <c r="LLU84" s="79">
        <f t="shared" si="187"/>
        <v>0</v>
      </c>
      <c r="LLV84" s="79">
        <f t="shared" si="187"/>
        <v>0</v>
      </c>
      <c r="LLW84" s="79">
        <f t="shared" si="187"/>
        <v>0</v>
      </c>
      <c r="LLX84" s="79">
        <f t="shared" si="187"/>
        <v>0</v>
      </c>
      <c r="LLY84" s="145" t="s">
        <v>96</v>
      </c>
      <c r="LMB84" s="79">
        <f>LMB18+LMB24+LMB29+LMB30</f>
        <v>0</v>
      </c>
      <c r="LMC84" s="79">
        <f t="shared" ref="LMC84:LOJ84" si="188">LMC18+LMC24+LMC29+LMC30</f>
        <v>0</v>
      </c>
      <c r="LMD84" s="79">
        <f t="shared" si="188"/>
        <v>0</v>
      </c>
      <c r="LME84" s="79">
        <f t="shared" si="188"/>
        <v>0</v>
      </c>
      <c r="LMF84" s="79">
        <f t="shared" si="188"/>
        <v>0</v>
      </c>
      <c r="LMG84" s="79">
        <f t="shared" si="188"/>
        <v>0</v>
      </c>
      <c r="LMH84" s="79">
        <f t="shared" si="188"/>
        <v>0</v>
      </c>
      <c r="LMI84" s="79">
        <f t="shared" si="188"/>
        <v>0</v>
      </c>
      <c r="LMJ84" s="79">
        <f t="shared" si="188"/>
        <v>0</v>
      </c>
      <c r="LMK84" s="79">
        <f t="shared" si="188"/>
        <v>0</v>
      </c>
      <c r="LML84" s="79">
        <f t="shared" si="188"/>
        <v>0</v>
      </c>
      <c r="LMM84" s="79">
        <f t="shared" si="188"/>
        <v>0</v>
      </c>
      <c r="LMN84" s="79">
        <f t="shared" si="188"/>
        <v>0</v>
      </c>
      <c r="LMO84" s="145" t="s">
        <v>96</v>
      </c>
      <c r="LMR84" s="79">
        <f>LMR18+LMR24+LMR29+LMR30</f>
        <v>0</v>
      </c>
      <c r="LMS84" s="79">
        <f t="shared" si="188"/>
        <v>0</v>
      </c>
      <c r="LMT84" s="79">
        <f t="shared" si="188"/>
        <v>0</v>
      </c>
      <c r="LMU84" s="79">
        <f t="shared" si="188"/>
        <v>0</v>
      </c>
      <c r="LMV84" s="79">
        <f t="shared" si="188"/>
        <v>0</v>
      </c>
      <c r="LMW84" s="79">
        <f t="shared" si="188"/>
        <v>0</v>
      </c>
      <c r="LMX84" s="79">
        <f t="shared" si="188"/>
        <v>0</v>
      </c>
      <c r="LMY84" s="79">
        <f t="shared" si="188"/>
        <v>0</v>
      </c>
      <c r="LMZ84" s="79">
        <f t="shared" si="188"/>
        <v>0</v>
      </c>
      <c r="LNA84" s="79">
        <f t="shared" si="188"/>
        <v>0</v>
      </c>
      <c r="LNB84" s="79">
        <f t="shared" si="188"/>
        <v>0</v>
      </c>
      <c r="LNC84" s="79">
        <f t="shared" si="188"/>
        <v>0</v>
      </c>
      <c r="LND84" s="79">
        <f t="shared" si="188"/>
        <v>0</v>
      </c>
      <c r="LNE84" s="145" t="s">
        <v>96</v>
      </c>
      <c r="LNH84" s="79">
        <f>LNH18+LNH24+LNH29+LNH30</f>
        <v>0</v>
      </c>
      <c r="LNI84" s="79">
        <f t="shared" si="188"/>
        <v>0</v>
      </c>
      <c r="LNJ84" s="79">
        <f t="shared" si="188"/>
        <v>0</v>
      </c>
      <c r="LNK84" s="79">
        <f t="shared" si="188"/>
        <v>0</v>
      </c>
      <c r="LNL84" s="79">
        <f t="shared" si="188"/>
        <v>0</v>
      </c>
      <c r="LNM84" s="79">
        <f t="shared" si="188"/>
        <v>0</v>
      </c>
      <c r="LNN84" s="79">
        <f t="shared" si="188"/>
        <v>0</v>
      </c>
      <c r="LNO84" s="79">
        <f t="shared" si="188"/>
        <v>0</v>
      </c>
      <c r="LNP84" s="79">
        <f t="shared" si="188"/>
        <v>0</v>
      </c>
      <c r="LNQ84" s="79">
        <f t="shared" si="188"/>
        <v>0</v>
      </c>
      <c r="LNR84" s="79">
        <f t="shared" si="188"/>
        <v>0</v>
      </c>
      <c r="LNS84" s="79">
        <f t="shared" si="188"/>
        <v>0</v>
      </c>
      <c r="LNT84" s="79">
        <f t="shared" si="188"/>
        <v>0</v>
      </c>
      <c r="LNU84" s="145" t="s">
        <v>96</v>
      </c>
      <c r="LNX84" s="79">
        <f>LNX18+LNX24+LNX29+LNX30</f>
        <v>0</v>
      </c>
      <c r="LNY84" s="79">
        <f t="shared" si="188"/>
        <v>0</v>
      </c>
      <c r="LNZ84" s="79">
        <f t="shared" si="188"/>
        <v>0</v>
      </c>
      <c r="LOA84" s="79">
        <f t="shared" si="188"/>
        <v>0</v>
      </c>
      <c r="LOB84" s="79">
        <f t="shared" si="188"/>
        <v>0</v>
      </c>
      <c r="LOC84" s="79">
        <f t="shared" si="188"/>
        <v>0</v>
      </c>
      <c r="LOD84" s="79">
        <f t="shared" si="188"/>
        <v>0</v>
      </c>
      <c r="LOE84" s="79">
        <f t="shared" si="188"/>
        <v>0</v>
      </c>
      <c r="LOF84" s="79">
        <f t="shared" si="188"/>
        <v>0</v>
      </c>
      <c r="LOG84" s="79">
        <f t="shared" si="188"/>
        <v>0</v>
      </c>
      <c r="LOH84" s="79">
        <f t="shared" si="188"/>
        <v>0</v>
      </c>
      <c r="LOI84" s="79">
        <f t="shared" si="188"/>
        <v>0</v>
      </c>
      <c r="LOJ84" s="79">
        <f t="shared" si="188"/>
        <v>0</v>
      </c>
      <c r="LOK84" s="145" t="s">
        <v>96</v>
      </c>
      <c r="LON84" s="79">
        <f>LON18+LON24+LON29+LON30</f>
        <v>0</v>
      </c>
      <c r="LOO84" s="79">
        <f t="shared" ref="LOO84:LQV84" si="189">LOO18+LOO24+LOO29+LOO30</f>
        <v>0</v>
      </c>
      <c r="LOP84" s="79">
        <f t="shared" si="189"/>
        <v>0</v>
      </c>
      <c r="LOQ84" s="79">
        <f t="shared" si="189"/>
        <v>0</v>
      </c>
      <c r="LOR84" s="79">
        <f t="shared" si="189"/>
        <v>0</v>
      </c>
      <c r="LOS84" s="79">
        <f t="shared" si="189"/>
        <v>0</v>
      </c>
      <c r="LOT84" s="79">
        <f t="shared" si="189"/>
        <v>0</v>
      </c>
      <c r="LOU84" s="79">
        <f t="shared" si="189"/>
        <v>0</v>
      </c>
      <c r="LOV84" s="79">
        <f t="shared" si="189"/>
        <v>0</v>
      </c>
      <c r="LOW84" s="79">
        <f t="shared" si="189"/>
        <v>0</v>
      </c>
      <c r="LOX84" s="79">
        <f t="shared" si="189"/>
        <v>0</v>
      </c>
      <c r="LOY84" s="79">
        <f t="shared" si="189"/>
        <v>0</v>
      </c>
      <c r="LOZ84" s="79">
        <f t="shared" si="189"/>
        <v>0</v>
      </c>
      <c r="LPA84" s="145" t="s">
        <v>96</v>
      </c>
      <c r="LPD84" s="79">
        <f>LPD18+LPD24+LPD29+LPD30</f>
        <v>0</v>
      </c>
      <c r="LPE84" s="79">
        <f t="shared" si="189"/>
        <v>0</v>
      </c>
      <c r="LPF84" s="79">
        <f t="shared" si="189"/>
        <v>0</v>
      </c>
      <c r="LPG84" s="79">
        <f t="shared" si="189"/>
        <v>0</v>
      </c>
      <c r="LPH84" s="79">
        <f t="shared" si="189"/>
        <v>0</v>
      </c>
      <c r="LPI84" s="79">
        <f t="shared" si="189"/>
        <v>0</v>
      </c>
      <c r="LPJ84" s="79">
        <f t="shared" si="189"/>
        <v>0</v>
      </c>
      <c r="LPK84" s="79">
        <f t="shared" si="189"/>
        <v>0</v>
      </c>
      <c r="LPL84" s="79">
        <f t="shared" si="189"/>
        <v>0</v>
      </c>
      <c r="LPM84" s="79">
        <f t="shared" si="189"/>
        <v>0</v>
      </c>
      <c r="LPN84" s="79">
        <f t="shared" si="189"/>
        <v>0</v>
      </c>
      <c r="LPO84" s="79">
        <f t="shared" si="189"/>
        <v>0</v>
      </c>
      <c r="LPP84" s="79">
        <f t="shared" si="189"/>
        <v>0</v>
      </c>
      <c r="LPQ84" s="145" t="s">
        <v>96</v>
      </c>
      <c r="LPT84" s="79">
        <f>LPT18+LPT24+LPT29+LPT30</f>
        <v>0</v>
      </c>
      <c r="LPU84" s="79">
        <f t="shared" si="189"/>
        <v>0</v>
      </c>
      <c r="LPV84" s="79">
        <f t="shared" si="189"/>
        <v>0</v>
      </c>
      <c r="LPW84" s="79">
        <f t="shared" si="189"/>
        <v>0</v>
      </c>
      <c r="LPX84" s="79">
        <f t="shared" si="189"/>
        <v>0</v>
      </c>
      <c r="LPY84" s="79">
        <f t="shared" si="189"/>
        <v>0</v>
      </c>
      <c r="LPZ84" s="79">
        <f t="shared" si="189"/>
        <v>0</v>
      </c>
      <c r="LQA84" s="79">
        <f t="shared" si="189"/>
        <v>0</v>
      </c>
      <c r="LQB84" s="79">
        <f t="shared" si="189"/>
        <v>0</v>
      </c>
      <c r="LQC84" s="79">
        <f t="shared" si="189"/>
        <v>0</v>
      </c>
      <c r="LQD84" s="79">
        <f t="shared" si="189"/>
        <v>0</v>
      </c>
      <c r="LQE84" s="79">
        <f t="shared" si="189"/>
        <v>0</v>
      </c>
      <c r="LQF84" s="79">
        <f t="shared" si="189"/>
        <v>0</v>
      </c>
      <c r="LQG84" s="145" t="s">
        <v>96</v>
      </c>
      <c r="LQJ84" s="79">
        <f>LQJ18+LQJ24+LQJ29+LQJ30</f>
        <v>0</v>
      </c>
      <c r="LQK84" s="79">
        <f t="shared" si="189"/>
        <v>0</v>
      </c>
      <c r="LQL84" s="79">
        <f t="shared" si="189"/>
        <v>0</v>
      </c>
      <c r="LQM84" s="79">
        <f t="shared" si="189"/>
        <v>0</v>
      </c>
      <c r="LQN84" s="79">
        <f t="shared" si="189"/>
        <v>0</v>
      </c>
      <c r="LQO84" s="79">
        <f t="shared" si="189"/>
        <v>0</v>
      </c>
      <c r="LQP84" s="79">
        <f t="shared" si="189"/>
        <v>0</v>
      </c>
      <c r="LQQ84" s="79">
        <f t="shared" si="189"/>
        <v>0</v>
      </c>
      <c r="LQR84" s="79">
        <f t="shared" si="189"/>
        <v>0</v>
      </c>
      <c r="LQS84" s="79">
        <f t="shared" si="189"/>
        <v>0</v>
      </c>
      <c r="LQT84" s="79">
        <f t="shared" si="189"/>
        <v>0</v>
      </c>
      <c r="LQU84" s="79">
        <f t="shared" si="189"/>
        <v>0</v>
      </c>
      <c r="LQV84" s="79">
        <f t="shared" si="189"/>
        <v>0</v>
      </c>
      <c r="LQW84" s="145" t="s">
        <v>96</v>
      </c>
      <c r="LQZ84" s="79">
        <f>LQZ18+LQZ24+LQZ29+LQZ30</f>
        <v>0</v>
      </c>
      <c r="LRA84" s="79">
        <f t="shared" ref="LRA84:LTH84" si="190">LRA18+LRA24+LRA29+LRA30</f>
        <v>0</v>
      </c>
      <c r="LRB84" s="79">
        <f t="shared" si="190"/>
        <v>0</v>
      </c>
      <c r="LRC84" s="79">
        <f t="shared" si="190"/>
        <v>0</v>
      </c>
      <c r="LRD84" s="79">
        <f t="shared" si="190"/>
        <v>0</v>
      </c>
      <c r="LRE84" s="79">
        <f t="shared" si="190"/>
        <v>0</v>
      </c>
      <c r="LRF84" s="79">
        <f t="shared" si="190"/>
        <v>0</v>
      </c>
      <c r="LRG84" s="79">
        <f t="shared" si="190"/>
        <v>0</v>
      </c>
      <c r="LRH84" s="79">
        <f t="shared" si="190"/>
        <v>0</v>
      </c>
      <c r="LRI84" s="79">
        <f t="shared" si="190"/>
        <v>0</v>
      </c>
      <c r="LRJ84" s="79">
        <f t="shared" si="190"/>
        <v>0</v>
      </c>
      <c r="LRK84" s="79">
        <f t="shared" si="190"/>
        <v>0</v>
      </c>
      <c r="LRL84" s="79">
        <f t="shared" si="190"/>
        <v>0</v>
      </c>
      <c r="LRM84" s="145" t="s">
        <v>96</v>
      </c>
      <c r="LRP84" s="79">
        <f>LRP18+LRP24+LRP29+LRP30</f>
        <v>0</v>
      </c>
      <c r="LRQ84" s="79">
        <f t="shared" si="190"/>
        <v>0</v>
      </c>
      <c r="LRR84" s="79">
        <f t="shared" si="190"/>
        <v>0</v>
      </c>
      <c r="LRS84" s="79">
        <f t="shared" si="190"/>
        <v>0</v>
      </c>
      <c r="LRT84" s="79">
        <f t="shared" si="190"/>
        <v>0</v>
      </c>
      <c r="LRU84" s="79">
        <f t="shared" si="190"/>
        <v>0</v>
      </c>
      <c r="LRV84" s="79">
        <f t="shared" si="190"/>
        <v>0</v>
      </c>
      <c r="LRW84" s="79">
        <f t="shared" si="190"/>
        <v>0</v>
      </c>
      <c r="LRX84" s="79">
        <f t="shared" si="190"/>
        <v>0</v>
      </c>
      <c r="LRY84" s="79">
        <f t="shared" si="190"/>
        <v>0</v>
      </c>
      <c r="LRZ84" s="79">
        <f t="shared" si="190"/>
        <v>0</v>
      </c>
      <c r="LSA84" s="79">
        <f t="shared" si="190"/>
        <v>0</v>
      </c>
      <c r="LSB84" s="79">
        <f t="shared" si="190"/>
        <v>0</v>
      </c>
      <c r="LSC84" s="145" t="s">
        <v>96</v>
      </c>
      <c r="LSF84" s="79">
        <f>LSF18+LSF24+LSF29+LSF30</f>
        <v>0</v>
      </c>
      <c r="LSG84" s="79">
        <f t="shared" si="190"/>
        <v>0</v>
      </c>
      <c r="LSH84" s="79">
        <f t="shared" si="190"/>
        <v>0</v>
      </c>
      <c r="LSI84" s="79">
        <f t="shared" si="190"/>
        <v>0</v>
      </c>
      <c r="LSJ84" s="79">
        <f t="shared" si="190"/>
        <v>0</v>
      </c>
      <c r="LSK84" s="79">
        <f t="shared" si="190"/>
        <v>0</v>
      </c>
      <c r="LSL84" s="79">
        <f t="shared" si="190"/>
        <v>0</v>
      </c>
      <c r="LSM84" s="79">
        <f t="shared" si="190"/>
        <v>0</v>
      </c>
      <c r="LSN84" s="79">
        <f t="shared" si="190"/>
        <v>0</v>
      </c>
      <c r="LSO84" s="79">
        <f t="shared" si="190"/>
        <v>0</v>
      </c>
      <c r="LSP84" s="79">
        <f t="shared" si="190"/>
        <v>0</v>
      </c>
      <c r="LSQ84" s="79">
        <f t="shared" si="190"/>
        <v>0</v>
      </c>
      <c r="LSR84" s="79">
        <f t="shared" si="190"/>
        <v>0</v>
      </c>
      <c r="LSS84" s="145" t="s">
        <v>96</v>
      </c>
      <c r="LSV84" s="79">
        <f>LSV18+LSV24+LSV29+LSV30</f>
        <v>0</v>
      </c>
      <c r="LSW84" s="79">
        <f t="shared" si="190"/>
        <v>0</v>
      </c>
      <c r="LSX84" s="79">
        <f t="shared" si="190"/>
        <v>0</v>
      </c>
      <c r="LSY84" s="79">
        <f t="shared" si="190"/>
        <v>0</v>
      </c>
      <c r="LSZ84" s="79">
        <f t="shared" si="190"/>
        <v>0</v>
      </c>
      <c r="LTA84" s="79">
        <f t="shared" si="190"/>
        <v>0</v>
      </c>
      <c r="LTB84" s="79">
        <f t="shared" si="190"/>
        <v>0</v>
      </c>
      <c r="LTC84" s="79">
        <f t="shared" si="190"/>
        <v>0</v>
      </c>
      <c r="LTD84" s="79">
        <f t="shared" si="190"/>
        <v>0</v>
      </c>
      <c r="LTE84" s="79">
        <f t="shared" si="190"/>
        <v>0</v>
      </c>
      <c r="LTF84" s="79">
        <f t="shared" si="190"/>
        <v>0</v>
      </c>
      <c r="LTG84" s="79">
        <f t="shared" si="190"/>
        <v>0</v>
      </c>
      <c r="LTH84" s="79">
        <f t="shared" si="190"/>
        <v>0</v>
      </c>
      <c r="LTI84" s="145" t="s">
        <v>96</v>
      </c>
      <c r="LTL84" s="79">
        <f>LTL18+LTL24+LTL29+LTL30</f>
        <v>0</v>
      </c>
      <c r="LTM84" s="79">
        <f t="shared" ref="LTM84:LVT84" si="191">LTM18+LTM24+LTM29+LTM30</f>
        <v>0</v>
      </c>
      <c r="LTN84" s="79">
        <f t="shared" si="191"/>
        <v>0</v>
      </c>
      <c r="LTO84" s="79">
        <f t="shared" si="191"/>
        <v>0</v>
      </c>
      <c r="LTP84" s="79">
        <f t="shared" si="191"/>
        <v>0</v>
      </c>
      <c r="LTQ84" s="79">
        <f t="shared" si="191"/>
        <v>0</v>
      </c>
      <c r="LTR84" s="79">
        <f t="shared" si="191"/>
        <v>0</v>
      </c>
      <c r="LTS84" s="79">
        <f t="shared" si="191"/>
        <v>0</v>
      </c>
      <c r="LTT84" s="79">
        <f t="shared" si="191"/>
        <v>0</v>
      </c>
      <c r="LTU84" s="79">
        <f t="shared" si="191"/>
        <v>0</v>
      </c>
      <c r="LTV84" s="79">
        <f t="shared" si="191"/>
        <v>0</v>
      </c>
      <c r="LTW84" s="79">
        <f t="shared" si="191"/>
        <v>0</v>
      </c>
      <c r="LTX84" s="79">
        <f t="shared" si="191"/>
        <v>0</v>
      </c>
      <c r="LTY84" s="145" t="s">
        <v>96</v>
      </c>
      <c r="LUB84" s="79">
        <f>LUB18+LUB24+LUB29+LUB30</f>
        <v>0</v>
      </c>
      <c r="LUC84" s="79">
        <f t="shared" si="191"/>
        <v>0</v>
      </c>
      <c r="LUD84" s="79">
        <f t="shared" si="191"/>
        <v>0</v>
      </c>
      <c r="LUE84" s="79">
        <f t="shared" si="191"/>
        <v>0</v>
      </c>
      <c r="LUF84" s="79">
        <f t="shared" si="191"/>
        <v>0</v>
      </c>
      <c r="LUG84" s="79">
        <f t="shared" si="191"/>
        <v>0</v>
      </c>
      <c r="LUH84" s="79">
        <f t="shared" si="191"/>
        <v>0</v>
      </c>
      <c r="LUI84" s="79">
        <f t="shared" si="191"/>
        <v>0</v>
      </c>
      <c r="LUJ84" s="79">
        <f t="shared" si="191"/>
        <v>0</v>
      </c>
      <c r="LUK84" s="79">
        <f t="shared" si="191"/>
        <v>0</v>
      </c>
      <c r="LUL84" s="79">
        <f t="shared" si="191"/>
        <v>0</v>
      </c>
      <c r="LUM84" s="79">
        <f t="shared" si="191"/>
        <v>0</v>
      </c>
      <c r="LUN84" s="79">
        <f t="shared" si="191"/>
        <v>0</v>
      </c>
      <c r="LUO84" s="145" t="s">
        <v>96</v>
      </c>
      <c r="LUR84" s="79">
        <f>LUR18+LUR24+LUR29+LUR30</f>
        <v>0</v>
      </c>
      <c r="LUS84" s="79">
        <f t="shared" si="191"/>
        <v>0</v>
      </c>
      <c r="LUT84" s="79">
        <f t="shared" si="191"/>
        <v>0</v>
      </c>
      <c r="LUU84" s="79">
        <f t="shared" si="191"/>
        <v>0</v>
      </c>
      <c r="LUV84" s="79">
        <f t="shared" si="191"/>
        <v>0</v>
      </c>
      <c r="LUW84" s="79">
        <f t="shared" si="191"/>
        <v>0</v>
      </c>
      <c r="LUX84" s="79">
        <f t="shared" si="191"/>
        <v>0</v>
      </c>
      <c r="LUY84" s="79">
        <f t="shared" si="191"/>
        <v>0</v>
      </c>
      <c r="LUZ84" s="79">
        <f t="shared" si="191"/>
        <v>0</v>
      </c>
      <c r="LVA84" s="79">
        <f t="shared" si="191"/>
        <v>0</v>
      </c>
      <c r="LVB84" s="79">
        <f t="shared" si="191"/>
        <v>0</v>
      </c>
      <c r="LVC84" s="79">
        <f t="shared" si="191"/>
        <v>0</v>
      </c>
      <c r="LVD84" s="79">
        <f t="shared" si="191"/>
        <v>0</v>
      </c>
      <c r="LVE84" s="145" t="s">
        <v>96</v>
      </c>
      <c r="LVH84" s="79">
        <f>LVH18+LVH24+LVH29+LVH30</f>
        <v>0</v>
      </c>
      <c r="LVI84" s="79">
        <f t="shared" si="191"/>
        <v>0</v>
      </c>
      <c r="LVJ84" s="79">
        <f t="shared" si="191"/>
        <v>0</v>
      </c>
      <c r="LVK84" s="79">
        <f t="shared" si="191"/>
        <v>0</v>
      </c>
      <c r="LVL84" s="79">
        <f t="shared" si="191"/>
        <v>0</v>
      </c>
      <c r="LVM84" s="79">
        <f t="shared" si="191"/>
        <v>0</v>
      </c>
      <c r="LVN84" s="79">
        <f t="shared" si="191"/>
        <v>0</v>
      </c>
      <c r="LVO84" s="79">
        <f t="shared" si="191"/>
        <v>0</v>
      </c>
      <c r="LVP84" s="79">
        <f t="shared" si="191"/>
        <v>0</v>
      </c>
      <c r="LVQ84" s="79">
        <f t="shared" si="191"/>
        <v>0</v>
      </c>
      <c r="LVR84" s="79">
        <f t="shared" si="191"/>
        <v>0</v>
      </c>
      <c r="LVS84" s="79">
        <f t="shared" si="191"/>
        <v>0</v>
      </c>
      <c r="LVT84" s="79">
        <f t="shared" si="191"/>
        <v>0</v>
      </c>
      <c r="LVU84" s="145" t="s">
        <v>96</v>
      </c>
      <c r="LVX84" s="79">
        <f>LVX18+LVX24+LVX29+LVX30</f>
        <v>0</v>
      </c>
      <c r="LVY84" s="79">
        <f t="shared" ref="LVY84:LYF84" si="192">LVY18+LVY24+LVY29+LVY30</f>
        <v>0</v>
      </c>
      <c r="LVZ84" s="79">
        <f t="shared" si="192"/>
        <v>0</v>
      </c>
      <c r="LWA84" s="79">
        <f t="shared" si="192"/>
        <v>0</v>
      </c>
      <c r="LWB84" s="79">
        <f t="shared" si="192"/>
        <v>0</v>
      </c>
      <c r="LWC84" s="79">
        <f t="shared" si="192"/>
        <v>0</v>
      </c>
      <c r="LWD84" s="79">
        <f t="shared" si="192"/>
        <v>0</v>
      </c>
      <c r="LWE84" s="79">
        <f t="shared" si="192"/>
        <v>0</v>
      </c>
      <c r="LWF84" s="79">
        <f t="shared" si="192"/>
        <v>0</v>
      </c>
      <c r="LWG84" s="79">
        <f t="shared" si="192"/>
        <v>0</v>
      </c>
      <c r="LWH84" s="79">
        <f t="shared" si="192"/>
        <v>0</v>
      </c>
      <c r="LWI84" s="79">
        <f t="shared" si="192"/>
        <v>0</v>
      </c>
      <c r="LWJ84" s="79">
        <f t="shared" si="192"/>
        <v>0</v>
      </c>
      <c r="LWK84" s="145" t="s">
        <v>96</v>
      </c>
      <c r="LWN84" s="79">
        <f>LWN18+LWN24+LWN29+LWN30</f>
        <v>0</v>
      </c>
      <c r="LWO84" s="79">
        <f t="shared" si="192"/>
        <v>0</v>
      </c>
      <c r="LWP84" s="79">
        <f t="shared" si="192"/>
        <v>0</v>
      </c>
      <c r="LWQ84" s="79">
        <f t="shared" si="192"/>
        <v>0</v>
      </c>
      <c r="LWR84" s="79">
        <f t="shared" si="192"/>
        <v>0</v>
      </c>
      <c r="LWS84" s="79">
        <f t="shared" si="192"/>
        <v>0</v>
      </c>
      <c r="LWT84" s="79">
        <f t="shared" si="192"/>
        <v>0</v>
      </c>
      <c r="LWU84" s="79">
        <f t="shared" si="192"/>
        <v>0</v>
      </c>
      <c r="LWV84" s="79">
        <f t="shared" si="192"/>
        <v>0</v>
      </c>
      <c r="LWW84" s="79">
        <f t="shared" si="192"/>
        <v>0</v>
      </c>
      <c r="LWX84" s="79">
        <f t="shared" si="192"/>
        <v>0</v>
      </c>
      <c r="LWY84" s="79">
        <f t="shared" si="192"/>
        <v>0</v>
      </c>
      <c r="LWZ84" s="79">
        <f t="shared" si="192"/>
        <v>0</v>
      </c>
      <c r="LXA84" s="145" t="s">
        <v>96</v>
      </c>
      <c r="LXD84" s="79">
        <f>LXD18+LXD24+LXD29+LXD30</f>
        <v>0</v>
      </c>
      <c r="LXE84" s="79">
        <f t="shared" si="192"/>
        <v>0</v>
      </c>
      <c r="LXF84" s="79">
        <f t="shared" si="192"/>
        <v>0</v>
      </c>
      <c r="LXG84" s="79">
        <f t="shared" si="192"/>
        <v>0</v>
      </c>
      <c r="LXH84" s="79">
        <f t="shared" si="192"/>
        <v>0</v>
      </c>
      <c r="LXI84" s="79">
        <f t="shared" si="192"/>
        <v>0</v>
      </c>
      <c r="LXJ84" s="79">
        <f t="shared" si="192"/>
        <v>0</v>
      </c>
      <c r="LXK84" s="79">
        <f t="shared" si="192"/>
        <v>0</v>
      </c>
      <c r="LXL84" s="79">
        <f t="shared" si="192"/>
        <v>0</v>
      </c>
      <c r="LXM84" s="79">
        <f t="shared" si="192"/>
        <v>0</v>
      </c>
      <c r="LXN84" s="79">
        <f t="shared" si="192"/>
        <v>0</v>
      </c>
      <c r="LXO84" s="79">
        <f t="shared" si="192"/>
        <v>0</v>
      </c>
      <c r="LXP84" s="79">
        <f t="shared" si="192"/>
        <v>0</v>
      </c>
      <c r="LXQ84" s="145" t="s">
        <v>96</v>
      </c>
      <c r="LXT84" s="79">
        <f>LXT18+LXT24+LXT29+LXT30</f>
        <v>0</v>
      </c>
      <c r="LXU84" s="79">
        <f t="shared" si="192"/>
        <v>0</v>
      </c>
      <c r="LXV84" s="79">
        <f t="shared" si="192"/>
        <v>0</v>
      </c>
      <c r="LXW84" s="79">
        <f t="shared" si="192"/>
        <v>0</v>
      </c>
      <c r="LXX84" s="79">
        <f t="shared" si="192"/>
        <v>0</v>
      </c>
      <c r="LXY84" s="79">
        <f t="shared" si="192"/>
        <v>0</v>
      </c>
      <c r="LXZ84" s="79">
        <f t="shared" si="192"/>
        <v>0</v>
      </c>
      <c r="LYA84" s="79">
        <f t="shared" si="192"/>
        <v>0</v>
      </c>
      <c r="LYB84" s="79">
        <f t="shared" si="192"/>
        <v>0</v>
      </c>
      <c r="LYC84" s="79">
        <f t="shared" si="192"/>
        <v>0</v>
      </c>
      <c r="LYD84" s="79">
        <f t="shared" si="192"/>
        <v>0</v>
      </c>
      <c r="LYE84" s="79">
        <f t="shared" si="192"/>
        <v>0</v>
      </c>
      <c r="LYF84" s="79">
        <f t="shared" si="192"/>
        <v>0</v>
      </c>
      <c r="LYG84" s="145" t="s">
        <v>96</v>
      </c>
      <c r="LYJ84" s="79">
        <f>LYJ18+LYJ24+LYJ29+LYJ30</f>
        <v>0</v>
      </c>
      <c r="LYK84" s="79">
        <f t="shared" ref="LYK84:MAR84" si="193">LYK18+LYK24+LYK29+LYK30</f>
        <v>0</v>
      </c>
      <c r="LYL84" s="79">
        <f t="shared" si="193"/>
        <v>0</v>
      </c>
      <c r="LYM84" s="79">
        <f t="shared" si="193"/>
        <v>0</v>
      </c>
      <c r="LYN84" s="79">
        <f t="shared" si="193"/>
        <v>0</v>
      </c>
      <c r="LYO84" s="79">
        <f t="shared" si="193"/>
        <v>0</v>
      </c>
      <c r="LYP84" s="79">
        <f t="shared" si="193"/>
        <v>0</v>
      </c>
      <c r="LYQ84" s="79">
        <f t="shared" si="193"/>
        <v>0</v>
      </c>
      <c r="LYR84" s="79">
        <f t="shared" si="193"/>
        <v>0</v>
      </c>
      <c r="LYS84" s="79">
        <f t="shared" si="193"/>
        <v>0</v>
      </c>
      <c r="LYT84" s="79">
        <f t="shared" si="193"/>
        <v>0</v>
      </c>
      <c r="LYU84" s="79">
        <f t="shared" si="193"/>
        <v>0</v>
      </c>
      <c r="LYV84" s="79">
        <f t="shared" si="193"/>
        <v>0</v>
      </c>
      <c r="LYW84" s="145" t="s">
        <v>96</v>
      </c>
      <c r="LYZ84" s="79">
        <f>LYZ18+LYZ24+LYZ29+LYZ30</f>
        <v>0</v>
      </c>
      <c r="LZA84" s="79">
        <f t="shared" si="193"/>
        <v>0</v>
      </c>
      <c r="LZB84" s="79">
        <f t="shared" si="193"/>
        <v>0</v>
      </c>
      <c r="LZC84" s="79">
        <f t="shared" si="193"/>
        <v>0</v>
      </c>
      <c r="LZD84" s="79">
        <f t="shared" si="193"/>
        <v>0</v>
      </c>
      <c r="LZE84" s="79">
        <f t="shared" si="193"/>
        <v>0</v>
      </c>
      <c r="LZF84" s="79">
        <f t="shared" si="193"/>
        <v>0</v>
      </c>
      <c r="LZG84" s="79">
        <f t="shared" si="193"/>
        <v>0</v>
      </c>
      <c r="LZH84" s="79">
        <f t="shared" si="193"/>
        <v>0</v>
      </c>
      <c r="LZI84" s="79">
        <f t="shared" si="193"/>
        <v>0</v>
      </c>
      <c r="LZJ84" s="79">
        <f t="shared" si="193"/>
        <v>0</v>
      </c>
      <c r="LZK84" s="79">
        <f t="shared" si="193"/>
        <v>0</v>
      </c>
      <c r="LZL84" s="79">
        <f t="shared" si="193"/>
        <v>0</v>
      </c>
      <c r="LZM84" s="145" t="s">
        <v>96</v>
      </c>
      <c r="LZP84" s="79">
        <f>LZP18+LZP24+LZP29+LZP30</f>
        <v>0</v>
      </c>
      <c r="LZQ84" s="79">
        <f t="shared" si="193"/>
        <v>0</v>
      </c>
      <c r="LZR84" s="79">
        <f t="shared" si="193"/>
        <v>0</v>
      </c>
      <c r="LZS84" s="79">
        <f t="shared" si="193"/>
        <v>0</v>
      </c>
      <c r="LZT84" s="79">
        <f t="shared" si="193"/>
        <v>0</v>
      </c>
      <c r="LZU84" s="79">
        <f t="shared" si="193"/>
        <v>0</v>
      </c>
      <c r="LZV84" s="79">
        <f t="shared" si="193"/>
        <v>0</v>
      </c>
      <c r="LZW84" s="79">
        <f t="shared" si="193"/>
        <v>0</v>
      </c>
      <c r="LZX84" s="79">
        <f t="shared" si="193"/>
        <v>0</v>
      </c>
      <c r="LZY84" s="79">
        <f t="shared" si="193"/>
        <v>0</v>
      </c>
      <c r="LZZ84" s="79">
        <f t="shared" si="193"/>
        <v>0</v>
      </c>
      <c r="MAA84" s="79">
        <f t="shared" si="193"/>
        <v>0</v>
      </c>
      <c r="MAB84" s="79">
        <f t="shared" si="193"/>
        <v>0</v>
      </c>
      <c r="MAC84" s="145" t="s">
        <v>96</v>
      </c>
      <c r="MAF84" s="79">
        <f>MAF18+MAF24+MAF29+MAF30</f>
        <v>0</v>
      </c>
      <c r="MAG84" s="79">
        <f t="shared" si="193"/>
        <v>0</v>
      </c>
      <c r="MAH84" s="79">
        <f t="shared" si="193"/>
        <v>0</v>
      </c>
      <c r="MAI84" s="79">
        <f t="shared" si="193"/>
        <v>0</v>
      </c>
      <c r="MAJ84" s="79">
        <f t="shared" si="193"/>
        <v>0</v>
      </c>
      <c r="MAK84" s="79">
        <f t="shared" si="193"/>
        <v>0</v>
      </c>
      <c r="MAL84" s="79">
        <f t="shared" si="193"/>
        <v>0</v>
      </c>
      <c r="MAM84" s="79">
        <f t="shared" si="193"/>
        <v>0</v>
      </c>
      <c r="MAN84" s="79">
        <f t="shared" si="193"/>
        <v>0</v>
      </c>
      <c r="MAO84" s="79">
        <f t="shared" si="193"/>
        <v>0</v>
      </c>
      <c r="MAP84" s="79">
        <f t="shared" si="193"/>
        <v>0</v>
      </c>
      <c r="MAQ84" s="79">
        <f t="shared" si="193"/>
        <v>0</v>
      </c>
      <c r="MAR84" s="79">
        <f t="shared" si="193"/>
        <v>0</v>
      </c>
      <c r="MAS84" s="145" t="s">
        <v>96</v>
      </c>
      <c r="MAV84" s="79">
        <f>MAV18+MAV24+MAV29+MAV30</f>
        <v>0</v>
      </c>
      <c r="MAW84" s="79">
        <f t="shared" ref="MAW84:MDD84" si="194">MAW18+MAW24+MAW29+MAW30</f>
        <v>0</v>
      </c>
      <c r="MAX84" s="79">
        <f t="shared" si="194"/>
        <v>0</v>
      </c>
      <c r="MAY84" s="79">
        <f t="shared" si="194"/>
        <v>0</v>
      </c>
      <c r="MAZ84" s="79">
        <f t="shared" si="194"/>
        <v>0</v>
      </c>
      <c r="MBA84" s="79">
        <f t="shared" si="194"/>
        <v>0</v>
      </c>
      <c r="MBB84" s="79">
        <f t="shared" si="194"/>
        <v>0</v>
      </c>
      <c r="MBC84" s="79">
        <f t="shared" si="194"/>
        <v>0</v>
      </c>
      <c r="MBD84" s="79">
        <f t="shared" si="194"/>
        <v>0</v>
      </c>
      <c r="MBE84" s="79">
        <f t="shared" si="194"/>
        <v>0</v>
      </c>
      <c r="MBF84" s="79">
        <f t="shared" si="194"/>
        <v>0</v>
      </c>
      <c r="MBG84" s="79">
        <f t="shared" si="194"/>
        <v>0</v>
      </c>
      <c r="MBH84" s="79">
        <f t="shared" si="194"/>
        <v>0</v>
      </c>
      <c r="MBI84" s="145" t="s">
        <v>96</v>
      </c>
      <c r="MBL84" s="79">
        <f>MBL18+MBL24+MBL29+MBL30</f>
        <v>0</v>
      </c>
      <c r="MBM84" s="79">
        <f t="shared" si="194"/>
        <v>0</v>
      </c>
      <c r="MBN84" s="79">
        <f t="shared" si="194"/>
        <v>0</v>
      </c>
      <c r="MBO84" s="79">
        <f t="shared" si="194"/>
        <v>0</v>
      </c>
      <c r="MBP84" s="79">
        <f t="shared" si="194"/>
        <v>0</v>
      </c>
      <c r="MBQ84" s="79">
        <f t="shared" si="194"/>
        <v>0</v>
      </c>
      <c r="MBR84" s="79">
        <f t="shared" si="194"/>
        <v>0</v>
      </c>
      <c r="MBS84" s="79">
        <f t="shared" si="194"/>
        <v>0</v>
      </c>
      <c r="MBT84" s="79">
        <f t="shared" si="194"/>
        <v>0</v>
      </c>
      <c r="MBU84" s="79">
        <f t="shared" si="194"/>
        <v>0</v>
      </c>
      <c r="MBV84" s="79">
        <f t="shared" si="194"/>
        <v>0</v>
      </c>
      <c r="MBW84" s="79">
        <f t="shared" si="194"/>
        <v>0</v>
      </c>
      <c r="MBX84" s="79">
        <f t="shared" si="194"/>
        <v>0</v>
      </c>
      <c r="MBY84" s="145" t="s">
        <v>96</v>
      </c>
      <c r="MCB84" s="79">
        <f>MCB18+MCB24+MCB29+MCB30</f>
        <v>0</v>
      </c>
      <c r="MCC84" s="79">
        <f t="shared" si="194"/>
        <v>0</v>
      </c>
      <c r="MCD84" s="79">
        <f t="shared" si="194"/>
        <v>0</v>
      </c>
      <c r="MCE84" s="79">
        <f t="shared" si="194"/>
        <v>0</v>
      </c>
      <c r="MCF84" s="79">
        <f t="shared" si="194"/>
        <v>0</v>
      </c>
      <c r="MCG84" s="79">
        <f t="shared" si="194"/>
        <v>0</v>
      </c>
      <c r="MCH84" s="79">
        <f t="shared" si="194"/>
        <v>0</v>
      </c>
      <c r="MCI84" s="79">
        <f t="shared" si="194"/>
        <v>0</v>
      </c>
      <c r="MCJ84" s="79">
        <f t="shared" si="194"/>
        <v>0</v>
      </c>
      <c r="MCK84" s="79">
        <f t="shared" si="194"/>
        <v>0</v>
      </c>
      <c r="MCL84" s="79">
        <f t="shared" si="194"/>
        <v>0</v>
      </c>
      <c r="MCM84" s="79">
        <f t="shared" si="194"/>
        <v>0</v>
      </c>
      <c r="MCN84" s="79">
        <f t="shared" si="194"/>
        <v>0</v>
      </c>
      <c r="MCO84" s="145" t="s">
        <v>96</v>
      </c>
      <c r="MCR84" s="79">
        <f>MCR18+MCR24+MCR29+MCR30</f>
        <v>0</v>
      </c>
      <c r="MCS84" s="79">
        <f t="shared" si="194"/>
        <v>0</v>
      </c>
      <c r="MCT84" s="79">
        <f t="shared" si="194"/>
        <v>0</v>
      </c>
      <c r="MCU84" s="79">
        <f t="shared" si="194"/>
        <v>0</v>
      </c>
      <c r="MCV84" s="79">
        <f t="shared" si="194"/>
        <v>0</v>
      </c>
      <c r="MCW84" s="79">
        <f t="shared" si="194"/>
        <v>0</v>
      </c>
      <c r="MCX84" s="79">
        <f t="shared" si="194"/>
        <v>0</v>
      </c>
      <c r="MCY84" s="79">
        <f t="shared" si="194"/>
        <v>0</v>
      </c>
      <c r="MCZ84" s="79">
        <f t="shared" si="194"/>
        <v>0</v>
      </c>
      <c r="MDA84" s="79">
        <f t="shared" si="194"/>
        <v>0</v>
      </c>
      <c r="MDB84" s="79">
        <f t="shared" si="194"/>
        <v>0</v>
      </c>
      <c r="MDC84" s="79">
        <f t="shared" si="194"/>
        <v>0</v>
      </c>
      <c r="MDD84" s="79">
        <f t="shared" si="194"/>
        <v>0</v>
      </c>
      <c r="MDE84" s="145" t="s">
        <v>96</v>
      </c>
      <c r="MDH84" s="79">
        <f>MDH18+MDH24+MDH29+MDH30</f>
        <v>0</v>
      </c>
      <c r="MDI84" s="79">
        <f t="shared" ref="MDI84:MFP84" si="195">MDI18+MDI24+MDI29+MDI30</f>
        <v>0</v>
      </c>
      <c r="MDJ84" s="79">
        <f t="shared" si="195"/>
        <v>0</v>
      </c>
      <c r="MDK84" s="79">
        <f t="shared" si="195"/>
        <v>0</v>
      </c>
      <c r="MDL84" s="79">
        <f t="shared" si="195"/>
        <v>0</v>
      </c>
      <c r="MDM84" s="79">
        <f t="shared" si="195"/>
        <v>0</v>
      </c>
      <c r="MDN84" s="79">
        <f t="shared" si="195"/>
        <v>0</v>
      </c>
      <c r="MDO84" s="79">
        <f t="shared" si="195"/>
        <v>0</v>
      </c>
      <c r="MDP84" s="79">
        <f t="shared" si="195"/>
        <v>0</v>
      </c>
      <c r="MDQ84" s="79">
        <f t="shared" si="195"/>
        <v>0</v>
      </c>
      <c r="MDR84" s="79">
        <f t="shared" si="195"/>
        <v>0</v>
      </c>
      <c r="MDS84" s="79">
        <f t="shared" si="195"/>
        <v>0</v>
      </c>
      <c r="MDT84" s="79">
        <f t="shared" si="195"/>
        <v>0</v>
      </c>
      <c r="MDU84" s="145" t="s">
        <v>96</v>
      </c>
      <c r="MDX84" s="79">
        <f>MDX18+MDX24+MDX29+MDX30</f>
        <v>0</v>
      </c>
      <c r="MDY84" s="79">
        <f t="shared" si="195"/>
        <v>0</v>
      </c>
      <c r="MDZ84" s="79">
        <f t="shared" si="195"/>
        <v>0</v>
      </c>
      <c r="MEA84" s="79">
        <f t="shared" si="195"/>
        <v>0</v>
      </c>
      <c r="MEB84" s="79">
        <f t="shared" si="195"/>
        <v>0</v>
      </c>
      <c r="MEC84" s="79">
        <f t="shared" si="195"/>
        <v>0</v>
      </c>
      <c r="MED84" s="79">
        <f t="shared" si="195"/>
        <v>0</v>
      </c>
      <c r="MEE84" s="79">
        <f t="shared" si="195"/>
        <v>0</v>
      </c>
      <c r="MEF84" s="79">
        <f t="shared" si="195"/>
        <v>0</v>
      </c>
      <c r="MEG84" s="79">
        <f t="shared" si="195"/>
        <v>0</v>
      </c>
      <c r="MEH84" s="79">
        <f t="shared" si="195"/>
        <v>0</v>
      </c>
      <c r="MEI84" s="79">
        <f t="shared" si="195"/>
        <v>0</v>
      </c>
      <c r="MEJ84" s="79">
        <f t="shared" si="195"/>
        <v>0</v>
      </c>
      <c r="MEK84" s="145" t="s">
        <v>96</v>
      </c>
      <c r="MEN84" s="79">
        <f>MEN18+MEN24+MEN29+MEN30</f>
        <v>0</v>
      </c>
      <c r="MEO84" s="79">
        <f t="shared" si="195"/>
        <v>0</v>
      </c>
      <c r="MEP84" s="79">
        <f t="shared" si="195"/>
        <v>0</v>
      </c>
      <c r="MEQ84" s="79">
        <f t="shared" si="195"/>
        <v>0</v>
      </c>
      <c r="MER84" s="79">
        <f t="shared" si="195"/>
        <v>0</v>
      </c>
      <c r="MES84" s="79">
        <f t="shared" si="195"/>
        <v>0</v>
      </c>
      <c r="MET84" s="79">
        <f t="shared" si="195"/>
        <v>0</v>
      </c>
      <c r="MEU84" s="79">
        <f t="shared" si="195"/>
        <v>0</v>
      </c>
      <c r="MEV84" s="79">
        <f t="shared" si="195"/>
        <v>0</v>
      </c>
      <c r="MEW84" s="79">
        <f t="shared" si="195"/>
        <v>0</v>
      </c>
      <c r="MEX84" s="79">
        <f t="shared" si="195"/>
        <v>0</v>
      </c>
      <c r="MEY84" s="79">
        <f t="shared" si="195"/>
        <v>0</v>
      </c>
      <c r="MEZ84" s="79">
        <f t="shared" si="195"/>
        <v>0</v>
      </c>
      <c r="MFA84" s="145" t="s">
        <v>96</v>
      </c>
      <c r="MFD84" s="79">
        <f>MFD18+MFD24+MFD29+MFD30</f>
        <v>0</v>
      </c>
      <c r="MFE84" s="79">
        <f t="shared" si="195"/>
        <v>0</v>
      </c>
      <c r="MFF84" s="79">
        <f t="shared" si="195"/>
        <v>0</v>
      </c>
      <c r="MFG84" s="79">
        <f t="shared" si="195"/>
        <v>0</v>
      </c>
      <c r="MFH84" s="79">
        <f t="shared" si="195"/>
        <v>0</v>
      </c>
      <c r="MFI84" s="79">
        <f t="shared" si="195"/>
        <v>0</v>
      </c>
      <c r="MFJ84" s="79">
        <f t="shared" si="195"/>
        <v>0</v>
      </c>
      <c r="MFK84" s="79">
        <f t="shared" si="195"/>
        <v>0</v>
      </c>
      <c r="MFL84" s="79">
        <f t="shared" si="195"/>
        <v>0</v>
      </c>
      <c r="MFM84" s="79">
        <f t="shared" si="195"/>
        <v>0</v>
      </c>
      <c r="MFN84" s="79">
        <f t="shared" si="195"/>
        <v>0</v>
      </c>
      <c r="MFO84" s="79">
        <f t="shared" si="195"/>
        <v>0</v>
      </c>
      <c r="MFP84" s="79">
        <f t="shared" si="195"/>
        <v>0</v>
      </c>
      <c r="MFQ84" s="145" t="s">
        <v>96</v>
      </c>
      <c r="MFT84" s="79">
        <f>MFT18+MFT24+MFT29+MFT30</f>
        <v>0</v>
      </c>
      <c r="MFU84" s="79">
        <f t="shared" ref="MFU84:MIB84" si="196">MFU18+MFU24+MFU29+MFU30</f>
        <v>0</v>
      </c>
      <c r="MFV84" s="79">
        <f t="shared" si="196"/>
        <v>0</v>
      </c>
      <c r="MFW84" s="79">
        <f t="shared" si="196"/>
        <v>0</v>
      </c>
      <c r="MFX84" s="79">
        <f t="shared" si="196"/>
        <v>0</v>
      </c>
      <c r="MFY84" s="79">
        <f t="shared" si="196"/>
        <v>0</v>
      </c>
      <c r="MFZ84" s="79">
        <f t="shared" si="196"/>
        <v>0</v>
      </c>
      <c r="MGA84" s="79">
        <f t="shared" si="196"/>
        <v>0</v>
      </c>
      <c r="MGB84" s="79">
        <f t="shared" si="196"/>
        <v>0</v>
      </c>
      <c r="MGC84" s="79">
        <f t="shared" si="196"/>
        <v>0</v>
      </c>
      <c r="MGD84" s="79">
        <f t="shared" si="196"/>
        <v>0</v>
      </c>
      <c r="MGE84" s="79">
        <f t="shared" si="196"/>
        <v>0</v>
      </c>
      <c r="MGF84" s="79">
        <f t="shared" si="196"/>
        <v>0</v>
      </c>
      <c r="MGG84" s="145" t="s">
        <v>96</v>
      </c>
      <c r="MGJ84" s="79">
        <f>MGJ18+MGJ24+MGJ29+MGJ30</f>
        <v>0</v>
      </c>
      <c r="MGK84" s="79">
        <f t="shared" si="196"/>
        <v>0</v>
      </c>
      <c r="MGL84" s="79">
        <f t="shared" si="196"/>
        <v>0</v>
      </c>
      <c r="MGM84" s="79">
        <f t="shared" si="196"/>
        <v>0</v>
      </c>
      <c r="MGN84" s="79">
        <f t="shared" si="196"/>
        <v>0</v>
      </c>
      <c r="MGO84" s="79">
        <f t="shared" si="196"/>
        <v>0</v>
      </c>
      <c r="MGP84" s="79">
        <f t="shared" si="196"/>
        <v>0</v>
      </c>
      <c r="MGQ84" s="79">
        <f t="shared" si="196"/>
        <v>0</v>
      </c>
      <c r="MGR84" s="79">
        <f t="shared" si="196"/>
        <v>0</v>
      </c>
      <c r="MGS84" s="79">
        <f t="shared" si="196"/>
        <v>0</v>
      </c>
      <c r="MGT84" s="79">
        <f t="shared" si="196"/>
        <v>0</v>
      </c>
      <c r="MGU84" s="79">
        <f t="shared" si="196"/>
        <v>0</v>
      </c>
      <c r="MGV84" s="79">
        <f t="shared" si="196"/>
        <v>0</v>
      </c>
      <c r="MGW84" s="145" t="s">
        <v>96</v>
      </c>
      <c r="MGZ84" s="79">
        <f>MGZ18+MGZ24+MGZ29+MGZ30</f>
        <v>0</v>
      </c>
      <c r="MHA84" s="79">
        <f t="shared" si="196"/>
        <v>0</v>
      </c>
      <c r="MHB84" s="79">
        <f t="shared" si="196"/>
        <v>0</v>
      </c>
      <c r="MHC84" s="79">
        <f t="shared" si="196"/>
        <v>0</v>
      </c>
      <c r="MHD84" s="79">
        <f t="shared" si="196"/>
        <v>0</v>
      </c>
      <c r="MHE84" s="79">
        <f t="shared" si="196"/>
        <v>0</v>
      </c>
      <c r="MHF84" s="79">
        <f t="shared" si="196"/>
        <v>0</v>
      </c>
      <c r="MHG84" s="79">
        <f t="shared" si="196"/>
        <v>0</v>
      </c>
      <c r="MHH84" s="79">
        <f t="shared" si="196"/>
        <v>0</v>
      </c>
      <c r="MHI84" s="79">
        <f t="shared" si="196"/>
        <v>0</v>
      </c>
      <c r="MHJ84" s="79">
        <f t="shared" si="196"/>
        <v>0</v>
      </c>
      <c r="MHK84" s="79">
        <f t="shared" si="196"/>
        <v>0</v>
      </c>
      <c r="MHL84" s="79">
        <f t="shared" si="196"/>
        <v>0</v>
      </c>
      <c r="MHM84" s="145" t="s">
        <v>96</v>
      </c>
      <c r="MHP84" s="79">
        <f>MHP18+MHP24+MHP29+MHP30</f>
        <v>0</v>
      </c>
      <c r="MHQ84" s="79">
        <f t="shared" si="196"/>
        <v>0</v>
      </c>
      <c r="MHR84" s="79">
        <f t="shared" si="196"/>
        <v>0</v>
      </c>
      <c r="MHS84" s="79">
        <f t="shared" si="196"/>
        <v>0</v>
      </c>
      <c r="MHT84" s="79">
        <f t="shared" si="196"/>
        <v>0</v>
      </c>
      <c r="MHU84" s="79">
        <f t="shared" si="196"/>
        <v>0</v>
      </c>
      <c r="MHV84" s="79">
        <f t="shared" si="196"/>
        <v>0</v>
      </c>
      <c r="MHW84" s="79">
        <f t="shared" si="196"/>
        <v>0</v>
      </c>
      <c r="MHX84" s="79">
        <f t="shared" si="196"/>
        <v>0</v>
      </c>
      <c r="MHY84" s="79">
        <f t="shared" si="196"/>
        <v>0</v>
      </c>
      <c r="MHZ84" s="79">
        <f t="shared" si="196"/>
        <v>0</v>
      </c>
      <c r="MIA84" s="79">
        <f t="shared" si="196"/>
        <v>0</v>
      </c>
      <c r="MIB84" s="79">
        <f t="shared" si="196"/>
        <v>0</v>
      </c>
      <c r="MIC84" s="145" t="s">
        <v>96</v>
      </c>
      <c r="MIF84" s="79">
        <f>MIF18+MIF24+MIF29+MIF30</f>
        <v>0</v>
      </c>
      <c r="MIG84" s="79">
        <f t="shared" ref="MIG84:MKN84" si="197">MIG18+MIG24+MIG29+MIG30</f>
        <v>0</v>
      </c>
      <c r="MIH84" s="79">
        <f t="shared" si="197"/>
        <v>0</v>
      </c>
      <c r="MII84" s="79">
        <f t="shared" si="197"/>
        <v>0</v>
      </c>
      <c r="MIJ84" s="79">
        <f t="shared" si="197"/>
        <v>0</v>
      </c>
      <c r="MIK84" s="79">
        <f t="shared" si="197"/>
        <v>0</v>
      </c>
      <c r="MIL84" s="79">
        <f t="shared" si="197"/>
        <v>0</v>
      </c>
      <c r="MIM84" s="79">
        <f t="shared" si="197"/>
        <v>0</v>
      </c>
      <c r="MIN84" s="79">
        <f t="shared" si="197"/>
        <v>0</v>
      </c>
      <c r="MIO84" s="79">
        <f t="shared" si="197"/>
        <v>0</v>
      </c>
      <c r="MIP84" s="79">
        <f t="shared" si="197"/>
        <v>0</v>
      </c>
      <c r="MIQ84" s="79">
        <f t="shared" si="197"/>
        <v>0</v>
      </c>
      <c r="MIR84" s="79">
        <f t="shared" si="197"/>
        <v>0</v>
      </c>
      <c r="MIS84" s="145" t="s">
        <v>96</v>
      </c>
      <c r="MIV84" s="79">
        <f>MIV18+MIV24+MIV29+MIV30</f>
        <v>0</v>
      </c>
      <c r="MIW84" s="79">
        <f t="shared" si="197"/>
        <v>0</v>
      </c>
      <c r="MIX84" s="79">
        <f t="shared" si="197"/>
        <v>0</v>
      </c>
      <c r="MIY84" s="79">
        <f t="shared" si="197"/>
        <v>0</v>
      </c>
      <c r="MIZ84" s="79">
        <f t="shared" si="197"/>
        <v>0</v>
      </c>
      <c r="MJA84" s="79">
        <f t="shared" si="197"/>
        <v>0</v>
      </c>
      <c r="MJB84" s="79">
        <f t="shared" si="197"/>
        <v>0</v>
      </c>
      <c r="MJC84" s="79">
        <f t="shared" si="197"/>
        <v>0</v>
      </c>
      <c r="MJD84" s="79">
        <f t="shared" si="197"/>
        <v>0</v>
      </c>
      <c r="MJE84" s="79">
        <f t="shared" si="197"/>
        <v>0</v>
      </c>
      <c r="MJF84" s="79">
        <f t="shared" si="197"/>
        <v>0</v>
      </c>
      <c r="MJG84" s="79">
        <f t="shared" si="197"/>
        <v>0</v>
      </c>
      <c r="MJH84" s="79">
        <f t="shared" si="197"/>
        <v>0</v>
      </c>
      <c r="MJI84" s="145" t="s">
        <v>96</v>
      </c>
      <c r="MJL84" s="79">
        <f>MJL18+MJL24+MJL29+MJL30</f>
        <v>0</v>
      </c>
      <c r="MJM84" s="79">
        <f t="shared" si="197"/>
        <v>0</v>
      </c>
      <c r="MJN84" s="79">
        <f t="shared" si="197"/>
        <v>0</v>
      </c>
      <c r="MJO84" s="79">
        <f t="shared" si="197"/>
        <v>0</v>
      </c>
      <c r="MJP84" s="79">
        <f t="shared" si="197"/>
        <v>0</v>
      </c>
      <c r="MJQ84" s="79">
        <f t="shared" si="197"/>
        <v>0</v>
      </c>
      <c r="MJR84" s="79">
        <f t="shared" si="197"/>
        <v>0</v>
      </c>
      <c r="MJS84" s="79">
        <f t="shared" si="197"/>
        <v>0</v>
      </c>
      <c r="MJT84" s="79">
        <f t="shared" si="197"/>
        <v>0</v>
      </c>
      <c r="MJU84" s="79">
        <f t="shared" si="197"/>
        <v>0</v>
      </c>
      <c r="MJV84" s="79">
        <f t="shared" si="197"/>
        <v>0</v>
      </c>
      <c r="MJW84" s="79">
        <f t="shared" si="197"/>
        <v>0</v>
      </c>
      <c r="MJX84" s="79">
        <f t="shared" si="197"/>
        <v>0</v>
      </c>
      <c r="MJY84" s="145" t="s">
        <v>96</v>
      </c>
      <c r="MKB84" s="79">
        <f>MKB18+MKB24+MKB29+MKB30</f>
        <v>0</v>
      </c>
      <c r="MKC84" s="79">
        <f t="shared" si="197"/>
        <v>0</v>
      </c>
      <c r="MKD84" s="79">
        <f t="shared" si="197"/>
        <v>0</v>
      </c>
      <c r="MKE84" s="79">
        <f t="shared" si="197"/>
        <v>0</v>
      </c>
      <c r="MKF84" s="79">
        <f t="shared" si="197"/>
        <v>0</v>
      </c>
      <c r="MKG84" s="79">
        <f t="shared" si="197"/>
        <v>0</v>
      </c>
      <c r="MKH84" s="79">
        <f t="shared" si="197"/>
        <v>0</v>
      </c>
      <c r="MKI84" s="79">
        <f t="shared" si="197"/>
        <v>0</v>
      </c>
      <c r="MKJ84" s="79">
        <f t="shared" si="197"/>
        <v>0</v>
      </c>
      <c r="MKK84" s="79">
        <f t="shared" si="197"/>
        <v>0</v>
      </c>
      <c r="MKL84" s="79">
        <f t="shared" si="197"/>
        <v>0</v>
      </c>
      <c r="MKM84" s="79">
        <f t="shared" si="197"/>
        <v>0</v>
      </c>
      <c r="MKN84" s="79">
        <f t="shared" si="197"/>
        <v>0</v>
      </c>
      <c r="MKO84" s="145" t="s">
        <v>96</v>
      </c>
      <c r="MKR84" s="79">
        <f>MKR18+MKR24+MKR29+MKR30</f>
        <v>0</v>
      </c>
      <c r="MKS84" s="79">
        <f t="shared" ref="MKS84:MMZ84" si="198">MKS18+MKS24+MKS29+MKS30</f>
        <v>0</v>
      </c>
      <c r="MKT84" s="79">
        <f t="shared" si="198"/>
        <v>0</v>
      </c>
      <c r="MKU84" s="79">
        <f t="shared" si="198"/>
        <v>0</v>
      </c>
      <c r="MKV84" s="79">
        <f t="shared" si="198"/>
        <v>0</v>
      </c>
      <c r="MKW84" s="79">
        <f t="shared" si="198"/>
        <v>0</v>
      </c>
      <c r="MKX84" s="79">
        <f t="shared" si="198"/>
        <v>0</v>
      </c>
      <c r="MKY84" s="79">
        <f t="shared" si="198"/>
        <v>0</v>
      </c>
      <c r="MKZ84" s="79">
        <f t="shared" si="198"/>
        <v>0</v>
      </c>
      <c r="MLA84" s="79">
        <f t="shared" si="198"/>
        <v>0</v>
      </c>
      <c r="MLB84" s="79">
        <f t="shared" si="198"/>
        <v>0</v>
      </c>
      <c r="MLC84" s="79">
        <f t="shared" si="198"/>
        <v>0</v>
      </c>
      <c r="MLD84" s="79">
        <f t="shared" si="198"/>
        <v>0</v>
      </c>
      <c r="MLE84" s="145" t="s">
        <v>96</v>
      </c>
      <c r="MLH84" s="79">
        <f>MLH18+MLH24+MLH29+MLH30</f>
        <v>0</v>
      </c>
      <c r="MLI84" s="79">
        <f t="shared" si="198"/>
        <v>0</v>
      </c>
      <c r="MLJ84" s="79">
        <f t="shared" si="198"/>
        <v>0</v>
      </c>
      <c r="MLK84" s="79">
        <f t="shared" si="198"/>
        <v>0</v>
      </c>
      <c r="MLL84" s="79">
        <f t="shared" si="198"/>
        <v>0</v>
      </c>
      <c r="MLM84" s="79">
        <f t="shared" si="198"/>
        <v>0</v>
      </c>
      <c r="MLN84" s="79">
        <f t="shared" si="198"/>
        <v>0</v>
      </c>
      <c r="MLO84" s="79">
        <f t="shared" si="198"/>
        <v>0</v>
      </c>
      <c r="MLP84" s="79">
        <f t="shared" si="198"/>
        <v>0</v>
      </c>
      <c r="MLQ84" s="79">
        <f t="shared" si="198"/>
        <v>0</v>
      </c>
      <c r="MLR84" s="79">
        <f t="shared" si="198"/>
        <v>0</v>
      </c>
      <c r="MLS84" s="79">
        <f t="shared" si="198"/>
        <v>0</v>
      </c>
      <c r="MLT84" s="79">
        <f t="shared" si="198"/>
        <v>0</v>
      </c>
      <c r="MLU84" s="145" t="s">
        <v>96</v>
      </c>
      <c r="MLX84" s="79">
        <f>MLX18+MLX24+MLX29+MLX30</f>
        <v>0</v>
      </c>
      <c r="MLY84" s="79">
        <f t="shared" si="198"/>
        <v>0</v>
      </c>
      <c r="MLZ84" s="79">
        <f t="shared" si="198"/>
        <v>0</v>
      </c>
      <c r="MMA84" s="79">
        <f t="shared" si="198"/>
        <v>0</v>
      </c>
      <c r="MMB84" s="79">
        <f t="shared" si="198"/>
        <v>0</v>
      </c>
      <c r="MMC84" s="79">
        <f t="shared" si="198"/>
        <v>0</v>
      </c>
      <c r="MMD84" s="79">
        <f t="shared" si="198"/>
        <v>0</v>
      </c>
      <c r="MME84" s="79">
        <f t="shared" si="198"/>
        <v>0</v>
      </c>
      <c r="MMF84" s="79">
        <f t="shared" si="198"/>
        <v>0</v>
      </c>
      <c r="MMG84" s="79">
        <f t="shared" si="198"/>
        <v>0</v>
      </c>
      <c r="MMH84" s="79">
        <f t="shared" si="198"/>
        <v>0</v>
      </c>
      <c r="MMI84" s="79">
        <f t="shared" si="198"/>
        <v>0</v>
      </c>
      <c r="MMJ84" s="79">
        <f t="shared" si="198"/>
        <v>0</v>
      </c>
      <c r="MMK84" s="145" t="s">
        <v>96</v>
      </c>
      <c r="MMN84" s="79">
        <f>MMN18+MMN24+MMN29+MMN30</f>
        <v>0</v>
      </c>
      <c r="MMO84" s="79">
        <f t="shared" si="198"/>
        <v>0</v>
      </c>
      <c r="MMP84" s="79">
        <f t="shared" si="198"/>
        <v>0</v>
      </c>
      <c r="MMQ84" s="79">
        <f t="shared" si="198"/>
        <v>0</v>
      </c>
      <c r="MMR84" s="79">
        <f t="shared" si="198"/>
        <v>0</v>
      </c>
      <c r="MMS84" s="79">
        <f t="shared" si="198"/>
        <v>0</v>
      </c>
      <c r="MMT84" s="79">
        <f t="shared" si="198"/>
        <v>0</v>
      </c>
      <c r="MMU84" s="79">
        <f t="shared" si="198"/>
        <v>0</v>
      </c>
      <c r="MMV84" s="79">
        <f t="shared" si="198"/>
        <v>0</v>
      </c>
      <c r="MMW84" s="79">
        <f t="shared" si="198"/>
        <v>0</v>
      </c>
      <c r="MMX84" s="79">
        <f t="shared" si="198"/>
        <v>0</v>
      </c>
      <c r="MMY84" s="79">
        <f t="shared" si="198"/>
        <v>0</v>
      </c>
      <c r="MMZ84" s="79">
        <f t="shared" si="198"/>
        <v>0</v>
      </c>
      <c r="MNA84" s="145" t="s">
        <v>96</v>
      </c>
      <c r="MND84" s="79">
        <f>MND18+MND24+MND29+MND30</f>
        <v>0</v>
      </c>
      <c r="MNE84" s="79">
        <f t="shared" ref="MNE84:MPL84" si="199">MNE18+MNE24+MNE29+MNE30</f>
        <v>0</v>
      </c>
      <c r="MNF84" s="79">
        <f t="shared" si="199"/>
        <v>0</v>
      </c>
      <c r="MNG84" s="79">
        <f t="shared" si="199"/>
        <v>0</v>
      </c>
      <c r="MNH84" s="79">
        <f t="shared" si="199"/>
        <v>0</v>
      </c>
      <c r="MNI84" s="79">
        <f t="shared" si="199"/>
        <v>0</v>
      </c>
      <c r="MNJ84" s="79">
        <f t="shared" si="199"/>
        <v>0</v>
      </c>
      <c r="MNK84" s="79">
        <f t="shared" si="199"/>
        <v>0</v>
      </c>
      <c r="MNL84" s="79">
        <f t="shared" si="199"/>
        <v>0</v>
      </c>
      <c r="MNM84" s="79">
        <f t="shared" si="199"/>
        <v>0</v>
      </c>
      <c r="MNN84" s="79">
        <f t="shared" si="199"/>
        <v>0</v>
      </c>
      <c r="MNO84" s="79">
        <f t="shared" si="199"/>
        <v>0</v>
      </c>
      <c r="MNP84" s="79">
        <f t="shared" si="199"/>
        <v>0</v>
      </c>
      <c r="MNQ84" s="145" t="s">
        <v>96</v>
      </c>
      <c r="MNT84" s="79">
        <f>MNT18+MNT24+MNT29+MNT30</f>
        <v>0</v>
      </c>
      <c r="MNU84" s="79">
        <f t="shared" si="199"/>
        <v>0</v>
      </c>
      <c r="MNV84" s="79">
        <f t="shared" si="199"/>
        <v>0</v>
      </c>
      <c r="MNW84" s="79">
        <f t="shared" si="199"/>
        <v>0</v>
      </c>
      <c r="MNX84" s="79">
        <f t="shared" si="199"/>
        <v>0</v>
      </c>
      <c r="MNY84" s="79">
        <f t="shared" si="199"/>
        <v>0</v>
      </c>
      <c r="MNZ84" s="79">
        <f t="shared" si="199"/>
        <v>0</v>
      </c>
      <c r="MOA84" s="79">
        <f t="shared" si="199"/>
        <v>0</v>
      </c>
      <c r="MOB84" s="79">
        <f t="shared" si="199"/>
        <v>0</v>
      </c>
      <c r="MOC84" s="79">
        <f t="shared" si="199"/>
        <v>0</v>
      </c>
      <c r="MOD84" s="79">
        <f t="shared" si="199"/>
        <v>0</v>
      </c>
      <c r="MOE84" s="79">
        <f t="shared" si="199"/>
        <v>0</v>
      </c>
      <c r="MOF84" s="79">
        <f t="shared" si="199"/>
        <v>0</v>
      </c>
      <c r="MOG84" s="145" t="s">
        <v>96</v>
      </c>
      <c r="MOJ84" s="79">
        <f>MOJ18+MOJ24+MOJ29+MOJ30</f>
        <v>0</v>
      </c>
      <c r="MOK84" s="79">
        <f t="shared" si="199"/>
        <v>0</v>
      </c>
      <c r="MOL84" s="79">
        <f t="shared" si="199"/>
        <v>0</v>
      </c>
      <c r="MOM84" s="79">
        <f t="shared" si="199"/>
        <v>0</v>
      </c>
      <c r="MON84" s="79">
        <f t="shared" si="199"/>
        <v>0</v>
      </c>
      <c r="MOO84" s="79">
        <f t="shared" si="199"/>
        <v>0</v>
      </c>
      <c r="MOP84" s="79">
        <f t="shared" si="199"/>
        <v>0</v>
      </c>
      <c r="MOQ84" s="79">
        <f t="shared" si="199"/>
        <v>0</v>
      </c>
      <c r="MOR84" s="79">
        <f t="shared" si="199"/>
        <v>0</v>
      </c>
      <c r="MOS84" s="79">
        <f t="shared" si="199"/>
        <v>0</v>
      </c>
      <c r="MOT84" s="79">
        <f t="shared" si="199"/>
        <v>0</v>
      </c>
      <c r="MOU84" s="79">
        <f t="shared" si="199"/>
        <v>0</v>
      </c>
      <c r="MOV84" s="79">
        <f t="shared" si="199"/>
        <v>0</v>
      </c>
      <c r="MOW84" s="145" t="s">
        <v>96</v>
      </c>
      <c r="MOZ84" s="79">
        <f>MOZ18+MOZ24+MOZ29+MOZ30</f>
        <v>0</v>
      </c>
      <c r="MPA84" s="79">
        <f t="shared" si="199"/>
        <v>0</v>
      </c>
      <c r="MPB84" s="79">
        <f t="shared" si="199"/>
        <v>0</v>
      </c>
      <c r="MPC84" s="79">
        <f t="shared" si="199"/>
        <v>0</v>
      </c>
      <c r="MPD84" s="79">
        <f t="shared" si="199"/>
        <v>0</v>
      </c>
      <c r="MPE84" s="79">
        <f t="shared" si="199"/>
        <v>0</v>
      </c>
      <c r="MPF84" s="79">
        <f t="shared" si="199"/>
        <v>0</v>
      </c>
      <c r="MPG84" s="79">
        <f t="shared" si="199"/>
        <v>0</v>
      </c>
      <c r="MPH84" s="79">
        <f t="shared" si="199"/>
        <v>0</v>
      </c>
      <c r="MPI84" s="79">
        <f t="shared" si="199"/>
        <v>0</v>
      </c>
      <c r="MPJ84" s="79">
        <f t="shared" si="199"/>
        <v>0</v>
      </c>
      <c r="MPK84" s="79">
        <f t="shared" si="199"/>
        <v>0</v>
      </c>
      <c r="MPL84" s="79">
        <f t="shared" si="199"/>
        <v>0</v>
      </c>
      <c r="MPM84" s="145" t="s">
        <v>96</v>
      </c>
      <c r="MPP84" s="79">
        <f>MPP18+MPP24+MPP29+MPP30</f>
        <v>0</v>
      </c>
      <c r="MPQ84" s="79">
        <f t="shared" ref="MPQ84:MRX84" si="200">MPQ18+MPQ24+MPQ29+MPQ30</f>
        <v>0</v>
      </c>
      <c r="MPR84" s="79">
        <f t="shared" si="200"/>
        <v>0</v>
      </c>
      <c r="MPS84" s="79">
        <f t="shared" si="200"/>
        <v>0</v>
      </c>
      <c r="MPT84" s="79">
        <f t="shared" si="200"/>
        <v>0</v>
      </c>
      <c r="MPU84" s="79">
        <f t="shared" si="200"/>
        <v>0</v>
      </c>
      <c r="MPV84" s="79">
        <f t="shared" si="200"/>
        <v>0</v>
      </c>
      <c r="MPW84" s="79">
        <f t="shared" si="200"/>
        <v>0</v>
      </c>
      <c r="MPX84" s="79">
        <f t="shared" si="200"/>
        <v>0</v>
      </c>
      <c r="MPY84" s="79">
        <f t="shared" si="200"/>
        <v>0</v>
      </c>
      <c r="MPZ84" s="79">
        <f t="shared" si="200"/>
        <v>0</v>
      </c>
      <c r="MQA84" s="79">
        <f t="shared" si="200"/>
        <v>0</v>
      </c>
      <c r="MQB84" s="79">
        <f t="shared" si="200"/>
        <v>0</v>
      </c>
      <c r="MQC84" s="145" t="s">
        <v>96</v>
      </c>
      <c r="MQF84" s="79">
        <f>MQF18+MQF24+MQF29+MQF30</f>
        <v>0</v>
      </c>
      <c r="MQG84" s="79">
        <f t="shared" si="200"/>
        <v>0</v>
      </c>
      <c r="MQH84" s="79">
        <f t="shared" si="200"/>
        <v>0</v>
      </c>
      <c r="MQI84" s="79">
        <f t="shared" si="200"/>
        <v>0</v>
      </c>
      <c r="MQJ84" s="79">
        <f t="shared" si="200"/>
        <v>0</v>
      </c>
      <c r="MQK84" s="79">
        <f t="shared" si="200"/>
        <v>0</v>
      </c>
      <c r="MQL84" s="79">
        <f t="shared" si="200"/>
        <v>0</v>
      </c>
      <c r="MQM84" s="79">
        <f t="shared" si="200"/>
        <v>0</v>
      </c>
      <c r="MQN84" s="79">
        <f t="shared" si="200"/>
        <v>0</v>
      </c>
      <c r="MQO84" s="79">
        <f t="shared" si="200"/>
        <v>0</v>
      </c>
      <c r="MQP84" s="79">
        <f t="shared" si="200"/>
        <v>0</v>
      </c>
      <c r="MQQ84" s="79">
        <f t="shared" si="200"/>
        <v>0</v>
      </c>
      <c r="MQR84" s="79">
        <f t="shared" si="200"/>
        <v>0</v>
      </c>
      <c r="MQS84" s="145" t="s">
        <v>96</v>
      </c>
      <c r="MQV84" s="79">
        <f>MQV18+MQV24+MQV29+MQV30</f>
        <v>0</v>
      </c>
      <c r="MQW84" s="79">
        <f t="shared" si="200"/>
        <v>0</v>
      </c>
      <c r="MQX84" s="79">
        <f t="shared" si="200"/>
        <v>0</v>
      </c>
      <c r="MQY84" s="79">
        <f t="shared" si="200"/>
        <v>0</v>
      </c>
      <c r="MQZ84" s="79">
        <f t="shared" si="200"/>
        <v>0</v>
      </c>
      <c r="MRA84" s="79">
        <f t="shared" si="200"/>
        <v>0</v>
      </c>
      <c r="MRB84" s="79">
        <f t="shared" si="200"/>
        <v>0</v>
      </c>
      <c r="MRC84" s="79">
        <f t="shared" si="200"/>
        <v>0</v>
      </c>
      <c r="MRD84" s="79">
        <f t="shared" si="200"/>
        <v>0</v>
      </c>
      <c r="MRE84" s="79">
        <f t="shared" si="200"/>
        <v>0</v>
      </c>
      <c r="MRF84" s="79">
        <f t="shared" si="200"/>
        <v>0</v>
      </c>
      <c r="MRG84" s="79">
        <f t="shared" si="200"/>
        <v>0</v>
      </c>
      <c r="MRH84" s="79">
        <f t="shared" si="200"/>
        <v>0</v>
      </c>
      <c r="MRI84" s="145" t="s">
        <v>96</v>
      </c>
      <c r="MRL84" s="79">
        <f>MRL18+MRL24+MRL29+MRL30</f>
        <v>0</v>
      </c>
      <c r="MRM84" s="79">
        <f t="shared" si="200"/>
        <v>0</v>
      </c>
      <c r="MRN84" s="79">
        <f t="shared" si="200"/>
        <v>0</v>
      </c>
      <c r="MRO84" s="79">
        <f t="shared" si="200"/>
        <v>0</v>
      </c>
      <c r="MRP84" s="79">
        <f t="shared" si="200"/>
        <v>0</v>
      </c>
      <c r="MRQ84" s="79">
        <f t="shared" si="200"/>
        <v>0</v>
      </c>
      <c r="MRR84" s="79">
        <f t="shared" si="200"/>
        <v>0</v>
      </c>
      <c r="MRS84" s="79">
        <f t="shared" si="200"/>
        <v>0</v>
      </c>
      <c r="MRT84" s="79">
        <f t="shared" si="200"/>
        <v>0</v>
      </c>
      <c r="MRU84" s="79">
        <f t="shared" si="200"/>
        <v>0</v>
      </c>
      <c r="MRV84" s="79">
        <f t="shared" si="200"/>
        <v>0</v>
      </c>
      <c r="MRW84" s="79">
        <f t="shared" si="200"/>
        <v>0</v>
      </c>
      <c r="MRX84" s="79">
        <f t="shared" si="200"/>
        <v>0</v>
      </c>
      <c r="MRY84" s="145" t="s">
        <v>96</v>
      </c>
      <c r="MSB84" s="79">
        <f>MSB18+MSB24+MSB29+MSB30</f>
        <v>0</v>
      </c>
      <c r="MSC84" s="79">
        <f t="shared" ref="MSC84:MUJ84" si="201">MSC18+MSC24+MSC29+MSC30</f>
        <v>0</v>
      </c>
      <c r="MSD84" s="79">
        <f t="shared" si="201"/>
        <v>0</v>
      </c>
      <c r="MSE84" s="79">
        <f t="shared" si="201"/>
        <v>0</v>
      </c>
      <c r="MSF84" s="79">
        <f t="shared" si="201"/>
        <v>0</v>
      </c>
      <c r="MSG84" s="79">
        <f t="shared" si="201"/>
        <v>0</v>
      </c>
      <c r="MSH84" s="79">
        <f t="shared" si="201"/>
        <v>0</v>
      </c>
      <c r="MSI84" s="79">
        <f t="shared" si="201"/>
        <v>0</v>
      </c>
      <c r="MSJ84" s="79">
        <f t="shared" si="201"/>
        <v>0</v>
      </c>
      <c r="MSK84" s="79">
        <f t="shared" si="201"/>
        <v>0</v>
      </c>
      <c r="MSL84" s="79">
        <f t="shared" si="201"/>
        <v>0</v>
      </c>
      <c r="MSM84" s="79">
        <f t="shared" si="201"/>
        <v>0</v>
      </c>
      <c r="MSN84" s="79">
        <f t="shared" si="201"/>
        <v>0</v>
      </c>
      <c r="MSO84" s="145" t="s">
        <v>96</v>
      </c>
      <c r="MSR84" s="79">
        <f>MSR18+MSR24+MSR29+MSR30</f>
        <v>0</v>
      </c>
      <c r="MSS84" s="79">
        <f t="shared" si="201"/>
        <v>0</v>
      </c>
      <c r="MST84" s="79">
        <f t="shared" si="201"/>
        <v>0</v>
      </c>
      <c r="MSU84" s="79">
        <f t="shared" si="201"/>
        <v>0</v>
      </c>
      <c r="MSV84" s="79">
        <f t="shared" si="201"/>
        <v>0</v>
      </c>
      <c r="MSW84" s="79">
        <f t="shared" si="201"/>
        <v>0</v>
      </c>
      <c r="MSX84" s="79">
        <f t="shared" si="201"/>
        <v>0</v>
      </c>
      <c r="MSY84" s="79">
        <f t="shared" si="201"/>
        <v>0</v>
      </c>
      <c r="MSZ84" s="79">
        <f t="shared" si="201"/>
        <v>0</v>
      </c>
      <c r="MTA84" s="79">
        <f t="shared" si="201"/>
        <v>0</v>
      </c>
      <c r="MTB84" s="79">
        <f t="shared" si="201"/>
        <v>0</v>
      </c>
      <c r="MTC84" s="79">
        <f t="shared" si="201"/>
        <v>0</v>
      </c>
      <c r="MTD84" s="79">
        <f t="shared" si="201"/>
        <v>0</v>
      </c>
      <c r="MTE84" s="145" t="s">
        <v>96</v>
      </c>
      <c r="MTH84" s="79">
        <f>MTH18+MTH24+MTH29+MTH30</f>
        <v>0</v>
      </c>
      <c r="MTI84" s="79">
        <f t="shared" si="201"/>
        <v>0</v>
      </c>
      <c r="MTJ84" s="79">
        <f t="shared" si="201"/>
        <v>0</v>
      </c>
      <c r="MTK84" s="79">
        <f t="shared" si="201"/>
        <v>0</v>
      </c>
      <c r="MTL84" s="79">
        <f t="shared" si="201"/>
        <v>0</v>
      </c>
      <c r="MTM84" s="79">
        <f t="shared" si="201"/>
        <v>0</v>
      </c>
      <c r="MTN84" s="79">
        <f t="shared" si="201"/>
        <v>0</v>
      </c>
      <c r="MTO84" s="79">
        <f t="shared" si="201"/>
        <v>0</v>
      </c>
      <c r="MTP84" s="79">
        <f t="shared" si="201"/>
        <v>0</v>
      </c>
      <c r="MTQ84" s="79">
        <f t="shared" si="201"/>
        <v>0</v>
      </c>
      <c r="MTR84" s="79">
        <f t="shared" si="201"/>
        <v>0</v>
      </c>
      <c r="MTS84" s="79">
        <f t="shared" si="201"/>
        <v>0</v>
      </c>
      <c r="MTT84" s="79">
        <f t="shared" si="201"/>
        <v>0</v>
      </c>
      <c r="MTU84" s="145" t="s">
        <v>96</v>
      </c>
      <c r="MTX84" s="79">
        <f>MTX18+MTX24+MTX29+MTX30</f>
        <v>0</v>
      </c>
      <c r="MTY84" s="79">
        <f t="shared" si="201"/>
        <v>0</v>
      </c>
      <c r="MTZ84" s="79">
        <f t="shared" si="201"/>
        <v>0</v>
      </c>
      <c r="MUA84" s="79">
        <f t="shared" si="201"/>
        <v>0</v>
      </c>
      <c r="MUB84" s="79">
        <f t="shared" si="201"/>
        <v>0</v>
      </c>
      <c r="MUC84" s="79">
        <f t="shared" si="201"/>
        <v>0</v>
      </c>
      <c r="MUD84" s="79">
        <f t="shared" si="201"/>
        <v>0</v>
      </c>
      <c r="MUE84" s="79">
        <f t="shared" si="201"/>
        <v>0</v>
      </c>
      <c r="MUF84" s="79">
        <f t="shared" si="201"/>
        <v>0</v>
      </c>
      <c r="MUG84" s="79">
        <f t="shared" si="201"/>
        <v>0</v>
      </c>
      <c r="MUH84" s="79">
        <f t="shared" si="201"/>
        <v>0</v>
      </c>
      <c r="MUI84" s="79">
        <f t="shared" si="201"/>
        <v>0</v>
      </c>
      <c r="MUJ84" s="79">
        <f t="shared" si="201"/>
        <v>0</v>
      </c>
      <c r="MUK84" s="145" t="s">
        <v>96</v>
      </c>
      <c r="MUN84" s="79">
        <f>MUN18+MUN24+MUN29+MUN30</f>
        <v>0</v>
      </c>
      <c r="MUO84" s="79">
        <f t="shared" ref="MUO84:MWV84" si="202">MUO18+MUO24+MUO29+MUO30</f>
        <v>0</v>
      </c>
      <c r="MUP84" s="79">
        <f t="shared" si="202"/>
        <v>0</v>
      </c>
      <c r="MUQ84" s="79">
        <f t="shared" si="202"/>
        <v>0</v>
      </c>
      <c r="MUR84" s="79">
        <f t="shared" si="202"/>
        <v>0</v>
      </c>
      <c r="MUS84" s="79">
        <f t="shared" si="202"/>
        <v>0</v>
      </c>
      <c r="MUT84" s="79">
        <f t="shared" si="202"/>
        <v>0</v>
      </c>
      <c r="MUU84" s="79">
        <f t="shared" si="202"/>
        <v>0</v>
      </c>
      <c r="MUV84" s="79">
        <f t="shared" si="202"/>
        <v>0</v>
      </c>
      <c r="MUW84" s="79">
        <f t="shared" si="202"/>
        <v>0</v>
      </c>
      <c r="MUX84" s="79">
        <f t="shared" si="202"/>
        <v>0</v>
      </c>
      <c r="MUY84" s="79">
        <f t="shared" si="202"/>
        <v>0</v>
      </c>
      <c r="MUZ84" s="79">
        <f t="shared" si="202"/>
        <v>0</v>
      </c>
      <c r="MVA84" s="145" t="s">
        <v>96</v>
      </c>
      <c r="MVD84" s="79">
        <f>MVD18+MVD24+MVD29+MVD30</f>
        <v>0</v>
      </c>
      <c r="MVE84" s="79">
        <f t="shared" si="202"/>
        <v>0</v>
      </c>
      <c r="MVF84" s="79">
        <f t="shared" si="202"/>
        <v>0</v>
      </c>
      <c r="MVG84" s="79">
        <f t="shared" si="202"/>
        <v>0</v>
      </c>
      <c r="MVH84" s="79">
        <f t="shared" si="202"/>
        <v>0</v>
      </c>
      <c r="MVI84" s="79">
        <f t="shared" si="202"/>
        <v>0</v>
      </c>
      <c r="MVJ84" s="79">
        <f t="shared" si="202"/>
        <v>0</v>
      </c>
      <c r="MVK84" s="79">
        <f t="shared" si="202"/>
        <v>0</v>
      </c>
      <c r="MVL84" s="79">
        <f t="shared" si="202"/>
        <v>0</v>
      </c>
      <c r="MVM84" s="79">
        <f t="shared" si="202"/>
        <v>0</v>
      </c>
      <c r="MVN84" s="79">
        <f t="shared" si="202"/>
        <v>0</v>
      </c>
      <c r="MVO84" s="79">
        <f t="shared" si="202"/>
        <v>0</v>
      </c>
      <c r="MVP84" s="79">
        <f t="shared" si="202"/>
        <v>0</v>
      </c>
      <c r="MVQ84" s="145" t="s">
        <v>96</v>
      </c>
      <c r="MVT84" s="79">
        <f>MVT18+MVT24+MVT29+MVT30</f>
        <v>0</v>
      </c>
      <c r="MVU84" s="79">
        <f t="shared" si="202"/>
        <v>0</v>
      </c>
      <c r="MVV84" s="79">
        <f t="shared" si="202"/>
        <v>0</v>
      </c>
      <c r="MVW84" s="79">
        <f t="shared" si="202"/>
        <v>0</v>
      </c>
      <c r="MVX84" s="79">
        <f t="shared" si="202"/>
        <v>0</v>
      </c>
      <c r="MVY84" s="79">
        <f t="shared" si="202"/>
        <v>0</v>
      </c>
      <c r="MVZ84" s="79">
        <f t="shared" si="202"/>
        <v>0</v>
      </c>
      <c r="MWA84" s="79">
        <f t="shared" si="202"/>
        <v>0</v>
      </c>
      <c r="MWB84" s="79">
        <f t="shared" si="202"/>
        <v>0</v>
      </c>
      <c r="MWC84" s="79">
        <f t="shared" si="202"/>
        <v>0</v>
      </c>
      <c r="MWD84" s="79">
        <f t="shared" si="202"/>
        <v>0</v>
      </c>
      <c r="MWE84" s="79">
        <f t="shared" si="202"/>
        <v>0</v>
      </c>
      <c r="MWF84" s="79">
        <f t="shared" si="202"/>
        <v>0</v>
      </c>
      <c r="MWG84" s="145" t="s">
        <v>96</v>
      </c>
      <c r="MWJ84" s="79">
        <f>MWJ18+MWJ24+MWJ29+MWJ30</f>
        <v>0</v>
      </c>
      <c r="MWK84" s="79">
        <f t="shared" si="202"/>
        <v>0</v>
      </c>
      <c r="MWL84" s="79">
        <f t="shared" si="202"/>
        <v>0</v>
      </c>
      <c r="MWM84" s="79">
        <f t="shared" si="202"/>
        <v>0</v>
      </c>
      <c r="MWN84" s="79">
        <f t="shared" si="202"/>
        <v>0</v>
      </c>
      <c r="MWO84" s="79">
        <f t="shared" si="202"/>
        <v>0</v>
      </c>
      <c r="MWP84" s="79">
        <f t="shared" si="202"/>
        <v>0</v>
      </c>
      <c r="MWQ84" s="79">
        <f t="shared" si="202"/>
        <v>0</v>
      </c>
      <c r="MWR84" s="79">
        <f t="shared" si="202"/>
        <v>0</v>
      </c>
      <c r="MWS84" s="79">
        <f t="shared" si="202"/>
        <v>0</v>
      </c>
      <c r="MWT84" s="79">
        <f t="shared" si="202"/>
        <v>0</v>
      </c>
      <c r="MWU84" s="79">
        <f t="shared" si="202"/>
        <v>0</v>
      </c>
      <c r="MWV84" s="79">
        <f t="shared" si="202"/>
        <v>0</v>
      </c>
      <c r="MWW84" s="145" t="s">
        <v>96</v>
      </c>
      <c r="MWZ84" s="79">
        <f>MWZ18+MWZ24+MWZ29+MWZ30</f>
        <v>0</v>
      </c>
      <c r="MXA84" s="79">
        <f t="shared" ref="MXA84:MZH84" si="203">MXA18+MXA24+MXA29+MXA30</f>
        <v>0</v>
      </c>
      <c r="MXB84" s="79">
        <f t="shared" si="203"/>
        <v>0</v>
      </c>
      <c r="MXC84" s="79">
        <f t="shared" si="203"/>
        <v>0</v>
      </c>
      <c r="MXD84" s="79">
        <f t="shared" si="203"/>
        <v>0</v>
      </c>
      <c r="MXE84" s="79">
        <f t="shared" si="203"/>
        <v>0</v>
      </c>
      <c r="MXF84" s="79">
        <f t="shared" si="203"/>
        <v>0</v>
      </c>
      <c r="MXG84" s="79">
        <f t="shared" si="203"/>
        <v>0</v>
      </c>
      <c r="MXH84" s="79">
        <f t="shared" si="203"/>
        <v>0</v>
      </c>
      <c r="MXI84" s="79">
        <f t="shared" si="203"/>
        <v>0</v>
      </c>
      <c r="MXJ84" s="79">
        <f t="shared" si="203"/>
        <v>0</v>
      </c>
      <c r="MXK84" s="79">
        <f t="shared" si="203"/>
        <v>0</v>
      </c>
      <c r="MXL84" s="79">
        <f t="shared" si="203"/>
        <v>0</v>
      </c>
      <c r="MXM84" s="145" t="s">
        <v>96</v>
      </c>
      <c r="MXP84" s="79">
        <f>MXP18+MXP24+MXP29+MXP30</f>
        <v>0</v>
      </c>
      <c r="MXQ84" s="79">
        <f t="shared" si="203"/>
        <v>0</v>
      </c>
      <c r="MXR84" s="79">
        <f t="shared" si="203"/>
        <v>0</v>
      </c>
      <c r="MXS84" s="79">
        <f t="shared" si="203"/>
        <v>0</v>
      </c>
      <c r="MXT84" s="79">
        <f t="shared" si="203"/>
        <v>0</v>
      </c>
      <c r="MXU84" s="79">
        <f t="shared" si="203"/>
        <v>0</v>
      </c>
      <c r="MXV84" s="79">
        <f t="shared" si="203"/>
        <v>0</v>
      </c>
      <c r="MXW84" s="79">
        <f t="shared" si="203"/>
        <v>0</v>
      </c>
      <c r="MXX84" s="79">
        <f t="shared" si="203"/>
        <v>0</v>
      </c>
      <c r="MXY84" s="79">
        <f t="shared" si="203"/>
        <v>0</v>
      </c>
      <c r="MXZ84" s="79">
        <f t="shared" si="203"/>
        <v>0</v>
      </c>
      <c r="MYA84" s="79">
        <f t="shared" si="203"/>
        <v>0</v>
      </c>
      <c r="MYB84" s="79">
        <f t="shared" si="203"/>
        <v>0</v>
      </c>
      <c r="MYC84" s="145" t="s">
        <v>96</v>
      </c>
      <c r="MYF84" s="79">
        <f>MYF18+MYF24+MYF29+MYF30</f>
        <v>0</v>
      </c>
      <c r="MYG84" s="79">
        <f t="shared" si="203"/>
        <v>0</v>
      </c>
      <c r="MYH84" s="79">
        <f t="shared" si="203"/>
        <v>0</v>
      </c>
      <c r="MYI84" s="79">
        <f t="shared" si="203"/>
        <v>0</v>
      </c>
      <c r="MYJ84" s="79">
        <f t="shared" si="203"/>
        <v>0</v>
      </c>
      <c r="MYK84" s="79">
        <f t="shared" si="203"/>
        <v>0</v>
      </c>
      <c r="MYL84" s="79">
        <f t="shared" si="203"/>
        <v>0</v>
      </c>
      <c r="MYM84" s="79">
        <f t="shared" si="203"/>
        <v>0</v>
      </c>
      <c r="MYN84" s="79">
        <f t="shared" si="203"/>
        <v>0</v>
      </c>
      <c r="MYO84" s="79">
        <f t="shared" si="203"/>
        <v>0</v>
      </c>
      <c r="MYP84" s="79">
        <f t="shared" si="203"/>
        <v>0</v>
      </c>
      <c r="MYQ84" s="79">
        <f t="shared" si="203"/>
        <v>0</v>
      </c>
      <c r="MYR84" s="79">
        <f t="shared" si="203"/>
        <v>0</v>
      </c>
      <c r="MYS84" s="145" t="s">
        <v>96</v>
      </c>
      <c r="MYV84" s="79">
        <f>MYV18+MYV24+MYV29+MYV30</f>
        <v>0</v>
      </c>
      <c r="MYW84" s="79">
        <f t="shared" si="203"/>
        <v>0</v>
      </c>
      <c r="MYX84" s="79">
        <f t="shared" si="203"/>
        <v>0</v>
      </c>
      <c r="MYY84" s="79">
        <f t="shared" si="203"/>
        <v>0</v>
      </c>
      <c r="MYZ84" s="79">
        <f t="shared" si="203"/>
        <v>0</v>
      </c>
      <c r="MZA84" s="79">
        <f t="shared" si="203"/>
        <v>0</v>
      </c>
      <c r="MZB84" s="79">
        <f t="shared" si="203"/>
        <v>0</v>
      </c>
      <c r="MZC84" s="79">
        <f t="shared" si="203"/>
        <v>0</v>
      </c>
      <c r="MZD84" s="79">
        <f t="shared" si="203"/>
        <v>0</v>
      </c>
      <c r="MZE84" s="79">
        <f t="shared" si="203"/>
        <v>0</v>
      </c>
      <c r="MZF84" s="79">
        <f t="shared" si="203"/>
        <v>0</v>
      </c>
      <c r="MZG84" s="79">
        <f t="shared" si="203"/>
        <v>0</v>
      </c>
      <c r="MZH84" s="79">
        <f t="shared" si="203"/>
        <v>0</v>
      </c>
      <c r="MZI84" s="145" t="s">
        <v>96</v>
      </c>
      <c r="MZL84" s="79">
        <f>MZL18+MZL24+MZL29+MZL30</f>
        <v>0</v>
      </c>
      <c r="MZM84" s="79">
        <f t="shared" ref="MZM84:NBT84" si="204">MZM18+MZM24+MZM29+MZM30</f>
        <v>0</v>
      </c>
      <c r="MZN84" s="79">
        <f t="shared" si="204"/>
        <v>0</v>
      </c>
      <c r="MZO84" s="79">
        <f t="shared" si="204"/>
        <v>0</v>
      </c>
      <c r="MZP84" s="79">
        <f t="shared" si="204"/>
        <v>0</v>
      </c>
      <c r="MZQ84" s="79">
        <f t="shared" si="204"/>
        <v>0</v>
      </c>
      <c r="MZR84" s="79">
        <f t="shared" si="204"/>
        <v>0</v>
      </c>
      <c r="MZS84" s="79">
        <f t="shared" si="204"/>
        <v>0</v>
      </c>
      <c r="MZT84" s="79">
        <f t="shared" si="204"/>
        <v>0</v>
      </c>
      <c r="MZU84" s="79">
        <f t="shared" si="204"/>
        <v>0</v>
      </c>
      <c r="MZV84" s="79">
        <f t="shared" si="204"/>
        <v>0</v>
      </c>
      <c r="MZW84" s="79">
        <f t="shared" si="204"/>
        <v>0</v>
      </c>
      <c r="MZX84" s="79">
        <f t="shared" si="204"/>
        <v>0</v>
      </c>
      <c r="MZY84" s="145" t="s">
        <v>96</v>
      </c>
      <c r="NAB84" s="79">
        <f>NAB18+NAB24+NAB29+NAB30</f>
        <v>0</v>
      </c>
      <c r="NAC84" s="79">
        <f t="shared" si="204"/>
        <v>0</v>
      </c>
      <c r="NAD84" s="79">
        <f t="shared" si="204"/>
        <v>0</v>
      </c>
      <c r="NAE84" s="79">
        <f t="shared" si="204"/>
        <v>0</v>
      </c>
      <c r="NAF84" s="79">
        <f t="shared" si="204"/>
        <v>0</v>
      </c>
      <c r="NAG84" s="79">
        <f t="shared" si="204"/>
        <v>0</v>
      </c>
      <c r="NAH84" s="79">
        <f t="shared" si="204"/>
        <v>0</v>
      </c>
      <c r="NAI84" s="79">
        <f t="shared" si="204"/>
        <v>0</v>
      </c>
      <c r="NAJ84" s="79">
        <f t="shared" si="204"/>
        <v>0</v>
      </c>
      <c r="NAK84" s="79">
        <f t="shared" si="204"/>
        <v>0</v>
      </c>
      <c r="NAL84" s="79">
        <f t="shared" si="204"/>
        <v>0</v>
      </c>
      <c r="NAM84" s="79">
        <f t="shared" si="204"/>
        <v>0</v>
      </c>
      <c r="NAN84" s="79">
        <f t="shared" si="204"/>
        <v>0</v>
      </c>
      <c r="NAO84" s="145" t="s">
        <v>96</v>
      </c>
      <c r="NAR84" s="79">
        <f>NAR18+NAR24+NAR29+NAR30</f>
        <v>0</v>
      </c>
      <c r="NAS84" s="79">
        <f t="shared" si="204"/>
        <v>0</v>
      </c>
      <c r="NAT84" s="79">
        <f t="shared" si="204"/>
        <v>0</v>
      </c>
      <c r="NAU84" s="79">
        <f t="shared" si="204"/>
        <v>0</v>
      </c>
      <c r="NAV84" s="79">
        <f t="shared" si="204"/>
        <v>0</v>
      </c>
      <c r="NAW84" s="79">
        <f t="shared" si="204"/>
        <v>0</v>
      </c>
      <c r="NAX84" s="79">
        <f t="shared" si="204"/>
        <v>0</v>
      </c>
      <c r="NAY84" s="79">
        <f t="shared" si="204"/>
        <v>0</v>
      </c>
      <c r="NAZ84" s="79">
        <f t="shared" si="204"/>
        <v>0</v>
      </c>
      <c r="NBA84" s="79">
        <f t="shared" si="204"/>
        <v>0</v>
      </c>
      <c r="NBB84" s="79">
        <f t="shared" si="204"/>
        <v>0</v>
      </c>
      <c r="NBC84" s="79">
        <f t="shared" si="204"/>
        <v>0</v>
      </c>
      <c r="NBD84" s="79">
        <f t="shared" si="204"/>
        <v>0</v>
      </c>
      <c r="NBE84" s="145" t="s">
        <v>96</v>
      </c>
      <c r="NBH84" s="79">
        <f>NBH18+NBH24+NBH29+NBH30</f>
        <v>0</v>
      </c>
      <c r="NBI84" s="79">
        <f t="shared" si="204"/>
        <v>0</v>
      </c>
      <c r="NBJ84" s="79">
        <f t="shared" si="204"/>
        <v>0</v>
      </c>
      <c r="NBK84" s="79">
        <f t="shared" si="204"/>
        <v>0</v>
      </c>
      <c r="NBL84" s="79">
        <f t="shared" si="204"/>
        <v>0</v>
      </c>
      <c r="NBM84" s="79">
        <f t="shared" si="204"/>
        <v>0</v>
      </c>
      <c r="NBN84" s="79">
        <f t="shared" si="204"/>
        <v>0</v>
      </c>
      <c r="NBO84" s="79">
        <f t="shared" si="204"/>
        <v>0</v>
      </c>
      <c r="NBP84" s="79">
        <f t="shared" si="204"/>
        <v>0</v>
      </c>
      <c r="NBQ84" s="79">
        <f t="shared" si="204"/>
        <v>0</v>
      </c>
      <c r="NBR84" s="79">
        <f t="shared" si="204"/>
        <v>0</v>
      </c>
      <c r="NBS84" s="79">
        <f t="shared" si="204"/>
        <v>0</v>
      </c>
      <c r="NBT84" s="79">
        <f t="shared" si="204"/>
        <v>0</v>
      </c>
      <c r="NBU84" s="145" t="s">
        <v>96</v>
      </c>
      <c r="NBX84" s="79">
        <f>NBX18+NBX24+NBX29+NBX30</f>
        <v>0</v>
      </c>
      <c r="NBY84" s="79">
        <f t="shared" ref="NBY84:NEF84" si="205">NBY18+NBY24+NBY29+NBY30</f>
        <v>0</v>
      </c>
      <c r="NBZ84" s="79">
        <f t="shared" si="205"/>
        <v>0</v>
      </c>
      <c r="NCA84" s="79">
        <f t="shared" si="205"/>
        <v>0</v>
      </c>
      <c r="NCB84" s="79">
        <f t="shared" si="205"/>
        <v>0</v>
      </c>
      <c r="NCC84" s="79">
        <f t="shared" si="205"/>
        <v>0</v>
      </c>
      <c r="NCD84" s="79">
        <f t="shared" si="205"/>
        <v>0</v>
      </c>
      <c r="NCE84" s="79">
        <f t="shared" si="205"/>
        <v>0</v>
      </c>
      <c r="NCF84" s="79">
        <f t="shared" si="205"/>
        <v>0</v>
      </c>
      <c r="NCG84" s="79">
        <f t="shared" si="205"/>
        <v>0</v>
      </c>
      <c r="NCH84" s="79">
        <f t="shared" si="205"/>
        <v>0</v>
      </c>
      <c r="NCI84" s="79">
        <f t="shared" si="205"/>
        <v>0</v>
      </c>
      <c r="NCJ84" s="79">
        <f t="shared" si="205"/>
        <v>0</v>
      </c>
      <c r="NCK84" s="145" t="s">
        <v>96</v>
      </c>
      <c r="NCN84" s="79">
        <f>NCN18+NCN24+NCN29+NCN30</f>
        <v>0</v>
      </c>
      <c r="NCO84" s="79">
        <f t="shared" si="205"/>
        <v>0</v>
      </c>
      <c r="NCP84" s="79">
        <f t="shared" si="205"/>
        <v>0</v>
      </c>
      <c r="NCQ84" s="79">
        <f t="shared" si="205"/>
        <v>0</v>
      </c>
      <c r="NCR84" s="79">
        <f t="shared" si="205"/>
        <v>0</v>
      </c>
      <c r="NCS84" s="79">
        <f t="shared" si="205"/>
        <v>0</v>
      </c>
      <c r="NCT84" s="79">
        <f t="shared" si="205"/>
        <v>0</v>
      </c>
      <c r="NCU84" s="79">
        <f t="shared" si="205"/>
        <v>0</v>
      </c>
      <c r="NCV84" s="79">
        <f t="shared" si="205"/>
        <v>0</v>
      </c>
      <c r="NCW84" s="79">
        <f t="shared" si="205"/>
        <v>0</v>
      </c>
      <c r="NCX84" s="79">
        <f t="shared" si="205"/>
        <v>0</v>
      </c>
      <c r="NCY84" s="79">
        <f t="shared" si="205"/>
        <v>0</v>
      </c>
      <c r="NCZ84" s="79">
        <f t="shared" si="205"/>
        <v>0</v>
      </c>
      <c r="NDA84" s="145" t="s">
        <v>96</v>
      </c>
      <c r="NDD84" s="79">
        <f>NDD18+NDD24+NDD29+NDD30</f>
        <v>0</v>
      </c>
      <c r="NDE84" s="79">
        <f t="shared" si="205"/>
        <v>0</v>
      </c>
      <c r="NDF84" s="79">
        <f t="shared" si="205"/>
        <v>0</v>
      </c>
      <c r="NDG84" s="79">
        <f t="shared" si="205"/>
        <v>0</v>
      </c>
      <c r="NDH84" s="79">
        <f t="shared" si="205"/>
        <v>0</v>
      </c>
      <c r="NDI84" s="79">
        <f t="shared" si="205"/>
        <v>0</v>
      </c>
      <c r="NDJ84" s="79">
        <f t="shared" si="205"/>
        <v>0</v>
      </c>
      <c r="NDK84" s="79">
        <f t="shared" si="205"/>
        <v>0</v>
      </c>
      <c r="NDL84" s="79">
        <f t="shared" si="205"/>
        <v>0</v>
      </c>
      <c r="NDM84" s="79">
        <f t="shared" si="205"/>
        <v>0</v>
      </c>
      <c r="NDN84" s="79">
        <f t="shared" si="205"/>
        <v>0</v>
      </c>
      <c r="NDO84" s="79">
        <f t="shared" si="205"/>
        <v>0</v>
      </c>
      <c r="NDP84" s="79">
        <f t="shared" si="205"/>
        <v>0</v>
      </c>
      <c r="NDQ84" s="145" t="s">
        <v>96</v>
      </c>
      <c r="NDT84" s="79">
        <f>NDT18+NDT24+NDT29+NDT30</f>
        <v>0</v>
      </c>
      <c r="NDU84" s="79">
        <f t="shared" si="205"/>
        <v>0</v>
      </c>
      <c r="NDV84" s="79">
        <f t="shared" si="205"/>
        <v>0</v>
      </c>
      <c r="NDW84" s="79">
        <f t="shared" si="205"/>
        <v>0</v>
      </c>
      <c r="NDX84" s="79">
        <f t="shared" si="205"/>
        <v>0</v>
      </c>
      <c r="NDY84" s="79">
        <f t="shared" si="205"/>
        <v>0</v>
      </c>
      <c r="NDZ84" s="79">
        <f t="shared" si="205"/>
        <v>0</v>
      </c>
      <c r="NEA84" s="79">
        <f t="shared" si="205"/>
        <v>0</v>
      </c>
      <c r="NEB84" s="79">
        <f t="shared" si="205"/>
        <v>0</v>
      </c>
      <c r="NEC84" s="79">
        <f t="shared" si="205"/>
        <v>0</v>
      </c>
      <c r="NED84" s="79">
        <f t="shared" si="205"/>
        <v>0</v>
      </c>
      <c r="NEE84" s="79">
        <f t="shared" si="205"/>
        <v>0</v>
      </c>
      <c r="NEF84" s="79">
        <f t="shared" si="205"/>
        <v>0</v>
      </c>
      <c r="NEG84" s="145" t="s">
        <v>96</v>
      </c>
      <c r="NEJ84" s="79">
        <f>NEJ18+NEJ24+NEJ29+NEJ30</f>
        <v>0</v>
      </c>
      <c r="NEK84" s="79">
        <f t="shared" ref="NEK84:NGR84" si="206">NEK18+NEK24+NEK29+NEK30</f>
        <v>0</v>
      </c>
      <c r="NEL84" s="79">
        <f t="shared" si="206"/>
        <v>0</v>
      </c>
      <c r="NEM84" s="79">
        <f t="shared" si="206"/>
        <v>0</v>
      </c>
      <c r="NEN84" s="79">
        <f t="shared" si="206"/>
        <v>0</v>
      </c>
      <c r="NEO84" s="79">
        <f t="shared" si="206"/>
        <v>0</v>
      </c>
      <c r="NEP84" s="79">
        <f t="shared" si="206"/>
        <v>0</v>
      </c>
      <c r="NEQ84" s="79">
        <f t="shared" si="206"/>
        <v>0</v>
      </c>
      <c r="NER84" s="79">
        <f t="shared" si="206"/>
        <v>0</v>
      </c>
      <c r="NES84" s="79">
        <f t="shared" si="206"/>
        <v>0</v>
      </c>
      <c r="NET84" s="79">
        <f t="shared" si="206"/>
        <v>0</v>
      </c>
      <c r="NEU84" s="79">
        <f t="shared" si="206"/>
        <v>0</v>
      </c>
      <c r="NEV84" s="79">
        <f t="shared" si="206"/>
        <v>0</v>
      </c>
      <c r="NEW84" s="145" t="s">
        <v>96</v>
      </c>
      <c r="NEZ84" s="79">
        <f>NEZ18+NEZ24+NEZ29+NEZ30</f>
        <v>0</v>
      </c>
      <c r="NFA84" s="79">
        <f t="shared" si="206"/>
        <v>0</v>
      </c>
      <c r="NFB84" s="79">
        <f t="shared" si="206"/>
        <v>0</v>
      </c>
      <c r="NFC84" s="79">
        <f t="shared" si="206"/>
        <v>0</v>
      </c>
      <c r="NFD84" s="79">
        <f t="shared" si="206"/>
        <v>0</v>
      </c>
      <c r="NFE84" s="79">
        <f t="shared" si="206"/>
        <v>0</v>
      </c>
      <c r="NFF84" s="79">
        <f t="shared" si="206"/>
        <v>0</v>
      </c>
      <c r="NFG84" s="79">
        <f t="shared" si="206"/>
        <v>0</v>
      </c>
      <c r="NFH84" s="79">
        <f t="shared" si="206"/>
        <v>0</v>
      </c>
      <c r="NFI84" s="79">
        <f t="shared" si="206"/>
        <v>0</v>
      </c>
      <c r="NFJ84" s="79">
        <f t="shared" si="206"/>
        <v>0</v>
      </c>
      <c r="NFK84" s="79">
        <f t="shared" si="206"/>
        <v>0</v>
      </c>
      <c r="NFL84" s="79">
        <f t="shared" si="206"/>
        <v>0</v>
      </c>
      <c r="NFM84" s="145" t="s">
        <v>96</v>
      </c>
      <c r="NFP84" s="79">
        <f>NFP18+NFP24+NFP29+NFP30</f>
        <v>0</v>
      </c>
      <c r="NFQ84" s="79">
        <f t="shared" si="206"/>
        <v>0</v>
      </c>
      <c r="NFR84" s="79">
        <f t="shared" si="206"/>
        <v>0</v>
      </c>
      <c r="NFS84" s="79">
        <f t="shared" si="206"/>
        <v>0</v>
      </c>
      <c r="NFT84" s="79">
        <f t="shared" si="206"/>
        <v>0</v>
      </c>
      <c r="NFU84" s="79">
        <f t="shared" si="206"/>
        <v>0</v>
      </c>
      <c r="NFV84" s="79">
        <f t="shared" si="206"/>
        <v>0</v>
      </c>
      <c r="NFW84" s="79">
        <f t="shared" si="206"/>
        <v>0</v>
      </c>
      <c r="NFX84" s="79">
        <f t="shared" si="206"/>
        <v>0</v>
      </c>
      <c r="NFY84" s="79">
        <f t="shared" si="206"/>
        <v>0</v>
      </c>
      <c r="NFZ84" s="79">
        <f t="shared" si="206"/>
        <v>0</v>
      </c>
      <c r="NGA84" s="79">
        <f t="shared" si="206"/>
        <v>0</v>
      </c>
      <c r="NGB84" s="79">
        <f t="shared" si="206"/>
        <v>0</v>
      </c>
      <c r="NGC84" s="145" t="s">
        <v>96</v>
      </c>
      <c r="NGF84" s="79">
        <f>NGF18+NGF24+NGF29+NGF30</f>
        <v>0</v>
      </c>
      <c r="NGG84" s="79">
        <f t="shared" si="206"/>
        <v>0</v>
      </c>
      <c r="NGH84" s="79">
        <f t="shared" si="206"/>
        <v>0</v>
      </c>
      <c r="NGI84" s="79">
        <f t="shared" si="206"/>
        <v>0</v>
      </c>
      <c r="NGJ84" s="79">
        <f t="shared" si="206"/>
        <v>0</v>
      </c>
      <c r="NGK84" s="79">
        <f t="shared" si="206"/>
        <v>0</v>
      </c>
      <c r="NGL84" s="79">
        <f t="shared" si="206"/>
        <v>0</v>
      </c>
      <c r="NGM84" s="79">
        <f t="shared" si="206"/>
        <v>0</v>
      </c>
      <c r="NGN84" s="79">
        <f t="shared" si="206"/>
        <v>0</v>
      </c>
      <c r="NGO84" s="79">
        <f t="shared" si="206"/>
        <v>0</v>
      </c>
      <c r="NGP84" s="79">
        <f t="shared" si="206"/>
        <v>0</v>
      </c>
      <c r="NGQ84" s="79">
        <f t="shared" si="206"/>
        <v>0</v>
      </c>
      <c r="NGR84" s="79">
        <f t="shared" si="206"/>
        <v>0</v>
      </c>
      <c r="NGS84" s="145" t="s">
        <v>96</v>
      </c>
      <c r="NGV84" s="79">
        <f>NGV18+NGV24+NGV29+NGV30</f>
        <v>0</v>
      </c>
      <c r="NGW84" s="79">
        <f t="shared" ref="NGW84:NJD84" si="207">NGW18+NGW24+NGW29+NGW30</f>
        <v>0</v>
      </c>
      <c r="NGX84" s="79">
        <f t="shared" si="207"/>
        <v>0</v>
      </c>
      <c r="NGY84" s="79">
        <f t="shared" si="207"/>
        <v>0</v>
      </c>
      <c r="NGZ84" s="79">
        <f t="shared" si="207"/>
        <v>0</v>
      </c>
      <c r="NHA84" s="79">
        <f t="shared" si="207"/>
        <v>0</v>
      </c>
      <c r="NHB84" s="79">
        <f t="shared" si="207"/>
        <v>0</v>
      </c>
      <c r="NHC84" s="79">
        <f t="shared" si="207"/>
        <v>0</v>
      </c>
      <c r="NHD84" s="79">
        <f t="shared" si="207"/>
        <v>0</v>
      </c>
      <c r="NHE84" s="79">
        <f t="shared" si="207"/>
        <v>0</v>
      </c>
      <c r="NHF84" s="79">
        <f t="shared" si="207"/>
        <v>0</v>
      </c>
      <c r="NHG84" s="79">
        <f t="shared" si="207"/>
        <v>0</v>
      </c>
      <c r="NHH84" s="79">
        <f t="shared" si="207"/>
        <v>0</v>
      </c>
      <c r="NHI84" s="145" t="s">
        <v>96</v>
      </c>
      <c r="NHL84" s="79">
        <f>NHL18+NHL24+NHL29+NHL30</f>
        <v>0</v>
      </c>
      <c r="NHM84" s="79">
        <f t="shared" si="207"/>
        <v>0</v>
      </c>
      <c r="NHN84" s="79">
        <f t="shared" si="207"/>
        <v>0</v>
      </c>
      <c r="NHO84" s="79">
        <f t="shared" si="207"/>
        <v>0</v>
      </c>
      <c r="NHP84" s="79">
        <f t="shared" si="207"/>
        <v>0</v>
      </c>
      <c r="NHQ84" s="79">
        <f t="shared" si="207"/>
        <v>0</v>
      </c>
      <c r="NHR84" s="79">
        <f t="shared" si="207"/>
        <v>0</v>
      </c>
      <c r="NHS84" s="79">
        <f t="shared" si="207"/>
        <v>0</v>
      </c>
      <c r="NHT84" s="79">
        <f t="shared" si="207"/>
        <v>0</v>
      </c>
      <c r="NHU84" s="79">
        <f t="shared" si="207"/>
        <v>0</v>
      </c>
      <c r="NHV84" s="79">
        <f t="shared" si="207"/>
        <v>0</v>
      </c>
      <c r="NHW84" s="79">
        <f t="shared" si="207"/>
        <v>0</v>
      </c>
      <c r="NHX84" s="79">
        <f t="shared" si="207"/>
        <v>0</v>
      </c>
      <c r="NHY84" s="145" t="s">
        <v>96</v>
      </c>
      <c r="NIB84" s="79">
        <f>NIB18+NIB24+NIB29+NIB30</f>
        <v>0</v>
      </c>
      <c r="NIC84" s="79">
        <f t="shared" si="207"/>
        <v>0</v>
      </c>
      <c r="NID84" s="79">
        <f t="shared" si="207"/>
        <v>0</v>
      </c>
      <c r="NIE84" s="79">
        <f t="shared" si="207"/>
        <v>0</v>
      </c>
      <c r="NIF84" s="79">
        <f t="shared" si="207"/>
        <v>0</v>
      </c>
      <c r="NIG84" s="79">
        <f t="shared" si="207"/>
        <v>0</v>
      </c>
      <c r="NIH84" s="79">
        <f t="shared" si="207"/>
        <v>0</v>
      </c>
      <c r="NII84" s="79">
        <f t="shared" si="207"/>
        <v>0</v>
      </c>
      <c r="NIJ84" s="79">
        <f t="shared" si="207"/>
        <v>0</v>
      </c>
      <c r="NIK84" s="79">
        <f t="shared" si="207"/>
        <v>0</v>
      </c>
      <c r="NIL84" s="79">
        <f t="shared" si="207"/>
        <v>0</v>
      </c>
      <c r="NIM84" s="79">
        <f t="shared" si="207"/>
        <v>0</v>
      </c>
      <c r="NIN84" s="79">
        <f t="shared" si="207"/>
        <v>0</v>
      </c>
      <c r="NIO84" s="145" t="s">
        <v>96</v>
      </c>
      <c r="NIR84" s="79">
        <f>NIR18+NIR24+NIR29+NIR30</f>
        <v>0</v>
      </c>
      <c r="NIS84" s="79">
        <f t="shared" si="207"/>
        <v>0</v>
      </c>
      <c r="NIT84" s="79">
        <f t="shared" si="207"/>
        <v>0</v>
      </c>
      <c r="NIU84" s="79">
        <f t="shared" si="207"/>
        <v>0</v>
      </c>
      <c r="NIV84" s="79">
        <f t="shared" si="207"/>
        <v>0</v>
      </c>
      <c r="NIW84" s="79">
        <f t="shared" si="207"/>
        <v>0</v>
      </c>
      <c r="NIX84" s="79">
        <f t="shared" si="207"/>
        <v>0</v>
      </c>
      <c r="NIY84" s="79">
        <f t="shared" si="207"/>
        <v>0</v>
      </c>
      <c r="NIZ84" s="79">
        <f t="shared" si="207"/>
        <v>0</v>
      </c>
      <c r="NJA84" s="79">
        <f t="shared" si="207"/>
        <v>0</v>
      </c>
      <c r="NJB84" s="79">
        <f t="shared" si="207"/>
        <v>0</v>
      </c>
      <c r="NJC84" s="79">
        <f t="shared" si="207"/>
        <v>0</v>
      </c>
      <c r="NJD84" s="79">
        <f t="shared" si="207"/>
        <v>0</v>
      </c>
      <c r="NJE84" s="145" t="s">
        <v>96</v>
      </c>
      <c r="NJH84" s="79">
        <f>NJH18+NJH24+NJH29+NJH30</f>
        <v>0</v>
      </c>
      <c r="NJI84" s="79">
        <f t="shared" ref="NJI84:NLP84" si="208">NJI18+NJI24+NJI29+NJI30</f>
        <v>0</v>
      </c>
      <c r="NJJ84" s="79">
        <f t="shared" si="208"/>
        <v>0</v>
      </c>
      <c r="NJK84" s="79">
        <f t="shared" si="208"/>
        <v>0</v>
      </c>
      <c r="NJL84" s="79">
        <f t="shared" si="208"/>
        <v>0</v>
      </c>
      <c r="NJM84" s="79">
        <f t="shared" si="208"/>
        <v>0</v>
      </c>
      <c r="NJN84" s="79">
        <f t="shared" si="208"/>
        <v>0</v>
      </c>
      <c r="NJO84" s="79">
        <f t="shared" si="208"/>
        <v>0</v>
      </c>
      <c r="NJP84" s="79">
        <f t="shared" si="208"/>
        <v>0</v>
      </c>
      <c r="NJQ84" s="79">
        <f t="shared" si="208"/>
        <v>0</v>
      </c>
      <c r="NJR84" s="79">
        <f t="shared" si="208"/>
        <v>0</v>
      </c>
      <c r="NJS84" s="79">
        <f t="shared" si="208"/>
        <v>0</v>
      </c>
      <c r="NJT84" s="79">
        <f t="shared" si="208"/>
        <v>0</v>
      </c>
      <c r="NJU84" s="145" t="s">
        <v>96</v>
      </c>
      <c r="NJX84" s="79">
        <f>NJX18+NJX24+NJX29+NJX30</f>
        <v>0</v>
      </c>
      <c r="NJY84" s="79">
        <f t="shared" si="208"/>
        <v>0</v>
      </c>
      <c r="NJZ84" s="79">
        <f t="shared" si="208"/>
        <v>0</v>
      </c>
      <c r="NKA84" s="79">
        <f t="shared" si="208"/>
        <v>0</v>
      </c>
      <c r="NKB84" s="79">
        <f t="shared" si="208"/>
        <v>0</v>
      </c>
      <c r="NKC84" s="79">
        <f t="shared" si="208"/>
        <v>0</v>
      </c>
      <c r="NKD84" s="79">
        <f t="shared" si="208"/>
        <v>0</v>
      </c>
      <c r="NKE84" s="79">
        <f t="shared" si="208"/>
        <v>0</v>
      </c>
      <c r="NKF84" s="79">
        <f t="shared" si="208"/>
        <v>0</v>
      </c>
      <c r="NKG84" s="79">
        <f t="shared" si="208"/>
        <v>0</v>
      </c>
      <c r="NKH84" s="79">
        <f t="shared" si="208"/>
        <v>0</v>
      </c>
      <c r="NKI84" s="79">
        <f t="shared" si="208"/>
        <v>0</v>
      </c>
      <c r="NKJ84" s="79">
        <f t="shared" si="208"/>
        <v>0</v>
      </c>
      <c r="NKK84" s="145" t="s">
        <v>96</v>
      </c>
      <c r="NKN84" s="79">
        <f>NKN18+NKN24+NKN29+NKN30</f>
        <v>0</v>
      </c>
      <c r="NKO84" s="79">
        <f t="shared" si="208"/>
        <v>0</v>
      </c>
      <c r="NKP84" s="79">
        <f t="shared" si="208"/>
        <v>0</v>
      </c>
      <c r="NKQ84" s="79">
        <f t="shared" si="208"/>
        <v>0</v>
      </c>
      <c r="NKR84" s="79">
        <f t="shared" si="208"/>
        <v>0</v>
      </c>
      <c r="NKS84" s="79">
        <f t="shared" si="208"/>
        <v>0</v>
      </c>
      <c r="NKT84" s="79">
        <f t="shared" si="208"/>
        <v>0</v>
      </c>
      <c r="NKU84" s="79">
        <f t="shared" si="208"/>
        <v>0</v>
      </c>
      <c r="NKV84" s="79">
        <f t="shared" si="208"/>
        <v>0</v>
      </c>
      <c r="NKW84" s="79">
        <f t="shared" si="208"/>
        <v>0</v>
      </c>
      <c r="NKX84" s="79">
        <f t="shared" si="208"/>
        <v>0</v>
      </c>
      <c r="NKY84" s="79">
        <f t="shared" si="208"/>
        <v>0</v>
      </c>
      <c r="NKZ84" s="79">
        <f t="shared" si="208"/>
        <v>0</v>
      </c>
      <c r="NLA84" s="145" t="s">
        <v>96</v>
      </c>
      <c r="NLD84" s="79">
        <f>NLD18+NLD24+NLD29+NLD30</f>
        <v>0</v>
      </c>
      <c r="NLE84" s="79">
        <f t="shared" si="208"/>
        <v>0</v>
      </c>
      <c r="NLF84" s="79">
        <f t="shared" si="208"/>
        <v>0</v>
      </c>
      <c r="NLG84" s="79">
        <f t="shared" si="208"/>
        <v>0</v>
      </c>
      <c r="NLH84" s="79">
        <f t="shared" si="208"/>
        <v>0</v>
      </c>
      <c r="NLI84" s="79">
        <f t="shared" si="208"/>
        <v>0</v>
      </c>
      <c r="NLJ84" s="79">
        <f t="shared" si="208"/>
        <v>0</v>
      </c>
      <c r="NLK84" s="79">
        <f t="shared" si="208"/>
        <v>0</v>
      </c>
      <c r="NLL84" s="79">
        <f t="shared" si="208"/>
        <v>0</v>
      </c>
      <c r="NLM84" s="79">
        <f t="shared" si="208"/>
        <v>0</v>
      </c>
      <c r="NLN84" s="79">
        <f t="shared" si="208"/>
        <v>0</v>
      </c>
      <c r="NLO84" s="79">
        <f t="shared" si="208"/>
        <v>0</v>
      </c>
      <c r="NLP84" s="79">
        <f t="shared" si="208"/>
        <v>0</v>
      </c>
      <c r="NLQ84" s="145" t="s">
        <v>96</v>
      </c>
      <c r="NLT84" s="79">
        <f>NLT18+NLT24+NLT29+NLT30</f>
        <v>0</v>
      </c>
      <c r="NLU84" s="79">
        <f t="shared" ref="NLU84:NOB84" si="209">NLU18+NLU24+NLU29+NLU30</f>
        <v>0</v>
      </c>
      <c r="NLV84" s="79">
        <f t="shared" si="209"/>
        <v>0</v>
      </c>
      <c r="NLW84" s="79">
        <f t="shared" si="209"/>
        <v>0</v>
      </c>
      <c r="NLX84" s="79">
        <f t="shared" si="209"/>
        <v>0</v>
      </c>
      <c r="NLY84" s="79">
        <f t="shared" si="209"/>
        <v>0</v>
      </c>
      <c r="NLZ84" s="79">
        <f t="shared" si="209"/>
        <v>0</v>
      </c>
      <c r="NMA84" s="79">
        <f t="shared" si="209"/>
        <v>0</v>
      </c>
      <c r="NMB84" s="79">
        <f t="shared" si="209"/>
        <v>0</v>
      </c>
      <c r="NMC84" s="79">
        <f t="shared" si="209"/>
        <v>0</v>
      </c>
      <c r="NMD84" s="79">
        <f t="shared" si="209"/>
        <v>0</v>
      </c>
      <c r="NME84" s="79">
        <f t="shared" si="209"/>
        <v>0</v>
      </c>
      <c r="NMF84" s="79">
        <f t="shared" si="209"/>
        <v>0</v>
      </c>
      <c r="NMG84" s="145" t="s">
        <v>96</v>
      </c>
      <c r="NMJ84" s="79">
        <f>NMJ18+NMJ24+NMJ29+NMJ30</f>
        <v>0</v>
      </c>
      <c r="NMK84" s="79">
        <f t="shared" si="209"/>
        <v>0</v>
      </c>
      <c r="NML84" s="79">
        <f t="shared" si="209"/>
        <v>0</v>
      </c>
      <c r="NMM84" s="79">
        <f t="shared" si="209"/>
        <v>0</v>
      </c>
      <c r="NMN84" s="79">
        <f t="shared" si="209"/>
        <v>0</v>
      </c>
      <c r="NMO84" s="79">
        <f t="shared" si="209"/>
        <v>0</v>
      </c>
      <c r="NMP84" s="79">
        <f t="shared" si="209"/>
        <v>0</v>
      </c>
      <c r="NMQ84" s="79">
        <f t="shared" si="209"/>
        <v>0</v>
      </c>
      <c r="NMR84" s="79">
        <f t="shared" si="209"/>
        <v>0</v>
      </c>
      <c r="NMS84" s="79">
        <f t="shared" si="209"/>
        <v>0</v>
      </c>
      <c r="NMT84" s="79">
        <f t="shared" si="209"/>
        <v>0</v>
      </c>
      <c r="NMU84" s="79">
        <f t="shared" si="209"/>
        <v>0</v>
      </c>
      <c r="NMV84" s="79">
        <f t="shared" si="209"/>
        <v>0</v>
      </c>
      <c r="NMW84" s="145" t="s">
        <v>96</v>
      </c>
      <c r="NMZ84" s="79">
        <f>NMZ18+NMZ24+NMZ29+NMZ30</f>
        <v>0</v>
      </c>
      <c r="NNA84" s="79">
        <f t="shared" si="209"/>
        <v>0</v>
      </c>
      <c r="NNB84" s="79">
        <f t="shared" si="209"/>
        <v>0</v>
      </c>
      <c r="NNC84" s="79">
        <f t="shared" si="209"/>
        <v>0</v>
      </c>
      <c r="NND84" s="79">
        <f t="shared" si="209"/>
        <v>0</v>
      </c>
      <c r="NNE84" s="79">
        <f t="shared" si="209"/>
        <v>0</v>
      </c>
      <c r="NNF84" s="79">
        <f t="shared" si="209"/>
        <v>0</v>
      </c>
      <c r="NNG84" s="79">
        <f t="shared" si="209"/>
        <v>0</v>
      </c>
      <c r="NNH84" s="79">
        <f t="shared" si="209"/>
        <v>0</v>
      </c>
      <c r="NNI84" s="79">
        <f t="shared" si="209"/>
        <v>0</v>
      </c>
      <c r="NNJ84" s="79">
        <f t="shared" si="209"/>
        <v>0</v>
      </c>
      <c r="NNK84" s="79">
        <f t="shared" si="209"/>
        <v>0</v>
      </c>
      <c r="NNL84" s="79">
        <f t="shared" si="209"/>
        <v>0</v>
      </c>
      <c r="NNM84" s="145" t="s">
        <v>96</v>
      </c>
      <c r="NNP84" s="79">
        <f>NNP18+NNP24+NNP29+NNP30</f>
        <v>0</v>
      </c>
      <c r="NNQ84" s="79">
        <f t="shared" si="209"/>
        <v>0</v>
      </c>
      <c r="NNR84" s="79">
        <f t="shared" si="209"/>
        <v>0</v>
      </c>
      <c r="NNS84" s="79">
        <f t="shared" si="209"/>
        <v>0</v>
      </c>
      <c r="NNT84" s="79">
        <f t="shared" si="209"/>
        <v>0</v>
      </c>
      <c r="NNU84" s="79">
        <f t="shared" si="209"/>
        <v>0</v>
      </c>
      <c r="NNV84" s="79">
        <f t="shared" si="209"/>
        <v>0</v>
      </c>
      <c r="NNW84" s="79">
        <f t="shared" si="209"/>
        <v>0</v>
      </c>
      <c r="NNX84" s="79">
        <f t="shared" si="209"/>
        <v>0</v>
      </c>
      <c r="NNY84" s="79">
        <f t="shared" si="209"/>
        <v>0</v>
      </c>
      <c r="NNZ84" s="79">
        <f t="shared" si="209"/>
        <v>0</v>
      </c>
      <c r="NOA84" s="79">
        <f t="shared" si="209"/>
        <v>0</v>
      </c>
      <c r="NOB84" s="79">
        <f t="shared" si="209"/>
        <v>0</v>
      </c>
      <c r="NOC84" s="145" t="s">
        <v>96</v>
      </c>
      <c r="NOF84" s="79">
        <f>NOF18+NOF24+NOF29+NOF30</f>
        <v>0</v>
      </c>
      <c r="NOG84" s="79">
        <f t="shared" ref="NOG84:NQN84" si="210">NOG18+NOG24+NOG29+NOG30</f>
        <v>0</v>
      </c>
      <c r="NOH84" s="79">
        <f t="shared" si="210"/>
        <v>0</v>
      </c>
      <c r="NOI84" s="79">
        <f t="shared" si="210"/>
        <v>0</v>
      </c>
      <c r="NOJ84" s="79">
        <f t="shared" si="210"/>
        <v>0</v>
      </c>
      <c r="NOK84" s="79">
        <f t="shared" si="210"/>
        <v>0</v>
      </c>
      <c r="NOL84" s="79">
        <f t="shared" si="210"/>
        <v>0</v>
      </c>
      <c r="NOM84" s="79">
        <f t="shared" si="210"/>
        <v>0</v>
      </c>
      <c r="NON84" s="79">
        <f t="shared" si="210"/>
        <v>0</v>
      </c>
      <c r="NOO84" s="79">
        <f t="shared" si="210"/>
        <v>0</v>
      </c>
      <c r="NOP84" s="79">
        <f t="shared" si="210"/>
        <v>0</v>
      </c>
      <c r="NOQ84" s="79">
        <f t="shared" si="210"/>
        <v>0</v>
      </c>
      <c r="NOR84" s="79">
        <f t="shared" si="210"/>
        <v>0</v>
      </c>
      <c r="NOS84" s="145" t="s">
        <v>96</v>
      </c>
      <c r="NOV84" s="79">
        <f>NOV18+NOV24+NOV29+NOV30</f>
        <v>0</v>
      </c>
      <c r="NOW84" s="79">
        <f t="shared" si="210"/>
        <v>0</v>
      </c>
      <c r="NOX84" s="79">
        <f t="shared" si="210"/>
        <v>0</v>
      </c>
      <c r="NOY84" s="79">
        <f t="shared" si="210"/>
        <v>0</v>
      </c>
      <c r="NOZ84" s="79">
        <f t="shared" si="210"/>
        <v>0</v>
      </c>
      <c r="NPA84" s="79">
        <f t="shared" si="210"/>
        <v>0</v>
      </c>
      <c r="NPB84" s="79">
        <f t="shared" si="210"/>
        <v>0</v>
      </c>
      <c r="NPC84" s="79">
        <f t="shared" si="210"/>
        <v>0</v>
      </c>
      <c r="NPD84" s="79">
        <f t="shared" si="210"/>
        <v>0</v>
      </c>
      <c r="NPE84" s="79">
        <f t="shared" si="210"/>
        <v>0</v>
      </c>
      <c r="NPF84" s="79">
        <f t="shared" si="210"/>
        <v>0</v>
      </c>
      <c r="NPG84" s="79">
        <f t="shared" si="210"/>
        <v>0</v>
      </c>
      <c r="NPH84" s="79">
        <f t="shared" si="210"/>
        <v>0</v>
      </c>
      <c r="NPI84" s="145" t="s">
        <v>96</v>
      </c>
      <c r="NPL84" s="79">
        <f>NPL18+NPL24+NPL29+NPL30</f>
        <v>0</v>
      </c>
      <c r="NPM84" s="79">
        <f t="shared" si="210"/>
        <v>0</v>
      </c>
      <c r="NPN84" s="79">
        <f t="shared" si="210"/>
        <v>0</v>
      </c>
      <c r="NPO84" s="79">
        <f t="shared" si="210"/>
        <v>0</v>
      </c>
      <c r="NPP84" s="79">
        <f t="shared" si="210"/>
        <v>0</v>
      </c>
      <c r="NPQ84" s="79">
        <f t="shared" si="210"/>
        <v>0</v>
      </c>
      <c r="NPR84" s="79">
        <f t="shared" si="210"/>
        <v>0</v>
      </c>
      <c r="NPS84" s="79">
        <f t="shared" si="210"/>
        <v>0</v>
      </c>
      <c r="NPT84" s="79">
        <f t="shared" si="210"/>
        <v>0</v>
      </c>
      <c r="NPU84" s="79">
        <f t="shared" si="210"/>
        <v>0</v>
      </c>
      <c r="NPV84" s="79">
        <f t="shared" si="210"/>
        <v>0</v>
      </c>
      <c r="NPW84" s="79">
        <f t="shared" si="210"/>
        <v>0</v>
      </c>
      <c r="NPX84" s="79">
        <f t="shared" si="210"/>
        <v>0</v>
      </c>
      <c r="NPY84" s="145" t="s">
        <v>96</v>
      </c>
      <c r="NQB84" s="79">
        <f>NQB18+NQB24+NQB29+NQB30</f>
        <v>0</v>
      </c>
      <c r="NQC84" s="79">
        <f t="shared" si="210"/>
        <v>0</v>
      </c>
      <c r="NQD84" s="79">
        <f t="shared" si="210"/>
        <v>0</v>
      </c>
      <c r="NQE84" s="79">
        <f t="shared" si="210"/>
        <v>0</v>
      </c>
      <c r="NQF84" s="79">
        <f t="shared" si="210"/>
        <v>0</v>
      </c>
      <c r="NQG84" s="79">
        <f t="shared" si="210"/>
        <v>0</v>
      </c>
      <c r="NQH84" s="79">
        <f t="shared" si="210"/>
        <v>0</v>
      </c>
      <c r="NQI84" s="79">
        <f t="shared" si="210"/>
        <v>0</v>
      </c>
      <c r="NQJ84" s="79">
        <f t="shared" si="210"/>
        <v>0</v>
      </c>
      <c r="NQK84" s="79">
        <f t="shared" si="210"/>
        <v>0</v>
      </c>
      <c r="NQL84" s="79">
        <f t="shared" si="210"/>
        <v>0</v>
      </c>
      <c r="NQM84" s="79">
        <f t="shared" si="210"/>
        <v>0</v>
      </c>
      <c r="NQN84" s="79">
        <f t="shared" si="210"/>
        <v>0</v>
      </c>
      <c r="NQO84" s="145" t="s">
        <v>96</v>
      </c>
      <c r="NQR84" s="79">
        <f>NQR18+NQR24+NQR29+NQR30</f>
        <v>0</v>
      </c>
      <c r="NQS84" s="79">
        <f t="shared" ref="NQS84:NSZ84" si="211">NQS18+NQS24+NQS29+NQS30</f>
        <v>0</v>
      </c>
      <c r="NQT84" s="79">
        <f t="shared" si="211"/>
        <v>0</v>
      </c>
      <c r="NQU84" s="79">
        <f t="shared" si="211"/>
        <v>0</v>
      </c>
      <c r="NQV84" s="79">
        <f t="shared" si="211"/>
        <v>0</v>
      </c>
      <c r="NQW84" s="79">
        <f t="shared" si="211"/>
        <v>0</v>
      </c>
      <c r="NQX84" s="79">
        <f t="shared" si="211"/>
        <v>0</v>
      </c>
      <c r="NQY84" s="79">
        <f t="shared" si="211"/>
        <v>0</v>
      </c>
      <c r="NQZ84" s="79">
        <f t="shared" si="211"/>
        <v>0</v>
      </c>
      <c r="NRA84" s="79">
        <f t="shared" si="211"/>
        <v>0</v>
      </c>
      <c r="NRB84" s="79">
        <f t="shared" si="211"/>
        <v>0</v>
      </c>
      <c r="NRC84" s="79">
        <f t="shared" si="211"/>
        <v>0</v>
      </c>
      <c r="NRD84" s="79">
        <f t="shared" si="211"/>
        <v>0</v>
      </c>
      <c r="NRE84" s="145" t="s">
        <v>96</v>
      </c>
      <c r="NRH84" s="79">
        <f>NRH18+NRH24+NRH29+NRH30</f>
        <v>0</v>
      </c>
      <c r="NRI84" s="79">
        <f t="shared" si="211"/>
        <v>0</v>
      </c>
      <c r="NRJ84" s="79">
        <f t="shared" si="211"/>
        <v>0</v>
      </c>
      <c r="NRK84" s="79">
        <f t="shared" si="211"/>
        <v>0</v>
      </c>
      <c r="NRL84" s="79">
        <f t="shared" si="211"/>
        <v>0</v>
      </c>
      <c r="NRM84" s="79">
        <f t="shared" si="211"/>
        <v>0</v>
      </c>
      <c r="NRN84" s="79">
        <f t="shared" si="211"/>
        <v>0</v>
      </c>
      <c r="NRO84" s="79">
        <f t="shared" si="211"/>
        <v>0</v>
      </c>
      <c r="NRP84" s="79">
        <f t="shared" si="211"/>
        <v>0</v>
      </c>
      <c r="NRQ84" s="79">
        <f t="shared" si="211"/>
        <v>0</v>
      </c>
      <c r="NRR84" s="79">
        <f t="shared" si="211"/>
        <v>0</v>
      </c>
      <c r="NRS84" s="79">
        <f t="shared" si="211"/>
        <v>0</v>
      </c>
      <c r="NRT84" s="79">
        <f t="shared" si="211"/>
        <v>0</v>
      </c>
      <c r="NRU84" s="145" t="s">
        <v>96</v>
      </c>
      <c r="NRX84" s="79">
        <f>NRX18+NRX24+NRX29+NRX30</f>
        <v>0</v>
      </c>
      <c r="NRY84" s="79">
        <f t="shared" si="211"/>
        <v>0</v>
      </c>
      <c r="NRZ84" s="79">
        <f t="shared" si="211"/>
        <v>0</v>
      </c>
      <c r="NSA84" s="79">
        <f t="shared" si="211"/>
        <v>0</v>
      </c>
      <c r="NSB84" s="79">
        <f t="shared" si="211"/>
        <v>0</v>
      </c>
      <c r="NSC84" s="79">
        <f t="shared" si="211"/>
        <v>0</v>
      </c>
      <c r="NSD84" s="79">
        <f t="shared" si="211"/>
        <v>0</v>
      </c>
      <c r="NSE84" s="79">
        <f t="shared" si="211"/>
        <v>0</v>
      </c>
      <c r="NSF84" s="79">
        <f t="shared" si="211"/>
        <v>0</v>
      </c>
      <c r="NSG84" s="79">
        <f t="shared" si="211"/>
        <v>0</v>
      </c>
      <c r="NSH84" s="79">
        <f t="shared" si="211"/>
        <v>0</v>
      </c>
      <c r="NSI84" s="79">
        <f t="shared" si="211"/>
        <v>0</v>
      </c>
      <c r="NSJ84" s="79">
        <f t="shared" si="211"/>
        <v>0</v>
      </c>
      <c r="NSK84" s="145" t="s">
        <v>96</v>
      </c>
      <c r="NSN84" s="79">
        <f>NSN18+NSN24+NSN29+NSN30</f>
        <v>0</v>
      </c>
      <c r="NSO84" s="79">
        <f t="shared" si="211"/>
        <v>0</v>
      </c>
      <c r="NSP84" s="79">
        <f t="shared" si="211"/>
        <v>0</v>
      </c>
      <c r="NSQ84" s="79">
        <f t="shared" si="211"/>
        <v>0</v>
      </c>
      <c r="NSR84" s="79">
        <f t="shared" si="211"/>
        <v>0</v>
      </c>
      <c r="NSS84" s="79">
        <f t="shared" si="211"/>
        <v>0</v>
      </c>
      <c r="NST84" s="79">
        <f t="shared" si="211"/>
        <v>0</v>
      </c>
      <c r="NSU84" s="79">
        <f t="shared" si="211"/>
        <v>0</v>
      </c>
      <c r="NSV84" s="79">
        <f t="shared" si="211"/>
        <v>0</v>
      </c>
      <c r="NSW84" s="79">
        <f t="shared" si="211"/>
        <v>0</v>
      </c>
      <c r="NSX84" s="79">
        <f t="shared" si="211"/>
        <v>0</v>
      </c>
      <c r="NSY84" s="79">
        <f t="shared" si="211"/>
        <v>0</v>
      </c>
      <c r="NSZ84" s="79">
        <f t="shared" si="211"/>
        <v>0</v>
      </c>
      <c r="NTA84" s="145" t="s">
        <v>96</v>
      </c>
      <c r="NTD84" s="79">
        <f>NTD18+NTD24+NTD29+NTD30</f>
        <v>0</v>
      </c>
      <c r="NTE84" s="79">
        <f t="shared" ref="NTE84:NVL84" si="212">NTE18+NTE24+NTE29+NTE30</f>
        <v>0</v>
      </c>
      <c r="NTF84" s="79">
        <f t="shared" si="212"/>
        <v>0</v>
      </c>
      <c r="NTG84" s="79">
        <f t="shared" si="212"/>
        <v>0</v>
      </c>
      <c r="NTH84" s="79">
        <f t="shared" si="212"/>
        <v>0</v>
      </c>
      <c r="NTI84" s="79">
        <f t="shared" si="212"/>
        <v>0</v>
      </c>
      <c r="NTJ84" s="79">
        <f t="shared" si="212"/>
        <v>0</v>
      </c>
      <c r="NTK84" s="79">
        <f t="shared" si="212"/>
        <v>0</v>
      </c>
      <c r="NTL84" s="79">
        <f t="shared" si="212"/>
        <v>0</v>
      </c>
      <c r="NTM84" s="79">
        <f t="shared" si="212"/>
        <v>0</v>
      </c>
      <c r="NTN84" s="79">
        <f t="shared" si="212"/>
        <v>0</v>
      </c>
      <c r="NTO84" s="79">
        <f t="shared" si="212"/>
        <v>0</v>
      </c>
      <c r="NTP84" s="79">
        <f t="shared" si="212"/>
        <v>0</v>
      </c>
      <c r="NTQ84" s="145" t="s">
        <v>96</v>
      </c>
      <c r="NTT84" s="79">
        <f>NTT18+NTT24+NTT29+NTT30</f>
        <v>0</v>
      </c>
      <c r="NTU84" s="79">
        <f t="shared" si="212"/>
        <v>0</v>
      </c>
      <c r="NTV84" s="79">
        <f t="shared" si="212"/>
        <v>0</v>
      </c>
      <c r="NTW84" s="79">
        <f t="shared" si="212"/>
        <v>0</v>
      </c>
      <c r="NTX84" s="79">
        <f t="shared" si="212"/>
        <v>0</v>
      </c>
      <c r="NTY84" s="79">
        <f t="shared" si="212"/>
        <v>0</v>
      </c>
      <c r="NTZ84" s="79">
        <f t="shared" si="212"/>
        <v>0</v>
      </c>
      <c r="NUA84" s="79">
        <f t="shared" si="212"/>
        <v>0</v>
      </c>
      <c r="NUB84" s="79">
        <f t="shared" si="212"/>
        <v>0</v>
      </c>
      <c r="NUC84" s="79">
        <f t="shared" si="212"/>
        <v>0</v>
      </c>
      <c r="NUD84" s="79">
        <f t="shared" si="212"/>
        <v>0</v>
      </c>
      <c r="NUE84" s="79">
        <f t="shared" si="212"/>
        <v>0</v>
      </c>
      <c r="NUF84" s="79">
        <f t="shared" si="212"/>
        <v>0</v>
      </c>
      <c r="NUG84" s="145" t="s">
        <v>96</v>
      </c>
      <c r="NUJ84" s="79">
        <f>NUJ18+NUJ24+NUJ29+NUJ30</f>
        <v>0</v>
      </c>
      <c r="NUK84" s="79">
        <f t="shared" si="212"/>
        <v>0</v>
      </c>
      <c r="NUL84" s="79">
        <f t="shared" si="212"/>
        <v>0</v>
      </c>
      <c r="NUM84" s="79">
        <f t="shared" si="212"/>
        <v>0</v>
      </c>
      <c r="NUN84" s="79">
        <f t="shared" si="212"/>
        <v>0</v>
      </c>
      <c r="NUO84" s="79">
        <f t="shared" si="212"/>
        <v>0</v>
      </c>
      <c r="NUP84" s="79">
        <f t="shared" si="212"/>
        <v>0</v>
      </c>
      <c r="NUQ84" s="79">
        <f t="shared" si="212"/>
        <v>0</v>
      </c>
      <c r="NUR84" s="79">
        <f t="shared" si="212"/>
        <v>0</v>
      </c>
      <c r="NUS84" s="79">
        <f t="shared" si="212"/>
        <v>0</v>
      </c>
      <c r="NUT84" s="79">
        <f t="shared" si="212"/>
        <v>0</v>
      </c>
      <c r="NUU84" s="79">
        <f t="shared" si="212"/>
        <v>0</v>
      </c>
      <c r="NUV84" s="79">
        <f t="shared" si="212"/>
        <v>0</v>
      </c>
      <c r="NUW84" s="145" t="s">
        <v>96</v>
      </c>
      <c r="NUZ84" s="79">
        <f>NUZ18+NUZ24+NUZ29+NUZ30</f>
        <v>0</v>
      </c>
      <c r="NVA84" s="79">
        <f t="shared" si="212"/>
        <v>0</v>
      </c>
      <c r="NVB84" s="79">
        <f t="shared" si="212"/>
        <v>0</v>
      </c>
      <c r="NVC84" s="79">
        <f t="shared" si="212"/>
        <v>0</v>
      </c>
      <c r="NVD84" s="79">
        <f t="shared" si="212"/>
        <v>0</v>
      </c>
      <c r="NVE84" s="79">
        <f t="shared" si="212"/>
        <v>0</v>
      </c>
      <c r="NVF84" s="79">
        <f t="shared" si="212"/>
        <v>0</v>
      </c>
      <c r="NVG84" s="79">
        <f t="shared" si="212"/>
        <v>0</v>
      </c>
      <c r="NVH84" s="79">
        <f t="shared" si="212"/>
        <v>0</v>
      </c>
      <c r="NVI84" s="79">
        <f t="shared" si="212"/>
        <v>0</v>
      </c>
      <c r="NVJ84" s="79">
        <f t="shared" si="212"/>
        <v>0</v>
      </c>
      <c r="NVK84" s="79">
        <f t="shared" si="212"/>
        <v>0</v>
      </c>
      <c r="NVL84" s="79">
        <f t="shared" si="212"/>
        <v>0</v>
      </c>
      <c r="NVM84" s="145" t="s">
        <v>96</v>
      </c>
      <c r="NVP84" s="79">
        <f>NVP18+NVP24+NVP29+NVP30</f>
        <v>0</v>
      </c>
      <c r="NVQ84" s="79">
        <f t="shared" ref="NVQ84:NXX84" si="213">NVQ18+NVQ24+NVQ29+NVQ30</f>
        <v>0</v>
      </c>
      <c r="NVR84" s="79">
        <f t="shared" si="213"/>
        <v>0</v>
      </c>
      <c r="NVS84" s="79">
        <f t="shared" si="213"/>
        <v>0</v>
      </c>
      <c r="NVT84" s="79">
        <f t="shared" si="213"/>
        <v>0</v>
      </c>
      <c r="NVU84" s="79">
        <f t="shared" si="213"/>
        <v>0</v>
      </c>
      <c r="NVV84" s="79">
        <f t="shared" si="213"/>
        <v>0</v>
      </c>
      <c r="NVW84" s="79">
        <f t="shared" si="213"/>
        <v>0</v>
      </c>
      <c r="NVX84" s="79">
        <f t="shared" si="213"/>
        <v>0</v>
      </c>
      <c r="NVY84" s="79">
        <f t="shared" si="213"/>
        <v>0</v>
      </c>
      <c r="NVZ84" s="79">
        <f t="shared" si="213"/>
        <v>0</v>
      </c>
      <c r="NWA84" s="79">
        <f t="shared" si="213"/>
        <v>0</v>
      </c>
      <c r="NWB84" s="79">
        <f t="shared" si="213"/>
        <v>0</v>
      </c>
      <c r="NWC84" s="145" t="s">
        <v>96</v>
      </c>
      <c r="NWF84" s="79">
        <f>NWF18+NWF24+NWF29+NWF30</f>
        <v>0</v>
      </c>
      <c r="NWG84" s="79">
        <f t="shared" si="213"/>
        <v>0</v>
      </c>
      <c r="NWH84" s="79">
        <f t="shared" si="213"/>
        <v>0</v>
      </c>
      <c r="NWI84" s="79">
        <f t="shared" si="213"/>
        <v>0</v>
      </c>
      <c r="NWJ84" s="79">
        <f t="shared" si="213"/>
        <v>0</v>
      </c>
      <c r="NWK84" s="79">
        <f t="shared" si="213"/>
        <v>0</v>
      </c>
      <c r="NWL84" s="79">
        <f t="shared" si="213"/>
        <v>0</v>
      </c>
      <c r="NWM84" s="79">
        <f t="shared" si="213"/>
        <v>0</v>
      </c>
      <c r="NWN84" s="79">
        <f t="shared" si="213"/>
        <v>0</v>
      </c>
      <c r="NWO84" s="79">
        <f t="shared" si="213"/>
        <v>0</v>
      </c>
      <c r="NWP84" s="79">
        <f t="shared" si="213"/>
        <v>0</v>
      </c>
      <c r="NWQ84" s="79">
        <f t="shared" si="213"/>
        <v>0</v>
      </c>
      <c r="NWR84" s="79">
        <f t="shared" si="213"/>
        <v>0</v>
      </c>
      <c r="NWS84" s="145" t="s">
        <v>96</v>
      </c>
      <c r="NWV84" s="79">
        <f>NWV18+NWV24+NWV29+NWV30</f>
        <v>0</v>
      </c>
      <c r="NWW84" s="79">
        <f t="shared" si="213"/>
        <v>0</v>
      </c>
      <c r="NWX84" s="79">
        <f t="shared" si="213"/>
        <v>0</v>
      </c>
      <c r="NWY84" s="79">
        <f t="shared" si="213"/>
        <v>0</v>
      </c>
      <c r="NWZ84" s="79">
        <f t="shared" si="213"/>
        <v>0</v>
      </c>
      <c r="NXA84" s="79">
        <f t="shared" si="213"/>
        <v>0</v>
      </c>
      <c r="NXB84" s="79">
        <f t="shared" si="213"/>
        <v>0</v>
      </c>
      <c r="NXC84" s="79">
        <f t="shared" si="213"/>
        <v>0</v>
      </c>
      <c r="NXD84" s="79">
        <f t="shared" si="213"/>
        <v>0</v>
      </c>
      <c r="NXE84" s="79">
        <f t="shared" si="213"/>
        <v>0</v>
      </c>
      <c r="NXF84" s="79">
        <f t="shared" si="213"/>
        <v>0</v>
      </c>
      <c r="NXG84" s="79">
        <f t="shared" si="213"/>
        <v>0</v>
      </c>
      <c r="NXH84" s="79">
        <f t="shared" si="213"/>
        <v>0</v>
      </c>
      <c r="NXI84" s="145" t="s">
        <v>96</v>
      </c>
      <c r="NXL84" s="79">
        <f>NXL18+NXL24+NXL29+NXL30</f>
        <v>0</v>
      </c>
      <c r="NXM84" s="79">
        <f t="shared" si="213"/>
        <v>0</v>
      </c>
      <c r="NXN84" s="79">
        <f t="shared" si="213"/>
        <v>0</v>
      </c>
      <c r="NXO84" s="79">
        <f t="shared" si="213"/>
        <v>0</v>
      </c>
      <c r="NXP84" s="79">
        <f t="shared" si="213"/>
        <v>0</v>
      </c>
      <c r="NXQ84" s="79">
        <f t="shared" si="213"/>
        <v>0</v>
      </c>
      <c r="NXR84" s="79">
        <f t="shared" si="213"/>
        <v>0</v>
      </c>
      <c r="NXS84" s="79">
        <f t="shared" si="213"/>
        <v>0</v>
      </c>
      <c r="NXT84" s="79">
        <f t="shared" si="213"/>
        <v>0</v>
      </c>
      <c r="NXU84" s="79">
        <f t="shared" si="213"/>
        <v>0</v>
      </c>
      <c r="NXV84" s="79">
        <f t="shared" si="213"/>
        <v>0</v>
      </c>
      <c r="NXW84" s="79">
        <f t="shared" si="213"/>
        <v>0</v>
      </c>
      <c r="NXX84" s="79">
        <f t="shared" si="213"/>
        <v>0</v>
      </c>
      <c r="NXY84" s="145" t="s">
        <v>96</v>
      </c>
      <c r="NYB84" s="79">
        <f>NYB18+NYB24+NYB29+NYB30</f>
        <v>0</v>
      </c>
      <c r="NYC84" s="79">
        <f t="shared" ref="NYC84:OAJ84" si="214">NYC18+NYC24+NYC29+NYC30</f>
        <v>0</v>
      </c>
      <c r="NYD84" s="79">
        <f t="shared" si="214"/>
        <v>0</v>
      </c>
      <c r="NYE84" s="79">
        <f t="shared" si="214"/>
        <v>0</v>
      </c>
      <c r="NYF84" s="79">
        <f t="shared" si="214"/>
        <v>0</v>
      </c>
      <c r="NYG84" s="79">
        <f t="shared" si="214"/>
        <v>0</v>
      </c>
      <c r="NYH84" s="79">
        <f t="shared" si="214"/>
        <v>0</v>
      </c>
      <c r="NYI84" s="79">
        <f t="shared" si="214"/>
        <v>0</v>
      </c>
      <c r="NYJ84" s="79">
        <f t="shared" si="214"/>
        <v>0</v>
      </c>
      <c r="NYK84" s="79">
        <f t="shared" si="214"/>
        <v>0</v>
      </c>
      <c r="NYL84" s="79">
        <f t="shared" si="214"/>
        <v>0</v>
      </c>
      <c r="NYM84" s="79">
        <f t="shared" si="214"/>
        <v>0</v>
      </c>
      <c r="NYN84" s="79">
        <f t="shared" si="214"/>
        <v>0</v>
      </c>
      <c r="NYO84" s="145" t="s">
        <v>96</v>
      </c>
      <c r="NYR84" s="79">
        <f>NYR18+NYR24+NYR29+NYR30</f>
        <v>0</v>
      </c>
      <c r="NYS84" s="79">
        <f t="shared" si="214"/>
        <v>0</v>
      </c>
      <c r="NYT84" s="79">
        <f t="shared" si="214"/>
        <v>0</v>
      </c>
      <c r="NYU84" s="79">
        <f t="shared" si="214"/>
        <v>0</v>
      </c>
      <c r="NYV84" s="79">
        <f t="shared" si="214"/>
        <v>0</v>
      </c>
      <c r="NYW84" s="79">
        <f t="shared" si="214"/>
        <v>0</v>
      </c>
      <c r="NYX84" s="79">
        <f t="shared" si="214"/>
        <v>0</v>
      </c>
      <c r="NYY84" s="79">
        <f t="shared" si="214"/>
        <v>0</v>
      </c>
      <c r="NYZ84" s="79">
        <f t="shared" si="214"/>
        <v>0</v>
      </c>
      <c r="NZA84" s="79">
        <f t="shared" si="214"/>
        <v>0</v>
      </c>
      <c r="NZB84" s="79">
        <f t="shared" si="214"/>
        <v>0</v>
      </c>
      <c r="NZC84" s="79">
        <f t="shared" si="214"/>
        <v>0</v>
      </c>
      <c r="NZD84" s="79">
        <f t="shared" si="214"/>
        <v>0</v>
      </c>
      <c r="NZE84" s="145" t="s">
        <v>96</v>
      </c>
      <c r="NZH84" s="79">
        <f>NZH18+NZH24+NZH29+NZH30</f>
        <v>0</v>
      </c>
      <c r="NZI84" s="79">
        <f t="shared" si="214"/>
        <v>0</v>
      </c>
      <c r="NZJ84" s="79">
        <f t="shared" si="214"/>
        <v>0</v>
      </c>
      <c r="NZK84" s="79">
        <f t="shared" si="214"/>
        <v>0</v>
      </c>
      <c r="NZL84" s="79">
        <f t="shared" si="214"/>
        <v>0</v>
      </c>
      <c r="NZM84" s="79">
        <f t="shared" si="214"/>
        <v>0</v>
      </c>
      <c r="NZN84" s="79">
        <f t="shared" si="214"/>
        <v>0</v>
      </c>
      <c r="NZO84" s="79">
        <f t="shared" si="214"/>
        <v>0</v>
      </c>
      <c r="NZP84" s="79">
        <f t="shared" si="214"/>
        <v>0</v>
      </c>
      <c r="NZQ84" s="79">
        <f t="shared" si="214"/>
        <v>0</v>
      </c>
      <c r="NZR84" s="79">
        <f t="shared" si="214"/>
        <v>0</v>
      </c>
      <c r="NZS84" s="79">
        <f t="shared" si="214"/>
        <v>0</v>
      </c>
      <c r="NZT84" s="79">
        <f t="shared" si="214"/>
        <v>0</v>
      </c>
      <c r="NZU84" s="145" t="s">
        <v>96</v>
      </c>
      <c r="NZX84" s="79">
        <f>NZX18+NZX24+NZX29+NZX30</f>
        <v>0</v>
      </c>
      <c r="NZY84" s="79">
        <f t="shared" si="214"/>
        <v>0</v>
      </c>
      <c r="NZZ84" s="79">
        <f t="shared" si="214"/>
        <v>0</v>
      </c>
      <c r="OAA84" s="79">
        <f t="shared" si="214"/>
        <v>0</v>
      </c>
      <c r="OAB84" s="79">
        <f t="shared" si="214"/>
        <v>0</v>
      </c>
      <c r="OAC84" s="79">
        <f t="shared" si="214"/>
        <v>0</v>
      </c>
      <c r="OAD84" s="79">
        <f t="shared" si="214"/>
        <v>0</v>
      </c>
      <c r="OAE84" s="79">
        <f t="shared" si="214"/>
        <v>0</v>
      </c>
      <c r="OAF84" s="79">
        <f t="shared" si="214"/>
        <v>0</v>
      </c>
      <c r="OAG84" s="79">
        <f t="shared" si="214"/>
        <v>0</v>
      </c>
      <c r="OAH84" s="79">
        <f t="shared" si="214"/>
        <v>0</v>
      </c>
      <c r="OAI84" s="79">
        <f t="shared" si="214"/>
        <v>0</v>
      </c>
      <c r="OAJ84" s="79">
        <f t="shared" si="214"/>
        <v>0</v>
      </c>
      <c r="OAK84" s="145" t="s">
        <v>96</v>
      </c>
      <c r="OAN84" s="79">
        <f>OAN18+OAN24+OAN29+OAN30</f>
        <v>0</v>
      </c>
      <c r="OAO84" s="79">
        <f t="shared" ref="OAO84:OCV84" si="215">OAO18+OAO24+OAO29+OAO30</f>
        <v>0</v>
      </c>
      <c r="OAP84" s="79">
        <f t="shared" si="215"/>
        <v>0</v>
      </c>
      <c r="OAQ84" s="79">
        <f t="shared" si="215"/>
        <v>0</v>
      </c>
      <c r="OAR84" s="79">
        <f t="shared" si="215"/>
        <v>0</v>
      </c>
      <c r="OAS84" s="79">
        <f t="shared" si="215"/>
        <v>0</v>
      </c>
      <c r="OAT84" s="79">
        <f t="shared" si="215"/>
        <v>0</v>
      </c>
      <c r="OAU84" s="79">
        <f t="shared" si="215"/>
        <v>0</v>
      </c>
      <c r="OAV84" s="79">
        <f t="shared" si="215"/>
        <v>0</v>
      </c>
      <c r="OAW84" s="79">
        <f t="shared" si="215"/>
        <v>0</v>
      </c>
      <c r="OAX84" s="79">
        <f t="shared" si="215"/>
        <v>0</v>
      </c>
      <c r="OAY84" s="79">
        <f t="shared" si="215"/>
        <v>0</v>
      </c>
      <c r="OAZ84" s="79">
        <f t="shared" si="215"/>
        <v>0</v>
      </c>
      <c r="OBA84" s="145" t="s">
        <v>96</v>
      </c>
      <c r="OBD84" s="79">
        <f>OBD18+OBD24+OBD29+OBD30</f>
        <v>0</v>
      </c>
      <c r="OBE84" s="79">
        <f t="shared" si="215"/>
        <v>0</v>
      </c>
      <c r="OBF84" s="79">
        <f t="shared" si="215"/>
        <v>0</v>
      </c>
      <c r="OBG84" s="79">
        <f t="shared" si="215"/>
        <v>0</v>
      </c>
      <c r="OBH84" s="79">
        <f t="shared" si="215"/>
        <v>0</v>
      </c>
      <c r="OBI84" s="79">
        <f t="shared" si="215"/>
        <v>0</v>
      </c>
      <c r="OBJ84" s="79">
        <f t="shared" si="215"/>
        <v>0</v>
      </c>
      <c r="OBK84" s="79">
        <f t="shared" si="215"/>
        <v>0</v>
      </c>
      <c r="OBL84" s="79">
        <f t="shared" si="215"/>
        <v>0</v>
      </c>
      <c r="OBM84" s="79">
        <f t="shared" si="215"/>
        <v>0</v>
      </c>
      <c r="OBN84" s="79">
        <f t="shared" si="215"/>
        <v>0</v>
      </c>
      <c r="OBO84" s="79">
        <f t="shared" si="215"/>
        <v>0</v>
      </c>
      <c r="OBP84" s="79">
        <f t="shared" si="215"/>
        <v>0</v>
      </c>
      <c r="OBQ84" s="145" t="s">
        <v>96</v>
      </c>
      <c r="OBT84" s="79">
        <f>OBT18+OBT24+OBT29+OBT30</f>
        <v>0</v>
      </c>
      <c r="OBU84" s="79">
        <f t="shared" si="215"/>
        <v>0</v>
      </c>
      <c r="OBV84" s="79">
        <f t="shared" si="215"/>
        <v>0</v>
      </c>
      <c r="OBW84" s="79">
        <f t="shared" si="215"/>
        <v>0</v>
      </c>
      <c r="OBX84" s="79">
        <f t="shared" si="215"/>
        <v>0</v>
      </c>
      <c r="OBY84" s="79">
        <f t="shared" si="215"/>
        <v>0</v>
      </c>
      <c r="OBZ84" s="79">
        <f t="shared" si="215"/>
        <v>0</v>
      </c>
      <c r="OCA84" s="79">
        <f t="shared" si="215"/>
        <v>0</v>
      </c>
      <c r="OCB84" s="79">
        <f t="shared" si="215"/>
        <v>0</v>
      </c>
      <c r="OCC84" s="79">
        <f t="shared" si="215"/>
        <v>0</v>
      </c>
      <c r="OCD84" s="79">
        <f t="shared" si="215"/>
        <v>0</v>
      </c>
      <c r="OCE84" s="79">
        <f t="shared" si="215"/>
        <v>0</v>
      </c>
      <c r="OCF84" s="79">
        <f t="shared" si="215"/>
        <v>0</v>
      </c>
      <c r="OCG84" s="145" t="s">
        <v>96</v>
      </c>
      <c r="OCJ84" s="79">
        <f>OCJ18+OCJ24+OCJ29+OCJ30</f>
        <v>0</v>
      </c>
      <c r="OCK84" s="79">
        <f t="shared" si="215"/>
        <v>0</v>
      </c>
      <c r="OCL84" s="79">
        <f t="shared" si="215"/>
        <v>0</v>
      </c>
      <c r="OCM84" s="79">
        <f t="shared" si="215"/>
        <v>0</v>
      </c>
      <c r="OCN84" s="79">
        <f t="shared" si="215"/>
        <v>0</v>
      </c>
      <c r="OCO84" s="79">
        <f t="shared" si="215"/>
        <v>0</v>
      </c>
      <c r="OCP84" s="79">
        <f t="shared" si="215"/>
        <v>0</v>
      </c>
      <c r="OCQ84" s="79">
        <f t="shared" si="215"/>
        <v>0</v>
      </c>
      <c r="OCR84" s="79">
        <f t="shared" si="215"/>
        <v>0</v>
      </c>
      <c r="OCS84" s="79">
        <f t="shared" si="215"/>
        <v>0</v>
      </c>
      <c r="OCT84" s="79">
        <f t="shared" si="215"/>
        <v>0</v>
      </c>
      <c r="OCU84" s="79">
        <f t="shared" si="215"/>
        <v>0</v>
      </c>
      <c r="OCV84" s="79">
        <f t="shared" si="215"/>
        <v>0</v>
      </c>
      <c r="OCW84" s="145" t="s">
        <v>96</v>
      </c>
      <c r="OCZ84" s="79">
        <f>OCZ18+OCZ24+OCZ29+OCZ30</f>
        <v>0</v>
      </c>
      <c r="ODA84" s="79">
        <f t="shared" ref="ODA84:OFH84" si="216">ODA18+ODA24+ODA29+ODA30</f>
        <v>0</v>
      </c>
      <c r="ODB84" s="79">
        <f t="shared" si="216"/>
        <v>0</v>
      </c>
      <c r="ODC84" s="79">
        <f t="shared" si="216"/>
        <v>0</v>
      </c>
      <c r="ODD84" s="79">
        <f t="shared" si="216"/>
        <v>0</v>
      </c>
      <c r="ODE84" s="79">
        <f t="shared" si="216"/>
        <v>0</v>
      </c>
      <c r="ODF84" s="79">
        <f t="shared" si="216"/>
        <v>0</v>
      </c>
      <c r="ODG84" s="79">
        <f t="shared" si="216"/>
        <v>0</v>
      </c>
      <c r="ODH84" s="79">
        <f t="shared" si="216"/>
        <v>0</v>
      </c>
      <c r="ODI84" s="79">
        <f t="shared" si="216"/>
        <v>0</v>
      </c>
      <c r="ODJ84" s="79">
        <f t="shared" si="216"/>
        <v>0</v>
      </c>
      <c r="ODK84" s="79">
        <f t="shared" si="216"/>
        <v>0</v>
      </c>
      <c r="ODL84" s="79">
        <f t="shared" si="216"/>
        <v>0</v>
      </c>
      <c r="ODM84" s="145" t="s">
        <v>96</v>
      </c>
      <c r="ODP84" s="79">
        <f>ODP18+ODP24+ODP29+ODP30</f>
        <v>0</v>
      </c>
      <c r="ODQ84" s="79">
        <f t="shared" si="216"/>
        <v>0</v>
      </c>
      <c r="ODR84" s="79">
        <f t="shared" si="216"/>
        <v>0</v>
      </c>
      <c r="ODS84" s="79">
        <f t="shared" si="216"/>
        <v>0</v>
      </c>
      <c r="ODT84" s="79">
        <f t="shared" si="216"/>
        <v>0</v>
      </c>
      <c r="ODU84" s="79">
        <f t="shared" si="216"/>
        <v>0</v>
      </c>
      <c r="ODV84" s="79">
        <f t="shared" si="216"/>
        <v>0</v>
      </c>
      <c r="ODW84" s="79">
        <f t="shared" si="216"/>
        <v>0</v>
      </c>
      <c r="ODX84" s="79">
        <f t="shared" si="216"/>
        <v>0</v>
      </c>
      <c r="ODY84" s="79">
        <f t="shared" si="216"/>
        <v>0</v>
      </c>
      <c r="ODZ84" s="79">
        <f t="shared" si="216"/>
        <v>0</v>
      </c>
      <c r="OEA84" s="79">
        <f t="shared" si="216"/>
        <v>0</v>
      </c>
      <c r="OEB84" s="79">
        <f t="shared" si="216"/>
        <v>0</v>
      </c>
      <c r="OEC84" s="145" t="s">
        <v>96</v>
      </c>
      <c r="OEF84" s="79">
        <f>OEF18+OEF24+OEF29+OEF30</f>
        <v>0</v>
      </c>
      <c r="OEG84" s="79">
        <f t="shared" si="216"/>
        <v>0</v>
      </c>
      <c r="OEH84" s="79">
        <f t="shared" si="216"/>
        <v>0</v>
      </c>
      <c r="OEI84" s="79">
        <f t="shared" si="216"/>
        <v>0</v>
      </c>
      <c r="OEJ84" s="79">
        <f t="shared" si="216"/>
        <v>0</v>
      </c>
      <c r="OEK84" s="79">
        <f t="shared" si="216"/>
        <v>0</v>
      </c>
      <c r="OEL84" s="79">
        <f t="shared" si="216"/>
        <v>0</v>
      </c>
      <c r="OEM84" s="79">
        <f t="shared" si="216"/>
        <v>0</v>
      </c>
      <c r="OEN84" s="79">
        <f t="shared" si="216"/>
        <v>0</v>
      </c>
      <c r="OEO84" s="79">
        <f t="shared" si="216"/>
        <v>0</v>
      </c>
      <c r="OEP84" s="79">
        <f t="shared" si="216"/>
        <v>0</v>
      </c>
      <c r="OEQ84" s="79">
        <f t="shared" si="216"/>
        <v>0</v>
      </c>
      <c r="OER84" s="79">
        <f t="shared" si="216"/>
        <v>0</v>
      </c>
      <c r="OES84" s="145" t="s">
        <v>96</v>
      </c>
      <c r="OEV84" s="79">
        <f>OEV18+OEV24+OEV29+OEV30</f>
        <v>0</v>
      </c>
      <c r="OEW84" s="79">
        <f t="shared" si="216"/>
        <v>0</v>
      </c>
      <c r="OEX84" s="79">
        <f t="shared" si="216"/>
        <v>0</v>
      </c>
      <c r="OEY84" s="79">
        <f t="shared" si="216"/>
        <v>0</v>
      </c>
      <c r="OEZ84" s="79">
        <f t="shared" si="216"/>
        <v>0</v>
      </c>
      <c r="OFA84" s="79">
        <f t="shared" si="216"/>
        <v>0</v>
      </c>
      <c r="OFB84" s="79">
        <f t="shared" si="216"/>
        <v>0</v>
      </c>
      <c r="OFC84" s="79">
        <f t="shared" si="216"/>
        <v>0</v>
      </c>
      <c r="OFD84" s="79">
        <f t="shared" si="216"/>
        <v>0</v>
      </c>
      <c r="OFE84" s="79">
        <f t="shared" si="216"/>
        <v>0</v>
      </c>
      <c r="OFF84" s="79">
        <f t="shared" si="216"/>
        <v>0</v>
      </c>
      <c r="OFG84" s="79">
        <f t="shared" si="216"/>
        <v>0</v>
      </c>
      <c r="OFH84" s="79">
        <f t="shared" si="216"/>
        <v>0</v>
      </c>
      <c r="OFI84" s="145" t="s">
        <v>96</v>
      </c>
      <c r="OFL84" s="79">
        <f>OFL18+OFL24+OFL29+OFL30</f>
        <v>0</v>
      </c>
      <c r="OFM84" s="79">
        <f t="shared" ref="OFM84:OHT84" si="217">OFM18+OFM24+OFM29+OFM30</f>
        <v>0</v>
      </c>
      <c r="OFN84" s="79">
        <f t="shared" si="217"/>
        <v>0</v>
      </c>
      <c r="OFO84" s="79">
        <f t="shared" si="217"/>
        <v>0</v>
      </c>
      <c r="OFP84" s="79">
        <f t="shared" si="217"/>
        <v>0</v>
      </c>
      <c r="OFQ84" s="79">
        <f t="shared" si="217"/>
        <v>0</v>
      </c>
      <c r="OFR84" s="79">
        <f t="shared" si="217"/>
        <v>0</v>
      </c>
      <c r="OFS84" s="79">
        <f t="shared" si="217"/>
        <v>0</v>
      </c>
      <c r="OFT84" s="79">
        <f t="shared" si="217"/>
        <v>0</v>
      </c>
      <c r="OFU84" s="79">
        <f t="shared" si="217"/>
        <v>0</v>
      </c>
      <c r="OFV84" s="79">
        <f t="shared" si="217"/>
        <v>0</v>
      </c>
      <c r="OFW84" s="79">
        <f t="shared" si="217"/>
        <v>0</v>
      </c>
      <c r="OFX84" s="79">
        <f t="shared" si="217"/>
        <v>0</v>
      </c>
      <c r="OFY84" s="145" t="s">
        <v>96</v>
      </c>
      <c r="OGB84" s="79">
        <f>OGB18+OGB24+OGB29+OGB30</f>
        <v>0</v>
      </c>
      <c r="OGC84" s="79">
        <f t="shared" si="217"/>
        <v>0</v>
      </c>
      <c r="OGD84" s="79">
        <f t="shared" si="217"/>
        <v>0</v>
      </c>
      <c r="OGE84" s="79">
        <f t="shared" si="217"/>
        <v>0</v>
      </c>
      <c r="OGF84" s="79">
        <f t="shared" si="217"/>
        <v>0</v>
      </c>
      <c r="OGG84" s="79">
        <f t="shared" si="217"/>
        <v>0</v>
      </c>
      <c r="OGH84" s="79">
        <f t="shared" si="217"/>
        <v>0</v>
      </c>
      <c r="OGI84" s="79">
        <f t="shared" si="217"/>
        <v>0</v>
      </c>
      <c r="OGJ84" s="79">
        <f t="shared" si="217"/>
        <v>0</v>
      </c>
      <c r="OGK84" s="79">
        <f t="shared" si="217"/>
        <v>0</v>
      </c>
      <c r="OGL84" s="79">
        <f t="shared" si="217"/>
        <v>0</v>
      </c>
      <c r="OGM84" s="79">
        <f t="shared" si="217"/>
        <v>0</v>
      </c>
      <c r="OGN84" s="79">
        <f t="shared" si="217"/>
        <v>0</v>
      </c>
      <c r="OGO84" s="145" t="s">
        <v>96</v>
      </c>
      <c r="OGR84" s="79">
        <f>OGR18+OGR24+OGR29+OGR30</f>
        <v>0</v>
      </c>
      <c r="OGS84" s="79">
        <f t="shared" si="217"/>
        <v>0</v>
      </c>
      <c r="OGT84" s="79">
        <f t="shared" si="217"/>
        <v>0</v>
      </c>
      <c r="OGU84" s="79">
        <f t="shared" si="217"/>
        <v>0</v>
      </c>
      <c r="OGV84" s="79">
        <f t="shared" si="217"/>
        <v>0</v>
      </c>
      <c r="OGW84" s="79">
        <f t="shared" si="217"/>
        <v>0</v>
      </c>
      <c r="OGX84" s="79">
        <f t="shared" si="217"/>
        <v>0</v>
      </c>
      <c r="OGY84" s="79">
        <f t="shared" si="217"/>
        <v>0</v>
      </c>
      <c r="OGZ84" s="79">
        <f t="shared" si="217"/>
        <v>0</v>
      </c>
      <c r="OHA84" s="79">
        <f t="shared" si="217"/>
        <v>0</v>
      </c>
      <c r="OHB84" s="79">
        <f t="shared" si="217"/>
        <v>0</v>
      </c>
      <c r="OHC84" s="79">
        <f t="shared" si="217"/>
        <v>0</v>
      </c>
      <c r="OHD84" s="79">
        <f t="shared" si="217"/>
        <v>0</v>
      </c>
      <c r="OHE84" s="145" t="s">
        <v>96</v>
      </c>
      <c r="OHH84" s="79">
        <f>OHH18+OHH24+OHH29+OHH30</f>
        <v>0</v>
      </c>
      <c r="OHI84" s="79">
        <f t="shared" si="217"/>
        <v>0</v>
      </c>
      <c r="OHJ84" s="79">
        <f t="shared" si="217"/>
        <v>0</v>
      </c>
      <c r="OHK84" s="79">
        <f t="shared" si="217"/>
        <v>0</v>
      </c>
      <c r="OHL84" s="79">
        <f t="shared" si="217"/>
        <v>0</v>
      </c>
      <c r="OHM84" s="79">
        <f t="shared" si="217"/>
        <v>0</v>
      </c>
      <c r="OHN84" s="79">
        <f t="shared" si="217"/>
        <v>0</v>
      </c>
      <c r="OHO84" s="79">
        <f t="shared" si="217"/>
        <v>0</v>
      </c>
      <c r="OHP84" s="79">
        <f t="shared" si="217"/>
        <v>0</v>
      </c>
      <c r="OHQ84" s="79">
        <f t="shared" si="217"/>
        <v>0</v>
      </c>
      <c r="OHR84" s="79">
        <f t="shared" si="217"/>
        <v>0</v>
      </c>
      <c r="OHS84" s="79">
        <f t="shared" si="217"/>
        <v>0</v>
      </c>
      <c r="OHT84" s="79">
        <f t="shared" si="217"/>
        <v>0</v>
      </c>
      <c r="OHU84" s="145" t="s">
        <v>96</v>
      </c>
      <c r="OHX84" s="79">
        <f>OHX18+OHX24+OHX29+OHX30</f>
        <v>0</v>
      </c>
      <c r="OHY84" s="79">
        <f t="shared" ref="OHY84:OKF84" si="218">OHY18+OHY24+OHY29+OHY30</f>
        <v>0</v>
      </c>
      <c r="OHZ84" s="79">
        <f t="shared" si="218"/>
        <v>0</v>
      </c>
      <c r="OIA84" s="79">
        <f t="shared" si="218"/>
        <v>0</v>
      </c>
      <c r="OIB84" s="79">
        <f t="shared" si="218"/>
        <v>0</v>
      </c>
      <c r="OIC84" s="79">
        <f t="shared" si="218"/>
        <v>0</v>
      </c>
      <c r="OID84" s="79">
        <f t="shared" si="218"/>
        <v>0</v>
      </c>
      <c r="OIE84" s="79">
        <f t="shared" si="218"/>
        <v>0</v>
      </c>
      <c r="OIF84" s="79">
        <f t="shared" si="218"/>
        <v>0</v>
      </c>
      <c r="OIG84" s="79">
        <f t="shared" si="218"/>
        <v>0</v>
      </c>
      <c r="OIH84" s="79">
        <f t="shared" si="218"/>
        <v>0</v>
      </c>
      <c r="OII84" s="79">
        <f t="shared" si="218"/>
        <v>0</v>
      </c>
      <c r="OIJ84" s="79">
        <f t="shared" si="218"/>
        <v>0</v>
      </c>
      <c r="OIK84" s="145" t="s">
        <v>96</v>
      </c>
      <c r="OIN84" s="79">
        <f>OIN18+OIN24+OIN29+OIN30</f>
        <v>0</v>
      </c>
      <c r="OIO84" s="79">
        <f t="shared" si="218"/>
        <v>0</v>
      </c>
      <c r="OIP84" s="79">
        <f t="shared" si="218"/>
        <v>0</v>
      </c>
      <c r="OIQ84" s="79">
        <f t="shared" si="218"/>
        <v>0</v>
      </c>
      <c r="OIR84" s="79">
        <f t="shared" si="218"/>
        <v>0</v>
      </c>
      <c r="OIS84" s="79">
        <f t="shared" si="218"/>
        <v>0</v>
      </c>
      <c r="OIT84" s="79">
        <f t="shared" si="218"/>
        <v>0</v>
      </c>
      <c r="OIU84" s="79">
        <f t="shared" si="218"/>
        <v>0</v>
      </c>
      <c r="OIV84" s="79">
        <f t="shared" si="218"/>
        <v>0</v>
      </c>
      <c r="OIW84" s="79">
        <f t="shared" si="218"/>
        <v>0</v>
      </c>
      <c r="OIX84" s="79">
        <f t="shared" si="218"/>
        <v>0</v>
      </c>
      <c r="OIY84" s="79">
        <f t="shared" si="218"/>
        <v>0</v>
      </c>
      <c r="OIZ84" s="79">
        <f t="shared" si="218"/>
        <v>0</v>
      </c>
      <c r="OJA84" s="145" t="s">
        <v>96</v>
      </c>
      <c r="OJD84" s="79">
        <f>OJD18+OJD24+OJD29+OJD30</f>
        <v>0</v>
      </c>
      <c r="OJE84" s="79">
        <f t="shared" si="218"/>
        <v>0</v>
      </c>
      <c r="OJF84" s="79">
        <f t="shared" si="218"/>
        <v>0</v>
      </c>
      <c r="OJG84" s="79">
        <f t="shared" si="218"/>
        <v>0</v>
      </c>
      <c r="OJH84" s="79">
        <f t="shared" si="218"/>
        <v>0</v>
      </c>
      <c r="OJI84" s="79">
        <f t="shared" si="218"/>
        <v>0</v>
      </c>
      <c r="OJJ84" s="79">
        <f t="shared" si="218"/>
        <v>0</v>
      </c>
      <c r="OJK84" s="79">
        <f t="shared" si="218"/>
        <v>0</v>
      </c>
      <c r="OJL84" s="79">
        <f t="shared" si="218"/>
        <v>0</v>
      </c>
      <c r="OJM84" s="79">
        <f t="shared" si="218"/>
        <v>0</v>
      </c>
      <c r="OJN84" s="79">
        <f t="shared" si="218"/>
        <v>0</v>
      </c>
      <c r="OJO84" s="79">
        <f t="shared" si="218"/>
        <v>0</v>
      </c>
      <c r="OJP84" s="79">
        <f t="shared" si="218"/>
        <v>0</v>
      </c>
      <c r="OJQ84" s="145" t="s">
        <v>96</v>
      </c>
      <c r="OJT84" s="79">
        <f>OJT18+OJT24+OJT29+OJT30</f>
        <v>0</v>
      </c>
      <c r="OJU84" s="79">
        <f t="shared" si="218"/>
        <v>0</v>
      </c>
      <c r="OJV84" s="79">
        <f t="shared" si="218"/>
        <v>0</v>
      </c>
      <c r="OJW84" s="79">
        <f t="shared" si="218"/>
        <v>0</v>
      </c>
      <c r="OJX84" s="79">
        <f t="shared" si="218"/>
        <v>0</v>
      </c>
      <c r="OJY84" s="79">
        <f t="shared" si="218"/>
        <v>0</v>
      </c>
      <c r="OJZ84" s="79">
        <f t="shared" si="218"/>
        <v>0</v>
      </c>
      <c r="OKA84" s="79">
        <f t="shared" si="218"/>
        <v>0</v>
      </c>
      <c r="OKB84" s="79">
        <f t="shared" si="218"/>
        <v>0</v>
      </c>
      <c r="OKC84" s="79">
        <f t="shared" si="218"/>
        <v>0</v>
      </c>
      <c r="OKD84" s="79">
        <f t="shared" si="218"/>
        <v>0</v>
      </c>
      <c r="OKE84" s="79">
        <f t="shared" si="218"/>
        <v>0</v>
      </c>
      <c r="OKF84" s="79">
        <f t="shared" si="218"/>
        <v>0</v>
      </c>
      <c r="OKG84" s="145" t="s">
        <v>96</v>
      </c>
      <c r="OKJ84" s="79">
        <f>OKJ18+OKJ24+OKJ29+OKJ30</f>
        <v>0</v>
      </c>
      <c r="OKK84" s="79">
        <f t="shared" ref="OKK84:OMR84" si="219">OKK18+OKK24+OKK29+OKK30</f>
        <v>0</v>
      </c>
      <c r="OKL84" s="79">
        <f t="shared" si="219"/>
        <v>0</v>
      </c>
      <c r="OKM84" s="79">
        <f t="shared" si="219"/>
        <v>0</v>
      </c>
      <c r="OKN84" s="79">
        <f t="shared" si="219"/>
        <v>0</v>
      </c>
      <c r="OKO84" s="79">
        <f t="shared" si="219"/>
        <v>0</v>
      </c>
      <c r="OKP84" s="79">
        <f t="shared" si="219"/>
        <v>0</v>
      </c>
      <c r="OKQ84" s="79">
        <f t="shared" si="219"/>
        <v>0</v>
      </c>
      <c r="OKR84" s="79">
        <f t="shared" si="219"/>
        <v>0</v>
      </c>
      <c r="OKS84" s="79">
        <f t="shared" si="219"/>
        <v>0</v>
      </c>
      <c r="OKT84" s="79">
        <f t="shared" si="219"/>
        <v>0</v>
      </c>
      <c r="OKU84" s="79">
        <f t="shared" si="219"/>
        <v>0</v>
      </c>
      <c r="OKV84" s="79">
        <f t="shared" si="219"/>
        <v>0</v>
      </c>
      <c r="OKW84" s="145" t="s">
        <v>96</v>
      </c>
      <c r="OKZ84" s="79">
        <f>OKZ18+OKZ24+OKZ29+OKZ30</f>
        <v>0</v>
      </c>
      <c r="OLA84" s="79">
        <f t="shared" si="219"/>
        <v>0</v>
      </c>
      <c r="OLB84" s="79">
        <f t="shared" si="219"/>
        <v>0</v>
      </c>
      <c r="OLC84" s="79">
        <f t="shared" si="219"/>
        <v>0</v>
      </c>
      <c r="OLD84" s="79">
        <f t="shared" si="219"/>
        <v>0</v>
      </c>
      <c r="OLE84" s="79">
        <f t="shared" si="219"/>
        <v>0</v>
      </c>
      <c r="OLF84" s="79">
        <f t="shared" si="219"/>
        <v>0</v>
      </c>
      <c r="OLG84" s="79">
        <f t="shared" si="219"/>
        <v>0</v>
      </c>
      <c r="OLH84" s="79">
        <f t="shared" si="219"/>
        <v>0</v>
      </c>
      <c r="OLI84" s="79">
        <f t="shared" si="219"/>
        <v>0</v>
      </c>
      <c r="OLJ84" s="79">
        <f t="shared" si="219"/>
        <v>0</v>
      </c>
      <c r="OLK84" s="79">
        <f t="shared" si="219"/>
        <v>0</v>
      </c>
      <c r="OLL84" s="79">
        <f t="shared" si="219"/>
        <v>0</v>
      </c>
      <c r="OLM84" s="145" t="s">
        <v>96</v>
      </c>
      <c r="OLP84" s="79">
        <f>OLP18+OLP24+OLP29+OLP30</f>
        <v>0</v>
      </c>
      <c r="OLQ84" s="79">
        <f t="shared" si="219"/>
        <v>0</v>
      </c>
      <c r="OLR84" s="79">
        <f t="shared" si="219"/>
        <v>0</v>
      </c>
      <c r="OLS84" s="79">
        <f t="shared" si="219"/>
        <v>0</v>
      </c>
      <c r="OLT84" s="79">
        <f t="shared" si="219"/>
        <v>0</v>
      </c>
      <c r="OLU84" s="79">
        <f t="shared" si="219"/>
        <v>0</v>
      </c>
      <c r="OLV84" s="79">
        <f t="shared" si="219"/>
        <v>0</v>
      </c>
      <c r="OLW84" s="79">
        <f t="shared" si="219"/>
        <v>0</v>
      </c>
      <c r="OLX84" s="79">
        <f t="shared" si="219"/>
        <v>0</v>
      </c>
      <c r="OLY84" s="79">
        <f t="shared" si="219"/>
        <v>0</v>
      </c>
      <c r="OLZ84" s="79">
        <f t="shared" si="219"/>
        <v>0</v>
      </c>
      <c r="OMA84" s="79">
        <f t="shared" si="219"/>
        <v>0</v>
      </c>
      <c r="OMB84" s="79">
        <f t="shared" si="219"/>
        <v>0</v>
      </c>
      <c r="OMC84" s="145" t="s">
        <v>96</v>
      </c>
      <c r="OMF84" s="79">
        <f>OMF18+OMF24+OMF29+OMF30</f>
        <v>0</v>
      </c>
      <c r="OMG84" s="79">
        <f t="shared" si="219"/>
        <v>0</v>
      </c>
      <c r="OMH84" s="79">
        <f t="shared" si="219"/>
        <v>0</v>
      </c>
      <c r="OMI84" s="79">
        <f t="shared" si="219"/>
        <v>0</v>
      </c>
      <c r="OMJ84" s="79">
        <f t="shared" si="219"/>
        <v>0</v>
      </c>
      <c r="OMK84" s="79">
        <f t="shared" si="219"/>
        <v>0</v>
      </c>
      <c r="OML84" s="79">
        <f t="shared" si="219"/>
        <v>0</v>
      </c>
      <c r="OMM84" s="79">
        <f t="shared" si="219"/>
        <v>0</v>
      </c>
      <c r="OMN84" s="79">
        <f t="shared" si="219"/>
        <v>0</v>
      </c>
      <c r="OMO84" s="79">
        <f t="shared" si="219"/>
        <v>0</v>
      </c>
      <c r="OMP84" s="79">
        <f t="shared" si="219"/>
        <v>0</v>
      </c>
      <c r="OMQ84" s="79">
        <f t="shared" si="219"/>
        <v>0</v>
      </c>
      <c r="OMR84" s="79">
        <f t="shared" si="219"/>
        <v>0</v>
      </c>
      <c r="OMS84" s="145" t="s">
        <v>96</v>
      </c>
      <c r="OMV84" s="79">
        <f>OMV18+OMV24+OMV29+OMV30</f>
        <v>0</v>
      </c>
      <c r="OMW84" s="79">
        <f t="shared" ref="OMW84:OPD84" si="220">OMW18+OMW24+OMW29+OMW30</f>
        <v>0</v>
      </c>
      <c r="OMX84" s="79">
        <f t="shared" si="220"/>
        <v>0</v>
      </c>
      <c r="OMY84" s="79">
        <f t="shared" si="220"/>
        <v>0</v>
      </c>
      <c r="OMZ84" s="79">
        <f t="shared" si="220"/>
        <v>0</v>
      </c>
      <c r="ONA84" s="79">
        <f t="shared" si="220"/>
        <v>0</v>
      </c>
      <c r="ONB84" s="79">
        <f t="shared" si="220"/>
        <v>0</v>
      </c>
      <c r="ONC84" s="79">
        <f t="shared" si="220"/>
        <v>0</v>
      </c>
      <c r="OND84" s="79">
        <f t="shared" si="220"/>
        <v>0</v>
      </c>
      <c r="ONE84" s="79">
        <f t="shared" si="220"/>
        <v>0</v>
      </c>
      <c r="ONF84" s="79">
        <f t="shared" si="220"/>
        <v>0</v>
      </c>
      <c r="ONG84" s="79">
        <f t="shared" si="220"/>
        <v>0</v>
      </c>
      <c r="ONH84" s="79">
        <f t="shared" si="220"/>
        <v>0</v>
      </c>
      <c r="ONI84" s="145" t="s">
        <v>96</v>
      </c>
      <c r="ONL84" s="79">
        <f>ONL18+ONL24+ONL29+ONL30</f>
        <v>0</v>
      </c>
      <c r="ONM84" s="79">
        <f t="shared" si="220"/>
        <v>0</v>
      </c>
      <c r="ONN84" s="79">
        <f t="shared" si="220"/>
        <v>0</v>
      </c>
      <c r="ONO84" s="79">
        <f t="shared" si="220"/>
        <v>0</v>
      </c>
      <c r="ONP84" s="79">
        <f t="shared" si="220"/>
        <v>0</v>
      </c>
      <c r="ONQ84" s="79">
        <f t="shared" si="220"/>
        <v>0</v>
      </c>
      <c r="ONR84" s="79">
        <f t="shared" si="220"/>
        <v>0</v>
      </c>
      <c r="ONS84" s="79">
        <f t="shared" si="220"/>
        <v>0</v>
      </c>
      <c r="ONT84" s="79">
        <f t="shared" si="220"/>
        <v>0</v>
      </c>
      <c r="ONU84" s="79">
        <f t="shared" si="220"/>
        <v>0</v>
      </c>
      <c r="ONV84" s="79">
        <f t="shared" si="220"/>
        <v>0</v>
      </c>
      <c r="ONW84" s="79">
        <f t="shared" si="220"/>
        <v>0</v>
      </c>
      <c r="ONX84" s="79">
        <f t="shared" si="220"/>
        <v>0</v>
      </c>
      <c r="ONY84" s="145" t="s">
        <v>96</v>
      </c>
      <c r="OOB84" s="79">
        <f>OOB18+OOB24+OOB29+OOB30</f>
        <v>0</v>
      </c>
      <c r="OOC84" s="79">
        <f t="shared" si="220"/>
        <v>0</v>
      </c>
      <c r="OOD84" s="79">
        <f t="shared" si="220"/>
        <v>0</v>
      </c>
      <c r="OOE84" s="79">
        <f t="shared" si="220"/>
        <v>0</v>
      </c>
      <c r="OOF84" s="79">
        <f t="shared" si="220"/>
        <v>0</v>
      </c>
      <c r="OOG84" s="79">
        <f t="shared" si="220"/>
        <v>0</v>
      </c>
      <c r="OOH84" s="79">
        <f t="shared" si="220"/>
        <v>0</v>
      </c>
      <c r="OOI84" s="79">
        <f t="shared" si="220"/>
        <v>0</v>
      </c>
      <c r="OOJ84" s="79">
        <f t="shared" si="220"/>
        <v>0</v>
      </c>
      <c r="OOK84" s="79">
        <f t="shared" si="220"/>
        <v>0</v>
      </c>
      <c r="OOL84" s="79">
        <f t="shared" si="220"/>
        <v>0</v>
      </c>
      <c r="OOM84" s="79">
        <f t="shared" si="220"/>
        <v>0</v>
      </c>
      <c r="OON84" s="79">
        <f t="shared" si="220"/>
        <v>0</v>
      </c>
      <c r="OOO84" s="145" t="s">
        <v>96</v>
      </c>
      <c r="OOR84" s="79">
        <f>OOR18+OOR24+OOR29+OOR30</f>
        <v>0</v>
      </c>
      <c r="OOS84" s="79">
        <f t="shared" si="220"/>
        <v>0</v>
      </c>
      <c r="OOT84" s="79">
        <f t="shared" si="220"/>
        <v>0</v>
      </c>
      <c r="OOU84" s="79">
        <f t="shared" si="220"/>
        <v>0</v>
      </c>
      <c r="OOV84" s="79">
        <f t="shared" si="220"/>
        <v>0</v>
      </c>
      <c r="OOW84" s="79">
        <f t="shared" si="220"/>
        <v>0</v>
      </c>
      <c r="OOX84" s="79">
        <f t="shared" si="220"/>
        <v>0</v>
      </c>
      <c r="OOY84" s="79">
        <f t="shared" si="220"/>
        <v>0</v>
      </c>
      <c r="OOZ84" s="79">
        <f t="shared" si="220"/>
        <v>0</v>
      </c>
      <c r="OPA84" s="79">
        <f t="shared" si="220"/>
        <v>0</v>
      </c>
      <c r="OPB84" s="79">
        <f t="shared" si="220"/>
        <v>0</v>
      </c>
      <c r="OPC84" s="79">
        <f t="shared" si="220"/>
        <v>0</v>
      </c>
      <c r="OPD84" s="79">
        <f t="shared" si="220"/>
        <v>0</v>
      </c>
      <c r="OPE84" s="145" t="s">
        <v>96</v>
      </c>
      <c r="OPH84" s="79">
        <f>OPH18+OPH24+OPH29+OPH30</f>
        <v>0</v>
      </c>
      <c r="OPI84" s="79">
        <f t="shared" ref="OPI84:ORP84" si="221">OPI18+OPI24+OPI29+OPI30</f>
        <v>0</v>
      </c>
      <c r="OPJ84" s="79">
        <f t="shared" si="221"/>
        <v>0</v>
      </c>
      <c r="OPK84" s="79">
        <f t="shared" si="221"/>
        <v>0</v>
      </c>
      <c r="OPL84" s="79">
        <f t="shared" si="221"/>
        <v>0</v>
      </c>
      <c r="OPM84" s="79">
        <f t="shared" si="221"/>
        <v>0</v>
      </c>
      <c r="OPN84" s="79">
        <f t="shared" si="221"/>
        <v>0</v>
      </c>
      <c r="OPO84" s="79">
        <f t="shared" si="221"/>
        <v>0</v>
      </c>
      <c r="OPP84" s="79">
        <f t="shared" si="221"/>
        <v>0</v>
      </c>
      <c r="OPQ84" s="79">
        <f t="shared" si="221"/>
        <v>0</v>
      </c>
      <c r="OPR84" s="79">
        <f t="shared" si="221"/>
        <v>0</v>
      </c>
      <c r="OPS84" s="79">
        <f t="shared" si="221"/>
        <v>0</v>
      </c>
      <c r="OPT84" s="79">
        <f t="shared" si="221"/>
        <v>0</v>
      </c>
      <c r="OPU84" s="145" t="s">
        <v>96</v>
      </c>
      <c r="OPX84" s="79">
        <f>OPX18+OPX24+OPX29+OPX30</f>
        <v>0</v>
      </c>
      <c r="OPY84" s="79">
        <f t="shared" si="221"/>
        <v>0</v>
      </c>
      <c r="OPZ84" s="79">
        <f t="shared" si="221"/>
        <v>0</v>
      </c>
      <c r="OQA84" s="79">
        <f t="shared" si="221"/>
        <v>0</v>
      </c>
      <c r="OQB84" s="79">
        <f t="shared" si="221"/>
        <v>0</v>
      </c>
      <c r="OQC84" s="79">
        <f t="shared" si="221"/>
        <v>0</v>
      </c>
      <c r="OQD84" s="79">
        <f t="shared" si="221"/>
        <v>0</v>
      </c>
      <c r="OQE84" s="79">
        <f t="shared" si="221"/>
        <v>0</v>
      </c>
      <c r="OQF84" s="79">
        <f t="shared" si="221"/>
        <v>0</v>
      </c>
      <c r="OQG84" s="79">
        <f t="shared" si="221"/>
        <v>0</v>
      </c>
      <c r="OQH84" s="79">
        <f t="shared" si="221"/>
        <v>0</v>
      </c>
      <c r="OQI84" s="79">
        <f t="shared" si="221"/>
        <v>0</v>
      </c>
      <c r="OQJ84" s="79">
        <f t="shared" si="221"/>
        <v>0</v>
      </c>
      <c r="OQK84" s="145" t="s">
        <v>96</v>
      </c>
      <c r="OQN84" s="79">
        <f>OQN18+OQN24+OQN29+OQN30</f>
        <v>0</v>
      </c>
      <c r="OQO84" s="79">
        <f t="shared" si="221"/>
        <v>0</v>
      </c>
      <c r="OQP84" s="79">
        <f t="shared" si="221"/>
        <v>0</v>
      </c>
      <c r="OQQ84" s="79">
        <f t="shared" si="221"/>
        <v>0</v>
      </c>
      <c r="OQR84" s="79">
        <f t="shared" si="221"/>
        <v>0</v>
      </c>
      <c r="OQS84" s="79">
        <f t="shared" si="221"/>
        <v>0</v>
      </c>
      <c r="OQT84" s="79">
        <f t="shared" si="221"/>
        <v>0</v>
      </c>
      <c r="OQU84" s="79">
        <f t="shared" si="221"/>
        <v>0</v>
      </c>
      <c r="OQV84" s="79">
        <f t="shared" si="221"/>
        <v>0</v>
      </c>
      <c r="OQW84" s="79">
        <f t="shared" si="221"/>
        <v>0</v>
      </c>
      <c r="OQX84" s="79">
        <f t="shared" si="221"/>
        <v>0</v>
      </c>
      <c r="OQY84" s="79">
        <f t="shared" si="221"/>
        <v>0</v>
      </c>
      <c r="OQZ84" s="79">
        <f t="shared" si="221"/>
        <v>0</v>
      </c>
      <c r="ORA84" s="145" t="s">
        <v>96</v>
      </c>
      <c r="ORD84" s="79">
        <f>ORD18+ORD24+ORD29+ORD30</f>
        <v>0</v>
      </c>
      <c r="ORE84" s="79">
        <f t="shared" si="221"/>
        <v>0</v>
      </c>
      <c r="ORF84" s="79">
        <f t="shared" si="221"/>
        <v>0</v>
      </c>
      <c r="ORG84" s="79">
        <f t="shared" si="221"/>
        <v>0</v>
      </c>
      <c r="ORH84" s="79">
        <f t="shared" si="221"/>
        <v>0</v>
      </c>
      <c r="ORI84" s="79">
        <f t="shared" si="221"/>
        <v>0</v>
      </c>
      <c r="ORJ84" s="79">
        <f t="shared" si="221"/>
        <v>0</v>
      </c>
      <c r="ORK84" s="79">
        <f t="shared" si="221"/>
        <v>0</v>
      </c>
      <c r="ORL84" s="79">
        <f t="shared" si="221"/>
        <v>0</v>
      </c>
      <c r="ORM84" s="79">
        <f t="shared" si="221"/>
        <v>0</v>
      </c>
      <c r="ORN84" s="79">
        <f t="shared" si="221"/>
        <v>0</v>
      </c>
      <c r="ORO84" s="79">
        <f t="shared" si="221"/>
        <v>0</v>
      </c>
      <c r="ORP84" s="79">
        <f t="shared" si="221"/>
        <v>0</v>
      </c>
      <c r="ORQ84" s="145" t="s">
        <v>96</v>
      </c>
      <c r="ORT84" s="79">
        <f>ORT18+ORT24+ORT29+ORT30</f>
        <v>0</v>
      </c>
      <c r="ORU84" s="79">
        <f t="shared" ref="ORU84:OUB84" si="222">ORU18+ORU24+ORU29+ORU30</f>
        <v>0</v>
      </c>
      <c r="ORV84" s="79">
        <f t="shared" si="222"/>
        <v>0</v>
      </c>
      <c r="ORW84" s="79">
        <f t="shared" si="222"/>
        <v>0</v>
      </c>
      <c r="ORX84" s="79">
        <f t="shared" si="222"/>
        <v>0</v>
      </c>
      <c r="ORY84" s="79">
        <f t="shared" si="222"/>
        <v>0</v>
      </c>
      <c r="ORZ84" s="79">
        <f t="shared" si="222"/>
        <v>0</v>
      </c>
      <c r="OSA84" s="79">
        <f t="shared" si="222"/>
        <v>0</v>
      </c>
      <c r="OSB84" s="79">
        <f t="shared" si="222"/>
        <v>0</v>
      </c>
      <c r="OSC84" s="79">
        <f t="shared" si="222"/>
        <v>0</v>
      </c>
      <c r="OSD84" s="79">
        <f t="shared" si="222"/>
        <v>0</v>
      </c>
      <c r="OSE84" s="79">
        <f t="shared" si="222"/>
        <v>0</v>
      </c>
      <c r="OSF84" s="79">
        <f t="shared" si="222"/>
        <v>0</v>
      </c>
      <c r="OSG84" s="145" t="s">
        <v>96</v>
      </c>
      <c r="OSJ84" s="79">
        <f>OSJ18+OSJ24+OSJ29+OSJ30</f>
        <v>0</v>
      </c>
      <c r="OSK84" s="79">
        <f t="shared" si="222"/>
        <v>0</v>
      </c>
      <c r="OSL84" s="79">
        <f t="shared" si="222"/>
        <v>0</v>
      </c>
      <c r="OSM84" s="79">
        <f t="shared" si="222"/>
        <v>0</v>
      </c>
      <c r="OSN84" s="79">
        <f t="shared" si="222"/>
        <v>0</v>
      </c>
      <c r="OSO84" s="79">
        <f t="shared" si="222"/>
        <v>0</v>
      </c>
      <c r="OSP84" s="79">
        <f t="shared" si="222"/>
        <v>0</v>
      </c>
      <c r="OSQ84" s="79">
        <f t="shared" si="222"/>
        <v>0</v>
      </c>
      <c r="OSR84" s="79">
        <f t="shared" si="222"/>
        <v>0</v>
      </c>
      <c r="OSS84" s="79">
        <f t="shared" si="222"/>
        <v>0</v>
      </c>
      <c r="OST84" s="79">
        <f t="shared" si="222"/>
        <v>0</v>
      </c>
      <c r="OSU84" s="79">
        <f t="shared" si="222"/>
        <v>0</v>
      </c>
      <c r="OSV84" s="79">
        <f t="shared" si="222"/>
        <v>0</v>
      </c>
      <c r="OSW84" s="145" t="s">
        <v>96</v>
      </c>
      <c r="OSZ84" s="79">
        <f>OSZ18+OSZ24+OSZ29+OSZ30</f>
        <v>0</v>
      </c>
      <c r="OTA84" s="79">
        <f t="shared" si="222"/>
        <v>0</v>
      </c>
      <c r="OTB84" s="79">
        <f t="shared" si="222"/>
        <v>0</v>
      </c>
      <c r="OTC84" s="79">
        <f t="shared" si="222"/>
        <v>0</v>
      </c>
      <c r="OTD84" s="79">
        <f t="shared" si="222"/>
        <v>0</v>
      </c>
      <c r="OTE84" s="79">
        <f t="shared" si="222"/>
        <v>0</v>
      </c>
      <c r="OTF84" s="79">
        <f t="shared" si="222"/>
        <v>0</v>
      </c>
      <c r="OTG84" s="79">
        <f t="shared" si="222"/>
        <v>0</v>
      </c>
      <c r="OTH84" s="79">
        <f t="shared" si="222"/>
        <v>0</v>
      </c>
      <c r="OTI84" s="79">
        <f t="shared" si="222"/>
        <v>0</v>
      </c>
      <c r="OTJ84" s="79">
        <f t="shared" si="222"/>
        <v>0</v>
      </c>
      <c r="OTK84" s="79">
        <f t="shared" si="222"/>
        <v>0</v>
      </c>
      <c r="OTL84" s="79">
        <f t="shared" si="222"/>
        <v>0</v>
      </c>
      <c r="OTM84" s="145" t="s">
        <v>96</v>
      </c>
      <c r="OTP84" s="79">
        <f>OTP18+OTP24+OTP29+OTP30</f>
        <v>0</v>
      </c>
      <c r="OTQ84" s="79">
        <f t="shared" si="222"/>
        <v>0</v>
      </c>
      <c r="OTR84" s="79">
        <f t="shared" si="222"/>
        <v>0</v>
      </c>
      <c r="OTS84" s="79">
        <f t="shared" si="222"/>
        <v>0</v>
      </c>
      <c r="OTT84" s="79">
        <f t="shared" si="222"/>
        <v>0</v>
      </c>
      <c r="OTU84" s="79">
        <f t="shared" si="222"/>
        <v>0</v>
      </c>
      <c r="OTV84" s="79">
        <f t="shared" si="222"/>
        <v>0</v>
      </c>
      <c r="OTW84" s="79">
        <f t="shared" si="222"/>
        <v>0</v>
      </c>
      <c r="OTX84" s="79">
        <f t="shared" si="222"/>
        <v>0</v>
      </c>
      <c r="OTY84" s="79">
        <f t="shared" si="222"/>
        <v>0</v>
      </c>
      <c r="OTZ84" s="79">
        <f t="shared" si="222"/>
        <v>0</v>
      </c>
      <c r="OUA84" s="79">
        <f t="shared" si="222"/>
        <v>0</v>
      </c>
      <c r="OUB84" s="79">
        <f t="shared" si="222"/>
        <v>0</v>
      </c>
      <c r="OUC84" s="145" t="s">
        <v>96</v>
      </c>
      <c r="OUF84" s="79">
        <f>OUF18+OUF24+OUF29+OUF30</f>
        <v>0</v>
      </c>
      <c r="OUG84" s="79">
        <f t="shared" ref="OUG84:OWN84" si="223">OUG18+OUG24+OUG29+OUG30</f>
        <v>0</v>
      </c>
      <c r="OUH84" s="79">
        <f t="shared" si="223"/>
        <v>0</v>
      </c>
      <c r="OUI84" s="79">
        <f t="shared" si="223"/>
        <v>0</v>
      </c>
      <c r="OUJ84" s="79">
        <f t="shared" si="223"/>
        <v>0</v>
      </c>
      <c r="OUK84" s="79">
        <f t="shared" si="223"/>
        <v>0</v>
      </c>
      <c r="OUL84" s="79">
        <f t="shared" si="223"/>
        <v>0</v>
      </c>
      <c r="OUM84" s="79">
        <f t="shared" si="223"/>
        <v>0</v>
      </c>
      <c r="OUN84" s="79">
        <f t="shared" si="223"/>
        <v>0</v>
      </c>
      <c r="OUO84" s="79">
        <f t="shared" si="223"/>
        <v>0</v>
      </c>
      <c r="OUP84" s="79">
        <f t="shared" si="223"/>
        <v>0</v>
      </c>
      <c r="OUQ84" s="79">
        <f t="shared" si="223"/>
        <v>0</v>
      </c>
      <c r="OUR84" s="79">
        <f t="shared" si="223"/>
        <v>0</v>
      </c>
      <c r="OUS84" s="145" t="s">
        <v>96</v>
      </c>
      <c r="OUV84" s="79">
        <f>OUV18+OUV24+OUV29+OUV30</f>
        <v>0</v>
      </c>
      <c r="OUW84" s="79">
        <f t="shared" si="223"/>
        <v>0</v>
      </c>
      <c r="OUX84" s="79">
        <f t="shared" si="223"/>
        <v>0</v>
      </c>
      <c r="OUY84" s="79">
        <f t="shared" si="223"/>
        <v>0</v>
      </c>
      <c r="OUZ84" s="79">
        <f t="shared" si="223"/>
        <v>0</v>
      </c>
      <c r="OVA84" s="79">
        <f t="shared" si="223"/>
        <v>0</v>
      </c>
      <c r="OVB84" s="79">
        <f t="shared" si="223"/>
        <v>0</v>
      </c>
      <c r="OVC84" s="79">
        <f t="shared" si="223"/>
        <v>0</v>
      </c>
      <c r="OVD84" s="79">
        <f t="shared" si="223"/>
        <v>0</v>
      </c>
      <c r="OVE84" s="79">
        <f t="shared" si="223"/>
        <v>0</v>
      </c>
      <c r="OVF84" s="79">
        <f t="shared" si="223"/>
        <v>0</v>
      </c>
      <c r="OVG84" s="79">
        <f t="shared" si="223"/>
        <v>0</v>
      </c>
      <c r="OVH84" s="79">
        <f t="shared" si="223"/>
        <v>0</v>
      </c>
      <c r="OVI84" s="145" t="s">
        <v>96</v>
      </c>
      <c r="OVL84" s="79">
        <f>OVL18+OVL24+OVL29+OVL30</f>
        <v>0</v>
      </c>
      <c r="OVM84" s="79">
        <f t="shared" si="223"/>
        <v>0</v>
      </c>
      <c r="OVN84" s="79">
        <f t="shared" si="223"/>
        <v>0</v>
      </c>
      <c r="OVO84" s="79">
        <f t="shared" si="223"/>
        <v>0</v>
      </c>
      <c r="OVP84" s="79">
        <f t="shared" si="223"/>
        <v>0</v>
      </c>
      <c r="OVQ84" s="79">
        <f t="shared" si="223"/>
        <v>0</v>
      </c>
      <c r="OVR84" s="79">
        <f t="shared" si="223"/>
        <v>0</v>
      </c>
      <c r="OVS84" s="79">
        <f t="shared" si="223"/>
        <v>0</v>
      </c>
      <c r="OVT84" s="79">
        <f t="shared" si="223"/>
        <v>0</v>
      </c>
      <c r="OVU84" s="79">
        <f t="shared" si="223"/>
        <v>0</v>
      </c>
      <c r="OVV84" s="79">
        <f t="shared" si="223"/>
        <v>0</v>
      </c>
      <c r="OVW84" s="79">
        <f t="shared" si="223"/>
        <v>0</v>
      </c>
      <c r="OVX84" s="79">
        <f t="shared" si="223"/>
        <v>0</v>
      </c>
      <c r="OVY84" s="145" t="s">
        <v>96</v>
      </c>
      <c r="OWB84" s="79">
        <f>OWB18+OWB24+OWB29+OWB30</f>
        <v>0</v>
      </c>
      <c r="OWC84" s="79">
        <f t="shared" si="223"/>
        <v>0</v>
      </c>
      <c r="OWD84" s="79">
        <f t="shared" si="223"/>
        <v>0</v>
      </c>
      <c r="OWE84" s="79">
        <f t="shared" si="223"/>
        <v>0</v>
      </c>
      <c r="OWF84" s="79">
        <f t="shared" si="223"/>
        <v>0</v>
      </c>
      <c r="OWG84" s="79">
        <f t="shared" si="223"/>
        <v>0</v>
      </c>
      <c r="OWH84" s="79">
        <f t="shared" si="223"/>
        <v>0</v>
      </c>
      <c r="OWI84" s="79">
        <f t="shared" si="223"/>
        <v>0</v>
      </c>
      <c r="OWJ84" s="79">
        <f t="shared" si="223"/>
        <v>0</v>
      </c>
      <c r="OWK84" s="79">
        <f t="shared" si="223"/>
        <v>0</v>
      </c>
      <c r="OWL84" s="79">
        <f t="shared" si="223"/>
        <v>0</v>
      </c>
      <c r="OWM84" s="79">
        <f t="shared" si="223"/>
        <v>0</v>
      </c>
      <c r="OWN84" s="79">
        <f t="shared" si="223"/>
        <v>0</v>
      </c>
      <c r="OWO84" s="145" t="s">
        <v>96</v>
      </c>
      <c r="OWR84" s="79">
        <f>OWR18+OWR24+OWR29+OWR30</f>
        <v>0</v>
      </c>
      <c r="OWS84" s="79">
        <f t="shared" ref="OWS84:OYZ84" si="224">OWS18+OWS24+OWS29+OWS30</f>
        <v>0</v>
      </c>
      <c r="OWT84" s="79">
        <f t="shared" si="224"/>
        <v>0</v>
      </c>
      <c r="OWU84" s="79">
        <f t="shared" si="224"/>
        <v>0</v>
      </c>
      <c r="OWV84" s="79">
        <f t="shared" si="224"/>
        <v>0</v>
      </c>
      <c r="OWW84" s="79">
        <f t="shared" si="224"/>
        <v>0</v>
      </c>
      <c r="OWX84" s="79">
        <f t="shared" si="224"/>
        <v>0</v>
      </c>
      <c r="OWY84" s="79">
        <f t="shared" si="224"/>
        <v>0</v>
      </c>
      <c r="OWZ84" s="79">
        <f t="shared" si="224"/>
        <v>0</v>
      </c>
      <c r="OXA84" s="79">
        <f t="shared" si="224"/>
        <v>0</v>
      </c>
      <c r="OXB84" s="79">
        <f t="shared" si="224"/>
        <v>0</v>
      </c>
      <c r="OXC84" s="79">
        <f t="shared" si="224"/>
        <v>0</v>
      </c>
      <c r="OXD84" s="79">
        <f t="shared" si="224"/>
        <v>0</v>
      </c>
      <c r="OXE84" s="145" t="s">
        <v>96</v>
      </c>
      <c r="OXH84" s="79">
        <f>OXH18+OXH24+OXH29+OXH30</f>
        <v>0</v>
      </c>
      <c r="OXI84" s="79">
        <f t="shared" si="224"/>
        <v>0</v>
      </c>
      <c r="OXJ84" s="79">
        <f t="shared" si="224"/>
        <v>0</v>
      </c>
      <c r="OXK84" s="79">
        <f t="shared" si="224"/>
        <v>0</v>
      </c>
      <c r="OXL84" s="79">
        <f t="shared" si="224"/>
        <v>0</v>
      </c>
      <c r="OXM84" s="79">
        <f t="shared" si="224"/>
        <v>0</v>
      </c>
      <c r="OXN84" s="79">
        <f t="shared" si="224"/>
        <v>0</v>
      </c>
      <c r="OXO84" s="79">
        <f t="shared" si="224"/>
        <v>0</v>
      </c>
      <c r="OXP84" s="79">
        <f t="shared" si="224"/>
        <v>0</v>
      </c>
      <c r="OXQ84" s="79">
        <f t="shared" si="224"/>
        <v>0</v>
      </c>
      <c r="OXR84" s="79">
        <f t="shared" si="224"/>
        <v>0</v>
      </c>
      <c r="OXS84" s="79">
        <f t="shared" si="224"/>
        <v>0</v>
      </c>
      <c r="OXT84" s="79">
        <f t="shared" si="224"/>
        <v>0</v>
      </c>
      <c r="OXU84" s="145" t="s">
        <v>96</v>
      </c>
      <c r="OXX84" s="79">
        <f>OXX18+OXX24+OXX29+OXX30</f>
        <v>0</v>
      </c>
      <c r="OXY84" s="79">
        <f t="shared" si="224"/>
        <v>0</v>
      </c>
      <c r="OXZ84" s="79">
        <f t="shared" si="224"/>
        <v>0</v>
      </c>
      <c r="OYA84" s="79">
        <f t="shared" si="224"/>
        <v>0</v>
      </c>
      <c r="OYB84" s="79">
        <f t="shared" si="224"/>
        <v>0</v>
      </c>
      <c r="OYC84" s="79">
        <f t="shared" si="224"/>
        <v>0</v>
      </c>
      <c r="OYD84" s="79">
        <f t="shared" si="224"/>
        <v>0</v>
      </c>
      <c r="OYE84" s="79">
        <f t="shared" si="224"/>
        <v>0</v>
      </c>
      <c r="OYF84" s="79">
        <f t="shared" si="224"/>
        <v>0</v>
      </c>
      <c r="OYG84" s="79">
        <f t="shared" si="224"/>
        <v>0</v>
      </c>
      <c r="OYH84" s="79">
        <f t="shared" si="224"/>
        <v>0</v>
      </c>
      <c r="OYI84" s="79">
        <f t="shared" si="224"/>
        <v>0</v>
      </c>
      <c r="OYJ84" s="79">
        <f t="shared" si="224"/>
        <v>0</v>
      </c>
      <c r="OYK84" s="145" t="s">
        <v>96</v>
      </c>
      <c r="OYN84" s="79">
        <f>OYN18+OYN24+OYN29+OYN30</f>
        <v>0</v>
      </c>
      <c r="OYO84" s="79">
        <f t="shared" si="224"/>
        <v>0</v>
      </c>
      <c r="OYP84" s="79">
        <f t="shared" si="224"/>
        <v>0</v>
      </c>
      <c r="OYQ84" s="79">
        <f t="shared" si="224"/>
        <v>0</v>
      </c>
      <c r="OYR84" s="79">
        <f t="shared" si="224"/>
        <v>0</v>
      </c>
      <c r="OYS84" s="79">
        <f t="shared" si="224"/>
        <v>0</v>
      </c>
      <c r="OYT84" s="79">
        <f t="shared" si="224"/>
        <v>0</v>
      </c>
      <c r="OYU84" s="79">
        <f t="shared" si="224"/>
        <v>0</v>
      </c>
      <c r="OYV84" s="79">
        <f t="shared" si="224"/>
        <v>0</v>
      </c>
      <c r="OYW84" s="79">
        <f t="shared" si="224"/>
        <v>0</v>
      </c>
      <c r="OYX84" s="79">
        <f t="shared" si="224"/>
        <v>0</v>
      </c>
      <c r="OYY84" s="79">
        <f t="shared" si="224"/>
        <v>0</v>
      </c>
      <c r="OYZ84" s="79">
        <f t="shared" si="224"/>
        <v>0</v>
      </c>
      <c r="OZA84" s="145" t="s">
        <v>96</v>
      </c>
      <c r="OZD84" s="79">
        <f>OZD18+OZD24+OZD29+OZD30</f>
        <v>0</v>
      </c>
      <c r="OZE84" s="79">
        <f t="shared" ref="OZE84:PBL84" si="225">OZE18+OZE24+OZE29+OZE30</f>
        <v>0</v>
      </c>
      <c r="OZF84" s="79">
        <f t="shared" si="225"/>
        <v>0</v>
      </c>
      <c r="OZG84" s="79">
        <f t="shared" si="225"/>
        <v>0</v>
      </c>
      <c r="OZH84" s="79">
        <f t="shared" si="225"/>
        <v>0</v>
      </c>
      <c r="OZI84" s="79">
        <f t="shared" si="225"/>
        <v>0</v>
      </c>
      <c r="OZJ84" s="79">
        <f t="shared" si="225"/>
        <v>0</v>
      </c>
      <c r="OZK84" s="79">
        <f t="shared" si="225"/>
        <v>0</v>
      </c>
      <c r="OZL84" s="79">
        <f t="shared" si="225"/>
        <v>0</v>
      </c>
      <c r="OZM84" s="79">
        <f t="shared" si="225"/>
        <v>0</v>
      </c>
      <c r="OZN84" s="79">
        <f t="shared" si="225"/>
        <v>0</v>
      </c>
      <c r="OZO84" s="79">
        <f t="shared" si="225"/>
        <v>0</v>
      </c>
      <c r="OZP84" s="79">
        <f t="shared" si="225"/>
        <v>0</v>
      </c>
      <c r="OZQ84" s="145" t="s">
        <v>96</v>
      </c>
      <c r="OZT84" s="79">
        <f>OZT18+OZT24+OZT29+OZT30</f>
        <v>0</v>
      </c>
      <c r="OZU84" s="79">
        <f t="shared" si="225"/>
        <v>0</v>
      </c>
      <c r="OZV84" s="79">
        <f t="shared" si="225"/>
        <v>0</v>
      </c>
      <c r="OZW84" s="79">
        <f t="shared" si="225"/>
        <v>0</v>
      </c>
      <c r="OZX84" s="79">
        <f t="shared" si="225"/>
        <v>0</v>
      </c>
      <c r="OZY84" s="79">
        <f t="shared" si="225"/>
        <v>0</v>
      </c>
      <c r="OZZ84" s="79">
        <f t="shared" si="225"/>
        <v>0</v>
      </c>
      <c r="PAA84" s="79">
        <f t="shared" si="225"/>
        <v>0</v>
      </c>
      <c r="PAB84" s="79">
        <f t="shared" si="225"/>
        <v>0</v>
      </c>
      <c r="PAC84" s="79">
        <f t="shared" si="225"/>
        <v>0</v>
      </c>
      <c r="PAD84" s="79">
        <f t="shared" si="225"/>
        <v>0</v>
      </c>
      <c r="PAE84" s="79">
        <f t="shared" si="225"/>
        <v>0</v>
      </c>
      <c r="PAF84" s="79">
        <f t="shared" si="225"/>
        <v>0</v>
      </c>
      <c r="PAG84" s="145" t="s">
        <v>96</v>
      </c>
      <c r="PAJ84" s="79">
        <f>PAJ18+PAJ24+PAJ29+PAJ30</f>
        <v>0</v>
      </c>
      <c r="PAK84" s="79">
        <f t="shared" si="225"/>
        <v>0</v>
      </c>
      <c r="PAL84" s="79">
        <f t="shared" si="225"/>
        <v>0</v>
      </c>
      <c r="PAM84" s="79">
        <f t="shared" si="225"/>
        <v>0</v>
      </c>
      <c r="PAN84" s="79">
        <f t="shared" si="225"/>
        <v>0</v>
      </c>
      <c r="PAO84" s="79">
        <f t="shared" si="225"/>
        <v>0</v>
      </c>
      <c r="PAP84" s="79">
        <f t="shared" si="225"/>
        <v>0</v>
      </c>
      <c r="PAQ84" s="79">
        <f t="shared" si="225"/>
        <v>0</v>
      </c>
      <c r="PAR84" s="79">
        <f t="shared" si="225"/>
        <v>0</v>
      </c>
      <c r="PAS84" s="79">
        <f t="shared" si="225"/>
        <v>0</v>
      </c>
      <c r="PAT84" s="79">
        <f t="shared" si="225"/>
        <v>0</v>
      </c>
      <c r="PAU84" s="79">
        <f t="shared" si="225"/>
        <v>0</v>
      </c>
      <c r="PAV84" s="79">
        <f t="shared" si="225"/>
        <v>0</v>
      </c>
      <c r="PAW84" s="145" t="s">
        <v>96</v>
      </c>
      <c r="PAZ84" s="79">
        <f>PAZ18+PAZ24+PAZ29+PAZ30</f>
        <v>0</v>
      </c>
      <c r="PBA84" s="79">
        <f t="shared" si="225"/>
        <v>0</v>
      </c>
      <c r="PBB84" s="79">
        <f t="shared" si="225"/>
        <v>0</v>
      </c>
      <c r="PBC84" s="79">
        <f t="shared" si="225"/>
        <v>0</v>
      </c>
      <c r="PBD84" s="79">
        <f t="shared" si="225"/>
        <v>0</v>
      </c>
      <c r="PBE84" s="79">
        <f t="shared" si="225"/>
        <v>0</v>
      </c>
      <c r="PBF84" s="79">
        <f t="shared" si="225"/>
        <v>0</v>
      </c>
      <c r="PBG84" s="79">
        <f t="shared" si="225"/>
        <v>0</v>
      </c>
      <c r="PBH84" s="79">
        <f t="shared" si="225"/>
        <v>0</v>
      </c>
      <c r="PBI84" s="79">
        <f t="shared" si="225"/>
        <v>0</v>
      </c>
      <c r="PBJ84" s="79">
        <f t="shared" si="225"/>
        <v>0</v>
      </c>
      <c r="PBK84" s="79">
        <f t="shared" si="225"/>
        <v>0</v>
      </c>
      <c r="PBL84" s="79">
        <f t="shared" si="225"/>
        <v>0</v>
      </c>
      <c r="PBM84" s="145" t="s">
        <v>96</v>
      </c>
      <c r="PBP84" s="79">
        <f>PBP18+PBP24+PBP29+PBP30</f>
        <v>0</v>
      </c>
      <c r="PBQ84" s="79">
        <f t="shared" ref="PBQ84:PDX84" si="226">PBQ18+PBQ24+PBQ29+PBQ30</f>
        <v>0</v>
      </c>
      <c r="PBR84" s="79">
        <f t="shared" si="226"/>
        <v>0</v>
      </c>
      <c r="PBS84" s="79">
        <f t="shared" si="226"/>
        <v>0</v>
      </c>
      <c r="PBT84" s="79">
        <f t="shared" si="226"/>
        <v>0</v>
      </c>
      <c r="PBU84" s="79">
        <f t="shared" si="226"/>
        <v>0</v>
      </c>
      <c r="PBV84" s="79">
        <f t="shared" si="226"/>
        <v>0</v>
      </c>
      <c r="PBW84" s="79">
        <f t="shared" si="226"/>
        <v>0</v>
      </c>
      <c r="PBX84" s="79">
        <f t="shared" si="226"/>
        <v>0</v>
      </c>
      <c r="PBY84" s="79">
        <f t="shared" si="226"/>
        <v>0</v>
      </c>
      <c r="PBZ84" s="79">
        <f t="shared" si="226"/>
        <v>0</v>
      </c>
      <c r="PCA84" s="79">
        <f t="shared" si="226"/>
        <v>0</v>
      </c>
      <c r="PCB84" s="79">
        <f t="shared" si="226"/>
        <v>0</v>
      </c>
      <c r="PCC84" s="145" t="s">
        <v>96</v>
      </c>
      <c r="PCF84" s="79">
        <f>PCF18+PCF24+PCF29+PCF30</f>
        <v>0</v>
      </c>
      <c r="PCG84" s="79">
        <f t="shared" si="226"/>
        <v>0</v>
      </c>
      <c r="PCH84" s="79">
        <f t="shared" si="226"/>
        <v>0</v>
      </c>
      <c r="PCI84" s="79">
        <f t="shared" si="226"/>
        <v>0</v>
      </c>
      <c r="PCJ84" s="79">
        <f t="shared" si="226"/>
        <v>0</v>
      </c>
      <c r="PCK84" s="79">
        <f t="shared" si="226"/>
        <v>0</v>
      </c>
      <c r="PCL84" s="79">
        <f t="shared" si="226"/>
        <v>0</v>
      </c>
      <c r="PCM84" s="79">
        <f t="shared" si="226"/>
        <v>0</v>
      </c>
      <c r="PCN84" s="79">
        <f t="shared" si="226"/>
        <v>0</v>
      </c>
      <c r="PCO84" s="79">
        <f t="shared" si="226"/>
        <v>0</v>
      </c>
      <c r="PCP84" s="79">
        <f t="shared" si="226"/>
        <v>0</v>
      </c>
      <c r="PCQ84" s="79">
        <f t="shared" si="226"/>
        <v>0</v>
      </c>
      <c r="PCR84" s="79">
        <f t="shared" si="226"/>
        <v>0</v>
      </c>
      <c r="PCS84" s="145" t="s">
        <v>96</v>
      </c>
      <c r="PCV84" s="79">
        <f>PCV18+PCV24+PCV29+PCV30</f>
        <v>0</v>
      </c>
      <c r="PCW84" s="79">
        <f t="shared" si="226"/>
        <v>0</v>
      </c>
      <c r="PCX84" s="79">
        <f t="shared" si="226"/>
        <v>0</v>
      </c>
      <c r="PCY84" s="79">
        <f t="shared" si="226"/>
        <v>0</v>
      </c>
      <c r="PCZ84" s="79">
        <f t="shared" si="226"/>
        <v>0</v>
      </c>
      <c r="PDA84" s="79">
        <f t="shared" si="226"/>
        <v>0</v>
      </c>
      <c r="PDB84" s="79">
        <f t="shared" si="226"/>
        <v>0</v>
      </c>
      <c r="PDC84" s="79">
        <f t="shared" si="226"/>
        <v>0</v>
      </c>
      <c r="PDD84" s="79">
        <f t="shared" si="226"/>
        <v>0</v>
      </c>
      <c r="PDE84" s="79">
        <f t="shared" si="226"/>
        <v>0</v>
      </c>
      <c r="PDF84" s="79">
        <f t="shared" si="226"/>
        <v>0</v>
      </c>
      <c r="PDG84" s="79">
        <f t="shared" si="226"/>
        <v>0</v>
      </c>
      <c r="PDH84" s="79">
        <f t="shared" si="226"/>
        <v>0</v>
      </c>
      <c r="PDI84" s="145" t="s">
        <v>96</v>
      </c>
      <c r="PDL84" s="79">
        <f>PDL18+PDL24+PDL29+PDL30</f>
        <v>0</v>
      </c>
      <c r="PDM84" s="79">
        <f t="shared" si="226"/>
        <v>0</v>
      </c>
      <c r="PDN84" s="79">
        <f t="shared" si="226"/>
        <v>0</v>
      </c>
      <c r="PDO84" s="79">
        <f t="shared" si="226"/>
        <v>0</v>
      </c>
      <c r="PDP84" s="79">
        <f t="shared" si="226"/>
        <v>0</v>
      </c>
      <c r="PDQ84" s="79">
        <f t="shared" si="226"/>
        <v>0</v>
      </c>
      <c r="PDR84" s="79">
        <f t="shared" si="226"/>
        <v>0</v>
      </c>
      <c r="PDS84" s="79">
        <f t="shared" si="226"/>
        <v>0</v>
      </c>
      <c r="PDT84" s="79">
        <f t="shared" si="226"/>
        <v>0</v>
      </c>
      <c r="PDU84" s="79">
        <f t="shared" si="226"/>
        <v>0</v>
      </c>
      <c r="PDV84" s="79">
        <f t="shared" si="226"/>
        <v>0</v>
      </c>
      <c r="PDW84" s="79">
        <f t="shared" si="226"/>
        <v>0</v>
      </c>
      <c r="PDX84" s="79">
        <f t="shared" si="226"/>
        <v>0</v>
      </c>
      <c r="PDY84" s="145" t="s">
        <v>96</v>
      </c>
      <c r="PEB84" s="79">
        <f>PEB18+PEB24+PEB29+PEB30</f>
        <v>0</v>
      </c>
      <c r="PEC84" s="79">
        <f t="shared" ref="PEC84:PGJ84" si="227">PEC18+PEC24+PEC29+PEC30</f>
        <v>0</v>
      </c>
      <c r="PED84" s="79">
        <f t="shared" si="227"/>
        <v>0</v>
      </c>
      <c r="PEE84" s="79">
        <f t="shared" si="227"/>
        <v>0</v>
      </c>
      <c r="PEF84" s="79">
        <f t="shared" si="227"/>
        <v>0</v>
      </c>
      <c r="PEG84" s="79">
        <f t="shared" si="227"/>
        <v>0</v>
      </c>
      <c r="PEH84" s="79">
        <f t="shared" si="227"/>
        <v>0</v>
      </c>
      <c r="PEI84" s="79">
        <f t="shared" si="227"/>
        <v>0</v>
      </c>
      <c r="PEJ84" s="79">
        <f t="shared" si="227"/>
        <v>0</v>
      </c>
      <c r="PEK84" s="79">
        <f t="shared" si="227"/>
        <v>0</v>
      </c>
      <c r="PEL84" s="79">
        <f t="shared" si="227"/>
        <v>0</v>
      </c>
      <c r="PEM84" s="79">
        <f t="shared" si="227"/>
        <v>0</v>
      </c>
      <c r="PEN84" s="79">
        <f t="shared" si="227"/>
        <v>0</v>
      </c>
      <c r="PEO84" s="145" t="s">
        <v>96</v>
      </c>
      <c r="PER84" s="79">
        <f>PER18+PER24+PER29+PER30</f>
        <v>0</v>
      </c>
      <c r="PES84" s="79">
        <f t="shared" si="227"/>
        <v>0</v>
      </c>
      <c r="PET84" s="79">
        <f t="shared" si="227"/>
        <v>0</v>
      </c>
      <c r="PEU84" s="79">
        <f t="shared" si="227"/>
        <v>0</v>
      </c>
      <c r="PEV84" s="79">
        <f t="shared" si="227"/>
        <v>0</v>
      </c>
      <c r="PEW84" s="79">
        <f t="shared" si="227"/>
        <v>0</v>
      </c>
      <c r="PEX84" s="79">
        <f t="shared" si="227"/>
        <v>0</v>
      </c>
      <c r="PEY84" s="79">
        <f t="shared" si="227"/>
        <v>0</v>
      </c>
      <c r="PEZ84" s="79">
        <f t="shared" si="227"/>
        <v>0</v>
      </c>
      <c r="PFA84" s="79">
        <f t="shared" si="227"/>
        <v>0</v>
      </c>
      <c r="PFB84" s="79">
        <f t="shared" si="227"/>
        <v>0</v>
      </c>
      <c r="PFC84" s="79">
        <f t="shared" si="227"/>
        <v>0</v>
      </c>
      <c r="PFD84" s="79">
        <f t="shared" si="227"/>
        <v>0</v>
      </c>
      <c r="PFE84" s="145" t="s">
        <v>96</v>
      </c>
      <c r="PFH84" s="79">
        <f>PFH18+PFH24+PFH29+PFH30</f>
        <v>0</v>
      </c>
      <c r="PFI84" s="79">
        <f t="shared" si="227"/>
        <v>0</v>
      </c>
      <c r="PFJ84" s="79">
        <f t="shared" si="227"/>
        <v>0</v>
      </c>
      <c r="PFK84" s="79">
        <f t="shared" si="227"/>
        <v>0</v>
      </c>
      <c r="PFL84" s="79">
        <f t="shared" si="227"/>
        <v>0</v>
      </c>
      <c r="PFM84" s="79">
        <f t="shared" si="227"/>
        <v>0</v>
      </c>
      <c r="PFN84" s="79">
        <f t="shared" si="227"/>
        <v>0</v>
      </c>
      <c r="PFO84" s="79">
        <f t="shared" si="227"/>
        <v>0</v>
      </c>
      <c r="PFP84" s="79">
        <f t="shared" si="227"/>
        <v>0</v>
      </c>
      <c r="PFQ84" s="79">
        <f t="shared" si="227"/>
        <v>0</v>
      </c>
      <c r="PFR84" s="79">
        <f t="shared" si="227"/>
        <v>0</v>
      </c>
      <c r="PFS84" s="79">
        <f t="shared" si="227"/>
        <v>0</v>
      </c>
      <c r="PFT84" s="79">
        <f t="shared" si="227"/>
        <v>0</v>
      </c>
      <c r="PFU84" s="145" t="s">
        <v>96</v>
      </c>
      <c r="PFX84" s="79">
        <f>PFX18+PFX24+PFX29+PFX30</f>
        <v>0</v>
      </c>
      <c r="PFY84" s="79">
        <f t="shared" si="227"/>
        <v>0</v>
      </c>
      <c r="PFZ84" s="79">
        <f t="shared" si="227"/>
        <v>0</v>
      </c>
      <c r="PGA84" s="79">
        <f t="shared" si="227"/>
        <v>0</v>
      </c>
      <c r="PGB84" s="79">
        <f t="shared" si="227"/>
        <v>0</v>
      </c>
      <c r="PGC84" s="79">
        <f t="shared" si="227"/>
        <v>0</v>
      </c>
      <c r="PGD84" s="79">
        <f t="shared" si="227"/>
        <v>0</v>
      </c>
      <c r="PGE84" s="79">
        <f t="shared" si="227"/>
        <v>0</v>
      </c>
      <c r="PGF84" s="79">
        <f t="shared" si="227"/>
        <v>0</v>
      </c>
      <c r="PGG84" s="79">
        <f t="shared" si="227"/>
        <v>0</v>
      </c>
      <c r="PGH84" s="79">
        <f t="shared" si="227"/>
        <v>0</v>
      </c>
      <c r="PGI84" s="79">
        <f t="shared" si="227"/>
        <v>0</v>
      </c>
      <c r="PGJ84" s="79">
        <f t="shared" si="227"/>
        <v>0</v>
      </c>
      <c r="PGK84" s="145" t="s">
        <v>96</v>
      </c>
      <c r="PGN84" s="79">
        <f>PGN18+PGN24+PGN29+PGN30</f>
        <v>0</v>
      </c>
      <c r="PGO84" s="79">
        <f t="shared" ref="PGO84:PIV84" si="228">PGO18+PGO24+PGO29+PGO30</f>
        <v>0</v>
      </c>
      <c r="PGP84" s="79">
        <f t="shared" si="228"/>
        <v>0</v>
      </c>
      <c r="PGQ84" s="79">
        <f t="shared" si="228"/>
        <v>0</v>
      </c>
      <c r="PGR84" s="79">
        <f t="shared" si="228"/>
        <v>0</v>
      </c>
      <c r="PGS84" s="79">
        <f t="shared" si="228"/>
        <v>0</v>
      </c>
      <c r="PGT84" s="79">
        <f t="shared" si="228"/>
        <v>0</v>
      </c>
      <c r="PGU84" s="79">
        <f t="shared" si="228"/>
        <v>0</v>
      </c>
      <c r="PGV84" s="79">
        <f t="shared" si="228"/>
        <v>0</v>
      </c>
      <c r="PGW84" s="79">
        <f t="shared" si="228"/>
        <v>0</v>
      </c>
      <c r="PGX84" s="79">
        <f t="shared" si="228"/>
        <v>0</v>
      </c>
      <c r="PGY84" s="79">
        <f t="shared" si="228"/>
        <v>0</v>
      </c>
      <c r="PGZ84" s="79">
        <f t="shared" si="228"/>
        <v>0</v>
      </c>
      <c r="PHA84" s="145" t="s">
        <v>96</v>
      </c>
      <c r="PHD84" s="79">
        <f>PHD18+PHD24+PHD29+PHD30</f>
        <v>0</v>
      </c>
      <c r="PHE84" s="79">
        <f t="shared" si="228"/>
        <v>0</v>
      </c>
      <c r="PHF84" s="79">
        <f t="shared" si="228"/>
        <v>0</v>
      </c>
      <c r="PHG84" s="79">
        <f t="shared" si="228"/>
        <v>0</v>
      </c>
      <c r="PHH84" s="79">
        <f t="shared" si="228"/>
        <v>0</v>
      </c>
      <c r="PHI84" s="79">
        <f t="shared" si="228"/>
        <v>0</v>
      </c>
      <c r="PHJ84" s="79">
        <f t="shared" si="228"/>
        <v>0</v>
      </c>
      <c r="PHK84" s="79">
        <f t="shared" si="228"/>
        <v>0</v>
      </c>
      <c r="PHL84" s="79">
        <f t="shared" si="228"/>
        <v>0</v>
      </c>
      <c r="PHM84" s="79">
        <f t="shared" si="228"/>
        <v>0</v>
      </c>
      <c r="PHN84" s="79">
        <f t="shared" si="228"/>
        <v>0</v>
      </c>
      <c r="PHO84" s="79">
        <f t="shared" si="228"/>
        <v>0</v>
      </c>
      <c r="PHP84" s="79">
        <f t="shared" si="228"/>
        <v>0</v>
      </c>
      <c r="PHQ84" s="145" t="s">
        <v>96</v>
      </c>
      <c r="PHT84" s="79">
        <f>PHT18+PHT24+PHT29+PHT30</f>
        <v>0</v>
      </c>
      <c r="PHU84" s="79">
        <f t="shared" si="228"/>
        <v>0</v>
      </c>
      <c r="PHV84" s="79">
        <f t="shared" si="228"/>
        <v>0</v>
      </c>
      <c r="PHW84" s="79">
        <f t="shared" si="228"/>
        <v>0</v>
      </c>
      <c r="PHX84" s="79">
        <f t="shared" si="228"/>
        <v>0</v>
      </c>
      <c r="PHY84" s="79">
        <f t="shared" si="228"/>
        <v>0</v>
      </c>
      <c r="PHZ84" s="79">
        <f t="shared" si="228"/>
        <v>0</v>
      </c>
      <c r="PIA84" s="79">
        <f t="shared" si="228"/>
        <v>0</v>
      </c>
      <c r="PIB84" s="79">
        <f t="shared" si="228"/>
        <v>0</v>
      </c>
      <c r="PIC84" s="79">
        <f t="shared" si="228"/>
        <v>0</v>
      </c>
      <c r="PID84" s="79">
        <f t="shared" si="228"/>
        <v>0</v>
      </c>
      <c r="PIE84" s="79">
        <f t="shared" si="228"/>
        <v>0</v>
      </c>
      <c r="PIF84" s="79">
        <f t="shared" si="228"/>
        <v>0</v>
      </c>
      <c r="PIG84" s="145" t="s">
        <v>96</v>
      </c>
      <c r="PIJ84" s="79">
        <f>PIJ18+PIJ24+PIJ29+PIJ30</f>
        <v>0</v>
      </c>
      <c r="PIK84" s="79">
        <f t="shared" si="228"/>
        <v>0</v>
      </c>
      <c r="PIL84" s="79">
        <f t="shared" si="228"/>
        <v>0</v>
      </c>
      <c r="PIM84" s="79">
        <f t="shared" si="228"/>
        <v>0</v>
      </c>
      <c r="PIN84" s="79">
        <f t="shared" si="228"/>
        <v>0</v>
      </c>
      <c r="PIO84" s="79">
        <f t="shared" si="228"/>
        <v>0</v>
      </c>
      <c r="PIP84" s="79">
        <f t="shared" si="228"/>
        <v>0</v>
      </c>
      <c r="PIQ84" s="79">
        <f t="shared" si="228"/>
        <v>0</v>
      </c>
      <c r="PIR84" s="79">
        <f t="shared" si="228"/>
        <v>0</v>
      </c>
      <c r="PIS84" s="79">
        <f t="shared" si="228"/>
        <v>0</v>
      </c>
      <c r="PIT84" s="79">
        <f t="shared" si="228"/>
        <v>0</v>
      </c>
      <c r="PIU84" s="79">
        <f t="shared" si="228"/>
        <v>0</v>
      </c>
      <c r="PIV84" s="79">
        <f t="shared" si="228"/>
        <v>0</v>
      </c>
      <c r="PIW84" s="145" t="s">
        <v>96</v>
      </c>
      <c r="PIZ84" s="79">
        <f>PIZ18+PIZ24+PIZ29+PIZ30</f>
        <v>0</v>
      </c>
      <c r="PJA84" s="79">
        <f t="shared" ref="PJA84:PLH84" si="229">PJA18+PJA24+PJA29+PJA30</f>
        <v>0</v>
      </c>
      <c r="PJB84" s="79">
        <f t="shared" si="229"/>
        <v>0</v>
      </c>
      <c r="PJC84" s="79">
        <f t="shared" si="229"/>
        <v>0</v>
      </c>
      <c r="PJD84" s="79">
        <f t="shared" si="229"/>
        <v>0</v>
      </c>
      <c r="PJE84" s="79">
        <f t="shared" si="229"/>
        <v>0</v>
      </c>
      <c r="PJF84" s="79">
        <f t="shared" si="229"/>
        <v>0</v>
      </c>
      <c r="PJG84" s="79">
        <f t="shared" si="229"/>
        <v>0</v>
      </c>
      <c r="PJH84" s="79">
        <f t="shared" si="229"/>
        <v>0</v>
      </c>
      <c r="PJI84" s="79">
        <f t="shared" si="229"/>
        <v>0</v>
      </c>
      <c r="PJJ84" s="79">
        <f t="shared" si="229"/>
        <v>0</v>
      </c>
      <c r="PJK84" s="79">
        <f t="shared" si="229"/>
        <v>0</v>
      </c>
      <c r="PJL84" s="79">
        <f t="shared" si="229"/>
        <v>0</v>
      </c>
      <c r="PJM84" s="145" t="s">
        <v>96</v>
      </c>
      <c r="PJP84" s="79">
        <f>PJP18+PJP24+PJP29+PJP30</f>
        <v>0</v>
      </c>
      <c r="PJQ84" s="79">
        <f t="shared" si="229"/>
        <v>0</v>
      </c>
      <c r="PJR84" s="79">
        <f t="shared" si="229"/>
        <v>0</v>
      </c>
      <c r="PJS84" s="79">
        <f t="shared" si="229"/>
        <v>0</v>
      </c>
      <c r="PJT84" s="79">
        <f t="shared" si="229"/>
        <v>0</v>
      </c>
      <c r="PJU84" s="79">
        <f t="shared" si="229"/>
        <v>0</v>
      </c>
      <c r="PJV84" s="79">
        <f t="shared" si="229"/>
        <v>0</v>
      </c>
      <c r="PJW84" s="79">
        <f t="shared" si="229"/>
        <v>0</v>
      </c>
      <c r="PJX84" s="79">
        <f t="shared" si="229"/>
        <v>0</v>
      </c>
      <c r="PJY84" s="79">
        <f t="shared" si="229"/>
        <v>0</v>
      </c>
      <c r="PJZ84" s="79">
        <f t="shared" si="229"/>
        <v>0</v>
      </c>
      <c r="PKA84" s="79">
        <f t="shared" si="229"/>
        <v>0</v>
      </c>
      <c r="PKB84" s="79">
        <f t="shared" si="229"/>
        <v>0</v>
      </c>
      <c r="PKC84" s="145" t="s">
        <v>96</v>
      </c>
      <c r="PKF84" s="79">
        <f>PKF18+PKF24+PKF29+PKF30</f>
        <v>0</v>
      </c>
      <c r="PKG84" s="79">
        <f t="shared" si="229"/>
        <v>0</v>
      </c>
      <c r="PKH84" s="79">
        <f t="shared" si="229"/>
        <v>0</v>
      </c>
      <c r="PKI84" s="79">
        <f t="shared" si="229"/>
        <v>0</v>
      </c>
      <c r="PKJ84" s="79">
        <f t="shared" si="229"/>
        <v>0</v>
      </c>
      <c r="PKK84" s="79">
        <f t="shared" si="229"/>
        <v>0</v>
      </c>
      <c r="PKL84" s="79">
        <f t="shared" si="229"/>
        <v>0</v>
      </c>
      <c r="PKM84" s="79">
        <f t="shared" si="229"/>
        <v>0</v>
      </c>
      <c r="PKN84" s="79">
        <f t="shared" si="229"/>
        <v>0</v>
      </c>
      <c r="PKO84" s="79">
        <f t="shared" si="229"/>
        <v>0</v>
      </c>
      <c r="PKP84" s="79">
        <f t="shared" si="229"/>
        <v>0</v>
      </c>
      <c r="PKQ84" s="79">
        <f t="shared" si="229"/>
        <v>0</v>
      </c>
      <c r="PKR84" s="79">
        <f t="shared" si="229"/>
        <v>0</v>
      </c>
      <c r="PKS84" s="145" t="s">
        <v>96</v>
      </c>
      <c r="PKV84" s="79">
        <f>PKV18+PKV24+PKV29+PKV30</f>
        <v>0</v>
      </c>
      <c r="PKW84" s="79">
        <f t="shared" si="229"/>
        <v>0</v>
      </c>
      <c r="PKX84" s="79">
        <f t="shared" si="229"/>
        <v>0</v>
      </c>
      <c r="PKY84" s="79">
        <f t="shared" si="229"/>
        <v>0</v>
      </c>
      <c r="PKZ84" s="79">
        <f t="shared" si="229"/>
        <v>0</v>
      </c>
      <c r="PLA84" s="79">
        <f t="shared" si="229"/>
        <v>0</v>
      </c>
      <c r="PLB84" s="79">
        <f t="shared" si="229"/>
        <v>0</v>
      </c>
      <c r="PLC84" s="79">
        <f t="shared" si="229"/>
        <v>0</v>
      </c>
      <c r="PLD84" s="79">
        <f t="shared" si="229"/>
        <v>0</v>
      </c>
      <c r="PLE84" s="79">
        <f t="shared" si="229"/>
        <v>0</v>
      </c>
      <c r="PLF84" s="79">
        <f t="shared" si="229"/>
        <v>0</v>
      </c>
      <c r="PLG84" s="79">
        <f t="shared" si="229"/>
        <v>0</v>
      </c>
      <c r="PLH84" s="79">
        <f t="shared" si="229"/>
        <v>0</v>
      </c>
      <c r="PLI84" s="145" t="s">
        <v>96</v>
      </c>
      <c r="PLL84" s="79">
        <f>PLL18+PLL24+PLL29+PLL30</f>
        <v>0</v>
      </c>
      <c r="PLM84" s="79">
        <f t="shared" ref="PLM84:PNT84" si="230">PLM18+PLM24+PLM29+PLM30</f>
        <v>0</v>
      </c>
      <c r="PLN84" s="79">
        <f t="shared" si="230"/>
        <v>0</v>
      </c>
      <c r="PLO84" s="79">
        <f t="shared" si="230"/>
        <v>0</v>
      </c>
      <c r="PLP84" s="79">
        <f t="shared" si="230"/>
        <v>0</v>
      </c>
      <c r="PLQ84" s="79">
        <f t="shared" si="230"/>
        <v>0</v>
      </c>
      <c r="PLR84" s="79">
        <f t="shared" si="230"/>
        <v>0</v>
      </c>
      <c r="PLS84" s="79">
        <f t="shared" si="230"/>
        <v>0</v>
      </c>
      <c r="PLT84" s="79">
        <f t="shared" si="230"/>
        <v>0</v>
      </c>
      <c r="PLU84" s="79">
        <f t="shared" si="230"/>
        <v>0</v>
      </c>
      <c r="PLV84" s="79">
        <f t="shared" si="230"/>
        <v>0</v>
      </c>
      <c r="PLW84" s="79">
        <f t="shared" si="230"/>
        <v>0</v>
      </c>
      <c r="PLX84" s="79">
        <f t="shared" si="230"/>
        <v>0</v>
      </c>
      <c r="PLY84" s="145" t="s">
        <v>96</v>
      </c>
      <c r="PMB84" s="79">
        <f>PMB18+PMB24+PMB29+PMB30</f>
        <v>0</v>
      </c>
      <c r="PMC84" s="79">
        <f t="shared" si="230"/>
        <v>0</v>
      </c>
      <c r="PMD84" s="79">
        <f t="shared" si="230"/>
        <v>0</v>
      </c>
      <c r="PME84" s="79">
        <f t="shared" si="230"/>
        <v>0</v>
      </c>
      <c r="PMF84" s="79">
        <f t="shared" si="230"/>
        <v>0</v>
      </c>
      <c r="PMG84" s="79">
        <f t="shared" si="230"/>
        <v>0</v>
      </c>
      <c r="PMH84" s="79">
        <f t="shared" si="230"/>
        <v>0</v>
      </c>
      <c r="PMI84" s="79">
        <f t="shared" si="230"/>
        <v>0</v>
      </c>
      <c r="PMJ84" s="79">
        <f t="shared" si="230"/>
        <v>0</v>
      </c>
      <c r="PMK84" s="79">
        <f t="shared" si="230"/>
        <v>0</v>
      </c>
      <c r="PML84" s="79">
        <f t="shared" si="230"/>
        <v>0</v>
      </c>
      <c r="PMM84" s="79">
        <f t="shared" si="230"/>
        <v>0</v>
      </c>
      <c r="PMN84" s="79">
        <f t="shared" si="230"/>
        <v>0</v>
      </c>
      <c r="PMO84" s="145" t="s">
        <v>96</v>
      </c>
      <c r="PMR84" s="79">
        <f>PMR18+PMR24+PMR29+PMR30</f>
        <v>0</v>
      </c>
      <c r="PMS84" s="79">
        <f t="shared" si="230"/>
        <v>0</v>
      </c>
      <c r="PMT84" s="79">
        <f t="shared" si="230"/>
        <v>0</v>
      </c>
      <c r="PMU84" s="79">
        <f t="shared" si="230"/>
        <v>0</v>
      </c>
      <c r="PMV84" s="79">
        <f t="shared" si="230"/>
        <v>0</v>
      </c>
      <c r="PMW84" s="79">
        <f t="shared" si="230"/>
        <v>0</v>
      </c>
      <c r="PMX84" s="79">
        <f t="shared" si="230"/>
        <v>0</v>
      </c>
      <c r="PMY84" s="79">
        <f t="shared" si="230"/>
        <v>0</v>
      </c>
      <c r="PMZ84" s="79">
        <f t="shared" si="230"/>
        <v>0</v>
      </c>
      <c r="PNA84" s="79">
        <f t="shared" si="230"/>
        <v>0</v>
      </c>
      <c r="PNB84" s="79">
        <f t="shared" si="230"/>
        <v>0</v>
      </c>
      <c r="PNC84" s="79">
        <f t="shared" si="230"/>
        <v>0</v>
      </c>
      <c r="PND84" s="79">
        <f t="shared" si="230"/>
        <v>0</v>
      </c>
      <c r="PNE84" s="145" t="s">
        <v>96</v>
      </c>
      <c r="PNH84" s="79">
        <f>PNH18+PNH24+PNH29+PNH30</f>
        <v>0</v>
      </c>
      <c r="PNI84" s="79">
        <f t="shared" si="230"/>
        <v>0</v>
      </c>
      <c r="PNJ84" s="79">
        <f t="shared" si="230"/>
        <v>0</v>
      </c>
      <c r="PNK84" s="79">
        <f t="shared" si="230"/>
        <v>0</v>
      </c>
      <c r="PNL84" s="79">
        <f t="shared" si="230"/>
        <v>0</v>
      </c>
      <c r="PNM84" s="79">
        <f t="shared" si="230"/>
        <v>0</v>
      </c>
      <c r="PNN84" s="79">
        <f t="shared" si="230"/>
        <v>0</v>
      </c>
      <c r="PNO84" s="79">
        <f t="shared" si="230"/>
        <v>0</v>
      </c>
      <c r="PNP84" s="79">
        <f t="shared" si="230"/>
        <v>0</v>
      </c>
      <c r="PNQ84" s="79">
        <f t="shared" si="230"/>
        <v>0</v>
      </c>
      <c r="PNR84" s="79">
        <f t="shared" si="230"/>
        <v>0</v>
      </c>
      <c r="PNS84" s="79">
        <f t="shared" si="230"/>
        <v>0</v>
      </c>
      <c r="PNT84" s="79">
        <f t="shared" si="230"/>
        <v>0</v>
      </c>
      <c r="PNU84" s="145" t="s">
        <v>96</v>
      </c>
      <c r="PNX84" s="79">
        <f>PNX18+PNX24+PNX29+PNX30</f>
        <v>0</v>
      </c>
      <c r="PNY84" s="79">
        <f t="shared" ref="PNY84:PQF84" si="231">PNY18+PNY24+PNY29+PNY30</f>
        <v>0</v>
      </c>
      <c r="PNZ84" s="79">
        <f t="shared" si="231"/>
        <v>0</v>
      </c>
      <c r="POA84" s="79">
        <f t="shared" si="231"/>
        <v>0</v>
      </c>
      <c r="POB84" s="79">
        <f t="shared" si="231"/>
        <v>0</v>
      </c>
      <c r="POC84" s="79">
        <f t="shared" si="231"/>
        <v>0</v>
      </c>
      <c r="POD84" s="79">
        <f t="shared" si="231"/>
        <v>0</v>
      </c>
      <c r="POE84" s="79">
        <f t="shared" si="231"/>
        <v>0</v>
      </c>
      <c r="POF84" s="79">
        <f t="shared" si="231"/>
        <v>0</v>
      </c>
      <c r="POG84" s="79">
        <f t="shared" si="231"/>
        <v>0</v>
      </c>
      <c r="POH84" s="79">
        <f t="shared" si="231"/>
        <v>0</v>
      </c>
      <c r="POI84" s="79">
        <f t="shared" si="231"/>
        <v>0</v>
      </c>
      <c r="POJ84" s="79">
        <f t="shared" si="231"/>
        <v>0</v>
      </c>
      <c r="POK84" s="145" t="s">
        <v>96</v>
      </c>
      <c r="PON84" s="79">
        <f>PON18+PON24+PON29+PON30</f>
        <v>0</v>
      </c>
      <c r="POO84" s="79">
        <f t="shared" si="231"/>
        <v>0</v>
      </c>
      <c r="POP84" s="79">
        <f t="shared" si="231"/>
        <v>0</v>
      </c>
      <c r="POQ84" s="79">
        <f t="shared" si="231"/>
        <v>0</v>
      </c>
      <c r="POR84" s="79">
        <f t="shared" si="231"/>
        <v>0</v>
      </c>
      <c r="POS84" s="79">
        <f t="shared" si="231"/>
        <v>0</v>
      </c>
      <c r="POT84" s="79">
        <f t="shared" si="231"/>
        <v>0</v>
      </c>
      <c r="POU84" s="79">
        <f t="shared" si="231"/>
        <v>0</v>
      </c>
      <c r="POV84" s="79">
        <f t="shared" si="231"/>
        <v>0</v>
      </c>
      <c r="POW84" s="79">
        <f t="shared" si="231"/>
        <v>0</v>
      </c>
      <c r="POX84" s="79">
        <f t="shared" si="231"/>
        <v>0</v>
      </c>
      <c r="POY84" s="79">
        <f t="shared" si="231"/>
        <v>0</v>
      </c>
      <c r="POZ84" s="79">
        <f t="shared" si="231"/>
        <v>0</v>
      </c>
      <c r="PPA84" s="145" t="s">
        <v>96</v>
      </c>
      <c r="PPD84" s="79">
        <f>PPD18+PPD24+PPD29+PPD30</f>
        <v>0</v>
      </c>
      <c r="PPE84" s="79">
        <f t="shared" si="231"/>
        <v>0</v>
      </c>
      <c r="PPF84" s="79">
        <f t="shared" si="231"/>
        <v>0</v>
      </c>
      <c r="PPG84" s="79">
        <f t="shared" si="231"/>
        <v>0</v>
      </c>
      <c r="PPH84" s="79">
        <f t="shared" si="231"/>
        <v>0</v>
      </c>
      <c r="PPI84" s="79">
        <f t="shared" si="231"/>
        <v>0</v>
      </c>
      <c r="PPJ84" s="79">
        <f t="shared" si="231"/>
        <v>0</v>
      </c>
      <c r="PPK84" s="79">
        <f t="shared" si="231"/>
        <v>0</v>
      </c>
      <c r="PPL84" s="79">
        <f t="shared" si="231"/>
        <v>0</v>
      </c>
      <c r="PPM84" s="79">
        <f t="shared" si="231"/>
        <v>0</v>
      </c>
      <c r="PPN84" s="79">
        <f t="shared" si="231"/>
        <v>0</v>
      </c>
      <c r="PPO84" s="79">
        <f t="shared" si="231"/>
        <v>0</v>
      </c>
      <c r="PPP84" s="79">
        <f t="shared" si="231"/>
        <v>0</v>
      </c>
      <c r="PPQ84" s="145" t="s">
        <v>96</v>
      </c>
      <c r="PPT84" s="79">
        <f>PPT18+PPT24+PPT29+PPT30</f>
        <v>0</v>
      </c>
      <c r="PPU84" s="79">
        <f t="shared" si="231"/>
        <v>0</v>
      </c>
      <c r="PPV84" s="79">
        <f t="shared" si="231"/>
        <v>0</v>
      </c>
      <c r="PPW84" s="79">
        <f t="shared" si="231"/>
        <v>0</v>
      </c>
      <c r="PPX84" s="79">
        <f t="shared" si="231"/>
        <v>0</v>
      </c>
      <c r="PPY84" s="79">
        <f t="shared" si="231"/>
        <v>0</v>
      </c>
      <c r="PPZ84" s="79">
        <f t="shared" si="231"/>
        <v>0</v>
      </c>
      <c r="PQA84" s="79">
        <f t="shared" si="231"/>
        <v>0</v>
      </c>
      <c r="PQB84" s="79">
        <f t="shared" si="231"/>
        <v>0</v>
      </c>
      <c r="PQC84" s="79">
        <f t="shared" si="231"/>
        <v>0</v>
      </c>
      <c r="PQD84" s="79">
        <f t="shared" si="231"/>
        <v>0</v>
      </c>
      <c r="PQE84" s="79">
        <f t="shared" si="231"/>
        <v>0</v>
      </c>
      <c r="PQF84" s="79">
        <f t="shared" si="231"/>
        <v>0</v>
      </c>
      <c r="PQG84" s="145" t="s">
        <v>96</v>
      </c>
      <c r="PQJ84" s="79">
        <f>PQJ18+PQJ24+PQJ29+PQJ30</f>
        <v>0</v>
      </c>
      <c r="PQK84" s="79">
        <f t="shared" ref="PQK84:PSR84" si="232">PQK18+PQK24+PQK29+PQK30</f>
        <v>0</v>
      </c>
      <c r="PQL84" s="79">
        <f t="shared" si="232"/>
        <v>0</v>
      </c>
      <c r="PQM84" s="79">
        <f t="shared" si="232"/>
        <v>0</v>
      </c>
      <c r="PQN84" s="79">
        <f t="shared" si="232"/>
        <v>0</v>
      </c>
      <c r="PQO84" s="79">
        <f t="shared" si="232"/>
        <v>0</v>
      </c>
      <c r="PQP84" s="79">
        <f t="shared" si="232"/>
        <v>0</v>
      </c>
      <c r="PQQ84" s="79">
        <f t="shared" si="232"/>
        <v>0</v>
      </c>
      <c r="PQR84" s="79">
        <f t="shared" si="232"/>
        <v>0</v>
      </c>
      <c r="PQS84" s="79">
        <f t="shared" si="232"/>
        <v>0</v>
      </c>
      <c r="PQT84" s="79">
        <f t="shared" si="232"/>
        <v>0</v>
      </c>
      <c r="PQU84" s="79">
        <f t="shared" si="232"/>
        <v>0</v>
      </c>
      <c r="PQV84" s="79">
        <f t="shared" si="232"/>
        <v>0</v>
      </c>
      <c r="PQW84" s="145" t="s">
        <v>96</v>
      </c>
      <c r="PQZ84" s="79">
        <f>PQZ18+PQZ24+PQZ29+PQZ30</f>
        <v>0</v>
      </c>
      <c r="PRA84" s="79">
        <f t="shared" si="232"/>
        <v>0</v>
      </c>
      <c r="PRB84" s="79">
        <f t="shared" si="232"/>
        <v>0</v>
      </c>
      <c r="PRC84" s="79">
        <f t="shared" si="232"/>
        <v>0</v>
      </c>
      <c r="PRD84" s="79">
        <f t="shared" si="232"/>
        <v>0</v>
      </c>
      <c r="PRE84" s="79">
        <f t="shared" si="232"/>
        <v>0</v>
      </c>
      <c r="PRF84" s="79">
        <f t="shared" si="232"/>
        <v>0</v>
      </c>
      <c r="PRG84" s="79">
        <f t="shared" si="232"/>
        <v>0</v>
      </c>
      <c r="PRH84" s="79">
        <f t="shared" si="232"/>
        <v>0</v>
      </c>
      <c r="PRI84" s="79">
        <f t="shared" si="232"/>
        <v>0</v>
      </c>
      <c r="PRJ84" s="79">
        <f t="shared" si="232"/>
        <v>0</v>
      </c>
      <c r="PRK84" s="79">
        <f t="shared" si="232"/>
        <v>0</v>
      </c>
      <c r="PRL84" s="79">
        <f t="shared" si="232"/>
        <v>0</v>
      </c>
      <c r="PRM84" s="145" t="s">
        <v>96</v>
      </c>
      <c r="PRP84" s="79">
        <f>PRP18+PRP24+PRP29+PRP30</f>
        <v>0</v>
      </c>
      <c r="PRQ84" s="79">
        <f t="shared" si="232"/>
        <v>0</v>
      </c>
      <c r="PRR84" s="79">
        <f t="shared" si="232"/>
        <v>0</v>
      </c>
      <c r="PRS84" s="79">
        <f t="shared" si="232"/>
        <v>0</v>
      </c>
      <c r="PRT84" s="79">
        <f t="shared" si="232"/>
        <v>0</v>
      </c>
      <c r="PRU84" s="79">
        <f t="shared" si="232"/>
        <v>0</v>
      </c>
      <c r="PRV84" s="79">
        <f t="shared" si="232"/>
        <v>0</v>
      </c>
      <c r="PRW84" s="79">
        <f t="shared" si="232"/>
        <v>0</v>
      </c>
      <c r="PRX84" s="79">
        <f t="shared" si="232"/>
        <v>0</v>
      </c>
      <c r="PRY84" s="79">
        <f t="shared" si="232"/>
        <v>0</v>
      </c>
      <c r="PRZ84" s="79">
        <f t="shared" si="232"/>
        <v>0</v>
      </c>
      <c r="PSA84" s="79">
        <f t="shared" si="232"/>
        <v>0</v>
      </c>
      <c r="PSB84" s="79">
        <f t="shared" si="232"/>
        <v>0</v>
      </c>
      <c r="PSC84" s="145" t="s">
        <v>96</v>
      </c>
      <c r="PSF84" s="79">
        <f>PSF18+PSF24+PSF29+PSF30</f>
        <v>0</v>
      </c>
      <c r="PSG84" s="79">
        <f t="shared" si="232"/>
        <v>0</v>
      </c>
      <c r="PSH84" s="79">
        <f t="shared" si="232"/>
        <v>0</v>
      </c>
      <c r="PSI84" s="79">
        <f t="shared" si="232"/>
        <v>0</v>
      </c>
      <c r="PSJ84" s="79">
        <f t="shared" si="232"/>
        <v>0</v>
      </c>
      <c r="PSK84" s="79">
        <f t="shared" si="232"/>
        <v>0</v>
      </c>
      <c r="PSL84" s="79">
        <f t="shared" si="232"/>
        <v>0</v>
      </c>
      <c r="PSM84" s="79">
        <f t="shared" si="232"/>
        <v>0</v>
      </c>
      <c r="PSN84" s="79">
        <f t="shared" si="232"/>
        <v>0</v>
      </c>
      <c r="PSO84" s="79">
        <f t="shared" si="232"/>
        <v>0</v>
      </c>
      <c r="PSP84" s="79">
        <f t="shared" si="232"/>
        <v>0</v>
      </c>
      <c r="PSQ84" s="79">
        <f t="shared" si="232"/>
        <v>0</v>
      </c>
      <c r="PSR84" s="79">
        <f t="shared" si="232"/>
        <v>0</v>
      </c>
      <c r="PSS84" s="145" t="s">
        <v>96</v>
      </c>
      <c r="PSV84" s="79">
        <f>PSV18+PSV24+PSV29+PSV30</f>
        <v>0</v>
      </c>
      <c r="PSW84" s="79">
        <f t="shared" ref="PSW84:PVD84" si="233">PSW18+PSW24+PSW29+PSW30</f>
        <v>0</v>
      </c>
      <c r="PSX84" s="79">
        <f t="shared" si="233"/>
        <v>0</v>
      </c>
      <c r="PSY84" s="79">
        <f t="shared" si="233"/>
        <v>0</v>
      </c>
      <c r="PSZ84" s="79">
        <f t="shared" si="233"/>
        <v>0</v>
      </c>
      <c r="PTA84" s="79">
        <f t="shared" si="233"/>
        <v>0</v>
      </c>
      <c r="PTB84" s="79">
        <f t="shared" si="233"/>
        <v>0</v>
      </c>
      <c r="PTC84" s="79">
        <f t="shared" si="233"/>
        <v>0</v>
      </c>
      <c r="PTD84" s="79">
        <f t="shared" si="233"/>
        <v>0</v>
      </c>
      <c r="PTE84" s="79">
        <f t="shared" si="233"/>
        <v>0</v>
      </c>
      <c r="PTF84" s="79">
        <f t="shared" si="233"/>
        <v>0</v>
      </c>
      <c r="PTG84" s="79">
        <f t="shared" si="233"/>
        <v>0</v>
      </c>
      <c r="PTH84" s="79">
        <f t="shared" si="233"/>
        <v>0</v>
      </c>
      <c r="PTI84" s="145" t="s">
        <v>96</v>
      </c>
      <c r="PTL84" s="79">
        <f>PTL18+PTL24+PTL29+PTL30</f>
        <v>0</v>
      </c>
      <c r="PTM84" s="79">
        <f t="shared" si="233"/>
        <v>0</v>
      </c>
      <c r="PTN84" s="79">
        <f t="shared" si="233"/>
        <v>0</v>
      </c>
      <c r="PTO84" s="79">
        <f t="shared" si="233"/>
        <v>0</v>
      </c>
      <c r="PTP84" s="79">
        <f t="shared" si="233"/>
        <v>0</v>
      </c>
      <c r="PTQ84" s="79">
        <f t="shared" si="233"/>
        <v>0</v>
      </c>
      <c r="PTR84" s="79">
        <f t="shared" si="233"/>
        <v>0</v>
      </c>
      <c r="PTS84" s="79">
        <f t="shared" si="233"/>
        <v>0</v>
      </c>
      <c r="PTT84" s="79">
        <f t="shared" si="233"/>
        <v>0</v>
      </c>
      <c r="PTU84" s="79">
        <f t="shared" si="233"/>
        <v>0</v>
      </c>
      <c r="PTV84" s="79">
        <f t="shared" si="233"/>
        <v>0</v>
      </c>
      <c r="PTW84" s="79">
        <f t="shared" si="233"/>
        <v>0</v>
      </c>
      <c r="PTX84" s="79">
        <f t="shared" si="233"/>
        <v>0</v>
      </c>
      <c r="PTY84" s="145" t="s">
        <v>96</v>
      </c>
      <c r="PUB84" s="79">
        <f>PUB18+PUB24+PUB29+PUB30</f>
        <v>0</v>
      </c>
      <c r="PUC84" s="79">
        <f t="shared" si="233"/>
        <v>0</v>
      </c>
      <c r="PUD84" s="79">
        <f t="shared" si="233"/>
        <v>0</v>
      </c>
      <c r="PUE84" s="79">
        <f t="shared" si="233"/>
        <v>0</v>
      </c>
      <c r="PUF84" s="79">
        <f t="shared" si="233"/>
        <v>0</v>
      </c>
      <c r="PUG84" s="79">
        <f t="shared" si="233"/>
        <v>0</v>
      </c>
      <c r="PUH84" s="79">
        <f t="shared" si="233"/>
        <v>0</v>
      </c>
      <c r="PUI84" s="79">
        <f t="shared" si="233"/>
        <v>0</v>
      </c>
      <c r="PUJ84" s="79">
        <f t="shared" si="233"/>
        <v>0</v>
      </c>
      <c r="PUK84" s="79">
        <f t="shared" si="233"/>
        <v>0</v>
      </c>
      <c r="PUL84" s="79">
        <f t="shared" si="233"/>
        <v>0</v>
      </c>
      <c r="PUM84" s="79">
        <f t="shared" si="233"/>
        <v>0</v>
      </c>
      <c r="PUN84" s="79">
        <f t="shared" si="233"/>
        <v>0</v>
      </c>
      <c r="PUO84" s="145" t="s">
        <v>96</v>
      </c>
      <c r="PUR84" s="79">
        <f>PUR18+PUR24+PUR29+PUR30</f>
        <v>0</v>
      </c>
      <c r="PUS84" s="79">
        <f t="shared" si="233"/>
        <v>0</v>
      </c>
      <c r="PUT84" s="79">
        <f t="shared" si="233"/>
        <v>0</v>
      </c>
      <c r="PUU84" s="79">
        <f t="shared" si="233"/>
        <v>0</v>
      </c>
      <c r="PUV84" s="79">
        <f t="shared" si="233"/>
        <v>0</v>
      </c>
      <c r="PUW84" s="79">
        <f t="shared" si="233"/>
        <v>0</v>
      </c>
      <c r="PUX84" s="79">
        <f t="shared" si="233"/>
        <v>0</v>
      </c>
      <c r="PUY84" s="79">
        <f t="shared" si="233"/>
        <v>0</v>
      </c>
      <c r="PUZ84" s="79">
        <f t="shared" si="233"/>
        <v>0</v>
      </c>
      <c r="PVA84" s="79">
        <f t="shared" si="233"/>
        <v>0</v>
      </c>
      <c r="PVB84" s="79">
        <f t="shared" si="233"/>
        <v>0</v>
      </c>
      <c r="PVC84" s="79">
        <f t="shared" si="233"/>
        <v>0</v>
      </c>
      <c r="PVD84" s="79">
        <f t="shared" si="233"/>
        <v>0</v>
      </c>
      <c r="PVE84" s="145" t="s">
        <v>96</v>
      </c>
      <c r="PVH84" s="79">
        <f>PVH18+PVH24+PVH29+PVH30</f>
        <v>0</v>
      </c>
      <c r="PVI84" s="79">
        <f t="shared" ref="PVI84:PXP84" si="234">PVI18+PVI24+PVI29+PVI30</f>
        <v>0</v>
      </c>
      <c r="PVJ84" s="79">
        <f t="shared" si="234"/>
        <v>0</v>
      </c>
      <c r="PVK84" s="79">
        <f t="shared" si="234"/>
        <v>0</v>
      </c>
      <c r="PVL84" s="79">
        <f t="shared" si="234"/>
        <v>0</v>
      </c>
      <c r="PVM84" s="79">
        <f t="shared" si="234"/>
        <v>0</v>
      </c>
      <c r="PVN84" s="79">
        <f t="shared" si="234"/>
        <v>0</v>
      </c>
      <c r="PVO84" s="79">
        <f t="shared" si="234"/>
        <v>0</v>
      </c>
      <c r="PVP84" s="79">
        <f t="shared" si="234"/>
        <v>0</v>
      </c>
      <c r="PVQ84" s="79">
        <f t="shared" si="234"/>
        <v>0</v>
      </c>
      <c r="PVR84" s="79">
        <f t="shared" si="234"/>
        <v>0</v>
      </c>
      <c r="PVS84" s="79">
        <f t="shared" si="234"/>
        <v>0</v>
      </c>
      <c r="PVT84" s="79">
        <f t="shared" si="234"/>
        <v>0</v>
      </c>
      <c r="PVU84" s="145" t="s">
        <v>96</v>
      </c>
      <c r="PVX84" s="79">
        <f>PVX18+PVX24+PVX29+PVX30</f>
        <v>0</v>
      </c>
      <c r="PVY84" s="79">
        <f t="shared" si="234"/>
        <v>0</v>
      </c>
      <c r="PVZ84" s="79">
        <f t="shared" si="234"/>
        <v>0</v>
      </c>
      <c r="PWA84" s="79">
        <f t="shared" si="234"/>
        <v>0</v>
      </c>
      <c r="PWB84" s="79">
        <f t="shared" si="234"/>
        <v>0</v>
      </c>
      <c r="PWC84" s="79">
        <f t="shared" si="234"/>
        <v>0</v>
      </c>
      <c r="PWD84" s="79">
        <f t="shared" si="234"/>
        <v>0</v>
      </c>
      <c r="PWE84" s="79">
        <f t="shared" si="234"/>
        <v>0</v>
      </c>
      <c r="PWF84" s="79">
        <f t="shared" si="234"/>
        <v>0</v>
      </c>
      <c r="PWG84" s="79">
        <f t="shared" si="234"/>
        <v>0</v>
      </c>
      <c r="PWH84" s="79">
        <f t="shared" si="234"/>
        <v>0</v>
      </c>
      <c r="PWI84" s="79">
        <f t="shared" si="234"/>
        <v>0</v>
      </c>
      <c r="PWJ84" s="79">
        <f t="shared" si="234"/>
        <v>0</v>
      </c>
      <c r="PWK84" s="145" t="s">
        <v>96</v>
      </c>
      <c r="PWN84" s="79">
        <f>PWN18+PWN24+PWN29+PWN30</f>
        <v>0</v>
      </c>
      <c r="PWO84" s="79">
        <f t="shared" si="234"/>
        <v>0</v>
      </c>
      <c r="PWP84" s="79">
        <f t="shared" si="234"/>
        <v>0</v>
      </c>
      <c r="PWQ84" s="79">
        <f t="shared" si="234"/>
        <v>0</v>
      </c>
      <c r="PWR84" s="79">
        <f t="shared" si="234"/>
        <v>0</v>
      </c>
      <c r="PWS84" s="79">
        <f t="shared" si="234"/>
        <v>0</v>
      </c>
      <c r="PWT84" s="79">
        <f t="shared" si="234"/>
        <v>0</v>
      </c>
      <c r="PWU84" s="79">
        <f t="shared" si="234"/>
        <v>0</v>
      </c>
      <c r="PWV84" s="79">
        <f t="shared" si="234"/>
        <v>0</v>
      </c>
      <c r="PWW84" s="79">
        <f t="shared" si="234"/>
        <v>0</v>
      </c>
      <c r="PWX84" s="79">
        <f t="shared" si="234"/>
        <v>0</v>
      </c>
      <c r="PWY84" s="79">
        <f t="shared" si="234"/>
        <v>0</v>
      </c>
      <c r="PWZ84" s="79">
        <f t="shared" si="234"/>
        <v>0</v>
      </c>
      <c r="PXA84" s="145" t="s">
        <v>96</v>
      </c>
      <c r="PXD84" s="79">
        <f>PXD18+PXD24+PXD29+PXD30</f>
        <v>0</v>
      </c>
      <c r="PXE84" s="79">
        <f t="shared" si="234"/>
        <v>0</v>
      </c>
      <c r="PXF84" s="79">
        <f t="shared" si="234"/>
        <v>0</v>
      </c>
      <c r="PXG84" s="79">
        <f t="shared" si="234"/>
        <v>0</v>
      </c>
      <c r="PXH84" s="79">
        <f t="shared" si="234"/>
        <v>0</v>
      </c>
      <c r="PXI84" s="79">
        <f t="shared" si="234"/>
        <v>0</v>
      </c>
      <c r="PXJ84" s="79">
        <f t="shared" si="234"/>
        <v>0</v>
      </c>
      <c r="PXK84" s="79">
        <f t="shared" si="234"/>
        <v>0</v>
      </c>
      <c r="PXL84" s="79">
        <f t="shared" si="234"/>
        <v>0</v>
      </c>
      <c r="PXM84" s="79">
        <f t="shared" si="234"/>
        <v>0</v>
      </c>
      <c r="PXN84" s="79">
        <f t="shared" si="234"/>
        <v>0</v>
      </c>
      <c r="PXO84" s="79">
        <f t="shared" si="234"/>
        <v>0</v>
      </c>
      <c r="PXP84" s="79">
        <f t="shared" si="234"/>
        <v>0</v>
      </c>
      <c r="PXQ84" s="145" t="s">
        <v>96</v>
      </c>
      <c r="PXT84" s="79">
        <f>PXT18+PXT24+PXT29+PXT30</f>
        <v>0</v>
      </c>
      <c r="PXU84" s="79">
        <f t="shared" ref="PXU84:QAB84" si="235">PXU18+PXU24+PXU29+PXU30</f>
        <v>0</v>
      </c>
      <c r="PXV84" s="79">
        <f t="shared" si="235"/>
        <v>0</v>
      </c>
      <c r="PXW84" s="79">
        <f t="shared" si="235"/>
        <v>0</v>
      </c>
      <c r="PXX84" s="79">
        <f t="shared" si="235"/>
        <v>0</v>
      </c>
      <c r="PXY84" s="79">
        <f t="shared" si="235"/>
        <v>0</v>
      </c>
      <c r="PXZ84" s="79">
        <f t="shared" si="235"/>
        <v>0</v>
      </c>
      <c r="PYA84" s="79">
        <f t="shared" si="235"/>
        <v>0</v>
      </c>
      <c r="PYB84" s="79">
        <f t="shared" si="235"/>
        <v>0</v>
      </c>
      <c r="PYC84" s="79">
        <f t="shared" si="235"/>
        <v>0</v>
      </c>
      <c r="PYD84" s="79">
        <f t="shared" si="235"/>
        <v>0</v>
      </c>
      <c r="PYE84" s="79">
        <f t="shared" si="235"/>
        <v>0</v>
      </c>
      <c r="PYF84" s="79">
        <f t="shared" si="235"/>
        <v>0</v>
      </c>
      <c r="PYG84" s="145" t="s">
        <v>96</v>
      </c>
      <c r="PYJ84" s="79">
        <f>PYJ18+PYJ24+PYJ29+PYJ30</f>
        <v>0</v>
      </c>
      <c r="PYK84" s="79">
        <f t="shared" si="235"/>
        <v>0</v>
      </c>
      <c r="PYL84" s="79">
        <f t="shared" si="235"/>
        <v>0</v>
      </c>
      <c r="PYM84" s="79">
        <f t="shared" si="235"/>
        <v>0</v>
      </c>
      <c r="PYN84" s="79">
        <f t="shared" si="235"/>
        <v>0</v>
      </c>
      <c r="PYO84" s="79">
        <f t="shared" si="235"/>
        <v>0</v>
      </c>
      <c r="PYP84" s="79">
        <f t="shared" si="235"/>
        <v>0</v>
      </c>
      <c r="PYQ84" s="79">
        <f t="shared" si="235"/>
        <v>0</v>
      </c>
      <c r="PYR84" s="79">
        <f t="shared" si="235"/>
        <v>0</v>
      </c>
      <c r="PYS84" s="79">
        <f t="shared" si="235"/>
        <v>0</v>
      </c>
      <c r="PYT84" s="79">
        <f t="shared" si="235"/>
        <v>0</v>
      </c>
      <c r="PYU84" s="79">
        <f t="shared" si="235"/>
        <v>0</v>
      </c>
      <c r="PYV84" s="79">
        <f t="shared" si="235"/>
        <v>0</v>
      </c>
      <c r="PYW84" s="145" t="s">
        <v>96</v>
      </c>
      <c r="PYZ84" s="79">
        <f>PYZ18+PYZ24+PYZ29+PYZ30</f>
        <v>0</v>
      </c>
      <c r="PZA84" s="79">
        <f t="shared" si="235"/>
        <v>0</v>
      </c>
      <c r="PZB84" s="79">
        <f t="shared" si="235"/>
        <v>0</v>
      </c>
      <c r="PZC84" s="79">
        <f t="shared" si="235"/>
        <v>0</v>
      </c>
      <c r="PZD84" s="79">
        <f t="shared" si="235"/>
        <v>0</v>
      </c>
      <c r="PZE84" s="79">
        <f t="shared" si="235"/>
        <v>0</v>
      </c>
      <c r="PZF84" s="79">
        <f t="shared" si="235"/>
        <v>0</v>
      </c>
      <c r="PZG84" s="79">
        <f t="shared" si="235"/>
        <v>0</v>
      </c>
      <c r="PZH84" s="79">
        <f t="shared" si="235"/>
        <v>0</v>
      </c>
      <c r="PZI84" s="79">
        <f t="shared" si="235"/>
        <v>0</v>
      </c>
      <c r="PZJ84" s="79">
        <f t="shared" si="235"/>
        <v>0</v>
      </c>
      <c r="PZK84" s="79">
        <f t="shared" si="235"/>
        <v>0</v>
      </c>
      <c r="PZL84" s="79">
        <f t="shared" si="235"/>
        <v>0</v>
      </c>
      <c r="PZM84" s="145" t="s">
        <v>96</v>
      </c>
      <c r="PZP84" s="79">
        <f>PZP18+PZP24+PZP29+PZP30</f>
        <v>0</v>
      </c>
      <c r="PZQ84" s="79">
        <f t="shared" si="235"/>
        <v>0</v>
      </c>
      <c r="PZR84" s="79">
        <f t="shared" si="235"/>
        <v>0</v>
      </c>
      <c r="PZS84" s="79">
        <f t="shared" si="235"/>
        <v>0</v>
      </c>
      <c r="PZT84" s="79">
        <f t="shared" si="235"/>
        <v>0</v>
      </c>
      <c r="PZU84" s="79">
        <f t="shared" si="235"/>
        <v>0</v>
      </c>
      <c r="PZV84" s="79">
        <f t="shared" si="235"/>
        <v>0</v>
      </c>
      <c r="PZW84" s="79">
        <f t="shared" si="235"/>
        <v>0</v>
      </c>
      <c r="PZX84" s="79">
        <f t="shared" si="235"/>
        <v>0</v>
      </c>
      <c r="PZY84" s="79">
        <f t="shared" si="235"/>
        <v>0</v>
      </c>
      <c r="PZZ84" s="79">
        <f t="shared" si="235"/>
        <v>0</v>
      </c>
      <c r="QAA84" s="79">
        <f t="shared" si="235"/>
        <v>0</v>
      </c>
      <c r="QAB84" s="79">
        <f t="shared" si="235"/>
        <v>0</v>
      </c>
      <c r="QAC84" s="145" t="s">
        <v>96</v>
      </c>
      <c r="QAF84" s="79">
        <f>QAF18+QAF24+QAF29+QAF30</f>
        <v>0</v>
      </c>
      <c r="QAG84" s="79">
        <f t="shared" ref="QAG84:QCN84" si="236">QAG18+QAG24+QAG29+QAG30</f>
        <v>0</v>
      </c>
      <c r="QAH84" s="79">
        <f t="shared" si="236"/>
        <v>0</v>
      </c>
      <c r="QAI84" s="79">
        <f t="shared" si="236"/>
        <v>0</v>
      </c>
      <c r="QAJ84" s="79">
        <f t="shared" si="236"/>
        <v>0</v>
      </c>
      <c r="QAK84" s="79">
        <f t="shared" si="236"/>
        <v>0</v>
      </c>
      <c r="QAL84" s="79">
        <f t="shared" si="236"/>
        <v>0</v>
      </c>
      <c r="QAM84" s="79">
        <f t="shared" si="236"/>
        <v>0</v>
      </c>
      <c r="QAN84" s="79">
        <f t="shared" si="236"/>
        <v>0</v>
      </c>
      <c r="QAO84" s="79">
        <f t="shared" si="236"/>
        <v>0</v>
      </c>
      <c r="QAP84" s="79">
        <f t="shared" si="236"/>
        <v>0</v>
      </c>
      <c r="QAQ84" s="79">
        <f t="shared" si="236"/>
        <v>0</v>
      </c>
      <c r="QAR84" s="79">
        <f t="shared" si="236"/>
        <v>0</v>
      </c>
      <c r="QAS84" s="145" t="s">
        <v>96</v>
      </c>
      <c r="QAV84" s="79">
        <f>QAV18+QAV24+QAV29+QAV30</f>
        <v>0</v>
      </c>
      <c r="QAW84" s="79">
        <f t="shared" si="236"/>
        <v>0</v>
      </c>
      <c r="QAX84" s="79">
        <f t="shared" si="236"/>
        <v>0</v>
      </c>
      <c r="QAY84" s="79">
        <f t="shared" si="236"/>
        <v>0</v>
      </c>
      <c r="QAZ84" s="79">
        <f t="shared" si="236"/>
        <v>0</v>
      </c>
      <c r="QBA84" s="79">
        <f t="shared" si="236"/>
        <v>0</v>
      </c>
      <c r="QBB84" s="79">
        <f t="shared" si="236"/>
        <v>0</v>
      </c>
      <c r="QBC84" s="79">
        <f t="shared" si="236"/>
        <v>0</v>
      </c>
      <c r="QBD84" s="79">
        <f t="shared" si="236"/>
        <v>0</v>
      </c>
      <c r="QBE84" s="79">
        <f t="shared" si="236"/>
        <v>0</v>
      </c>
      <c r="QBF84" s="79">
        <f t="shared" si="236"/>
        <v>0</v>
      </c>
      <c r="QBG84" s="79">
        <f t="shared" si="236"/>
        <v>0</v>
      </c>
      <c r="QBH84" s="79">
        <f t="shared" si="236"/>
        <v>0</v>
      </c>
      <c r="QBI84" s="145" t="s">
        <v>96</v>
      </c>
      <c r="QBL84" s="79">
        <f>QBL18+QBL24+QBL29+QBL30</f>
        <v>0</v>
      </c>
      <c r="QBM84" s="79">
        <f t="shared" si="236"/>
        <v>0</v>
      </c>
      <c r="QBN84" s="79">
        <f t="shared" si="236"/>
        <v>0</v>
      </c>
      <c r="QBO84" s="79">
        <f t="shared" si="236"/>
        <v>0</v>
      </c>
      <c r="QBP84" s="79">
        <f t="shared" si="236"/>
        <v>0</v>
      </c>
      <c r="QBQ84" s="79">
        <f t="shared" si="236"/>
        <v>0</v>
      </c>
      <c r="QBR84" s="79">
        <f t="shared" si="236"/>
        <v>0</v>
      </c>
      <c r="QBS84" s="79">
        <f t="shared" si="236"/>
        <v>0</v>
      </c>
      <c r="QBT84" s="79">
        <f t="shared" si="236"/>
        <v>0</v>
      </c>
      <c r="QBU84" s="79">
        <f t="shared" si="236"/>
        <v>0</v>
      </c>
      <c r="QBV84" s="79">
        <f t="shared" si="236"/>
        <v>0</v>
      </c>
      <c r="QBW84" s="79">
        <f t="shared" si="236"/>
        <v>0</v>
      </c>
      <c r="QBX84" s="79">
        <f t="shared" si="236"/>
        <v>0</v>
      </c>
      <c r="QBY84" s="145" t="s">
        <v>96</v>
      </c>
      <c r="QCB84" s="79">
        <f>QCB18+QCB24+QCB29+QCB30</f>
        <v>0</v>
      </c>
      <c r="QCC84" s="79">
        <f t="shared" si="236"/>
        <v>0</v>
      </c>
      <c r="QCD84" s="79">
        <f t="shared" si="236"/>
        <v>0</v>
      </c>
      <c r="QCE84" s="79">
        <f t="shared" si="236"/>
        <v>0</v>
      </c>
      <c r="QCF84" s="79">
        <f t="shared" si="236"/>
        <v>0</v>
      </c>
      <c r="QCG84" s="79">
        <f t="shared" si="236"/>
        <v>0</v>
      </c>
      <c r="QCH84" s="79">
        <f t="shared" si="236"/>
        <v>0</v>
      </c>
      <c r="QCI84" s="79">
        <f t="shared" si="236"/>
        <v>0</v>
      </c>
      <c r="QCJ84" s="79">
        <f t="shared" si="236"/>
        <v>0</v>
      </c>
      <c r="QCK84" s="79">
        <f t="shared" si="236"/>
        <v>0</v>
      </c>
      <c r="QCL84" s="79">
        <f t="shared" si="236"/>
        <v>0</v>
      </c>
      <c r="QCM84" s="79">
        <f t="shared" si="236"/>
        <v>0</v>
      </c>
      <c r="QCN84" s="79">
        <f t="shared" si="236"/>
        <v>0</v>
      </c>
      <c r="QCO84" s="145" t="s">
        <v>96</v>
      </c>
      <c r="QCR84" s="79">
        <f>QCR18+QCR24+QCR29+QCR30</f>
        <v>0</v>
      </c>
      <c r="QCS84" s="79">
        <f t="shared" ref="QCS84:QEZ84" si="237">QCS18+QCS24+QCS29+QCS30</f>
        <v>0</v>
      </c>
      <c r="QCT84" s="79">
        <f t="shared" si="237"/>
        <v>0</v>
      </c>
      <c r="QCU84" s="79">
        <f t="shared" si="237"/>
        <v>0</v>
      </c>
      <c r="QCV84" s="79">
        <f t="shared" si="237"/>
        <v>0</v>
      </c>
      <c r="QCW84" s="79">
        <f t="shared" si="237"/>
        <v>0</v>
      </c>
      <c r="QCX84" s="79">
        <f t="shared" si="237"/>
        <v>0</v>
      </c>
      <c r="QCY84" s="79">
        <f t="shared" si="237"/>
        <v>0</v>
      </c>
      <c r="QCZ84" s="79">
        <f t="shared" si="237"/>
        <v>0</v>
      </c>
      <c r="QDA84" s="79">
        <f t="shared" si="237"/>
        <v>0</v>
      </c>
      <c r="QDB84" s="79">
        <f t="shared" si="237"/>
        <v>0</v>
      </c>
      <c r="QDC84" s="79">
        <f t="shared" si="237"/>
        <v>0</v>
      </c>
      <c r="QDD84" s="79">
        <f t="shared" si="237"/>
        <v>0</v>
      </c>
      <c r="QDE84" s="145" t="s">
        <v>96</v>
      </c>
      <c r="QDH84" s="79">
        <f>QDH18+QDH24+QDH29+QDH30</f>
        <v>0</v>
      </c>
      <c r="QDI84" s="79">
        <f t="shared" si="237"/>
        <v>0</v>
      </c>
      <c r="QDJ84" s="79">
        <f t="shared" si="237"/>
        <v>0</v>
      </c>
      <c r="QDK84" s="79">
        <f t="shared" si="237"/>
        <v>0</v>
      </c>
      <c r="QDL84" s="79">
        <f t="shared" si="237"/>
        <v>0</v>
      </c>
      <c r="QDM84" s="79">
        <f t="shared" si="237"/>
        <v>0</v>
      </c>
      <c r="QDN84" s="79">
        <f t="shared" si="237"/>
        <v>0</v>
      </c>
      <c r="QDO84" s="79">
        <f t="shared" si="237"/>
        <v>0</v>
      </c>
      <c r="QDP84" s="79">
        <f t="shared" si="237"/>
        <v>0</v>
      </c>
      <c r="QDQ84" s="79">
        <f t="shared" si="237"/>
        <v>0</v>
      </c>
      <c r="QDR84" s="79">
        <f t="shared" si="237"/>
        <v>0</v>
      </c>
      <c r="QDS84" s="79">
        <f t="shared" si="237"/>
        <v>0</v>
      </c>
      <c r="QDT84" s="79">
        <f t="shared" si="237"/>
        <v>0</v>
      </c>
      <c r="QDU84" s="145" t="s">
        <v>96</v>
      </c>
      <c r="QDX84" s="79">
        <f>QDX18+QDX24+QDX29+QDX30</f>
        <v>0</v>
      </c>
      <c r="QDY84" s="79">
        <f t="shared" si="237"/>
        <v>0</v>
      </c>
      <c r="QDZ84" s="79">
        <f t="shared" si="237"/>
        <v>0</v>
      </c>
      <c r="QEA84" s="79">
        <f t="shared" si="237"/>
        <v>0</v>
      </c>
      <c r="QEB84" s="79">
        <f t="shared" si="237"/>
        <v>0</v>
      </c>
      <c r="QEC84" s="79">
        <f t="shared" si="237"/>
        <v>0</v>
      </c>
      <c r="QED84" s="79">
        <f t="shared" si="237"/>
        <v>0</v>
      </c>
      <c r="QEE84" s="79">
        <f t="shared" si="237"/>
        <v>0</v>
      </c>
      <c r="QEF84" s="79">
        <f t="shared" si="237"/>
        <v>0</v>
      </c>
      <c r="QEG84" s="79">
        <f t="shared" si="237"/>
        <v>0</v>
      </c>
      <c r="QEH84" s="79">
        <f t="shared" si="237"/>
        <v>0</v>
      </c>
      <c r="QEI84" s="79">
        <f t="shared" si="237"/>
        <v>0</v>
      </c>
      <c r="QEJ84" s="79">
        <f t="shared" si="237"/>
        <v>0</v>
      </c>
      <c r="QEK84" s="145" t="s">
        <v>96</v>
      </c>
      <c r="QEN84" s="79">
        <f>QEN18+QEN24+QEN29+QEN30</f>
        <v>0</v>
      </c>
      <c r="QEO84" s="79">
        <f t="shared" si="237"/>
        <v>0</v>
      </c>
      <c r="QEP84" s="79">
        <f t="shared" si="237"/>
        <v>0</v>
      </c>
      <c r="QEQ84" s="79">
        <f t="shared" si="237"/>
        <v>0</v>
      </c>
      <c r="QER84" s="79">
        <f t="shared" si="237"/>
        <v>0</v>
      </c>
      <c r="QES84" s="79">
        <f t="shared" si="237"/>
        <v>0</v>
      </c>
      <c r="QET84" s="79">
        <f t="shared" si="237"/>
        <v>0</v>
      </c>
      <c r="QEU84" s="79">
        <f t="shared" si="237"/>
        <v>0</v>
      </c>
      <c r="QEV84" s="79">
        <f t="shared" si="237"/>
        <v>0</v>
      </c>
      <c r="QEW84" s="79">
        <f t="shared" si="237"/>
        <v>0</v>
      </c>
      <c r="QEX84" s="79">
        <f t="shared" si="237"/>
        <v>0</v>
      </c>
      <c r="QEY84" s="79">
        <f t="shared" si="237"/>
        <v>0</v>
      </c>
      <c r="QEZ84" s="79">
        <f t="shared" si="237"/>
        <v>0</v>
      </c>
      <c r="QFA84" s="145" t="s">
        <v>96</v>
      </c>
      <c r="QFD84" s="79">
        <f>QFD18+QFD24+QFD29+QFD30</f>
        <v>0</v>
      </c>
      <c r="QFE84" s="79">
        <f t="shared" ref="QFE84:QHL84" si="238">QFE18+QFE24+QFE29+QFE30</f>
        <v>0</v>
      </c>
      <c r="QFF84" s="79">
        <f t="shared" si="238"/>
        <v>0</v>
      </c>
      <c r="QFG84" s="79">
        <f t="shared" si="238"/>
        <v>0</v>
      </c>
      <c r="QFH84" s="79">
        <f t="shared" si="238"/>
        <v>0</v>
      </c>
      <c r="QFI84" s="79">
        <f t="shared" si="238"/>
        <v>0</v>
      </c>
      <c r="QFJ84" s="79">
        <f t="shared" si="238"/>
        <v>0</v>
      </c>
      <c r="QFK84" s="79">
        <f t="shared" si="238"/>
        <v>0</v>
      </c>
      <c r="QFL84" s="79">
        <f t="shared" si="238"/>
        <v>0</v>
      </c>
      <c r="QFM84" s="79">
        <f t="shared" si="238"/>
        <v>0</v>
      </c>
      <c r="QFN84" s="79">
        <f t="shared" si="238"/>
        <v>0</v>
      </c>
      <c r="QFO84" s="79">
        <f t="shared" si="238"/>
        <v>0</v>
      </c>
      <c r="QFP84" s="79">
        <f t="shared" si="238"/>
        <v>0</v>
      </c>
      <c r="QFQ84" s="145" t="s">
        <v>96</v>
      </c>
      <c r="QFT84" s="79">
        <f>QFT18+QFT24+QFT29+QFT30</f>
        <v>0</v>
      </c>
      <c r="QFU84" s="79">
        <f t="shared" si="238"/>
        <v>0</v>
      </c>
      <c r="QFV84" s="79">
        <f t="shared" si="238"/>
        <v>0</v>
      </c>
      <c r="QFW84" s="79">
        <f t="shared" si="238"/>
        <v>0</v>
      </c>
      <c r="QFX84" s="79">
        <f t="shared" si="238"/>
        <v>0</v>
      </c>
      <c r="QFY84" s="79">
        <f t="shared" si="238"/>
        <v>0</v>
      </c>
      <c r="QFZ84" s="79">
        <f t="shared" si="238"/>
        <v>0</v>
      </c>
      <c r="QGA84" s="79">
        <f t="shared" si="238"/>
        <v>0</v>
      </c>
      <c r="QGB84" s="79">
        <f t="shared" si="238"/>
        <v>0</v>
      </c>
      <c r="QGC84" s="79">
        <f t="shared" si="238"/>
        <v>0</v>
      </c>
      <c r="QGD84" s="79">
        <f t="shared" si="238"/>
        <v>0</v>
      </c>
      <c r="QGE84" s="79">
        <f t="shared" si="238"/>
        <v>0</v>
      </c>
      <c r="QGF84" s="79">
        <f t="shared" si="238"/>
        <v>0</v>
      </c>
      <c r="QGG84" s="145" t="s">
        <v>96</v>
      </c>
      <c r="QGJ84" s="79">
        <f>QGJ18+QGJ24+QGJ29+QGJ30</f>
        <v>0</v>
      </c>
      <c r="QGK84" s="79">
        <f t="shared" si="238"/>
        <v>0</v>
      </c>
      <c r="QGL84" s="79">
        <f t="shared" si="238"/>
        <v>0</v>
      </c>
      <c r="QGM84" s="79">
        <f t="shared" si="238"/>
        <v>0</v>
      </c>
      <c r="QGN84" s="79">
        <f t="shared" si="238"/>
        <v>0</v>
      </c>
      <c r="QGO84" s="79">
        <f t="shared" si="238"/>
        <v>0</v>
      </c>
      <c r="QGP84" s="79">
        <f t="shared" si="238"/>
        <v>0</v>
      </c>
      <c r="QGQ84" s="79">
        <f t="shared" si="238"/>
        <v>0</v>
      </c>
      <c r="QGR84" s="79">
        <f t="shared" si="238"/>
        <v>0</v>
      </c>
      <c r="QGS84" s="79">
        <f t="shared" si="238"/>
        <v>0</v>
      </c>
      <c r="QGT84" s="79">
        <f t="shared" si="238"/>
        <v>0</v>
      </c>
      <c r="QGU84" s="79">
        <f t="shared" si="238"/>
        <v>0</v>
      </c>
      <c r="QGV84" s="79">
        <f t="shared" si="238"/>
        <v>0</v>
      </c>
      <c r="QGW84" s="145" t="s">
        <v>96</v>
      </c>
      <c r="QGZ84" s="79">
        <f>QGZ18+QGZ24+QGZ29+QGZ30</f>
        <v>0</v>
      </c>
      <c r="QHA84" s="79">
        <f t="shared" si="238"/>
        <v>0</v>
      </c>
      <c r="QHB84" s="79">
        <f t="shared" si="238"/>
        <v>0</v>
      </c>
      <c r="QHC84" s="79">
        <f t="shared" si="238"/>
        <v>0</v>
      </c>
      <c r="QHD84" s="79">
        <f t="shared" si="238"/>
        <v>0</v>
      </c>
      <c r="QHE84" s="79">
        <f t="shared" si="238"/>
        <v>0</v>
      </c>
      <c r="QHF84" s="79">
        <f t="shared" si="238"/>
        <v>0</v>
      </c>
      <c r="QHG84" s="79">
        <f t="shared" si="238"/>
        <v>0</v>
      </c>
      <c r="QHH84" s="79">
        <f t="shared" si="238"/>
        <v>0</v>
      </c>
      <c r="QHI84" s="79">
        <f t="shared" si="238"/>
        <v>0</v>
      </c>
      <c r="QHJ84" s="79">
        <f t="shared" si="238"/>
        <v>0</v>
      </c>
      <c r="QHK84" s="79">
        <f t="shared" si="238"/>
        <v>0</v>
      </c>
      <c r="QHL84" s="79">
        <f t="shared" si="238"/>
        <v>0</v>
      </c>
      <c r="QHM84" s="145" t="s">
        <v>96</v>
      </c>
      <c r="QHP84" s="79">
        <f>QHP18+QHP24+QHP29+QHP30</f>
        <v>0</v>
      </c>
      <c r="QHQ84" s="79">
        <f t="shared" ref="QHQ84:QJX84" si="239">QHQ18+QHQ24+QHQ29+QHQ30</f>
        <v>0</v>
      </c>
      <c r="QHR84" s="79">
        <f t="shared" si="239"/>
        <v>0</v>
      </c>
      <c r="QHS84" s="79">
        <f t="shared" si="239"/>
        <v>0</v>
      </c>
      <c r="QHT84" s="79">
        <f t="shared" si="239"/>
        <v>0</v>
      </c>
      <c r="QHU84" s="79">
        <f t="shared" si="239"/>
        <v>0</v>
      </c>
      <c r="QHV84" s="79">
        <f t="shared" si="239"/>
        <v>0</v>
      </c>
      <c r="QHW84" s="79">
        <f t="shared" si="239"/>
        <v>0</v>
      </c>
      <c r="QHX84" s="79">
        <f t="shared" si="239"/>
        <v>0</v>
      </c>
      <c r="QHY84" s="79">
        <f t="shared" si="239"/>
        <v>0</v>
      </c>
      <c r="QHZ84" s="79">
        <f t="shared" si="239"/>
        <v>0</v>
      </c>
      <c r="QIA84" s="79">
        <f t="shared" si="239"/>
        <v>0</v>
      </c>
      <c r="QIB84" s="79">
        <f t="shared" si="239"/>
        <v>0</v>
      </c>
      <c r="QIC84" s="145" t="s">
        <v>96</v>
      </c>
      <c r="QIF84" s="79">
        <f>QIF18+QIF24+QIF29+QIF30</f>
        <v>0</v>
      </c>
      <c r="QIG84" s="79">
        <f t="shared" si="239"/>
        <v>0</v>
      </c>
      <c r="QIH84" s="79">
        <f t="shared" si="239"/>
        <v>0</v>
      </c>
      <c r="QII84" s="79">
        <f t="shared" si="239"/>
        <v>0</v>
      </c>
      <c r="QIJ84" s="79">
        <f t="shared" si="239"/>
        <v>0</v>
      </c>
      <c r="QIK84" s="79">
        <f t="shared" si="239"/>
        <v>0</v>
      </c>
      <c r="QIL84" s="79">
        <f t="shared" si="239"/>
        <v>0</v>
      </c>
      <c r="QIM84" s="79">
        <f t="shared" si="239"/>
        <v>0</v>
      </c>
      <c r="QIN84" s="79">
        <f t="shared" si="239"/>
        <v>0</v>
      </c>
      <c r="QIO84" s="79">
        <f t="shared" si="239"/>
        <v>0</v>
      </c>
      <c r="QIP84" s="79">
        <f t="shared" si="239"/>
        <v>0</v>
      </c>
      <c r="QIQ84" s="79">
        <f t="shared" si="239"/>
        <v>0</v>
      </c>
      <c r="QIR84" s="79">
        <f t="shared" si="239"/>
        <v>0</v>
      </c>
      <c r="QIS84" s="145" t="s">
        <v>96</v>
      </c>
      <c r="QIV84" s="79">
        <f>QIV18+QIV24+QIV29+QIV30</f>
        <v>0</v>
      </c>
      <c r="QIW84" s="79">
        <f t="shared" si="239"/>
        <v>0</v>
      </c>
      <c r="QIX84" s="79">
        <f t="shared" si="239"/>
        <v>0</v>
      </c>
      <c r="QIY84" s="79">
        <f t="shared" si="239"/>
        <v>0</v>
      </c>
      <c r="QIZ84" s="79">
        <f t="shared" si="239"/>
        <v>0</v>
      </c>
      <c r="QJA84" s="79">
        <f t="shared" si="239"/>
        <v>0</v>
      </c>
      <c r="QJB84" s="79">
        <f t="shared" si="239"/>
        <v>0</v>
      </c>
      <c r="QJC84" s="79">
        <f t="shared" si="239"/>
        <v>0</v>
      </c>
      <c r="QJD84" s="79">
        <f t="shared" si="239"/>
        <v>0</v>
      </c>
      <c r="QJE84" s="79">
        <f t="shared" si="239"/>
        <v>0</v>
      </c>
      <c r="QJF84" s="79">
        <f t="shared" si="239"/>
        <v>0</v>
      </c>
      <c r="QJG84" s="79">
        <f t="shared" si="239"/>
        <v>0</v>
      </c>
      <c r="QJH84" s="79">
        <f t="shared" si="239"/>
        <v>0</v>
      </c>
      <c r="QJI84" s="145" t="s">
        <v>96</v>
      </c>
      <c r="QJL84" s="79">
        <f>QJL18+QJL24+QJL29+QJL30</f>
        <v>0</v>
      </c>
      <c r="QJM84" s="79">
        <f t="shared" si="239"/>
        <v>0</v>
      </c>
      <c r="QJN84" s="79">
        <f t="shared" si="239"/>
        <v>0</v>
      </c>
      <c r="QJO84" s="79">
        <f t="shared" si="239"/>
        <v>0</v>
      </c>
      <c r="QJP84" s="79">
        <f t="shared" si="239"/>
        <v>0</v>
      </c>
      <c r="QJQ84" s="79">
        <f t="shared" si="239"/>
        <v>0</v>
      </c>
      <c r="QJR84" s="79">
        <f t="shared" si="239"/>
        <v>0</v>
      </c>
      <c r="QJS84" s="79">
        <f t="shared" si="239"/>
        <v>0</v>
      </c>
      <c r="QJT84" s="79">
        <f t="shared" si="239"/>
        <v>0</v>
      </c>
      <c r="QJU84" s="79">
        <f t="shared" si="239"/>
        <v>0</v>
      </c>
      <c r="QJV84" s="79">
        <f t="shared" si="239"/>
        <v>0</v>
      </c>
      <c r="QJW84" s="79">
        <f t="shared" si="239"/>
        <v>0</v>
      </c>
      <c r="QJX84" s="79">
        <f t="shared" si="239"/>
        <v>0</v>
      </c>
      <c r="QJY84" s="145" t="s">
        <v>96</v>
      </c>
      <c r="QKB84" s="79">
        <f>QKB18+QKB24+QKB29+QKB30</f>
        <v>0</v>
      </c>
      <c r="QKC84" s="79">
        <f t="shared" ref="QKC84:QMJ84" si="240">QKC18+QKC24+QKC29+QKC30</f>
        <v>0</v>
      </c>
      <c r="QKD84" s="79">
        <f t="shared" si="240"/>
        <v>0</v>
      </c>
      <c r="QKE84" s="79">
        <f t="shared" si="240"/>
        <v>0</v>
      </c>
      <c r="QKF84" s="79">
        <f t="shared" si="240"/>
        <v>0</v>
      </c>
      <c r="QKG84" s="79">
        <f t="shared" si="240"/>
        <v>0</v>
      </c>
      <c r="QKH84" s="79">
        <f t="shared" si="240"/>
        <v>0</v>
      </c>
      <c r="QKI84" s="79">
        <f t="shared" si="240"/>
        <v>0</v>
      </c>
      <c r="QKJ84" s="79">
        <f t="shared" si="240"/>
        <v>0</v>
      </c>
      <c r="QKK84" s="79">
        <f t="shared" si="240"/>
        <v>0</v>
      </c>
      <c r="QKL84" s="79">
        <f t="shared" si="240"/>
        <v>0</v>
      </c>
      <c r="QKM84" s="79">
        <f t="shared" si="240"/>
        <v>0</v>
      </c>
      <c r="QKN84" s="79">
        <f t="shared" si="240"/>
        <v>0</v>
      </c>
      <c r="QKO84" s="145" t="s">
        <v>96</v>
      </c>
      <c r="QKR84" s="79">
        <f>QKR18+QKR24+QKR29+QKR30</f>
        <v>0</v>
      </c>
      <c r="QKS84" s="79">
        <f t="shared" si="240"/>
        <v>0</v>
      </c>
      <c r="QKT84" s="79">
        <f t="shared" si="240"/>
        <v>0</v>
      </c>
      <c r="QKU84" s="79">
        <f t="shared" si="240"/>
        <v>0</v>
      </c>
      <c r="QKV84" s="79">
        <f t="shared" si="240"/>
        <v>0</v>
      </c>
      <c r="QKW84" s="79">
        <f t="shared" si="240"/>
        <v>0</v>
      </c>
      <c r="QKX84" s="79">
        <f t="shared" si="240"/>
        <v>0</v>
      </c>
      <c r="QKY84" s="79">
        <f t="shared" si="240"/>
        <v>0</v>
      </c>
      <c r="QKZ84" s="79">
        <f t="shared" si="240"/>
        <v>0</v>
      </c>
      <c r="QLA84" s="79">
        <f t="shared" si="240"/>
        <v>0</v>
      </c>
      <c r="QLB84" s="79">
        <f t="shared" si="240"/>
        <v>0</v>
      </c>
      <c r="QLC84" s="79">
        <f t="shared" si="240"/>
        <v>0</v>
      </c>
      <c r="QLD84" s="79">
        <f t="shared" si="240"/>
        <v>0</v>
      </c>
      <c r="QLE84" s="145" t="s">
        <v>96</v>
      </c>
      <c r="QLH84" s="79">
        <f>QLH18+QLH24+QLH29+QLH30</f>
        <v>0</v>
      </c>
      <c r="QLI84" s="79">
        <f t="shared" si="240"/>
        <v>0</v>
      </c>
      <c r="QLJ84" s="79">
        <f t="shared" si="240"/>
        <v>0</v>
      </c>
      <c r="QLK84" s="79">
        <f t="shared" si="240"/>
        <v>0</v>
      </c>
      <c r="QLL84" s="79">
        <f t="shared" si="240"/>
        <v>0</v>
      </c>
      <c r="QLM84" s="79">
        <f t="shared" si="240"/>
        <v>0</v>
      </c>
      <c r="QLN84" s="79">
        <f t="shared" si="240"/>
        <v>0</v>
      </c>
      <c r="QLO84" s="79">
        <f t="shared" si="240"/>
        <v>0</v>
      </c>
      <c r="QLP84" s="79">
        <f t="shared" si="240"/>
        <v>0</v>
      </c>
      <c r="QLQ84" s="79">
        <f t="shared" si="240"/>
        <v>0</v>
      </c>
      <c r="QLR84" s="79">
        <f t="shared" si="240"/>
        <v>0</v>
      </c>
      <c r="QLS84" s="79">
        <f t="shared" si="240"/>
        <v>0</v>
      </c>
      <c r="QLT84" s="79">
        <f t="shared" si="240"/>
        <v>0</v>
      </c>
      <c r="QLU84" s="145" t="s">
        <v>96</v>
      </c>
      <c r="QLX84" s="79">
        <f>QLX18+QLX24+QLX29+QLX30</f>
        <v>0</v>
      </c>
      <c r="QLY84" s="79">
        <f t="shared" si="240"/>
        <v>0</v>
      </c>
      <c r="QLZ84" s="79">
        <f t="shared" si="240"/>
        <v>0</v>
      </c>
      <c r="QMA84" s="79">
        <f t="shared" si="240"/>
        <v>0</v>
      </c>
      <c r="QMB84" s="79">
        <f t="shared" si="240"/>
        <v>0</v>
      </c>
      <c r="QMC84" s="79">
        <f t="shared" si="240"/>
        <v>0</v>
      </c>
      <c r="QMD84" s="79">
        <f t="shared" si="240"/>
        <v>0</v>
      </c>
      <c r="QME84" s="79">
        <f t="shared" si="240"/>
        <v>0</v>
      </c>
      <c r="QMF84" s="79">
        <f t="shared" si="240"/>
        <v>0</v>
      </c>
      <c r="QMG84" s="79">
        <f t="shared" si="240"/>
        <v>0</v>
      </c>
      <c r="QMH84" s="79">
        <f t="shared" si="240"/>
        <v>0</v>
      </c>
      <c r="QMI84" s="79">
        <f t="shared" si="240"/>
        <v>0</v>
      </c>
      <c r="QMJ84" s="79">
        <f t="shared" si="240"/>
        <v>0</v>
      </c>
      <c r="QMK84" s="145" t="s">
        <v>96</v>
      </c>
      <c r="QMN84" s="79">
        <f>QMN18+QMN24+QMN29+QMN30</f>
        <v>0</v>
      </c>
      <c r="QMO84" s="79">
        <f t="shared" ref="QMO84:QOV84" si="241">QMO18+QMO24+QMO29+QMO30</f>
        <v>0</v>
      </c>
      <c r="QMP84" s="79">
        <f t="shared" si="241"/>
        <v>0</v>
      </c>
      <c r="QMQ84" s="79">
        <f t="shared" si="241"/>
        <v>0</v>
      </c>
      <c r="QMR84" s="79">
        <f t="shared" si="241"/>
        <v>0</v>
      </c>
      <c r="QMS84" s="79">
        <f t="shared" si="241"/>
        <v>0</v>
      </c>
      <c r="QMT84" s="79">
        <f t="shared" si="241"/>
        <v>0</v>
      </c>
      <c r="QMU84" s="79">
        <f t="shared" si="241"/>
        <v>0</v>
      </c>
      <c r="QMV84" s="79">
        <f t="shared" si="241"/>
        <v>0</v>
      </c>
      <c r="QMW84" s="79">
        <f t="shared" si="241"/>
        <v>0</v>
      </c>
      <c r="QMX84" s="79">
        <f t="shared" si="241"/>
        <v>0</v>
      </c>
      <c r="QMY84" s="79">
        <f t="shared" si="241"/>
        <v>0</v>
      </c>
      <c r="QMZ84" s="79">
        <f t="shared" si="241"/>
        <v>0</v>
      </c>
      <c r="QNA84" s="145" t="s">
        <v>96</v>
      </c>
      <c r="QND84" s="79">
        <f>QND18+QND24+QND29+QND30</f>
        <v>0</v>
      </c>
      <c r="QNE84" s="79">
        <f t="shared" si="241"/>
        <v>0</v>
      </c>
      <c r="QNF84" s="79">
        <f t="shared" si="241"/>
        <v>0</v>
      </c>
      <c r="QNG84" s="79">
        <f t="shared" si="241"/>
        <v>0</v>
      </c>
      <c r="QNH84" s="79">
        <f t="shared" si="241"/>
        <v>0</v>
      </c>
      <c r="QNI84" s="79">
        <f t="shared" si="241"/>
        <v>0</v>
      </c>
      <c r="QNJ84" s="79">
        <f t="shared" si="241"/>
        <v>0</v>
      </c>
      <c r="QNK84" s="79">
        <f t="shared" si="241"/>
        <v>0</v>
      </c>
      <c r="QNL84" s="79">
        <f t="shared" si="241"/>
        <v>0</v>
      </c>
      <c r="QNM84" s="79">
        <f t="shared" si="241"/>
        <v>0</v>
      </c>
      <c r="QNN84" s="79">
        <f t="shared" si="241"/>
        <v>0</v>
      </c>
      <c r="QNO84" s="79">
        <f t="shared" si="241"/>
        <v>0</v>
      </c>
      <c r="QNP84" s="79">
        <f t="shared" si="241"/>
        <v>0</v>
      </c>
      <c r="QNQ84" s="145" t="s">
        <v>96</v>
      </c>
      <c r="QNT84" s="79">
        <f>QNT18+QNT24+QNT29+QNT30</f>
        <v>0</v>
      </c>
      <c r="QNU84" s="79">
        <f t="shared" si="241"/>
        <v>0</v>
      </c>
      <c r="QNV84" s="79">
        <f t="shared" si="241"/>
        <v>0</v>
      </c>
      <c r="QNW84" s="79">
        <f t="shared" si="241"/>
        <v>0</v>
      </c>
      <c r="QNX84" s="79">
        <f t="shared" si="241"/>
        <v>0</v>
      </c>
      <c r="QNY84" s="79">
        <f t="shared" si="241"/>
        <v>0</v>
      </c>
      <c r="QNZ84" s="79">
        <f t="shared" si="241"/>
        <v>0</v>
      </c>
      <c r="QOA84" s="79">
        <f t="shared" si="241"/>
        <v>0</v>
      </c>
      <c r="QOB84" s="79">
        <f t="shared" si="241"/>
        <v>0</v>
      </c>
      <c r="QOC84" s="79">
        <f t="shared" si="241"/>
        <v>0</v>
      </c>
      <c r="QOD84" s="79">
        <f t="shared" si="241"/>
        <v>0</v>
      </c>
      <c r="QOE84" s="79">
        <f t="shared" si="241"/>
        <v>0</v>
      </c>
      <c r="QOF84" s="79">
        <f t="shared" si="241"/>
        <v>0</v>
      </c>
      <c r="QOG84" s="145" t="s">
        <v>96</v>
      </c>
      <c r="QOJ84" s="79">
        <f>QOJ18+QOJ24+QOJ29+QOJ30</f>
        <v>0</v>
      </c>
      <c r="QOK84" s="79">
        <f t="shared" si="241"/>
        <v>0</v>
      </c>
      <c r="QOL84" s="79">
        <f t="shared" si="241"/>
        <v>0</v>
      </c>
      <c r="QOM84" s="79">
        <f t="shared" si="241"/>
        <v>0</v>
      </c>
      <c r="QON84" s="79">
        <f t="shared" si="241"/>
        <v>0</v>
      </c>
      <c r="QOO84" s="79">
        <f t="shared" si="241"/>
        <v>0</v>
      </c>
      <c r="QOP84" s="79">
        <f t="shared" si="241"/>
        <v>0</v>
      </c>
      <c r="QOQ84" s="79">
        <f t="shared" si="241"/>
        <v>0</v>
      </c>
      <c r="QOR84" s="79">
        <f t="shared" si="241"/>
        <v>0</v>
      </c>
      <c r="QOS84" s="79">
        <f t="shared" si="241"/>
        <v>0</v>
      </c>
      <c r="QOT84" s="79">
        <f t="shared" si="241"/>
        <v>0</v>
      </c>
      <c r="QOU84" s="79">
        <f t="shared" si="241"/>
        <v>0</v>
      </c>
      <c r="QOV84" s="79">
        <f t="shared" si="241"/>
        <v>0</v>
      </c>
      <c r="QOW84" s="145" t="s">
        <v>96</v>
      </c>
      <c r="QOZ84" s="79">
        <f>QOZ18+QOZ24+QOZ29+QOZ30</f>
        <v>0</v>
      </c>
      <c r="QPA84" s="79">
        <f t="shared" ref="QPA84:QRH84" si="242">QPA18+QPA24+QPA29+QPA30</f>
        <v>0</v>
      </c>
      <c r="QPB84" s="79">
        <f t="shared" si="242"/>
        <v>0</v>
      </c>
      <c r="QPC84" s="79">
        <f t="shared" si="242"/>
        <v>0</v>
      </c>
      <c r="QPD84" s="79">
        <f t="shared" si="242"/>
        <v>0</v>
      </c>
      <c r="QPE84" s="79">
        <f t="shared" si="242"/>
        <v>0</v>
      </c>
      <c r="QPF84" s="79">
        <f t="shared" si="242"/>
        <v>0</v>
      </c>
      <c r="QPG84" s="79">
        <f t="shared" si="242"/>
        <v>0</v>
      </c>
      <c r="QPH84" s="79">
        <f t="shared" si="242"/>
        <v>0</v>
      </c>
      <c r="QPI84" s="79">
        <f t="shared" si="242"/>
        <v>0</v>
      </c>
      <c r="QPJ84" s="79">
        <f t="shared" si="242"/>
        <v>0</v>
      </c>
      <c r="QPK84" s="79">
        <f t="shared" si="242"/>
        <v>0</v>
      </c>
      <c r="QPL84" s="79">
        <f t="shared" si="242"/>
        <v>0</v>
      </c>
      <c r="QPM84" s="145" t="s">
        <v>96</v>
      </c>
      <c r="QPP84" s="79">
        <f>QPP18+QPP24+QPP29+QPP30</f>
        <v>0</v>
      </c>
      <c r="QPQ84" s="79">
        <f t="shared" si="242"/>
        <v>0</v>
      </c>
      <c r="QPR84" s="79">
        <f t="shared" si="242"/>
        <v>0</v>
      </c>
      <c r="QPS84" s="79">
        <f t="shared" si="242"/>
        <v>0</v>
      </c>
      <c r="QPT84" s="79">
        <f t="shared" si="242"/>
        <v>0</v>
      </c>
      <c r="QPU84" s="79">
        <f t="shared" si="242"/>
        <v>0</v>
      </c>
      <c r="QPV84" s="79">
        <f t="shared" si="242"/>
        <v>0</v>
      </c>
      <c r="QPW84" s="79">
        <f t="shared" si="242"/>
        <v>0</v>
      </c>
      <c r="QPX84" s="79">
        <f t="shared" si="242"/>
        <v>0</v>
      </c>
      <c r="QPY84" s="79">
        <f t="shared" si="242"/>
        <v>0</v>
      </c>
      <c r="QPZ84" s="79">
        <f t="shared" si="242"/>
        <v>0</v>
      </c>
      <c r="QQA84" s="79">
        <f t="shared" si="242"/>
        <v>0</v>
      </c>
      <c r="QQB84" s="79">
        <f t="shared" si="242"/>
        <v>0</v>
      </c>
      <c r="QQC84" s="145" t="s">
        <v>96</v>
      </c>
      <c r="QQF84" s="79">
        <f>QQF18+QQF24+QQF29+QQF30</f>
        <v>0</v>
      </c>
      <c r="QQG84" s="79">
        <f t="shared" si="242"/>
        <v>0</v>
      </c>
      <c r="QQH84" s="79">
        <f t="shared" si="242"/>
        <v>0</v>
      </c>
      <c r="QQI84" s="79">
        <f t="shared" si="242"/>
        <v>0</v>
      </c>
      <c r="QQJ84" s="79">
        <f t="shared" si="242"/>
        <v>0</v>
      </c>
      <c r="QQK84" s="79">
        <f t="shared" si="242"/>
        <v>0</v>
      </c>
      <c r="QQL84" s="79">
        <f t="shared" si="242"/>
        <v>0</v>
      </c>
      <c r="QQM84" s="79">
        <f t="shared" si="242"/>
        <v>0</v>
      </c>
      <c r="QQN84" s="79">
        <f t="shared" si="242"/>
        <v>0</v>
      </c>
      <c r="QQO84" s="79">
        <f t="shared" si="242"/>
        <v>0</v>
      </c>
      <c r="QQP84" s="79">
        <f t="shared" si="242"/>
        <v>0</v>
      </c>
      <c r="QQQ84" s="79">
        <f t="shared" si="242"/>
        <v>0</v>
      </c>
      <c r="QQR84" s="79">
        <f t="shared" si="242"/>
        <v>0</v>
      </c>
      <c r="QQS84" s="145" t="s">
        <v>96</v>
      </c>
      <c r="QQV84" s="79">
        <f>QQV18+QQV24+QQV29+QQV30</f>
        <v>0</v>
      </c>
      <c r="QQW84" s="79">
        <f t="shared" si="242"/>
        <v>0</v>
      </c>
      <c r="QQX84" s="79">
        <f t="shared" si="242"/>
        <v>0</v>
      </c>
      <c r="QQY84" s="79">
        <f t="shared" si="242"/>
        <v>0</v>
      </c>
      <c r="QQZ84" s="79">
        <f t="shared" si="242"/>
        <v>0</v>
      </c>
      <c r="QRA84" s="79">
        <f t="shared" si="242"/>
        <v>0</v>
      </c>
      <c r="QRB84" s="79">
        <f t="shared" si="242"/>
        <v>0</v>
      </c>
      <c r="QRC84" s="79">
        <f t="shared" si="242"/>
        <v>0</v>
      </c>
      <c r="QRD84" s="79">
        <f t="shared" si="242"/>
        <v>0</v>
      </c>
      <c r="QRE84" s="79">
        <f t="shared" si="242"/>
        <v>0</v>
      </c>
      <c r="QRF84" s="79">
        <f t="shared" si="242"/>
        <v>0</v>
      </c>
      <c r="QRG84" s="79">
        <f t="shared" si="242"/>
        <v>0</v>
      </c>
      <c r="QRH84" s="79">
        <f t="shared" si="242"/>
        <v>0</v>
      </c>
      <c r="QRI84" s="145" t="s">
        <v>96</v>
      </c>
      <c r="QRL84" s="79">
        <f>QRL18+QRL24+QRL29+QRL30</f>
        <v>0</v>
      </c>
      <c r="QRM84" s="79">
        <f t="shared" ref="QRM84:QTT84" si="243">QRM18+QRM24+QRM29+QRM30</f>
        <v>0</v>
      </c>
      <c r="QRN84" s="79">
        <f t="shared" si="243"/>
        <v>0</v>
      </c>
      <c r="QRO84" s="79">
        <f t="shared" si="243"/>
        <v>0</v>
      </c>
      <c r="QRP84" s="79">
        <f t="shared" si="243"/>
        <v>0</v>
      </c>
      <c r="QRQ84" s="79">
        <f t="shared" si="243"/>
        <v>0</v>
      </c>
      <c r="QRR84" s="79">
        <f t="shared" si="243"/>
        <v>0</v>
      </c>
      <c r="QRS84" s="79">
        <f t="shared" si="243"/>
        <v>0</v>
      </c>
      <c r="QRT84" s="79">
        <f t="shared" si="243"/>
        <v>0</v>
      </c>
      <c r="QRU84" s="79">
        <f t="shared" si="243"/>
        <v>0</v>
      </c>
      <c r="QRV84" s="79">
        <f t="shared" si="243"/>
        <v>0</v>
      </c>
      <c r="QRW84" s="79">
        <f t="shared" si="243"/>
        <v>0</v>
      </c>
      <c r="QRX84" s="79">
        <f t="shared" si="243"/>
        <v>0</v>
      </c>
      <c r="QRY84" s="145" t="s">
        <v>96</v>
      </c>
      <c r="QSB84" s="79">
        <f>QSB18+QSB24+QSB29+QSB30</f>
        <v>0</v>
      </c>
      <c r="QSC84" s="79">
        <f t="shared" si="243"/>
        <v>0</v>
      </c>
      <c r="QSD84" s="79">
        <f t="shared" si="243"/>
        <v>0</v>
      </c>
      <c r="QSE84" s="79">
        <f t="shared" si="243"/>
        <v>0</v>
      </c>
      <c r="QSF84" s="79">
        <f t="shared" si="243"/>
        <v>0</v>
      </c>
      <c r="QSG84" s="79">
        <f t="shared" si="243"/>
        <v>0</v>
      </c>
      <c r="QSH84" s="79">
        <f t="shared" si="243"/>
        <v>0</v>
      </c>
      <c r="QSI84" s="79">
        <f t="shared" si="243"/>
        <v>0</v>
      </c>
      <c r="QSJ84" s="79">
        <f t="shared" si="243"/>
        <v>0</v>
      </c>
      <c r="QSK84" s="79">
        <f t="shared" si="243"/>
        <v>0</v>
      </c>
      <c r="QSL84" s="79">
        <f t="shared" si="243"/>
        <v>0</v>
      </c>
      <c r="QSM84" s="79">
        <f t="shared" si="243"/>
        <v>0</v>
      </c>
      <c r="QSN84" s="79">
        <f t="shared" si="243"/>
        <v>0</v>
      </c>
      <c r="QSO84" s="145" t="s">
        <v>96</v>
      </c>
      <c r="QSR84" s="79">
        <f>QSR18+QSR24+QSR29+QSR30</f>
        <v>0</v>
      </c>
      <c r="QSS84" s="79">
        <f t="shared" si="243"/>
        <v>0</v>
      </c>
      <c r="QST84" s="79">
        <f t="shared" si="243"/>
        <v>0</v>
      </c>
      <c r="QSU84" s="79">
        <f t="shared" si="243"/>
        <v>0</v>
      </c>
      <c r="QSV84" s="79">
        <f t="shared" si="243"/>
        <v>0</v>
      </c>
      <c r="QSW84" s="79">
        <f t="shared" si="243"/>
        <v>0</v>
      </c>
      <c r="QSX84" s="79">
        <f t="shared" si="243"/>
        <v>0</v>
      </c>
      <c r="QSY84" s="79">
        <f t="shared" si="243"/>
        <v>0</v>
      </c>
      <c r="QSZ84" s="79">
        <f t="shared" si="243"/>
        <v>0</v>
      </c>
      <c r="QTA84" s="79">
        <f t="shared" si="243"/>
        <v>0</v>
      </c>
      <c r="QTB84" s="79">
        <f t="shared" si="243"/>
        <v>0</v>
      </c>
      <c r="QTC84" s="79">
        <f t="shared" si="243"/>
        <v>0</v>
      </c>
      <c r="QTD84" s="79">
        <f t="shared" si="243"/>
        <v>0</v>
      </c>
      <c r="QTE84" s="145" t="s">
        <v>96</v>
      </c>
      <c r="QTH84" s="79">
        <f>QTH18+QTH24+QTH29+QTH30</f>
        <v>0</v>
      </c>
      <c r="QTI84" s="79">
        <f t="shared" si="243"/>
        <v>0</v>
      </c>
      <c r="QTJ84" s="79">
        <f t="shared" si="243"/>
        <v>0</v>
      </c>
      <c r="QTK84" s="79">
        <f t="shared" si="243"/>
        <v>0</v>
      </c>
      <c r="QTL84" s="79">
        <f t="shared" si="243"/>
        <v>0</v>
      </c>
      <c r="QTM84" s="79">
        <f t="shared" si="243"/>
        <v>0</v>
      </c>
      <c r="QTN84" s="79">
        <f t="shared" si="243"/>
        <v>0</v>
      </c>
      <c r="QTO84" s="79">
        <f t="shared" si="243"/>
        <v>0</v>
      </c>
      <c r="QTP84" s="79">
        <f t="shared" si="243"/>
        <v>0</v>
      </c>
      <c r="QTQ84" s="79">
        <f t="shared" si="243"/>
        <v>0</v>
      </c>
      <c r="QTR84" s="79">
        <f t="shared" si="243"/>
        <v>0</v>
      </c>
      <c r="QTS84" s="79">
        <f t="shared" si="243"/>
        <v>0</v>
      </c>
      <c r="QTT84" s="79">
        <f t="shared" si="243"/>
        <v>0</v>
      </c>
      <c r="QTU84" s="145" t="s">
        <v>96</v>
      </c>
      <c r="QTX84" s="79">
        <f>QTX18+QTX24+QTX29+QTX30</f>
        <v>0</v>
      </c>
      <c r="QTY84" s="79">
        <f t="shared" ref="QTY84:QWF84" si="244">QTY18+QTY24+QTY29+QTY30</f>
        <v>0</v>
      </c>
      <c r="QTZ84" s="79">
        <f t="shared" si="244"/>
        <v>0</v>
      </c>
      <c r="QUA84" s="79">
        <f t="shared" si="244"/>
        <v>0</v>
      </c>
      <c r="QUB84" s="79">
        <f t="shared" si="244"/>
        <v>0</v>
      </c>
      <c r="QUC84" s="79">
        <f t="shared" si="244"/>
        <v>0</v>
      </c>
      <c r="QUD84" s="79">
        <f t="shared" si="244"/>
        <v>0</v>
      </c>
      <c r="QUE84" s="79">
        <f t="shared" si="244"/>
        <v>0</v>
      </c>
      <c r="QUF84" s="79">
        <f t="shared" si="244"/>
        <v>0</v>
      </c>
      <c r="QUG84" s="79">
        <f t="shared" si="244"/>
        <v>0</v>
      </c>
      <c r="QUH84" s="79">
        <f t="shared" si="244"/>
        <v>0</v>
      </c>
      <c r="QUI84" s="79">
        <f t="shared" si="244"/>
        <v>0</v>
      </c>
      <c r="QUJ84" s="79">
        <f t="shared" si="244"/>
        <v>0</v>
      </c>
      <c r="QUK84" s="145" t="s">
        <v>96</v>
      </c>
      <c r="QUN84" s="79">
        <f>QUN18+QUN24+QUN29+QUN30</f>
        <v>0</v>
      </c>
      <c r="QUO84" s="79">
        <f t="shared" si="244"/>
        <v>0</v>
      </c>
      <c r="QUP84" s="79">
        <f t="shared" si="244"/>
        <v>0</v>
      </c>
      <c r="QUQ84" s="79">
        <f t="shared" si="244"/>
        <v>0</v>
      </c>
      <c r="QUR84" s="79">
        <f t="shared" si="244"/>
        <v>0</v>
      </c>
      <c r="QUS84" s="79">
        <f t="shared" si="244"/>
        <v>0</v>
      </c>
      <c r="QUT84" s="79">
        <f t="shared" si="244"/>
        <v>0</v>
      </c>
      <c r="QUU84" s="79">
        <f t="shared" si="244"/>
        <v>0</v>
      </c>
      <c r="QUV84" s="79">
        <f t="shared" si="244"/>
        <v>0</v>
      </c>
      <c r="QUW84" s="79">
        <f t="shared" si="244"/>
        <v>0</v>
      </c>
      <c r="QUX84" s="79">
        <f t="shared" si="244"/>
        <v>0</v>
      </c>
      <c r="QUY84" s="79">
        <f t="shared" si="244"/>
        <v>0</v>
      </c>
      <c r="QUZ84" s="79">
        <f t="shared" si="244"/>
        <v>0</v>
      </c>
      <c r="QVA84" s="145" t="s">
        <v>96</v>
      </c>
      <c r="QVD84" s="79">
        <f>QVD18+QVD24+QVD29+QVD30</f>
        <v>0</v>
      </c>
      <c r="QVE84" s="79">
        <f t="shared" si="244"/>
        <v>0</v>
      </c>
      <c r="QVF84" s="79">
        <f t="shared" si="244"/>
        <v>0</v>
      </c>
      <c r="QVG84" s="79">
        <f t="shared" si="244"/>
        <v>0</v>
      </c>
      <c r="QVH84" s="79">
        <f t="shared" si="244"/>
        <v>0</v>
      </c>
      <c r="QVI84" s="79">
        <f t="shared" si="244"/>
        <v>0</v>
      </c>
      <c r="QVJ84" s="79">
        <f t="shared" si="244"/>
        <v>0</v>
      </c>
      <c r="QVK84" s="79">
        <f t="shared" si="244"/>
        <v>0</v>
      </c>
      <c r="QVL84" s="79">
        <f t="shared" si="244"/>
        <v>0</v>
      </c>
      <c r="QVM84" s="79">
        <f t="shared" si="244"/>
        <v>0</v>
      </c>
      <c r="QVN84" s="79">
        <f t="shared" si="244"/>
        <v>0</v>
      </c>
      <c r="QVO84" s="79">
        <f t="shared" si="244"/>
        <v>0</v>
      </c>
      <c r="QVP84" s="79">
        <f t="shared" si="244"/>
        <v>0</v>
      </c>
      <c r="QVQ84" s="145" t="s">
        <v>96</v>
      </c>
      <c r="QVT84" s="79">
        <f>QVT18+QVT24+QVT29+QVT30</f>
        <v>0</v>
      </c>
      <c r="QVU84" s="79">
        <f t="shared" si="244"/>
        <v>0</v>
      </c>
      <c r="QVV84" s="79">
        <f t="shared" si="244"/>
        <v>0</v>
      </c>
      <c r="QVW84" s="79">
        <f t="shared" si="244"/>
        <v>0</v>
      </c>
      <c r="QVX84" s="79">
        <f t="shared" si="244"/>
        <v>0</v>
      </c>
      <c r="QVY84" s="79">
        <f t="shared" si="244"/>
        <v>0</v>
      </c>
      <c r="QVZ84" s="79">
        <f t="shared" si="244"/>
        <v>0</v>
      </c>
      <c r="QWA84" s="79">
        <f t="shared" si="244"/>
        <v>0</v>
      </c>
      <c r="QWB84" s="79">
        <f t="shared" si="244"/>
        <v>0</v>
      </c>
      <c r="QWC84" s="79">
        <f t="shared" si="244"/>
        <v>0</v>
      </c>
      <c r="QWD84" s="79">
        <f t="shared" si="244"/>
        <v>0</v>
      </c>
      <c r="QWE84" s="79">
        <f t="shared" si="244"/>
        <v>0</v>
      </c>
      <c r="QWF84" s="79">
        <f t="shared" si="244"/>
        <v>0</v>
      </c>
      <c r="QWG84" s="145" t="s">
        <v>96</v>
      </c>
      <c r="QWJ84" s="79">
        <f>QWJ18+QWJ24+QWJ29+QWJ30</f>
        <v>0</v>
      </c>
      <c r="QWK84" s="79">
        <f t="shared" ref="QWK84:QYR84" si="245">QWK18+QWK24+QWK29+QWK30</f>
        <v>0</v>
      </c>
      <c r="QWL84" s="79">
        <f t="shared" si="245"/>
        <v>0</v>
      </c>
      <c r="QWM84" s="79">
        <f t="shared" si="245"/>
        <v>0</v>
      </c>
      <c r="QWN84" s="79">
        <f t="shared" si="245"/>
        <v>0</v>
      </c>
      <c r="QWO84" s="79">
        <f t="shared" si="245"/>
        <v>0</v>
      </c>
      <c r="QWP84" s="79">
        <f t="shared" si="245"/>
        <v>0</v>
      </c>
      <c r="QWQ84" s="79">
        <f t="shared" si="245"/>
        <v>0</v>
      </c>
      <c r="QWR84" s="79">
        <f t="shared" si="245"/>
        <v>0</v>
      </c>
      <c r="QWS84" s="79">
        <f t="shared" si="245"/>
        <v>0</v>
      </c>
      <c r="QWT84" s="79">
        <f t="shared" si="245"/>
        <v>0</v>
      </c>
      <c r="QWU84" s="79">
        <f t="shared" si="245"/>
        <v>0</v>
      </c>
      <c r="QWV84" s="79">
        <f t="shared" si="245"/>
        <v>0</v>
      </c>
      <c r="QWW84" s="145" t="s">
        <v>96</v>
      </c>
      <c r="QWZ84" s="79">
        <f>QWZ18+QWZ24+QWZ29+QWZ30</f>
        <v>0</v>
      </c>
      <c r="QXA84" s="79">
        <f t="shared" si="245"/>
        <v>0</v>
      </c>
      <c r="QXB84" s="79">
        <f t="shared" si="245"/>
        <v>0</v>
      </c>
      <c r="QXC84" s="79">
        <f t="shared" si="245"/>
        <v>0</v>
      </c>
      <c r="QXD84" s="79">
        <f t="shared" si="245"/>
        <v>0</v>
      </c>
      <c r="QXE84" s="79">
        <f t="shared" si="245"/>
        <v>0</v>
      </c>
      <c r="QXF84" s="79">
        <f t="shared" si="245"/>
        <v>0</v>
      </c>
      <c r="QXG84" s="79">
        <f t="shared" si="245"/>
        <v>0</v>
      </c>
      <c r="QXH84" s="79">
        <f t="shared" si="245"/>
        <v>0</v>
      </c>
      <c r="QXI84" s="79">
        <f t="shared" si="245"/>
        <v>0</v>
      </c>
      <c r="QXJ84" s="79">
        <f t="shared" si="245"/>
        <v>0</v>
      </c>
      <c r="QXK84" s="79">
        <f t="shared" si="245"/>
        <v>0</v>
      </c>
      <c r="QXL84" s="79">
        <f t="shared" si="245"/>
        <v>0</v>
      </c>
      <c r="QXM84" s="145" t="s">
        <v>96</v>
      </c>
      <c r="QXP84" s="79">
        <f>QXP18+QXP24+QXP29+QXP30</f>
        <v>0</v>
      </c>
      <c r="QXQ84" s="79">
        <f t="shared" si="245"/>
        <v>0</v>
      </c>
      <c r="QXR84" s="79">
        <f t="shared" si="245"/>
        <v>0</v>
      </c>
      <c r="QXS84" s="79">
        <f t="shared" si="245"/>
        <v>0</v>
      </c>
      <c r="QXT84" s="79">
        <f t="shared" si="245"/>
        <v>0</v>
      </c>
      <c r="QXU84" s="79">
        <f t="shared" si="245"/>
        <v>0</v>
      </c>
      <c r="QXV84" s="79">
        <f t="shared" si="245"/>
        <v>0</v>
      </c>
      <c r="QXW84" s="79">
        <f t="shared" si="245"/>
        <v>0</v>
      </c>
      <c r="QXX84" s="79">
        <f t="shared" si="245"/>
        <v>0</v>
      </c>
      <c r="QXY84" s="79">
        <f t="shared" si="245"/>
        <v>0</v>
      </c>
      <c r="QXZ84" s="79">
        <f t="shared" si="245"/>
        <v>0</v>
      </c>
      <c r="QYA84" s="79">
        <f t="shared" si="245"/>
        <v>0</v>
      </c>
      <c r="QYB84" s="79">
        <f t="shared" si="245"/>
        <v>0</v>
      </c>
      <c r="QYC84" s="145" t="s">
        <v>96</v>
      </c>
      <c r="QYF84" s="79">
        <f>QYF18+QYF24+QYF29+QYF30</f>
        <v>0</v>
      </c>
      <c r="QYG84" s="79">
        <f t="shared" si="245"/>
        <v>0</v>
      </c>
      <c r="QYH84" s="79">
        <f t="shared" si="245"/>
        <v>0</v>
      </c>
      <c r="QYI84" s="79">
        <f t="shared" si="245"/>
        <v>0</v>
      </c>
      <c r="QYJ84" s="79">
        <f t="shared" si="245"/>
        <v>0</v>
      </c>
      <c r="QYK84" s="79">
        <f t="shared" si="245"/>
        <v>0</v>
      </c>
      <c r="QYL84" s="79">
        <f t="shared" si="245"/>
        <v>0</v>
      </c>
      <c r="QYM84" s="79">
        <f t="shared" si="245"/>
        <v>0</v>
      </c>
      <c r="QYN84" s="79">
        <f t="shared" si="245"/>
        <v>0</v>
      </c>
      <c r="QYO84" s="79">
        <f t="shared" si="245"/>
        <v>0</v>
      </c>
      <c r="QYP84" s="79">
        <f t="shared" si="245"/>
        <v>0</v>
      </c>
      <c r="QYQ84" s="79">
        <f t="shared" si="245"/>
        <v>0</v>
      </c>
      <c r="QYR84" s="79">
        <f t="shared" si="245"/>
        <v>0</v>
      </c>
      <c r="QYS84" s="145" t="s">
        <v>96</v>
      </c>
      <c r="QYV84" s="79">
        <f>QYV18+QYV24+QYV29+QYV30</f>
        <v>0</v>
      </c>
      <c r="QYW84" s="79">
        <f t="shared" ref="QYW84:RBD84" si="246">QYW18+QYW24+QYW29+QYW30</f>
        <v>0</v>
      </c>
      <c r="QYX84" s="79">
        <f t="shared" si="246"/>
        <v>0</v>
      </c>
      <c r="QYY84" s="79">
        <f t="shared" si="246"/>
        <v>0</v>
      </c>
      <c r="QYZ84" s="79">
        <f t="shared" si="246"/>
        <v>0</v>
      </c>
      <c r="QZA84" s="79">
        <f t="shared" si="246"/>
        <v>0</v>
      </c>
      <c r="QZB84" s="79">
        <f t="shared" si="246"/>
        <v>0</v>
      </c>
      <c r="QZC84" s="79">
        <f t="shared" si="246"/>
        <v>0</v>
      </c>
      <c r="QZD84" s="79">
        <f t="shared" si="246"/>
        <v>0</v>
      </c>
      <c r="QZE84" s="79">
        <f t="shared" si="246"/>
        <v>0</v>
      </c>
      <c r="QZF84" s="79">
        <f t="shared" si="246"/>
        <v>0</v>
      </c>
      <c r="QZG84" s="79">
        <f t="shared" si="246"/>
        <v>0</v>
      </c>
      <c r="QZH84" s="79">
        <f t="shared" si="246"/>
        <v>0</v>
      </c>
      <c r="QZI84" s="145" t="s">
        <v>96</v>
      </c>
      <c r="QZL84" s="79">
        <f>QZL18+QZL24+QZL29+QZL30</f>
        <v>0</v>
      </c>
      <c r="QZM84" s="79">
        <f t="shared" si="246"/>
        <v>0</v>
      </c>
      <c r="QZN84" s="79">
        <f t="shared" si="246"/>
        <v>0</v>
      </c>
      <c r="QZO84" s="79">
        <f t="shared" si="246"/>
        <v>0</v>
      </c>
      <c r="QZP84" s="79">
        <f t="shared" si="246"/>
        <v>0</v>
      </c>
      <c r="QZQ84" s="79">
        <f t="shared" si="246"/>
        <v>0</v>
      </c>
      <c r="QZR84" s="79">
        <f t="shared" si="246"/>
        <v>0</v>
      </c>
      <c r="QZS84" s="79">
        <f t="shared" si="246"/>
        <v>0</v>
      </c>
      <c r="QZT84" s="79">
        <f t="shared" si="246"/>
        <v>0</v>
      </c>
      <c r="QZU84" s="79">
        <f t="shared" si="246"/>
        <v>0</v>
      </c>
      <c r="QZV84" s="79">
        <f t="shared" si="246"/>
        <v>0</v>
      </c>
      <c r="QZW84" s="79">
        <f t="shared" si="246"/>
        <v>0</v>
      </c>
      <c r="QZX84" s="79">
        <f t="shared" si="246"/>
        <v>0</v>
      </c>
      <c r="QZY84" s="145" t="s">
        <v>96</v>
      </c>
      <c r="RAB84" s="79">
        <f>RAB18+RAB24+RAB29+RAB30</f>
        <v>0</v>
      </c>
      <c r="RAC84" s="79">
        <f t="shared" si="246"/>
        <v>0</v>
      </c>
      <c r="RAD84" s="79">
        <f t="shared" si="246"/>
        <v>0</v>
      </c>
      <c r="RAE84" s="79">
        <f t="shared" si="246"/>
        <v>0</v>
      </c>
      <c r="RAF84" s="79">
        <f t="shared" si="246"/>
        <v>0</v>
      </c>
      <c r="RAG84" s="79">
        <f t="shared" si="246"/>
        <v>0</v>
      </c>
      <c r="RAH84" s="79">
        <f t="shared" si="246"/>
        <v>0</v>
      </c>
      <c r="RAI84" s="79">
        <f t="shared" si="246"/>
        <v>0</v>
      </c>
      <c r="RAJ84" s="79">
        <f t="shared" si="246"/>
        <v>0</v>
      </c>
      <c r="RAK84" s="79">
        <f t="shared" si="246"/>
        <v>0</v>
      </c>
      <c r="RAL84" s="79">
        <f t="shared" si="246"/>
        <v>0</v>
      </c>
      <c r="RAM84" s="79">
        <f t="shared" si="246"/>
        <v>0</v>
      </c>
      <c r="RAN84" s="79">
        <f t="shared" si="246"/>
        <v>0</v>
      </c>
      <c r="RAO84" s="145" t="s">
        <v>96</v>
      </c>
      <c r="RAR84" s="79">
        <f>RAR18+RAR24+RAR29+RAR30</f>
        <v>0</v>
      </c>
      <c r="RAS84" s="79">
        <f t="shared" si="246"/>
        <v>0</v>
      </c>
      <c r="RAT84" s="79">
        <f t="shared" si="246"/>
        <v>0</v>
      </c>
      <c r="RAU84" s="79">
        <f t="shared" si="246"/>
        <v>0</v>
      </c>
      <c r="RAV84" s="79">
        <f t="shared" si="246"/>
        <v>0</v>
      </c>
      <c r="RAW84" s="79">
        <f t="shared" si="246"/>
        <v>0</v>
      </c>
      <c r="RAX84" s="79">
        <f t="shared" si="246"/>
        <v>0</v>
      </c>
      <c r="RAY84" s="79">
        <f t="shared" si="246"/>
        <v>0</v>
      </c>
      <c r="RAZ84" s="79">
        <f t="shared" si="246"/>
        <v>0</v>
      </c>
      <c r="RBA84" s="79">
        <f t="shared" si="246"/>
        <v>0</v>
      </c>
      <c r="RBB84" s="79">
        <f t="shared" si="246"/>
        <v>0</v>
      </c>
      <c r="RBC84" s="79">
        <f t="shared" si="246"/>
        <v>0</v>
      </c>
      <c r="RBD84" s="79">
        <f t="shared" si="246"/>
        <v>0</v>
      </c>
      <c r="RBE84" s="145" t="s">
        <v>96</v>
      </c>
      <c r="RBH84" s="79">
        <f>RBH18+RBH24+RBH29+RBH30</f>
        <v>0</v>
      </c>
      <c r="RBI84" s="79">
        <f t="shared" ref="RBI84:RDP84" si="247">RBI18+RBI24+RBI29+RBI30</f>
        <v>0</v>
      </c>
      <c r="RBJ84" s="79">
        <f t="shared" si="247"/>
        <v>0</v>
      </c>
      <c r="RBK84" s="79">
        <f t="shared" si="247"/>
        <v>0</v>
      </c>
      <c r="RBL84" s="79">
        <f t="shared" si="247"/>
        <v>0</v>
      </c>
      <c r="RBM84" s="79">
        <f t="shared" si="247"/>
        <v>0</v>
      </c>
      <c r="RBN84" s="79">
        <f t="shared" si="247"/>
        <v>0</v>
      </c>
      <c r="RBO84" s="79">
        <f t="shared" si="247"/>
        <v>0</v>
      </c>
      <c r="RBP84" s="79">
        <f t="shared" si="247"/>
        <v>0</v>
      </c>
      <c r="RBQ84" s="79">
        <f t="shared" si="247"/>
        <v>0</v>
      </c>
      <c r="RBR84" s="79">
        <f t="shared" si="247"/>
        <v>0</v>
      </c>
      <c r="RBS84" s="79">
        <f t="shared" si="247"/>
        <v>0</v>
      </c>
      <c r="RBT84" s="79">
        <f t="shared" si="247"/>
        <v>0</v>
      </c>
      <c r="RBU84" s="145" t="s">
        <v>96</v>
      </c>
      <c r="RBX84" s="79">
        <f>RBX18+RBX24+RBX29+RBX30</f>
        <v>0</v>
      </c>
      <c r="RBY84" s="79">
        <f t="shared" si="247"/>
        <v>0</v>
      </c>
      <c r="RBZ84" s="79">
        <f t="shared" si="247"/>
        <v>0</v>
      </c>
      <c r="RCA84" s="79">
        <f t="shared" si="247"/>
        <v>0</v>
      </c>
      <c r="RCB84" s="79">
        <f t="shared" si="247"/>
        <v>0</v>
      </c>
      <c r="RCC84" s="79">
        <f t="shared" si="247"/>
        <v>0</v>
      </c>
      <c r="RCD84" s="79">
        <f t="shared" si="247"/>
        <v>0</v>
      </c>
      <c r="RCE84" s="79">
        <f t="shared" si="247"/>
        <v>0</v>
      </c>
      <c r="RCF84" s="79">
        <f t="shared" si="247"/>
        <v>0</v>
      </c>
      <c r="RCG84" s="79">
        <f t="shared" si="247"/>
        <v>0</v>
      </c>
      <c r="RCH84" s="79">
        <f t="shared" si="247"/>
        <v>0</v>
      </c>
      <c r="RCI84" s="79">
        <f t="shared" si="247"/>
        <v>0</v>
      </c>
      <c r="RCJ84" s="79">
        <f t="shared" si="247"/>
        <v>0</v>
      </c>
      <c r="RCK84" s="145" t="s">
        <v>96</v>
      </c>
      <c r="RCN84" s="79">
        <f>RCN18+RCN24+RCN29+RCN30</f>
        <v>0</v>
      </c>
      <c r="RCO84" s="79">
        <f t="shared" si="247"/>
        <v>0</v>
      </c>
      <c r="RCP84" s="79">
        <f t="shared" si="247"/>
        <v>0</v>
      </c>
      <c r="RCQ84" s="79">
        <f t="shared" si="247"/>
        <v>0</v>
      </c>
      <c r="RCR84" s="79">
        <f t="shared" si="247"/>
        <v>0</v>
      </c>
      <c r="RCS84" s="79">
        <f t="shared" si="247"/>
        <v>0</v>
      </c>
      <c r="RCT84" s="79">
        <f t="shared" si="247"/>
        <v>0</v>
      </c>
      <c r="RCU84" s="79">
        <f t="shared" si="247"/>
        <v>0</v>
      </c>
      <c r="RCV84" s="79">
        <f t="shared" si="247"/>
        <v>0</v>
      </c>
      <c r="RCW84" s="79">
        <f t="shared" si="247"/>
        <v>0</v>
      </c>
      <c r="RCX84" s="79">
        <f t="shared" si="247"/>
        <v>0</v>
      </c>
      <c r="RCY84" s="79">
        <f t="shared" si="247"/>
        <v>0</v>
      </c>
      <c r="RCZ84" s="79">
        <f t="shared" si="247"/>
        <v>0</v>
      </c>
      <c r="RDA84" s="145" t="s">
        <v>96</v>
      </c>
      <c r="RDD84" s="79">
        <f>RDD18+RDD24+RDD29+RDD30</f>
        <v>0</v>
      </c>
      <c r="RDE84" s="79">
        <f t="shared" si="247"/>
        <v>0</v>
      </c>
      <c r="RDF84" s="79">
        <f t="shared" si="247"/>
        <v>0</v>
      </c>
      <c r="RDG84" s="79">
        <f t="shared" si="247"/>
        <v>0</v>
      </c>
      <c r="RDH84" s="79">
        <f t="shared" si="247"/>
        <v>0</v>
      </c>
      <c r="RDI84" s="79">
        <f t="shared" si="247"/>
        <v>0</v>
      </c>
      <c r="RDJ84" s="79">
        <f t="shared" si="247"/>
        <v>0</v>
      </c>
      <c r="RDK84" s="79">
        <f t="shared" si="247"/>
        <v>0</v>
      </c>
      <c r="RDL84" s="79">
        <f t="shared" si="247"/>
        <v>0</v>
      </c>
      <c r="RDM84" s="79">
        <f t="shared" si="247"/>
        <v>0</v>
      </c>
      <c r="RDN84" s="79">
        <f t="shared" si="247"/>
        <v>0</v>
      </c>
      <c r="RDO84" s="79">
        <f t="shared" si="247"/>
        <v>0</v>
      </c>
      <c r="RDP84" s="79">
        <f t="shared" si="247"/>
        <v>0</v>
      </c>
      <c r="RDQ84" s="145" t="s">
        <v>96</v>
      </c>
      <c r="RDT84" s="79">
        <f>RDT18+RDT24+RDT29+RDT30</f>
        <v>0</v>
      </c>
      <c r="RDU84" s="79">
        <f t="shared" ref="RDU84:RGB84" si="248">RDU18+RDU24+RDU29+RDU30</f>
        <v>0</v>
      </c>
      <c r="RDV84" s="79">
        <f t="shared" si="248"/>
        <v>0</v>
      </c>
      <c r="RDW84" s="79">
        <f t="shared" si="248"/>
        <v>0</v>
      </c>
      <c r="RDX84" s="79">
        <f t="shared" si="248"/>
        <v>0</v>
      </c>
      <c r="RDY84" s="79">
        <f t="shared" si="248"/>
        <v>0</v>
      </c>
      <c r="RDZ84" s="79">
        <f t="shared" si="248"/>
        <v>0</v>
      </c>
      <c r="REA84" s="79">
        <f t="shared" si="248"/>
        <v>0</v>
      </c>
      <c r="REB84" s="79">
        <f t="shared" si="248"/>
        <v>0</v>
      </c>
      <c r="REC84" s="79">
        <f t="shared" si="248"/>
        <v>0</v>
      </c>
      <c r="RED84" s="79">
        <f t="shared" si="248"/>
        <v>0</v>
      </c>
      <c r="REE84" s="79">
        <f t="shared" si="248"/>
        <v>0</v>
      </c>
      <c r="REF84" s="79">
        <f t="shared" si="248"/>
        <v>0</v>
      </c>
      <c r="REG84" s="145" t="s">
        <v>96</v>
      </c>
      <c r="REJ84" s="79">
        <f>REJ18+REJ24+REJ29+REJ30</f>
        <v>0</v>
      </c>
      <c r="REK84" s="79">
        <f t="shared" si="248"/>
        <v>0</v>
      </c>
      <c r="REL84" s="79">
        <f t="shared" si="248"/>
        <v>0</v>
      </c>
      <c r="REM84" s="79">
        <f t="shared" si="248"/>
        <v>0</v>
      </c>
      <c r="REN84" s="79">
        <f t="shared" si="248"/>
        <v>0</v>
      </c>
      <c r="REO84" s="79">
        <f t="shared" si="248"/>
        <v>0</v>
      </c>
      <c r="REP84" s="79">
        <f t="shared" si="248"/>
        <v>0</v>
      </c>
      <c r="REQ84" s="79">
        <f t="shared" si="248"/>
        <v>0</v>
      </c>
      <c r="RER84" s="79">
        <f t="shared" si="248"/>
        <v>0</v>
      </c>
      <c r="RES84" s="79">
        <f t="shared" si="248"/>
        <v>0</v>
      </c>
      <c r="RET84" s="79">
        <f t="shared" si="248"/>
        <v>0</v>
      </c>
      <c r="REU84" s="79">
        <f t="shared" si="248"/>
        <v>0</v>
      </c>
      <c r="REV84" s="79">
        <f t="shared" si="248"/>
        <v>0</v>
      </c>
      <c r="REW84" s="145" t="s">
        <v>96</v>
      </c>
      <c r="REZ84" s="79">
        <f>REZ18+REZ24+REZ29+REZ30</f>
        <v>0</v>
      </c>
      <c r="RFA84" s="79">
        <f t="shared" si="248"/>
        <v>0</v>
      </c>
      <c r="RFB84" s="79">
        <f t="shared" si="248"/>
        <v>0</v>
      </c>
      <c r="RFC84" s="79">
        <f t="shared" si="248"/>
        <v>0</v>
      </c>
      <c r="RFD84" s="79">
        <f t="shared" si="248"/>
        <v>0</v>
      </c>
      <c r="RFE84" s="79">
        <f t="shared" si="248"/>
        <v>0</v>
      </c>
      <c r="RFF84" s="79">
        <f t="shared" si="248"/>
        <v>0</v>
      </c>
      <c r="RFG84" s="79">
        <f t="shared" si="248"/>
        <v>0</v>
      </c>
      <c r="RFH84" s="79">
        <f t="shared" si="248"/>
        <v>0</v>
      </c>
      <c r="RFI84" s="79">
        <f t="shared" si="248"/>
        <v>0</v>
      </c>
      <c r="RFJ84" s="79">
        <f t="shared" si="248"/>
        <v>0</v>
      </c>
      <c r="RFK84" s="79">
        <f t="shared" si="248"/>
        <v>0</v>
      </c>
      <c r="RFL84" s="79">
        <f t="shared" si="248"/>
        <v>0</v>
      </c>
      <c r="RFM84" s="145" t="s">
        <v>96</v>
      </c>
      <c r="RFP84" s="79">
        <f>RFP18+RFP24+RFP29+RFP30</f>
        <v>0</v>
      </c>
      <c r="RFQ84" s="79">
        <f t="shared" si="248"/>
        <v>0</v>
      </c>
      <c r="RFR84" s="79">
        <f t="shared" si="248"/>
        <v>0</v>
      </c>
      <c r="RFS84" s="79">
        <f t="shared" si="248"/>
        <v>0</v>
      </c>
      <c r="RFT84" s="79">
        <f t="shared" si="248"/>
        <v>0</v>
      </c>
      <c r="RFU84" s="79">
        <f t="shared" si="248"/>
        <v>0</v>
      </c>
      <c r="RFV84" s="79">
        <f t="shared" si="248"/>
        <v>0</v>
      </c>
      <c r="RFW84" s="79">
        <f t="shared" si="248"/>
        <v>0</v>
      </c>
      <c r="RFX84" s="79">
        <f t="shared" si="248"/>
        <v>0</v>
      </c>
      <c r="RFY84" s="79">
        <f t="shared" si="248"/>
        <v>0</v>
      </c>
      <c r="RFZ84" s="79">
        <f t="shared" si="248"/>
        <v>0</v>
      </c>
      <c r="RGA84" s="79">
        <f t="shared" si="248"/>
        <v>0</v>
      </c>
      <c r="RGB84" s="79">
        <f t="shared" si="248"/>
        <v>0</v>
      </c>
      <c r="RGC84" s="145" t="s">
        <v>96</v>
      </c>
      <c r="RGF84" s="79">
        <f>RGF18+RGF24+RGF29+RGF30</f>
        <v>0</v>
      </c>
      <c r="RGG84" s="79">
        <f t="shared" ref="RGG84:RIN84" si="249">RGG18+RGG24+RGG29+RGG30</f>
        <v>0</v>
      </c>
      <c r="RGH84" s="79">
        <f t="shared" si="249"/>
        <v>0</v>
      </c>
      <c r="RGI84" s="79">
        <f t="shared" si="249"/>
        <v>0</v>
      </c>
      <c r="RGJ84" s="79">
        <f t="shared" si="249"/>
        <v>0</v>
      </c>
      <c r="RGK84" s="79">
        <f t="shared" si="249"/>
        <v>0</v>
      </c>
      <c r="RGL84" s="79">
        <f t="shared" si="249"/>
        <v>0</v>
      </c>
      <c r="RGM84" s="79">
        <f t="shared" si="249"/>
        <v>0</v>
      </c>
      <c r="RGN84" s="79">
        <f t="shared" si="249"/>
        <v>0</v>
      </c>
      <c r="RGO84" s="79">
        <f t="shared" si="249"/>
        <v>0</v>
      </c>
      <c r="RGP84" s="79">
        <f t="shared" si="249"/>
        <v>0</v>
      </c>
      <c r="RGQ84" s="79">
        <f t="shared" si="249"/>
        <v>0</v>
      </c>
      <c r="RGR84" s="79">
        <f t="shared" si="249"/>
        <v>0</v>
      </c>
      <c r="RGS84" s="145" t="s">
        <v>96</v>
      </c>
      <c r="RGV84" s="79">
        <f>RGV18+RGV24+RGV29+RGV30</f>
        <v>0</v>
      </c>
      <c r="RGW84" s="79">
        <f t="shared" si="249"/>
        <v>0</v>
      </c>
      <c r="RGX84" s="79">
        <f t="shared" si="249"/>
        <v>0</v>
      </c>
      <c r="RGY84" s="79">
        <f t="shared" si="249"/>
        <v>0</v>
      </c>
      <c r="RGZ84" s="79">
        <f t="shared" si="249"/>
        <v>0</v>
      </c>
      <c r="RHA84" s="79">
        <f t="shared" si="249"/>
        <v>0</v>
      </c>
      <c r="RHB84" s="79">
        <f t="shared" si="249"/>
        <v>0</v>
      </c>
      <c r="RHC84" s="79">
        <f t="shared" si="249"/>
        <v>0</v>
      </c>
      <c r="RHD84" s="79">
        <f t="shared" si="249"/>
        <v>0</v>
      </c>
      <c r="RHE84" s="79">
        <f t="shared" si="249"/>
        <v>0</v>
      </c>
      <c r="RHF84" s="79">
        <f t="shared" si="249"/>
        <v>0</v>
      </c>
      <c r="RHG84" s="79">
        <f t="shared" si="249"/>
        <v>0</v>
      </c>
      <c r="RHH84" s="79">
        <f t="shared" si="249"/>
        <v>0</v>
      </c>
      <c r="RHI84" s="145" t="s">
        <v>96</v>
      </c>
      <c r="RHL84" s="79">
        <f>RHL18+RHL24+RHL29+RHL30</f>
        <v>0</v>
      </c>
      <c r="RHM84" s="79">
        <f t="shared" si="249"/>
        <v>0</v>
      </c>
      <c r="RHN84" s="79">
        <f t="shared" si="249"/>
        <v>0</v>
      </c>
      <c r="RHO84" s="79">
        <f t="shared" si="249"/>
        <v>0</v>
      </c>
      <c r="RHP84" s="79">
        <f t="shared" si="249"/>
        <v>0</v>
      </c>
      <c r="RHQ84" s="79">
        <f t="shared" si="249"/>
        <v>0</v>
      </c>
      <c r="RHR84" s="79">
        <f t="shared" si="249"/>
        <v>0</v>
      </c>
      <c r="RHS84" s="79">
        <f t="shared" si="249"/>
        <v>0</v>
      </c>
      <c r="RHT84" s="79">
        <f t="shared" si="249"/>
        <v>0</v>
      </c>
      <c r="RHU84" s="79">
        <f t="shared" si="249"/>
        <v>0</v>
      </c>
      <c r="RHV84" s="79">
        <f t="shared" si="249"/>
        <v>0</v>
      </c>
      <c r="RHW84" s="79">
        <f t="shared" si="249"/>
        <v>0</v>
      </c>
      <c r="RHX84" s="79">
        <f t="shared" si="249"/>
        <v>0</v>
      </c>
      <c r="RHY84" s="145" t="s">
        <v>96</v>
      </c>
      <c r="RIB84" s="79">
        <f>RIB18+RIB24+RIB29+RIB30</f>
        <v>0</v>
      </c>
      <c r="RIC84" s="79">
        <f t="shared" si="249"/>
        <v>0</v>
      </c>
      <c r="RID84" s="79">
        <f t="shared" si="249"/>
        <v>0</v>
      </c>
      <c r="RIE84" s="79">
        <f t="shared" si="249"/>
        <v>0</v>
      </c>
      <c r="RIF84" s="79">
        <f t="shared" si="249"/>
        <v>0</v>
      </c>
      <c r="RIG84" s="79">
        <f t="shared" si="249"/>
        <v>0</v>
      </c>
      <c r="RIH84" s="79">
        <f t="shared" si="249"/>
        <v>0</v>
      </c>
      <c r="RII84" s="79">
        <f t="shared" si="249"/>
        <v>0</v>
      </c>
      <c r="RIJ84" s="79">
        <f t="shared" si="249"/>
        <v>0</v>
      </c>
      <c r="RIK84" s="79">
        <f t="shared" si="249"/>
        <v>0</v>
      </c>
      <c r="RIL84" s="79">
        <f t="shared" si="249"/>
        <v>0</v>
      </c>
      <c r="RIM84" s="79">
        <f t="shared" si="249"/>
        <v>0</v>
      </c>
      <c r="RIN84" s="79">
        <f t="shared" si="249"/>
        <v>0</v>
      </c>
      <c r="RIO84" s="145" t="s">
        <v>96</v>
      </c>
      <c r="RIR84" s="79">
        <f>RIR18+RIR24+RIR29+RIR30</f>
        <v>0</v>
      </c>
      <c r="RIS84" s="79">
        <f t="shared" ref="RIS84:RKZ84" si="250">RIS18+RIS24+RIS29+RIS30</f>
        <v>0</v>
      </c>
      <c r="RIT84" s="79">
        <f t="shared" si="250"/>
        <v>0</v>
      </c>
      <c r="RIU84" s="79">
        <f t="shared" si="250"/>
        <v>0</v>
      </c>
      <c r="RIV84" s="79">
        <f t="shared" si="250"/>
        <v>0</v>
      </c>
      <c r="RIW84" s="79">
        <f t="shared" si="250"/>
        <v>0</v>
      </c>
      <c r="RIX84" s="79">
        <f t="shared" si="250"/>
        <v>0</v>
      </c>
      <c r="RIY84" s="79">
        <f t="shared" si="250"/>
        <v>0</v>
      </c>
      <c r="RIZ84" s="79">
        <f t="shared" si="250"/>
        <v>0</v>
      </c>
      <c r="RJA84" s="79">
        <f t="shared" si="250"/>
        <v>0</v>
      </c>
      <c r="RJB84" s="79">
        <f t="shared" si="250"/>
        <v>0</v>
      </c>
      <c r="RJC84" s="79">
        <f t="shared" si="250"/>
        <v>0</v>
      </c>
      <c r="RJD84" s="79">
        <f t="shared" si="250"/>
        <v>0</v>
      </c>
      <c r="RJE84" s="145" t="s">
        <v>96</v>
      </c>
      <c r="RJH84" s="79">
        <f>RJH18+RJH24+RJH29+RJH30</f>
        <v>0</v>
      </c>
      <c r="RJI84" s="79">
        <f t="shared" si="250"/>
        <v>0</v>
      </c>
      <c r="RJJ84" s="79">
        <f t="shared" si="250"/>
        <v>0</v>
      </c>
      <c r="RJK84" s="79">
        <f t="shared" si="250"/>
        <v>0</v>
      </c>
      <c r="RJL84" s="79">
        <f t="shared" si="250"/>
        <v>0</v>
      </c>
      <c r="RJM84" s="79">
        <f t="shared" si="250"/>
        <v>0</v>
      </c>
      <c r="RJN84" s="79">
        <f t="shared" si="250"/>
        <v>0</v>
      </c>
      <c r="RJO84" s="79">
        <f t="shared" si="250"/>
        <v>0</v>
      </c>
      <c r="RJP84" s="79">
        <f t="shared" si="250"/>
        <v>0</v>
      </c>
      <c r="RJQ84" s="79">
        <f t="shared" si="250"/>
        <v>0</v>
      </c>
      <c r="RJR84" s="79">
        <f t="shared" si="250"/>
        <v>0</v>
      </c>
      <c r="RJS84" s="79">
        <f t="shared" si="250"/>
        <v>0</v>
      </c>
      <c r="RJT84" s="79">
        <f t="shared" si="250"/>
        <v>0</v>
      </c>
      <c r="RJU84" s="145" t="s">
        <v>96</v>
      </c>
      <c r="RJX84" s="79">
        <f>RJX18+RJX24+RJX29+RJX30</f>
        <v>0</v>
      </c>
      <c r="RJY84" s="79">
        <f t="shared" si="250"/>
        <v>0</v>
      </c>
      <c r="RJZ84" s="79">
        <f t="shared" si="250"/>
        <v>0</v>
      </c>
      <c r="RKA84" s="79">
        <f t="shared" si="250"/>
        <v>0</v>
      </c>
      <c r="RKB84" s="79">
        <f t="shared" si="250"/>
        <v>0</v>
      </c>
      <c r="RKC84" s="79">
        <f t="shared" si="250"/>
        <v>0</v>
      </c>
      <c r="RKD84" s="79">
        <f t="shared" si="250"/>
        <v>0</v>
      </c>
      <c r="RKE84" s="79">
        <f t="shared" si="250"/>
        <v>0</v>
      </c>
      <c r="RKF84" s="79">
        <f t="shared" si="250"/>
        <v>0</v>
      </c>
      <c r="RKG84" s="79">
        <f t="shared" si="250"/>
        <v>0</v>
      </c>
      <c r="RKH84" s="79">
        <f t="shared" si="250"/>
        <v>0</v>
      </c>
      <c r="RKI84" s="79">
        <f t="shared" si="250"/>
        <v>0</v>
      </c>
      <c r="RKJ84" s="79">
        <f t="shared" si="250"/>
        <v>0</v>
      </c>
      <c r="RKK84" s="145" t="s">
        <v>96</v>
      </c>
      <c r="RKN84" s="79">
        <f>RKN18+RKN24+RKN29+RKN30</f>
        <v>0</v>
      </c>
      <c r="RKO84" s="79">
        <f t="shared" si="250"/>
        <v>0</v>
      </c>
      <c r="RKP84" s="79">
        <f t="shared" si="250"/>
        <v>0</v>
      </c>
      <c r="RKQ84" s="79">
        <f t="shared" si="250"/>
        <v>0</v>
      </c>
      <c r="RKR84" s="79">
        <f t="shared" si="250"/>
        <v>0</v>
      </c>
      <c r="RKS84" s="79">
        <f t="shared" si="250"/>
        <v>0</v>
      </c>
      <c r="RKT84" s="79">
        <f t="shared" si="250"/>
        <v>0</v>
      </c>
      <c r="RKU84" s="79">
        <f t="shared" si="250"/>
        <v>0</v>
      </c>
      <c r="RKV84" s="79">
        <f t="shared" si="250"/>
        <v>0</v>
      </c>
      <c r="RKW84" s="79">
        <f t="shared" si="250"/>
        <v>0</v>
      </c>
      <c r="RKX84" s="79">
        <f t="shared" si="250"/>
        <v>0</v>
      </c>
      <c r="RKY84" s="79">
        <f t="shared" si="250"/>
        <v>0</v>
      </c>
      <c r="RKZ84" s="79">
        <f t="shared" si="250"/>
        <v>0</v>
      </c>
      <c r="RLA84" s="145" t="s">
        <v>96</v>
      </c>
      <c r="RLD84" s="79">
        <f>RLD18+RLD24+RLD29+RLD30</f>
        <v>0</v>
      </c>
      <c r="RLE84" s="79">
        <f t="shared" ref="RLE84:RNL84" si="251">RLE18+RLE24+RLE29+RLE30</f>
        <v>0</v>
      </c>
      <c r="RLF84" s="79">
        <f t="shared" si="251"/>
        <v>0</v>
      </c>
      <c r="RLG84" s="79">
        <f t="shared" si="251"/>
        <v>0</v>
      </c>
      <c r="RLH84" s="79">
        <f t="shared" si="251"/>
        <v>0</v>
      </c>
      <c r="RLI84" s="79">
        <f t="shared" si="251"/>
        <v>0</v>
      </c>
      <c r="RLJ84" s="79">
        <f t="shared" si="251"/>
        <v>0</v>
      </c>
      <c r="RLK84" s="79">
        <f t="shared" si="251"/>
        <v>0</v>
      </c>
      <c r="RLL84" s="79">
        <f t="shared" si="251"/>
        <v>0</v>
      </c>
      <c r="RLM84" s="79">
        <f t="shared" si="251"/>
        <v>0</v>
      </c>
      <c r="RLN84" s="79">
        <f t="shared" si="251"/>
        <v>0</v>
      </c>
      <c r="RLO84" s="79">
        <f t="shared" si="251"/>
        <v>0</v>
      </c>
      <c r="RLP84" s="79">
        <f t="shared" si="251"/>
        <v>0</v>
      </c>
      <c r="RLQ84" s="145" t="s">
        <v>96</v>
      </c>
      <c r="RLT84" s="79">
        <f>RLT18+RLT24+RLT29+RLT30</f>
        <v>0</v>
      </c>
      <c r="RLU84" s="79">
        <f t="shared" si="251"/>
        <v>0</v>
      </c>
      <c r="RLV84" s="79">
        <f t="shared" si="251"/>
        <v>0</v>
      </c>
      <c r="RLW84" s="79">
        <f t="shared" si="251"/>
        <v>0</v>
      </c>
      <c r="RLX84" s="79">
        <f t="shared" si="251"/>
        <v>0</v>
      </c>
      <c r="RLY84" s="79">
        <f t="shared" si="251"/>
        <v>0</v>
      </c>
      <c r="RLZ84" s="79">
        <f t="shared" si="251"/>
        <v>0</v>
      </c>
      <c r="RMA84" s="79">
        <f t="shared" si="251"/>
        <v>0</v>
      </c>
      <c r="RMB84" s="79">
        <f t="shared" si="251"/>
        <v>0</v>
      </c>
      <c r="RMC84" s="79">
        <f t="shared" si="251"/>
        <v>0</v>
      </c>
      <c r="RMD84" s="79">
        <f t="shared" si="251"/>
        <v>0</v>
      </c>
      <c r="RME84" s="79">
        <f t="shared" si="251"/>
        <v>0</v>
      </c>
      <c r="RMF84" s="79">
        <f t="shared" si="251"/>
        <v>0</v>
      </c>
      <c r="RMG84" s="145" t="s">
        <v>96</v>
      </c>
      <c r="RMJ84" s="79">
        <f>RMJ18+RMJ24+RMJ29+RMJ30</f>
        <v>0</v>
      </c>
      <c r="RMK84" s="79">
        <f t="shared" si="251"/>
        <v>0</v>
      </c>
      <c r="RML84" s="79">
        <f t="shared" si="251"/>
        <v>0</v>
      </c>
      <c r="RMM84" s="79">
        <f t="shared" si="251"/>
        <v>0</v>
      </c>
      <c r="RMN84" s="79">
        <f t="shared" si="251"/>
        <v>0</v>
      </c>
      <c r="RMO84" s="79">
        <f t="shared" si="251"/>
        <v>0</v>
      </c>
      <c r="RMP84" s="79">
        <f t="shared" si="251"/>
        <v>0</v>
      </c>
      <c r="RMQ84" s="79">
        <f t="shared" si="251"/>
        <v>0</v>
      </c>
      <c r="RMR84" s="79">
        <f t="shared" si="251"/>
        <v>0</v>
      </c>
      <c r="RMS84" s="79">
        <f t="shared" si="251"/>
        <v>0</v>
      </c>
      <c r="RMT84" s="79">
        <f t="shared" si="251"/>
        <v>0</v>
      </c>
      <c r="RMU84" s="79">
        <f t="shared" si="251"/>
        <v>0</v>
      </c>
      <c r="RMV84" s="79">
        <f t="shared" si="251"/>
        <v>0</v>
      </c>
      <c r="RMW84" s="145" t="s">
        <v>96</v>
      </c>
      <c r="RMZ84" s="79">
        <f>RMZ18+RMZ24+RMZ29+RMZ30</f>
        <v>0</v>
      </c>
      <c r="RNA84" s="79">
        <f t="shared" si="251"/>
        <v>0</v>
      </c>
      <c r="RNB84" s="79">
        <f t="shared" si="251"/>
        <v>0</v>
      </c>
      <c r="RNC84" s="79">
        <f t="shared" si="251"/>
        <v>0</v>
      </c>
      <c r="RND84" s="79">
        <f t="shared" si="251"/>
        <v>0</v>
      </c>
      <c r="RNE84" s="79">
        <f t="shared" si="251"/>
        <v>0</v>
      </c>
      <c r="RNF84" s="79">
        <f t="shared" si="251"/>
        <v>0</v>
      </c>
      <c r="RNG84" s="79">
        <f t="shared" si="251"/>
        <v>0</v>
      </c>
      <c r="RNH84" s="79">
        <f t="shared" si="251"/>
        <v>0</v>
      </c>
      <c r="RNI84" s="79">
        <f t="shared" si="251"/>
        <v>0</v>
      </c>
      <c r="RNJ84" s="79">
        <f t="shared" si="251"/>
        <v>0</v>
      </c>
      <c r="RNK84" s="79">
        <f t="shared" si="251"/>
        <v>0</v>
      </c>
      <c r="RNL84" s="79">
        <f t="shared" si="251"/>
        <v>0</v>
      </c>
      <c r="RNM84" s="145" t="s">
        <v>96</v>
      </c>
      <c r="RNP84" s="79">
        <f>RNP18+RNP24+RNP29+RNP30</f>
        <v>0</v>
      </c>
      <c r="RNQ84" s="79">
        <f t="shared" ref="RNQ84:RPX84" si="252">RNQ18+RNQ24+RNQ29+RNQ30</f>
        <v>0</v>
      </c>
      <c r="RNR84" s="79">
        <f t="shared" si="252"/>
        <v>0</v>
      </c>
      <c r="RNS84" s="79">
        <f t="shared" si="252"/>
        <v>0</v>
      </c>
      <c r="RNT84" s="79">
        <f t="shared" si="252"/>
        <v>0</v>
      </c>
      <c r="RNU84" s="79">
        <f t="shared" si="252"/>
        <v>0</v>
      </c>
      <c r="RNV84" s="79">
        <f t="shared" si="252"/>
        <v>0</v>
      </c>
      <c r="RNW84" s="79">
        <f t="shared" si="252"/>
        <v>0</v>
      </c>
      <c r="RNX84" s="79">
        <f t="shared" si="252"/>
        <v>0</v>
      </c>
      <c r="RNY84" s="79">
        <f t="shared" si="252"/>
        <v>0</v>
      </c>
      <c r="RNZ84" s="79">
        <f t="shared" si="252"/>
        <v>0</v>
      </c>
      <c r="ROA84" s="79">
        <f t="shared" si="252"/>
        <v>0</v>
      </c>
      <c r="ROB84" s="79">
        <f t="shared" si="252"/>
        <v>0</v>
      </c>
      <c r="ROC84" s="145" t="s">
        <v>96</v>
      </c>
      <c r="ROF84" s="79">
        <f>ROF18+ROF24+ROF29+ROF30</f>
        <v>0</v>
      </c>
      <c r="ROG84" s="79">
        <f t="shared" si="252"/>
        <v>0</v>
      </c>
      <c r="ROH84" s="79">
        <f t="shared" si="252"/>
        <v>0</v>
      </c>
      <c r="ROI84" s="79">
        <f t="shared" si="252"/>
        <v>0</v>
      </c>
      <c r="ROJ84" s="79">
        <f t="shared" si="252"/>
        <v>0</v>
      </c>
      <c r="ROK84" s="79">
        <f t="shared" si="252"/>
        <v>0</v>
      </c>
      <c r="ROL84" s="79">
        <f t="shared" si="252"/>
        <v>0</v>
      </c>
      <c r="ROM84" s="79">
        <f t="shared" si="252"/>
        <v>0</v>
      </c>
      <c r="RON84" s="79">
        <f t="shared" si="252"/>
        <v>0</v>
      </c>
      <c r="ROO84" s="79">
        <f t="shared" si="252"/>
        <v>0</v>
      </c>
      <c r="ROP84" s="79">
        <f t="shared" si="252"/>
        <v>0</v>
      </c>
      <c r="ROQ84" s="79">
        <f t="shared" si="252"/>
        <v>0</v>
      </c>
      <c r="ROR84" s="79">
        <f t="shared" si="252"/>
        <v>0</v>
      </c>
      <c r="ROS84" s="145" t="s">
        <v>96</v>
      </c>
      <c r="ROV84" s="79">
        <f>ROV18+ROV24+ROV29+ROV30</f>
        <v>0</v>
      </c>
      <c r="ROW84" s="79">
        <f t="shared" si="252"/>
        <v>0</v>
      </c>
      <c r="ROX84" s="79">
        <f t="shared" si="252"/>
        <v>0</v>
      </c>
      <c r="ROY84" s="79">
        <f t="shared" si="252"/>
        <v>0</v>
      </c>
      <c r="ROZ84" s="79">
        <f t="shared" si="252"/>
        <v>0</v>
      </c>
      <c r="RPA84" s="79">
        <f t="shared" si="252"/>
        <v>0</v>
      </c>
      <c r="RPB84" s="79">
        <f t="shared" si="252"/>
        <v>0</v>
      </c>
      <c r="RPC84" s="79">
        <f t="shared" si="252"/>
        <v>0</v>
      </c>
      <c r="RPD84" s="79">
        <f t="shared" si="252"/>
        <v>0</v>
      </c>
      <c r="RPE84" s="79">
        <f t="shared" si="252"/>
        <v>0</v>
      </c>
      <c r="RPF84" s="79">
        <f t="shared" si="252"/>
        <v>0</v>
      </c>
      <c r="RPG84" s="79">
        <f t="shared" si="252"/>
        <v>0</v>
      </c>
      <c r="RPH84" s="79">
        <f t="shared" si="252"/>
        <v>0</v>
      </c>
      <c r="RPI84" s="145" t="s">
        <v>96</v>
      </c>
      <c r="RPL84" s="79">
        <f>RPL18+RPL24+RPL29+RPL30</f>
        <v>0</v>
      </c>
      <c r="RPM84" s="79">
        <f t="shared" si="252"/>
        <v>0</v>
      </c>
      <c r="RPN84" s="79">
        <f t="shared" si="252"/>
        <v>0</v>
      </c>
      <c r="RPO84" s="79">
        <f t="shared" si="252"/>
        <v>0</v>
      </c>
      <c r="RPP84" s="79">
        <f t="shared" si="252"/>
        <v>0</v>
      </c>
      <c r="RPQ84" s="79">
        <f t="shared" si="252"/>
        <v>0</v>
      </c>
      <c r="RPR84" s="79">
        <f t="shared" si="252"/>
        <v>0</v>
      </c>
      <c r="RPS84" s="79">
        <f t="shared" si="252"/>
        <v>0</v>
      </c>
      <c r="RPT84" s="79">
        <f t="shared" si="252"/>
        <v>0</v>
      </c>
      <c r="RPU84" s="79">
        <f t="shared" si="252"/>
        <v>0</v>
      </c>
      <c r="RPV84" s="79">
        <f t="shared" si="252"/>
        <v>0</v>
      </c>
      <c r="RPW84" s="79">
        <f t="shared" si="252"/>
        <v>0</v>
      </c>
      <c r="RPX84" s="79">
        <f t="shared" si="252"/>
        <v>0</v>
      </c>
      <c r="RPY84" s="145" t="s">
        <v>96</v>
      </c>
      <c r="RQB84" s="79">
        <f>RQB18+RQB24+RQB29+RQB30</f>
        <v>0</v>
      </c>
      <c r="RQC84" s="79">
        <f t="shared" ref="RQC84:RSJ84" si="253">RQC18+RQC24+RQC29+RQC30</f>
        <v>0</v>
      </c>
      <c r="RQD84" s="79">
        <f t="shared" si="253"/>
        <v>0</v>
      </c>
      <c r="RQE84" s="79">
        <f t="shared" si="253"/>
        <v>0</v>
      </c>
      <c r="RQF84" s="79">
        <f t="shared" si="253"/>
        <v>0</v>
      </c>
      <c r="RQG84" s="79">
        <f t="shared" si="253"/>
        <v>0</v>
      </c>
      <c r="RQH84" s="79">
        <f t="shared" si="253"/>
        <v>0</v>
      </c>
      <c r="RQI84" s="79">
        <f t="shared" si="253"/>
        <v>0</v>
      </c>
      <c r="RQJ84" s="79">
        <f t="shared" si="253"/>
        <v>0</v>
      </c>
      <c r="RQK84" s="79">
        <f t="shared" si="253"/>
        <v>0</v>
      </c>
      <c r="RQL84" s="79">
        <f t="shared" si="253"/>
        <v>0</v>
      </c>
      <c r="RQM84" s="79">
        <f t="shared" si="253"/>
        <v>0</v>
      </c>
      <c r="RQN84" s="79">
        <f t="shared" si="253"/>
        <v>0</v>
      </c>
      <c r="RQO84" s="145" t="s">
        <v>96</v>
      </c>
      <c r="RQR84" s="79">
        <f>RQR18+RQR24+RQR29+RQR30</f>
        <v>0</v>
      </c>
      <c r="RQS84" s="79">
        <f t="shared" si="253"/>
        <v>0</v>
      </c>
      <c r="RQT84" s="79">
        <f t="shared" si="253"/>
        <v>0</v>
      </c>
      <c r="RQU84" s="79">
        <f t="shared" si="253"/>
        <v>0</v>
      </c>
      <c r="RQV84" s="79">
        <f t="shared" si="253"/>
        <v>0</v>
      </c>
      <c r="RQW84" s="79">
        <f t="shared" si="253"/>
        <v>0</v>
      </c>
      <c r="RQX84" s="79">
        <f t="shared" si="253"/>
        <v>0</v>
      </c>
      <c r="RQY84" s="79">
        <f t="shared" si="253"/>
        <v>0</v>
      </c>
      <c r="RQZ84" s="79">
        <f t="shared" si="253"/>
        <v>0</v>
      </c>
      <c r="RRA84" s="79">
        <f t="shared" si="253"/>
        <v>0</v>
      </c>
      <c r="RRB84" s="79">
        <f t="shared" si="253"/>
        <v>0</v>
      </c>
      <c r="RRC84" s="79">
        <f t="shared" si="253"/>
        <v>0</v>
      </c>
      <c r="RRD84" s="79">
        <f t="shared" si="253"/>
        <v>0</v>
      </c>
      <c r="RRE84" s="145" t="s">
        <v>96</v>
      </c>
      <c r="RRH84" s="79">
        <f>RRH18+RRH24+RRH29+RRH30</f>
        <v>0</v>
      </c>
      <c r="RRI84" s="79">
        <f t="shared" si="253"/>
        <v>0</v>
      </c>
      <c r="RRJ84" s="79">
        <f t="shared" si="253"/>
        <v>0</v>
      </c>
      <c r="RRK84" s="79">
        <f t="shared" si="253"/>
        <v>0</v>
      </c>
      <c r="RRL84" s="79">
        <f t="shared" si="253"/>
        <v>0</v>
      </c>
      <c r="RRM84" s="79">
        <f t="shared" si="253"/>
        <v>0</v>
      </c>
      <c r="RRN84" s="79">
        <f t="shared" si="253"/>
        <v>0</v>
      </c>
      <c r="RRO84" s="79">
        <f t="shared" si="253"/>
        <v>0</v>
      </c>
      <c r="RRP84" s="79">
        <f t="shared" si="253"/>
        <v>0</v>
      </c>
      <c r="RRQ84" s="79">
        <f t="shared" si="253"/>
        <v>0</v>
      </c>
      <c r="RRR84" s="79">
        <f t="shared" si="253"/>
        <v>0</v>
      </c>
      <c r="RRS84" s="79">
        <f t="shared" si="253"/>
        <v>0</v>
      </c>
      <c r="RRT84" s="79">
        <f t="shared" si="253"/>
        <v>0</v>
      </c>
      <c r="RRU84" s="145" t="s">
        <v>96</v>
      </c>
      <c r="RRX84" s="79">
        <f>RRX18+RRX24+RRX29+RRX30</f>
        <v>0</v>
      </c>
      <c r="RRY84" s="79">
        <f t="shared" si="253"/>
        <v>0</v>
      </c>
      <c r="RRZ84" s="79">
        <f t="shared" si="253"/>
        <v>0</v>
      </c>
      <c r="RSA84" s="79">
        <f t="shared" si="253"/>
        <v>0</v>
      </c>
      <c r="RSB84" s="79">
        <f t="shared" si="253"/>
        <v>0</v>
      </c>
      <c r="RSC84" s="79">
        <f t="shared" si="253"/>
        <v>0</v>
      </c>
      <c r="RSD84" s="79">
        <f t="shared" si="253"/>
        <v>0</v>
      </c>
      <c r="RSE84" s="79">
        <f t="shared" si="253"/>
        <v>0</v>
      </c>
      <c r="RSF84" s="79">
        <f t="shared" si="253"/>
        <v>0</v>
      </c>
      <c r="RSG84" s="79">
        <f t="shared" si="253"/>
        <v>0</v>
      </c>
      <c r="RSH84" s="79">
        <f t="shared" si="253"/>
        <v>0</v>
      </c>
      <c r="RSI84" s="79">
        <f t="shared" si="253"/>
        <v>0</v>
      </c>
      <c r="RSJ84" s="79">
        <f t="shared" si="253"/>
        <v>0</v>
      </c>
      <c r="RSK84" s="145" t="s">
        <v>96</v>
      </c>
      <c r="RSN84" s="79">
        <f>RSN18+RSN24+RSN29+RSN30</f>
        <v>0</v>
      </c>
      <c r="RSO84" s="79">
        <f t="shared" ref="RSO84:RUV84" si="254">RSO18+RSO24+RSO29+RSO30</f>
        <v>0</v>
      </c>
      <c r="RSP84" s="79">
        <f t="shared" si="254"/>
        <v>0</v>
      </c>
      <c r="RSQ84" s="79">
        <f t="shared" si="254"/>
        <v>0</v>
      </c>
      <c r="RSR84" s="79">
        <f t="shared" si="254"/>
        <v>0</v>
      </c>
      <c r="RSS84" s="79">
        <f t="shared" si="254"/>
        <v>0</v>
      </c>
      <c r="RST84" s="79">
        <f t="shared" si="254"/>
        <v>0</v>
      </c>
      <c r="RSU84" s="79">
        <f t="shared" si="254"/>
        <v>0</v>
      </c>
      <c r="RSV84" s="79">
        <f t="shared" si="254"/>
        <v>0</v>
      </c>
      <c r="RSW84" s="79">
        <f t="shared" si="254"/>
        <v>0</v>
      </c>
      <c r="RSX84" s="79">
        <f t="shared" si="254"/>
        <v>0</v>
      </c>
      <c r="RSY84" s="79">
        <f t="shared" si="254"/>
        <v>0</v>
      </c>
      <c r="RSZ84" s="79">
        <f t="shared" si="254"/>
        <v>0</v>
      </c>
      <c r="RTA84" s="145" t="s">
        <v>96</v>
      </c>
      <c r="RTD84" s="79">
        <f>RTD18+RTD24+RTD29+RTD30</f>
        <v>0</v>
      </c>
      <c r="RTE84" s="79">
        <f t="shared" si="254"/>
        <v>0</v>
      </c>
      <c r="RTF84" s="79">
        <f t="shared" si="254"/>
        <v>0</v>
      </c>
      <c r="RTG84" s="79">
        <f t="shared" si="254"/>
        <v>0</v>
      </c>
      <c r="RTH84" s="79">
        <f t="shared" si="254"/>
        <v>0</v>
      </c>
      <c r="RTI84" s="79">
        <f t="shared" si="254"/>
        <v>0</v>
      </c>
      <c r="RTJ84" s="79">
        <f t="shared" si="254"/>
        <v>0</v>
      </c>
      <c r="RTK84" s="79">
        <f t="shared" si="254"/>
        <v>0</v>
      </c>
      <c r="RTL84" s="79">
        <f t="shared" si="254"/>
        <v>0</v>
      </c>
      <c r="RTM84" s="79">
        <f t="shared" si="254"/>
        <v>0</v>
      </c>
      <c r="RTN84" s="79">
        <f t="shared" si="254"/>
        <v>0</v>
      </c>
      <c r="RTO84" s="79">
        <f t="shared" si="254"/>
        <v>0</v>
      </c>
      <c r="RTP84" s="79">
        <f t="shared" si="254"/>
        <v>0</v>
      </c>
      <c r="RTQ84" s="145" t="s">
        <v>96</v>
      </c>
      <c r="RTT84" s="79">
        <f>RTT18+RTT24+RTT29+RTT30</f>
        <v>0</v>
      </c>
      <c r="RTU84" s="79">
        <f t="shared" si="254"/>
        <v>0</v>
      </c>
      <c r="RTV84" s="79">
        <f t="shared" si="254"/>
        <v>0</v>
      </c>
      <c r="RTW84" s="79">
        <f t="shared" si="254"/>
        <v>0</v>
      </c>
      <c r="RTX84" s="79">
        <f t="shared" si="254"/>
        <v>0</v>
      </c>
      <c r="RTY84" s="79">
        <f t="shared" si="254"/>
        <v>0</v>
      </c>
      <c r="RTZ84" s="79">
        <f t="shared" si="254"/>
        <v>0</v>
      </c>
      <c r="RUA84" s="79">
        <f t="shared" si="254"/>
        <v>0</v>
      </c>
      <c r="RUB84" s="79">
        <f t="shared" si="254"/>
        <v>0</v>
      </c>
      <c r="RUC84" s="79">
        <f t="shared" si="254"/>
        <v>0</v>
      </c>
      <c r="RUD84" s="79">
        <f t="shared" si="254"/>
        <v>0</v>
      </c>
      <c r="RUE84" s="79">
        <f t="shared" si="254"/>
        <v>0</v>
      </c>
      <c r="RUF84" s="79">
        <f t="shared" si="254"/>
        <v>0</v>
      </c>
      <c r="RUG84" s="145" t="s">
        <v>96</v>
      </c>
      <c r="RUJ84" s="79">
        <f>RUJ18+RUJ24+RUJ29+RUJ30</f>
        <v>0</v>
      </c>
      <c r="RUK84" s="79">
        <f t="shared" si="254"/>
        <v>0</v>
      </c>
      <c r="RUL84" s="79">
        <f t="shared" si="254"/>
        <v>0</v>
      </c>
      <c r="RUM84" s="79">
        <f t="shared" si="254"/>
        <v>0</v>
      </c>
      <c r="RUN84" s="79">
        <f t="shared" si="254"/>
        <v>0</v>
      </c>
      <c r="RUO84" s="79">
        <f t="shared" si="254"/>
        <v>0</v>
      </c>
      <c r="RUP84" s="79">
        <f t="shared" si="254"/>
        <v>0</v>
      </c>
      <c r="RUQ84" s="79">
        <f t="shared" si="254"/>
        <v>0</v>
      </c>
      <c r="RUR84" s="79">
        <f t="shared" si="254"/>
        <v>0</v>
      </c>
      <c r="RUS84" s="79">
        <f t="shared" si="254"/>
        <v>0</v>
      </c>
      <c r="RUT84" s="79">
        <f t="shared" si="254"/>
        <v>0</v>
      </c>
      <c r="RUU84" s="79">
        <f t="shared" si="254"/>
        <v>0</v>
      </c>
      <c r="RUV84" s="79">
        <f t="shared" si="254"/>
        <v>0</v>
      </c>
      <c r="RUW84" s="145" t="s">
        <v>96</v>
      </c>
      <c r="RUZ84" s="79">
        <f>RUZ18+RUZ24+RUZ29+RUZ30</f>
        <v>0</v>
      </c>
      <c r="RVA84" s="79">
        <f t="shared" ref="RVA84:RXH84" si="255">RVA18+RVA24+RVA29+RVA30</f>
        <v>0</v>
      </c>
      <c r="RVB84" s="79">
        <f t="shared" si="255"/>
        <v>0</v>
      </c>
      <c r="RVC84" s="79">
        <f t="shared" si="255"/>
        <v>0</v>
      </c>
      <c r="RVD84" s="79">
        <f t="shared" si="255"/>
        <v>0</v>
      </c>
      <c r="RVE84" s="79">
        <f t="shared" si="255"/>
        <v>0</v>
      </c>
      <c r="RVF84" s="79">
        <f t="shared" si="255"/>
        <v>0</v>
      </c>
      <c r="RVG84" s="79">
        <f t="shared" si="255"/>
        <v>0</v>
      </c>
      <c r="RVH84" s="79">
        <f t="shared" si="255"/>
        <v>0</v>
      </c>
      <c r="RVI84" s="79">
        <f t="shared" si="255"/>
        <v>0</v>
      </c>
      <c r="RVJ84" s="79">
        <f t="shared" si="255"/>
        <v>0</v>
      </c>
      <c r="RVK84" s="79">
        <f t="shared" si="255"/>
        <v>0</v>
      </c>
      <c r="RVL84" s="79">
        <f t="shared" si="255"/>
        <v>0</v>
      </c>
      <c r="RVM84" s="145" t="s">
        <v>96</v>
      </c>
      <c r="RVP84" s="79">
        <f>RVP18+RVP24+RVP29+RVP30</f>
        <v>0</v>
      </c>
      <c r="RVQ84" s="79">
        <f t="shared" si="255"/>
        <v>0</v>
      </c>
      <c r="RVR84" s="79">
        <f t="shared" si="255"/>
        <v>0</v>
      </c>
      <c r="RVS84" s="79">
        <f t="shared" si="255"/>
        <v>0</v>
      </c>
      <c r="RVT84" s="79">
        <f t="shared" si="255"/>
        <v>0</v>
      </c>
      <c r="RVU84" s="79">
        <f t="shared" si="255"/>
        <v>0</v>
      </c>
      <c r="RVV84" s="79">
        <f t="shared" si="255"/>
        <v>0</v>
      </c>
      <c r="RVW84" s="79">
        <f t="shared" si="255"/>
        <v>0</v>
      </c>
      <c r="RVX84" s="79">
        <f t="shared" si="255"/>
        <v>0</v>
      </c>
      <c r="RVY84" s="79">
        <f t="shared" si="255"/>
        <v>0</v>
      </c>
      <c r="RVZ84" s="79">
        <f t="shared" si="255"/>
        <v>0</v>
      </c>
      <c r="RWA84" s="79">
        <f t="shared" si="255"/>
        <v>0</v>
      </c>
      <c r="RWB84" s="79">
        <f t="shared" si="255"/>
        <v>0</v>
      </c>
      <c r="RWC84" s="145" t="s">
        <v>96</v>
      </c>
      <c r="RWF84" s="79">
        <f>RWF18+RWF24+RWF29+RWF30</f>
        <v>0</v>
      </c>
      <c r="RWG84" s="79">
        <f t="shared" si="255"/>
        <v>0</v>
      </c>
      <c r="RWH84" s="79">
        <f t="shared" si="255"/>
        <v>0</v>
      </c>
      <c r="RWI84" s="79">
        <f t="shared" si="255"/>
        <v>0</v>
      </c>
      <c r="RWJ84" s="79">
        <f t="shared" si="255"/>
        <v>0</v>
      </c>
      <c r="RWK84" s="79">
        <f t="shared" si="255"/>
        <v>0</v>
      </c>
      <c r="RWL84" s="79">
        <f t="shared" si="255"/>
        <v>0</v>
      </c>
      <c r="RWM84" s="79">
        <f t="shared" si="255"/>
        <v>0</v>
      </c>
      <c r="RWN84" s="79">
        <f t="shared" si="255"/>
        <v>0</v>
      </c>
      <c r="RWO84" s="79">
        <f t="shared" si="255"/>
        <v>0</v>
      </c>
      <c r="RWP84" s="79">
        <f t="shared" si="255"/>
        <v>0</v>
      </c>
      <c r="RWQ84" s="79">
        <f t="shared" si="255"/>
        <v>0</v>
      </c>
      <c r="RWR84" s="79">
        <f t="shared" si="255"/>
        <v>0</v>
      </c>
      <c r="RWS84" s="145" t="s">
        <v>96</v>
      </c>
      <c r="RWV84" s="79">
        <f>RWV18+RWV24+RWV29+RWV30</f>
        <v>0</v>
      </c>
      <c r="RWW84" s="79">
        <f t="shared" si="255"/>
        <v>0</v>
      </c>
      <c r="RWX84" s="79">
        <f t="shared" si="255"/>
        <v>0</v>
      </c>
      <c r="RWY84" s="79">
        <f t="shared" si="255"/>
        <v>0</v>
      </c>
      <c r="RWZ84" s="79">
        <f t="shared" si="255"/>
        <v>0</v>
      </c>
      <c r="RXA84" s="79">
        <f t="shared" si="255"/>
        <v>0</v>
      </c>
      <c r="RXB84" s="79">
        <f t="shared" si="255"/>
        <v>0</v>
      </c>
      <c r="RXC84" s="79">
        <f t="shared" si="255"/>
        <v>0</v>
      </c>
      <c r="RXD84" s="79">
        <f t="shared" si="255"/>
        <v>0</v>
      </c>
      <c r="RXE84" s="79">
        <f t="shared" si="255"/>
        <v>0</v>
      </c>
      <c r="RXF84" s="79">
        <f t="shared" si="255"/>
        <v>0</v>
      </c>
      <c r="RXG84" s="79">
        <f t="shared" si="255"/>
        <v>0</v>
      </c>
      <c r="RXH84" s="79">
        <f t="shared" si="255"/>
        <v>0</v>
      </c>
      <c r="RXI84" s="145" t="s">
        <v>96</v>
      </c>
      <c r="RXL84" s="79">
        <f>RXL18+RXL24+RXL29+RXL30</f>
        <v>0</v>
      </c>
      <c r="RXM84" s="79">
        <f t="shared" ref="RXM84:RZT84" si="256">RXM18+RXM24+RXM29+RXM30</f>
        <v>0</v>
      </c>
      <c r="RXN84" s="79">
        <f t="shared" si="256"/>
        <v>0</v>
      </c>
      <c r="RXO84" s="79">
        <f t="shared" si="256"/>
        <v>0</v>
      </c>
      <c r="RXP84" s="79">
        <f t="shared" si="256"/>
        <v>0</v>
      </c>
      <c r="RXQ84" s="79">
        <f t="shared" si="256"/>
        <v>0</v>
      </c>
      <c r="RXR84" s="79">
        <f t="shared" si="256"/>
        <v>0</v>
      </c>
      <c r="RXS84" s="79">
        <f t="shared" si="256"/>
        <v>0</v>
      </c>
      <c r="RXT84" s="79">
        <f t="shared" si="256"/>
        <v>0</v>
      </c>
      <c r="RXU84" s="79">
        <f t="shared" si="256"/>
        <v>0</v>
      </c>
      <c r="RXV84" s="79">
        <f t="shared" si="256"/>
        <v>0</v>
      </c>
      <c r="RXW84" s="79">
        <f t="shared" si="256"/>
        <v>0</v>
      </c>
      <c r="RXX84" s="79">
        <f t="shared" si="256"/>
        <v>0</v>
      </c>
      <c r="RXY84" s="145" t="s">
        <v>96</v>
      </c>
      <c r="RYB84" s="79">
        <f>RYB18+RYB24+RYB29+RYB30</f>
        <v>0</v>
      </c>
      <c r="RYC84" s="79">
        <f t="shared" si="256"/>
        <v>0</v>
      </c>
      <c r="RYD84" s="79">
        <f t="shared" si="256"/>
        <v>0</v>
      </c>
      <c r="RYE84" s="79">
        <f t="shared" si="256"/>
        <v>0</v>
      </c>
      <c r="RYF84" s="79">
        <f t="shared" si="256"/>
        <v>0</v>
      </c>
      <c r="RYG84" s="79">
        <f t="shared" si="256"/>
        <v>0</v>
      </c>
      <c r="RYH84" s="79">
        <f t="shared" si="256"/>
        <v>0</v>
      </c>
      <c r="RYI84" s="79">
        <f t="shared" si="256"/>
        <v>0</v>
      </c>
      <c r="RYJ84" s="79">
        <f t="shared" si="256"/>
        <v>0</v>
      </c>
      <c r="RYK84" s="79">
        <f t="shared" si="256"/>
        <v>0</v>
      </c>
      <c r="RYL84" s="79">
        <f t="shared" si="256"/>
        <v>0</v>
      </c>
      <c r="RYM84" s="79">
        <f t="shared" si="256"/>
        <v>0</v>
      </c>
      <c r="RYN84" s="79">
        <f t="shared" si="256"/>
        <v>0</v>
      </c>
      <c r="RYO84" s="145" t="s">
        <v>96</v>
      </c>
      <c r="RYR84" s="79">
        <f>RYR18+RYR24+RYR29+RYR30</f>
        <v>0</v>
      </c>
      <c r="RYS84" s="79">
        <f t="shared" si="256"/>
        <v>0</v>
      </c>
      <c r="RYT84" s="79">
        <f t="shared" si="256"/>
        <v>0</v>
      </c>
      <c r="RYU84" s="79">
        <f t="shared" si="256"/>
        <v>0</v>
      </c>
      <c r="RYV84" s="79">
        <f t="shared" si="256"/>
        <v>0</v>
      </c>
      <c r="RYW84" s="79">
        <f t="shared" si="256"/>
        <v>0</v>
      </c>
      <c r="RYX84" s="79">
        <f t="shared" si="256"/>
        <v>0</v>
      </c>
      <c r="RYY84" s="79">
        <f t="shared" si="256"/>
        <v>0</v>
      </c>
      <c r="RYZ84" s="79">
        <f t="shared" si="256"/>
        <v>0</v>
      </c>
      <c r="RZA84" s="79">
        <f t="shared" si="256"/>
        <v>0</v>
      </c>
      <c r="RZB84" s="79">
        <f t="shared" si="256"/>
        <v>0</v>
      </c>
      <c r="RZC84" s="79">
        <f t="shared" si="256"/>
        <v>0</v>
      </c>
      <c r="RZD84" s="79">
        <f t="shared" si="256"/>
        <v>0</v>
      </c>
      <c r="RZE84" s="145" t="s">
        <v>96</v>
      </c>
      <c r="RZH84" s="79">
        <f>RZH18+RZH24+RZH29+RZH30</f>
        <v>0</v>
      </c>
      <c r="RZI84" s="79">
        <f t="shared" si="256"/>
        <v>0</v>
      </c>
      <c r="RZJ84" s="79">
        <f t="shared" si="256"/>
        <v>0</v>
      </c>
      <c r="RZK84" s="79">
        <f t="shared" si="256"/>
        <v>0</v>
      </c>
      <c r="RZL84" s="79">
        <f t="shared" si="256"/>
        <v>0</v>
      </c>
      <c r="RZM84" s="79">
        <f t="shared" si="256"/>
        <v>0</v>
      </c>
      <c r="RZN84" s="79">
        <f t="shared" si="256"/>
        <v>0</v>
      </c>
      <c r="RZO84" s="79">
        <f t="shared" si="256"/>
        <v>0</v>
      </c>
      <c r="RZP84" s="79">
        <f t="shared" si="256"/>
        <v>0</v>
      </c>
      <c r="RZQ84" s="79">
        <f t="shared" si="256"/>
        <v>0</v>
      </c>
      <c r="RZR84" s="79">
        <f t="shared" si="256"/>
        <v>0</v>
      </c>
      <c r="RZS84" s="79">
        <f t="shared" si="256"/>
        <v>0</v>
      </c>
      <c r="RZT84" s="79">
        <f t="shared" si="256"/>
        <v>0</v>
      </c>
      <c r="RZU84" s="145" t="s">
        <v>96</v>
      </c>
      <c r="RZX84" s="79">
        <f>RZX18+RZX24+RZX29+RZX30</f>
        <v>0</v>
      </c>
      <c r="RZY84" s="79">
        <f t="shared" ref="RZY84:SCF84" si="257">RZY18+RZY24+RZY29+RZY30</f>
        <v>0</v>
      </c>
      <c r="RZZ84" s="79">
        <f t="shared" si="257"/>
        <v>0</v>
      </c>
      <c r="SAA84" s="79">
        <f t="shared" si="257"/>
        <v>0</v>
      </c>
      <c r="SAB84" s="79">
        <f t="shared" si="257"/>
        <v>0</v>
      </c>
      <c r="SAC84" s="79">
        <f t="shared" si="257"/>
        <v>0</v>
      </c>
      <c r="SAD84" s="79">
        <f t="shared" si="257"/>
        <v>0</v>
      </c>
      <c r="SAE84" s="79">
        <f t="shared" si="257"/>
        <v>0</v>
      </c>
      <c r="SAF84" s="79">
        <f t="shared" si="257"/>
        <v>0</v>
      </c>
      <c r="SAG84" s="79">
        <f t="shared" si="257"/>
        <v>0</v>
      </c>
      <c r="SAH84" s="79">
        <f t="shared" si="257"/>
        <v>0</v>
      </c>
      <c r="SAI84" s="79">
        <f t="shared" si="257"/>
        <v>0</v>
      </c>
      <c r="SAJ84" s="79">
        <f t="shared" si="257"/>
        <v>0</v>
      </c>
      <c r="SAK84" s="145" t="s">
        <v>96</v>
      </c>
      <c r="SAN84" s="79">
        <f>SAN18+SAN24+SAN29+SAN30</f>
        <v>0</v>
      </c>
      <c r="SAO84" s="79">
        <f t="shared" si="257"/>
        <v>0</v>
      </c>
      <c r="SAP84" s="79">
        <f t="shared" si="257"/>
        <v>0</v>
      </c>
      <c r="SAQ84" s="79">
        <f t="shared" si="257"/>
        <v>0</v>
      </c>
      <c r="SAR84" s="79">
        <f t="shared" si="257"/>
        <v>0</v>
      </c>
      <c r="SAS84" s="79">
        <f t="shared" si="257"/>
        <v>0</v>
      </c>
      <c r="SAT84" s="79">
        <f t="shared" si="257"/>
        <v>0</v>
      </c>
      <c r="SAU84" s="79">
        <f t="shared" si="257"/>
        <v>0</v>
      </c>
      <c r="SAV84" s="79">
        <f t="shared" si="257"/>
        <v>0</v>
      </c>
      <c r="SAW84" s="79">
        <f t="shared" si="257"/>
        <v>0</v>
      </c>
      <c r="SAX84" s="79">
        <f t="shared" si="257"/>
        <v>0</v>
      </c>
      <c r="SAY84" s="79">
        <f t="shared" si="257"/>
        <v>0</v>
      </c>
      <c r="SAZ84" s="79">
        <f t="shared" si="257"/>
        <v>0</v>
      </c>
      <c r="SBA84" s="145" t="s">
        <v>96</v>
      </c>
      <c r="SBD84" s="79">
        <f>SBD18+SBD24+SBD29+SBD30</f>
        <v>0</v>
      </c>
      <c r="SBE84" s="79">
        <f t="shared" si="257"/>
        <v>0</v>
      </c>
      <c r="SBF84" s="79">
        <f t="shared" si="257"/>
        <v>0</v>
      </c>
      <c r="SBG84" s="79">
        <f t="shared" si="257"/>
        <v>0</v>
      </c>
      <c r="SBH84" s="79">
        <f t="shared" si="257"/>
        <v>0</v>
      </c>
      <c r="SBI84" s="79">
        <f t="shared" si="257"/>
        <v>0</v>
      </c>
      <c r="SBJ84" s="79">
        <f t="shared" si="257"/>
        <v>0</v>
      </c>
      <c r="SBK84" s="79">
        <f t="shared" si="257"/>
        <v>0</v>
      </c>
      <c r="SBL84" s="79">
        <f t="shared" si="257"/>
        <v>0</v>
      </c>
      <c r="SBM84" s="79">
        <f t="shared" si="257"/>
        <v>0</v>
      </c>
      <c r="SBN84" s="79">
        <f t="shared" si="257"/>
        <v>0</v>
      </c>
      <c r="SBO84" s="79">
        <f t="shared" si="257"/>
        <v>0</v>
      </c>
      <c r="SBP84" s="79">
        <f t="shared" si="257"/>
        <v>0</v>
      </c>
      <c r="SBQ84" s="145" t="s">
        <v>96</v>
      </c>
      <c r="SBT84" s="79">
        <f>SBT18+SBT24+SBT29+SBT30</f>
        <v>0</v>
      </c>
      <c r="SBU84" s="79">
        <f t="shared" si="257"/>
        <v>0</v>
      </c>
      <c r="SBV84" s="79">
        <f t="shared" si="257"/>
        <v>0</v>
      </c>
      <c r="SBW84" s="79">
        <f t="shared" si="257"/>
        <v>0</v>
      </c>
      <c r="SBX84" s="79">
        <f t="shared" si="257"/>
        <v>0</v>
      </c>
      <c r="SBY84" s="79">
        <f t="shared" si="257"/>
        <v>0</v>
      </c>
      <c r="SBZ84" s="79">
        <f t="shared" si="257"/>
        <v>0</v>
      </c>
      <c r="SCA84" s="79">
        <f t="shared" si="257"/>
        <v>0</v>
      </c>
      <c r="SCB84" s="79">
        <f t="shared" si="257"/>
        <v>0</v>
      </c>
      <c r="SCC84" s="79">
        <f t="shared" si="257"/>
        <v>0</v>
      </c>
      <c r="SCD84" s="79">
        <f t="shared" si="257"/>
        <v>0</v>
      </c>
      <c r="SCE84" s="79">
        <f t="shared" si="257"/>
        <v>0</v>
      </c>
      <c r="SCF84" s="79">
        <f t="shared" si="257"/>
        <v>0</v>
      </c>
      <c r="SCG84" s="145" t="s">
        <v>96</v>
      </c>
      <c r="SCJ84" s="79">
        <f>SCJ18+SCJ24+SCJ29+SCJ30</f>
        <v>0</v>
      </c>
      <c r="SCK84" s="79">
        <f t="shared" ref="SCK84:SER84" si="258">SCK18+SCK24+SCK29+SCK30</f>
        <v>0</v>
      </c>
      <c r="SCL84" s="79">
        <f t="shared" si="258"/>
        <v>0</v>
      </c>
      <c r="SCM84" s="79">
        <f t="shared" si="258"/>
        <v>0</v>
      </c>
      <c r="SCN84" s="79">
        <f t="shared" si="258"/>
        <v>0</v>
      </c>
      <c r="SCO84" s="79">
        <f t="shared" si="258"/>
        <v>0</v>
      </c>
      <c r="SCP84" s="79">
        <f t="shared" si="258"/>
        <v>0</v>
      </c>
      <c r="SCQ84" s="79">
        <f t="shared" si="258"/>
        <v>0</v>
      </c>
      <c r="SCR84" s="79">
        <f t="shared" si="258"/>
        <v>0</v>
      </c>
      <c r="SCS84" s="79">
        <f t="shared" si="258"/>
        <v>0</v>
      </c>
      <c r="SCT84" s="79">
        <f t="shared" si="258"/>
        <v>0</v>
      </c>
      <c r="SCU84" s="79">
        <f t="shared" si="258"/>
        <v>0</v>
      </c>
      <c r="SCV84" s="79">
        <f t="shared" si="258"/>
        <v>0</v>
      </c>
      <c r="SCW84" s="145" t="s">
        <v>96</v>
      </c>
      <c r="SCZ84" s="79">
        <f>SCZ18+SCZ24+SCZ29+SCZ30</f>
        <v>0</v>
      </c>
      <c r="SDA84" s="79">
        <f t="shared" si="258"/>
        <v>0</v>
      </c>
      <c r="SDB84" s="79">
        <f t="shared" si="258"/>
        <v>0</v>
      </c>
      <c r="SDC84" s="79">
        <f t="shared" si="258"/>
        <v>0</v>
      </c>
      <c r="SDD84" s="79">
        <f t="shared" si="258"/>
        <v>0</v>
      </c>
      <c r="SDE84" s="79">
        <f t="shared" si="258"/>
        <v>0</v>
      </c>
      <c r="SDF84" s="79">
        <f t="shared" si="258"/>
        <v>0</v>
      </c>
      <c r="SDG84" s="79">
        <f t="shared" si="258"/>
        <v>0</v>
      </c>
      <c r="SDH84" s="79">
        <f t="shared" si="258"/>
        <v>0</v>
      </c>
      <c r="SDI84" s="79">
        <f t="shared" si="258"/>
        <v>0</v>
      </c>
      <c r="SDJ84" s="79">
        <f t="shared" si="258"/>
        <v>0</v>
      </c>
      <c r="SDK84" s="79">
        <f t="shared" si="258"/>
        <v>0</v>
      </c>
      <c r="SDL84" s="79">
        <f t="shared" si="258"/>
        <v>0</v>
      </c>
      <c r="SDM84" s="145" t="s">
        <v>96</v>
      </c>
      <c r="SDP84" s="79">
        <f>SDP18+SDP24+SDP29+SDP30</f>
        <v>0</v>
      </c>
      <c r="SDQ84" s="79">
        <f t="shared" si="258"/>
        <v>0</v>
      </c>
      <c r="SDR84" s="79">
        <f t="shared" si="258"/>
        <v>0</v>
      </c>
      <c r="SDS84" s="79">
        <f t="shared" si="258"/>
        <v>0</v>
      </c>
      <c r="SDT84" s="79">
        <f t="shared" si="258"/>
        <v>0</v>
      </c>
      <c r="SDU84" s="79">
        <f t="shared" si="258"/>
        <v>0</v>
      </c>
      <c r="SDV84" s="79">
        <f t="shared" si="258"/>
        <v>0</v>
      </c>
      <c r="SDW84" s="79">
        <f t="shared" si="258"/>
        <v>0</v>
      </c>
      <c r="SDX84" s="79">
        <f t="shared" si="258"/>
        <v>0</v>
      </c>
      <c r="SDY84" s="79">
        <f t="shared" si="258"/>
        <v>0</v>
      </c>
      <c r="SDZ84" s="79">
        <f t="shared" si="258"/>
        <v>0</v>
      </c>
      <c r="SEA84" s="79">
        <f t="shared" si="258"/>
        <v>0</v>
      </c>
      <c r="SEB84" s="79">
        <f t="shared" si="258"/>
        <v>0</v>
      </c>
      <c r="SEC84" s="145" t="s">
        <v>96</v>
      </c>
      <c r="SEF84" s="79">
        <f>SEF18+SEF24+SEF29+SEF30</f>
        <v>0</v>
      </c>
      <c r="SEG84" s="79">
        <f t="shared" si="258"/>
        <v>0</v>
      </c>
      <c r="SEH84" s="79">
        <f t="shared" si="258"/>
        <v>0</v>
      </c>
      <c r="SEI84" s="79">
        <f t="shared" si="258"/>
        <v>0</v>
      </c>
      <c r="SEJ84" s="79">
        <f t="shared" si="258"/>
        <v>0</v>
      </c>
      <c r="SEK84" s="79">
        <f t="shared" si="258"/>
        <v>0</v>
      </c>
      <c r="SEL84" s="79">
        <f t="shared" si="258"/>
        <v>0</v>
      </c>
      <c r="SEM84" s="79">
        <f t="shared" si="258"/>
        <v>0</v>
      </c>
      <c r="SEN84" s="79">
        <f t="shared" si="258"/>
        <v>0</v>
      </c>
      <c r="SEO84" s="79">
        <f t="shared" si="258"/>
        <v>0</v>
      </c>
      <c r="SEP84" s="79">
        <f t="shared" si="258"/>
        <v>0</v>
      </c>
      <c r="SEQ84" s="79">
        <f t="shared" si="258"/>
        <v>0</v>
      </c>
      <c r="SER84" s="79">
        <f t="shared" si="258"/>
        <v>0</v>
      </c>
      <c r="SES84" s="145" t="s">
        <v>96</v>
      </c>
      <c r="SEV84" s="79">
        <f>SEV18+SEV24+SEV29+SEV30</f>
        <v>0</v>
      </c>
      <c r="SEW84" s="79">
        <f t="shared" ref="SEW84:SHD84" si="259">SEW18+SEW24+SEW29+SEW30</f>
        <v>0</v>
      </c>
      <c r="SEX84" s="79">
        <f t="shared" si="259"/>
        <v>0</v>
      </c>
      <c r="SEY84" s="79">
        <f t="shared" si="259"/>
        <v>0</v>
      </c>
      <c r="SEZ84" s="79">
        <f t="shared" si="259"/>
        <v>0</v>
      </c>
      <c r="SFA84" s="79">
        <f t="shared" si="259"/>
        <v>0</v>
      </c>
      <c r="SFB84" s="79">
        <f t="shared" si="259"/>
        <v>0</v>
      </c>
      <c r="SFC84" s="79">
        <f t="shared" si="259"/>
        <v>0</v>
      </c>
      <c r="SFD84" s="79">
        <f t="shared" si="259"/>
        <v>0</v>
      </c>
      <c r="SFE84" s="79">
        <f t="shared" si="259"/>
        <v>0</v>
      </c>
      <c r="SFF84" s="79">
        <f t="shared" si="259"/>
        <v>0</v>
      </c>
      <c r="SFG84" s="79">
        <f t="shared" si="259"/>
        <v>0</v>
      </c>
      <c r="SFH84" s="79">
        <f t="shared" si="259"/>
        <v>0</v>
      </c>
      <c r="SFI84" s="145" t="s">
        <v>96</v>
      </c>
      <c r="SFL84" s="79">
        <f>SFL18+SFL24+SFL29+SFL30</f>
        <v>0</v>
      </c>
      <c r="SFM84" s="79">
        <f t="shared" si="259"/>
        <v>0</v>
      </c>
      <c r="SFN84" s="79">
        <f t="shared" si="259"/>
        <v>0</v>
      </c>
      <c r="SFO84" s="79">
        <f t="shared" si="259"/>
        <v>0</v>
      </c>
      <c r="SFP84" s="79">
        <f t="shared" si="259"/>
        <v>0</v>
      </c>
      <c r="SFQ84" s="79">
        <f t="shared" si="259"/>
        <v>0</v>
      </c>
      <c r="SFR84" s="79">
        <f t="shared" si="259"/>
        <v>0</v>
      </c>
      <c r="SFS84" s="79">
        <f t="shared" si="259"/>
        <v>0</v>
      </c>
      <c r="SFT84" s="79">
        <f t="shared" si="259"/>
        <v>0</v>
      </c>
      <c r="SFU84" s="79">
        <f t="shared" si="259"/>
        <v>0</v>
      </c>
      <c r="SFV84" s="79">
        <f t="shared" si="259"/>
        <v>0</v>
      </c>
      <c r="SFW84" s="79">
        <f t="shared" si="259"/>
        <v>0</v>
      </c>
      <c r="SFX84" s="79">
        <f t="shared" si="259"/>
        <v>0</v>
      </c>
      <c r="SFY84" s="145" t="s">
        <v>96</v>
      </c>
      <c r="SGB84" s="79">
        <f>SGB18+SGB24+SGB29+SGB30</f>
        <v>0</v>
      </c>
      <c r="SGC84" s="79">
        <f t="shared" si="259"/>
        <v>0</v>
      </c>
      <c r="SGD84" s="79">
        <f t="shared" si="259"/>
        <v>0</v>
      </c>
      <c r="SGE84" s="79">
        <f t="shared" si="259"/>
        <v>0</v>
      </c>
      <c r="SGF84" s="79">
        <f t="shared" si="259"/>
        <v>0</v>
      </c>
      <c r="SGG84" s="79">
        <f t="shared" si="259"/>
        <v>0</v>
      </c>
      <c r="SGH84" s="79">
        <f t="shared" si="259"/>
        <v>0</v>
      </c>
      <c r="SGI84" s="79">
        <f t="shared" si="259"/>
        <v>0</v>
      </c>
      <c r="SGJ84" s="79">
        <f t="shared" si="259"/>
        <v>0</v>
      </c>
      <c r="SGK84" s="79">
        <f t="shared" si="259"/>
        <v>0</v>
      </c>
      <c r="SGL84" s="79">
        <f t="shared" si="259"/>
        <v>0</v>
      </c>
      <c r="SGM84" s="79">
        <f t="shared" si="259"/>
        <v>0</v>
      </c>
      <c r="SGN84" s="79">
        <f t="shared" si="259"/>
        <v>0</v>
      </c>
      <c r="SGO84" s="145" t="s">
        <v>96</v>
      </c>
      <c r="SGR84" s="79">
        <f>SGR18+SGR24+SGR29+SGR30</f>
        <v>0</v>
      </c>
      <c r="SGS84" s="79">
        <f t="shared" si="259"/>
        <v>0</v>
      </c>
      <c r="SGT84" s="79">
        <f t="shared" si="259"/>
        <v>0</v>
      </c>
      <c r="SGU84" s="79">
        <f t="shared" si="259"/>
        <v>0</v>
      </c>
      <c r="SGV84" s="79">
        <f t="shared" si="259"/>
        <v>0</v>
      </c>
      <c r="SGW84" s="79">
        <f t="shared" si="259"/>
        <v>0</v>
      </c>
      <c r="SGX84" s="79">
        <f t="shared" si="259"/>
        <v>0</v>
      </c>
      <c r="SGY84" s="79">
        <f t="shared" si="259"/>
        <v>0</v>
      </c>
      <c r="SGZ84" s="79">
        <f t="shared" si="259"/>
        <v>0</v>
      </c>
      <c r="SHA84" s="79">
        <f t="shared" si="259"/>
        <v>0</v>
      </c>
      <c r="SHB84" s="79">
        <f t="shared" si="259"/>
        <v>0</v>
      </c>
      <c r="SHC84" s="79">
        <f t="shared" si="259"/>
        <v>0</v>
      </c>
      <c r="SHD84" s="79">
        <f t="shared" si="259"/>
        <v>0</v>
      </c>
      <c r="SHE84" s="145" t="s">
        <v>96</v>
      </c>
      <c r="SHH84" s="79">
        <f>SHH18+SHH24+SHH29+SHH30</f>
        <v>0</v>
      </c>
      <c r="SHI84" s="79">
        <f t="shared" ref="SHI84:SJP84" si="260">SHI18+SHI24+SHI29+SHI30</f>
        <v>0</v>
      </c>
      <c r="SHJ84" s="79">
        <f t="shared" si="260"/>
        <v>0</v>
      </c>
      <c r="SHK84" s="79">
        <f t="shared" si="260"/>
        <v>0</v>
      </c>
      <c r="SHL84" s="79">
        <f t="shared" si="260"/>
        <v>0</v>
      </c>
      <c r="SHM84" s="79">
        <f t="shared" si="260"/>
        <v>0</v>
      </c>
      <c r="SHN84" s="79">
        <f t="shared" si="260"/>
        <v>0</v>
      </c>
      <c r="SHO84" s="79">
        <f t="shared" si="260"/>
        <v>0</v>
      </c>
      <c r="SHP84" s="79">
        <f t="shared" si="260"/>
        <v>0</v>
      </c>
      <c r="SHQ84" s="79">
        <f t="shared" si="260"/>
        <v>0</v>
      </c>
      <c r="SHR84" s="79">
        <f t="shared" si="260"/>
        <v>0</v>
      </c>
      <c r="SHS84" s="79">
        <f t="shared" si="260"/>
        <v>0</v>
      </c>
      <c r="SHT84" s="79">
        <f t="shared" si="260"/>
        <v>0</v>
      </c>
      <c r="SHU84" s="145" t="s">
        <v>96</v>
      </c>
      <c r="SHX84" s="79">
        <f>SHX18+SHX24+SHX29+SHX30</f>
        <v>0</v>
      </c>
      <c r="SHY84" s="79">
        <f t="shared" si="260"/>
        <v>0</v>
      </c>
      <c r="SHZ84" s="79">
        <f t="shared" si="260"/>
        <v>0</v>
      </c>
      <c r="SIA84" s="79">
        <f t="shared" si="260"/>
        <v>0</v>
      </c>
      <c r="SIB84" s="79">
        <f t="shared" si="260"/>
        <v>0</v>
      </c>
      <c r="SIC84" s="79">
        <f t="shared" si="260"/>
        <v>0</v>
      </c>
      <c r="SID84" s="79">
        <f t="shared" si="260"/>
        <v>0</v>
      </c>
      <c r="SIE84" s="79">
        <f t="shared" si="260"/>
        <v>0</v>
      </c>
      <c r="SIF84" s="79">
        <f t="shared" si="260"/>
        <v>0</v>
      </c>
      <c r="SIG84" s="79">
        <f t="shared" si="260"/>
        <v>0</v>
      </c>
      <c r="SIH84" s="79">
        <f t="shared" si="260"/>
        <v>0</v>
      </c>
      <c r="SII84" s="79">
        <f t="shared" si="260"/>
        <v>0</v>
      </c>
      <c r="SIJ84" s="79">
        <f t="shared" si="260"/>
        <v>0</v>
      </c>
      <c r="SIK84" s="145" t="s">
        <v>96</v>
      </c>
      <c r="SIN84" s="79">
        <f>SIN18+SIN24+SIN29+SIN30</f>
        <v>0</v>
      </c>
      <c r="SIO84" s="79">
        <f t="shared" si="260"/>
        <v>0</v>
      </c>
      <c r="SIP84" s="79">
        <f t="shared" si="260"/>
        <v>0</v>
      </c>
      <c r="SIQ84" s="79">
        <f t="shared" si="260"/>
        <v>0</v>
      </c>
      <c r="SIR84" s="79">
        <f t="shared" si="260"/>
        <v>0</v>
      </c>
      <c r="SIS84" s="79">
        <f t="shared" si="260"/>
        <v>0</v>
      </c>
      <c r="SIT84" s="79">
        <f t="shared" si="260"/>
        <v>0</v>
      </c>
      <c r="SIU84" s="79">
        <f t="shared" si="260"/>
        <v>0</v>
      </c>
      <c r="SIV84" s="79">
        <f t="shared" si="260"/>
        <v>0</v>
      </c>
      <c r="SIW84" s="79">
        <f t="shared" si="260"/>
        <v>0</v>
      </c>
      <c r="SIX84" s="79">
        <f t="shared" si="260"/>
        <v>0</v>
      </c>
      <c r="SIY84" s="79">
        <f t="shared" si="260"/>
        <v>0</v>
      </c>
      <c r="SIZ84" s="79">
        <f t="shared" si="260"/>
        <v>0</v>
      </c>
      <c r="SJA84" s="145" t="s">
        <v>96</v>
      </c>
      <c r="SJD84" s="79">
        <f>SJD18+SJD24+SJD29+SJD30</f>
        <v>0</v>
      </c>
      <c r="SJE84" s="79">
        <f t="shared" si="260"/>
        <v>0</v>
      </c>
      <c r="SJF84" s="79">
        <f t="shared" si="260"/>
        <v>0</v>
      </c>
      <c r="SJG84" s="79">
        <f t="shared" si="260"/>
        <v>0</v>
      </c>
      <c r="SJH84" s="79">
        <f t="shared" si="260"/>
        <v>0</v>
      </c>
      <c r="SJI84" s="79">
        <f t="shared" si="260"/>
        <v>0</v>
      </c>
      <c r="SJJ84" s="79">
        <f t="shared" si="260"/>
        <v>0</v>
      </c>
      <c r="SJK84" s="79">
        <f t="shared" si="260"/>
        <v>0</v>
      </c>
      <c r="SJL84" s="79">
        <f t="shared" si="260"/>
        <v>0</v>
      </c>
      <c r="SJM84" s="79">
        <f t="shared" si="260"/>
        <v>0</v>
      </c>
      <c r="SJN84" s="79">
        <f t="shared" si="260"/>
        <v>0</v>
      </c>
      <c r="SJO84" s="79">
        <f t="shared" si="260"/>
        <v>0</v>
      </c>
      <c r="SJP84" s="79">
        <f t="shared" si="260"/>
        <v>0</v>
      </c>
      <c r="SJQ84" s="145" t="s">
        <v>96</v>
      </c>
      <c r="SJT84" s="79">
        <f>SJT18+SJT24+SJT29+SJT30</f>
        <v>0</v>
      </c>
      <c r="SJU84" s="79">
        <f t="shared" ref="SJU84:SMB84" si="261">SJU18+SJU24+SJU29+SJU30</f>
        <v>0</v>
      </c>
      <c r="SJV84" s="79">
        <f t="shared" si="261"/>
        <v>0</v>
      </c>
      <c r="SJW84" s="79">
        <f t="shared" si="261"/>
        <v>0</v>
      </c>
      <c r="SJX84" s="79">
        <f t="shared" si="261"/>
        <v>0</v>
      </c>
      <c r="SJY84" s="79">
        <f t="shared" si="261"/>
        <v>0</v>
      </c>
      <c r="SJZ84" s="79">
        <f t="shared" si="261"/>
        <v>0</v>
      </c>
      <c r="SKA84" s="79">
        <f t="shared" si="261"/>
        <v>0</v>
      </c>
      <c r="SKB84" s="79">
        <f t="shared" si="261"/>
        <v>0</v>
      </c>
      <c r="SKC84" s="79">
        <f t="shared" si="261"/>
        <v>0</v>
      </c>
      <c r="SKD84" s="79">
        <f t="shared" si="261"/>
        <v>0</v>
      </c>
      <c r="SKE84" s="79">
        <f t="shared" si="261"/>
        <v>0</v>
      </c>
      <c r="SKF84" s="79">
        <f t="shared" si="261"/>
        <v>0</v>
      </c>
      <c r="SKG84" s="145" t="s">
        <v>96</v>
      </c>
      <c r="SKJ84" s="79">
        <f>SKJ18+SKJ24+SKJ29+SKJ30</f>
        <v>0</v>
      </c>
      <c r="SKK84" s="79">
        <f t="shared" si="261"/>
        <v>0</v>
      </c>
      <c r="SKL84" s="79">
        <f t="shared" si="261"/>
        <v>0</v>
      </c>
      <c r="SKM84" s="79">
        <f t="shared" si="261"/>
        <v>0</v>
      </c>
      <c r="SKN84" s="79">
        <f t="shared" si="261"/>
        <v>0</v>
      </c>
      <c r="SKO84" s="79">
        <f t="shared" si="261"/>
        <v>0</v>
      </c>
      <c r="SKP84" s="79">
        <f t="shared" si="261"/>
        <v>0</v>
      </c>
      <c r="SKQ84" s="79">
        <f t="shared" si="261"/>
        <v>0</v>
      </c>
      <c r="SKR84" s="79">
        <f t="shared" si="261"/>
        <v>0</v>
      </c>
      <c r="SKS84" s="79">
        <f t="shared" si="261"/>
        <v>0</v>
      </c>
      <c r="SKT84" s="79">
        <f t="shared" si="261"/>
        <v>0</v>
      </c>
      <c r="SKU84" s="79">
        <f t="shared" si="261"/>
        <v>0</v>
      </c>
      <c r="SKV84" s="79">
        <f t="shared" si="261"/>
        <v>0</v>
      </c>
      <c r="SKW84" s="145" t="s">
        <v>96</v>
      </c>
      <c r="SKZ84" s="79">
        <f>SKZ18+SKZ24+SKZ29+SKZ30</f>
        <v>0</v>
      </c>
      <c r="SLA84" s="79">
        <f t="shared" si="261"/>
        <v>0</v>
      </c>
      <c r="SLB84" s="79">
        <f t="shared" si="261"/>
        <v>0</v>
      </c>
      <c r="SLC84" s="79">
        <f t="shared" si="261"/>
        <v>0</v>
      </c>
      <c r="SLD84" s="79">
        <f t="shared" si="261"/>
        <v>0</v>
      </c>
      <c r="SLE84" s="79">
        <f t="shared" si="261"/>
        <v>0</v>
      </c>
      <c r="SLF84" s="79">
        <f t="shared" si="261"/>
        <v>0</v>
      </c>
      <c r="SLG84" s="79">
        <f t="shared" si="261"/>
        <v>0</v>
      </c>
      <c r="SLH84" s="79">
        <f t="shared" si="261"/>
        <v>0</v>
      </c>
      <c r="SLI84" s="79">
        <f t="shared" si="261"/>
        <v>0</v>
      </c>
      <c r="SLJ84" s="79">
        <f t="shared" si="261"/>
        <v>0</v>
      </c>
      <c r="SLK84" s="79">
        <f t="shared" si="261"/>
        <v>0</v>
      </c>
      <c r="SLL84" s="79">
        <f t="shared" si="261"/>
        <v>0</v>
      </c>
      <c r="SLM84" s="145" t="s">
        <v>96</v>
      </c>
      <c r="SLP84" s="79">
        <f>SLP18+SLP24+SLP29+SLP30</f>
        <v>0</v>
      </c>
      <c r="SLQ84" s="79">
        <f t="shared" si="261"/>
        <v>0</v>
      </c>
      <c r="SLR84" s="79">
        <f t="shared" si="261"/>
        <v>0</v>
      </c>
      <c r="SLS84" s="79">
        <f t="shared" si="261"/>
        <v>0</v>
      </c>
      <c r="SLT84" s="79">
        <f t="shared" si="261"/>
        <v>0</v>
      </c>
      <c r="SLU84" s="79">
        <f t="shared" si="261"/>
        <v>0</v>
      </c>
      <c r="SLV84" s="79">
        <f t="shared" si="261"/>
        <v>0</v>
      </c>
      <c r="SLW84" s="79">
        <f t="shared" si="261"/>
        <v>0</v>
      </c>
      <c r="SLX84" s="79">
        <f t="shared" si="261"/>
        <v>0</v>
      </c>
      <c r="SLY84" s="79">
        <f t="shared" si="261"/>
        <v>0</v>
      </c>
      <c r="SLZ84" s="79">
        <f t="shared" si="261"/>
        <v>0</v>
      </c>
      <c r="SMA84" s="79">
        <f t="shared" si="261"/>
        <v>0</v>
      </c>
      <c r="SMB84" s="79">
        <f t="shared" si="261"/>
        <v>0</v>
      </c>
      <c r="SMC84" s="145" t="s">
        <v>96</v>
      </c>
      <c r="SMF84" s="79">
        <f>SMF18+SMF24+SMF29+SMF30</f>
        <v>0</v>
      </c>
      <c r="SMG84" s="79">
        <f t="shared" ref="SMG84:SON84" si="262">SMG18+SMG24+SMG29+SMG30</f>
        <v>0</v>
      </c>
      <c r="SMH84" s="79">
        <f t="shared" si="262"/>
        <v>0</v>
      </c>
      <c r="SMI84" s="79">
        <f t="shared" si="262"/>
        <v>0</v>
      </c>
      <c r="SMJ84" s="79">
        <f t="shared" si="262"/>
        <v>0</v>
      </c>
      <c r="SMK84" s="79">
        <f t="shared" si="262"/>
        <v>0</v>
      </c>
      <c r="SML84" s="79">
        <f t="shared" si="262"/>
        <v>0</v>
      </c>
      <c r="SMM84" s="79">
        <f t="shared" si="262"/>
        <v>0</v>
      </c>
      <c r="SMN84" s="79">
        <f t="shared" si="262"/>
        <v>0</v>
      </c>
      <c r="SMO84" s="79">
        <f t="shared" si="262"/>
        <v>0</v>
      </c>
      <c r="SMP84" s="79">
        <f t="shared" si="262"/>
        <v>0</v>
      </c>
      <c r="SMQ84" s="79">
        <f t="shared" si="262"/>
        <v>0</v>
      </c>
      <c r="SMR84" s="79">
        <f t="shared" si="262"/>
        <v>0</v>
      </c>
      <c r="SMS84" s="145" t="s">
        <v>96</v>
      </c>
      <c r="SMV84" s="79">
        <f>SMV18+SMV24+SMV29+SMV30</f>
        <v>0</v>
      </c>
      <c r="SMW84" s="79">
        <f t="shared" si="262"/>
        <v>0</v>
      </c>
      <c r="SMX84" s="79">
        <f t="shared" si="262"/>
        <v>0</v>
      </c>
      <c r="SMY84" s="79">
        <f t="shared" si="262"/>
        <v>0</v>
      </c>
      <c r="SMZ84" s="79">
        <f t="shared" si="262"/>
        <v>0</v>
      </c>
      <c r="SNA84" s="79">
        <f t="shared" si="262"/>
        <v>0</v>
      </c>
      <c r="SNB84" s="79">
        <f t="shared" si="262"/>
        <v>0</v>
      </c>
      <c r="SNC84" s="79">
        <f t="shared" si="262"/>
        <v>0</v>
      </c>
      <c r="SND84" s="79">
        <f t="shared" si="262"/>
        <v>0</v>
      </c>
      <c r="SNE84" s="79">
        <f t="shared" si="262"/>
        <v>0</v>
      </c>
      <c r="SNF84" s="79">
        <f t="shared" si="262"/>
        <v>0</v>
      </c>
      <c r="SNG84" s="79">
        <f t="shared" si="262"/>
        <v>0</v>
      </c>
      <c r="SNH84" s="79">
        <f t="shared" si="262"/>
        <v>0</v>
      </c>
      <c r="SNI84" s="145" t="s">
        <v>96</v>
      </c>
      <c r="SNL84" s="79">
        <f>SNL18+SNL24+SNL29+SNL30</f>
        <v>0</v>
      </c>
      <c r="SNM84" s="79">
        <f t="shared" si="262"/>
        <v>0</v>
      </c>
      <c r="SNN84" s="79">
        <f t="shared" si="262"/>
        <v>0</v>
      </c>
      <c r="SNO84" s="79">
        <f t="shared" si="262"/>
        <v>0</v>
      </c>
      <c r="SNP84" s="79">
        <f t="shared" si="262"/>
        <v>0</v>
      </c>
      <c r="SNQ84" s="79">
        <f t="shared" si="262"/>
        <v>0</v>
      </c>
      <c r="SNR84" s="79">
        <f t="shared" si="262"/>
        <v>0</v>
      </c>
      <c r="SNS84" s="79">
        <f t="shared" si="262"/>
        <v>0</v>
      </c>
      <c r="SNT84" s="79">
        <f t="shared" si="262"/>
        <v>0</v>
      </c>
      <c r="SNU84" s="79">
        <f t="shared" si="262"/>
        <v>0</v>
      </c>
      <c r="SNV84" s="79">
        <f t="shared" si="262"/>
        <v>0</v>
      </c>
      <c r="SNW84" s="79">
        <f t="shared" si="262"/>
        <v>0</v>
      </c>
      <c r="SNX84" s="79">
        <f t="shared" si="262"/>
        <v>0</v>
      </c>
      <c r="SNY84" s="145" t="s">
        <v>96</v>
      </c>
      <c r="SOB84" s="79">
        <f>SOB18+SOB24+SOB29+SOB30</f>
        <v>0</v>
      </c>
      <c r="SOC84" s="79">
        <f t="shared" si="262"/>
        <v>0</v>
      </c>
      <c r="SOD84" s="79">
        <f t="shared" si="262"/>
        <v>0</v>
      </c>
      <c r="SOE84" s="79">
        <f t="shared" si="262"/>
        <v>0</v>
      </c>
      <c r="SOF84" s="79">
        <f t="shared" si="262"/>
        <v>0</v>
      </c>
      <c r="SOG84" s="79">
        <f t="shared" si="262"/>
        <v>0</v>
      </c>
      <c r="SOH84" s="79">
        <f t="shared" si="262"/>
        <v>0</v>
      </c>
      <c r="SOI84" s="79">
        <f t="shared" si="262"/>
        <v>0</v>
      </c>
      <c r="SOJ84" s="79">
        <f t="shared" si="262"/>
        <v>0</v>
      </c>
      <c r="SOK84" s="79">
        <f t="shared" si="262"/>
        <v>0</v>
      </c>
      <c r="SOL84" s="79">
        <f t="shared" si="262"/>
        <v>0</v>
      </c>
      <c r="SOM84" s="79">
        <f t="shared" si="262"/>
        <v>0</v>
      </c>
      <c r="SON84" s="79">
        <f t="shared" si="262"/>
        <v>0</v>
      </c>
      <c r="SOO84" s="145" t="s">
        <v>96</v>
      </c>
      <c r="SOR84" s="79">
        <f>SOR18+SOR24+SOR29+SOR30</f>
        <v>0</v>
      </c>
      <c r="SOS84" s="79">
        <f t="shared" ref="SOS84:SQZ84" si="263">SOS18+SOS24+SOS29+SOS30</f>
        <v>0</v>
      </c>
      <c r="SOT84" s="79">
        <f t="shared" si="263"/>
        <v>0</v>
      </c>
      <c r="SOU84" s="79">
        <f t="shared" si="263"/>
        <v>0</v>
      </c>
      <c r="SOV84" s="79">
        <f t="shared" si="263"/>
        <v>0</v>
      </c>
      <c r="SOW84" s="79">
        <f t="shared" si="263"/>
        <v>0</v>
      </c>
      <c r="SOX84" s="79">
        <f t="shared" si="263"/>
        <v>0</v>
      </c>
      <c r="SOY84" s="79">
        <f t="shared" si="263"/>
        <v>0</v>
      </c>
      <c r="SOZ84" s="79">
        <f t="shared" si="263"/>
        <v>0</v>
      </c>
      <c r="SPA84" s="79">
        <f t="shared" si="263"/>
        <v>0</v>
      </c>
      <c r="SPB84" s="79">
        <f t="shared" si="263"/>
        <v>0</v>
      </c>
      <c r="SPC84" s="79">
        <f t="shared" si="263"/>
        <v>0</v>
      </c>
      <c r="SPD84" s="79">
        <f t="shared" si="263"/>
        <v>0</v>
      </c>
      <c r="SPE84" s="145" t="s">
        <v>96</v>
      </c>
      <c r="SPH84" s="79">
        <f>SPH18+SPH24+SPH29+SPH30</f>
        <v>0</v>
      </c>
      <c r="SPI84" s="79">
        <f t="shared" si="263"/>
        <v>0</v>
      </c>
      <c r="SPJ84" s="79">
        <f t="shared" si="263"/>
        <v>0</v>
      </c>
      <c r="SPK84" s="79">
        <f t="shared" si="263"/>
        <v>0</v>
      </c>
      <c r="SPL84" s="79">
        <f t="shared" si="263"/>
        <v>0</v>
      </c>
      <c r="SPM84" s="79">
        <f t="shared" si="263"/>
        <v>0</v>
      </c>
      <c r="SPN84" s="79">
        <f t="shared" si="263"/>
        <v>0</v>
      </c>
      <c r="SPO84" s="79">
        <f t="shared" si="263"/>
        <v>0</v>
      </c>
      <c r="SPP84" s="79">
        <f t="shared" si="263"/>
        <v>0</v>
      </c>
      <c r="SPQ84" s="79">
        <f t="shared" si="263"/>
        <v>0</v>
      </c>
      <c r="SPR84" s="79">
        <f t="shared" si="263"/>
        <v>0</v>
      </c>
      <c r="SPS84" s="79">
        <f t="shared" si="263"/>
        <v>0</v>
      </c>
      <c r="SPT84" s="79">
        <f t="shared" si="263"/>
        <v>0</v>
      </c>
      <c r="SPU84" s="145" t="s">
        <v>96</v>
      </c>
      <c r="SPX84" s="79">
        <f>SPX18+SPX24+SPX29+SPX30</f>
        <v>0</v>
      </c>
      <c r="SPY84" s="79">
        <f t="shared" si="263"/>
        <v>0</v>
      </c>
      <c r="SPZ84" s="79">
        <f t="shared" si="263"/>
        <v>0</v>
      </c>
      <c r="SQA84" s="79">
        <f t="shared" si="263"/>
        <v>0</v>
      </c>
      <c r="SQB84" s="79">
        <f t="shared" si="263"/>
        <v>0</v>
      </c>
      <c r="SQC84" s="79">
        <f t="shared" si="263"/>
        <v>0</v>
      </c>
      <c r="SQD84" s="79">
        <f t="shared" si="263"/>
        <v>0</v>
      </c>
      <c r="SQE84" s="79">
        <f t="shared" si="263"/>
        <v>0</v>
      </c>
      <c r="SQF84" s="79">
        <f t="shared" si="263"/>
        <v>0</v>
      </c>
      <c r="SQG84" s="79">
        <f t="shared" si="263"/>
        <v>0</v>
      </c>
      <c r="SQH84" s="79">
        <f t="shared" si="263"/>
        <v>0</v>
      </c>
      <c r="SQI84" s="79">
        <f t="shared" si="263"/>
        <v>0</v>
      </c>
      <c r="SQJ84" s="79">
        <f t="shared" si="263"/>
        <v>0</v>
      </c>
      <c r="SQK84" s="145" t="s">
        <v>96</v>
      </c>
      <c r="SQN84" s="79">
        <f>SQN18+SQN24+SQN29+SQN30</f>
        <v>0</v>
      </c>
      <c r="SQO84" s="79">
        <f t="shared" si="263"/>
        <v>0</v>
      </c>
      <c r="SQP84" s="79">
        <f t="shared" si="263"/>
        <v>0</v>
      </c>
      <c r="SQQ84" s="79">
        <f t="shared" si="263"/>
        <v>0</v>
      </c>
      <c r="SQR84" s="79">
        <f t="shared" si="263"/>
        <v>0</v>
      </c>
      <c r="SQS84" s="79">
        <f t="shared" si="263"/>
        <v>0</v>
      </c>
      <c r="SQT84" s="79">
        <f t="shared" si="263"/>
        <v>0</v>
      </c>
      <c r="SQU84" s="79">
        <f t="shared" si="263"/>
        <v>0</v>
      </c>
      <c r="SQV84" s="79">
        <f t="shared" si="263"/>
        <v>0</v>
      </c>
      <c r="SQW84" s="79">
        <f t="shared" si="263"/>
        <v>0</v>
      </c>
      <c r="SQX84" s="79">
        <f t="shared" si="263"/>
        <v>0</v>
      </c>
      <c r="SQY84" s="79">
        <f t="shared" si="263"/>
        <v>0</v>
      </c>
      <c r="SQZ84" s="79">
        <f t="shared" si="263"/>
        <v>0</v>
      </c>
      <c r="SRA84" s="145" t="s">
        <v>96</v>
      </c>
      <c r="SRD84" s="79">
        <f>SRD18+SRD24+SRD29+SRD30</f>
        <v>0</v>
      </c>
      <c r="SRE84" s="79">
        <f t="shared" ref="SRE84:STL84" si="264">SRE18+SRE24+SRE29+SRE30</f>
        <v>0</v>
      </c>
      <c r="SRF84" s="79">
        <f t="shared" si="264"/>
        <v>0</v>
      </c>
      <c r="SRG84" s="79">
        <f t="shared" si="264"/>
        <v>0</v>
      </c>
      <c r="SRH84" s="79">
        <f t="shared" si="264"/>
        <v>0</v>
      </c>
      <c r="SRI84" s="79">
        <f t="shared" si="264"/>
        <v>0</v>
      </c>
      <c r="SRJ84" s="79">
        <f t="shared" si="264"/>
        <v>0</v>
      </c>
      <c r="SRK84" s="79">
        <f t="shared" si="264"/>
        <v>0</v>
      </c>
      <c r="SRL84" s="79">
        <f t="shared" si="264"/>
        <v>0</v>
      </c>
      <c r="SRM84" s="79">
        <f t="shared" si="264"/>
        <v>0</v>
      </c>
      <c r="SRN84" s="79">
        <f t="shared" si="264"/>
        <v>0</v>
      </c>
      <c r="SRO84" s="79">
        <f t="shared" si="264"/>
        <v>0</v>
      </c>
      <c r="SRP84" s="79">
        <f t="shared" si="264"/>
        <v>0</v>
      </c>
      <c r="SRQ84" s="145" t="s">
        <v>96</v>
      </c>
      <c r="SRT84" s="79">
        <f>SRT18+SRT24+SRT29+SRT30</f>
        <v>0</v>
      </c>
      <c r="SRU84" s="79">
        <f t="shared" si="264"/>
        <v>0</v>
      </c>
      <c r="SRV84" s="79">
        <f t="shared" si="264"/>
        <v>0</v>
      </c>
      <c r="SRW84" s="79">
        <f t="shared" si="264"/>
        <v>0</v>
      </c>
      <c r="SRX84" s="79">
        <f t="shared" si="264"/>
        <v>0</v>
      </c>
      <c r="SRY84" s="79">
        <f t="shared" si="264"/>
        <v>0</v>
      </c>
      <c r="SRZ84" s="79">
        <f t="shared" si="264"/>
        <v>0</v>
      </c>
      <c r="SSA84" s="79">
        <f t="shared" si="264"/>
        <v>0</v>
      </c>
      <c r="SSB84" s="79">
        <f t="shared" si="264"/>
        <v>0</v>
      </c>
      <c r="SSC84" s="79">
        <f t="shared" si="264"/>
        <v>0</v>
      </c>
      <c r="SSD84" s="79">
        <f t="shared" si="264"/>
        <v>0</v>
      </c>
      <c r="SSE84" s="79">
        <f t="shared" si="264"/>
        <v>0</v>
      </c>
      <c r="SSF84" s="79">
        <f t="shared" si="264"/>
        <v>0</v>
      </c>
      <c r="SSG84" s="145" t="s">
        <v>96</v>
      </c>
      <c r="SSJ84" s="79">
        <f>SSJ18+SSJ24+SSJ29+SSJ30</f>
        <v>0</v>
      </c>
      <c r="SSK84" s="79">
        <f t="shared" si="264"/>
        <v>0</v>
      </c>
      <c r="SSL84" s="79">
        <f t="shared" si="264"/>
        <v>0</v>
      </c>
      <c r="SSM84" s="79">
        <f t="shared" si="264"/>
        <v>0</v>
      </c>
      <c r="SSN84" s="79">
        <f t="shared" si="264"/>
        <v>0</v>
      </c>
      <c r="SSO84" s="79">
        <f t="shared" si="264"/>
        <v>0</v>
      </c>
      <c r="SSP84" s="79">
        <f t="shared" si="264"/>
        <v>0</v>
      </c>
      <c r="SSQ84" s="79">
        <f t="shared" si="264"/>
        <v>0</v>
      </c>
      <c r="SSR84" s="79">
        <f t="shared" si="264"/>
        <v>0</v>
      </c>
      <c r="SSS84" s="79">
        <f t="shared" si="264"/>
        <v>0</v>
      </c>
      <c r="SST84" s="79">
        <f t="shared" si="264"/>
        <v>0</v>
      </c>
      <c r="SSU84" s="79">
        <f t="shared" si="264"/>
        <v>0</v>
      </c>
      <c r="SSV84" s="79">
        <f t="shared" si="264"/>
        <v>0</v>
      </c>
      <c r="SSW84" s="145" t="s">
        <v>96</v>
      </c>
      <c r="SSZ84" s="79">
        <f>SSZ18+SSZ24+SSZ29+SSZ30</f>
        <v>0</v>
      </c>
      <c r="STA84" s="79">
        <f t="shared" si="264"/>
        <v>0</v>
      </c>
      <c r="STB84" s="79">
        <f t="shared" si="264"/>
        <v>0</v>
      </c>
      <c r="STC84" s="79">
        <f t="shared" si="264"/>
        <v>0</v>
      </c>
      <c r="STD84" s="79">
        <f t="shared" si="264"/>
        <v>0</v>
      </c>
      <c r="STE84" s="79">
        <f t="shared" si="264"/>
        <v>0</v>
      </c>
      <c r="STF84" s="79">
        <f t="shared" si="264"/>
        <v>0</v>
      </c>
      <c r="STG84" s="79">
        <f t="shared" si="264"/>
        <v>0</v>
      </c>
      <c r="STH84" s="79">
        <f t="shared" si="264"/>
        <v>0</v>
      </c>
      <c r="STI84" s="79">
        <f t="shared" si="264"/>
        <v>0</v>
      </c>
      <c r="STJ84" s="79">
        <f t="shared" si="264"/>
        <v>0</v>
      </c>
      <c r="STK84" s="79">
        <f t="shared" si="264"/>
        <v>0</v>
      </c>
      <c r="STL84" s="79">
        <f t="shared" si="264"/>
        <v>0</v>
      </c>
      <c r="STM84" s="145" t="s">
        <v>96</v>
      </c>
      <c r="STP84" s="79">
        <f>STP18+STP24+STP29+STP30</f>
        <v>0</v>
      </c>
      <c r="STQ84" s="79">
        <f t="shared" ref="STQ84:SVX84" si="265">STQ18+STQ24+STQ29+STQ30</f>
        <v>0</v>
      </c>
      <c r="STR84" s="79">
        <f t="shared" si="265"/>
        <v>0</v>
      </c>
      <c r="STS84" s="79">
        <f t="shared" si="265"/>
        <v>0</v>
      </c>
      <c r="STT84" s="79">
        <f t="shared" si="265"/>
        <v>0</v>
      </c>
      <c r="STU84" s="79">
        <f t="shared" si="265"/>
        <v>0</v>
      </c>
      <c r="STV84" s="79">
        <f t="shared" si="265"/>
        <v>0</v>
      </c>
      <c r="STW84" s="79">
        <f t="shared" si="265"/>
        <v>0</v>
      </c>
      <c r="STX84" s="79">
        <f t="shared" si="265"/>
        <v>0</v>
      </c>
      <c r="STY84" s="79">
        <f t="shared" si="265"/>
        <v>0</v>
      </c>
      <c r="STZ84" s="79">
        <f t="shared" si="265"/>
        <v>0</v>
      </c>
      <c r="SUA84" s="79">
        <f t="shared" si="265"/>
        <v>0</v>
      </c>
      <c r="SUB84" s="79">
        <f t="shared" si="265"/>
        <v>0</v>
      </c>
      <c r="SUC84" s="145" t="s">
        <v>96</v>
      </c>
      <c r="SUF84" s="79">
        <f>SUF18+SUF24+SUF29+SUF30</f>
        <v>0</v>
      </c>
      <c r="SUG84" s="79">
        <f t="shared" si="265"/>
        <v>0</v>
      </c>
      <c r="SUH84" s="79">
        <f t="shared" si="265"/>
        <v>0</v>
      </c>
      <c r="SUI84" s="79">
        <f t="shared" si="265"/>
        <v>0</v>
      </c>
      <c r="SUJ84" s="79">
        <f t="shared" si="265"/>
        <v>0</v>
      </c>
      <c r="SUK84" s="79">
        <f t="shared" si="265"/>
        <v>0</v>
      </c>
      <c r="SUL84" s="79">
        <f t="shared" si="265"/>
        <v>0</v>
      </c>
      <c r="SUM84" s="79">
        <f t="shared" si="265"/>
        <v>0</v>
      </c>
      <c r="SUN84" s="79">
        <f t="shared" si="265"/>
        <v>0</v>
      </c>
      <c r="SUO84" s="79">
        <f t="shared" si="265"/>
        <v>0</v>
      </c>
      <c r="SUP84" s="79">
        <f t="shared" si="265"/>
        <v>0</v>
      </c>
      <c r="SUQ84" s="79">
        <f t="shared" si="265"/>
        <v>0</v>
      </c>
      <c r="SUR84" s="79">
        <f t="shared" si="265"/>
        <v>0</v>
      </c>
      <c r="SUS84" s="145" t="s">
        <v>96</v>
      </c>
      <c r="SUV84" s="79">
        <f>SUV18+SUV24+SUV29+SUV30</f>
        <v>0</v>
      </c>
      <c r="SUW84" s="79">
        <f t="shared" si="265"/>
        <v>0</v>
      </c>
      <c r="SUX84" s="79">
        <f t="shared" si="265"/>
        <v>0</v>
      </c>
      <c r="SUY84" s="79">
        <f t="shared" si="265"/>
        <v>0</v>
      </c>
      <c r="SUZ84" s="79">
        <f t="shared" si="265"/>
        <v>0</v>
      </c>
      <c r="SVA84" s="79">
        <f t="shared" si="265"/>
        <v>0</v>
      </c>
      <c r="SVB84" s="79">
        <f t="shared" si="265"/>
        <v>0</v>
      </c>
      <c r="SVC84" s="79">
        <f t="shared" si="265"/>
        <v>0</v>
      </c>
      <c r="SVD84" s="79">
        <f t="shared" si="265"/>
        <v>0</v>
      </c>
      <c r="SVE84" s="79">
        <f t="shared" si="265"/>
        <v>0</v>
      </c>
      <c r="SVF84" s="79">
        <f t="shared" si="265"/>
        <v>0</v>
      </c>
      <c r="SVG84" s="79">
        <f t="shared" si="265"/>
        <v>0</v>
      </c>
      <c r="SVH84" s="79">
        <f t="shared" si="265"/>
        <v>0</v>
      </c>
      <c r="SVI84" s="145" t="s">
        <v>96</v>
      </c>
      <c r="SVL84" s="79">
        <f>SVL18+SVL24+SVL29+SVL30</f>
        <v>0</v>
      </c>
      <c r="SVM84" s="79">
        <f t="shared" si="265"/>
        <v>0</v>
      </c>
      <c r="SVN84" s="79">
        <f t="shared" si="265"/>
        <v>0</v>
      </c>
      <c r="SVO84" s="79">
        <f t="shared" si="265"/>
        <v>0</v>
      </c>
      <c r="SVP84" s="79">
        <f t="shared" si="265"/>
        <v>0</v>
      </c>
      <c r="SVQ84" s="79">
        <f t="shared" si="265"/>
        <v>0</v>
      </c>
      <c r="SVR84" s="79">
        <f t="shared" si="265"/>
        <v>0</v>
      </c>
      <c r="SVS84" s="79">
        <f t="shared" si="265"/>
        <v>0</v>
      </c>
      <c r="SVT84" s="79">
        <f t="shared" si="265"/>
        <v>0</v>
      </c>
      <c r="SVU84" s="79">
        <f t="shared" si="265"/>
        <v>0</v>
      </c>
      <c r="SVV84" s="79">
        <f t="shared" si="265"/>
        <v>0</v>
      </c>
      <c r="SVW84" s="79">
        <f t="shared" si="265"/>
        <v>0</v>
      </c>
      <c r="SVX84" s="79">
        <f t="shared" si="265"/>
        <v>0</v>
      </c>
      <c r="SVY84" s="145" t="s">
        <v>96</v>
      </c>
      <c r="SWB84" s="79">
        <f>SWB18+SWB24+SWB29+SWB30</f>
        <v>0</v>
      </c>
      <c r="SWC84" s="79">
        <f t="shared" ref="SWC84:SYJ84" si="266">SWC18+SWC24+SWC29+SWC30</f>
        <v>0</v>
      </c>
      <c r="SWD84" s="79">
        <f t="shared" si="266"/>
        <v>0</v>
      </c>
      <c r="SWE84" s="79">
        <f t="shared" si="266"/>
        <v>0</v>
      </c>
      <c r="SWF84" s="79">
        <f t="shared" si="266"/>
        <v>0</v>
      </c>
      <c r="SWG84" s="79">
        <f t="shared" si="266"/>
        <v>0</v>
      </c>
      <c r="SWH84" s="79">
        <f t="shared" si="266"/>
        <v>0</v>
      </c>
      <c r="SWI84" s="79">
        <f t="shared" si="266"/>
        <v>0</v>
      </c>
      <c r="SWJ84" s="79">
        <f t="shared" si="266"/>
        <v>0</v>
      </c>
      <c r="SWK84" s="79">
        <f t="shared" si="266"/>
        <v>0</v>
      </c>
      <c r="SWL84" s="79">
        <f t="shared" si="266"/>
        <v>0</v>
      </c>
      <c r="SWM84" s="79">
        <f t="shared" si="266"/>
        <v>0</v>
      </c>
      <c r="SWN84" s="79">
        <f t="shared" si="266"/>
        <v>0</v>
      </c>
      <c r="SWO84" s="145" t="s">
        <v>96</v>
      </c>
      <c r="SWR84" s="79">
        <f>SWR18+SWR24+SWR29+SWR30</f>
        <v>0</v>
      </c>
      <c r="SWS84" s="79">
        <f t="shared" si="266"/>
        <v>0</v>
      </c>
      <c r="SWT84" s="79">
        <f t="shared" si="266"/>
        <v>0</v>
      </c>
      <c r="SWU84" s="79">
        <f t="shared" si="266"/>
        <v>0</v>
      </c>
      <c r="SWV84" s="79">
        <f t="shared" si="266"/>
        <v>0</v>
      </c>
      <c r="SWW84" s="79">
        <f t="shared" si="266"/>
        <v>0</v>
      </c>
      <c r="SWX84" s="79">
        <f t="shared" si="266"/>
        <v>0</v>
      </c>
      <c r="SWY84" s="79">
        <f t="shared" si="266"/>
        <v>0</v>
      </c>
      <c r="SWZ84" s="79">
        <f t="shared" si="266"/>
        <v>0</v>
      </c>
      <c r="SXA84" s="79">
        <f t="shared" si="266"/>
        <v>0</v>
      </c>
      <c r="SXB84" s="79">
        <f t="shared" si="266"/>
        <v>0</v>
      </c>
      <c r="SXC84" s="79">
        <f t="shared" si="266"/>
        <v>0</v>
      </c>
      <c r="SXD84" s="79">
        <f t="shared" si="266"/>
        <v>0</v>
      </c>
      <c r="SXE84" s="145" t="s">
        <v>96</v>
      </c>
      <c r="SXH84" s="79">
        <f>SXH18+SXH24+SXH29+SXH30</f>
        <v>0</v>
      </c>
      <c r="SXI84" s="79">
        <f t="shared" si="266"/>
        <v>0</v>
      </c>
      <c r="SXJ84" s="79">
        <f t="shared" si="266"/>
        <v>0</v>
      </c>
      <c r="SXK84" s="79">
        <f t="shared" si="266"/>
        <v>0</v>
      </c>
      <c r="SXL84" s="79">
        <f t="shared" si="266"/>
        <v>0</v>
      </c>
      <c r="SXM84" s="79">
        <f t="shared" si="266"/>
        <v>0</v>
      </c>
      <c r="SXN84" s="79">
        <f t="shared" si="266"/>
        <v>0</v>
      </c>
      <c r="SXO84" s="79">
        <f t="shared" si="266"/>
        <v>0</v>
      </c>
      <c r="SXP84" s="79">
        <f t="shared" si="266"/>
        <v>0</v>
      </c>
      <c r="SXQ84" s="79">
        <f t="shared" si="266"/>
        <v>0</v>
      </c>
      <c r="SXR84" s="79">
        <f t="shared" si="266"/>
        <v>0</v>
      </c>
      <c r="SXS84" s="79">
        <f t="shared" si="266"/>
        <v>0</v>
      </c>
      <c r="SXT84" s="79">
        <f t="shared" si="266"/>
        <v>0</v>
      </c>
      <c r="SXU84" s="145" t="s">
        <v>96</v>
      </c>
      <c r="SXX84" s="79">
        <f>SXX18+SXX24+SXX29+SXX30</f>
        <v>0</v>
      </c>
      <c r="SXY84" s="79">
        <f t="shared" si="266"/>
        <v>0</v>
      </c>
      <c r="SXZ84" s="79">
        <f t="shared" si="266"/>
        <v>0</v>
      </c>
      <c r="SYA84" s="79">
        <f t="shared" si="266"/>
        <v>0</v>
      </c>
      <c r="SYB84" s="79">
        <f t="shared" si="266"/>
        <v>0</v>
      </c>
      <c r="SYC84" s="79">
        <f t="shared" si="266"/>
        <v>0</v>
      </c>
      <c r="SYD84" s="79">
        <f t="shared" si="266"/>
        <v>0</v>
      </c>
      <c r="SYE84" s="79">
        <f t="shared" si="266"/>
        <v>0</v>
      </c>
      <c r="SYF84" s="79">
        <f t="shared" si="266"/>
        <v>0</v>
      </c>
      <c r="SYG84" s="79">
        <f t="shared" si="266"/>
        <v>0</v>
      </c>
      <c r="SYH84" s="79">
        <f t="shared" si="266"/>
        <v>0</v>
      </c>
      <c r="SYI84" s="79">
        <f t="shared" si="266"/>
        <v>0</v>
      </c>
      <c r="SYJ84" s="79">
        <f t="shared" si="266"/>
        <v>0</v>
      </c>
      <c r="SYK84" s="145" t="s">
        <v>96</v>
      </c>
      <c r="SYN84" s="79">
        <f>SYN18+SYN24+SYN29+SYN30</f>
        <v>0</v>
      </c>
      <c r="SYO84" s="79">
        <f t="shared" ref="SYO84:TAV84" si="267">SYO18+SYO24+SYO29+SYO30</f>
        <v>0</v>
      </c>
      <c r="SYP84" s="79">
        <f t="shared" si="267"/>
        <v>0</v>
      </c>
      <c r="SYQ84" s="79">
        <f t="shared" si="267"/>
        <v>0</v>
      </c>
      <c r="SYR84" s="79">
        <f t="shared" si="267"/>
        <v>0</v>
      </c>
      <c r="SYS84" s="79">
        <f t="shared" si="267"/>
        <v>0</v>
      </c>
      <c r="SYT84" s="79">
        <f t="shared" si="267"/>
        <v>0</v>
      </c>
      <c r="SYU84" s="79">
        <f t="shared" si="267"/>
        <v>0</v>
      </c>
      <c r="SYV84" s="79">
        <f t="shared" si="267"/>
        <v>0</v>
      </c>
      <c r="SYW84" s="79">
        <f t="shared" si="267"/>
        <v>0</v>
      </c>
      <c r="SYX84" s="79">
        <f t="shared" si="267"/>
        <v>0</v>
      </c>
      <c r="SYY84" s="79">
        <f t="shared" si="267"/>
        <v>0</v>
      </c>
      <c r="SYZ84" s="79">
        <f t="shared" si="267"/>
        <v>0</v>
      </c>
      <c r="SZA84" s="145" t="s">
        <v>96</v>
      </c>
      <c r="SZD84" s="79">
        <f>SZD18+SZD24+SZD29+SZD30</f>
        <v>0</v>
      </c>
      <c r="SZE84" s="79">
        <f t="shared" si="267"/>
        <v>0</v>
      </c>
      <c r="SZF84" s="79">
        <f t="shared" si="267"/>
        <v>0</v>
      </c>
      <c r="SZG84" s="79">
        <f t="shared" si="267"/>
        <v>0</v>
      </c>
      <c r="SZH84" s="79">
        <f t="shared" si="267"/>
        <v>0</v>
      </c>
      <c r="SZI84" s="79">
        <f t="shared" si="267"/>
        <v>0</v>
      </c>
      <c r="SZJ84" s="79">
        <f t="shared" si="267"/>
        <v>0</v>
      </c>
      <c r="SZK84" s="79">
        <f t="shared" si="267"/>
        <v>0</v>
      </c>
      <c r="SZL84" s="79">
        <f t="shared" si="267"/>
        <v>0</v>
      </c>
      <c r="SZM84" s="79">
        <f t="shared" si="267"/>
        <v>0</v>
      </c>
      <c r="SZN84" s="79">
        <f t="shared" si="267"/>
        <v>0</v>
      </c>
      <c r="SZO84" s="79">
        <f t="shared" si="267"/>
        <v>0</v>
      </c>
      <c r="SZP84" s="79">
        <f t="shared" si="267"/>
        <v>0</v>
      </c>
      <c r="SZQ84" s="145" t="s">
        <v>96</v>
      </c>
      <c r="SZT84" s="79">
        <f>SZT18+SZT24+SZT29+SZT30</f>
        <v>0</v>
      </c>
      <c r="SZU84" s="79">
        <f t="shared" si="267"/>
        <v>0</v>
      </c>
      <c r="SZV84" s="79">
        <f t="shared" si="267"/>
        <v>0</v>
      </c>
      <c r="SZW84" s="79">
        <f t="shared" si="267"/>
        <v>0</v>
      </c>
      <c r="SZX84" s="79">
        <f t="shared" si="267"/>
        <v>0</v>
      </c>
      <c r="SZY84" s="79">
        <f t="shared" si="267"/>
        <v>0</v>
      </c>
      <c r="SZZ84" s="79">
        <f t="shared" si="267"/>
        <v>0</v>
      </c>
      <c r="TAA84" s="79">
        <f t="shared" si="267"/>
        <v>0</v>
      </c>
      <c r="TAB84" s="79">
        <f t="shared" si="267"/>
        <v>0</v>
      </c>
      <c r="TAC84" s="79">
        <f t="shared" si="267"/>
        <v>0</v>
      </c>
      <c r="TAD84" s="79">
        <f t="shared" si="267"/>
        <v>0</v>
      </c>
      <c r="TAE84" s="79">
        <f t="shared" si="267"/>
        <v>0</v>
      </c>
      <c r="TAF84" s="79">
        <f t="shared" si="267"/>
        <v>0</v>
      </c>
      <c r="TAG84" s="145" t="s">
        <v>96</v>
      </c>
      <c r="TAJ84" s="79">
        <f>TAJ18+TAJ24+TAJ29+TAJ30</f>
        <v>0</v>
      </c>
      <c r="TAK84" s="79">
        <f t="shared" si="267"/>
        <v>0</v>
      </c>
      <c r="TAL84" s="79">
        <f t="shared" si="267"/>
        <v>0</v>
      </c>
      <c r="TAM84" s="79">
        <f t="shared" si="267"/>
        <v>0</v>
      </c>
      <c r="TAN84" s="79">
        <f t="shared" si="267"/>
        <v>0</v>
      </c>
      <c r="TAO84" s="79">
        <f t="shared" si="267"/>
        <v>0</v>
      </c>
      <c r="TAP84" s="79">
        <f t="shared" si="267"/>
        <v>0</v>
      </c>
      <c r="TAQ84" s="79">
        <f t="shared" si="267"/>
        <v>0</v>
      </c>
      <c r="TAR84" s="79">
        <f t="shared" si="267"/>
        <v>0</v>
      </c>
      <c r="TAS84" s="79">
        <f t="shared" si="267"/>
        <v>0</v>
      </c>
      <c r="TAT84" s="79">
        <f t="shared" si="267"/>
        <v>0</v>
      </c>
      <c r="TAU84" s="79">
        <f t="shared" si="267"/>
        <v>0</v>
      </c>
      <c r="TAV84" s="79">
        <f t="shared" si="267"/>
        <v>0</v>
      </c>
      <c r="TAW84" s="145" t="s">
        <v>96</v>
      </c>
      <c r="TAZ84" s="79">
        <f>TAZ18+TAZ24+TAZ29+TAZ30</f>
        <v>0</v>
      </c>
      <c r="TBA84" s="79">
        <f t="shared" ref="TBA84:TDH84" si="268">TBA18+TBA24+TBA29+TBA30</f>
        <v>0</v>
      </c>
      <c r="TBB84" s="79">
        <f t="shared" si="268"/>
        <v>0</v>
      </c>
      <c r="TBC84" s="79">
        <f t="shared" si="268"/>
        <v>0</v>
      </c>
      <c r="TBD84" s="79">
        <f t="shared" si="268"/>
        <v>0</v>
      </c>
      <c r="TBE84" s="79">
        <f t="shared" si="268"/>
        <v>0</v>
      </c>
      <c r="TBF84" s="79">
        <f t="shared" si="268"/>
        <v>0</v>
      </c>
      <c r="TBG84" s="79">
        <f t="shared" si="268"/>
        <v>0</v>
      </c>
      <c r="TBH84" s="79">
        <f t="shared" si="268"/>
        <v>0</v>
      </c>
      <c r="TBI84" s="79">
        <f t="shared" si="268"/>
        <v>0</v>
      </c>
      <c r="TBJ84" s="79">
        <f t="shared" si="268"/>
        <v>0</v>
      </c>
      <c r="TBK84" s="79">
        <f t="shared" si="268"/>
        <v>0</v>
      </c>
      <c r="TBL84" s="79">
        <f t="shared" si="268"/>
        <v>0</v>
      </c>
      <c r="TBM84" s="145" t="s">
        <v>96</v>
      </c>
      <c r="TBP84" s="79">
        <f>TBP18+TBP24+TBP29+TBP30</f>
        <v>0</v>
      </c>
      <c r="TBQ84" s="79">
        <f t="shared" si="268"/>
        <v>0</v>
      </c>
      <c r="TBR84" s="79">
        <f t="shared" si="268"/>
        <v>0</v>
      </c>
      <c r="TBS84" s="79">
        <f t="shared" si="268"/>
        <v>0</v>
      </c>
      <c r="TBT84" s="79">
        <f t="shared" si="268"/>
        <v>0</v>
      </c>
      <c r="TBU84" s="79">
        <f t="shared" si="268"/>
        <v>0</v>
      </c>
      <c r="TBV84" s="79">
        <f t="shared" si="268"/>
        <v>0</v>
      </c>
      <c r="TBW84" s="79">
        <f t="shared" si="268"/>
        <v>0</v>
      </c>
      <c r="TBX84" s="79">
        <f t="shared" si="268"/>
        <v>0</v>
      </c>
      <c r="TBY84" s="79">
        <f t="shared" si="268"/>
        <v>0</v>
      </c>
      <c r="TBZ84" s="79">
        <f t="shared" si="268"/>
        <v>0</v>
      </c>
      <c r="TCA84" s="79">
        <f t="shared" si="268"/>
        <v>0</v>
      </c>
      <c r="TCB84" s="79">
        <f t="shared" si="268"/>
        <v>0</v>
      </c>
      <c r="TCC84" s="145" t="s">
        <v>96</v>
      </c>
      <c r="TCF84" s="79">
        <f>TCF18+TCF24+TCF29+TCF30</f>
        <v>0</v>
      </c>
      <c r="TCG84" s="79">
        <f t="shared" si="268"/>
        <v>0</v>
      </c>
      <c r="TCH84" s="79">
        <f t="shared" si="268"/>
        <v>0</v>
      </c>
      <c r="TCI84" s="79">
        <f t="shared" si="268"/>
        <v>0</v>
      </c>
      <c r="TCJ84" s="79">
        <f t="shared" si="268"/>
        <v>0</v>
      </c>
      <c r="TCK84" s="79">
        <f t="shared" si="268"/>
        <v>0</v>
      </c>
      <c r="TCL84" s="79">
        <f t="shared" si="268"/>
        <v>0</v>
      </c>
      <c r="TCM84" s="79">
        <f t="shared" si="268"/>
        <v>0</v>
      </c>
      <c r="TCN84" s="79">
        <f t="shared" si="268"/>
        <v>0</v>
      </c>
      <c r="TCO84" s="79">
        <f t="shared" si="268"/>
        <v>0</v>
      </c>
      <c r="TCP84" s="79">
        <f t="shared" si="268"/>
        <v>0</v>
      </c>
      <c r="TCQ84" s="79">
        <f t="shared" si="268"/>
        <v>0</v>
      </c>
      <c r="TCR84" s="79">
        <f t="shared" si="268"/>
        <v>0</v>
      </c>
      <c r="TCS84" s="145" t="s">
        <v>96</v>
      </c>
      <c r="TCV84" s="79">
        <f>TCV18+TCV24+TCV29+TCV30</f>
        <v>0</v>
      </c>
      <c r="TCW84" s="79">
        <f t="shared" si="268"/>
        <v>0</v>
      </c>
      <c r="TCX84" s="79">
        <f t="shared" si="268"/>
        <v>0</v>
      </c>
      <c r="TCY84" s="79">
        <f t="shared" si="268"/>
        <v>0</v>
      </c>
      <c r="TCZ84" s="79">
        <f t="shared" si="268"/>
        <v>0</v>
      </c>
      <c r="TDA84" s="79">
        <f t="shared" si="268"/>
        <v>0</v>
      </c>
      <c r="TDB84" s="79">
        <f t="shared" si="268"/>
        <v>0</v>
      </c>
      <c r="TDC84" s="79">
        <f t="shared" si="268"/>
        <v>0</v>
      </c>
      <c r="TDD84" s="79">
        <f t="shared" si="268"/>
        <v>0</v>
      </c>
      <c r="TDE84" s="79">
        <f t="shared" si="268"/>
        <v>0</v>
      </c>
      <c r="TDF84" s="79">
        <f t="shared" si="268"/>
        <v>0</v>
      </c>
      <c r="TDG84" s="79">
        <f t="shared" si="268"/>
        <v>0</v>
      </c>
      <c r="TDH84" s="79">
        <f t="shared" si="268"/>
        <v>0</v>
      </c>
      <c r="TDI84" s="145" t="s">
        <v>96</v>
      </c>
      <c r="TDL84" s="79">
        <f>TDL18+TDL24+TDL29+TDL30</f>
        <v>0</v>
      </c>
      <c r="TDM84" s="79">
        <f t="shared" ref="TDM84:TFT84" si="269">TDM18+TDM24+TDM29+TDM30</f>
        <v>0</v>
      </c>
      <c r="TDN84" s="79">
        <f t="shared" si="269"/>
        <v>0</v>
      </c>
      <c r="TDO84" s="79">
        <f t="shared" si="269"/>
        <v>0</v>
      </c>
      <c r="TDP84" s="79">
        <f t="shared" si="269"/>
        <v>0</v>
      </c>
      <c r="TDQ84" s="79">
        <f t="shared" si="269"/>
        <v>0</v>
      </c>
      <c r="TDR84" s="79">
        <f t="shared" si="269"/>
        <v>0</v>
      </c>
      <c r="TDS84" s="79">
        <f t="shared" si="269"/>
        <v>0</v>
      </c>
      <c r="TDT84" s="79">
        <f t="shared" si="269"/>
        <v>0</v>
      </c>
      <c r="TDU84" s="79">
        <f t="shared" si="269"/>
        <v>0</v>
      </c>
      <c r="TDV84" s="79">
        <f t="shared" si="269"/>
        <v>0</v>
      </c>
      <c r="TDW84" s="79">
        <f t="shared" si="269"/>
        <v>0</v>
      </c>
      <c r="TDX84" s="79">
        <f t="shared" si="269"/>
        <v>0</v>
      </c>
      <c r="TDY84" s="145" t="s">
        <v>96</v>
      </c>
      <c r="TEB84" s="79">
        <f>TEB18+TEB24+TEB29+TEB30</f>
        <v>0</v>
      </c>
      <c r="TEC84" s="79">
        <f t="shared" si="269"/>
        <v>0</v>
      </c>
      <c r="TED84" s="79">
        <f t="shared" si="269"/>
        <v>0</v>
      </c>
      <c r="TEE84" s="79">
        <f t="shared" si="269"/>
        <v>0</v>
      </c>
      <c r="TEF84" s="79">
        <f t="shared" si="269"/>
        <v>0</v>
      </c>
      <c r="TEG84" s="79">
        <f t="shared" si="269"/>
        <v>0</v>
      </c>
      <c r="TEH84" s="79">
        <f t="shared" si="269"/>
        <v>0</v>
      </c>
      <c r="TEI84" s="79">
        <f t="shared" si="269"/>
        <v>0</v>
      </c>
      <c r="TEJ84" s="79">
        <f t="shared" si="269"/>
        <v>0</v>
      </c>
      <c r="TEK84" s="79">
        <f t="shared" si="269"/>
        <v>0</v>
      </c>
      <c r="TEL84" s="79">
        <f t="shared" si="269"/>
        <v>0</v>
      </c>
      <c r="TEM84" s="79">
        <f t="shared" si="269"/>
        <v>0</v>
      </c>
      <c r="TEN84" s="79">
        <f t="shared" si="269"/>
        <v>0</v>
      </c>
      <c r="TEO84" s="145" t="s">
        <v>96</v>
      </c>
      <c r="TER84" s="79">
        <f>TER18+TER24+TER29+TER30</f>
        <v>0</v>
      </c>
      <c r="TES84" s="79">
        <f t="shared" si="269"/>
        <v>0</v>
      </c>
      <c r="TET84" s="79">
        <f t="shared" si="269"/>
        <v>0</v>
      </c>
      <c r="TEU84" s="79">
        <f t="shared" si="269"/>
        <v>0</v>
      </c>
      <c r="TEV84" s="79">
        <f t="shared" si="269"/>
        <v>0</v>
      </c>
      <c r="TEW84" s="79">
        <f t="shared" si="269"/>
        <v>0</v>
      </c>
      <c r="TEX84" s="79">
        <f t="shared" si="269"/>
        <v>0</v>
      </c>
      <c r="TEY84" s="79">
        <f t="shared" si="269"/>
        <v>0</v>
      </c>
      <c r="TEZ84" s="79">
        <f t="shared" si="269"/>
        <v>0</v>
      </c>
      <c r="TFA84" s="79">
        <f t="shared" si="269"/>
        <v>0</v>
      </c>
      <c r="TFB84" s="79">
        <f t="shared" si="269"/>
        <v>0</v>
      </c>
      <c r="TFC84" s="79">
        <f t="shared" si="269"/>
        <v>0</v>
      </c>
      <c r="TFD84" s="79">
        <f t="shared" si="269"/>
        <v>0</v>
      </c>
      <c r="TFE84" s="145" t="s">
        <v>96</v>
      </c>
      <c r="TFH84" s="79">
        <f>TFH18+TFH24+TFH29+TFH30</f>
        <v>0</v>
      </c>
      <c r="TFI84" s="79">
        <f t="shared" si="269"/>
        <v>0</v>
      </c>
      <c r="TFJ84" s="79">
        <f t="shared" si="269"/>
        <v>0</v>
      </c>
      <c r="TFK84" s="79">
        <f t="shared" si="269"/>
        <v>0</v>
      </c>
      <c r="TFL84" s="79">
        <f t="shared" si="269"/>
        <v>0</v>
      </c>
      <c r="TFM84" s="79">
        <f t="shared" si="269"/>
        <v>0</v>
      </c>
      <c r="TFN84" s="79">
        <f t="shared" si="269"/>
        <v>0</v>
      </c>
      <c r="TFO84" s="79">
        <f t="shared" si="269"/>
        <v>0</v>
      </c>
      <c r="TFP84" s="79">
        <f t="shared" si="269"/>
        <v>0</v>
      </c>
      <c r="TFQ84" s="79">
        <f t="shared" si="269"/>
        <v>0</v>
      </c>
      <c r="TFR84" s="79">
        <f t="shared" si="269"/>
        <v>0</v>
      </c>
      <c r="TFS84" s="79">
        <f t="shared" si="269"/>
        <v>0</v>
      </c>
      <c r="TFT84" s="79">
        <f t="shared" si="269"/>
        <v>0</v>
      </c>
      <c r="TFU84" s="145" t="s">
        <v>96</v>
      </c>
      <c r="TFX84" s="79">
        <f>TFX18+TFX24+TFX29+TFX30</f>
        <v>0</v>
      </c>
      <c r="TFY84" s="79">
        <f t="shared" ref="TFY84:TIF84" si="270">TFY18+TFY24+TFY29+TFY30</f>
        <v>0</v>
      </c>
      <c r="TFZ84" s="79">
        <f t="shared" si="270"/>
        <v>0</v>
      </c>
      <c r="TGA84" s="79">
        <f t="shared" si="270"/>
        <v>0</v>
      </c>
      <c r="TGB84" s="79">
        <f t="shared" si="270"/>
        <v>0</v>
      </c>
      <c r="TGC84" s="79">
        <f t="shared" si="270"/>
        <v>0</v>
      </c>
      <c r="TGD84" s="79">
        <f t="shared" si="270"/>
        <v>0</v>
      </c>
      <c r="TGE84" s="79">
        <f t="shared" si="270"/>
        <v>0</v>
      </c>
      <c r="TGF84" s="79">
        <f t="shared" si="270"/>
        <v>0</v>
      </c>
      <c r="TGG84" s="79">
        <f t="shared" si="270"/>
        <v>0</v>
      </c>
      <c r="TGH84" s="79">
        <f t="shared" si="270"/>
        <v>0</v>
      </c>
      <c r="TGI84" s="79">
        <f t="shared" si="270"/>
        <v>0</v>
      </c>
      <c r="TGJ84" s="79">
        <f t="shared" si="270"/>
        <v>0</v>
      </c>
      <c r="TGK84" s="145" t="s">
        <v>96</v>
      </c>
      <c r="TGN84" s="79">
        <f>TGN18+TGN24+TGN29+TGN30</f>
        <v>0</v>
      </c>
      <c r="TGO84" s="79">
        <f t="shared" si="270"/>
        <v>0</v>
      </c>
      <c r="TGP84" s="79">
        <f t="shared" si="270"/>
        <v>0</v>
      </c>
      <c r="TGQ84" s="79">
        <f t="shared" si="270"/>
        <v>0</v>
      </c>
      <c r="TGR84" s="79">
        <f t="shared" si="270"/>
        <v>0</v>
      </c>
      <c r="TGS84" s="79">
        <f t="shared" si="270"/>
        <v>0</v>
      </c>
      <c r="TGT84" s="79">
        <f t="shared" si="270"/>
        <v>0</v>
      </c>
      <c r="TGU84" s="79">
        <f t="shared" si="270"/>
        <v>0</v>
      </c>
      <c r="TGV84" s="79">
        <f t="shared" si="270"/>
        <v>0</v>
      </c>
      <c r="TGW84" s="79">
        <f t="shared" si="270"/>
        <v>0</v>
      </c>
      <c r="TGX84" s="79">
        <f t="shared" si="270"/>
        <v>0</v>
      </c>
      <c r="TGY84" s="79">
        <f t="shared" si="270"/>
        <v>0</v>
      </c>
      <c r="TGZ84" s="79">
        <f t="shared" si="270"/>
        <v>0</v>
      </c>
      <c r="THA84" s="145" t="s">
        <v>96</v>
      </c>
      <c r="THD84" s="79">
        <f>THD18+THD24+THD29+THD30</f>
        <v>0</v>
      </c>
      <c r="THE84" s="79">
        <f t="shared" si="270"/>
        <v>0</v>
      </c>
      <c r="THF84" s="79">
        <f t="shared" si="270"/>
        <v>0</v>
      </c>
      <c r="THG84" s="79">
        <f t="shared" si="270"/>
        <v>0</v>
      </c>
      <c r="THH84" s="79">
        <f t="shared" si="270"/>
        <v>0</v>
      </c>
      <c r="THI84" s="79">
        <f t="shared" si="270"/>
        <v>0</v>
      </c>
      <c r="THJ84" s="79">
        <f t="shared" si="270"/>
        <v>0</v>
      </c>
      <c r="THK84" s="79">
        <f t="shared" si="270"/>
        <v>0</v>
      </c>
      <c r="THL84" s="79">
        <f t="shared" si="270"/>
        <v>0</v>
      </c>
      <c r="THM84" s="79">
        <f t="shared" si="270"/>
        <v>0</v>
      </c>
      <c r="THN84" s="79">
        <f t="shared" si="270"/>
        <v>0</v>
      </c>
      <c r="THO84" s="79">
        <f t="shared" si="270"/>
        <v>0</v>
      </c>
      <c r="THP84" s="79">
        <f t="shared" si="270"/>
        <v>0</v>
      </c>
      <c r="THQ84" s="145" t="s">
        <v>96</v>
      </c>
      <c r="THT84" s="79">
        <f>THT18+THT24+THT29+THT30</f>
        <v>0</v>
      </c>
      <c r="THU84" s="79">
        <f t="shared" si="270"/>
        <v>0</v>
      </c>
      <c r="THV84" s="79">
        <f t="shared" si="270"/>
        <v>0</v>
      </c>
      <c r="THW84" s="79">
        <f t="shared" si="270"/>
        <v>0</v>
      </c>
      <c r="THX84" s="79">
        <f t="shared" si="270"/>
        <v>0</v>
      </c>
      <c r="THY84" s="79">
        <f t="shared" si="270"/>
        <v>0</v>
      </c>
      <c r="THZ84" s="79">
        <f t="shared" si="270"/>
        <v>0</v>
      </c>
      <c r="TIA84" s="79">
        <f t="shared" si="270"/>
        <v>0</v>
      </c>
      <c r="TIB84" s="79">
        <f t="shared" si="270"/>
        <v>0</v>
      </c>
      <c r="TIC84" s="79">
        <f t="shared" si="270"/>
        <v>0</v>
      </c>
      <c r="TID84" s="79">
        <f t="shared" si="270"/>
        <v>0</v>
      </c>
      <c r="TIE84" s="79">
        <f t="shared" si="270"/>
        <v>0</v>
      </c>
      <c r="TIF84" s="79">
        <f t="shared" si="270"/>
        <v>0</v>
      </c>
      <c r="TIG84" s="145" t="s">
        <v>96</v>
      </c>
      <c r="TIJ84" s="79">
        <f>TIJ18+TIJ24+TIJ29+TIJ30</f>
        <v>0</v>
      </c>
      <c r="TIK84" s="79">
        <f t="shared" ref="TIK84:TKR84" si="271">TIK18+TIK24+TIK29+TIK30</f>
        <v>0</v>
      </c>
      <c r="TIL84" s="79">
        <f t="shared" si="271"/>
        <v>0</v>
      </c>
      <c r="TIM84" s="79">
        <f t="shared" si="271"/>
        <v>0</v>
      </c>
      <c r="TIN84" s="79">
        <f t="shared" si="271"/>
        <v>0</v>
      </c>
      <c r="TIO84" s="79">
        <f t="shared" si="271"/>
        <v>0</v>
      </c>
      <c r="TIP84" s="79">
        <f t="shared" si="271"/>
        <v>0</v>
      </c>
      <c r="TIQ84" s="79">
        <f t="shared" si="271"/>
        <v>0</v>
      </c>
      <c r="TIR84" s="79">
        <f t="shared" si="271"/>
        <v>0</v>
      </c>
      <c r="TIS84" s="79">
        <f t="shared" si="271"/>
        <v>0</v>
      </c>
      <c r="TIT84" s="79">
        <f t="shared" si="271"/>
        <v>0</v>
      </c>
      <c r="TIU84" s="79">
        <f t="shared" si="271"/>
        <v>0</v>
      </c>
      <c r="TIV84" s="79">
        <f t="shared" si="271"/>
        <v>0</v>
      </c>
      <c r="TIW84" s="145" t="s">
        <v>96</v>
      </c>
      <c r="TIZ84" s="79">
        <f>TIZ18+TIZ24+TIZ29+TIZ30</f>
        <v>0</v>
      </c>
      <c r="TJA84" s="79">
        <f t="shared" si="271"/>
        <v>0</v>
      </c>
      <c r="TJB84" s="79">
        <f t="shared" si="271"/>
        <v>0</v>
      </c>
      <c r="TJC84" s="79">
        <f t="shared" si="271"/>
        <v>0</v>
      </c>
      <c r="TJD84" s="79">
        <f t="shared" si="271"/>
        <v>0</v>
      </c>
      <c r="TJE84" s="79">
        <f t="shared" si="271"/>
        <v>0</v>
      </c>
      <c r="TJF84" s="79">
        <f t="shared" si="271"/>
        <v>0</v>
      </c>
      <c r="TJG84" s="79">
        <f t="shared" si="271"/>
        <v>0</v>
      </c>
      <c r="TJH84" s="79">
        <f t="shared" si="271"/>
        <v>0</v>
      </c>
      <c r="TJI84" s="79">
        <f t="shared" si="271"/>
        <v>0</v>
      </c>
      <c r="TJJ84" s="79">
        <f t="shared" si="271"/>
        <v>0</v>
      </c>
      <c r="TJK84" s="79">
        <f t="shared" si="271"/>
        <v>0</v>
      </c>
      <c r="TJL84" s="79">
        <f t="shared" si="271"/>
        <v>0</v>
      </c>
      <c r="TJM84" s="145" t="s">
        <v>96</v>
      </c>
      <c r="TJP84" s="79">
        <f>TJP18+TJP24+TJP29+TJP30</f>
        <v>0</v>
      </c>
      <c r="TJQ84" s="79">
        <f t="shared" si="271"/>
        <v>0</v>
      </c>
      <c r="TJR84" s="79">
        <f t="shared" si="271"/>
        <v>0</v>
      </c>
      <c r="TJS84" s="79">
        <f t="shared" si="271"/>
        <v>0</v>
      </c>
      <c r="TJT84" s="79">
        <f t="shared" si="271"/>
        <v>0</v>
      </c>
      <c r="TJU84" s="79">
        <f t="shared" si="271"/>
        <v>0</v>
      </c>
      <c r="TJV84" s="79">
        <f t="shared" si="271"/>
        <v>0</v>
      </c>
      <c r="TJW84" s="79">
        <f t="shared" si="271"/>
        <v>0</v>
      </c>
      <c r="TJX84" s="79">
        <f t="shared" si="271"/>
        <v>0</v>
      </c>
      <c r="TJY84" s="79">
        <f t="shared" si="271"/>
        <v>0</v>
      </c>
      <c r="TJZ84" s="79">
        <f t="shared" si="271"/>
        <v>0</v>
      </c>
      <c r="TKA84" s="79">
        <f t="shared" si="271"/>
        <v>0</v>
      </c>
      <c r="TKB84" s="79">
        <f t="shared" si="271"/>
        <v>0</v>
      </c>
      <c r="TKC84" s="145" t="s">
        <v>96</v>
      </c>
      <c r="TKF84" s="79">
        <f>TKF18+TKF24+TKF29+TKF30</f>
        <v>0</v>
      </c>
      <c r="TKG84" s="79">
        <f t="shared" si="271"/>
        <v>0</v>
      </c>
      <c r="TKH84" s="79">
        <f t="shared" si="271"/>
        <v>0</v>
      </c>
      <c r="TKI84" s="79">
        <f t="shared" si="271"/>
        <v>0</v>
      </c>
      <c r="TKJ84" s="79">
        <f t="shared" si="271"/>
        <v>0</v>
      </c>
      <c r="TKK84" s="79">
        <f t="shared" si="271"/>
        <v>0</v>
      </c>
      <c r="TKL84" s="79">
        <f t="shared" si="271"/>
        <v>0</v>
      </c>
      <c r="TKM84" s="79">
        <f t="shared" si="271"/>
        <v>0</v>
      </c>
      <c r="TKN84" s="79">
        <f t="shared" si="271"/>
        <v>0</v>
      </c>
      <c r="TKO84" s="79">
        <f t="shared" si="271"/>
        <v>0</v>
      </c>
      <c r="TKP84" s="79">
        <f t="shared" si="271"/>
        <v>0</v>
      </c>
      <c r="TKQ84" s="79">
        <f t="shared" si="271"/>
        <v>0</v>
      </c>
      <c r="TKR84" s="79">
        <f t="shared" si="271"/>
        <v>0</v>
      </c>
      <c r="TKS84" s="145" t="s">
        <v>96</v>
      </c>
      <c r="TKV84" s="79">
        <f>TKV18+TKV24+TKV29+TKV30</f>
        <v>0</v>
      </c>
      <c r="TKW84" s="79">
        <f t="shared" ref="TKW84:TND84" si="272">TKW18+TKW24+TKW29+TKW30</f>
        <v>0</v>
      </c>
      <c r="TKX84" s="79">
        <f t="shared" si="272"/>
        <v>0</v>
      </c>
      <c r="TKY84" s="79">
        <f t="shared" si="272"/>
        <v>0</v>
      </c>
      <c r="TKZ84" s="79">
        <f t="shared" si="272"/>
        <v>0</v>
      </c>
      <c r="TLA84" s="79">
        <f t="shared" si="272"/>
        <v>0</v>
      </c>
      <c r="TLB84" s="79">
        <f t="shared" si="272"/>
        <v>0</v>
      </c>
      <c r="TLC84" s="79">
        <f t="shared" si="272"/>
        <v>0</v>
      </c>
      <c r="TLD84" s="79">
        <f t="shared" si="272"/>
        <v>0</v>
      </c>
      <c r="TLE84" s="79">
        <f t="shared" si="272"/>
        <v>0</v>
      </c>
      <c r="TLF84" s="79">
        <f t="shared" si="272"/>
        <v>0</v>
      </c>
      <c r="TLG84" s="79">
        <f t="shared" si="272"/>
        <v>0</v>
      </c>
      <c r="TLH84" s="79">
        <f t="shared" si="272"/>
        <v>0</v>
      </c>
      <c r="TLI84" s="145" t="s">
        <v>96</v>
      </c>
      <c r="TLL84" s="79">
        <f>TLL18+TLL24+TLL29+TLL30</f>
        <v>0</v>
      </c>
      <c r="TLM84" s="79">
        <f t="shared" si="272"/>
        <v>0</v>
      </c>
      <c r="TLN84" s="79">
        <f t="shared" si="272"/>
        <v>0</v>
      </c>
      <c r="TLO84" s="79">
        <f t="shared" si="272"/>
        <v>0</v>
      </c>
      <c r="TLP84" s="79">
        <f t="shared" si="272"/>
        <v>0</v>
      </c>
      <c r="TLQ84" s="79">
        <f t="shared" si="272"/>
        <v>0</v>
      </c>
      <c r="TLR84" s="79">
        <f t="shared" si="272"/>
        <v>0</v>
      </c>
      <c r="TLS84" s="79">
        <f t="shared" si="272"/>
        <v>0</v>
      </c>
      <c r="TLT84" s="79">
        <f t="shared" si="272"/>
        <v>0</v>
      </c>
      <c r="TLU84" s="79">
        <f t="shared" si="272"/>
        <v>0</v>
      </c>
      <c r="TLV84" s="79">
        <f t="shared" si="272"/>
        <v>0</v>
      </c>
      <c r="TLW84" s="79">
        <f t="shared" si="272"/>
        <v>0</v>
      </c>
      <c r="TLX84" s="79">
        <f t="shared" si="272"/>
        <v>0</v>
      </c>
      <c r="TLY84" s="145" t="s">
        <v>96</v>
      </c>
      <c r="TMB84" s="79">
        <f>TMB18+TMB24+TMB29+TMB30</f>
        <v>0</v>
      </c>
      <c r="TMC84" s="79">
        <f t="shared" si="272"/>
        <v>0</v>
      </c>
      <c r="TMD84" s="79">
        <f t="shared" si="272"/>
        <v>0</v>
      </c>
      <c r="TME84" s="79">
        <f t="shared" si="272"/>
        <v>0</v>
      </c>
      <c r="TMF84" s="79">
        <f t="shared" si="272"/>
        <v>0</v>
      </c>
      <c r="TMG84" s="79">
        <f t="shared" si="272"/>
        <v>0</v>
      </c>
      <c r="TMH84" s="79">
        <f t="shared" si="272"/>
        <v>0</v>
      </c>
      <c r="TMI84" s="79">
        <f t="shared" si="272"/>
        <v>0</v>
      </c>
      <c r="TMJ84" s="79">
        <f t="shared" si="272"/>
        <v>0</v>
      </c>
      <c r="TMK84" s="79">
        <f t="shared" si="272"/>
        <v>0</v>
      </c>
      <c r="TML84" s="79">
        <f t="shared" si="272"/>
        <v>0</v>
      </c>
      <c r="TMM84" s="79">
        <f t="shared" si="272"/>
        <v>0</v>
      </c>
      <c r="TMN84" s="79">
        <f t="shared" si="272"/>
        <v>0</v>
      </c>
      <c r="TMO84" s="145" t="s">
        <v>96</v>
      </c>
      <c r="TMR84" s="79">
        <f>TMR18+TMR24+TMR29+TMR30</f>
        <v>0</v>
      </c>
      <c r="TMS84" s="79">
        <f t="shared" si="272"/>
        <v>0</v>
      </c>
      <c r="TMT84" s="79">
        <f t="shared" si="272"/>
        <v>0</v>
      </c>
      <c r="TMU84" s="79">
        <f t="shared" si="272"/>
        <v>0</v>
      </c>
      <c r="TMV84" s="79">
        <f t="shared" si="272"/>
        <v>0</v>
      </c>
      <c r="TMW84" s="79">
        <f t="shared" si="272"/>
        <v>0</v>
      </c>
      <c r="TMX84" s="79">
        <f t="shared" si="272"/>
        <v>0</v>
      </c>
      <c r="TMY84" s="79">
        <f t="shared" si="272"/>
        <v>0</v>
      </c>
      <c r="TMZ84" s="79">
        <f t="shared" si="272"/>
        <v>0</v>
      </c>
      <c r="TNA84" s="79">
        <f t="shared" si="272"/>
        <v>0</v>
      </c>
      <c r="TNB84" s="79">
        <f t="shared" si="272"/>
        <v>0</v>
      </c>
      <c r="TNC84" s="79">
        <f t="shared" si="272"/>
        <v>0</v>
      </c>
      <c r="TND84" s="79">
        <f t="shared" si="272"/>
        <v>0</v>
      </c>
      <c r="TNE84" s="145" t="s">
        <v>96</v>
      </c>
      <c r="TNH84" s="79">
        <f>TNH18+TNH24+TNH29+TNH30</f>
        <v>0</v>
      </c>
      <c r="TNI84" s="79">
        <f t="shared" ref="TNI84:TPP84" si="273">TNI18+TNI24+TNI29+TNI30</f>
        <v>0</v>
      </c>
      <c r="TNJ84" s="79">
        <f t="shared" si="273"/>
        <v>0</v>
      </c>
      <c r="TNK84" s="79">
        <f t="shared" si="273"/>
        <v>0</v>
      </c>
      <c r="TNL84" s="79">
        <f t="shared" si="273"/>
        <v>0</v>
      </c>
      <c r="TNM84" s="79">
        <f t="shared" si="273"/>
        <v>0</v>
      </c>
      <c r="TNN84" s="79">
        <f t="shared" si="273"/>
        <v>0</v>
      </c>
      <c r="TNO84" s="79">
        <f t="shared" si="273"/>
        <v>0</v>
      </c>
      <c r="TNP84" s="79">
        <f t="shared" si="273"/>
        <v>0</v>
      </c>
      <c r="TNQ84" s="79">
        <f t="shared" si="273"/>
        <v>0</v>
      </c>
      <c r="TNR84" s="79">
        <f t="shared" si="273"/>
        <v>0</v>
      </c>
      <c r="TNS84" s="79">
        <f t="shared" si="273"/>
        <v>0</v>
      </c>
      <c r="TNT84" s="79">
        <f t="shared" si="273"/>
        <v>0</v>
      </c>
      <c r="TNU84" s="145" t="s">
        <v>96</v>
      </c>
      <c r="TNX84" s="79">
        <f>TNX18+TNX24+TNX29+TNX30</f>
        <v>0</v>
      </c>
      <c r="TNY84" s="79">
        <f t="shared" si="273"/>
        <v>0</v>
      </c>
      <c r="TNZ84" s="79">
        <f t="shared" si="273"/>
        <v>0</v>
      </c>
      <c r="TOA84" s="79">
        <f t="shared" si="273"/>
        <v>0</v>
      </c>
      <c r="TOB84" s="79">
        <f t="shared" si="273"/>
        <v>0</v>
      </c>
      <c r="TOC84" s="79">
        <f t="shared" si="273"/>
        <v>0</v>
      </c>
      <c r="TOD84" s="79">
        <f t="shared" si="273"/>
        <v>0</v>
      </c>
      <c r="TOE84" s="79">
        <f t="shared" si="273"/>
        <v>0</v>
      </c>
      <c r="TOF84" s="79">
        <f t="shared" si="273"/>
        <v>0</v>
      </c>
      <c r="TOG84" s="79">
        <f t="shared" si="273"/>
        <v>0</v>
      </c>
      <c r="TOH84" s="79">
        <f t="shared" si="273"/>
        <v>0</v>
      </c>
      <c r="TOI84" s="79">
        <f t="shared" si="273"/>
        <v>0</v>
      </c>
      <c r="TOJ84" s="79">
        <f t="shared" si="273"/>
        <v>0</v>
      </c>
      <c r="TOK84" s="145" t="s">
        <v>96</v>
      </c>
      <c r="TON84" s="79">
        <f>TON18+TON24+TON29+TON30</f>
        <v>0</v>
      </c>
      <c r="TOO84" s="79">
        <f t="shared" si="273"/>
        <v>0</v>
      </c>
      <c r="TOP84" s="79">
        <f t="shared" si="273"/>
        <v>0</v>
      </c>
      <c r="TOQ84" s="79">
        <f t="shared" si="273"/>
        <v>0</v>
      </c>
      <c r="TOR84" s="79">
        <f t="shared" si="273"/>
        <v>0</v>
      </c>
      <c r="TOS84" s="79">
        <f t="shared" si="273"/>
        <v>0</v>
      </c>
      <c r="TOT84" s="79">
        <f t="shared" si="273"/>
        <v>0</v>
      </c>
      <c r="TOU84" s="79">
        <f t="shared" si="273"/>
        <v>0</v>
      </c>
      <c r="TOV84" s="79">
        <f t="shared" si="273"/>
        <v>0</v>
      </c>
      <c r="TOW84" s="79">
        <f t="shared" si="273"/>
        <v>0</v>
      </c>
      <c r="TOX84" s="79">
        <f t="shared" si="273"/>
        <v>0</v>
      </c>
      <c r="TOY84" s="79">
        <f t="shared" si="273"/>
        <v>0</v>
      </c>
      <c r="TOZ84" s="79">
        <f t="shared" si="273"/>
        <v>0</v>
      </c>
      <c r="TPA84" s="145" t="s">
        <v>96</v>
      </c>
      <c r="TPD84" s="79">
        <f>TPD18+TPD24+TPD29+TPD30</f>
        <v>0</v>
      </c>
      <c r="TPE84" s="79">
        <f t="shared" si="273"/>
        <v>0</v>
      </c>
      <c r="TPF84" s="79">
        <f t="shared" si="273"/>
        <v>0</v>
      </c>
      <c r="TPG84" s="79">
        <f t="shared" si="273"/>
        <v>0</v>
      </c>
      <c r="TPH84" s="79">
        <f t="shared" si="273"/>
        <v>0</v>
      </c>
      <c r="TPI84" s="79">
        <f t="shared" si="273"/>
        <v>0</v>
      </c>
      <c r="TPJ84" s="79">
        <f t="shared" si="273"/>
        <v>0</v>
      </c>
      <c r="TPK84" s="79">
        <f t="shared" si="273"/>
        <v>0</v>
      </c>
      <c r="TPL84" s="79">
        <f t="shared" si="273"/>
        <v>0</v>
      </c>
      <c r="TPM84" s="79">
        <f t="shared" si="273"/>
        <v>0</v>
      </c>
      <c r="TPN84" s="79">
        <f t="shared" si="273"/>
        <v>0</v>
      </c>
      <c r="TPO84" s="79">
        <f t="shared" si="273"/>
        <v>0</v>
      </c>
      <c r="TPP84" s="79">
        <f t="shared" si="273"/>
        <v>0</v>
      </c>
      <c r="TPQ84" s="145" t="s">
        <v>96</v>
      </c>
      <c r="TPT84" s="79">
        <f>TPT18+TPT24+TPT29+TPT30</f>
        <v>0</v>
      </c>
      <c r="TPU84" s="79">
        <f t="shared" ref="TPU84:TSB84" si="274">TPU18+TPU24+TPU29+TPU30</f>
        <v>0</v>
      </c>
      <c r="TPV84" s="79">
        <f t="shared" si="274"/>
        <v>0</v>
      </c>
      <c r="TPW84" s="79">
        <f t="shared" si="274"/>
        <v>0</v>
      </c>
      <c r="TPX84" s="79">
        <f t="shared" si="274"/>
        <v>0</v>
      </c>
      <c r="TPY84" s="79">
        <f t="shared" si="274"/>
        <v>0</v>
      </c>
      <c r="TPZ84" s="79">
        <f t="shared" si="274"/>
        <v>0</v>
      </c>
      <c r="TQA84" s="79">
        <f t="shared" si="274"/>
        <v>0</v>
      </c>
      <c r="TQB84" s="79">
        <f t="shared" si="274"/>
        <v>0</v>
      </c>
      <c r="TQC84" s="79">
        <f t="shared" si="274"/>
        <v>0</v>
      </c>
      <c r="TQD84" s="79">
        <f t="shared" si="274"/>
        <v>0</v>
      </c>
      <c r="TQE84" s="79">
        <f t="shared" si="274"/>
        <v>0</v>
      </c>
      <c r="TQF84" s="79">
        <f t="shared" si="274"/>
        <v>0</v>
      </c>
      <c r="TQG84" s="145" t="s">
        <v>96</v>
      </c>
      <c r="TQJ84" s="79">
        <f>TQJ18+TQJ24+TQJ29+TQJ30</f>
        <v>0</v>
      </c>
      <c r="TQK84" s="79">
        <f t="shared" si="274"/>
        <v>0</v>
      </c>
      <c r="TQL84" s="79">
        <f t="shared" si="274"/>
        <v>0</v>
      </c>
      <c r="TQM84" s="79">
        <f t="shared" si="274"/>
        <v>0</v>
      </c>
      <c r="TQN84" s="79">
        <f t="shared" si="274"/>
        <v>0</v>
      </c>
      <c r="TQO84" s="79">
        <f t="shared" si="274"/>
        <v>0</v>
      </c>
      <c r="TQP84" s="79">
        <f t="shared" si="274"/>
        <v>0</v>
      </c>
      <c r="TQQ84" s="79">
        <f t="shared" si="274"/>
        <v>0</v>
      </c>
      <c r="TQR84" s="79">
        <f t="shared" si="274"/>
        <v>0</v>
      </c>
      <c r="TQS84" s="79">
        <f t="shared" si="274"/>
        <v>0</v>
      </c>
      <c r="TQT84" s="79">
        <f t="shared" si="274"/>
        <v>0</v>
      </c>
      <c r="TQU84" s="79">
        <f t="shared" si="274"/>
        <v>0</v>
      </c>
      <c r="TQV84" s="79">
        <f t="shared" si="274"/>
        <v>0</v>
      </c>
      <c r="TQW84" s="145" t="s">
        <v>96</v>
      </c>
      <c r="TQZ84" s="79">
        <f>TQZ18+TQZ24+TQZ29+TQZ30</f>
        <v>0</v>
      </c>
      <c r="TRA84" s="79">
        <f t="shared" si="274"/>
        <v>0</v>
      </c>
      <c r="TRB84" s="79">
        <f t="shared" si="274"/>
        <v>0</v>
      </c>
      <c r="TRC84" s="79">
        <f t="shared" si="274"/>
        <v>0</v>
      </c>
      <c r="TRD84" s="79">
        <f t="shared" si="274"/>
        <v>0</v>
      </c>
      <c r="TRE84" s="79">
        <f t="shared" si="274"/>
        <v>0</v>
      </c>
      <c r="TRF84" s="79">
        <f t="shared" si="274"/>
        <v>0</v>
      </c>
      <c r="TRG84" s="79">
        <f t="shared" si="274"/>
        <v>0</v>
      </c>
      <c r="TRH84" s="79">
        <f t="shared" si="274"/>
        <v>0</v>
      </c>
      <c r="TRI84" s="79">
        <f t="shared" si="274"/>
        <v>0</v>
      </c>
      <c r="TRJ84" s="79">
        <f t="shared" si="274"/>
        <v>0</v>
      </c>
      <c r="TRK84" s="79">
        <f t="shared" si="274"/>
        <v>0</v>
      </c>
      <c r="TRL84" s="79">
        <f t="shared" si="274"/>
        <v>0</v>
      </c>
      <c r="TRM84" s="145" t="s">
        <v>96</v>
      </c>
      <c r="TRP84" s="79">
        <f>TRP18+TRP24+TRP29+TRP30</f>
        <v>0</v>
      </c>
      <c r="TRQ84" s="79">
        <f t="shared" si="274"/>
        <v>0</v>
      </c>
      <c r="TRR84" s="79">
        <f t="shared" si="274"/>
        <v>0</v>
      </c>
      <c r="TRS84" s="79">
        <f t="shared" si="274"/>
        <v>0</v>
      </c>
      <c r="TRT84" s="79">
        <f t="shared" si="274"/>
        <v>0</v>
      </c>
      <c r="TRU84" s="79">
        <f t="shared" si="274"/>
        <v>0</v>
      </c>
      <c r="TRV84" s="79">
        <f t="shared" si="274"/>
        <v>0</v>
      </c>
      <c r="TRW84" s="79">
        <f t="shared" si="274"/>
        <v>0</v>
      </c>
      <c r="TRX84" s="79">
        <f t="shared" si="274"/>
        <v>0</v>
      </c>
      <c r="TRY84" s="79">
        <f t="shared" si="274"/>
        <v>0</v>
      </c>
      <c r="TRZ84" s="79">
        <f t="shared" si="274"/>
        <v>0</v>
      </c>
      <c r="TSA84" s="79">
        <f t="shared" si="274"/>
        <v>0</v>
      </c>
      <c r="TSB84" s="79">
        <f t="shared" si="274"/>
        <v>0</v>
      </c>
      <c r="TSC84" s="145" t="s">
        <v>96</v>
      </c>
      <c r="TSF84" s="79">
        <f>TSF18+TSF24+TSF29+TSF30</f>
        <v>0</v>
      </c>
      <c r="TSG84" s="79">
        <f t="shared" ref="TSG84:TUN84" si="275">TSG18+TSG24+TSG29+TSG30</f>
        <v>0</v>
      </c>
      <c r="TSH84" s="79">
        <f t="shared" si="275"/>
        <v>0</v>
      </c>
      <c r="TSI84" s="79">
        <f t="shared" si="275"/>
        <v>0</v>
      </c>
      <c r="TSJ84" s="79">
        <f t="shared" si="275"/>
        <v>0</v>
      </c>
      <c r="TSK84" s="79">
        <f t="shared" si="275"/>
        <v>0</v>
      </c>
      <c r="TSL84" s="79">
        <f t="shared" si="275"/>
        <v>0</v>
      </c>
      <c r="TSM84" s="79">
        <f t="shared" si="275"/>
        <v>0</v>
      </c>
      <c r="TSN84" s="79">
        <f t="shared" si="275"/>
        <v>0</v>
      </c>
      <c r="TSO84" s="79">
        <f t="shared" si="275"/>
        <v>0</v>
      </c>
      <c r="TSP84" s="79">
        <f t="shared" si="275"/>
        <v>0</v>
      </c>
      <c r="TSQ84" s="79">
        <f t="shared" si="275"/>
        <v>0</v>
      </c>
      <c r="TSR84" s="79">
        <f t="shared" si="275"/>
        <v>0</v>
      </c>
      <c r="TSS84" s="145" t="s">
        <v>96</v>
      </c>
      <c r="TSV84" s="79">
        <f>TSV18+TSV24+TSV29+TSV30</f>
        <v>0</v>
      </c>
      <c r="TSW84" s="79">
        <f t="shared" si="275"/>
        <v>0</v>
      </c>
      <c r="TSX84" s="79">
        <f t="shared" si="275"/>
        <v>0</v>
      </c>
      <c r="TSY84" s="79">
        <f t="shared" si="275"/>
        <v>0</v>
      </c>
      <c r="TSZ84" s="79">
        <f t="shared" si="275"/>
        <v>0</v>
      </c>
      <c r="TTA84" s="79">
        <f t="shared" si="275"/>
        <v>0</v>
      </c>
      <c r="TTB84" s="79">
        <f t="shared" si="275"/>
        <v>0</v>
      </c>
      <c r="TTC84" s="79">
        <f t="shared" si="275"/>
        <v>0</v>
      </c>
      <c r="TTD84" s="79">
        <f t="shared" si="275"/>
        <v>0</v>
      </c>
      <c r="TTE84" s="79">
        <f t="shared" si="275"/>
        <v>0</v>
      </c>
      <c r="TTF84" s="79">
        <f t="shared" si="275"/>
        <v>0</v>
      </c>
      <c r="TTG84" s="79">
        <f t="shared" si="275"/>
        <v>0</v>
      </c>
      <c r="TTH84" s="79">
        <f t="shared" si="275"/>
        <v>0</v>
      </c>
      <c r="TTI84" s="145" t="s">
        <v>96</v>
      </c>
      <c r="TTL84" s="79">
        <f>TTL18+TTL24+TTL29+TTL30</f>
        <v>0</v>
      </c>
      <c r="TTM84" s="79">
        <f t="shared" si="275"/>
        <v>0</v>
      </c>
      <c r="TTN84" s="79">
        <f t="shared" si="275"/>
        <v>0</v>
      </c>
      <c r="TTO84" s="79">
        <f t="shared" si="275"/>
        <v>0</v>
      </c>
      <c r="TTP84" s="79">
        <f t="shared" si="275"/>
        <v>0</v>
      </c>
      <c r="TTQ84" s="79">
        <f t="shared" si="275"/>
        <v>0</v>
      </c>
      <c r="TTR84" s="79">
        <f t="shared" si="275"/>
        <v>0</v>
      </c>
      <c r="TTS84" s="79">
        <f t="shared" si="275"/>
        <v>0</v>
      </c>
      <c r="TTT84" s="79">
        <f t="shared" si="275"/>
        <v>0</v>
      </c>
      <c r="TTU84" s="79">
        <f t="shared" si="275"/>
        <v>0</v>
      </c>
      <c r="TTV84" s="79">
        <f t="shared" si="275"/>
        <v>0</v>
      </c>
      <c r="TTW84" s="79">
        <f t="shared" si="275"/>
        <v>0</v>
      </c>
      <c r="TTX84" s="79">
        <f t="shared" si="275"/>
        <v>0</v>
      </c>
      <c r="TTY84" s="145" t="s">
        <v>96</v>
      </c>
      <c r="TUB84" s="79">
        <f>TUB18+TUB24+TUB29+TUB30</f>
        <v>0</v>
      </c>
      <c r="TUC84" s="79">
        <f t="shared" si="275"/>
        <v>0</v>
      </c>
      <c r="TUD84" s="79">
        <f t="shared" si="275"/>
        <v>0</v>
      </c>
      <c r="TUE84" s="79">
        <f t="shared" si="275"/>
        <v>0</v>
      </c>
      <c r="TUF84" s="79">
        <f t="shared" si="275"/>
        <v>0</v>
      </c>
      <c r="TUG84" s="79">
        <f t="shared" si="275"/>
        <v>0</v>
      </c>
      <c r="TUH84" s="79">
        <f t="shared" si="275"/>
        <v>0</v>
      </c>
      <c r="TUI84" s="79">
        <f t="shared" si="275"/>
        <v>0</v>
      </c>
      <c r="TUJ84" s="79">
        <f t="shared" si="275"/>
        <v>0</v>
      </c>
      <c r="TUK84" s="79">
        <f t="shared" si="275"/>
        <v>0</v>
      </c>
      <c r="TUL84" s="79">
        <f t="shared" si="275"/>
        <v>0</v>
      </c>
      <c r="TUM84" s="79">
        <f t="shared" si="275"/>
        <v>0</v>
      </c>
      <c r="TUN84" s="79">
        <f t="shared" si="275"/>
        <v>0</v>
      </c>
      <c r="TUO84" s="145" t="s">
        <v>96</v>
      </c>
      <c r="TUR84" s="79">
        <f>TUR18+TUR24+TUR29+TUR30</f>
        <v>0</v>
      </c>
      <c r="TUS84" s="79">
        <f t="shared" ref="TUS84:TWZ84" si="276">TUS18+TUS24+TUS29+TUS30</f>
        <v>0</v>
      </c>
      <c r="TUT84" s="79">
        <f t="shared" si="276"/>
        <v>0</v>
      </c>
      <c r="TUU84" s="79">
        <f t="shared" si="276"/>
        <v>0</v>
      </c>
      <c r="TUV84" s="79">
        <f t="shared" si="276"/>
        <v>0</v>
      </c>
      <c r="TUW84" s="79">
        <f t="shared" si="276"/>
        <v>0</v>
      </c>
      <c r="TUX84" s="79">
        <f t="shared" si="276"/>
        <v>0</v>
      </c>
      <c r="TUY84" s="79">
        <f t="shared" si="276"/>
        <v>0</v>
      </c>
      <c r="TUZ84" s="79">
        <f t="shared" si="276"/>
        <v>0</v>
      </c>
      <c r="TVA84" s="79">
        <f t="shared" si="276"/>
        <v>0</v>
      </c>
      <c r="TVB84" s="79">
        <f t="shared" si="276"/>
        <v>0</v>
      </c>
      <c r="TVC84" s="79">
        <f t="shared" si="276"/>
        <v>0</v>
      </c>
      <c r="TVD84" s="79">
        <f t="shared" si="276"/>
        <v>0</v>
      </c>
      <c r="TVE84" s="145" t="s">
        <v>96</v>
      </c>
      <c r="TVH84" s="79">
        <f>TVH18+TVH24+TVH29+TVH30</f>
        <v>0</v>
      </c>
      <c r="TVI84" s="79">
        <f t="shared" si="276"/>
        <v>0</v>
      </c>
      <c r="TVJ84" s="79">
        <f t="shared" si="276"/>
        <v>0</v>
      </c>
      <c r="TVK84" s="79">
        <f t="shared" si="276"/>
        <v>0</v>
      </c>
      <c r="TVL84" s="79">
        <f t="shared" si="276"/>
        <v>0</v>
      </c>
      <c r="TVM84" s="79">
        <f t="shared" si="276"/>
        <v>0</v>
      </c>
      <c r="TVN84" s="79">
        <f t="shared" si="276"/>
        <v>0</v>
      </c>
      <c r="TVO84" s="79">
        <f t="shared" si="276"/>
        <v>0</v>
      </c>
      <c r="TVP84" s="79">
        <f t="shared" si="276"/>
        <v>0</v>
      </c>
      <c r="TVQ84" s="79">
        <f t="shared" si="276"/>
        <v>0</v>
      </c>
      <c r="TVR84" s="79">
        <f t="shared" si="276"/>
        <v>0</v>
      </c>
      <c r="TVS84" s="79">
        <f t="shared" si="276"/>
        <v>0</v>
      </c>
      <c r="TVT84" s="79">
        <f t="shared" si="276"/>
        <v>0</v>
      </c>
      <c r="TVU84" s="145" t="s">
        <v>96</v>
      </c>
      <c r="TVX84" s="79">
        <f>TVX18+TVX24+TVX29+TVX30</f>
        <v>0</v>
      </c>
      <c r="TVY84" s="79">
        <f t="shared" si="276"/>
        <v>0</v>
      </c>
      <c r="TVZ84" s="79">
        <f t="shared" si="276"/>
        <v>0</v>
      </c>
      <c r="TWA84" s="79">
        <f t="shared" si="276"/>
        <v>0</v>
      </c>
      <c r="TWB84" s="79">
        <f t="shared" si="276"/>
        <v>0</v>
      </c>
      <c r="TWC84" s="79">
        <f t="shared" si="276"/>
        <v>0</v>
      </c>
      <c r="TWD84" s="79">
        <f t="shared" si="276"/>
        <v>0</v>
      </c>
      <c r="TWE84" s="79">
        <f t="shared" si="276"/>
        <v>0</v>
      </c>
      <c r="TWF84" s="79">
        <f t="shared" si="276"/>
        <v>0</v>
      </c>
      <c r="TWG84" s="79">
        <f t="shared" si="276"/>
        <v>0</v>
      </c>
      <c r="TWH84" s="79">
        <f t="shared" si="276"/>
        <v>0</v>
      </c>
      <c r="TWI84" s="79">
        <f t="shared" si="276"/>
        <v>0</v>
      </c>
      <c r="TWJ84" s="79">
        <f t="shared" si="276"/>
        <v>0</v>
      </c>
      <c r="TWK84" s="145" t="s">
        <v>96</v>
      </c>
      <c r="TWN84" s="79">
        <f>TWN18+TWN24+TWN29+TWN30</f>
        <v>0</v>
      </c>
      <c r="TWO84" s="79">
        <f t="shared" si="276"/>
        <v>0</v>
      </c>
      <c r="TWP84" s="79">
        <f t="shared" si="276"/>
        <v>0</v>
      </c>
      <c r="TWQ84" s="79">
        <f t="shared" si="276"/>
        <v>0</v>
      </c>
      <c r="TWR84" s="79">
        <f t="shared" si="276"/>
        <v>0</v>
      </c>
      <c r="TWS84" s="79">
        <f t="shared" si="276"/>
        <v>0</v>
      </c>
      <c r="TWT84" s="79">
        <f t="shared" si="276"/>
        <v>0</v>
      </c>
      <c r="TWU84" s="79">
        <f t="shared" si="276"/>
        <v>0</v>
      </c>
      <c r="TWV84" s="79">
        <f t="shared" si="276"/>
        <v>0</v>
      </c>
      <c r="TWW84" s="79">
        <f t="shared" si="276"/>
        <v>0</v>
      </c>
      <c r="TWX84" s="79">
        <f t="shared" si="276"/>
        <v>0</v>
      </c>
      <c r="TWY84" s="79">
        <f t="shared" si="276"/>
        <v>0</v>
      </c>
      <c r="TWZ84" s="79">
        <f t="shared" si="276"/>
        <v>0</v>
      </c>
      <c r="TXA84" s="145" t="s">
        <v>96</v>
      </c>
      <c r="TXD84" s="79">
        <f>TXD18+TXD24+TXD29+TXD30</f>
        <v>0</v>
      </c>
      <c r="TXE84" s="79">
        <f t="shared" ref="TXE84:TZL84" si="277">TXE18+TXE24+TXE29+TXE30</f>
        <v>0</v>
      </c>
      <c r="TXF84" s="79">
        <f t="shared" si="277"/>
        <v>0</v>
      </c>
      <c r="TXG84" s="79">
        <f t="shared" si="277"/>
        <v>0</v>
      </c>
      <c r="TXH84" s="79">
        <f t="shared" si="277"/>
        <v>0</v>
      </c>
      <c r="TXI84" s="79">
        <f t="shared" si="277"/>
        <v>0</v>
      </c>
      <c r="TXJ84" s="79">
        <f t="shared" si="277"/>
        <v>0</v>
      </c>
      <c r="TXK84" s="79">
        <f t="shared" si="277"/>
        <v>0</v>
      </c>
      <c r="TXL84" s="79">
        <f t="shared" si="277"/>
        <v>0</v>
      </c>
      <c r="TXM84" s="79">
        <f t="shared" si="277"/>
        <v>0</v>
      </c>
      <c r="TXN84" s="79">
        <f t="shared" si="277"/>
        <v>0</v>
      </c>
      <c r="TXO84" s="79">
        <f t="shared" si="277"/>
        <v>0</v>
      </c>
      <c r="TXP84" s="79">
        <f t="shared" si="277"/>
        <v>0</v>
      </c>
      <c r="TXQ84" s="145" t="s">
        <v>96</v>
      </c>
      <c r="TXT84" s="79">
        <f>TXT18+TXT24+TXT29+TXT30</f>
        <v>0</v>
      </c>
      <c r="TXU84" s="79">
        <f t="shared" si="277"/>
        <v>0</v>
      </c>
      <c r="TXV84" s="79">
        <f t="shared" si="277"/>
        <v>0</v>
      </c>
      <c r="TXW84" s="79">
        <f t="shared" si="277"/>
        <v>0</v>
      </c>
      <c r="TXX84" s="79">
        <f t="shared" si="277"/>
        <v>0</v>
      </c>
      <c r="TXY84" s="79">
        <f t="shared" si="277"/>
        <v>0</v>
      </c>
      <c r="TXZ84" s="79">
        <f t="shared" si="277"/>
        <v>0</v>
      </c>
      <c r="TYA84" s="79">
        <f t="shared" si="277"/>
        <v>0</v>
      </c>
      <c r="TYB84" s="79">
        <f t="shared" si="277"/>
        <v>0</v>
      </c>
      <c r="TYC84" s="79">
        <f t="shared" si="277"/>
        <v>0</v>
      </c>
      <c r="TYD84" s="79">
        <f t="shared" si="277"/>
        <v>0</v>
      </c>
      <c r="TYE84" s="79">
        <f t="shared" si="277"/>
        <v>0</v>
      </c>
      <c r="TYF84" s="79">
        <f t="shared" si="277"/>
        <v>0</v>
      </c>
      <c r="TYG84" s="145" t="s">
        <v>96</v>
      </c>
      <c r="TYJ84" s="79">
        <f>TYJ18+TYJ24+TYJ29+TYJ30</f>
        <v>0</v>
      </c>
      <c r="TYK84" s="79">
        <f t="shared" si="277"/>
        <v>0</v>
      </c>
      <c r="TYL84" s="79">
        <f t="shared" si="277"/>
        <v>0</v>
      </c>
      <c r="TYM84" s="79">
        <f t="shared" si="277"/>
        <v>0</v>
      </c>
      <c r="TYN84" s="79">
        <f t="shared" si="277"/>
        <v>0</v>
      </c>
      <c r="TYO84" s="79">
        <f t="shared" si="277"/>
        <v>0</v>
      </c>
      <c r="TYP84" s="79">
        <f t="shared" si="277"/>
        <v>0</v>
      </c>
      <c r="TYQ84" s="79">
        <f t="shared" si="277"/>
        <v>0</v>
      </c>
      <c r="TYR84" s="79">
        <f t="shared" si="277"/>
        <v>0</v>
      </c>
      <c r="TYS84" s="79">
        <f t="shared" si="277"/>
        <v>0</v>
      </c>
      <c r="TYT84" s="79">
        <f t="shared" si="277"/>
        <v>0</v>
      </c>
      <c r="TYU84" s="79">
        <f t="shared" si="277"/>
        <v>0</v>
      </c>
      <c r="TYV84" s="79">
        <f t="shared" si="277"/>
        <v>0</v>
      </c>
      <c r="TYW84" s="145" t="s">
        <v>96</v>
      </c>
      <c r="TYZ84" s="79">
        <f>TYZ18+TYZ24+TYZ29+TYZ30</f>
        <v>0</v>
      </c>
      <c r="TZA84" s="79">
        <f t="shared" si="277"/>
        <v>0</v>
      </c>
      <c r="TZB84" s="79">
        <f t="shared" si="277"/>
        <v>0</v>
      </c>
      <c r="TZC84" s="79">
        <f t="shared" si="277"/>
        <v>0</v>
      </c>
      <c r="TZD84" s="79">
        <f t="shared" si="277"/>
        <v>0</v>
      </c>
      <c r="TZE84" s="79">
        <f t="shared" si="277"/>
        <v>0</v>
      </c>
      <c r="TZF84" s="79">
        <f t="shared" si="277"/>
        <v>0</v>
      </c>
      <c r="TZG84" s="79">
        <f t="shared" si="277"/>
        <v>0</v>
      </c>
      <c r="TZH84" s="79">
        <f t="shared" si="277"/>
        <v>0</v>
      </c>
      <c r="TZI84" s="79">
        <f t="shared" si="277"/>
        <v>0</v>
      </c>
      <c r="TZJ84" s="79">
        <f t="shared" si="277"/>
        <v>0</v>
      </c>
      <c r="TZK84" s="79">
        <f t="shared" si="277"/>
        <v>0</v>
      </c>
      <c r="TZL84" s="79">
        <f t="shared" si="277"/>
        <v>0</v>
      </c>
      <c r="TZM84" s="145" t="s">
        <v>96</v>
      </c>
      <c r="TZP84" s="79">
        <f>TZP18+TZP24+TZP29+TZP30</f>
        <v>0</v>
      </c>
      <c r="TZQ84" s="79">
        <f t="shared" ref="TZQ84:UBX84" si="278">TZQ18+TZQ24+TZQ29+TZQ30</f>
        <v>0</v>
      </c>
      <c r="TZR84" s="79">
        <f t="shared" si="278"/>
        <v>0</v>
      </c>
      <c r="TZS84" s="79">
        <f t="shared" si="278"/>
        <v>0</v>
      </c>
      <c r="TZT84" s="79">
        <f t="shared" si="278"/>
        <v>0</v>
      </c>
      <c r="TZU84" s="79">
        <f t="shared" si="278"/>
        <v>0</v>
      </c>
      <c r="TZV84" s="79">
        <f t="shared" si="278"/>
        <v>0</v>
      </c>
      <c r="TZW84" s="79">
        <f t="shared" si="278"/>
        <v>0</v>
      </c>
      <c r="TZX84" s="79">
        <f t="shared" si="278"/>
        <v>0</v>
      </c>
      <c r="TZY84" s="79">
        <f t="shared" si="278"/>
        <v>0</v>
      </c>
      <c r="TZZ84" s="79">
        <f t="shared" si="278"/>
        <v>0</v>
      </c>
      <c r="UAA84" s="79">
        <f t="shared" si="278"/>
        <v>0</v>
      </c>
      <c r="UAB84" s="79">
        <f t="shared" si="278"/>
        <v>0</v>
      </c>
      <c r="UAC84" s="145" t="s">
        <v>96</v>
      </c>
      <c r="UAF84" s="79">
        <f>UAF18+UAF24+UAF29+UAF30</f>
        <v>0</v>
      </c>
      <c r="UAG84" s="79">
        <f t="shared" si="278"/>
        <v>0</v>
      </c>
      <c r="UAH84" s="79">
        <f t="shared" si="278"/>
        <v>0</v>
      </c>
      <c r="UAI84" s="79">
        <f t="shared" si="278"/>
        <v>0</v>
      </c>
      <c r="UAJ84" s="79">
        <f t="shared" si="278"/>
        <v>0</v>
      </c>
      <c r="UAK84" s="79">
        <f t="shared" si="278"/>
        <v>0</v>
      </c>
      <c r="UAL84" s="79">
        <f t="shared" si="278"/>
        <v>0</v>
      </c>
      <c r="UAM84" s="79">
        <f t="shared" si="278"/>
        <v>0</v>
      </c>
      <c r="UAN84" s="79">
        <f t="shared" si="278"/>
        <v>0</v>
      </c>
      <c r="UAO84" s="79">
        <f t="shared" si="278"/>
        <v>0</v>
      </c>
      <c r="UAP84" s="79">
        <f t="shared" si="278"/>
        <v>0</v>
      </c>
      <c r="UAQ84" s="79">
        <f t="shared" si="278"/>
        <v>0</v>
      </c>
      <c r="UAR84" s="79">
        <f t="shared" si="278"/>
        <v>0</v>
      </c>
      <c r="UAS84" s="145" t="s">
        <v>96</v>
      </c>
      <c r="UAV84" s="79">
        <f>UAV18+UAV24+UAV29+UAV30</f>
        <v>0</v>
      </c>
      <c r="UAW84" s="79">
        <f t="shared" si="278"/>
        <v>0</v>
      </c>
      <c r="UAX84" s="79">
        <f t="shared" si="278"/>
        <v>0</v>
      </c>
      <c r="UAY84" s="79">
        <f t="shared" si="278"/>
        <v>0</v>
      </c>
      <c r="UAZ84" s="79">
        <f t="shared" si="278"/>
        <v>0</v>
      </c>
      <c r="UBA84" s="79">
        <f t="shared" si="278"/>
        <v>0</v>
      </c>
      <c r="UBB84" s="79">
        <f t="shared" si="278"/>
        <v>0</v>
      </c>
      <c r="UBC84" s="79">
        <f t="shared" si="278"/>
        <v>0</v>
      </c>
      <c r="UBD84" s="79">
        <f t="shared" si="278"/>
        <v>0</v>
      </c>
      <c r="UBE84" s="79">
        <f t="shared" si="278"/>
        <v>0</v>
      </c>
      <c r="UBF84" s="79">
        <f t="shared" si="278"/>
        <v>0</v>
      </c>
      <c r="UBG84" s="79">
        <f t="shared" si="278"/>
        <v>0</v>
      </c>
      <c r="UBH84" s="79">
        <f t="shared" si="278"/>
        <v>0</v>
      </c>
      <c r="UBI84" s="145" t="s">
        <v>96</v>
      </c>
      <c r="UBL84" s="79">
        <f>UBL18+UBL24+UBL29+UBL30</f>
        <v>0</v>
      </c>
      <c r="UBM84" s="79">
        <f t="shared" si="278"/>
        <v>0</v>
      </c>
      <c r="UBN84" s="79">
        <f t="shared" si="278"/>
        <v>0</v>
      </c>
      <c r="UBO84" s="79">
        <f t="shared" si="278"/>
        <v>0</v>
      </c>
      <c r="UBP84" s="79">
        <f t="shared" si="278"/>
        <v>0</v>
      </c>
      <c r="UBQ84" s="79">
        <f t="shared" si="278"/>
        <v>0</v>
      </c>
      <c r="UBR84" s="79">
        <f t="shared" si="278"/>
        <v>0</v>
      </c>
      <c r="UBS84" s="79">
        <f t="shared" si="278"/>
        <v>0</v>
      </c>
      <c r="UBT84" s="79">
        <f t="shared" si="278"/>
        <v>0</v>
      </c>
      <c r="UBU84" s="79">
        <f t="shared" si="278"/>
        <v>0</v>
      </c>
      <c r="UBV84" s="79">
        <f t="shared" si="278"/>
        <v>0</v>
      </c>
      <c r="UBW84" s="79">
        <f t="shared" si="278"/>
        <v>0</v>
      </c>
      <c r="UBX84" s="79">
        <f t="shared" si="278"/>
        <v>0</v>
      </c>
      <c r="UBY84" s="145" t="s">
        <v>96</v>
      </c>
      <c r="UCB84" s="79">
        <f>UCB18+UCB24+UCB29+UCB30</f>
        <v>0</v>
      </c>
      <c r="UCC84" s="79">
        <f t="shared" ref="UCC84:UEJ84" si="279">UCC18+UCC24+UCC29+UCC30</f>
        <v>0</v>
      </c>
      <c r="UCD84" s="79">
        <f t="shared" si="279"/>
        <v>0</v>
      </c>
      <c r="UCE84" s="79">
        <f t="shared" si="279"/>
        <v>0</v>
      </c>
      <c r="UCF84" s="79">
        <f t="shared" si="279"/>
        <v>0</v>
      </c>
      <c r="UCG84" s="79">
        <f t="shared" si="279"/>
        <v>0</v>
      </c>
      <c r="UCH84" s="79">
        <f t="shared" si="279"/>
        <v>0</v>
      </c>
      <c r="UCI84" s="79">
        <f t="shared" si="279"/>
        <v>0</v>
      </c>
      <c r="UCJ84" s="79">
        <f t="shared" si="279"/>
        <v>0</v>
      </c>
      <c r="UCK84" s="79">
        <f t="shared" si="279"/>
        <v>0</v>
      </c>
      <c r="UCL84" s="79">
        <f t="shared" si="279"/>
        <v>0</v>
      </c>
      <c r="UCM84" s="79">
        <f t="shared" si="279"/>
        <v>0</v>
      </c>
      <c r="UCN84" s="79">
        <f t="shared" si="279"/>
        <v>0</v>
      </c>
      <c r="UCO84" s="145" t="s">
        <v>96</v>
      </c>
      <c r="UCR84" s="79">
        <f>UCR18+UCR24+UCR29+UCR30</f>
        <v>0</v>
      </c>
      <c r="UCS84" s="79">
        <f t="shared" si="279"/>
        <v>0</v>
      </c>
      <c r="UCT84" s="79">
        <f t="shared" si="279"/>
        <v>0</v>
      </c>
      <c r="UCU84" s="79">
        <f t="shared" si="279"/>
        <v>0</v>
      </c>
      <c r="UCV84" s="79">
        <f t="shared" si="279"/>
        <v>0</v>
      </c>
      <c r="UCW84" s="79">
        <f t="shared" si="279"/>
        <v>0</v>
      </c>
      <c r="UCX84" s="79">
        <f t="shared" si="279"/>
        <v>0</v>
      </c>
      <c r="UCY84" s="79">
        <f t="shared" si="279"/>
        <v>0</v>
      </c>
      <c r="UCZ84" s="79">
        <f t="shared" si="279"/>
        <v>0</v>
      </c>
      <c r="UDA84" s="79">
        <f t="shared" si="279"/>
        <v>0</v>
      </c>
      <c r="UDB84" s="79">
        <f t="shared" si="279"/>
        <v>0</v>
      </c>
      <c r="UDC84" s="79">
        <f t="shared" si="279"/>
        <v>0</v>
      </c>
      <c r="UDD84" s="79">
        <f t="shared" si="279"/>
        <v>0</v>
      </c>
      <c r="UDE84" s="145" t="s">
        <v>96</v>
      </c>
      <c r="UDH84" s="79">
        <f>UDH18+UDH24+UDH29+UDH30</f>
        <v>0</v>
      </c>
      <c r="UDI84" s="79">
        <f t="shared" si="279"/>
        <v>0</v>
      </c>
      <c r="UDJ84" s="79">
        <f t="shared" si="279"/>
        <v>0</v>
      </c>
      <c r="UDK84" s="79">
        <f t="shared" si="279"/>
        <v>0</v>
      </c>
      <c r="UDL84" s="79">
        <f t="shared" si="279"/>
        <v>0</v>
      </c>
      <c r="UDM84" s="79">
        <f t="shared" si="279"/>
        <v>0</v>
      </c>
      <c r="UDN84" s="79">
        <f t="shared" si="279"/>
        <v>0</v>
      </c>
      <c r="UDO84" s="79">
        <f t="shared" si="279"/>
        <v>0</v>
      </c>
      <c r="UDP84" s="79">
        <f t="shared" si="279"/>
        <v>0</v>
      </c>
      <c r="UDQ84" s="79">
        <f t="shared" si="279"/>
        <v>0</v>
      </c>
      <c r="UDR84" s="79">
        <f t="shared" si="279"/>
        <v>0</v>
      </c>
      <c r="UDS84" s="79">
        <f t="shared" si="279"/>
        <v>0</v>
      </c>
      <c r="UDT84" s="79">
        <f t="shared" si="279"/>
        <v>0</v>
      </c>
      <c r="UDU84" s="145" t="s">
        <v>96</v>
      </c>
      <c r="UDX84" s="79">
        <f>UDX18+UDX24+UDX29+UDX30</f>
        <v>0</v>
      </c>
      <c r="UDY84" s="79">
        <f t="shared" si="279"/>
        <v>0</v>
      </c>
      <c r="UDZ84" s="79">
        <f t="shared" si="279"/>
        <v>0</v>
      </c>
      <c r="UEA84" s="79">
        <f t="shared" si="279"/>
        <v>0</v>
      </c>
      <c r="UEB84" s="79">
        <f t="shared" si="279"/>
        <v>0</v>
      </c>
      <c r="UEC84" s="79">
        <f t="shared" si="279"/>
        <v>0</v>
      </c>
      <c r="UED84" s="79">
        <f t="shared" si="279"/>
        <v>0</v>
      </c>
      <c r="UEE84" s="79">
        <f t="shared" si="279"/>
        <v>0</v>
      </c>
      <c r="UEF84" s="79">
        <f t="shared" si="279"/>
        <v>0</v>
      </c>
      <c r="UEG84" s="79">
        <f t="shared" si="279"/>
        <v>0</v>
      </c>
      <c r="UEH84" s="79">
        <f t="shared" si="279"/>
        <v>0</v>
      </c>
      <c r="UEI84" s="79">
        <f t="shared" si="279"/>
        <v>0</v>
      </c>
      <c r="UEJ84" s="79">
        <f t="shared" si="279"/>
        <v>0</v>
      </c>
      <c r="UEK84" s="145" t="s">
        <v>96</v>
      </c>
      <c r="UEN84" s="79">
        <f>UEN18+UEN24+UEN29+UEN30</f>
        <v>0</v>
      </c>
      <c r="UEO84" s="79">
        <f t="shared" ref="UEO84:UGV84" si="280">UEO18+UEO24+UEO29+UEO30</f>
        <v>0</v>
      </c>
      <c r="UEP84" s="79">
        <f t="shared" si="280"/>
        <v>0</v>
      </c>
      <c r="UEQ84" s="79">
        <f t="shared" si="280"/>
        <v>0</v>
      </c>
      <c r="UER84" s="79">
        <f t="shared" si="280"/>
        <v>0</v>
      </c>
      <c r="UES84" s="79">
        <f t="shared" si="280"/>
        <v>0</v>
      </c>
      <c r="UET84" s="79">
        <f t="shared" si="280"/>
        <v>0</v>
      </c>
      <c r="UEU84" s="79">
        <f t="shared" si="280"/>
        <v>0</v>
      </c>
      <c r="UEV84" s="79">
        <f t="shared" si="280"/>
        <v>0</v>
      </c>
      <c r="UEW84" s="79">
        <f t="shared" si="280"/>
        <v>0</v>
      </c>
      <c r="UEX84" s="79">
        <f t="shared" si="280"/>
        <v>0</v>
      </c>
      <c r="UEY84" s="79">
        <f t="shared" si="280"/>
        <v>0</v>
      </c>
      <c r="UEZ84" s="79">
        <f t="shared" si="280"/>
        <v>0</v>
      </c>
      <c r="UFA84" s="145" t="s">
        <v>96</v>
      </c>
      <c r="UFD84" s="79">
        <f>UFD18+UFD24+UFD29+UFD30</f>
        <v>0</v>
      </c>
      <c r="UFE84" s="79">
        <f t="shared" si="280"/>
        <v>0</v>
      </c>
      <c r="UFF84" s="79">
        <f t="shared" si="280"/>
        <v>0</v>
      </c>
      <c r="UFG84" s="79">
        <f t="shared" si="280"/>
        <v>0</v>
      </c>
      <c r="UFH84" s="79">
        <f t="shared" si="280"/>
        <v>0</v>
      </c>
      <c r="UFI84" s="79">
        <f t="shared" si="280"/>
        <v>0</v>
      </c>
      <c r="UFJ84" s="79">
        <f t="shared" si="280"/>
        <v>0</v>
      </c>
      <c r="UFK84" s="79">
        <f t="shared" si="280"/>
        <v>0</v>
      </c>
      <c r="UFL84" s="79">
        <f t="shared" si="280"/>
        <v>0</v>
      </c>
      <c r="UFM84" s="79">
        <f t="shared" si="280"/>
        <v>0</v>
      </c>
      <c r="UFN84" s="79">
        <f t="shared" si="280"/>
        <v>0</v>
      </c>
      <c r="UFO84" s="79">
        <f t="shared" si="280"/>
        <v>0</v>
      </c>
      <c r="UFP84" s="79">
        <f t="shared" si="280"/>
        <v>0</v>
      </c>
      <c r="UFQ84" s="145" t="s">
        <v>96</v>
      </c>
      <c r="UFT84" s="79">
        <f>UFT18+UFT24+UFT29+UFT30</f>
        <v>0</v>
      </c>
      <c r="UFU84" s="79">
        <f t="shared" si="280"/>
        <v>0</v>
      </c>
      <c r="UFV84" s="79">
        <f t="shared" si="280"/>
        <v>0</v>
      </c>
      <c r="UFW84" s="79">
        <f t="shared" si="280"/>
        <v>0</v>
      </c>
      <c r="UFX84" s="79">
        <f t="shared" si="280"/>
        <v>0</v>
      </c>
      <c r="UFY84" s="79">
        <f t="shared" si="280"/>
        <v>0</v>
      </c>
      <c r="UFZ84" s="79">
        <f t="shared" si="280"/>
        <v>0</v>
      </c>
      <c r="UGA84" s="79">
        <f t="shared" si="280"/>
        <v>0</v>
      </c>
      <c r="UGB84" s="79">
        <f t="shared" si="280"/>
        <v>0</v>
      </c>
      <c r="UGC84" s="79">
        <f t="shared" si="280"/>
        <v>0</v>
      </c>
      <c r="UGD84" s="79">
        <f t="shared" si="280"/>
        <v>0</v>
      </c>
      <c r="UGE84" s="79">
        <f t="shared" si="280"/>
        <v>0</v>
      </c>
      <c r="UGF84" s="79">
        <f t="shared" si="280"/>
        <v>0</v>
      </c>
      <c r="UGG84" s="145" t="s">
        <v>96</v>
      </c>
      <c r="UGJ84" s="79">
        <f>UGJ18+UGJ24+UGJ29+UGJ30</f>
        <v>0</v>
      </c>
      <c r="UGK84" s="79">
        <f t="shared" si="280"/>
        <v>0</v>
      </c>
      <c r="UGL84" s="79">
        <f t="shared" si="280"/>
        <v>0</v>
      </c>
      <c r="UGM84" s="79">
        <f t="shared" si="280"/>
        <v>0</v>
      </c>
      <c r="UGN84" s="79">
        <f t="shared" si="280"/>
        <v>0</v>
      </c>
      <c r="UGO84" s="79">
        <f t="shared" si="280"/>
        <v>0</v>
      </c>
      <c r="UGP84" s="79">
        <f t="shared" si="280"/>
        <v>0</v>
      </c>
      <c r="UGQ84" s="79">
        <f t="shared" si="280"/>
        <v>0</v>
      </c>
      <c r="UGR84" s="79">
        <f t="shared" si="280"/>
        <v>0</v>
      </c>
      <c r="UGS84" s="79">
        <f t="shared" si="280"/>
        <v>0</v>
      </c>
      <c r="UGT84" s="79">
        <f t="shared" si="280"/>
        <v>0</v>
      </c>
      <c r="UGU84" s="79">
        <f t="shared" si="280"/>
        <v>0</v>
      </c>
      <c r="UGV84" s="79">
        <f t="shared" si="280"/>
        <v>0</v>
      </c>
      <c r="UGW84" s="145" t="s">
        <v>96</v>
      </c>
      <c r="UGZ84" s="79">
        <f>UGZ18+UGZ24+UGZ29+UGZ30</f>
        <v>0</v>
      </c>
      <c r="UHA84" s="79">
        <f t="shared" ref="UHA84:UJH84" si="281">UHA18+UHA24+UHA29+UHA30</f>
        <v>0</v>
      </c>
      <c r="UHB84" s="79">
        <f t="shared" si="281"/>
        <v>0</v>
      </c>
      <c r="UHC84" s="79">
        <f t="shared" si="281"/>
        <v>0</v>
      </c>
      <c r="UHD84" s="79">
        <f t="shared" si="281"/>
        <v>0</v>
      </c>
      <c r="UHE84" s="79">
        <f t="shared" si="281"/>
        <v>0</v>
      </c>
      <c r="UHF84" s="79">
        <f t="shared" si="281"/>
        <v>0</v>
      </c>
      <c r="UHG84" s="79">
        <f t="shared" si="281"/>
        <v>0</v>
      </c>
      <c r="UHH84" s="79">
        <f t="shared" si="281"/>
        <v>0</v>
      </c>
      <c r="UHI84" s="79">
        <f t="shared" si="281"/>
        <v>0</v>
      </c>
      <c r="UHJ84" s="79">
        <f t="shared" si="281"/>
        <v>0</v>
      </c>
      <c r="UHK84" s="79">
        <f t="shared" si="281"/>
        <v>0</v>
      </c>
      <c r="UHL84" s="79">
        <f t="shared" si="281"/>
        <v>0</v>
      </c>
      <c r="UHM84" s="145" t="s">
        <v>96</v>
      </c>
      <c r="UHP84" s="79">
        <f>UHP18+UHP24+UHP29+UHP30</f>
        <v>0</v>
      </c>
      <c r="UHQ84" s="79">
        <f t="shared" si="281"/>
        <v>0</v>
      </c>
      <c r="UHR84" s="79">
        <f t="shared" si="281"/>
        <v>0</v>
      </c>
      <c r="UHS84" s="79">
        <f t="shared" si="281"/>
        <v>0</v>
      </c>
      <c r="UHT84" s="79">
        <f t="shared" si="281"/>
        <v>0</v>
      </c>
      <c r="UHU84" s="79">
        <f t="shared" si="281"/>
        <v>0</v>
      </c>
      <c r="UHV84" s="79">
        <f t="shared" si="281"/>
        <v>0</v>
      </c>
      <c r="UHW84" s="79">
        <f t="shared" si="281"/>
        <v>0</v>
      </c>
      <c r="UHX84" s="79">
        <f t="shared" si="281"/>
        <v>0</v>
      </c>
      <c r="UHY84" s="79">
        <f t="shared" si="281"/>
        <v>0</v>
      </c>
      <c r="UHZ84" s="79">
        <f t="shared" si="281"/>
        <v>0</v>
      </c>
      <c r="UIA84" s="79">
        <f t="shared" si="281"/>
        <v>0</v>
      </c>
      <c r="UIB84" s="79">
        <f t="shared" si="281"/>
        <v>0</v>
      </c>
      <c r="UIC84" s="145" t="s">
        <v>96</v>
      </c>
      <c r="UIF84" s="79">
        <f>UIF18+UIF24+UIF29+UIF30</f>
        <v>0</v>
      </c>
      <c r="UIG84" s="79">
        <f t="shared" si="281"/>
        <v>0</v>
      </c>
      <c r="UIH84" s="79">
        <f t="shared" si="281"/>
        <v>0</v>
      </c>
      <c r="UII84" s="79">
        <f t="shared" si="281"/>
        <v>0</v>
      </c>
      <c r="UIJ84" s="79">
        <f t="shared" si="281"/>
        <v>0</v>
      </c>
      <c r="UIK84" s="79">
        <f t="shared" si="281"/>
        <v>0</v>
      </c>
      <c r="UIL84" s="79">
        <f t="shared" si="281"/>
        <v>0</v>
      </c>
      <c r="UIM84" s="79">
        <f t="shared" si="281"/>
        <v>0</v>
      </c>
      <c r="UIN84" s="79">
        <f t="shared" si="281"/>
        <v>0</v>
      </c>
      <c r="UIO84" s="79">
        <f t="shared" si="281"/>
        <v>0</v>
      </c>
      <c r="UIP84" s="79">
        <f t="shared" si="281"/>
        <v>0</v>
      </c>
      <c r="UIQ84" s="79">
        <f t="shared" si="281"/>
        <v>0</v>
      </c>
      <c r="UIR84" s="79">
        <f t="shared" si="281"/>
        <v>0</v>
      </c>
      <c r="UIS84" s="145" t="s">
        <v>96</v>
      </c>
      <c r="UIV84" s="79">
        <f>UIV18+UIV24+UIV29+UIV30</f>
        <v>0</v>
      </c>
      <c r="UIW84" s="79">
        <f t="shared" si="281"/>
        <v>0</v>
      </c>
      <c r="UIX84" s="79">
        <f t="shared" si="281"/>
        <v>0</v>
      </c>
      <c r="UIY84" s="79">
        <f t="shared" si="281"/>
        <v>0</v>
      </c>
      <c r="UIZ84" s="79">
        <f t="shared" si="281"/>
        <v>0</v>
      </c>
      <c r="UJA84" s="79">
        <f t="shared" si="281"/>
        <v>0</v>
      </c>
      <c r="UJB84" s="79">
        <f t="shared" si="281"/>
        <v>0</v>
      </c>
      <c r="UJC84" s="79">
        <f t="shared" si="281"/>
        <v>0</v>
      </c>
      <c r="UJD84" s="79">
        <f t="shared" si="281"/>
        <v>0</v>
      </c>
      <c r="UJE84" s="79">
        <f t="shared" si="281"/>
        <v>0</v>
      </c>
      <c r="UJF84" s="79">
        <f t="shared" si="281"/>
        <v>0</v>
      </c>
      <c r="UJG84" s="79">
        <f t="shared" si="281"/>
        <v>0</v>
      </c>
      <c r="UJH84" s="79">
        <f t="shared" si="281"/>
        <v>0</v>
      </c>
      <c r="UJI84" s="145" t="s">
        <v>96</v>
      </c>
      <c r="UJL84" s="79">
        <f>UJL18+UJL24+UJL29+UJL30</f>
        <v>0</v>
      </c>
      <c r="UJM84" s="79">
        <f t="shared" ref="UJM84:ULT84" si="282">UJM18+UJM24+UJM29+UJM30</f>
        <v>0</v>
      </c>
      <c r="UJN84" s="79">
        <f t="shared" si="282"/>
        <v>0</v>
      </c>
      <c r="UJO84" s="79">
        <f t="shared" si="282"/>
        <v>0</v>
      </c>
      <c r="UJP84" s="79">
        <f t="shared" si="282"/>
        <v>0</v>
      </c>
      <c r="UJQ84" s="79">
        <f t="shared" si="282"/>
        <v>0</v>
      </c>
      <c r="UJR84" s="79">
        <f t="shared" si="282"/>
        <v>0</v>
      </c>
      <c r="UJS84" s="79">
        <f t="shared" si="282"/>
        <v>0</v>
      </c>
      <c r="UJT84" s="79">
        <f t="shared" si="282"/>
        <v>0</v>
      </c>
      <c r="UJU84" s="79">
        <f t="shared" si="282"/>
        <v>0</v>
      </c>
      <c r="UJV84" s="79">
        <f t="shared" si="282"/>
        <v>0</v>
      </c>
      <c r="UJW84" s="79">
        <f t="shared" si="282"/>
        <v>0</v>
      </c>
      <c r="UJX84" s="79">
        <f t="shared" si="282"/>
        <v>0</v>
      </c>
      <c r="UJY84" s="145" t="s">
        <v>96</v>
      </c>
      <c r="UKB84" s="79">
        <f>UKB18+UKB24+UKB29+UKB30</f>
        <v>0</v>
      </c>
      <c r="UKC84" s="79">
        <f t="shared" si="282"/>
        <v>0</v>
      </c>
      <c r="UKD84" s="79">
        <f t="shared" si="282"/>
        <v>0</v>
      </c>
      <c r="UKE84" s="79">
        <f t="shared" si="282"/>
        <v>0</v>
      </c>
      <c r="UKF84" s="79">
        <f t="shared" si="282"/>
        <v>0</v>
      </c>
      <c r="UKG84" s="79">
        <f t="shared" si="282"/>
        <v>0</v>
      </c>
      <c r="UKH84" s="79">
        <f t="shared" si="282"/>
        <v>0</v>
      </c>
      <c r="UKI84" s="79">
        <f t="shared" si="282"/>
        <v>0</v>
      </c>
      <c r="UKJ84" s="79">
        <f t="shared" si="282"/>
        <v>0</v>
      </c>
      <c r="UKK84" s="79">
        <f t="shared" si="282"/>
        <v>0</v>
      </c>
      <c r="UKL84" s="79">
        <f t="shared" si="282"/>
        <v>0</v>
      </c>
      <c r="UKM84" s="79">
        <f t="shared" si="282"/>
        <v>0</v>
      </c>
      <c r="UKN84" s="79">
        <f t="shared" si="282"/>
        <v>0</v>
      </c>
      <c r="UKO84" s="145" t="s">
        <v>96</v>
      </c>
      <c r="UKR84" s="79">
        <f>UKR18+UKR24+UKR29+UKR30</f>
        <v>0</v>
      </c>
      <c r="UKS84" s="79">
        <f t="shared" si="282"/>
        <v>0</v>
      </c>
      <c r="UKT84" s="79">
        <f t="shared" si="282"/>
        <v>0</v>
      </c>
      <c r="UKU84" s="79">
        <f t="shared" si="282"/>
        <v>0</v>
      </c>
      <c r="UKV84" s="79">
        <f t="shared" si="282"/>
        <v>0</v>
      </c>
      <c r="UKW84" s="79">
        <f t="shared" si="282"/>
        <v>0</v>
      </c>
      <c r="UKX84" s="79">
        <f t="shared" si="282"/>
        <v>0</v>
      </c>
      <c r="UKY84" s="79">
        <f t="shared" si="282"/>
        <v>0</v>
      </c>
      <c r="UKZ84" s="79">
        <f t="shared" si="282"/>
        <v>0</v>
      </c>
      <c r="ULA84" s="79">
        <f t="shared" si="282"/>
        <v>0</v>
      </c>
      <c r="ULB84" s="79">
        <f t="shared" si="282"/>
        <v>0</v>
      </c>
      <c r="ULC84" s="79">
        <f t="shared" si="282"/>
        <v>0</v>
      </c>
      <c r="ULD84" s="79">
        <f t="shared" si="282"/>
        <v>0</v>
      </c>
      <c r="ULE84" s="145" t="s">
        <v>96</v>
      </c>
      <c r="ULH84" s="79">
        <f>ULH18+ULH24+ULH29+ULH30</f>
        <v>0</v>
      </c>
      <c r="ULI84" s="79">
        <f t="shared" si="282"/>
        <v>0</v>
      </c>
      <c r="ULJ84" s="79">
        <f t="shared" si="282"/>
        <v>0</v>
      </c>
      <c r="ULK84" s="79">
        <f t="shared" si="282"/>
        <v>0</v>
      </c>
      <c r="ULL84" s="79">
        <f t="shared" si="282"/>
        <v>0</v>
      </c>
      <c r="ULM84" s="79">
        <f t="shared" si="282"/>
        <v>0</v>
      </c>
      <c r="ULN84" s="79">
        <f t="shared" si="282"/>
        <v>0</v>
      </c>
      <c r="ULO84" s="79">
        <f t="shared" si="282"/>
        <v>0</v>
      </c>
      <c r="ULP84" s="79">
        <f t="shared" si="282"/>
        <v>0</v>
      </c>
      <c r="ULQ84" s="79">
        <f t="shared" si="282"/>
        <v>0</v>
      </c>
      <c r="ULR84" s="79">
        <f t="shared" si="282"/>
        <v>0</v>
      </c>
      <c r="ULS84" s="79">
        <f t="shared" si="282"/>
        <v>0</v>
      </c>
      <c r="ULT84" s="79">
        <f t="shared" si="282"/>
        <v>0</v>
      </c>
      <c r="ULU84" s="145" t="s">
        <v>96</v>
      </c>
      <c r="ULX84" s="79">
        <f>ULX18+ULX24+ULX29+ULX30</f>
        <v>0</v>
      </c>
      <c r="ULY84" s="79">
        <f t="shared" ref="ULY84:UOF84" si="283">ULY18+ULY24+ULY29+ULY30</f>
        <v>0</v>
      </c>
      <c r="ULZ84" s="79">
        <f t="shared" si="283"/>
        <v>0</v>
      </c>
      <c r="UMA84" s="79">
        <f t="shared" si="283"/>
        <v>0</v>
      </c>
      <c r="UMB84" s="79">
        <f t="shared" si="283"/>
        <v>0</v>
      </c>
      <c r="UMC84" s="79">
        <f t="shared" si="283"/>
        <v>0</v>
      </c>
      <c r="UMD84" s="79">
        <f t="shared" si="283"/>
        <v>0</v>
      </c>
      <c r="UME84" s="79">
        <f t="shared" si="283"/>
        <v>0</v>
      </c>
      <c r="UMF84" s="79">
        <f t="shared" si="283"/>
        <v>0</v>
      </c>
      <c r="UMG84" s="79">
        <f t="shared" si="283"/>
        <v>0</v>
      </c>
      <c r="UMH84" s="79">
        <f t="shared" si="283"/>
        <v>0</v>
      </c>
      <c r="UMI84" s="79">
        <f t="shared" si="283"/>
        <v>0</v>
      </c>
      <c r="UMJ84" s="79">
        <f t="shared" si="283"/>
        <v>0</v>
      </c>
      <c r="UMK84" s="145" t="s">
        <v>96</v>
      </c>
      <c r="UMN84" s="79">
        <f>UMN18+UMN24+UMN29+UMN30</f>
        <v>0</v>
      </c>
      <c r="UMO84" s="79">
        <f t="shared" si="283"/>
        <v>0</v>
      </c>
      <c r="UMP84" s="79">
        <f t="shared" si="283"/>
        <v>0</v>
      </c>
      <c r="UMQ84" s="79">
        <f t="shared" si="283"/>
        <v>0</v>
      </c>
      <c r="UMR84" s="79">
        <f t="shared" si="283"/>
        <v>0</v>
      </c>
      <c r="UMS84" s="79">
        <f t="shared" si="283"/>
        <v>0</v>
      </c>
      <c r="UMT84" s="79">
        <f t="shared" si="283"/>
        <v>0</v>
      </c>
      <c r="UMU84" s="79">
        <f t="shared" si="283"/>
        <v>0</v>
      </c>
      <c r="UMV84" s="79">
        <f t="shared" si="283"/>
        <v>0</v>
      </c>
      <c r="UMW84" s="79">
        <f t="shared" si="283"/>
        <v>0</v>
      </c>
      <c r="UMX84" s="79">
        <f t="shared" si="283"/>
        <v>0</v>
      </c>
      <c r="UMY84" s="79">
        <f t="shared" si="283"/>
        <v>0</v>
      </c>
      <c r="UMZ84" s="79">
        <f t="shared" si="283"/>
        <v>0</v>
      </c>
      <c r="UNA84" s="145" t="s">
        <v>96</v>
      </c>
      <c r="UND84" s="79">
        <f>UND18+UND24+UND29+UND30</f>
        <v>0</v>
      </c>
      <c r="UNE84" s="79">
        <f t="shared" si="283"/>
        <v>0</v>
      </c>
      <c r="UNF84" s="79">
        <f t="shared" si="283"/>
        <v>0</v>
      </c>
      <c r="UNG84" s="79">
        <f t="shared" si="283"/>
        <v>0</v>
      </c>
      <c r="UNH84" s="79">
        <f t="shared" si="283"/>
        <v>0</v>
      </c>
      <c r="UNI84" s="79">
        <f t="shared" si="283"/>
        <v>0</v>
      </c>
      <c r="UNJ84" s="79">
        <f t="shared" si="283"/>
        <v>0</v>
      </c>
      <c r="UNK84" s="79">
        <f t="shared" si="283"/>
        <v>0</v>
      </c>
      <c r="UNL84" s="79">
        <f t="shared" si="283"/>
        <v>0</v>
      </c>
      <c r="UNM84" s="79">
        <f t="shared" si="283"/>
        <v>0</v>
      </c>
      <c r="UNN84" s="79">
        <f t="shared" si="283"/>
        <v>0</v>
      </c>
      <c r="UNO84" s="79">
        <f t="shared" si="283"/>
        <v>0</v>
      </c>
      <c r="UNP84" s="79">
        <f t="shared" si="283"/>
        <v>0</v>
      </c>
      <c r="UNQ84" s="145" t="s">
        <v>96</v>
      </c>
      <c r="UNT84" s="79">
        <f>UNT18+UNT24+UNT29+UNT30</f>
        <v>0</v>
      </c>
      <c r="UNU84" s="79">
        <f t="shared" si="283"/>
        <v>0</v>
      </c>
      <c r="UNV84" s="79">
        <f t="shared" si="283"/>
        <v>0</v>
      </c>
      <c r="UNW84" s="79">
        <f t="shared" si="283"/>
        <v>0</v>
      </c>
      <c r="UNX84" s="79">
        <f t="shared" si="283"/>
        <v>0</v>
      </c>
      <c r="UNY84" s="79">
        <f t="shared" si="283"/>
        <v>0</v>
      </c>
      <c r="UNZ84" s="79">
        <f t="shared" si="283"/>
        <v>0</v>
      </c>
      <c r="UOA84" s="79">
        <f t="shared" si="283"/>
        <v>0</v>
      </c>
      <c r="UOB84" s="79">
        <f t="shared" si="283"/>
        <v>0</v>
      </c>
      <c r="UOC84" s="79">
        <f t="shared" si="283"/>
        <v>0</v>
      </c>
      <c r="UOD84" s="79">
        <f t="shared" si="283"/>
        <v>0</v>
      </c>
      <c r="UOE84" s="79">
        <f t="shared" si="283"/>
        <v>0</v>
      </c>
      <c r="UOF84" s="79">
        <f t="shared" si="283"/>
        <v>0</v>
      </c>
      <c r="UOG84" s="145" t="s">
        <v>96</v>
      </c>
      <c r="UOJ84" s="79">
        <f>UOJ18+UOJ24+UOJ29+UOJ30</f>
        <v>0</v>
      </c>
      <c r="UOK84" s="79">
        <f t="shared" ref="UOK84:UQR84" si="284">UOK18+UOK24+UOK29+UOK30</f>
        <v>0</v>
      </c>
      <c r="UOL84" s="79">
        <f t="shared" si="284"/>
        <v>0</v>
      </c>
      <c r="UOM84" s="79">
        <f t="shared" si="284"/>
        <v>0</v>
      </c>
      <c r="UON84" s="79">
        <f t="shared" si="284"/>
        <v>0</v>
      </c>
      <c r="UOO84" s="79">
        <f t="shared" si="284"/>
        <v>0</v>
      </c>
      <c r="UOP84" s="79">
        <f t="shared" si="284"/>
        <v>0</v>
      </c>
      <c r="UOQ84" s="79">
        <f t="shared" si="284"/>
        <v>0</v>
      </c>
      <c r="UOR84" s="79">
        <f t="shared" si="284"/>
        <v>0</v>
      </c>
      <c r="UOS84" s="79">
        <f t="shared" si="284"/>
        <v>0</v>
      </c>
      <c r="UOT84" s="79">
        <f t="shared" si="284"/>
        <v>0</v>
      </c>
      <c r="UOU84" s="79">
        <f t="shared" si="284"/>
        <v>0</v>
      </c>
      <c r="UOV84" s="79">
        <f t="shared" si="284"/>
        <v>0</v>
      </c>
      <c r="UOW84" s="145" t="s">
        <v>96</v>
      </c>
      <c r="UOZ84" s="79">
        <f>UOZ18+UOZ24+UOZ29+UOZ30</f>
        <v>0</v>
      </c>
      <c r="UPA84" s="79">
        <f t="shared" si="284"/>
        <v>0</v>
      </c>
      <c r="UPB84" s="79">
        <f t="shared" si="284"/>
        <v>0</v>
      </c>
      <c r="UPC84" s="79">
        <f t="shared" si="284"/>
        <v>0</v>
      </c>
      <c r="UPD84" s="79">
        <f t="shared" si="284"/>
        <v>0</v>
      </c>
      <c r="UPE84" s="79">
        <f t="shared" si="284"/>
        <v>0</v>
      </c>
      <c r="UPF84" s="79">
        <f t="shared" si="284"/>
        <v>0</v>
      </c>
      <c r="UPG84" s="79">
        <f t="shared" si="284"/>
        <v>0</v>
      </c>
      <c r="UPH84" s="79">
        <f t="shared" si="284"/>
        <v>0</v>
      </c>
      <c r="UPI84" s="79">
        <f t="shared" si="284"/>
        <v>0</v>
      </c>
      <c r="UPJ84" s="79">
        <f t="shared" si="284"/>
        <v>0</v>
      </c>
      <c r="UPK84" s="79">
        <f t="shared" si="284"/>
        <v>0</v>
      </c>
      <c r="UPL84" s="79">
        <f t="shared" si="284"/>
        <v>0</v>
      </c>
      <c r="UPM84" s="145" t="s">
        <v>96</v>
      </c>
      <c r="UPP84" s="79">
        <f>UPP18+UPP24+UPP29+UPP30</f>
        <v>0</v>
      </c>
      <c r="UPQ84" s="79">
        <f t="shared" si="284"/>
        <v>0</v>
      </c>
      <c r="UPR84" s="79">
        <f t="shared" si="284"/>
        <v>0</v>
      </c>
      <c r="UPS84" s="79">
        <f t="shared" si="284"/>
        <v>0</v>
      </c>
      <c r="UPT84" s="79">
        <f t="shared" si="284"/>
        <v>0</v>
      </c>
      <c r="UPU84" s="79">
        <f t="shared" si="284"/>
        <v>0</v>
      </c>
      <c r="UPV84" s="79">
        <f t="shared" si="284"/>
        <v>0</v>
      </c>
      <c r="UPW84" s="79">
        <f t="shared" si="284"/>
        <v>0</v>
      </c>
      <c r="UPX84" s="79">
        <f t="shared" si="284"/>
        <v>0</v>
      </c>
      <c r="UPY84" s="79">
        <f t="shared" si="284"/>
        <v>0</v>
      </c>
      <c r="UPZ84" s="79">
        <f t="shared" si="284"/>
        <v>0</v>
      </c>
      <c r="UQA84" s="79">
        <f t="shared" si="284"/>
        <v>0</v>
      </c>
      <c r="UQB84" s="79">
        <f t="shared" si="284"/>
        <v>0</v>
      </c>
      <c r="UQC84" s="145" t="s">
        <v>96</v>
      </c>
      <c r="UQF84" s="79">
        <f>UQF18+UQF24+UQF29+UQF30</f>
        <v>0</v>
      </c>
      <c r="UQG84" s="79">
        <f t="shared" si="284"/>
        <v>0</v>
      </c>
      <c r="UQH84" s="79">
        <f t="shared" si="284"/>
        <v>0</v>
      </c>
      <c r="UQI84" s="79">
        <f t="shared" si="284"/>
        <v>0</v>
      </c>
      <c r="UQJ84" s="79">
        <f t="shared" si="284"/>
        <v>0</v>
      </c>
      <c r="UQK84" s="79">
        <f t="shared" si="284"/>
        <v>0</v>
      </c>
      <c r="UQL84" s="79">
        <f t="shared" si="284"/>
        <v>0</v>
      </c>
      <c r="UQM84" s="79">
        <f t="shared" si="284"/>
        <v>0</v>
      </c>
      <c r="UQN84" s="79">
        <f t="shared" si="284"/>
        <v>0</v>
      </c>
      <c r="UQO84" s="79">
        <f t="shared" si="284"/>
        <v>0</v>
      </c>
      <c r="UQP84" s="79">
        <f t="shared" si="284"/>
        <v>0</v>
      </c>
      <c r="UQQ84" s="79">
        <f t="shared" si="284"/>
        <v>0</v>
      </c>
      <c r="UQR84" s="79">
        <f t="shared" si="284"/>
        <v>0</v>
      </c>
      <c r="UQS84" s="145" t="s">
        <v>96</v>
      </c>
      <c r="UQV84" s="79">
        <f>UQV18+UQV24+UQV29+UQV30</f>
        <v>0</v>
      </c>
      <c r="UQW84" s="79">
        <f t="shared" ref="UQW84:UTD84" si="285">UQW18+UQW24+UQW29+UQW30</f>
        <v>0</v>
      </c>
      <c r="UQX84" s="79">
        <f t="shared" si="285"/>
        <v>0</v>
      </c>
      <c r="UQY84" s="79">
        <f t="shared" si="285"/>
        <v>0</v>
      </c>
      <c r="UQZ84" s="79">
        <f t="shared" si="285"/>
        <v>0</v>
      </c>
      <c r="URA84" s="79">
        <f t="shared" si="285"/>
        <v>0</v>
      </c>
      <c r="URB84" s="79">
        <f t="shared" si="285"/>
        <v>0</v>
      </c>
      <c r="URC84" s="79">
        <f t="shared" si="285"/>
        <v>0</v>
      </c>
      <c r="URD84" s="79">
        <f t="shared" si="285"/>
        <v>0</v>
      </c>
      <c r="URE84" s="79">
        <f t="shared" si="285"/>
        <v>0</v>
      </c>
      <c r="URF84" s="79">
        <f t="shared" si="285"/>
        <v>0</v>
      </c>
      <c r="URG84" s="79">
        <f t="shared" si="285"/>
        <v>0</v>
      </c>
      <c r="URH84" s="79">
        <f t="shared" si="285"/>
        <v>0</v>
      </c>
      <c r="URI84" s="145" t="s">
        <v>96</v>
      </c>
      <c r="URL84" s="79">
        <f>URL18+URL24+URL29+URL30</f>
        <v>0</v>
      </c>
      <c r="URM84" s="79">
        <f t="shared" si="285"/>
        <v>0</v>
      </c>
      <c r="URN84" s="79">
        <f t="shared" si="285"/>
        <v>0</v>
      </c>
      <c r="URO84" s="79">
        <f t="shared" si="285"/>
        <v>0</v>
      </c>
      <c r="URP84" s="79">
        <f t="shared" si="285"/>
        <v>0</v>
      </c>
      <c r="URQ84" s="79">
        <f t="shared" si="285"/>
        <v>0</v>
      </c>
      <c r="URR84" s="79">
        <f t="shared" si="285"/>
        <v>0</v>
      </c>
      <c r="URS84" s="79">
        <f t="shared" si="285"/>
        <v>0</v>
      </c>
      <c r="URT84" s="79">
        <f t="shared" si="285"/>
        <v>0</v>
      </c>
      <c r="URU84" s="79">
        <f t="shared" si="285"/>
        <v>0</v>
      </c>
      <c r="URV84" s="79">
        <f t="shared" si="285"/>
        <v>0</v>
      </c>
      <c r="URW84" s="79">
        <f t="shared" si="285"/>
        <v>0</v>
      </c>
      <c r="URX84" s="79">
        <f t="shared" si="285"/>
        <v>0</v>
      </c>
      <c r="URY84" s="145" t="s">
        <v>96</v>
      </c>
      <c r="USB84" s="79">
        <f>USB18+USB24+USB29+USB30</f>
        <v>0</v>
      </c>
      <c r="USC84" s="79">
        <f t="shared" si="285"/>
        <v>0</v>
      </c>
      <c r="USD84" s="79">
        <f t="shared" si="285"/>
        <v>0</v>
      </c>
      <c r="USE84" s="79">
        <f t="shared" si="285"/>
        <v>0</v>
      </c>
      <c r="USF84" s="79">
        <f t="shared" si="285"/>
        <v>0</v>
      </c>
      <c r="USG84" s="79">
        <f t="shared" si="285"/>
        <v>0</v>
      </c>
      <c r="USH84" s="79">
        <f t="shared" si="285"/>
        <v>0</v>
      </c>
      <c r="USI84" s="79">
        <f t="shared" si="285"/>
        <v>0</v>
      </c>
      <c r="USJ84" s="79">
        <f t="shared" si="285"/>
        <v>0</v>
      </c>
      <c r="USK84" s="79">
        <f t="shared" si="285"/>
        <v>0</v>
      </c>
      <c r="USL84" s="79">
        <f t="shared" si="285"/>
        <v>0</v>
      </c>
      <c r="USM84" s="79">
        <f t="shared" si="285"/>
        <v>0</v>
      </c>
      <c r="USN84" s="79">
        <f t="shared" si="285"/>
        <v>0</v>
      </c>
      <c r="USO84" s="145" t="s">
        <v>96</v>
      </c>
      <c r="USR84" s="79">
        <f>USR18+USR24+USR29+USR30</f>
        <v>0</v>
      </c>
      <c r="USS84" s="79">
        <f t="shared" si="285"/>
        <v>0</v>
      </c>
      <c r="UST84" s="79">
        <f t="shared" si="285"/>
        <v>0</v>
      </c>
      <c r="USU84" s="79">
        <f t="shared" si="285"/>
        <v>0</v>
      </c>
      <c r="USV84" s="79">
        <f t="shared" si="285"/>
        <v>0</v>
      </c>
      <c r="USW84" s="79">
        <f t="shared" si="285"/>
        <v>0</v>
      </c>
      <c r="USX84" s="79">
        <f t="shared" si="285"/>
        <v>0</v>
      </c>
      <c r="USY84" s="79">
        <f t="shared" si="285"/>
        <v>0</v>
      </c>
      <c r="USZ84" s="79">
        <f t="shared" si="285"/>
        <v>0</v>
      </c>
      <c r="UTA84" s="79">
        <f t="shared" si="285"/>
        <v>0</v>
      </c>
      <c r="UTB84" s="79">
        <f t="shared" si="285"/>
        <v>0</v>
      </c>
      <c r="UTC84" s="79">
        <f t="shared" si="285"/>
        <v>0</v>
      </c>
      <c r="UTD84" s="79">
        <f t="shared" si="285"/>
        <v>0</v>
      </c>
      <c r="UTE84" s="145" t="s">
        <v>96</v>
      </c>
      <c r="UTH84" s="79">
        <f>UTH18+UTH24+UTH29+UTH30</f>
        <v>0</v>
      </c>
      <c r="UTI84" s="79">
        <f t="shared" ref="UTI84:UVP84" si="286">UTI18+UTI24+UTI29+UTI30</f>
        <v>0</v>
      </c>
      <c r="UTJ84" s="79">
        <f t="shared" si="286"/>
        <v>0</v>
      </c>
      <c r="UTK84" s="79">
        <f t="shared" si="286"/>
        <v>0</v>
      </c>
      <c r="UTL84" s="79">
        <f t="shared" si="286"/>
        <v>0</v>
      </c>
      <c r="UTM84" s="79">
        <f t="shared" si="286"/>
        <v>0</v>
      </c>
      <c r="UTN84" s="79">
        <f t="shared" si="286"/>
        <v>0</v>
      </c>
      <c r="UTO84" s="79">
        <f t="shared" si="286"/>
        <v>0</v>
      </c>
      <c r="UTP84" s="79">
        <f t="shared" si="286"/>
        <v>0</v>
      </c>
      <c r="UTQ84" s="79">
        <f t="shared" si="286"/>
        <v>0</v>
      </c>
      <c r="UTR84" s="79">
        <f t="shared" si="286"/>
        <v>0</v>
      </c>
      <c r="UTS84" s="79">
        <f t="shared" si="286"/>
        <v>0</v>
      </c>
      <c r="UTT84" s="79">
        <f t="shared" si="286"/>
        <v>0</v>
      </c>
      <c r="UTU84" s="145" t="s">
        <v>96</v>
      </c>
      <c r="UTX84" s="79">
        <f>UTX18+UTX24+UTX29+UTX30</f>
        <v>0</v>
      </c>
      <c r="UTY84" s="79">
        <f t="shared" si="286"/>
        <v>0</v>
      </c>
      <c r="UTZ84" s="79">
        <f t="shared" si="286"/>
        <v>0</v>
      </c>
      <c r="UUA84" s="79">
        <f t="shared" si="286"/>
        <v>0</v>
      </c>
      <c r="UUB84" s="79">
        <f t="shared" si="286"/>
        <v>0</v>
      </c>
      <c r="UUC84" s="79">
        <f t="shared" si="286"/>
        <v>0</v>
      </c>
      <c r="UUD84" s="79">
        <f t="shared" si="286"/>
        <v>0</v>
      </c>
      <c r="UUE84" s="79">
        <f t="shared" si="286"/>
        <v>0</v>
      </c>
      <c r="UUF84" s="79">
        <f t="shared" si="286"/>
        <v>0</v>
      </c>
      <c r="UUG84" s="79">
        <f t="shared" si="286"/>
        <v>0</v>
      </c>
      <c r="UUH84" s="79">
        <f t="shared" si="286"/>
        <v>0</v>
      </c>
      <c r="UUI84" s="79">
        <f t="shared" si="286"/>
        <v>0</v>
      </c>
      <c r="UUJ84" s="79">
        <f t="shared" si="286"/>
        <v>0</v>
      </c>
      <c r="UUK84" s="145" t="s">
        <v>96</v>
      </c>
      <c r="UUN84" s="79">
        <f>UUN18+UUN24+UUN29+UUN30</f>
        <v>0</v>
      </c>
      <c r="UUO84" s="79">
        <f t="shared" si="286"/>
        <v>0</v>
      </c>
      <c r="UUP84" s="79">
        <f t="shared" si="286"/>
        <v>0</v>
      </c>
      <c r="UUQ84" s="79">
        <f t="shared" si="286"/>
        <v>0</v>
      </c>
      <c r="UUR84" s="79">
        <f t="shared" si="286"/>
        <v>0</v>
      </c>
      <c r="UUS84" s="79">
        <f t="shared" si="286"/>
        <v>0</v>
      </c>
      <c r="UUT84" s="79">
        <f t="shared" si="286"/>
        <v>0</v>
      </c>
      <c r="UUU84" s="79">
        <f t="shared" si="286"/>
        <v>0</v>
      </c>
      <c r="UUV84" s="79">
        <f t="shared" si="286"/>
        <v>0</v>
      </c>
      <c r="UUW84" s="79">
        <f t="shared" si="286"/>
        <v>0</v>
      </c>
      <c r="UUX84" s="79">
        <f t="shared" si="286"/>
        <v>0</v>
      </c>
      <c r="UUY84" s="79">
        <f t="shared" si="286"/>
        <v>0</v>
      </c>
      <c r="UUZ84" s="79">
        <f t="shared" si="286"/>
        <v>0</v>
      </c>
      <c r="UVA84" s="145" t="s">
        <v>96</v>
      </c>
      <c r="UVD84" s="79">
        <f>UVD18+UVD24+UVD29+UVD30</f>
        <v>0</v>
      </c>
      <c r="UVE84" s="79">
        <f t="shared" si="286"/>
        <v>0</v>
      </c>
      <c r="UVF84" s="79">
        <f t="shared" si="286"/>
        <v>0</v>
      </c>
      <c r="UVG84" s="79">
        <f t="shared" si="286"/>
        <v>0</v>
      </c>
      <c r="UVH84" s="79">
        <f t="shared" si="286"/>
        <v>0</v>
      </c>
      <c r="UVI84" s="79">
        <f t="shared" si="286"/>
        <v>0</v>
      </c>
      <c r="UVJ84" s="79">
        <f t="shared" si="286"/>
        <v>0</v>
      </c>
      <c r="UVK84" s="79">
        <f t="shared" si="286"/>
        <v>0</v>
      </c>
      <c r="UVL84" s="79">
        <f t="shared" si="286"/>
        <v>0</v>
      </c>
      <c r="UVM84" s="79">
        <f t="shared" si="286"/>
        <v>0</v>
      </c>
      <c r="UVN84" s="79">
        <f t="shared" si="286"/>
        <v>0</v>
      </c>
      <c r="UVO84" s="79">
        <f t="shared" si="286"/>
        <v>0</v>
      </c>
      <c r="UVP84" s="79">
        <f t="shared" si="286"/>
        <v>0</v>
      </c>
      <c r="UVQ84" s="145" t="s">
        <v>96</v>
      </c>
      <c r="UVT84" s="79">
        <f>UVT18+UVT24+UVT29+UVT30</f>
        <v>0</v>
      </c>
      <c r="UVU84" s="79">
        <f t="shared" ref="UVU84:UYB84" si="287">UVU18+UVU24+UVU29+UVU30</f>
        <v>0</v>
      </c>
      <c r="UVV84" s="79">
        <f t="shared" si="287"/>
        <v>0</v>
      </c>
      <c r="UVW84" s="79">
        <f t="shared" si="287"/>
        <v>0</v>
      </c>
      <c r="UVX84" s="79">
        <f t="shared" si="287"/>
        <v>0</v>
      </c>
      <c r="UVY84" s="79">
        <f t="shared" si="287"/>
        <v>0</v>
      </c>
      <c r="UVZ84" s="79">
        <f t="shared" si="287"/>
        <v>0</v>
      </c>
      <c r="UWA84" s="79">
        <f t="shared" si="287"/>
        <v>0</v>
      </c>
      <c r="UWB84" s="79">
        <f t="shared" si="287"/>
        <v>0</v>
      </c>
      <c r="UWC84" s="79">
        <f t="shared" si="287"/>
        <v>0</v>
      </c>
      <c r="UWD84" s="79">
        <f t="shared" si="287"/>
        <v>0</v>
      </c>
      <c r="UWE84" s="79">
        <f t="shared" si="287"/>
        <v>0</v>
      </c>
      <c r="UWF84" s="79">
        <f t="shared" si="287"/>
        <v>0</v>
      </c>
      <c r="UWG84" s="145" t="s">
        <v>96</v>
      </c>
      <c r="UWJ84" s="79">
        <f>UWJ18+UWJ24+UWJ29+UWJ30</f>
        <v>0</v>
      </c>
      <c r="UWK84" s="79">
        <f t="shared" si="287"/>
        <v>0</v>
      </c>
      <c r="UWL84" s="79">
        <f t="shared" si="287"/>
        <v>0</v>
      </c>
      <c r="UWM84" s="79">
        <f t="shared" si="287"/>
        <v>0</v>
      </c>
      <c r="UWN84" s="79">
        <f t="shared" si="287"/>
        <v>0</v>
      </c>
      <c r="UWO84" s="79">
        <f t="shared" si="287"/>
        <v>0</v>
      </c>
      <c r="UWP84" s="79">
        <f t="shared" si="287"/>
        <v>0</v>
      </c>
      <c r="UWQ84" s="79">
        <f t="shared" si="287"/>
        <v>0</v>
      </c>
      <c r="UWR84" s="79">
        <f t="shared" si="287"/>
        <v>0</v>
      </c>
      <c r="UWS84" s="79">
        <f t="shared" si="287"/>
        <v>0</v>
      </c>
      <c r="UWT84" s="79">
        <f t="shared" si="287"/>
        <v>0</v>
      </c>
      <c r="UWU84" s="79">
        <f t="shared" si="287"/>
        <v>0</v>
      </c>
      <c r="UWV84" s="79">
        <f t="shared" si="287"/>
        <v>0</v>
      </c>
      <c r="UWW84" s="145" t="s">
        <v>96</v>
      </c>
      <c r="UWZ84" s="79">
        <f>UWZ18+UWZ24+UWZ29+UWZ30</f>
        <v>0</v>
      </c>
      <c r="UXA84" s="79">
        <f t="shared" si="287"/>
        <v>0</v>
      </c>
      <c r="UXB84" s="79">
        <f t="shared" si="287"/>
        <v>0</v>
      </c>
      <c r="UXC84" s="79">
        <f t="shared" si="287"/>
        <v>0</v>
      </c>
      <c r="UXD84" s="79">
        <f t="shared" si="287"/>
        <v>0</v>
      </c>
      <c r="UXE84" s="79">
        <f t="shared" si="287"/>
        <v>0</v>
      </c>
      <c r="UXF84" s="79">
        <f t="shared" si="287"/>
        <v>0</v>
      </c>
      <c r="UXG84" s="79">
        <f t="shared" si="287"/>
        <v>0</v>
      </c>
      <c r="UXH84" s="79">
        <f t="shared" si="287"/>
        <v>0</v>
      </c>
      <c r="UXI84" s="79">
        <f t="shared" si="287"/>
        <v>0</v>
      </c>
      <c r="UXJ84" s="79">
        <f t="shared" si="287"/>
        <v>0</v>
      </c>
      <c r="UXK84" s="79">
        <f t="shared" si="287"/>
        <v>0</v>
      </c>
      <c r="UXL84" s="79">
        <f t="shared" si="287"/>
        <v>0</v>
      </c>
      <c r="UXM84" s="145" t="s">
        <v>96</v>
      </c>
      <c r="UXP84" s="79">
        <f>UXP18+UXP24+UXP29+UXP30</f>
        <v>0</v>
      </c>
      <c r="UXQ84" s="79">
        <f t="shared" si="287"/>
        <v>0</v>
      </c>
      <c r="UXR84" s="79">
        <f t="shared" si="287"/>
        <v>0</v>
      </c>
      <c r="UXS84" s="79">
        <f t="shared" si="287"/>
        <v>0</v>
      </c>
      <c r="UXT84" s="79">
        <f t="shared" si="287"/>
        <v>0</v>
      </c>
      <c r="UXU84" s="79">
        <f t="shared" si="287"/>
        <v>0</v>
      </c>
      <c r="UXV84" s="79">
        <f t="shared" si="287"/>
        <v>0</v>
      </c>
      <c r="UXW84" s="79">
        <f t="shared" si="287"/>
        <v>0</v>
      </c>
      <c r="UXX84" s="79">
        <f t="shared" si="287"/>
        <v>0</v>
      </c>
      <c r="UXY84" s="79">
        <f t="shared" si="287"/>
        <v>0</v>
      </c>
      <c r="UXZ84" s="79">
        <f t="shared" si="287"/>
        <v>0</v>
      </c>
      <c r="UYA84" s="79">
        <f t="shared" si="287"/>
        <v>0</v>
      </c>
      <c r="UYB84" s="79">
        <f t="shared" si="287"/>
        <v>0</v>
      </c>
      <c r="UYC84" s="145" t="s">
        <v>96</v>
      </c>
      <c r="UYF84" s="79">
        <f>UYF18+UYF24+UYF29+UYF30</f>
        <v>0</v>
      </c>
      <c r="UYG84" s="79">
        <f t="shared" ref="UYG84:VAN84" si="288">UYG18+UYG24+UYG29+UYG30</f>
        <v>0</v>
      </c>
      <c r="UYH84" s="79">
        <f t="shared" si="288"/>
        <v>0</v>
      </c>
      <c r="UYI84" s="79">
        <f t="shared" si="288"/>
        <v>0</v>
      </c>
      <c r="UYJ84" s="79">
        <f t="shared" si="288"/>
        <v>0</v>
      </c>
      <c r="UYK84" s="79">
        <f t="shared" si="288"/>
        <v>0</v>
      </c>
      <c r="UYL84" s="79">
        <f t="shared" si="288"/>
        <v>0</v>
      </c>
      <c r="UYM84" s="79">
        <f t="shared" si="288"/>
        <v>0</v>
      </c>
      <c r="UYN84" s="79">
        <f t="shared" si="288"/>
        <v>0</v>
      </c>
      <c r="UYO84" s="79">
        <f t="shared" si="288"/>
        <v>0</v>
      </c>
      <c r="UYP84" s="79">
        <f t="shared" si="288"/>
        <v>0</v>
      </c>
      <c r="UYQ84" s="79">
        <f t="shared" si="288"/>
        <v>0</v>
      </c>
      <c r="UYR84" s="79">
        <f t="shared" si="288"/>
        <v>0</v>
      </c>
      <c r="UYS84" s="145" t="s">
        <v>96</v>
      </c>
      <c r="UYV84" s="79">
        <f>UYV18+UYV24+UYV29+UYV30</f>
        <v>0</v>
      </c>
      <c r="UYW84" s="79">
        <f t="shared" si="288"/>
        <v>0</v>
      </c>
      <c r="UYX84" s="79">
        <f t="shared" si="288"/>
        <v>0</v>
      </c>
      <c r="UYY84" s="79">
        <f t="shared" si="288"/>
        <v>0</v>
      </c>
      <c r="UYZ84" s="79">
        <f t="shared" si="288"/>
        <v>0</v>
      </c>
      <c r="UZA84" s="79">
        <f t="shared" si="288"/>
        <v>0</v>
      </c>
      <c r="UZB84" s="79">
        <f t="shared" si="288"/>
        <v>0</v>
      </c>
      <c r="UZC84" s="79">
        <f t="shared" si="288"/>
        <v>0</v>
      </c>
      <c r="UZD84" s="79">
        <f t="shared" si="288"/>
        <v>0</v>
      </c>
      <c r="UZE84" s="79">
        <f t="shared" si="288"/>
        <v>0</v>
      </c>
      <c r="UZF84" s="79">
        <f t="shared" si="288"/>
        <v>0</v>
      </c>
      <c r="UZG84" s="79">
        <f t="shared" si="288"/>
        <v>0</v>
      </c>
      <c r="UZH84" s="79">
        <f t="shared" si="288"/>
        <v>0</v>
      </c>
      <c r="UZI84" s="145" t="s">
        <v>96</v>
      </c>
      <c r="UZL84" s="79">
        <f>UZL18+UZL24+UZL29+UZL30</f>
        <v>0</v>
      </c>
      <c r="UZM84" s="79">
        <f t="shared" si="288"/>
        <v>0</v>
      </c>
      <c r="UZN84" s="79">
        <f t="shared" si="288"/>
        <v>0</v>
      </c>
      <c r="UZO84" s="79">
        <f t="shared" si="288"/>
        <v>0</v>
      </c>
      <c r="UZP84" s="79">
        <f t="shared" si="288"/>
        <v>0</v>
      </c>
      <c r="UZQ84" s="79">
        <f t="shared" si="288"/>
        <v>0</v>
      </c>
      <c r="UZR84" s="79">
        <f t="shared" si="288"/>
        <v>0</v>
      </c>
      <c r="UZS84" s="79">
        <f t="shared" si="288"/>
        <v>0</v>
      </c>
      <c r="UZT84" s="79">
        <f t="shared" si="288"/>
        <v>0</v>
      </c>
      <c r="UZU84" s="79">
        <f t="shared" si="288"/>
        <v>0</v>
      </c>
      <c r="UZV84" s="79">
        <f t="shared" si="288"/>
        <v>0</v>
      </c>
      <c r="UZW84" s="79">
        <f t="shared" si="288"/>
        <v>0</v>
      </c>
      <c r="UZX84" s="79">
        <f t="shared" si="288"/>
        <v>0</v>
      </c>
      <c r="UZY84" s="145" t="s">
        <v>96</v>
      </c>
      <c r="VAB84" s="79">
        <f>VAB18+VAB24+VAB29+VAB30</f>
        <v>0</v>
      </c>
      <c r="VAC84" s="79">
        <f t="shared" si="288"/>
        <v>0</v>
      </c>
      <c r="VAD84" s="79">
        <f t="shared" si="288"/>
        <v>0</v>
      </c>
      <c r="VAE84" s="79">
        <f t="shared" si="288"/>
        <v>0</v>
      </c>
      <c r="VAF84" s="79">
        <f t="shared" si="288"/>
        <v>0</v>
      </c>
      <c r="VAG84" s="79">
        <f t="shared" si="288"/>
        <v>0</v>
      </c>
      <c r="VAH84" s="79">
        <f t="shared" si="288"/>
        <v>0</v>
      </c>
      <c r="VAI84" s="79">
        <f t="shared" si="288"/>
        <v>0</v>
      </c>
      <c r="VAJ84" s="79">
        <f t="shared" si="288"/>
        <v>0</v>
      </c>
      <c r="VAK84" s="79">
        <f t="shared" si="288"/>
        <v>0</v>
      </c>
      <c r="VAL84" s="79">
        <f t="shared" si="288"/>
        <v>0</v>
      </c>
      <c r="VAM84" s="79">
        <f t="shared" si="288"/>
        <v>0</v>
      </c>
      <c r="VAN84" s="79">
        <f t="shared" si="288"/>
        <v>0</v>
      </c>
      <c r="VAO84" s="145" t="s">
        <v>96</v>
      </c>
      <c r="VAR84" s="79">
        <f>VAR18+VAR24+VAR29+VAR30</f>
        <v>0</v>
      </c>
      <c r="VAS84" s="79">
        <f t="shared" ref="VAS84:VCZ84" si="289">VAS18+VAS24+VAS29+VAS30</f>
        <v>0</v>
      </c>
      <c r="VAT84" s="79">
        <f t="shared" si="289"/>
        <v>0</v>
      </c>
      <c r="VAU84" s="79">
        <f t="shared" si="289"/>
        <v>0</v>
      </c>
      <c r="VAV84" s="79">
        <f t="shared" si="289"/>
        <v>0</v>
      </c>
      <c r="VAW84" s="79">
        <f t="shared" si="289"/>
        <v>0</v>
      </c>
      <c r="VAX84" s="79">
        <f t="shared" si="289"/>
        <v>0</v>
      </c>
      <c r="VAY84" s="79">
        <f t="shared" si="289"/>
        <v>0</v>
      </c>
      <c r="VAZ84" s="79">
        <f t="shared" si="289"/>
        <v>0</v>
      </c>
      <c r="VBA84" s="79">
        <f t="shared" si="289"/>
        <v>0</v>
      </c>
      <c r="VBB84" s="79">
        <f t="shared" si="289"/>
        <v>0</v>
      </c>
      <c r="VBC84" s="79">
        <f t="shared" si="289"/>
        <v>0</v>
      </c>
      <c r="VBD84" s="79">
        <f t="shared" si="289"/>
        <v>0</v>
      </c>
      <c r="VBE84" s="145" t="s">
        <v>96</v>
      </c>
      <c r="VBH84" s="79">
        <f>VBH18+VBH24+VBH29+VBH30</f>
        <v>0</v>
      </c>
      <c r="VBI84" s="79">
        <f t="shared" si="289"/>
        <v>0</v>
      </c>
      <c r="VBJ84" s="79">
        <f t="shared" si="289"/>
        <v>0</v>
      </c>
      <c r="VBK84" s="79">
        <f t="shared" si="289"/>
        <v>0</v>
      </c>
      <c r="VBL84" s="79">
        <f t="shared" si="289"/>
        <v>0</v>
      </c>
      <c r="VBM84" s="79">
        <f t="shared" si="289"/>
        <v>0</v>
      </c>
      <c r="VBN84" s="79">
        <f t="shared" si="289"/>
        <v>0</v>
      </c>
      <c r="VBO84" s="79">
        <f t="shared" si="289"/>
        <v>0</v>
      </c>
      <c r="VBP84" s="79">
        <f t="shared" si="289"/>
        <v>0</v>
      </c>
      <c r="VBQ84" s="79">
        <f t="shared" si="289"/>
        <v>0</v>
      </c>
      <c r="VBR84" s="79">
        <f t="shared" si="289"/>
        <v>0</v>
      </c>
      <c r="VBS84" s="79">
        <f t="shared" si="289"/>
        <v>0</v>
      </c>
      <c r="VBT84" s="79">
        <f t="shared" si="289"/>
        <v>0</v>
      </c>
      <c r="VBU84" s="145" t="s">
        <v>96</v>
      </c>
      <c r="VBX84" s="79">
        <f>VBX18+VBX24+VBX29+VBX30</f>
        <v>0</v>
      </c>
      <c r="VBY84" s="79">
        <f t="shared" si="289"/>
        <v>0</v>
      </c>
      <c r="VBZ84" s="79">
        <f t="shared" si="289"/>
        <v>0</v>
      </c>
      <c r="VCA84" s="79">
        <f t="shared" si="289"/>
        <v>0</v>
      </c>
      <c r="VCB84" s="79">
        <f t="shared" si="289"/>
        <v>0</v>
      </c>
      <c r="VCC84" s="79">
        <f t="shared" si="289"/>
        <v>0</v>
      </c>
      <c r="VCD84" s="79">
        <f t="shared" si="289"/>
        <v>0</v>
      </c>
      <c r="VCE84" s="79">
        <f t="shared" si="289"/>
        <v>0</v>
      </c>
      <c r="VCF84" s="79">
        <f t="shared" si="289"/>
        <v>0</v>
      </c>
      <c r="VCG84" s="79">
        <f t="shared" si="289"/>
        <v>0</v>
      </c>
      <c r="VCH84" s="79">
        <f t="shared" si="289"/>
        <v>0</v>
      </c>
      <c r="VCI84" s="79">
        <f t="shared" si="289"/>
        <v>0</v>
      </c>
      <c r="VCJ84" s="79">
        <f t="shared" si="289"/>
        <v>0</v>
      </c>
      <c r="VCK84" s="145" t="s">
        <v>96</v>
      </c>
      <c r="VCN84" s="79">
        <f>VCN18+VCN24+VCN29+VCN30</f>
        <v>0</v>
      </c>
      <c r="VCO84" s="79">
        <f t="shared" si="289"/>
        <v>0</v>
      </c>
      <c r="VCP84" s="79">
        <f t="shared" si="289"/>
        <v>0</v>
      </c>
      <c r="VCQ84" s="79">
        <f t="shared" si="289"/>
        <v>0</v>
      </c>
      <c r="VCR84" s="79">
        <f t="shared" si="289"/>
        <v>0</v>
      </c>
      <c r="VCS84" s="79">
        <f t="shared" si="289"/>
        <v>0</v>
      </c>
      <c r="VCT84" s="79">
        <f t="shared" si="289"/>
        <v>0</v>
      </c>
      <c r="VCU84" s="79">
        <f t="shared" si="289"/>
        <v>0</v>
      </c>
      <c r="VCV84" s="79">
        <f t="shared" si="289"/>
        <v>0</v>
      </c>
      <c r="VCW84" s="79">
        <f t="shared" si="289"/>
        <v>0</v>
      </c>
      <c r="VCX84" s="79">
        <f t="shared" si="289"/>
        <v>0</v>
      </c>
      <c r="VCY84" s="79">
        <f t="shared" si="289"/>
        <v>0</v>
      </c>
      <c r="VCZ84" s="79">
        <f t="shared" si="289"/>
        <v>0</v>
      </c>
      <c r="VDA84" s="145" t="s">
        <v>96</v>
      </c>
      <c r="VDD84" s="79">
        <f>VDD18+VDD24+VDD29+VDD30</f>
        <v>0</v>
      </c>
      <c r="VDE84" s="79">
        <f t="shared" ref="VDE84:VFL84" si="290">VDE18+VDE24+VDE29+VDE30</f>
        <v>0</v>
      </c>
      <c r="VDF84" s="79">
        <f t="shared" si="290"/>
        <v>0</v>
      </c>
      <c r="VDG84" s="79">
        <f t="shared" si="290"/>
        <v>0</v>
      </c>
      <c r="VDH84" s="79">
        <f t="shared" si="290"/>
        <v>0</v>
      </c>
      <c r="VDI84" s="79">
        <f t="shared" si="290"/>
        <v>0</v>
      </c>
      <c r="VDJ84" s="79">
        <f t="shared" si="290"/>
        <v>0</v>
      </c>
      <c r="VDK84" s="79">
        <f t="shared" si="290"/>
        <v>0</v>
      </c>
      <c r="VDL84" s="79">
        <f t="shared" si="290"/>
        <v>0</v>
      </c>
      <c r="VDM84" s="79">
        <f t="shared" si="290"/>
        <v>0</v>
      </c>
      <c r="VDN84" s="79">
        <f t="shared" si="290"/>
        <v>0</v>
      </c>
      <c r="VDO84" s="79">
        <f t="shared" si="290"/>
        <v>0</v>
      </c>
      <c r="VDP84" s="79">
        <f t="shared" si="290"/>
        <v>0</v>
      </c>
      <c r="VDQ84" s="145" t="s">
        <v>96</v>
      </c>
      <c r="VDT84" s="79">
        <f>VDT18+VDT24+VDT29+VDT30</f>
        <v>0</v>
      </c>
      <c r="VDU84" s="79">
        <f t="shared" si="290"/>
        <v>0</v>
      </c>
      <c r="VDV84" s="79">
        <f t="shared" si="290"/>
        <v>0</v>
      </c>
      <c r="VDW84" s="79">
        <f t="shared" si="290"/>
        <v>0</v>
      </c>
      <c r="VDX84" s="79">
        <f t="shared" si="290"/>
        <v>0</v>
      </c>
      <c r="VDY84" s="79">
        <f t="shared" si="290"/>
        <v>0</v>
      </c>
      <c r="VDZ84" s="79">
        <f t="shared" si="290"/>
        <v>0</v>
      </c>
      <c r="VEA84" s="79">
        <f t="shared" si="290"/>
        <v>0</v>
      </c>
      <c r="VEB84" s="79">
        <f t="shared" si="290"/>
        <v>0</v>
      </c>
      <c r="VEC84" s="79">
        <f t="shared" si="290"/>
        <v>0</v>
      </c>
      <c r="VED84" s="79">
        <f t="shared" si="290"/>
        <v>0</v>
      </c>
      <c r="VEE84" s="79">
        <f t="shared" si="290"/>
        <v>0</v>
      </c>
      <c r="VEF84" s="79">
        <f t="shared" si="290"/>
        <v>0</v>
      </c>
      <c r="VEG84" s="145" t="s">
        <v>96</v>
      </c>
      <c r="VEJ84" s="79">
        <f>VEJ18+VEJ24+VEJ29+VEJ30</f>
        <v>0</v>
      </c>
      <c r="VEK84" s="79">
        <f t="shared" si="290"/>
        <v>0</v>
      </c>
      <c r="VEL84" s="79">
        <f t="shared" si="290"/>
        <v>0</v>
      </c>
      <c r="VEM84" s="79">
        <f t="shared" si="290"/>
        <v>0</v>
      </c>
      <c r="VEN84" s="79">
        <f t="shared" si="290"/>
        <v>0</v>
      </c>
      <c r="VEO84" s="79">
        <f t="shared" si="290"/>
        <v>0</v>
      </c>
      <c r="VEP84" s="79">
        <f t="shared" si="290"/>
        <v>0</v>
      </c>
      <c r="VEQ84" s="79">
        <f t="shared" si="290"/>
        <v>0</v>
      </c>
      <c r="VER84" s="79">
        <f t="shared" si="290"/>
        <v>0</v>
      </c>
      <c r="VES84" s="79">
        <f t="shared" si="290"/>
        <v>0</v>
      </c>
      <c r="VET84" s="79">
        <f t="shared" si="290"/>
        <v>0</v>
      </c>
      <c r="VEU84" s="79">
        <f t="shared" si="290"/>
        <v>0</v>
      </c>
      <c r="VEV84" s="79">
        <f t="shared" si="290"/>
        <v>0</v>
      </c>
      <c r="VEW84" s="145" t="s">
        <v>96</v>
      </c>
      <c r="VEZ84" s="79">
        <f>VEZ18+VEZ24+VEZ29+VEZ30</f>
        <v>0</v>
      </c>
      <c r="VFA84" s="79">
        <f t="shared" si="290"/>
        <v>0</v>
      </c>
      <c r="VFB84" s="79">
        <f t="shared" si="290"/>
        <v>0</v>
      </c>
      <c r="VFC84" s="79">
        <f t="shared" si="290"/>
        <v>0</v>
      </c>
      <c r="VFD84" s="79">
        <f t="shared" si="290"/>
        <v>0</v>
      </c>
      <c r="VFE84" s="79">
        <f t="shared" si="290"/>
        <v>0</v>
      </c>
      <c r="VFF84" s="79">
        <f t="shared" si="290"/>
        <v>0</v>
      </c>
      <c r="VFG84" s="79">
        <f t="shared" si="290"/>
        <v>0</v>
      </c>
      <c r="VFH84" s="79">
        <f t="shared" si="290"/>
        <v>0</v>
      </c>
      <c r="VFI84" s="79">
        <f t="shared" si="290"/>
        <v>0</v>
      </c>
      <c r="VFJ84" s="79">
        <f t="shared" si="290"/>
        <v>0</v>
      </c>
      <c r="VFK84" s="79">
        <f t="shared" si="290"/>
        <v>0</v>
      </c>
      <c r="VFL84" s="79">
        <f t="shared" si="290"/>
        <v>0</v>
      </c>
      <c r="VFM84" s="145" t="s">
        <v>96</v>
      </c>
      <c r="VFP84" s="79">
        <f>VFP18+VFP24+VFP29+VFP30</f>
        <v>0</v>
      </c>
      <c r="VFQ84" s="79">
        <f t="shared" ref="VFQ84:VHX84" si="291">VFQ18+VFQ24+VFQ29+VFQ30</f>
        <v>0</v>
      </c>
      <c r="VFR84" s="79">
        <f t="shared" si="291"/>
        <v>0</v>
      </c>
      <c r="VFS84" s="79">
        <f t="shared" si="291"/>
        <v>0</v>
      </c>
      <c r="VFT84" s="79">
        <f t="shared" si="291"/>
        <v>0</v>
      </c>
      <c r="VFU84" s="79">
        <f t="shared" si="291"/>
        <v>0</v>
      </c>
      <c r="VFV84" s="79">
        <f t="shared" si="291"/>
        <v>0</v>
      </c>
      <c r="VFW84" s="79">
        <f t="shared" si="291"/>
        <v>0</v>
      </c>
      <c r="VFX84" s="79">
        <f t="shared" si="291"/>
        <v>0</v>
      </c>
      <c r="VFY84" s="79">
        <f t="shared" si="291"/>
        <v>0</v>
      </c>
      <c r="VFZ84" s="79">
        <f t="shared" si="291"/>
        <v>0</v>
      </c>
      <c r="VGA84" s="79">
        <f t="shared" si="291"/>
        <v>0</v>
      </c>
      <c r="VGB84" s="79">
        <f t="shared" si="291"/>
        <v>0</v>
      </c>
      <c r="VGC84" s="145" t="s">
        <v>96</v>
      </c>
      <c r="VGF84" s="79">
        <f>VGF18+VGF24+VGF29+VGF30</f>
        <v>0</v>
      </c>
      <c r="VGG84" s="79">
        <f t="shared" si="291"/>
        <v>0</v>
      </c>
      <c r="VGH84" s="79">
        <f t="shared" si="291"/>
        <v>0</v>
      </c>
      <c r="VGI84" s="79">
        <f t="shared" si="291"/>
        <v>0</v>
      </c>
      <c r="VGJ84" s="79">
        <f t="shared" si="291"/>
        <v>0</v>
      </c>
      <c r="VGK84" s="79">
        <f t="shared" si="291"/>
        <v>0</v>
      </c>
      <c r="VGL84" s="79">
        <f t="shared" si="291"/>
        <v>0</v>
      </c>
      <c r="VGM84" s="79">
        <f t="shared" si="291"/>
        <v>0</v>
      </c>
      <c r="VGN84" s="79">
        <f t="shared" si="291"/>
        <v>0</v>
      </c>
      <c r="VGO84" s="79">
        <f t="shared" si="291"/>
        <v>0</v>
      </c>
      <c r="VGP84" s="79">
        <f t="shared" si="291"/>
        <v>0</v>
      </c>
      <c r="VGQ84" s="79">
        <f t="shared" si="291"/>
        <v>0</v>
      </c>
      <c r="VGR84" s="79">
        <f t="shared" si="291"/>
        <v>0</v>
      </c>
      <c r="VGS84" s="145" t="s">
        <v>96</v>
      </c>
      <c r="VGV84" s="79">
        <f>VGV18+VGV24+VGV29+VGV30</f>
        <v>0</v>
      </c>
      <c r="VGW84" s="79">
        <f t="shared" si="291"/>
        <v>0</v>
      </c>
      <c r="VGX84" s="79">
        <f t="shared" si="291"/>
        <v>0</v>
      </c>
      <c r="VGY84" s="79">
        <f t="shared" si="291"/>
        <v>0</v>
      </c>
      <c r="VGZ84" s="79">
        <f t="shared" si="291"/>
        <v>0</v>
      </c>
      <c r="VHA84" s="79">
        <f t="shared" si="291"/>
        <v>0</v>
      </c>
      <c r="VHB84" s="79">
        <f t="shared" si="291"/>
        <v>0</v>
      </c>
      <c r="VHC84" s="79">
        <f t="shared" si="291"/>
        <v>0</v>
      </c>
      <c r="VHD84" s="79">
        <f t="shared" si="291"/>
        <v>0</v>
      </c>
      <c r="VHE84" s="79">
        <f t="shared" si="291"/>
        <v>0</v>
      </c>
      <c r="VHF84" s="79">
        <f t="shared" si="291"/>
        <v>0</v>
      </c>
      <c r="VHG84" s="79">
        <f t="shared" si="291"/>
        <v>0</v>
      </c>
      <c r="VHH84" s="79">
        <f t="shared" si="291"/>
        <v>0</v>
      </c>
      <c r="VHI84" s="145" t="s">
        <v>96</v>
      </c>
      <c r="VHL84" s="79">
        <f>VHL18+VHL24+VHL29+VHL30</f>
        <v>0</v>
      </c>
      <c r="VHM84" s="79">
        <f t="shared" si="291"/>
        <v>0</v>
      </c>
      <c r="VHN84" s="79">
        <f t="shared" si="291"/>
        <v>0</v>
      </c>
      <c r="VHO84" s="79">
        <f t="shared" si="291"/>
        <v>0</v>
      </c>
      <c r="VHP84" s="79">
        <f t="shared" si="291"/>
        <v>0</v>
      </c>
      <c r="VHQ84" s="79">
        <f t="shared" si="291"/>
        <v>0</v>
      </c>
      <c r="VHR84" s="79">
        <f t="shared" si="291"/>
        <v>0</v>
      </c>
      <c r="VHS84" s="79">
        <f t="shared" si="291"/>
        <v>0</v>
      </c>
      <c r="VHT84" s="79">
        <f t="shared" si="291"/>
        <v>0</v>
      </c>
      <c r="VHU84" s="79">
        <f t="shared" si="291"/>
        <v>0</v>
      </c>
      <c r="VHV84" s="79">
        <f t="shared" si="291"/>
        <v>0</v>
      </c>
      <c r="VHW84" s="79">
        <f t="shared" si="291"/>
        <v>0</v>
      </c>
      <c r="VHX84" s="79">
        <f t="shared" si="291"/>
        <v>0</v>
      </c>
      <c r="VHY84" s="145" t="s">
        <v>96</v>
      </c>
      <c r="VIB84" s="79">
        <f>VIB18+VIB24+VIB29+VIB30</f>
        <v>0</v>
      </c>
      <c r="VIC84" s="79">
        <f t="shared" ref="VIC84:VKJ84" si="292">VIC18+VIC24+VIC29+VIC30</f>
        <v>0</v>
      </c>
      <c r="VID84" s="79">
        <f t="shared" si="292"/>
        <v>0</v>
      </c>
      <c r="VIE84" s="79">
        <f t="shared" si="292"/>
        <v>0</v>
      </c>
      <c r="VIF84" s="79">
        <f t="shared" si="292"/>
        <v>0</v>
      </c>
      <c r="VIG84" s="79">
        <f t="shared" si="292"/>
        <v>0</v>
      </c>
      <c r="VIH84" s="79">
        <f t="shared" si="292"/>
        <v>0</v>
      </c>
      <c r="VII84" s="79">
        <f t="shared" si="292"/>
        <v>0</v>
      </c>
      <c r="VIJ84" s="79">
        <f t="shared" si="292"/>
        <v>0</v>
      </c>
      <c r="VIK84" s="79">
        <f t="shared" si="292"/>
        <v>0</v>
      </c>
      <c r="VIL84" s="79">
        <f t="shared" si="292"/>
        <v>0</v>
      </c>
      <c r="VIM84" s="79">
        <f t="shared" si="292"/>
        <v>0</v>
      </c>
      <c r="VIN84" s="79">
        <f t="shared" si="292"/>
        <v>0</v>
      </c>
      <c r="VIO84" s="145" t="s">
        <v>96</v>
      </c>
      <c r="VIR84" s="79">
        <f>VIR18+VIR24+VIR29+VIR30</f>
        <v>0</v>
      </c>
      <c r="VIS84" s="79">
        <f t="shared" si="292"/>
        <v>0</v>
      </c>
      <c r="VIT84" s="79">
        <f t="shared" si="292"/>
        <v>0</v>
      </c>
      <c r="VIU84" s="79">
        <f t="shared" si="292"/>
        <v>0</v>
      </c>
      <c r="VIV84" s="79">
        <f t="shared" si="292"/>
        <v>0</v>
      </c>
      <c r="VIW84" s="79">
        <f t="shared" si="292"/>
        <v>0</v>
      </c>
      <c r="VIX84" s="79">
        <f t="shared" si="292"/>
        <v>0</v>
      </c>
      <c r="VIY84" s="79">
        <f t="shared" si="292"/>
        <v>0</v>
      </c>
      <c r="VIZ84" s="79">
        <f t="shared" si="292"/>
        <v>0</v>
      </c>
      <c r="VJA84" s="79">
        <f t="shared" si="292"/>
        <v>0</v>
      </c>
      <c r="VJB84" s="79">
        <f t="shared" si="292"/>
        <v>0</v>
      </c>
      <c r="VJC84" s="79">
        <f t="shared" si="292"/>
        <v>0</v>
      </c>
      <c r="VJD84" s="79">
        <f t="shared" si="292"/>
        <v>0</v>
      </c>
      <c r="VJE84" s="145" t="s">
        <v>96</v>
      </c>
      <c r="VJH84" s="79">
        <f>VJH18+VJH24+VJH29+VJH30</f>
        <v>0</v>
      </c>
      <c r="VJI84" s="79">
        <f t="shared" si="292"/>
        <v>0</v>
      </c>
      <c r="VJJ84" s="79">
        <f t="shared" si="292"/>
        <v>0</v>
      </c>
      <c r="VJK84" s="79">
        <f t="shared" si="292"/>
        <v>0</v>
      </c>
      <c r="VJL84" s="79">
        <f t="shared" si="292"/>
        <v>0</v>
      </c>
      <c r="VJM84" s="79">
        <f t="shared" si="292"/>
        <v>0</v>
      </c>
      <c r="VJN84" s="79">
        <f t="shared" si="292"/>
        <v>0</v>
      </c>
      <c r="VJO84" s="79">
        <f t="shared" si="292"/>
        <v>0</v>
      </c>
      <c r="VJP84" s="79">
        <f t="shared" si="292"/>
        <v>0</v>
      </c>
      <c r="VJQ84" s="79">
        <f t="shared" si="292"/>
        <v>0</v>
      </c>
      <c r="VJR84" s="79">
        <f t="shared" si="292"/>
        <v>0</v>
      </c>
      <c r="VJS84" s="79">
        <f t="shared" si="292"/>
        <v>0</v>
      </c>
      <c r="VJT84" s="79">
        <f t="shared" si="292"/>
        <v>0</v>
      </c>
      <c r="VJU84" s="145" t="s">
        <v>96</v>
      </c>
      <c r="VJX84" s="79">
        <f>VJX18+VJX24+VJX29+VJX30</f>
        <v>0</v>
      </c>
      <c r="VJY84" s="79">
        <f t="shared" si="292"/>
        <v>0</v>
      </c>
      <c r="VJZ84" s="79">
        <f t="shared" si="292"/>
        <v>0</v>
      </c>
      <c r="VKA84" s="79">
        <f t="shared" si="292"/>
        <v>0</v>
      </c>
      <c r="VKB84" s="79">
        <f t="shared" si="292"/>
        <v>0</v>
      </c>
      <c r="VKC84" s="79">
        <f t="shared" si="292"/>
        <v>0</v>
      </c>
      <c r="VKD84" s="79">
        <f t="shared" si="292"/>
        <v>0</v>
      </c>
      <c r="VKE84" s="79">
        <f t="shared" si="292"/>
        <v>0</v>
      </c>
      <c r="VKF84" s="79">
        <f t="shared" si="292"/>
        <v>0</v>
      </c>
      <c r="VKG84" s="79">
        <f t="shared" si="292"/>
        <v>0</v>
      </c>
      <c r="VKH84" s="79">
        <f t="shared" si="292"/>
        <v>0</v>
      </c>
      <c r="VKI84" s="79">
        <f t="shared" si="292"/>
        <v>0</v>
      </c>
      <c r="VKJ84" s="79">
        <f t="shared" si="292"/>
        <v>0</v>
      </c>
      <c r="VKK84" s="145" t="s">
        <v>96</v>
      </c>
      <c r="VKN84" s="79">
        <f>VKN18+VKN24+VKN29+VKN30</f>
        <v>0</v>
      </c>
      <c r="VKO84" s="79">
        <f t="shared" ref="VKO84:VMV84" si="293">VKO18+VKO24+VKO29+VKO30</f>
        <v>0</v>
      </c>
      <c r="VKP84" s="79">
        <f t="shared" si="293"/>
        <v>0</v>
      </c>
      <c r="VKQ84" s="79">
        <f t="shared" si="293"/>
        <v>0</v>
      </c>
      <c r="VKR84" s="79">
        <f t="shared" si="293"/>
        <v>0</v>
      </c>
      <c r="VKS84" s="79">
        <f t="shared" si="293"/>
        <v>0</v>
      </c>
      <c r="VKT84" s="79">
        <f t="shared" si="293"/>
        <v>0</v>
      </c>
      <c r="VKU84" s="79">
        <f t="shared" si="293"/>
        <v>0</v>
      </c>
      <c r="VKV84" s="79">
        <f t="shared" si="293"/>
        <v>0</v>
      </c>
      <c r="VKW84" s="79">
        <f t="shared" si="293"/>
        <v>0</v>
      </c>
      <c r="VKX84" s="79">
        <f t="shared" si="293"/>
        <v>0</v>
      </c>
      <c r="VKY84" s="79">
        <f t="shared" si="293"/>
        <v>0</v>
      </c>
      <c r="VKZ84" s="79">
        <f t="shared" si="293"/>
        <v>0</v>
      </c>
      <c r="VLA84" s="145" t="s">
        <v>96</v>
      </c>
      <c r="VLD84" s="79">
        <f>VLD18+VLD24+VLD29+VLD30</f>
        <v>0</v>
      </c>
      <c r="VLE84" s="79">
        <f t="shared" si="293"/>
        <v>0</v>
      </c>
      <c r="VLF84" s="79">
        <f t="shared" si="293"/>
        <v>0</v>
      </c>
      <c r="VLG84" s="79">
        <f t="shared" si="293"/>
        <v>0</v>
      </c>
      <c r="VLH84" s="79">
        <f t="shared" si="293"/>
        <v>0</v>
      </c>
      <c r="VLI84" s="79">
        <f t="shared" si="293"/>
        <v>0</v>
      </c>
      <c r="VLJ84" s="79">
        <f t="shared" si="293"/>
        <v>0</v>
      </c>
      <c r="VLK84" s="79">
        <f t="shared" si="293"/>
        <v>0</v>
      </c>
      <c r="VLL84" s="79">
        <f t="shared" si="293"/>
        <v>0</v>
      </c>
      <c r="VLM84" s="79">
        <f t="shared" si="293"/>
        <v>0</v>
      </c>
      <c r="VLN84" s="79">
        <f t="shared" si="293"/>
        <v>0</v>
      </c>
      <c r="VLO84" s="79">
        <f t="shared" si="293"/>
        <v>0</v>
      </c>
      <c r="VLP84" s="79">
        <f t="shared" si="293"/>
        <v>0</v>
      </c>
      <c r="VLQ84" s="145" t="s">
        <v>96</v>
      </c>
      <c r="VLT84" s="79">
        <f>VLT18+VLT24+VLT29+VLT30</f>
        <v>0</v>
      </c>
      <c r="VLU84" s="79">
        <f t="shared" si="293"/>
        <v>0</v>
      </c>
      <c r="VLV84" s="79">
        <f t="shared" si="293"/>
        <v>0</v>
      </c>
      <c r="VLW84" s="79">
        <f t="shared" si="293"/>
        <v>0</v>
      </c>
      <c r="VLX84" s="79">
        <f t="shared" si="293"/>
        <v>0</v>
      </c>
      <c r="VLY84" s="79">
        <f t="shared" si="293"/>
        <v>0</v>
      </c>
      <c r="VLZ84" s="79">
        <f t="shared" si="293"/>
        <v>0</v>
      </c>
      <c r="VMA84" s="79">
        <f t="shared" si="293"/>
        <v>0</v>
      </c>
      <c r="VMB84" s="79">
        <f t="shared" si="293"/>
        <v>0</v>
      </c>
      <c r="VMC84" s="79">
        <f t="shared" si="293"/>
        <v>0</v>
      </c>
      <c r="VMD84" s="79">
        <f t="shared" si="293"/>
        <v>0</v>
      </c>
      <c r="VME84" s="79">
        <f t="shared" si="293"/>
        <v>0</v>
      </c>
      <c r="VMF84" s="79">
        <f t="shared" si="293"/>
        <v>0</v>
      </c>
      <c r="VMG84" s="145" t="s">
        <v>96</v>
      </c>
      <c r="VMJ84" s="79">
        <f>VMJ18+VMJ24+VMJ29+VMJ30</f>
        <v>0</v>
      </c>
      <c r="VMK84" s="79">
        <f t="shared" si="293"/>
        <v>0</v>
      </c>
      <c r="VML84" s="79">
        <f t="shared" si="293"/>
        <v>0</v>
      </c>
      <c r="VMM84" s="79">
        <f t="shared" si="293"/>
        <v>0</v>
      </c>
      <c r="VMN84" s="79">
        <f t="shared" si="293"/>
        <v>0</v>
      </c>
      <c r="VMO84" s="79">
        <f t="shared" si="293"/>
        <v>0</v>
      </c>
      <c r="VMP84" s="79">
        <f t="shared" si="293"/>
        <v>0</v>
      </c>
      <c r="VMQ84" s="79">
        <f t="shared" si="293"/>
        <v>0</v>
      </c>
      <c r="VMR84" s="79">
        <f t="shared" si="293"/>
        <v>0</v>
      </c>
      <c r="VMS84" s="79">
        <f t="shared" si="293"/>
        <v>0</v>
      </c>
      <c r="VMT84" s="79">
        <f t="shared" si="293"/>
        <v>0</v>
      </c>
      <c r="VMU84" s="79">
        <f t="shared" si="293"/>
        <v>0</v>
      </c>
      <c r="VMV84" s="79">
        <f t="shared" si="293"/>
        <v>0</v>
      </c>
      <c r="VMW84" s="145" t="s">
        <v>96</v>
      </c>
      <c r="VMZ84" s="79">
        <f>VMZ18+VMZ24+VMZ29+VMZ30</f>
        <v>0</v>
      </c>
      <c r="VNA84" s="79">
        <f t="shared" ref="VNA84:VPH84" si="294">VNA18+VNA24+VNA29+VNA30</f>
        <v>0</v>
      </c>
      <c r="VNB84" s="79">
        <f t="shared" si="294"/>
        <v>0</v>
      </c>
      <c r="VNC84" s="79">
        <f t="shared" si="294"/>
        <v>0</v>
      </c>
      <c r="VND84" s="79">
        <f t="shared" si="294"/>
        <v>0</v>
      </c>
      <c r="VNE84" s="79">
        <f t="shared" si="294"/>
        <v>0</v>
      </c>
      <c r="VNF84" s="79">
        <f t="shared" si="294"/>
        <v>0</v>
      </c>
      <c r="VNG84" s="79">
        <f t="shared" si="294"/>
        <v>0</v>
      </c>
      <c r="VNH84" s="79">
        <f t="shared" si="294"/>
        <v>0</v>
      </c>
      <c r="VNI84" s="79">
        <f t="shared" si="294"/>
        <v>0</v>
      </c>
      <c r="VNJ84" s="79">
        <f t="shared" si="294"/>
        <v>0</v>
      </c>
      <c r="VNK84" s="79">
        <f t="shared" si="294"/>
        <v>0</v>
      </c>
      <c r="VNL84" s="79">
        <f t="shared" si="294"/>
        <v>0</v>
      </c>
      <c r="VNM84" s="145" t="s">
        <v>96</v>
      </c>
      <c r="VNP84" s="79">
        <f>VNP18+VNP24+VNP29+VNP30</f>
        <v>0</v>
      </c>
      <c r="VNQ84" s="79">
        <f t="shared" si="294"/>
        <v>0</v>
      </c>
      <c r="VNR84" s="79">
        <f t="shared" si="294"/>
        <v>0</v>
      </c>
      <c r="VNS84" s="79">
        <f t="shared" si="294"/>
        <v>0</v>
      </c>
      <c r="VNT84" s="79">
        <f t="shared" si="294"/>
        <v>0</v>
      </c>
      <c r="VNU84" s="79">
        <f t="shared" si="294"/>
        <v>0</v>
      </c>
      <c r="VNV84" s="79">
        <f t="shared" si="294"/>
        <v>0</v>
      </c>
      <c r="VNW84" s="79">
        <f t="shared" si="294"/>
        <v>0</v>
      </c>
      <c r="VNX84" s="79">
        <f t="shared" si="294"/>
        <v>0</v>
      </c>
      <c r="VNY84" s="79">
        <f t="shared" si="294"/>
        <v>0</v>
      </c>
      <c r="VNZ84" s="79">
        <f t="shared" si="294"/>
        <v>0</v>
      </c>
      <c r="VOA84" s="79">
        <f t="shared" si="294"/>
        <v>0</v>
      </c>
      <c r="VOB84" s="79">
        <f t="shared" si="294"/>
        <v>0</v>
      </c>
      <c r="VOC84" s="145" t="s">
        <v>96</v>
      </c>
      <c r="VOF84" s="79">
        <f>VOF18+VOF24+VOF29+VOF30</f>
        <v>0</v>
      </c>
      <c r="VOG84" s="79">
        <f t="shared" si="294"/>
        <v>0</v>
      </c>
      <c r="VOH84" s="79">
        <f t="shared" si="294"/>
        <v>0</v>
      </c>
      <c r="VOI84" s="79">
        <f t="shared" si="294"/>
        <v>0</v>
      </c>
      <c r="VOJ84" s="79">
        <f t="shared" si="294"/>
        <v>0</v>
      </c>
      <c r="VOK84" s="79">
        <f t="shared" si="294"/>
        <v>0</v>
      </c>
      <c r="VOL84" s="79">
        <f t="shared" si="294"/>
        <v>0</v>
      </c>
      <c r="VOM84" s="79">
        <f t="shared" si="294"/>
        <v>0</v>
      </c>
      <c r="VON84" s="79">
        <f t="shared" si="294"/>
        <v>0</v>
      </c>
      <c r="VOO84" s="79">
        <f t="shared" si="294"/>
        <v>0</v>
      </c>
      <c r="VOP84" s="79">
        <f t="shared" si="294"/>
        <v>0</v>
      </c>
      <c r="VOQ84" s="79">
        <f t="shared" si="294"/>
        <v>0</v>
      </c>
      <c r="VOR84" s="79">
        <f t="shared" si="294"/>
        <v>0</v>
      </c>
      <c r="VOS84" s="145" t="s">
        <v>96</v>
      </c>
      <c r="VOV84" s="79">
        <f>VOV18+VOV24+VOV29+VOV30</f>
        <v>0</v>
      </c>
      <c r="VOW84" s="79">
        <f t="shared" si="294"/>
        <v>0</v>
      </c>
      <c r="VOX84" s="79">
        <f t="shared" si="294"/>
        <v>0</v>
      </c>
      <c r="VOY84" s="79">
        <f t="shared" si="294"/>
        <v>0</v>
      </c>
      <c r="VOZ84" s="79">
        <f t="shared" si="294"/>
        <v>0</v>
      </c>
      <c r="VPA84" s="79">
        <f t="shared" si="294"/>
        <v>0</v>
      </c>
      <c r="VPB84" s="79">
        <f t="shared" si="294"/>
        <v>0</v>
      </c>
      <c r="VPC84" s="79">
        <f t="shared" si="294"/>
        <v>0</v>
      </c>
      <c r="VPD84" s="79">
        <f t="shared" si="294"/>
        <v>0</v>
      </c>
      <c r="VPE84" s="79">
        <f t="shared" si="294"/>
        <v>0</v>
      </c>
      <c r="VPF84" s="79">
        <f t="shared" si="294"/>
        <v>0</v>
      </c>
      <c r="VPG84" s="79">
        <f t="shared" si="294"/>
        <v>0</v>
      </c>
      <c r="VPH84" s="79">
        <f t="shared" si="294"/>
        <v>0</v>
      </c>
      <c r="VPI84" s="145" t="s">
        <v>96</v>
      </c>
      <c r="VPL84" s="79">
        <f>VPL18+VPL24+VPL29+VPL30</f>
        <v>0</v>
      </c>
      <c r="VPM84" s="79">
        <f t="shared" ref="VPM84:VRT84" si="295">VPM18+VPM24+VPM29+VPM30</f>
        <v>0</v>
      </c>
      <c r="VPN84" s="79">
        <f t="shared" si="295"/>
        <v>0</v>
      </c>
      <c r="VPO84" s="79">
        <f t="shared" si="295"/>
        <v>0</v>
      </c>
      <c r="VPP84" s="79">
        <f t="shared" si="295"/>
        <v>0</v>
      </c>
      <c r="VPQ84" s="79">
        <f t="shared" si="295"/>
        <v>0</v>
      </c>
      <c r="VPR84" s="79">
        <f t="shared" si="295"/>
        <v>0</v>
      </c>
      <c r="VPS84" s="79">
        <f t="shared" si="295"/>
        <v>0</v>
      </c>
      <c r="VPT84" s="79">
        <f t="shared" si="295"/>
        <v>0</v>
      </c>
      <c r="VPU84" s="79">
        <f t="shared" si="295"/>
        <v>0</v>
      </c>
      <c r="VPV84" s="79">
        <f t="shared" si="295"/>
        <v>0</v>
      </c>
      <c r="VPW84" s="79">
        <f t="shared" si="295"/>
        <v>0</v>
      </c>
      <c r="VPX84" s="79">
        <f t="shared" si="295"/>
        <v>0</v>
      </c>
      <c r="VPY84" s="145" t="s">
        <v>96</v>
      </c>
      <c r="VQB84" s="79">
        <f>VQB18+VQB24+VQB29+VQB30</f>
        <v>0</v>
      </c>
      <c r="VQC84" s="79">
        <f t="shared" si="295"/>
        <v>0</v>
      </c>
      <c r="VQD84" s="79">
        <f t="shared" si="295"/>
        <v>0</v>
      </c>
      <c r="VQE84" s="79">
        <f t="shared" si="295"/>
        <v>0</v>
      </c>
      <c r="VQF84" s="79">
        <f t="shared" si="295"/>
        <v>0</v>
      </c>
      <c r="VQG84" s="79">
        <f t="shared" si="295"/>
        <v>0</v>
      </c>
      <c r="VQH84" s="79">
        <f t="shared" si="295"/>
        <v>0</v>
      </c>
      <c r="VQI84" s="79">
        <f t="shared" si="295"/>
        <v>0</v>
      </c>
      <c r="VQJ84" s="79">
        <f t="shared" si="295"/>
        <v>0</v>
      </c>
      <c r="VQK84" s="79">
        <f t="shared" si="295"/>
        <v>0</v>
      </c>
      <c r="VQL84" s="79">
        <f t="shared" si="295"/>
        <v>0</v>
      </c>
      <c r="VQM84" s="79">
        <f t="shared" si="295"/>
        <v>0</v>
      </c>
      <c r="VQN84" s="79">
        <f t="shared" si="295"/>
        <v>0</v>
      </c>
      <c r="VQO84" s="145" t="s">
        <v>96</v>
      </c>
      <c r="VQR84" s="79">
        <f>VQR18+VQR24+VQR29+VQR30</f>
        <v>0</v>
      </c>
      <c r="VQS84" s="79">
        <f t="shared" si="295"/>
        <v>0</v>
      </c>
      <c r="VQT84" s="79">
        <f t="shared" si="295"/>
        <v>0</v>
      </c>
      <c r="VQU84" s="79">
        <f t="shared" si="295"/>
        <v>0</v>
      </c>
      <c r="VQV84" s="79">
        <f t="shared" si="295"/>
        <v>0</v>
      </c>
      <c r="VQW84" s="79">
        <f t="shared" si="295"/>
        <v>0</v>
      </c>
      <c r="VQX84" s="79">
        <f t="shared" si="295"/>
        <v>0</v>
      </c>
      <c r="VQY84" s="79">
        <f t="shared" si="295"/>
        <v>0</v>
      </c>
      <c r="VQZ84" s="79">
        <f t="shared" si="295"/>
        <v>0</v>
      </c>
      <c r="VRA84" s="79">
        <f t="shared" si="295"/>
        <v>0</v>
      </c>
      <c r="VRB84" s="79">
        <f t="shared" si="295"/>
        <v>0</v>
      </c>
      <c r="VRC84" s="79">
        <f t="shared" si="295"/>
        <v>0</v>
      </c>
      <c r="VRD84" s="79">
        <f t="shared" si="295"/>
        <v>0</v>
      </c>
      <c r="VRE84" s="145" t="s">
        <v>96</v>
      </c>
      <c r="VRH84" s="79">
        <f>VRH18+VRH24+VRH29+VRH30</f>
        <v>0</v>
      </c>
      <c r="VRI84" s="79">
        <f t="shared" si="295"/>
        <v>0</v>
      </c>
      <c r="VRJ84" s="79">
        <f t="shared" si="295"/>
        <v>0</v>
      </c>
      <c r="VRK84" s="79">
        <f t="shared" si="295"/>
        <v>0</v>
      </c>
      <c r="VRL84" s="79">
        <f t="shared" si="295"/>
        <v>0</v>
      </c>
      <c r="VRM84" s="79">
        <f t="shared" si="295"/>
        <v>0</v>
      </c>
      <c r="VRN84" s="79">
        <f t="shared" si="295"/>
        <v>0</v>
      </c>
      <c r="VRO84" s="79">
        <f t="shared" si="295"/>
        <v>0</v>
      </c>
      <c r="VRP84" s="79">
        <f t="shared" si="295"/>
        <v>0</v>
      </c>
      <c r="VRQ84" s="79">
        <f t="shared" si="295"/>
        <v>0</v>
      </c>
      <c r="VRR84" s="79">
        <f t="shared" si="295"/>
        <v>0</v>
      </c>
      <c r="VRS84" s="79">
        <f t="shared" si="295"/>
        <v>0</v>
      </c>
      <c r="VRT84" s="79">
        <f t="shared" si="295"/>
        <v>0</v>
      </c>
      <c r="VRU84" s="145" t="s">
        <v>96</v>
      </c>
      <c r="VRX84" s="79">
        <f>VRX18+VRX24+VRX29+VRX30</f>
        <v>0</v>
      </c>
      <c r="VRY84" s="79">
        <f t="shared" ref="VRY84:VUF84" si="296">VRY18+VRY24+VRY29+VRY30</f>
        <v>0</v>
      </c>
      <c r="VRZ84" s="79">
        <f t="shared" si="296"/>
        <v>0</v>
      </c>
      <c r="VSA84" s="79">
        <f t="shared" si="296"/>
        <v>0</v>
      </c>
      <c r="VSB84" s="79">
        <f t="shared" si="296"/>
        <v>0</v>
      </c>
      <c r="VSC84" s="79">
        <f t="shared" si="296"/>
        <v>0</v>
      </c>
      <c r="VSD84" s="79">
        <f t="shared" si="296"/>
        <v>0</v>
      </c>
      <c r="VSE84" s="79">
        <f t="shared" si="296"/>
        <v>0</v>
      </c>
      <c r="VSF84" s="79">
        <f t="shared" si="296"/>
        <v>0</v>
      </c>
      <c r="VSG84" s="79">
        <f t="shared" si="296"/>
        <v>0</v>
      </c>
      <c r="VSH84" s="79">
        <f t="shared" si="296"/>
        <v>0</v>
      </c>
      <c r="VSI84" s="79">
        <f t="shared" si="296"/>
        <v>0</v>
      </c>
      <c r="VSJ84" s="79">
        <f t="shared" si="296"/>
        <v>0</v>
      </c>
      <c r="VSK84" s="145" t="s">
        <v>96</v>
      </c>
      <c r="VSN84" s="79">
        <f>VSN18+VSN24+VSN29+VSN30</f>
        <v>0</v>
      </c>
      <c r="VSO84" s="79">
        <f t="shared" si="296"/>
        <v>0</v>
      </c>
      <c r="VSP84" s="79">
        <f t="shared" si="296"/>
        <v>0</v>
      </c>
      <c r="VSQ84" s="79">
        <f t="shared" si="296"/>
        <v>0</v>
      </c>
      <c r="VSR84" s="79">
        <f t="shared" si="296"/>
        <v>0</v>
      </c>
      <c r="VSS84" s="79">
        <f t="shared" si="296"/>
        <v>0</v>
      </c>
      <c r="VST84" s="79">
        <f t="shared" si="296"/>
        <v>0</v>
      </c>
      <c r="VSU84" s="79">
        <f t="shared" si="296"/>
        <v>0</v>
      </c>
      <c r="VSV84" s="79">
        <f t="shared" si="296"/>
        <v>0</v>
      </c>
      <c r="VSW84" s="79">
        <f t="shared" si="296"/>
        <v>0</v>
      </c>
      <c r="VSX84" s="79">
        <f t="shared" si="296"/>
        <v>0</v>
      </c>
      <c r="VSY84" s="79">
        <f t="shared" si="296"/>
        <v>0</v>
      </c>
      <c r="VSZ84" s="79">
        <f t="shared" si="296"/>
        <v>0</v>
      </c>
      <c r="VTA84" s="145" t="s">
        <v>96</v>
      </c>
      <c r="VTD84" s="79">
        <f>VTD18+VTD24+VTD29+VTD30</f>
        <v>0</v>
      </c>
      <c r="VTE84" s="79">
        <f t="shared" si="296"/>
        <v>0</v>
      </c>
      <c r="VTF84" s="79">
        <f t="shared" si="296"/>
        <v>0</v>
      </c>
      <c r="VTG84" s="79">
        <f t="shared" si="296"/>
        <v>0</v>
      </c>
      <c r="VTH84" s="79">
        <f t="shared" si="296"/>
        <v>0</v>
      </c>
      <c r="VTI84" s="79">
        <f t="shared" si="296"/>
        <v>0</v>
      </c>
      <c r="VTJ84" s="79">
        <f t="shared" si="296"/>
        <v>0</v>
      </c>
      <c r="VTK84" s="79">
        <f t="shared" si="296"/>
        <v>0</v>
      </c>
      <c r="VTL84" s="79">
        <f t="shared" si="296"/>
        <v>0</v>
      </c>
      <c r="VTM84" s="79">
        <f t="shared" si="296"/>
        <v>0</v>
      </c>
      <c r="VTN84" s="79">
        <f t="shared" si="296"/>
        <v>0</v>
      </c>
      <c r="VTO84" s="79">
        <f t="shared" si="296"/>
        <v>0</v>
      </c>
      <c r="VTP84" s="79">
        <f t="shared" si="296"/>
        <v>0</v>
      </c>
      <c r="VTQ84" s="145" t="s">
        <v>96</v>
      </c>
      <c r="VTT84" s="79">
        <f>VTT18+VTT24+VTT29+VTT30</f>
        <v>0</v>
      </c>
      <c r="VTU84" s="79">
        <f t="shared" si="296"/>
        <v>0</v>
      </c>
      <c r="VTV84" s="79">
        <f t="shared" si="296"/>
        <v>0</v>
      </c>
      <c r="VTW84" s="79">
        <f t="shared" si="296"/>
        <v>0</v>
      </c>
      <c r="VTX84" s="79">
        <f t="shared" si="296"/>
        <v>0</v>
      </c>
      <c r="VTY84" s="79">
        <f t="shared" si="296"/>
        <v>0</v>
      </c>
      <c r="VTZ84" s="79">
        <f t="shared" si="296"/>
        <v>0</v>
      </c>
      <c r="VUA84" s="79">
        <f t="shared" si="296"/>
        <v>0</v>
      </c>
      <c r="VUB84" s="79">
        <f t="shared" si="296"/>
        <v>0</v>
      </c>
      <c r="VUC84" s="79">
        <f t="shared" si="296"/>
        <v>0</v>
      </c>
      <c r="VUD84" s="79">
        <f t="shared" si="296"/>
        <v>0</v>
      </c>
      <c r="VUE84" s="79">
        <f t="shared" si="296"/>
        <v>0</v>
      </c>
      <c r="VUF84" s="79">
        <f t="shared" si="296"/>
        <v>0</v>
      </c>
      <c r="VUG84" s="145" t="s">
        <v>96</v>
      </c>
      <c r="VUJ84" s="79">
        <f>VUJ18+VUJ24+VUJ29+VUJ30</f>
        <v>0</v>
      </c>
      <c r="VUK84" s="79">
        <f t="shared" ref="VUK84:VWR84" si="297">VUK18+VUK24+VUK29+VUK30</f>
        <v>0</v>
      </c>
      <c r="VUL84" s="79">
        <f t="shared" si="297"/>
        <v>0</v>
      </c>
      <c r="VUM84" s="79">
        <f t="shared" si="297"/>
        <v>0</v>
      </c>
      <c r="VUN84" s="79">
        <f t="shared" si="297"/>
        <v>0</v>
      </c>
      <c r="VUO84" s="79">
        <f t="shared" si="297"/>
        <v>0</v>
      </c>
      <c r="VUP84" s="79">
        <f t="shared" si="297"/>
        <v>0</v>
      </c>
      <c r="VUQ84" s="79">
        <f t="shared" si="297"/>
        <v>0</v>
      </c>
      <c r="VUR84" s="79">
        <f t="shared" si="297"/>
        <v>0</v>
      </c>
      <c r="VUS84" s="79">
        <f t="shared" si="297"/>
        <v>0</v>
      </c>
      <c r="VUT84" s="79">
        <f t="shared" si="297"/>
        <v>0</v>
      </c>
      <c r="VUU84" s="79">
        <f t="shared" si="297"/>
        <v>0</v>
      </c>
      <c r="VUV84" s="79">
        <f t="shared" si="297"/>
        <v>0</v>
      </c>
      <c r="VUW84" s="145" t="s">
        <v>96</v>
      </c>
      <c r="VUZ84" s="79">
        <f>VUZ18+VUZ24+VUZ29+VUZ30</f>
        <v>0</v>
      </c>
      <c r="VVA84" s="79">
        <f t="shared" si="297"/>
        <v>0</v>
      </c>
      <c r="VVB84" s="79">
        <f t="shared" si="297"/>
        <v>0</v>
      </c>
      <c r="VVC84" s="79">
        <f t="shared" si="297"/>
        <v>0</v>
      </c>
      <c r="VVD84" s="79">
        <f t="shared" si="297"/>
        <v>0</v>
      </c>
      <c r="VVE84" s="79">
        <f t="shared" si="297"/>
        <v>0</v>
      </c>
      <c r="VVF84" s="79">
        <f t="shared" si="297"/>
        <v>0</v>
      </c>
      <c r="VVG84" s="79">
        <f t="shared" si="297"/>
        <v>0</v>
      </c>
      <c r="VVH84" s="79">
        <f t="shared" si="297"/>
        <v>0</v>
      </c>
      <c r="VVI84" s="79">
        <f t="shared" si="297"/>
        <v>0</v>
      </c>
      <c r="VVJ84" s="79">
        <f t="shared" si="297"/>
        <v>0</v>
      </c>
      <c r="VVK84" s="79">
        <f t="shared" si="297"/>
        <v>0</v>
      </c>
      <c r="VVL84" s="79">
        <f t="shared" si="297"/>
        <v>0</v>
      </c>
      <c r="VVM84" s="145" t="s">
        <v>96</v>
      </c>
      <c r="VVP84" s="79">
        <f>VVP18+VVP24+VVP29+VVP30</f>
        <v>0</v>
      </c>
      <c r="VVQ84" s="79">
        <f t="shared" si="297"/>
        <v>0</v>
      </c>
      <c r="VVR84" s="79">
        <f t="shared" si="297"/>
        <v>0</v>
      </c>
      <c r="VVS84" s="79">
        <f t="shared" si="297"/>
        <v>0</v>
      </c>
      <c r="VVT84" s="79">
        <f t="shared" si="297"/>
        <v>0</v>
      </c>
      <c r="VVU84" s="79">
        <f t="shared" si="297"/>
        <v>0</v>
      </c>
      <c r="VVV84" s="79">
        <f t="shared" si="297"/>
        <v>0</v>
      </c>
      <c r="VVW84" s="79">
        <f t="shared" si="297"/>
        <v>0</v>
      </c>
      <c r="VVX84" s="79">
        <f t="shared" si="297"/>
        <v>0</v>
      </c>
      <c r="VVY84" s="79">
        <f t="shared" si="297"/>
        <v>0</v>
      </c>
      <c r="VVZ84" s="79">
        <f t="shared" si="297"/>
        <v>0</v>
      </c>
      <c r="VWA84" s="79">
        <f t="shared" si="297"/>
        <v>0</v>
      </c>
      <c r="VWB84" s="79">
        <f t="shared" si="297"/>
        <v>0</v>
      </c>
      <c r="VWC84" s="145" t="s">
        <v>96</v>
      </c>
      <c r="VWF84" s="79">
        <f>VWF18+VWF24+VWF29+VWF30</f>
        <v>0</v>
      </c>
      <c r="VWG84" s="79">
        <f t="shared" si="297"/>
        <v>0</v>
      </c>
      <c r="VWH84" s="79">
        <f t="shared" si="297"/>
        <v>0</v>
      </c>
      <c r="VWI84" s="79">
        <f t="shared" si="297"/>
        <v>0</v>
      </c>
      <c r="VWJ84" s="79">
        <f t="shared" si="297"/>
        <v>0</v>
      </c>
      <c r="VWK84" s="79">
        <f t="shared" si="297"/>
        <v>0</v>
      </c>
      <c r="VWL84" s="79">
        <f t="shared" si="297"/>
        <v>0</v>
      </c>
      <c r="VWM84" s="79">
        <f t="shared" si="297"/>
        <v>0</v>
      </c>
      <c r="VWN84" s="79">
        <f t="shared" si="297"/>
        <v>0</v>
      </c>
      <c r="VWO84" s="79">
        <f t="shared" si="297"/>
        <v>0</v>
      </c>
      <c r="VWP84" s="79">
        <f t="shared" si="297"/>
        <v>0</v>
      </c>
      <c r="VWQ84" s="79">
        <f t="shared" si="297"/>
        <v>0</v>
      </c>
      <c r="VWR84" s="79">
        <f t="shared" si="297"/>
        <v>0</v>
      </c>
      <c r="VWS84" s="145" t="s">
        <v>96</v>
      </c>
      <c r="VWV84" s="79">
        <f>VWV18+VWV24+VWV29+VWV30</f>
        <v>0</v>
      </c>
      <c r="VWW84" s="79">
        <f t="shared" ref="VWW84:VZD84" si="298">VWW18+VWW24+VWW29+VWW30</f>
        <v>0</v>
      </c>
      <c r="VWX84" s="79">
        <f t="shared" si="298"/>
        <v>0</v>
      </c>
      <c r="VWY84" s="79">
        <f t="shared" si="298"/>
        <v>0</v>
      </c>
      <c r="VWZ84" s="79">
        <f t="shared" si="298"/>
        <v>0</v>
      </c>
      <c r="VXA84" s="79">
        <f t="shared" si="298"/>
        <v>0</v>
      </c>
      <c r="VXB84" s="79">
        <f t="shared" si="298"/>
        <v>0</v>
      </c>
      <c r="VXC84" s="79">
        <f t="shared" si="298"/>
        <v>0</v>
      </c>
      <c r="VXD84" s="79">
        <f t="shared" si="298"/>
        <v>0</v>
      </c>
      <c r="VXE84" s="79">
        <f t="shared" si="298"/>
        <v>0</v>
      </c>
      <c r="VXF84" s="79">
        <f t="shared" si="298"/>
        <v>0</v>
      </c>
      <c r="VXG84" s="79">
        <f t="shared" si="298"/>
        <v>0</v>
      </c>
      <c r="VXH84" s="79">
        <f t="shared" si="298"/>
        <v>0</v>
      </c>
      <c r="VXI84" s="145" t="s">
        <v>96</v>
      </c>
      <c r="VXL84" s="79">
        <f>VXL18+VXL24+VXL29+VXL30</f>
        <v>0</v>
      </c>
      <c r="VXM84" s="79">
        <f t="shared" si="298"/>
        <v>0</v>
      </c>
      <c r="VXN84" s="79">
        <f t="shared" si="298"/>
        <v>0</v>
      </c>
      <c r="VXO84" s="79">
        <f t="shared" si="298"/>
        <v>0</v>
      </c>
      <c r="VXP84" s="79">
        <f t="shared" si="298"/>
        <v>0</v>
      </c>
      <c r="VXQ84" s="79">
        <f t="shared" si="298"/>
        <v>0</v>
      </c>
      <c r="VXR84" s="79">
        <f t="shared" si="298"/>
        <v>0</v>
      </c>
      <c r="VXS84" s="79">
        <f t="shared" si="298"/>
        <v>0</v>
      </c>
      <c r="VXT84" s="79">
        <f t="shared" si="298"/>
        <v>0</v>
      </c>
      <c r="VXU84" s="79">
        <f t="shared" si="298"/>
        <v>0</v>
      </c>
      <c r="VXV84" s="79">
        <f t="shared" si="298"/>
        <v>0</v>
      </c>
      <c r="VXW84" s="79">
        <f t="shared" si="298"/>
        <v>0</v>
      </c>
      <c r="VXX84" s="79">
        <f t="shared" si="298"/>
        <v>0</v>
      </c>
      <c r="VXY84" s="145" t="s">
        <v>96</v>
      </c>
      <c r="VYB84" s="79">
        <f>VYB18+VYB24+VYB29+VYB30</f>
        <v>0</v>
      </c>
      <c r="VYC84" s="79">
        <f t="shared" si="298"/>
        <v>0</v>
      </c>
      <c r="VYD84" s="79">
        <f t="shared" si="298"/>
        <v>0</v>
      </c>
      <c r="VYE84" s="79">
        <f t="shared" si="298"/>
        <v>0</v>
      </c>
      <c r="VYF84" s="79">
        <f t="shared" si="298"/>
        <v>0</v>
      </c>
      <c r="VYG84" s="79">
        <f t="shared" si="298"/>
        <v>0</v>
      </c>
      <c r="VYH84" s="79">
        <f t="shared" si="298"/>
        <v>0</v>
      </c>
      <c r="VYI84" s="79">
        <f t="shared" si="298"/>
        <v>0</v>
      </c>
      <c r="VYJ84" s="79">
        <f t="shared" si="298"/>
        <v>0</v>
      </c>
      <c r="VYK84" s="79">
        <f t="shared" si="298"/>
        <v>0</v>
      </c>
      <c r="VYL84" s="79">
        <f t="shared" si="298"/>
        <v>0</v>
      </c>
      <c r="VYM84" s="79">
        <f t="shared" si="298"/>
        <v>0</v>
      </c>
      <c r="VYN84" s="79">
        <f t="shared" si="298"/>
        <v>0</v>
      </c>
      <c r="VYO84" s="145" t="s">
        <v>96</v>
      </c>
      <c r="VYR84" s="79">
        <f>VYR18+VYR24+VYR29+VYR30</f>
        <v>0</v>
      </c>
      <c r="VYS84" s="79">
        <f t="shared" si="298"/>
        <v>0</v>
      </c>
      <c r="VYT84" s="79">
        <f t="shared" si="298"/>
        <v>0</v>
      </c>
      <c r="VYU84" s="79">
        <f t="shared" si="298"/>
        <v>0</v>
      </c>
      <c r="VYV84" s="79">
        <f t="shared" si="298"/>
        <v>0</v>
      </c>
      <c r="VYW84" s="79">
        <f t="shared" si="298"/>
        <v>0</v>
      </c>
      <c r="VYX84" s="79">
        <f t="shared" si="298"/>
        <v>0</v>
      </c>
      <c r="VYY84" s="79">
        <f t="shared" si="298"/>
        <v>0</v>
      </c>
      <c r="VYZ84" s="79">
        <f t="shared" si="298"/>
        <v>0</v>
      </c>
      <c r="VZA84" s="79">
        <f t="shared" si="298"/>
        <v>0</v>
      </c>
      <c r="VZB84" s="79">
        <f t="shared" si="298"/>
        <v>0</v>
      </c>
      <c r="VZC84" s="79">
        <f t="shared" si="298"/>
        <v>0</v>
      </c>
      <c r="VZD84" s="79">
        <f t="shared" si="298"/>
        <v>0</v>
      </c>
      <c r="VZE84" s="145" t="s">
        <v>96</v>
      </c>
      <c r="VZH84" s="79">
        <f>VZH18+VZH24+VZH29+VZH30</f>
        <v>0</v>
      </c>
      <c r="VZI84" s="79">
        <f t="shared" ref="VZI84:WBP84" si="299">VZI18+VZI24+VZI29+VZI30</f>
        <v>0</v>
      </c>
      <c r="VZJ84" s="79">
        <f t="shared" si="299"/>
        <v>0</v>
      </c>
      <c r="VZK84" s="79">
        <f t="shared" si="299"/>
        <v>0</v>
      </c>
      <c r="VZL84" s="79">
        <f t="shared" si="299"/>
        <v>0</v>
      </c>
      <c r="VZM84" s="79">
        <f t="shared" si="299"/>
        <v>0</v>
      </c>
      <c r="VZN84" s="79">
        <f t="shared" si="299"/>
        <v>0</v>
      </c>
      <c r="VZO84" s="79">
        <f t="shared" si="299"/>
        <v>0</v>
      </c>
      <c r="VZP84" s="79">
        <f t="shared" si="299"/>
        <v>0</v>
      </c>
      <c r="VZQ84" s="79">
        <f t="shared" si="299"/>
        <v>0</v>
      </c>
      <c r="VZR84" s="79">
        <f t="shared" si="299"/>
        <v>0</v>
      </c>
      <c r="VZS84" s="79">
        <f t="shared" si="299"/>
        <v>0</v>
      </c>
      <c r="VZT84" s="79">
        <f t="shared" si="299"/>
        <v>0</v>
      </c>
      <c r="VZU84" s="145" t="s">
        <v>96</v>
      </c>
      <c r="VZX84" s="79">
        <f>VZX18+VZX24+VZX29+VZX30</f>
        <v>0</v>
      </c>
      <c r="VZY84" s="79">
        <f t="shared" si="299"/>
        <v>0</v>
      </c>
      <c r="VZZ84" s="79">
        <f t="shared" si="299"/>
        <v>0</v>
      </c>
      <c r="WAA84" s="79">
        <f t="shared" si="299"/>
        <v>0</v>
      </c>
      <c r="WAB84" s="79">
        <f t="shared" si="299"/>
        <v>0</v>
      </c>
      <c r="WAC84" s="79">
        <f t="shared" si="299"/>
        <v>0</v>
      </c>
      <c r="WAD84" s="79">
        <f t="shared" si="299"/>
        <v>0</v>
      </c>
      <c r="WAE84" s="79">
        <f t="shared" si="299"/>
        <v>0</v>
      </c>
      <c r="WAF84" s="79">
        <f t="shared" si="299"/>
        <v>0</v>
      </c>
      <c r="WAG84" s="79">
        <f t="shared" si="299"/>
        <v>0</v>
      </c>
      <c r="WAH84" s="79">
        <f t="shared" si="299"/>
        <v>0</v>
      </c>
      <c r="WAI84" s="79">
        <f t="shared" si="299"/>
        <v>0</v>
      </c>
      <c r="WAJ84" s="79">
        <f t="shared" si="299"/>
        <v>0</v>
      </c>
      <c r="WAK84" s="145" t="s">
        <v>96</v>
      </c>
      <c r="WAN84" s="79">
        <f>WAN18+WAN24+WAN29+WAN30</f>
        <v>0</v>
      </c>
      <c r="WAO84" s="79">
        <f t="shared" si="299"/>
        <v>0</v>
      </c>
      <c r="WAP84" s="79">
        <f t="shared" si="299"/>
        <v>0</v>
      </c>
      <c r="WAQ84" s="79">
        <f t="shared" si="299"/>
        <v>0</v>
      </c>
      <c r="WAR84" s="79">
        <f t="shared" si="299"/>
        <v>0</v>
      </c>
      <c r="WAS84" s="79">
        <f t="shared" si="299"/>
        <v>0</v>
      </c>
      <c r="WAT84" s="79">
        <f t="shared" si="299"/>
        <v>0</v>
      </c>
      <c r="WAU84" s="79">
        <f t="shared" si="299"/>
        <v>0</v>
      </c>
      <c r="WAV84" s="79">
        <f t="shared" si="299"/>
        <v>0</v>
      </c>
      <c r="WAW84" s="79">
        <f t="shared" si="299"/>
        <v>0</v>
      </c>
      <c r="WAX84" s="79">
        <f t="shared" si="299"/>
        <v>0</v>
      </c>
      <c r="WAY84" s="79">
        <f t="shared" si="299"/>
        <v>0</v>
      </c>
      <c r="WAZ84" s="79">
        <f t="shared" si="299"/>
        <v>0</v>
      </c>
      <c r="WBA84" s="145" t="s">
        <v>96</v>
      </c>
      <c r="WBD84" s="79">
        <f>WBD18+WBD24+WBD29+WBD30</f>
        <v>0</v>
      </c>
      <c r="WBE84" s="79">
        <f t="shared" si="299"/>
        <v>0</v>
      </c>
      <c r="WBF84" s="79">
        <f t="shared" si="299"/>
        <v>0</v>
      </c>
      <c r="WBG84" s="79">
        <f t="shared" si="299"/>
        <v>0</v>
      </c>
      <c r="WBH84" s="79">
        <f t="shared" si="299"/>
        <v>0</v>
      </c>
      <c r="WBI84" s="79">
        <f t="shared" si="299"/>
        <v>0</v>
      </c>
      <c r="WBJ84" s="79">
        <f t="shared" si="299"/>
        <v>0</v>
      </c>
      <c r="WBK84" s="79">
        <f t="shared" si="299"/>
        <v>0</v>
      </c>
      <c r="WBL84" s="79">
        <f t="shared" si="299"/>
        <v>0</v>
      </c>
      <c r="WBM84" s="79">
        <f t="shared" si="299"/>
        <v>0</v>
      </c>
      <c r="WBN84" s="79">
        <f t="shared" si="299"/>
        <v>0</v>
      </c>
      <c r="WBO84" s="79">
        <f t="shared" si="299"/>
        <v>0</v>
      </c>
      <c r="WBP84" s="79">
        <f t="shared" si="299"/>
        <v>0</v>
      </c>
      <c r="WBQ84" s="145" t="s">
        <v>96</v>
      </c>
      <c r="WBT84" s="79">
        <f>WBT18+WBT24+WBT29+WBT30</f>
        <v>0</v>
      </c>
      <c r="WBU84" s="79">
        <f t="shared" ref="WBU84:WEB84" si="300">WBU18+WBU24+WBU29+WBU30</f>
        <v>0</v>
      </c>
      <c r="WBV84" s="79">
        <f t="shared" si="300"/>
        <v>0</v>
      </c>
      <c r="WBW84" s="79">
        <f t="shared" si="300"/>
        <v>0</v>
      </c>
      <c r="WBX84" s="79">
        <f t="shared" si="300"/>
        <v>0</v>
      </c>
      <c r="WBY84" s="79">
        <f t="shared" si="300"/>
        <v>0</v>
      </c>
      <c r="WBZ84" s="79">
        <f t="shared" si="300"/>
        <v>0</v>
      </c>
      <c r="WCA84" s="79">
        <f t="shared" si="300"/>
        <v>0</v>
      </c>
      <c r="WCB84" s="79">
        <f t="shared" si="300"/>
        <v>0</v>
      </c>
      <c r="WCC84" s="79">
        <f t="shared" si="300"/>
        <v>0</v>
      </c>
      <c r="WCD84" s="79">
        <f t="shared" si="300"/>
        <v>0</v>
      </c>
      <c r="WCE84" s="79">
        <f t="shared" si="300"/>
        <v>0</v>
      </c>
      <c r="WCF84" s="79">
        <f t="shared" si="300"/>
        <v>0</v>
      </c>
      <c r="WCG84" s="145" t="s">
        <v>96</v>
      </c>
      <c r="WCJ84" s="79">
        <f>WCJ18+WCJ24+WCJ29+WCJ30</f>
        <v>0</v>
      </c>
      <c r="WCK84" s="79">
        <f t="shared" si="300"/>
        <v>0</v>
      </c>
      <c r="WCL84" s="79">
        <f t="shared" si="300"/>
        <v>0</v>
      </c>
      <c r="WCM84" s="79">
        <f t="shared" si="300"/>
        <v>0</v>
      </c>
      <c r="WCN84" s="79">
        <f t="shared" si="300"/>
        <v>0</v>
      </c>
      <c r="WCO84" s="79">
        <f t="shared" si="300"/>
        <v>0</v>
      </c>
      <c r="WCP84" s="79">
        <f t="shared" si="300"/>
        <v>0</v>
      </c>
      <c r="WCQ84" s="79">
        <f t="shared" si="300"/>
        <v>0</v>
      </c>
      <c r="WCR84" s="79">
        <f t="shared" si="300"/>
        <v>0</v>
      </c>
      <c r="WCS84" s="79">
        <f t="shared" si="300"/>
        <v>0</v>
      </c>
      <c r="WCT84" s="79">
        <f t="shared" si="300"/>
        <v>0</v>
      </c>
      <c r="WCU84" s="79">
        <f t="shared" si="300"/>
        <v>0</v>
      </c>
      <c r="WCV84" s="79">
        <f t="shared" si="300"/>
        <v>0</v>
      </c>
      <c r="WCW84" s="145" t="s">
        <v>96</v>
      </c>
      <c r="WCZ84" s="79">
        <f>WCZ18+WCZ24+WCZ29+WCZ30</f>
        <v>0</v>
      </c>
      <c r="WDA84" s="79">
        <f t="shared" si="300"/>
        <v>0</v>
      </c>
      <c r="WDB84" s="79">
        <f t="shared" si="300"/>
        <v>0</v>
      </c>
      <c r="WDC84" s="79">
        <f t="shared" si="300"/>
        <v>0</v>
      </c>
      <c r="WDD84" s="79">
        <f t="shared" si="300"/>
        <v>0</v>
      </c>
      <c r="WDE84" s="79">
        <f t="shared" si="300"/>
        <v>0</v>
      </c>
      <c r="WDF84" s="79">
        <f t="shared" si="300"/>
        <v>0</v>
      </c>
      <c r="WDG84" s="79">
        <f t="shared" si="300"/>
        <v>0</v>
      </c>
      <c r="WDH84" s="79">
        <f t="shared" si="300"/>
        <v>0</v>
      </c>
      <c r="WDI84" s="79">
        <f t="shared" si="300"/>
        <v>0</v>
      </c>
      <c r="WDJ84" s="79">
        <f t="shared" si="300"/>
        <v>0</v>
      </c>
      <c r="WDK84" s="79">
        <f t="shared" si="300"/>
        <v>0</v>
      </c>
      <c r="WDL84" s="79">
        <f t="shared" si="300"/>
        <v>0</v>
      </c>
      <c r="WDM84" s="145" t="s">
        <v>96</v>
      </c>
      <c r="WDP84" s="79">
        <f>WDP18+WDP24+WDP29+WDP30</f>
        <v>0</v>
      </c>
      <c r="WDQ84" s="79">
        <f t="shared" si="300"/>
        <v>0</v>
      </c>
      <c r="WDR84" s="79">
        <f t="shared" si="300"/>
        <v>0</v>
      </c>
      <c r="WDS84" s="79">
        <f t="shared" si="300"/>
        <v>0</v>
      </c>
      <c r="WDT84" s="79">
        <f t="shared" si="300"/>
        <v>0</v>
      </c>
      <c r="WDU84" s="79">
        <f t="shared" si="300"/>
        <v>0</v>
      </c>
      <c r="WDV84" s="79">
        <f t="shared" si="300"/>
        <v>0</v>
      </c>
      <c r="WDW84" s="79">
        <f t="shared" si="300"/>
        <v>0</v>
      </c>
      <c r="WDX84" s="79">
        <f t="shared" si="300"/>
        <v>0</v>
      </c>
      <c r="WDY84" s="79">
        <f t="shared" si="300"/>
        <v>0</v>
      </c>
      <c r="WDZ84" s="79">
        <f t="shared" si="300"/>
        <v>0</v>
      </c>
      <c r="WEA84" s="79">
        <f t="shared" si="300"/>
        <v>0</v>
      </c>
      <c r="WEB84" s="79">
        <f t="shared" si="300"/>
        <v>0</v>
      </c>
      <c r="WEC84" s="145" t="s">
        <v>96</v>
      </c>
      <c r="WEF84" s="79">
        <f>WEF18+WEF24+WEF29+WEF30</f>
        <v>0</v>
      </c>
      <c r="WEG84" s="79">
        <f t="shared" ref="WEG84:WGN84" si="301">WEG18+WEG24+WEG29+WEG30</f>
        <v>0</v>
      </c>
      <c r="WEH84" s="79">
        <f t="shared" si="301"/>
        <v>0</v>
      </c>
      <c r="WEI84" s="79">
        <f t="shared" si="301"/>
        <v>0</v>
      </c>
      <c r="WEJ84" s="79">
        <f t="shared" si="301"/>
        <v>0</v>
      </c>
      <c r="WEK84" s="79">
        <f t="shared" si="301"/>
        <v>0</v>
      </c>
      <c r="WEL84" s="79">
        <f t="shared" si="301"/>
        <v>0</v>
      </c>
      <c r="WEM84" s="79">
        <f t="shared" si="301"/>
        <v>0</v>
      </c>
      <c r="WEN84" s="79">
        <f t="shared" si="301"/>
        <v>0</v>
      </c>
      <c r="WEO84" s="79">
        <f t="shared" si="301"/>
        <v>0</v>
      </c>
      <c r="WEP84" s="79">
        <f t="shared" si="301"/>
        <v>0</v>
      </c>
      <c r="WEQ84" s="79">
        <f t="shared" si="301"/>
        <v>0</v>
      </c>
      <c r="WER84" s="79">
        <f t="shared" si="301"/>
        <v>0</v>
      </c>
      <c r="WES84" s="145" t="s">
        <v>96</v>
      </c>
      <c r="WEV84" s="79">
        <f>WEV18+WEV24+WEV29+WEV30</f>
        <v>0</v>
      </c>
      <c r="WEW84" s="79">
        <f t="shared" si="301"/>
        <v>0</v>
      </c>
      <c r="WEX84" s="79">
        <f t="shared" si="301"/>
        <v>0</v>
      </c>
      <c r="WEY84" s="79">
        <f t="shared" si="301"/>
        <v>0</v>
      </c>
      <c r="WEZ84" s="79">
        <f t="shared" si="301"/>
        <v>0</v>
      </c>
      <c r="WFA84" s="79">
        <f t="shared" si="301"/>
        <v>0</v>
      </c>
      <c r="WFB84" s="79">
        <f t="shared" si="301"/>
        <v>0</v>
      </c>
      <c r="WFC84" s="79">
        <f t="shared" si="301"/>
        <v>0</v>
      </c>
      <c r="WFD84" s="79">
        <f t="shared" si="301"/>
        <v>0</v>
      </c>
      <c r="WFE84" s="79">
        <f t="shared" si="301"/>
        <v>0</v>
      </c>
      <c r="WFF84" s="79">
        <f t="shared" si="301"/>
        <v>0</v>
      </c>
      <c r="WFG84" s="79">
        <f t="shared" si="301"/>
        <v>0</v>
      </c>
      <c r="WFH84" s="79">
        <f t="shared" si="301"/>
        <v>0</v>
      </c>
      <c r="WFI84" s="145" t="s">
        <v>96</v>
      </c>
      <c r="WFL84" s="79">
        <f>WFL18+WFL24+WFL29+WFL30</f>
        <v>0</v>
      </c>
      <c r="WFM84" s="79">
        <f t="shared" si="301"/>
        <v>0</v>
      </c>
      <c r="WFN84" s="79">
        <f t="shared" si="301"/>
        <v>0</v>
      </c>
      <c r="WFO84" s="79">
        <f t="shared" si="301"/>
        <v>0</v>
      </c>
      <c r="WFP84" s="79">
        <f t="shared" si="301"/>
        <v>0</v>
      </c>
      <c r="WFQ84" s="79">
        <f t="shared" si="301"/>
        <v>0</v>
      </c>
      <c r="WFR84" s="79">
        <f t="shared" si="301"/>
        <v>0</v>
      </c>
      <c r="WFS84" s="79">
        <f t="shared" si="301"/>
        <v>0</v>
      </c>
      <c r="WFT84" s="79">
        <f t="shared" si="301"/>
        <v>0</v>
      </c>
      <c r="WFU84" s="79">
        <f t="shared" si="301"/>
        <v>0</v>
      </c>
      <c r="WFV84" s="79">
        <f t="shared" si="301"/>
        <v>0</v>
      </c>
      <c r="WFW84" s="79">
        <f t="shared" si="301"/>
        <v>0</v>
      </c>
      <c r="WFX84" s="79">
        <f t="shared" si="301"/>
        <v>0</v>
      </c>
      <c r="WFY84" s="145" t="s">
        <v>96</v>
      </c>
      <c r="WGB84" s="79">
        <f>WGB18+WGB24+WGB29+WGB30</f>
        <v>0</v>
      </c>
      <c r="WGC84" s="79">
        <f t="shared" si="301"/>
        <v>0</v>
      </c>
      <c r="WGD84" s="79">
        <f t="shared" si="301"/>
        <v>0</v>
      </c>
      <c r="WGE84" s="79">
        <f t="shared" si="301"/>
        <v>0</v>
      </c>
      <c r="WGF84" s="79">
        <f t="shared" si="301"/>
        <v>0</v>
      </c>
      <c r="WGG84" s="79">
        <f t="shared" si="301"/>
        <v>0</v>
      </c>
      <c r="WGH84" s="79">
        <f t="shared" si="301"/>
        <v>0</v>
      </c>
      <c r="WGI84" s="79">
        <f t="shared" si="301"/>
        <v>0</v>
      </c>
      <c r="WGJ84" s="79">
        <f t="shared" si="301"/>
        <v>0</v>
      </c>
      <c r="WGK84" s="79">
        <f t="shared" si="301"/>
        <v>0</v>
      </c>
      <c r="WGL84" s="79">
        <f t="shared" si="301"/>
        <v>0</v>
      </c>
      <c r="WGM84" s="79">
        <f t="shared" si="301"/>
        <v>0</v>
      </c>
      <c r="WGN84" s="79">
        <f t="shared" si="301"/>
        <v>0</v>
      </c>
      <c r="WGO84" s="145" t="s">
        <v>96</v>
      </c>
      <c r="WGR84" s="79">
        <f>WGR18+WGR24+WGR29+WGR30</f>
        <v>0</v>
      </c>
      <c r="WGS84" s="79">
        <f t="shared" ref="WGS84:WIZ84" si="302">WGS18+WGS24+WGS29+WGS30</f>
        <v>0</v>
      </c>
      <c r="WGT84" s="79">
        <f t="shared" si="302"/>
        <v>0</v>
      </c>
      <c r="WGU84" s="79">
        <f t="shared" si="302"/>
        <v>0</v>
      </c>
      <c r="WGV84" s="79">
        <f t="shared" si="302"/>
        <v>0</v>
      </c>
      <c r="WGW84" s="79">
        <f t="shared" si="302"/>
        <v>0</v>
      </c>
      <c r="WGX84" s="79">
        <f t="shared" si="302"/>
        <v>0</v>
      </c>
      <c r="WGY84" s="79">
        <f t="shared" si="302"/>
        <v>0</v>
      </c>
      <c r="WGZ84" s="79">
        <f t="shared" si="302"/>
        <v>0</v>
      </c>
      <c r="WHA84" s="79">
        <f t="shared" si="302"/>
        <v>0</v>
      </c>
      <c r="WHB84" s="79">
        <f t="shared" si="302"/>
        <v>0</v>
      </c>
      <c r="WHC84" s="79">
        <f t="shared" si="302"/>
        <v>0</v>
      </c>
      <c r="WHD84" s="79">
        <f t="shared" si="302"/>
        <v>0</v>
      </c>
      <c r="WHE84" s="145" t="s">
        <v>96</v>
      </c>
      <c r="WHH84" s="79">
        <f>WHH18+WHH24+WHH29+WHH30</f>
        <v>0</v>
      </c>
      <c r="WHI84" s="79">
        <f t="shared" si="302"/>
        <v>0</v>
      </c>
      <c r="WHJ84" s="79">
        <f t="shared" si="302"/>
        <v>0</v>
      </c>
      <c r="WHK84" s="79">
        <f t="shared" si="302"/>
        <v>0</v>
      </c>
      <c r="WHL84" s="79">
        <f t="shared" si="302"/>
        <v>0</v>
      </c>
      <c r="WHM84" s="79">
        <f t="shared" si="302"/>
        <v>0</v>
      </c>
      <c r="WHN84" s="79">
        <f t="shared" si="302"/>
        <v>0</v>
      </c>
      <c r="WHO84" s="79">
        <f t="shared" si="302"/>
        <v>0</v>
      </c>
      <c r="WHP84" s="79">
        <f t="shared" si="302"/>
        <v>0</v>
      </c>
      <c r="WHQ84" s="79">
        <f t="shared" si="302"/>
        <v>0</v>
      </c>
      <c r="WHR84" s="79">
        <f t="shared" si="302"/>
        <v>0</v>
      </c>
      <c r="WHS84" s="79">
        <f t="shared" si="302"/>
        <v>0</v>
      </c>
      <c r="WHT84" s="79">
        <f t="shared" si="302"/>
        <v>0</v>
      </c>
      <c r="WHU84" s="145" t="s">
        <v>96</v>
      </c>
      <c r="WHX84" s="79">
        <f>WHX18+WHX24+WHX29+WHX30</f>
        <v>0</v>
      </c>
      <c r="WHY84" s="79">
        <f t="shared" si="302"/>
        <v>0</v>
      </c>
      <c r="WHZ84" s="79">
        <f t="shared" si="302"/>
        <v>0</v>
      </c>
      <c r="WIA84" s="79">
        <f t="shared" si="302"/>
        <v>0</v>
      </c>
      <c r="WIB84" s="79">
        <f t="shared" si="302"/>
        <v>0</v>
      </c>
      <c r="WIC84" s="79">
        <f t="shared" si="302"/>
        <v>0</v>
      </c>
      <c r="WID84" s="79">
        <f t="shared" si="302"/>
        <v>0</v>
      </c>
      <c r="WIE84" s="79">
        <f t="shared" si="302"/>
        <v>0</v>
      </c>
      <c r="WIF84" s="79">
        <f t="shared" si="302"/>
        <v>0</v>
      </c>
      <c r="WIG84" s="79">
        <f t="shared" si="302"/>
        <v>0</v>
      </c>
      <c r="WIH84" s="79">
        <f t="shared" si="302"/>
        <v>0</v>
      </c>
      <c r="WII84" s="79">
        <f t="shared" si="302"/>
        <v>0</v>
      </c>
      <c r="WIJ84" s="79">
        <f t="shared" si="302"/>
        <v>0</v>
      </c>
      <c r="WIK84" s="145" t="s">
        <v>96</v>
      </c>
      <c r="WIN84" s="79">
        <f>WIN18+WIN24+WIN29+WIN30</f>
        <v>0</v>
      </c>
      <c r="WIO84" s="79">
        <f t="shared" si="302"/>
        <v>0</v>
      </c>
      <c r="WIP84" s="79">
        <f t="shared" si="302"/>
        <v>0</v>
      </c>
      <c r="WIQ84" s="79">
        <f t="shared" si="302"/>
        <v>0</v>
      </c>
      <c r="WIR84" s="79">
        <f t="shared" si="302"/>
        <v>0</v>
      </c>
      <c r="WIS84" s="79">
        <f t="shared" si="302"/>
        <v>0</v>
      </c>
      <c r="WIT84" s="79">
        <f t="shared" si="302"/>
        <v>0</v>
      </c>
      <c r="WIU84" s="79">
        <f t="shared" si="302"/>
        <v>0</v>
      </c>
      <c r="WIV84" s="79">
        <f t="shared" si="302"/>
        <v>0</v>
      </c>
      <c r="WIW84" s="79">
        <f t="shared" si="302"/>
        <v>0</v>
      </c>
      <c r="WIX84" s="79">
        <f t="shared" si="302"/>
        <v>0</v>
      </c>
      <c r="WIY84" s="79">
        <f t="shared" si="302"/>
        <v>0</v>
      </c>
      <c r="WIZ84" s="79">
        <f t="shared" si="302"/>
        <v>0</v>
      </c>
      <c r="WJA84" s="145" t="s">
        <v>96</v>
      </c>
      <c r="WJD84" s="79">
        <f>WJD18+WJD24+WJD29+WJD30</f>
        <v>0</v>
      </c>
      <c r="WJE84" s="79">
        <f t="shared" ref="WJE84:WLL84" si="303">WJE18+WJE24+WJE29+WJE30</f>
        <v>0</v>
      </c>
      <c r="WJF84" s="79">
        <f t="shared" si="303"/>
        <v>0</v>
      </c>
      <c r="WJG84" s="79">
        <f t="shared" si="303"/>
        <v>0</v>
      </c>
      <c r="WJH84" s="79">
        <f t="shared" si="303"/>
        <v>0</v>
      </c>
      <c r="WJI84" s="79">
        <f t="shared" si="303"/>
        <v>0</v>
      </c>
      <c r="WJJ84" s="79">
        <f t="shared" si="303"/>
        <v>0</v>
      </c>
      <c r="WJK84" s="79">
        <f t="shared" si="303"/>
        <v>0</v>
      </c>
      <c r="WJL84" s="79">
        <f t="shared" si="303"/>
        <v>0</v>
      </c>
      <c r="WJM84" s="79">
        <f t="shared" si="303"/>
        <v>0</v>
      </c>
      <c r="WJN84" s="79">
        <f t="shared" si="303"/>
        <v>0</v>
      </c>
      <c r="WJO84" s="79">
        <f t="shared" si="303"/>
        <v>0</v>
      </c>
      <c r="WJP84" s="79">
        <f t="shared" si="303"/>
        <v>0</v>
      </c>
      <c r="WJQ84" s="145" t="s">
        <v>96</v>
      </c>
      <c r="WJT84" s="79">
        <f>WJT18+WJT24+WJT29+WJT30</f>
        <v>0</v>
      </c>
      <c r="WJU84" s="79">
        <f t="shared" si="303"/>
        <v>0</v>
      </c>
      <c r="WJV84" s="79">
        <f t="shared" si="303"/>
        <v>0</v>
      </c>
      <c r="WJW84" s="79">
        <f t="shared" si="303"/>
        <v>0</v>
      </c>
      <c r="WJX84" s="79">
        <f t="shared" si="303"/>
        <v>0</v>
      </c>
      <c r="WJY84" s="79">
        <f t="shared" si="303"/>
        <v>0</v>
      </c>
      <c r="WJZ84" s="79">
        <f t="shared" si="303"/>
        <v>0</v>
      </c>
      <c r="WKA84" s="79">
        <f t="shared" si="303"/>
        <v>0</v>
      </c>
      <c r="WKB84" s="79">
        <f t="shared" si="303"/>
        <v>0</v>
      </c>
      <c r="WKC84" s="79">
        <f t="shared" si="303"/>
        <v>0</v>
      </c>
      <c r="WKD84" s="79">
        <f t="shared" si="303"/>
        <v>0</v>
      </c>
      <c r="WKE84" s="79">
        <f t="shared" si="303"/>
        <v>0</v>
      </c>
      <c r="WKF84" s="79">
        <f t="shared" si="303"/>
        <v>0</v>
      </c>
      <c r="WKG84" s="145" t="s">
        <v>96</v>
      </c>
      <c r="WKJ84" s="79">
        <f>WKJ18+WKJ24+WKJ29+WKJ30</f>
        <v>0</v>
      </c>
      <c r="WKK84" s="79">
        <f t="shared" si="303"/>
        <v>0</v>
      </c>
      <c r="WKL84" s="79">
        <f t="shared" si="303"/>
        <v>0</v>
      </c>
      <c r="WKM84" s="79">
        <f t="shared" si="303"/>
        <v>0</v>
      </c>
      <c r="WKN84" s="79">
        <f t="shared" si="303"/>
        <v>0</v>
      </c>
      <c r="WKO84" s="79">
        <f t="shared" si="303"/>
        <v>0</v>
      </c>
      <c r="WKP84" s="79">
        <f t="shared" si="303"/>
        <v>0</v>
      </c>
      <c r="WKQ84" s="79">
        <f t="shared" si="303"/>
        <v>0</v>
      </c>
      <c r="WKR84" s="79">
        <f t="shared" si="303"/>
        <v>0</v>
      </c>
      <c r="WKS84" s="79">
        <f t="shared" si="303"/>
        <v>0</v>
      </c>
      <c r="WKT84" s="79">
        <f t="shared" si="303"/>
        <v>0</v>
      </c>
      <c r="WKU84" s="79">
        <f t="shared" si="303"/>
        <v>0</v>
      </c>
      <c r="WKV84" s="79">
        <f t="shared" si="303"/>
        <v>0</v>
      </c>
      <c r="WKW84" s="145" t="s">
        <v>96</v>
      </c>
      <c r="WKZ84" s="79">
        <f>WKZ18+WKZ24+WKZ29+WKZ30</f>
        <v>0</v>
      </c>
      <c r="WLA84" s="79">
        <f t="shared" si="303"/>
        <v>0</v>
      </c>
      <c r="WLB84" s="79">
        <f t="shared" si="303"/>
        <v>0</v>
      </c>
      <c r="WLC84" s="79">
        <f t="shared" si="303"/>
        <v>0</v>
      </c>
      <c r="WLD84" s="79">
        <f t="shared" si="303"/>
        <v>0</v>
      </c>
      <c r="WLE84" s="79">
        <f t="shared" si="303"/>
        <v>0</v>
      </c>
      <c r="WLF84" s="79">
        <f t="shared" si="303"/>
        <v>0</v>
      </c>
      <c r="WLG84" s="79">
        <f t="shared" si="303"/>
        <v>0</v>
      </c>
      <c r="WLH84" s="79">
        <f t="shared" si="303"/>
        <v>0</v>
      </c>
      <c r="WLI84" s="79">
        <f t="shared" si="303"/>
        <v>0</v>
      </c>
      <c r="WLJ84" s="79">
        <f t="shared" si="303"/>
        <v>0</v>
      </c>
      <c r="WLK84" s="79">
        <f t="shared" si="303"/>
        <v>0</v>
      </c>
      <c r="WLL84" s="79">
        <f t="shared" si="303"/>
        <v>0</v>
      </c>
      <c r="WLM84" s="145" t="s">
        <v>96</v>
      </c>
      <c r="WLP84" s="79">
        <f>WLP18+WLP24+WLP29+WLP30</f>
        <v>0</v>
      </c>
      <c r="WLQ84" s="79">
        <f t="shared" ref="WLQ84:WNX84" si="304">WLQ18+WLQ24+WLQ29+WLQ30</f>
        <v>0</v>
      </c>
      <c r="WLR84" s="79">
        <f t="shared" si="304"/>
        <v>0</v>
      </c>
      <c r="WLS84" s="79">
        <f t="shared" si="304"/>
        <v>0</v>
      </c>
      <c r="WLT84" s="79">
        <f t="shared" si="304"/>
        <v>0</v>
      </c>
      <c r="WLU84" s="79">
        <f t="shared" si="304"/>
        <v>0</v>
      </c>
      <c r="WLV84" s="79">
        <f t="shared" si="304"/>
        <v>0</v>
      </c>
      <c r="WLW84" s="79">
        <f t="shared" si="304"/>
        <v>0</v>
      </c>
      <c r="WLX84" s="79">
        <f t="shared" si="304"/>
        <v>0</v>
      </c>
      <c r="WLY84" s="79">
        <f t="shared" si="304"/>
        <v>0</v>
      </c>
      <c r="WLZ84" s="79">
        <f t="shared" si="304"/>
        <v>0</v>
      </c>
      <c r="WMA84" s="79">
        <f t="shared" si="304"/>
        <v>0</v>
      </c>
      <c r="WMB84" s="79">
        <f t="shared" si="304"/>
        <v>0</v>
      </c>
      <c r="WMC84" s="145" t="s">
        <v>96</v>
      </c>
      <c r="WMF84" s="79">
        <f>WMF18+WMF24+WMF29+WMF30</f>
        <v>0</v>
      </c>
      <c r="WMG84" s="79">
        <f t="shared" si="304"/>
        <v>0</v>
      </c>
      <c r="WMH84" s="79">
        <f t="shared" si="304"/>
        <v>0</v>
      </c>
      <c r="WMI84" s="79">
        <f t="shared" si="304"/>
        <v>0</v>
      </c>
      <c r="WMJ84" s="79">
        <f t="shared" si="304"/>
        <v>0</v>
      </c>
      <c r="WMK84" s="79">
        <f t="shared" si="304"/>
        <v>0</v>
      </c>
      <c r="WML84" s="79">
        <f t="shared" si="304"/>
        <v>0</v>
      </c>
      <c r="WMM84" s="79">
        <f t="shared" si="304"/>
        <v>0</v>
      </c>
      <c r="WMN84" s="79">
        <f t="shared" si="304"/>
        <v>0</v>
      </c>
      <c r="WMO84" s="79">
        <f t="shared" si="304"/>
        <v>0</v>
      </c>
      <c r="WMP84" s="79">
        <f t="shared" si="304"/>
        <v>0</v>
      </c>
      <c r="WMQ84" s="79">
        <f t="shared" si="304"/>
        <v>0</v>
      </c>
      <c r="WMR84" s="79">
        <f t="shared" si="304"/>
        <v>0</v>
      </c>
      <c r="WMS84" s="145" t="s">
        <v>96</v>
      </c>
      <c r="WMV84" s="79">
        <f>WMV18+WMV24+WMV29+WMV30</f>
        <v>0</v>
      </c>
      <c r="WMW84" s="79">
        <f t="shared" si="304"/>
        <v>0</v>
      </c>
      <c r="WMX84" s="79">
        <f t="shared" si="304"/>
        <v>0</v>
      </c>
      <c r="WMY84" s="79">
        <f t="shared" si="304"/>
        <v>0</v>
      </c>
      <c r="WMZ84" s="79">
        <f t="shared" si="304"/>
        <v>0</v>
      </c>
      <c r="WNA84" s="79">
        <f t="shared" si="304"/>
        <v>0</v>
      </c>
      <c r="WNB84" s="79">
        <f t="shared" si="304"/>
        <v>0</v>
      </c>
      <c r="WNC84" s="79">
        <f t="shared" si="304"/>
        <v>0</v>
      </c>
      <c r="WND84" s="79">
        <f t="shared" si="304"/>
        <v>0</v>
      </c>
      <c r="WNE84" s="79">
        <f t="shared" si="304"/>
        <v>0</v>
      </c>
      <c r="WNF84" s="79">
        <f t="shared" si="304"/>
        <v>0</v>
      </c>
      <c r="WNG84" s="79">
        <f t="shared" si="304"/>
        <v>0</v>
      </c>
      <c r="WNH84" s="79">
        <f t="shared" si="304"/>
        <v>0</v>
      </c>
      <c r="WNI84" s="145" t="s">
        <v>96</v>
      </c>
      <c r="WNL84" s="79">
        <f>WNL18+WNL24+WNL29+WNL30</f>
        <v>0</v>
      </c>
      <c r="WNM84" s="79">
        <f t="shared" si="304"/>
        <v>0</v>
      </c>
      <c r="WNN84" s="79">
        <f t="shared" si="304"/>
        <v>0</v>
      </c>
      <c r="WNO84" s="79">
        <f t="shared" si="304"/>
        <v>0</v>
      </c>
      <c r="WNP84" s="79">
        <f t="shared" si="304"/>
        <v>0</v>
      </c>
      <c r="WNQ84" s="79">
        <f t="shared" si="304"/>
        <v>0</v>
      </c>
      <c r="WNR84" s="79">
        <f t="shared" si="304"/>
        <v>0</v>
      </c>
      <c r="WNS84" s="79">
        <f t="shared" si="304"/>
        <v>0</v>
      </c>
      <c r="WNT84" s="79">
        <f t="shared" si="304"/>
        <v>0</v>
      </c>
      <c r="WNU84" s="79">
        <f t="shared" si="304"/>
        <v>0</v>
      </c>
      <c r="WNV84" s="79">
        <f t="shared" si="304"/>
        <v>0</v>
      </c>
      <c r="WNW84" s="79">
        <f t="shared" si="304"/>
        <v>0</v>
      </c>
      <c r="WNX84" s="79">
        <f t="shared" si="304"/>
        <v>0</v>
      </c>
      <c r="WNY84" s="145" t="s">
        <v>96</v>
      </c>
      <c r="WOB84" s="79">
        <f>WOB18+WOB24+WOB29+WOB30</f>
        <v>0</v>
      </c>
      <c r="WOC84" s="79">
        <f t="shared" ref="WOC84:WQJ84" si="305">WOC18+WOC24+WOC29+WOC30</f>
        <v>0</v>
      </c>
      <c r="WOD84" s="79">
        <f t="shared" si="305"/>
        <v>0</v>
      </c>
      <c r="WOE84" s="79">
        <f t="shared" si="305"/>
        <v>0</v>
      </c>
      <c r="WOF84" s="79">
        <f t="shared" si="305"/>
        <v>0</v>
      </c>
      <c r="WOG84" s="79">
        <f t="shared" si="305"/>
        <v>0</v>
      </c>
      <c r="WOH84" s="79">
        <f t="shared" si="305"/>
        <v>0</v>
      </c>
      <c r="WOI84" s="79">
        <f t="shared" si="305"/>
        <v>0</v>
      </c>
      <c r="WOJ84" s="79">
        <f t="shared" si="305"/>
        <v>0</v>
      </c>
      <c r="WOK84" s="79">
        <f t="shared" si="305"/>
        <v>0</v>
      </c>
      <c r="WOL84" s="79">
        <f t="shared" si="305"/>
        <v>0</v>
      </c>
      <c r="WOM84" s="79">
        <f t="shared" si="305"/>
        <v>0</v>
      </c>
      <c r="WON84" s="79">
        <f t="shared" si="305"/>
        <v>0</v>
      </c>
      <c r="WOO84" s="145" t="s">
        <v>96</v>
      </c>
      <c r="WOR84" s="79">
        <f>WOR18+WOR24+WOR29+WOR30</f>
        <v>0</v>
      </c>
      <c r="WOS84" s="79">
        <f t="shared" si="305"/>
        <v>0</v>
      </c>
      <c r="WOT84" s="79">
        <f t="shared" si="305"/>
        <v>0</v>
      </c>
      <c r="WOU84" s="79">
        <f t="shared" si="305"/>
        <v>0</v>
      </c>
      <c r="WOV84" s="79">
        <f t="shared" si="305"/>
        <v>0</v>
      </c>
      <c r="WOW84" s="79">
        <f t="shared" si="305"/>
        <v>0</v>
      </c>
      <c r="WOX84" s="79">
        <f t="shared" si="305"/>
        <v>0</v>
      </c>
      <c r="WOY84" s="79">
        <f t="shared" si="305"/>
        <v>0</v>
      </c>
      <c r="WOZ84" s="79">
        <f t="shared" si="305"/>
        <v>0</v>
      </c>
      <c r="WPA84" s="79">
        <f t="shared" si="305"/>
        <v>0</v>
      </c>
      <c r="WPB84" s="79">
        <f t="shared" si="305"/>
        <v>0</v>
      </c>
      <c r="WPC84" s="79">
        <f t="shared" si="305"/>
        <v>0</v>
      </c>
      <c r="WPD84" s="79">
        <f t="shared" si="305"/>
        <v>0</v>
      </c>
      <c r="WPE84" s="145" t="s">
        <v>96</v>
      </c>
      <c r="WPH84" s="79">
        <f>WPH18+WPH24+WPH29+WPH30</f>
        <v>0</v>
      </c>
      <c r="WPI84" s="79">
        <f t="shared" si="305"/>
        <v>0</v>
      </c>
      <c r="WPJ84" s="79">
        <f t="shared" si="305"/>
        <v>0</v>
      </c>
      <c r="WPK84" s="79">
        <f t="shared" si="305"/>
        <v>0</v>
      </c>
      <c r="WPL84" s="79">
        <f t="shared" si="305"/>
        <v>0</v>
      </c>
      <c r="WPM84" s="79">
        <f t="shared" si="305"/>
        <v>0</v>
      </c>
      <c r="WPN84" s="79">
        <f t="shared" si="305"/>
        <v>0</v>
      </c>
      <c r="WPO84" s="79">
        <f t="shared" si="305"/>
        <v>0</v>
      </c>
      <c r="WPP84" s="79">
        <f t="shared" si="305"/>
        <v>0</v>
      </c>
      <c r="WPQ84" s="79">
        <f t="shared" si="305"/>
        <v>0</v>
      </c>
      <c r="WPR84" s="79">
        <f t="shared" si="305"/>
        <v>0</v>
      </c>
      <c r="WPS84" s="79">
        <f t="shared" si="305"/>
        <v>0</v>
      </c>
      <c r="WPT84" s="79">
        <f t="shared" si="305"/>
        <v>0</v>
      </c>
      <c r="WPU84" s="145" t="s">
        <v>96</v>
      </c>
      <c r="WPX84" s="79">
        <f>WPX18+WPX24+WPX29+WPX30</f>
        <v>0</v>
      </c>
      <c r="WPY84" s="79">
        <f t="shared" si="305"/>
        <v>0</v>
      </c>
      <c r="WPZ84" s="79">
        <f t="shared" si="305"/>
        <v>0</v>
      </c>
      <c r="WQA84" s="79">
        <f t="shared" si="305"/>
        <v>0</v>
      </c>
      <c r="WQB84" s="79">
        <f t="shared" si="305"/>
        <v>0</v>
      </c>
      <c r="WQC84" s="79">
        <f t="shared" si="305"/>
        <v>0</v>
      </c>
      <c r="WQD84" s="79">
        <f t="shared" si="305"/>
        <v>0</v>
      </c>
      <c r="WQE84" s="79">
        <f t="shared" si="305"/>
        <v>0</v>
      </c>
      <c r="WQF84" s="79">
        <f t="shared" si="305"/>
        <v>0</v>
      </c>
      <c r="WQG84" s="79">
        <f t="shared" si="305"/>
        <v>0</v>
      </c>
      <c r="WQH84" s="79">
        <f t="shared" si="305"/>
        <v>0</v>
      </c>
      <c r="WQI84" s="79">
        <f t="shared" si="305"/>
        <v>0</v>
      </c>
      <c r="WQJ84" s="79">
        <f t="shared" si="305"/>
        <v>0</v>
      </c>
      <c r="WQK84" s="145" t="s">
        <v>96</v>
      </c>
      <c r="WQN84" s="79">
        <f>WQN18+WQN24+WQN29+WQN30</f>
        <v>0</v>
      </c>
      <c r="WQO84" s="79">
        <f t="shared" ref="WQO84:WSV84" si="306">WQO18+WQO24+WQO29+WQO30</f>
        <v>0</v>
      </c>
      <c r="WQP84" s="79">
        <f t="shared" si="306"/>
        <v>0</v>
      </c>
      <c r="WQQ84" s="79">
        <f t="shared" si="306"/>
        <v>0</v>
      </c>
      <c r="WQR84" s="79">
        <f t="shared" si="306"/>
        <v>0</v>
      </c>
      <c r="WQS84" s="79">
        <f t="shared" si="306"/>
        <v>0</v>
      </c>
      <c r="WQT84" s="79">
        <f t="shared" si="306"/>
        <v>0</v>
      </c>
      <c r="WQU84" s="79">
        <f t="shared" si="306"/>
        <v>0</v>
      </c>
      <c r="WQV84" s="79">
        <f t="shared" si="306"/>
        <v>0</v>
      </c>
      <c r="WQW84" s="79">
        <f t="shared" si="306"/>
        <v>0</v>
      </c>
      <c r="WQX84" s="79">
        <f t="shared" si="306"/>
        <v>0</v>
      </c>
      <c r="WQY84" s="79">
        <f t="shared" si="306"/>
        <v>0</v>
      </c>
      <c r="WQZ84" s="79">
        <f t="shared" si="306"/>
        <v>0</v>
      </c>
      <c r="WRA84" s="145" t="s">
        <v>96</v>
      </c>
      <c r="WRD84" s="79">
        <f>WRD18+WRD24+WRD29+WRD30</f>
        <v>0</v>
      </c>
      <c r="WRE84" s="79">
        <f t="shared" si="306"/>
        <v>0</v>
      </c>
      <c r="WRF84" s="79">
        <f t="shared" si="306"/>
        <v>0</v>
      </c>
      <c r="WRG84" s="79">
        <f t="shared" si="306"/>
        <v>0</v>
      </c>
      <c r="WRH84" s="79">
        <f t="shared" si="306"/>
        <v>0</v>
      </c>
      <c r="WRI84" s="79">
        <f t="shared" si="306"/>
        <v>0</v>
      </c>
      <c r="WRJ84" s="79">
        <f t="shared" si="306"/>
        <v>0</v>
      </c>
      <c r="WRK84" s="79">
        <f t="shared" si="306"/>
        <v>0</v>
      </c>
      <c r="WRL84" s="79">
        <f t="shared" si="306"/>
        <v>0</v>
      </c>
      <c r="WRM84" s="79">
        <f t="shared" si="306"/>
        <v>0</v>
      </c>
      <c r="WRN84" s="79">
        <f t="shared" si="306"/>
        <v>0</v>
      </c>
      <c r="WRO84" s="79">
        <f t="shared" si="306"/>
        <v>0</v>
      </c>
      <c r="WRP84" s="79">
        <f t="shared" si="306"/>
        <v>0</v>
      </c>
      <c r="WRQ84" s="145" t="s">
        <v>96</v>
      </c>
      <c r="WRT84" s="79">
        <f>WRT18+WRT24+WRT29+WRT30</f>
        <v>0</v>
      </c>
      <c r="WRU84" s="79">
        <f t="shared" si="306"/>
        <v>0</v>
      </c>
      <c r="WRV84" s="79">
        <f t="shared" si="306"/>
        <v>0</v>
      </c>
      <c r="WRW84" s="79">
        <f t="shared" si="306"/>
        <v>0</v>
      </c>
      <c r="WRX84" s="79">
        <f t="shared" si="306"/>
        <v>0</v>
      </c>
      <c r="WRY84" s="79">
        <f t="shared" si="306"/>
        <v>0</v>
      </c>
      <c r="WRZ84" s="79">
        <f t="shared" si="306"/>
        <v>0</v>
      </c>
      <c r="WSA84" s="79">
        <f t="shared" si="306"/>
        <v>0</v>
      </c>
      <c r="WSB84" s="79">
        <f t="shared" si="306"/>
        <v>0</v>
      </c>
      <c r="WSC84" s="79">
        <f t="shared" si="306"/>
        <v>0</v>
      </c>
      <c r="WSD84" s="79">
        <f t="shared" si="306"/>
        <v>0</v>
      </c>
      <c r="WSE84" s="79">
        <f t="shared" si="306"/>
        <v>0</v>
      </c>
      <c r="WSF84" s="79">
        <f t="shared" si="306"/>
        <v>0</v>
      </c>
      <c r="WSG84" s="145" t="s">
        <v>96</v>
      </c>
      <c r="WSJ84" s="79">
        <f>WSJ18+WSJ24+WSJ29+WSJ30</f>
        <v>0</v>
      </c>
      <c r="WSK84" s="79">
        <f t="shared" si="306"/>
        <v>0</v>
      </c>
      <c r="WSL84" s="79">
        <f t="shared" si="306"/>
        <v>0</v>
      </c>
      <c r="WSM84" s="79">
        <f t="shared" si="306"/>
        <v>0</v>
      </c>
      <c r="WSN84" s="79">
        <f t="shared" si="306"/>
        <v>0</v>
      </c>
      <c r="WSO84" s="79">
        <f t="shared" si="306"/>
        <v>0</v>
      </c>
      <c r="WSP84" s="79">
        <f t="shared" si="306"/>
        <v>0</v>
      </c>
      <c r="WSQ84" s="79">
        <f t="shared" si="306"/>
        <v>0</v>
      </c>
      <c r="WSR84" s="79">
        <f t="shared" si="306"/>
        <v>0</v>
      </c>
      <c r="WSS84" s="79">
        <f t="shared" si="306"/>
        <v>0</v>
      </c>
      <c r="WST84" s="79">
        <f t="shared" si="306"/>
        <v>0</v>
      </c>
      <c r="WSU84" s="79">
        <f t="shared" si="306"/>
        <v>0</v>
      </c>
      <c r="WSV84" s="79">
        <f t="shared" si="306"/>
        <v>0</v>
      </c>
      <c r="WSW84" s="145" t="s">
        <v>96</v>
      </c>
      <c r="WSZ84" s="79">
        <f>WSZ18+WSZ24+WSZ29+WSZ30</f>
        <v>0</v>
      </c>
      <c r="WTA84" s="79">
        <f t="shared" ref="WTA84:WVH84" si="307">WTA18+WTA24+WTA29+WTA30</f>
        <v>0</v>
      </c>
      <c r="WTB84" s="79">
        <f t="shared" si="307"/>
        <v>0</v>
      </c>
      <c r="WTC84" s="79">
        <f t="shared" si="307"/>
        <v>0</v>
      </c>
      <c r="WTD84" s="79">
        <f t="shared" si="307"/>
        <v>0</v>
      </c>
      <c r="WTE84" s="79">
        <f t="shared" si="307"/>
        <v>0</v>
      </c>
      <c r="WTF84" s="79">
        <f t="shared" si="307"/>
        <v>0</v>
      </c>
      <c r="WTG84" s="79">
        <f t="shared" si="307"/>
        <v>0</v>
      </c>
      <c r="WTH84" s="79">
        <f t="shared" si="307"/>
        <v>0</v>
      </c>
      <c r="WTI84" s="79">
        <f t="shared" si="307"/>
        <v>0</v>
      </c>
      <c r="WTJ84" s="79">
        <f t="shared" si="307"/>
        <v>0</v>
      </c>
      <c r="WTK84" s="79">
        <f t="shared" si="307"/>
        <v>0</v>
      </c>
      <c r="WTL84" s="79">
        <f t="shared" si="307"/>
        <v>0</v>
      </c>
      <c r="WTM84" s="145" t="s">
        <v>96</v>
      </c>
      <c r="WTP84" s="79">
        <f>WTP18+WTP24+WTP29+WTP30</f>
        <v>0</v>
      </c>
      <c r="WTQ84" s="79">
        <f t="shared" si="307"/>
        <v>0</v>
      </c>
      <c r="WTR84" s="79">
        <f t="shared" si="307"/>
        <v>0</v>
      </c>
      <c r="WTS84" s="79">
        <f t="shared" si="307"/>
        <v>0</v>
      </c>
      <c r="WTT84" s="79">
        <f t="shared" si="307"/>
        <v>0</v>
      </c>
      <c r="WTU84" s="79">
        <f t="shared" si="307"/>
        <v>0</v>
      </c>
      <c r="WTV84" s="79">
        <f t="shared" si="307"/>
        <v>0</v>
      </c>
      <c r="WTW84" s="79">
        <f t="shared" si="307"/>
        <v>0</v>
      </c>
      <c r="WTX84" s="79">
        <f t="shared" si="307"/>
        <v>0</v>
      </c>
      <c r="WTY84" s="79">
        <f t="shared" si="307"/>
        <v>0</v>
      </c>
      <c r="WTZ84" s="79">
        <f t="shared" si="307"/>
        <v>0</v>
      </c>
      <c r="WUA84" s="79">
        <f t="shared" si="307"/>
        <v>0</v>
      </c>
      <c r="WUB84" s="79">
        <f t="shared" si="307"/>
        <v>0</v>
      </c>
      <c r="WUC84" s="145" t="s">
        <v>96</v>
      </c>
      <c r="WUF84" s="79">
        <f>WUF18+WUF24+WUF29+WUF30</f>
        <v>0</v>
      </c>
      <c r="WUG84" s="79">
        <f t="shared" si="307"/>
        <v>0</v>
      </c>
      <c r="WUH84" s="79">
        <f t="shared" si="307"/>
        <v>0</v>
      </c>
      <c r="WUI84" s="79">
        <f t="shared" si="307"/>
        <v>0</v>
      </c>
      <c r="WUJ84" s="79">
        <f t="shared" si="307"/>
        <v>0</v>
      </c>
      <c r="WUK84" s="79">
        <f t="shared" si="307"/>
        <v>0</v>
      </c>
      <c r="WUL84" s="79">
        <f t="shared" si="307"/>
        <v>0</v>
      </c>
      <c r="WUM84" s="79">
        <f t="shared" si="307"/>
        <v>0</v>
      </c>
      <c r="WUN84" s="79">
        <f t="shared" si="307"/>
        <v>0</v>
      </c>
      <c r="WUO84" s="79">
        <f t="shared" si="307"/>
        <v>0</v>
      </c>
      <c r="WUP84" s="79">
        <f t="shared" si="307"/>
        <v>0</v>
      </c>
      <c r="WUQ84" s="79">
        <f t="shared" si="307"/>
        <v>0</v>
      </c>
      <c r="WUR84" s="79">
        <f t="shared" si="307"/>
        <v>0</v>
      </c>
      <c r="WUS84" s="145" t="s">
        <v>96</v>
      </c>
      <c r="WUV84" s="79">
        <f>WUV18+WUV24+WUV29+WUV30</f>
        <v>0</v>
      </c>
      <c r="WUW84" s="79">
        <f t="shared" si="307"/>
        <v>0</v>
      </c>
      <c r="WUX84" s="79">
        <f t="shared" si="307"/>
        <v>0</v>
      </c>
      <c r="WUY84" s="79">
        <f t="shared" si="307"/>
        <v>0</v>
      </c>
      <c r="WUZ84" s="79">
        <f t="shared" si="307"/>
        <v>0</v>
      </c>
      <c r="WVA84" s="79">
        <f t="shared" si="307"/>
        <v>0</v>
      </c>
      <c r="WVB84" s="79">
        <f t="shared" si="307"/>
        <v>0</v>
      </c>
      <c r="WVC84" s="79">
        <f t="shared" si="307"/>
        <v>0</v>
      </c>
      <c r="WVD84" s="79">
        <f t="shared" si="307"/>
        <v>0</v>
      </c>
      <c r="WVE84" s="79">
        <f t="shared" si="307"/>
        <v>0</v>
      </c>
      <c r="WVF84" s="79">
        <f t="shared" si="307"/>
        <v>0</v>
      </c>
      <c r="WVG84" s="79">
        <f t="shared" si="307"/>
        <v>0</v>
      </c>
      <c r="WVH84" s="79">
        <f t="shared" si="307"/>
        <v>0</v>
      </c>
      <c r="WVI84" s="145" t="s">
        <v>96</v>
      </c>
      <c r="WVL84" s="79">
        <f>WVL18+WVL24+WVL29+WVL30</f>
        <v>0</v>
      </c>
      <c r="WVM84" s="79">
        <f t="shared" ref="WVM84:WXT84" si="308">WVM18+WVM24+WVM29+WVM30</f>
        <v>0</v>
      </c>
      <c r="WVN84" s="79">
        <f t="shared" si="308"/>
        <v>0</v>
      </c>
      <c r="WVO84" s="79">
        <f t="shared" si="308"/>
        <v>0</v>
      </c>
      <c r="WVP84" s="79">
        <f t="shared" si="308"/>
        <v>0</v>
      </c>
      <c r="WVQ84" s="79">
        <f t="shared" si="308"/>
        <v>0</v>
      </c>
      <c r="WVR84" s="79">
        <f t="shared" si="308"/>
        <v>0</v>
      </c>
      <c r="WVS84" s="79">
        <f t="shared" si="308"/>
        <v>0</v>
      </c>
      <c r="WVT84" s="79">
        <f t="shared" si="308"/>
        <v>0</v>
      </c>
      <c r="WVU84" s="79">
        <f t="shared" si="308"/>
        <v>0</v>
      </c>
      <c r="WVV84" s="79">
        <f t="shared" si="308"/>
        <v>0</v>
      </c>
      <c r="WVW84" s="79">
        <f t="shared" si="308"/>
        <v>0</v>
      </c>
      <c r="WVX84" s="79">
        <f t="shared" si="308"/>
        <v>0</v>
      </c>
      <c r="WVY84" s="145" t="s">
        <v>96</v>
      </c>
      <c r="WWB84" s="79">
        <f>WWB18+WWB24+WWB29+WWB30</f>
        <v>0</v>
      </c>
      <c r="WWC84" s="79">
        <f t="shared" si="308"/>
        <v>0</v>
      </c>
      <c r="WWD84" s="79">
        <f t="shared" si="308"/>
        <v>0</v>
      </c>
      <c r="WWE84" s="79">
        <f t="shared" si="308"/>
        <v>0</v>
      </c>
      <c r="WWF84" s="79">
        <f t="shared" si="308"/>
        <v>0</v>
      </c>
      <c r="WWG84" s="79">
        <f t="shared" si="308"/>
        <v>0</v>
      </c>
      <c r="WWH84" s="79">
        <f t="shared" si="308"/>
        <v>0</v>
      </c>
      <c r="WWI84" s="79">
        <f t="shared" si="308"/>
        <v>0</v>
      </c>
      <c r="WWJ84" s="79">
        <f t="shared" si="308"/>
        <v>0</v>
      </c>
      <c r="WWK84" s="79">
        <f t="shared" si="308"/>
        <v>0</v>
      </c>
      <c r="WWL84" s="79">
        <f t="shared" si="308"/>
        <v>0</v>
      </c>
      <c r="WWM84" s="79">
        <f t="shared" si="308"/>
        <v>0</v>
      </c>
      <c r="WWN84" s="79">
        <f t="shared" si="308"/>
        <v>0</v>
      </c>
      <c r="WWO84" s="145" t="s">
        <v>96</v>
      </c>
      <c r="WWR84" s="79">
        <f>WWR18+WWR24+WWR29+WWR30</f>
        <v>0</v>
      </c>
      <c r="WWS84" s="79">
        <f t="shared" si="308"/>
        <v>0</v>
      </c>
      <c r="WWT84" s="79">
        <f t="shared" si="308"/>
        <v>0</v>
      </c>
      <c r="WWU84" s="79">
        <f t="shared" si="308"/>
        <v>0</v>
      </c>
      <c r="WWV84" s="79">
        <f t="shared" si="308"/>
        <v>0</v>
      </c>
      <c r="WWW84" s="79">
        <f t="shared" si="308"/>
        <v>0</v>
      </c>
      <c r="WWX84" s="79">
        <f t="shared" si="308"/>
        <v>0</v>
      </c>
      <c r="WWY84" s="79">
        <f t="shared" si="308"/>
        <v>0</v>
      </c>
      <c r="WWZ84" s="79">
        <f t="shared" si="308"/>
        <v>0</v>
      </c>
      <c r="WXA84" s="79">
        <f t="shared" si="308"/>
        <v>0</v>
      </c>
      <c r="WXB84" s="79">
        <f t="shared" si="308"/>
        <v>0</v>
      </c>
      <c r="WXC84" s="79">
        <f t="shared" si="308"/>
        <v>0</v>
      </c>
      <c r="WXD84" s="79">
        <f t="shared" si="308"/>
        <v>0</v>
      </c>
      <c r="WXE84" s="145" t="s">
        <v>96</v>
      </c>
      <c r="WXH84" s="79">
        <f>WXH18+WXH24+WXH29+WXH30</f>
        <v>0</v>
      </c>
      <c r="WXI84" s="79">
        <f t="shared" si="308"/>
        <v>0</v>
      </c>
      <c r="WXJ84" s="79">
        <f t="shared" si="308"/>
        <v>0</v>
      </c>
      <c r="WXK84" s="79">
        <f t="shared" si="308"/>
        <v>0</v>
      </c>
      <c r="WXL84" s="79">
        <f t="shared" si="308"/>
        <v>0</v>
      </c>
      <c r="WXM84" s="79">
        <f t="shared" si="308"/>
        <v>0</v>
      </c>
      <c r="WXN84" s="79">
        <f t="shared" si="308"/>
        <v>0</v>
      </c>
      <c r="WXO84" s="79">
        <f t="shared" si="308"/>
        <v>0</v>
      </c>
      <c r="WXP84" s="79">
        <f t="shared" si="308"/>
        <v>0</v>
      </c>
      <c r="WXQ84" s="79">
        <f t="shared" si="308"/>
        <v>0</v>
      </c>
      <c r="WXR84" s="79">
        <f t="shared" si="308"/>
        <v>0</v>
      </c>
      <c r="WXS84" s="79">
        <f t="shared" si="308"/>
        <v>0</v>
      </c>
      <c r="WXT84" s="79">
        <f t="shared" si="308"/>
        <v>0</v>
      </c>
      <c r="WXU84" s="145" t="s">
        <v>96</v>
      </c>
      <c r="WXX84" s="79">
        <f>WXX18+WXX24+WXX29+WXX30</f>
        <v>0</v>
      </c>
      <c r="WXY84" s="79">
        <f t="shared" ref="WXY84:XAF84" si="309">WXY18+WXY24+WXY29+WXY30</f>
        <v>0</v>
      </c>
      <c r="WXZ84" s="79">
        <f t="shared" si="309"/>
        <v>0</v>
      </c>
      <c r="WYA84" s="79">
        <f t="shared" si="309"/>
        <v>0</v>
      </c>
      <c r="WYB84" s="79">
        <f t="shared" si="309"/>
        <v>0</v>
      </c>
      <c r="WYC84" s="79">
        <f t="shared" si="309"/>
        <v>0</v>
      </c>
      <c r="WYD84" s="79">
        <f t="shared" si="309"/>
        <v>0</v>
      </c>
      <c r="WYE84" s="79">
        <f t="shared" si="309"/>
        <v>0</v>
      </c>
      <c r="WYF84" s="79">
        <f t="shared" si="309"/>
        <v>0</v>
      </c>
      <c r="WYG84" s="79">
        <f t="shared" si="309"/>
        <v>0</v>
      </c>
      <c r="WYH84" s="79">
        <f t="shared" si="309"/>
        <v>0</v>
      </c>
      <c r="WYI84" s="79">
        <f t="shared" si="309"/>
        <v>0</v>
      </c>
      <c r="WYJ84" s="79">
        <f t="shared" si="309"/>
        <v>0</v>
      </c>
      <c r="WYK84" s="145" t="s">
        <v>96</v>
      </c>
      <c r="WYN84" s="79">
        <f>WYN18+WYN24+WYN29+WYN30</f>
        <v>0</v>
      </c>
      <c r="WYO84" s="79">
        <f t="shared" si="309"/>
        <v>0</v>
      </c>
      <c r="WYP84" s="79">
        <f t="shared" si="309"/>
        <v>0</v>
      </c>
      <c r="WYQ84" s="79">
        <f t="shared" si="309"/>
        <v>0</v>
      </c>
      <c r="WYR84" s="79">
        <f t="shared" si="309"/>
        <v>0</v>
      </c>
      <c r="WYS84" s="79">
        <f t="shared" si="309"/>
        <v>0</v>
      </c>
      <c r="WYT84" s="79">
        <f t="shared" si="309"/>
        <v>0</v>
      </c>
      <c r="WYU84" s="79">
        <f t="shared" si="309"/>
        <v>0</v>
      </c>
      <c r="WYV84" s="79">
        <f t="shared" si="309"/>
        <v>0</v>
      </c>
      <c r="WYW84" s="79">
        <f t="shared" si="309"/>
        <v>0</v>
      </c>
      <c r="WYX84" s="79">
        <f t="shared" si="309"/>
        <v>0</v>
      </c>
      <c r="WYY84" s="79">
        <f t="shared" si="309"/>
        <v>0</v>
      </c>
      <c r="WYZ84" s="79">
        <f t="shared" si="309"/>
        <v>0</v>
      </c>
      <c r="WZA84" s="145" t="s">
        <v>96</v>
      </c>
      <c r="WZD84" s="79">
        <f>WZD18+WZD24+WZD29+WZD30</f>
        <v>0</v>
      </c>
      <c r="WZE84" s="79">
        <f t="shared" si="309"/>
        <v>0</v>
      </c>
      <c r="WZF84" s="79">
        <f t="shared" si="309"/>
        <v>0</v>
      </c>
      <c r="WZG84" s="79">
        <f t="shared" si="309"/>
        <v>0</v>
      </c>
      <c r="WZH84" s="79">
        <f t="shared" si="309"/>
        <v>0</v>
      </c>
      <c r="WZI84" s="79">
        <f t="shared" si="309"/>
        <v>0</v>
      </c>
      <c r="WZJ84" s="79">
        <f t="shared" si="309"/>
        <v>0</v>
      </c>
      <c r="WZK84" s="79">
        <f t="shared" si="309"/>
        <v>0</v>
      </c>
      <c r="WZL84" s="79">
        <f t="shared" si="309"/>
        <v>0</v>
      </c>
      <c r="WZM84" s="79">
        <f t="shared" si="309"/>
        <v>0</v>
      </c>
      <c r="WZN84" s="79">
        <f t="shared" si="309"/>
        <v>0</v>
      </c>
      <c r="WZO84" s="79">
        <f t="shared" si="309"/>
        <v>0</v>
      </c>
      <c r="WZP84" s="79">
        <f t="shared" si="309"/>
        <v>0</v>
      </c>
      <c r="WZQ84" s="145" t="s">
        <v>96</v>
      </c>
      <c r="WZT84" s="79">
        <f>WZT18+WZT24+WZT29+WZT30</f>
        <v>0</v>
      </c>
      <c r="WZU84" s="79">
        <f t="shared" si="309"/>
        <v>0</v>
      </c>
      <c r="WZV84" s="79">
        <f t="shared" si="309"/>
        <v>0</v>
      </c>
      <c r="WZW84" s="79">
        <f t="shared" si="309"/>
        <v>0</v>
      </c>
      <c r="WZX84" s="79">
        <f t="shared" si="309"/>
        <v>0</v>
      </c>
      <c r="WZY84" s="79">
        <f t="shared" si="309"/>
        <v>0</v>
      </c>
      <c r="WZZ84" s="79">
        <f t="shared" si="309"/>
        <v>0</v>
      </c>
      <c r="XAA84" s="79">
        <f t="shared" si="309"/>
        <v>0</v>
      </c>
      <c r="XAB84" s="79">
        <f t="shared" si="309"/>
        <v>0</v>
      </c>
      <c r="XAC84" s="79">
        <f t="shared" si="309"/>
        <v>0</v>
      </c>
      <c r="XAD84" s="79">
        <f t="shared" si="309"/>
        <v>0</v>
      </c>
      <c r="XAE84" s="79">
        <f t="shared" si="309"/>
        <v>0</v>
      </c>
      <c r="XAF84" s="79">
        <f t="shared" si="309"/>
        <v>0</v>
      </c>
      <c r="XAG84" s="145" t="s">
        <v>96</v>
      </c>
      <c r="XAJ84" s="79">
        <f>XAJ18+XAJ24+XAJ29+XAJ30</f>
        <v>0</v>
      </c>
      <c r="XAK84" s="79">
        <f t="shared" ref="XAK84:XCR84" si="310">XAK18+XAK24+XAK29+XAK30</f>
        <v>0</v>
      </c>
      <c r="XAL84" s="79">
        <f t="shared" si="310"/>
        <v>0</v>
      </c>
      <c r="XAM84" s="79">
        <f t="shared" si="310"/>
        <v>0</v>
      </c>
      <c r="XAN84" s="79">
        <f t="shared" si="310"/>
        <v>0</v>
      </c>
      <c r="XAO84" s="79">
        <f t="shared" si="310"/>
        <v>0</v>
      </c>
      <c r="XAP84" s="79">
        <f t="shared" si="310"/>
        <v>0</v>
      </c>
      <c r="XAQ84" s="79">
        <f t="shared" si="310"/>
        <v>0</v>
      </c>
      <c r="XAR84" s="79">
        <f t="shared" si="310"/>
        <v>0</v>
      </c>
      <c r="XAS84" s="79">
        <f t="shared" si="310"/>
        <v>0</v>
      </c>
      <c r="XAT84" s="79">
        <f t="shared" si="310"/>
        <v>0</v>
      </c>
      <c r="XAU84" s="79">
        <f t="shared" si="310"/>
        <v>0</v>
      </c>
      <c r="XAV84" s="79">
        <f t="shared" si="310"/>
        <v>0</v>
      </c>
      <c r="XAW84" s="145" t="s">
        <v>96</v>
      </c>
      <c r="XAZ84" s="79">
        <f>XAZ18+XAZ24+XAZ29+XAZ30</f>
        <v>0</v>
      </c>
      <c r="XBA84" s="79">
        <f t="shared" si="310"/>
        <v>0</v>
      </c>
      <c r="XBB84" s="79">
        <f t="shared" si="310"/>
        <v>0</v>
      </c>
      <c r="XBC84" s="79">
        <f t="shared" si="310"/>
        <v>0</v>
      </c>
      <c r="XBD84" s="79">
        <f t="shared" si="310"/>
        <v>0</v>
      </c>
      <c r="XBE84" s="79">
        <f t="shared" si="310"/>
        <v>0</v>
      </c>
      <c r="XBF84" s="79">
        <f t="shared" si="310"/>
        <v>0</v>
      </c>
      <c r="XBG84" s="79">
        <f t="shared" si="310"/>
        <v>0</v>
      </c>
      <c r="XBH84" s="79">
        <f t="shared" si="310"/>
        <v>0</v>
      </c>
      <c r="XBI84" s="79">
        <f t="shared" si="310"/>
        <v>0</v>
      </c>
      <c r="XBJ84" s="79">
        <f t="shared" si="310"/>
        <v>0</v>
      </c>
      <c r="XBK84" s="79">
        <f t="shared" si="310"/>
        <v>0</v>
      </c>
      <c r="XBL84" s="79">
        <f t="shared" si="310"/>
        <v>0</v>
      </c>
      <c r="XBM84" s="145" t="s">
        <v>96</v>
      </c>
      <c r="XBP84" s="79">
        <f>XBP18+XBP24+XBP29+XBP30</f>
        <v>0</v>
      </c>
      <c r="XBQ84" s="79">
        <f t="shared" si="310"/>
        <v>0</v>
      </c>
      <c r="XBR84" s="79">
        <f t="shared" si="310"/>
        <v>0</v>
      </c>
      <c r="XBS84" s="79">
        <f t="shared" si="310"/>
        <v>0</v>
      </c>
      <c r="XBT84" s="79">
        <f t="shared" si="310"/>
        <v>0</v>
      </c>
      <c r="XBU84" s="79">
        <f t="shared" si="310"/>
        <v>0</v>
      </c>
      <c r="XBV84" s="79">
        <f t="shared" si="310"/>
        <v>0</v>
      </c>
      <c r="XBW84" s="79">
        <f t="shared" si="310"/>
        <v>0</v>
      </c>
      <c r="XBX84" s="79">
        <f t="shared" si="310"/>
        <v>0</v>
      </c>
      <c r="XBY84" s="79">
        <f t="shared" si="310"/>
        <v>0</v>
      </c>
      <c r="XBZ84" s="79">
        <f t="shared" si="310"/>
        <v>0</v>
      </c>
      <c r="XCA84" s="79">
        <f t="shared" si="310"/>
        <v>0</v>
      </c>
      <c r="XCB84" s="79">
        <f t="shared" si="310"/>
        <v>0</v>
      </c>
      <c r="XCC84" s="145" t="s">
        <v>96</v>
      </c>
      <c r="XCF84" s="79">
        <f>XCF18+XCF24+XCF29+XCF30</f>
        <v>0</v>
      </c>
      <c r="XCG84" s="79">
        <f t="shared" si="310"/>
        <v>0</v>
      </c>
      <c r="XCH84" s="79">
        <f t="shared" si="310"/>
        <v>0</v>
      </c>
      <c r="XCI84" s="79">
        <f t="shared" si="310"/>
        <v>0</v>
      </c>
      <c r="XCJ84" s="79">
        <f t="shared" si="310"/>
        <v>0</v>
      </c>
      <c r="XCK84" s="79">
        <f t="shared" si="310"/>
        <v>0</v>
      </c>
      <c r="XCL84" s="79">
        <f t="shared" si="310"/>
        <v>0</v>
      </c>
      <c r="XCM84" s="79">
        <f t="shared" si="310"/>
        <v>0</v>
      </c>
      <c r="XCN84" s="79">
        <f t="shared" si="310"/>
        <v>0</v>
      </c>
      <c r="XCO84" s="79">
        <f t="shared" si="310"/>
        <v>0</v>
      </c>
      <c r="XCP84" s="79">
        <f t="shared" si="310"/>
        <v>0</v>
      </c>
      <c r="XCQ84" s="79">
        <f t="shared" si="310"/>
        <v>0</v>
      </c>
      <c r="XCR84" s="79">
        <f t="shared" si="310"/>
        <v>0</v>
      </c>
      <c r="XCS84" s="145" t="s">
        <v>96</v>
      </c>
      <c r="XCV84" s="79">
        <f>XCV18+XCV24+XCV29+XCV30</f>
        <v>0</v>
      </c>
      <c r="XCW84" s="79">
        <f t="shared" ref="XCW84:XFD84" si="311">XCW18+XCW24+XCW29+XCW30</f>
        <v>0</v>
      </c>
      <c r="XCX84" s="79">
        <f t="shared" si="311"/>
        <v>0</v>
      </c>
      <c r="XCY84" s="79">
        <f t="shared" si="311"/>
        <v>0</v>
      </c>
      <c r="XCZ84" s="79">
        <f t="shared" si="311"/>
        <v>0</v>
      </c>
      <c r="XDA84" s="79">
        <f t="shared" si="311"/>
        <v>0</v>
      </c>
      <c r="XDB84" s="79">
        <f t="shared" si="311"/>
        <v>0</v>
      </c>
      <c r="XDC84" s="79">
        <f t="shared" si="311"/>
        <v>0</v>
      </c>
      <c r="XDD84" s="79">
        <f t="shared" si="311"/>
        <v>0</v>
      </c>
      <c r="XDE84" s="79">
        <f t="shared" si="311"/>
        <v>0</v>
      </c>
      <c r="XDF84" s="79">
        <f t="shared" si="311"/>
        <v>0</v>
      </c>
      <c r="XDG84" s="79">
        <f t="shared" si="311"/>
        <v>0</v>
      </c>
      <c r="XDH84" s="79">
        <f t="shared" si="311"/>
        <v>0</v>
      </c>
      <c r="XDI84" s="145" t="s">
        <v>96</v>
      </c>
      <c r="XDL84" s="79">
        <f>XDL18+XDL24+XDL29+XDL30</f>
        <v>0</v>
      </c>
      <c r="XDM84" s="79">
        <f t="shared" si="311"/>
        <v>0</v>
      </c>
      <c r="XDN84" s="79">
        <f t="shared" si="311"/>
        <v>0</v>
      </c>
      <c r="XDO84" s="79">
        <f t="shared" si="311"/>
        <v>0</v>
      </c>
      <c r="XDP84" s="79">
        <f t="shared" si="311"/>
        <v>0</v>
      </c>
      <c r="XDQ84" s="79">
        <f t="shared" si="311"/>
        <v>0</v>
      </c>
      <c r="XDR84" s="79">
        <f t="shared" si="311"/>
        <v>0</v>
      </c>
      <c r="XDS84" s="79">
        <f t="shared" si="311"/>
        <v>0</v>
      </c>
      <c r="XDT84" s="79">
        <f t="shared" si="311"/>
        <v>0</v>
      </c>
      <c r="XDU84" s="79">
        <f t="shared" si="311"/>
        <v>0</v>
      </c>
      <c r="XDV84" s="79">
        <f t="shared" si="311"/>
        <v>0</v>
      </c>
      <c r="XDW84" s="79">
        <f t="shared" si="311"/>
        <v>0</v>
      </c>
      <c r="XDX84" s="79">
        <f t="shared" si="311"/>
        <v>0</v>
      </c>
      <c r="XDY84" s="145" t="s">
        <v>96</v>
      </c>
      <c r="XEB84" s="79">
        <f>XEB18+XEB24+XEB29+XEB30</f>
        <v>0</v>
      </c>
      <c r="XEC84" s="79">
        <f t="shared" si="311"/>
        <v>0</v>
      </c>
      <c r="XED84" s="79">
        <f t="shared" si="311"/>
        <v>0</v>
      </c>
      <c r="XEE84" s="79">
        <f t="shared" si="311"/>
        <v>0</v>
      </c>
      <c r="XEF84" s="79">
        <f t="shared" si="311"/>
        <v>0</v>
      </c>
      <c r="XEG84" s="79">
        <f t="shared" si="311"/>
        <v>0</v>
      </c>
      <c r="XEH84" s="79">
        <f t="shared" si="311"/>
        <v>0</v>
      </c>
      <c r="XEI84" s="79">
        <f t="shared" si="311"/>
        <v>0</v>
      </c>
      <c r="XEJ84" s="79">
        <f t="shared" si="311"/>
        <v>0</v>
      </c>
      <c r="XEK84" s="79">
        <f t="shared" si="311"/>
        <v>0</v>
      </c>
      <c r="XEL84" s="79">
        <f t="shared" si="311"/>
        <v>0</v>
      </c>
      <c r="XEM84" s="79">
        <f t="shared" si="311"/>
        <v>0</v>
      </c>
      <c r="XEN84" s="79">
        <f t="shared" si="311"/>
        <v>0</v>
      </c>
      <c r="XEO84" s="145" t="s">
        <v>96</v>
      </c>
      <c r="XER84" s="79">
        <f>XER18+XER24+XER29+XER30</f>
        <v>0</v>
      </c>
      <c r="XES84" s="79">
        <f t="shared" si="311"/>
        <v>0</v>
      </c>
      <c r="XET84" s="79">
        <f t="shared" si="311"/>
        <v>0</v>
      </c>
      <c r="XEU84" s="79">
        <f t="shared" si="311"/>
        <v>0</v>
      </c>
      <c r="XEV84" s="79">
        <f t="shared" si="311"/>
        <v>0</v>
      </c>
      <c r="XEW84" s="79">
        <f t="shared" si="311"/>
        <v>0</v>
      </c>
      <c r="XEX84" s="79">
        <f t="shared" si="311"/>
        <v>0</v>
      </c>
      <c r="XEY84" s="79">
        <f t="shared" si="311"/>
        <v>0</v>
      </c>
      <c r="XEZ84" s="79">
        <f t="shared" si="311"/>
        <v>0</v>
      </c>
      <c r="XFA84" s="79">
        <f t="shared" si="311"/>
        <v>0</v>
      </c>
      <c r="XFB84" s="79">
        <f t="shared" si="311"/>
        <v>0</v>
      </c>
      <c r="XFC84" s="79">
        <f t="shared" si="311"/>
        <v>0</v>
      </c>
      <c r="XFD84" s="79">
        <f t="shared" si="311"/>
        <v>0</v>
      </c>
    </row>
    <row r="87" spans="1:16384" ht="15.75" customHeight="1" x14ac:dyDescent="0.25">
      <c r="D87" s="13">
        <f>D6/24</f>
        <v>31</v>
      </c>
      <c r="E87" s="13">
        <f t="shared" ref="E87:P87" si="312">E6/24</f>
        <v>28</v>
      </c>
      <c r="F87" s="13">
        <f t="shared" si="312"/>
        <v>31</v>
      </c>
      <c r="G87" s="13">
        <f t="shared" si="312"/>
        <v>30</v>
      </c>
      <c r="H87" s="13">
        <f t="shared" si="312"/>
        <v>31</v>
      </c>
      <c r="I87" s="13">
        <f t="shared" si="312"/>
        <v>30</v>
      </c>
      <c r="J87" s="13">
        <f t="shared" si="312"/>
        <v>31</v>
      </c>
      <c r="K87" s="13">
        <f t="shared" si="312"/>
        <v>31</v>
      </c>
      <c r="L87" s="13">
        <f t="shared" si="312"/>
        <v>30</v>
      </c>
      <c r="M87" s="13">
        <f t="shared" si="312"/>
        <v>31</v>
      </c>
      <c r="N87" s="13">
        <f t="shared" si="312"/>
        <v>30</v>
      </c>
      <c r="O87" s="13">
        <f t="shared" si="312"/>
        <v>31</v>
      </c>
      <c r="P87" s="13">
        <f t="shared" si="312"/>
        <v>365</v>
      </c>
    </row>
    <row r="93" spans="1:16384" ht="15.75" customHeight="1" x14ac:dyDescent="0.25">
      <c r="E93" s="73"/>
    </row>
  </sheetData>
  <mergeCells count="6">
    <mergeCell ref="A1:P1"/>
    <mergeCell ref="D3:P3"/>
    <mergeCell ref="H82:I82"/>
    <mergeCell ref="A3:A4"/>
    <mergeCell ref="B3:B4"/>
    <mergeCell ref="C3:C4"/>
  </mergeCells>
  <phoneticPr fontId="39" type="noConversion"/>
  <pageMargins left="0.55118110236220497" right="0.39370078740157499" top="0.39370078740157499" bottom="0.196850393700787" header="0.511811023622047" footer="0.511811023622047"/>
  <pageSetup paperSize="9" scale="99" orientation="landscape"/>
  <headerFooter alignWithMargins="0"/>
  <rowBreaks count="1" manualBreakCount="1">
    <brk id="32" max="1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GW81"/>
  <sheetViews>
    <sheetView topLeftCell="A21" workbookViewId="0">
      <selection activeCell="V38" sqref="V38"/>
    </sheetView>
  </sheetViews>
  <sheetFormatPr defaultColWidth="10.58203125" defaultRowHeight="12" x14ac:dyDescent="0.25"/>
  <cols>
    <col min="1" max="1" width="15.08203125" style="12" customWidth="1"/>
    <col min="2" max="2" width="5.08203125" style="13" customWidth="1"/>
    <col min="3" max="3" width="4.58203125" style="13" customWidth="1"/>
    <col min="4" max="15" width="7.58203125" style="13" customWidth="1"/>
    <col min="16" max="16" width="9.58203125" style="13" customWidth="1"/>
    <col min="17" max="17" width="11.08203125" style="11" customWidth="1"/>
    <col min="18" max="18" width="9.08203125" style="9" customWidth="1"/>
    <col min="19" max="16384" width="10.58203125" style="13"/>
  </cols>
  <sheetData>
    <row r="1" spans="1:21" s="6" customFormat="1" ht="27" customHeight="1" x14ac:dyDescent="0.25">
      <c r="A1" s="238" t="s">
        <v>100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57"/>
    </row>
    <row r="2" spans="1:21" s="6" customFormat="1" ht="15.75" customHeight="1" x14ac:dyDescent="0.25">
      <c r="A2" s="14"/>
      <c r="B2" s="15"/>
      <c r="C2" s="16"/>
      <c r="D2" s="15"/>
      <c r="E2" s="15"/>
      <c r="F2" s="15"/>
      <c r="G2" s="15"/>
      <c r="H2" s="15"/>
      <c r="L2" s="15"/>
      <c r="M2" s="15"/>
      <c r="O2" s="15"/>
      <c r="P2" s="53" t="str">
        <f>能源消耗!Q2</f>
        <v>日  期：2024年9月10日</v>
      </c>
      <c r="R2" s="58"/>
    </row>
    <row r="3" spans="1:21" ht="15.75" customHeight="1" x14ac:dyDescent="0.25">
      <c r="A3" s="241" t="s">
        <v>2</v>
      </c>
      <c r="B3" s="241" t="s">
        <v>3</v>
      </c>
      <c r="C3" s="241" t="s">
        <v>4</v>
      </c>
      <c r="D3" s="239" t="str">
        <f>果糖!D3</f>
        <v>2025年预算</v>
      </c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S3" s="59"/>
      <c r="T3" s="59"/>
      <c r="U3" s="59"/>
    </row>
    <row r="4" spans="1:21" ht="15.75" customHeight="1" x14ac:dyDescent="0.25">
      <c r="A4" s="242"/>
      <c r="B4" s="242"/>
      <c r="C4" s="242"/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  <c r="Q4" s="60"/>
    </row>
    <row r="5" spans="1:21" s="7" customFormat="1" ht="15.75" customHeight="1" x14ac:dyDescent="0.25">
      <c r="A5" s="18" t="s">
        <v>19</v>
      </c>
      <c r="B5" s="19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1"/>
      <c r="R5" s="9"/>
      <c r="S5" s="59"/>
      <c r="T5" s="59"/>
      <c r="U5" s="59"/>
    </row>
    <row r="6" spans="1:21" ht="15.75" customHeight="1" x14ac:dyDescent="0.25">
      <c r="A6" s="22" t="s">
        <v>20</v>
      </c>
      <c r="B6" s="23" t="s">
        <v>21</v>
      </c>
      <c r="C6" s="24"/>
      <c r="D6" s="25">
        <v>744</v>
      </c>
      <c r="E6" s="25">
        <v>672</v>
      </c>
      <c r="F6" s="25">
        <v>744</v>
      </c>
      <c r="G6" s="25">
        <v>720</v>
      </c>
      <c r="H6" s="25">
        <v>744</v>
      </c>
      <c r="I6" s="25">
        <v>720</v>
      </c>
      <c r="J6" s="25">
        <v>744</v>
      </c>
      <c r="K6" s="25">
        <v>744</v>
      </c>
      <c r="L6" s="25">
        <v>720</v>
      </c>
      <c r="M6" s="25">
        <v>744</v>
      </c>
      <c r="N6" s="25">
        <v>720</v>
      </c>
      <c r="O6" s="25">
        <v>744</v>
      </c>
      <c r="P6" s="26">
        <f>SUM(D6:O6)</f>
        <v>8760</v>
      </c>
      <c r="Q6" s="60"/>
      <c r="T6" s="9"/>
    </row>
    <row r="7" spans="1:21" ht="15.75" customHeight="1" x14ac:dyDescent="0.25">
      <c r="A7" s="22" t="s">
        <v>22</v>
      </c>
      <c r="B7" s="23" t="s">
        <v>21</v>
      </c>
      <c r="C7" s="24"/>
      <c r="D7" s="26">
        <f>D6-D9</f>
        <v>744</v>
      </c>
      <c r="E7" s="26">
        <f t="shared" ref="E7:O7" si="0">E6-E9</f>
        <v>672</v>
      </c>
      <c r="F7" s="26">
        <f t="shared" si="0"/>
        <v>744</v>
      </c>
      <c r="G7" s="26">
        <f t="shared" si="0"/>
        <v>720</v>
      </c>
      <c r="H7" s="26">
        <f t="shared" si="0"/>
        <v>744</v>
      </c>
      <c r="I7" s="26">
        <f t="shared" si="0"/>
        <v>720</v>
      </c>
      <c r="J7" s="26">
        <f t="shared" si="0"/>
        <v>744</v>
      </c>
      <c r="K7" s="26">
        <f t="shared" si="0"/>
        <v>744</v>
      </c>
      <c r="L7" s="26">
        <f t="shared" si="0"/>
        <v>720</v>
      </c>
      <c r="M7" s="26">
        <f t="shared" si="0"/>
        <v>744</v>
      </c>
      <c r="N7" s="26">
        <f t="shared" si="0"/>
        <v>720</v>
      </c>
      <c r="O7" s="26">
        <f t="shared" si="0"/>
        <v>744</v>
      </c>
      <c r="P7" s="26">
        <f>SUM(D7:O7)</f>
        <v>8760</v>
      </c>
      <c r="Q7" s="60"/>
      <c r="T7" s="9"/>
    </row>
    <row r="8" spans="1:21" ht="15.75" customHeight="1" x14ac:dyDescent="0.25">
      <c r="A8" s="22" t="s">
        <v>22</v>
      </c>
      <c r="B8" s="23" t="s">
        <v>23</v>
      </c>
      <c r="C8" s="24"/>
      <c r="D8" s="26">
        <f t="shared" ref="D8:O8" si="1">D7/24</f>
        <v>31</v>
      </c>
      <c r="E8" s="26">
        <f t="shared" si="1"/>
        <v>28</v>
      </c>
      <c r="F8" s="26">
        <f t="shared" si="1"/>
        <v>31</v>
      </c>
      <c r="G8" s="26">
        <f t="shared" si="1"/>
        <v>30</v>
      </c>
      <c r="H8" s="26">
        <f t="shared" si="1"/>
        <v>31</v>
      </c>
      <c r="I8" s="26">
        <f t="shared" si="1"/>
        <v>30</v>
      </c>
      <c r="J8" s="26">
        <f t="shared" si="1"/>
        <v>31</v>
      </c>
      <c r="K8" s="26">
        <f t="shared" si="1"/>
        <v>31</v>
      </c>
      <c r="L8" s="26">
        <f t="shared" si="1"/>
        <v>30</v>
      </c>
      <c r="M8" s="26">
        <f t="shared" si="1"/>
        <v>31</v>
      </c>
      <c r="N8" s="26">
        <f t="shared" si="1"/>
        <v>30</v>
      </c>
      <c r="O8" s="26">
        <f t="shared" si="1"/>
        <v>31</v>
      </c>
      <c r="P8" s="26">
        <f t="shared" ref="P8" si="2">P7/24</f>
        <v>365</v>
      </c>
      <c r="Q8" s="60"/>
      <c r="T8" s="9"/>
    </row>
    <row r="9" spans="1:21" ht="15.75" customHeight="1" x14ac:dyDescent="0.25">
      <c r="A9" s="22" t="s">
        <v>24</v>
      </c>
      <c r="B9" s="23" t="s">
        <v>21</v>
      </c>
      <c r="C9" s="24"/>
      <c r="D9" s="26">
        <f>SUM(D10:D12)</f>
        <v>0</v>
      </c>
      <c r="E9" s="26">
        <f>SUM(E10:E12)</f>
        <v>0</v>
      </c>
      <c r="F9" s="26">
        <f t="shared" ref="F9:O9" si="3">SUM(F10:F12)</f>
        <v>0</v>
      </c>
      <c r="G9" s="26">
        <f t="shared" si="3"/>
        <v>0</v>
      </c>
      <c r="H9" s="26">
        <f t="shared" si="3"/>
        <v>0</v>
      </c>
      <c r="I9" s="26">
        <f t="shared" si="3"/>
        <v>0</v>
      </c>
      <c r="J9" s="26">
        <f t="shared" si="3"/>
        <v>0</v>
      </c>
      <c r="K9" s="26">
        <f t="shared" si="3"/>
        <v>0</v>
      </c>
      <c r="L9" s="26">
        <f t="shared" si="3"/>
        <v>0</v>
      </c>
      <c r="M9" s="26">
        <f t="shared" si="3"/>
        <v>0</v>
      </c>
      <c r="N9" s="26">
        <f t="shared" si="3"/>
        <v>0</v>
      </c>
      <c r="O9" s="26">
        <f t="shared" si="3"/>
        <v>0</v>
      </c>
      <c r="P9" s="26">
        <f>SUM(D9:O9)</f>
        <v>0</v>
      </c>
      <c r="Q9" s="60"/>
      <c r="T9" s="9"/>
    </row>
    <row r="10" spans="1:21" ht="15.75" customHeight="1" x14ac:dyDescent="0.25">
      <c r="A10" s="27" t="s">
        <v>25</v>
      </c>
      <c r="B10" s="23" t="s">
        <v>21</v>
      </c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>
        <f>SUM(D10:O10)</f>
        <v>0</v>
      </c>
      <c r="Q10" s="60"/>
      <c r="T10" s="9"/>
    </row>
    <row r="11" spans="1:21" ht="15.75" customHeight="1" x14ac:dyDescent="0.25">
      <c r="A11" s="27" t="s">
        <v>26</v>
      </c>
      <c r="B11" s="23" t="s">
        <v>21</v>
      </c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>
        <f>SUM(D11:O11)</f>
        <v>0</v>
      </c>
      <c r="Q11" s="60"/>
      <c r="T11" s="9"/>
    </row>
    <row r="12" spans="1:21" ht="15.75" customHeight="1" x14ac:dyDescent="0.25">
      <c r="A12" s="27" t="s">
        <v>27</v>
      </c>
      <c r="B12" s="23" t="s">
        <v>21</v>
      </c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>
        <f>SUM(D12:O12)</f>
        <v>0</v>
      </c>
      <c r="Q12" s="60"/>
      <c r="T12" s="9"/>
    </row>
    <row r="13" spans="1:21" s="7" customFormat="1" ht="15.75" customHeight="1" x14ac:dyDescent="0.25">
      <c r="A13" s="18" t="s">
        <v>28</v>
      </c>
      <c r="B13" s="19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60"/>
      <c r="R13" s="9"/>
      <c r="S13" s="59"/>
      <c r="T13" s="9"/>
      <c r="U13" s="59"/>
    </row>
    <row r="14" spans="1:21" ht="15.75" customHeight="1" x14ac:dyDescent="0.25">
      <c r="A14" s="22" t="s">
        <v>94</v>
      </c>
      <c r="B14" s="23" t="s">
        <v>30</v>
      </c>
      <c r="C14" s="24"/>
      <c r="D14" s="28">
        <f>IF(D27=0,0,1/D27)</f>
        <v>1.0799136069114501</v>
      </c>
      <c r="E14" s="28">
        <f t="shared" ref="E14:O14" si="4">IF(E27=0,0,1/E27)</f>
        <v>1.0799136069114501</v>
      </c>
      <c r="F14" s="28">
        <f t="shared" si="4"/>
        <v>1.0799136069114501</v>
      </c>
      <c r="G14" s="28">
        <f t="shared" si="4"/>
        <v>1.0799136069114501</v>
      </c>
      <c r="H14" s="28">
        <f t="shared" si="4"/>
        <v>1.0799136069114501</v>
      </c>
      <c r="I14" s="28">
        <f t="shared" si="4"/>
        <v>1.0799136069114501</v>
      </c>
      <c r="J14" s="28">
        <f t="shared" si="4"/>
        <v>1.0799136069114501</v>
      </c>
      <c r="K14" s="28">
        <f t="shared" si="4"/>
        <v>1.0799136069114501</v>
      </c>
      <c r="L14" s="28">
        <f t="shared" si="4"/>
        <v>1.0799136069114501</v>
      </c>
      <c r="M14" s="28">
        <f t="shared" si="4"/>
        <v>1.0799136069114501</v>
      </c>
      <c r="N14" s="28">
        <f t="shared" si="4"/>
        <v>1.0799136069114501</v>
      </c>
      <c r="O14" s="28">
        <f t="shared" si="4"/>
        <v>1.0799136069114501</v>
      </c>
      <c r="P14" s="28">
        <f t="shared" ref="P14" si="5">IF(P27=0,0,1/P27)</f>
        <v>0.881562128090977</v>
      </c>
      <c r="Q14" s="60"/>
      <c r="T14" s="9"/>
    </row>
    <row r="15" spans="1:21" s="7" customFormat="1" ht="15.75" customHeight="1" x14ac:dyDescent="0.25">
      <c r="A15" s="18" t="s">
        <v>31</v>
      </c>
      <c r="B15" s="19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>
        <f>SUM(D15:O15)</f>
        <v>0</v>
      </c>
      <c r="Q15" s="60"/>
      <c r="R15" s="9"/>
      <c r="S15" s="59"/>
      <c r="T15" s="9"/>
      <c r="U15" s="59"/>
    </row>
    <row r="16" spans="1:21" ht="15.75" customHeight="1" x14ac:dyDescent="0.25">
      <c r="A16" s="29" t="s">
        <v>32</v>
      </c>
      <c r="B16" s="23" t="s">
        <v>30</v>
      </c>
      <c r="C16" s="24"/>
      <c r="D16" s="28">
        <f t="shared" ref="D16:O16" si="6">IF(D7=0,0,(D18)/D7/60*24)</f>
        <v>1.4024946236559099</v>
      </c>
      <c r="E16" s="28">
        <f t="shared" si="6"/>
        <v>0.41823809523809502</v>
      </c>
      <c r="F16" s="28">
        <f t="shared" si="6"/>
        <v>0.57159677419354804</v>
      </c>
      <c r="G16" s="28">
        <f t="shared" si="6"/>
        <v>1.0887244444444399</v>
      </c>
      <c r="H16" s="28">
        <f t="shared" si="6"/>
        <v>0.97857849462365598</v>
      </c>
      <c r="I16" s="28">
        <f t="shared" si="6"/>
        <v>0.86871111111111099</v>
      </c>
      <c r="J16" s="28">
        <f t="shared" si="6"/>
        <v>1.21945591397849</v>
      </c>
      <c r="K16" s="28">
        <f t="shared" si="6"/>
        <v>1.4687655913978499</v>
      </c>
      <c r="L16" s="28">
        <f t="shared" si="6"/>
        <v>1.3708800000000001</v>
      </c>
      <c r="M16" s="28">
        <f t="shared" si="6"/>
        <v>1.06344086021505</v>
      </c>
      <c r="N16" s="28">
        <f t="shared" si="6"/>
        <v>1.16055555555556</v>
      </c>
      <c r="O16" s="28">
        <f t="shared" si="6"/>
        <v>1.1612903225806499</v>
      </c>
      <c r="P16" s="28">
        <f t="shared" ref="P16" si="7">IF(P7=0,0,(P18)/P7/333*24)</f>
        <v>0.19262549672960599</v>
      </c>
      <c r="Q16" s="60"/>
      <c r="T16" s="9"/>
    </row>
    <row r="17" spans="1:21" s="7" customFormat="1" ht="15.75" customHeight="1" x14ac:dyDescent="0.25">
      <c r="A17" s="18" t="s">
        <v>34</v>
      </c>
      <c r="B17" s="19"/>
      <c r="C17" s="20"/>
      <c r="D17" s="30">
        <v>120</v>
      </c>
      <c r="E17" s="30">
        <v>0</v>
      </c>
      <c r="F17" s="30">
        <v>60</v>
      </c>
      <c r="G17" s="30">
        <v>120</v>
      </c>
      <c r="H17" s="30">
        <v>120</v>
      </c>
      <c r="I17" s="30">
        <v>120</v>
      </c>
      <c r="J17" s="30">
        <v>120</v>
      </c>
      <c r="K17" s="30">
        <v>120</v>
      </c>
      <c r="L17" s="30">
        <v>90</v>
      </c>
      <c r="M17" s="30">
        <v>0</v>
      </c>
      <c r="N17" s="30">
        <v>60</v>
      </c>
      <c r="O17" s="30">
        <v>150</v>
      </c>
      <c r="P17" s="30"/>
      <c r="Q17" s="60"/>
      <c r="R17" s="9"/>
      <c r="S17" s="59"/>
      <c r="T17" s="9"/>
      <c r="U17" s="59"/>
    </row>
    <row r="18" spans="1:21" ht="15.75" customHeight="1" x14ac:dyDescent="0.25">
      <c r="A18" s="22" t="s">
        <v>109</v>
      </c>
      <c r="B18" s="23" t="s">
        <v>37</v>
      </c>
      <c r="C18" s="24"/>
      <c r="D18" s="31">
        <v>2608.64</v>
      </c>
      <c r="E18" s="31">
        <v>702.64</v>
      </c>
      <c r="F18" s="31">
        <v>1063.17</v>
      </c>
      <c r="G18" s="31">
        <v>1959.704</v>
      </c>
      <c r="H18" s="31">
        <v>1820.1559999999999</v>
      </c>
      <c r="I18" s="31">
        <v>1563.68</v>
      </c>
      <c r="J18" s="31">
        <v>2268.1880000000001</v>
      </c>
      <c r="K18" s="31">
        <v>2731.904</v>
      </c>
      <c r="L18" s="31">
        <v>2467.5839999999998</v>
      </c>
      <c r="M18" s="31">
        <v>1978</v>
      </c>
      <c r="N18" s="31">
        <v>2089</v>
      </c>
      <c r="O18" s="31">
        <v>2160</v>
      </c>
      <c r="P18" s="26">
        <f>SUM(D18:O18)</f>
        <v>23412.666000000001</v>
      </c>
      <c r="Q18" s="60"/>
      <c r="T18" s="9"/>
    </row>
    <row r="19" spans="1:21" ht="15.75" customHeight="1" x14ac:dyDescent="0.25">
      <c r="A19" s="22" t="s">
        <v>109</v>
      </c>
      <c r="B19" s="23" t="s">
        <v>37</v>
      </c>
      <c r="C19" s="24"/>
      <c r="D19" s="31">
        <f>D18</f>
        <v>2608.64</v>
      </c>
      <c r="E19" s="31">
        <f t="shared" ref="E19:O19" si="8">E18</f>
        <v>702.64</v>
      </c>
      <c r="F19" s="31">
        <f t="shared" si="8"/>
        <v>1063.17</v>
      </c>
      <c r="G19" s="31">
        <f t="shared" si="8"/>
        <v>1959.704</v>
      </c>
      <c r="H19" s="31">
        <f t="shared" si="8"/>
        <v>1820.1559999999999</v>
      </c>
      <c r="I19" s="31">
        <f t="shared" si="8"/>
        <v>1563.68</v>
      </c>
      <c r="J19" s="31">
        <f t="shared" si="8"/>
        <v>2268.1880000000001</v>
      </c>
      <c r="K19" s="31">
        <f t="shared" si="8"/>
        <v>2731.904</v>
      </c>
      <c r="L19" s="31">
        <f t="shared" si="8"/>
        <v>2467.5839999999998</v>
      </c>
      <c r="M19" s="31">
        <f t="shared" si="8"/>
        <v>1978</v>
      </c>
      <c r="N19" s="31">
        <f t="shared" si="8"/>
        <v>2089</v>
      </c>
      <c r="O19" s="31">
        <f t="shared" si="8"/>
        <v>2160</v>
      </c>
      <c r="P19" s="26">
        <f>SUM(D19:O19)</f>
        <v>23412.666000000001</v>
      </c>
      <c r="Q19" s="60"/>
      <c r="T19" s="9"/>
    </row>
    <row r="20" spans="1:21" ht="15.75" customHeight="1" x14ac:dyDescent="0.25">
      <c r="A20" s="32" t="s">
        <v>40</v>
      </c>
      <c r="B20" s="23" t="s">
        <v>30</v>
      </c>
      <c r="C20" s="24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>
        <f t="shared" ref="P20" si="9">IF(P18=0,0,P19/P18)</f>
        <v>1</v>
      </c>
      <c r="Q20" s="60"/>
      <c r="T20" s="9"/>
    </row>
    <row r="21" spans="1:21" ht="15.75" customHeight="1" x14ac:dyDescent="0.25">
      <c r="A21" s="27" t="s">
        <v>41</v>
      </c>
      <c r="B21" s="23" t="s">
        <v>37</v>
      </c>
      <c r="C21" s="24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>
        <f>SUM(D21:O21)</f>
        <v>0</v>
      </c>
      <c r="Q21" s="60"/>
      <c r="T21" s="9"/>
    </row>
    <row r="22" spans="1:21" ht="15.75" customHeight="1" x14ac:dyDescent="0.25">
      <c r="A22" s="32" t="s">
        <v>40</v>
      </c>
      <c r="B22" s="34" t="s">
        <v>30</v>
      </c>
      <c r="C22" s="35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>
        <f t="shared" ref="P22" si="10">IF(P18=0,0,P21/P18)</f>
        <v>0</v>
      </c>
      <c r="Q22" s="60"/>
      <c r="T22" s="9"/>
    </row>
    <row r="23" spans="1:21" ht="15.75" customHeight="1" x14ac:dyDescent="0.25">
      <c r="A23" s="22" t="s">
        <v>103</v>
      </c>
      <c r="B23" s="23" t="s">
        <v>37</v>
      </c>
      <c r="C23" s="24"/>
      <c r="D23" s="26">
        <f>D18*0.735</f>
        <v>1917.3504</v>
      </c>
      <c r="E23" s="26">
        <f t="shared" ref="E23:O23" si="11">E18*0.735</f>
        <v>516.44039999999995</v>
      </c>
      <c r="F23" s="26">
        <f t="shared" si="11"/>
        <v>781.42994999999996</v>
      </c>
      <c r="G23" s="26">
        <f t="shared" si="11"/>
        <v>1440.3824400000001</v>
      </c>
      <c r="H23" s="26">
        <f t="shared" si="11"/>
        <v>1337.81466</v>
      </c>
      <c r="I23" s="26">
        <f t="shared" si="11"/>
        <v>1149.3047999999999</v>
      </c>
      <c r="J23" s="26">
        <f t="shared" si="11"/>
        <v>1667.1181799999999</v>
      </c>
      <c r="K23" s="26">
        <f t="shared" si="11"/>
        <v>2007.9494400000001</v>
      </c>
      <c r="L23" s="26">
        <f t="shared" si="11"/>
        <v>1813.6742400000001</v>
      </c>
      <c r="M23" s="26">
        <f t="shared" si="11"/>
        <v>1453.83</v>
      </c>
      <c r="N23" s="26">
        <f t="shared" si="11"/>
        <v>1535.415</v>
      </c>
      <c r="O23" s="26">
        <f t="shared" si="11"/>
        <v>1587.6</v>
      </c>
      <c r="P23" s="26">
        <f t="shared" ref="P23" si="12">P18*0.6</f>
        <v>14047.5996</v>
      </c>
      <c r="Q23" s="60"/>
      <c r="T23" s="9"/>
    </row>
    <row r="24" spans="1:21" ht="15.75" customHeight="1" x14ac:dyDescent="0.25">
      <c r="A24" s="36" t="s">
        <v>48</v>
      </c>
      <c r="B24" s="37" t="s">
        <v>37</v>
      </c>
      <c r="C24" s="38"/>
      <c r="D24" s="39">
        <f>D23</f>
        <v>1917.3504</v>
      </c>
      <c r="E24" s="39">
        <f t="shared" ref="E24:O24" si="13">E23</f>
        <v>516.44039999999995</v>
      </c>
      <c r="F24" s="39">
        <f t="shared" si="13"/>
        <v>781.42994999999996</v>
      </c>
      <c r="G24" s="39">
        <f t="shared" si="13"/>
        <v>1440.3824400000001</v>
      </c>
      <c r="H24" s="39">
        <f t="shared" si="13"/>
        <v>1337.81466</v>
      </c>
      <c r="I24" s="39">
        <f t="shared" si="13"/>
        <v>1149.3047999999999</v>
      </c>
      <c r="J24" s="39">
        <f t="shared" si="13"/>
        <v>1667.1181799999999</v>
      </c>
      <c r="K24" s="39">
        <f t="shared" si="13"/>
        <v>2007.9494400000001</v>
      </c>
      <c r="L24" s="39">
        <f t="shared" si="13"/>
        <v>1813.6742400000001</v>
      </c>
      <c r="M24" s="39">
        <f t="shared" si="13"/>
        <v>1453.83</v>
      </c>
      <c r="N24" s="39">
        <f t="shared" si="13"/>
        <v>1535.415</v>
      </c>
      <c r="O24" s="39">
        <f t="shared" si="13"/>
        <v>1587.6</v>
      </c>
      <c r="P24" s="39">
        <f t="shared" ref="P24" si="14">P23</f>
        <v>14047.5996</v>
      </c>
      <c r="Q24" s="60"/>
      <c r="T24" s="9"/>
    </row>
    <row r="25" spans="1:21" s="7" customFormat="1" ht="15.75" customHeight="1" x14ac:dyDescent="0.25">
      <c r="A25" s="18" t="s">
        <v>49</v>
      </c>
      <c r="B25" s="19"/>
      <c r="C25" s="20"/>
      <c r="D25" s="21">
        <f>D26/0.87</f>
        <v>2040.77011494253</v>
      </c>
      <c r="E25" s="21">
        <f t="shared" ref="E25:O25" si="15">E26/0.87</f>
        <v>549.67816091954001</v>
      </c>
      <c r="F25" s="21">
        <f t="shared" si="15"/>
        <v>831.72413793103499</v>
      </c>
      <c r="G25" s="21">
        <f t="shared" si="15"/>
        <v>1533.09195402299</v>
      </c>
      <c r="H25" s="21">
        <f t="shared" si="15"/>
        <v>1423.93103448276</v>
      </c>
      <c r="I25" s="21">
        <f t="shared" si="15"/>
        <v>1223.28735632184</v>
      </c>
      <c r="J25" s="21">
        <f t="shared" si="15"/>
        <v>1774.42528735632</v>
      </c>
      <c r="K25" s="21">
        <f t="shared" si="15"/>
        <v>2137.1954022988498</v>
      </c>
      <c r="L25" s="21">
        <f t="shared" si="15"/>
        <v>1930.41379310345</v>
      </c>
      <c r="M25" s="21">
        <f t="shared" si="15"/>
        <v>1547.41379310345</v>
      </c>
      <c r="N25" s="21">
        <f t="shared" si="15"/>
        <v>1634.2413793103401</v>
      </c>
      <c r="O25" s="21">
        <f t="shared" si="15"/>
        <v>1689.7931034482799</v>
      </c>
      <c r="P25" s="21">
        <f t="shared" ref="P25" si="16">P26/0.87</f>
        <v>18315.965517241399</v>
      </c>
      <c r="Q25" s="60" t="s">
        <v>50</v>
      </c>
      <c r="R25" s="9"/>
      <c r="S25" s="59"/>
      <c r="T25" s="9"/>
      <c r="U25" s="59"/>
    </row>
    <row r="26" spans="1:21" ht="15.75" customHeight="1" x14ac:dyDescent="0.25">
      <c r="A26" s="40" t="s">
        <v>52</v>
      </c>
      <c r="B26" s="34" t="s">
        <v>37</v>
      </c>
      <c r="C26" s="35"/>
      <c r="D26" s="41">
        <f>ROUND(D27*D$24,2)</f>
        <v>1775.47</v>
      </c>
      <c r="E26" s="41">
        <f t="shared" ref="E26:O26" si="17">ROUND(E27*E$24,2)</f>
        <v>478.22</v>
      </c>
      <c r="F26" s="41">
        <f t="shared" si="17"/>
        <v>723.6</v>
      </c>
      <c r="G26" s="41">
        <f t="shared" si="17"/>
        <v>1333.79</v>
      </c>
      <c r="H26" s="41">
        <f t="shared" si="17"/>
        <v>1238.82</v>
      </c>
      <c r="I26" s="41">
        <f t="shared" si="17"/>
        <v>1064.26</v>
      </c>
      <c r="J26" s="41">
        <f t="shared" si="17"/>
        <v>1543.75</v>
      </c>
      <c r="K26" s="41">
        <f t="shared" si="17"/>
        <v>1859.36</v>
      </c>
      <c r="L26" s="41">
        <f t="shared" si="17"/>
        <v>1679.46</v>
      </c>
      <c r="M26" s="41">
        <f t="shared" si="17"/>
        <v>1346.25</v>
      </c>
      <c r="N26" s="41">
        <f t="shared" si="17"/>
        <v>1421.79</v>
      </c>
      <c r="O26" s="41">
        <f t="shared" si="17"/>
        <v>1470.12</v>
      </c>
      <c r="P26" s="54">
        <f>SUM(D26:O26)</f>
        <v>15934.89</v>
      </c>
      <c r="Q26" s="60"/>
      <c r="R26" s="9" t="s">
        <v>51</v>
      </c>
      <c r="T26" s="9"/>
    </row>
    <row r="27" spans="1:21" ht="15.75" customHeight="1" x14ac:dyDescent="0.25">
      <c r="A27" s="42" t="s">
        <v>53</v>
      </c>
      <c r="B27" s="34" t="s">
        <v>54</v>
      </c>
      <c r="C27" s="35"/>
      <c r="D27" s="43">
        <v>0.92600000000000005</v>
      </c>
      <c r="E27" s="43">
        <v>0.92600000000000005</v>
      </c>
      <c r="F27" s="43">
        <v>0.92600000000000005</v>
      </c>
      <c r="G27" s="43">
        <v>0.92600000000000005</v>
      </c>
      <c r="H27" s="43">
        <v>0.92600000000000005</v>
      </c>
      <c r="I27" s="43">
        <v>0.92600000000000005</v>
      </c>
      <c r="J27" s="43">
        <v>0.92600000000000005</v>
      </c>
      <c r="K27" s="43">
        <v>0.92600000000000005</v>
      </c>
      <c r="L27" s="43">
        <v>0.92600000000000005</v>
      </c>
      <c r="M27" s="43">
        <v>0.92600000000000005</v>
      </c>
      <c r="N27" s="43">
        <v>0.92600000000000005</v>
      </c>
      <c r="O27" s="43">
        <v>0.92600000000000005</v>
      </c>
      <c r="P27" s="55">
        <f>ROUND(IF(P$24=0,0,P26/P$24),6)</f>
        <v>1.13435</v>
      </c>
      <c r="Q27" s="61">
        <f>O27*0.6/0.86</f>
        <v>0.64604651162790705</v>
      </c>
      <c r="R27" s="9">
        <v>0.66069767441860505</v>
      </c>
      <c r="S27" s="62"/>
      <c r="T27" s="9"/>
    </row>
    <row r="28" spans="1:21" ht="15.75" customHeight="1" x14ac:dyDescent="0.25">
      <c r="A28" s="40" t="s">
        <v>55</v>
      </c>
      <c r="B28" s="34" t="s">
        <v>56</v>
      </c>
      <c r="C28" s="35"/>
      <c r="D28" s="26">
        <f t="shared" ref="D28:O28" si="18">ROUND(D29*D$24,2)</f>
        <v>9366.26</v>
      </c>
      <c r="E28" s="26">
        <f t="shared" si="18"/>
        <v>2522.81</v>
      </c>
      <c r="F28" s="26">
        <f t="shared" si="18"/>
        <v>3817.29</v>
      </c>
      <c r="G28" s="26">
        <f t="shared" si="18"/>
        <v>7036.27</v>
      </c>
      <c r="H28" s="26">
        <f t="shared" si="18"/>
        <v>6535.22</v>
      </c>
      <c r="I28" s="26">
        <f t="shared" si="18"/>
        <v>5614.35</v>
      </c>
      <c r="J28" s="26">
        <f t="shared" si="18"/>
        <v>8143.87</v>
      </c>
      <c r="K28" s="26">
        <f t="shared" si="18"/>
        <v>9808.83</v>
      </c>
      <c r="L28" s="26">
        <f t="shared" si="18"/>
        <v>8859.7999999999993</v>
      </c>
      <c r="M28" s="26">
        <f t="shared" si="18"/>
        <v>7101.96</v>
      </c>
      <c r="N28" s="26">
        <f t="shared" si="18"/>
        <v>7500.5</v>
      </c>
      <c r="O28" s="26">
        <f t="shared" si="18"/>
        <v>7755.43</v>
      </c>
      <c r="P28" s="41">
        <f>SUM(D28:O28)</f>
        <v>84062.59</v>
      </c>
      <c r="Q28" s="60"/>
      <c r="T28" s="9"/>
    </row>
    <row r="29" spans="1:21" ht="15.75" customHeight="1" x14ac:dyDescent="0.25">
      <c r="A29" s="42" t="s">
        <v>53</v>
      </c>
      <c r="B29" s="34" t="s">
        <v>57</v>
      </c>
      <c r="C29" s="35"/>
      <c r="D29" s="43">
        <v>4.8849999999999998</v>
      </c>
      <c r="E29" s="43">
        <v>4.8849999999999998</v>
      </c>
      <c r="F29" s="43">
        <v>4.8849999999999998</v>
      </c>
      <c r="G29" s="43">
        <v>4.8849999999999998</v>
      </c>
      <c r="H29" s="43">
        <v>4.8849999999999998</v>
      </c>
      <c r="I29" s="43">
        <v>4.8849999999999998</v>
      </c>
      <c r="J29" s="43">
        <v>4.8849999999999998</v>
      </c>
      <c r="K29" s="43">
        <v>4.8849999999999998</v>
      </c>
      <c r="L29" s="43">
        <v>4.8849999999999998</v>
      </c>
      <c r="M29" s="43">
        <v>4.8849999999999998</v>
      </c>
      <c r="N29" s="43">
        <v>4.8849999999999998</v>
      </c>
      <c r="O29" s="43">
        <v>4.8849999999999998</v>
      </c>
      <c r="P29" s="55">
        <f>ROUND(IF(P$24=0,0,P28/P$24),3)</f>
        <v>5.984</v>
      </c>
      <c r="Q29" s="63">
        <f>O29*0.6</f>
        <v>2.931</v>
      </c>
      <c r="R29" s="9">
        <v>3.24</v>
      </c>
      <c r="T29" s="9"/>
    </row>
    <row r="30" spans="1:21" ht="15.75" customHeight="1" x14ac:dyDescent="0.25">
      <c r="A30" s="40" t="s">
        <v>58</v>
      </c>
      <c r="B30" s="34" t="s">
        <v>56</v>
      </c>
      <c r="C30" s="35"/>
      <c r="D30" s="41">
        <f t="shared" ref="D30:O30" si="19">ROUND(D31*D$24,2)</f>
        <v>9883.94</v>
      </c>
      <c r="E30" s="41">
        <f t="shared" si="19"/>
        <v>2662.25</v>
      </c>
      <c r="F30" s="41">
        <f t="shared" si="19"/>
        <v>4028.27</v>
      </c>
      <c r="G30" s="41">
        <f t="shared" si="19"/>
        <v>7425.17</v>
      </c>
      <c r="H30" s="41">
        <f t="shared" si="19"/>
        <v>6896.43</v>
      </c>
      <c r="I30" s="41">
        <f t="shared" si="19"/>
        <v>5924.67</v>
      </c>
      <c r="J30" s="41">
        <f t="shared" si="19"/>
        <v>8593.99</v>
      </c>
      <c r="K30" s="41">
        <f t="shared" si="19"/>
        <v>10350.98</v>
      </c>
      <c r="L30" s="41">
        <f t="shared" si="19"/>
        <v>9349.49</v>
      </c>
      <c r="M30" s="41">
        <f t="shared" si="19"/>
        <v>7494.49</v>
      </c>
      <c r="N30" s="41">
        <f t="shared" si="19"/>
        <v>7915.06</v>
      </c>
      <c r="O30" s="41">
        <f t="shared" si="19"/>
        <v>8184.08</v>
      </c>
      <c r="P30" s="41">
        <f>SUM(D30:O30)</f>
        <v>88708.82</v>
      </c>
      <c r="Q30" s="60"/>
      <c r="T30" s="9"/>
    </row>
    <row r="31" spans="1:21" ht="15.75" customHeight="1" x14ac:dyDescent="0.25">
      <c r="A31" s="42" t="s">
        <v>53</v>
      </c>
      <c r="B31" s="34" t="s">
        <v>57</v>
      </c>
      <c r="C31" s="35"/>
      <c r="D31" s="43">
        <v>5.1550000000000002</v>
      </c>
      <c r="E31" s="43">
        <v>5.1550000000000002</v>
      </c>
      <c r="F31" s="43">
        <v>5.1550000000000002</v>
      </c>
      <c r="G31" s="43">
        <v>5.1550000000000002</v>
      </c>
      <c r="H31" s="43">
        <v>5.1550000000000002</v>
      </c>
      <c r="I31" s="43">
        <v>5.1550000000000002</v>
      </c>
      <c r="J31" s="43">
        <v>5.1550000000000002</v>
      </c>
      <c r="K31" s="43">
        <v>5.1550000000000002</v>
      </c>
      <c r="L31" s="43">
        <v>5.1550000000000002</v>
      </c>
      <c r="M31" s="43">
        <v>5.1550000000000002</v>
      </c>
      <c r="N31" s="43">
        <v>5.1550000000000002</v>
      </c>
      <c r="O31" s="43">
        <v>5.1550000000000002</v>
      </c>
      <c r="P31" s="55">
        <f>ROUND(IF(P$24=0,0,P30/P$24),3)</f>
        <v>6.3150000000000004</v>
      </c>
      <c r="Q31" s="63">
        <f>O31*0.6</f>
        <v>3.093</v>
      </c>
      <c r="R31" s="9">
        <v>3.3</v>
      </c>
      <c r="T31" s="9"/>
    </row>
    <row r="32" spans="1:21" ht="15.75" customHeight="1" x14ac:dyDescent="0.25">
      <c r="A32" s="40" t="s">
        <v>59</v>
      </c>
      <c r="B32" s="34" t="s">
        <v>56</v>
      </c>
      <c r="C32" s="35"/>
      <c r="D32" s="41">
        <f t="shared" ref="D32:O32" si="20">ROUND(D33*D$24,2)</f>
        <v>2601.84</v>
      </c>
      <c r="E32" s="41">
        <f t="shared" si="20"/>
        <v>700.81</v>
      </c>
      <c r="F32" s="41">
        <f t="shared" si="20"/>
        <v>1060.4000000000001</v>
      </c>
      <c r="G32" s="41">
        <f t="shared" si="20"/>
        <v>1954.6</v>
      </c>
      <c r="H32" s="41">
        <f t="shared" si="20"/>
        <v>1815.41</v>
      </c>
      <c r="I32" s="41">
        <f t="shared" si="20"/>
        <v>1559.61</v>
      </c>
      <c r="J32" s="41">
        <f t="shared" si="20"/>
        <v>2262.2800000000002</v>
      </c>
      <c r="K32" s="41">
        <f t="shared" si="20"/>
        <v>2724.79</v>
      </c>
      <c r="L32" s="41">
        <f t="shared" si="20"/>
        <v>2461.16</v>
      </c>
      <c r="M32" s="41">
        <f t="shared" si="20"/>
        <v>1972.85</v>
      </c>
      <c r="N32" s="41">
        <f t="shared" si="20"/>
        <v>2083.56</v>
      </c>
      <c r="O32" s="41">
        <f t="shared" si="20"/>
        <v>2154.37</v>
      </c>
      <c r="P32" s="41">
        <f>SUM(D32:O32)</f>
        <v>23351.68</v>
      </c>
      <c r="Q32" s="60"/>
      <c r="T32" s="9"/>
    </row>
    <row r="33" spans="1:20" ht="15.75" customHeight="1" x14ac:dyDescent="0.25">
      <c r="A33" s="42" t="s">
        <v>53</v>
      </c>
      <c r="B33" s="34" t="s">
        <v>57</v>
      </c>
      <c r="C33" s="35"/>
      <c r="D33" s="43">
        <v>1.357</v>
      </c>
      <c r="E33" s="43">
        <v>1.357</v>
      </c>
      <c r="F33" s="43">
        <v>1.357</v>
      </c>
      <c r="G33" s="43">
        <v>1.357</v>
      </c>
      <c r="H33" s="43">
        <v>1.357</v>
      </c>
      <c r="I33" s="43">
        <v>1.357</v>
      </c>
      <c r="J33" s="43">
        <v>1.357</v>
      </c>
      <c r="K33" s="43">
        <v>1.357</v>
      </c>
      <c r="L33" s="43">
        <v>1.357</v>
      </c>
      <c r="M33" s="43">
        <v>1.357</v>
      </c>
      <c r="N33" s="43">
        <v>1.357</v>
      </c>
      <c r="O33" s="43">
        <v>1.357</v>
      </c>
      <c r="P33" s="55">
        <f>ROUND(IF(P$24=0,0,P32/P$24),3)</f>
        <v>1.6619999999999999</v>
      </c>
      <c r="Q33" s="63">
        <f>O33*0.6</f>
        <v>0.81420000000000003</v>
      </c>
      <c r="R33" s="9">
        <v>0.6</v>
      </c>
      <c r="T33" s="9"/>
    </row>
    <row r="34" spans="1:20" ht="15.75" customHeight="1" x14ac:dyDescent="0.25">
      <c r="A34" s="40" t="s">
        <v>60</v>
      </c>
      <c r="B34" s="34" t="s">
        <v>56</v>
      </c>
      <c r="C34" s="35"/>
      <c r="D34" s="41">
        <f t="shared" ref="D34:O34" si="21">ROUND(D35*D$24,2)</f>
        <v>494.68</v>
      </c>
      <c r="E34" s="41">
        <f t="shared" si="21"/>
        <v>133.24</v>
      </c>
      <c r="F34" s="41">
        <f t="shared" si="21"/>
        <v>201.61</v>
      </c>
      <c r="G34" s="41">
        <f t="shared" si="21"/>
        <v>371.62</v>
      </c>
      <c r="H34" s="41">
        <f t="shared" si="21"/>
        <v>345.16</v>
      </c>
      <c r="I34" s="41">
        <f t="shared" si="21"/>
        <v>296.52</v>
      </c>
      <c r="J34" s="41">
        <f t="shared" si="21"/>
        <v>430.12</v>
      </c>
      <c r="K34" s="41">
        <f t="shared" si="21"/>
        <v>518.04999999999995</v>
      </c>
      <c r="L34" s="41">
        <f t="shared" si="21"/>
        <v>467.93</v>
      </c>
      <c r="M34" s="41">
        <f t="shared" si="21"/>
        <v>375.09</v>
      </c>
      <c r="N34" s="41">
        <f t="shared" si="21"/>
        <v>396.14</v>
      </c>
      <c r="O34" s="41">
        <f t="shared" si="21"/>
        <v>409.6</v>
      </c>
      <c r="P34" s="41">
        <f>SUM(D34:O34)</f>
        <v>4439.76</v>
      </c>
      <c r="Q34" s="60"/>
      <c r="T34" s="9"/>
    </row>
    <row r="35" spans="1:20" ht="15.75" customHeight="1" x14ac:dyDescent="0.25">
      <c r="A35" s="42" t="s">
        <v>53</v>
      </c>
      <c r="B35" s="34" t="s">
        <v>57</v>
      </c>
      <c r="C35" s="35"/>
      <c r="D35" s="43">
        <v>0.25800000000000001</v>
      </c>
      <c r="E35" s="43">
        <v>0.25800000000000001</v>
      </c>
      <c r="F35" s="43">
        <v>0.25800000000000001</v>
      </c>
      <c r="G35" s="43">
        <v>0.25800000000000001</v>
      </c>
      <c r="H35" s="43">
        <v>0.25800000000000001</v>
      </c>
      <c r="I35" s="43">
        <v>0.25800000000000001</v>
      </c>
      <c r="J35" s="43">
        <v>0.25800000000000001</v>
      </c>
      <c r="K35" s="43">
        <v>0.25800000000000001</v>
      </c>
      <c r="L35" s="43">
        <v>0.25800000000000001</v>
      </c>
      <c r="M35" s="43">
        <v>0.25800000000000001</v>
      </c>
      <c r="N35" s="43">
        <v>0.25800000000000001</v>
      </c>
      <c r="O35" s="43">
        <v>0.25800000000000001</v>
      </c>
      <c r="P35" s="55">
        <f>ROUND(IF(P$24=0,0,P34/P$24),3)</f>
        <v>0.316</v>
      </c>
      <c r="Q35" s="63">
        <f>O35*0.6</f>
        <v>0.15479999999999999</v>
      </c>
      <c r="R35" s="9">
        <v>0.108</v>
      </c>
      <c r="T35" s="9"/>
    </row>
    <row r="36" spans="1:20" ht="15.75" customHeight="1" x14ac:dyDescent="0.25">
      <c r="A36" s="44" t="s">
        <v>61</v>
      </c>
      <c r="B36" s="34" t="s">
        <v>56</v>
      </c>
      <c r="C36" s="35"/>
      <c r="D36" s="41">
        <f t="shared" ref="D36:O36" si="22">ROUND(D37*D$24,2)</f>
        <v>467.83</v>
      </c>
      <c r="E36" s="41">
        <f t="shared" si="22"/>
        <v>126.01</v>
      </c>
      <c r="F36" s="41">
        <f t="shared" si="22"/>
        <v>190.67</v>
      </c>
      <c r="G36" s="41">
        <f t="shared" si="22"/>
        <v>351.45</v>
      </c>
      <c r="H36" s="41">
        <f t="shared" si="22"/>
        <v>326.43</v>
      </c>
      <c r="I36" s="41">
        <f t="shared" si="22"/>
        <v>280.43</v>
      </c>
      <c r="J36" s="41">
        <f t="shared" si="22"/>
        <v>406.78</v>
      </c>
      <c r="K36" s="41">
        <f t="shared" si="22"/>
        <v>489.94</v>
      </c>
      <c r="L36" s="41">
        <f t="shared" si="22"/>
        <v>442.54</v>
      </c>
      <c r="M36" s="41">
        <f t="shared" si="22"/>
        <v>354.73</v>
      </c>
      <c r="N36" s="41">
        <f t="shared" si="22"/>
        <v>374.64</v>
      </c>
      <c r="O36" s="41">
        <f t="shared" si="22"/>
        <v>387.37</v>
      </c>
      <c r="P36" s="41">
        <f>SUM(D36:O36)</f>
        <v>4198.82</v>
      </c>
      <c r="Q36" s="60"/>
      <c r="T36" s="9"/>
    </row>
    <row r="37" spans="1:20" ht="15.75" customHeight="1" x14ac:dyDescent="0.25">
      <c r="A37" s="42" t="s">
        <v>53</v>
      </c>
      <c r="B37" s="34" t="s">
        <v>57</v>
      </c>
      <c r="C37" s="35"/>
      <c r="D37" s="43">
        <v>0.24399999999999999</v>
      </c>
      <c r="E37" s="43">
        <v>0.24399999999999999</v>
      </c>
      <c r="F37" s="43">
        <v>0.24399999999999999</v>
      </c>
      <c r="G37" s="43">
        <v>0.24399999999999999</v>
      </c>
      <c r="H37" s="43">
        <v>0.24399999999999999</v>
      </c>
      <c r="I37" s="43">
        <v>0.24399999999999999</v>
      </c>
      <c r="J37" s="43">
        <v>0.24399999999999999</v>
      </c>
      <c r="K37" s="43">
        <v>0.24399999999999999</v>
      </c>
      <c r="L37" s="43">
        <v>0.24399999999999999</v>
      </c>
      <c r="M37" s="43">
        <v>0.24399999999999999</v>
      </c>
      <c r="N37" s="43">
        <v>0.24399999999999999</v>
      </c>
      <c r="O37" s="43">
        <v>0.24399999999999999</v>
      </c>
      <c r="P37" s="55">
        <f>ROUND(IF(P$24=0,0,P36/P$24),3)</f>
        <v>0.29899999999999999</v>
      </c>
      <c r="Q37" s="63">
        <f>O37*0.6</f>
        <v>0.1464</v>
      </c>
      <c r="R37" s="9">
        <v>0.16800000000000001</v>
      </c>
      <c r="T37" s="9"/>
    </row>
    <row r="38" spans="1:20" ht="15.75" customHeight="1" x14ac:dyDescent="0.25">
      <c r="A38" s="44" t="s">
        <v>62</v>
      </c>
      <c r="B38" s="34" t="s">
        <v>56</v>
      </c>
      <c r="C38" s="35"/>
      <c r="D38" s="41">
        <f t="shared" ref="D38:O38" si="23">ROUND(D39*D$24,2)</f>
        <v>780.36</v>
      </c>
      <c r="E38" s="41">
        <f t="shared" si="23"/>
        <v>210.19</v>
      </c>
      <c r="F38" s="41">
        <f t="shared" si="23"/>
        <v>318.04000000000002</v>
      </c>
      <c r="G38" s="41">
        <f t="shared" si="23"/>
        <v>586.24</v>
      </c>
      <c r="H38" s="41">
        <f t="shared" si="23"/>
        <v>544.49</v>
      </c>
      <c r="I38" s="41">
        <f t="shared" si="23"/>
        <v>467.77</v>
      </c>
      <c r="J38" s="41">
        <f t="shared" si="23"/>
        <v>678.52</v>
      </c>
      <c r="K38" s="41">
        <f t="shared" si="23"/>
        <v>817.24</v>
      </c>
      <c r="L38" s="41">
        <f t="shared" si="23"/>
        <v>738.17</v>
      </c>
      <c r="M38" s="41">
        <f t="shared" si="23"/>
        <v>591.71</v>
      </c>
      <c r="N38" s="41">
        <f t="shared" si="23"/>
        <v>624.91</v>
      </c>
      <c r="O38" s="41">
        <f t="shared" si="23"/>
        <v>646.15</v>
      </c>
      <c r="P38" s="41">
        <f>SUM(D38:O38)</f>
        <v>7003.79</v>
      </c>
      <c r="Q38" s="60"/>
      <c r="T38" s="9"/>
    </row>
    <row r="39" spans="1:20" ht="15.75" customHeight="1" x14ac:dyDescent="0.25">
      <c r="A39" s="42" t="s">
        <v>53</v>
      </c>
      <c r="B39" s="34" t="s">
        <v>57</v>
      </c>
      <c r="C39" s="35"/>
      <c r="D39" s="43">
        <v>0.40699999999999997</v>
      </c>
      <c r="E39" s="43">
        <v>0.40699999999999997</v>
      </c>
      <c r="F39" s="43">
        <v>0.40699999999999997</v>
      </c>
      <c r="G39" s="43">
        <v>0.40699999999999997</v>
      </c>
      <c r="H39" s="43">
        <v>0.40699999999999997</v>
      </c>
      <c r="I39" s="43">
        <v>0.40699999999999997</v>
      </c>
      <c r="J39" s="43">
        <v>0.40699999999999997</v>
      </c>
      <c r="K39" s="43">
        <v>0.40699999999999997</v>
      </c>
      <c r="L39" s="43">
        <v>0.40699999999999997</v>
      </c>
      <c r="M39" s="43">
        <v>0.40699999999999997</v>
      </c>
      <c r="N39" s="43">
        <v>0.40699999999999997</v>
      </c>
      <c r="O39" s="43">
        <v>0.40699999999999997</v>
      </c>
      <c r="P39" s="55">
        <f>ROUND(IF(P$24=0,0,P38/P$24),3)</f>
        <v>0.499</v>
      </c>
      <c r="Q39" s="63">
        <f>O39*0.6</f>
        <v>0.2442</v>
      </c>
      <c r="R39" s="9">
        <v>0.3</v>
      </c>
      <c r="T39" s="9"/>
    </row>
    <row r="40" spans="1:20" ht="15.75" customHeight="1" x14ac:dyDescent="0.25">
      <c r="A40" s="40" t="s">
        <v>237</v>
      </c>
      <c r="B40" s="34" t="s">
        <v>56</v>
      </c>
      <c r="C40" s="35"/>
      <c r="D40" s="41">
        <f t="shared" ref="D40:O40" si="24">ROUND(D41*D$24,2)</f>
        <v>101236.1</v>
      </c>
      <c r="E40" s="41">
        <f t="shared" si="24"/>
        <v>27268.05</v>
      </c>
      <c r="F40" s="41">
        <f t="shared" si="24"/>
        <v>41259.5</v>
      </c>
      <c r="G40" s="41">
        <f t="shared" si="24"/>
        <v>76052.19</v>
      </c>
      <c r="H40" s="41">
        <f t="shared" si="24"/>
        <v>70636.61</v>
      </c>
      <c r="I40" s="41">
        <f t="shared" si="24"/>
        <v>60683.29</v>
      </c>
      <c r="J40" s="41">
        <f t="shared" si="24"/>
        <v>88023.84</v>
      </c>
      <c r="K40" s="41">
        <f t="shared" si="24"/>
        <v>106019.73</v>
      </c>
      <c r="L40" s="41">
        <f t="shared" si="24"/>
        <v>95762</v>
      </c>
      <c r="M40" s="41">
        <f t="shared" si="24"/>
        <v>76762.22</v>
      </c>
      <c r="N40" s="41">
        <f t="shared" si="24"/>
        <v>81069.91</v>
      </c>
      <c r="O40" s="41">
        <f t="shared" si="24"/>
        <v>83825.279999999999</v>
      </c>
      <c r="P40" s="41">
        <f>SUM(D40:O40)</f>
        <v>908598.72</v>
      </c>
      <c r="Q40" s="64"/>
      <c r="S40" s="65"/>
      <c r="T40" s="9"/>
    </row>
    <row r="41" spans="1:20" ht="15.75" customHeight="1" x14ac:dyDescent="0.25">
      <c r="A41" s="42" t="s">
        <v>53</v>
      </c>
      <c r="B41" s="34" t="s">
        <v>57</v>
      </c>
      <c r="C41" s="35"/>
      <c r="D41" s="43">
        <v>52.8</v>
      </c>
      <c r="E41" s="43">
        <v>52.8</v>
      </c>
      <c r="F41" s="43">
        <v>52.8</v>
      </c>
      <c r="G41" s="43">
        <v>52.8</v>
      </c>
      <c r="H41" s="43">
        <v>52.8</v>
      </c>
      <c r="I41" s="43">
        <v>52.8</v>
      </c>
      <c r="J41" s="43">
        <v>52.8</v>
      </c>
      <c r="K41" s="43">
        <v>52.8</v>
      </c>
      <c r="L41" s="43">
        <v>52.8</v>
      </c>
      <c r="M41" s="43">
        <v>52.8</v>
      </c>
      <c r="N41" s="43">
        <v>52.8</v>
      </c>
      <c r="O41" s="43">
        <v>52.8</v>
      </c>
      <c r="P41" s="55">
        <f>ROUND(IF(P$30=0,0,P40/P$30),3)</f>
        <v>10.242000000000001</v>
      </c>
      <c r="Q41" s="64">
        <f>P41*0.707</f>
        <v>7.2410940000000004</v>
      </c>
      <c r="S41" s="65">
        <v>0.09</v>
      </c>
      <c r="T41" s="9"/>
    </row>
    <row r="42" spans="1:20" ht="15.75" customHeight="1" x14ac:dyDescent="0.25">
      <c r="A42" s="40" t="s">
        <v>238</v>
      </c>
      <c r="B42" s="34" t="s">
        <v>56</v>
      </c>
      <c r="C42" s="35"/>
      <c r="D42" s="41">
        <f>ROUND(D43*D$24,2)</f>
        <v>76694.02</v>
      </c>
      <c r="E42" s="41">
        <f t="shared" ref="E42:O42" si="25">ROUND(E43*E$24,2)</f>
        <v>20657.62</v>
      </c>
      <c r="F42" s="41">
        <f t="shared" si="25"/>
        <v>31257.200000000001</v>
      </c>
      <c r="G42" s="41">
        <f t="shared" si="25"/>
        <v>57615.3</v>
      </c>
      <c r="H42" s="41">
        <f t="shared" si="25"/>
        <v>53512.59</v>
      </c>
      <c r="I42" s="41">
        <f t="shared" si="25"/>
        <v>45972.19</v>
      </c>
      <c r="J42" s="41">
        <f t="shared" si="25"/>
        <v>66684.73</v>
      </c>
      <c r="K42" s="41">
        <f t="shared" si="25"/>
        <v>80317.98</v>
      </c>
      <c r="L42" s="41">
        <f t="shared" si="25"/>
        <v>72546.97</v>
      </c>
      <c r="M42" s="41">
        <f t="shared" si="25"/>
        <v>58153.2</v>
      </c>
      <c r="N42" s="41">
        <f t="shared" si="25"/>
        <v>61416.6</v>
      </c>
      <c r="O42" s="41">
        <f t="shared" si="25"/>
        <v>63504</v>
      </c>
      <c r="P42" s="41">
        <f>SUM(D42:O42)</f>
        <v>688332.4</v>
      </c>
      <c r="Q42" s="64"/>
      <c r="S42" s="65"/>
      <c r="T42" s="9"/>
    </row>
    <row r="43" spans="1:20" ht="15.75" customHeight="1" x14ac:dyDescent="0.25">
      <c r="A43" s="42" t="s">
        <v>53</v>
      </c>
      <c r="B43" s="34" t="s">
        <v>57</v>
      </c>
      <c r="C43" s="35"/>
      <c r="D43" s="43">
        <v>40</v>
      </c>
      <c r="E43" s="43">
        <v>40</v>
      </c>
      <c r="F43" s="43">
        <v>40</v>
      </c>
      <c r="G43" s="43">
        <v>40</v>
      </c>
      <c r="H43" s="43">
        <v>40</v>
      </c>
      <c r="I43" s="43">
        <v>40</v>
      </c>
      <c r="J43" s="43">
        <v>40</v>
      </c>
      <c r="K43" s="43">
        <v>40</v>
      </c>
      <c r="L43" s="43">
        <v>40</v>
      </c>
      <c r="M43" s="43">
        <v>40</v>
      </c>
      <c r="N43" s="43">
        <v>40</v>
      </c>
      <c r="O43" s="43">
        <v>40</v>
      </c>
      <c r="P43" s="55">
        <f>ROUND(IF(P$30=0,0,P42/P$30),3)</f>
        <v>7.7590000000000003</v>
      </c>
      <c r="Q43" s="64">
        <f>P43*0.707</f>
        <v>5.4856129999999999</v>
      </c>
      <c r="S43" s="65">
        <v>0.09</v>
      </c>
      <c r="T43" s="9"/>
    </row>
    <row r="44" spans="1:20" ht="15.75" customHeight="1" x14ac:dyDescent="0.25">
      <c r="A44" s="40" t="s">
        <v>239</v>
      </c>
      <c r="B44" s="34" t="s">
        <v>56</v>
      </c>
      <c r="C44" s="35"/>
      <c r="D44" s="41">
        <f t="shared" ref="D44:O44" si="26">ROUND(D45*D$24,2)</f>
        <v>210.91</v>
      </c>
      <c r="E44" s="41">
        <f t="shared" si="26"/>
        <v>56.81</v>
      </c>
      <c r="F44" s="41">
        <f t="shared" si="26"/>
        <v>85.96</v>
      </c>
      <c r="G44" s="41">
        <f t="shared" si="26"/>
        <v>158.44</v>
      </c>
      <c r="H44" s="41">
        <f t="shared" si="26"/>
        <v>147.16</v>
      </c>
      <c r="I44" s="41">
        <f t="shared" si="26"/>
        <v>126.42</v>
      </c>
      <c r="J44" s="41">
        <f t="shared" si="26"/>
        <v>183.38</v>
      </c>
      <c r="K44" s="41">
        <f t="shared" si="26"/>
        <v>220.87</v>
      </c>
      <c r="L44" s="41">
        <f t="shared" si="26"/>
        <v>199.5</v>
      </c>
      <c r="M44" s="41">
        <f t="shared" si="26"/>
        <v>159.91999999999999</v>
      </c>
      <c r="N44" s="41">
        <f t="shared" si="26"/>
        <v>168.9</v>
      </c>
      <c r="O44" s="41">
        <f t="shared" si="26"/>
        <v>174.64</v>
      </c>
      <c r="P44" s="41">
        <f>SUM(D44:O44)</f>
        <v>1892.91</v>
      </c>
      <c r="Q44" s="64"/>
      <c r="S44" s="65"/>
      <c r="T44" s="9"/>
    </row>
    <row r="45" spans="1:20" ht="15.75" customHeight="1" x14ac:dyDescent="0.25">
      <c r="A45" s="42" t="s">
        <v>53</v>
      </c>
      <c r="B45" s="34" t="s">
        <v>57</v>
      </c>
      <c r="C45" s="35"/>
      <c r="D45" s="43">
        <v>0.11</v>
      </c>
      <c r="E45" s="43">
        <v>0.11</v>
      </c>
      <c r="F45" s="43">
        <v>0.11</v>
      </c>
      <c r="G45" s="43">
        <v>0.11</v>
      </c>
      <c r="H45" s="43">
        <v>0.11</v>
      </c>
      <c r="I45" s="43">
        <v>0.11</v>
      </c>
      <c r="J45" s="43">
        <v>0.11</v>
      </c>
      <c r="K45" s="43">
        <v>0.11</v>
      </c>
      <c r="L45" s="43">
        <v>0.11</v>
      </c>
      <c r="M45" s="43">
        <v>0.11</v>
      </c>
      <c r="N45" s="43">
        <v>0.11</v>
      </c>
      <c r="O45" s="43">
        <v>0.11</v>
      </c>
      <c r="P45" s="55">
        <f>ROUND(IF(P$30=0,0,P44/P$30),3)</f>
        <v>2.1000000000000001E-2</v>
      </c>
      <c r="Q45" s="64">
        <f>P45*0.707</f>
        <v>1.4847000000000001E-2</v>
      </c>
      <c r="S45" s="65">
        <v>0.09</v>
      </c>
      <c r="T45" s="9"/>
    </row>
    <row r="46" spans="1:20" ht="15.75" customHeight="1" x14ac:dyDescent="0.25">
      <c r="A46" s="40" t="s">
        <v>240</v>
      </c>
      <c r="B46" s="34" t="s">
        <v>56</v>
      </c>
      <c r="C46" s="35"/>
      <c r="D46" s="41">
        <f t="shared" ref="D46:O46" si="27">ROUND(D47*D$24,2)</f>
        <v>17.260000000000002</v>
      </c>
      <c r="E46" s="41">
        <f t="shared" si="27"/>
        <v>4.6500000000000004</v>
      </c>
      <c r="F46" s="41">
        <f t="shared" si="27"/>
        <v>7.03</v>
      </c>
      <c r="G46" s="41">
        <f t="shared" si="27"/>
        <v>12.96</v>
      </c>
      <c r="H46" s="41">
        <f t="shared" si="27"/>
        <v>12.04</v>
      </c>
      <c r="I46" s="41">
        <f t="shared" si="27"/>
        <v>10.34</v>
      </c>
      <c r="J46" s="41">
        <f t="shared" si="27"/>
        <v>15</v>
      </c>
      <c r="K46" s="41">
        <f t="shared" si="27"/>
        <v>18.07</v>
      </c>
      <c r="L46" s="41">
        <f t="shared" si="27"/>
        <v>16.32</v>
      </c>
      <c r="M46" s="41">
        <f t="shared" si="27"/>
        <v>13.08</v>
      </c>
      <c r="N46" s="41">
        <f t="shared" si="27"/>
        <v>13.82</v>
      </c>
      <c r="O46" s="41">
        <f t="shared" si="27"/>
        <v>14.29</v>
      </c>
      <c r="P46" s="41">
        <f>SUM(D46:O46)</f>
        <v>154.86000000000001</v>
      </c>
      <c r="Q46" s="64"/>
      <c r="S46" s="65"/>
      <c r="T46" s="9"/>
    </row>
    <row r="47" spans="1:20" ht="15.75" customHeight="1" x14ac:dyDescent="0.25">
      <c r="A47" s="42" t="s">
        <v>53</v>
      </c>
      <c r="B47" s="34" t="s">
        <v>57</v>
      </c>
      <c r="C47" s="35"/>
      <c r="D47" s="43">
        <v>8.9999999999999993E-3</v>
      </c>
      <c r="E47" s="43">
        <v>8.9999999999999993E-3</v>
      </c>
      <c r="F47" s="43">
        <v>8.9999999999999993E-3</v>
      </c>
      <c r="G47" s="43">
        <v>8.9999999999999993E-3</v>
      </c>
      <c r="H47" s="43">
        <v>8.9999999999999993E-3</v>
      </c>
      <c r="I47" s="43">
        <v>8.9999999999999993E-3</v>
      </c>
      <c r="J47" s="43">
        <v>8.9999999999999993E-3</v>
      </c>
      <c r="K47" s="43">
        <v>8.9999999999999993E-3</v>
      </c>
      <c r="L47" s="43">
        <v>8.9999999999999993E-3</v>
      </c>
      <c r="M47" s="43">
        <v>8.9999999999999993E-3</v>
      </c>
      <c r="N47" s="43">
        <v>8.9999999999999993E-3</v>
      </c>
      <c r="O47" s="43">
        <v>8.9999999999999993E-3</v>
      </c>
      <c r="P47" s="55">
        <f>ROUND(IF(P$30=0,0,P46/P$30),3)</f>
        <v>2E-3</v>
      </c>
      <c r="Q47" s="64">
        <f>P47*0.707</f>
        <v>1.4139999999999999E-3</v>
      </c>
      <c r="S47" s="65">
        <v>0.09</v>
      </c>
      <c r="T47" s="9"/>
    </row>
    <row r="48" spans="1:20" ht="15.75" customHeight="1" x14ac:dyDescent="0.25">
      <c r="A48" s="40" t="s">
        <v>241</v>
      </c>
      <c r="B48" s="34" t="s">
        <v>56</v>
      </c>
      <c r="C48" s="35"/>
      <c r="D48" s="41">
        <f t="shared" ref="D48:O48" si="28">ROUND(D49*D$24,2)</f>
        <v>0</v>
      </c>
      <c r="E48" s="41">
        <f t="shared" si="28"/>
        <v>0</v>
      </c>
      <c r="F48" s="41">
        <f t="shared" si="28"/>
        <v>0</v>
      </c>
      <c r="G48" s="41">
        <f t="shared" si="28"/>
        <v>0</v>
      </c>
      <c r="H48" s="41">
        <f t="shared" si="28"/>
        <v>0</v>
      </c>
      <c r="I48" s="41">
        <f t="shared" si="28"/>
        <v>0</v>
      </c>
      <c r="J48" s="41">
        <f t="shared" si="28"/>
        <v>0</v>
      </c>
      <c r="K48" s="41">
        <f t="shared" si="28"/>
        <v>0</v>
      </c>
      <c r="L48" s="41">
        <f t="shared" si="28"/>
        <v>0</v>
      </c>
      <c r="M48" s="41">
        <f t="shared" si="28"/>
        <v>0</v>
      </c>
      <c r="N48" s="41">
        <f t="shared" si="28"/>
        <v>0</v>
      </c>
      <c r="O48" s="41">
        <f t="shared" si="28"/>
        <v>0</v>
      </c>
      <c r="P48" s="41">
        <f>SUM(D48:O48)</f>
        <v>0</v>
      </c>
      <c r="Q48" s="64"/>
      <c r="S48" s="65"/>
      <c r="T48" s="9"/>
    </row>
    <row r="49" spans="1:205" ht="15.75" customHeight="1" x14ac:dyDescent="0.25">
      <c r="A49" s="42" t="s">
        <v>53</v>
      </c>
      <c r="B49" s="34" t="s">
        <v>57</v>
      </c>
      <c r="C49" s="35"/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1">
        <f>ROUND(IF(P$30=0,0,P48/P$30),3)</f>
        <v>0</v>
      </c>
      <c r="Q49" s="64">
        <f>P49*0.707</f>
        <v>0</v>
      </c>
      <c r="S49" s="65">
        <v>0.09</v>
      </c>
      <c r="T49" s="9"/>
    </row>
    <row r="50" spans="1:205" s="7" customFormat="1" ht="15.75" customHeight="1" x14ac:dyDescent="0.25">
      <c r="A50" s="18" t="s">
        <v>66</v>
      </c>
      <c r="B50" s="19"/>
      <c r="C50" s="2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60"/>
      <c r="R50" s="9"/>
      <c r="S50" s="59"/>
      <c r="T50" s="9"/>
      <c r="U50" s="59"/>
    </row>
    <row r="51" spans="1:205" ht="15.75" customHeight="1" x14ac:dyDescent="0.25">
      <c r="A51" s="40" t="s">
        <v>67</v>
      </c>
      <c r="B51" s="34" t="s">
        <v>37</v>
      </c>
      <c r="C51" s="35"/>
      <c r="D51" s="41">
        <f>ROUND(D52*D$24,0)</f>
        <v>5854</v>
      </c>
      <c r="E51" s="41">
        <f t="shared" ref="E51:O51" si="29">ROUND(E52*E$24,0)</f>
        <v>1577</v>
      </c>
      <c r="F51" s="41">
        <f t="shared" si="29"/>
        <v>2386</v>
      </c>
      <c r="G51" s="41">
        <f t="shared" si="29"/>
        <v>4397</v>
      </c>
      <c r="H51" s="41">
        <f t="shared" si="29"/>
        <v>4084</v>
      </c>
      <c r="I51" s="41">
        <f t="shared" si="29"/>
        <v>3509</v>
      </c>
      <c r="J51" s="41">
        <f t="shared" si="29"/>
        <v>5090</v>
      </c>
      <c r="K51" s="41">
        <f t="shared" si="29"/>
        <v>6130</v>
      </c>
      <c r="L51" s="41">
        <f t="shared" si="29"/>
        <v>5537</v>
      </c>
      <c r="M51" s="41">
        <f t="shared" si="29"/>
        <v>4439</v>
      </c>
      <c r="N51" s="41">
        <f t="shared" si="29"/>
        <v>4688</v>
      </c>
      <c r="O51" s="41">
        <f t="shared" si="29"/>
        <v>4847</v>
      </c>
      <c r="P51" s="41">
        <f>SUM(D51:O51)</f>
        <v>52538</v>
      </c>
      <c r="Q51" s="60"/>
      <c r="T51" s="9"/>
    </row>
    <row r="52" spans="1:205" ht="15.75" customHeight="1" x14ac:dyDescent="0.25">
      <c r="A52" s="42" t="s">
        <v>53</v>
      </c>
      <c r="B52" s="34" t="s">
        <v>54</v>
      </c>
      <c r="C52" s="35"/>
      <c r="D52" s="45">
        <v>3.0529999999999999</v>
      </c>
      <c r="E52" s="45">
        <v>3.0529999999999999</v>
      </c>
      <c r="F52" s="45">
        <v>3.0529999999999999</v>
      </c>
      <c r="G52" s="45">
        <v>3.0529999999999999</v>
      </c>
      <c r="H52" s="45">
        <v>3.0529999999999999</v>
      </c>
      <c r="I52" s="45">
        <v>3.0529999999999999</v>
      </c>
      <c r="J52" s="45">
        <v>3.0529999999999999</v>
      </c>
      <c r="K52" s="45">
        <v>3.0529999999999999</v>
      </c>
      <c r="L52" s="45">
        <v>3.0529999999999999</v>
      </c>
      <c r="M52" s="45">
        <v>3.0529999999999999</v>
      </c>
      <c r="N52" s="45">
        <v>3.0529999999999999</v>
      </c>
      <c r="O52" s="45">
        <v>3.0529999999999999</v>
      </c>
      <c r="P52" s="55">
        <f>ROUND(IF(P$24=0,0,P51/P$24),3)</f>
        <v>3.74</v>
      </c>
      <c r="Q52" s="63">
        <f>O52*0.6</f>
        <v>1.8318000000000001</v>
      </c>
      <c r="R52" s="9">
        <v>2.4</v>
      </c>
      <c r="T52" s="9"/>
    </row>
    <row r="53" spans="1:205" ht="15.75" customHeight="1" x14ac:dyDescent="0.25">
      <c r="A53" s="40" t="s">
        <v>68</v>
      </c>
      <c r="B53" s="34" t="s">
        <v>69</v>
      </c>
      <c r="C53" s="35"/>
      <c r="D53" s="41">
        <f>ROUND(D54*D$24,0)/10000</f>
        <v>18.210799999999999</v>
      </c>
      <c r="E53" s="41">
        <f t="shared" ref="E53:O53" si="30">ROUND(E54*E$24,0)/10000</f>
        <v>4.9051</v>
      </c>
      <c r="F53" s="41">
        <f t="shared" si="30"/>
        <v>7.4218999999999999</v>
      </c>
      <c r="G53" s="41">
        <f t="shared" si="30"/>
        <v>13.6806</v>
      </c>
      <c r="H53" s="41">
        <f t="shared" si="30"/>
        <v>12.7064</v>
      </c>
      <c r="I53" s="41">
        <f t="shared" si="30"/>
        <v>10.916</v>
      </c>
      <c r="J53" s="41">
        <f t="shared" si="30"/>
        <v>15.834099999999999</v>
      </c>
      <c r="K53" s="41">
        <f t="shared" si="30"/>
        <v>19.071300000000001</v>
      </c>
      <c r="L53" s="41">
        <f t="shared" si="30"/>
        <v>17.226099999999999</v>
      </c>
      <c r="M53" s="41">
        <f t="shared" si="30"/>
        <v>13.808299999999999</v>
      </c>
      <c r="N53" s="41">
        <f t="shared" si="30"/>
        <v>14.5832</v>
      </c>
      <c r="O53" s="41">
        <f t="shared" si="30"/>
        <v>15.078900000000001</v>
      </c>
      <c r="P53" s="41">
        <f>SUM(D53:O53)</f>
        <v>163.4427</v>
      </c>
      <c r="Q53" s="60"/>
      <c r="T53" s="9"/>
    </row>
    <row r="54" spans="1:205" ht="15.75" customHeight="1" x14ac:dyDescent="0.25">
      <c r="A54" s="42" t="s">
        <v>53</v>
      </c>
      <c r="B54" s="34" t="s">
        <v>70</v>
      </c>
      <c r="C54" s="35"/>
      <c r="D54" s="43">
        <v>94.978999999999999</v>
      </c>
      <c r="E54" s="43">
        <v>94.978999999999999</v>
      </c>
      <c r="F54" s="43">
        <v>94.978999999999999</v>
      </c>
      <c r="G54" s="43">
        <v>94.978999999999999</v>
      </c>
      <c r="H54" s="43">
        <v>94.978999999999999</v>
      </c>
      <c r="I54" s="43">
        <v>94.978999999999999</v>
      </c>
      <c r="J54" s="43">
        <v>94.978999999999999</v>
      </c>
      <c r="K54" s="43">
        <v>94.978999999999999</v>
      </c>
      <c r="L54" s="43">
        <v>94.978999999999999</v>
      </c>
      <c r="M54" s="43">
        <v>94.978999999999999</v>
      </c>
      <c r="N54" s="43">
        <v>94.978999999999999</v>
      </c>
      <c r="O54" s="43">
        <v>94.978999999999999</v>
      </c>
      <c r="P54" s="56">
        <f>ROUND(IF(P$24=0,0,P53/P$24*10000),3)</f>
        <v>116.349</v>
      </c>
      <c r="Q54" s="63">
        <f>O54*0.6</f>
        <v>56.987400000000001</v>
      </c>
      <c r="R54" s="9">
        <v>43.2</v>
      </c>
      <c r="T54" s="9"/>
    </row>
    <row r="55" spans="1:205" s="8" customFormat="1" ht="15" customHeight="1" x14ac:dyDescent="0.25">
      <c r="A55" s="40" t="s">
        <v>71</v>
      </c>
      <c r="B55" s="34" t="s">
        <v>37</v>
      </c>
      <c r="C55" s="35"/>
      <c r="D55" s="41">
        <f>ROUND(D56*D$24,0)</f>
        <v>1417</v>
      </c>
      <c r="E55" s="41">
        <f t="shared" ref="E55:O55" si="31">ROUND(E56*E$24,0)</f>
        <v>382</v>
      </c>
      <c r="F55" s="41">
        <f t="shared" si="31"/>
        <v>577</v>
      </c>
      <c r="G55" s="41">
        <f t="shared" si="31"/>
        <v>1064</v>
      </c>
      <c r="H55" s="41">
        <f t="shared" si="31"/>
        <v>989</v>
      </c>
      <c r="I55" s="41">
        <f t="shared" si="31"/>
        <v>849</v>
      </c>
      <c r="J55" s="41">
        <f t="shared" si="31"/>
        <v>1232</v>
      </c>
      <c r="K55" s="41">
        <f t="shared" si="31"/>
        <v>1484</v>
      </c>
      <c r="L55" s="41">
        <f t="shared" si="31"/>
        <v>1340</v>
      </c>
      <c r="M55" s="41">
        <f t="shared" si="31"/>
        <v>1074</v>
      </c>
      <c r="N55" s="41">
        <f t="shared" si="31"/>
        <v>1135</v>
      </c>
      <c r="O55" s="41">
        <f t="shared" si="31"/>
        <v>1173</v>
      </c>
      <c r="P55" s="41">
        <f>SUM(D55:O55)</f>
        <v>12716</v>
      </c>
      <c r="Q55" s="60"/>
      <c r="R55" s="9"/>
      <c r="S55" s="13"/>
      <c r="T55" s="9"/>
    </row>
    <row r="56" spans="1:205" ht="15.75" customHeight="1" x14ac:dyDescent="0.25">
      <c r="A56" s="42" t="s">
        <v>53</v>
      </c>
      <c r="B56" s="34" t="s">
        <v>54</v>
      </c>
      <c r="C56" s="35"/>
      <c r="D56" s="43">
        <v>0.73899999999999999</v>
      </c>
      <c r="E56" s="43">
        <v>0.73899999999999999</v>
      </c>
      <c r="F56" s="43">
        <v>0.73899999999999999</v>
      </c>
      <c r="G56" s="43">
        <v>0.73899999999999999</v>
      </c>
      <c r="H56" s="43">
        <v>0.73899999999999999</v>
      </c>
      <c r="I56" s="43">
        <v>0.73899999999999999</v>
      </c>
      <c r="J56" s="43">
        <v>0.73899999999999999</v>
      </c>
      <c r="K56" s="43">
        <v>0.73899999999999999</v>
      </c>
      <c r="L56" s="43">
        <v>0.73899999999999999</v>
      </c>
      <c r="M56" s="43">
        <v>0.73899999999999999</v>
      </c>
      <c r="N56" s="43">
        <v>0.73899999999999999</v>
      </c>
      <c r="O56" s="43">
        <v>0.73899999999999999</v>
      </c>
      <c r="P56" s="55">
        <f>ROUND(IF(P$24=0,0,P55/P$24),3)</f>
        <v>0.90500000000000003</v>
      </c>
      <c r="Q56" s="63">
        <f>O56*0.6</f>
        <v>0.44340000000000002</v>
      </c>
      <c r="R56" s="9">
        <v>0.54</v>
      </c>
      <c r="T56" s="9"/>
    </row>
    <row r="57" spans="1:205" ht="15.75" customHeight="1" x14ac:dyDescent="0.25">
      <c r="A57" s="40" t="s">
        <v>72</v>
      </c>
      <c r="B57" s="46" t="s">
        <v>73</v>
      </c>
      <c r="C57" s="35"/>
      <c r="D57" s="41">
        <f t="shared" ref="D57:O57" si="32">ROUND(D58*D$24,0)</f>
        <v>4163</v>
      </c>
      <c r="E57" s="41">
        <f t="shared" si="32"/>
        <v>1121</v>
      </c>
      <c r="F57" s="41">
        <f t="shared" si="32"/>
        <v>1696</v>
      </c>
      <c r="G57" s="41">
        <f t="shared" si="32"/>
        <v>3127</v>
      </c>
      <c r="H57" s="41">
        <f t="shared" si="32"/>
        <v>2904</v>
      </c>
      <c r="I57" s="41">
        <f t="shared" si="32"/>
        <v>2495</v>
      </c>
      <c r="J57" s="41">
        <f t="shared" si="32"/>
        <v>3619</v>
      </c>
      <c r="K57" s="41">
        <f t="shared" si="32"/>
        <v>4359</v>
      </c>
      <c r="L57" s="41">
        <f t="shared" si="32"/>
        <v>3937</v>
      </c>
      <c r="M57" s="41">
        <f t="shared" si="32"/>
        <v>3156</v>
      </c>
      <c r="N57" s="41">
        <f t="shared" si="32"/>
        <v>3333</v>
      </c>
      <c r="O57" s="41">
        <f t="shared" si="32"/>
        <v>3447</v>
      </c>
      <c r="P57" s="41">
        <f>SUM(D57:O57)</f>
        <v>37357</v>
      </c>
      <c r="Q57" s="60"/>
      <c r="T57" s="9"/>
    </row>
    <row r="58" spans="1:205" ht="15.75" customHeight="1" x14ac:dyDescent="0.25">
      <c r="A58" s="42" t="s">
        <v>53</v>
      </c>
      <c r="B58" s="34" t="s">
        <v>74</v>
      </c>
      <c r="C58" s="35"/>
      <c r="D58" s="47">
        <v>2.1709999999999998</v>
      </c>
      <c r="E58" s="47">
        <v>2.1709999999999998</v>
      </c>
      <c r="F58" s="47">
        <v>2.1709999999999998</v>
      </c>
      <c r="G58" s="47">
        <v>2.1709999999999998</v>
      </c>
      <c r="H58" s="47">
        <v>2.1709999999999998</v>
      </c>
      <c r="I58" s="47">
        <v>2.1709999999999998</v>
      </c>
      <c r="J58" s="47">
        <v>2.1709999999999998</v>
      </c>
      <c r="K58" s="47">
        <v>2.1709999999999998</v>
      </c>
      <c r="L58" s="47">
        <v>2.1709999999999998</v>
      </c>
      <c r="M58" s="47">
        <v>2.1709999999999998</v>
      </c>
      <c r="N58" s="47">
        <v>2.1709999999999998</v>
      </c>
      <c r="O58" s="47">
        <v>2.1709999999999998</v>
      </c>
      <c r="P58" s="55">
        <f>ROUND(IF(P$24=0,0,P57/P$24),3)</f>
        <v>2.6589999999999998</v>
      </c>
      <c r="Q58" s="63">
        <f>O58*0.6</f>
        <v>1.3026</v>
      </c>
      <c r="R58" s="9">
        <v>1.0680000000000001</v>
      </c>
      <c r="T58" s="9"/>
    </row>
    <row r="59" spans="1:205" s="7" customFormat="1" ht="15.75" customHeight="1" x14ac:dyDescent="0.25">
      <c r="A59" s="18" t="s">
        <v>75</v>
      </c>
      <c r="B59" s="19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60"/>
      <c r="R59" s="9"/>
      <c r="S59" s="13"/>
      <c r="T59" s="9"/>
      <c r="U59" s="59"/>
    </row>
    <row r="60" spans="1:205" ht="15.75" customHeight="1" x14ac:dyDescent="0.25">
      <c r="A60" s="44" t="s">
        <v>76</v>
      </c>
      <c r="B60" s="34" t="s">
        <v>77</v>
      </c>
      <c r="C60" s="48"/>
      <c r="D60" s="49">
        <f t="shared" ref="D60:O60" si="33">ROUND(D24*2,0)</f>
        <v>3835</v>
      </c>
      <c r="E60" s="49">
        <f t="shared" si="33"/>
        <v>1033</v>
      </c>
      <c r="F60" s="49">
        <f t="shared" si="33"/>
        <v>1563</v>
      </c>
      <c r="G60" s="49">
        <f t="shared" si="33"/>
        <v>2881</v>
      </c>
      <c r="H60" s="49">
        <f t="shared" si="33"/>
        <v>2676</v>
      </c>
      <c r="I60" s="49">
        <f t="shared" si="33"/>
        <v>2299</v>
      </c>
      <c r="J60" s="49">
        <f t="shared" si="33"/>
        <v>3334</v>
      </c>
      <c r="K60" s="49">
        <f t="shared" si="33"/>
        <v>4016</v>
      </c>
      <c r="L60" s="49">
        <f t="shared" si="33"/>
        <v>3627</v>
      </c>
      <c r="M60" s="49">
        <f t="shared" si="33"/>
        <v>2908</v>
      </c>
      <c r="N60" s="49">
        <f t="shared" si="33"/>
        <v>3071</v>
      </c>
      <c r="O60" s="49">
        <f t="shared" si="33"/>
        <v>3175</v>
      </c>
      <c r="P60" s="41">
        <f>SUM(D60:O60)</f>
        <v>34418</v>
      </c>
      <c r="Q60" s="60"/>
      <c r="R60" s="66"/>
      <c r="T60" s="9"/>
    </row>
    <row r="61" spans="1:205" s="9" customFormat="1" ht="15.75" customHeight="1" x14ac:dyDescent="0.25">
      <c r="A61" s="42" t="s">
        <v>78</v>
      </c>
      <c r="B61" s="50" t="s">
        <v>37</v>
      </c>
      <c r="C61" s="35"/>
      <c r="D61" s="51">
        <f>D60*D62/1000000</f>
        <v>0</v>
      </c>
      <c r="E61" s="51">
        <f t="shared" ref="E61:O61" si="34">E60*E62/1000000</f>
        <v>0</v>
      </c>
      <c r="F61" s="51">
        <f t="shared" si="34"/>
        <v>0</v>
      </c>
      <c r="G61" s="51">
        <f t="shared" si="34"/>
        <v>0</v>
      </c>
      <c r="H61" s="51">
        <f t="shared" si="34"/>
        <v>0</v>
      </c>
      <c r="I61" s="51">
        <f t="shared" si="34"/>
        <v>0</v>
      </c>
      <c r="J61" s="51">
        <f t="shared" si="34"/>
        <v>0</v>
      </c>
      <c r="K61" s="51">
        <f t="shared" si="34"/>
        <v>0</v>
      </c>
      <c r="L61" s="51">
        <f t="shared" si="34"/>
        <v>0</v>
      </c>
      <c r="M61" s="51">
        <f t="shared" si="34"/>
        <v>0</v>
      </c>
      <c r="N61" s="51">
        <f t="shared" si="34"/>
        <v>0</v>
      </c>
      <c r="O61" s="51">
        <f t="shared" si="34"/>
        <v>0</v>
      </c>
      <c r="P61" s="51">
        <f t="shared" ref="P61" si="35">P60*P62/1000000</f>
        <v>96.370400000000004</v>
      </c>
      <c r="Q61" s="60"/>
      <c r="S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</row>
    <row r="62" spans="1:205" s="9" customFormat="1" ht="15.75" customHeight="1" x14ac:dyDescent="0.25">
      <c r="A62" s="42" t="s">
        <v>79</v>
      </c>
      <c r="B62" s="50" t="s">
        <v>80</v>
      </c>
      <c r="C62" s="35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>
        <v>2800</v>
      </c>
      <c r="Q62" s="60"/>
      <c r="S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</row>
    <row r="63" spans="1:205" s="9" customFormat="1" ht="15.75" customHeight="1" x14ac:dyDescent="0.25">
      <c r="A63" s="42" t="s">
        <v>81</v>
      </c>
      <c r="B63" s="50" t="s">
        <v>37</v>
      </c>
      <c r="C63" s="35"/>
      <c r="D63" s="51">
        <f>D60*D64/1000000</f>
        <v>0</v>
      </c>
      <c r="E63" s="51">
        <f t="shared" ref="E63:O63" si="36">E60*E64/1000000</f>
        <v>0</v>
      </c>
      <c r="F63" s="51">
        <f t="shared" si="36"/>
        <v>0</v>
      </c>
      <c r="G63" s="51">
        <f t="shared" si="36"/>
        <v>0</v>
      </c>
      <c r="H63" s="51">
        <f t="shared" si="36"/>
        <v>0</v>
      </c>
      <c r="I63" s="51">
        <f t="shared" si="36"/>
        <v>0</v>
      </c>
      <c r="J63" s="51">
        <f t="shared" si="36"/>
        <v>0</v>
      </c>
      <c r="K63" s="51">
        <f t="shared" si="36"/>
        <v>0</v>
      </c>
      <c r="L63" s="51">
        <f t="shared" si="36"/>
        <v>0</v>
      </c>
      <c r="M63" s="51">
        <f t="shared" si="36"/>
        <v>0</v>
      </c>
      <c r="N63" s="51">
        <f t="shared" si="36"/>
        <v>0</v>
      </c>
      <c r="O63" s="51">
        <f t="shared" si="36"/>
        <v>0</v>
      </c>
      <c r="P63" s="51">
        <f t="shared" ref="P63" si="37">P60*P64/1000000</f>
        <v>0</v>
      </c>
      <c r="Q63" s="60"/>
      <c r="S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</row>
    <row r="64" spans="1:205" s="9" customFormat="1" ht="15.75" customHeight="1" x14ac:dyDescent="0.25">
      <c r="A64" s="42" t="s">
        <v>82</v>
      </c>
      <c r="B64" s="50" t="s">
        <v>80</v>
      </c>
      <c r="C64" s="3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60"/>
      <c r="S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</row>
    <row r="65" spans="1:205" s="9" customFormat="1" ht="15.75" customHeight="1" x14ac:dyDescent="0.25">
      <c r="A65" s="18" t="s">
        <v>83</v>
      </c>
      <c r="B65" s="50"/>
      <c r="C65" s="67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74"/>
      <c r="Q65" s="60"/>
      <c r="S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</row>
    <row r="66" spans="1:205" s="9" customFormat="1" ht="15.75" customHeight="1" x14ac:dyDescent="0.25">
      <c r="A66" s="42" t="s">
        <v>104</v>
      </c>
      <c r="B66" s="17"/>
      <c r="C66" s="35"/>
      <c r="D66" s="51">
        <f t="shared" ref="D66:O66" si="38">D18</f>
        <v>2608.64</v>
      </c>
      <c r="E66" s="51">
        <f t="shared" si="38"/>
        <v>702.64</v>
      </c>
      <c r="F66" s="51">
        <f t="shared" si="38"/>
        <v>1063.17</v>
      </c>
      <c r="G66" s="51">
        <f t="shared" si="38"/>
        <v>1959.704</v>
      </c>
      <c r="H66" s="51">
        <f t="shared" si="38"/>
        <v>1820.1559999999999</v>
      </c>
      <c r="I66" s="51">
        <f t="shared" si="38"/>
        <v>1563.68</v>
      </c>
      <c r="J66" s="51">
        <f t="shared" si="38"/>
        <v>2268.1880000000001</v>
      </c>
      <c r="K66" s="51">
        <f t="shared" si="38"/>
        <v>2731.904</v>
      </c>
      <c r="L66" s="51">
        <f t="shared" si="38"/>
        <v>2467.5839999999998</v>
      </c>
      <c r="M66" s="51">
        <f t="shared" si="38"/>
        <v>1978</v>
      </c>
      <c r="N66" s="51">
        <f t="shared" si="38"/>
        <v>2089</v>
      </c>
      <c r="O66" s="51">
        <f t="shared" si="38"/>
        <v>2160</v>
      </c>
      <c r="P66" s="51">
        <f>SUM(D66:O66)</f>
        <v>23412.666000000001</v>
      </c>
      <c r="Q66" s="60"/>
      <c r="S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</row>
    <row r="67" spans="1:205" s="9" customFormat="1" ht="15.75" customHeight="1" x14ac:dyDescent="0.25">
      <c r="A67" s="69" t="s">
        <v>86</v>
      </c>
      <c r="B67" s="17"/>
      <c r="C67" s="35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1">
        <f>SUM(D67:O67)</f>
        <v>0</v>
      </c>
      <c r="Q67" s="60"/>
      <c r="S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</row>
    <row r="68" spans="1:205" s="9" customFormat="1" ht="15.75" customHeight="1" x14ac:dyDescent="0.25">
      <c r="A68" s="69" t="s">
        <v>87</v>
      </c>
      <c r="B68" s="17"/>
      <c r="C68" s="35"/>
      <c r="D68" s="52">
        <f>D66-D67</f>
        <v>2608.64</v>
      </c>
      <c r="E68" s="52">
        <f t="shared" ref="E68:O68" si="39">E66-E67</f>
        <v>702.64</v>
      </c>
      <c r="F68" s="52">
        <f t="shared" si="39"/>
        <v>1063.17</v>
      </c>
      <c r="G68" s="52">
        <f t="shared" si="39"/>
        <v>1959.704</v>
      </c>
      <c r="H68" s="52">
        <f t="shared" si="39"/>
        <v>1820.1559999999999</v>
      </c>
      <c r="I68" s="52">
        <f t="shared" si="39"/>
        <v>1563.68</v>
      </c>
      <c r="J68" s="52">
        <f t="shared" si="39"/>
        <v>2268.1880000000001</v>
      </c>
      <c r="K68" s="52">
        <f t="shared" si="39"/>
        <v>2731.904</v>
      </c>
      <c r="L68" s="52">
        <f t="shared" si="39"/>
        <v>2467.5839999999998</v>
      </c>
      <c r="M68" s="52">
        <f t="shared" si="39"/>
        <v>1978</v>
      </c>
      <c r="N68" s="52">
        <f t="shared" si="39"/>
        <v>2089</v>
      </c>
      <c r="O68" s="52">
        <f t="shared" si="39"/>
        <v>2160</v>
      </c>
      <c r="P68" s="51">
        <f>SUM(D68:O68)</f>
        <v>23412.666000000001</v>
      </c>
      <c r="Q68" s="60"/>
      <c r="S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</row>
    <row r="69" spans="1:205" s="9" customFormat="1" ht="15.75" customHeight="1" x14ac:dyDescent="0.25">
      <c r="A69" s="69" t="s">
        <v>88</v>
      </c>
      <c r="B69" s="17"/>
      <c r="C69" s="35"/>
      <c r="D69" s="51">
        <f>D66-D67-D68</f>
        <v>0</v>
      </c>
      <c r="E69" s="51">
        <f t="shared" ref="E69:O69" si="40">E66-E67-E68</f>
        <v>0</v>
      </c>
      <c r="F69" s="51">
        <f t="shared" si="40"/>
        <v>0</v>
      </c>
      <c r="G69" s="51">
        <f t="shared" si="40"/>
        <v>0</v>
      </c>
      <c r="H69" s="51">
        <f t="shared" si="40"/>
        <v>0</v>
      </c>
      <c r="I69" s="51">
        <f t="shared" si="40"/>
        <v>0</v>
      </c>
      <c r="J69" s="51">
        <f t="shared" si="40"/>
        <v>0</v>
      </c>
      <c r="K69" s="51">
        <f t="shared" si="40"/>
        <v>0</v>
      </c>
      <c r="L69" s="51">
        <f t="shared" si="40"/>
        <v>0</v>
      </c>
      <c r="M69" s="51">
        <f t="shared" si="40"/>
        <v>0</v>
      </c>
      <c r="N69" s="51">
        <f t="shared" si="40"/>
        <v>0</v>
      </c>
      <c r="O69" s="51">
        <f t="shared" si="40"/>
        <v>0</v>
      </c>
      <c r="P69" s="51">
        <f>SUM(D69:O69)</f>
        <v>0</v>
      </c>
      <c r="Q69" s="60"/>
      <c r="S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</row>
    <row r="70" spans="1:205" s="10" customFormat="1" ht="24" customHeight="1" x14ac:dyDescent="0.25">
      <c r="A70" s="70" t="s">
        <v>90</v>
      </c>
      <c r="B70" s="71"/>
      <c r="C70" s="72"/>
      <c r="D70" s="71"/>
      <c r="E70" s="71"/>
      <c r="F70" s="71"/>
      <c r="G70" s="71"/>
      <c r="H70" s="240" t="s">
        <v>91</v>
      </c>
      <c r="I70" s="240"/>
      <c r="J70" s="75"/>
      <c r="K70" s="71"/>
      <c r="L70" s="71"/>
      <c r="M70" s="71"/>
      <c r="N70" s="71" t="s">
        <v>92</v>
      </c>
      <c r="O70" s="75"/>
      <c r="P70" s="71"/>
      <c r="R70" s="77"/>
    </row>
    <row r="71" spans="1:205" s="10" customFormat="1" ht="20.25" customHeight="1" x14ac:dyDescent="0.25">
      <c r="A71" s="14" t="s">
        <v>93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76"/>
    </row>
    <row r="72" spans="1:205" s="10" customFormat="1" ht="20.25" customHeight="1" x14ac:dyDescent="0.25">
      <c r="A72" s="1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76"/>
    </row>
    <row r="73" spans="1:205" s="10" customFormat="1" ht="20.25" customHeight="1" x14ac:dyDescent="0.25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76"/>
    </row>
    <row r="74" spans="1:205" s="10" customFormat="1" ht="20.25" customHeight="1" x14ac:dyDescent="0.25">
      <c r="A74" s="1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76"/>
    </row>
    <row r="75" spans="1:205" s="11" customFormat="1" ht="15.75" customHeight="1" x14ac:dyDescent="0.25">
      <c r="A75" s="12"/>
      <c r="B75" s="13"/>
      <c r="C75" s="13"/>
      <c r="D75" s="13">
        <f>D6/24</f>
        <v>31</v>
      </c>
      <c r="E75" s="13">
        <v>28</v>
      </c>
      <c r="F75" s="13">
        <f t="shared" ref="F75:P75" si="41">F6/24</f>
        <v>31</v>
      </c>
      <c r="G75" s="13">
        <f t="shared" si="41"/>
        <v>30</v>
      </c>
      <c r="H75" s="13">
        <f t="shared" si="41"/>
        <v>31</v>
      </c>
      <c r="I75" s="13">
        <f t="shared" si="41"/>
        <v>30</v>
      </c>
      <c r="J75" s="13">
        <f t="shared" si="41"/>
        <v>31</v>
      </c>
      <c r="K75" s="13">
        <f t="shared" si="41"/>
        <v>31</v>
      </c>
      <c r="L75" s="13">
        <f t="shared" si="41"/>
        <v>30</v>
      </c>
      <c r="M75" s="13">
        <f t="shared" si="41"/>
        <v>31</v>
      </c>
      <c r="N75" s="13">
        <f t="shared" si="41"/>
        <v>30</v>
      </c>
      <c r="O75" s="13">
        <f t="shared" si="41"/>
        <v>31</v>
      </c>
      <c r="P75" s="13">
        <f t="shared" si="41"/>
        <v>365</v>
      </c>
      <c r="R75" s="9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</row>
    <row r="81" spans="1:205" s="11" customFormat="1" ht="15.75" customHeight="1" x14ac:dyDescent="0.25">
      <c r="A81" s="12"/>
      <c r="B81" s="13"/>
      <c r="C81" s="13"/>
      <c r="D81" s="13"/>
      <c r="E81" s="7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R81" s="9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</row>
  </sheetData>
  <mergeCells count="6">
    <mergeCell ref="A1:P1"/>
    <mergeCell ref="D3:P3"/>
    <mergeCell ref="H70:I70"/>
    <mergeCell ref="A3:A4"/>
    <mergeCell ref="B3:B4"/>
    <mergeCell ref="C3:C4"/>
  </mergeCells>
  <phoneticPr fontId="39" type="noConversion"/>
  <pageMargins left="0.7" right="0.7" top="0.75" bottom="0.75" header="0.3" footer="0.3"/>
  <pageSetup paperSize="448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indexed="47"/>
    <pageSetUpPr fitToPage="1"/>
  </sheetPr>
  <dimension ref="A1:N11"/>
  <sheetViews>
    <sheetView tabSelected="1" workbookViewId="0">
      <selection activeCell="I15" sqref="I15"/>
    </sheetView>
  </sheetViews>
  <sheetFormatPr defaultColWidth="9" defaultRowHeight="15" x14ac:dyDescent="0.25"/>
  <cols>
    <col min="1" max="1" width="14.25" customWidth="1"/>
    <col min="2" max="2" width="12.75" customWidth="1"/>
    <col min="3" max="3" width="11.58203125" customWidth="1"/>
    <col min="4" max="10" width="12.75" customWidth="1"/>
    <col min="11" max="11" width="11.58203125" customWidth="1"/>
    <col min="12" max="13" width="12.75" customWidth="1"/>
    <col min="14" max="14" width="13.83203125" customWidth="1"/>
  </cols>
  <sheetData>
    <row r="1" spans="1:14" x14ac:dyDescent="0.25">
      <c r="A1" t="s">
        <v>242</v>
      </c>
    </row>
    <row r="2" spans="1:14" x14ac:dyDescent="0.25">
      <c r="A2" s="2"/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</row>
    <row r="3" spans="1:14" x14ac:dyDescent="0.25">
      <c r="A3" s="2" t="s">
        <v>85</v>
      </c>
      <c r="B3" s="4">
        <f>果糖!D18</f>
        <v>343.5</v>
      </c>
      <c r="C3" s="4">
        <f>果糖!E18</f>
        <v>52.5</v>
      </c>
      <c r="D3" s="4">
        <f>果糖!F18</f>
        <v>75</v>
      </c>
      <c r="E3" s="4">
        <f>果糖!G18</f>
        <v>107</v>
      </c>
      <c r="F3" s="4">
        <f>果糖!H18</f>
        <v>171</v>
      </c>
      <c r="G3" s="4">
        <f>果糖!I18</f>
        <v>313.5</v>
      </c>
      <c r="H3" s="4">
        <f>果糖!J18</f>
        <v>489.5</v>
      </c>
      <c r="I3" s="4">
        <f>果糖!K18</f>
        <v>457.5</v>
      </c>
      <c r="J3" s="4">
        <f>果糖!L18</f>
        <v>351</v>
      </c>
      <c r="K3" s="4">
        <f>果糖!M18</f>
        <v>327</v>
      </c>
      <c r="L3" s="4">
        <f>果糖!N18</f>
        <v>75</v>
      </c>
      <c r="M3" s="4">
        <f>果糖!O18</f>
        <v>97.5</v>
      </c>
      <c r="N3" s="4">
        <f>果糖!P18</f>
        <v>2860</v>
      </c>
    </row>
    <row r="4" spans="1:14" x14ac:dyDescent="0.25">
      <c r="A4" s="2" t="s">
        <v>89</v>
      </c>
      <c r="B4" s="4">
        <f>果糖!D24</f>
        <v>19000</v>
      </c>
      <c r="C4" s="4">
        <f>果糖!E24</f>
        <v>11000</v>
      </c>
      <c r="D4" s="4">
        <f>果糖!F24</f>
        <v>14000</v>
      </c>
      <c r="E4" s="4">
        <f>果糖!G24</f>
        <v>10000</v>
      </c>
      <c r="F4" s="4">
        <f>果糖!H24</f>
        <v>18000</v>
      </c>
      <c r="G4" s="4">
        <f>果糖!I24</f>
        <v>18000</v>
      </c>
      <c r="H4" s="4">
        <f>果糖!J24</f>
        <v>18000</v>
      </c>
      <c r="I4" s="4">
        <f>果糖!K24</f>
        <v>18000</v>
      </c>
      <c r="J4" s="4">
        <f>果糖!L24</f>
        <v>12000</v>
      </c>
      <c r="K4" s="4">
        <f>果糖!M24</f>
        <v>8000</v>
      </c>
      <c r="L4" s="4">
        <f>果糖!N24</f>
        <v>8000</v>
      </c>
      <c r="M4" s="4">
        <f>果糖!O24</f>
        <v>16000</v>
      </c>
      <c r="N4" s="4">
        <f>果糖!P24</f>
        <v>170000</v>
      </c>
    </row>
    <row r="5" spans="1:14" x14ac:dyDescent="0.25">
      <c r="A5" s="2" t="s">
        <v>243</v>
      </c>
      <c r="B5" s="4">
        <f>果糖!D29</f>
        <v>922.73599999999999</v>
      </c>
      <c r="C5" s="4">
        <f>果糖!E29</f>
        <v>305.95999999999998</v>
      </c>
      <c r="D5" s="4">
        <f>果糖!F29</f>
        <v>456.012</v>
      </c>
      <c r="E5" s="4">
        <f>果糖!G29</f>
        <v>935.72199999999998</v>
      </c>
      <c r="F5" s="4">
        <f>果糖!H29</f>
        <v>698.19200000000001</v>
      </c>
      <c r="G5" s="4">
        <f>果糖!I29</f>
        <v>798.50400000000002</v>
      </c>
      <c r="H5" s="4">
        <f>果糖!J29</f>
        <v>919.13599999999997</v>
      </c>
      <c r="I5" s="4">
        <f>果糖!K29</f>
        <v>907.8</v>
      </c>
      <c r="J5" s="4">
        <f>果糖!L29</f>
        <v>927</v>
      </c>
      <c r="K5" s="4">
        <f>果糖!M29</f>
        <v>535</v>
      </c>
      <c r="L5" s="4">
        <f>果糖!N29</f>
        <v>637</v>
      </c>
      <c r="M5" s="4">
        <f>果糖!O29</f>
        <v>837</v>
      </c>
      <c r="N5" s="4">
        <f>果糖!P29</f>
        <v>8880.0620000000017</v>
      </c>
    </row>
    <row r="6" spans="1:14" x14ac:dyDescent="0.25">
      <c r="A6" s="2" t="s">
        <v>244</v>
      </c>
      <c r="B6" s="4">
        <f>果糖!D30</f>
        <v>0</v>
      </c>
      <c r="C6" s="4">
        <f>果糖!E30</f>
        <v>0</v>
      </c>
      <c r="D6" s="4">
        <f>果糖!F30</f>
        <v>0</v>
      </c>
      <c r="E6" s="4">
        <f>果糖!G30</f>
        <v>0</v>
      </c>
      <c r="F6" s="4">
        <f>果糖!H30</f>
        <v>99</v>
      </c>
      <c r="G6" s="4">
        <f>果糖!I30</f>
        <v>99</v>
      </c>
      <c r="H6" s="4">
        <f>果糖!J30</f>
        <v>99</v>
      </c>
      <c r="I6" s="4">
        <f>果糖!K30</f>
        <v>0</v>
      </c>
      <c r="J6" s="4">
        <f>果糖!L30</f>
        <v>0</v>
      </c>
      <c r="K6" s="4">
        <f>果糖!M30</f>
        <v>0</v>
      </c>
      <c r="L6" s="4">
        <f>果糖!N30</f>
        <v>0</v>
      </c>
      <c r="M6" s="4">
        <f>果糖!O30</f>
        <v>0</v>
      </c>
      <c r="N6" s="4">
        <f>果糖!P30</f>
        <v>297</v>
      </c>
    </row>
    <row r="7" spans="1:14" x14ac:dyDescent="0.25">
      <c r="A7" s="2" t="s">
        <v>109</v>
      </c>
      <c r="B7" s="4">
        <f>混配糖!D18</f>
        <v>2608.64</v>
      </c>
      <c r="C7" s="4">
        <f>混配糖!E18</f>
        <v>702.64</v>
      </c>
      <c r="D7" s="4">
        <f>混配糖!F18</f>
        <v>1063.17</v>
      </c>
      <c r="E7" s="4">
        <f>混配糖!G18</f>
        <v>1959.704</v>
      </c>
      <c r="F7" s="4">
        <f>混配糖!H18</f>
        <v>1820.1559999999999</v>
      </c>
      <c r="G7" s="4">
        <f>混配糖!I18</f>
        <v>1563.68</v>
      </c>
      <c r="H7" s="4">
        <f>混配糖!J18</f>
        <v>2268.1880000000001</v>
      </c>
      <c r="I7" s="4">
        <f>混配糖!K18</f>
        <v>2731.904</v>
      </c>
      <c r="J7" s="4">
        <f>混配糖!L18</f>
        <v>2467.5839999999998</v>
      </c>
      <c r="K7" s="4">
        <f>混配糖!M18</f>
        <v>1978</v>
      </c>
      <c r="L7" s="4">
        <f>混配糖!N18</f>
        <v>2089</v>
      </c>
      <c r="M7" s="4">
        <f>混配糖!O18</f>
        <v>2160</v>
      </c>
      <c r="N7" s="4">
        <f>混配糖!P18</f>
        <v>23412.666000000001</v>
      </c>
    </row>
    <row r="8" spans="1:14" x14ac:dyDescent="0.25">
      <c r="A8" s="2" t="s">
        <v>245</v>
      </c>
      <c r="B8" s="4">
        <f>葡萄糖!D18+葡萄糖!D19</f>
        <v>514</v>
      </c>
      <c r="C8" s="4">
        <f>葡萄糖!E18+葡萄糖!E19</f>
        <v>394</v>
      </c>
      <c r="D8" s="4">
        <f>葡萄糖!F18+葡萄糖!F19</f>
        <v>660</v>
      </c>
      <c r="E8" s="4">
        <f>葡萄糖!G18+葡萄糖!G19</f>
        <v>994</v>
      </c>
      <c r="F8" s="4">
        <f>葡萄糖!H18+葡萄糖!H19</f>
        <v>694</v>
      </c>
      <c r="G8" s="4">
        <f>葡萄糖!I18+葡萄糖!I19</f>
        <v>660</v>
      </c>
      <c r="H8" s="4">
        <f>葡萄糖!J18+葡萄糖!J19</f>
        <v>1260</v>
      </c>
      <c r="I8" s="4">
        <f>葡萄糖!K18+葡萄糖!K19</f>
        <v>1260</v>
      </c>
      <c r="J8" s="4">
        <f>葡萄糖!L18+葡萄糖!L19</f>
        <v>1060</v>
      </c>
      <c r="K8" s="4">
        <f>葡萄糖!M18+葡萄糖!M19</f>
        <v>1094</v>
      </c>
      <c r="L8" s="4">
        <f>葡萄糖!N18+葡萄糖!N19</f>
        <v>994</v>
      </c>
      <c r="M8" s="4">
        <f>葡萄糖!O18+葡萄糖!O19</f>
        <v>894</v>
      </c>
      <c r="N8" s="4">
        <f>葡萄糖!P18+葡萄糖!P19</f>
        <v>10478</v>
      </c>
    </row>
    <row r="9" spans="1:14" x14ac:dyDescent="0.25">
      <c r="A9" s="2" t="s">
        <v>104</v>
      </c>
      <c r="B9" s="4">
        <f>麦芽糖!D18</f>
        <v>450</v>
      </c>
      <c r="C9" s="4">
        <f>麦芽糖!E18</f>
        <v>676</v>
      </c>
      <c r="D9" s="4">
        <f>麦芽糖!F18</f>
        <v>645</v>
      </c>
      <c r="E9" s="4">
        <f>麦芽糖!G18</f>
        <v>966</v>
      </c>
      <c r="F9" s="4">
        <f>麦芽糖!H18</f>
        <v>1002</v>
      </c>
      <c r="G9" s="4">
        <f>麦芽糖!I18</f>
        <v>1454</v>
      </c>
      <c r="H9" s="4">
        <f>麦芽糖!J18</f>
        <v>1520</v>
      </c>
      <c r="I9" s="4">
        <f>麦芽糖!K18</f>
        <v>2087</v>
      </c>
      <c r="J9" s="4">
        <f>麦芽糖!L18</f>
        <v>1541</v>
      </c>
      <c r="K9" s="4">
        <f>麦芽糖!M18</f>
        <v>663</v>
      </c>
      <c r="L9" s="4">
        <f>麦芽糖!N18</f>
        <v>561</v>
      </c>
      <c r="M9" s="4">
        <f>麦芽糖!O18</f>
        <v>981</v>
      </c>
      <c r="N9" s="4">
        <f>麦芽糖!P18</f>
        <v>12546</v>
      </c>
    </row>
    <row r="10" spans="1:14" x14ac:dyDescent="0.25">
      <c r="A10" s="237" t="s">
        <v>248</v>
      </c>
      <c r="B10" s="4">
        <f>麦芽糖!D24</f>
        <v>1600</v>
      </c>
      <c r="C10" s="4">
        <f>麦芽糖!E24</f>
        <v>700</v>
      </c>
      <c r="D10" s="4">
        <f>麦芽糖!F24</f>
        <v>300</v>
      </c>
      <c r="E10" s="4">
        <f>麦芽糖!G24</f>
        <v>300</v>
      </c>
      <c r="F10" s="4">
        <f>麦芽糖!H24</f>
        <v>840</v>
      </c>
      <c r="G10" s="4">
        <f>麦芽糖!I24</f>
        <v>420</v>
      </c>
      <c r="H10" s="4">
        <f>麦芽糖!J24</f>
        <v>480</v>
      </c>
      <c r="I10" s="4">
        <f>麦芽糖!K24</f>
        <v>1620</v>
      </c>
      <c r="J10" s="4">
        <f>麦芽糖!L24</f>
        <v>540</v>
      </c>
      <c r="K10" s="4">
        <f>麦芽糖!M24</f>
        <v>420</v>
      </c>
      <c r="L10" s="4">
        <f>麦芽糖!N24</f>
        <v>600</v>
      </c>
      <c r="M10" s="4">
        <f>麦芽糖!O24</f>
        <v>1620</v>
      </c>
      <c r="N10" s="4">
        <f>麦芽糖!P24</f>
        <v>9440</v>
      </c>
    </row>
    <row r="11" spans="1:14" x14ac:dyDescent="0.25">
      <c r="A11" s="2"/>
      <c r="B11" s="5">
        <f>SUM(B3:B10)</f>
        <v>25438.876</v>
      </c>
      <c r="C11" s="5">
        <f t="shared" ref="C11:N11" si="0">SUM(C3:C10)</f>
        <v>13831.099999999999</v>
      </c>
      <c r="D11" s="5">
        <f t="shared" si="0"/>
        <v>17199.182000000001</v>
      </c>
      <c r="E11" s="5">
        <f t="shared" si="0"/>
        <v>15262.425999999999</v>
      </c>
      <c r="F11" s="5">
        <f t="shared" si="0"/>
        <v>23324.347999999998</v>
      </c>
      <c r="G11" s="5">
        <f t="shared" si="0"/>
        <v>23308.684000000001</v>
      </c>
      <c r="H11" s="5">
        <f t="shared" si="0"/>
        <v>25035.824000000001</v>
      </c>
      <c r="I11" s="5">
        <f t="shared" si="0"/>
        <v>27064.203999999998</v>
      </c>
      <c r="J11" s="5">
        <f t="shared" si="0"/>
        <v>18886.583999999999</v>
      </c>
      <c r="K11" s="5">
        <f t="shared" si="0"/>
        <v>13017</v>
      </c>
      <c r="L11" s="5">
        <f t="shared" si="0"/>
        <v>12956</v>
      </c>
      <c r="M11" s="5">
        <f t="shared" si="0"/>
        <v>22589.5</v>
      </c>
      <c r="N11" s="5">
        <f t="shared" si="0"/>
        <v>237913.728</v>
      </c>
    </row>
  </sheetData>
  <phoneticPr fontId="3" type="noConversion"/>
  <pageMargins left="0.7" right="0.7" top="0.75" bottom="0.75" header="0.3" footer="0.3"/>
  <pageSetup paperSize="9" scale="68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indexed="47"/>
  </sheetPr>
  <dimension ref="A1:O9"/>
  <sheetViews>
    <sheetView workbookViewId="0">
      <selection activeCell="K19" sqref="K19"/>
    </sheetView>
  </sheetViews>
  <sheetFormatPr defaultColWidth="9" defaultRowHeight="15" x14ac:dyDescent="0.25"/>
  <cols>
    <col min="1" max="1" width="14.33203125" customWidth="1"/>
    <col min="2" max="10" width="12.58203125" style="1" customWidth="1"/>
    <col min="11" max="11" width="11.5" style="1" customWidth="1"/>
    <col min="12" max="13" width="12.58203125" style="1" customWidth="1"/>
    <col min="14" max="14" width="13.75" style="1" customWidth="1"/>
    <col min="15" max="15" width="11.5" style="1" customWidth="1"/>
  </cols>
  <sheetData>
    <row r="1" spans="1:15" x14ac:dyDescent="0.25">
      <c r="A1" t="s">
        <v>246</v>
      </c>
    </row>
    <row r="2" spans="1:15" x14ac:dyDescent="0.25"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</row>
    <row r="3" spans="1:15" x14ac:dyDescent="0.25">
      <c r="A3" t="s">
        <v>36</v>
      </c>
      <c r="O3" s="1" t="s">
        <v>38</v>
      </c>
    </row>
    <row r="4" spans="1:15" x14ac:dyDescent="0.25">
      <c r="A4" t="s">
        <v>44</v>
      </c>
    </row>
    <row r="5" spans="1:15" x14ac:dyDescent="0.25">
      <c r="A5" t="s">
        <v>247</v>
      </c>
    </row>
    <row r="6" spans="1:15" x14ac:dyDescent="0.25">
      <c r="A6" t="s">
        <v>46</v>
      </c>
    </row>
    <row r="7" spans="1:15" x14ac:dyDescent="0.25">
      <c r="A7" t="s">
        <v>101</v>
      </c>
    </row>
    <row r="8" spans="1:15" x14ac:dyDescent="0.25">
      <c r="A8" t="s">
        <v>106</v>
      </c>
    </row>
    <row r="9" spans="1:15" x14ac:dyDescent="0.25">
      <c r="A9" t="s">
        <v>18</v>
      </c>
      <c r="B9" s="1">
        <f>SUM(B3:B8)</f>
        <v>0</v>
      </c>
      <c r="C9" s="1">
        <f t="shared" ref="C9:N9" si="0">SUM(C3:C8)</f>
        <v>0</v>
      </c>
      <c r="D9" s="1">
        <f t="shared" si="0"/>
        <v>0</v>
      </c>
      <c r="E9" s="1">
        <f t="shared" si="0"/>
        <v>0</v>
      </c>
      <c r="F9" s="1">
        <f t="shared" si="0"/>
        <v>0</v>
      </c>
      <c r="G9" s="1">
        <f t="shared" si="0"/>
        <v>0</v>
      </c>
      <c r="H9" s="1">
        <f t="shared" si="0"/>
        <v>0</v>
      </c>
      <c r="I9" s="1">
        <f t="shared" si="0"/>
        <v>0</v>
      </c>
      <c r="J9" s="1">
        <f t="shared" si="0"/>
        <v>0</v>
      </c>
      <c r="K9" s="1">
        <f t="shared" si="0"/>
        <v>0</v>
      </c>
      <c r="L9" s="1">
        <f t="shared" si="0"/>
        <v>0</v>
      </c>
      <c r="M9" s="1">
        <f t="shared" si="0"/>
        <v>0</v>
      </c>
      <c r="N9" s="1">
        <f t="shared" si="0"/>
        <v>0</v>
      </c>
    </row>
  </sheetData>
  <phoneticPr fontId="3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14</vt:i4>
      </vt:variant>
    </vt:vector>
  </HeadingPairs>
  <TitlesOfParts>
    <vt:vector size="25" baseType="lpstr">
      <vt:lpstr>果糖</vt:lpstr>
      <vt:lpstr>葡萄糖</vt:lpstr>
      <vt:lpstr>麦芽糖</vt:lpstr>
      <vt:lpstr>锅炉工段</vt:lpstr>
      <vt:lpstr>污水</vt:lpstr>
      <vt:lpstr>能源消耗</vt:lpstr>
      <vt:lpstr>果糖一线</vt:lpstr>
      <vt:lpstr>果糖二线</vt:lpstr>
      <vt:lpstr>混配糖</vt:lpstr>
      <vt:lpstr>Sheet2</vt:lpstr>
      <vt:lpstr>Sheet1</vt:lpstr>
      <vt:lpstr>锅炉工段!Print_Area</vt:lpstr>
      <vt:lpstr>果糖!Print_Area</vt:lpstr>
      <vt:lpstr>果糖二线!Print_Area</vt:lpstr>
      <vt:lpstr>果糖一线!Print_Area</vt:lpstr>
      <vt:lpstr>麦芽糖!Print_Area</vt:lpstr>
      <vt:lpstr>能源消耗!Print_Area</vt:lpstr>
      <vt:lpstr>葡萄糖!Print_Area</vt:lpstr>
      <vt:lpstr>污水!Print_Area</vt:lpstr>
      <vt:lpstr>果糖!Print_Titles</vt:lpstr>
      <vt:lpstr>果糖二线!Print_Titles</vt:lpstr>
      <vt:lpstr>果糖一线!Print_Titles</vt:lpstr>
      <vt:lpstr>麦芽糖!Print_Titles</vt:lpstr>
      <vt:lpstr>能源消耗!Print_Titles</vt:lpstr>
      <vt:lpstr>葡萄糖!Print_Titles</vt:lpstr>
    </vt:vector>
  </TitlesOfParts>
  <Company>WwW.YlmF.CoM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ranxiaoli1@outlook.com</cp:lastModifiedBy>
  <cp:lastPrinted>2023-09-22T07:33:00Z</cp:lastPrinted>
  <dcterms:created xsi:type="dcterms:W3CDTF">2008-09-11T03:23:00Z</dcterms:created>
  <dcterms:modified xsi:type="dcterms:W3CDTF">2024-12-30T10:44:40Z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ICV">
    <vt:lpwstr>BC9FC7D56C854870B807BA93261AB978</vt:lpwstr>
  </property>
  <property fmtid="{D5CDD505-2E9C-101B-9397-08002B2CF9AE}" pid="4" name="KSOProductBuildVer">
    <vt:lpwstr>2052-12.1.0.18240</vt:lpwstr>
  </property>
  <property fmtid="{D5CDD505-2E9C-101B-9397-08002B2CF9AE}" pid="5" name="SV_HIDDEN_GRID_QUERY_LIST_4F35BF76-6C0D-4D9B-82B2-816C12CF3733">
    <vt:lpwstr>empty_477D106A-C0D6-4607-AEBD-E2C9D60EA279</vt:lpwstr>
  </property>
</Properties>
</file>