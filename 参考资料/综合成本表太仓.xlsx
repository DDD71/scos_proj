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220" windowHeight="15285" tabRatio="918" activeTab="14"/>
  </bookViews>
  <sheets>
    <sheet name="目录" sheetId="28" r:id="rId1"/>
    <sheet name="说明" sheetId="68" r:id="rId2"/>
    <sheet name="装置汇总" sheetId="89" r:id="rId3"/>
    <sheet name="装置汇总-含税" sheetId="88" r:id="rId4"/>
    <sheet name="F60" sheetId="75" state="hidden" r:id="rId5"/>
    <sheet name="F55" sheetId="83" state="hidden" r:id="rId6"/>
    <sheet name="果糖汇总" sheetId="90" state="hidden" r:id="rId7"/>
    <sheet name="专用糖" sheetId="87" state="hidden" r:id="rId8"/>
    <sheet name="F90" sheetId="119" state="hidden" r:id="rId9"/>
    <sheet name="果糖汇总-含税" sheetId="91" r:id="rId10"/>
    <sheet name="专用糖-含税" sheetId="86" r:id="rId11"/>
    <sheet name="风味糖-含税" sheetId="95" r:id="rId12"/>
    <sheet name="调味糖-含税" sheetId="113" r:id="rId13"/>
    <sheet name="F42-含税" sheetId="84" r:id="rId14"/>
    <sheet name="F55-含税" sheetId="82" r:id="rId15"/>
    <sheet name="F60-含税" sheetId="74" r:id="rId16"/>
    <sheet name="F90-含税 " sheetId="117" r:id="rId17"/>
    <sheet name="F55小包装-含税 " sheetId="108" r:id="rId18"/>
    <sheet name="果糖汇总-含税-pt" sheetId="101" r:id="rId19"/>
    <sheet name="专用糖-含税-pt" sheetId="102" r:id="rId20"/>
    <sheet name="风味糖-含税-pt" sheetId="106" r:id="rId21"/>
    <sheet name="调味糖" sheetId="114" state="hidden" r:id="rId22"/>
    <sheet name="调味糖-含税-pt" sheetId="115" r:id="rId23"/>
    <sheet name="F42-含税-pt" sheetId="103" r:id="rId24"/>
    <sheet name="F55-含税-pt" sheetId="104" r:id="rId25"/>
    <sheet name="F60-含税-pt" sheetId="105" r:id="rId26"/>
    <sheet name="F90-含税-pt" sheetId="120" r:id="rId27"/>
    <sheet name="果糖小包装-含税-pt" sheetId="107" r:id="rId28"/>
    <sheet name="F55小包装" sheetId="109" state="hidden" r:id="rId29"/>
    <sheet name="F42" sheetId="85" state="hidden" r:id="rId30"/>
    <sheet name="风味糖" sheetId="96" state="hidden" r:id="rId31"/>
    <sheet name="分配表" sheetId="81" r:id="rId32"/>
    <sheet name="基础表" sheetId="66" r:id="rId33"/>
    <sheet name="销售收入及运费" sheetId="39" r:id="rId34"/>
    <sheet name="调+风灌装损耗" sheetId="116" r:id="rId35"/>
    <sheet name="PPT" sheetId="110" r:id="rId36"/>
  </sheets>
  <definedNames>
    <definedName name="_xlnm._FilterDatabase" localSheetId="34" hidden="1">'调+风灌装损耗'!$Q$1:$AD$19</definedName>
    <definedName name="mth">目录!$C$1</definedName>
    <definedName name="SAPBEXsysID" hidden="1">"BW1"</definedName>
    <definedName name="SAPBEXwbID" hidden="1">"8DZFG4M4NA6MVVGNLO7J4SRAY"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沈林梅</author>
    <author>Shenlinmei</author>
    <author>VIP6</author>
  </authors>
  <commentList>
    <comment ref="A397" authorId="0">
      <text>
        <r>
          <rPr>
            <b/>
            <sz val="9"/>
            <rFont val="宋体"/>
            <charset val="134"/>
          </rPr>
          <t>不含折旧人工</t>
        </r>
      </text>
    </comment>
    <comment ref="A412" authorId="1">
      <text>
        <r>
          <rPr>
            <b/>
            <sz val="9"/>
            <rFont val="宋体"/>
            <charset val="134"/>
          </rPr>
          <t>+研发</t>
        </r>
      </text>
    </comment>
    <comment ref="A425" authorId="0">
      <text>
        <r>
          <rPr>
            <b/>
            <sz val="9"/>
            <rFont val="宋体"/>
            <charset val="134"/>
          </rPr>
          <t>辅助生产</t>
        </r>
      </text>
    </comment>
    <comment ref="A427" authorId="0">
      <text>
        <r>
          <rPr>
            <b/>
            <sz val="9"/>
            <rFont val="宋体"/>
            <charset val="134"/>
          </rPr>
          <t>间接生产</t>
        </r>
      </text>
    </comment>
    <comment ref="A429" authorId="1">
      <text>
        <r>
          <rPr>
            <b/>
            <sz val="9"/>
            <rFont val="宋体"/>
            <charset val="134"/>
          </rPr>
          <t>Shenlinmei:</t>
        </r>
        <r>
          <rPr>
            <sz val="9"/>
            <rFont val="宋体"/>
            <charset val="134"/>
          </rPr>
          <t xml:space="preserve">
+研发</t>
        </r>
      </text>
    </comment>
    <comment ref="H438" authorId="2">
      <text>
        <r>
          <rPr>
            <sz val="9"/>
            <rFont val="宋体"/>
            <charset val="134"/>
          </rPr>
          <t xml:space="preserve">修理费27万元
</t>
        </r>
      </text>
    </comment>
    <comment ref="H439" authorId="2">
      <text>
        <r>
          <rPr>
            <sz val="9"/>
            <rFont val="宋体"/>
            <charset val="134"/>
          </rPr>
          <t>修理费16万元</t>
        </r>
      </text>
    </comment>
    <comment ref="H441" authorId="2">
      <text>
        <r>
          <rPr>
            <b/>
            <sz val="9"/>
            <rFont val="宋体"/>
            <charset val="134"/>
          </rPr>
          <t>原辅料仓库修理费17万元</t>
        </r>
        <r>
          <rPr>
            <sz val="9"/>
            <rFont val="宋体"/>
            <charset val="134"/>
          </rPr>
          <t xml:space="preserve">
</t>
        </r>
      </text>
    </comment>
    <comment ref="H450" authorId="2">
      <text>
        <r>
          <rPr>
            <sz val="9"/>
            <rFont val="宋体"/>
            <charset val="134"/>
          </rPr>
          <t xml:space="preserve">专用糖仓库修复14万元
</t>
        </r>
      </text>
    </comment>
    <comment ref="A454" authorId="0">
      <text>
        <r>
          <rPr>
            <b/>
            <sz val="9"/>
            <rFont val="宋体"/>
            <charset val="134"/>
          </rPr>
          <t>含研发</t>
        </r>
      </text>
    </comment>
    <comment ref="A473" authorId="1">
      <text>
        <r>
          <rPr>
            <b/>
            <sz val="9"/>
            <rFont val="宋体"/>
            <charset val="134"/>
          </rPr>
          <t>Shenlinmei:</t>
        </r>
        <r>
          <rPr>
            <sz val="9"/>
            <rFont val="宋体"/>
            <charset val="134"/>
          </rPr>
          <t xml:space="preserve">
其他收益</t>
        </r>
      </text>
    </comment>
  </commentList>
</comments>
</file>

<file path=xl/comments2.xml><?xml version="1.0" encoding="utf-8"?>
<comments xmlns="http://schemas.openxmlformats.org/spreadsheetml/2006/main">
  <authors>
    <author>沈林梅</author>
    <author>VIP6</author>
  </authors>
  <commentList>
    <comment ref="A164" authorId="0">
      <text>
        <r>
          <rPr>
            <sz val="9"/>
            <rFont val="宋体"/>
            <charset val="134"/>
          </rPr>
          <t xml:space="preserve">吨箱袋
</t>
        </r>
      </text>
    </comment>
    <comment ref="H222" authorId="1">
      <text>
        <r>
          <rPr>
            <sz val="9"/>
            <rFont val="宋体"/>
            <charset val="134"/>
          </rPr>
          <t>减风味糖运费252391.74</t>
        </r>
      </text>
    </comment>
    <comment ref="A230" authorId="0">
      <text>
        <r>
          <rPr>
            <sz val="9"/>
            <rFont val="宋体"/>
            <charset val="134"/>
          </rPr>
          <t xml:space="preserve">吨箱袋
</t>
        </r>
      </text>
    </comment>
    <comment ref="H245" authorId="1">
      <text>
        <r>
          <rPr>
            <sz val="9"/>
            <rFont val="宋体"/>
            <charset val="134"/>
          </rPr>
          <t xml:space="preserve">减去运费252391.74
</t>
        </r>
      </text>
    </comment>
    <comment ref="A250" authorId="0">
      <text>
        <r>
          <rPr>
            <sz val="9"/>
            <rFont val="宋体"/>
            <charset val="134"/>
          </rPr>
          <t xml:space="preserve">吨箱袋
</t>
        </r>
      </text>
    </comment>
  </commentList>
</comments>
</file>

<file path=xl/sharedStrings.xml><?xml version="1.0" encoding="utf-8"?>
<sst xmlns="http://schemas.openxmlformats.org/spreadsheetml/2006/main" count="11197" uniqueCount="832">
  <si>
    <t>公司名称：融氏公司</t>
  </si>
  <si>
    <t>序  号</t>
  </si>
  <si>
    <t>报表名称</t>
  </si>
  <si>
    <t>备   注</t>
  </si>
  <si>
    <t>编制说明</t>
  </si>
  <si>
    <t>与账面对比</t>
  </si>
  <si>
    <t>分销</t>
  </si>
  <si>
    <t>所有装置汇总-含税</t>
  </si>
  <si>
    <t>果糖装置汇总-含税</t>
  </si>
  <si>
    <t>麦芽糖浆-含税</t>
  </si>
  <si>
    <t>F55-含税</t>
  </si>
  <si>
    <t>F55OEM-含税</t>
  </si>
  <si>
    <t>F42-含税</t>
  </si>
  <si>
    <t>F60-含税</t>
  </si>
  <si>
    <t>成本分配表</t>
  </si>
  <si>
    <t>基础表</t>
  </si>
  <si>
    <t>销售收入与运费表</t>
  </si>
  <si>
    <t xml:space="preserve"> </t>
  </si>
  <si>
    <t>编制说明：</t>
  </si>
  <si>
    <t>表格</t>
  </si>
  <si>
    <t>项目</t>
  </si>
  <si>
    <t>说明</t>
  </si>
  <si>
    <t>基础表：</t>
  </si>
  <si>
    <t>产量</t>
  </si>
  <si>
    <t>包括商品量绝干量，绝干比例</t>
  </si>
  <si>
    <t>淀粉</t>
  </si>
  <si>
    <r>
      <rPr>
        <sz val="12"/>
        <rFont val="宋体"/>
        <charset val="134"/>
      </rPr>
      <t>只录入自投部分淀粉消耗量、消耗成本；还需录入淀粉水分，以折算折成1</t>
    </r>
    <r>
      <rPr>
        <sz val="12"/>
        <rFont val="宋体"/>
        <charset val="134"/>
      </rPr>
      <t>3个水的淀粉消耗量、单位成本</t>
    </r>
  </si>
  <si>
    <t>辅料</t>
  </si>
  <si>
    <r>
      <rPr>
        <sz val="12"/>
        <rFont val="宋体"/>
        <charset val="134"/>
      </rPr>
      <t>存在联产产品的，如果F</t>
    </r>
    <r>
      <rPr>
        <sz val="12"/>
        <rFont val="宋体"/>
        <charset val="134"/>
      </rPr>
      <t>42/葡萄糖浆的消耗是定额的，则需要录入定额消耗，如果全部按照绝干比例分配的，则不需要录入</t>
    </r>
  </si>
  <si>
    <t>树脂没有消耗，但有成本，衡水需要将计入在建的成本分摊</t>
  </si>
  <si>
    <t>动力能源</t>
  </si>
  <si>
    <t>蒸汽</t>
  </si>
  <si>
    <t>电</t>
  </si>
  <si>
    <t>水</t>
  </si>
  <si>
    <t>天然气</t>
  </si>
  <si>
    <t>污水</t>
  </si>
  <si>
    <t>固定成本：</t>
  </si>
  <si>
    <t>折旧</t>
  </si>
  <si>
    <t>需要分车间、管理费用、销售费用</t>
  </si>
  <si>
    <t>人工</t>
  </si>
  <si>
    <t>需要分车间、管理费用、销售费用，需要含外包劳务，但不含装卸运输费的劳务</t>
  </si>
  <si>
    <t>制造费用</t>
  </si>
  <si>
    <t>录入总制造费用，减去人工、折旧，如果有外包劳务，需要录入并减去，但装卸费、运输费的劳务不减去。</t>
  </si>
  <si>
    <t>管理费用</t>
  </si>
  <si>
    <t>录入总管理费用，减去人工、折旧、保安保洁的劳务</t>
  </si>
  <si>
    <t>销售费用</t>
  </si>
  <si>
    <t>录入总制造费用，减去人工、折旧、运输费</t>
  </si>
  <si>
    <t>财务费用</t>
  </si>
  <si>
    <t>包含利息、手续费支出，汇兑损益在其他项目中</t>
  </si>
  <si>
    <t>其他</t>
  </si>
  <si>
    <t>包含营业外收支（不含大额补贴）、汇兑损益、营业税金及附加</t>
  </si>
  <si>
    <t>分配表：</t>
  </si>
  <si>
    <t>原料、辅料、动力能源</t>
  </si>
  <si>
    <t>对于有消耗数量、消耗成本的，分配表只分配数量，展现表成本用单价*数量计算得出
只有消耗成本的，如污水、固定成本，</t>
  </si>
  <si>
    <t>辅料消耗，如果F42采用定额，则F42的辅料消耗量需要在基础表中录入，
如果F42辅料消耗量按照绝干量分配，则不需要录入，各企业需要特别注意。</t>
  </si>
  <si>
    <t>污水、树脂及固定成本</t>
  </si>
  <si>
    <t>分配表直接分配成本</t>
  </si>
  <si>
    <t>目前为按照绝干产量分配，也可以按照产值分配。</t>
  </si>
  <si>
    <t>其他固定成本只分配给果葡糖浆正常产品</t>
  </si>
  <si>
    <t>展现表</t>
  </si>
  <si>
    <t>分产品表：</t>
  </si>
  <si>
    <t>收入与运费：从销售收入与运费表中取数。销售收入、运输费总额为单吨运费*产量，总数与账面运费由差异</t>
  </si>
  <si>
    <t>原辅料、动力能源：从分配表中取单价、总消耗；单耗为总消耗除以总产量；F42表直接取F55的单价；</t>
  </si>
  <si>
    <t>原辅料、动力能源的总成本、收入为单价、单位成本与产量的乘积</t>
  </si>
  <si>
    <t>各项固定成本、辅料中的树脂总成本直接从分配表取数，单位成本为总成本除以总产量</t>
  </si>
  <si>
    <t>汇总表：</t>
  </si>
  <si>
    <t>汇总F55、F55(OEM)、F42；总产量统一折成77%干物；</t>
  </si>
  <si>
    <t>汇总表的总成本、总消耗为各分产品的总成本、总消耗之和；各项单耗为总消耗除以总产量</t>
  </si>
  <si>
    <t>由于F55（OEM）各项消耗没有分开列示，故汇总表辅料、动力能源从分配表中取数。</t>
  </si>
  <si>
    <t>淀粉消耗量只包括F55、F42消耗量，故汇总表的单耗偏低。</t>
  </si>
  <si>
    <t>不含税表与含税表</t>
  </si>
  <si>
    <t>含税表从不含税表中取数，涉及价格的乘以税率，不涉及价格的直接取数</t>
  </si>
  <si>
    <t>含税表中的增值税为测算税额，部分不重要项目增值税税率不必与实际税率完全一致</t>
  </si>
  <si>
    <t>全部产品</t>
  </si>
  <si>
    <t>本月产量：</t>
  </si>
  <si>
    <t>吨</t>
  </si>
  <si>
    <t>本年产量：</t>
  </si>
  <si>
    <t>单位</t>
  </si>
  <si>
    <t>单价</t>
  </si>
  <si>
    <t>单耗</t>
  </si>
  <si>
    <t>单位成本</t>
  </si>
  <si>
    <t>总耗量</t>
  </si>
  <si>
    <t>总成本</t>
  </si>
  <si>
    <t>一、收入</t>
  </si>
  <si>
    <t>（一）销售价格</t>
  </si>
  <si>
    <t>（二）物流费</t>
  </si>
  <si>
    <t>1、运费</t>
  </si>
  <si>
    <t>2、包装费、租赁费等</t>
  </si>
  <si>
    <t>二、变动成本</t>
  </si>
  <si>
    <t>(一)淀粉</t>
  </si>
  <si>
    <t>1、淀粉(14%)</t>
  </si>
  <si>
    <t>2、淀粉糖</t>
  </si>
  <si>
    <t>(二）辅料</t>
  </si>
  <si>
    <t>(三)包装物</t>
  </si>
  <si>
    <t>(四)动力能源</t>
  </si>
  <si>
    <t>1、蒸汽</t>
  </si>
  <si>
    <t>2、电</t>
  </si>
  <si>
    <t>度</t>
  </si>
  <si>
    <t>3、水</t>
  </si>
  <si>
    <t>4、其他</t>
  </si>
  <si>
    <t>M3</t>
  </si>
  <si>
    <t>(五)排污费</t>
  </si>
  <si>
    <t xml:space="preserve">  1.污水处理</t>
  </si>
  <si>
    <t xml:space="preserve">  2.污水固定成本</t>
  </si>
  <si>
    <t>(六)增值税</t>
  </si>
  <si>
    <t>三、边际贡献</t>
  </si>
  <si>
    <t>四、固定成本</t>
  </si>
  <si>
    <t>（一）折旧与摊销</t>
  </si>
  <si>
    <t>（二）工资</t>
  </si>
  <si>
    <t>（三）制造费用</t>
  </si>
  <si>
    <t>（四）销售费用</t>
  </si>
  <si>
    <t>（五）管理费用</t>
  </si>
  <si>
    <t>（六）财务费用</t>
  </si>
  <si>
    <t>（七）其他</t>
  </si>
  <si>
    <t>（七） 其他</t>
  </si>
  <si>
    <t xml:space="preserve">  其中：税金及附加</t>
  </si>
  <si>
    <t xml:space="preserve">        其他业务收支</t>
  </si>
  <si>
    <t xml:space="preserve">        营业外收支</t>
  </si>
  <si>
    <t xml:space="preserve">        投资收益+公允价值变动损益</t>
  </si>
  <si>
    <t xml:space="preserve">        其他收益</t>
  </si>
  <si>
    <t xml:space="preserve">        资产减值损失</t>
  </si>
  <si>
    <t xml:space="preserve">        其他</t>
  </si>
  <si>
    <t>五、完全成本</t>
  </si>
  <si>
    <t>元</t>
  </si>
  <si>
    <t>六、利润总额</t>
  </si>
  <si>
    <t>七、现金流</t>
  </si>
  <si>
    <t>加工费</t>
  </si>
  <si>
    <t xml:space="preserve">        其他业务收支-糖渣</t>
  </si>
  <si>
    <t>本月折77固形物产量：</t>
  </si>
  <si>
    <t>本年折77固形物产量：</t>
  </si>
  <si>
    <t>(二)辅助材料</t>
  </si>
  <si>
    <t>含税与不含税校验</t>
  </si>
  <si>
    <t>check</t>
  </si>
  <si>
    <t>本月产量</t>
  </si>
  <si>
    <t>本年产量</t>
  </si>
  <si>
    <t>（二）运费</t>
  </si>
  <si>
    <t>　　盐酸(折百)</t>
  </si>
  <si>
    <t>　　氢氧化钠(折百)</t>
  </si>
  <si>
    <t>　　硅藻土</t>
  </si>
  <si>
    <t>　　活性炭</t>
  </si>
  <si>
    <t>　  淀粉酶</t>
  </si>
  <si>
    <t>　　复合糖化酶</t>
  </si>
  <si>
    <t>　　异构酶</t>
  </si>
  <si>
    <t>　　硫酸镁(食品级)</t>
  </si>
  <si>
    <t>　　焦亚硫酸钠(食品级)</t>
  </si>
  <si>
    <t>　　焦亚硫酸钠</t>
  </si>
  <si>
    <t>　　树脂</t>
  </si>
  <si>
    <t xml:space="preserve">   其他</t>
  </si>
  <si>
    <t>自产部分</t>
  </si>
  <si>
    <t>自产产量</t>
  </si>
  <si>
    <t>　　硫酸镁</t>
  </si>
  <si>
    <t xml:space="preserve">    其他</t>
  </si>
  <si>
    <t>活性炭</t>
  </si>
  <si>
    <t>食用级盐酸（折百）</t>
  </si>
  <si>
    <t>食用级液碱（折百）</t>
  </si>
  <si>
    <t>纯碱</t>
  </si>
  <si>
    <t>真菌酶</t>
  </si>
  <si>
    <t>2X型高温酶</t>
  </si>
  <si>
    <t>普鲁兰酶</t>
  </si>
  <si>
    <t>β淀粉酶</t>
  </si>
  <si>
    <t>DX1.5X强效糖化酶</t>
  </si>
  <si>
    <t>转甘酶</t>
  </si>
  <si>
    <t>葡糖淀粉酶</t>
  </si>
  <si>
    <t>麦芽糖淀粉酶</t>
  </si>
  <si>
    <t>4、天然气</t>
  </si>
  <si>
    <t>(四)污水</t>
  </si>
  <si>
    <t>(五)增值税</t>
  </si>
  <si>
    <t>公斤</t>
  </si>
  <si>
    <t>L</t>
  </si>
  <si>
    <t>(一)直接材料</t>
  </si>
  <si>
    <t>F42果葡糖浆_半成品_71%</t>
  </si>
  <si>
    <t>F55果葡糖浆_半成品_77.0%</t>
  </si>
  <si>
    <t>F60果葡糖浆_半成品_77%</t>
  </si>
  <si>
    <t>麦芽糖M-70_半成品_75.5%</t>
  </si>
  <si>
    <t>麦芽糖浆42DE_半成品_80.3%</t>
  </si>
  <si>
    <t>麦芽糖浆（M40)_半成品_73.5%</t>
  </si>
  <si>
    <t>产成品及其他</t>
  </si>
  <si>
    <t>灌装损耗</t>
  </si>
  <si>
    <t>无碘盐|通用|通用|食品级</t>
  </si>
  <si>
    <t>柠檬酸钠_细目_优质</t>
  </si>
  <si>
    <t>白砂糖|50㎏|一级</t>
  </si>
  <si>
    <t>红糖|25㎏</t>
  </si>
  <si>
    <t>白砂糖|50㎏|精制</t>
  </si>
  <si>
    <t>黑糖|25㎏|一级</t>
  </si>
  <si>
    <t>焦糖糖浆_罗盖特_SRC-8S7301_通用</t>
  </si>
  <si>
    <t>焦糖糖浆_罗盖特_SRC-3380_通用</t>
  </si>
  <si>
    <t>山梨酸钾_通用_食品级_通用</t>
  </si>
  <si>
    <t>玫瑰粉_通用_速溶_通用</t>
  </si>
  <si>
    <t>麦芽提取物_通用_固体黑麦精_通用</t>
  </si>
  <si>
    <t>甜蜜素_通用_干燥减量≤0.5%_食品级</t>
  </si>
  <si>
    <t>三氯蔗糖_通用_通用_食品级</t>
  </si>
  <si>
    <t>单晶体冰糖_99%</t>
  </si>
  <si>
    <t>金砂糖_通用_通用_通用</t>
  </si>
  <si>
    <t>无水柠檬酸_细目_含量≥99.5%</t>
  </si>
  <si>
    <t>L-阿拉伯糖_通用_通用_通用</t>
  </si>
  <si>
    <t>安赛蜜_通用_食品级_通用</t>
  </si>
  <si>
    <t>天然玫瑰味香精_通用_通用_食品级</t>
  </si>
  <si>
    <t>薄荷香精_通用_通用</t>
  </si>
  <si>
    <t>柠檬浓缩汁_通用</t>
  </si>
  <si>
    <t>甘草酸铵_通用</t>
  </si>
  <si>
    <t>藏青盐</t>
  </si>
  <si>
    <t>食用香精_通用_液体香精_GB30616-2020</t>
  </si>
  <si>
    <t>其它香精_通用_液体香精_SHRS0140</t>
  </si>
  <si>
    <t>苯甲酸钠_通用_通用_通用</t>
  </si>
  <si>
    <t>其它香精_通用_液体香精_SHRS0100</t>
  </si>
  <si>
    <t>焦糖色_通用_GB1886.64-2015_通用</t>
  </si>
  <si>
    <t>甘蔗多酚_通用</t>
  </si>
  <si>
    <t xml:space="preserve">    淀粉酶</t>
  </si>
  <si>
    <t>(三)动力能源</t>
  </si>
  <si>
    <t>5、排污费</t>
  </si>
  <si>
    <t>(四)增值税</t>
  </si>
  <si>
    <t>(五)税金及附加</t>
  </si>
  <si>
    <t>(六)糖渣</t>
  </si>
  <si>
    <t>(五)污水</t>
  </si>
  <si>
    <t>固定产能</t>
  </si>
  <si>
    <t>占比</t>
  </si>
  <si>
    <t>果糖装置（新线）</t>
  </si>
  <si>
    <t>分装置比例</t>
  </si>
  <si>
    <t>糖浆装置（老线）</t>
  </si>
  <si>
    <t>各装置固定产能比例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</si>
  <si>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</si>
  <si>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</si>
  <si>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</si>
  <si>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</si>
  <si>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</si>
  <si>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</si>
  <si>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</si>
  <si>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</si>
  <si>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</si>
  <si>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</si>
  <si>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</si>
  <si>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</si>
  <si>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</si>
  <si>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各装置实际产量比例</t>
  </si>
  <si>
    <t>其中:F55</t>
  </si>
  <si>
    <t xml:space="preserve">     F55OEM</t>
  </si>
  <si>
    <t xml:space="preserve">     F55-软加工</t>
  </si>
  <si>
    <t xml:space="preserve">     F42</t>
  </si>
  <si>
    <t xml:space="preserve">     F60</t>
  </si>
  <si>
    <t xml:space="preserve">     F90</t>
  </si>
  <si>
    <t>风味糖+调味糖</t>
  </si>
  <si>
    <t>其中：风味糖</t>
  </si>
  <si>
    <t>其中：调味糖</t>
  </si>
  <si>
    <t>果糖装置水电气分摊比例</t>
  </si>
  <si>
    <t>糖浆装置公共费用分摊比例</t>
  </si>
  <si>
    <t>其中：麦芽糖浆-老线</t>
  </si>
  <si>
    <t xml:space="preserve">     风味糖</t>
  </si>
  <si>
    <t xml:space="preserve">     调味糖</t>
  </si>
  <si>
    <t>污水分摊比例</t>
  </si>
  <si>
    <t>污水处理量</t>
  </si>
  <si>
    <t>项     目</t>
  </si>
  <si>
    <t>消耗量分配：</t>
  </si>
  <si>
    <t>F55</t>
  </si>
  <si>
    <t>F55OEM</t>
  </si>
  <si>
    <t>F55-软加工</t>
  </si>
  <si>
    <t>F42</t>
  </si>
  <si>
    <t>F60</t>
  </si>
  <si>
    <t>F90</t>
  </si>
  <si>
    <t>麦芽糖浆-老线</t>
  </si>
  <si>
    <t>消耗量分配：F55</t>
  </si>
  <si>
    <t>消耗量分配：OEM</t>
  </si>
  <si>
    <t>　　纯碱</t>
  </si>
  <si>
    <t>消耗量分配：软加工</t>
  </si>
  <si>
    <t>消耗量分配：F42</t>
  </si>
  <si>
    <t>消耗量分配：F60</t>
  </si>
  <si>
    <t>消耗量分配：F90</t>
  </si>
  <si>
    <t>果糖装置树脂成本</t>
  </si>
  <si>
    <t>分配：</t>
  </si>
  <si>
    <t>F55软加工</t>
  </si>
  <si>
    <t>果糖装置其他辅料成本</t>
  </si>
  <si>
    <t>其他辅料</t>
  </si>
  <si>
    <t>辅料成本（数量）-糖浆老线</t>
  </si>
  <si>
    <t xml:space="preserve">    纯碱</t>
  </si>
  <si>
    <t>辅料单价(不含税）</t>
  </si>
  <si>
    <t>辅料单价(含税）</t>
  </si>
  <si>
    <t>辅料消总成本-专用糖装置（不含税）</t>
  </si>
  <si>
    <t>果糖</t>
  </si>
  <si>
    <t>辅料-75%糖（老线）</t>
  </si>
  <si>
    <t>辅料消总成本-专用糖装置（含税）</t>
  </si>
  <si>
    <t xml:space="preserve">      生产消耗-风味糖+调味糖装置</t>
  </si>
  <si>
    <t>蒸汽总成本（不含税）</t>
  </si>
  <si>
    <t>蒸汽总成本（含税）</t>
  </si>
  <si>
    <t>蒸汽单位成本(含税）</t>
  </si>
  <si>
    <t>蒸汽消耗量分配：</t>
  </si>
  <si>
    <t>风味糖+调味糖装置</t>
  </si>
  <si>
    <t>电消耗量分配：</t>
  </si>
  <si>
    <t>水消耗量分配：</t>
  </si>
  <si>
    <t>污水费用</t>
  </si>
  <si>
    <t>污水费用分配：不含税</t>
  </si>
  <si>
    <r>
      <rPr>
        <b/>
        <sz val="10"/>
        <rFont val="宋体"/>
        <charset val="134"/>
      </rPr>
      <t>污水费用分配：</t>
    </r>
    <r>
      <rPr>
        <b/>
        <sz val="10"/>
        <color rgb="FFFF0000"/>
        <rFont val="宋体"/>
        <charset val="134"/>
      </rPr>
      <t>含税</t>
    </r>
  </si>
  <si>
    <t>其中：果糖装置</t>
  </si>
  <si>
    <t xml:space="preserve">      糖浆装置</t>
  </si>
  <si>
    <t xml:space="preserve">      共用部分</t>
  </si>
  <si>
    <t>折旧摊销分配：</t>
  </si>
  <si>
    <t>人工成本分配：</t>
  </si>
  <si>
    <t>其中：其余</t>
  </si>
  <si>
    <t>投资收益+公允</t>
  </si>
  <si>
    <t>其中：糖渣</t>
  </si>
  <si>
    <t>分配：其他固定成本-总</t>
  </si>
  <si>
    <t>分配：税金及附加</t>
  </si>
  <si>
    <t>分配：其他业务收支</t>
  </si>
  <si>
    <t>分配：投资收益+公允价值变动损益</t>
  </si>
  <si>
    <t>分配：其他收益</t>
  </si>
  <si>
    <t>分配：资产减值损失</t>
  </si>
  <si>
    <t>分配：营业外收支</t>
  </si>
  <si>
    <t>分配：其他</t>
  </si>
  <si>
    <t>分配：糖渣</t>
  </si>
  <si>
    <t>75%专用糖</t>
  </si>
  <si>
    <t>风味糖</t>
  </si>
  <si>
    <t xml:space="preserve">     风味糖+调味糖-直接材料消耗与成本</t>
  </si>
  <si>
    <t>风味糖半成品耗用量：</t>
  </si>
  <si>
    <t>风味糖半成品耗用量小计</t>
  </si>
  <si>
    <t>调味糖半成品耗用量：</t>
  </si>
  <si>
    <t>调味糖半成品耗用量小计</t>
  </si>
  <si>
    <t>半成品消耗量-合计</t>
  </si>
  <si>
    <t>风味糖半成品单价</t>
  </si>
  <si>
    <t>单价（F42果葡糖浆_半成品_71%）</t>
  </si>
  <si>
    <t>单价（F55果葡糖浆_半成品_77.0%）</t>
  </si>
  <si>
    <t>单价（F60果葡糖浆_半成品_77%）</t>
  </si>
  <si>
    <t>单价（麦芽糖M-70_半成品_75.5%）</t>
  </si>
  <si>
    <t>单价（麦芽糖浆42DE_半成品_80.3%）</t>
  </si>
  <si>
    <t>单价（麦芽糖浆（M40)_半成品_73.5%）</t>
  </si>
  <si>
    <t>单价（产成品及其他）</t>
  </si>
  <si>
    <t>调味糖半成品单价</t>
  </si>
  <si>
    <t>风味糖半成品含税单价</t>
  </si>
  <si>
    <t>调味糖半成品含税单价</t>
  </si>
  <si>
    <t>风味糖半成品总成本</t>
  </si>
  <si>
    <t>不含税</t>
  </si>
  <si>
    <t>风味糖半成品总成本小计</t>
  </si>
  <si>
    <t>调味糖半成品总成本</t>
  </si>
  <si>
    <t>调味糖半成品总成本小计</t>
  </si>
  <si>
    <t>总成本合计</t>
  </si>
  <si>
    <r>
      <rPr>
        <b/>
        <sz val="10"/>
        <rFont val="宋体"/>
        <charset val="134"/>
      </rPr>
      <t>风味糖总成本</t>
    </r>
    <r>
      <rPr>
        <b/>
        <sz val="10"/>
        <color rgb="FFFF0000"/>
        <rFont val="宋体"/>
        <charset val="134"/>
      </rPr>
      <t>含税</t>
    </r>
  </si>
  <si>
    <t>风味糖半成品含税总成本小计</t>
  </si>
  <si>
    <r>
      <rPr>
        <b/>
        <sz val="10"/>
        <rFont val="宋体"/>
        <charset val="134"/>
      </rPr>
      <t>调味糖总成本</t>
    </r>
    <r>
      <rPr>
        <b/>
        <sz val="10"/>
        <color rgb="FFFF0000"/>
        <rFont val="宋体"/>
        <charset val="134"/>
      </rPr>
      <t>含税</t>
    </r>
  </si>
  <si>
    <t>调味糖半成品含税总成本小计</t>
  </si>
  <si>
    <r>
      <rPr>
        <b/>
        <sz val="10"/>
        <rFont val="宋体"/>
        <charset val="134"/>
      </rPr>
      <t>总成本合计</t>
    </r>
    <r>
      <rPr>
        <b/>
        <sz val="10"/>
        <color rgb="FFFF0000"/>
        <rFont val="宋体"/>
        <charset val="134"/>
      </rPr>
      <t>（含税）</t>
    </r>
  </si>
  <si>
    <t>单位成本(含税)</t>
  </si>
  <si>
    <t>风味糖辅料耗用量</t>
  </si>
  <si>
    <t>实际</t>
  </si>
  <si>
    <t>亮蓝_通用_通用_GB1886.217—2016</t>
  </si>
  <si>
    <t>风味糖辅料耗用量合计</t>
  </si>
  <si>
    <t>调味糖辅料耗用量</t>
  </si>
  <si>
    <t>调味糖辅料耗用量合计</t>
  </si>
  <si>
    <t>风味糖辅料单价(不含税）</t>
  </si>
  <si>
    <t>调味糖辅料单价(不含税）</t>
  </si>
  <si>
    <r>
      <rPr>
        <b/>
        <sz val="10"/>
        <color indexed="12"/>
        <rFont val="宋体"/>
        <charset val="134"/>
      </rPr>
      <t>风味糖辅料单价(</t>
    </r>
    <r>
      <rPr>
        <b/>
        <sz val="10"/>
        <color rgb="FFFF0000"/>
        <rFont val="宋体"/>
        <charset val="134"/>
      </rPr>
      <t>含税</t>
    </r>
    <r>
      <rPr>
        <b/>
        <sz val="10"/>
        <color indexed="12"/>
        <rFont val="宋体"/>
        <charset val="134"/>
      </rPr>
      <t>）</t>
    </r>
  </si>
  <si>
    <r>
      <rPr>
        <b/>
        <sz val="10"/>
        <color indexed="12"/>
        <rFont val="宋体"/>
        <charset val="134"/>
      </rPr>
      <t>调味糖辅料单价(</t>
    </r>
    <r>
      <rPr>
        <b/>
        <sz val="10"/>
        <color rgb="FFFF0000"/>
        <rFont val="宋体"/>
        <charset val="134"/>
      </rPr>
      <t>含税</t>
    </r>
    <r>
      <rPr>
        <b/>
        <sz val="10"/>
        <color indexed="12"/>
        <rFont val="宋体"/>
        <charset val="134"/>
      </rPr>
      <t>）</t>
    </r>
  </si>
  <si>
    <t>辅料消总成本-风味糖浆（不含税）</t>
  </si>
  <si>
    <t>其它香精_通用_液体香精_SHRS0220</t>
  </si>
  <si>
    <t>其它香精_通用_液体香精_SHRS0200</t>
  </si>
  <si>
    <t>无水柠檬酸_细目</t>
  </si>
  <si>
    <t>辅料消总成本-调味糖浆（不含税）</t>
  </si>
  <si>
    <r>
      <rPr>
        <b/>
        <sz val="10"/>
        <color indexed="12"/>
        <rFont val="宋体"/>
        <charset val="134"/>
      </rPr>
      <t>辅料消总成本-风味糖浆装置</t>
    </r>
    <r>
      <rPr>
        <b/>
        <sz val="10"/>
        <color rgb="FFFF0000"/>
        <rFont val="宋体"/>
        <charset val="134"/>
      </rPr>
      <t>（含税）</t>
    </r>
  </si>
  <si>
    <t>专用糖</t>
  </si>
  <si>
    <r>
      <rPr>
        <b/>
        <sz val="10"/>
        <color indexed="12"/>
        <rFont val="宋体"/>
        <charset val="134"/>
      </rPr>
      <t>辅料消总成本-调味糖浆装置</t>
    </r>
    <r>
      <rPr>
        <b/>
        <sz val="10"/>
        <color rgb="FFFF0000"/>
        <rFont val="宋体"/>
        <charset val="134"/>
      </rPr>
      <t>（含税）</t>
    </r>
  </si>
  <si>
    <t>数据录入表</t>
  </si>
  <si>
    <t>产品产量（单耗产量）</t>
  </si>
  <si>
    <t>果糖装置合计</t>
  </si>
  <si>
    <t>调味糖</t>
  </si>
  <si>
    <t>绝干产量</t>
  </si>
  <si>
    <t>绝干比例</t>
  </si>
  <si>
    <t>分装置</t>
  </si>
  <si>
    <t>果糖装置各产品</t>
  </si>
  <si>
    <t>F55-SCMC2987</t>
  </si>
  <si>
    <t>原料消耗与成本</t>
  </si>
  <si>
    <t>淀粉消耗量-F55果糖</t>
  </si>
  <si>
    <t>淀粉消耗量-F55果糖软加工</t>
  </si>
  <si>
    <t>淀粉消耗量-F42果糖</t>
  </si>
  <si>
    <t>淀粉消耗量-F60果糖</t>
  </si>
  <si>
    <t>淀粉消耗量-F90果糖</t>
  </si>
  <si>
    <t>淀粉消耗量-糖浆（老线）</t>
  </si>
  <si>
    <t>淀粉消耗量-合计</t>
  </si>
  <si>
    <t>单价（F55）</t>
  </si>
  <si>
    <t>单价（F55）软加工</t>
  </si>
  <si>
    <t>单价（F42）</t>
  </si>
  <si>
    <t>单价（F60）</t>
  </si>
  <si>
    <t>单价（F90）</t>
  </si>
  <si>
    <t>单价（糖浆老线）</t>
  </si>
  <si>
    <t>淀粉水分</t>
  </si>
  <si>
    <t>淀粉折标量-F55果糖</t>
  </si>
  <si>
    <t>淀粉折标量-F55果糖软加工</t>
  </si>
  <si>
    <t>淀粉折标量-F42果糖</t>
  </si>
  <si>
    <t>淀粉折标量-F60果糖</t>
  </si>
  <si>
    <t>淀粉折标量-F90果糖</t>
  </si>
  <si>
    <t>淀粉折标量-糖浆老线</t>
  </si>
  <si>
    <t>淀粉折标单价(F55)</t>
  </si>
  <si>
    <t>元/吨</t>
  </si>
  <si>
    <t>淀粉折标单价(F55)软加工</t>
  </si>
  <si>
    <t>淀粉折标单价(F42)</t>
  </si>
  <si>
    <t>淀粉折标单价(F60)</t>
  </si>
  <si>
    <t>淀粉折标单价(F90)</t>
  </si>
  <si>
    <t>淀粉折标单价(糖浆老线)</t>
  </si>
  <si>
    <t>淀粉折标单价(F55)含税</t>
  </si>
  <si>
    <t>淀粉折标单价(F42)含税</t>
  </si>
  <si>
    <t>淀粉折标单价(F60)含税</t>
  </si>
  <si>
    <t>淀粉折标单价(F90)含税</t>
  </si>
  <si>
    <t>淀粉折标单价(糖浆老线)含税</t>
  </si>
  <si>
    <t>总成本（F55）</t>
  </si>
  <si>
    <t>总成本（F55）软加工</t>
  </si>
  <si>
    <t>总成本（F42）</t>
  </si>
  <si>
    <t>总成本（F60）</t>
  </si>
  <si>
    <t>总成本（F90）</t>
  </si>
  <si>
    <t>总成本（糖浆老线）</t>
  </si>
  <si>
    <r>
      <rPr>
        <sz val="10"/>
        <rFont val="宋体"/>
        <charset val="134"/>
      </rPr>
      <t>总成本（F55）</t>
    </r>
    <r>
      <rPr>
        <sz val="10"/>
        <color rgb="FFFF0000"/>
        <rFont val="宋体"/>
        <charset val="134"/>
      </rPr>
      <t>含税</t>
    </r>
  </si>
  <si>
    <r>
      <rPr>
        <sz val="10"/>
        <rFont val="宋体"/>
        <charset val="134"/>
      </rPr>
      <t>总成本（F42）</t>
    </r>
    <r>
      <rPr>
        <sz val="10"/>
        <color rgb="FFFF0000"/>
        <rFont val="宋体"/>
        <charset val="134"/>
      </rPr>
      <t>含税</t>
    </r>
  </si>
  <si>
    <r>
      <rPr>
        <sz val="10"/>
        <rFont val="宋体"/>
        <charset val="134"/>
      </rPr>
      <t>总成本（F60）</t>
    </r>
    <r>
      <rPr>
        <sz val="10"/>
        <color rgb="FFFF0000"/>
        <rFont val="宋体"/>
        <charset val="134"/>
      </rPr>
      <t>含税</t>
    </r>
  </si>
  <si>
    <r>
      <rPr>
        <sz val="10"/>
        <rFont val="宋体"/>
        <charset val="134"/>
      </rPr>
      <t>总成本（F90）</t>
    </r>
    <r>
      <rPr>
        <sz val="10"/>
        <color rgb="FFFF0000"/>
        <rFont val="宋体"/>
        <charset val="134"/>
      </rPr>
      <t>含税</t>
    </r>
  </si>
  <si>
    <r>
      <rPr>
        <sz val="10"/>
        <rFont val="宋体"/>
        <charset val="134"/>
      </rPr>
      <t>总成本（糖浆老线）</t>
    </r>
    <r>
      <rPr>
        <sz val="10"/>
        <color rgb="FFFF0000"/>
        <rFont val="宋体"/>
        <charset val="134"/>
      </rPr>
      <t>含税</t>
    </r>
  </si>
  <si>
    <t>淀粉实物单耗-F55果糖</t>
  </si>
  <si>
    <t>淀粉实物单耗-F55果糖软加工</t>
  </si>
  <si>
    <t>淀粉实物单耗-F42果糖</t>
  </si>
  <si>
    <t>淀粉实物单耗-F60果糖</t>
  </si>
  <si>
    <t>淀粉实物单耗-F90果糖</t>
  </si>
  <si>
    <t>淀粉实物单耗-糖浆老线</t>
  </si>
  <si>
    <t>辅料消耗总量-果糖装置</t>
  </si>
  <si>
    <t>KG</t>
  </si>
  <si>
    <t>　　α耐高温淀粉酶</t>
  </si>
  <si>
    <t>计量
单位</t>
  </si>
  <si>
    <t>F55果糖小计（自产)</t>
  </si>
  <si>
    <t>F60果糖小计</t>
  </si>
  <si>
    <t>F42果糖小计</t>
  </si>
  <si>
    <t>F42果糖小计75%</t>
  </si>
  <si>
    <t>F90果糖小计</t>
  </si>
  <si>
    <t>F55果糖小计（定向)</t>
  </si>
  <si>
    <t>其中：F55果糖辅料消耗量</t>
  </si>
  <si>
    <t>数量</t>
  </si>
  <si>
    <t>盐酸(折百)</t>
  </si>
  <si>
    <t>氢氧化钠(折百)</t>
  </si>
  <si>
    <t>硅藻土</t>
  </si>
  <si>
    <t>2X型高温酶（α淀粉酶）</t>
  </si>
  <si>
    <t>α耐高温淀粉酶</t>
  </si>
  <si>
    <t>复合糖化酶</t>
  </si>
  <si>
    <t>葡萄糖异构酶</t>
  </si>
  <si>
    <t>异构酶</t>
  </si>
  <si>
    <t>食品级硫酸镁</t>
  </si>
  <si>
    <t>硫酸镁(食品级)</t>
  </si>
  <si>
    <t>食品级焦亚硫酸钠</t>
  </si>
  <si>
    <t>焦亚硫酸钠(食品级)</t>
  </si>
  <si>
    <t>树脂</t>
  </si>
  <si>
    <t>F55果糖小计</t>
  </si>
  <si>
    <t>F55自产</t>
  </si>
  <si>
    <t>F55SCMC</t>
  </si>
  <si>
    <t>其中：F55果糖OEM辅料消耗量</t>
  </si>
  <si>
    <t>其中：F55果糖软加工辅料消耗量</t>
  </si>
  <si>
    <t>其中：F42果糖辅料消耗量</t>
  </si>
  <si>
    <t>其中：F60果糖辅料消耗量</t>
  </si>
  <si>
    <t>其中：F90果糖辅料消耗量</t>
  </si>
  <si>
    <r>
      <rPr>
        <b/>
        <sz val="10"/>
        <color indexed="12"/>
        <rFont val="宋体"/>
        <charset val="134"/>
      </rPr>
      <t>辅料单价(</t>
    </r>
    <r>
      <rPr>
        <b/>
        <sz val="10"/>
        <color rgb="FFFF0000"/>
        <rFont val="宋体"/>
        <charset val="134"/>
      </rPr>
      <t>含税</t>
    </r>
    <r>
      <rPr>
        <b/>
        <sz val="10"/>
        <color indexed="12"/>
        <rFont val="宋体"/>
        <charset val="134"/>
      </rPr>
      <t>）</t>
    </r>
  </si>
  <si>
    <t>辅料消总成本-果糖装置（不含税）</t>
  </si>
  <si>
    <t xml:space="preserve">    树脂</t>
  </si>
  <si>
    <r>
      <rPr>
        <b/>
        <sz val="10"/>
        <color indexed="12"/>
        <rFont val="宋体"/>
        <charset val="134"/>
      </rPr>
      <t>辅料消总成本-果糖装置（</t>
    </r>
    <r>
      <rPr>
        <b/>
        <sz val="10"/>
        <color rgb="FFFF0000"/>
        <rFont val="宋体"/>
        <charset val="134"/>
      </rPr>
      <t>含税</t>
    </r>
    <r>
      <rPr>
        <b/>
        <sz val="10"/>
        <color indexed="12"/>
        <rFont val="宋体"/>
        <charset val="134"/>
      </rPr>
      <t>）</t>
    </r>
  </si>
  <si>
    <t>专用糖-本月耗用</t>
  </si>
  <si>
    <t>金额</t>
  </si>
  <si>
    <t>上月</t>
  </si>
  <si>
    <t>食用级盐酸（折百）31</t>
  </si>
  <si>
    <t>食用级液碱（折百）32</t>
  </si>
  <si>
    <t>硅藻土+焦亚</t>
  </si>
  <si>
    <r>
      <rPr>
        <b/>
        <sz val="10"/>
        <color indexed="12"/>
        <rFont val="宋体"/>
        <charset val="134"/>
      </rPr>
      <t>辅料消总成本-专用糖装置</t>
    </r>
    <r>
      <rPr>
        <b/>
        <sz val="10"/>
        <color rgb="FFFF0000"/>
        <rFont val="宋体"/>
        <charset val="134"/>
      </rPr>
      <t>（含税）</t>
    </r>
  </si>
  <si>
    <t>自产蒸汽产量</t>
  </si>
  <si>
    <t>蒸汽总产量</t>
  </si>
  <si>
    <t>锅炉自耗量</t>
  </si>
  <si>
    <t>自产蒸汽供汽量</t>
  </si>
  <si>
    <t>自产蒸汽成本</t>
  </si>
  <si>
    <t>原煤耗用量(折7000卡）/天然气用量</t>
  </si>
  <si>
    <t>原煤卡价/天然气单价</t>
  </si>
  <si>
    <t>原煤总成本</t>
  </si>
  <si>
    <t>除盐水成本</t>
  </si>
  <si>
    <t>电成本</t>
  </si>
  <si>
    <t>辅料成本</t>
  </si>
  <si>
    <t>炉灰炉渣及销售冲减</t>
  </si>
  <si>
    <t>变动成本小计</t>
  </si>
  <si>
    <t>人工成本</t>
  </si>
  <si>
    <t>固定成本小计</t>
  </si>
  <si>
    <t>自产蒸汽全口径成本</t>
  </si>
  <si>
    <t>吨全口径成本</t>
  </si>
  <si>
    <t>外售蒸汽收入</t>
  </si>
  <si>
    <t>外售气量</t>
  </si>
  <si>
    <t>总收入</t>
  </si>
  <si>
    <t>外购蒸汽成本</t>
  </si>
  <si>
    <t>外购蒸汽量</t>
  </si>
  <si>
    <t>单价（不含税）</t>
  </si>
  <si>
    <t>消耗总量</t>
  </si>
  <si>
    <t>其中：生产消耗-果糖装置</t>
  </si>
  <si>
    <t>F42(加研发）</t>
  </si>
  <si>
    <t>F55(加研发）</t>
  </si>
  <si>
    <t xml:space="preserve">      生产消耗-糖浆装置</t>
  </si>
  <si>
    <t xml:space="preserve">      生产消耗-风味糖生产线</t>
  </si>
  <si>
    <t xml:space="preserve">      其他</t>
  </si>
  <si>
    <t>蒸汽消耗总成本（不含税）</t>
  </si>
  <si>
    <r>
      <rPr>
        <b/>
        <sz val="10"/>
        <rFont val="宋体"/>
        <charset val="134"/>
      </rPr>
      <t xml:space="preserve">蒸汽单位成本
</t>
    </r>
    <r>
      <rPr>
        <sz val="8"/>
        <rFont val="宋体"/>
        <charset val="134"/>
      </rPr>
      <t>(综合成本表口径）</t>
    </r>
  </si>
  <si>
    <r>
      <rPr>
        <b/>
        <sz val="11"/>
        <rFont val="宋体"/>
        <charset val="134"/>
      </rPr>
      <t>蒸汽单位成本</t>
    </r>
    <r>
      <rPr>
        <sz val="11"/>
        <rFont val="宋体"/>
        <charset val="134"/>
      </rPr>
      <t>(含税）</t>
    </r>
  </si>
  <si>
    <t>果糖装置</t>
  </si>
  <si>
    <t>糖浆装置</t>
  </si>
  <si>
    <t>风味糖装置</t>
  </si>
  <si>
    <t>其他耗电量</t>
  </si>
  <si>
    <t>电总成本（不含税）</t>
  </si>
  <si>
    <t>电总成本（含税）</t>
  </si>
  <si>
    <t>电单位成本（不含税）</t>
  </si>
  <si>
    <t>电单位成本（含税）</t>
  </si>
  <si>
    <t>果糖装置耗水量</t>
  </si>
  <si>
    <t>其他耗水量</t>
  </si>
  <si>
    <t>水总成本（不含税）</t>
  </si>
  <si>
    <t>水单位成本（不含税）</t>
  </si>
  <si>
    <t>水单位成本（含税）</t>
  </si>
  <si>
    <t>水总成本（含税）</t>
  </si>
  <si>
    <t>锅炉用天然气量</t>
  </si>
  <si>
    <t>生活用天然气量</t>
  </si>
  <si>
    <t>天然气总成本</t>
  </si>
  <si>
    <t>天然气单位成本</t>
  </si>
  <si>
    <r>
      <rPr>
        <sz val="10"/>
        <rFont val="宋体"/>
        <charset val="134"/>
      </rPr>
      <t>元/</t>
    </r>
    <r>
      <rPr>
        <sz val="10"/>
        <rFont val="宋体"/>
        <charset val="134"/>
      </rPr>
      <t>M3</t>
    </r>
  </si>
  <si>
    <t>不含税单价</t>
  </si>
  <si>
    <t>盐酸（100%）</t>
  </si>
  <si>
    <t>液碱（100%）</t>
  </si>
  <si>
    <t>物料消耗</t>
  </si>
  <si>
    <t>污水处理总量</t>
  </si>
  <si>
    <t>折旧与摊销</t>
  </si>
  <si>
    <t>折旧与摊销费用</t>
  </si>
  <si>
    <t>动力车间</t>
  </si>
  <si>
    <t>污水等</t>
  </si>
  <si>
    <t>人工成本（不含劳务外包）</t>
  </si>
  <si>
    <t>销售费用-果糖仓库</t>
  </si>
  <si>
    <t>销售费用-果糖小包装灌装</t>
  </si>
  <si>
    <t>销售费用-专用糖仓库</t>
  </si>
  <si>
    <t>销售费用-专用糖小包装灌装</t>
  </si>
  <si>
    <t>销售费用-风味糖小包装灌装</t>
  </si>
  <si>
    <t>制造费用（原辅料运输/装卸）</t>
  </si>
  <si>
    <t>生产项下的人工</t>
  </si>
  <si>
    <t>其他销售费用</t>
  </si>
  <si>
    <t>制造费用总额</t>
  </si>
  <si>
    <t>减： 工资</t>
  </si>
  <si>
    <t xml:space="preserve">     折旧</t>
  </si>
  <si>
    <t xml:space="preserve">     劳务外包</t>
  </si>
  <si>
    <t xml:space="preserve">    其余制造费用</t>
  </si>
  <si>
    <t>其中：糖浆</t>
  </si>
  <si>
    <t>其中：其他部分</t>
  </si>
  <si>
    <t>销售费用总额</t>
  </si>
  <si>
    <t xml:space="preserve">     运费</t>
  </si>
  <si>
    <t xml:space="preserve">     吨箱租赁费、包装费</t>
  </si>
  <si>
    <t xml:space="preserve">     其余销售费用</t>
  </si>
  <si>
    <t>研发</t>
  </si>
  <si>
    <t>管理费用总额</t>
  </si>
  <si>
    <t xml:space="preserve">     其余管理费用</t>
  </si>
  <si>
    <t>财务费用（不含汇兑损益）</t>
  </si>
  <si>
    <t>其他固定成本（成本冲减项）</t>
  </si>
  <si>
    <t>营业外收支净额（不含大额补贴）</t>
  </si>
  <si>
    <t>其他业务利润</t>
  </si>
  <si>
    <t>资产减值损失/信用减值损失</t>
  </si>
  <si>
    <t>税金及附加</t>
  </si>
  <si>
    <t>其他收益</t>
  </si>
  <si>
    <t>政府补贴</t>
  </si>
  <si>
    <t>大额政府补贴（百万以上）</t>
  </si>
  <si>
    <t>生产成本</t>
  </si>
  <si>
    <t>在制品                     果糖</t>
  </si>
  <si>
    <t>期初</t>
  </si>
  <si>
    <t>期末</t>
  </si>
  <si>
    <t xml:space="preserve"> 专用糖</t>
  </si>
  <si>
    <t>产量(折算）备注：</t>
  </si>
  <si>
    <t>生产订单量(原单耗产量）</t>
  </si>
  <si>
    <t>其中：果糖-F55</t>
  </si>
  <si>
    <t>果糖-F60</t>
  </si>
  <si>
    <t>果糖-F42</t>
  </si>
  <si>
    <t>果糖-F90</t>
  </si>
  <si>
    <t>小计</t>
  </si>
  <si>
    <t xml:space="preserve">     专用糖</t>
  </si>
  <si>
    <t xml:space="preserve">     风味糖+调味糖</t>
  </si>
  <si>
    <t>期初在制品</t>
  </si>
  <si>
    <t>其中：果糖</t>
  </si>
  <si>
    <t>期末在制品</t>
  </si>
  <si>
    <t>成品罐接收量（统计）</t>
  </si>
  <si>
    <t>4=1+2-3</t>
  </si>
  <si>
    <t>产量(实物）备注：</t>
  </si>
  <si>
    <t>订单产量</t>
  </si>
  <si>
    <t>PP表产量=统计</t>
  </si>
  <si>
    <t>生产订单量</t>
  </si>
  <si>
    <t>成品罐接收量</t>
  </si>
  <si>
    <t>风味糖+调味糖-直接材料消耗与成本</t>
  </si>
  <si>
    <t>其它香精_通用_液体香精_SHRS0120</t>
  </si>
  <si>
    <t>甘蔗香精_通用_通用</t>
  </si>
  <si>
    <t>炒板栗香精_通用_通用</t>
  </si>
  <si>
    <t>其它香精_通用_液体香精_SHRS0160</t>
  </si>
  <si>
    <t>其它香精_通用_液体香精_SHRS0240</t>
  </si>
  <si>
    <t>食品级六偏磷酸钠_通用_含量≥67%_通用</t>
  </si>
  <si>
    <t>其它香精_通用_液体香精</t>
  </si>
  <si>
    <t>304680/304685</t>
  </si>
  <si>
    <t>销售价格运费表</t>
  </si>
  <si>
    <t>销售收入与成本</t>
  </si>
  <si>
    <t>项   目</t>
  </si>
  <si>
    <t>销售数量</t>
  </si>
  <si>
    <t>大宗果糖F55</t>
  </si>
  <si>
    <t>F55果糖小包装</t>
  </si>
  <si>
    <t>大宗果糖F60</t>
  </si>
  <si>
    <t>F60果糖小包装</t>
  </si>
  <si>
    <t>果糖F42</t>
  </si>
  <si>
    <t>大宗果糖F42</t>
  </si>
  <si>
    <t>F42果糖小包装</t>
  </si>
  <si>
    <t>果糖F90</t>
  </si>
  <si>
    <t>专用糖-大宗</t>
  </si>
  <si>
    <t>专用糖-小特新</t>
  </si>
  <si>
    <t>风味+调味糖浆</t>
  </si>
  <si>
    <t>销售收入</t>
  </si>
  <si>
    <t>出口</t>
  </si>
  <si>
    <r>
      <rPr>
        <b/>
        <sz val="10"/>
        <color indexed="12"/>
        <rFont val="宋体"/>
        <charset val="134"/>
      </rPr>
      <t>销售收入</t>
    </r>
    <r>
      <rPr>
        <b/>
        <sz val="10"/>
        <color rgb="FFFF0000"/>
        <rFont val="宋体"/>
        <charset val="134"/>
      </rPr>
      <t>（含税）</t>
    </r>
  </si>
  <si>
    <t>销售单价(不含税）</t>
  </si>
  <si>
    <r>
      <rPr>
        <b/>
        <sz val="10"/>
        <color indexed="12"/>
        <rFont val="宋体"/>
        <charset val="134"/>
      </rPr>
      <t>销售单价</t>
    </r>
    <r>
      <rPr>
        <b/>
        <sz val="10"/>
        <color rgb="FFFF0000"/>
        <rFont val="宋体"/>
        <charset val="134"/>
      </rPr>
      <t>(含税）</t>
    </r>
  </si>
  <si>
    <t>销售成本</t>
  </si>
  <si>
    <t>F55OEM（代加工）</t>
  </si>
  <si>
    <t>F55账</t>
  </si>
  <si>
    <t>单位成本(不含税）</t>
  </si>
  <si>
    <t>运费总额9%（含税）</t>
  </si>
  <si>
    <t>租赁费(吨箱6%，海特13%，）（含税）</t>
  </si>
  <si>
    <t>包装费13%（含税）</t>
  </si>
  <si>
    <t>吨物流费用（含税）</t>
  </si>
  <si>
    <t>平均</t>
  </si>
  <si>
    <t>出厂价</t>
  </si>
  <si>
    <t>账面</t>
  </si>
  <si>
    <t>履约成本</t>
  </si>
  <si>
    <t>履约成本-运输费</t>
  </si>
  <si>
    <t>履约成本-装卸费</t>
  </si>
  <si>
    <t>履约成本-包装费</t>
  </si>
  <si>
    <t>履约成本-租赁费</t>
  </si>
  <si>
    <t>履约成本合计（不含税）</t>
  </si>
  <si>
    <t>履约成本+主营业务成本合计（不含税）</t>
  </si>
  <si>
    <t>类型</t>
  </si>
  <si>
    <t>工厂</t>
  </si>
  <si>
    <t>生产订单号</t>
  </si>
  <si>
    <t>成本要素</t>
  </si>
  <si>
    <t>物料/作业类型</t>
  </si>
  <si>
    <t>期间</t>
  </si>
  <si>
    <t>成本要素描述</t>
  </si>
  <si>
    <t>物料描述</t>
  </si>
  <si>
    <t>实际数量</t>
  </si>
  <si>
    <t>实际价格</t>
  </si>
  <si>
    <t>货币</t>
  </si>
  <si>
    <t>价格确定</t>
  </si>
  <si>
    <t>价格控制</t>
  </si>
  <si>
    <t>损耗率</t>
  </si>
  <si>
    <t>损耗金额</t>
  </si>
  <si>
    <t>1547</t>
  </si>
  <si>
    <t>001001260176</t>
  </si>
  <si>
    <t>5001010008</t>
  </si>
  <si>
    <t>直接材料-自制半成品</t>
  </si>
  <si>
    <t>黑糖糖浆_半成品_72.0%</t>
  </si>
  <si>
    <t>TO</t>
  </si>
  <si>
    <t>CNY</t>
  </si>
  <si>
    <t>3</t>
  </si>
  <si>
    <t>V</t>
  </si>
  <si>
    <t>5001990001</t>
  </si>
  <si>
    <t>生产成本-基本生产成本转出</t>
  </si>
  <si>
    <t>黑糖糖浆_72.0%</t>
  </si>
  <si>
    <t>001001260177</t>
  </si>
  <si>
    <t>白砂糖糖浆_半成品_72.0%</t>
  </si>
  <si>
    <t>白砂糖糖浆_72.0%</t>
  </si>
  <si>
    <t>001001260178</t>
  </si>
  <si>
    <t>黑糖糖浆_半成品_77.0%</t>
  </si>
  <si>
    <t>黑糖糖浆_77.0%</t>
  </si>
  <si>
    <t>001001260179</t>
  </si>
  <si>
    <t>麦芽糖_半成品_85.0%</t>
  </si>
  <si>
    <t>麦芽糖_85.0%</t>
  </si>
  <si>
    <t>001001260184</t>
  </si>
  <si>
    <t>琥珀糖浆_半成品_72.0%</t>
  </si>
  <si>
    <t>琥珀糖浆_72.0%</t>
  </si>
  <si>
    <t>001001260186</t>
  </si>
  <si>
    <t>金黄糖浆_半成品_72.0%</t>
  </si>
  <si>
    <t>金黄糖浆_72.0%</t>
  </si>
  <si>
    <t>001001260187</t>
  </si>
  <si>
    <t>红糖糖浆_半成品_72.0%</t>
  </si>
  <si>
    <t>红糖糖浆_72.0%</t>
  </si>
  <si>
    <t>001001260199</t>
  </si>
  <si>
    <t>冬瓜风味糖浆_半成品_≥50%</t>
  </si>
  <si>
    <t>冬瓜风味糖浆_≥50%</t>
  </si>
  <si>
    <t>001001260200</t>
  </si>
  <si>
    <t>甘蔗多酚调味糖浆_半成品_61.0%</t>
  </si>
  <si>
    <t>甘蔗多酚调味糖浆_61.0%</t>
  </si>
  <si>
    <t>001001260203</t>
  </si>
  <si>
    <t>冰糖调味糖浆_半成品_61.0%</t>
  </si>
  <si>
    <t>冰糖调味糖浆_61.0%</t>
  </si>
  <si>
    <t>001001264036</t>
  </si>
  <si>
    <t>柠檬果蜜调味糖浆_半成品_71.0%</t>
  </si>
  <si>
    <t>柠檬果蜜调味糖浆_71.0%</t>
  </si>
  <si>
    <t>001001260182</t>
  </si>
  <si>
    <t>烤奶糖浆_半成品_72.0%</t>
  </si>
  <si>
    <t>烤奶糖浆_72.0%</t>
  </si>
  <si>
    <t>001001260191</t>
  </si>
  <si>
    <t>蓝柑风味糖浆_半成品_61.0%</t>
  </si>
  <si>
    <t>蓝柑风味糖浆_61.0%</t>
  </si>
  <si>
    <t>001001260192</t>
  </si>
  <si>
    <t>焦糖风味糖浆_半成品_62.0%</t>
  </si>
  <si>
    <t>焦糖风味糖浆_62.0%</t>
  </si>
  <si>
    <t>001001260193</t>
  </si>
  <si>
    <t>薄荷风味糖浆_半成品_61.0%</t>
  </si>
  <si>
    <t>薄荷风味糖浆_61.0%</t>
  </si>
  <si>
    <t>001001260198</t>
  </si>
  <si>
    <t>藏青盐冰糖风味糖浆_半成品_61.0%</t>
  </si>
  <si>
    <t>藏青盐冰糖风味糖浆_61.0%</t>
  </si>
  <si>
    <t>001001247201</t>
  </si>
  <si>
    <t>001001247202</t>
  </si>
  <si>
    <t>001001247204</t>
  </si>
  <si>
    <t>001001247209</t>
  </si>
  <si>
    <t>001001247211</t>
  </si>
  <si>
    <t>001001247228</t>
  </si>
  <si>
    <t>冰糖调味糖浆_半成品_74%</t>
  </si>
  <si>
    <t>冰糖调味糖浆_74%</t>
  </si>
  <si>
    <t>001001247231</t>
  </si>
  <si>
    <t>黑糖糖浆_半成品_76.0%</t>
  </si>
  <si>
    <t>黑糖糖浆_76.0%</t>
  </si>
  <si>
    <t>001001247232</t>
  </si>
  <si>
    <t>蔗糖调味糖浆_半成品_74%</t>
  </si>
  <si>
    <t>蔗糖调味糖浆_74%</t>
  </si>
  <si>
    <t>001001255251</t>
  </si>
  <si>
    <t>L-阿拉伯糖调味糖浆_半成品_61.0%</t>
  </si>
  <si>
    <t>L-阿拉伯糖调味糖浆_61.0%</t>
  </si>
  <si>
    <t>001001247214</t>
  </si>
  <si>
    <t>桂花风味糖浆_半成品_58.0%</t>
  </si>
  <si>
    <t>桂花风味糖浆糖浆_58.0%</t>
  </si>
  <si>
    <t>001001247216</t>
  </si>
  <si>
    <t>001001247218</t>
  </si>
  <si>
    <t>001001247221</t>
  </si>
  <si>
    <t>玫瑰风味糖浆_半成品_61.0%</t>
  </si>
  <si>
    <t>玫瑰风味糖浆_61.0%</t>
  </si>
  <si>
    <t>001001247225</t>
  </si>
  <si>
    <t>001001247229</t>
  </si>
  <si>
    <t>茉莉风味糖浆_半成品_≥50%</t>
  </si>
  <si>
    <t>茉莉风味糖浆_≥50%</t>
  </si>
  <si>
    <t>001001272426</t>
  </si>
  <si>
    <t>202503</t>
  </si>
  <si>
    <t>001001272429</t>
  </si>
  <si>
    <t>001001272434</t>
  </si>
  <si>
    <t>001001272436</t>
  </si>
  <si>
    <t>001001272437</t>
  </si>
  <si>
    <t>001001272439</t>
  </si>
  <si>
    <t>001001272441</t>
  </si>
  <si>
    <t>001001272443</t>
  </si>
  <si>
    <t>001001272445</t>
  </si>
  <si>
    <t>001001272446</t>
  </si>
  <si>
    <t>001001272447</t>
  </si>
  <si>
    <t>西瓜风味糖浆_半成品_61.0%</t>
  </si>
  <si>
    <t>西瓜风味糖浆_61.0%</t>
  </si>
  <si>
    <t>001001272448</t>
  </si>
  <si>
    <t>001001272449</t>
  </si>
  <si>
    <t>001001272451</t>
  </si>
  <si>
    <t>001001272453</t>
  </si>
  <si>
    <t>001001286136</t>
  </si>
  <si>
    <t>202504</t>
  </si>
  <si>
    <t>001001286137</t>
  </si>
  <si>
    <t>001001286138</t>
  </si>
  <si>
    <t>001001286139</t>
  </si>
  <si>
    <t>001001286143</t>
  </si>
  <si>
    <t>山茶花风味糖浆_半成品_61.0%</t>
  </si>
  <si>
    <t>山茶花风味糖浆_61.0%</t>
  </si>
  <si>
    <t>001001286144</t>
  </si>
  <si>
    <t>001001286146</t>
  </si>
  <si>
    <t>001001286147</t>
  </si>
  <si>
    <t>001001286150</t>
  </si>
  <si>
    <t>冰糖风味糖浆_半成品_72.0%</t>
  </si>
  <si>
    <t>冰糖风味糖浆_72.0%</t>
  </si>
  <si>
    <t>001001286151</t>
  </si>
  <si>
    <t>001001286152</t>
  </si>
  <si>
    <t>001001286153</t>
  </si>
  <si>
    <t>001001286155</t>
  </si>
  <si>
    <t>001001286156</t>
  </si>
  <si>
    <t>001001286158</t>
  </si>
  <si>
    <t>001001286162</t>
  </si>
  <si>
    <t>001001286163</t>
  </si>
  <si>
    <t>001001299536</t>
  </si>
  <si>
    <t>202505</t>
  </si>
  <si>
    <t>S</t>
  </si>
  <si>
    <t>001001299537</t>
  </si>
  <si>
    <t>001001299539</t>
  </si>
  <si>
    <t>001001299541</t>
  </si>
  <si>
    <t>液体红糖浆_半成品_72.0%</t>
  </si>
  <si>
    <t>液体红糖浆_72.0%</t>
  </si>
  <si>
    <t>001001299542</t>
  </si>
  <si>
    <t>001001299544</t>
  </si>
  <si>
    <t>001001299546</t>
  </si>
  <si>
    <t>001001299547</t>
  </si>
  <si>
    <t>001001299551</t>
  </si>
  <si>
    <t>001001299552</t>
  </si>
  <si>
    <t>001001299553</t>
  </si>
  <si>
    <t>001001299555</t>
  </si>
  <si>
    <t>001001299556</t>
  </si>
  <si>
    <t>001001299557</t>
  </si>
  <si>
    <t>001001299558</t>
  </si>
  <si>
    <t>001001299559</t>
  </si>
  <si>
    <t>001001299560</t>
  </si>
  <si>
    <t>001001299561</t>
  </si>
  <si>
    <t>001001299563</t>
  </si>
  <si>
    <t>001001299564</t>
  </si>
  <si>
    <t>001001299565</t>
  </si>
  <si>
    <t>001001313561</t>
  </si>
  <si>
    <t>202506</t>
  </si>
  <si>
    <t>001001313562</t>
  </si>
  <si>
    <t>001001313564</t>
  </si>
  <si>
    <t>001001313565</t>
  </si>
  <si>
    <t>精制白砂糖糖浆_半成品_71.0%</t>
  </si>
  <si>
    <t>精制白砂糖糖浆_71.0%</t>
  </si>
  <si>
    <t>001001313569</t>
  </si>
  <si>
    <t>001001313572</t>
  </si>
  <si>
    <t>001001313575</t>
  </si>
  <si>
    <t>001001313578</t>
  </si>
  <si>
    <t>001001313580</t>
  </si>
  <si>
    <t>001001313581</t>
  </si>
  <si>
    <t>001001313582</t>
  </si>
  <si>
    <t>001001313583</t>
  </si>
  <si>
    <t>001001313585</t>
  </si>
  <si>
    <t>001001313586</t>
  </si>
  <si>
    <t>001001313588</t>
  </si>
  <si>
    <t>001001313594</t>
  </si>
  <si>
    <t>月饼糖浆_半成品_83%</t>
  </si>
  <si>
    <t>月饼糖浆_83%</t>
  </si>
  <si>
    <t>001001319447</t>
  </si>
  <si>
    <t>湖盐风味糖浆_半成品_61%</t>
  </si>
  <si>
    <t>湖盐风味糖浆_61%</t>
  </si>
  <si>
    <t>001001323696</t>
  </si>
  <si>
    <t>竹蔗糖浆_半成品＞50%</t>
  </si>
  <si>
    <t>竹蔗糖浆_＞50%</t>
  </si>
  <si>
    <t>大宗果糖</t>
  </si>
  <si>
    <t>果糖小包装</t>
  </si>
  <si>
    <t>月产量(t)</t>
  </si>
  <si>
    <t>（一）原料</t>
  </si>
  <si>
    <t>（二）辅料</t>
  </si>
  <si>
    <t>（三）动力能源</t>
  </si>
  <si>
    <t>（四）增值税</t>
  </si>
  <si>
    <t>（五）税金及附加</t>
  </si>
  <si>
    <t xml:space="preserve"> (六)糖渣</t>
  </si>
  <si>
    <t>折旧摊销</t>
  </si>
  <si>
    <t>付现费用</t>
  </si>
  <si>
    <t>五、吨利润</t>
  </si>
  <si>
    <t>六、吨现金流</t>
  </si>
  <si>
    <t>七、综合成本</t>
  </si>
  <si>
    <t>八、加工费</t>
  </si>
  <si>
    <t>累计产量(t)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</si>
</sst>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_(* #,##0_);_(* \(#,##0\);_(* &quot;-&quot;_);_(@_)"/>
    <numFmt numFmtId="178" formatCode="_ &quot;￥&quot;* #,##0.00_ ;_ &quot;￥&quot;* \-#,##0.00_ ;_ &quot;￥&quot;* \-??_ ;_ @_ "/>
    <numFmt numFmtId="179" formatCode="_(* #,##0.00_);_(* \(#,##0.00\);_(* &quot;-&quot;??_);_(@_)"/>
    <numFmt numFmtId="180" formatCode="_(&quot;$&quot;* #,##0_);_(&quot;$&quot;* \(#,##0\);_(&quot;$&quot;* &quot;-&quot;??_);_(@_)"/>
    <numFmt numFmtId="181" formatCode="mmm\ dd\,\ yy"/>
    <numFmt numFmtId="182" formatCode="_(&quot;$&quot;* #,##0.0_);_(&quot;$&quot;* \(#,##0.0\);_(&quot;$&quot;* &quot;-&quot;??_);_(@_)"/>
    <numFmt numFmtId="183" formatCode="mm/dd/yy_)"/>
    <numFmt numFmtId="184" formatCode="&quot;$&quot;#,##0_);[Red]\(&quot;$&quot;#,##0\)"/>
    <numFmt numFmtId="185" formatCode="&quot;$&quot;#,##0.00_);[Red]\(&quot;$&quot;#,##0.00\)"/>
    <numFmt numFmtId="186" formatCode="_(* #,##0_);_(* \(#,##0\);_(* &quot;-&quot;??_);_(@_)"/>
    <numFmt numFmtId="187" formatCode="#,##0.00_);[Red]\(#,##0.00\)"/>
    <numFmt numFmtId="188" formatCode="0.00_);\(0.00\)"/>
    <numFmt numFmtId="189" formatCode="&quot;$&quot;#,##0_);\(&quot;$&quot;#,##0\)"/>
    <numFmt numFmtId="190" formatCode="&quot;$&quot;#,##0.00_);\(&quot;$&quot;#,##0.00\)"/>
    <numFmt numFmtId="191" formatCode="&quot;￥&quot;#,##0.00_);[Red]\(&quot;￥&quot;#,##0.00\)"/>
    <numFmt numFmtId="192" formatCode="_(&quot;$&quot;* #,##0_);_(&quot;$&quot;* \(#,##0\);_(&quot;$&quot;* &quot;-&quot;_);_(@_)"/>
    <numFmt numFmtId="193" formatCode="#,##0_);[Red]\(#,##0\)"/>
    <numFmt numFmtId="194" formatCode="_ * #,##0.000_ ;_ * \-#,##0.000_ ;_ * &quot;-&quot;??_ ;_ @_ "/>
    <numFmt numFmtId="195" formatCode="_ * #,##0_ ;_ * \-#,##0_ ;_ * &quot;-&quot;??_ ;_ @_ "/>
    <numFmt numFmtId="196" formatCode="#,##0.000"/>
    <numFmt numFmtId="197" formatCode="#,##0.0000"/>
    <numFmt numFmtId="198" formatCode="0.00_ ;[Red]\-0.00\ "/>
    <numFmt numFmtId="199" formatCode="_ * #,##0.0_ ;_ * \-#,##0.0_ ;_ * &quot;-&quot;??_ ;_ @_ "/>
    <numFmt numFmtId="200" formatCode="_-* #,##0_-;\-* #,##0_-;_-* &quot;-&quot;??_-;_-@_-"/>
    <numFmt numFmtId="201" formatCode="_-* #,##0.00_-;\-* #,##0.00_-;_-* &quot;-&quot;??_-;_-@_-"/>
    <numFmt numFmtId="202" formatCode="_-* #,##0.00_-;\-* #,##0.00_-;_-* &quot;-&quot;_-;_-@_-"/>
    <numFmt numFmtId="203" formatCode="_-* #,##0.000_-;\-* #,##0.000_-;_-* &quot;-&quot;_-;_-@_-"/>
    <numFmt numFmtId="204" formatCode="0.0%"/>
    <numFmt numFmtId="205" formatCode="0.000_ "/>
    <numFmt numFmtId="206" formatCode="_-* #,##0.0_-;\-* #,##0.0_-;_-* &quot;-&quot;_-;_-@_-"/>
    <numFmt numFmtId="207" formatCode="0.00_ "/>
    <numFmt numFmtId="208" formatCode="0.00_);[Red]\(0.00\)"/>
    <numFmt numFmtId="209" formatCode="#,##0.00_ "/>
    <numFmt numFmtId="210" formatCode="_ * #,##0.0000_ ;_ * \-#,##0.0000_ ;_ * &quot;-&quot;??_ ;_ @_ "/>
    <numFmt numFmtId="211" formatCode="0.0_ "/>
    <numFmt numFmtId="212" formatCode="0_ "/>
    <numFmt numFmtId="213" formatCode="#,##0.000_);[Red]\(#,##0.000\)"/>
    <numFmt numFmtId="214" formatCode="#,##0.0_);[Red]\(#,##0.0\)"/>
    <numFmt numFmtId="215" formatCode="_ * #,##0.00_ ;_ * \-#,##0.00_ ;_ * &quot;-&quot;_ ;_ @_ "/>
    <numFmt numFmtId="216" formatCode="_ * #,##0.00000_ ;_ * \-#,##0.00000_ ;_ * &quot;-&quot;??_ ;_ @_ "/>
    <numFmt numFmtId="217" formatCode="_ * #,##0.000_ ;_ * \-#,##0.000_ ;_ * &quot;-&quot;_ ;_ @_ "/>
    <numFmt numFmtId="218" formatCode="_ * #,##0.0_ ;_ * \-#,##0.0_ ;_ * &quot;-&quot;_ ;_ @_ "/>
    <numFmt numFmtId="219" formatCode="#,##0.0000_);[Red]\(#,##0.0000\)"/>
  </numFmts>
  <fonts count="86">
    <font>
      <sz val="12"/>
      <name val="宋体"/>
      <charset val="134"/>
    </font>
    <font>
      <sz val="12"/>
      <name val="楷体"/>
      <charset val="134"/>
    </font>
    <font>
      <b/>
      <sz val="12"/>
      <name val="楷体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color indexed="20"/>
      <name val="黑体"/>
      <charset val="134"/>
    </font>
    <font>
      <b/>
      <sz val="10"/>
      <color indexed="12"/>
      <name val="宋体"/>
      <charset val="134"/>
    </font>
    <font>
      <b/>
      <sz val="16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6"/>
      <color indexed="20"/>
      <name val="黑体"/>
      <charset val="134"/>
    </font>
    <font>
      <b/>
      <sz val="10"/>
      <color indexed="8"/>
      <name val="宋体"/>
      <charset val="134"/>
    </font>
    <font>
      <sz val="11"/>
      <color rgb="FF333333"/>
      <name val="宋体"/>
      <charset val="134"/>
    </font>
    <font>
      <b/>
      <sz val="10"/>
      <name val="黑体"/>
      <charset val="134"/>
    </font>
    <font>
      <b/>
      <sz val="16"/>
      <color indexed="16"/>
      <name val="宋体"/>
      <charset val="134"/>
    </font>
    <font>
      <sz val="10"/>
      <color indexed="12"/>
      <name val="宋体"/>
      <charset val="134"/>
    </font>
    <font>
      <sz val="10"/>
      <color theme="3"/>
      <name val="宋体"/>
      <charset val="134"/>
    </font>
    <font>
      <sz val="10"/>
      <color indexed="9"/>
      <name val="宋体"/>
      <charset val="134"/>
    </font>
    <font>
      <sz val="10"/>
      <color indexed="62"/>
      <name val="宋体"/>
      <charset val="134"/>
    </font>
    <font>
      <b/>
      <sz val="10"/>
      <color indexed="52"/>
      <name val="宋体"/>
      <charset val="134"/>
    </font>
    <font>
      <b/>
      <sz val="11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20"/>
      <name val="宋体"/>
      <charset val="134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b/>
      <sz val="20"/>
      <name val="黑体"/>
      <charset val="134"/>
    </font>
    <font>
      <b/>
      <sz val="12"/>
      <color indexed="8"/>
      <name val="宋体"/>
      <charset val="134"/>
    </font>
    <font>
      <u/>
      <sz val="12"/>
      <color rgb="FF800080"/>
      <name val="宋体"/>
      <charset val="134"/>
    </font>
    <font>
      <u/>
      <sz val="12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indexed="8"/>
      <name val="MS Sans Serif"/>
      <charset val="134"/>
    </font>
    <font>
      <sz val="11"/>
      <name val="ＭＳ Ｐゴシック"/>
      <charset val="134"/>
    </font>
    <font>
      <sz val="12"/>
      <name val="???"/>
      <charset val="134"/>
    </font>
    <font>
      <sz val="11"/>
      <color indexed="8"/>
      <name val="宋体"/>
      <charset val="134"/>
    </font>
    <font>
      <sz val="10"/>
      <color indexed="8"/>
      <name val="Arial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2"/>
      <name val="Times New Roman"/>
      <charset val="134"/>
    </font>
    <font>
      <b/>
      <sz val="24"/>
      <color indexed="20"/>
      <name val="隶书"/>
      <charset val="134"/>
    </font>
    <font>
      <sz val="11"/>
      <color indexed="60"/>
      <name val="宋体"/>
      <charset val="134"/>
    </font>
    <font>
      <b/>
      <i/>
      <sz val="12"/>
      <name val="Times New Roman"/>
      <charset val="134"/>
    </font>
    <font>
      <sz val="11"/>
      <color indexed="62"/>
      <name val="宋体"/>
      <charset val="134"/>
    </font>
    <font>
      <sz val="12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sz val="12"/>
      <color indexed="20"/>
      <name val="宋体"/>
      <charset val="134"/>
    </font>
    <font>
      <sz val="12"/>
      <color theme="1"/>
      <name val="宋体"/>
      <charset val="134"/>
      <scheme val="minor"/>
    </font>
    <font>
      <sz val="10"/>
      <name val="MS Sans Serif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0"/>
      <name val="Times New Roman"/>
      <charset val="134"/>
    </font>
    <font>
      <sz val="11"/>
      <name val="蹈框"/>
      <charset val="134"/>
    </font>
    <font>
      <sz val="11"/>
      <color indexed="10"/>
      <name val="宋体"/>
      <charset val="134"/>
    </font>
    <font>
      <sz val="10"/>
      <name val="Helv"/>
      <charset val="134"/>
    </font>
    <font>
      <b/>
      <sz val="11"/>
      <color indexed="63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55">
    <xf numFmtId="0" fontId="0" fillId="0" borderId="0">
      <alignment vertical="top"/>
    </xf>
    <xf numFmtId="43" fontId="0" fillId="0" borderId="0" applyFont="0" applyFill="0" applyBorder="0" applyAlignment="0" applyProtection="0"/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32" fillId="18" borderId="20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5" borderId="40" applyNumberFormat="0" applyAlignment="0" applyProtection="0">
      <alignment vertical="center"/>
    </xf>
    <xf numFmtId="0" fontId="41" fillId="26" borderId="41" applyNumberFormat="0" applyAlignment="0" applyProtection="0">
      <alignment vertical="center"/>
    </xf>
    <xf numFmtId="0" fontId="42" fillId="26" borderId="40" applyNumberFormat="0" applyAlignment="0" applyProtection="0">
      <alignment vertical="center"/>
    </xf>
    <xf numFmtId="0" fontId="43" fillId="27" borderId="42" applyNumberFormat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5" fillId="0" borderId="44" applyNumberFormat="0" applyFill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/>
    <xf numFmtId="0" fontId="5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4" fillId="0" borderId="0">
      <alignment vertical="top"/>
    </xf>
    <xf numFmtId="0" fontId="54" fillId="0" borderId="0">
      <alignment vertical="top"/>
    </xf>
    <xf numFmtId="0" fontId="5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5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55" fillId="0" borderId="45" applyNumberFormat="0" applyFill="0" applyAlignment="0" applyProtection="0">
      <alignment vertical="center"/>
    </xf>
    <xf numFmtId="0" fontId="55" fillId="0" borderId="46" applyNumberFormat="0" applyFill="0" applyAlignment="0" applyProtection="0">
      <alignment vertical="center"/>
    </xf>
    <xf numFmtId="0" fontId="55" fillId="0" borderId="46" applyNumberFormat="0" applyFill="0" applyAlignment="0" applyProtection="0">
      <alignment vertical="center"/>
    </xf>
    <xf numFmtId="0" fontId="56" fillId="23" borderId="47" applyNumberFormat="0" applyAlignment="0" applyProtection="0">
      <alignment vertical="center"/>
    </xf>
    <xf numFmtId="0" fontId="56" fillId="4" borderId="47" applyNumberFormat="0" applyAlignment="0" applyProtection="0">
      <alignment vertical="center"/>
    </xf>
    <xf numFmtId="0" fontId="56" fillId="4" borderId="47" applyNumberFormat="0" applyAlignment="0" applyProtection="0">
      <alignment vertical="center"/>
    </xf>
    <xf numFmtId="0" fontId="56" fillId="4" borderId="47" applyNumberFormat="0" applyAlignment="0" applyProtection="0">
      <alignment vertical="center"/>
    </xf>
    <xf numFmtId="0" fontId="0" fillId="49" borderId="0" applyNumberFormat="0" applyFont="0" applyBorder="0" applyAlignment="0" applyProtection="0"/>
    <xf numFmtId="0" fontId="57" fillId="5" borderId="0" applyNumberFormat="0" applyBorder="0" applyAlignment="0" applyProtection="0">
      <alignment vertical="center"/>
    </xf>
    <xf numFmtId="0" fontId="3" fillId="50" borderId="48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" fillId="0" borderId="0"/>
    <xf numFmtId="0" fontId="59" fillId="51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0" fontId="59" fillId="5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177" fontId="61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44" fontId="62" fillId="0" borderId="0">
      <alignment horizontal="center" vertical="center"/>
      <protection locked="0"/>
    </xf>
    <xf numFmtId="44" fontId="62" fillId="0" borderId="0">
      <alignment horizontal="center" vertical="center"/>
      <protection locked="0"/>
    </xf>
    <xf numFmtId="178" fontId="62" fillId="0" borderId="0">
      <alignment horizontal="center" vertical="center"/>
      <protection locked="0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4" fillId="52" borderId="49">
      <alignment horizontal="center"/>
    </xf>
    <xf numFmtId="0" fontId="64" fillId="52" borderId="49">
      <alignment horizontal="center"/>
    </xf>
    <xf numFmtId="0" fontId="64" fillId="52" borderId="49">
      <alignment horizontal="center"/>
    </xf>
    <xf numFmtId="0" fontId="61" fillId="0" borderId="0"/>
    <xf numFmtId="0" fontId="65" fillId="5" borderId="47" applyNumberFormat="0" applyAlignment="0" applyProtection="0">
      <alignment vertical="center"/>
    </xf>
    <xf numFmtId="0" fontId="65" fillId="5" borderId="47" applyNumberFormat="0" applyAlignment="0" applyProtection="0">
      <alignment vertical="center"/>
    </xf>
    <xf numFmtId="0" fontId="65" fillId="5" borderId="47" applyNumberFormat="0" applyAlignment="0" applyProtection="0">
      <alignment vertical="center"/>
    </xf>
    <xf numFmtId="0" fontId="5" fillId="49" borderId="50" applyNumberFormat="0" applyProtection="0">
      <alignment horizontal="left" vertical="center" indent="1"/>
    </xf>
    <xf numFmtId="0" fontId="3" fillId="53" borderId="50" applyNumberFormat="0" applyProtection="0">
      <alignment horizontal="left" vertical="center" indent="1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  <xf numFmtId="9" fontId="6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0" fillId="0" borderId="0" applyNumberFormat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66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6" fillId="0" borderId="0">
      <alignment vertical="center"/>
    </xf>
    <xf numFmtId="0" fontId="0" fillId="0" borderId="0">
      <alignment vertical="top"/>
    </xf>
    <xf numFmtId="0" fontId="0" fillId="0" borderId="0" applyNumberFormat="0" applyFont="0" applyFill="0" applyBorder="0" applyAlignment="0" applyProtection="0"/>
    <xf numFmtId="0" fontId="0" fillId="0" borderId="0"/>
    <xf numFmtId="0" fontId="3" fillId="0" borderId="0"/>
    <xf numFmtId="0" fontId="0" fillId="0" borderId="0"/>
    <xf numFmtId="0" fontId="0" fillId="0" borderId="0">
      <alignment vertical="top"/>
    </xf>
    <xf numFmtId="0" fontId="66" fillId="0" borderId="0">
      <alignment vertical="center"/>
    </xf>
    <xf numFmtId="0" fontId="3" fillId="0" borderId="0"/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6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>
      <alignment vertical="center"/>
    </xf>
    <xf numFmtId="0" fontId="3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4" fillId="0" borderId="0"/>
    <xf numFmtId="0" fontId="66" fillId="0" borderId="0">
      <alignment vertical="center"/>
    </xf>
    <xf numFmtId="0" fontId="66" fillId="0" borderId="0">
      <alignment vertical="center"/>
    </xf>
    <xf numFmtId="0" fontId="3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53" fillId="0" borderId="0">
      <alignment vertical="center"/>
    </xf>
    <xf numFmtId="0" fontId="0" fillId="0" borderId="0"/>
    <xf numFmtId="0" fontId="0" fillId="0" borderId="0"/>
    <xf numFmtId="0" fontId="0" fillId="0" borderId="0"/>
    <xf numFmtId="0" fontId="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0" borderId="0">
      <alignment vertical="center"/>
    </xf>
    <xf numFmtId="0" fontId="5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0" fillId="0" borderId="0">
      <alignment vertical="center"/>
    </xf>
    <xf numFmtId="0" fontId="0" fillId="0" borderId="0"/>
    <xf numFmtId="0" fontId="53" fillId="0" borderId="0">
      <alignment vertical="center"/>
    </xf>
    <xf numFmtId="0" fontId="70" fillId="0" borderId="0">
      <alignment vertical="center"/>
    </xf>
    <xf numFmtId="0" fontId="53" fillId="0" borderId="0">
      <alignment vertical="center"/>
    </xf>
    <xf numFmtId="0" fontId="3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0" borderId="0">
      <alignment vertical="center"/>
    </xf>
    <xf numFmtId="0" fontId="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/>
    <xf numFmtId="0" fontId="53" fillId="0" borderId="0">
      <alignment vertical="center"/>
    </xf>
    <xf numFmtId="0" fontId="71" fillId="0" borderId="0"/>
    <xf numFmtId="0" fontId="53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71" fillId="0" borderId="0"/>
    <xf numFmtId="0" fontId="31" fillId="0" borderId="0" applyNumberFormat="0" applyFill="0" applyBorder="0" applyAlignment="0" applyProtection="0">
      <alignment vertical="top"/>
      <protection locked="0"/>
    </xf>
    <xf numFmtId="179" fontId="5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2" fillId="0" borderId="51" applyNumberFormat="0" applyFill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5" fillId="54" borderId="52" applyNumberFormat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76" fillId="54" borderId="52" applyNumberFormat="0" applyAlignment="0" applyProtection="0">
      <alignment vertical="center"/>
    </xf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0" fontId="77" fillId="0" borderId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77" fontId="61" fillId="0" borderId="0" applyFont="0" applyFill="0" applyBorder="0" applyAlignment="0" applyProtection="0"/>
    <xf numFmtId="179" fontId="6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53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9" fontId="3" fillId="0" borderId="0" applyFont="0" applyFill="0" applyBorder="0" applyAlignment="0" applyProtection="0"/>
    <xf numFmtId="190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91" fontId="3" fillId="0" borderId="0" applyFont="0" applyFill="0" applyBorder="0" applyAlignment="0" applyProtection="0"/>
    <xf numFmtId="192" fontId="32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92" fontId="3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92" fontId="32" fillId="0" borderId="0" applyFont="0" applyFill="0" applyBorder="0" applyAlignment="0" applyProtection="0">
      <alignment vertical="center"/>
    </xf>
    <xf numFmtId="192" fontId="32" fillId="0" borderId="0" applyFont="0" applyFill="0" applyBorder="0" applyAlignment="0" applyProtection="0">
      <alignment vertical="center"/>
    </xf>
    <xf numFmtId="192" fontId="32" fillId="0" borderId="0" applyFont="0" applyFill="0" applyBorder="0" applyAlignment="0" applyProtection="0">
      <alignment vertical="center"/>
    </xf>
    <xf numFmtId="192" fontId="32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78" fillId="0" borderId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4" fillId="0" borderId="0">
      <alignment vertical="top"/>
    </xf>
    <xf numFmtId="0" fontId="80" fillId="0" borderId="0"/>
    <xf numFmtId="0" fontId="54" fillId="0" borderId="0">
      <alignment vertical="top"/>
    </xf>
    <xf numFmtId="0" fontId="54" fillId="0" borderId="0">
      <alignment vertical="top"/>
    </xf>
    <xf numFmtId="0" fontId="80" fillId="0" borderId="0"/>
    <xf numFmtId="0" fontId="53" fillId="23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5" fillId="54" borderId="52" applyNumberFormat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55" fillId="0" borderId="46" applyNumberFormat="0" applyFill="0" applyAlignment="0" applyProtection="0">
      <alignment vertical="center"/>
    </xf>
    <xf numFmtId="0" fontId="56" fillId="4" borderId="47" applyNumberFormat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81" fillId="4" borderId="53" applyNumberFormat="0" applyAlignment="0" applyProtection="0">
      <alignment vertical="center"/>
    </xf>
    <xf numFmtId="0" fontId="65" fillId="5" borderId="47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3" fillId="64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72" fillId="0" borderId="51" applyNumberFormat="0" applyFill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6" fillId="54" borderId="52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0" fillId="50" borderId="48" applyNumberFormat="0" applyFont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3" fillId="0" borderId="0"/>
    <xf numFmtId="0" fontId="71" fillId="0" borderId="0"/>
    <xf numFmtId="0" fontId="32" fillId="18" borderId="20" applyNumberFormat="0" applyFont="0" applyAlignment="0" applyProtection="0">
      <alignment vertical="center"/>
    </xf>
    <xf numFmtId="0" fontId="3" fillId="0" borderId="0"/>
    <xf numFmtId="0" fontId="3" fillId="0" borderId="0"/>
    <xf numFmtId="43" fontId="32" fillId="0" borderId="0" applyFont="0" applyFill="0" applyBorder="0" applyAlignment="0" applyProtection="0">
      <alignment vertical="center"/>
    </xf>
    <xf numFmtId="0" fontId="10" fillId="0" borderId="0"/>
    <xf numFmtId="0" fontId="32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726">
    <xf numFmtId="0" fontId="0" fillId="0" borderId="0" xfId="0" applyAlignment="1"/>
    <xf numFmtId="193" fontId="0" fillId="0" borderId="0" xfId="1" applyNumberFormat="1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93" fontId="1" fillId="2" borderId="1" xfId="1" applyNumberFormat="1" applyFont="1" applyFill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193" fontId="1" fillId="0" borderId="1" xfId="1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94" fontId="1" fillId="0" borderId="1" xfId="1" applyNumberFormat="1" applyFont="1" applyBorder="1" applyAlignment="1">
      <alignment horizontal="right"/>
    </xf>
    <xf numFmtId="195" fontId="1" fillId="0" borderId="1" xfId="1" applyNumberFormat="1" applyFont="1" applyBorder="1" applyAlignment="1">
      <alignment horizontal="right"/>
    </xf>
    <xf numFmtId="43" fontId="1" fillId="0" borderId="1" xfId="1" applyFont="1" applyBorder="1" applyAlignment="1">
      <alignment horizontal="righ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193" fontId="2" fillId="3" borderId="1" xfId="1" applyNumberFormat="1" applyFont="1" applyFill="1" applyBorder="1" applyAlignment="1">
      <alignment horizontal="right"/>
    </xf>
    <xf numFmtId="0" fontId="3" fillId="0" borderId="0" xfId="222" applyAlignment="1">
      <alignment vertical="top"/>
    </xf>
    <xf numFmtId="9" fontId="0" fillId="0" borderId="0" xfId="171" applyFont="1" applyAlignment="1">
      <alignment vertical="top"/>
    </xf>
    <xf numFmtId="43" fontId="0" fillId="0" borderId="0" xfId="511" applyFont="1" applyAlignment="1">
      <alignment vertical="top"/>
    </xf>
    <xf numFmtId="0" fontId="4" fillId="0" borderId="0" xfId="222" applyFont="1" applyAlignment="1">
      <alignment vertical="top"/>
    </xf>
    <xf numFmtId="0" fontId="3" fillId="4" borderId="1" xfId="222" applyFill="1" applyBorder="1" applyAlignment="1">
      <alignment vertical="top"/>
    </xf>
    <xf numFmtId="9" fontId="4" fillId="0" borderId="0" xfId="171" applyFont="1" applyAlignment="1">
      <alignment vertical="top"/>
    </xf>
    <xf numFmtId="43" fontId="4" fillId="0" borderId="0" xfId="511" applyFont="1" applyAlignment="1">
      <alignment vertical="top"/>
    </xf>
    <xf numFmtId="43" fontId="3" fillId="0" borderId="0" xfId="222" applyNumberFormat="1" applyAlignment="1">
      <alignment vertical="top"/>
    </xf>
    <xf numFmtId="43" fontId="3" fillId="0" borderId="0" xfId="1" applyFont="1" applyAlignment="1">
      <alignment vertical="top"/>
    </xf>
    <xf numFmtId="0" fontId="3" fillId="0" borderId="0" xfId="222" applyNumberFormat="1" applyAlignment="1">
      <alignment vertical="top"/>
    </xf>
    <xf numFmtId="196" fontId="3" fillId="0" borderId="0" xfId="222" applyNumberFormat="1" applyAlignment="1">
      <alignment horizontal="right" vertical="top"/>
    </xf>
    <xf numFmtId="197" fontId="3" fillId="0" borderId="0" xfId="222" applyNumberFormat="1" applyAlignment="1">
      <alignment horizontal="right" vertical="top"/>
    </xf>
    <xf numFmtId="0" fontId="4" fillId="0" borderId="0" xfId="222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NumberFormat="1" applyFont="1" applyFill="1" applyAlignment="1">
      <alignment vertical="top"/>
    </xf>
    <xf numFmtId="198" fontId="3" fillId="0" borderId="0" xfId="0" applyNumberFormat="1" applyFont="1" applyFill="1" applyAlignment="1">
      <alignment horizontal="right" vertical="top"/>
    </xf>
    <xf numFmtId="197" fontId="3" fillId="0" borderId="0" xfId="0" applyNumberFormat="1" applyFont="1" applyFill="1" applyAlignment="1">
      <alignment horizontal="right" vertical="top"/>
    </xf>
    <xf numFmtId="196" fontId="3" fillId="0" borderId="0" xfId="0" applyNumberFormat="1" applyFont="1" applyFill="1" applyAlignment="1">
      <alignment horizontal="right" vertical="top"/>
    </xf>
    <xf numFmtId="9" fontId="0" fillId="0" borderId="0" xfId="171" applyFont="1" applyFill="1" applyAlignment="1">
      <alignment vertical="top"/>
    </xf>
    <xf numFmtId="43" fontId="0" fillId="0" borderId="0" xfId="511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1" fontId="0" fillId="0" borderId="0" xfId="0" applyNumberFormat="1" applyAlignment="1">
      <alignment vertical="center"/>
    </xf>
    <xf numFmtId="38" fontId="6" fillId="0" borderId="5" xfId="380" applyNumberFormat="1" applyFont="1" applyBorder="1" applyAlignment="1">
      <alignment horizontal="left" vertical="center"/>
    </xf>
    <xf numFmtId="38" fontId="6" fillId="0" borderId="0" xfId="38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1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195" fontId="4" fillId="6" borderId="1" xfId="1" applyNumberFormat="1" applyFont="1" applyFill="1" applyBorder="1" applyAlignment="1">
      <alignment horizontal="right" vertical="center"/>
    </xf>
    <xf numFmtId="195" fontId="4" fillId="6" borderId="1" xfId="1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43" fontId="4" fillId="7" borderId="1" xfId="1" applyFont="1" applyFill="1" applyBorder="1" applyAlignment="1">
      <alignment horizontal="center" vertical="center"/>
    </xf>
    <xf numFmtId="195" fontId="4" fillId="7" borderId="1" xfId="1" applyNumberFormat="1" applyFont="1" applyFill="1" applyBorder="1" applyAlignment="1">
      <alignment horizontal="right" vertical="center"/>
    </xf>
    <xf numFmtId="195" fontId="4" fillId="7" borderId="1" xfId="1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94" fontId="4" fillId="7" borderId="1" xfId="1" applyNumberFormat="1" applyFont="1" applyFill="1" applyBorder="1" applyAlignment="1">
      <alignment horizontal="right" vertical="center"/>
    </xf>
    <xf numFmtId="195" fontId="4" fillId="8" borderId="1" xfId="1" applyNumberFormat="1" applyFont="1" applyFill="1" applyBorder="1" applyAlignment="1">
      <alignment horizontal="right" vertical="center"/>
    </xf>
    <xf numFmtId="43" fontId="5" fillId="5" borderId="1" xfId="1" applyFont="1" applyFill="1" applyBorder="1" applyAlignment="1">
      <alignment horizontal="center" vertical="center"/>
    </xf>
    <xf numFmtId="195" fontId="5" fillId="6" borderId="1" xfId="1" applyNumberFormat="1" applyFont="1" applyFill="1" applyBorder="1" applyAlignment="1">
      <alignment vertical="center"/>
    </xf>
    <xf numFmtId="41" fontId="5" fillId="0" borderId="0" xfId="1" applyNumberFormat="1" applyFont="1" applyAlignment="1">
      <alignment vertical="center"/>
    </xf>
    <xf numFmtId="41" fontId="5" fillId="0" borderId="0" xfId="0" applyNumberFormat="1" applyFont="1" applyAlignment="1">
      <alignment vertical="center"/>
    </xf>
    <xf numFmtId="195" fontId="4" fillId="0" borderId="0" xfId="1" applyNumberFormat="1" applyFont="1" applyAlignment="1">
      <alignment vertical="center"/>
    </xf>
    <xf numFmtId="195" fontId="4" fillId="7" borderId="1" xfId="1" applyNumberFormat="1" applyFont="1" applyFill="1" applyBorder="1" applyAlignment="1">
      <alignment horizontal="center" vertical="center"/>
    </xf>
    <xf numFmtId="41" fontId="4" fillId="8" borderId="0" xfId="1" applyNumberFormat="1" applyFont="1" applyFill="1" applyAlignment="1">
      <alignment vertical="center"/>
    </xf>
    <xf numFmtId="0" fontId="7" fillId="8" borderId="0" xfId="0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41" fontId="4" fillId="6" borderId="0" xfId="1" applyNumberFormat="1" applyFont="1" applyFill="1" applyBorder="1" applyAlignment="1">
      <alignment horizontal="right" vertical="center"/>
    </xf>
    <xf numFmtId="41" fontId="5" fillId="6" borderId="0" xfId="1" applyNumberFormat="1" applyFont="1" applyFill="1" applyBorder="1" applyAlignment="1">
      <alignment horizontal="right" vertical="center"/>
    </xf>
    <xf numFmtId="195" fontId="4" fillId="0" borderId="0" xfId="0" applyNumberFormat="1" applyFont="1" applyAlignment="1">
      <alignment vertical="center"/>
    </xf>
    <xf numFmtId="41" fontId="5" fillId="5" borderId="1" xfId="0" applyNumberFormat="1" applyFont="1" applyFill="1" applyBorder="1" applyAlignment="1">
      <alignment horizontal="center" vertical="center"/>
    </xf>
    <xf numFmtId="41" fontId="4" fillId="8" borderId="0" xfId="0" applyNumberFormat="1" applyFont="1" applyFill="1" applyAlignment="1">
      <alignment vertical="center"/>
    </xf>
    <xf numFmtId="41" fontId="4" fillId="0" borderId="0" xfId="614" applyNumberFormat="1" applyFont="1" applyAlignment="1">
      <alignment vertical="center"/>
    </xf>
    <xf numFmtId="41" fontId="4" fillId="0" borderId="0" xfId="0" applyNumberFormat="1" applyFont="1" applyFill="1" applyAlignment="1">
      <alignment vertical="center"/>
    </xf>
    <xf numFmtId="41" fontId="4" fillId="0" borderId="0" xfId="1" applyNumberFormat="1" applyFont="1" applyFill="1" applyAlignment="1">
      <alignment vertical="center"/>
    </xf>
    <xf numFmtId="195" fontId="5" fillId="5" borderId="1" xfId="1" applyNumberFormat="1" applyFont="1" applyFill="1" applyBorder="1" applyAlignment="1">
      <alignment horizontal="center" vertical="center"/>
    </xf>
    <xf numFmtId="199" fontId="4" fillId="7" borderId="1" xfId="1" applyNumberFormat="1" applyFont="1" applyFill="1" applyBorder="1" applyAlignment="1">
      <alignment vertical="center"/>
    </xf>
    <xf numFmtId="43" fontId="4" fillId="7" borderId="1" xfId="1" applyFont="1" applyFill="1" applyBorder="1" applyAlignment="1">
      <alignment vertical="center"/>
    </xf>
    <xf numFmtId="41" fontId="4" fillId="0" borderId="0" xfId="1" applyNumberFormat="1" applyFont="1" applyFill="1" applyBorder="1" applyAlignment="1">
      <alignment vertical="center"/>
    </xf>
    <xf numFmtId="41" fontId="4" fillId="0" borderId="0" xfId="614" applyNumberFormat="1" applyFont="1" applyFill="1" applyAlignment="1">
      <alignment vertical="center"/>
    </xf>
    <xf numFmtId="193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00" fontId="9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01" fontId="10" fillId="0" borderId="1" xfId="0" applyNumberFormat="1" applyFont="1" applyBorder="1" applyAlignment="1">
      <alignment vertical="center"/>
    </xf>
    <xf numFmtId="41" fontId="4" fillId="9" borderId="0" xfId="0" applyNumberFormat="1" applyFont="1" applyFill="1" applyAlignment="1">
      <alignment vertical="center"/>
    </xf>
    <xf numFmtId="195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3" fillId="0" borderId="0" xfId="0" applyNumberFormat="1" applyFont="1" applyFill="1" applyAlignment="1">
      <alignment vertical="top"/>
    </xf>
    <xf numFmtId="195" fontId="5" fillId="6" borderId="1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vertical="center"/>
    </xf>
    <xf numFmtId="38" fontId="11" fillId="0" borderId="5" xfId="380" applyNumberFormat="1" applyFont="1" applyBorder="1" applyAlignment="1">
      <alignment horizontal="left" vertical="center"/>
    </xf>
    <xf numFmtId="38" fontId="11" fillId="0" borderId="0" xfId="380" applyNumberFormat="1" applyFont="1" applyAlignment="1">
      <alignment horizontal="left" vertical="center"/>
    </xf>
    <xf numFmtId="0" fontId="12" fillId="0" borderId="0" xfId="380" applyFont="1" applyAlignment="1">
      <alignment horizontal="right" vertical="center"/>
    </xf>
    <xf numFmtId="0" fontId="13" fillId="0" borderId="0" xfId="0" applyFont="1" applyAlignment="1"/>
    <xf numFmtId="38" fontId="11" fillId="0" borderId="0" xfId="380" applyNumberFormat="1" applyFont="1" applyAlignment="1">
      <alignment vertical="center"/>
    </xf>
    <xf numFmtId="38" fontId="14" fillId="0" borderId="0" xfId="380" applyNumberFormat="1" applyFont="1" applyAlignment="1">
      <alignment horizontal="center" vertical="center"/>
    </xf>
    <xf numFmtId="38" fontId="15" fillId="0" borderId="0" xfId="38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38" fontId="5" fillId="5" borderId="7" xfId="38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41" fontId="5" fillId="5" borderId="8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38" fontId="5" fillId="0" borderId="3" xfId="38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1" fontId="5" fillId="0" borderId="4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4" fillId="5" borderId="1" xfId="0" applyFont="1" applyFill="1" applyBorder="1" applyAlignment="1">
      <alignment vertical="center"/>
    </xf>
    <xf numFmtId="176" fontId="4" fillId="0" borderId="1" xfId="4" applyFont="1" applyFill="1" applyBorder="1" applyAlignment="1">
      <alignment horizontal="right" vertical="center"/>
    </xf>
    <xf numFmtId="202" fontId="4" fillId="0" borderId="1" xfId="4" applyNumberFormat="1" applyFont="1" applyFill="1" applyBorder="1" applyAlignment="1">
      <alignment horizontal="right" vertical="center"/>
    </xf>
    <xf numFmtId="41" fontId="4" fillId="0" borderId="1" xfId="4" applyNumberFormat="1" applyFont="1" applyFill="1" applyBorder="1" applyAlignment="1">
      <alignment horizontal="right" vertical="center"/>
    </xf>
    <xf numFmtId="176" fontId="4" fillId="0" borderId="0" xfId="3" applyNumberFormat="1" applyFont="1" applyAlignment="1">
      <alignment vertical="center"/>
    </xf>
    <xf numFmtId="10" fontId="4" fillId="0" borderId="0" xfId="3" applyNumberFormat="1" applyFont="1" applyAlignment="1">
      <alignment vertical="center"/>
    </xf>
    <xf numFmtId="203" fontId="4" fillId="0" borderId="0" xfId="0" applyNumberFormat="1" applyFont="1" applyAlignment="1">
      <alignment vertical="center"/>
    </xf>
    <xf numFmtId="176" fontId="4" fillId="0" borderId="0" xfId="4" applyFont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203" fontId="4" fillId="0" borderId="1" xfId="4" applyNumberFormat="1" applyFont="1" applyFill="1" applyBorder="1" applyAlignment="1">
      <alignment horizontal="right" vertical="center"/>
    </xf>
    <xf numFmtId="195" fontId="4" fillId="0" borderId="1" xfId="1" applyNumberFormat="1" applyFont="1" applyFill="1" applyBorder="1" applyAlignment="1">
      <alignment horizontal="right" vertical="center"/>
    </xf>
    <xf numFmtId="41" fontId="4" fillId="0" borderId="1" xfId="1" applyNumberFormat="1" applyFont="1" applyFill="1" applyBorder="1" applyAlignment="1">
      <alignment horizontal="right" vertical="center"/>
    </xf>
    <xf numFmtId="41" fontId="4" fillId="6" borderId="1" xfId="4" applyNumberFormat="1" applyFont="1" applyFill="1" applyBorder="1" applyAlignment="1">
      <alignment vertical="center"/>
    </xf>
    <xf numFmtId="195" fontId="5" fillId="0" borderId="3" xfId="0" applyNumberFormat="1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center" vertical="center"/>
    </xf>
    <xf numFmtId="176" fontId="4" fillId="6" borderId="1" xfId="4" applyFont="1" applyFill="1" applyBorder="1" applyAlignment="1">
      <alignment vertical="center"/>
    </xf>
    <xf numFmtId="41" fontId="4" fillId="6" borderId="1" xfId="1" applyNumberFormat="1" applyFont="1" applyFill="1" applyBorder="1" applyAlignment="1">
      <alignment vertical="center"/>
    </xf>
    <xf numFmtId="201" fontId="4" fillId="0" borderId="0" xfId="0" applyNumberFormat="1" applyFont="1" applyAlignment="1">
      <alignment vertical="center"/>
    </xf>
    <xf numFmtId="43" fontId="5" fillId="0" borderId="3" xfId="0" applyNumberFormat="1" applyFont="1" applyBorder="1" applyAlignment="1">
      <alignment horizontal="center" vertical="center"/>
    </xf>
    <xf numFmtId="204" fontId="4" fillId="6" borderId="1" xfId="3" applyNumberFormat="1" applyFont="1" applyFill="1" applyBorder="1" applyAlignment="1">
      <alignment vertical="center"/>
    </xf>
    <xf numFmtId="41" fontId="4" fillId="6" borderId="1" xfId="3" applyNumberFormat="1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43" fontId="17" fillId="0" borderId="0" xfId="1" applyFont="1" applyAlignment="1">
      <alignment horizontal="center" vertical="center"/>
    </xf>
    <xf numFmtId="0" fontId="4" fillId="5" borderId="9" xfId="0" applyFont="1" applyFill="1" applyBorder="1" applyAlignment="1">
      <alignment vertical="center" wrapText="1"/>
    </xf>
    <xf numFmtId="176" fontId="4" fillId="10" borderId="1" xfId="4" applyFont="1" applyFill="1" applyBorder="1" applyAlignment="1">
      <alignment horizontal="right" vertical="center"/>
    </xf>
    <xf numFmtId="41" fontId="4" fillId="0" borderId="1" xfId="1" applyNumberFormat="1" applyFont="1" applyBorder="1" applyAlignment="1">
      <alignment vertical="center"/>
    </xf>
    <xf numFmtId="202" fontId="4" fillId="0" borderId="0" xfId="0" applyNumberFormat="1" applyFont="1" applyAlignment="1">
      <alignment vertical="center"/>
    </xf>
    <xf numFmtId="176" fontId="4" fillId="0" borderId="1" xfId="614" applyFont="1" applyFill="1" applyBorder="1" applyAlignment="1">
      <alignment horizontal="right" vertical="center"/>
    </xf>
    <xf numFmtId="194" fontId="4" fillId="0" borderId="0" xfId="1" applyNumberFormat="1" applyFont="1" applyAlignment="1">
      <alignment vertical="center"/>
    </xf>
    <xf numFmtId="194" fontId="4" fillId="0" borderId="0" xfId="1" applyNumberFormat="1" applyFont="1" applyFill="1" applyAlignment="1">
      <alignment vertical="center"/>
    </xf>
    <xf numFmtId="195" fontId="4" fillId="10" borderId="1" xfId="1" applyNumberFormat="1" applyFont="1" applyFill="1" applyBorder="1" applyAlignment="1">
      <alignment vertical="center"/>
    </xf>
    <xf numFmtId="195" fontId="4" fillId="0" borderId="1" xfId="1" applyNumberFormat="1" applyFont="1" applyBorder="1" applyAlignment="1">
      <alignment vertical="center"/>
    </xf>
    <xf numFmtId="205" fontId="4" fillId="0" borderId="0" xfId="0" applyNumberFormat="1" applyFont="1" applyAlignment="1">
      <alignment vertical="center"/>
    </xf>
    <xf numFmtId="0" fontId="4" fillId="5" borderId="2" xfId="0" applyFont="1" applyFill="1" applyBorder="1" applyAlignment="1">
      <alignment vertical="center"/>
    </xf>
    <xf numFmtId="195" fontId="4" fillId="0" borderId="1" xfId="1" applyNumberFormat="1" applyFont="1" applyFill="1" applyBorder="1" applyAlignment="1">
      <alignment vertical="center"/>
    </xf>
    <xf numFmtId="195" fontId="4" fillId="0" borderId="1" xfId="614" applyNumberFormat="1" applyFont="1" applyFill="1" applyBorder="1" applyAlignment="1">
      <alignment horizontal="right" vertical="center"/>
    </xf>
    <xf numFmtId="202" fontId="4" fillId="0" borderId="0" xfId="4" applyNumberFormat="1" applyFont="1" applyAlignment="1">
      <alignment vertical="center"/>
    </xf>
    <xf numFmtId="43" fontId="4" fillId="0" borderId="1" xfId="1" applyFont="1" applyFill="1" applyBorder="1" applyAlignment="1">
      <alignment vertical="center"/>
    </xf>
    <xf numFmtId="176" fontId="4" fillId="0" borderId="1" xfId="1" applyNumberFormat="1" applyFont="1" applyFill="1" applyBorder="1" applyAlignment="1">
      <alignment vertical="center"/>
    </xf>
    <xf numFmtId="10" fontId="4" fillId="0" borderId="1" xfId="3" applyNumberFormat="1" applyFont="1" applyFill="1" applyBorder="1" applyAlignment="1">
      <alignment vertical="center"/>
    </xf>
    <xf numFmtId="10" fontId="4" fillId="0" borderId="1" xfId="3" applyNumberFormat="1" applyFont="1" applyBorder="1" applyAlignment="1">
      <alignment vertical="center"/>
    </xf>
    <xf numFmtId="10" fontId="4" fillId="0" borderId="1" xfId="3" applyNumberFormat="1" applyFont="1" applyFill="1" applyBorder="1" applyAlignment="1">
      <alignment horizontal="right" vertical="center"/>
    </xf>
    <xf numFmtId="10" fontId="4" fillId="0" borderId="1" xfId="614" applyNumberFormat="1" applyFont="1" applyFill="1" applyBorder="1" applyAlignment="1">
      <alignment horizontal="right" vertical="center"/>
    </xf>
    <xf numFmtId="41" fontId="4" fillId="0" borderId="1" xfId="3" applyNumberFormat="1" applyFont="1" applyFill="1" applyBorder="1" applyAlignment="1">
      <alignment vertical="center"/>
    </xf>
    <xf numFmtId="10" fontId="4" fillId="0" borderId="0" xfId="4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195" fontId="4" fillId="8" borderId="1" xfId="1" applyNumberFormat="1" applyFont="1" applyFill="1" applyBorder="1" applyAlignment="1">
      <alignment vertical="center"/>
    </xf>
    <xf numFmtId="41" fontId="4" fillId="8" borderId="1" xfId="1" applyNumberFormat="1" applyFont="1" applyFill="1" applyBorder="1" applyAlignment="1">
      <alignment vertical="center"/>
    </xf>
    <xf numFmtId="0" fontId="5" fillId="10" borderId="2" xfId="0" applyFont="1" applyFill="1" applyBorder="1" applyAlignment="1">
      <alignment vertical="center"/>
    </xf>
    <xf numFmtId="41" fontId="5" fillId="6" borderId="1" xfId="1" applyNumberFormat="1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195" fontId="5" fillId="8" borderId="1" xfId="1" applyNumberFormat="1" applyFont="1" applyFill="1" applyBorder="1" applyAlignment="1">
      <alignment vertical="center"/>
    </xf>
    <xf numFmtId="41" fontId="5" fillId="8" borderId="1" xfId="1" applyNumberFormat="1" applyFont="1" applyFill="1" applyBorder="1" applyAlignment="1">
      <alignment vertical="center"/>
    </xf>
    <xf numFmtId="0" fontId="4" fillId="8" borderId="9" xfId="0" applyFont="1" applyFill="1" applyBorder="1" applyAlignment="1">
      <alignment vertical="center" wrapText="1"/>
    </xf>
    <xf numFmtId="43" fontId="4" fillId="8" borderId="1" xfId="1" applyFont="1" applyFill="1" applyBorder="1" applyAlignment="1">
      <alignment horizontal="center" vertical="center"/>
    </xf>
    <xf numFmtId="194" fontId="4" fillId="6" borderId="1" xfId="1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1" fontId="4" fillId="0" borderId="0" xfId="1" applyNumberFormat="1" applyFont="1" applyAlignment="1">
      <alignment vertical="center"/>
    </xf>
    <xf numFmtId="41" fontId="5" fillId="5" borderId="7" xfId="0" applyNumberFormat="1" applyFont="1" applyFill="1" applyBorder="1" applyAlignment="1">
      <alignment horizontal="center" vertical="center"/>
    </xf>
    <xf numFmtId="41" fontId="4" fillId="0" borderId="1" xfId="1" applyNumberFormat="1" applyFont="1" applyFill="1" applyBorder="1" applyAlignment="1">
      <alignment vertical="center"/>
    </xf>
    <xf numFmtId="206" fontId="4" fillId="0" borderId="0" xfId="0" applyNumberFormat="1" applyFont="1" applyAlignment="1">
      <alignment vertical="center"/>
    </xf>
    <xf numFmtId="43" fontId="4" fillId="10" borderId="0" xfId="0" applyNumberFormat="1" applyFont="1" applyFill="1" applyAlignment="1">
      <alignment vertical="center"/>
    </xf>
    <xf numFmtId="202" fontId="4" fillId="10" borderId="0" xfId="0" applyNumberFormat="1" applyFont="1" applyFill="1" applyAlignment="1">
      <alignment vertical="center"/>
    </xf>
    <xf numFmtId="43" fontId="5" fillId="11" borderId="0" xfId="0" applyNumberFormat="1" applyFont="1" applyFill="1" applyAlignment="1">
      <alignment vertical="center"/>
    </xf>
    <xf numFmtId="195" fontId="4" fillId="5" borderId="11" xfId="0" applyNumberFormat="1" applyFont="1" applyFill="1" applyBorder="1" applyAlignment="1">
      <alignment horizontal="center" vertical="center"/>
    </xf>
    <xf numFmtId="195" fontId="4" fillId="5" borderId="11" xfId="0" applyNumberFormat="1" applyFont="1" applyFill="1" applyBorder="1" applyAlignment="1">
      <alignment horizontal="center" vertical="center" wrapText="1"/>
    </xf>
    <xf numFmtId="195" fontId="4" fillId="12" borderId="1" xfId="0" applyNumberFormat="1" applyFont="1" applyFill="1" applyBorder="1" applyAlignment="1">
      <alignment horizontal="center" vertical="center"/>
    </xf>
    <xf numFmtId="195" fontId="4" fillId="5" borderId="12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95" fontId="4" fillId="5" borderId="1" xfId="0" applyNumberFormat="1" applyFont="1" applyFill="1" applyBorder="1" applyAlignment="1">
      <alignment vertical="center"/>
    </xf>
    <xf numFmtId="202" fontId="4" fillId="0" borderId="1" xfId="4" applyNumberFormat="1" applyFont="1" applyBorder="1" applyAlignment="1"/>
    <xf numFmtId="43" fontId="0" fillId="0" borderId="0" xfId="0" applyNumberFormat="1" applyAlignment="1"/>
    <xf numFmtId="202" fontId="4" fillId="10" borderId="1" xfId="4" applyNumberFormat="1" applyFont="1" applyFill="1" applyBorder="1" applyAlignment="1"/>
    <xf numFmtId="43" fontId="0" fillId="0" borderId="0" xfId="1" applyFont="1" applyAlignment="1"/>
    <xf numFmtId="0" fontId="4" fillId="5" borderId="13" xfId="0" applyFont="1" applyFill="1" applyBorder="1" applyAlignment="1">
      <alignment horizontal="left" vertical="center" indent="1"/>
    </xf>
    <xf numFmtId="43" fontId="4" fillId="0" borderId="1" xfId="1" applyFont="1" applyFill="1" applyBorder="1" applyAlignment="1">
      <alignment horizontal="center" vertical="center"/>
    </xf>
    <xf numFmtId="41" fontId="4" fillId="0" borderId="1" xfId="1" applyNumberFormat="1" applyFont="1" applyFill="1" applyBorder="1" applyAlignment="1">
      <alignment horizontal="center" vertical="center"/>
    </xf>
    <xf numFmtId="203" fontId="4" fillId="0" borderId="1" xfId="4" applyNumberFormat="1" applyFont="1" applyBorder="1" applyAlignment="1"/>
    <xf numFmtId="202" fontId="4" fillId="0" borderId="1" xfId="4" applyNumberFormat="1" applyFont="1" applyBorder="1" applyAlignment="1">
      <alignment vertical="center"/>
    </xf>
    <xf numFmtId="0" fontId="4" fillId="0" borderId="3" xfId="0" applyFont="1" applyBorder="1" applyAlignment="1">
      <alignment horizontal="left" vertical="center" indent="1"/>
    </xf>
    <xf numFmtId="0" fontId="0" fillId="0" borderId="3" xfId="0" applyBorder="1" applyAlignment="1"/>
    <xf numFmtId="176" fontId="0" fillId="0" borderId="3" xfId="0" applyNumberFormat="1" applyBorder="1" applyAlignment="1"/>
    <xf numFmtId="202" fontId="4" fillId="0" borderId="3" xfId="4" applyNumberFormat="1" applyFont="1" applyFill="1" applyBorder="1" applyAlignment="1"/>
    <xf numFmtId="0" fontId="4" fillId="0" borderId="3" xfId="0" applyFont="1" applyBorder="1" applyAlignment="1"/>
    <xf numFmtId="0" fontId="4" fillId="5" borderId="14" xfId="0" applyFont="1" applyFill="1" applyBorder="1" applyAlignment="1">
      <alignment horizontal="left" vertical="center" indent="1"/>
    </xf>
    <xf numFmtId="43" fontId="4" fillId="5" borderId="15" xfId="1" applyFont="1" applyFill="1" applyBorder="1" applyAlignment="1">
      <alignment horizontal="center" vertical="center"/>
    </xf>
    <xf numFmtId="43" fontId="4" fillId="0" borderId="1" xfId="4" applyNumberFormat="1" applyFont="1" applyFill="1" applyBorder="1" applyAlignment="1">
      <alignment horizontal="right" vertical="center"/>
    </xf>
    <xf numFmtId="195" fontId="4" fillId="5" borderId="16" xfId="0" applyNumberFormat="1" applyFont="1" applyFill="1" applyBorder="1" applyAlignment="1">
      <alignment horizontal="center" vertical="center"/>
    </xf>
    <xf numFmtId="195" fontId="4" fillId="5" borderId="16" xfId="0" applyNumberFormat="1" applyFont="1" applyFill="1" applyBorder="1" applyAlignment="1">
      <alignment horizontal="center" vertical="center" wrapText="1"/>
    </xf>
    <xf numFmtId="195" fontId="4" fillId="12" borderId="12" xfId="0" applyNumberFormat="1" applyFont="1" applyFill="1" applyBorder="1" applyAlignment="1">
      <alignment horizontal="center" vertical="center"/>
    </xf>
    <xf numFmtId="195" fontId="4" fillId="10" borderId="12" xfId="0" applyNumberFormat="1" applyFont="1" applyFill="1" applyBorder="1" applyAlignment="1">
      <alignment horizontal="center" vertical="center"/>
    </xf>
    <xf numFmtId="195" fontId="4" fillId="12" borderId="17" xfId="0" applyNumberFormat="1" applyFont="1" applyFill="1" applyBorder="1" applyAlignment="1">
      <alignment horizontal="center" vertical="center"/>
    </xf>
    <xf numFmtId="195" fontId="4" fillId="12" borderId="4" xfId="0" applyNumberFormat="1" applyFont="1" applyFill="1" applyBorder="1" applyAlignment="1">
      <alignment horizontal="center" vertical="center"/>
    </xf>
    <xf numFmtId="195" fontId="4" fillId="12" borderId="2" xfId="0" applyNumberFormat="1" applyFont="1" applyFill="1" applyBorder="1" applyAlignment="1">
      <alignment horizontal="center" vertical="center"/>
    </xf>
    <xf numFmtId="202" fontId="4" fillId="8" borderId="1" xfId="4" applyNumberFormat="1" applyFont="1" applyFill="1" applyBorder="1" applyAlignment="1">
      <alignment horizontal="center" vertical="center"/>
    </xf>
    <xf numFmtId="202" fontId="4" fillId="10" borderId="1" xfId="4" applyNumberFormat="1" applyFont="1" applyFill="1" applyBorder="1" applyAlignment="1">
      <alignment horizontal="center" vertical="center"/>
    </xf>
    <xf numFmtId="9" fontId="4" fillId="0" borderId="1" xfId="3" applyFont="1" applyBorder="1" applyAlignment="1">
      <alignment horizontal="right" vertical="center"/>
    </xf>
    <xf numFmtId="9" fontId="4" fillId="10" borderId="1" xfId="3" applyFont="1" applyFill="1" applyBorder="1" applyAlignment="1">
      <alignment horizontal="right" vertical="center"/>
    </xf>
    <xf numFmtId="0" fontId="0" fillId="0" borderId="1" xfId="0" applyBorder="1" applyAlignment="1"/>
    <xf numFmtId="201" fontId="4" fillId="0" borderId="1" xfId="0" applyNumberFormat="1" applyFont="1" applyBorder="1" applyAlignment="1">
      <alignment vertical="center"/>
    </xf>
    <xf numFmtId="207" fontId="4" fillId="0" borderId="1" xfId="0" applyNumberFormat="1" applyFont="1" applyBorder="1" applyAlignment="1">
      <alignment vertical="center"/>
    </xf>
    <xf numFmtId="207" fontId="0" fillId="0" borderId="1" xfId="0" applyNumberFormat="1" applyBorder="1" applyAlignment="1"/>
    <xf numFmtId="201" fontId="4" fillId="0" borderId="0" xfId="0" applyNumberFormat="1" applyFont="1" applyAlignment="1"/>
    <xf numFmtId="202" fontId="4" fillId="0" borderId="0" xfId="4" applyNumberFormat="1" applyFont="1" applyFill="1" applyBorder="1" applyAlignment="1"/>
    <xf numFmtId="176" fontId="0" fillId="0" borderId="0" xfId="4" applyFont="1" applyAlignment="1"/>
    <xf numFmtId="201" fontId="0" fillId="0" borderId="0" xfId="0" applyNumberFormat="1" applyAlignment="1"/>
    <xf numFmtId="0" fontId="0" fillId="0" borderId="0" xfId="0" applyFont="1" applyAlignment="1"/>
    <xf numFmtId="0" fontId="4" fillId="0" borderId="0" xfId="0" applyFont="1" applyAlignment="1"/>
    <xf numFmtId="43" fontId="4" fillId="0" borderId="15" xfId="1" applyFont="1" applyFill="1" applyBorder="1" applyAlignment="1">
      <alignment horizontal="center" vertical="center"/>
    </xf>
    <xf numFmtId="41" fontId="4" fillId="0" borderId="15" xfId="1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41" fontId="0" fillId="0" borderId="0" xfId="0" applyNumberFormat="1" applyAlignment="1"/>
    <xf numFmtId="0" fontId="5" fillId="5" borderId="1" xfId="0" applyFont="1" applyFill="1" applyBorder="1" applyAlignment="1">
      <alignment vertical="center"/>
    </xf>
    <xf numFmtId="38" fontId="5" fillId="5" borderId="1" xfId="380" applyNumberFormat="1" applyFont="1" applyFill="1" applyBorder="1" applyAlignment="1">
      <alignment horizontal="center" vertical="center"/>
    </xf>
    <xf numFmtId="208" fontId="4" fillId="0" borderId="1" xfId="1" applyNumberFormat="1" applyFont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208" fontId="4" fillId="8" borderId="1" xfId="1" applyNumberFormat="1" applyFont="1" applyFill="1" applyBorder="1" applyAlignment="1">
      <alignment vertical="center"/>
    </xf>
    <xf numFmtId="176" fontId="4" fillId="8" borderId="1" xfId="4" applyFont="1" applyFill="1" applyBorder="1" applyAlignment="1">
      <alignment horizontal="right" vertical="center"/>
    </xf>
    <xf numFmtId="43" fontId="4" fillId="6" borderId="1" xfId="1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41" fontId="5" fillId="8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1" xfId="247" applyFont="1" applyBorder="1" applyAlignment="1">
      <alignment horizontal="center" vertical="center" wrapText="1"/>
    </xf>
    <xf numFmtId="0" fontId="19" fillId="0" borderId="1" xfId="247" applyFont="1" applyBorder="1" applyAlignment="1">
      <alignment horizontal="center" vertical="center"/>
    </xf>
    <xf numFmtId="0" fontId="4" fillId="0" borderId="1" xfId="0" applyFont="1" applyBorder="1" applyAlignment="1"/>
    <xf numFmtId="43" fontId="4" fillId="0" borderId="1" xfId="1" applyFont="1" applyBorder="1" applyAlignment="1"/>
    <xf numFmtId="43" fontId="4" fillId="0" borderId="0" xfId="1" applyFont="1" applyAlignment="1">
      <alignment horizontal="center"/>
    </xf>
    <xf numFmtId="0" fontId="4" fillId="5" borderId="1" xfId="0" applyFont="1" applyFill="1" applyBorder="1" applyAlignment="1">
      <alignment horizontal="left" vertical="center" indent="1"/>
    </xf>
    <xf numFmtId="43" fontId="4" fillId="0" borderId="11" xfId="1" applyFont="1" applyFill="1" applyBorder="1" applyAlignment="1">
      <alignment horizontal="center" vertical="center"/>
    </xf>
    <xf numFmtId="0" fontId="4" fillId="13" borderId="1" xfId="0" applyFont="1" applyFill="1" applyBorder="1" applyAlignment="1"/>
    <xf numFmtId="194" fontId="4" fillId="0" borderId="0" xfId="0" applyNumberFormat="1" applyFont="1" applyAlignment="1">
      <alignment vertical="center"/>
    </xf>
    <xf numFmtId="209" fontId="4" fillId="0" borderId="0" xfId="0" applyNumberFormat="1" applyFont="1" applyAlignment="1">
      <alignment vertical="center"/>
    </xf>
    <xf numFmtId="208" fontId="4" fillId="0" borderId="1" xfId="1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5" fillId="5" borderId="1" xfId="0" applyFont="1" applyFill="1" applyBorder="1" applyAlignment="1">
      <alignment vertical="center" wrapText="1"/>
    </xf>
    <xf numFmtId="195" fontId="4" fillId="14" borderId="1" xfId="1" applyNumberFormat="1" applyFont="1" applyFill="1" applyBorder="1" applyAlignment="1">
      <alignment vertical="center"/>
    </xf>
    <xf numFmtId="41" fontId="4" fillId="14" borderId="1" xfId="1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210" fontId="4" fillId="0" borderId="0" xfId="0" applyNumberFormat="1" applyFont="1" applyAlignment="1">
      <alignment vertical="center"/>
    </xf>
    <xf numFmtId="211" fontId="4" fillId="0" borderId="1" xfId="0" applyNumberFormat="1" applyFont="1" applyBorder="1" applyAlignment="1">
      <alignment vertical="center"/>
    </xf>
    <xf numFmtId="41" fontId="4" fillId="0" borderId="1" xfId="0" applyNumberFormat="1" applyFont="1" applyBorder="1" applyAlignment="1">
      <alignment vertical="center"/>
    </xf>
    <xf numFmtId="41" fontId="4" fillId="0" borderId="1" xfId="4" applyNumberFormat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0" fontId="4" fillId="0" borderId="0" xfId="0" applyFont="1">
      <alignment vertical="top"/>
    </xf>
    <xf numFmtId="201" fontId="4" fillId="0" borderId="0" xfId="0" applyNumberFormat="1" applyFont="1">
      <alignment vertical="top"/>
    </xf>
    <xf numFmtId="41" fontId="4" fillId="0" borderId="0" xfId="0" applyNumberFormat="1" applyFont="1">
      <alignment vertical="top"/>
    </xf>
    <xf numFmtId="176" fontId="4" fillId="14" borderId="1" xfId="4" applyFont="1" applyFill="1" applyBorder="1" applyAlignment="1">
      <alignment horizontal="right" vertical="center"/>
    </xf>
    <xf numFmtId="200" fontId="4" fillId="14" borderId="1" xfId="4" applyNumberFormat="1" applyFont="1" applyFill="1" applyBorder="1" applyAlignment="1">
      <alignment horizontal="right" vertical="center"/>
    </xf>
    <xf numFmtId="0" fontId="21" fillId="5" borderId="1" xfId="0" applyFont="1" applyFill="1" applyBorder="1" applyAlignment="1">
      <alignment vertical="center" wrapText="1"/>
    </xf>
    <xf numFmtId="195" fontId="4" fillId="0" borderId="1" xfId="1" applyNumberFormat="1" applyFont="1" applyFill="1" applyBorder="1" applyAlignment="1">
      <alignment horizontal="left" vertical="center"/>
    </xf>
    <xf numFmtId="41" fontId="4" fillId="0" borderId="1" xfId="1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195" fontId="4" fillId="8" borderId="1" xfId="1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vertical="center"/>
    </xf>
    <xf numFmtId="200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4" fontId="22" fillId="0" borderId="19" xfId="0" applyNumberFormat="1" applyFont="1" applyBorder="1" applyAlignment="1" applyProtection="1">
      <alignment horizontal="right" vertical="center" wrapText="1"/>
      <protection locked="0"/>
    </xf>
    <xf numFmtId="195" fontId="4" fillId="0" borderId="1" xfId="4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5" fillId="5" borderId="13" xfId="0" applyFont="1" applyFill="1" applyBorder="1" applyAlignment="1">
      <alignment horizontal="left" vertical="center"/>
    </xf>
    <xf numFmtId="195" fontId="4" fillId="6" borderId="1" xfId="1" applyNumberFormat="1" applyFont="1" applyFill="1" applyBorder="1" applyAlignment="1">
      <alignment horizontal="center" vertical="center"/>
    </xf>
    <xf numFmtId="41" fontId="4" fillId="6" borderId="1" xfId="1" applyNumberFormat="1" applyFont="1" applyFill="1" applyBorder="1" applyAlignment="1">
      <alignment horizontal="center" vertical="center"/>
    </xf>
    <xf numFmtId="195" fontId="4" fillId="14" borderId="1" xfId="1" applyNumberFormat="1" applyFont="1" applyFill="1" applyBorder="1" applyAlignment="1">
      <alignment horizontal="center" vertical="center"/>
    </xf>
    <xf numFmtId="200" fontId="4" fillId="0" borderId="1" xfId="614" applyNumberFormat="1" applyFont="1" applyFill="1" applyBorder="1" applyAlignment="1">
      <alignment horizontal="right" vertical="center"/>
    </xf>
    <xf numFmtId="41" fontId="4" fillId="14" borderId="1" xfId="1" applyNumberFormat="1" applyFont="1" applyFill="1" applyBorder="1" applyAlignment="1">
      <alignment horizontal="center" vertical="center"/>
    </xf>
    <xf numFmtId="3" fontId="4" fillId="0" borderId="1" xfId="4" applyNumberFormat="1" applyFont="1" applyFill="1" applyBorder="1" applyAlignment="1">
      <alignment horizontal="right" vertical="center"/>
    </xf>
    <xf numFmtId="200" fontId="4" fillId="0" borderId="1" xfId="4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212" fontId="4" fillId="0" borderId="0" xfId="0" applyNumberFormat="1" applyFont="1" applyAlignment="1">
      <alignment vertical="center"/>
    </xf>
    <xf numFmtId="0" fontId="23" fillId="5" borderId="1" xfId="0" applyFont="1" applyFill="1" applyBorder="1" applyAlignment="1">
      <alignment vertical="center"/>
    </xf>
    <xf numFmtId="43" fontId="4" fillId="0" borderId="0" xfId="0" applyNumberFormat="1" applyFont="1" applyAlignment="1">
      <alignment horizontal="center" vertical="center"/>
    </xf>
    <xf numFmtId="207" fontId="4" fillId="0" borderId="0" xfId="0" applyNumberFormat="1" applyFont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212" fontId="4" fillId="0" borderId="0" xfId="0" applyNumberFormat="1" applyFont="1" applyAlignment="1">
      <alignment horizontal="right" vertical="center"/>
    </xf>
    <xf numFmtId="195" fontId="4" fillId="0" borderId="0" xfId="1" applyNumberFormat="1" applyFont="1" applyAlignment="1">
      <alignment horizontal="center" vertical="center"/>
    </xf>
    <xf numFmtId="195" fontId="4" fillId="0" borderId="0" xfId="0" applyNumberFormat="1" applyFont="1" applyAlignment="1">
      <alignment horizontal="right" vertical="center"/>
    </xf>
    <xf numFmtId="195" fontId="4" fillId="0" borderId="0" xfId="0" applyNumberFormat="1" applyFont="1" applyAlignment="1">
      <alignment horizontal="center" vertical="center"/>
    </xf>
    <xf numFmtId="41" fontId="4" fillId="0" borderId="1" xfId="4" applyNumberFormat="1" applyFont="1" applyFill="1" applyBorder="1" applyAlignment="1">
      <alignment vertical="center"/>
    </xf>
    <xf numFmtId="202" fontId="4" fillId="6" borderId="1" xfId="1" applyNumberFormat="1" applyFont="1" applyFill="1" applyBorder="1" applyAlignment="1">
      <alignment horizontal="center" vertical="center"/>
    </xf>
    <xf numFmtId="195" fontId="4" fillId="0" borderId="1" xfId="1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left" vertical="center"/>
    </xf>
    <xf numFmtId="195" fontId="4" fillId="0" borderId="1" xfId="1" applyNumberFormat="1" applyFont="1" applyBorder="1" applyAlignment="1">
      <alignment horizontal="right" vertical="center"/>
    </xf>
    <xf numFmtId="41" fontId="4" fillId="0" borderId="1" xfId="1" applyNumberFormat="1" applyFont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0" fontId="5" fillId="5" borderId="13" xfId="0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99" fontId="4" fillId="6" borderId="1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left" vertical="center"/>
    </xf>
    <xf numFmtId="43" fontId="5" fillId="5" borderId="13" xfId="0" applyNumberFormat="1" applyFont="1" applyFill="1" applyBorder="1" applyAlignment="1">
      <alignment horizontal="center" vertical="center"/>
    </xf>
    <xf numFmtId="43" fontId="4" fillId="5" borderId="1" xfId="0" applyNumberFormat="1" applyFont="1" applyFill="1" applyBorder="1" applyAlignment="1">
      <alignment horizontal="center" vertical="center"/>
    </xf>
    <xf numFmtId="43" fontId="5" fillId="6" borderId="1" xfId="0" applyNumberFormat="1" applyFont="1" applyFill="1" applyBorder="1" applyAlignment="1">
      <alignment horizontal="right" vertical="center"/>
    </xf>
    <xf numFmtId="43" fontId="5" fillId="6" borderId="1" xfId="0" applyNumberFormat="1" applyFont="1" applyFill="1" applyBorder="1" applyAlignment="1">
      <alignment horizontal="center" vertical="center"/>
    </xf>
    <xf numFmtId="41" fontId="5" fillId="6" borderId="1" xfId="1" applyNumberFormat="1" applyFont="1" applyFill="1" applyBorder="1" applyAlignment="1">
      <alignment horizontal="right" vertical="center"/>
    </xf>
    <xf numFmtId="0" fontId="4" fillId="5" borderId="13" xfId="0" applyFont="1" applyFill="1" applyBorder="1" applyAlignment="1">
      <alignment horizontal="center" vertical="center"/>
    </xf>
    <xf numFmtId="41" fontId="4" fillId="0" borderId="0" xfId="1" applyNumberFormat="1" applyFont="1" applyFill="1" applyBorder="1" applyAlignment="1">
      <alignment horizontal="center" vertical="center"/>
    </xf>
    <xf numFmtId="202" fontId="4" fillId="0" borderId="1" xfId="614" applyNumberFormat="1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 applyAlignment="1">
      <alignment vertical="center"/>
    </xf>
    <xf numFmtId="0" fontId="5" fillId="15" borderId="0" xfId="0" applyFont="1" applyFill="1" applyAlignment="1">
      <alignment vertical="center"/>
    </xf>
    <xf numFmtId="0" fontId="5" fillId="15" borderId="0" xfId="1" applyNumberFormat="1" applyFont="1" applyFill="1" applyAlignment="1">
      <alignment horizontal="center" vertical="center"/>
    </xf>
    <xf numFmtId="195" fontId="5" fillId="15" borderId="0" xfId="1" applyNumberFormat="1" applyFont="1" applyFill="1" applyAlignment="1">
      <alignment vertical="center"/>
    </xf>
    <xf numFmtId="0" fontId="4" fillId="0" borderId="0" xfId="1" applyNumberFormat="1" applyFont="1" applyAlignment="1">
      <alignment horizontal="center" vertical="center"/>
    </xf>
    <xf numFmtId="195" fontId="4" fillId="10" borderId="0" xfId="1" applyNumberFormat="1" applyFont="1" applyFill="1" applyAlignment="1">
      <alignment vertical="center"/>
    </xf>
    <xf numFmtId="195" fontId="4" fillId="8" borderId="0" xfId="1" applyNumberFormat="1" applyFont="1" applyFill="1" applyAlignment="1">
      <alignment vertical="center"/>
    </xf>
    <xf numFmtId="0" fontId="5" fillId="10" borderId="0" xfId="0" applyFont="1" applyFill="1" applyAlignment="1">
      <alignment horizontal="center" vertical="center"/>
    </xf>
    <xf numFmtId="0" fontId="4" fillId="10" borderId="0" xfId="1" applyNumberFormat="1" applyFont="1" applyFill="1" applyAlignment="1">
      <alignment horizontal="center" vertical="center"/>
    </xf>
    <xf numFmtId="195" fontId="5" fillId="10" borderId="0" xfId="1" applyNumberFormat="1" applyFont="1" applyFill="1" applyAlignment="1">
      <alignment vertical="center"/>
    </xf>
    <xf numFmtId="43" fontId="4" fillId="8" borderId="0" xfId="1" applyFont="1" applyFill="1" applyAlignment="1">
      <alignment vertical="center"/>
    </xf>
    <xf numFmtId="41" fontId="5" fillId="15" borderId="0" xfId="1" applyNumberFormat="1" applyFont="1" applyFill="1" applyAlignment="1">
      <alignment vertical="center"/>
    </xf>
    <xf numFmtId="0" fontId="4" fillId="10" borderId="0" xfId="0" applyFont="1" applyFill="1" applyAlignment="1">
      <alignment horizontal="center" vertical="center"/>
    </xf>
    <xf numFmtId="41" fontId="4" fillId="10" borderId="0" xfId="1" applyNumberFormat="1" applyFont="1" applyFill="1" applyAlignment="1">
      <alignment vertical="center"/>
    </xf>
    <xf numFmtId="195" fontId="4" fillId="16" borderId="0" xfId="1" applyNumberFormat="1" applyFont="1" applyFill="1" applyAlignment="1">
      <alignment horizontal="center" vertical="center"/>
    </xf>
    <xf numFmtId="0" fontId="5" fillId="16" borderId="0" xfId="0" applyFont="1" applyFill="1" applyAlignment="1">
      <alignment vertical="center"/>
    </xf>
    <xf numFmtId="43" fontId="5" fillId="15" borderId="0" xfId="1" applyFont="1" applyFill="1" applyAlignment="1">
      <alignment vertical="center"/>
    </xf>
    <xf numFmtId="0" fontId="5" fillId="10" borderId="0" xfId="1" applyNumberFormat="1" applyFont="1" applyFill="1" applyAlignment="1">
      <alignment horizontal="center" vertical="center"/>
    </xf>
    <xf numFmtId="43" fontId="5" fillId="10" borderId="0" xfId="1" applyFont="1" applyFill="1" applyAlignment="1">
      <alignment vertical="center"/>
    </xf>
    <xf numFmtId="41" fontId="5" fillId="10" borderId="0" xfId="1" applyNumberFormat="1" applyFont="1" applyFill="1" applyAlignment="1">
      <alignment vertical="center"/>
    </xf>
    <xf numFmtId="41" fontId="4" fillId="17" borderId="0" xfId="1" applyNumberFormat="1" applyFont="1" applyFill="1" applyAlignment="1">
      <alignment vertical="center"/>
    </xf>
    <xf numFmtId="43" fontId="4" fillId="10" borderId="0" xfId="1" applyFont="1" applyFill="1" applyAlignment="1">
      <alignment vertical="center"/>
    </xf>
    <xf numFmtId="43" fontId="4" fillId="0" borderId="0" xfId="1" applyFont="1" applyFill="1" applyAlignment="1">
      <alignment vertical="center"/>
    </xf>
    <xf numFmtId="0" fontId="5" fillId="5" borderId="9" xfId="0" applyFont="1" applyFill="1" applyBorder="1" applyAlignment="1">
      <alignment horizontal="center" vertical="center" wrapText="1"/>
    </xf>
    <xf numFmtId="0" fontId="4" fillId="18" borderId="20" xfId="748" applyFont="1" applyAlignment="1">
      <alignment vertical="center"/>
    </xf>
    <xf numFmtId="202" fontId="4" fillId="0" borderId="1" xfId="1" applyNumberFormat="1" applyFont="1" applyBorder="1" applyAlignment="1">
      <alignment vertical="center"/>
    </xf>
    <xf numFmtId="206" fontId="4" fillId="0" borderId="1" xfId="4" applyNumberFormat="1" applyFont="1" applyFill="1" applyBorder="1" applyAlignment="1">
      <alignment horizontal="right" vertical="center"/>
    </xf>
    <xf numFmtId="0" fontId="5" fillId="5" borderId="9" xfId="0" applyFont="1" applyFill="1" applyBorder="1" applyAlignment="1">
      <alignment vertical="center" wrapText="1"/>
    </xf>
    <xf numFmtId="41" fontId="5" fillId="5" borderId="9" xfId="0" applyNumberFormat="1" applyFont="1" applyFill="1" applyBorder="1" applyAlignment="1">
      <alignment vertical="center" wrapText="1"/>
    </xf>
    <xf numFmtId="202" fontId="4" fillId="6" borderId="1" xfId="1" applyNumberFormat="1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4" fillId="0" borderId="1" xfId="4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43" fontId="4" fillId="0" borderId="0" xfId="1" applyFont="1" applyBorder="1" applyAlignment="1"/>
    <xf numFmtId="43" fontId="4" fillId="0" borderId="0" xfId="1" applyFont="1" applyAlignment="1"/>
    <xf numFmtId="43" fontId="5" fillId="5" borderId="1" xfId="0" applyNumberFormat="1" applyFont="1" applyFill="1" applyBorder="1" applyAlignment="1">
      <alignment vertical="center"/>
    </xf>
    <xf numFmtId="41" fontId="5" fillId="5" borderId="1" xfId="0" applyNumberFormat="1" applyFont="1" applyFill="1" applyBorder="1" applyAlignment="1">
      <alignment vertical="center"/>
    </xf>
    <xf numFmtId="43" fontId="5" fillId="0" borderId="1" xfId="1" applyFont="1" applyFill="1" applyBorder="1" applyAlignment="1">
      <alignment horizontal="center" vertical="center"/>
    </xf>
    <xf numFmtId="41" fontId="5" fillId="0" borderId="1" xfId="1" applyNumberFormat="1" applyFont="1" applyFill="1" applyBorder="1" applyAlignment="1">
      <alignment horizontal="center" vertical="center"/>
    </xf>
    <xf numFmtId="195" fontId="5" fillId="0" borderId="1" xfId="1" applyNumberFormat="1" applyFont="1" applyBorder="1" applyAlignment="1">
      <alignment vertical="center"/>
    </xf>
    <xf numFmtId="41" fontId="5" fillId="0" borderId="1" xfId="1" applyNumberFormat="1" applyFont="1" applyBorder="1" applyAlignment="1">
      <alignment vertical="center"/>
    </xf>
    <xf numFmtId="0" fontId="0" fillId="0" borderId="0" xfId="0" applyAlignment="1">
      <alignment horizontal="right"/>
    </xf>
    <xf numFmtId="0" fontId="4" fillId="5" borderId="2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195" fontId="4" fillId="13" borderId="1" xfId="0" applyNumberFormat="1" applyFont="1" applyFill="1" applyBorder="1" applyAlignment="1">
      <alignment vertical="center"/>
    </xf>
    <xf numFmtId="9" fontId="4" fillId="13" borderId="1" xfId="3" applyFont="1" applyFill="1" applyBorder="1" applyAlignment="1">
      <alignment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right" vertical="center"/>
    </xf>
    <xf numFmtId="43" fontId="5" fillId="5" borderId="7" xfId="1" applyFont="1" applyFill="1" applyBorder="1" applyAlignment="1">
      <alignment horizontal="right" vertical="center"/>
    </xf>
    <xf numFmtId="0" fontId="5" fillId="5" borderId="8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9" fontId="4" fillId="19" borderId="1" xfId="3" applyFont="1" applyFill="1" applyBorder="1" applyAlignment="1">
      <alignment horizontal="right" vertical="center"/>
    </xf>
    <xf numFmtId="9" fontId="4" fillId="19" borderId="23" xfId="3" applyFont="1" applyFill="1" applyBorder="1" applyAlignment="1">
      <alignment horizontal="right" vertical="center"/>
    </xf>
    <xf numFmtId="195" fontId="4" fillId="0" borderId="0" xfId="1" applyNumberFormat="1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9" fontId="4" fillId="6" borderId="15" xfId="1" applyNumberFormat="1" applyFont="1" applyFill="1" applyBorder="1" applyAlignment="1">
      <alignment horizontal="right" vertical="center"/>
    </xf>
    <xf numFmtId="9" fontId="4" fillId="6" borderId="24" xfId="1" applyNumberFormat="1" applyFont="1" applyFill="1" applyBorder="1" applyAlignment="1">
      <alignment horizontal="right" vertical="center"/>
    </xf>
    <xf numFmtId="0" fontId="4" fillId="20" borderId="13" xfId="0" applyFont="1" applyFill="1" applyBorder="1" applyAlignment="1">
      <alignment vertical="center"/>
    </xf>
    <xf numFmtId="38" fontId="5" fillId="5" borderId="12" xfId="380" applyNumberFormat="1" applyFont="1" applyFill="1" applyBorder="1" applyAlignment="1">
      <alignment horizontal="center" vertical="center"/>
    </xf>
    <xf numFmtId="10" fontId="4" fillId="19" borderId="1" xfId="3" applyNumberFormat="1" applyFont="1" applyFill="1" applyBorder="1" applyAlignment="1">
      <alignment horizontal="right" vertical="center"/>
    </xf>
    <xf numFmtId="43" fontId="5" fillId="5" borderId="11" xfId="1" applyFont="1" applyFill="1" applyBorder="1" applyAlignment="1">
      <alignment horizontal="center" vertical="center"/>
    </xf>
    <xf numFmtId="10" fontId="4" fillId="19" borderId="11" xfId="3" applyNumberFormat="1" applyFont="1" applyFill="1" applyBorder="1" applyAlignment="1">
      <alignment horizontal="right" vertical="center"/>
    </xf>
    <xf numFmtId="9" fontId="4" fillId="19" borderId="11" xfId="3" applyFont="1" applyFill="1" applyBorder="1" applyAlignment="1">
      <alignment horizontal="right" vertical="center"/>
    </xf>
    <xf numFmtId="9" fontId="4" fillId="19" borderId="25" xfId="3" applyFont="1" applyFill="1" applyBorder="1" applyAlignment="1">
      <alignment horizontal="right" vertical="center"/>
    </xf>
    <xf numFmtId="0" fontId="4" fillId="20" borderId="26" xfId="0" applyFont="1" applyFill="1" applyBorder="1" applyAlignment="1">
      <alignment vertical="center"/>
    </xf>
    <xf numFmtId="10" fontId="4" fillId="19" borderId="25" xfId="3" applyNumberFormat="1" applyFont="1" applyFill="1" applyBorder="1" applyAlignment="1">
      <alignment horizontal="right" vertical="center"/>
    </xf>
    <xf numFmtId="10" fontId="4" fillId="6" borderId="15" xfId="1" applyNumberFormat="1" applyFont="1" applyFill="1" applyBorder="1" applyAlignment="1">
      <alignment horizontal="right" vertical="center"/>
    </xf>
    <xf numFmtId="10" fontId="4" fillId="6" borderId="24" xfId="1" applyNumberFormat="1" applyFont="1" applyFill="1" applyBorder="1" applyAlignment="1">
      <alignment horizontal="right" vertical="center"/>
    </xf>
    <xf numFmtId="0" fontId="4" fillId="10" borderId="13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3" xfId="0" applyFont="1" applyFill="1" applyBorder="1" applyAlignment="1">
      <alignment horizontal="left" vertical="center"/>
    </xf>
    <xf numFmtId="43" fontId="4" fillId="5" borderId="11" xfId="1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right" vertical="center"/>
    </xf>
    <xf numFmtId="0" fontId="4" fillId="5" borderId="28" xfId="0" applyFont="1" applyFill="1" applyBorder="1" applyAlignment="1">
      <alignment horizontal="right" vertical="center"/>
    </xf>
    <xf numFmtId="195" fontId="4" fillId="5" borderId="12" xfId="1" applyNumberFormat="1" applyFont="1" applyFill="1" applyBorder="1" applyAlignment="1">
      <alignment horizontal="right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right" vertical="center"/>
    </xf>
    <xf numFmtId="0" fontId="4" fillId="8" borderId="13" xfId="0" applyFont="1" applyFill="1" applyBorder="1" applyAlignment="1">
      <alignment vertical="center"/>
    </xf>
    <xf numFmtId="0" fontId="4" fillId="8" borderId="26" xfId="0" applyFont="1" applyFill="1" applyBorder="1" applyAlignment="1">
      <alignment vertical="center"/>
    </xf>
    <xf numFmtId="43" fontId="4" fillId="0" borderId="0" xfId="0" applyNumberFormat="1" applyFont="1" applyAlignment="1">
      <alignment horizontal="right" vertical="center"/>
    </xf>
    <xf numFmtId="0" fontId="4" fillId="5" borderId="13" xfId="0" applyFont="1" applyFill="1" applyBorder="1" applyAlignment="1">
      <alignment vertical="center" wrapText="1"/>
    </xf>
    <xf numFmtId="195" fontId="4" fillId="6" borderId="23" xfId="1" applyNumberFormat="1" applyFont="1" applyFill="1" applyBorder="1" applyAlignment="1">
      <alignment horizontal="right" vertical="center"/>
    </xf>
    <xf numFmtId="195" fontId="4" fillId="8" borderId="23" xfId="1" applyNumberFormat="1" applyFont="1" applyFill="1" applyBorder="1" applyAlignment="1">
      <alignment horizontal="right" vertical="center"/>
    </xf>
    <xf numFmtId="195" fontId="4" fillId="6" borderId="15" xfId="1" applyNumberFormat="1" applyFont="1" applyFill="1" applyBorder="1" applyAlignment="1">
      <alignment horizontal="right" vertical="center"/>
    </xf>
    <xf numFmtId="195" fontId="4" fillId="6" borderId="24" xfId="1" applyNumberFormat="1" applyFont="1" applyFill="1" applyBorder="1" applyAlignment="1">
      <alignment horizontal="right" vertical="center"/>
    </xf>
    <xf numFmtId="187" fontId="5" fillId="5" borderId="7" xfId="1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43" fontId="5" fillId="5" borderId="1" xfId="1" applyFont="1" applyFill="1" applyBorder="1" applyAlignment="1">
      <alignment horizontal="right" vertical="center"/>
    </xf>
    <xf numFmtId="208" fontId="4" fillId="0" borderId="1" xfId="1" applyNumberFormat="1" applyFont="1" applyBorder="1" applyAlignment="1">
      <alignment horizontal="right" vertical="center"/>
    </xf>
    <xf numFmtId="43" fontId="4" fillId="6" borderId="1" xfId="1" applyFont="1" applyFill="1" applyBorder="1" applyAlignment="1">
      <alignment horizontal="right" vertical="center"/>
    </xf>
    <xf numFmtId="0" fontId="24" fillId="8" borderId="18" xfId="0" applyFont="1" applyFill="1" applyBorder="1" applyAlignment="1">
      <alignment vertical="center"/>
    </xf>
    <xf numFmtId="208" fontId="4" fillId="8" borderId="1" xfId="1" applyNumberFormat="1" applyFont="1" applyFill="1" applyBorder="1" applyAlignment="1">
      <alignment horizontal="right" vertical="center"/>
    </xf>
    <xf numFmtId="43" fontId="4" fillId="0" borderId="0" xfId="1" applyFont="1" applyFill="1" applyAlignment="1">
      <alignment horizontal="right" vertical="center"/>
    </xf>
    <xf numFmtId="43" fontId="4" fillId="0" borderId="0" xfId="1" applyFont="1" applyAlignment="1">
      <alignment horizontal="right" vertical="center"/>
    </xf>
    <xf numFmtId="195" fontId="4" fillId="0" borderId="0" xfId="1" applyNumberFormat="1" applyFont="1" applyFill="1" applyBorder="1" applyAlignment="1">
      <alignment horizontal="right" vertical="center"/>
    </xf>
    <xf numFmtId="43" fontId="5" fillId="0" borderId="0" xfId="0" applyNumberFormat="1" applyFont="1" applyAlignment="1">
      <alignment horizontal="center" vertical="center"/>
    </xf>
    <xf numFmtId="195" fontId="4" fillId="0" borderId="0" xfId="1" applyNumberFormat="1" applyFont="1" applyBorder="1" applyAlignment="1">
      <alignment vertical="center"/>
    </xf>
    <xf numFmtId="43" fontId="17" fillId="0" borderId="0" xfId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176" fontId="0" fillId="0" borderId="0" xfId="0" applyNumberFormat="1" applyAlignment="1"/>
    <xf numFmtId="199" fontId="4" fillId="0" borderId="0" xfId="1" applyNumberFormat="1" applyFont="1" applyAlignment="1">
      <alignment vertical="center"/>
    </xf>
    <xf numFmtId="0" fontId="5" fillId="5" borderId="11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right" vertical="center"/>
    </xf>
    <xf numFmtId="0" fontId="5" fillId="5" borderId="0" xfId="0" applyFont="1" applyFill="1" applyAlignment="1">
      <alignment vertical="center"/>
    </xf>
    <xf numFmtId="43" fontId="4" fillId="5" borderId="0" xfId="1" applyFont="1" applyFill="1" applyBorder="1" applyAlignment="1">
      <alignment horizontal="center" vertical="center"/>
    </xf>
    <xf numFmtId="195" fontId="4" fillId="6" borderId="12" xfId="1" applyNumberFormat="1" applyFont="1" applyFill="1" applyBorder="1" applyAlignment="1">
      <alignment horizontal="right" vertical="center"/>
    </xf>
    <xf numFmtId="195" fontId="4" fillId="6" borderId="0" xfId="1" applyNumberFormat="1" applyFont="1" applyFill="1" applyBorder="1" applyAlignment="1">
      <alignment horizontal="right" vertical="center"/>
    </xf>
    <xf numFmtId="0" fontId="4" fillId="6" borderId="1" xfId="1" applyNumberFormat="1" applyFont="1" applyFill="1" applyBorder="1" applyAlignment="1">
      <alignment horizontal="right" vertical="center"/>
    </xf>
    <xf numFmtId="195" fontId="4" fillId="0" borderId="0" xfId="1" applyNumberFormat="1" applyFont="1" applyAlignment="1">
      <alignment horizontal="right" vertical="center"/>
    </xf>
    <xf numFmtId="195" fontId="5" fillId="0" borderId="0" xfId="0" applyNumberFormat="1" applyFont="1" applyAlignment="1">
      <alignment horizontal="center" vertical="center"/>
    </xf>
    <xf numFmtId="43" fontId="4" fillId="0" borderId="0" xfId="1" applyFont="1" applyFill="1" applyBorder="1" applyAlignment="1">
      <alignment horizontal="right" vertical="center"/>
    </xf>
    <xf numFmtId="195" fontId="4" fillId="14" borderId="1" xfId="1" applyNumberFormat="1" applyFont="1" applyFill="1" applyBorder="1" applyAlignment="1">
      <alignment horizontal="right" vertical="center"/>
    </xf>
    <xf numFmtId="176" fontId="5" fillId="8" borderId="0" xfId="4" applyFont="1" applyFill="1" applyBorder="1" applyAlignment="1">
      <alignment horizontal="center" vertical="center"/>
    </xf>
    <xf numFmtId="176" fontId="5" fillId="0" borderId="0" xfId="4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4" fillId="13" borderId="4" xfId="0" applyFont="1" applyFill="1" applyBorder="1" applyAlignment="1">
      <alignment horizontal="center" vertical="center"/>
    </xf>
    <xf numFmtId="195" fontId="0" fillId="0" borderId="0" xfId="0" applyNumberFormat="1" applyAlignment="1"/>
    <xf numFmtId="41" fontId="4" fillId="6" borderId="1" xfId="0" applyNumberFormat="1" applyFont="1" applyFill="1" applyBorder="1" applyAlignment="1">
      <alignment horizontal="right" vertical="center"/>
    </xf>
    <xf numFmtId="41" fontId="4" fillId="6" borderId="23" xfId="1" applyNumberFormat="1" applyFont="1" applyFill="1" applyBorder="1" applyAlignment="1">
      <alignment horizontal="right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26" xfId="0" applyFont="1" applyFill="1" applyBorder="1" applyAlignment="1">
      <alignment vertical="center"/>
    </xf>
    <xf numFmtId="0" fontId="4" fillId="5" borderId="29" xfId="0" applyFont="1" applyFill="1" applyBorder="1" applyAlignment="1">
      <alignment vertical="center"/>
    </xf>
    <xf numFmtId="0" fontId="7" fillId="8" borderId="0" xfId="0" applyFont="1" applyFill="1" applyAlignment="1">
      <alignment horizontal="left" vertical="center"/>
    </xf>
    <xf numFmtId="43" fontId="17" fillId="8" borderId="0" xfId="1" applyFont="1" applyFill="1" applyAlignment="1">
      <alignment horizontal="center" vertical="center"/>
    </xf>
    <xf numFmtId="43" fontId="4" fillId="8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4" fillId="0" borderId="1" xfId="1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245" applyFont="1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38" fontId="11" fillId="0" borderId="0" xfId="380" applyNumberFormat="1" applyFont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95" fontId="5" fillId="0" borderId="10" xfId="1" applyNumberFormat="1" applyFont="1" applyBorder="1" applyAlignment="1">
      <alignment vertical="center"/>
    </xf>
    <xf numFmtId="207" fontId="10" fillId="21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43" fontId="10" fillId="21" borderId="1" xfId="1" applyFont="1" applyFill="1" applyBorder="1" applyAlignment="1">
      <alignment horizontal="center" vertical="center"/>
    </xf>
    <xf numFmtId="207" fontId="10" fillId="6" borderId="1" xfId="0" applyNumberFormat="1" applyFont="1" applyFill="1" applyBorder="1" applyAlignment="1">
      <alignment horizontal="left" vertical="center"/>
    </xf>
    <xf numFmtId="207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95" fontId="10" fillId="6" borderId="1" xfId="1" applyNumberFormat="1" applyFont="1" applyFill="1" applyBorder="1" applyAlignment="1">
      <alignment horizontal="center" vertical="center"/>
    </xf>
    <xf numFmtId="41" fontId="10" fillId="6" borderId="1" xfId="0" applyNumberFormat="1" applyFont="1" applyFill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207" fontId="10" fillId="0" borderId="1" xfId="0" applyNumberFormat="1" applyFont="1" applyBorder="1" applyAlignment="1">
      <alignment vertical="center"/>
    </xf>
    <xf numFmtId="207" fontId="9" fillId="0" borderId="1" xfId="0" applyNumberFormat="1" applyFont="1" applyBorder="1" applyAlignment="1">
      <alignment horizontal="center" vertical="center"/>
    </xf>
    <xf numFmtId="195" fontId="10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207" fontId="10" fillId="0" borderId="1" xfId="0" applyNumberFormat="1" applyFont="1" applyBorder="1" applyAlignment="1">
      <alignment horizontal="left" vertical="center"/>
    </xf>
    <xf numFmtId="41" fontId="9" fillId="0" borderId="1" xfId="0" applyNumberFormat="1" applyFont="1" applyBorder="1" applyAlignment="1">
      <alignment horizontal="center" vertical="center"/>
    </xf>
    <xf numFmtId="193" fontId="10" fillId="0" borderId="0" xfId="0" applyNumberFormat="1" applyFont="1" applyAlignment="1">
      <alignment vertical="center"/>
    </xf>
    <xf numFmtId="0" fontId="10" fillId="22" borderId="1" xfId="0" applyFont="1" applyFill="1" applyBorder="1" applyAlignment="1">
      <alignment horizontal="left" vertical="center"/>
    </xf>
    <xf numFmtId="0" fontId="10" fillId="22" borderId="1" xfId="0" applyFont="1" applyFill="1" applyBorder="1" applyAlignment="1">
      <alignment horizontal="center" vertical="center"/>
    </xf>
    <xf numFmtId="187" fontId="10" fillId="22" borderId="1" xfId="0" applyNumberFormat="1" applyFont="1" applyFill="1" applyBorder="1" applyAlignment="1">
      <alignment vertical="center"/>
    </xf>
    <xf numFmtId="193" fontId="10" fillId="22" borderId="1" xfId="1" applyNumberFormat="1" applyFont="1" applyFill="1" applyBorder="1" applyAlignment="1">
      <alignment vertical="center"/>
    </xf>
    <xf numFmtId="193" fontId="10" fillId="22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193" fontId="10" fillId="6" borderId="1" xfId="1" applyNumberFormat="1" applyFont="1" applyFill="1" applyBorder="1" applyAlignment="1">
      <alignment vertical="center"/>
    </xf>
    <xf numFmtId="213" fontId="10" fillId="6" borderId="1" xfId="1" applyNumberFormat="1" applyFont="1" applyFill="1" applyBorder="1" applyAlignment="1">
      <alignment vertical="center"/>
    </xf>
    <xf numFmtId="43" fontId="10" fillId="6" borderId="1" xfId="1" applyFont="1" applyFill="1" applyBorder="1" applyAlignment="1">
      <alignment vertical="center"/>
    </xf>
    <xf numFmtId="0" fontId="10" fillId="23" borderId="1" xfId="0" applyFont="1" applyFill="1" applyBorder="1" applyAlignment="1">
      <alignment horizontal="left" vertical="center"/>
    </xf>
    <xf numFmtId="0" fontId="10" fillId="23" borderId="1" xfId="0" applyFont="1" applyFill="1" applyBorder="1" applyAlignment="1">
      <alignment horizontal="center" vertical="center"/>
    </xf>
    <xf numFmtId="193" fontId="10" fillId="0" borderId="1" xfId="1" applyNumberFormat="1" applyFont="1" applyBorder="1" applyAlignment="1">
      <alignment vertical="center"/>
    </xf>
    <xf numFmtId="213" fontId="10" fillId="0" borderId="1" xfId="1" applyNumberFormat="1" applyFont="1" applyFill="1" applyBorder="1" applyAlignment="1">
      <alignment vertical="center"/>
    </xf>
    <xf numFmtId="187" fontId="10" fillId="0" borderId="1" xfId="1" applyNumberFormat="1" applyFont="1" applyBorder="1" applyAlignment="1">
      <alignment vertical="center"/>
    </xf>
    <xf numFmtId="195" fontId="10" fillId="0" borderId="0" xfId="1" applyNumberFormat="1" applyFont="1" applyAlignment="1">
      <alignment vertical="center"/>
    </xf>
    <xf numFmtId="43" fontId="10" fillId="0" borderId="1" xfId="1" applyFont="1" applyBorder="1" applyAlignment="1">
      <alignment vertical="center"/>
    </xf>
    <xf numFmtId="187" fontId="10" fillId="6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3" fontId="10" fillId="14" borderId="1" xfId="1" applyFont="1" applyFill="1" applyBorder="1" applyAlignment="1" applyProtection="1">
      <alignment vertical="center"/>
    </xf>
    <xf numFmtId="187" fontId="10" fillId="0" borderId="1" xfId="1" applyNumberFormat="1" applyFont="1" applyFill="1" applyBorder="1" applyAlignment="1">
      <alignment vertical="center"/>
    </xf>
    <xf numFmtId="214" fontId="10" fillId="0" borderId="1" xfId="1" applyNumberFormat="1" applyFont="1" applyFill="1" applyBorder="1" applyAlignment="1">
      <alignment vertical="center"/>
    </xf>
    <xf numFmtId="193" fontId="10" fillId="0" borderId="1" xfId="1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193" fontId="10" fillId="14" borderId="1" xfId="1" applyNumberFormat="1" applyFont="1" applyFill="1" applyBorder="1" applyAlignment="1">
      <alignment vertical="center"/>
    </xf>
    <xf numFmtId="195" fontId="10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9" fontId="10" fillId="0" borderId="0" xfId="3" applyFont="1" applyAlignment="1">
      <alignment vertical="center"/>
    </xf>
    <xf numFmtId="0" fontId="10" fillId="22" borderId="1" xfId="0" applyFont="1" applyFill="1" applyBorder="1" applyAlignment="1">
      <alignment vertical="center"/>
    </xf>
    <xf numFmtId="187" fontId="10" fillId="22" borderId="1" xfId="1" applyNumberFormat="1" applyFont="1" applyFill="1" applyBorder="1" applyAlignment="1">
      <alignment vertical="center"/>
    </xf>
    <xf numFmtId="213" fontId="10" fillId="22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93" fontId="10" fillId="0" borderId="1" xfId="0" applyNumberFormat="1" applyFont="1" applyBorder="1" applyAlignment="1">
      <alignment vertical="center"/>
    </xf>
    <xf numFmtId="213" fontId="10" fillId="0" borderId="1" xfId="1" applyNumberFormat="1" applyFont="1" applyBorder="1" applyAlignment="1">
      <alignment vertical="center"/>
    </xf>
    <xf numFmtId="193" fontId="10" fillId="0" borderId="11" xfId="1" applyNumberFormat="1" applyFont="1" applyFill="1" applyBorder="1" applyAlignment="1">
      <alignment vertical="center"/>
    </xf>
    <xf numFmtId="193" fontId="10" fillId="0" borderId="11" xfId="0" applyNumberFormat="1" applyFont="1" applyBorder="1" applyAlignment="1">
      <alignment vertical="center"/>
    </xf>
    <xf numFmtId="193" fontId="10" fillId="14" borderId="11" xfId="1" applyNumberFormat="1" applyFont="1" applyFill="1" applyBorder="1" applyAlignment="1">
      <alignment vertical="center"/>
    </xf>
    <xf numFmtId="213" fontId="10" fillId="0" borderId="2" xfId="1" applyNumberFormat="1" applyFont="1" applyBorder="1" applyAlignment="1">
      <alignment vertical="center"/>
    </xf>
    <xf numFmtId="0" fontId="10" fillId="22" borderId="1" xfId="0" applyFont="1" applyFill="1" applyBorder="1" applyAlignment="1">
      <alignment vertical="center" wrapText="1"/>
    </xf>
    <xf numFmtId="0" fontId="10" fillId="22" borderId="1" xfId="245" applyFont="1" applyFill="1" applyBorder="1" applyAlignment="1">
      <alignment vertical="center"/>
    </xf>
    <xf numFmtId="0" fontId="10" fillId="22" borderId="1" xfId="245" applyFont="1" applyFill="1" applyBorder="1" applyAlignment="1">
      <alignment horizontal="center" vertical="center"/>
    </xf>
    <xf numFmtId="193" fontId="10" fillId="22" borderId="1" xfId="245" applyNumberFormat="1" applyFont="1" applyFill="1" applyBorder="1" applyAlignment="1">
      <alignment vertical="center"/>
    </xf>
    <xf numFmtId="193" fontId="10" fillId="0" borderId="0" xfId="245" applyNumberFormat="1" applyFont="1" applyAlignment="1">
      <alignment vertical="center"/>
    </xf>
    <xf numFmtId="215" fontId="10" fillId="0" borderId="0" xfId="245" applyNumberFormat="1" applyFont="1" applyAlignment="1">
      <alignment vertical="center"/>
    </xf>
    <xf numFmtId="0" fontId="9" fillId="22" borderId="30" xfId="0" applyFont="1" applyFill="1" applyBorder="1" applyAlignment="1">
      <alignment horizontal="center" vertical="center"/>
    </xf>
    <xf numFmtId="0" fontId="9" fillId="22" borderId="31" xfId="0" applyFont="1" applyFill="1" applyBorder="1" applyAlignment="1">
      <alignment horizontal="center" vertical="center"/>
    </xf>
    <xf numFmtId="187" fontId="9" fillId="22" borderId="31" xfId="1" applyNumberFormat="1" applyFont="1" applyFill="1" applyBorder="1" applyAlignment="1">
      <alignment vertical="center"/>
    </xf>
    <xf numFmtId="214" fontId="9" fillId="22" borderId="31" xfId="1" applyNumberFormat="1" applyFont="1" applyFill="1" applyBorder="1" applyAlignment="1">
      <alignment vertical="center"/>
    </xf>
    <xf numFmtId="193" fontId="9" fillId="22" borderId="31" xfId="1" applyNumberFormat="1" applyFont="1" applyFill="1" applyBorder="1" applyAlignment="1">
      <alignment vertical="center"/>
    </xf>
    <xf numFmtId="193" fontId="9" fillId="22" borderId="32" xfId="1" applyNumberFormat="1" applyFont="1" applyFill="1" applyBorder="1" applyAlignment="1">
      <alignment vertical="center"/>
    </xf>
    <xf numFmtId="193" fontId="9" fillId="0" borderId="0" xfId="0" applyNumberFormat="1" applyFont="1" applyAlignment="1">
      <alignment vertical="center"/>
    </xf>
    <xf numFmtId="193" fontId="9" fillId="22" borderId="30" xfId="0" applyNumberFormat="1" applyFont="1" applyFill="1" applyBorder="1" applyAlignment="1">
      <alignment horizontal="center" vertical="center"/>
    </xf>
    <xf numFmtId="193" fontId="9" fillId="22" borderId="3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1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87" fontId="10" fillId="6" borderId="1" xfId="1" applyNumberFormat="1" applyFont="1" applyFill="1" applyBorder="1" applyAlignment="1">
      <alignment horizontal="left" vertical="center"/>
    </xf>
    <xf numFmtId="195" fontId="10" fillId="6" borderId="1" xfId="1" applyNumberFormat="1" applyFont="1" applyFill="1" applyBorder="1" applyAlignment="1">
      <alignment vertical="center"/>
    </xf>
    <xf numFmtId="0" fontId="9" fillId="22" borderId="33" xfId="0" applyFont="1" applyFill="1" applyBorder="1" applyAlignment="1">
      <alignment horizontal="center" vertical="center"/>
    </xf>
    <xf numFmtId="0" fontId="9" fillId="22" borderId="34" xfId="0" applyFont="1" applyFill="1" applyBorder="1" applyAlignment="1">
      <alignment horizontal="center" vertical="center"/>
    </xf>
    <xf numFmtId="187" fontId="9" fillId="22" borderId="34" xfId="1" applyNumberFormat="1" applyFont="1" applyFill="1" applyBorder="1" applyAlignment="1">
      <alignment vertical="center"/>
    </xf>
    <xf numFmtId="214" fontId="9" fillId="22" borderId="34" xfId="1" applyNumberFormat="1" applyFont="1" applyFill="1" applyBorder="1" applyAlignment="1">
      <alignment vertical="center"/>
    </xf>
    <xf numFmtId="193" fontId="9" fillId="22" borderId="34" xfId="1" applyNumberFormat="1" applyFont="1" applyFill="1" applyBorder="1" applyAlignment="1">
      <alignment vertical="center"/>
    </xf>
    <xf numFmtId="193" fontId="9" fillId="22" borderId="35" xfId="1" applyNumberFormat="1" applyFont="1" applyFill="1" applyBorder="1" applyAlignment="1">
      <alignment vertical="center"/>
    </xf>
    <xf numFmtId="193" fontId="9" fillId="22" borderId="33" xfId="0" applyNumberFormat="1" applyFont="1" applyFill="1" applyBorder="1" applyAlignment="1">
      <alignment horizontal="center" vertical="center"/>
    </xf>
    <xf numFmtId="193" fontId="9" fillId="22" borderId="34" xfId="0" applyNumberFormat="1" applyFont="1" applyFill="1" applyBorder="1" applyAlignment="1">
      <alignment horizontal="center" vertical="center"/>
    </xf>
    <xf numFmtId="195" fontId="5" fillId="0" borderId="0" xfId="1" applyNumberFormat="1" applyFont="1" applyAlignment="1">
      <alignment vertical="center"/>
    </xf>
    <xf numFmtId="195" fontId="5" fillId="0" borderId="10" xfId="0" applyNumberFormat="1" applyFont="1" applyBorder="1" applyAlignment="1">
      <alignment vertical="center"/>
    </xf>
    <xf numFmtId="176" fontId="10" fillId="0" borderId="1" xfId="4" applyFont="1" applyFill="1" applyBorder="1" applyAlignment="1">
      <alignment horizontal="center" vertical="center"/>
    </xf>
    <xf numFmtId="216" fontId="10" fillId="0" borderId="0" xfId="0" applyNumberFormat="1" applyFont="1" applyAlignment="1">
      <alignment vertical="center"/>
    </xf>
    <xf numFmtId="176" fontId="10" fillId="0" borderId="1" xfId="4" applyFont="1" applyBorder="1" applyAlignment="1">
      <alignment vertical="center"/>
    </xf>
    <xf numFmtId="195" fontId="10" fillId="0" borderId="0" xfId="1" applyNumberFormat="1" applyFont="1" applyFill="1" applyAlignment="1">
      <alignment vertical="center"/>
    </xf>
    <xf numFmtId="195" fontId="10" fillId="0" borderId="0" xfId="1" applyNumberFormat="1" applyFont="1" applyAlignment="1">
      <alignment horizontal="center" vertical="center"/>
    </xf>
    <xf numFmtId="199" fontId="10" fillId="0" borderId="0" xfId="0" applyNumberFormat="1" applyFont="1" applyAlignment="1">
      <alignment horizontal="center" vertical="center"/>
    </xf>
    <xf numFmtId="199" fontId="10" fillId="0" borderId="0" xfId="0" applyNumberFormat="1" applyFont="1" applyAlignment="1">
      <alignment vertical="center"/>
    </xf>
    <xf numFmtId="176" fontId="10" fillId="0" borderId="0" xfId="4" applyFont="1" applyBorder="1" applyAlignment="1">
      <alignment horizontal="center" vertical="center"/>
    </xf>
    <xf numFmtId="176" fontId="10" fillId="0" borderId="0" xfId="4" applyFont="1" applyBorder="1" applyAlignment="1">
      <alignment vertical="center"/>
    </xf>
    <xf numFmtId="176" fontId="10" fillId="0" borderId="0" xfId="4" applyFont="1" applyAlignment="1">
      <alignment vertical="center"/>
    </xf>
    <xf numFmtId="176" fontId="10" fillId="0" borderId="0" xfId="0" applyNumberFormat="1" applyFont="1" applyAlignment="1">
      <alignment vertical="center"/>
    </xf>
    <xf numFmtId="10" fontId="10" fillId="0" borderId="0" xfId="3" applyNumberFormat="1" applyFont="1" applyAlignment="1">
      <alignment vertical="center"/>
    </xf>
    <xf numFmtId="210" fontId="10" fillId="0" borderId="0" xfId="1" applyNumberFormat="1" applyFont="1" applyAlignment="1">
      <alignment vertical="center"/>
    </xf>
    <xf numFmtId="215" fontId="10" fillId="0" borderId="1" xfId="0" applyNumberFormat="1" applyFont="1" applyBorder="1" applyAlignment="1">
      <alignment horizontal="center" vertical="center"/>
    </xf>
    <xf numFmtId="43" fontId="10" fillId="0" borderId="1" xfId="1" applyFont="1" applyFill="1" applyBorder="1" applyAlignment="1" applyProtection="1">
      <alignment vertical="center"/>
    </xf>
    <xf numFmtId="176" fontId="10" fillId="0" borderId="0" xfId="4" applyFont="1" applyFill="1" applyAlignment="1">
      <alignment vertical="center"/>
    </xf>
    <xf numFmtId="0" fontId="9" fillId="6" borderId="1" xfId="0" applyFont="1" applyFill="1" applyBorder="1" applyAlignment="1">
      <alignment vertical="center"/>
    </xf>
    <xf numFmtId="187" fontId="9" fillId="6" borderId="1" xfId="1" applyNumberFormat="1" applyFont="1" applyFill="1" applyBorder="1" applyAlignment="1">
      <alignment vertical="center"/>
    </xf>
    <xf numFmtId="213" fontId="9" fillId="6" borderId="1" xfId="1" applyNumberFormat="1" applyFont="1" applyFill="1" applyBorder="1" applyAlignment="1">
      <alignment vertical="center"/>
    </xf>
    <xf numFmtId="193" fontId="9" fillId="6" borderId="1" xfId="1" applyNumberFormat="1" applyFont="1" applyFill="1" applyBorder="1" applyAlignment="1">
      <alignment vertical="center"/>
    </xf>
    <xf numFmtId="176" fontId="9" fillId="0" borderId="0" xfId="4" applyFont="1" applyAlignment="1">
      <alignment vertical="center"/>
    </xf>
    <xf numFmtId="195" fontId="9" fillId="6" borderId="1" xfId="1" applyNumberFormat="1" applyFont="1" applyFill="1" applyBorder="1" applyAlignment="1">
      <alignment vertical="center"/>
    </xf>
    <xf numFmtId="193" fontId="10" fillId="14" borderId="1" xfId="1" applyNumberFormat="1" applyFont="1" applyFill="1" applyBorder="1" applyAlignment="1">
      <alignment horizontal="right" vertical="center"/>
    </xf>
    <xf numFmtId="193" fontId="10" fillId="0" borderId="1" xfId="1" applyNumberFormat="1" applyFont="1" applyBorder="1" applyAlignment="1">
      <alignment horizontal="right" vertical="center"/>
    </xf>
    <xf numFmtId="0" fontId="9" fillId="22" borderId="1" xfId="0" applyFont="1" applyFill="1" applyBorder="1" applyAlignment="1">
      <alignment vertical="center" wrapText="1"/>
    </xf>
    <xf numFmtId="193" fontId="9" fillId="22" borderId="1" xfId="1" applyNumberFormat="1" applyFont="1" applyFill="1" applyBorder="1" applyAlignment="1">
      <alignment vertical="center"/>
    </xf>
    <xf numFmtId="193" fontId="9" fillId="22" borderId="1" xfId="0" applyNumberFormat="1" applyFont="1" applyFill="1" applyBorder="1" applyAlignment="1">
      <alignment vertical="center"/>
    </xf>
    <xf numFmtId="0" fontId="9" fillId="22" borderId="1" xfId="245" applyFont="1" applyFill="1" applyBorder="1" applyAlignment="1">
      <alignment vertical="center"/>
    </xf>
    <xf numFmtId="193" fontId="9" fillId="22" borderId="1" xfId="245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194" fontId="10" fillId="0" borderId="0" xfId="1" applyNumberFormat="1" applyFont="1" applyAlignment="1">
      <alignment vertical="center"/>
    </xf>
    <xf numFmtId="195" fontId="5" fillId="0" borderId="0" xfId="1" applyNumberFormat="1" applyFont="1" applyBorder="1" applyAlignment="1">
      <alignment vertical="center"/>
    </xf>
    <xf numFmtId="195" fontId="25" fillId="0" borderId="0" xfId="0" applyNumberFormat="1" applyFont="1" applyAlignment="1">
      <alignment vertical="center"/>
    </xf>
    <xf numFmtId="0" fontId="5" fillId="0" borderId="10" xfId="0" applyFont="1" applyBorder="1" applyAlignment="1">
      <alignment vertical="center"/>
    </xf>
    <xf numFmtId="217" fontId="10" fillId="0" borderId="0" xfId="0" applyNumberFormat="1" applyFont="1" applyAlignment="1">
      <alignment vertical="center"/>
    </xf>
    <xf numFmtId="195" fontId="10" fillId="0" borderId="0" xfId="3" applyNumberFormat="1" applyFont="1" applyAlignment="1">
      <alignment vertical="center"/>
    </xf>
    <xf numFmtId="43" fontId="10" fillId="0" borderId="0" xfId="1" applyFont="1" applyFill="1" applyAlignment="1">
      <alignment vertical="center"/>
    </xf>
    <xf numFmtId="202" fontId="10" fillId="0" borderId="0" xfId="4" applyNumberFormat="1" applyFont="1" applyAlignment="1">
      <alignment vertical="center"/>
    </xf>
    <xf numFmtId="195" fontId="10" fillId="0" borderId="1" xfId="1" applyNumberFormat="1" applyFont="1" applyFill="1" applyBorder="1" applyAlignment="1">
      <alignment vertical="center"/>
    </xf>
    <xf numFmtId="194" fontId="10" fillId="0" borderId="0" xfId="0" applyNumberFormat="1" applyFont="1" applyAlignment="1">
      <alignment vertical="center"/>
    </xf>
    <xf numFmtId="9" fontId="9" fillId="0" borderId="0" xfId="3" applyFont="1" applyAlignment="1">
      <alignment vertical="center"/>
    </xf>
    <xf numFmtId="201" fontId="0" fillId="0" borderId="0" xfId="0" applyNumberFormat="1" applyAlignment="1">
      <alignment vertical="center"/>
    </xf>
    <xf numFmtId="193" fontId="0" fillId="0" borderId="0" xfId="1" applyNumberFormat="1" applyFont="1" applyAlignment="1">
      <alignment horizontal="right" vertical="center"/>
    </xf>
    <xf numFmtId="19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93" fontId="11" fillId="0" borderId="0" xfId="380" applyNumberFormat="1" applyFont="1" applyAlignment="1">
      <alignment horizontal="right" vertical="center"/>
    </xf>
    <xf numFmtId="193" fontId="11" fillId="0" borderId="0" xfId="380" applyNumberFormat="1" applyFont="1" applyAlignment="1">
      <alignment horizontal="right" vertical="center" wrapText="1"/>
    </xf>
    <xf numFmtId="38" fontId="11" fillId="0" borderId="0" xfId="380" applyNumberFormat="1" applyFont="1" applyAlignment="1">
      <alignment horizontal="right" vertical="center" wrapText="1"/>
    </xf>
    <xf numFmtId="193" fontId="5" fillId="0" borderId="0" xfId="0" applyNumberFormat="1" applyFont="1" applyAlignment="1">
      <alignment horizontal="right" vertical="center"/>
    </xf>
    <xf numFmtId="193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93" fontId="10" fillId="21" borderId="1" xfId="1" applyNumberFormat="1" applyFont="1" applyFill="1" applyBorder="1" applyAlignment="1">
      <alignment horizontal="right" vertical="center"/>
    </xf>
    <xf numFmtId="193" fontId="10" fillId="21" borderId="1" xfId="0" applyNumberFormat="1" applyFont="1" applyFill="1" applyBorder="1" applyAlignment="1">
      <alignment horizontal="right" vertical="center"/>
    </xf>
    <xf numFmtId="0" fontId="10" fillId="21" borderId="1" xfId="0" applyFont="1" applyFill="1" applyBorder="1" applyAlignment="1">
      <alignment horizontal="right" vertical="center"/>
    </xf>
    <xf numFmtId="193" fontId="10" fillId="6" borderId="1" xfId="1" applyNumberFormat="1" applyFont="1" applyFill="1" applyBorder="1" applyAlignment="1">
      <alignment horizontal="right" vertical="center"/>
    </xf>
    <xf numFmtId="193" fontId="10" fillId="6" borderId="1" xfId="0" applyNumberFormat="1" applyFont="1" applyFill="1" applyBorder="1" applyAlignment="1">
      <alignment horizontal="right" vertical="center"/>
    </xf>
    <xf numFmtId="41" fontId="10" fillId="6" borderId="1" xfId="0" applyNumberFormat="1" applyFont="1" applyFill="1" applyBorder="1" applyAlignment="1">
      <alignment horizontal="right" vertical="center"/>
    </xf>
    <xf numFmtId="193" fontId="10" fillId="0" borderId="1" xfId="0" applyNumberFormat="1" applyFont="1" applyBorder="1" applyAlignment="1">
      <alignment horizontal="right" vertical="center"/>
    </xf>
    <xf numFmtId="193" fontId="10" fillId="0" borderId="1" xfId="1" applyNumberFormat="1" applyFont="1" applyFill="1" applyBorder="1" applyAlignment="1">
      <alignment horizontal="right" vertical="center"/>
    </xf>
    <xf numFmtId="41" fontId="10" fillId="0" borderId="1" xfId="0" applyNumberFormat="1" applyFont="1" applyBorder="1" applyAlignment="1">
      <alignment horizontal="right" vertical="center"/>
    </xf>
    <xf numFmtId="193" fontId="10" fillId="22" borderId="1" xfId="1" applyNumberFormat="1" applyFont="1" applyFill="1" applyBorder="1" applyAlignment="1">
      <alignment horizontal="right" vertical="center"/>
    </xf>
    <xf numFmtId="43" fontId="10" fillId="0" borderId="1" xfId="1" applyFont="1" applyFill="1" applyBorder="1" applyAlignment="1">
      <alignment vertical="center"/>
    </xf>
    <xf numFmtId="187" fontId="10" fillId="0" borderId="1" xfId="1" applyNumberFormat="1" applyFont="1" applyFill="1" applyBorder="1" applyAlignment="1">
      <alignment horizontal="right" vertical="center"/>
    </xf>
    <xf numFmtId="193" fontId="10" fillId="0" borderId="1" xfId="1" applyNumberFormat="1" applyFont="1" applyFill="1" applyBorder="1" applyAlignment="1" applyProtection="1">
      <alignment horizontal="right" vertical="center"/>
    </xf>
    <xf numFmtId="195" fontId="10" fillId="0" borderId="1" xfId="1" applyNumberFormat="1" applyFont="1" applyFill="1" applyBorder="1" applyAlignment="1" applyProtection="1">
      <alignment vertical="center"/>
    </xf>
    <xf numFmtId="195" fontId="10" fillId="0" borderId="1" xfId="1" applyNumberFormat="1" applyFont="1" applyFill="1" applyBorder="1" applyAlignment="1" applyProtection="1">
      <alignment horizontal="right" vertical="center"/>
    </xf>
    <xf numFmtId="195" fontId="10" fillId="6" borderId="1" xfId="1" applyNumberFormat="1" applyFont="1" applyFill="1" applyBorder="1" applyAlignment="1">
      <alignment horizontal="right" vertical="center"/>
    </xf>
    <xf numFmtId="193" fontId="9" fillId="6" borderId="1" xfId="1" applyNumberFormat="1" applyFont="1" applyFill="1" applyBorder="1" applyAlignment="1">
      <alignment horizontal="right" vertical="center"/>
    </xf>
    <xf numFmtId="193" fontId="9" fillId="22" borderId="1" xfId="1" applyNumberFormat="1" applyFont="1" applyFill="1" applyBorder="1" applyAlignment="1">
      <alignment horizontal="right" vertical="center"/>
    </xf>
    <xf numFmtId="193" fontId="9" fillId="22" borderId="31" xfId="1" applyNumberFormat="1" applyFont="1" applyFill="1" applyBorder="1" applyAlignment="1">
      <alignment horizontal="right" vertical="center"/>
    </xf>
    <xf numFmtId="193" fontId="9" fillId="22" borderId="32" xfId="1" applyNumberFormat="1" applyFont="1" applyFill="1" applyBorder="1" applyAlignment="1">
      <alignment horizontal="right" vertical="center"/>
    </xf>
    <xf numFmtId="193" fontId="10" fillId="0" borderId="0" xfId="1" applyNumberFormat="1" applyFont="1" applyAlignment="1">
      <alignment horizontal="right" vertical="center"/>
    </xf>
    <xf numFmtId="43" fontId="10" fillId="0" borderId="0" xfId="1" applyFont="1" applyAlignment="1">
      <alignment horizontal="right" vertical="center"/>
    </xf>
    <xf numFmtId="43" fontId="10" fillId="0" borderId="1" xfId="0" applyNumberFormat="1" applyFont="1" applyBorder="1" applyAlignment="1">
      <alignment horizontal="left" vertical="center"/>
    </xf>
    <xf numFmtId="195" fontId="10" fillId="0" borderId="1" xfId="1" applyNumberFormat="1" applyFont="1" applyBorder="1" applyAlignment="1">
      <alignment horizontal="center" vertical="center"/>
    </xf>
    <xf numFmtId="218" fontId="10" fillId="0" borderId="1" xfId="0" applyNumberFormat="1" applyFont="1" applyBorder="1" applyAlignment="1">
      <alignment horizontal="center" vertical="center"/>
    </xf>
    <xf numFmtId="0" fontId="10" fillId="14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/>
    </xf>
    <xf numFmtId="187" fontId="10" fillId="14" borderId="1" xfId="1" applyNumberFormat="1" applyFont="1" applyFill="1" applyBorder="1" applyAlignment="1">
      <alignment vertical="center"/>
    </xf>
    <xf numFmtId="213" fontId="10" fillId="14" borderId="1" xfId="1" applyNumberFormat="1" applyFont="1" applyFill="1" applyBorder="1" applyAlignment="1">
      <alignment vertical="center"/>
    </xf>
    <xf numFmtId="195" fontId="10" fillId="14" borderId="0" xfId="0" applyNumberFormat="1" applyFont="1" applyFill="1" applyAlignment="1">
      <alignment vertical="center"/>
    </xf>
    <xf numFmtId="41" fontId="10" fillId="0" borderId="0" xfId="3" applyNumberFormat="1" applyFont="1" applyAlignment="1">
      <alignment vertical="center"/>
    </xf>
    <xf numFmtId="0" fontId="10" fillId="0" borderId="0" xfId="245" applyFont="1" applyAlignment="1">
      <alignment horizontal="center" vertical="center"/>
    </xf>
    <xf numFmtId="0" fontId="25" fillId="0" borderId="0" xfId="245" applyFont="1" applyAlignment="1">
      <alignment vertical="center"/>
    </xf>
    <xf numFmtId="0" fontId="4" fillId="0" borderId="0" xfId="245" applyFont="1" applyAlignment="1">
      <alignment vertical="center"/>
    </xf>
    <xf numFmtId="0" fontId="9" fillId="0" borderId="0" xfId="245" applyFont="1" applyAlignment="1">
      <alignment vertical="center"/>
    </xf>
    <xf numFmtId="0" fontId="0" fillId="0" borderId="0" xfId="245" applyAlignment="1">
      <alignment vertical="center"/>
    </xf>
    <xf numFmtId="0" fontId="0" fillId="0" borderId="0" xfId="245" applyAlignment="1">
      <alignment horizontal="center" vertical="center"/>
    </xf>
    <xf numFmtId="176" fontId="0" fillId="0" borderId="0" xfId="4" applyFont="1" applyAlignment="1">
      <alignment vertical="center"/>
    </xf>
    <xf numFmtId="176" fontId="25" fillId="0" borderId="0" xfId="4" applyFont="1" applyAlignment="1">
      <alignment vertical="center"/>
    </xf>
    <xf numFmtId="0" fontId="25" fillId="0" borderId="0" xfId="245" applyFont="1" applyAlignment="1">
      <alignment horizontal="center" vertical="center"/>
    </xf>
    <xf numFmtId="0" fontId="5" fillId="0" borderId="0" xfId="245" applyFont="1" applyAlignment="1">
      <alignment horizontal="right" vertical="center"/>
    </xf>
    <xf numFmtId="0" fontId="5" fillId="0" borderId="0" xfId="245" applyFont="1" applyAlignment="1">
      <alignment horizontal="left" vertical="center"/>
    </xf>
    <xf numFmtId="0" fontId="5" fillId="0" borderId="0" xfId="245" applyFont="1" applyAlignment="1">
      <alignment vertical="center"/>
    </xf>
    <xf numFmtId="195" fontId="5" fillId="0" borderId="10" xfId="245" applyNumberFormat="1" applyFont="1" applyBorder="1" applyAlignment="1">
      <alignment vertical="center"/>
    </xf>
    <xf numFmtId="207" fontId="10" fillId="21" borderId="1" xfId="245" applyNumberFormat="1" applyFont="1" applyFill="1" applyBorder="1" applyAlignment="1">
      <alignment horizontal="center" vertical="center"/>
    </xf>
    <xf numFmtId="0" fontId="10" fillId="21" borderId="1" xfId="245" applyFont="1" applyFill="1" applyBorder="1" applyAlignment="1">
      <alignment horizontal="center" vertical="center"/>
    </xf>
    <xf numFmtId="207" fontId="10" fillId="6" borderId="1" xfId="245" applyNumberFormat="1" applyFont="1" applyFill="1" applyBorder="1" applyAlignment="1">
      <alignment horizontal="left" vertical="center"/>
    </xf>
    <xf numFmtId="207" fontId="9" fillId="6" borderId="1" xfId="245" applyNumberFormat="1" applyFont="1" applyFill="1" applyBorder="1" applyAlignment="1">
      <alignment horizontal="center" vertical="center"/>
    </xf>
    <xf numFmtId="0" fontId="9" fillId="6" borderId="1" xfId="245" applyFont="1" applyFill="1" applyBorder="1" applyAlignment="1">
      <alignment horizontal="center" vertical="center"/>
    </xf>
    <xf numFmtId="41" fontId="10" fillId="6" borderId="1" xfId="245" applyNumberFormat="1" applyFont="1" applyFill="1" applyBorder="1" applyAlignment="1">
      <alignment horizontal="center" vertical="center"/>
    </xf>
    <xf numFmtId="207" fontId="10" fillId="0" borderId="1" xfId="245" applyNumberFormat="1" applyFont="1" applyBorder="1" applyAlignment="1">
      <alignment vertical="center"/>
    </xf>
    <xf numFmtId="207" fontId="9" fillId="0" borderId="1" xfId="245" applyNumberFormat="1" applyFont="1" applyBorder="1" applyAlignment="1">
      <alignment horizontal="center" vertical="center"/>
    </xf>
    <xf numFmtId="0" fontId="9" fillId="0" borderId="1" xfId="245" applyFont="1" applyBorder="1" applyAlignment="1">
      <alignment horizontal="center" vertical="center"/>
    </xf>
    <xf numFmtId="207" fontId="10" fillId="0" borderId="1" xfId="245" applyNumberFormat="1" applyFont="1" applyBorder="1" applyAlignment="1">
      <alignment horizontal="left" vertical="center"/>
    </xf>
    <xf numFmtId="43" fontId="10" fillId="0" borderId="0" xfId="245" applyNumberFormat="1" applyFont="1" applyAlignment="1">
      <alignment vertical="center"/>
    </xf>
    <xf numFmtId="0" fontId="10" fillId="22" borderId="1" xfId="245" applyFont="1" applyFill="1" applyBorder="1" applyAlignment="1">
      <alignment horizontal="left" vertical="center"/>
    </xf>
    <xf numFmtId="187" fontId="10" fillId="22" borderId="1" xfId="245" applyNumberFormat="1" applyFont="1" applyFill="1" applyBorder="1" applyAlignment="1">
      <alignment vertical="center"/>
    </xf>
    <xf numFmtId="195" fontId="10" fillId="0" borderId="0" xfId="245" applyNumberFormat="1" applyFont="1" applyAlignment="1">
      <alignment vertical="center"/>
    </xf>
    <xf numFmtId="0" fontId="10" fillId="6" borderId="1" xfId="245" applyFont="1" applyFill="1" applyBorder="1" applyAlignment="1">
      <alignment horizontal="left" vertical="center"/>
    </xf>
    <xf numFmtId="0" fontId="10" fillId="6" borderId="1" xfId="245" applyFont="1" applyFill="1" applyBorder="1" applyAlignment="1">
      <alignment horizontal="center" vertical="center"/>
    </xf>
    <xf numFmtId="0" fontId="10" fillId="0" borderId="1" xfId="245" applyFont="1" applyBorder="1" applyAlignment="1">
      <alignment horizontal="left" vertical="center"/>
    </xf>
    <xf numFmtId="0" fontId="10" fillId="0" borderId="1" xfId="245" applyFont="1" applyBorder="1" applyAlignment="1">
      <alignment horizontal="center" vertical="center"/>
    </xf>
    <xf numFmtId="0" fontId="10" fillId="6" borderId="1" xfId="245" applyFont="1" applyFill="1" applyBorder="1" applyAlignment="1">
      <alignment vertical="center"/>
    </xf>
    <xf numFmtId="215" fontId="10" fillId="0" borderId="1" xfId="245" applyNumberFormat="1" applyFont="1" applyBorder="1" applyAlignment="1">
      <alignment horizontal="center" vertical="center"/>
    </xf>
    <xf numFmtId="0" fontId="10" fillId="14" borderId="1" xfId="245" applyFont="1" applyFill="1" applyBorder="1" applyAlignment="1">
      <alignment vertical="center"/>
    </xf>
    <xf numFmtId="0" fontId="10" fillId="14" borderId="1" xfId="245" applyFont="1" applyFill="1" applyBorder="1" applyAlignment="1">
      <alignment horizontal="center" vertical="center"/>
    </xf>
    <xf numFmtId="0" fontId="9" fillId="6" borderId="1" xfId="245" applyFont="1" applyFill="1" applyBorder="1" applyAlignment="1">
      <alignment vertical="center"/>
    </xf>
    <xf numFmtId="195" fontId="10" fillId="22" borderId="1" xfId="1" applyNumberFormat="1" applyFont="1" applyFill="1" applyBorder="1" applyAlignment="1">
      <alignment vertical="center"/>
    </xf>
    <xf numFmtId="0" fontId="10" fillId="0" borderId="1" xfId="245" applyFont="1" applyBorder="1" applyAlignment="1">
      <alignment vertical="center"/>
    </xf>
    <xf numFmtId="193" fontId="10" fillId="0" borderId="1" xfId="245" applyNumberFormat="1" applyFont="1" applyBorder="1" applyAlignment="1">
      <alignment vertical="center"/>
    </xf>
    <xf numFmtId="0" fontId="9" fillId="22" borderId="1" xfId="245" applyFont="1" applyFill="1" applyBorder="1" applyAlignment="1">
      <alignment vertical="center" wrapText="1"/>
    </xf>
    <xf numFmtId="0" fontId="9" fillId="22" borderId="30" xfId="245" applyFont="1" applyFill="1" applyBorder="1" applyAlignment="1">
      <alignment horizontal="center" vertical="center"/>
    </xf>
    <xf numFmtId="0" fontId="9" fillId="22" borderId="31" xfId="245" applyFont="1" applyFill="1" applyBorder="1" applyAlignment="1">
      <alignment horizontal="center" vertical="center"/>
    </xf>
    <xf numFmtId="193" fontId="9" fillId="0" borderId="0" xfId="245" applyNumberFormat="1" applyFont="1" applyAlignment="1">
      <alignment vertical="center"/>
    </xf>
    <xf numFmtId="41" fontId="10" fillId="0" borderId="0" xfId="245" applyNumberFormat="1" applyFont="1" applyAlignment="1">
      <alignment vertical="center"/>
    </xf>
    <xf numFmtId="199" fontId="10" fillId="0" borderId="0" xfId="245" applyNumberFormat="1" applyFont="1" applyAlignment="1">
      <alignment vertical="center"/>
    </xf>
    <xf numFmtId="199" fontId="10" fillId="0" borderId="0" xfId="245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93" fontId="10" fillId="6" borderId="1" xfId="0" applyNumberFormat="1" applyFont="1" applyFill="1" applyBorder="1" applyAlignment="1">
      <alignment vertical="center"/>
    </xf>
    <xf numFmtId="219" fontId="10" fillId="0" borderId="1" xfId="1" applyNumberFormat="1" applyFont="1" applyFill="1" applyBorder="1" applyAlignment="1">
      <alignment vertical="center"/>
    </xf>
    <xf numFmtId="194" fontId="10" fillId="0" borderId="1" xfId="1" applyNumberFormat="1" applyFont="1" applyFill="1" applyBorder="1" applyAlignment="1" applyProtection="1">
      <alignment vertical="center"/>
    </xf>
    <xf numFmtId="0" fontId="10" fillId="22" borderId="1" xfId="245" applyFont="1" applyFill="1" applyBorder="1" applyAlignment="1">
      <alignment vertical="center" wrapText="1"/>
    </xf>
    <xf numFmtId="0" fontId="10" fillId="0" borderId="0" xfId="245" applyFont="1" applyAlignment="1">
      <alignment horizontal="left" vertical="center"/>
    </xf>
    <xf numFmtId="43" fontId="5" fillId="0" borderId="10" xfId="1" applyFont="1" applyBorder="1" applyAlignment="1">
      <alignment vertical="center"/>
    </xf>
    <xf numFmtId="195" fontId="10" fillId="0" borderId="1" xfId="1" applyNumberFormat="1" applyFont="1" applyBorder="1" applyAlignment="1">
      <alignment vertical="center"/>
    </xf>
    <xf numFmtId="0" fontId="5" fillId="0" borderId="0" xfId="245" applyFont="1" applyAlignment="1">
      <alignment horizontal="center" vertical="center"/>
    </xf>
    <xf numFmtId="176" fontId="10" fillId="0" borderId="0" xfId="614" applyFont="1" applyAlignment="1">
      <alignment vertical="center"/>
    </xf>
    <xf numFmtId="41" fontId="9" fillId="0" borderId="1" xfId="245" applyNumberFormat="1" applyFont="1" applyBorder="1" applyAlignment="1">
      <alignment horizontal="center" vertical="center"/>
    </xf>
    <xf numFmtId="0" fontId="10" fillId="23" borderId="1" xfId="245" applyFont="1" applyFill="1" applyBorder="1" applyAlignment="1">
      <alignment horizontal="left" vertical="center"/>
    </xf>
    <xf numFmtId="0" fontId="10" fillId="23" borderId="1" xfId="245" applyFont="1" applyFill="1" applyBorder="1" applyAlignment="1">
      <alignment horizontal="center" vertical="center"/>
    </xf>
    <xf numFmtId="206" fontId="10" fillId="0" borderId="1" xfId="4" applyNumberFormat="1" applyFont="1" applyFill="1" applyBorder="1" applyAlignment="1">
      <alignment vertical="center"/>
    </xf>
    <xf numFmtId="202" fontId="10" fillId="0" borderId="0" xfId="4" applyNumberFormat="1" applyFont="1" applyFill="1" applyAlignment="1">
      <alignment vertical="center"/>
    </xf>
    <xf numFmtId="193" fontId="10" fillId="0" borderId="0" xfId="4" applyNumberFormat="1" applyFont="1" applyAlignment="1">
      <alignment vertical="center"/>
    </xf>
    <xf numFmtId="187" fontId="10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6" fillId="24" borderId="1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6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left" vertical="center" wrapText="1" indent="1"/>
    </xf>
    <xf numFmtId="0" fontId="0" fillId="0" borderId="0" xfId="0" applyFont="1" applyAlignment="1">
      <alignment horizontal="left" vertical="center" wrapText="1" indent="1"/>
    </xf>
    <xf numFmtId="0" fontId="26" fillId="0" borderId="12" xfId="0" applyFont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186" fontId="27" fillId="0" borderId="0" xfId="627" applyNumberFormat="1" applyFont="1" applyFill="1" applyBorder="1" applyAlignment="1" applyProtection="1">
      <alignment vertical="center"/>
      <protection locked="0"/>
    </xf>
    <xf numFmtId="0" fontId="28" fillId="0" borderId="0" xfId="380" applyFont="1" applyAlignment="1">
      <alignment horizontal="center" vertical="center"/>
    </xf>
    <xf numFmtId="0" fontId="28" fillId="0" borderId="0" xfId="380" applyFont="1" applyAlignment="1">
      <alignment vertical="center"/>
    </xf>
    <xf numFmtId="0" fontId="29" fillId="0" borderId="36" xfId="380" applyFont="1" applyBorder="1" applyAlignment="1">
      <alignment horizontal="left" vertical="center"/>
    </xf>
    <xf numFmtId="0" fontId="29" fillId="0" borderId="0" xfId="380" applyFont="1" applyAlignment="1">
      <alignment vertical="center"/>
    </xf>
    <xf numFmtId="0" fontId="5" fillId="5" borderId="22" xfId="380" applyFont="1" applyFill="1" applyBorder="1" applyAlignment="1">
      <alignment horizontal="center" vertical="center"/>
    </xf>
    <xf numFmtId="0" fontId="5" fillId="5" borderId="7" xfId="380" applyFont="1" applyFill="1" applyBorder="1" applyAlignment="1">
      <alignment horizontal="center" vertical="center"/>
    </xf>
    <xf numFmtId="0" fontId="5" fillId="5" borderId="8" xfId="380" applyFont="1" applyFill="1" applyBorder="1" applyAlignment="1">
      <alignment horizontal="center" vertical="center"/>
    </xf>
    <xf numFmtId="0" fontId="4" fillId="0" borderId="13" xfId="380" applyFont="1" applyBorder="1" applyAlignment="1">
      <alignment horizontal="center" vertical="center"/>
    </xf>
    <xf numFmtId="0" fontId="30" fillId="0" borderId="1" xfId="6" applyFont="1" applyFill="1" applyBorder="1" applyAlignment="1" applyProtection="1">
      <alignment vertical="center"/>
    </xf>
    <xf numFmtId="14" fontId="4" fillId="0" borderId="23" xfId="380" applyNumberFormat="1" applyFont="1" applyBorder="1" applyAlignment="1">
      <alignment horizontal="left" vertical="center"/>
    </xf>
    <xf numFmtId="0" fontId="31" fillId="0" borderId="1" xfId="6" applyFill="1" applyBorder="1" applyAlignment="1" applyProtection="1">
      <alignment vertical="center"/>
    </xf>
    <xf numFmtId="0" fontId="4" fillId="0" borderId="23" xfId="0" applyFont="1" applyBorder="1" applyAlignment="1">
      <alignment vertical="center"/>
    </xf>
    <xf numFmtId="0" fontId="4" fillId="0" borderId="14" xfId="380" applyFont="1" applyBorder="1" applyAlignment="1">
      <alignment horizontal="center" vertical="center"/>
    </xf>
    <xf numFmtId="0" fontId="31" fillId="0" borderId="15" xfId="6" applyFill="1" applyBorder="1" applyAlignment="1" applyProtection="1">
      <alignment vertical="center"/>
    </xf>
    <xf numFmtId="0" fontId="4" fillId="0" borderId="24" xfId="0" applyFont="1" applyBorder="1" applyAlignment="1">
      <alignment vertical="center"/>
    </xf>
  </cellXfs>
  <cellStyles count="7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******************************************" xfId="49"/>
    <cellStyle name="****************************************** 10 10" xfId="50"/>
    <cellStyle name="****************************************** 10 10 2" xfId="51"/>
    <cellStyle name="****************************************** 10 10 3" xfId="52"/>
    <cellStyle name="****************************************** 10 10 4" xfId="53"/>
    <cellStyle name="****************************************** 10 10 5" xfId="54"/>
    <cellStyle name="****************************************** 10 2 2" xfId="55"/>
    <cellStyle name="****************************************** 2" xfId="56"/>
    <cellStyle name="****************************************** 2 2" xfId="57"/>
    <cellStyle name="****************************************** 2 3" xfId="58"/>
    <cellStyle name="****************************************** 2 4" xfId="59"/>
    <cellStyle name="****************************************** 2 5" xfId="60"/>
    <cellStyle name="****************************************** 3" xfId="61"/>
    <cellStyle name="?? [0]_BOILER-CO1" xfId="62"/>
    <cellStyle name="??_0N-HANDLING " xfId="63"/>
    <cellStyle name="_" xfId="64"/>
    <cellStyle name="_ 2" xfId="65"/>
    <cellStyle name="_ 3" xfId="66"/>
    <cellStyle name="_08年报表汇总" xfId="67"/>
    <cellStyle name="_08年报表汇总 2" xfId="68"/>
    <cellStyle name="_08年报表汇总 3" xfId="69"/>
    <cellStyle name="_附件1：各公司关联模板" xfId="70"/>
    <cellStyle name="_附件1：各公司关联模板 (version 1)" xfId="71"/>
    <cellStyle name="_生化-合并08.7" xfId="72"/>
    <cellStyle name="_生化-合并08.7 2" xfId="73"/>
    <cellStyle name="_生化-合并08.7 3" xfId="74"/>
    <cellStyle name="_天科4月份综合成本" xfId="75"/>
    <cellStyle name="_天科4月份综合成本 2" xfId="76"/>
    <cellStyle name="_天科4月份综合成本 3" xfId="77"/>
    <cellStyle name="_综合成本样表" xfId="78"/>
    <cellStyle name="_综合成本样表 2" xfId="79"/>
    <cellStyle name="_综合成本样表 3" xfId="80"/>
    <cellStyle name="`" xfId="81"/>
    <cellStyle name="` 2" xfId="82"/>
    <cellStyle name="`_2011.5" xfId="83"/>
    <cellStyle name="{" xfId="84"/>
    <cellStyle name="{ 2" xfId="85"/>
    <cellStyle name="{ 3" xfId="86"/>
    <cellStyle name="{_2011.5" xfId="87"/>
    <cellStyle name="" xfId="88"/>
    <cellStyle name="" xfId="89"/>
    <cellStyle name="" xfId="90"/>
    <cellStyle name="" xfId="91"/>
    <cellStyle name=" 2" xfId="92"/>
    <cellStyle name=" 2" xfId="93"/>
    <cellStyle name=" 2" xfId="94"/>
    <cellStyle name=" 2" xfId="95"/>
    <cellStyle name=" 3" xfId="96"/>
    <cellStyle name=" 3" xfId="97"/>
    <cellStyle name=" 3" xfId="98"/>
    <cellStyle name=" 3" xfId="99"/>
    <cellStyle name=" 4" xfId="100"/>
    <cellStyle name=" 4" xfId="101"/>
    <cellStyle name=" 4" xfId="102"/>
    <cellStyle name=" 4" xfId="103"/>
    <cellStyle name=" 5" xfId="104"/>
    <cellStyle name=" 5" xfId="105"/>
    <cellStyle name=" 5" xfId="106"/>
    <cellStyle name=" 5" xfId="107"/>
    <cellStyle name=" 6" xfId="108"/>
    <cellStyle name=" 6" xfId="109"/>
    <cellStyle name=" 6" xfId="110"/>
    <cellStyle name="_2011.10资销售运营分析基础表" xfId="111"/>
    <cellStyle name="_2011.10资销售运营分析基础表" xfId="112"/>
    <cellStyle name="_2011.11销售运营分析基础表" xfId="113"/>
    <cellStyle name="_2011.11销售运营分析基础表" xfId="114"/>
    <cellStyle name="_2011.3资产分析基础表" xfId="115"/>
    <cellStyle name="_2011.3资产分析基础表" xfId="116"/>
    <cellStyle name="_2011.5" xfId="117"/>
    <cellStyle name="_2011.5资产分析基础表" xfId="118"/>
    <cellStyle name="_2011.5资产分析基础表" xfId="119"/>
    <cellStyle name="_2011.7资产分析基础表" xfId="120"/>
    <cellStyle name="_2011.7资产分析基础表" xfId="121"/>
    <cellStyle name="_2011.8资产分析基础表" xfId="122"/>
    <cellStyle name="_2011.8资产分析基础表" xfId="123"/>
    <cellStyle name="_Book1" xfId="124"/>
    <cellStyle name="_Book1" xfId="125"/>
    <cellStyle name="0,0_x000d__x000a_NA_x000d__x000a_" xfId="126"/>
    <cellStyle name="Comma [0]_6S Input Form Template - cn v2.2.2" xfId="127"/>
    <cellStyle name="Comma_2002 consolidation -ray" xfId="128"/>
    <cellStyle name="Heading 4" xfId="129"/>
    <cellStyle name="jktitle" xfId="130"/>
    <cellStyle name="jktitle 2" xfId="131"/>
    <cellStyle name="jktitle 3" xfId="132"/>
    <cellStyle name="N" xfId="133"/>
    <cellStyle name="N 2" xfId="134"/>
    <cellStyle name="NewStyle" xfId="135"/>
    <cellStyle name="NewStyle 2" xfId="136"/>
    <cellStyle name="NewStyle 3" xfId="137"/>
    <cellStyle name="Normal_2002 consolidation -ray_A100- COFCO consolidation 2005" xfId="138"/>
    <cellStyle name="Q" xfId="139"/>
    <cellStyle name="Q 2" xfId="140"/>
    <cellStyle name="Q_2011.5" xfId="141"/>
    <cellStyle name="SAPBEXHLevel0_Budget format (28_08_2003)" xfId="142"/>
    <cellStyle name="SAPBEXHLevel1" xfId="143"/>
    <cellStyle name="百分比 10" xfId="144"/>
    <cellStyle name="百分比 10 2" xfId="145"/>
    <cellStyle name="百分比 11" xfId="146"/>
    <cellStyle name="百分比 12" xfId="147"/>
    <cellStyle name="百分比 13" xfId="148"/>
    <cellStyle name="百分比 14" xfId="149"/>
    <cellStyle name="百分比 15" xfId="150"/>
    <cellStyle name="百分比 15 2" xfId="151"/>
    <cellStyle name="百分比 16" xfId="152"/>
    <cellStyle name="百分比 16 2" xfId="153"/>
    <cellStyle name="百分比 17" xfId="154"/>
    <cellStyle name="百分比 18" xfId="155"/>
    <cellStyle name="百分比 19" xfId="156"/>
    <cellStyle name="百分比 2" xfId="157"/>
    <cellStyle name="百分比 2 2" xfId="158"/>
    <cellStyle name="百分比 2 2 2" xfId="159"/>
    <cellStyle name="百分比 2 2 2 2" xfId="160"/>
    <cellStyle name="百分比 2 2 3" xfId="161"/>
    <cellStyle name="百分比 2 3" xfId="162"/>
    <cellStyle name="百分比 2 3 2" xfId="163"/>
    <cellStyle name="百分比 2 3 2 2" xfId="164"/>
    <cellStyle name="百分比 2 3 2 2 2" xfId="165"/>
    <cellStyle name="百分比 2 3 2 2 2 2" xfId="166"/>
    <cellStyle name="百分比 2 3 2 2 2 2 2" xfId="167"/>
    <cellStyle name="百分比 2 3 2 2 2 2 2 2" xfId="168"/>
    <cellStyle name="百分比 2 3 2 2 2 2 2 2 2" xfId="169"/>
    <cellStyle name="百分比 2 4" xfId="170"/>
    <cellStyle name="百分比 2 5" xfId="171"/>
    <cellStyle name="百分比 20" xfId="172"/>
    <cellStyle name="百分比 21" xfId="173"/>
    <cellStyle name="百分比 22" xfId="174"/>
    <cellStyle name="百分比 23" xfId="175"/>
    <cellStyle name="百分比 24" xfId="176"/>
    <cellStyle name="百分比 25" xfId="177"/>
    <cellStyle name="百分比 26" xfId="178"/>
    <cellStyle name="百分比 27" xfId="179"/>
    <cellStyle name="百分比 28" xfId="180"/>
    <cellStyle name="百分比 29" xfId="181"/>
    <cellStyle name="百分比 3" xfId="182"/>
    <cellStyle name="百分比 3 2" xfId="183"/>
    <cellStyle name="百分比 30" xfId="184"/>
    <cellStyle name="百分比 4" xfId="185"/>
    <cellStyle name="百分比 4 2" xfId="186"/>
    <cellStyle name="百分比 5" xfId="187"/>
    <cellStyle name="百分比 6" xfId="188"/>
    <cellStyle name="百分比 7" xfId="189"/>
    <cellStyle name="百分比 8" xfId="190"/>
    <cellStyle name="百分比 9" xfId="191"/>
    <cellStyle name="百分比 9 2" xfId="192"/>
    <cellStyle name="斑" xfId="193"/>
    <cellStyle name="斑_2011.7" xfId="194"/>
    <cellStyle name="差_12月份报表及资产分析" xfId="195"/>
    <cellStyle name="差_200910应收预警与往来分析5页" xfId="196"/>
    <cellStyle name="差_2009年1-10月实际数-606运营系统预算填报模版" xfId="197"/>
    <cellStyle name="差_2010年1月销售分客户毛利分析" xfId="198"/>
    <cellStyle name="差_2010年2月-2010年4月" xfId="199"/>
    <cellStyle name="差_2010年2月-2010年4月 2" xfId="200"/>
    <cellStyle name="差_2010年3月-2010年5月资金收支计划" xfId="201"/>
    <cellStyle name="差_2010年3月-2010年5月资金收支计划 2" xfId="202"/>
    <cellStyle name="差_2011.10月预警通知" xfId="203"/>
    <cellStyle name="差_2011.3月预警通知表.." xfId="204"/>
    <cellStyle name="差_2011.5" xfId="205"/>
    <cellStyle name="差_2011.5月预警通知表" xfId="206"/>
    <cellStyle name="差_2011.7" xfId="207"/>
    <cellStyle name="差_2011.7月预警通知表" xfId="208"/>
    <cellStyle name="差_2011.8月份6S销售分析" xfId="209"/>
    <cellStyle name="差_2011.8月预警通知表" xfId="210"/>
    <cellStyle name="差_3-6月份资金计划" xfId="211"/>
    <cellStyle name="差_3-6月份资金计划 2" xfId="212"/>
    <cellStyle name="差_3月分析基础表（6S）" xfId="213"/>
    <cellStyle name="差_7月份报表及资产分析" xfId="214"/>
    <cellStyle name="差_8月份报表及资产分析" xfId="215"/>
    <cellStyle name="差_Book1" xfId="216"/>
    <cellStyle name="差_Xl0000011" xfId="217"/>
    <cellStyle name="差_包装分户" xfId="218"/>
    <cellStyle name="差_生产成本结转表2010(2)" xfId="219"/>
    <cellStyle name="差_手工计算--中粮融氏综合成本表200910" xfId="220"/>
    <cellStyle name="差_中粮融氏资金月度报表（资金计划）" xfId="221"/>
    <cellStyle name="常规 10" xfId="222"/>
    <cellStyle name="常规 103 10" xfId="223"/>
    <cellStyle name="常规 11" xfId="224"/>
    <cellStyle name="常规 11 2" xfId="225"/>
    <cellStyle name="常规 11 3" xfId="226"/>
    <cellStyle name="常规 11 3 2" xfId="227"/>
    <cellStyle name="常规 12" xfId="228"/>
    <cellStyle name="常规 12 2" xfId="229"/>
    <cellStyle name="常规 12 2 2" xfId="230"/>
    <cellStyle name="常规 12 2 3" xfId="231"/>
    <cellStyle name="常规 12 2 4" xfId="232"/>
    <cellStyle name="常规 12 2 5" xfId="233"/>
    <cellStyle name="常规 12 3" xfId="234"/>
    <cellStyle name="常规 13" xfId="235"/>
    <cellStyle name="常规 14" xfId="236"/>
    <cellStyle name="常规 15" xfId="237"/>
    <cellStyle name="常规 15 2" xfId="238"/>
    <cellStyle name="常规 16" xfId="239"/>
    <cellStyle name="常规 17" xfId="240"/>
    <cellStyle name="常规 17 2" xfId="241"/>
    <cellStyle name="常规 18" xfId="242"/>
    <cellStyle name="常规 19" xfId="243"/>
    <cellStyle name="常规 19 2" xfId="244"/>
    <cellStyle name="常规 2" xfId="245"/>
    <cellStyle name="常规 2 10" xfId="246"/>
    <cellStyle name="常规 2 2" xfId="247"/>
    <cellStyle name="常规 2 2 2" xfId="248"/>
    <cellStyle name="常规 2 2 2 2" xfId="249"/>
    <cellStyle name="常规 2 2 3" xfId="250"/>
    <cellStyle name="常规 2 2_2013.9月销售毛利分析" xfId="251"/>
    <cellStyle name="常规 2 3" xfId="252"/>
    <cellStyle name="常规 2 4" xfId="253"/>
    <cellStyle name="常规 2 5" xfId="254"/>
    <cellStyle name="常规 2 6" xfId="255"/>
    <cellStyle name="常规 2_12月份报表及资产分析" xfId="256"/>
    <cellStyle name="常规 20" xfId="257"/>
    <cellStyle name="常规 20 2" xfId="258"/>
    <cellStyle name="常规 21" xfId="259"/>
    <cellStyle name="常规 21 2" xfId="260"/>
    <cellStyle name="常规 22" xfId="261"/>
    <cellStyle name="常规 23" xfId="262"/>
    <cellStyle name="常规 23 2" xfId="263"/>
    <cellStyle name="常规 24" xfId="264"/>
    <cellStyle name="常规 25" xfId="265"/>
    <cellStyle name="常规 26" xfId="266"/>
    <cellStyle name="常规 27" xfId="267"/>
    <cellStyle name="常规 28" xfId="268"/>
    <cellStyle name="常规 29" xfId="269"/>
    <cellStyle name="常规 3" xfId="270"/>
    <cellStyle name="常规 3 2" xfId="271"/>
    <cellStyle name="常规 3 2 2" xfId="272"/>
    <cellStyle name="常规 3 2 2 2" xfId="273"/>
    <cellStyle name="常规 3 2 2 2 2" xfId="274"/>
    <cellStyle name="常规 3 2 2 2 2 2" xfId="275"/>
    <cellStyle name="常规 3 2 2 2 2 2 2" xfId="276"/>
    <cellStyle name="常规 3 2 2 2 2 2_2011.1-....月份销售毛利分析" xfId="277"/>
    <cellStyle name="常规 3 2 2 2 2_2011.1-....月份销售毛利分析" xfId="278"/>
    <cellStyle name="常规 3 2 2 2_2011.1-....月份销售毛利分析" xfId="279"/>
    <cellStyle name="常规 3 2 2_2010.1-12月份销售毛利分析" xfId="280"/>
    <cellStyle name="常规 3 2 3" xfId="281"/>
    <cellStyle name="常规 3 2_2010.1-12月份销售毛利分析" xfId="282"/>
    <cellStyle name="常规 3 3" xfId="283"/>
    <cellStyle name="常规 3 4" xfId="284"/>
    <cellStyle name="常规 3 4 2" xfId="285"/>
    <cellStyle name="常规 3 4 2 2 6 2 2 2" xfId="286"/>
    <cellStyle name="常规 3 4_2011.1-....月份销售毛利分析" xfId="287"/>
    <cellStyle name="常规 3 5" xfId="288"/>
    <cellStyle name="常规 3_12月份报表及资产分析" xfId="289"/>
    <cellStyle name="常规 30" xfId="290"/>
    <cellStyle name="常规 30 2" xfId="291"/>
    <cellStyle name="常规 31" xfId="292"/>
    <cellStyle name="常规 32" xfId="293"/>
    <cellStyle name="常规 33" xfId="294"/>
    <cellStyle name="常规 33 2" xfId="295"/>
    <cellStyle name="常规 34" xfId="296"/>
    <cellStyle name="常规 34 2" xfId="297"/>
    <cellStyle name="常规 35" xfId="298"/>
    <cellStyle name="常规 35 2" xfId="299"/>
    <cellStyle name="常规 36" xfId="300"/>
    <cellStyle name="常规 36 2" xfId="301"/>
    <cellStyle name="常规 37" xfId="302"/>
    <cellStyle name="常规 37 2" xfId="303"/>
    <cellStyle name="常规 38" xfId="304"/>
    <cellStyle name="常规 39" xfId="305"/>
    <cellStyle name="常规 4" xfId="306"/>
    <cellStyle name="常规 4 2" xfId="307"/>
    <cellStyle name="常规 4 2 2" xfId="308"/>
    <cellStyle name="常规 4 3" xfId="309"/>
    <cellStyle name="常规 4 4" xfId="310"/>
    <cellStyle name="常规 4 4 2" xfId="311"/>
    <cellStyle name="常规 4 5" xfId="312"/>
    <cellStyle name="常规 4 5 2" xfId="313"/>
    <cellStyle name="常规 4 6" xfId="314"/>
    <cellStyle name="常规 4 7" xfId="315"/>
    <cellStyle name="常规 4_2010.1-12月份销售毛利分析" xfId="316"/>
    <cellStyle name="常规 40" xfId="317"/>
    <cellStyle name="常规 41" xfId="318"/>
    <cellStyle name="常规 42" xfId="319"/>
    <cellStyle name="常规 43" xfId="320"/>
    <cellStyle name="常规 44" xfId="321"/>
    <cellStyle name="常规 45" xfId="322"/>
    <cellStyle name="常规 46" xfId="323"/>
    <cellStyle name="常规 47" xfId="324"/>
    <cellStyle name="常规 48" xfId="325"/>
    <cellStyle name="常规 49" xfId="326"/>
    <cellStyle name="常规 5" xfId="327"/>
    <cellStyle name="常规 5 2" xfId="328"/>
    <cellStyle name="常规 5 2 2" xfId="329"/>
    <cellStyle name="常规 5 3" xfId="330"/>
    <cellStyle name="常规 5_2010.1-12月份销售毛利分析" xfId="331"/>
    <cellStyle name="常规 50" xfId="332"/>
    <cellStyle name="常规 51" xfId="333"/>
    <cellStyle name="常规 52" xfId="334"/>
    <cellStyle name="常规 53" xfId="335"/>
    <cellStyle name="常规 54" xfId="336"/>
    <cellStyle name="常规 55" xfId="337"/>
    <cellStyle name="常规 56" xfId="338"/>
    <cellStyle name="常规 57" xfId="339"/>
    <cellStyle name="常规 58" xfId="340"/>
    <cellStyle name="常规 59" xfId="341"/>
    <cellStyle name="常规 6" xfId="342"/>
    <cellStyle name="常规 6 2" xfId="343"/>
    <cellStyle name="常规 60" xfId="344"/>
    <cellStyle name="常规 61" xfId="345"/>
    <cellStyle name="常规 62" xfId="346"/>
    <cellStyle name="常规 63" xfId="347"/>
    <cellStyle name="常规 64" xfId="348"/>
    <cellStyle name="常规 65" xfId="349"/>
    <cellStyle name="常规 66" xfId="350"/>
    <cellStyle name="常规 67" xfId="351"/>
    <cellStyle name="常规 68" xfId="352"/>
    <cellStyle name="常规 69" xfId="353"/>
    <cellStyle name="常规 7" xfId="354"/>
    <cellStyle name="常规 7 2" xfId="355"/>
    <cellStyle name="常规 7 2 2" xfId="356"/>
    <cellStyle name="常规 7 3" xfId="357"/>
    <cellStyle name="常规 7_2011.1-....月份销售毛利分析" xfId="358"/>
    <cellStyle name="常规 70" xfId="359"/>
    <cellStyle name="常规 71" xfId="360"/>
    <cellStyle name="常规 72" xfId="361"/>
    <cellStyle name="常规 73" xfId="362"/>
    <cellStyle name="常规 74" xfId="363"/>
    <cellStyle name="常规 75" xfId="364"/>
    <cellStyle name="常规 76" xfId="365"/>
    <cellStyle name="常规 77" xfId="366"/>
    <cellStyle name="常规 78" xfId="367"/>
    <cellStyle name="常规 79" xfId="368"/>
    <cellStyle name="常规 8" xfId="369"/>
    <cellStyle name="常规 80" xfId="370"/>
    <cellStyle name="常规 81" xfId="371"/>
    <cellStyle name="常规 82" xfId="372"/>
    <cellStyle name="常规 83" xfId="373"/>
    <cellStyle name="常规 84" xfId="374"/>
    <cellStyle name="常规 85" xfId="375"/>
    <cellStyle name="常规 9" xfId="376"/>
    <cellStyle name="常规 9 2" xfId="377"/>
    <cellStyle name="常规 9 3" xfId="378"/>
    <cellStyle name="常规 9_Book1" xfId="379"/>
    <cellStyle name="常规_机械五矿预算表格test" xfId="380"/>
    <cellStyle name="超链接 2" xfId="381"/>
    <cellStyle name="陏" xfId="382"/>
    <cellStyle name="陏 2" xfId="383"/>
    <cellStyle name="兣" xfId="384"/>
    <cellStyle name="兣_2011.5" xfId="385"/>
    <cellStyle name="兣_2011.7" xfId="386"/>
    <cellStyle name="好_12月份报表及资产分析" xfId="387"/>
    <cellStyle name="好_200910应收预警与往来分析5页" xfId="388"/>
    <cellStyle name="好_2009年1-10月实际数-606运营系统预算填报模版" xfId="389"/>
    <cellStyle name="好_2010年1月销售分客户毛利分析" xfId="390"/>
    <cellStyle name="好_2010年2月-2010年4月" xfId="391"/>
    <cellStyle name="好_2010年2月-2010年4月 2" xfId="392"/>
    <cellStyle name="好_2010年3月-2010年5月资金收支计划" xfId="393"/>
    <cellStyle name="好_2010年3月-2010年5月资金收支计划 2" xfId="394"/>
    <cellStyle name="好_2011.10月预警通知" xfId="395"/>
    <cellStyle name="好_2011.3月预警通知表.." xfId="396"/>
    <cellStyle name="好_2011.5" xfId="397"/>
    <cellStyle name="好_2011.5月预警通知表" xfId="398"/>
    <cellStyle name="好_2011.7" xfId="399"/>
    <cellStyle name="好_2011.7月预警通知表" xfId="400"/>
    <cellStyle name="好_2011.8月份6S销售分析" xfId="401"/>
    <cellStyle name="好_2011.8月预警通知表" xfId="402"/>
    <cellStyle name="好_3-6月份资金计划" xfId="403"/>
    <cellStyle name="好_3-6月份资金计划 2" xfId="404"/>
    <cellStyle name="好_3月分析基础表（6S）" xfId="405"/>
    <cellStyle name="好_7月份报表及资产分析" xfId="406"/>
    <cellStyle name="好_8月份报表及资产分析" xfId="407"/>
    <cellStyle name="好_Book1" xfId="408"/>
    <cellStyle name="好_Xl0000011" xfId="409"/>
    <cellStyle name="好_包装分户" xfId="410"/>
    <cellStyle name="好_生产成本结转表2010(2)" xfId="411"/>
    <cellStyle name="好_手工计算--中粮融氏综合成本表200910" xfId="412"/>
    <cellStyle name="好_中粮融氏资金月度报表（资金计划）" xfId="413"/>
    <cellStyle name="內" xfId="414"/>
    <cellStyle name="內 2" xfId="415"/>
    <cellStyle name="內 3" xfId="416"/>
    <cellStyle name="內_2011.7" xfId="417"/>
    <cellStyle name="霓付 [0]_97MBO" xfId="418"/>
    <cellStyle name="霓付_97MBO" xfId="419"/>
    <cellStyle name="烹拳 [0]_97MBO" xfId="420"/>
    <cellStyle name="烹拳_97MBO" xfId="421"/>
    <cellStyle name="普通_ 白土" xfId="422"/>
    <cellStyle name="千分位[0]_ 白土" xfId="423"/>
    <cellStyle name="千分位_ 白土" xfId="424"/>
    <cellStyle name="千位[0]_Balance" xfId="425"/>
    <cellStyle name="千位_Balance" xfId="426"/>
    <cellStyle name="千位分隔 10" xfId="427"/>
    <cellStyle name="千位分隔 10 2" xfId="428"/>
    <cellStyle name="千位分隔 10 52" xfId="429"/>
    <cellStyle name="千位分隔 10 52 2" xfId="430"/>
    <cellStyle name="千位分隔 10 52 3" xfId="431"/>
    <cellStyle name="千位分隔 10 52 4" xfId="432"/>
    <cellStyle name="千位分隔 10 52 5" xfId="433"/>
    <cellStyle name="千位分隔 10 52 6" xfId="434"/>
    <cellStyle name="千位分隔 10 52 7" xfId="435"/>
    <cellStyle name="千位分隔 105 2" xfId="436"/>
    <cellStyle name="千位分隔 105 2 2" xfId="437"/>
    <cellStyle name="千位分隔 105 2 2 2" xfId="438"/>
    <cellStyle name="千位分隔 105 2 2 3" xfId="439"/>
    <cellStyle name="千位分隔 105 2 2 4" xfId="440"/>
    <cellStyle name="千位分隔 105 2 2 5" xfId="441"/>
    <cellStyle name="千位分隔 105 2 2 6" xfId="442"/>
    <cellStyle name="千位分隔 105 2 2 7" xfId="443"/>
    <cellStyle name="千位分隔 105 2 3" xfId="444"/>
    <cellStyle name="千位分隔 105 2 4" xfId="445"/>
    <cellStyle name="千位分隔 105 2 5" xfId="446"/>
    <cellStyle name="千位分隔 105 2 6" xfId="447"/>
    <cellStyle name="千位分隔 105 2 7" xfId="448"/>
    <cellStyle name="千位分隔 11" xfId="449"/>
    <cellStyle name="千位分隔 12" xfId="450"/>
    <cellStyle name="千位分隔 12 10" xfId="451"/>
    <cellStyle name="千位分隔 12 11" xfId="452"/>
    <cellStyle name="千位分隔 12 12" xfId="453"/>
    <cellStyle name="千位分隔 12 13" xfId="454"/>
    <cellStyle name="千位分隔 12 14" xfId="455"/>
    <cellStyle name="千位分隔 12 15" xfId="456"/>
    <cellStyle name="千位分隔 12 16" xfId="457"/>
    <cellStyle name="千位分隔 12 17" xfId="458"/>
    <cellStyle name="千位分隔 12 18" xfId="459"/>
    <cellStyle name="千位分隔 12 19" xfId="460"/>
    <cellStyle name="千位分隔 12 2" xfId="461"/>
    <cellStyle name="千位分隔 12 20" xfId="462"/>
    <cellStyle name="千位分隔 12 21" xfId="463"/>
    <cellStyle name="千位分隔 12 22" xfId="464"/>
    <cellStyle name="千位分隔 12 23" xfId="465"/>
    <cellStyle name="千位分隔 12 24" xfId="466"/>
    <cellStyle name="千位分隔 12 25" xfId="467"/>
    <cellStyle name="千位分隔 12 26" xfId="468"/>
    <cellStyle name="千位分隔 12 27" xfId="469"/>
    <cellStyle name="千位分隔 12 28" xfId="470"/>
    <cellStyle name="千位分隔 12 29" xfId="471"/>
    <cellStyle name="千位分隔 12 3" xfId="472"/>
    <cellStyle name="千位分隔 12 30" xfId="473"/>
    <cellStyle name="千位分隔 12 4" xfId="474"/>
    <cellStyle name="千位分隔 12 5" xfId="475"/>
    <cellStyle name="千位分隔 12 6" xfId="476"/>
    <cellStyle name="千位分隔 12 7" xfId="477"/>
    <cellStyle name="千位分隔 12 8" xfId="478"/>
    <cellStyle name="千位分隔 12 9" xfId="479"/>
    <cellStyle name="千位分隔 13" xfId="480"/>
    <cellStyle name="千位分隔 13 2" xfId="481"/>
    <cellStyle name="千位分隔 14" xfId="482"/>
    <cellStyle name="千位分隔 14 2" xfId="483"/>
    <cellStyle name="千位分隔 15" xfId="484"/>
    <cellStyle name="千位分隔 15 2" xfId="485"/>
    <cellStyle name="千位分隔 15 3" xfId="486"/>
    <cellStyle name="千位分隔 15 4" xfId="487"/>
    <cellStyle name="千位分隔 16" xfId="488"/>
    <cellStyle name="千位分隔 17" xfId="489"/>
    <cellStyle name="千位分隔 17 2" xfId="490"/>
    <cellStyle name="千位分隔 18" xfId="491"/>
    <cellStyle name="千位分隔 18 2" xfId="492"/>
    <cellStyle name="千位分隔 19" xfId="493"/>
    <cellStyle name="千位分隔 2" xfId="494"/>
    <cellStyle name="千位分隔 2 2" xfId="495"/>
    <cellStyle name="千位分隔 2 2 10 52" xfId="496"/>
    <cellStyle name="千位分隔 2 2 2" xfId="497"/>
    <cellStyle name="千位分隔 2 2 2 2" xfId="498"/>
    <cellStyle name="千位分隔 2 2 2 52" xfId="499"/>
    <cellStyle name="千位分隔 2 2 3" xfId="500"/>
    <cellStyle name="千位分隔 2 3" xfId="501"/>
    <cellStyle name="千位分隔 2 3 2" xfId="502"/>
    <cellStyle name="千位分隔 2 3 2 2" xfId="503"/>
    <cellStyle name="千位分隔 2 3 2 2 2" xfId="504"/>
    <cellStyle name="千位分隔 2 3 2 2 2 2" xfId="505"/>
    <cellStyle name="千位分隔 2 3 2 2 2 2 2" xfId="506"/>
    <cellStyle name="千位分隔 2 3 3" xfId="507"/>
    <cellStyle name="千位分隔 2 4" xfId="508"/>
    <cellStyle name="千位分隔 2 4 2" xfId="509"/>
    <cellStyle name="千位分隔 2 5" xfId="510"/>
    <cellStyle name="千位分隔 2 6" xfId="511"/>
    <cellStyle name="千位分隔 20" xfId="512"/>
    <cellStyle name="千位分隔 20 2" xfId="513"/>
    <cellStyle name="千位分隔 21" xfId="514"/>
    <cellStyle name="千位分隔 22" xfId="515"/>
    <cellStyle name="千位分隔 23" xfId="516"/>
    <cellStyle name="千位分隔 24" xfId="517"/>
    <cellStyle name="千位分隔 24 2" xfId="518"/>
    <cellStyle name="千位分隔 25" xfId="519"/>
    <cellStyle name="千位分隔 26" xfId="520"/>
    <cellStyle name="千位分隔 27" xfId="521"/>
    <cellStyle name="千位分隔 28" xfId="522"/>
    <cellStyle name="千位分隔 29" xfId="523"/>
    <cellStyle name="千位分隔 3" xfId="524"/>
    <cellStyle name="千位分隔 3 2" xfId="525"/>
    <cellStyle name="千位分隔 3 3" xfId="526"/>
    <cellStyle name="千位分隔 3 4" xfId="527"/>
    <cellStyle name="千位分隔 3 5" xfId="528"/>
    <cellStyle name="千位分隔 30" xfId="529"/>
    <cellStyle name="千位分隔 31" xfId="530"/>
    <cellStyle name="千位分隔 32" xfId="531"/>
    <cellStyle name="千位分隔 33" xfId="532"/>
    <cellStyle name="千位分隔 34" xfId="533"/>
    <cellStyle name="千位分隔 35" xfId="534"/>
    <cellStyle name="千位分隔 36" xfId="535"/>
    <cellStyle name="千位分隔 37" xfId="536"/>
    <cellStyle name="千位分隔 38" xfId="537"/>
    <cellStyle name="千位分隔 39" xfId="538"/>
    <cellStyle name="千位分隔 4" xfId="539"/>
    <cellStyle name="千位分隔 4 2" xfId="540"/>
    <cellStyle name="千位分隔 4 2 2" xfId="541"/>
    <cellStyle name="千位分隔 4 2 2 2" xfId="542"/>
    <cellStyle name="千位分隔 4 2 2 2 2" xfId="543"/>
    <cellStyle name="千位分隔 4 2 2 2 2 2" xfId="544"/>
    <cellStyle name="千位分隔 4 2 2 3" xfId="545"/>
    <cellStyle name="千位分隔 4 3" xfId="546"/>
    <cellStyle name="千位分隔 40" xfId="547"/>
    <cellStyle name="千位分隔 41" xfId="548"/>
    <cellStyle name="千位分隔 42" xfId="549"/>
    <cellStyle name="千位分隔 43" xfId="550"/>
    <cellStyle name="千位分隔 44" xfId="551"/>
    <cellStyle name="千位分隔 45" xfId="552"/>
    <cellStyle name="千位分隔 46" xfId="553"/>
    <cellStyle name="千位分隔 47" xfId="554"/>
    <cellStyle name="千位分隔 48" xfId="555"/>
    <cellStyle name="千位分隔 49" xfId="556"/>
    <cellStyle name="千位分隔 5" xfId="557"/>
    <cellStyle name="千位分隔 5 2" xfId="558"/>
    <cellStyle name="千位分隔 50" xfId="559"/>
    <cellStyle name="千位分隔 51" xfId="560"/>
    <cellStyle name="千位分隔 52" xfId="561"/>
    <cellStyle name="千位分隔 53" xfId="562"/>
    <cellStyle name="千位分隔 54" xfId="563"/>
    <cellStyle name="千位分隔 55" xfId="564"/>
    <cellStyle name="千位分隔 56" xfId="565"/>
    <cellStyle name="千位分隔 57" xfId="566"/>
    <cellStyle name="千位分隔 58" xfId="567"/>
    <cellStyle name="千位分隔 59" xfId="568"/>
    <cellStyle name="千位分隔 6" xfId="569"/>
    <cellStyle name="千位分隔 6 2" xfId="570"/>
    <cellStyle name="千位分隔 6 2 2" xfId="571"/>
    <cellStyle name="千位分隔 6 2 3" xfId="572"/>
    <cellStyle name="千位分隔 6 2 4" xfId="573"/>
    <cellStyle name="千位分隔 6 2 5" xfId="574"/>
    <cellStyle name="千位分隔 6 2 6" xfId="575"/>
    <cellStyle name="千位分隔 6 2 7" xfId="576"/>
    <cellStyle name="千位分隔 6 3" xfId="577"/>
    <cellStyle name="千位分隔 6 4" xfId="578"/>
    <cellStyle name="千位分隔 6 5" xfId="579"/>
    <cellStyle name="千位分隔 6 6" xfId="580"/>
    <cellStyle name="千位分隔 6 7" xfId="581"/>
    <cellStyle name="千位分隔 60" xfId="582"/>
    <cellStyle name="千位分隔 61" xfId="583"/>
    <cellStyle name="千位分隔 62" xfId="584"/>
    <cellStyle name="千位分隔 63" xfId="585"/>
    <cellStyle name="千位分隔 64" xfId="586"/>
    <cellStyle name="千位分隔 65" xfId="587"/>
    <cellStyle name="千位分隔 66" xfId="588"/>
    <cellStyle name="千位分隔 67" xfId="589"/>
    <cellStyle name="千位分隔 68" xfId="590"/>
    <cellStyle name="千位分隔 69" xfId="591"/>
    <cellStyle name="千位分隔 7" xfId="592"/>
    <cellStyle name="千位分隔 70" xfId="593"/>
    <cellStyle name="千位分隔 71" xfId="594"/>
    <cellStyle name="千位分隔 72" xfId="595"/>
    <cellStyle name="千位分隔 73" xfId="596"/>
    <cellStyle name="千位分隔 74" xfId="597"/>
    <cellStyle name="千位分隔 75" xfId="598"/>
    <cellStyle name="千位分隔 76" xfId="599"/>
    <cellStyle name="千位分隔 77" xfId="600"/>
    <cellStyle name="千位分隔 78" xfId="601"/>
    <cellStyle name="千位分隔 79" xfId="602"/>
    <cellStyle name="千位分隔 8" xfId="603"/>
    <cellStyle name="千位分隔 80" xfId="604"/>
    <cellStyle name="千位分隔 81" xfId="605"/>
    <cellStyle name="千位分隔 82" xfId="606"/>
    <cellStyle name="千位分隔 83" xfId="607"/>
    <cellStyle name="千位分隔 84" xfId="608"/>
    <cellStyle name="千位分隔 9" xfId="609"/>
    <cellStyle name="千位分隔[0] 10" xfId="610"/>
    <cellStyle name="千位分隔[0] 11" xfId="611"/>
    <cellStyle name="千位分隔[0] 12" xfId="612"/>
    <cellStyle name="千位分隔[0] 13" xfId="613"/>
    <cellStyle name="千位分隔[0] 2" xfId="614"/>
    <cellStyle name="千位分隔[0] 2 2" xfId="615"/>
    <cellStyle name="千位分隔[0] 2 3" xfId="616"/>
    <cellStyle name="千位分隔[0] 2 4 2 2 6 2 2 2" xfId="617"/>
    <cellStyle name="千位分隔[0] 3" xfId="618"/>
    <cellStyle name="千位分隔[0] 3 2" xfId="619"/>
    <cellStyle name="千位分隔[0] 3 3" xfId="620"/>
    <cellStyle name="千位分隔[0] 4" xfId="621"/>
    <cellStyle name="千位分隔[0] 5" xfId="622"/>
    <cellStyle name="千位分隔[0] 6" xfId="623"/>
    <cellStyle name="千位分隔[0] 7" xfId="624"/>
    <cellStyle name="千位分隔[0] 8" xfId="625"/>
    <cellStyle name="千位分隔[0] 9" xfId="626"/>
    <cellStyle name="千位分隔_HCRA990000-6S2007v11" xfId="627"/>
    <cellStyle name="钎霖_laroux" xfId="628"/>
    <cellStyle name="杔" xfId="629"/>
    <cellStyle name="杔_2011.7" xfId="630"/>
    <cellStyle name="完" xfId="631"/>
    <cellStyle name="完 2" xfId="632"/>
    <cellStyle name="完 3" xfId="633"/>
    <cellStyle name="样式 1" xfId="634"/>
    <cellStyle name="样式 1 2" xfId="635"/>
    <cellStyle name="样式 1 2 2" xfId="636"/>
    <cellStyle name="样式 1 25" xfId="637"/>
    <cellStyle name="样式 1 3" xfId="638"/>
    <cellStyle name="样式 1 4" xfId="639"/>
    <cellStyle name="样式 10" xfId="640"/>
    <cellStyle name="样式 10 2" xfId="641"/>
    <cellStyle name="样式 10 3" xfId="642"/>
    <cellStyle name="样式 11" xfId="643"/>
    <cellStyle name="样式 11 2" xfId="644"/>
    <cellStyle name="样式 12" xfId="645"/>
    <cellStyle name="样式 12 2" xfId="646"/>
    <cellStyle name="样式 12 3" xfId="647"/>
    <cellStyle name="样式 13" xfId="648"/>
    <cellStyle name="样式 13 2" xfId="649"/>
    <cellStyle name="样式 13 3" xfId="650"/>
    <cellStyle name="样式 14" xfId="651"/>
    <cellStyle name="样式 14 2" xfId="652"/>
    <cellStyle name="样式 14 3" xfId="653"/>
    <cellStyle name="样式 15" xfId="654"/>
    <cellStyle name="样式 15 2" xfId="655"/>
    <cellStyle name="样式 15 3" xfId="656"/>
    <cellStyle name="样式 16" xfId="657"/>
    <cellStyle name="样式 16 2" xfId="658"/>
    <cellStyle name="样式 16 3" xfId="659"/>
    <cellStyle name="样式 17" xfId="660"/>
    <cellStyle name="样式 17 2" xfId="661"/>
    <cellStyle name="样式 17 3" xfId="662"/>
    <cellStyle name="样式 18" xfId="663"/>
    <cellStyle name="样式 18 2" xfId="664"/>
    <cellStyle name="样式 18 3" xfId="665"/>
    <cellStyle name="样式 19" xfId="666"/>
    <cellStyle name="样式 2" xfId="667"/>
    <cellStyle name="样式 2 2" xfId="668"/>
    <cellStyle name="样式 2 3" xfId="669"/>
    <cellStyle name="样式 20" xfId="670"/>
    <cellStyle name="样式 20 2" xfId="671"/>
    <cellStyle name="样式 21" xfId="672"/>
    <cellStyle name="样式 22" xfId="673"/>
    <cellStyle name="样式 22 2" xfId="674"/>
    <cellStyle name="样式 23" xfId="675"/>
    <cellStyle name="样式 23 2" xfId="676"/>
    <cellStyle name="样式 23 3" xfId="677"/>
    <cellStyle name="样式 24" xfId="678"/>
    <cellStyle name="样式 25" xfId="679"/>
    <cellStyle name="样式 25 2" xfId="680"/>
    <cellStyle name="样式 25 3" xfId="681"/>
    <cellStyle name="样式 26" xfId="682"/>
    <cellStyle name="样式 27" xfId="683"/>
    <cellStyle name="样式 28" xfId="684"/>
    <cellStyle name="样式 29" xfId="685"/>
    <cellStyle name="样式 3" xfId="686"/>
    <cellStyle name="样式 3 2" xfId="687"/>
    <cellStyle name="样式 3 3" xfId="688"/>
    <cellStyle name="样式 30" xfId="689"/>
    <cellStyle name="样式 31" xfId="690"/>
    <cellStyle name="样式 32" xfId="691"/>
    <cellStyle name="样式 33" xfId="692"/>
    <cellStyle name="样式 34" xfId="693"/>
    <cellStyle name="样式 35" xfId="694"/>
    <cellStyle name="样式 36" xfId="695"/>
    <cellStyle name="样式 37" xfId="696"/>
    <cellStyle name="样式 38" xfId="697"/>
    <cellStyle name="样式 39" xfId="698"/>
    <cellStyle name="样式 4" xfId="699"/>
    <cellStyle name="样式 4 2" xfId="700"/>
    <cellStyle name="样式 4 3" xfId="701"/>
    <cellStyle name="样式 40" xfId="702"/>
    <cellStyle name="样式 41" xfId="703"/>
    <cellStyle name="样式 42" xfId="704"/>
    <cellStyle name="样式 43" xfId="705"/>
    <cellStyle name="样式 44" xfId="706"/>
    <cellStyle name="样式 45" xfId="707"/>
    <cellStyle name="样式 46" xfId="708"/>
    <cellStyle name="样式 47" xfId="709"/>
    <cellStyle name="样式 48" xfId="710"/>
    <cellStyle name="样式 49" xfId="711"/>
    <cellStyle name="样式 5" xfId="712"/>
    <cellStyle name="样式 5 2" xfId="713"/>
    <cellStyle name="样式 50" xfId="714"/>
    <cellStyle name="样式 51" xfId="715"/>
    <cellStyle name="样式 52" xfId="716"/>
    <cellStyle name="样式 53" xfId="717"/>
    <cellStyle name="样式 54" xfId="718"/>
    <cellStyle name="样式 55" xfId="719"/>
    <cellStyle name="样式 56" xfId="720"/>
    <cellStyle name="样式 57" xfId="721"/>
    <cellStyle name="样式 58" xfId="722"/>
    <cellStyle name="样式 59" xfId="723"/>
    <cellStyle name="样式 6" xfId="724"/>
    <cellStyle name="样式 6 2" xfId="725"/>
    <cellStyle name="样式 60" xfId="726"/>
    <cellStyle name="样式 61" xfId="727"/>
    <cellStyle name="样式 62" xfId="728"/>
    <cellStyle name="样式 63" xfId="729"/>
    <cellStyle name="样式 64" xfId="730"/>
    <cellStyle name="样式 65" xfId="731"/>
    <cellStyle name="样式 66" xfId="732"/>
    <cellStyle name="样式 67" xfId="733"/>
    <cellStyle name="样式 68" xfId="734"/>
    <cellStyle name="样式 69" xfId="735"/>
    <cellStyle name="样式 7" xfId="736"/>
    <cellStyle name="样式 7 2" xfId="737"/>
    <cellStyle name="样式 7 3" xfId="738"/>
    <cellStyle name="样式 70" xfId="739"/>
    <cellStyle name="样式 71" xfId="740"/>
    <cellStyle name="样式 8" xfId="741"/>
    <cellStyle name="样式 8 2" xfId="742"/>
    <cellStyle name="样式 9" xfId="743"/>
    <cellStyle name="样式 9 2" xfId="744"/>
    <cellStyle name="样式 9 3" xfId="745"/>
    <cellStyle name="样式 95" xfId="746"/>
    <cellStyle name="一般_CRE" xfId="747"/>
    <cellStyle name="注释 2" xfId="748"/>
    <cellStyle name="常规 10 4" xfId="749"/>
    <cellStyle name="常规 10 2" xfId="750"/>
    <cellStyle name="千位分隔 3 4 2 2 6 2 2 2 2" xfId="751"/>
    <cellStyle name="常规 2_2013年能源表 2" xfId="752"/>
    <cellStyle name="常规 106" xfId="753"/>
    <cellStyle name="千位分隔 2 2 4" xfId="754"/>
  </cellStyles>
  <tableStyles count="0" defaultTableStyle="TableStyleMedium9" defaultPivotStyle="PivotStyleLight16"/>
  <colors>
    <mruColors>
      <color rgb="00FF6699"/>
      <color rgb="00FF3399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x="16" noThreeD="1" page="10" val="0"/>
</file>

<file path=xl/ctrlProps/ctrlProp2.xml><?xml version="1.0" encoding="utf-8"?>
<formControlPr xmlns="http://schemas.microsoft.com/office/spreadsheetml/2009/9/main" objectType="Scroll" dx="16" fmlaLink="mth" horiz="1" max="12" min="1" page="10" val="8"/>
</file>

<file path=xl/ctrlProps/ctrlProp3.xml><?xml version="1.0" encoding="utf-8"?>
<formControlPr xmlns="http://schemas.microsoft.com/office/spreadsheetml/2009/9/main" objectType="Scroll" dx="16" fmlaLink="mth" horiz="1" max="12" min="1" page="10" val="8"/>
</file>

<file path=xl/ctrlProps/ctrlProp4.xml><?xml version="1.0" encoding="utf-8"?>
<formControlPr xmlns="http://schemas.microsoft.com/office/spreadsheetml/2009/9/main" objectType="Scroll" dx="16" fmlaLink="mth" horiz="1" max="12" min="1" page="10" val="8"/>
</file>

<file path=xl/ctrlProps/ctrlProp5.xml><?xml version="1.0" encoding="utf-8"?>
<formControlPr xmlns="http://schemas.microsoft.com/office/spreadsheetml/2009/9/main" objectType="Scroll" dx="16" fmlaLink="mth" horiz="1" max="12" min="1" page="10" val="8"/>
</file>

<file path=xl/ctrlProps/ctrlProp6.xml><?xml version="1.0" encoding="utf-8"?>
<formControlPr xmlns="http://schemas.microsoft.com/office/spreadsheetml/2009/9/main" objectType="Scroll" dx="16" fmlaLink="mth" horiz="1" max="12" min="1" page="10" val="8"/>
</file>

<file path=xl/ctrlProps/ctrlProp7.xml><?xml version="1.0" encoding="utf-8"?>
<formControlPr xmlns="http://schemas.microsoft.com/office/spreadsheetml/2009/9/main" objectType="Scroll" dx="16" fmlaLink="mth" horiz="1" max="12" min="1" page="10" val="8"/>
</file>

<file path=xl/ctrlProps/ctrlProp8.xml><?xml version="1.0" encoding="utf-8"?>
<formControlPr xmlns="http://schemas.microsoft.com/office/spreadsheetml/2009/9/main" objectType="Scroll" dx="16" fmlaLink="mth" horiz="1" max="12" min="1" page="10" val="8"/>
</file>

<file path=xl/ctrlProps/ctrlProp9.xml><?xml version="1.0" encoding="utf-8"?>
<formControlPr xmlns="http://schemas.microsoft.com/office/spreadsheetml/2009/9/main" objectType="Scroll" dx="16" fmlaLink="mth" horiz="1" max="12" min="1" page="10" val="8"/>
</file>

<file path=xl/ctrlProps/ctrlProp10.xml><?xml version="1.0" encoding="utf-8"?>
<formControlPr xmlns="http://schemas.microsoft.com/office/spreadsheetml/2009/9/main" objectType="Scroll" dx="16" fmlaLink="mth" horiz="1" max="12" min="1" page="10" val="8"/>
</file>

<file path=xl/ctrlProps/ctrlProp11.xml><?xml version="1.0" encoding="utf-8"?>
<formControlPr xmlns="http://schemas.microsoft.com/office/spreadsheetml/2009/9/main" objectType="Scroll" dx="16" fmlaLink="mth" horiz="1" max="12" min="1" page="10" val="8"/>
</file>

<file path=xl/ctrlProps/ctrlProp12.xml><?xml version="1.0" encoding="utf-8"?>
<formControlPr xmlns="http://schemas.microsoft.com/office/spreadsheetml/2009/9/main" objectType="Scroll" dx="16" fmlaLink="mth" horiz="1" max="12" min="1" page="10" val="8"/>
</file>

<file path=xl/ctrlProps/ctrlProp13.xml><?xml version="1.0" encoding="utf-8"?>
<formControlPr xmlns="http://schemas.microsoft.com/office/spreadsheetml/2009/9/main" objectType="Scroll" dx="16" fmlaLink="mth" horiz="1" max="12" min="1" page="10" val="8"/>
</file>

<file path=xl/ctrlProps/ctrlProp14.xml><?xml version="1.0" encoding="utf-8"?>
<formControlPr xmlns="http://schemas.microsoft.com/office/spreadsheetml/2009/9/main" objectType="Scroll" dx="16" fmlaLink="mth" horiz="1" max="12" min="1" page="10" val="8"/>
</file>

<file path=xl/ctrlProps/ctrlProp15.xml><?xml version="1.0" encoding="utf-8"?>
<formControlPr xmlns="http://schemas.microsoft.com/office/spreadsheetml/2009/9/main" objectType="Scroll" dx="16" fmlaLink="mth" horiz="1" max="12" min="1" page="10" val="8"/>
</file>

<file path=xl/ctrlProps/ctrlProp16.xml><?xml version="1.0" encoding="utf-8"?>
<formControlPr xmlns="http://schemas.microsoft.com/office/spreadsheetml/2009/9/main" objectType="Scroll" dx="16" fmlaLink="mth" horiz="1" max="12" min="1" page="10" val="8"/>
</file>

<file path=xl/ctrlProps/ctrlProp17.xml><?xml version="1.0" encoding="utf-8"?>
<formControlPr xmlns="http://schemas.microsoft.com/office/spreadsheetml/2009/9/main" objectType="Scroll" dx="16" fmlaLink="mth" horiz="1" max="12" min="1" page="10" val="8"/>
</file>

<file path=xl/ctrlProps/ctrlProp18.xml><?xml version="1.0" encoding="utf-8"?>
<formControlPr xmlns="http://schemas.microsoft.com/office/spreadsheetml/2009/9/main" objectType="Scroll" dx="16" fmlaLink="mth" horiz="1" max="12" min="1" page="10" val="8"/>
</file>

<file path=xl/ctrlProps/ctrlProp19.xml><?xml version="1.0" encoding="utf-8"?>
<formControlPr xmlns="http://schemas.microsoft.com/office/spreadsheetml/2009/9/main" objectType="Scroll" dx="16" fmlaLink="mth" horiz="1" max="12" min="1" page="10" val="8"/>
</file>

<file path=xl/ctrlProps/ctrlProp20.xml><?xml version="1.0" encoding="utf-8"?>
<formControlPr xmlns="http://schemas.microsoft.com/office/spreadsheetml/2009/9/main" objectType="Scroll" dx="16" fmlaLink="mth" horiz="1" max="12" min="1" page="10" val="8"/>
</file>

<file path=xl/ctrlProps/ctrlProp21.xml><?xml version="1.0" encoding="utf-8"?>
<formControlPr xmlns="http://schemas.microsoft.com/office/spreadsheetml/2009/9/main" objectType="Scroll" dx="16" fmlaLink="mth" horiz="1" max="12" min="1" page="10" val="8"/>
</file>

<file path=xl/ctrlProps/ctrlProp22.xml><?xml version="1.0" encoding="utf-8"?>
<formControlPr xmlns="http://schemas.microsoft.com/office/spreadsheetml/2009/9/main" objectType="Scroll" dx="16" fmlaLink="mth" horiz="1" max="12" min="1" page="10" val="8"/>
</file>

<file path=xl/ctrlProps/ctrlProp23.xml><?xml version="1.0" encoding="utf-8"?>
<formControlPr xmlns="http://schemas.microsoft.com/office/spreadsheetml/2009/9/main" objectType="Scroll" dx="16" fmlaLink="mth" horiz="1" max="12" min="1" page="10" val="8"/>
</file>

<file path=xl/ctrlProps/ctrlProp24.xml><?xml version="1.0" encoding="utf-8"?>
<formControlPr xmlns="http://schemas.microsoft.com/office/spreadsheetml/2009/9/main" objectType="Scroll" dx="16" fmlaLink="mth" horiz="1" max="12" min="1" page="10" val="8"/>
</file>

<file path=xl/ctrlProps/ctrlProp25.xml><?xml version="1.0" encoding="utf-8"?>
<formControlPr xmlns="http://schemas.microsoft.com/office/spreadsheetml/2009/9/main" objectType="Scroll" dx="16" fmlaLink="mth" horiz="1" max="12" min="1" page="10" val="8"/>
</file>

<file path=xl/ctrlProps/ctrlProp26.xml><?xml version="1.0" encoding="utf-8"?>
<formControlPr xmlns="http://schemas.microsoft.com/office/spreadsheetml/2009/9/main" objectType="Scroll" dx="16" fmlaLink="mth" horiz="1" max="12" min="1" page="10" val="8"/>
</file>

<file path=xl/ctrlProps/ctrlProp27.xml><?xml version="1.0" encoding="utf-8"?>
<formControlPr xmlns="http://schemas.microsoft.com/office/spreadsheetml/2009/9/main" objectType="Scroll" dx="16" fmlaLink="mth" horiz="1" max="12" min="1" page="10" val="8"/>
</file>

<file path=xl/ctrlProps/ctrlProp28.xml><?xml version="1.0" encoding="utf-8"?>
<formControlPr xmlns="http://schemas.microsoft.com/office/spreadsheetml/2009/9/main" objectType="Scroll" dx="16" fmlaLink="mth" horiz="1" max="12" min="1" page="10" val="8"/>
</file>

<file path=xl/ctrlProps/ctrlProp29.xml><?xml version="1.0" encoding="utf-8"?>
<formControlPr xmlns="http://schemas.microsoft.com/office/spreadsheetml/2009/9/main" objectType="Scroll" dx="16" fmlaLink="mth" horiz="1" max="12" min="1" page="10" val="8"/>
</file>

<file path=xl/ctrlProps/ctrlProp30.xml><?xml version="1.0" encoding="utf-8"?>
<formControlPr xmlns="http://schemas.microsoft.com/office/spreadsheetml/2009/9/main" objectType="Scroll" dx="16" fmlaLink="mth" horiz="1" max="12" min="1" page="10" val="8"/>
</file>

<file path=xl/ctrlProps/ctrlProp31.xml><?xml version="1.0" encoding="utf-8"?>
<formControlPr xmlns="http://schemas.microsoft.com/office/spreadsheetml/2009/9/main" objectType="Scroll" dx="16" fmlaLink="mth" horiz="1" max="12" min="1" page="10" val="8"/>
</file>

<file path=xl/ctrlProps/ctrlProp32.xml><?xml version="1.0" encoding="utf-8"?>
<formControlPr xmlns="http://schemas.microsoft.com/office/spreadsheetml/2009/9/main" objectType="Scroll" dx="16" fmlaLink="mth" horiz="1" max="12" min="1" page="10" val="8"/>
</file>

<file path=xl/ctrlProps/ctrlProp33.xml><?xml version="1.0" encoding="utf-8"?>
<formControlPr xmlns="http://schemas.microsoft.com/office/spreadsheetml/2009/9/main" objectType="Scroll" dx="16" fmlaLink="mth" horiz="1" max="12" min="1" page="10" val="8"/>
</file>

<file path=xl/ctrlProps/ctrlProp34.xml><?xml version="1.0" encoding="utf-8"?>
<formControlPr xmlns="http://schemas.microsoft.com/office/spreadsheetml/2009/9/main" objectType="Scroll" dx="16" fmlaLink="mth" horiz="1" max="12" min="1" page="10" val="8"/>
</file>

<file path=xl/ctrlProps/ctrlProp35.xml><?xml version="1.0" encoding="utf-8"?>
<formControlPr xmlns="http://schemas.microsoft.com/office/spreadsheetml/2009/9/main" objectType="Scroll" dx="16" fmlaLink="mth" horiz="1" max="12" min="1" page="10" val="8"/>
</file>

<file path=xl/ctrlProps/ctrlProp36.xml><?xml version="1.0" encoding="utf-8"?>
<formControlPr xmlns="http://schemas.microsoft.com/office/spreadsheetml/2009/9/main" objectType="Scroll" dx="16" fmlaLink="mth" horiz="1" max="12" min="1" page="10" val="8"/>
</file>

<file path=xl/ctrlProps/ctrlProp37.xml><?xml version="1.0" encoding="utf-8"?>
<formControlPr xmlns="http://schemas.microsoft.com/office/spreadsheetml/2009/9/main" objectType="Scroll" dx="16" fmlaLink="mth" horiz="1" max="12" min="1" page="10" val="8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0</xdr:rowOff>
        </xdr:from>
        <xdr:to>
          <xdr:col>0</xdr:col>
          <xdr:colOff>19050</xdr:colOff>
          <xdr:row>1</xdr:row>
          <xdr:rowOff>9525</xdr:rowOff>
        </xdr:to>
        <xdr:sp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9525" y="190500"/>
              <a:ext cx="952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9525</xdr:rowOff>
        </xdr:from>
        <xdr:to>
          <xdr:col>0</xdr:col>
          <xdr:colOff>904875</xdr:colOff>
          <xdr:row>0</xdr:row>
          <xdr:rowOff>180975</xdr:rowOff>
        </xdr:to>
        <xdr:sp>
          <xdr:nvSpPr>
            <xdr:cNvPr id="2064" name="Scroll Bar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19050" y="9525"/>
              <a:ext cx="8858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72033" name="Scroll Bar 1" hidden="1">
              <a:extLst>
                <a:ext uri="{63B3BB69-23CF-44E3-9099-C40C66FF867C}">
                  <a14:compatExt spid="_x0000_s172033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71009" name="Scroll Bar 1" hidden="1">
              <a:extLst>
                <a:ext uri="{63B3BB69-23CF-44E3-9099-C40C66FF867C}">
                  <a14:compatExt spid="_x0000_s171009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39265" name="Scroll Bar 1" hidden="1">
              <a:extLst>
                <a:ext uri="{63B3BB69-23CF-44E3-9099-C40C66FF867C}">
                  <a14:compatExt spid="_x0000_s139265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5889" name="Scroll Bar 1" hidden="1">
              <a:extLst>
                <a:ext uri="{63B3BB69-23CF-44E3-9099-C40C66FF867C}">
                  <a14:compatExt spid="_x0000_s165889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93537" name="Scroll Bar 1" hidden="1">
              <a:extLst>
                <a:ext uri="{63B3BB69-23CF-44E3-9099-C40C66FF867C}">
                  <a14:compatExt spid="_x0000_s19353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9985" name="Scroll Bar 1" hidden="1">
              <a:extLst>
                <a:ext uri="{63B3BB69-23CF-44E3-9099-C40C66FF867C}">
                  <a14:compatExt spid="_x0000_s169985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87746" name="Scroll Bar 2" hidden="1">
              <a:extLst>
                <a:ext uri="{63B3BB69-23CF-44E3-9099-C40C66FF867C}">
                  <a14:compatExt spid="_x0000_s287746"/>
                </a:ext>
              </a:extLst>
            </xdr:cNvPr>
            <xdr:cNvSpPr/>
          </xdr:nvSpPr>
          <xdr:spPr>
            <a:xfrm>
              <a:off x="0" y="333375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87747" name="Scroll Bar 3" hidden="1">
              <a:extLst>
                <a:ext uri="{63B3BB69-23CF-44E3-9099-C40C66FF867C}">
                  <a14:compatExt spid="_x0000_s287747"/>
                </a:ext>
              </a:extLst>
            </xdr:cNvPr>
            <xdr:cNvSpPr/>
          </xdr:nvSpPr>
          <xdr:spPr>
            <a:xfrm>
              <a:off x="0" y="333375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94561" name="Scroll Bar 1" hidden="1">
              <a:extLst>
                <a:ext uri="{63B3BB69-23CF-44E3-9099-C40C66FF867C}">
                  <a14:compatExt spid="_x0000_s19456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8961" name="Scroll Bar 1" hidden="1">
              <a:extLst>
                <a:ext uri="{63B3BB69-23CF-44E3-9099-C40C66FF867C}">
                  <a14:compatExt spid="_x0000_s16896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20161" name="Scroll Bar 1" hidden="1">
              <a:extLst>
                <a:ext uri="{63B3BB69-23CF-44E3-9099-C40C66FF867C}">
                  <a14:compatExt spid="_x0000_s22016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73409" name="Scroll Bar 1" hidden="1">
              <a:extLst>
                <a:ext uri="{63B3BB69-23CF-44E3-9099-C40C66FF867C}">
                  <a14:compatExt spid="_x0000_s273409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6913" name="Scroll Bar 1" hidden="1">
              <a:extLst>
                <a:ext uri="{63B3BB69-23CF-44E3-9099-C40C66FF867C}">
                  <a14:compatExt spid="_x0000_s166913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4865" name="Scroll Bar 1" hidden="1">
              <a:extLst>
                <a:ext uri="{63B3BB69-23CF-44E3-9099-C40C66FF867C}">
                  <a14:compatExt spid="_x0000_s164865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38241" name="Scroll Bar 1" hidden="1">
              <a:extLst>
                <a:ext uri="{63B3BB69-23CF-44E3-9099-C40C66FF867C}">
                  <a14:compatExt spid="_x0000_s13824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85697" name="Scroll Bar 1" hidden="1">
              <a:extLst>
                <a:ext uri="{63B3BB69-23CF-44E3-9099-C40C66FF867C}">
                  <a14:compatExt spid="_x0000_s28569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85698" name="Scroll Bar 2" hidden="1">
              <a:extLst>
                <a:ext uri="{63B3BB69-23CF-44E3-9099-C40C66FF867C}">
                  <a14:compatExt spid="_x0000_s285698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49857" name="Scroll Bar 1" hidden="1">
              <a:extLst>
                <a:ext uri="{63B3BB69-23CF-44E3-9099-C40C66FF867C}">
                  <a14:compatExt spid="_x0000_s24985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29377" name="Scroll Bar 1" hidden="1">
              <a:extLst>
                <a:ext uri="{63B3BB69-23CF-44E3-9099-C40C66FF867C}">
                  <a14:compatExt spid="_x0000_s22937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30401" name="Scroll Bar 1" hidden="1">
              <a:extLst>
                <a:ext uri="{63B3BB69-23CF-44E3-9099-C40C66FF867C}">
                  <a14:compatExt spid="_x0000_s23040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41665" name="Scroll Bar 1" hidden="1">
              <a:extLst>
                <a:ext uri="{63B3BB69-23CF-44E3-9099-C40C66FF867C}">
                  <a14:compatExt spid="_x0000_s241665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74433" name="Scroll Bar 1" hidden="1">
              <a:extLst>
                <a:ext uri="{63B3BB69-23CF-44E3-9099-C40C66FF867C}">
                  <a14:compatExt spid="_x0000_s274433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75457" name="Scroll Bar 1" hidden="1">
              <a:extLst>
                <a:ext uri="{63B3BB69-23CF-44E3-9099-C40C66FF867C}">
                  <a14:compatExt spid="_x0000_s27545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38593" name="Scroll Bar 1" hidden="1">
              <a:extLst>
                <a:ext uri="{63B3BB69-23CF-44E3-9099-C40C66FF867C}">
                  <a14:compatExt spid="_x0000_s238593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39617" name="Scroll Bar 1" hidden="1">
              <a:extLst>
                <a:ext uri="{63B3BB69-23CF-44E3-9099-C40C66FF867C}">
                  <a14:compatExt spid="_x0000_s239617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40641" name="Scroll Bar 1" hidden="1">
              <a:extLst>
                <a:ext uri="{63B3BB69-23CF-44E3-9099-C40C66FF867C}">
                  <a14:compatExt spid="_x0000_s24064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301057" name="Scroll Bar 1" hidden="1">
              <a:extLst>
                <a:ext uri="{63B3BB69-23CF-44E3-9099-C40C66FF867C}">
                  <a14:compatExt spid="_x0000_s301057"/>
                </a:ext>
              </a:extLst>
            </xdr:cNvPr>
            <xdr:cNvSpPr/>
          </xdr:nvSpPr>
          <xdr:spPr>
            <a:xfrm>
              <a:off x="0" y="333375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48833" name="Scroll Bar 1" hidden="1">
              <a:extLst>
                <a:ext uri="{63B3BB69-23CF-44E3-9099-C40C66FF867C}">
                  <a14:compatExt spid="_x0000_s248833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50881" name="Scroll Bar 1" hidden="1">
              <a:extLst>
                <a:ext uri="{63B3BB69-23CF-44E3-9099-C40C66FF867C}">
                  <a14:compatExt spid="_x0000_s250881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167937" name="Scroll Bar 1" hidden="1">
              <a:extLst>
                <a:ext uri="{63B3BB69-23CF-44E3-9099-C40C66FF867C}">
                  <a14:compatExt spid="_x0000_s167937"/>
                </a:ext>
              </a:extLst>
            </xdr:cNvPr>
            <xdr:cNvSpPr/>
          </xdr:nvSpPr>
          <xdr:spPr>
            <a:xfrm>
              <a:off x="0" y="276225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9525</xdr:rowOff>
        </xdr:from>
        <xdr:to>
          <xdr:col>0</xdr:col>
          <xdr:colOff>904875</xdr:colOff>
          <xdr:row>1</xdr:row>
          <xdr:rowOff>171450</xdr:rowOff>
        </xdr:to>
        <xdr:sp>
          <xdr:nvSpPr>
            <xdr:cNvPr id="221185" name="Scroll Bar 1" hidden="1">
              <a:extLst>
                <a:ext uri="{63B3BB69-23CF-44E3-9099-C40C66FF867C}">
                  <a14:compatExt spid="_x0000_s221185"/>
                </a:ext>
              </a:extLst>
            </xdr:cNvPr>
            <xdr:cNvSpPr/>
          </xdr:nvSpPr>
          <xdr:spPr>
            <a:xfrm>
              <a:off x="0" y="552450"/>
              <a:ext cx="904875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9525</xdr:rowOff>
        </xdr:from>
        <xdr:to>
          <xdr:col>0</xdr:col>
          <xdr:colOff>1047750</xdr:colOff>
          <xdr:row>1</xdr:row>
          <xdr:rowOff>180975</xdr:rowOff>
        </xdr:to>
        <xdr:sp>
          <xdr:nvSpPr>
            <xdr:cNvPr id="163841" name="Scroll Bar 1" hidden="1">
              <a:extLst>
                <a:ext uri="{63B3BB69-23CF-44E3-9099-C40C66FF867C}">
                  <a14:compatExt spid="_x0000_s163841"/>
                </a:ext>
              </a:extLst>
            </xdr:cNvPr>
            <xdr:cNvSpPr/>
          </xdr:nvSpPr>
          <xdr:spPr>
            <a:xfrm>
              <a:off x="38100" y="200025"/>
              <a:ext cx="100965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0</xdr:rowOff>
        </xdr:from>
        <xdr:to>
          <xdr:col>0</xdr:col>
          <xdr:colOff>1133475</xdr:colOff>
          <xdr:row>1</xdr:row>
          <xdr:rowOff>161925</xdr:rowOff>
        </xdr:to>
        <xdr:sp>
          <xdr:nvSpPr>
            <xdr:cNvPr id="87041" name="Scroll Bar 1" hidden="1">
              <a:extLst>
                <a:ext uri="{63B3BB69-23CF-44E3-9099-C40C66FF867C}">
                  <a14:compatExt spid="_x0000_s87041"/>
                </a:ext>
              </a:extLst>
            </xdr:cNvPr>
            <xdr:cNvSpPr/>
          </xdr:nvSpPr>
          <xdr:spPr>
            <a:xfrm>
              <a:off x="9525" y="266700"/>
              <a:ext cx="1123950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9525</xdr:rowOff>
        </xdr:from>
        <xdr:to>
          <xdr:col>0</xdr:col>
          <xdr:colOff>990600</xdr:colOff>
          <xdr:row>1</xdr:row>
          <xdr:rowOff>171450</xdr:rowOff>
        </xdr:to>
        <xdr:sp>
          <xdr:nvSpPr>
            <xdr:cNvPr id="19457" name="Scroll Bar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38100" y="276225"/>
              <a:ext cx="952500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9525</xdr:rowOff>
        </xdr:from>
        <xdr:to>
          <xdr:col>0</xdr:col>
          <xdr:colOff>990600</xdr:colOff>
          <xdr:row>1</xdr:row>
          <xdr:rowOff>171450</xdr:rowOff>
        </xdr:to>
        <xdr:sp>
          <xdr:nvSpPr>
            <xdr:cNvPr id="19469" name="Scroll Bar 13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38100" y="276225"/>
              <a:ext cx="952500" cy="1619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10.xml"/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6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19.xml"/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5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9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3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35.xml"/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comments" Target="../comments1.xml"/></Relationships>
</file>

<file path=xl/worksheets/_rels/sheet34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7.xml"/><Relationship Id="rId4" Type="http://schemas.openxmlformats.org/officeDocument/2006/relationships/ctrlProp" Target="../ctrlProps/ctrlProp36.xml"/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3"/>
  <sheetViews>
    <sheetView topLeftCell="A4" workbookViewId="0">
      <selection activeCell="B5" sqref="B5"/>
    </sheetView>
  </sheetViews>
  <sheetFormatPr defaultColWidth="9" defaultRowHeight="15" customHeight="1" outlineLevelCol="3"/>
  <cols>
    <col min="1" max="1" width="13.25" style="83" customWidth="1"/>
    <col min="2" max="2" width="31.625" style="83" customWidth="1"/>
    <col min="3" max="3" width="19.125" style="83" customWidth="1"/>
    <col min="4" max="4" width="25.625" style="83" customWidth="1"/>
    <col min="5" max="16384" width="9" style="83"/>
  </cols>
  <sheetData>
    <row r="1" customHeight="1" spans="1:4">
      <c r="C1" s="710">
        <v>8</v>
      </c>
    </row>
    <row r="2" s="458" customFormat="1" ht="30.75" customHeight="1" spans="1:4">
      <c r="A2" s="711" t="str">
        <f>CONCATENATE("综合成本表(2025年"&amp;mth&amp;"月)")</f>
        <v>综合成本表(2025年8月)</v>
      </c>
      <c r="B2" s="711"/>
      <c r="C2" s="711"/>
      <c r="D2" s="712"/>
    </row>
    <row r="3" s="83" customFormat="1" ht="30" customHeight="1" spans="1:4">
      <c r="A3" s="713" t="s">
        <v>0</v>
      </c>
      <c r="B3" s="713"/>
      <c r="C3" s="713"/>
      <c r="D3" s="714"/>
    </row>
    <row r="4" ht="20.1" customHeight="1" spans="1:4">
      <c r="A4" s="715" t="s">
        <v>1</v>
      </c>
      <c r="B4" s="716" t="s">
        <v>2</v>
      </c>
      <c r="C4" s="717" t="s">
        <v>3</v>
      </c>
    </row>
    <row r="5" ht="20.1" customHeight="1" spans="1:4">
      <c r="A5" s="718">
        <v>1</v>
      </c>
      <c r="B5" s="719" t="s">
        <v>4</v>
      </c>
      <c r="C5" s="720"/>
    </row>
    <row r="6" ht="20.1" customHeight="1" spans="1:4">
      <c r="A6" s="718">
        <v>2</v>
      </c>
      <c r="B6" s="721" t="s">
        <v>5</v>
      </c>
      <c r="C6" s="720"/>
    </row>
    <row r="7" ht="20.1" customHeight="1" spans="1:4">
      <c r="A7" s="718">
        <v>3</v>
      </c>
      <c r="B7" s="721" t="s">
        <v>6</v>
      </c>
      <c r="C7" s="720"/>
    </row>
    <row r="8" ht="20.1" customHeight="1" spans="1:4">
      <c r="A8" s="718">
        <v>4</v>
      </c>
      <c r="B8" s="721" t="s">
        <v>7</v>
      </c>
      <c r="C8" s="720"/>
    </row>
    <row r="9" ht="20.1" customHeight="1" spans="1:4">
      <c r="A9" s="718">
        <v>5</v>
      </c>
      <c r="B9" s="721" t="s">
        <v>8</v>
      </c>
      <c r="C9" s="720"/>
    </row>
    <row r="10" ht="20.1" customHeight="1" spans="1:4">
      <c r="A10" s="718">
        <v>6</v>
      </c>
      <c r="B10" s="721" t="s">
        <v>9</v>
      </c>
      <c r="C10" s="720"/>
    </row>
    <row r="11" ht="20.1" customHeight="1" spans="1:4">
      <c r="A11" s="718">
        <v>7</v>
      </c>
      <c r="B11" s="721" t="s">
        <v>10</v>
      </c>
      <c r="C11" s="720"/>
    </row>
    <row r="12" ht="20.1" customHeight="1" spans="1:4">
      <c r="A12" s="718">
        <v>8</v>
      </c>
      <c r="B12" s="721" t="s">
        <v>11</v>
      </c>
      <c r="C12" s="720"/>
    </row>
    <row r="13" ht="20.1" customHeight="1" spans="1:4">
      <c r="A13" s="718">
        <v>9</v>
      </c>
      <c r="B13" s="721" t="s">
        <v>12</v>
      </c>
      <c r="C13" s="720"/>
    </row>
    <row r="14" ht="20.1" customHeight="1" spans="1:4">
      <c r="A14" s="718">
        <v>10</v>
      </c>
      <c r="B14" s="721" t="s">
        <v>13</v>
      </c>
      <c r="C14" s="720"/>
    </row>
    <row r="15" ht="20.1" customHeight="1" spans="1:4">
      <c r="A15" s="718">
        <v>11</v>
      </c>
      <c r="B15" s="721" t="s">
        <v>14</v>
      </c>
      <c r="C15" s="722"/>
    </row>
    <row r="16" ht="20.1" customHeight="1" spans="1:4">
      <c r="A16" s="718">
        <v>12</v>
      </c>
      <c r="B16" s="721" t="s">
        <v>15</v>
      </c>
      <c r="C16" s="722"/>
    </row>
    <row r="17" ht="20.1" customHeight="1" spans="1:3">
      <c r="A17" s="723">
        <v>13</v>
      </c>
      <c r="B17" s="724" t="s">
        <v>16</v>
      </c>
      <c r="C17" s="725"/>
    </row>
    <row r="23" customHeight="1" spans="1:3">
      <c r="C23" s="83" t="s">
        <v>17</v>
      </c>
    </row>
  </sheetData>
  <mergeCells count="2">
    <mergeCell ref="A2:C2"/>
    <mergeCell ref="A3:C3"/>
  </mergeCells>
  <hyperlinks>
    <hyperlink ref="B15" location="分配表!A1" display="成本分配表"/>
    <hyperlink ref="B16" location="基础表!A1" display="基础表"/>
    <hyperlink ref="B17" location="销售收入及运费!A1" display="销售收入与运费表"/>
    <hyperlink ref="B5" location="说明!A1" display="编制说明"/>
    <hyperlink ref="B6" location="与账面对比!A1" display="与账面对比"/>
    <hyperlink ref="B7" location="分销!A1" display="分销"/>
    <hyperlink ref="B8" location="'装置汇总-含税'!A1" display="所有装置汇总-含税"/>
    <hyperlink ref="B9" location="'果糖汇总-含税'!A1" display="果糖装置汇总-含税"/>
    <hyperlink ref="B10" location="'专用糖-含税'!A1" display="麦芽糖浆-含税"/>
    <hyperlink ref="B13" location="'F42-含税'!A1" display="F42-含税"/>
    <hyperlink ref="B12" location="'F55OEM-含税'!A1" display="F55OEM-含税"/>
    <hyperlink ref="B11" location="'F55-含税'!A1" display="F55-含税"/>
    <hyperlink ref="B14" location="'F60-含税'!A1" display="F60-含税"/>
  </hyperlinks>
  <pageMargins left="1.17" right="0.75" top="0.51" bottom="0.54" header="0.5" footer="0.5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name="Drop Down 2" r:id="rId3">
              <controlPr defaultSize="0">
                <anchor moveWithCells="1">
                  <from>
                    <xdr:col>0</xdr:col>
                    <xdr:colOff>9525</xdr:colOff>
                    <xdr:row>1</xdr:row>
                    <xdr:rowOff>0</xdr:rowOff>
                  </from>
                  <to>
                    <xdr:col>0</xdr:col>
                    <xdr:colOff>19050</xdr:colOff>
                    <xdr:row>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name="Scroll Bar 16" r:id="rId4">
              <controlPr defaultSize="0">
                <anchor moveWithCells="1">
                  <from>
                    <xdr:col>0</xdr:col>
                    <xdr:colOff>19050</xdr:colOff>
                    <xdr:row>0</xdr:row>
                    <xdr:rowOff>9525</xdr:rowOff>
                  </from>
                  <to>
                    <xdr:col>0</xdr:col>
                    <xdr:colOff>904875</xdr:colOff>
                    <xdr:row>0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D51"/>
  <sheetViews>
    <sheetView showGridLines="0" workbookViewId="0">
      <pane xSplit="2" ySplit="3" topLeftCell="C14" activePane="bottomRight" state="frozen"/>
      <selection/>
      <selection pane="topRight"/>
      <selection pane="bottomLeft"/>
      <selection pane="bottomRight" activeCell="D17" sqref="D17"/>
    </sheetView>
  </sheetViews>
  <sheetFormatPr defaultColWidth="9" defaultRowHeight="15.75" outlineLevelCol="3"/>
  <cols>
    <col min="1" max="1" width="2.875" style="698" customWidth="1"/>
    <col min="2" max="2" width="11.25" style="698" customWidth="1"/>
    <col min="3" max="3" width="24.625" style="698" customWidth="1"/>
    <col min="4" max="4" width="77" style="698" customWidth="1"/>
    <col min="5" max="16384" width="9" style="698"/>
  </cols>
  <sheetData>
    <row r="2" spans="2:4">
      <c r="B2" s="699" t="s">
        <v>18</v>
      </c>
    </row>
    <row r="3" spans="2:4">
      <c r="B3" s="700" t="s">
        <v>19</v>
      </c>
      <c r="C3" s="700" t="s">
        <v>20</v>
      </c>
      <c r="D3" s="700" t="s">
        <v>21</v>
      </c>
    </row>
    <row r="4" spans="2:4">
      <c r="B4" s="701" t="s">
        <v>22</v>
      </c>
      <c r="C4" s="702" t="s">
        <v>23</v>
      </c>
      <c r="D4" s="702" t="s">
        <v>24</v>
      </c>
    </row>
    <row r="5" ht="31.5" spans="2:4">
      <c r="B5" s="703"/>
      <c r="C5" s="702" t="s">
        <v>25</v>
      </c>
      <c r="D5" s="702" t="s">
        <v>26</v>
      </c>
    </row>
    <row r="6" ht="31.5" spans="2:4">
      <c r="B6" s="703"/>
      <c r="C6" s="702" t="s">
        <v>27</v>
      </c>
      <c r="D6" s="702" t="s">
        <v>28</v>
      </c>
    </row>
    <row r="7" spans="2:4">
      <c r="B7" s="703"/>
      <c r="C7" s="702"/>
      <c r="D7" s="702" t="s">
        <v>29</v>
      </c>
    </row>
    <row r="8" spans="2:4">
      <c r="B8" s="703"/>
      <c r="C8" s="702" t="s">
        <v>30</v>
      </c>
      <c r="D8" s="704"/>
    </row>
    <row r="9" spans="2:4">
      <c r="B9" s="703"/>
      <c r="C9" s="705" t="s">
        <v>31</v>
      </c>
      <c r="D9" s="704"/>
    </row>
    <row r="10" spans="2:4">
      <c r="B10" s="703"/>
      <c r="C10" s="706" t="s">
        <v>32</v>
      </c>
      <c r="D10" s="704"/>
    </row>
    <row r="11" spans="2:4">
      <c r="B11" s="703"/>
      <c r="C11" s="705" t="s">
        <v>33</v>
      </c>
      <c r="D11" s="704"/>
    </row>
    <row r="12" spans="2:4">
      <c r="B12" s="703"/>
      <c r="C12" s="705" t="s">
        <v>34</v>
      </c>
      <c r="D12" s="704"/>
    </row>
    <row r="13" spans="2:4">
      <c r="B13" s="703"/>
      <c r="C13" s="705" t="s">
        <v>35</v>
      </c>
      <c r="D13" s="704"/>
    </row>
    <row r="14" spans="2:4">
      <c r="B14" s="703"/>
      <c r="C14" s="702" t="s">
        <v>36</v>
      </c>
      <c r="D14" s="704"/>
    </row>
    <row r="15" spans="2:4">
      <c r="B15" s="703"/>
      <c r="C15" s="705" t="s">
        <v>37</v>
      </c>
      <c r="D15" s="702" t="s">
        <v>38</v>
      </c>
    </row>
    <row r="16" spans="2:4">
      <c r="B16" s="703"/>
      <c r="C16" s="705" t="s">
        <v>39</v>
      </c>
      <c r="D16" s="702" t="s">
        <v>40</v>
      </c>
    </row>
    <row r="17" ht="31.5" spans="2:4">
      <c r="B17" s="703"/>
      <c r="C17" s="705" t="s">
        <v>41</v>
      </c>
      <c r="D17" s="702" t="s">
        <v>42</v>
      </c>
    </row>
    <row r="18" spans="2:4">
      <c r="B18" s="703"/>
      <c r="C18" s="705" t="s">
        <v>43</v>
      </c>
      <c r="D18" s="702" t="s">
        <v>44</v>
      </c>
    </row>
    <row r="19" spans="2:4">
      <c r="B19" s="703"/>
      <c r="C19" s="705" t="s">
        <v>45</v>
      </c>
      <c r="D19" s="702" t="s">
        <v>46</v>
      </c>
    </row>
    <row r="20" spans="2:4">
      <c r="B20" s="703"/>
      <c r="C20" s="705" t="s">
        <v>47</v>
      </c>
      <c r="D20" s="702" t="s">
        <v>48</v>
      </c>
    </row>
    <row r="21" spans="2:4">
      <c r="B21" s="707"/>
      <c r="C21" s="705" t="s">
        <v>49</v>
      </c>
      <c r="D21" s="702" t="s">
        <v>50</v>
      </c>
    </row>
    <row r="22" ht="42" customHeight="1" spans="2:4">
      <c r="B22" s="701" t="s">
        <v>51</v>
      </c>
      <c r="C22" s="702" t="s">
        <v>52</v>
      </c>
      <c r="D22" s="702" t="s">
        <v>53</v>
      </c>
    </row>
    <row r="23" ht="30.75" customHeight="1" spans="2:4">
      <c r="B23" s="703"/>
      <c r="C23" s="702"/>
      <c r="D23" s="702" t="s">
        <v>54</v>
      </c>
    </row>
    <row r="24" ht="30.75" customHeight="1" spans="2:4">
      <c r="B24" s="703"/>
      <c r="C24" s="702" t="s">
        <v>55</v>
      </c>
      <c r="D24" s="702" t="s">
        <v>56</v>
      </c>
    </row>
    <row r="25" ht="21" customHeight="1" spans="2:4">
      <c r="B25" s="703"/>
      <c r="C25" s="702"/>
      <c r="D25" s="702" t="s">
        <v>57</v>
      </c>
    </row>
    <row r="26" ht="21" customHeight="1" spans="2:4">
      <c r="B26" s="707"/>
      <c r="C26" s="702"/>
      <c r="D26" s="708" t="s">
        <v>58</v>
      </c>
    </row>
    <row r="27" ht="34.5" customHeight="1" spans="2:4">
      <c r="B27" s="703" t="s">
        <v>59</v>
      </c>
      <c r="C27" s="702" t="s">
        <v>60</v>
      </c>
      <c r="D27" s="702" t="s">
        <v>61</v>
      </c>
    </row>
    <row r="28" ht="28.5" customHeight="1" spans="2:4">
      <c r="B28" s="703"/>
      <c r="C28" s="704"/>
      <c r="D28" s="702" t="s">
        <v>62</v>
      </c>
    </row>
    <row r="29" ht="18.75" customHeight="1" spans="2:4">
      <c r="B29" s="703"/>
      <c r="C29" s="704"/>
      <c r="D29" s="702" t="s">
        <v>63</v>
      </c>
    </row>
    <row r="30" ht="18.75" customHeight="1" spans="2:4">
      <c r="B30" s="703"/>
      <c r="C30" s="704"/>
      <c r="D30" s="702" t="s">
        <v>64</v>
      </c>
    </row>
    <row r="31" ht="18.75" customHeight="1" spans="2:4">
      <c r="B31" s="703"/>
      <c r="C31" s="702" t="s">
        <v>65</v>
      </c>
      <c r="D31" s="702" t="s">
        <v>66</v>
      </c>
    </row>
    <row r="32" ht="43.5" customHeight="1" spans="2:4">
      <c r="B32" s="703"/>
      <c r="C32" s="704"/>
      <c r="D32" s="702" t="s">
        <v>67</v>
      </c>
    </row>
    <row r="33" ht="18.75" customHeight="1" spans="2:4">
      <c r="B33" s="703"/>
      <c r="C33" s="704"/>
      <c r="D33" s="702" t="s">
        <v>68</v>
      </c>
    </row>
    <row r="34" ht="18.75" customHeight="1" spans="2:4">
      <c r="B34" s="703"/>
      <c r="C34" s="704"/>
      <c r="D34" s="702" t="s">
        <v>69</v>
      </c>
    </row>
    <row r="35" ht="18.75" customHeight="1" spans="2:4">
      <c r="B35" s="703"/>
      <c r="C35" s="702" t="s">
        <v>70</v>
      </c>
      <c r="D35" s="704" t="s">
        <v>71</v>
      </c>
    </row>
    <row r="36" ht="18.75" customHeight="1" spans="2:4">
      <c r="B36" s="707"/>
      <c r="C36" s="704"/>
      <c r="D36" s="704" t="s">
        <v>72</v>
      </c>
    </row>
    <row r="39" spans="2:4">
      <c r="B39" s="709"/>
    </row>
    <row r="40" spans="2:4">
      <c r="B40" s="699"/>
    </row>
    <row r="41" spans="2:4">
      <c r="B41" s="699"/>
    </row>
    <row r="42" spans="2:4">
      <c r="B42" s="699"/>
    </row>
    <row r="43" spans="2:4">
      <c r="B43" s="699"/>
    </row>
    <row r="46" spans="2:4">
      <c r="B46" s="709"/>
    </row>
    <row r="47" spans="2:4">
      <c r="B47" s="699"/>
    </row>
    <row r="48" spans="2:4">
      <c r="B48" s="699"/>
    </row>
    <row r="50" spans="2:2">
      <c r="B50" s="709"/>
    </row>
    <row r="51" spans="2:2">
      <c r="B51" s="699"/>
    </row>
  </sheetData>
  <mergeCells count="3">
    <mergeCell ref="B4:B21"/>
    <mergeCell ref="B22:B26"/>
    <mergeCell ref="B27:B3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6" tint="0.599993896298105"/>
  </sheetPr>
  <dimension ref="A1:R50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5" customHeight="1"/>
  <cols>
    <col min="1" max="1" width="28" style="40" customWidth="1"/>
    <col min="2" max="2" width="5.25" style="461" customWidth="1"/>
    <col min="3" max="3" width="8.25" style="40" customWidth="1"/>
    <col min="4" max="4" width="9" style="40" customWidth="1"/>
    <col min="5" max="5" width="10.25" style="462" customWidth="1"/>
    <col min="6" max="6" width="9.5" style="40" customWidth="1"/>
    <col min="7" max="7" width="10.5" style="40" customWidth="1"/>
    <col min="8" max="8" width="10.375" style="40" customWidth="1"/>
    <col min="9" max="9" width="28" style="40" customWidth="1"/>
    <col min="10" max="10" width="3.625" style="40" customWidth="1"/>
    <col min="11" max="11" width="10.375" style="40" customWidth="1"/>
    <col min="12" max="12" width="7" style="40" customWidth="1"/>
    <col min="13" max="13" width="10.25" style="40" customWidth="1"/>
    <col min="14" max="14" width="9.75" style="40" customWidth="1"/>
    <col min="15" max="15" width="11.375" style="40" customWidth="1"/>
    <col min="16" max="16384" width="9" style="40"/>
  </cols>
  <sheetData>
    <row r="1" s="458" customFormat="1" ht="42.75" customHeight="1" spans="1:15">
      <c r="A1" s="97" t="str">
        <f>CONCATENATE("汇总综合成本利润表_不含税(2025年"&amp;mth&amp;"月)")</f>
        <v>汇总综合成本利润表_不含税(2025年8月)</v>
      </c>
      <c r="B1" s="98"/>
      <c r="C1" s="98"/>
      <c r="D1" s="98"/>
      <c r="E1" s="98"/>
      <c r="F1" s="98"/>
      <c r="G1" s="98"/>
      <c r="I1" s="463" t="str">
        <f>CONCATENATE("汇总综合成本利润表_不含税(2025年1-"&amp;mth&amp;"月)")</f>
        <v>汇总综合成本利润表_不含税(2025年1-8月)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5">
      <c r="A2" s="464"/>
      <c r="B2" s="464"/>
      <c r="C2" s="464"/>
      <c r="D2" s="465"/>
      <c r="E2" s="44"/>
      <c r="F2" s="464"/>
      <c r="G2" s="464"/>
    </row>
    <row r="3" s="38" customFormat="1" customHeight="1" spans="1:15">
      <c r="A3" s="39" t="s">
        <v>73</v>
      </c>
      <c r="E3" s="39" t="s">
        <v>74</v>
      </c>
      <c r="F3" s="575">
        <f ca="1">OFFSET(基础表!C30,0,mth-1,1,1)/0.77</f>
        <v>0</v>
      </c>
      <c r="G3" s="39" t="s">
        <v>75</v>
      </c>
      <c r="K3" s="552"/>
      <c r="M3" s="378" t="s">
        <v>76</v>
      </c>
      <c r="N3" s="575">
        <f ca="1">基础表!O30/0.77</f>
        <v>97033.5828181818</v>
      </c>
      <c r="O3" s="39" t="s">
        <v>75</v>
      </c>
    </row>
    <row r="4" s="459" customFormat="1" customHeight="1" spans="1:15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5">
      <c r="A5" s="470" t="s">
        <v>83</v>
      </c>
      <c r="B5" s="471"/>
      <c r="C5" s="472"/>
      <c r="D5" s="472"/>
      <c r="E5" s="473">
        <f ca="1">E6-E7</f>
        <v>0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2872.7247256142</v>
      </c>
      <c r="N5" s="472"/>
      <c r="O5" s="474">
        <f ca="1">O6-O7</f>
        <v>278750772.576724</v>
      </c>
    </row>
    <row r="6" s="459" customFormat="1" customHeight="1" spans="1:15">
      <c r="A6" s="476" t="s">
        <v>84</v>
      </c>
      <c r="B6" s="477"/>
      <c r="C6" s="478"/>
      <c r="D6" s="479"/>
      <c r="E6" s="478">
        <f ca="1">IF(F$3=0,0,G6/F$3)</f>
        <v>0</v>
      </c>
      <c r="F6" s="479"/>
      <c r="G6" s="575">
        <f ca="1">专用糖!G6+'F55'!G6+'F42'!G6+'F60'!G6+风味糖!G6+调味糖!G6+'F90'!G6</f>
        <v>0</v>
      </c>
      <c r="I6" s="481" t="s">
        <v>84</v>
      </c>
      <c r="J6" s="477"/>
      <c r="K6" s="478"/>
      <c r="L6" s="479"/>
      <c r="M6" s="507">
        <f ca="1">IF($N$3=0,,O6/$N$3)</f>
        <v>3002.67930289318</v>
      </c>
      <c r="N6" s="482"/>
      <c r="O6" s="575">
        <f ca="1">专用糖!O6+'F55'!O6+'F42'!O6+'F60'!O6+风味糖!O6+调味糖!O6+'F90'!O6</f>
        <v>291360730.813726</v>
      </c>
    </row>
    <row r="7" s="459" customFormat="1" customHeight="1" spans="1:15">
      <c r="A7" s="476" t="s">
        <v>85</v>
      </c>
      <c r="B7" s="477"/>
      <c r="C7" s="479"/>
      <c r="D7" s="479"/>
      <c r="E7" s="505">
        <f ca="1">IF($F$3=0,,G7/$F$3)</f>
        <v>0</v>
      </c>
      <c r="F7" s="479"/>
      <c r="G7" s="575" t="e">
        <f ca="1">专用糖!G7+'F55'!G7+'F42'!G7+'F60'!G7+风味糖!G7+调味糖!G7+'F90'!G7</f>
        <v>#DIV/0!</v>
      </c>
      <c r="I7" s="476" t="s">
        <v>85</v>
      </c>
      <c r="J7" s="477"/>
      <c r="K7" s="479"/>
      <c r="L7" s="479"/>
      <c r="M7" s="507">
        <f ca="1">IF($N$3=0,,O7/$N$3)</f>
        <v>129.95457727898</v>
      </c>
      <c r="N7" s="482"/>
      <c r="O7" s="575">
        <f ca="1">专用糖!O7+'F55'!O7+'F42'!O7+'F60'!O7+风味糖!O7+调味糖!O7+'F90'!O7</f>
        <v>12609958.2370017</v>
      </c>
    </row>
    <row r="8" s="459" customFormat="1" customHeight="1" spans="1:15">
      <c r="A8" s="476" t="s">
        <v>86</v>
      </c>
      <c r="B8" s="477"/>
      <c r="C8" s="479"/>
      <c r="D8" s="479"/>
      <c r="E8" s="505">
        <f ca="1">IF($F$3=0,,G8/$F$3)</f>
        <v>0</v>
      </c>
      <c r="F8" s="479"/>
      <c r="G8" s="575" t="e">
        <f ca="1">专用糖!G8+'F55'!G8+'F42'!G8+'F60'!G8+风味糖!G8+调味糖!G8+'F90'!G8</f>
        <v>#DIV/0!</v>
      </c>
      <c r="H8" s="483"/>
      <c r="I8" s="476" t="s">
        <v>86</v>
      </c>
      <c r="J8" s="477"/>
      <c r="K8" s="479"/>
      <c r="L8" s="479"/>
      <c r="M8" s="507">
        <f ca="1">IF($N$3=0,,O8/$N$3)</f>
        <v>65.6179702486061</v>
      </c>
      <c r="N8" s="482"/>
      <c r="O8" s="575">
        <f ca="1">专用糖!O8+'F55'!O8+'F42'!O8+'F60'!O8+风味糖!O8+调味糖!O8+'F90'!O8</f>
        <v>6367146.75047911</v>
      </c>
    </row>
    <row r="9" s="459" customFormat="1" customHeight="1" spans="1:15">
      <c r="A9" s="476" t="s">
        <v>87</v>
      </c>
      <c r="B9" s="477"/>
      <c r="C9" s="479"/>
      <c r="D9" s="479"/>
      <c r="E9" s="505">
        <f ca="1">IF($F$3=0,,G9/$F$3)</f>
        <v>0</v>
      </c>
      <c r="F9" s="479"/>
      <c r="G9" s="575" t="e">
        <f ca="1">专用糖!G9+'F55'!G9+'F42'!G9+'F60'!G9+风味糖!G9+调味糖!G9+'F90'!G9</f>
        <v>#DIV/0!</v>
      </c>
      <c r="H9" s="483"/>
      <c r="I9" s="476" t="s">
        <v>87</v>
      </c>
      <c r="J9" s="477"/>
      <c r="K9" s="479"/>
      <c r="L9" s="479"/>
      <c r="M9" s="507">
        <f ca="1">IF($N$3=0,,O9/$N$3)</f>
        <v>64.3366070303738</v>
      </c>
      <c r="N9" s="482"/>
      <c r="O9" s="575">
        <f ca="1">专用糖!O9+'F55'!O9+'F42'!O9+'F60'!O9+风味糖!O9+调味糖!O9+'F90'!O9</f>
        <v>6242811.48652259</v>
      </c>
    </row>
    <row r="10" s="459" customFormat="1" customHeight="1" spans="1:15">
      <c r="A10" s="484" t="s">
        <v>88</v>
      </c>
      <c r="B10" s="485"/>
      <c r="C10" s="486"/>
      <c r="D10" s="486"/>
      <c r="E10" s="487" t="e">
        <f ca="1">E11+E14+E16+E21+E24+E15</f>
        <v>#DIV/0!</v>
      </c>
      <c r="F10" s="488"/>
      <c r="G10" s="487" t="e">
        <f ca="1">G11+G14+G16+G21+G24+G15</f>
        <v>#DIV/0!</v>
      </c>
      <c r="H10" s="483"/>
      <c r="I10" s="484" t="s">
        <v>88</v>
      </c>
      <c r="J10" s="485"/>
      <c r="K10" s="486"/>
      <c r="L10" s="486"/>
      <c r="M10" s="487" t="e">
        <f ca="1">M11+M14+M16+M21+M24+M15</f>
        <v>#DIV/0!</v>
      </c>
      <c r="N10" s="488"/>
      <c r="O10" s="487" t="e">
        <f ca="1">O11+O14+O16+O21+O24+O15</f>
        <v>#DIV/0!</v>
      </c>
    </row>
    <row r="11" s="459" customFormat="1" customHeight="1" spans="1:15">
      <c r="A11" s="489" t="s">
        <v>89</v>
      </c>
      <c r="B11" s="490" t="s">
        <v>75</v>
      </c>
      <c r="C11" s="491" t="e">
        <f ca="1">C12</f>
        <v>#DIV/0!</v>
      </c>
      <c r="D11" s="492" t="e">
        <f ca="1">IF(C11=0,0,E11/C11)</f>
        <v>#DIV/0!</v>
      </c>
      <c r="E11" s="491" t="e">
        <f ca="1">E12+E13</f>
        <v>#DIV/0!</v>
      </c>
      <c r="F11" s="491">
        <f ca="1">F12</f>
        <v>0</v>
      </c>
      <c r="G11" s="491">
        <f ca="1">G12+G13</f>
        <v>0</v>
      </c>
      <c r="I11" s="489" t="s">
        <v>89</v>
      </c>
      <c r="J11" s="490" t="s">
        <v>75</v>
      </c>
      <c r="K11" s="491">
        <f ca="1">IF(N11=0,0,O11/N11)</f>
        <v>2512.15885729704</v>
      </c>
      <c r="L11" s="492">
        <f ca="1">L12</f>
        <v>0.846145028643204</v>
      </c>
      <c r="M11" s="491">
        <f ca="1">M12+M13</f>
        <v>2125.65072826389</v>
      </c>
      <c r="N11" s="491">
        <f ca="1">N12</f>
        <v>82104.4837130432</v>
      </c>
      <c r="O11" s="491">
        <f ca="1">O12+O13</f>
        <v>206259505.983522</v>
      </c>
    </row>
    <row r="12" s="459" customFormat="1" customHeight="1" spans="1:15">
      <c r="A12" s="494" t="s">
        <v>90</v>
      </c>
      <c r="B12" s="495" t="s">
        <v>75</v>
      </c>
      <c r="C12" s="507" t="e">
        <f ca="1">E12/D12</f>
        <v>#DIV/0!</v>
      </c>
      <c r="D12" s="518">
        <f ca="1">IF(F3=0,,F12/F3)</f>
        <v>0</v>
      </c>
      <c r="E12" s="496" t="e">
        <f ca="1">G12/F3</f>
        <v>#DIV/0!</v>
      </c>
      <c r="F12" s="575">
        <f ca="1">专用糖!F12+'F55'!F12+'F42'!F12+'F60'!F12+'F90'!F12</f>
        <v>0</v>
      </c>
      <c r="G12" s="575">
        <f ca="1">专用糖!G12+'F55'!G12+'F42'!G12+'F60'!G12+'F90'!G12</f>
        <v>0</v>
      </c>
      <c r="H12" s="511"/>
      <c r="I12" s="494" t="s">
        <v>90</v>
      </c>
      <c r="J12" s="495" t="s">
        <v>75</v>
      </c>
      <c r="K12" s="507">
        <f ca="1">M12/L12</f>
        <v>2498.96430242839</v>
      </c>
      <c r="L12" s="518">
        <f ca="1">IF(N3=0,,N12/N3)</f>
        <v>0.846145028643204</v>
      </c>
      <c r="M12" s="496">
        <f ca="1">O12/N3</f>
        <v>2114.48622125662</v>
      </c>
      <c r="N12" s="575">
        <f ca="1">专用糖!N12+'F55'!N12+'F42'!N12+'F60'!N12+'F90'!N12</f>
        <v>82104.4837130432</v>
      </c>
      <c r="O12" s="575">
        <f ca="1">专用糖!O12+'F55'!O12+'F42'!O12+'F60'!O12+'F90'!O12</f>
        <v>205176173.868208</v>
      </c>
    </row>
    <row r="13" s="459" customFormat="1" customHeight="1" spans="1:15">
      <c r="A13" s="502" t="s">
        <v>91</v>
      </c>
      <c r="B13" s="495"/>
      <c r="C13" s="507"/>
      <c r="D13" s="518"/>
      <c r="E13" s="496" t="e">
        <f ca="1">G13/F3</f>
        <v>#DIV/0!</v>
      </c>
      <c r="F13" s="575"/>
      <c r="G13" s="575">
        <f ca="1">调味糖!G11+风味糖!G11</f>
        <v>0</v>
      </c>
      <c r="H13" s="511"/>
      <c r="I13" s="502" t="s">
        <v>91</v>
      </c>
      <c r="J13" s="495"/>
      <c r="K13" s="507"/>
      <c r="L13" s="518"/>
      <c r="M13" s="496">
        <f ca="1">O13/N3</f>
        <v>11.1645070072693</v>
      </c>
      <c r="N13" s="575"/>
      <c r="O13" s="575">
        <f ca="1">风味糖!O11+调味糖!O11</f>
        <v>1083332.11531404</v>
      </c>
    </row>
    <row r="14" s="459" customFormat="1" customHeight="1" spans="1:15">
      <c r="A14" s="489" t="s">
        <v>92</v>
      </c>
      <c r="B14" s="490"/>
      <c r="C14" s="501"/>
      <c r="D14" s="492"/>
      <c r="E14" s="491" t="e">
        <f ca="1">G14/F3</f>
        <v>#DIV/0!</v>
      </c>
      <c r="F14" s="491"/>
      <c r="G14" s="491" t="e">
        <f ca="1">专用糖!G13+'F55'!G13+'F42'!G13+'F60'!G13+风味糖!G20+调味糖!G20+'F90'!G13</f>
        <v>#DIV/0!</v>
      </c>
      <c r="I14" s="489" t="s">
        <v>92</v>
      </c>
      <c r="J14" s="490"/>
      <c r="K14" s="501"/>
      <c r="L14" s="492"/>
      <c r="M14" s="491" t="e">
        <f ca="1">O14/N3</f>
        <v>#DIV/0!</v>
      </c>
      <c r="N14" s="491"/>
      <c r="O14" s="491" t="e">
        <f ca="1">专用糖!O13+'F55'!O13+'F42'!O13+'F60'!O13+风味糖!O20+调味糖!O20+'F90'!O13</f>
        <v>#DIV/0!</v>
      </c>
    </row>
    <row r="15" s="459" customFormat="1" customHeight="1" spans="1:15">
      <c r="A15" s="508" t="s">
        <v>93</v>
      </c>
      <c r="B15" s="490"/>
      <c r="C15" s="501"/>
      <c r="D15" s="492"/>
      <c r="E15" s="491" t="e">
        <f ca="1">G15/F3</f>
        <v>#DIV/0!</v>
      </c>
      <c r="F15" s="491"/>
      <c r="G15" s="491">
        <f>果糖汇总!G25+专用糖!G27+风味糖!G57</f>
        <v>0</v>
      </c>
      <c r="I15" s="508" t="s">
        <v>93</v>
      </c>
      <c r="J15" s="490"/>
      <c r="K15" s="501"/>
      <c r="L15" s="492"/>
      <c r="M15" s="491">
        <f ca="1">O15/N3</f>
        <v>0</v>
      </c>
      <c r="N15" s="491"/>
      <c r="O15" s="491">
        <f>果糖汇总!O25+专用糖!O27+风味糖!O57</f>
        <v>0</v>
      </c>
    </row>
    <row r="16" s="459" customFormat="1" customHeight="1" spans="1:15">
      <c r="A16" s="508" t="s">
        <v>94</v>
      </c>
      <c r="B16" s="490"/>
      <c r="C16" s="501"/>
      <c r="D16" s="492"/>
      <c r="E16" s="491">
        <f ca="1">SUM(E17:E20)</f>
        <v>0</v>
      </c>
      <c r="F16" s="491"/>
      <c r="G16" s="491">
        <f ca="1">SUM(G17:G20)</f>
        <v>0</v>
      </c>
      <c r="I16" s="508" t="s">
        <v>94</v>
      </c>
      <c r="J16" s="490"/>
      <c r="K16" s="501"/>
      <c r="L16" s="492"/>
      <c r="M16" s="491" t="e">
        <f ca="1">SUM(M17:M20)</f>
        <v>#DIV/0!</v>
      </c>
      <c r="N16" s="491"/>
      <c r="O16" s="491" t="e">
        <f ca="1">SUM(O17:O20)</f>
        <v>#DIV/0!</v>
      </c>
    </row>
    <row r="17" s="459" customFormat="1" customHeight="1" spans="1:18">
      <c r="A17" s="494" t="s">
        <v>95</v>
      </c>
      <c r="B17" s="495" t="s">
        <v>75</v>
      </c>
      <c r="C17" s="504">
        <f ca="1">IF(G17=0,0,G17/F17)</f>
        <v>0</v>
      </c>
      <c r="D17" s="631">
        <f ca="1">IF($F$3=0,0,F17/$F$3)</f>
        <v>0</v>
      </c>
      <c r="E17" s="509">
        <f ca="1">C17*D17</f>
        <v>0</v>
      </c>
      <c r="F17" s="575" t="e">
        <f ca="1">专用糖!F29+'F55'!F27+'F42'!F27+'F60'!F27+风味糖!F59+'F90'!F27+调味糖!F52</f>
        <v>#DIV/0!</v>
      </c>
      <c r="G17" s="575">
        <f ca="1">专用糖!G29+'F55'!G27+'F42'!G27+'F60'!G27+调味糖!G52+风味糖!G59+'F90'!G27</f>
        <v>0</v>
      </c>
      <c r="H17" s="510"/>
      <c r="I17" s="494" t="s">
        <v>95</v>
      </c>
      <c r="J17" s="495" t="s">
        <v>75</v>
      </c>
      <c r="K17" s="504" t="e">
        <f ca="1">IF(O17=0,0,O17/N17)</f>
        <v>#DIV/0!</v>
      </c>
      <c r="L17" s="631" t="e">
        <f ca="1">IF($N$3=0,0,N17/$N$3)</f>
        <v>#DIV/0!</v>
      </c>
      <c r="M17" s="509" t="e">
        <f ca="1">K17*L17</f>
        <v>#DIV/0!</v>
      </c>
      <c r="N17" s="575" t="e">
        <f ca="1">专用糖!N29+'F55'!N27+'F42'!N27+'F60'!N27+风味糖!N59+'F90'!N27</f>
        <v>#DIV/0!</v>
      </c>
      <c r="O17" s="575" t="e">
        <f ca="1">专用糖!O29+'F55'!O27+'F42'!O27+'F60'!O27+调味糖!O52+风味糖!O577+'F90'!O27</f>
        <v>#DIV/0!</v>
      </c>
    </row>
    <row r="18" s="459" customFormat="1" customHeight="1" spans="1:18">
      <c r="A18" s="494" t="s">
        <v>96</v>
      </c>
      <c r="B18" s="495" t="s">
        <v>97</v>
      </c>
      <c r="C18" s="504">
        <f ca="1">IF(G18=0,0,G18/F18)</f>
        <v>0</v>
      </c>
      <c r="D18" s="509">
        <f ca="1">IF($F$3=0,0,F18/$F$3)</f>
        <v>0</v>
      </c>
      <c r="E18" s="509">
        <f ca="1">C18*D18</f>
        <v>0</v>
      </c>
      <c r="F18" s="575" t="e">
        <f ca="1">专用糖!F30+'F55'!F28+'F42'!F28+'F60'!F28+风味糖!F60+'F90'!F28+调味糖!F53</f>
        <v>#DIV/0!</v>
      </c>
      <c r="G18" s="575">
        <f ca="1">专用糖!G30+'F55'!G28+'F42'!G28+'F60'!G28+调味糖!G53+风味糖!G60+'F90'!G28</f>
        <v>0</v>
      </c>
      <c r="I18" s="494" t="s">
        <v>96</v>
      </c>
      <c r="J18" s="495" t="s">
        <v>97</v>
      </c>
      <c r="K18" s="504" t="e">
        <f ca="1">IF(O18=0,0,O18/N18)</f>
        <v>#DIV/0!</v>
      </c>
      <c r="L18" s="509" t="e">
        <f ca="1">IF($N$3=0,0,N18/$N$3)</f>
        <v>#DIV/0!</v>
      </c>
      <c r="M18" s="509" t="e">
        <f ca="1">K18*L18</f>
        <v>#DIV/0!</v>
      </c>
      <c r="N18" s="575" t="e">
        <f ca="1">专用糖!N30+'F55'!N28+'F42'!N28+'F60'!N28+风味糖!N60+'F90'!N28+调味糖!N53</f>
        <v>#DIV/0!</v>
      </c>
      <c r="O18" s="575" t="e">
        <f ca="1">专用糖!O30+'F55'!O28+'F42'!O28+'F60'!O28+调味糖!O53+风味糖!O60+'F90'!O28</f>
        <v>#DIV/0!</v>
      </c>
    </row>
    <row r="19" s="459" customFormat="1" customHeight="1" spans="1:18">
      <c r="A19" s="494" t="s">
        <v>98</v>
      </c>
      <c r="B19" s="495" t="s">
        <v>75</v>
      </c>
      <c r="C19" s="504">
        <f ca="1">IF(G19=0,0,G19/F19)</f>
        <v>0</v>
      </c>
      <c r="D19" s="631">
        <f ca="1">IF($F$3=0,0,F19/$F$3)</f>
        <v>0</v>
      </c>
      <c r="E19" s="509">
        <f ca="1">C19*D19</f>
        <v>0</v>
      </c>
      <c r="F19" s="575" t="e">
        <f ca="1">专用糖!F31+'F55'!F29+'F42'!F29+'F60'!F29+风味糖!F61+'F90'!F29+调味糖!F54</f>
        <v>#DIV/0!</v>
      </c>
      <c r="G19" s="575">
        <f ca="1">专用糖!G31+'F55'!G29+'F42'!G29+'F60'!G29+调味糖!G54+风味糖!G61+'F90'!G29</f>
        <v>0</v>
      </c>
      <c r="I19" s="494" t="s">
        <v>98</v>
      </c>
      <c r="J19" s="495" t="s">
        <v>75</v>
      </c>
      <c r="K19" s="504" t="e">
        <f ca="1">IF(O19=0,0,O19/N19)</f>
        <v>#DIV/0!</v>
      </c>
      <c r="L19" s="631" t="e">
        <f ca="1">IF($N$3=0,0,N19/$N$3)</f>
        <v>#DIV/0!</v>
      </c>
      <c r="M19" s="509" t="e">
        <f ca="1">K19*L19</f>
        <v>#DIV/0!</v>
      </c>
      <c r="N19" s="575" t="e">
        <f ca="1">专用糖!N31+'F55'!N29+'F42'!N29+'F60'!N29+风味糖!N61+调味糖!N54+'F90'!N29</f>
        <v>#DIV/0!</v>
      </c>
      <c r="O19" s="575" t="e">
        <f ca="1">专用糖!O31+'F55'!O29+'F42'!O29+'F60'!O29+调味糖!O54+风味糖!O61+'F90'!O29</f>
        <v>#DIV/0!</v>
      </c>
    </row>
    <row r="20" s="459" customFormat="1" customHeight="1" spans="1:18">
      <c r="A20" s="494" t="s">
        <v>99</v>
      </c>
      <c r="B20" s="495" t="s">
        <v>100</v>
      </c>
      <c r="C20" s="504"/>
      <c r="D20" s="631"/>
      <c r="E20" s="509"/>
      <c r="F20" s="575"/>
      <c r="G20" s="575"/>
      <c r="I20" s="494" t="s">
        <v>99</v>
      </c>
      <c r="J20" s="495" t="s">
        <v>100</v>
      </c>
      <c r="K20" s="504">
        <f ca="1">IF(O20=0,0,O20/N20)</f>
        <v>0</v>
      </c>
      <c r="L20" s="631">
        <f ca="1">IF($N$3=0,0,N20/$N$3)</f>
        <v>0</v>
      </c>
      <c r="M20" s="509">
        <f ca="1">K20*L20</f>
        <v>0</v>
      </c>
      <c r="N20" s="575">
        <f>专用糖!N32+'F55'!N30+'F42'!N30+'F60'!N30+'F90'!N30</f>
        <v>0</v>
      </c>
      <c r="O20" s="575">
        <f ca="1">专用糖!O32+'F55'!O30+'F42'!O30+'F60'!O30+'F90'!O30</f>
        <v>0</v>
      </c>
    </row>
    <row r="21" s="459" customFormat="1" customHeight="1" spans="1:18">
      <c r="A21" s="508" t="s">
        <v>101</v>
      </c>
      <c r="B21" s="490"/>
      <c r="C21" s="501"/>
      <c r="D21" s="492"/>
      <c r="E21" s="501">
        <f ca="1">IF(F$3=0,0,G21/F$3)</f>
        <v>0</v>
      </c>
      <c r="F21" s="491"/>
      <c r="G21" s="491" t="e">
        <f ca="1">专用糖!G33+'F55'!G31+'F42'!G31+'F60'!G31+调味糖!G56+风味糖!G63+'F90'!G31</f>
        <v>#DIV/0!</v>
      </c>
      <c r="H21" s="483"/>
      <c r="I21" s="508" t="s">
        <v>101</v>
      </c>
      <c r="J21" s="490"/>
      <c r="K21" s="501"/>
      <c r="L21" s="492"/>
      <c r="M21" s="501" t="e">
        <f ca="1">IF(N$3=0,0,O21/N$3)</f>
        <v>#DIV/0!</v>
      </c>
      <c r="N21" s="491"/>
      <c r="O21" s="501" t="e">
        <f ca="1">专用糖!O33+'F55'!O31+'F42'!O31+'F60'!O31+调味糖!O56+风味糖!O63+'F90'!O31</f>
        <v>#DIV/0!</v>
      </c>
      <c r="Q21" s="697"/>
    </row>
    <row r="22" s="459" customFormat="1" customHeight="1" spans="1:18">
      <c r="A22" s="508" t="s">
        <v>102</v>
      </c>
      <c r="B22" s="490"/>
      <c r="C22" s="501"/>
      <c r="D22" s="492"/>
      <c r="E22" s="501">
        <f ca="1">E21</f>
        <v>0</v>
      </c>
      <c r="F22" s="491"/>
      <c r="G22" s="491" t="e">
        <f ca="1">G21</f>
        <v>#DIV/0!</v>
      </c>
      <c r="H22" s="483"/>
      <c r="I22" s="508" t="s">
        <v>102</v>
      </c>
      <c r="J22" s="490"/>
      <c r="K22" s="501"/>
      <c r="L22" s="492"/>
      <c r="M22" s="501" t="e">
        <f ca="1">M21</f>
        <v>#DIV/0!</v>
      </c>
      <c r="N22" s="491"/>
      <c r="O22" s="501" t="e">
        <f ca="1">O21</f>
        <v>#DIV/0!</v>
      </c>
    </row>
    <row r="23" s="459" customFormat="1" customHeight="1" spans="1:18">
      <c r="A23" s="508" t="s">
        <v>103</v>
      </c>
      <c r="B23" s="490"/>
      <c r="C23" s="501"/>
      <c r="D23" s="492"/>
      <c r="E23" s="501"/>
      <c r="F23" s="491"/>
      <c r="G23" s="491"/>
      <c r="H23" s="483"/>
      <c r="I23" s="508" t="s">
        <v>103</v>
      </c>
      <c r="J23" s="490"/>
      <c r="K23" s="501"/>
      <c r="L23" s="492"/>
      <c r="M23" s="501"/>
      <c r="N23" s="491"/>
      <c r="O23" s="491"/>
    </row>
    <row r="24" s="459" customFormat="1" customHeight="1" spans="1:18">
      <c r="A24" s="508" t="s">
        <v>104</v>
      </c>
      <c r="B24" s="490"/>
      <c r="C24" s="501"/>
      <c r="D24" s="492"/>
      <c r="E24" s="501"/>
      <c r="F24" s="491"/>
      <c r="G24" s="491"/>
      <c r="I24" s="508" t="s">
        <v>104</v>
      </c>
      <c r="J24" s="490"/>
      <c r="K24" s="501"/>
      <c r="L24" s="492"/>
      <c r="M24" s="501"/>
      <c r="N24" s="491"/>
      <c r="O24" s="491"/>
    </row>
    <row r="25" s="459" customFormat="1" customHeight="1" spans="1:18">
      <c r="A25" s="508" t="s">
        <v>105</v>
      </c>
      <c r="B25" s="490"/>
      <c r="C25" s="501"/>
      <c r="D25" s="492"/>
      <c r="E25" s="491" t="e">
        <f ca="1">E5-E10</f>
        <v>#DIV/0!</v>
      </c>
      <c r="F25" s="491"/>
      <c r="G25" s="491" t="e">
        <f ca="1">G5-G10</f>
        <v>#DIV/0!</v>
      </c>
      <c r="H25" s="512"/>
      <c r="I25" s="508" t="s">
        <v>105</v>
      </c>
      <c r="J25" s="490"/>
      <c r="K25" s="501"/>
      <c r="L25" s="492"/>
      <c r="M25" s="542" t="e">
        <f ca="1">M5-M10</f>
        <v>#DIV/0!</v>
      </c>
      <c r="N25" s="491"/>
      <c r="O25" s="491" t="e">
        <f ca="1">O5-O10</f>
        <v>#DIV/0!</v>
      </c>
      <c r="R25" s="483"/>
    </row>
    <row r="26" s="459" customFormat="1" customHeight="1" spans="1:18">
      <c r="A26" s="513" t="s">
        <v>106</v>
      </c>
      <c r="B26" s="485"/>
      <c r="C26" s="514"/>
      <c r="D26" s="515"/>
      <c r="E26" s="487">
        <f ca="1">SUM(E27:E33)</f>
        <v>0</v>
      </c>
      <c r="F26" s="488"/>
      <c r="G26" s="487" t="e">
        <f ca="1">SUM(G27:G33)</f>
        <v>#DIV/0!</v>
      </c>
      <c r="I26" s="513" t="s">
        <v>106</v>
      </c>
      <c r="J26" s="485"/>
      <c r="K26" s="514"/>
      <c r="L26" s="515"/>
      <c r="M26" s="487" t="e">
        <f ca="1">IF(N$3=0,0,O26/N$3)</f>
        <v>#DIV/0!</v>
      </c>
      <c r="N26" s="488"/>
      <c r="O26" s="487" t="e">
        <f ca="1">SUM(O27:O33)</f>
        <v>#DIV/0!</v>
      </c>
    </row>
    <row r="27" s="459" customFormat="1" customHeight="1" spans="1:18">
      <c r="A27" s="516" t="s">
        <v>107</v>
      </c>
      <c r="B27" s="503"/>
      <c r="C27" s="505"/>
      <c r="D27" s="497"/>
      <c r="E27" s="507">
        <f ca="1" t="shared" ref="E27:E40" si="0">IF(F$3=0,0,G27/F$3)</f>
        <v>0</v>
      </c>
      <c r="F27" s="517"/>
      <c r="G27" s="575" t="e">
        <f ca="1">专用糖!G39+'F55'!G37+'F42'!G37+'F60'!G37+调味糖!G62+风味糖!G69+'F90'!G37</f>
        <v>#DIV/0!</v>
      </c>
      <c r="H27" s="483"/>
      <c r="I27" s="516" t="s">
        <v>107</v>
      </c>
      <c r="J27" s="503"/>
      <c r="K27" s="505"/>
      <c r="L27" s="497"/>
      <c r="M27" s="507" t="e">
        <f ca="1">IF(N$3=0,0,O27/N$3)</f>
        <v>#DIV/0!</v>
      </c>
      <c r="N27" s="517"/>
      <c r="O27" s="575" t="e">
        <f ca="1">专用糖!O39+'F55'!O37+'F42'!O37+'F60'!O37+调味糖!O62+风味糖!O69+'F90'!O37</f>
        <v>#DIV/0!</v>
      </c>
    </row>
    <row r="28" s="459" customFormat="1" customHeight="1" spans="1:18">
      <c r="A28" s="516" t="s">
        <v>108</v>
      </c>
      <c r="B28" s="503"/>
      <c r="C28" s="505"/>
      <c r="D28" s="497"/>
      <c r="E28" s="507">
        <f ca="1" t="shared" si="0"/>
        <v>0</v>
      </c>
      <c r="F28" s="517"/>
      <c r="G28" s="575" t="e">
        <f ca="1">专用糖!G40+'F55'!G38+'F42'!G38+'F60'!G38+调味糖!G63+风味糖!G70+'F90'!G38</f>
        <v>#DIV/0!</v>
      </c>
      <c r="H28" s="483"/>
      <c r="I28" s="516" t="s">
        <v>108</v>
      </c>
      <c r="J28" s="503"/>
      <c r="K28" s="505"/>
      <c r="L28" s="497"/>
      <c r="M28" s="507" t="e">
        <f ca="1" t="shared" ref="M26:M40" si="1">IF(N$3=0,0,O28/N$3)</f>
        <v>#DIV/0!</v>
      </c>
      <c r="N28" s="517"/>
      <c r="O28" s="575" t="e">
        <f ca="1">专用糖!O40+'F55'!O38+'F42'!O38+'F60'!O38+调味糖!O63+风味糖!O70+'F90'!O38</f>
        <v>#DIV/0!</v>
      </c>
    </row>
    <row r="29" s="459" customFormat="1" customHeight="1" spans="1:18">
      <c r="A29" s="516" t="s">
        <v>109</v>
      </c>
      <c r="B29" s="503"/>
      <c r="C29" s="498"/>
      <c r="D29" s="518"/>
      <c r="E29" s="507">
        <f ca="1" t="shared" si="0"/>
        <v>0</v>
      </c>
      <c r="F29" s="517"/>
      <c r="G29" s="575" t="e">
        <f ca="1">专用糖!G41+'F55'!G39+'F42'!G39+'F60'!G39+调味糖!G64+风味糖!G71+'F90'!G39</f>
        <v>#DIV/0!</v>
      </c>
      <c r="H29" s="483"/>
      <c r="I29" s="516" t="s">
        <v>109</v>
      </c>
      <c r="J29" s="503"/>
      <c r="K29" s="498"/>
      <c r="L29" s="518"/>
      <c r="M29" s="507" t="e">
        <f ca="1" t="shared" si="1"/>
        <v>#DIV/0!</v>
      </c>
      <c r="N29" s="517"/>
      <c r="O29" s="575" t="e">
        <f ca="1">专用糖!O41+'F55'!O39+'F42'!O39+'F60'!O39+调味糖!O64+风味糖!O71+'F90'!O39</f>
        <v>#DIV/0!</v>
      </c>
    </row>
    <row r="30" s="459" customFormat="1" customHeight="1" spans="1:18">
      <c r="A30" s="516" t="s">
        <v>110</v>
      </c>
      <c r="B30" s="503"/>
      <c r="C30" s="498"/>
      <c r="D30" s="518"/>
      <c r="E30" s="507">
        <f ca="1" t="shared" si="0"/>
        <v>0</v>
      </c>
      <c r="F30" s="517"/>
      <c r="G30" s="575" t="e">
        <f ca="1">专用糖!G42+'F55'!G40+'F42'!G40+'F60'!G40+调味糖!G65+风味糖!G72+'F90'!G40</f>
        <v>#DIV/0!</v>
      </c>
      <c r="H30" s="483"/>
      <c r="I30" s="516" t="s">
        <v>110</v>
      </c>
      <c r="J30" s="503"/>
      <c r="K30" s="498"/>
      <c r="L30" s="518"/>
      <c r="M30" s="507" t="e">
        <f ca="1" t="shared" si="1"/>
        <v>#DIV/0!</v>
      </c>
      <c r="N30" s="517"/>
      <c r="O30" s="575" t="e">
        <f ca="1">专用糖!O42+'F55'!O40+'F42'!O40+'F60'!O40+调味糖!O65+风味糖!O72+'F90'!O40</f>
        <v>#DIV/0!</v>
      </c>
    </row>
    <row r="31" s="459" customFormat="1" customHeight="1" spans="1:18">
      <c r="A31" s="516" t="s">
        <v>111</v>
      </c>
      <c r="B31" s="503"/>
      <c r="C31" s="498"/>
      <c r="D31" s="518"/>
      <c r="E31" s="507">
        <f ca="1" t="shared" si="0"/>
        <v>0</v>
      </c>
      <c r="F31" s="517"/>
      <c r="G31" s="575" t="e">
        <f ca="1">专用糖!G43+'F55'!G41+'F42'!G41+'F60'!G41+调味糖!G66+风味糖!G73+'F90'!G41</f>
        <v>#DIV/0!</v>
      </c>
      <c r="H31" s="483"/>
      <c r="I31" s="516" t="s">
        <v>111</v>
      </c>
      <c r="J31" s="503"/>
      <c r="K31" s="498"/>
      <c r="L31" s="518"/>
      <c r="M31" s="507" t="e">
        <f ca="1" t="shared" si="1"/>
        <v>#DIV/0!</v>
      </c>
      <c r="N31" s="517"/>
      <c r="O31" s="575" t="e">
        <f ca="1">专用糖!O43+'F55'!O41+'F42'!O41+'F60'!O41+调味糖!O66+风味糖!O73+'F90'!O41</f>
        <v>#DIV/0!</v>
      </c>
    </row>
    <row r="32" s="459" customFormat="1" customHeight="1" spans="1:18">
      <c r="A32" s="516" t="s">
        <v>112</v>
      </c>
      <c r="B32" s="503"/>
      <c r="C32" s="498"/>
      <c r="D32" s="518"/>
      <c r="E32" s="507">
        <f ca="1" t="shared" si="0"/>
        <v>0</v>
      </c>
      <c r="F32" s="517"/>
      <c r="G32" s="575" t="e">
        <f ca="1">专用糖!G44+'F55'!G42+'F42'!G42+'F60'!G42+调味糖!G67+风味糖!G74+'F90'!G42</f>
        <v>#DIV/0!</v>
      </c>
      <c r="H32" s="483"/>
      <c r="I32" s="516" t="s">
        <v>112</v>
      </c>
      <c r="J32" s="503"/>
      <c r="K32" s="498"/>
      <c r="L32" s="518"/>
      <c r="M32" s="507" t="e">
        <f ca="1" t="shared" si="1"/>
        <v>#DIV/0!</v>
      </c>
      <c r="N32" s="517"/>
      <c r="O32" s="575" t="e">
        <f ca="1">专用糖!O44+'F55'!O42+'F42'!O42+'F60'!O42+调味糖!O67+风味糖!O74+'F90'!O42</f>
        <v>#DIV/0!</v>
      </c>
    </row>
    <row r="33" s="459" customFormat="1" customHeight="1" spans="1:16">
      <c r="A33" s="516" t="s">
        <v>113</v>
      </c>
      <c r="B33" s="503"/>
      <c r="C33" s="498"/>
      <c r="D33" s="518"/>
      <c r="E33" s="576">
        <f ca="1" t="shared" si="0"/>
        <v>0</v>
      </c>
      <c r="F33" s="517"/>
      <c r="G33" s="575" t="e">
        <f ca="1">专用糖!G45+'F55'!G43+'F42'!G43+'F60'!G43+调味糖!G68+风味糖!G75+'F90'!G43</f>
        <v>#DIV/0!</v>
      </c>
      <c r="I33" s="516" t="s">
        <v>114</v>
      </c>
      <c r="J33" s="503"/>
      <c r="K33" s="498"/>
      <c r="L33" s="518"/>
      <c r="M33" s="576" t="e">
        <f ca="1" t="shared" si="1"/>
        <v>#DIV/0!</v>
      </c>
      <c r="N33" s="517"/>
      <c r="O33" s="575" t="e">
        <f ca="1">专用糖!O45+'F55'!O43+'F42'!O43+'F60'!O43+调味糖!O68+风味糖!O75+'F90'!O43</f>
        <v>#DIV/0!</v>
      </c>
    </row>
    <row r="34" s="459" customFormat="1" customHeight="1" spans="1:16">
      <c r="A34" s="516" t="s">
        <v>115</v>
      </c>
      <c r="B34" s="503"/>
      <c r="C34" s="498"/>
      <c r="D34" s="518"/>
      <c r="E34" s="576">
        <f ca="1" t="shared" si="0"/>
        <v>0</v>
      </c>
      <c r="F34" s="517"/>
      <c r="G34" s="575" t="e">
        <f ca="1">果糖汇总!G44+专用糖!G46+调味糖!G69+风味糖!G76</f>
        <v>#DIV/0!</v>
      </c>
      <c r="I34" s="516" t="s">
        <v>115</v>
      </c>
      <c r="J34" s="503"/>
      <c r="K34" s="498"/>
      <c r="L34" s="518"/>
      <c r="M34" s="576" t="e">
        <f ca="1" t="shared" si="1"/>
        <v>#DIV/0!</v>
      </c>
      <c r="N34" s="517"/>
      <c r="O34" s="575" t="e">
        <f ca="1">果糖汇总!O44+专用糖!O46+调味糖!O69+风味糖!O76</f>
        <v>#DIV/0!</v>
      </c>
    </row>
    <row r="35" s="459" customFormat="1" customHeight="1" spans="1:16">
      <c r="A35" s="516" t="s">
        <v>116</v>
      </c>
      <c r="B35" s="503"/>
      <c r="C35" s="498"/>
      <c r="D35" s="518"/>
      <c r="E35" s="576">
        <f ca="1" t="shared" si="0"/>
        <v>0</v>
      </c>
      <c r="F35" s="517"/>
      <c r="G35" s="575" t="e">
        <f ca="1">果糖汇总!G45+专用糖!G47+调味糖!G70+风味糖!G77</f>
        <v>#DIV/0!</v>
      </c>
      <c r="I35" s="516" t="s">
        <v>116</v>
      </c>
      <c r="J35" s="503"/>
      <c r="K35" s="498"/>
      <c r="L35" s="518"/>
      <c r="M35" s="576" t="e">
        <f ca="1" t="shared" si="1"/>
        <v>#DIV/0!</v>
      </c>
      <c r="N35" s="517"/>
      <c r="O35" s="575" t="e">
        <f ca="1">果糖汇总!O45+专用糖!O47+调味糖!O70+风味糖!O77</f>
        <v>#DIV/0!</v>
      </c>
    </row>
    <row r="36" s="459" customFormat="1" customHeight="1" spans="1:16">
      <c r="A36" s="516" t="s">
        <v>117</v>
      </c>
      <c r="B36" s="503"/>
      <c r="C36" s="498"/>
      <c r="D36" s="518"/>
      <c r="E36" s="576">
        <f ca="1" t="shared" si="0"/>
        <v>0</v>
      </c>
      <c r="F36" s="517"/>
      <c r="G36" s="575" t="e">
        <f ca="1">果糖汇总!G46+专用糖!G48+调味糖!G71+风味糖!G78</f>
        <v>#DIV/0!</v>
      </c>
      <c r="I36" s="516" t="s">
        <v>117</v>
      </c>
      <c r="J36" s="503"/>
      <c r="K36" s="498"/>
      <c r="L36" s="518"/>
      <c r="M36" s="576" t="e">
        <f ca="1" t="shared" si="1"/>
        <v>#DIV/0!</v>
      </c>
      <c r="N36" s="517"/>
      <c r="O36" s="575" t="e">
        <f ca="1">果糖汇总!O46+专用糖!O48+调味糖!O71+风味糖!O78</f>
        <v>#DIV/0!</v>
      </c>
    </row>
    <row r="37" s="459" customFormat="1" customHeight="1" spans="1:16">
      <c r="A37" s="516" t="s">
        <v>118</v>
      </c>
      <c r="B37" s="503"/>
      <c r="C37" s="498"/>
      <c r="D37" s="518"/>
      <c r="E37" s="576">
        <f ca="1" t="shared" si="0"/>
        <v>0</v>
      </c>
      <c r="F37" s="517"/>
      <c r="G37" s="575" t="e">
        <f ca="1">果糖汇总!G47+专用糖!G49+调味糖!G72+风味糖!G79</f>
        <v>#DIV/0!</v>
      </c>
      <c r="I37" s="516" t="s">
        <v>118</v>
      </c>
      <c r="J37" s="503"/>
      <c r="K37" s="498"/>
      <c r="L37" s="518"/>
      <c r="M37" s="576" t="e">
        <f ca="1" t="shared" si="1"/>
        <v>#DIV/0!</v>
      </c>
      <c r="N37" s="517"/>
      <c r="O37" s="575" t="e">
        <f ca="1">果糖汇总!O47+专用糖!O49+调味糖!O72+风味糖!O79</f>
        <v>#DIV/0!</v>
      </c>
    </row>
    <row r="38" s="459" customFormat="1" customHeight="1" spans="1:16">
      <c r="A38" s="516" t="s">
        <v>119</v>
      </c>
      <c r="B38" s="503"/>
      <c r="C38" s="498"/>
      <c r="D38" s="518"/>
      <c r="E38" s="576">
        <f ca="1" t="shared" si="0"/>
        <v>0</v>
      </c>
      <c r="F38" s="517"/>
      <c r="G38" s="575" t="e">
        <f ca="1">果糖汇总!G48+专用糖!G50+调味糖!G73+风味糖!G80</f>
        <v>#DIV/0!</v>
      </c>
      <c r="I38" s="516" t="s">
        <v>119</v>
      </c>
      <c r="J38" s="503"/>
      <c r="K38" s="498"/>
      <c r="L38" s="518"/>
      <c r="M38" s="576" t="e">
        <f ca="1" t="shared" si="1"/>
        <v>#DIV/0!</v>
      </c>
      <c r="N38" s="517"/>
      <c r="O38" s="575" t="e">
        <f ca="1">果糖汇总!O48+专用糖!O50+调味糖!O73+风味糖!O80</f>
        <v>#DIV/0!</v>
      </c>
    </row>
    <row r="39" s="459" customFormat="1" customHeight="1" spans="1:16">
      <c r="A39" s="516" t="s">
        <v>120</v>
      </c>
      <c r="B39" s="503"/>
      <c r="C39" s="498"/>
      <c r="D39" s="518"/>
      <c r="E39" s="576">
        <f ca="1" t="shared" si="0"/>
        <v>0</v>
      </c>
      <c r="F39" s="517"/>
      <c r="G39" s="575" t="e">
        <f ca="1">果糖汇总!G49+专用糖!G51+调味糖!G74+风味糖!G81</f>
        <v>#DIV/0!</v>
      </c>
      <c r="I39" s="516" t="s">
        <v>120</v>
      </c>
      <c r="J39" s="503"/>
      <c r="K39" s="498"/>
      <c r="L39" s="518"/>
      <c r="M39" s="576" t="e">
        <f ca="1" t="shared" si="1"/>
        <v>#DIV/0!</v>
      </c>
      <c r="N39" s="517"/>
      <c r="O39" s="575" t="e">
        <f ca="1">果糖汇总!O49+专用糖!O51+调味糖!O74+风味糖!O81</f>
        <v>#DIV/0!</v>
      </c>
    </row>
    <row r="40" s="459" customFormat="1" customHeight="1" spans="1:16">
      <c r="A40" s="516" t="s">
        <v>121</v>
      </c>
      <c r="B40" s="503"/>
      <c r="C40" s="498"/>
      <c r="D40" s="518"/>
      <c r="E40" s="576">
        <f ca="1" t="shared" si="0"/>
        <v>0</v>
      </c>
      <c r="F40" s="517"/>
      <c r="G40" s="575" t="e">
        <f ca="1">果糖汇总!G50+专用糖!G52+调味糖!G75+风味糖!G82</f>
        <v>#DIV/0!</v>
      </c>
      <c r="I40" s="516" t="s">
        <v>121</v>
      </c>
      <c r="J40" s="503"/>
      <c r="K40" s="498"/>
      <c r="L40" s="518"/>
      <c r="M40" s="576" t="e">
        <f ca="1" t="shared" si="1"/>
        <v>#DIV/0!</v>
      </c>
      <c r="N40" s="517"/>
      <c r="O40" s="575" t="e">
        <f ca="1">果糖汇总!O50+专用糖!O52+调味糖!O75+风味糖!O82</f>
        <v>#DIV/0!</v>
      </c>
    </row>
    <row r="41" s="460" customFormat="1" ht="14.25" customHeight="1" spans="1:16">
      <c r="A41" s="685" t="s">
        <v>122</v>
      </c>
      <c r="B41" s="525" t="s">
        <v>123</v>
      </c>
      <c r="C41" s="514"/>
      <c r="D41" s="515"/>
      <c r="E41" s="487" t="e">
        <f ca="1">E10+E26</f>
        <v>#DIV/0!</v>
      </c>
      <c r="F41" s="526"/>
      <c r="G41" s="487" t="e">
        <f ca="1">G10+G26</f>
        <v>#DIV/0!</v>
      </c>
      <c r="H41" s="690"/>
      <c r="I41" s="685" t="s">
        <v>122</v>
      </c>
      <c r="J41" s="525" t="s">
        <v>123</v>
      </c>
      <c r="K41" s="514"/>
      <c r="L41" s="515"/>
      <c r="M41" s="487" t="e">
        <f ca="1">M10+M26</f>
        <v>#DIV/0!</v>
      </c>
      <c r="N41" s="526"/>
      <c r="O41" s="487" t="e">
        <f ca="1">O10+O26</f>
        <v>#DIV/0!</v>
      </c>
    </row>
    <row r="42" s="460" customFormat="1" ht="14.25" customHeight="1" spans="1:16">
      <c r="A42" s="524" t="s">
        <v>124</v>
      </c>
      <c r="B42" s="525"/>
      <c r="C42" s="514"/>
      <c r="D42" s="515"/>
      <c r="E42" s="487" t="e">
        <f ca="1">E25-E26</f>
        <v>#DIV/0!</v>
      </c>
      <c r="F42" s="526"/>
      <c r="G42" s="487" t="e">
        <f ca="1">G25-G26</f>
        <v>#DIV/0!</v>
      </c>
      <c r="H42" s="690"/>
      <c r="I42" s="524" t="s">
        <v>124</v>
      </c>
      <c r="J42" s="525"/>
      <c r="K42" s="514"/>
      <c r="L42" s="515"/>
      <c r="M42" s="487" t="e">
        <f ca="1">M25-M26</f>
        <v>#DIV/0!</v>
      </c>
      <c r="N42" s="526"/>
      <c r="O42" s="487" t="e">
        <f ca="1">O25-O26</f>
        <v>#DIV/0!</v>
      </c>
    </row>
    <row r="43" s="460" customFormat="1" ht="14.25" customHeight="1" spans="1:16">
      <c r="A43" s="524" t="s">
        <v>125</v>
      </c>
      <c r="B43" s="525"/>
      <c r="C43" s="514"/>
      <c r="D43" s="515"/>
      <c r="E43" s="487" t="e">
        <f ca="1">E42+E27</f>
        <v>#DIV/0!</v>
      </c>
      <c r="F43" s="526"/>
      <c r="G43" s="487" t="e">
        <f ca="1">G42+G27</f>
        <v>#DIV/0!</v>
      </c>
      <c r="H43" s="690"/>
      <c r="I43" s="524" t="s">
        <v>125</v>
      </c>
      <c r="J43" s="525"/>
      <c r="K43" s="514"/>
      <c r="L43" s="515"/>
      <c r="M43" s="487" t="e">
        <f ca="1">M42+M27</f>
        <v>#DIV/0!</v>
      </c>
      <c r="N43" s="526"/>
      <c r="O43" s="487" t="e">
        <f ca="1">O42+O27</f>
        <v>#DIV/0!</v>
      </c>
      <c r="P43" s="661"/>
    </row>
    <row r="44" s="540" customFormat="1" customHeight="1" spans="1:16">
      <c r="A44" s="529" t="s">
        <v>126</v>
      </c>
      <c r="B44" s="530" t="s">
        <v>123</v>
      </c>
      <c r="C44" s="531"/>
      <c r="D44" s="532"/>
      <c r="E44" s="533" t="e">
        <f ca="1">E10+E26-E11-E15</f>
        <v>#DIV/0!</v>
      </c>
      <c r="F44" s="533"/>
      <c r="G44" s="534" t="e">
        <f ca="1">G10+G26-G11-G15</f>
        <v>#DIV/0!</v>
      </c>
      <c r="H44" s="535"/>
      <c r="I44" s="529" t="s">
        <v>126</v>
      </c>
      <c r="J44" s="530" t="s">
        <v>123</v>
      </c>
      <c r="K44" s="531"/>
      <c r="L44" s="532"/>
      <c r="M44" s="533" t="e">
        <f ca="1">M10+M26-M11-M15</f>
        <v>#DIV/0!</v>
      </c>
      <c r="N44" s="533"/>
      <c r="O44" s="534" t="e">
        <f ca="1">O10+O26-O11-O15</f>
        <v>#DIV/0!</v>
      </c>
    </row>
    <row r="45" s="459" customFormat="1" customHeight="1" spans="1:16">
      <c r="A45" s="516" t="s">
        <v>127</v>
      </c>
      <c r="B45" s="503"/>
      <c r="C45" s="516"/>
      <c r="D45" s="516"/>
      <c r="E45" s="507">
        <f ca="1" t="shared" ref="E45" si="2">IF(F$3=0,0,G45/F$3)</f>
        <v>0</v>
      </c>
      <c r="F45" s="517"/>
      <c r="G45" s="509" t="e">
        <f ca="1">果糖汇总!G55+专用糖!G57+风味糖!G87+调味糖!G80</f>
        <v>#DIV/0!</v>
      </c>
      <c r="I45" s="502" t="s">
        <v>127</v>
      </c>
      <c r="J45" s="516"/>
      <c r="K45" s="516"/>
      <c r="L45" s="516"/>
      <c r="M45" s="507" t="e">
        <f ca="1" t="shared" ref="M45" si="3">IF(N$3=0,0,O45/N$3)</f>
        <v>#DIV/0!</v>
      </c>
      <c r="N45" s="517"/>
      <c r="O45" s="509" t="e">
        <f ca="1">果糖汇总!O55+专用糖!O57+风味糖!O87</f>
        <v>#DIV/0!</v>
      </c>
    </row>
    <row r="46" s="459" customFormat="1" customHeight="1" spans="1:16">
      <c r="B46" s="538"/>
      <c r="E46" s="539"/>
      <c r="G46" s="483"/>
      <c r="H46" s="559"/>
      <c r="I46" s="559"/>
      <c r="J46" s="559"/>
      <c r="K46" s="559"/>
      <c r="L46" s="559"/>
      <c r="M46" s="559"/>
      <c r="N46" s="559"/>
      <c r="O46" s="483"/>
    </row>
    <row r="47" s="459" customFormat="1" customHeight="1" spans="1:16">
      <c r="B47" s="538"/>
      <c r="E47" s="539"/>
      <c r="G47" s="499"/>
      <c r="H47" s="559"/>
    </row>
    <row r="48" s="459" customFormat="1" customHeight="1" spans="1:16">
      <c r="B48" s="538"/>
      <c r="E48" s="539"/>
      <c r="G48" s="499"/>
      <c r="H48" s="510"/>
      <c r="O48" s="559"/>
    </row>
    <row r="49" s="459" customFormat="1" customHeight="1" spans="2:5">
      <c r="B49" s="538"/>
      <c r="E49" s="539"/>
    </row>
    <row r="50" s="459" customFormat="1" customHeight="1" spans="2:5">
      <c r="B50" s="538"/>
      <c r="E50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2033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3"/>
  </sheetPr>
  <dimension ref="A1:T57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7.5" style="40" customWidth="1"/>
    <col min="4" max="4" width="9" style="40" customWidth="1"/>
    <col min="5" max="5" width="10.375" style="462" customWidth="1"/>
    <col min="6" max="6" width="9" style="40" customWidth="1"/>
    <col min="7" max="7" width="14.625" style="40" customWidth="1"/>
    <col min="8" max="8" width="4" style="40" customWidth="1"/>
    <col min="9" max="9" width="28" style="40" customWidth="1"/>
    <col min="10" max="10" width="3.625" style="40" customWidth="1"/>
    <col min="11" max="11" width="7.5" style="40" customWidth="1"/>
    <col min="12" max="12" width="6" style="40" customWidth="1"/>
    <col min="13" max="13" width="10.25" style="40" customWidth="1"/>
    <col min="14" max="14" width="10.5" style="40" customWidth="1"/>
    <col min="15" max="15" width="14.75" style="40" customWidth="1"/>
    <col min="16" max="16" width="14.375" style="40" customWidth="1"/>
    <col min="17" max="17" width="10.5" style="40" customWidth="1"/>
    <col min="18" max="18" width="14.125" style="40" customWidth="1"/>
    <col min="19" max="19" width="11.5" style="40" customWidth="1"/>
    <col min="20" max="16384" width="9" style="40"/>
  </cols>
  <sheetData>
    <row r="1" s="636" customFormat="1" ht="42.75" customHeight="1" spans="1:19">
      <c r="A1" s="97" t="str">
        <f>CONCATENATE("汇总综合成本利润表_含税(2025年"&amp;mth&amp;"月)")</f>
        <v>汇总综合成本利润表_含税(2025年8月)</v>
      </c>
      <c r="B1" s="98"/>
      <c r="C1" s="98"/>
      <c r="D1" s="98"/>
      <c r="E1" s="98"/>
      <c r="F1" s="98"/>
      <c r="G1" s="98"/>
      <c r="I1" s="463" t="str">
        <f>CONCATENATE("汇总综合成本利润表_含税(2025年1-"&amp;mth&amp;"月)")</f>
        <v>汇总综合成本利润表_含税(2025年1-8月)</v>
      </c>
      <c r="J1" s="463"/>
      <c r="K1" s="463"/>
      <c r="L1" s="463"/>
      <c r="M1" s="463"/>
      <c r="N1" s="463"/>
      <c r="O1" s="463"/>
      <c r="Q1" s="642"/>
    </row>
    <row r="2" s="458" customFormat="1" customHeight="1" spans="1:19">
      <c r="A2" s="464"/>
      <c r="B2" s="464"/>
      <c r="C2" s="464"/>
      <c r="D2" s="465"/>
      <c r="E2" s="44"/>
      <c r="F2" s="464"/>
      <c r="G2" s="464"/>
    </row>
    <row r="3" s="38" customFormat="1" customHeight="1" spans="1:19">
      <c r="A3" s="39"/>
      <c r="E3" s="465" t="s">
        <v>128</v>
      </c>
      <c r="F3" s="647">
        <f ca="1">装置汇总!F3</f>
        <v>0</v>
      </c>
      <c r="G3" s="39" t="s">
        <v>75</v>
      </c>
      <c r="K3" s="552"/>
      <c r="M3" s="465" t="s">
        <v>129</v>
      </c>
      <c r="N3" s="647">
        <f ca="1">装置汇总!N3</f>
        <v>97033.5828181818</v>
      </c>
      <c r="O3" s="39" t="s">
        <v>75</v>
      </c>
    </row>
    <row r="4" s="459" customFormat="1" customHeight="1" spans="1:19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9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I5" s="470" t="s">
        <v>83</v>
      </c>
      <c r="J5" s="471"/>
      <c r="K5" s="472"/>
      <c r="L5" s="472"/>
      <c r="M5" s="474">
        <f ca="1">M6-M7</f>
        <v>3184.97671963904</v>
      </c>
      <c r="N5" s="472"/>
      <c r="O5" s="474">
        <f ca="1">O6-O7</f>
        <v>309049702.299075</v>
      </c>
      <c r="P5" s="590"/>
    </row>
    <row r="6" s="459" customFormat="1" customHeight="1" spans="1:19">
      <c r="A6" s="476" t="s">
        <v>84</v>
      </c>
      <c r="B6" s="477"/>
      <c r="C6" s="478"/>
      <c r="D6" s="479"/>
      <c r="E6" s="478">
        <f ca="1">IF(F$3=0,0,G6/F$3)</f>
        <v>0</v>
      </c>
      <c r="F6" s="479"/>
      <c r="G6" s="507">
        <f ca="1">'果糖汇总-含税'!G6+'专用糖-含税'!G6+'风味糖-含税'!G6+'调味糖-含税'!G6</f>
        <v>0</v>
      </c>
      <c r="I6" s="481" t="s">
        <v>84</v>
      </c>
      <c r="J6" s="477"/>
      <c r="K6" s="478"/>
      <c r="L6" s="479"/>
      <c r="M6" s="478">
        <f ca="1">IF($N$3=0,,O6/$N$3)</f>
        <v>3317.40600559085</v>
      </c>
      <c r="N6" s="479"/>
      <c r="O6" s="507">
        <f ca="1">'果糖汇总-含税'!O6+'专用糖-含税'!O6+'风味糖-含税'!O6</f>
        <v>321899790.385034</v>
      </c>
      <c r="P6" s="590"/>
      <c r="R6" s="511"/>
      <c r="S6" s="511"/>
    </row>
    <row r="7" s="459" customFormat="1" customHeight="1" spans="1:19">
      <c r="A7" s="476" t="s">
        <v>85</v>
      </c>
      <c r="B7" s="477"/>
      <c r="C7" s="479"/>
      <c r="D7" s="479"/>
      <c r="E7" s="507">
        <f ca="1">IF($F$3=0,,G7/$F$3)</f>
        <v>0</v>
      </c>
      <c r="F7" s="479"/>
      <c r="G7" s="507">
        <f ca="1">'果糖汇总-含税'!G7+'专用糖-含税'!G7+'风味糖-含税'!G7+'调味糖-含税'!G7</f>
        <v>0</v>
      </c>
      <c r="I7" s="476" t="s">
        <v>85</v>
      </c>
      <c r="J7" s="477"/>
      <c r="K7" s="479"/>
      <c r="L7" s="479"/>
      <c r="M7" s="507">
        <f ca="1">IF($N$3=0,,O7/$N$3)</f>
        <v>132.429285951818</v>
      </c>
      <c r="N7" s="479"/>
      <c r="O7" s="507">
        <f ca="1">'果糖汇总-含税'!O7+'专用糖-含税'!O7+'风味糖-含税'!O7</f>
        <v>12850088.0859584</v>
      </c>
      <c r="P7" s="590"/>
      <c r="Q7" s="475"/>
      <c r="R7" s="511"/>
      <c r="S7" s="511"/>
    </row>
    <row r="8" s="459" customFormat="1" customHeight="1" spans="1:19">
      <c r="A8" s="476" t="s">
        <v>86</v>
      </c>
      <c r="B8" s="477"/>
      <c r="C8" s="479"/>
      <c r="D8" s="479"/>
      <c r="E8" s="507">
        <f ca="1">IF($F$3=0,,G8/$F$3)</f>
        <v>0</v>
      </c>
      <c r="F8" s="479"/>
      <c r="G8" s="507" t="e">
        <f ca="1">'果糖汇总-含税'!G8+'专用糖-含税'!G8+'风味糖-含税'!G8+'调味糖-含税'!G8</f>
        <v>#DIV/0!</v>
      </c>
      <c r="I8" s="476" t="s">
        <v>86</v>
      </c>
      <c r="J8" s="477"/>
      <c r="K8" s="479"/>
      <c r="L8" s="479"/>
      <c r="M8" s="507">
        <f ca="1">IF($N$3=0,,O8/$N$3)</f>
        <v>69.4613837206794</v>
      </c>
      <c r="N8" s="479"/>
      <c r="O8" s="507">
        <f ca="1">'果糖汇总-含税'!O8+'专用糖-含税'!O8+'风味糖-含税'!O8</f>
        <v>6740086.92992605</v>
      </c>
      <c r="P8" s="590"/>
      <c r="Q8" s="475"/>
      <c r="R8" s="511"/>
      <c r="S8" s="511"/>
    </row>
    <row r="9" s="459" customFormat="1" customHeight="1" spans="1:19">
      <c r="A9" s="476" t="s">
        <v>87</v>
      </c>
      <c r="B9" s="477"/>
      <c r="C9" s="479"/>
      <c r="D9" s="479"/>
      <c r="E9" s="507">
        <f ca="1">IF($F$3=0,,G9/$F$3)</f>
        <v>0</v>
      </c>
      <c r="F9" s="479"/>
      <c r="G9" s="507" t="e">
        <f ca="1">'果糖汇总-含税'!G9+'专用糖-含税'!G9+'风味糖-含税'!G9+'调味糖-含税'!G9</f>
        <v>#DIV/0!</v>
      </c>
      <c r="I9" s="476" t="s">
        <v>87</v>
      </c>
      <c r="J9" s="477"/>
      <c r="K9" s="479"/>
      <c r="L9" s="479"/>
      <c r="M9" s="507">
        <f ca="1">IF($N$3=0,,O9/$N$3)</f>
        <v>62.9679022311388</v>
      </c>
      <c r="N9" s="479"/>
      <c r="O9" s="507">
        <f ca="1">'果糖汇总-含税'!O9+'专用糖-含税'!O9+'风味糖-含税'!O9</f>
        <v>6110001.15603238</v>
      </c>
      <c r="P9" s="590"/>
      <c r="Q9" s="475"/>
      <c r="R9" s="511"/>
      <c r="S9" s="511"/>
    </row>
    <row r="10" s="459" customFormat="1" customHeight="1" spans="1:19">
      <c r="A10" s="484" t="s">
        <v>88</v>
      </c>
      <c r="B10" s="485"/>
      <c r="C10" s="486"/>
      <c r="D10" s="486"/>
      <c r="E10" s="487" t="e">
        <f ca="1">E11+E14+E16+E21+E24+E15</f>
        <v>#DIV/0!</v>
      </c>
      <c r="F10" s="488"/>
      <c r="G10" s="487" t="e">
        <f ca="1">G11+G14+G16+G21+G24+G15</f>
        <v>#DIV/0!</v>
      </c>
      <c r="I10" s="484" t="s">
        <v>88</v>
      </c>
      <c r="J10" s="485"/>
      <c r="K10" s="486"/>
      <c r="L10" s="486"/>
      <c r="M10" s="487" t="e">
        <f ca="1">M11+M14+M16+M21+M24+M15</f>
        <v>#DIV/0!</v>
      </c>
      <c r="N10" s="488"/>
      <c r="O10" s="487" t="e">
        <f ca="1">O11+O14+O16+O21+O24+O15</f>
        <v>#DIV/0!</v>
      </c>
      <c r="P10" s="590"/>
      <c r="R10" s="511"/>
      <c r="S10" s="511"/>
    </row>
    <row r="11" s="459" customFormat="1" customHeight="1" spans="1:19">
      <c r="A11" s="489" t="s">
        <v>89</v>
      </c>
      <c r="B11" s="490" t="s">
        <v>75</v>
      </c>
      <c r="C11" s="491" t="e">
        <f ca="1">C12</f>
        <v>#DIV/0!</v>
      </c>
      <c r="D11" s="492">
        <f ca="1">D12</f>
        <v>0</v>
      </c>
      <c r="E11" s="491" t="e">
        <f ca="1">E12</f>
        <v>#DIV/0!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2823.82966174408</v>
      </c>
      <c r="L11" s="492">
        <f ca="1">IF(K11=0,0,M11/K11)</f>
        <v>0.846145028643204</v>
      </c>
      <c r="M11" s="491">
        <f ca="1">M12</f>
        <v>2389.36943001998</v>
      </c>
      <c r="N11" s="491">
        <f ca="1">N12</f>
        <v>82104.4837130432</v>
      </c>
      <c r="O11" s="491">
        <f ca="1">O12</f>
        <v>231849076.471075</v>
      </c>
      <c r="P11" s="590"/>
      <c r="R11" s="511"/>
      <c r="S11" s="511"/>
    </row>
    <row r="12" s="459" customFormat="1" customHeight="1" spans="1:19">
      <c r="A12" s="502" t="s">
        <v>90</v>
      </c>
      <c r="B12" s="503" t="s">
        <v>75</v>
      </c>
      <c r="C12" s="507" t="e">
        <f ca="1">装置汇总!C12*1.13</f>
        <v>#DIV/0!</v>
      </c>
      <c r="D12" s="497">
        <f ca="1">装置汇总!D12</f>
        <v>0</v>
      </c>
      <c r="E12" s="507" t="e">
        <f ca="1">装置汇总!E12*1.13</f>
        <v>#DIV/0!</v>
      </c>
      <c r="F12" s="507">
        <f ca="1">装置汇总!F12</f>
        <v>0</v>
      </c>
      <c r="G12" s="507">
        <f ca="1">装置汇总!G12*1.13</f>
        <v>0</v>
      </c>
      <c r="I12" s="502" t="s">
        <v>90</v>
      </c>
      <c r="J12" s="503" t="s">
        <v>75</v>
      </c>
      <c r="K12" s="507">
        <f ca="1">装置汇总!K12*1.13</f>
        <v>2823.82966174408</v>
      </c>
      <c r="L12" s="497">
        <f ca="1">装置汇总!L12</f>
        <v>0.846145028643204</v>
      </c>
      <c r="M12" s="507">
        <f ca="1">装置汇总!M12*1.13</f>
        <v>2389.36943001998</v>
      </c>
      <c r="N12" s="507">
        <f ca="1">装置汇总!N12</f>
        <v>82104.4837130432</v>
      </c>
      <c r="O12" s="507">
        <f ca="1">装置汇总!O12*1.13</f>
        <v>231849076.471075</v>
      </c>
      <c r="P12" s="695"/>
      <c r="R12" s="511"/>
      <c r="S12" s="511"/>
    </row>
    <row r="13" s="459" customFormat="1" customHeight="1" spans="1:19">
      <c r="A13" s="502" t="s">
        <v>91</v>
      </c>
      <c r="B13" s="503"/>
      <c r="C13" s="507"/>
      <c r="D13" s="497"/>
      <c r="E13" s="507"/>
      <c r="F13" s="507"/>
      <c r="G13" s="507"/>
      <c r="I13" s="502" t="s">
        <v>91</v>
      </c>
      <c r="J13" s="503"/>
      <c r="K13" s="507"/>
      <c r="L13" s="497"/>
      <c r="M13" s="507"/>
      <c r="N13" s="507"/>
      <c r="O13" s="507"/>
      <c r="P13" s="695"/>
      <c r="R13" s="511"/>
      <c r="S13" s="511"/>
    </row>
    <row r="14" s="459" customFormat="1" customHeight="1" spans="1:19">
      <c r="A14" s="489" t="s">
        <v>130</v>
      </c>
      <c r="B14" s="490"/>
      <c r="C14" s="501"/>
      <c r="D14" s="492"/>
      <c r="E14" s="491" t="e">
        <f ca="1">装置汇总!E14*1.13</f>
        <v>#DIV/0!</v>
      </c>
      <c r="F14" s="491"/>
      <c r="G14" s="491" t="e">
        <f ca="1">装置汇总!G14*1.13</f>
        <v>#DIV/0!</v>
      </c>
      <c r="I14" s="489" t="s">
        <v>130</v>
      </c>
      <c r="J14" s="490"/>
      <c r="K14" s="501"/>
      <c r="L14" s="492"/>
      <c r="M14" s="491" t="e">
        <f ca="1">装置汇总!M14*1.13</f>
        <v>#DIV/0!</v>
      </c>
      <c r="N14" s="491"/>
      <c r="O14" s="491" t="e">
        <f ca="1">装置汇总!O14*1.13</f>
        <v>#DIV/0!</v>
      </c>
      <c r="P14" s="590"/>
      <c r="R14" s="511"/>
      <c r="S14" s="511"/>
    </row>
    <row r="15" s="459" customFormat="1" customHeight="1" spans="1:19">
      <c r="A15" s="508" t="s">
        <v>93</v>
      </c>
      <c r="B15" s="490"/>
      <c r="C15" s="501"/>
      <c r="D15" s="492"/>
      <c r="E15" s="491" t="e">
        <f ca="1">装置汇总!E15*1.13</f>
        <v>#DIV/0!</v>
      </c>
      <c r="F15" s="491"/>
      <c r="G15" s="491">
        <f>装置汇总!G15*1.13</f>
        <v>0</v>
      </c>
      <c r="I15" s="508" t="s">
        <v>93</v>
      </c>
      <c r="J15" s="490"/>
      <c r="K15" s="501"/>
      <c r="L15" s="492"/>
      <c r="M15" s="491">
        <f ca="1">装置汇总!M15*1.13</f>
        <v>0</v>
      </c>
      <c r="N15" s="491"/>
      <c r="O15" s="491">
        <f>装置汇总!O15*1.13</f>
        <v>0</v>
      </c>
      <c r="P15" s="590"/>
      <c r="R15" s="511"/>
      <c r="S15" s="511"/>
    </row>
    <row r="16" s="459" customFormat="1" customHeight="1" spans="1:19">
      <c r="A16" s="508" t="s">
        <v>94</v>
      </c>
      <c r="B16" s="490"/>
      <c r="C16" s="501"/>
      <c r="D16" s="492"/>
      <c r="E16" s="491">
        <f ca="1">SUM(E17:E20)</f>
        <v>0</v>
      </c>
      <c r="F16" s="491"/>
      <c r="G16" s="491">
        <f ca="1">SUM(G17:G20)</f>
        <v>0</v>
      </c>
      <c r="I16" s="508" t="s">
        <v>94</v>
      </c>
      <c r="J16" s="490"/>
      <c r="K16" s="501"/>
      <c r="L16" s="492"/>
      <c r="M16" s="491" t="e">
        <f ca="1">SUM(M17:M20)</f>
        <v>#DIV/0!</v>
      </c>
      <c r="N16" s="491"/>
      <c r="O16" s="491" t="e">
        <f ca="1">SUM(O17:O20)</f>
        <v>#DIV/0!</v>
      </c>
      <c r="P16" s="590"/>
      <c r="R16" s="511"/>
      <c r="S16" s="511"/>
    </row>
    <row r="17" s="459" customFormat="1" ht="15.75" customHeight="1" spans="1:19">
      <c r="A17" s="502" t="s">
        <v>95</v>
      </c>
      <c r="B17" s="503" t="s">
        <v>75</v>
      </c>
      <c r="C17" s="567">
        <f ca="1">IF(G17=0,0,G17/F17)</f>
        <v>0</v>
      </c>
      <c r="D17" s="505">
        <f ca="1">装置汇总!D17</f>
        <v>0</v>
      </c>
      <c r="E17" s="509">
        <f ca="1">C17*D17</f>
        <v>0</v>
      </c>
      <c r="F17" s="507" t="e">
        <f ca="1">装置汇总!F17</f>
        <v>#DIV/0!</v>
      </c>
      <c r="G17" s="507">
        <f ca="1">'专用糖-含税'!G29+'F55-含税'!G27+'F42-含税'!G27+'F60-含税'!G27+'风味糖-含税'!G59+'F90-含税 '!G27+'调味糖-含税'!G51</f>
        <v>0</v>
      </c>
      <c r="I17" s="502" t="s">
        <v>95</v>
      </c>
      <c r="J17" s="503" t="s">
        <v>75</v>
      </c>
      <c r="K17" s="567" t="e">
        <f ca="1">IF(O17=0,0,O17/N17)</f>
        <v>#DIV/0!</v>
      </c>
      <c r="L17" s="505" t="e">
        <f ca="1">装置汇总!L17</f>
        <v>#DIV/0!</v>
      </c>
      <c r="M17" s="509" t="e">
        <f ca="1">K17*L17</f>
        <v>#DIV/0!</v>
      </c>
      <c r="N17" s="507" t="e">
        <f ca="1">装置汇总!N17</f>
        <v>#DIV/0!</v>
      </c>
      <c r="O17" s="507" t="e">
        <f ca="1">'专用糖-含税'!O29+'F55-含税'!O27+'F42-含税'!O27+'F60-含税'!O27+'风味糖-含税'!O59</f>
        <v>#DIV/0!</v>
      </c>
      <c r="P17" s="695"/>
      <c r="Q17" s="511"/>
      <c r="R17" s="511"/>
      <c r="S17" s="511"/>
    </row>
    <row r="18" s="459" customFormat="1" customHeight="1" spans="1:19">
      <c r="A18" s="502" t="s">
        <v>96</v>
      </c>
      <c r="B18" s="503" t="s">
        <v>97</v>
      </c>
      <c r="C18" s="567">
        <f ca="1">IF(G18=0,0,G18/F18)</f>
        <v>0</v>
      </c>
      <c r="D18" s="505">
        <f ca="1">装置汇总!D18</f>
        <v>0</v>
      </c>
      <c r="E18" s="507">
        <f ca="1">装置汇总!E18*1.13</f>
        <v>0</v>
      </c>
      <c r="F18" s="507" t="e">
        <f ca="1">装置汇总!F18</f>
        <v>#DIV/0!</v>
      </c>
      <c r="G18" s="507">
        <f ca="1">装置汇总!G18*1.13</f>
        <v>0</v>
      </c>
      <c r="I18" s="502" t="s">
        <v>96</v>
      </c>
      <c r="J18" s="503" t="s">
        <v>97</v>
      </c>
      <c r="K18" s="567" t="e">
        <f ca="1">IF(O18=0,0,O18/N18)</f>
        <v>#DIV/0!</v>
      </c>
      <c r="L18" s="505" t="e">
        <f ca="1">装置汇总!L18</f>
        <v>#DIV/0!</v>
      </c>
      <c r="M18" s="507" t="e">
        <f ca="1">装置汇总!M18*1.13</f>
        <v>#DIV/0!</v>
      </c>
      <c r="N18" s="507" t="e">
        <f ca="1">装置汇总!N18</f>
        <v>#DIV/0!</v>
      </c>
      <c r="O18" s="507" t="e">
        <f ca="1">装置汇总!O18*1.13</f>
        <v>#DIV/0!</v>
      </c>
      <c r="P18" s="695"/>
      <c r="Q18" s="511"/>
      <c r="R18" s="511"/>
      <c r="S18" s="511"/>
    </row>
    <row r="19" s="459" customFormat="1" customHeight="1" spans="1:19">
      <c r="A19" s="502" t="s">
        <v>98</v>
      </c>
      <c r="B19" s="503" t="s">
        <v>75</v>
      </c>
      <c r="C19" s="567">
        <f ca="1">IF(G19=0,0,G19/F19)</f>
        <v>0</v>
      </c>
      <c r="D19" s="505">
        <f ca="1">装置汇总!D19</f>
        <v>0</v>
      </c>
      <c r="E19" s="507">
        <f ca="1">D19*C19</f>
        <v>0</v>
      </c>
      <c r="F19" s="507" t="e">
        <f ca="1">装置汇总!F19</f>
        <v>#DIV/0!</v>
      </c>
      <c r="G19" s="507">
        <f ca="1">'果糖汇总-含税'!G29+'专用糖-含税'!G31+'风味糖-含税'!G61+'调味糖-含税'!G53</f>
        <v>0</v>
      </c>
      <c r="I19" s="502" t="s">
        <v>98</v>
      </c>
      <c r="J19" s="503" t="s">
        <v>75</v>
      </c>
      <c r="K19" s="567" t="e">
        <f ca="1">IF(O19=0,0,O19/N19)</f>
        <v>#DIV/0!</v>
      </c>
      <c r="L19" s="505" t="e">
        <f ca="1">装置汇总!L19</f>
        <v>#DIV/0!</v>
      </c>
      <c r="M19" s="507" t="e">
        <f ca="1">L19*K19</f>
        <v>#DIV/0!</v>
      </c>
      <c r="N19" s="507" t="e">
        <f ca="1">装置汇总!N19</f>
        <v>#DIV/0!</v>
      </c>
      <c r="O19" s="507" t="e">
        <f ca="1">'果糖汇总-含税'!O29+'专用糖-含税'!O31+'风味糖-含税'!O61</f>
        <v>#DIV/0!</v>
      </c>
      <c r="P19" s="695"/>
      <c r="Q19" s="511"/>
      <c r="R19" s="511"/>
      <c r="S19" s="511"/>
    </row>
    <row r="20" s="459" customFormat="1" customHeight="1" spans="1:19">
      <c r="A20" s="502" t="s">
        <v>99</v>
      </c>
      <c r="B20" s="503"/>
      <c r="C20" s="567"/>
      <c r="D20" s="505"/>
      <c r="E20" s="507"/>
      <c r="F20" s="507"/>
      <c r="G20" s="507"/>
      <c r="I20" s="502" t="s">
        <v>99</v>
      </c>
      <c r="J20" s="503"/>
      <c r="K20" s="566"/>
      <c r="L20" s="505"/>
      <c r="M20" s="507"/>
      <c r="N20" s="507"/>
      <c r="O20" s="507"/>
      <c r="P20" s="695"/>
      <c r="Q20" s="511"/>
      <c r="R20" s="511"/>
      <c r="S20" s="511"/>
    </row>
    <row r="21" s="459" customFormat="1" customHeight="1" spans="1:19">
      <c r="A21" s="508" t="s">
        <v>101</v>
      </c>
      <c r="B21" s="490"/>
      <c r="C21" s="501"/>
      <c r="D21" s="492"/>
      <c r="E21" s="491">
        <f ca="1">装置汇总!E21*1.13</f>
        <v>0</v>
      </c>
      <c r="F21" s="491"/>
      <c r="G21" s="491" t="e">
        <f ca="1">装置汇总!G21*1.13</f>
        <v>#DIV/0!</v>
      </c>
      <c r="I21" s="508" t="s">
        <v>101</v>
      </c>
      <c r="J21" s="490"/>
      <c r="K21" s="501"/>
      <c r="L21" s="492"/>
      <c r="M21" s="491" t="e">
        <f ca="1">装置汇总!M21*1.13</f>
        <v>#DIV/0!</v>
      </c>
      <c r="N21" s="491"/>
      <c r="O21" s="491" t="e">
        <f ca="1">装置汇总!O21*1.13</f>
        <v>#DIV/0!</v>
      </c>
      <c r="P21" s="590"/>
    </row>
    <row r="22" s="459" customFormat="1" customHeight="1" spans="1:19">
      <c r="A22" s="508" t="s">
        <v>102</v>
      </c>
      <c r="B22" s="490"/>
      <c r="C22" s="501"/>
      <c r="D22" s="492"/>
      <c r="E22" s="491">
        <f ca="1">E21</f>
        <v>0</v>
      </c>
      <c r="F22" s="491"/>
      <c r="G22" s="491" t="e">
        <f ca="1">G21</f>
        <v>#DIV/0!</v>
      </c>
      <c r="I22" s="508" t="s">
        <v>102</v>
      </c>
      <c r="J22" s="490"/>
      <c r="K22" s="501"/>
      <c r="L22" s="492"/>
      <c r="M22" s="491" t="e">
        <f ca="1">M21</f>
        <v>#DIV/0!</v>
      </c>
      <c r="N22" s="491"/>
      <c r="O22" s="491" t="e">
        <f ca="1">O21</f>
        <v>#DIV/0!</v>
      </c>
      <c r="P22" s="590"/>
    </row>
    <row r="23" s="459" customFormat="1" customHeight="1" spans="1:19">
      <c r="A23" s="508" t="s">
        <v>103</v>
      </c>
      <c r="B23" s="490"/>
      <c r="C23" s="501"/>
      <c r="D23" s="492"/>
      <c r="E23" s="501"/>
      <c r="F23" s="491"/>
      <c r="G23" s="491"/>
      <c r="I23" s="508" t="s">
        <v>103</v>
      </c>
      <c r="J23" s="490"/>
      <c r="K23" s="501"/>
      <c r="L23" s="492"/>
      <c r="M23" s="501"/>
      <c r="N23" s="491"/>
      <c r="O23" s="491"/>
      <c r="P23" s="590"/>
    </row>
    <row r="24" s="459" customFormat="1" customHeight="1" spans="1:19">
      <c r="A24" s="508" t="s">
        <v>104</v>
      </c>
      <c r="B24" s="490"/>
      <c r="C24" s="501"/>
      <c r="D24" s="492"/>
      <c r="E24" s="491" t="e">
        <f ca="1">SUM(E5,-E11,-E14,-E16,-E21)-SUM(装置汇总!E5,-装置汇总!E11,-装置汇总!E14,-装置汇总!E16,-装置汇总!E21)</f>
        <v>#DIV/0!</v>
      </c>
      <c r="F24" s="491"/>
      <c r="G24" s="491" t="e">
        <f ca="1">SUM(G5,-G11,-G14,-G16,-G21,-G15)-SUM(装置汇总!G5,-装置汇总!G11,-装置汇总!G14,-装置汇总!G16,-装置汇总!G21,-装置汇总!G15)</f>
        <v>#DIV/0!</v>
      </c>
      <c r="I24" s="508" t="s">
        <v>104</v>
      </c>
      <c r="J24" s="490"/>
      <c r="K24" s="501"/>
      <c r="L24" s="492"/>
      <c r="M24" s="491" t="e">
        <f ca="1">SUM(M5,-M11,-M14,-M16,-M21)-SUM(装置汇总!M5,-装置汇总!M11,-装置汇总!M14,-装置汇总!M16,-装置汇总!M21)</f>
        <v>#DIV/0!</v>
      </c>
      <c r="N24" s="491"/>
      <c r="O24" s="491" t="e">
        <f ca="1">SUM(O5,-O11,-O14,-O16,-O21,-O15)-SUM(装置汇总!O5,-装置汇总!O11,-装置汇总!O14,-装置汇总!O16,-装置汇总!O21,-装置汇总!O15)</f>
        <v>#DIV/0!</v>
      </c>
      <c r="P24" s="590"/>
    </row>
    <row r="25" s="459" customFormat="1" customHeight="1" spans="1:19">
      <c r="A25" s="508" t="s">
        <v>105</v>
      </c>
      <c r="B25" s="490"/>
      <c r="C25" s="501"/>
      <c r="D25" s="492"/>
      <c r="E25" s="491" t="e">
        <f ca="1">E5-E10</f>
        <v>#DIV/0!</v>
      </c>
      <c r="F25" s="491"/>
      <c r="G25" s="491" t="e">
        <f ca="1">G5-G10</f>
        <v>#DIV/0!</v>
      </c>
      <c r="H25" s="512"/>
      <c r="I25" s="508" t="s">
        <v>105</v>
      </c>
      <c r="J25" s="490"/>
      <c r="K25" s="501"/>
      <c r="L25" s="492"/>
      <c r="M25" s="542" t="e">
        <f ca="1">M5-M10</f>
        <v>#DIV/0!</v>
      </c>
      <c r="N25" s="491"/>
      <c r="O25" s="491" t="e">
        <f ca="1">O5-O10</f>
        <v>#DIV/0!</v>
      </c>
      <c r="P25" s="590"/>
    </row>
    <row r="26" s="459" customFormat="1" customHeight="1" spans="1:19">
      <c r="A26" s="513" t="s">
        <v>106</v>
      </c>
      <c r="B26" s="485"/>
      <c r="C26" s="514"/>
      <c r="D26" s="515"/>
      <c r="E26" s="487">
        <f ca="1">SUM(E27:E33)</f>
        <v>0</v>
      </c>
      <c r="F26" s="488"/>
      <c r="G26" s="487" t="e">
        <f ca="1">SUM(G27:G33)</f>
        <v>#DIV/0!</v>
      </c>
      <c r="I26" s="513" t="s">
        <v>106</v>
      </c>
      <c r="J26" s="485"/>
      <c r="K26" s="514"/>
      <c r="L26" s="515"/>
      <c r="M26" s="487" t="e">
        <f ca="1">SUM(M27:M33)</f>
        <v>#DIV/0!</v>
      </c>
      <c r="N26" s="488"/>
      <c r="O26" s="487" t="e">
        <f ca="1">SUM(O27:O33)</f>
        <v>#DIV/0!</v>
      </c>
      <c r="P26" s="590"/>
      <c r="Q26" s="562"/>
      <c r="R26" s="562"/>
    </row>
    <row r="27" s="459" customFormat="1" customHeight="1" spans="1:19">
      <c r="A27" s="516" t="s">
        <v>107</v>
      </c>
      <c r="B27" s="503"/>
      <c r="C27" s="505"/>
      <c r="D27" s="497"/>
      <c r="E27" s="507">
        <f ca="1" t="shared" ref="E27:E40" si="0">IF(F$3=0,0,G27/F$3)</f>
        <v>0</v>
      </c>
      <c r="F27" s="517"/>
      <c r="G27" s="507" t="e">
        <f ca="1">装置汇总!G27</f>
        <v>#DIV/0!</v>
      </c>
      <c r="H27" s="483"/>
      <c r="I27" s="516" t="s">
        <v>107</v>
      </c>
      <c r="J27" s="503"/>
      <c r="K27" s="505"/>
      <c r="L27" s="497"/>
      <c r="M27" s="507" t="e">
        <f ca="1" t="shared" ref="M27:M40" si="1">IF(N$3=0,0,O27/N$3)</f>
        <v>#DIV/0!</v>
      </c>
      <c r="N27" s="517"/>
      <c r="O27" s="507" t="e">
        <f ca="1">装置汇总!O27</f>
        <v>#DIV/0!</v>
      </c>
      <c r="P27" s="590"/>
      <c r="Q27" s="562"/>
      <c r="R27" s="696"/>
    </row>
    <row r="28" s="459" customFormat="1" customHeight="1" spans="1:19">
      <c r="A28" s="516" t="s">
        <v>108</v>
      </c>
      <c r="B28" s="503"/>
      <c r="C28" s="505"/>
      <c r="D28" s="497"/>
      <c r="E28" s="507">
        <f ca="1" t="shared" si="0"/>
        <v>0</v>
      </c>
      <c r="F28" s="517"/>
      <c r="G28" s="507" t="e">
        <f ca="1">装置汇总!G28</f>
        <v>#DIV/0!</v>
      </c>
      <c r="H28" s="483"/>
      <c r="I28" s="516" t="s">
        <v>108</v>
      </c>
      <c r="J28" s="503"/>
      <c r="K28" s="505"/>
      <c r="L28" s="497"/>
      <c r="M28" s="507" t="e">
        <f ca="1" t="shared" si="1"/>
        <v>#DIV/0!</v>
      </c>
      <c r="N28" s="517"/>
      <c r="O28" s="507" t="e">
        <f ca="1">装置汇总!O28</f>
        <v>#DIV/0!</v>
      </c>
      <c r="P28" s="590"/>
      <c r="Q28" s="562"/>
      <c r="R28" s="696"/>
    </row>
    <row r="29" s="459" customFormat="1" customHeight="1" spans="1:19">
      <c r="A29" s="516" t="s">
        <v>109</v>
      </c>
      <c r="B29" s="503"/>
      <c r="C29" s="498"/>
      <c r="D29" s="518"/>
      <c r="E29" s="507">
        <f ca="1" t="shared" si="0"/>
        <v>0</v>
      </c>
      <c r="F29" s="517"/>
      <c r="G29" s="507" t="e">
        <f ca="1">装置汇总!G29</f>
        <v>#DIV/0!</v>
      </c>
      <c r="H29" s="483"/>
      <c r="I29" s="516" t="s">
        <v>109</v>
      </c>
      <c r="J29" s="503"/>
      <c r="K29" s="498"/>
      <c r="L29" s="518"/>
      <c r="M29" s="507" t="e">
        <f ca="1" t="shared" si="1"/>
        <v>#DIV/0!</v>
      </c>
      <c r="N29" s="517"/>
      <c r="O29" s="507" t="e">
        <f ca="1">装置汇总!O29</f>
        <v>#DIV/0!</v>
      </c>
      <c r="P29" s="590"/>
      <c r="Q29" s="562"/>
      <c r="R29" s="696"/>
    </row>
    <row r="30" s="459" customFormat="1" customHeight="1" spans="1:19">
      <c r="A30" s="516" t="s">
        <v>110</v>
      </c>
      <c r="B30" s="503"/>
      <c r="C30" s="498"/>
      <c r="D30" s="518"/>
      <c r="E30" s="507">
        <f ca="1" t="shared" si="0"/>
        <v>0</v>
      </c>
      <c r="F30" s="517"/>
      <c r="G30" s="507" t="e">
        <f ca="1">装置汇总!G30</f>
        <v>#DIV/0!</v>
      </c>
      <c r="H30" s="483"/>
      <c r="I30" s="516" t="s">
        <v>110</v>
      </c>
      <c r="J30" s="503"/>
      <c r="K30" s="498"/>
      <c r="L30" s="518"/>
      <c r="M30" s="507" t="e">
        <f ca="1" t="shared" si="1"/>
        <v>#DIV/0!</v>
      </c>
      <c r="N30" s="517"/>
      <c r="O30" s="507" t="e">
        <f ca="1">装置汇总!O30</f>
        <v>#DIV/0!</v>
      </c>
      <c r="P30" s="590"/>
      <c r="Q30" s="562"/>
      <c r="R30" s="696"/>
    </row>
    <row r="31" s="459" customFormat="1" customHeight="1" spans="1:19">
      <c r="A31" s="516" t="s">
        <v>111</v>
      </c>
      <c r="B31" s="503"/>
      <c r="C31" s="498"/>
      <c r="D31" s="518"/>
      <c r="E31" s="507">
        <f ca="1" t="shared" si="0"/>
        <v>0</v>
      </c>
      <c r="F31" s="517"/>
      <c r="G31" s="507" t="e">
        <f ca="1">装置汇总!G31</f>
        <v>#DIV/0!</v>
      </c>
      <c r="H31" s="483"/>
      <c r="I31" s="516" t="s">
        <v>111</v>
      </c>
      <c r="J31" s="503"/>
      <c r="K31" s="498"/>
      <c r="L31" s="518"/>
      <c r="M31" s="507" t="e">
        <f ca="1" t="shared" si="1"/>
        <v>#DIV/0!</v>
      </c>
      <c r="N31" s="517"/>
      <c r="O31" s="507" t="e">
        <f ca="1">装置汇总!O31</f>
        <v>#DIV/0!</v>
      </c>
      <c r="P31" s="590"/>
      <c r="Q31" s="562"/>
      <c r="R31" s="696"/>
    </row>
    <row r="32" s="459" customFormat="1" customHeight="1" spans="1:19">
      <c r="A32" s="516" t="s">
        <v>112</v>
      </c>
      <c r="B32" s="503"/>
      <c r="C32" s="498"/>
      <c r="D32" s="518"/>
      <c r="E32" s="507">
        <f ca="1" t="shared" si="0"/>
        <v>0</v>
      </c>
      <c r="F32" s="517"/>
      <c r="G32" s="507" t="e">
        <f ca="1">装置汇总!G32</f>
        <v>#DIV/0!</v>
      </c>
      <c r="H32" s="483"/>
      <c r="I32" s="516" t="s">
        <v>112</v>
      </c>
      <c r="J32" s="503"/>
      <c r="K32" s="498"/>
      <c r="L32" s="518"/>
      <c r="M32" s="507" t="e">
        <f ca="1" t="shared" si="1"/>
        <v>#DIV/0!</v>
      </c>
      <c r="N32" s="517"/>
      <c r="O32" s="507" t="e">
        <f ca="1">装置汇总!O32</f>
        <v>#DIV/0!</v>
      </c>
      <c r="P32" s="590"/>
      <c r="Q32" s="562"/>
      <c r="R32" s="696"/>
    </row>
    <row r="33" s="459" customFormat="1" customHeight="1" spans="1:20">
      <c r="A33" s="516" t="s">
        <v>113</v>
      </c>
      <c r="B33" s="503"/>
      <c r="C33" s="498"/>
      <c r="D33" s="518"/>
      <c r="E33" s="576">
        <f ca="1" t="shared" si="0"/>
        <v>0</v>
      </c>
      <c r="F33" s="517"/>
      <c r="G33" s="507" t="e">
        <f ca="1">装置汇总!G33</f>
        <v>#DIV/0!</v>
      </c>
      <c r="I33" s="516" t="s">
        <v>114</v>
      </c>
      <c r="J33" s="503"/>
      <c r="K33" s="498"/>
      <c r="L33" s="518"/>
      <c r="M33" s="576" t="e">
        <f ca="1" t="shared" si="1"/>
        <v>#DIV/0!</v>
      </c>
      <c r="N33" s="517"/>
      <c r="O33" s="507" t="e">
        <f ca="1">装置汇总!O33</f>
        <v>#DIV/0!</v>
      </c>
      <c r="P33" s="590"/>
    </row>
    <row r="34" s="459" customFormat="1" customHeight="1" spans="1:20">
      <c r="A34" s="516" t="s">
        <v>115</v>
      </c>
      <c r="B34" s="503"/>
      <c r="C34" s="498"/>
      <c r="D34" s="518"/>
      <c r="E34" s="576">
        <f ca="1" t="shared" si="0"/>
        <v>0</v>
      </c>
      <c r="F34" s="517"/>
      <c r="G34" s="575" t="e">
        <f ca="1">装置汇总!G34</f>
        <v>#DIV/0!</v>
      </c>
      <c r="I34" s="516" t="s">
        <v>115</v>
      </c>
      <c r="J34" s="503"/>
      <c r="K34" s="498"/>
      <c r="L34" s="518"/>
      <c r="M34" s="576" t="e">
        <f ca="1" t="shared" si="1"/>
        <v>#DIV/0!</v>
      </c>
      <c r="N34" s="517"/>
      <c r="O34" s="575" t="e">
        <f ca="1">装置汇总!O34</f>
        <v>#DIV/0!</v>
      </c>
    </row>
    <row r="35" s="459" customFormat="1" customHeight="1" spans="1:20">
      <c r="A35" s="516" t="s">
        <v>116</v>
      </c>
      <c r="B35" s="503"/>
      <c r="C35" s="498"/>
      <c r="D35" s="518"/>
      <c r="E35" s="576">
        <f ca="1" t="shared" si="0"/>
        <v>0</v>
      </c>
      <c r="F35" s="517"/>
      <c r="G35" s="575" t="e">
        <f ca="1">装置汇总!G35</f>
        <v>#DIV/0!</v>
      </c>
      <c r="I35" s="516" t="s">
        <v>116</v>
      </c>
      <c r="J35" s="503"/>
      <c r="K35" s="498"/>
      <c r="L35" s="518"/>
      <c r="M35" s="576" t="e">
        <f ca="1" t="shared" si="1"/>
        <v>#DIV/0!</v>
      </c>
      <c r="N35" s="517"/>
      <c r="O35" s="575" t="e">
        <f ca="1">装置汇总!O35</f>
        <v>#DIV/0!</v>
      </c>
    </row>
    <row r="36" s="459" customFormat="1" customHeight="1" spans="1:20">
      <c r="A36" s="516" t="s">
        <v>117</v>
      </c>
      <c r="B36" s="503"/>
      <c r="C36" s="498"/>
      <c r="D36" s="518"/>
      <c r="E36" s="576">
        <f ca="1" t="shared" si="0"/>
        <v>0</v>
      </c>
      <c r="F36" s="517"/>
      <c r="G36" s="575" t="e">
        <f ca="1">装置汇总!G36</f>
        <v>#DIV/0!</v>
      </c>
      <c r="I36" s="516" t="s">
        <v>117</v>
      </c>
      <c r="J36" s="503"/>
      <c r="K36" s="498"/>
      <c r="L36" s="518"/>
      <c r="M36" s="576" t="e">
        <f ca="1" t="shared" si="1"/>
        <v>#DIV/0!</v>
      </c>
      <c r="N36" s="517"/>
      <c r="O36" s="575" t="e">
        <f ca="1">装置汇总!O36</f>
        <v>#DIV/0!</v>
      </c>
    </row>
    <row r="37" s="459" customFormat="1" customHeight="1" spans="1:20">
      <c r="A37" s="516" t="s">
        <v>118</v>
      </c>
      <c r="B37" s="503"/>
      <c r="C37" s="498"/>
      <c r="D37" s="518"/>
      <c r="E37" s="576">
        <f ca="1" t="shared" si="0"/>
        <v>0</v>
      </c>
      <c r="F37" s="517"/>
      <c r="G37" s="575" t="e">
        <f ca="1">装置汇总!G37</f>
        <v>#DIV/0!</v>
      </c>
      <c r="I37" s="516" t="s">
        <v>118</v>
      </c>
      <c r="J37" s="503"/>
      <c r="K37" s="498"/>
      <c r="L37" s="518"/>
      <c r="M37" s="576" t="e">
        <f ca="1" t="shared" si="1"/>
        <v>#DIV/0!</v>
      </c>
      <c r="N37" s="517"/>
      <c r="O37" s="575" t="e">
        <f ca="1">装置汇总!O37</f>
        <v>#DIV/0!</v>
      </c>
    </row>
    <row r="38" s="459" customFormat="1" customHeight="1" spans="1:20">
      <c r="A38" s="516" t="s">
        <v>119</v>
      </c>
      <c r="B38" s="503"/>
      <c r="C38" s="498"/>
      <c r="D38" s="518"/>
      <c r="E38" s="576">
        <f ca="1" t="shared" si="0"/>
        <v>0</v>
      </c>
      <c r="F38" s="517"/>
      <c r="G38" s="575" t="e">
        <f ca="1">装置汇总!G38</f>
        <v>#DIV/0!</v>
      </c>
      <c r="I38" s="516" t="s">
        <v>119</v>
      </c>
      <c r="J38" s="503"/>
      <c r="K38" s="498"/>
      <c r="L38" s="518"/>
      <c r="M38" s="576" t="e">
        <f ca="1" t="shared" si="1"/>
        <v>#DIV/0!</v>
      </c>
      <c r="N38" s="517"/>
      <c r="O38" s="575" t="e">
        <f ca="1">装置汇总!O38</f>
        <v>#DIV/0!</v>
      </c>
    </row>
    <row r="39" s="459" customFormat="1" customHeight="1" spans="1:20">
      <c r="A39" s="516" t="s">
        <v>120</v>
      </c>
      <c r="B39" s="503"/>
      <c r="C39" s="498"/>
      <c r="D39" s="518"/>
      <c r="E39" s="576">
        <f ca="1" t="shared" si="0"/>
        <v>0</v>
      </c>
      <c r="F39" s="517"/>
      <c r="G39" s="575" t="e">
        <f ca="1">装置汇总!G39</f>
        <v>#DIV/0!</v>
      </c>
      <c r="I39" s="516" t="s">
        <v>120</v>
      </c>
      <c r="J39" s="503"/>
      <c r="K39" s="498"/>
      <c r="L39" s="518"/>
      <c r="M39" s="576" t="e">
        <f ca="1" t="shared" si="1"/>
        <v>#DIV/0!</v>
      </c>
      <c r="N39" s="517"/>
      <c r="O39" s="575" t="e">
        <f ca="1">装置汇总!O39</f>
        <v>#DIV/0!</v>
      </c>
    </row>
    <row r="40" s="459" customFormat="1" customHeight="1" spans="1:20">
      <c r="A40" s="516" t="s">
        <v>121</v>
      </c>
      <c r="B40" s="503"/>
      <c r="C40" s="498"/>
      <c r="D40" s="518"/>
      <c r="E40" s="576">
        <f ca="1" t="shared" si="0"/>
        <v>0</v>
      </c>
      <c r="F40" s="517"/>
      <c r="G40" s="575" t="e">
        <f ca="1">装置汇总!G40</f>
        <v>#DIV/0!</v>
      </c>
      <c r="I40" s="516" t="s">
        <v>121</v>
      </c>
      <c r="J40" s="503"/>
      <c r="K40" s="498"/>
      <c r="L40" s="518"/>
      <c r="M40" s="576" t="e">
        <f ca="1" t="shared" si="1"/>
        <v>#DIV/0!</v>
      </c>
      <c r="N40" s="517"/>
      <c r="O40" s="575" t="e">
        <f ca="1">装置汇总!O40</f>
        <v>#DIV/0!</v>
      </c>
    </row>
    <row r="41" s="460" customFormat="1" ht="14.25" customHeight="1" spans="1:20">
      <c r="A41" s="685" t="s">
        <v>122</v>
      </c>
      <c r="B41" s="525" t="s">
        <v>123</v>
      </c>
      <c r="C41" s="514"/>
      <c r="D41" s="515"/>
      <c r="E41" s="487" t="e">
        <f ca="1">E10+E26</f>
        <v>#DIV/0!</v>
      </c>
      <c r="F41" s="526"/>
      <c r="G41" s="487" t="e">
        <f ca="1">G10+G26</f>
        <v>#DIV/0!</v>
      </c>
      <c r="H41" s="690"/>
      <c r="I41" s="685" t="s">
        <v>122</v>
      </c>
      <c r="J41" s="525" t="s">
        <v>123</v>
      </c>
      <c r="K41" s="514"/>
      <c r="L41" s="515"/>
      <c r="M41" s="487" t="e">
        <f ca="1">M10+M26</f>
        <v>#DIV/0!</v>
      </c>
      <c r="N41" s="526"/>
      <c r="O41" s="487" t="e">
        <f ca="1">O10+O26</f>
        <v>#DIV/0!</v>
      </c>
    </row>
    <row r="42" s="460" customFormat="1" ht="14.25" customHeight="1" spans="1:20">
      <c r="A42" s="524" t="s">
        <v>124</v>
      </c>
      <c r="B42" s="525" t="s">
        <v>123</v>
      </c>
      <c r="C42" s="514"/>
      <c r="D42" s="515"/>
      <c r="E42" s="487" t="e">
        <f ca="1">E25-E26</f>
        <v>#DIV/0!</v>
      </c>
      <c r="F42" s="526"/>
      <c r="G42" s="487" t="e">
        <f ca="1">G25-G26</f>
        <v>#DIV/0!</v>
      </c>
      <c r="H42" s="690"/>
      <c r="I42" s="524" t="s">
        <v>124</v>
      </c>
      <c r="J42" s="525" t="s">
        <v>123</v>
      </c>
      <c r="K42" s="514"/>
      <c r="L42" s="515"/>
      <c r="M42" s="487" t="e">
        <f ca="1">M25-M26</f>
        <v>#DIV/0!</v>
      </c>
      <c r="N42" s="526"/>
      <c r="O42" s="487" t="e">
        <f ca="1">O25-O26</f>
        <v>#DIV/0!</v>
      </c>
      <c r="P42" s="539"/>
    </row>
    <row r="43" s="460" customFormat="1" ht="14.25" customHeight="1" spans="1:20">
      <c r="A43" s="524" t="s">
        <v>125</v>
      </c>
      <c r="B43" s="525" t="s">
        <v>123</v>
      </c>
      <c r="C43" s="514"/>
      <c r="D43" s="515"/>
      <c r="E43" s="487" t="e">
        <f ca="1">E42+E27</f>
        <v>#DIV/0!</v>
      </c>
      <c r="F43" s="526"/>
      <c r="G43" s="487" t="e">
        <f ca="1">G42+G27</f>
        <v>#DIV/0!</v>
      </c>
      <c r="H43" s="690"/>
      <c r="I43" s="524" t="s">
        <v>125</v>
      </c>
      <c r="J43" s="525" t="s">
        <v>123</v>
      </c>
      <c r="K43" s="514"/>
      <c r="L43" s="515"/>
      <c r="M43" s="487" t="e">
        <f ca="1">M42+M27</f>
        <v>#DIV/0!</v>
      </c>
      <c r="N43" s="526"/>
      <c r="O43" s="487" t="e">
        <f ca="1">O42+O27</f>
        <v>#DIV/0!</v>
      </c>
      <c r="P43" s="661"/>
    </row>
    <row r="44" s="540" customFormat="1" customHeight="1" spans="1:20">
      <c r="A44" s="529" t="s">
        <v>126</v>
      </c>
      <c r="B44" s="530" t="s">
        <v>123</v>
      </c>
      <c r="C44" s="531"/>
      <c r="D44" s="532"/>
      <c r="E44" s="533" t="e">
        <f ca="1">E10+E26-E11-E15</f>
        <v>#DIV/0!</v>
      </c>
      <c r="F44" s="533"/>
      <c r="G44" s="534" t="e">
        <f ca="1">G10+G26-G11-G15</f>
        <v>#DIV/0!</v>
      </c>
      <c r="H44" s="535"/>
      <c r="I44" s="529" t="s">
        <v>126</v>
      </c>
      <c r="J44" s="530" t="s">
        <v>123</v>
      </c>
      <c r="K44" s="531"/>
      <c r="L44" s="532"/>
      <c r="M44" s="533" t="e">
        <f ca="1">M10+M26-M11-M15</f>
        <v>#DIV/0!</v>
      </c>
      <c r="N44" s="533"/>
      <c r="O44" s="534" t="e">
        <f ca="1">O10+O26-O11-O15</f>
        <v>#DIV/0!</v>
      </c>
      <c r="P44" s="590"/>
      <c r="Q44" s="475"/>
      <c r="R44" s="475"/>
      <c r="S44" s="475"/>
      <c r="T44" s="475"/>
    </row>
    <row r="45" customHeight="1" spans="1:20">
      <c r="A45" s="516" t="s">
        <v>127</v>
      </c>
      <c r="B45" s="681"/>
      <c r="C45" s="85"/>
      <c r="D45" s="85"/>
      <c r="E45" s="576">
        <f ca="1" t="shared" ref="E45" si="2">IF(F$3=0,0,G45/F$3)</f>
        <v>0</v>
      </c>
      <c r="F45" s="517"/>
      <c r="G45" s="575" t="e">
        <f ca="1">装置汇总!G45</f>
        <v>#DIV/0!</v>
      </c>
      <c r="I45" s="516" t="s">
        <v>127</v>
      </c>
      <c r="J45" s="85"/>
      <c r="K45" s="85"/>
      <c r="L45" s="85"/>
      <c r="M45" s="576" t="e">
        <f ca="1" t="shared" ref="M45" si="3">IF(N$3=0,0,O45/N$3)</f>
        <v>#DIV/0!</v>
      </c>
      <c r="N45" s="517"/>
      <c r="O45" s="576" t="e">
        <f ca="1">装置汇总!O45</f>
        <v>#DIV/0!</v>
      </c>
    </row>
    <row r="46" s="459" customFormat="1" customHeight="1" spans="1:20">
      <c r="B46" s="538"/>
      <c r="E46" s="539"/>
      <c r="G46" s="483"/>
      <c r="H46" s="559"/>
      <c r="I46" s="559"/>
      <c r="J46" s="559"/>
      <c r="K46" s="559"/>
      <c r="L46" s="559"/>
      <c r="M46" s="559"/>
      <c r="N46" s="559"/>
      <c r="O46" s="483"/>
      <c r="P46" s="559"/>
    </row>
    <row r="47" s="459" customFormat="1" customHeight="1" spans="1:20">
      <c r="B47" s="538"/>
      <c r="E47" s="539"/>
      <c r="G47" s="511"/>
      <c r="H47" s="559"/>
      <c r="P47" s="559"/>
    </row>
    <row r="48" s="459" customFormat="1" customHeight="1" spans="1:20">
      <c r="A48" s="582" t="s">
        <v>131</v>
      </c>
      <c r="B48" s="538"/>
      <c r="E48" s="539" t="e">
        <f ca="1">E25-装置汇总!E25</f>
        <v>#DIV/0!</v>
      </c>
      <c r="F48" s="539"/>
      <c r="G48" s="539" t="e">
        <f ca="1">G25-装置汇总!G25</f>
        <v>#DIV/0!</v>
      </c>
      <c r="L48" s="459" t="s">
        <v>132</v>
      </c>
      <c r="M48" s="562" t="e">
        <f ca="1">M25-装置汇总!M25</f>
        <v>#DIV/0!</v>
      </c>
      <c r="O48" s="539" t="e">
        <f ca="1">O25-装置汇总!O25</f>
        <v>#DIV/0!</v>
      </c>
    </row>
    <row r="49" s="459" customFormat="1" customHeight="1" spans="2:15">
      <c r="B49" s="538"/>
      <c r="E49" s="539"/>
      <c r="O49" s="539"/>
    </row>
    <row r="50" s="459" customFormat="1" customHeight="1" spans="2:15">
      <c r="B50" s="538"/>
      <c r="E50" s="539"/>
    </row>
    <row r="51" s="459" customFormat="1" customHeight="1" spans="2:15">
      <c r="B51" s="538"/>
      <c r="E51" s="539"/>
    </row>
    <row r="52" s="459" customFormat="1" customHeight="1" spans="2:15">
      <c r="B52" s="538"/>
      <c r="E52" s="539"/>
      <c r="F52" s="539"/>
      <c r="G52" s="539"/>
      <c r="H52" s="539"/>
      <c r="I52" s="539"/>
      <c r="J52" s="539"/>
      <c r="K52" s="539"/>
      <c r="L52" s="539"/>
      <c r="M52" s="539"/>
      <c r="N52" s="539"/>
      <c r="O52" s="539"/>
    </row>
    <row r="54" s="459" customFormat="1" customHeight="1" spans="2:15">
      <c r="B54" s="538"/>
      <c r="E54" s="539"/>
    </row>
    <row r="55" s="459" customFormat="1" customHeight="1" spans="2:15">
      <c r="B55" s="538"/>
      <c r="E55" s="539"/>
    </row>
    <row r="56" s="459" customFormat="1" customHeight="1" spans="2:15">
      <c r="B56" s="538"/>
      <c r="E56" s="539"/>
    </row>
    <row r="57" s="459" customFormat="1" customHeight="1" spans="2:15">
      <c r="B57" s="538"/>
      <c r="E57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1009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rgb="FF92D050"/>
  </sheetPr>
  <dimension ref="A1:T5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" style="462" customWidth="1"/>
    <col min="6" max="6" width="9.375" style="40" customWidth="1"/>
    <col min="7" max="7" width="10.5" style="40" customWidth="1"/>
    <col min="8" max="8" width="9.75" style="40" customWidth="1"/>
    <col min="9" max="9" width="28" style="40" customWidth="1"/>
    <col min="10" max="10" width="3.625" style="40" customWidth="1"/>
    <col min="11" max="11" width="10.25" style="40" customWidth="1"/>
    <col min="12" max="12" width="6" style="40" customWidth="1"/>
    <col min="13" max="13" width="11.625" style="40" customWidth="1"/>
    <col min="14" max="14" width="8.5" style="40" customWidth="1"/>
    <col min="15" max="15" width="12.875" style="40" customWidth="1"/>
    <col min="16" max="16" width="13" style="40" customWidth="1"/>
    <col min="17" max="16384" width="9" style="40"/>
  </cols>
  <sheetData>
    <row r="1" s="458" customFormat="1" ht="42.75" customHeight="1" spans="1:16">
      <c r="A1" s="97" t="str">
        <f>CONCATENATE("果葡糖浆F60综合成本利润表_不含税(2025年"&amp;mth&amp;"月)")</f>
        <v>果葡糖浆F60综合成本利润表_不含税(2025年8月)</v>
      </c>
      <c r="B1" s="98"/>
      <c r="C1" s="98"/>
      <c r="D1" s="98"/>
      <c r="E1" s="98"/>
      <c r="F1" s="98"/>
      <c r="G1" s="98"/>
      <c r="I1" s="463" t="str">
        <f>CONCATENATE("果葡糖浆F60综合成本利润表_不含税(2025年1-"&amp;mth&amp;"月)")</f>
        <v>果葡糖浆F60综合成本利润表_不含税(2025年1-8月)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6">
      <c r="A2" s="464"/>
      <c r="B2" s="464"/>
      <c r="C2" s="464"/>
      <c r="D2" s="465"/>
      <c r="E2" s="44"/>
      <c r="F2" s="464"/>
      <c r="G2" s="464"/>
    </row>
    <row r="3" s="38" customFormat="1" customHeight="1" spans="1:16">
      <c r="A3" s="38" t="s">
        <v>23</v>
      </c>
      <c r="E3" s="39" t="s">
        <v>133</v>
      </c>
      <c r="F3" s="551">
        <f ca="1">OFFSET(基础表!C10,0,mth-1,1,1)</f>
        <v>0</v>
      </c>
      <c r="G3" s="39" t="s">
        <v>75</v>
      </c>
      <c r="M3" s="378" t="s">
        <v>134</v>
      </c>
      <c r="N3" s="466">
        <f ca="1">基础表!O10</f>
        <v>6845.043</v>
      </c>
      <c r="O3" s="39" t="s">
        <v>75</v>
      </c>
    </row>
    <row r="4" s="459" customFormat="1" ht="14.25" customHeight="1" spans="1:16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6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H5" s="475"/>
      <c r="I5" s="470" t="s">
        <v>83</v>
      </c>
      <c r="J5" s="471"/>
      <c r="K5" s="472"/>
      <c r="L5" s="472"/>
      <c r="M5" s="474">
        <f ca="1">M6-M7</f>
        <v>3131.95225818249</v>
      </c>
      <c r="N5" s="472"/>
      <c r="O5" s="474">
        <f ca="1">O6-O7</f>
        <v>21438347.8812062</v>
      </c>
    </row>
    <row r="6" s="459" customFormat="1" ht="14.25" customHeight="1" spans="1:16">
      <c r="A6" s="476" t="s">
        <v>84</v>
      </c>
      <c r="B6" s="477"/>
      <c r="C6" s="478"/>
      <c r="D6" s="479"/>
      <c r="E6" s="478">
        <f ca="1">OFFSET(销售收入及运费!C71,0,mth-1,1,1)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480">
        <f ca="1">销售收入及运费!O71</f>
        <v>3852.70438473189</v>
      </c>
      <c r="N6" s="482"/>
      <c r="O6" s="480">
        <f ca="1">M6*$N$3</f>
        <v>26371927.1797784</v>
      </c>
      <c r="P6" s="475"/>
    </row>
    <row r="7" s="459" customFormat="1" ht="14.25" customHeight="1" spans="1:16">
      <c r="A7" s="476" t="s">
        <v>135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81" t="s">
        <v>135</v>
      </c>
      <c r="J7" s="477"/>
      <c r="K7" s="479"/>
      <c r="L7" s="479"/>
      <c r="M7" s="480">
        <f ca="1">M8+M9</f>
        <v>720.752126549406</v>
      </c>
      <c r="N7" s="482"/>
      <c r="O7" s="480">
        <f ca="1">M7*$N$3</f>
        <v>4933579.29857212</v>
      </c>
      <c r="P7" s="483"/>
    </row>
    <row r="8" s="459" customFormat="1" ht="14.25" customHeight="1" spans="1:16">
      <c r="A8" s="476" t="s">
        <v>86</v>
      </c>
      <c r="B8" s="477"/>
      <c r="C8" s="479"/>
      <c r="D8" s="479"/>
      <c r="E8" s="478" t="e">
        <f ca="1">OFFSET(销售收入及运费!C128,0,mth-1,1,1)/1.09/OFFSET(销售收入及运费!C11,0,mth-1,1,1)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销售收入及运费!O128/1.09/销售收入及运费!O11</f>
        <v>211.243517872945</v>
      </c>
      <c r="N8" s="482"/>
      <c r="O8" s="480">
        <f ca="1">M8*$N$3</f>
        <v>1445970.96331158</v>
      </c>
      <c r="P8" s="483"/>
    </row>
    <row r="9" s="459" customFormat="1" ht="14.25" customHeight="1" spans="1:16">
      <c r="A9" s="476" t="s">
        <v>87</v>
      </c>
      <c r="B9" s="477"/>
      <c r="C9" s="479"/>
      <c r="D9" s="479"/>
      <c r="E9" s="478" t="e">
        <f ca="1">(OFFSET(销售收入及运费!C148,0,mth-1,1,1)/1.13+OFFSET(销售收入及运费!C168,0,mth-1,1,1)/1.13)/OFFSET(销售收入及运费!C11,0,mth-1,1,1)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(销售收入及运费!O148/1.13+销售收入及运费!O168/1.13)/销售收入及运费!O11</f>
        <v>509.508608676461</v>
      </c>
      <c r="N9" s="482"/>
      <c r="O9" s="480">
        <f ca="1">M9*$N$3</f>
        <v>3487608.33526055</v>
      </c>
      <c r="P9" s="483"/>
    </row>
    <row r="10" s="459" customFormat="1" ht="14.25" customHeight="1" spans="1:16">
      <c r="A10" s="484" t="s">
        <v>88</v>
      </c>
      <c r="B10" s="485"/>
      <c r="C10" s="486"/>
      <c r="D10" s="486"/>
      <c r="E10" s="487">
        <f ca="1">E11+E13+E26+E31+E25</f>
        <v>0</v>
      </c>
      <c r="F10" s="488"/>
      <c r="G10" s="487" t="e">
        <f ca="1">G11+G13+G26+G31+G25</f>
        <v>#DIV/0!</v>
      </c>
      <c r="I10" s="484" t="s">
        <v>88</v>
      </c>
      <c r="J10" s="485"/>
      <c r="K10" s="486"/>
      <c r="L10" s="486"/>
      <c r="M10" s="487" t="e">
        <f ca="1">M11+M13+M26+M31+M25</f>
        <v>#DIV/0!</v>
      </c>
      <c r="N10" s="488"/>
      <c r="O10" s="487" t="e">
        <f ca="1">O11+O13+O26+O31+O25</f>
        <v>#DIV/0!</v>
      </c>
    </row>
    <row r="11" s="459" customFormat="1" ht="14.25" customHeight="1" spans="1:16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2502.53268287336</v>
      </c>
      <c r="L11" s="492">
        <f ca="1">IF(K11=0,0,M11/K11)</f>
        <v>0.825296891976701</v>
      </c>
      <c r="M11" s="491">
        <f ca="1">M12</f>
        <v>2065.3324452455</v>
      </c>
      <c r="N11" s="491">
        <f ca="1">N12</f>
        <v>5649.19271334687</v>
      </c>
      <c r="O11" s="491">
        <f ca="1">O12</f>
        <v>14137289.3970006</v>
      </c>
    </row>
    <row r="12" s="459" customFormat="1" ht="14.25" customHeight="1" spans="1:16">
      <c r="A12" s="494" t="s">
        <v>90</v>
      </c>
      <c r="B12" s="495" t="s">
        <v>75</v>
      </c>
      <c r="C12" s="496">
        <f ca="1">OFFSET(分配表!C68,0,mth-1,1,1)</f>
        <v>0</v>
      </c>
      <c r="D12" s="497">
        <f ca="1">IF(VALUE($F$3)=0,0,F12/$F$3)</f>
        <v>0</v>
      </c>
      <c r="E12" s="496">
        <f ca="1">C12*D12</f>
        <v>0</v>
      </c>
      <c r="F12" s="505">
        <f ca="1">OFFSET(分配表!C82,0,mth-1,1,1)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分配表!O68</f>
        <v>2502.53268287336</v>
      </c>
      <c r="L12" s="497">
        <f ca="1">IF($N$3=0,0,N12/$N$3)</f>
        <v>0.825296891976701</v>
      </c>
      <c r="M12" s="496">
        <f ca="1">K12*L12</f>
        <v>2065.3324452455</v>
      </c>
      <c r="N12" s="507">
        <f ca="1">分配表!O82</f>
        <v>5649.19271334687</v>
      </c>
      <c r="O12" s="496">
        <f ca="1">K12*N12</f>
        <v>14137289.3970006</v>
      </c>
    </row>
    <row r="13" s="459" customFormat="1" ht="14.25" customHeight="1" spans="1:16">
      <c r="A13" s="489" t="s">
        <v>92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I13" s="489" t="s">
        <v>92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11"/>
    </row>
    <row r="14" s="459" customFormat="1" ht="14.25" customHeight="1" spans="1:16">
      <c r="A14" s="502" t="s">
        <v>136</v>
      </c>
      <c r="B14" s="503"/>
      <c r="C14" s="505">
        <f ca="1">'F55'!C14</f>
        <v>0</v>
      </c>
      <c r="D14" s="505">
        <f ca="1">IF(VALUE($F$3)=0,0,F14/$F$3)</f>
        <v>0</v>
      </c>
      <c r="E14" s="506">
        <f ca="1">C14*D14</f>
        <v>0</v>
      </c>
      <c r="F14" s="505">
        <f ca="1">OFFSET(分配表!C153,0,mth-1,1,1)</f>
        <v>0</v>
      </c>
      <c r="G14" s="496">
        <f ca="1" t="shared" ref="G14:G22" si="0">E14*$F$3</f>
        <v>0</v>
      </c>
      <c r="I14" s="502" t="s">
        <v>136</v>
      </c>
      <c r="J14" s="503"/>
      <c r="K14" s="505">
        <f ca="1">'F55'!K14</f>
        <v>1.03363476247911</v>
      </c>
      <c r="L14" s="506">
        <f ca="1" t="shared" ref="L14:L22" si="1">IF($N$3=0,0,N14/$N$3)</f>
        <v>4.44857395344339</v>
      </c>
      <c r="M14" s="506">
        <f ca="1">K14*L14</f>
        <v>4.5982006817382</v>
      </c>
      <c r="N14" s="507">
        <f ca="1">分配表!O153</f>
        <v>30450.68</v>
      </c>
      <c r="O14" s="496">
        <f ca="1" t="shared" ref="O14:O22" si="2">M14*$N$3</f>
        <v>31474.8813891273</v>
      </c>
    </row>
    <row r="15" s="459" customFormat="1" ht="14.25" customHeight="1" spans="1:16">
      <c r="A15" s="502" t="s">
        <v>137</v>
      </c>
      <c r="B15" s="503"/>
      <c r="C15" s="505">
        <f ca="1">'F55'!C15</f>
        <v>0</v>
      </c>
      <c r="D15" s="505">
        <f ca="1" t="shared" ref="D15:D22" si="3">IF(VALUE($F$3)=0,0,F15/$F$3)</f>
        <v>0</v>
      </c>
      <c r="E15" s="506">
        <f ca="1" t="shared" ref="E15:E22" si="4">C15*D15</f>
        <v>0</v>
      </c>
      <c r="F15" s="505">
        <f ca="1">OFFSET(分配表!C154,0,mth-1,1,1)</f>
        <v>0</v>
      </c>
      <c r="G15" s="496">
        <f ca="1" t="shared" si="0"/>
        <v>0</v>
      </c>
      <c r="I15" s="502" t="s">
        <v>137</v>
      </c>
      <c r="J15" s="503"/>
      <c r="K15" s="505">
        <f ca="1">'F55'!K15</f>
        <v>3.16530363402344</v>
      </c>
      <c r="L15" s="506">
        <f ca="1" t="shared" si="1"/>
        <v>4.9385811016819</v>
      </c>
      <c r="M15" s="506">
        <f ca="1" t="shared" ref="M15:M22" si="5">K15*L15</f>
        <v>15.6321087080732</v>
      </c>
      <c r="N15" s="507">
        <f ca="1">分配表!O154</f>
        <v>33804.8</v>
      </c>
      <c r="O15" s="496">
        <f ca="1" t="shared" si="2"/>
        <v>107002.456287436</v>
      </c>
    </row>
    <row r="16" s="459" customFormat="1" ht="14.25" customHeight="1" spans="1:16">
      <c r="A16" s="502" t="s">
        <v>138</v>
      </c>
      <c r="B16" s="503"/>
      <c r="C16" s="505">
        <f ca="1">'F55'!C16</f>
        <v>0</v>
      </c>
      <c r="D16" s="505">
        <f ca="1" t="shared" si="3"/>
        <v>0</v>
      </c>
      <c r="E16" s="506">
        <f ca="1" t="shared" si="4"/>
        <v>0</v>
      </c>
      <c r="F16" s="505">
        <f ca="1">OFFSET(分配表!C155,0,mth-1,1,1)</f>
        <v>0</v>
      </c>
      <c r="G16" s="496">
        <f ca="1" t="shared" si="0"/>
        <v>0</v>
      </c>
      <c r="I16" s="502" t="s">
        <v>138</v>
      </c>
      <c r="J16" s="503"/>
      <c r="K16" s="505">
        <f ca="1">'F55'!K16</f>
        <v>2.60487003610108</v>
      </c>
      <c r="L16" s="506">
        <f ca="1" t="shared" si="1"/>
        <v>0.747840444537748</v>
      </c>
      <c r="M16" s="506">
        <f ca="1" t="shared" si="5"/>
        <v>1.94802716576089</v>
      </c>
      <c r="N16" s="507">
        <f ca="1">分配表!O155</f>
        <v>5119</v>
      </c>
      <c r="O16" s="496">
        <f ca="1" t="shared" si="2"/>
        <v>13334.3297148014</v>
      </c>
    </row>
    <row r="17" s="459" customFormat="1" ht="14.25" customHeight="1" spans="1:18">
      <c r="A17" s="502" t="s">
        <v>139</v>
      </c>
      <c r="B17" s="503"/>
      <c r="C17" s="505">
        <f ca="1">'F55'!C17</f>
        <v>0</v>
      </c>
      <c r="D17" s="505">
        <f ca="1" t="shared" si="3"/>
        <v>0</v>
      </c>
      <c r="E17" s="506">
        <f ca="1" t="shared" si="4"/>
        <v>0</v>
      </c>
      <c r="F17" s="505">
        <f ca="1">OFFSET(分配表!C157,0,mth-1,1,1)</f>
        <v>0</v>
      </c>
      <c r="G17" s="496">
        <f ca="1" t="shared" si="0"/>
        <v>0</v>
      </c>
      <c r="I17" s="502" t="s">
        <v>139</v>
      </c>
      <c r="J17" s="503"/>
      <c r="K17" s="505">
        <f ca="1">'F55'!K17</f>
        <v>7.07970147313692</v>
      </c>
      <c r="L17" s="506">
        <f ca="1" t="shared" si="1"/>
        <v>1.55280251709157</v>
      </c>
      <c r="M17" s="506">
        <f ca="1" t="shared" si="5"/>
        <v>10.9933782677439</v>
      </c>
      <c r="N17" s="507">
        <f ca="1">分配表!O157</f>
        <v>10629</v>
      </c>
      <c r="O17" s="496">
        <f ca="1" t="shared" si="2"/>
        <v>75250.1469579723</v>
      </c>
    </row>
    <row r="18" s="459" customFormat="1" ht="14.25" customHeight="1" spans="1:18">
      <c r="A18" s="502" t="s">
        <v>140</v>
      </c>
      <c r="B18" s="503"/>
      <c r="C18" s="505">
        <f ca="1">'F55'!C18</f>
        <v>0</v>
      </c>
      <c r="D18" s="505">
        <f ca="1" t="shared" si="3"/>
        <v>0</v>
      </c>
      <c r="E18" s="506">
        <f ca="1" t="shared" si="4"/>
        <v>0</v>
      </c>
      <c r="F18" s="505">
        <f ca="1">OFFSET(分配表!C158,0,mth-1,1,1)</f>
        <v>0</v>
      </c>
      <c r="G18" s="496">
        <f ca="1" t="shared" si="0"/>
        <v>0</v>
      </c>
      <c r="I18" s="502" t="s">
        <v>140</v>
      </c>
      <c r="J18" s="503"/>
      <c r="K18" s="505">
        <f ca="1">'F55'!K18</f>
        <v>47.8014094240838</v>
      </c>
      <c r="L18" s="506">
        <f ca="1" t="shared" si="1"/>
        <v>0.0806422983756274</v>
      </c>
      <c r="M18" s="506">
        <f ca="1" t="shared" si="5"/>
        <v>3.85481552155249</v>
      </c>
      <c r="N18" s="507">
        <f ca="1">分配表!O158</f>
        <v>552</v>
      </c>
      <c r="O18" s="496">
        <f ca="1" t="shared" si="2"/>
        <v>26386.3780020942</v>
      </c>
    </row>
    <row r="19" s="459" customFormat="1" ht="14.25" customHeight="1" spans="1:18">
      <c r="A19" s="502" t="s">
        <v>141</v>
      </c>
      <c r="B19" s="503"/>
      <c r="C19" s="505">
        <f ca="1">'F55'!C19</f>
        <v>0</v>
      </c>
      <c r="D19" s="505">
        <f ca="1" t="shared" si="3"/>
        <v>0</v>
      </c>
      <c r="E19" s="506">
        <f ca="1" t="shared" si="4"/>
        <v>0</v>
      </c>
      <c r="F19" s="505">
        <f ca="1">OFFSET(分配表!C159,0,mth-1,1,1)</f>
        <v>0</v>
      </c>
      <c r="G19" s="496">
        <f ca="1" t="shared" si="0"/>
        <v>0</v>
      </c>
      <c r="I19" s="502" t="s">
        <v>141</v>
      </c>
      <c r="J19" s="503"/>
      <c r="K19" s="505">
        <f ca="1">'F55'!K19</f>
        <v>32.1974312123818</v>
      </c>
      <c r="L19" s="506">
        <f ca="1" t="shared" si="1"/>
        <v>0.156609680903392</v>
      </c>
      <c r="M19" s="506">
        <f ca="1" t="shared" si="5"/>
        <v>5.04242942808004</v>
      </c>
      <c r="N19" s="507">
        <f ca="1">分配表!O159</f>
        <v>1072</v>
      </c>
      <c r="O19" s="496">
        <f ca="1" t="shared" si="2"/>
        <v>34515.6462596733</v>
      </c>
    </row>
    <row r="20" s="459" customFormat="1" ht="14.25" customHeight="1" spans="1:18">
      <c r="A20" s="502" t="s">
        <v>142</v>
      </c>
      <c r="B20" s="503"/>
      <c r="C20" s="505">
        <f ca="1">'F55'!C20</f>
        <v>0</v>
      </c>
      <c r="D20" s="505">
        <f ca="1" t="shared" si="3"/>
        <v>0</v>
      </c>
      <c r="E20" s="506">
        <f ca="1" t="shared" si="4"/>
        <v>0</v>
      </c>
      <c r="F20" s="505">
        <f ca="1">OFFSET(分配表!C160,0,mth-1,1,1)</f>
        <v>0</v>
      </c>
      <c r="G20" s="496">
        <f ca="1" t="shared" si="0"/>
        <v>0</v>
      </c>
      <c r="I20" s="502" t="s">
        <v>142</v>
      </c>
      <c r="J20" s="503"/>
      <c r="K20" s="505">
        <f ca="1">'F55'!K20</f>
        <v>218.577020031909</v>
      </c>
      <c r="L20" s="506">
        <f ca="1" t="shared" si="1"/>
        <v>0.0954997653046153</v>
      </c>
      <c r="M20" s="506">
        <f ca="1" t="shared" si="5"/>
        <v>20.8740541140295</v>
      </c>
      <c r="N20" s="507">
        <f ca="1">分配表!O160</f>
        <v>653.7</v>
      </c>
      <c r="O20" s="496">
        <f ca="1" t="shared" si="2"/>
        <v>142883.797994859</v>
      </c>
    </row>
    <row r="21" s="459" customFormat="1" ht="14.25" customHeight="1" spans="1:18">
      <c r="A21" s="502" t="s">
        <v>143</v>
      </c>
      <c r="B21" s="503"/>
      <c r="C21" s="505">
        <f ca="1">'F55'!C21</f>
        <v>0</v>
      </c>
      <c r="D21" s="505">
        <f ca="1" t="shared" si="3"/>
        <v>0</v>
      </c>
      <c r="E21" s="506">
        <f ca="1" t="shared" si="4"/>
        <v>0</v>
      </c>
      <c r="F21" s="505">
        <f ca="1">OFFSET(分配表!C161,0,mth-1,1,1)</f>
        <v>0</v>
      </c>
      <c r="G21" s="496">
        <f ca="1" t="shared" si="0"/>
        <v>0</v>
      </c>
      <c r="I21" s="502" t="s">
        <v>143</v>
      </c>
      <c r="J21" s="503"/>
      <c r="K21" s="505">
        <f ca="1">'F55'!K21</f>
        <v>0.979474345549738</v>
      </c>
      <c r="L21" s="506">
        <f ca="1" t="shared" si="1"/>
        <v>0.483415516893028</v>
      </c>
      <c r="M21" s="506">
        <f ca="1" t="shared" si="5"/>
        <v>0.473493097037387</v>
      </c>
      <c r="N21" s="507">
        <f ca="1">分配表!O161</f>
        <v>3309</v>
      </c>
      <c r="O21" s="496">
        <f ca="1" t="shared" si="2"/>
        <v>3241.08060942408</v>
      </c>
    </row>
    <row r="22" s="459" customFormat="1" ht="14.25" customHeight="1" spans="1:18">
      <c r="A22" s="502" t="s">
        <v>144</v>
      </c>
      <c r="B22" s="503"/>
      <c r="C22" s="505">
        <f ca="1">'F55'!C22</f>
        <v>0</v>
      </c>
      <c r="D22" s="505">
        <f ca="1" t="shared" si="3"/>
        <v>0</v>
      </c>
      <c r="E22" s="506">
        <f ca="1" t="shared" si="4"/>
        <v>0</v>
      </c>
      <c r="F22" s="505">
        <f ca="1">OFFSET(分配表!C162,0,mth-1,1,1)</f>
        <v>0</v>
      </c>
      <c r="G22" s="496">
        <f ca="1" t="shared" si="0"/>
        <v>0</v>
      </c>
      <c r="I22" s="502" t="s">
        <v>145</v>
      </c>
      <c r="J22" s="503"/>
      <c r="K22" s="505">
        <f ca="1">'F55'!K22</f>
        <v>1.85608011869436</v>
      </c>
      <c r="L22" s="506">
        <f ca="1" t="shared" si="1"/>
        <v>0.284293319998136</v>
      </c>
      <c r="M22" s="506">
        <f ca="1" t="shared" si="5"/>
        <v>0.527671179126154</v>
      </c>
      <c r="N22" s="507">
        <f ca="1">分配表!O162</f>
        <v>1946</v>
      </c>
      <c r="O22" s="496">
        <f ca="1" t="shared" si="2"/>
        <v>3611.93191097923</v>
      </c>
    </row>
    <row r="23" s="459" customFormat="1" ht="14.25" customHeight="1" spans="1:18">
      <c r="A23" s="502" t="s">
        <v>146</v>
      </c>
      <c r="B23" s="503"/>
      <c r="C23" s="505"/>
      <c r="D23" s="497"/>
      <c r="E23" s="506">
        <f ca="1">IF(VALUE($F$3)=0,0,G23/$F$3)</f>
        <v>0</v>
      </c>
      <c r="F23" s="505">
        <f ca="1">OFFSET(分配表!C163,0,mth-1,1,1)</f>
        <v>0</v>
      </c>
      <c r="G23" s="507" t="e">
        <f ca="1">OFFSET(分配表!C209,0,mth-1,1,1)</f>
        <v>#DIV/0!</v>
      </c>
      <c r="I23" s="502" t="s">
        <v>146</v>
      </c>
      <c r="J23" s="503"/>
      <c r="K23" s="505"/>
      <c r="L23" s="497"/>
      <c r="M23" s="506" t="e">
        <f ca="1">IF($N$3=0,0,O23/$N$3)</f>
        <v>#DIV/0!</v>
      </c>
      <c r="N23" s="507">
        <f ca="1">分配表!O163</f>
        <v>0</v>
      </c>
      <c r="O23" s="496" t="e">
        <f ca="1">分配表!O209</f>
        <v>#DIV/0!</v>
      </c>
    </row>
    <row r="24" s="459" customFormat="1" ht="14.25" customHeight="1" spans="1:18">
      <c r="A24" s="502" t="s">
        <v>147</v>
      </c>
      <c r="B24" s="503"/>
      <c r="C24" s="505"/>
      <c r="D24" s="497"/>
      <c r="E24" s="506">
        <f ca="1">IF(VALUE($F$3)=0,0,G24/$F$3)</f>
        <v>0</v>
      </c>
      <c r="F24" s="507"/>
      <c r="G24" s="507" t="e">
        <f ca="1">OFFSET(分配表!C220,0,mth-1)</f>
        <v>#DIV/0!</v>
      </c>
      <c r="I24" s="502" t="s">
        <v>49</v>
      </c>
      <c r="J24" s="503"/>
      <c r="K24" s="505"/>
      <c r="L24" s="497"/>
      <c r="M24" s="694" t="e">
        <f ca="1">O24/N3</f>
        <v>#DIV/0!</v>
      </c>
      <c r="N24" s="507"/>
      <c r="O24" s="507" t="e">
        <f ca="1">分配表!O220</f>
        <v>#DIV/0!</v>
      </c>
    </row>
    <row r="25" s="459" customFormat="1" ht="14.25" customHeight="1" spans="1:18">
      <c r="A25" s="508" t="s">
        <v>93</v>
      </c>
      <c r="B25" s="490"/>
      <c r="C25" s="501"/>
      <c r="D25" s="492"/>
      <c r="E25" s="491"/>
      <c r="F25" s="491"/>
      <c r="G25" s="491"/>
      <c r="I25" s="508" t="s">
        <v>93</v>
      </c>
      <c r="J25" s="490"/>
      <c r="K25" s="501"/>
      <c r="L25" s="492"/>
      <c r="M25" s="491"/>
      <c r="N25" s="491"/>
      <c r="O25" s="491"/>
    </row>
    <row r="26" s="459" customFormat="1" ht="14.25" customHeight="1" spans="1:18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</row>
    <row r="27" s="459" customFormat="1" ht="14.25" customHeight="1" spans="1:18">
      <c r="A27" s="494" t="s">
        <v>95</v>
      </c>
      <c r="B27" s="495" t="s">
        <v>75</v>
      </c>
      <c r="C27" s="505">
        <f ca="1">'F55'!C27</f>
        <v>0</v>
      </c>
      <c r="D27" s="505">
        <f ca="1">IF(VALUE($F$3)=0,0,F27/$F$3)</f>
        <v>0</v>
      </c>
      <c r="E27" s="509">
        <f ca="1">C27*D27</f>
        <v>0</v>
      </c>
      <c r="F27" s="509">
        <f ca="1">OFFSET(分配表!C312,0,mth-1,1,1)</f>
        <v>0</v>
      </c>
      <c r="G27" s="509">
        <f ca="1">E27*F$3</f>
        <v>0</v>
      </c>
      <c r="H27" s="510"/>
      <c r="I27" s="494" t="s">
        <v>95</v>
      </c>
      <c r="J27" s="495" t="s">
        <v>75</v>
      </c>
      <c r="K27" s="505">
        <f ca="1">'F55'!K27</f>
        <v>374.799025538744</v>
      </c>
      <c r="L27" s="506">
        <f ca="1">IF($N$3=0,0,N27/$N$3)</f>
        <v>0.302919937829463</v>
      </c>
      <c r="M27" s="509">
        <f ca="1">K27*L27</f>
        <v>113.534097514739</v>
      </c>
      <c r="N27" s="496">
        <f ca="1">分配表!O312</f>
        <v>2073.5</v>
      </c>
      <c r="O27" s="509">
        <f ca="1">M27*N$3</f>
        <v>777145.779454585</v>
      </c>
      <c r="P27" s="510"/>
      <c r="Q27" s="511"/>
      <c r="R27" s="511"/>
    </row>
    <row r="28" s="459" customFormat="1" ht="14.25" customHeight="1" spans="1:18">
      <c r="A28" s="494" t="s">
        <v>96</v>
      </c>
      <c r="B28" s="495" t="s">
        <v>97</v>
      </c>
      <c r="C28" s="505">
        <f ca="1">'F55'!C28</f>
        <v>0</v>
      </c>
      <c r="D28" s="505">
        <f ca="1">IF(VALUE($F$3)=0,0,F28/$F$3)</f>
        <v>0</v>
      </c>
      <c r="E28" s="509">
        <f ca="1">C28*D28</f>
        <v>0</v>
      </c>
      <c r="F28" s="509" t="e">
        <f ca="1">OFFSET(分配表!C331,0,mth-1,1,1)</f>
        <v>#DIV/0!</v>
      </c>
      <c r="G28" s="509">
        <f ca="1">E28*F$3</f>
        <v>0</v>
      </c>
      <c r="I28" s="494" t="s">
        <v>96</v>
      </c>
      <c r="J28" s="495" t="s">
        <v>97</v>
      </c>
      <c r="K28" s="505">
        <f ca="1">'F55'!K28</f>
        <v>0.680636799672716</v>
      </c>
      <c r="L28" s="506" t="e">
        <f ca="1">IF($N$3=0,0,N28/$N$3)</f>
        <v>#DIV/0!</v>
      </c>
      <c r="M28" s="509" t="e">
        <f ca="1">K28*L28</f>
        <v>#DIV/0!</v>
      </c>
      <c r="N28" s="496" t="e">
        <f ca="1">分配表!O331</f>
        <v>#DIV/0!</v>
      </c>
      <c r="O28" s="509" t="e">
        <f ca="1">M28*N$3</f>
        <v>#DIV/0!</v>
      </c>
      <c r="P28" s="510"/>
    </row>
    <row r="29" s="459" customFormat="1" ht="14.25" customHeight="1" spans="1:18">
      <c r="A29" s="494" t="s">
        <v>98</v>
      </c>
      <c r="B29" s="495" t="s">
        <v>75</v>
      </c>
      <c r="C29" s="505">
        <f ca="1">'F55'!C29</f>
        <v>0</v>
      </c>
      <c r="D29" s="505">
        <f ca="1">IF(VALUE($F$3)=0,0,F29/$F$3)</f>
        <v>0</v>
      </c>
      <c r="E29" s="509">
        <f ca="1">C29*D29</f>
        <v>0</v>
      </c>
      <c r="F29" s="509" t="e">
        <f ca="1">OFFSET(分配表!C349,0,mth-1,1,1)</f>
        <v>#DIV/0!</v>
      </c>
      <c r="G29" s="509">
        <f ca="1">E29*F$3</f>
        <v>0</v>
      </c>
      <c r="I29" s="494" t="s">
        <v>98</v>
      </c>
      <c r="J29" s="495" t="s">
        <v>75</v>
      </c>
      <c r="K29" s="505">
        <f ca="1">'F55'!K29</f>
        <v>5.8950402489434</v>
      </c>
      <c r="L29" s="506" t="e">
        <f ca="1">IF($N$3=0,0,N29/$N$3)</f>
        <v>#DIV/0!</v>
      </c>
      <c r="M29" s="509" t="e">
        <f ca="1">K29*L29</f>
        <v>#DIV/0!</v>
      </c>
      <c r="N29" s="496" t="e">
        <f ca="1">分配表!O349</f>
        <v>#DIV/0!</v>
      </c>
      <c r="O29" s="509" t="e">
        <f ca="1">M29*N$3</f>
        <v>#DIV/0!</v>
      </c>
      <c r="P29" s="510"/>
    </row>
    <row r="30" s="459" customFormat="1" ht="14.25" customHeight="1" spans="1:18">
      <c r="A30" s="494" t="s">
        <v>99</v>
      </c>
      <c r="B30" s="495" t="s">
        <v>75</v>
      </c>
      <c r="C30" s="505">
        <f ca="1">'F55'!C30</f>
        <v>0</v>
      </c>
      <c r="D30" s="505">
        <f ca="1">IF(VALUE($F$3)=0,0,F30/$F$3)</f>
        <v>0</v>
      </c>
      <c r="E30" s="509">
        <f ca="1">C30*D30</f>
        <v>0</v>
      </c>
      <c r="F30" s="509"/>
      <c r="G30" s="509">
        <f ca="1">E30*F$3</f>
        <v>0</v>
      </c>
      <c r="I30" s="494" t="s">
        <v>99</v>
      </c>
      <c r="J30" s="495" t="s">
        <v>75</v>
      </c>
      <c r="K30" s="505">
        <f>'F55'!K30</f>
        <v>0</v>
      </c>
      <c r="L30" s="506">
        <f ca="1">IF($N$3=0,0,N30/$N$3)</f>
        <v>0</v>
      </c>
      <c r="M30" s="509">
        <f ca="1">K30*L30</f>
        <v>0</v>
      </c>
      <c r="N30" s="496"/>
      <c r="O30" s="509">
        <f ca="1">M30*N$3</f>
        <v>0</v>
      </c>
      <c r="P30" s="510"/>
    </row>
    <row r="31" s="459" customFormat="1" ht="14.25" customHeight="1" spans="1:18">
      <c r="A31" s="508" t="s">
        <v>101</v>
      </c>
      <c r="B31" s="490"/>
      <c r="C31" s="501"/>
      <c r="D31" s="492"/>
      <c r="E31" s="501">
        <f ca="1">IF(VALUE($F$3)=0,0,G31/$F$3)</f>
        <v>0</v>
      </c>
      <c r="F31" s="501"/>
      <c r="G31" s="501" t="e">
        <f ca="1">OFFSET(分配表!C377,0,mth-1,1,1)</f>
        <v>#DIV/0!</v>
      </c>
      <c r="H31" s="483"/>
      <c r="I31" s="508" t="s">
        <v>101</v>
      </c>
      <c r="J31" s="490"/>
      <c r="K31" s="501"/>
      <c r="L31" s="492"/>
      <c r="M31" s="501" t="e">
        <f ca="1">IF($N$3=0,,O31/$N$3)</f>
        <v>#DIV/0!</v>
      </c>
      <c r="N31" s="501"/>
      <c r="O31" s="501" t="e">
        <f ca="1">分配表!O377</f>
        <v>#DIV/0!</v>
      </c>
      <c r="P31" s="511"/>
    </row>
    <row r="32" s="459" customFormat="1" ht="14.25" customHeight="1" spans="1:18">
      <c r="A32" s="541" t="s">
        <v>102</v>
      </c>
      <c r="B32" s="490"/>
      <c r="C32" s="501"/>
      <c r="D32" s="492"/>
      <c r="E32" s="501">
        <f ca="1">E31</f>
        <v>0</v>
      </c>
      <c r="F32" s="501"/>
      <c r="G32" s="501" t="e">
        <f ca="1">G31</f>
        <v>#DIV/0!</v>
      </c>
      <c r="H32" s="483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P32" s="511"/>
    </row>
    <row r="33" s="459" customFormat="1" ht="14.25" customHeight="1" spans="1:16">
      <c r="A33" s="541" t="s">
        <v>103</v>
      </c>
      <c r="B33" s="490"/>
      <c r="C33" s="501"/>
      <c r="D33" s="492"/>
      <c r="E33" s="501"/>
      <c r="F33" s="491"/>
      <c r="G33" s="491"/>
      <c r="H33" s="483"/>
      <c r="I33" s="508" t="s">
        <v>103</v>
      </c>
      <c r="J33" s="490"/>
      <c r="K33" s="501"/>
      <c r="L33" s="492"/>
      <c r="M33" s="501"/>
      <c r="N33" s="491"/>
      <c r="O33" s="491"/>
      <c r="P33" s="511"/>
    </row>
    <row r="34" s="459" customFormat="1" ht="14.25" customHeight="1" spans="1:16">
      <c r="A34" s="508" t="s">
        <v>104</v>
      </c>
      <c r="B34" s="490"/>
      <c r="C34" s="501"/>
      <c r="D34" s="492"/>
      <c r="E34" s="501"/>
      <c r="F34" s="491"/>
      <c r="G34" s="491"/>
      <c r="I34" s="508" t="s">
        <v>104</v>
      </c>
      <c r="J34" s="490"/>
      <c r="K34" s="501"/>
      <c r="L34" s="492"/>
      <c r="M34" s="501"/>
      <c r="N34" s="491"/>
      <c r="O34" s="491"/>
    </row>
    <row r="35" s="459" customFormat="1" ht="14.25" customHeight="1" spans="1:16">
      <c r="A35" s="508" t="s">
        <v>105</v>
      </c>
      <c r="B35" s="490"/>
      <c r="C35" s="501"/>
      <c r="D35" s="492"/>
      <c r="E35" s="491" t="e">
        <f ca="1">E5-E10</f>
        <v>#DIV/0!</v>
      </c>
      <c r="F35" s="491"/>
      <c r="G35" s="491" t="e">
        <f ca="1">G5-G10</f>
        <v>#DIV/0!</v>
      </c>
      <c r="H35" s="51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</row>
    <row r="36" s="459" customFormat="1" ht="14.25" customHeight="1" spans="1:16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</row>
    <row r="37" s="459" customFormat="1" ht="14.25" customHeight="1" spans="1:16">
      <c r="A37" s="516" t="s">
        <v>107</v>
      </c>
      <c r="B37" s="503"/>
      <c r="C37" s="505"/>
      <c r="D37" s="497"/>
      <c r="E37" s="507">
        <f ca="1">IF(VALUE($F$3)=0,0,G37/$F$3)</f>
        <v>0</v>
      </c>
      <c r="F37" s="517"/>
      <c r="G37" s="509" t="e">
        <f ca="1">OFFSET(分配表!C410,0,mth-1,1,1)</f>
        <v>#DIV/0!</v>
      </c>
      <c r="H37" s="483"/>
      <c r="I37" s="516" t="s">
        <v>107</v>
      </c>
      <c r="J37" s="503"/>
      <c r="K37" s="505"/>
      <c r="L37" s="497"/>
      <c r="M37" s="507" t="e">
        <f ca="1" t="shared" ref="M37:M50" si="6">IF($N$3=0,0,O37/$N$3)</f>
        <v>#DIV/0!</v>
      </c>
      <c r="N37" s="517"/>
      <c r="O37" s="509" t="e">
        <f ca="1">分配表!O410</f>
        <v>#DIV/0!</v>
      </c>
      <c r="P37" s="483"/>
    </row>
    <row r="38" s="459" customFormat="1" ht="14.25" customHeight="1" spans="1:16">
      <c r="A38" s="516" t="s">
        <v>108</v>
      </c>
      <c r="B38" s="503"/>
      <c r="C38" s="505"/>
      <c r="D38" s="497"/>
      <c r="E38" s="507">
        <f ca="1" t="shared" ref="E38:E50" si="7">IF(VALUE($F$3)=0,0,G38/$F$3)</f>
        <v>0</v>
      </c>
      <c r="F38" s="517"/>
      <c r="G38" s="509" t="e">
        <f ca="1">OFFSET(分配表!C430,0,mth-1,1,1)</f>
        <v>#DIV/0!</v>
      </c>
      <c r="H38" s="483"/>
      <c r="I38" s="516" t="s">
        <v>108</v>
      </c>
      <c r="J38" s="503"/>
      <c r="K38" s="505"/>
      <c r="L38" s="497"/>
      <c r="M38" s="507" t="e">
        <f ca="1" t="shared" si="6"/>
        <v>#DIV/0!</v>
      </c>
      <c r="N38" s="517"/>
      <c r="O38" s="509" t="e">
        <f ca="1">分配表!O430</f>
        <v>#DIV/0!</v>
      </c>
      <c r="P38" s="483"/>
    </row>
    <row r="39" s="459" customFormat="1" ht="14.25" customHeight="1" spans="1:16">
      <c r="A39" s="516" t="s">
        <v>109</v>
      </c>
      <c r="B39" s="503"/>
      <c r="C39" s="498"/>
      <c r="D39" s="518"/>
      <c r="E39" s="507">
        <f ca="1" t="shared" si="7"/>
        <v>0</v>
      </c>
      <c r="F39" s="517"/>
      <c r="G39" s="509" t="e">
        <f ca="1">OFFSET(分配表!C450,0,mth-1,1,1)</f>
        <v>#DIV/0!</v>
      </c>
      <c r="H39" s="483"/>
      <c r="I39" s="516" t="s">
        <v>109</v>
      </c>
      <c r="J39" s="503"/>
      <c r="K39" s="498"/>
      <c r="L39" s="518"/>
      <c r="M39" s="507" t="e">
        <f ca="1" t="shared" si="6"/>
        <v>#DIV/0!</v>
      </c>
      <c r="N39" s="517"/>
      <c r="O39" s="509" t="e">
        <f ca="1">分配表!O450</f>
        <v>#DIV/0!</v>
      </c>
      <c r="P39" s="483"/>
    </row>
    <row r="40" s="459" customFormat="1" ht="14.25" customHeight="1" spans="1:16">
      <c r="A40" s="516" t="s">
        <v>110</v>
      </c>
      <c r="B40" s="503"/>
      <c r="C40" s="498"/>
      <c r="D40" s="518"/>
      <c r="E40" s="507">
        <f ca="1" t="shared" si="7"/>
        <v>0</v>
      </c>
      <c r="F40" s="517"/>
      <c r="G40" s="509" t="e">
        <f ca="1">OFFSET(分配表!C470,0,mth-1,1,1)</f>
        <v>#DIV/0!</v>
      </c>
      <c r="H40" s="483"/>
      <c r="I40" s="516" t="s">
        <v>110</v>
      </c>
      <c r="J40" s="503"/>
      <c r="K40" s="498"/>
      <c r="L40" s="518"/>
      <c r="M40" s="507" t="e">
        <f ca="1" t="shared" si="6"/>
        <v>#DIV/0!</v>
      </c>
      <c r="N40" s="517"/>
      <c r="O40" s="509" t="e">
        <f ca="1">分配表!O470</f>
        <v>#DIV/0!</v>
      </c>
      <c r="P40" s="483"/>
    </row>
    <row r="41" s="459" customFormat="1" ht="14.25" customHeight="1" spans="1:16">
      <c r="A41" s="516" t="s">
        <v>111</v>
      </c>
      <c r="B41" s="503"/>
      <c r="C41" s="498"/>
      <c r="D41" s="518"/>
      <c r="E41" s="507">
        <f ca="1" t="shared" si="7"/>
        <v>0</v>
      </c>
      <c r="F41" s="517"/>
      <c r="G41" s="509" t="e">
        <f ca="1">OFFSET(分配表!C490,0,mth-1,1,1)</f>
        <v>#DIV/0!</v>
      </c>
      <c r="H41" s="483"/>
      <c r="I41" s="516" t="s">
        <v>111</v>
      </c>
      <c r="J41" s="503"/>
      <c r="K41" s="498"/>
      <c r="L41" s="518"/>
      <c r="M41" s="507" t="e">
        <f ca="1" t="shared" si="6"/>
        <v>#DIV/0!</v>
      </c>
      <c r="N41" s="509"/>
      <c r="O41" s="509" t="e">
        <f ca="1">分配表!O490</f>
        <v>#DIV/0!</v>
      </c>
      <c r="P41" s="483"/>
    </row>
    <row r="42" s="459" customFormat="1" ht="14.25" customHeight="1" spans="1:16">
      <c r="A42" s="516" t="s">
        <v>112</v>
      </c>
      <c r="B42" s="503"/>
      <c r="C42" s="498"/>
      <c r="D42" s="518"/>
      <c r="E42" s="507">
        <f ca="1" t="shared" si="7"/>
        <v>0</v>
      </c>
      <c r="F42" s="517"/>
      <c r="G42" s="509" t="e">
        <f ca="1">OFFSET(分配表!C506,0,mth-1,1,1)</f>
        <v>#DIV/0!</v>
      </c>
      <c r="H42" s="483"/>
      <c r="I42" s="516" t="s">
        <v>112</v>
      </c>
      <c r="J42" s="503"/>
      <c r="K42" s="498"/>
      <c r="L42" s="518"/>
      <c r="M42" s="507" t="e">
        <f ca="1" t="shared" si="6"/>
        <v>#DIV/0!</v>
      </c>
      <c r="N42" s="509"/>
      <c r="O42" s="509" t="e">
        <f ca="1">分配表!O506</f>
        <v>#DIV/0!</v>
      </c>
      <c r="P42" s="483"/>
    </row>
    <row r="43" s="459" customFormat="1" ht="14.25" customHeight="1" spans="1:16">
      <c r="A43" s="516" t="s">
        <v>113</v>
      </c>
      <c r="B43" s="503"/>
      <c r="C43" s="498"/>
      <c r="D43" s="518"/>
      <c r="E43" s="507">
        <f ca="1" t="shared" si="7"/>
        <v>0</v>
      </c>
      <c r="F43" s="517"/>
      <c r="G43" s="509" t="e">
        <f ca="1">OFFSET(分配表!C528,0,mth-1,1,1)</f>
        <v>#DIV/0!</v>
      </c>
      <c r="I43" s="516" t="s">
        <v>114</v>
      </c>
      <c r="J43" s="503"/>
      <c r="K43" s="498"/>
      <c r="L43" s="518"/>
      <c r="M43" s="507" t="e">
        <f ca="1" t="shared" si="6"/>
        <v>#DIV/0!</v>
      </c>
      <c r="N43" s="509"/>
      <c r="O43" s="509" t="e">
        <f ca="1">分配表!O528</f>
        <v>#DIV/0!</v>
      </c>
    </row>
    <row r="44" s="459" customFormat="1" ht="14.25" customHeight="1" spans="1:16">
      <c r="A44" s="516" t="s">
        <v>115</v>
      </c>
      <c r="B44" s="503"/>
      <c r="C44" s="498"/>
      <c r="D44" s="518"/>
      <c r="E44" s="507">
        <f ca="1" t="shared" si="7"/>
        <v>0</v>
      </c>
      <c r="F44" s="517"/>
      <c r="G44" s="509" t="e">
        <f ca="1">OFFSET(分配表!C540,0,mth-1,1,1)</f>
        <v>#DIV/0!</v>
      </c>
      <c r="I44" s="516" t="s">
        <v>115</v>
      </c>
      <c r="J44" s="503"/>
      <c r="K44" s="498"/>
      <c r="L44" s="518"/>
      <c r="M44" s="507" t="e">
        <f ca="1" t="shared" si="6"/>
        <v>#DIV/0!</v>
      </c>
      <c r="N44" s="509"/>
      <c r="O44" s="509" t="e">
        <f ca="1">分配表!O540</f>
        <v>#DIV/0!</v>
      </c>
    </row>
    <row r="45" s="459" customFormat="1" ht="14.25" customHeight="1" spans="1:16">
      <c r="A45" s="516" t="s">
        <v>116</v>
      </c>
      <c r="B45" s="503"/>
      <c r="C45" s="498"/>
      <c r="D45" s="518"/>
      <c r="E45" s="507">
        <f ca="1" t="shared" si="7"/>
        <v>0</v>
      </c>
      <c r="F45" s="517"/>
      <c r="G45" s="509" t="e">
        <f ca="1">OFFSET(分配表!C552,0,mth-1,1,1)</f>
        <v>#DIV/0!</v>
      </c>
      <c r="I45" s="516" t="s">
        <v>116</v>
      </c>
      <c r="J45" s="503"/>
      <c r="K45" s="498"/>
      <c r="L45" s="518"/>
      <c r="M45" s="507" t="e">
        <f ca="1" t="shared" si="6"/>
        <v>#DIV/0!</v>
      </c>
      <c r="N45" s="509"/>
      <c r="O45" s="509" t="e">
        <f ca="1">分配表!O552</f>
        <v>#DIV/0!</v>
      </c>
    </row>
    <row r="46" s="459" customFormat="1" ht="14.25" customHeight="1" spans="1:16">
      <c r="A46" s="516" t="s">
        <v>117</v>
      </c>
      <c r="B46" s="503"/>
      <c r="C46" s="498"/>
      <c r="D46" s="518"/>
      <c r="E46" s="507">
        <f ca="1" t="shared" si="7"/>
        <v>0</v>
      </c>
      <c r="F46" s="517"/>
      <c r="G46" s="509" t="e">
        <f ca="1">OFFSET(分配表!C600,0,mth-1,1,1)</f>
        <v>#DIV/0!</v>
      </c>
      <c r="I46" s="516" t="s">
        <v>117</v>
      </c>
      <c r="J46" s="503"/>
      <c r="K46" s="498"/>
      <c r="L46" s="518"/>
      <c r="M46" s="507" t="e">
        <f ca="1" t="shared" si="6"/>
        <v>#DIV/0!</v>
      </c>
      <c r="N46" s="517"/>
      <c r="O46" s="509" t="e">
        <f ca="1">分配表!O600</f>
        <v>#DIV/0!</v>
      </c>
    </row>
    <row r="47" s="459" customFormat="1" ht="14.25" customHeight="1" spans="1:16">
      <c r="A47" s="516" t="s">
        <v>118</v>
      </c>
      <c r="B47" s="503"/>
      <c r="C47" s="498"/>
      <c r="D47" s="518"/>
      <c r="E47" s="507">
        <f ca="1" t="shared" si="7"/>
        <v>0</v>
      </c>
      <c r="F47" s="517"/>
      <c r="G47" s="509" t="e">
        <f ca="1">OFFSET(分配表!C564,0,mth-1,1,1)</f>
        <v>#DIV/0!</v>
      </c>
      <c r="I47" s="516" t="s">
        <v>118</v>
      </c>
      <c r="J47" s="503"/>
      <c r="K47" s="498"/>
      <c r="L47" s="518"/>
      <c r="M47" s="507" t="e">
        <f ca="1" t="shared" si="6"/>
        <v>#DIV/0!</v>
      </c>
      <c r="N47" s="517"/>
      <c r="O47" s="509" t="e">
        <f ca="1">分配表!O564</f>
        <v>#DIV/0!</v>
      </c>
    </row>
    <row r="48" s="459" customFormat="1" ht="14.25" customHeight="1" spans="1:16">
      <c r="A48" s="516" t="s">
        <v>119</v>
      </c>
      <c r="B48" s="503"/>
      <c r="C48" s="498"/>
      <c r="D48" s="518"/>
      <c r="E48" s="507">
        <f ca="1" t="shared" si="7"/>
        <v>0</v>
      </c>
      <c r="F48" s="517"/>
      <c r="G48" s="509" t="e">
        <f ca="1">OFFSET(分配表!C576,0,mth-1,1,1)</f>
        <v>#DIV/0!</v>
      </c>
      <c r="I48" s="516" t="s">
        <v>119</v>
      </c>
      <c r="J48" s="503"/>
      <c r="K48" s="498"/>
      <c r="L48" s="518"/>
      <c r="M48" s="507" t="e">
        <f ca="1" t="shared" si="6"/>
        <v>#DIV/0!</v>
      </c>
      <c r="N48" s="509"/>
      <c r="O48" s="509" t="e">
        <f ca="1">分配表!O576</f>
        <v>#DIV/0!</v>
      </c>
    </row>
    <row r="49" s="459" customFormat="1" ht="14.25" customHeight="1" spans="1:20">
      <c r="A49" s="516" t="s">
        <v>120</v>
      </c>
      <c r="B49" s="503"/>
      <c r="C49" s="498"/>
      <c r="D49" s="518"/>
      <c r="E49" s="507">
        <f ca="1" t="shared" si="7"/>
        <v>0</v>
      </c>
      <c r="F49" s="517"/>
      <c r="G49" s="509" t="e">
        <f ca="1">OFFSET(分配表!C588,0,mth-1,1,1)</f>
        <v>#DIV/0!</v>
      </c>
      <c r="I49" s="516" t="s">
        <v>120</v>
      </c>
      <c r="J49" s="503"/>
      <c r="K49" s="498"/>
      <c r="L49" s="518"/>
      <c r="M49" s="507" t="e">
        <f ca="1" t="shared" si="6"/>
        <v>#DIV/0!</v>
      </c>
      <c r="N49" s="517"/>
      <c r="O49" s="509" t="e">
        <f ca="1">分配表!O588</f>
        <v>#DIV/0!</v>
      </c>
    </row>
    <row r="50" s="459" customFormat="1" ht="14.25" customHeight="1" spans="1:20">
      <c r="A50" s="516" t="s">
        <v>121</v>
      </c>
      <c r="B50" s="503"/>
      <c r="C50" s="498"/>
      <c r="D50" s="518"/>
      <c r="E50" s="507">
        <f ca="1" t="shared" si="7"/>
        <v>0</v>
      </c>
      <c r="F50" s="517"/>
      <c r="G50" s="509" t="e">
        <f ca="1">OFFSET(分配表!C612,0,mth-1,1,1)</f>
        <v>#DIV/0!</v>
      </c>
      <c r="I50" s="516" t="s">
        <v>121</v>
      </c>
      <c r="J50" s="503"/>
      <c r="K50" s="498"/>
      <c r="L50" s="518"/>
      <c r="M50" s="507" t="e">
        <f ca="1" t="shared" si="6"/>
        <v>#DIV/0!</v>
      </c>
      <c r="N50" s="517"/>
      <c r="O50" s="509" t="e">
        <f ca="1">分配表!O612</f>
        <v>#DIV/0!</v>
      </c>
    </row>
    <row r="51" s="459" customFormat="1" ht="14.25" customHeight="1" spans="1:20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483"/>
    </row>
    <row r="52" s="460" customFormat="1" ht="14.25" customHeight="1" spans="1:20">
      <c r="A52" s="524" t="s">
        <v>124</v>
      </c>
      <c r="B52" s="525"/>
      <c r="C52" s="514"/>
      <c r="D52" s="515"/>
      <c r="E52" s="487" t="e">
        <f ca="1">E35-E36</f>
        <v>#DIV/0!</v>
      </c>
      <c r="F52" s="526"/>
      <c r="G52" s="487" t="e">
        <f ca="1">G35-G36</f>
        <v>#DIV/0!</v>
      </c>
      <c r="H52" s="527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528"/>
    </row>
    <row r="53" s="459" customFormat="1" ht="14.25" customHeight="1" spans="1:20">
      <c r="A53" s="524" t="s">
        <v>125</v>
      </c>
      <c r="B53" s="525"/>
      <c r="C53" s="514"/>
      <c r="D53" s="515"/>
      <c r="E53" s="487" t="e">
        <f ca="1">E52+E37</f>
        <v>#DIV/0!</v>
      </c>
      <c r="F53" s="526"/>
      <c r="G53" s="487" t="e">
        <f ca="1">G52+G37</f>
        <v>#DIV/0!</v>
      </c>
      <c r="H53" s="527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540" customFormat="1" ht="14.25" customHeight="1" spans="1:20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  <c r="P54" s="475"/>
      <c r="Q54" s="475"/>
      <c r="R54" s="475"/>
      <c r="S54" s="475"/>
      <c r="T54" s="475"/>
    </row>
    <row r="55" s="459" customFormat="1" customHeight="1" spans="1:20">
      <c r="A55" s="516" t="s">
        <v>127</v>
      </c>
      <c r="B55" s="503"/>
      <c r="C55" s="516"/>
      <c r="D55" s="516"/>
      <c r="E55" s="507">
        <f ca="1">IF(VALUE($F$3)=0,0,G55/$F$3)</f>
        <v>0</v>
      </c>
      <c r="F55" s="517"/>
      <c r="G55" s="509" t="e">
        <f ca="1">OFFSET(分配表!C625,0,mth-1,1,1)</f>
        <v>#DIV/0!</v>
      </c>
      <c r="I55" s="502" t="s">
        <v>127</v>
      </c>
      <c r="J55" s="516"/>
      <c r="K55" s="516"/>
      <c r="L55" s="516"/>
      <c r="M55" s="507" t="e">
        <f ca="1">IF($N$3=0,0,O55/$N$3)</f>
        <v>#DIV/0!</v>
      </c>
      <c r="N55" s="517"/>
      <c r="O55" s="509" t="e">
        <f ca="1">分配表!O625</f>
        <v>#DIV/0!</v>
      </c>
    </row>
    <row r="56" s="459" customFormat="1" customHeight="1" spans="1:20">
      <c r="B56" s="538"/>
      <c r="E56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265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92D050"/>
  </sheetPr>
  <dimension ref="A1:S67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G12" sqref="G12"/>
    </sheetView>
  </sheetViews>
  <sheetFormatPr defaultColWidth="9" defaultRowHeight="15" customHeight="1"/>
  <cols>
    <col min="1" max="1" width="32.125" style="40" customWidth="1"/>
    <col min="2" max="2" width="9.75" style="461" customWidth="1"/>
    <col min="3" max="3" width="9.75" style="40" customWidth="1"/>
    <col min="4" max="4" width="10.5" style="40" customWidth="1"/>
    <col min="5" max="5" width="10.125" style="462" customWidth="1"/>
    <col min="6" max="6" width="9.5" style="40" customWidth="1"/>
    <col min="7" max="7" width="10.5" style="40" customWidth="1"/>
    <col min="8" max="8" width="8.625" style="40" customWidth="1"/>
    <col min="9" max="9" width="28" style="40" customWidth="1"/>
    <col min="10" max="10" width="8.875" style="40" customWidth="1"/>
    <col min="11" max="11" width="7.5" style="40" customWidth="1"/>
    <col min="12" max="12" width="7" style="40" customWidth="1"/>
    <col min="13" max="13" width="10.625" style="40" customWidth="1"/>
    <col min="14" max="14" width="10.5" style="40" customWidth="1"/>
    <col min="15" max="15" width="11.375" style="40" customWidth="1"/>
    <col min="16" max="16384" width="9" style="40"/>
  </cols>
  <sheetData>
    <row r="1" s="458" customFormat="1" ht="42.75" customHeight="1" spans="1:19">
      <c r="A1" s="97" t="str">
        <f>CONCATENATE("果葡糖浆F55综合成本利润表_不含税(2025年"&amp;mth&amp;"月)")</f>
        <v>果葡糖浆F55综合成本利润表_不含税(2025年8月)</v>
      </c>
      <c r="B1" s="98"/>
      <c r="C1" s="98"/>
      <c r="D1" s="98"/>
      <c r="E1" s="98"/>
      <c r="F1" s="98"/>
      <c r="G1" s="98"/>
      <c r="I1" s="463" t="str">
        <f>CONCATENATE("果葡糖浆F55综合成本利润表_不含税(2025年1-"&amp;mth&amp;"月)")</f>
        <v>果葡糖浆F55综合成本利润表_不含税(2025年1-8月)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9">
      <c r="A2" s="464"/>
      <c r="B2" s="464"/>
      <c r="C2" s="464"/>
      <c r="D2" s="465"/>
      <c r="E2" s="44"/>
      <c r="F2" s="551"/>
      <c r="G2" s="39"/>
      <c r="M2" s="44"/>
      <c r="N2" s="551"/>
      <c r="O2" s="39"/>
    </row>
    <row r="3" s="38" customFormat="1" customHeight="1" spans="1:19">
      <c r="A3" s="39" t="s">
        <v>148</v>
      </c>
      <c r="E3" s="39" t="s">
        <v>149</v>
      </c>
      <c r="F3" s="466">
        <f ca="1">OFFSET(基础表!C6,0,mth-1,1,1)</f>
        <v>0</v>
      </c>
      <c r="K3" s="552"/>
      <c r="M3" s="39" t="s">
        <v>149</v>
      </c>
      <c r="N3" s="552">
        <f ca="1">基础表!O6</f>
        <v>49280.176</v>
      </c>
      <c r="O3" s="39" t="s">
        <v>75</v>
      </c>
    </row>
    <row r="4" s="459" customFormat="1" ht="14.25" customHeight="1" spans="1:19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9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2655.28208713787</v>
      </c>
      <c r="N5" s="472"/>
      <c r="O5" s="474">
        <f ca="1">O6-O7</f>
        <v>130852768.583801</v>
      </c>
      <c r="P5" s="475"/>
      <c r="Q5" s="475"/>
      <c r="R5" s="475"/>
      <c r="S5" s="475"/>
    </row>
    <row r="6" s="459" customFormat="1" ht="14.25" customHeight="1" spans="1:19">
      <c r="A6" s="476" t="s">
        <v>84</v>
      </c>
      <c r="B6" s="477"/>
      <c r="C6" s="478"/>
      <c r="D6" s="479"/>
      <c r="E6" s="478">
        <f ca="1">OFFSET(销售收入及运费!C66,0,mth-1,1,1)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553">
        <f ca="1">销售收入及运费!O66</f>
        <v>2712.78462086869</v>
      </c>
      <c r="N6" s="482"/>
      <c r="O6" s="480">
        <f ca="1">M6*$N$3</f>
        <v>133686503.566502</v>
      </c>
      <c r="P6" s="475"/>
      <c r="Q6" s="475"/>
      <c r="R6" s="475"/>
      <c r="S6" s="475"/>
    </row>
    <row r="7" s="459" customFormat="1" ht="14.25" customHeight="1" spans="1:19">
      <c r="A7" s="476" t="s">
        <v>85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76" t="s">
        <v>85</v>
      </c>
      <c r="J7" s="477"/>
      <c r="K7" s="479"/>
      <c r="L7" s="479"/>
      <c r="M7" s="480">
        <f ca="1">M8+M9</f>
        <v>57.502533730826</v>
      </c>
      <c r="N7" s="482"/>
      <c r="O7" s="480">
        <f ca="1">M7*$N$3</f>
        <v>2833734.98270104</v>
      </c>
      <c r="P7" s="475"/>
      <c r="Q7" s="475"/>
      <c r="R7" s="475"/>
      <c r="S7" s="475"/>
    </row>
    <row r="8" s="459" customFormat="1" ht="14.25" customHeight="1" spans="1:19">
      <c r="A8" s="476" t="s">
        <v>86</v>
      </c>
      <c r="B8" s="477"/>
      <c r="C8" s="479"/>
      <c r="D8" s="479"/>
      <c r="E8" s="478" t="e">
        <f ca="1">OFFSET(销售收入及运费!C123,0,mth-1,1,1)/1.09/OFFSET(销售收入及运费!C6,0,mth-1,1,1)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销售收入及运费!O123/1.09/销售收入及运费!O6</f>
        <v>44.8474942814961</v>
      </c>
      <c r="N8" s="482"/>
      <c r="O8" s="480">
        <f ca="1">M8*$N$3</f>
        <v>2210092.41135112</v>
      </c>
      <c r="P8" s="475"/>
      <c r="Q8" s="475"/>
      <c r="R8" s="475"/>
      <c r="S8" s="475"/>
    </row>
    <row r="9" s="459" customFormat="1" ht="14.25" customHeight="1" spans="1:19">
      <c r="A9" s="476" t="s">
        <v>87</v>
      </c>
      <c r="B9" s="477"/>
      <c r="C9" s="479"/>
      <c r="D9" s="479"/>
      <c r="E9" s="478" t="e">
        <f ca="1">(OFFSET(销售收入及运费!C143,0,mth-1,1,1)/1.13+OFFSET(销售收入及运费!C163,0,mth-1,1,1)/1.13)/OFFSET(销售收入及运费!C6,0,mth-1,1,1)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(销售收入及运费!O143/1.13+销售收入及运费!O163/1.13)/销售收入及运费!O6</f>
        <v>12.6550394493299</v>
      </c>
      <c r="N9" s="482"/>
      <c r="O9" s="480">
        <f ca="1">M9*$N$3</f>
        <v>623642.571349919</v>
      </c>
      <c r="P9" s="475"/>
      <c r="Q9" s="475"/>
      <c r="R9" s="475"/>
      <c r="S9" s="475"/>
    </row>
    <row r="10" s="459" customFormat="1" ht="14.25" customHeight="1" spans="1:19">
      <c r="A10" s="484" t="s">
        <v>88</v>
      </c>
      <c r="B10" s="485"/>
      <c r="C10" s="486"/>
      <c r="D10" s="486"/>
      <c r="E10" s="514">
        <f ca="1">E11+E13+E26+E31+E34+E25</f>
        <v>0</v>
      </c>
      <c r="F10" s="488"/>
      <c r="G10" s="487" t="e">
        <f ca="1">G11+G13+G26+G31+G25</f>
        <v>#DIV/0!</v>
      </c>
      <c r="H10" s="511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O11+O13+O26+O31+O25</f>
        <v>#DIV/0!</v>
      </c>
      <c r="P10" s="475"/>
      <c r="Q10" s="475"/>
      <c r="R10" s="475"/>
      <c r="S10" s="475"/>
    </row>
    <row r="11" s="459" customFormat="1" ht="14.25" customHeight="1" spans="1:19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54"/>
      <c r="I11" s="489" t="s">
        <v>89</v>
      </c>
      <c r="J11" s="490" t="s">
        <v>75</v>
      </c>
      <c r="K11" s="491">
        <f ca="1">IF(N11=0,0,O11/N11)</f>
        <v>2499.44104182405</v>
      </c>
      <c r="L11" s="492">
        <f ca="1">IF(K11=0,0,M11/K11)</f>
        <v>0.848770030048684</v>
      </c>
      <c r="M11" s="491">
        <f ca="1">M12</f>
        <v>2121.45064817391</v>
      </c>
      <c r="N11" s="491">
        <f ca="1">N12</f>
        <v>41827.5364643244</v>
      </c>
      <c r="O11" s="491">
        <f ca="1">O12</f>
        <v>104545461.317325</v>
      </c>
      <c r="P11" s="475"/>
      <c r="Q11" s="475"/>
      <c r="R11" s="475"/>
      <c r="S11" s="475"/>
    </row>
    <row r="12" s="459" customFormat="1" ht="14.25" customHeight="1" spans="1:19">
      <c r="A12" s="494" t="s">
        <v>90</v>
      </c>
      <c r="B12" s="495" t="s">
        <v>75</v>
      </c>
      <c r="C12" s="496">
        <f ca="1">OFFSET(分配表!C65,0,mth-1,1,1)</f>
        <v>0</v>
      </c>
      <c r="D12" s="497">
        <f ca="1">IF(VALUE($F$3)=0,0,F12/$F$3)</f>
        <v>0</v>
      </c>
      <c r="E12" s="496">
        <f ca="1">C12*D12</f>
        <v>0</v>
      </c>
      <c r="F12" s="555">
        <f ca="1">OFFSET(分配表!C78,0,mth-1,1,1)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分配表!O65</f>
        <v>2499.44104182405</v>
      </c>
      <c r="L12" s="497">
        <f ca="1">IF($N$3=0,,N12/$N$3)</f>
        <v>0.848770030048684</v>
      </c>
      <c r="M12" s="496">
        <f ca="1">K12*L12</f>
        <v>2121.45064817391</v>
      </c>
      <c r="N12" s="496">
        <f ca="1">分配表!O78</f>
        <v>41827.5364643244</v>
      </c>
      <c r="O12" s="496">
        <f ca="1">K12*N12</f>
        <v>104545461.317325</v>
      </c>
      <c r="P12" s="475"/>
      <c r="Q12" s="475"/>
      <c r="R12" s="475"/>
      <c r="S12" s="475"/>
    </row>
    <row r="13" s="459" customFormat="1" ht="14.25" customHeight="1" spans="1:19">
      <c r="A13" s="489" t="s">
        <v>92</v>
      </c>
      <c r="B13" s="490"/>
      <c r="C13" s="501"/>
      <c r="D13" s="492"/>
      <c r="E13" s="501">
        <f ca="1">SUM(E14:E24)</f>
        <v>0</v>
      </c>
      <c r="F13" s="491"/>
      <c r="G13" s="491" t="e">
        <f ca="1">SUM(G14:G24)</f>
        <v>#DIV/0!</v>
      </c>
      <c r="H13" s="511"/>
      <c r="I13" s="489" t="s">
        <v>92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475"/>
      <c r="R13" s="475"/>
      <c r="S13" s="475"/>
    </row>
    <row r="14" s="459" customFormat="1" ht="14.25" customHeight="1" spans="1:19">
      <c r="A14" s="502" t="s">
        <v>136</v>
      </c>
      <c r="B14" s="503"/>
      <c r="C14" s="504">
        <f ca="1">OFFSET(分配表!C179,0,mth-1,1,1)</f>
        <v>0</v>
      </c>
      <c r="D14" s="505">
        <f ca="1">IF(VALUE($F$3)=0,0,F14/$F$3)</f>
        <v>0</v>
      </c>
      <c r="E14" s="506">
        <f ca="1">C14*D14</f>
        <v>0</v>
      </c>
      <c r="F14" s="507">
        <f ca="1">OFFSET(分配表!C101,0,mth-1)</f>
        <v>0</v>
      </c>
      <c r="G14" s="496">
        <f ca="1" t="shared" ref="G14:G22" si="0">E14*$F$3</f>
        <v>0</v>
      </c>
      <c r="H14" s="556"/>
      <c r="I14" s="502" t="s">
        <v>136</v>
      </c>
      <c r="J14" s="503"/>
      <c r="K14" s="505">
        <f ca="1">分配表!O179</f>
        <v>1.03363476247911</v>
      </c>
      <c r="L14" s="505">
        <f ca="1">IF($N$3=0,,N14/$N$3)</f>
        <v>4.55787434531979</v>
      </c>
      <c r="M14" s="506">
        <f ca="1">K14*L14</f>
        <v>4.71117736633423</v>
      </c>
      <c r="N14" s="507">
        <f ca="1">分配表!O101</f>
        <v>224612.849923244</v>
      </c>
      <c r="O14" s="496">
        <f ca="1">M14*$N$3</f>
        <v>232167.649780167</v>
      </c>
      <c r="P14" s="475"/>
      <c r="Q14" s="475"/>
      <c r="R14" s="475"/>
      <c r="S14" s="475"/>
    </row>
    <row r="15" s="459" customFormat="1" ht="14.25" customHeight="1" spans="1:19">
      <c r="A15" s="502" t="s">
        <v>137</v>
      </c>
      <c r="B15" s="503"/>
      <c r="C15" s="504">
        <f ca="1">OFFSET(分配表!C180,0,mth-1,1,1)</f>
        <v>0</v>
      </c>
      <c r="D15" s="505">
        <f ca="1" t="shared" ref="D14:D22" si="1">IF(VALUE($F$3)=0,0,F15/$F$3)</f>
        <v>0</v>
      </c>
      <c r="E15" s="506">
        <f ca="1" t="shared" ref="E15:E22" si="2">C15*D15</f>
        <v>0</v>
      </c>
      <c r="F15" s="507">
        <f ca="1">OFFSET(分配表!C102,0,mth-1)</f>
        <v>0</v>
      </c>
      <c r="G15" s="496">
        <f ca="1" t="shared" si="0"/>
        <v>0</v>
      </c>
      <c r="H15" s="556"/>
      <c r="I15" s="502" t="s">
        <v>137</v>
      </c>
      <c r="J15" s="503"/>
      <c r="K15" s="505">
        <f ca="1">分配表!O180</f>
        <v>3.16530363402344</v>
      </c>
      <c r="L15" s="505">
        <f ca="1" t="shared" ref="L15:L22" si="3">IF($N$3=0,,N15/$N$3)</f>
        <v>5.06258686051769</v>
      </c>
      <c r="M15" s="506">
        <f ca="1" t="shared" ref="M15:M22" si="4">K15*L15</f>
        <v>16.024624587156</v>
      </c>
      <c r="N15" s="507">
        <f ca="1">分配表!O102</f>
        <v>249485.171501599</v>
      </c>
      <c r="O15" s="496">
        <f ca="1" t="shared" ref="O15:O22" si="5">M15*$N$3</f>
        <v>789696.319988974</v>
      </c>
      <c r="P15" s="475"/>
      <c r="Q15" s="475"/>
      <c r="R15" s="475"/>
      <c r="S15" s="475"/>
    </row>
    <row r="16" s="459" customFormat="1" ht="14.25" customHeight="1" spans="1:19">
      <c r="A16" s="502" t="s">
        <v>138</v>
      </c>
      <c r="B16" s="503"/>
      <c r="C16" s="504">
        <f ca="1">OFFSET(分配表!C181,0,mth-1,1,1)</f>
        <v>0</v>
      </c>
      <c r="D16" s="505">
        <f ca="1" t="shared" si="1"/>
        <v>0</v>
      </c>
      <c r="E16" s="506">
        <f ca="1" t="shared" si="2"/>
        <v>0</v>
      </c>
      <c r="F16" s="507">
        <f ca="1">OFFSET(分配表!C103,0,mth-1)</f>
        <v>0</v>
      </c>
      <c r="G16" s="496">
        <f ca="1" t="shared" si="0"/>
        <v>0</v>
      </c>
      <c r="H16" s="556"/>
      <c r="I16" s="502" t="s">
        <v>138</v>
      </c>
      <c r="J16" s="503"/>
      <c r="K16" s="505">
        <f ca="1">分配表!O181</f>
        <v>2.60487003610108</v>
      </c>
      <c r="L16" s="505">
        <f ca="1" t="shared" si="3"/>
        <v>0.766508435750828</v>
      </c>
      <c r="M16" s="506">
        <f ca="1" t="shared" si="4"/>
        <v>1.99665485670604</v>
      </c>
      <c r="N16" s="507">
        <f ca="1">分配表!O103</f>
        <v>37773.6706192855</v>
      </c>
      <c r="O16" s="496">
        <f ca="1" t="shared" si="5"/>
        <v>98395.5027497286</v>
      </c>
      <c r="P16" s="475"/>
      <c r="Q16" s="475"/>
      <c r="R16" s="475"/>
      <c r="S16" s="475"/>
    </row>
    <row r="17" s="459" customFormat="1" ht="14.25" customHeight="1" spans="1:19">
      <c r="A17" s="502" t="s">
        <v>139</v>
      </c>
      <c r="B17" s="503"/>
      <c r="C17" s="504">
        <f ca="1">OFFSET(分配表!C183,0,mth-1,1,1)</f>
        <v>0</v>
      </c>
      <c r="D17" s="505">
        <f ca="1" t="shared" si="1"/>
        <v>0</v>
      </c>
      <c r="E17" s="506">
        <f ca="1" t="shared" si="2"/>
        <v>0</v>
      </c>
      <c r="F17" s="507">
        <f ca="1">OFFSET(分配表!C105,0,mth-1)</f>
        <v>0</v>
      </c>
      <c r="G17" s="496">
        <f ca="1" t="shared" si="0"/>
        <v>0</v>
      </c>
      <c r="H17" s="556"/>
      <c r="I17" s="502" t="s">
        <v>139</v>
      </c>
      <c r="J17" s="503"/>
      <c r="K17" s="505">
        <f ca="1">分配表!O183</f>
        <v>7.07970147313692</v>
      </c>
      <c r="L17" s="505">
        <f ca="1" t="shared" si="3"/>
        <v>1.59987183011964</v>
      </c>
      <c r="M17" s="506">
        <f ca="1" t="shared" si="4"/>
        <v>11.3266149525282</v>
      </c>
      <c r="N17" s="507">
        <f ca="1">分配表!O105</f>
        <v>78841.9653657378</v>
      </c>
      <c r="O17" s="496">
        <f ca="1" t="shared" si="5"/>
        <v>558177.578344823</v>
      </c>
      <c r="P17" s="475"/>
      <c r="Q17" s="475"/>
      <c r="R17" s="475"/>
      <c r="S17" s="475"/>
    </row>
    <row r="18" s="459" customFormat="1" ht="14.25" customHeight="1" spans="1:19">
      <c r="A18" s="502" t="s">
        <v>140</v>
      </c>
      <c r="B18" s="503"/>
      <c r="C18" s="504">
        <f ca="1">OFFSET(分配表!C184,0,mth-1,1,1)</f>
        <v>0</v>
      </c>
      <c r="D18" s="505">
        <f ca="1" t="shared" si="1"/>
        <v>0</v>
      </c>
      <c r="E18" s="506">
        <f ca="1" t="shared" si="2"/>
        <v>0</v>
      </c>
      <c r="F18" s="507">
        <f ca="1">OFFSET(分配表!C106,0,mth-1)</f>
        <v>0</v>
      </c>
      <c r="G18" s="496">
        <f ca="1" t="shared" si="0"/>
        <v>0</v>
      </c>
      <c r="H18" s="556"/>
      <c r="I18" s="502" t="s">
        <v>140</v>
      </c>
      <c r="J18" s="503"/>
      <c r="K18" s="505">
        <f ca="1">分配表!O184</f>
        <v>47.8014094240838</v>
      </c>
      <c r="L18" s="505">
        <f ca="1" t="shared" si="3"/>
        <v>0.0825190470672785</v>
      </c>
      <c r="M18" s="506">
        <f ca="1" t="shared" si="4"/>
        <v>3.94452675414822</v>
      </c>
      <c r="N18" s="507">
        <f ca="1">分配表!O106</f>
        <v>4066.55316282777</v>
      </c>
      <c r="O18" s="496">
        <f ca="1" t="shared" si="5"/>
        <v>194386.972681133</v>
      </c>
      <c r="P18" s="475"/>
      <c r="Q18" s="475"/>
      <c r="R18" s="475"/>
      <c r="S18" s="475"/>
    </row>
    <row r="19" s="459" customFormat="1" ht="14.25" customHeight="1" spans="1:19">
      <c r="A19" s="502" t="s">
        <v>141</v>
      </c>
      <c r="B19" s="503"/>
      <c r="C19" s="504">
        <f ca="1">OFFSET(分配表!C185,0,mth-1,1,1)</f>
        <v>0</v>
      </c>
      <c r="D19" s="505">
        <f ca="1" t="shared" si="1"/>
        <v>0</v>
      </c>
      <c r="E19" s="506">
        <f ca="1" t="shared" si="2"/>
        <v>0</v>
      </c>
      <c r="F19" s="507">
        <f ca="1">OFFSET(分配表!C107,0,mth-1)</f>
        <v>0</v>
      </c>
      <c r="G19" s="496">
        <f ca="1" t="shared" si="0"/>
        <v>0</v>
      </c>
      <c r="H19" s="556"/>
      <c r="I19" s="502" t="s">
        <v>141</v>
      </c>
      <c r="J19" s="503"/>
      <c r="K19" s="505">
        <f ca="1">分配表!O185</f>
        <v>32.1974312123818</v>
      </c>
      <c r="L19" s="505">
        <f ca="1" t="shared" si="3"/>
        <v>0.16120775745773</v>
      </c>
      <c r="M19" s="506">
        <f ca="1" t="shared" si="4"/>
        <v>5.1904756816476</v>
      </c>
      <c r="N19" s="507">
        <f ca="1">分配表!O107</f>
        <v>7944.34666008226</v>
      </c>
      <c r="O19" s="496">
        <f ca="1" t="shared" si="5"/>
        <v>255787.555115314</v>
      </c>
      <c r="P19" s="475"/>
      <c r="Q19" s="475"/>
      <c r="R19" s="475"/>
      <c r="S19" s="475"/>
    </row>
    <row r="20" s="459" customFormat="1" ht="14.25" customHeight="1" spans="1:19">
      <c r="A20" s="502" t="s">
        <v>142</v>
      </c>
      <c r="B20" s="503"/>
      <c r="C20" s="504">
        <f ca="1">OFFSET(分配表!C186,0,mth-1,1,1)</f>
        <v>0</v>
      </c>
      <c r="D20" s="505">
        <f ca="1" t="shared" si="1"/>
        <v>0</v>
      </c>
      <c r="E20" s="506">
        <f ca="1" t="shared" si="2"/>
        <v>0</v>
      </c>
      <c r="F20" s="507">
        <f ca="1">OFFSET(分配表!C108,0,mth-1)</f>
        <v>0</v>
      </c>
      <c r="G20" s="496">
        <f ca="1" t="shared" si="0"/>
        <v>0</v>
      </c>
      <c r="H20" s="556"/>
      <c r="I20" s="502" t="s">
        <v>142</v>
      </c>
      <c r="J20" s="503"/>
      <c r="K20" s="505">
        <f ca="1">分配表!O186</f>
        <v>218.577020031909</v>
      </c>
      <c r="L20" s="505">
        <f ca="1" t="shared" si="3"/>
        <v>0.0977000320036674</v>
      </c>
      <c r="M20" s="506">
        <f ca="1" t="shared" si="4"/>
        <v>21.3549818523838</v>
      </c>
      <c r="N20" s="507">
        <f ca="1">分配表!O108</f>
        <v>4814.67477234636</v>
      </c>
      <c r="O20" s="496">
        <f ca="1" t="shared" si="5"/>
        <v>1052377.26416228</v>
      </c>
      <c r="P20" s="475"/>
      <c r="Q20" s="475"/>
      <c r="R20" s="475"/>
      <c r="S20" s="475"/>
    </row>
    <row r="21" s="459" customFormat="1" ht="14.25" customHeight="1" spans="1:19">
      <c r="A21" s="502" t="s">
        <v>150</v>
      </c>
      <c r="B21" s="503"/>
      <c r="C21" s="504">
        <f ca="1">OFFSET(分配表!C187,0,mth-1,1,1)</f>
        <v>0</v>
      </c>
      <c r="D21" s="505">
        <f ca="1" t="shared" si="1"/>
        <v>0</v>
      </c>
      <c r="E21" s="506">
        <f ca="1" t="shared" si="2"/>
        <v>0</v>
      </c>
      <c r="F21" s="507">
        <f ca="1">OFFSET(分配表!C109,0,mth-1)</f>
        <v>0</v>
      </c>
      <c r="G21" s="496">
        <f ca="1" t="shared" si="0"/>
        <v>0</v>
      </c>
      <c r="H21" s="556"/>
      <c r="I21" s="502" t="s">
        <v>150</v>
      </c>
      <c r="J21" s="503"/>
      <c r="K21" s="505">
        <f ca="1">分配表!O187</f>
        <v>0.979474345549738</v>
      </c>
      <c r="L21" s="505">
        <f ca="1" t="shared" si="3"/>
        <v>0.496079591655948</v>
      </c>
      <c r="M21" s="506">
        <f ca="1" t="shared" si="4"/>
        <v>0.485897233377791</v>
      </c>
      <c r="N21" s="507">
        <f ca="1">分配表!O109</f>
        <v>24446.8895868132</v>
      </c>
      <c r="O21" s="496">
        <f ca="1" t="shared" si="5"/>
        <v>23945.1011787706</v>
      </c>
      <c r="P21" s="475"/>
      <c r="Q21" s="475"/>
      <c r="R21" s="475"/>
      <c r="S21" s="475"/>
    </row>
    <row r="22" s="459" customFormat="1" ht="14.25" customHeight="1" spans="1:19">
      <c r="A22" s="502" t="s">
        <v>145</v>
      </c>
      <c r="B22" s="503"/>
      <c r="C22" s="504">
        <f ca="1">OFFSET(分配表!C188,0,mth-1,1,1)</f>
        <v>0</v>
      </c>
      <c r="D22" s="505">
        <f ca="1" t="shared" si="1"/>
        <v>0</v>
      </c>
      <c r="E22" s="506">
        <f ca="1" t="shared" si="2"/>
        <v>0</v>
      </c>
      <c r="F22" s="507">
        <f ca="1">OFFSET(分配表!C110,0,mth-1)</f>
        <v>0</v>
      </c>
      <c r="G22" s="496">
        <f ca="1" t="shared" si="0"/>
        <v>0</v>
      </c>
      <c r="H22" s="556"/>
      <c r="I22" s="502" t="s">
        <v>145</v>
      </c>
      <c r="J22" s="503"/>
      <c r="K22" s="505">
        <f ca="1">分配表!O188</f>
        <v>1.85608011869436</v>
      </c>
      <c r="L22" s="505">
        <f ca="1" t="shared" si="3"/>
        <v>0.291815846685822</v>
      </c>
      <c r="M22" s="506">
        <f ca="1" t="shared" si="4"/>
        <v>0.541633591353516</v>
      </c>
      <c r="N22" s="507">
        <f ca="1">分配表!O110</f>
        <v>14380.7362842663</v>
      </c>
      <c r="O22" s="496">
        <f ca="1" t="shared" si="5"/>
        <v>26691.7987094133</v>
      </c>
      <c r="P22" s="475"/>
      <c r="Q22" s="475"/>
      <c r="R22" s="475"/>
      <c r="S22" s="475"/>
    </row>
    <row r="23" s="459" customFormat="1" ht="14.25" customHeight="1" spans="1:19">
      <c r="A23" s="502" t="s">
        <v>146</v>
      </c>
      <c r="B23" s="503"/>
      <c r="C23" s="504"/>
      <c r="D23" s="505"/>
      <c r="E23" s="507">
        <f ca="1">IF(VALUE($F$3)=0,0,G23/$F$3)</f>
        <v>0</v>
      </c>
      <c r="F23" s="507"/>
      <c r="G23" s="507" t="e">
        <f ca="1">OFFSET(分配表!C205,0,mth-1,1,1)</f>
        <v>#DIV/0!</v>
      </c>
      <c r="H23" s="556"/>
      <c r="I23" s="502" t="s">
        <v>146</v>
      </c>
      <c r="J23" s="503"/>
      <c r="K23" s="505"/>
      <c r="L23" s="497"/>
      <c r="M23" s="506" t="e">
        <f ca="1">IF($N$3=0,0,O23/$N$3)</f>
        <v>#DIV/0!</v>
      </c>
      <c r="N23" s="507"/>
      <c r="O23" s="496" t="e">
        <f ca="1">分配表!O205</f>
        <v>#DIV/0!</v>
      </c>
      <c r="P23" s="475"/>
      <c r="Q23" s="475"/>
      <c r="R23" s="475"/>
      <c r="S23" s="475"/>
    </row>
    <row r="24" s="459" customFormat="1" ht="14.25" customHeight="1" spans="1:19">
      <c r="A24" s="502" t="s">
        <v>147</v>
      </c>
      <c r="B24" s="503"/>
      <c r="C24" s="505"/>
      <c r="D24" s="497"/>
      <c r="E24" s="507">
        <f ca="1">IF(VALUE($F$3)=0,0,G24/$F$3)</f>
        <v>0</v>
      </c>
      <c r="F24" s="507"/>
      <c r="G24" s="507" t="e">
        <f ca="1">OFFSET(分配表!C216,0,mth-1,1,1)</f>
        <v>#DIV/0!</v>
      </c>
      <c r="I24" s="502" t="s">
        <v>147</v>
      </c>
      <c r="J24" s="503"/>
      <c r="K24" s="505"/>
      <c r="L24" s="497"/>
      <c r="M24" s="507" t="e">
        <f ca="1">IF($N$3=0,0,O24/$N$3)</f>
        <v>#DIV/0!</v>
      </c>
      <c r="N24" s="507"/>
      <c r="O24" s="507" t="e">
        <f ca="1">分配表!O216</f>
        <v>#DIV/0!</v>
      </c>
      <c r="P24" s="475"/>
      <c r="Q24" s="475"/>
      <c r="R24" s="475"/>
      <c r="S24" s="475"/>
    </row>
    <row r="25" s="459" customFormat="1" ht="14.25" customHeight="1" spans="1:19">
      <c r="A25" s="508" t="s">
        <v>93</v>
      </c>
      <c r="B25" s="490"/>
      <c r="C25" s="501"/>
      <c r="D25" s="492"/>
      <c r="E25" s="491"/>
      <c r="F25" s="491"/>
      <c r="G25" s="491"/>
      <c r="I25" s="508" t="s">
        <v>93</v>
      </c>
      <c r="J25" s="490"/>
      <c r="K25" s="501"/>
      <c r="L25" s="492"/>
      <c r="M25" s="491"/>
      <c r="N25" s="491"/>
      <c r="O25" s="491"/>
      <c r="P25" s="475"/>
      <c r="Q25" s="475"/>
      <c r="R25" s="475"/>
      <c r="S25" s="475"/>
    </row>
    <row r="26" s="459" customFormat="1" ht="14.25" customHeight="1" spans="1:19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475"/>
      <c r="Q26" s="475"/>
      <c r="R26" s="475"/>
      <c r="S26" s="475"/>
    </row>
    <row r="27" s="459" customFormat="1" ht="14.25" customHeight="1" spans="1:19">
      <c r="A27" s="494" t="s">
        <v>95</v>
      </c>
      <c r="B27" s="495" t="s">
        <v>75</v>
      </c>
      <c r="C27" s="504">
        <f ca="1">OFFSET(分配表!C305,0,mth-1,1,1)</f>
        <v>0</v>
      </c>
      <c r="D27" s="497">
        <f ca="1">IF(VALUE($F$3)=0,0,F27/$F$3)</f>
        <v>0</v>
      </c>
      <c r="E27" s="509">
        <f ca="1">C27*D27</f>
        <v>0</v>
      </c>
      <c r="F27" s="509">
        <f ca="1">OFFSET(分配表!C308,0,mth-1,1,1)</f>
        <v>0</v>
      </c>
      <c r="G27" s="509">
        <f ca="1">E27*F$3</f>
        <v>0</v>
      </c>
      <c r="I27" s="494" t="s">
        <v>95</v>
      </c>
      <c r="J27" s="495" t="s">
        <v>75</v>
      </c>
      <c r="K27" s="504">
        <f ca="1">分配表!O305</f>
        <v>374.799025538744</v>
      </c>
      <c r="L27" s="518">
        <f ca="1">IF($N$3=0,0,N27/$N$3)</f>
        <v>0.308599320251534</v>
      </c>
      <c r="M27" s="509">
        <f ca="1">K27*L27</f>
        <v>115.662724512194</v>
      </c>
      <c r="N27" s="496">
        <f ca="1">分配表!O308</f>
        <v>15207.828815476</v>
      </c>
      <c r="O27" s="509">
        <f ca="1">M27*N$3</f>
        <v>5699879.42060042</v>
      </c>
      <c r="P27" s="475"/>
      <c r="Q27" s="475"/>
      <c r="R27" s="475"/>
      <c r="S27" s="475"/>
    </row>
    <row r="28" s="459" customFormat="1" ht="14.25" customHeight="1" spans="1:19">
      <c r="A28" s="494" t="s">
        <v>96</v>
      </c>
      <c r="B28" s="495" t="s">
        <v>97</v>
      </c>
      <c r="C28" s="504">
        <f ca="1">OFFSET(分配表!C324,0,mth-1,1,1)</f>
        <v>0</v>
      </c>
      <c r="D28" s="505">
        <f ca="1">IF(VALUE($F$3)=0,0,F28/$F$3)</f>
        <v>0</v>
      </c>
      <c r="E28" s="509">
        <f ca="1">C28*D28</f>
        <v>0</v>
      </c>
      <c r="F28" s="509" t="e">
        <f ca="1">OFFSET(分配表!C327,0,mth-1,1,1)</f>
        <v>#DIV/0!</v>
      </c>
      <c r="G28" s="509">
        <f ca="1">E28*F$3</f>
        <v>0</v>
      </c>
      <c r="I28" s="494" t="s">
        <v>96</v>
      </c>
      <c r="J28" s="495" t="s">
        <v>97</v>
      </c>
      <c r="K28" s="504">
        <f ca="1">分配表!O324</f>
        <v>0.680636799672716</v>
      </c>
      <c r="L28" s="498" t="e">
        <f ca="1">IF($N$3=0,0,N28/$N$3)</f>
        <v>#DIV/0!</v>
      </c>
      <c r="M28" s="509" t="e">
        <f ca="1">K28*L28</f>
        <v>#DIV/0!</v>
      </c>
      <c r="N28" s="496" t="e">
        <f ca="1">分配表!O327</f>
        <v>#DIV/0!</v>
      </c>
      <c r="O28" s="509" t="e">
        <f ca="1">M28*N$3</f>
        <v>#DIV/0!</v>
      </c>
      <c r="P28" s="475"/>
      <c r="Q28" s="475"/>
      <c r="R28" s="475"/>
      <c r="S28" s="475"/>
    </row>
    <row r="29" s="459" customFormat="1" ht="14.25" customHeight="1" spans="1:19">
      <c r="A29" s="494" t="s">
        <v>98</v>
      </c>
      <c r="B29" s="495" t="s">
        <v>75</v>
      </c>
      <c r="C29" s="504">
        <f ca="1">OFFSET(分配表!C343,0,mth-1,1,1)</f>
        <v>0</v>
      </c>
      <c r="D29" s="505">
        <f ca="1">IF(VALUE($F$3)=0,0,F29/$F$3)</f>
        <v>0</v>
      </c>
      <c r="E29" s="509">
        <f ca="1">C29*D29</f>
        <v>0</v>
      </c>
      <c r="F29" s="509" t="e">
        <f ca="1">OFFSET(分配表!C345,0,mth-1,1,1)</f>
        <v>#DIV/0!</v>
      </c>
      <c r="G29" s="509">
        <f ca="1">E29*F$3</f>
        <v>0</v>
      </c>
      <c r="I29" s="494" t="s">
        <v>98</v>
      </c>
      <c r="J29" s="495" t="s">
        <v>75</v>
      </c>
      <c r="K29" s="504">
        <f ca="1">分配表!O343</f>
        <v>5.8950402489434</v>
      </c>
      <c r="L29" s="498" t="e">
        <f ca="1">IF($N$3=0,0,N29/$N$3)</f>
        <v>#DIV/0!</v>
      </c>
      <c r="M29" s="509" t="e">
        <f ca="1">K29*L29</f>
        <v>#DIV/0!</v>
      </c>
      <c r="N29" s="496" t="e">
        <f ca="1">分配表!O345</f>
        <v>#DIV/0!</v>
      </c>
      <c r="O29" s="509" t="e">
        <f ca="1">M29*N$3</f>
        <v>#DIV/0!</v>
      </c>
      <c r="P29" s="475"/>
      <c r="Q29" s="475"/>
      <c r="R29" s="475"/>
      <c r="S29" s="475"/>
    </row>
    <row r="30" s="459" customFormat="1" ht="14.25" customHeight="1" spans="1:19">
      <c r="A30" s="494" t="s">
        <v>99</v>
      </c>
      <c r="B30" s="495" t="s">
        <v>75</v>
      </c>
      <c r="C30" s="504">
        <f ca="1">OFFSET(分配表!C360,0,mth-1,1,1)</f>
        <v>0</v>
      </c>
      <c r="D30" s="505">
        <f ca="1">IF(VALUE($F$3)=0,0,F30/$F$3)</f>
        <v>0</v>
      </c>
      <c r="E30" s="509">
        <f ca="1">C30*D30</f>
        <v>0</v>
      </c>
      <c r="F30" s="509">
        <f ca="1">OFFSET(分配表!C362,0,mth-1,1,1)</f>
        <v>0</v>
      </c>
      <c r="G30" s="509">
        <f ca="1">E30*F$3</f>
        <v>0</v>
      </c>
      <c r="I30" s="494" t="s">
        <v>99</v>
      </c>
      <c r="J30" s="495" t="s">
        <v>75</v>
      </c>
      <c r="K30" s="504">
        <f>分配表!O360</f>
        <v>0</v>
      </c>
      <c r="L30" s="498">
        <f ca="1">IF($N$3=0,0,N30/$N$3)</f>
        <v>0</v>
      </c>
      <c r="M30" s="509">
        <f ca="1">K30*L30</f>
        <v>0</v>
      </c>
      <c r="N30" s="496">
        <f>分配表!O362</f>
        <v>0</v>
      </c>
      <c r="O30" s="509">
        <f ca="1">M30*N$3</f>
        <v>0</v>
      </c>
      <c r="P30" s="475"/>
      <c r="Q30" s="475"/>
      <c r="R30" s="475"/>
      <c r="S30" s="475"/>
    </row>
    <row r="31" s="459" customFormat="1" ht="14.25" customHeight="1" spans="1:19">
      <c r="A31" s="508" t="s">
        <v>101</v>
      </c>
      <c r="B31" s="490"/>
      <c r="C31" s="501"/>
      <c r="D31" s="492"/>
      <c r="E31" s="501">
        <f ca="1">IF(VALUE($F$3)=0,0,G31/$F$3)</f>
        <v>0</v>
      </c>
      <c r="F31" s="501"/>
      <c r="G31" s="501" t="e">
        <f ca="1">OFFSET(分配表!C373,0,mth-1,1,1)</f>
        <v>#DIV/0!</v>
      </c>
      <c r="I31" s="508" t="s">
        <v>101</v>
      </c>
      <c r="J31" s="490"/>
      <c r="K31" s="501"/>
      <c r="L31" s="492"/>
      <c r="M31" s="501" t="e">
        <f ca="1">IF($N$3=0,,O31/$N$3)</f>
        <v>#DIV/0!</v>
      </c>
      <c r="N31" s="501"/>
      <c r="O31" s="501" t="e">
        <f ca="1">分配表!O373</f>
        <v>#DIV/0!</v>
      </c>
      <c r="P31" s="475"/>
      <c r="Q31" s="475"/>
      <c r="R31" s="475"/>
      <c r="S31" s="475"/>
    </row>
    <row r="32" s="459" customFormat="1" ht="14.25" customHeight="1" spans="1:19">
      <c r="A32" s="541" t="s">
        <v>102</v>
      </c>
      <c r="B32" s="490"/>
      <c r="C32" s="501"/>
      <c r="D32" s="492"/>
      <c r="E32" s="501">
        <f ca="1">E31</f>
        <v>0</v>
      </c>
      <c r="F32" s="501"/>
      <c r="G32" s="501" t="e">
        <f ca="1">G31</f>
        <v>#DIV/0!</v>
      </c>
      <c r="H32" s="483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P32" s="475"/>
      <c r="Q32" s="475"/>
      <c r="R32" s="475"/>
      <c r="S32" s="475"/>
    </row>
    <row r="33" s="459" customFormat="1" ht="14.25" customHeight="1" spans="1:19">
      <c r="A33" s="541" t="s">
        <v>103</v>
      </c>
      <c r="B33" s="490"/>
      <c r="C33" s="501"/>
      <c r="D33" s="492"/>
      <c r="E33" s="501"/>
      <c r="F33" s="491"/>
      <c r="G33" s="491"/>
      <c r="H33" s="483"/>
      <c r="I33" s="508" t="s">
        <v>103</v>
      </c>
      <c r="J33" s="490"/>
      <c r="K33" s="501"/>
      <c r="L33" s="492"/>
      <c r="M33" s="501"/>
      <c r="N33" s="491"/>
      <c r="O33" s="491"/>
      <c r="P33" s="475"/>
      <c r="Q33" s="475"/>
      <c r="R33" s="475"/>
      <c r="S33" s="475"/>
    </row>
    <row r="34" s="459" customFormat="1" ht="14.25" customHeight="1" spans="1:19">
      <c r="A34" s="508" t="s">
        <v>104</v>
      </c>
      <c r="B34" s="490"/>
      <c r="C34" s="501"/>
      <c r="D34" s="492"/>
      <c r="E34" s="501"/>
      <c r="F34" s="491"/>
      <c r="G34" s="491"/>
      <c r="I34" s="508" t="s">
        <v>104</v>
      </c>
      <c r="J34" s="490"/>
      <c r="K34" s="501"/>
      <c r="L34" s="492"/>
      <c r="M34" s="501"/>
      <c r="N34" s="491"/>
      <c r="O34" s="491"/>
      <c r="P34" s="475"/>
      <c r="Q34" s="475"/>
      <c r="R34" s="475"/>
      <c r="S34" s="475"/>
    </row>
    <row r="35" s="459" customFormat="1" ht="14.25" customHeight="1" spans="1:19">
      <c r="A35" s="508" t="s">
        <v>105</v>
      </c>
      <c r="B35" s="490"/>
      <c r="C35" s="501"/>
      <c r="D35" s="492"/>
      <c r="E35" s="491" t="e">
        <f ca="1">E5-E10</f>
        <v>#DIV/0!</v>
      </c>
      <c r="F35" s="491"/>
      <c r="G35" s="491" t="e">
        <f ca="1">G5-G10</f>
        <v>#DIV/0!</v>
      </c>
      <c r="H35" s="51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475"/>
      <c r="Q35" s="475"/>
      <c r="R35" s="475"/>
      <c r="S35" s="475"/>
    </row>
    <row r="36" s="459" customFormat="1" ht="14.25" customHeight="1" spans="1:19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475"/>
      <c r="Q36" s="475"/>
      <c r="R36" s="475"/>
      <c r="S36" s="475"/>
    </row>
    <row r="37" s="459" customFormat="1" ht="14.25" customHeight="1" spans="1:19">
      <c r="A37" s="516" t="s">
        <v>107</v>
      </c>
      <c r="B37" s="503"/>
      <c r="C37" s="505"/>
      <c r="D37" s="497"/>
      <c r="E37" s="507">
        <f ca="1">IF(VALUE($F$3)=0,0,G37/$F$3)</f>
        <v>0</v>
      </c>
      <c r="F37" s="517"/>
      <c r="G37" s="509" t="e">
        <f ca="1">OFFSET(分配表!C406,0,mth-1,1,1)</f>
        <v>#DIV/0!</v>
      </c>
      <c r="H37" s="483"/>
      <c r="I37" s="516" t="s">
        <v>107</v>
      </c>
      <c r="J37" s="503"/>
      <c r="K37" s="505"/>
      <c r="L37" s="497"/>
      <c r="M37" s="496" t="e">
        <f ca="1" t="shared" ref="M37:M50" si="6">IF($N$3=0,0,O37/$N$3)</f>
        <v>#DIV/0!</v>
      </c>
      <c r="N37" s="517"/>
      <c r="O37" s="509" t="e">
        <f ca="1">分配表!O406</f>
        <v>#DIV/0!</v>
      </c>
      <c r="P37" s="475"/>
      <c r="Q37" s="475"/>
      <c r="R37" s="475"/>
      <c r="S37" s="475"/>
    </row>
    <row r="38" s="459" customFormat="1" ht="14.25" customHeight="1" spans="1:19">
      <c r="A38" s="516" t="s">
        <v>108</v>
      </c>
      <c r="B38" s="503"/>
      <c r="C38" s="505"/>
      <c r="D38" s="497"/>
      <c r="E38" s="507">
        <f ca="1" t="shared" ref="E38:E50" si="7">IF(VALUE($F$3)=0,0,G38/$F$3)</f>
        <v>0</v>
      </c>
      <c r="F38" s="517"/>
      <c r="G38" s="509" t="e">
        <f ca="1">OFFSET(分配表!C426,0,mth-1,1,1)</f>
        <v>#DIV/0!</v>
      </c>
      <c r="H38" s="483"/>
      <c r="I38" s="516" t="s">
        <v>108</v>
      </c>
      <c r="J38" s="503"/>
      <c r="K38" s="505"/>
      <c r="L38" s="497"/>
      <c r="M38" s="496" t="e">
        <f ca="1" t="shared" si="6"/>
        <v>#DIV/0!</v>
      </c>
      <c r="N38" s="517"/>
      <c r="O38" s="509" t="e">
        <f ca="1">分配表!O426</f>
        <v>#DIV/0!</v>
      </c>
      <c r="P38" s="475"/>
      <c r="Q38" s="475"/>
      <c r="R38" s="475"/>
      <c r="S38" s="475"/>
    </row>
    <row r="39" s="459" customFormat="1" ht="14.25" customHeight="1" spans="1:19">
      <c r="A39" s="516" t="s">
        <v>109</v>
      </c>
      <c r="B39" s="503"/>
      <c r="C39" s="498"/>
      <c r="D39" s="518"/>
      <c r="E39" s="507">
        <f ca="1" t="shared" si="7"/>
        <v>0</v>
      </c>
      <c r="F39" s="517"/>
      <c r="G39" s="509" t="e">
        <f ca="1">OFFSET(分配表!C446,0,mth-1,1,1)</f>
        <v>#DIV/0!</v>
      </c>
      <c r="H39" s="483"/>
      <c r="I39" s="516" t="s">
        <v>109</v>
      </c>
      <c r="J39" s="503"/>
      <c r="K39" s="498"/>
      <c r="L39" s="518"/>
      <c r="M39" s="496" t="e">
        <f ca="1" t="shared" si="6"/>
        <v>#DIV/0!</v>
      </c>
      <c r="N39" s="517"/>
      <c r="O39" s="509" t="e">
        <f ca="1">分配表!O446</f>
        <v>#DIV/0!</v>
      </c>
      <c r="P39" s="475"/>
      <c r="Q39" s="475"/>
      <c r="R39" s="475"/>
      <c r="S39" s="475"/>
    </row>
    <row r="40" s="459" customFormat="1" ht="14.25" customHeight="1" spans="1:19">
      <c r="A40" s="516" t="s">
        <v>110</v>
      </c>
      <c r="B40" s="503"/>
      <c r="C40" s="498"/>
      <c r="D40" s="518"/>
      <c r="E40" s="507">
        <f ca="1" t="shared" si="7"/>
        <v>0</v>
      </c>
      <c r="F40" s="517"/>
      <c r="G40" s="509" t="e">
        <f ca="1">OFFSET(分配表!C466,0,mth-1,1,1)</f>
        <v>#DIV/0!</v>
      </c>
      <c r="H40" s="483"/>
      <c r="I40" s="516" t="s">
        <v>110</v>
      </c>
      <c r="J40" s="503"/>
      <c r="K40" s="498"/>
      <c r="L40" s="518"/>
      <c r="M40" s="496" t="e">
        <f ca="1" t="shared" si="6"/>
        <v>#DIV/0!</v>
      </c>
      <c r="N40" s="517"/>
      <c r="O40" s="509" t="e">
        <f ca="1">分配表!O466</f>
        <v>#DIV/0!</v>
      </c>
      <c r="P40" s="475"/>
      <c r="Q40" s="475"/>
      <c r="R40" s="475"/>
      <c r="S40" s="475"/>
    </row>
    <row r="41" s="459" customFormat="1" ht="14.25" customHeight="1" spans="1:19">
      <c r="A41" s="516" t="s">
        <v>111</v>
      </c>
      <c r="B41" s="503"/>
      <c r="C41" s="498"/>
      <c r="D41" s="518"/>
      <c r="E41" s="507">
        <f ca="1" t="shared" si="7"/>
        <v>0</v>
      </c>
      <c r="F41" s="517"/>
      <c r="G41" s="509" t="e">
        <f ca="1">OFFSET(分配表!C486,0,mth-1,1,1)</f>
        <v>#DIV/0!</v>
      </c>
      <c r="H41" s="483"/>
      <c r="I41" s="516" t="s">
        <v>111</v>
      </c>
      <c r="J41" s="503"/>
      <c r="K41" s="498"/>
      <c r="L41" s="518"/>
      <c r="M41" s="496" t="e">
        <f ca="1" t="shared" si="6"/>
        <v>#DIV/0!</v>
      </c>
      <c r="N41" s="517"/>
      <c r="O41" s="509" t="e">
        <f ca="1">分配表!O486</f>
        <v>#DIV/0!</v>
      </c>
      <c r="P41" s="475"/>
      <c r="Q41" s="475"/>
      <c r="R41" s="475"/>
      <c r="S41" s="475"/>
    </row>
    <row r="42" s="459" customFormat="1" ht="14.25" customHeight="1" spans="1:19">
      <c r="A42" s="516" t="s">
        <v>112</v>
      </c>
      <c r="B42" s="503"/>
      <c r="C42" s="498"/>
      <c r="D42" s="518"/>
      <c r="E42" s="507">
        <f ca="1" t="shared" si="7"/>
        <v>0</v>
      </c>
      <c r="F42" s="517"/>
      <c r="G42" s="509" t="e">
        <f ca="1">OFFSET(分配表!C502,0,mth-1,1,1)</f>
        <v>#DIV/0!</v>
      </c>
      <c r="H42" s="483"/>
      <c r="I42" s="516" t="s">
        <v>112</v>
      </c>
      <c r="J42" s="503"/>
      <c r="K42" s="498"/>
      <c r="L42" s="518"/>
      <c r="M42" s="496" t="e">
        <f ca="1" t="shared" si="6"/>
        <v>#DIV/0!</v>
      </c>
      <c r="N42" s="517"/>
      <c r="O42" s="509" t="e">
        <f ca="1">分配表!O502</f>
        <v>#DIV/0!</v>
      </c>
      <c r="P42" s="475"/>
      <c r="Q42" s="475"/>
      <c r="R42" s="475"/>
      <c r="S42" s="475"/>
    </row>
    <row r="43" s="459" customFormat="1" ht="14.25" customHeight="1" spans="1:19">
      <c r="A43" s="516" t="s">
        <v>113</v>
      </c>
      <c r="B43" s="503"/>
      <c r="C43" s="498"/>
      <c r="D43" s="518"/>
      <c r="E43" s="507">
        <f ca="1" t="shared" si="7"/>
        <v>0</v>
      </c>
      <c r="F43" s="517"/>
      <c r="G43" s="509" t="e">
        <f ca="1">OFFSET(分配表!C524,0,mth-1,1,1)</f>
        <v>#DIV/0!</v>
      </c>
      <c r="I43" s="516" t="s">
        <v>114</v>
      </c>
      <c r="J43" s="503"/>
      <c r="K43" s="498"/>
      <c r="L43" s="518"/>
      <c r="M43" s="496" t="e">
        <f ca="1" t="shared" si="6"/>
        <v>#DIV/0!</v>
      </c>
      <c r="N43" s="517"/>
      <c r="O43" s="509" t="e">
        <f ca="1">分配表!O524</f>
        <v>#DIV/0!</v>
      </c>
      <c r="P43" s="475"/>
      <c r="Q43" s="475"/>
      <c r="R43" s="475"/>
      <c r="S43" s="475"/>
    </row>
    <row r="44" s="459" customFormat="1" ht="14.25" customHeight="1" spans="1:19">
      <c r="A44" s="516" t="s">
        <v>115</v>
      </c>
      <c r="B44" s="503"/>
      <c r="C44" s="498"/>
      <c r="D44" s="518"/>
      <c r="E44" s="507">
        <f ca="1" t="shared" si="7"/>
        <v>0</v>
      </c>
      <c r="F44" s="517"/>
      <c r="G44" s="575" t="e">
        <f ca="1">OFFSET(分配表!C536,0,mth-1,1,1)</f>
        <v>#DIV/0!</v>
      </c>
      <c r="I44" s="516" t="s">
        <v>115</v>
      </c>
      <c r="J44" s="503"/>
      <c r="K44" s="498"/>
      <c r="L44" s="518"/>
      <c r="M44" s="496" t="e">
        <f ca="1" t="shared" si="6"/>
        <v>#DIV/0!</v>
      </c>
      <c r="N44" s="517"/>
      <c r="O44" s="509" t="e">
        <f ca="1">分配表!O536</f>
        <v>#DIV/0!</v>
      </c>
      <c r="P44" s="475"/>
      <c r="Q44" s="475"/>
      <c r="R44" s="475"/>
      <c r="S44" s="475"/>
    </row>
    <row r="45" s="459" customFormat="1" ht="14.25" customHeight="1" spans="1:19">
      <c r="A45" s="516" t="s">
        <v>116</v>
      </c>
      <c r="B45" s="503"/>
      <c r="C45" s="498"/>
      <c r="D45" s="518"/>
      <c r="E45" s="507">
        <f ca="1" t="shared" si="7"/>
        <v>0</v>
      </c>
      <c r="F45" s="517"/>
      <c r="G45" s="575" t="e">
        <f ca="1">OFFSET(分配表!C548,0,mth-1,1,1)</f>
        <v>#DIV/0!</v>
      </c>
      <c r="I45" s="516" t="s">
        <v>116</v>
      </c>
      <c r="J45" s="503"/>
      <c r="K45" s="498"/>
      <c r="L45" s="518"/>
      <c r="M45" s="496" t="e">
        <f ca="1" t="shared" si="6"/>
        <v>#DIV/0!</v>
      </c>
      <c r="N45" s="517"/>
      <c r="O45" s="509" t="e">
        <f ca="1">分配表!O548</f>
        <v>#DIV/0!</v>
      </c>
      <c r="P45" s="475"/>
      <c r="Q45" s="475"/>
      <c r="R45" s="475"/>
      <c r="S45" s="475"/>
    </row>
    <row r="46" s="459" customFormat="1" ht="14.25" customHeight="1" spans="1:19">
      <c r="A46" s="516" t="s">
        <v>117</v>
      </c>
      <c r="B46" s="503"/>
      <c r="C46" s="498"/>
      <c r="D46" s="518"/>
      <c r="E46" s="507">
        <f ca="1" t="shared" si="7"/>
        <v>0</v>
      </c>
      <c r="F46" s="517"/>
      <c r="G46" s="575" t="e">
        <f ca="1">OFFSET(分配表!C596,0,mth-1,1,1)</f>
        <v>#DIV/0!</v>
      </c>
      <c r="I46" s="516" t="s">
        <v>117</v>
      </c>
      <c r="J46" s="503"/>
      <c r="K46" s="498"/>
      <c r="L46" s="518"/>
      <c r="M46" s="496" t="e">
        <f ca="1" t="shared" si="6"/>
        <v>#DIV/0!</v>
      </c>
      <c r="N46" s="517"/>
      <c r="O46" s="509" t="e">
        <f ca="1">分配表!O596</f>
        <v>#DIV/0!</v>
      </c>
      <c r="P46" s="475"/>
      <c r="Q46" s="475"/>
      <c r="R46" s="475"/>
      <c r="S46" s="475"/>
    </row>
    <row r="47" s="459" customFormat="1" ht="14.25" customHeight="1" spans="1:19">
      <c r="A47" s="516" t="s">
        <v>118</v>
      </c>
      <c r="B47" s="503"/>
      <c r="C47" s="498"/>
      <c r="D47" s="518"/>
      <c r="E47" s="507">
        <f ca="1" t="shared" si="7"/>
        <v>0</v>
      </c>
      <c r="F47" s="517"/>
      <c r="G47" s="575" t="e">
        <f ca="1">OFFSET(分配表!C560,0,mth-1,1,1)</f>
        <v>#DIV/0!</v>
      </c>
      <c r="I47" s="516" t="s">
        <v>118</v>
      </c>
      <c r="J47" s="503"/>
      <c r="K47" s="498"/>
      <c r="L47" s="518"/>
      <c r="M47" s="496" t="e">
        <f ca="1" t="shared" si="6"/>
        <v>#DIV/0!</v>
      </c>
      <c r="N47" s="517"/>
      <c r="O47" s="509" t="e">
        <f ca="1">分配表!O560</f>
        <v>#DIV/0!</v>
      </c>
      <c r="P47" s="475"/>
      <c r="Q47" s="475"/>
      <c r="R47" s="475"/>
      <c r="S47" s="475"/>
    </row>
    <row r="48" s="459" customFormat="1" ht="14.25" customHeight="1" spans="1:19">
      <c r="A48" s="516" t="s">
        <v>119</v>
      </c>
      <c r="B48" s="503"/>
      <c r="C48" s="498"/>
      <c r="D48" s="518"/>
      <c r="E48" s="507">
        <f ca="1" t="shared" si="7"/>
        <v>0</v>
      </c>
      <c r="F48" s="517"/>
      <c r="G48" s="575" t="e">
        <f ca="1">OFFSET(分配表!C572,0,mth-1,1,1)</f>
        <v>#DIV/0!</v>
      </c>
      <c r="I48" s="516" t="s">
        <v>119</v>
      </c>
      <c r="J48" s="503"/>
      <c r="K48" s="498"/>
      <c r="L48" s="518"/>
      <c r="M48" s="496" t="e">
        <f ca="1" t="shared" si="6"/>
        <v>#DIV/0!</v>
      </c>
      <c r="N48" s="517"/>
      <c r="O48" s="509" t="e">
        <f ca="1">分配表!O572</f>
        <v>#DIV/0!</v>
      </c>
      <c r="P48" s="475"/>
      <c r="Q48" s="475"/>
      <c r="R48" s="475"/>
      <c r="S48" s="475"/>
    </row>
    <row r="49" s="459" customFormat="1" ht="14.25" customHeight="1" spans="1:19">
      <c r="A49" s="516" t="s">
        <v>120</v>
      </c>
      <c r="B49" s="503"/>
      <c r="C49" s="498"/>
      <c r="D49" s="518"/>
      <c r="E49" s="507">
        <f ca="1" t="shared" si="7"/>
        <v>0</v>
      </c>
      <c r="F49" s="517"/>
      <c r="G49" s="575" t="e">
        <f ca="1">OFFSET(分配表!C584,0,mth-1,1,1)</f>
        <v>#DIV/0!</v>
      </c>
      <c r="I49" s="516" t="s">
        <v>120</v>
      </c>
      <c r="J49" s="503"/>
      <c r="K49" s="498"/>
      <c r="L49" s="518"/>
      <c r="M49" s="496" t="e">
        <f ca="1" t="shared" si="6"/>
        <v>#DIV/0!</v>
      </c>
      <c r="N49" s="517"/>
      <c r="O49" s="509" t="e">
        <f ca="1">分配表!O584</f>
        <v>#DIV/0!</v>
      </c>
      <c r="P49" s="475"/>
      <c r="Q49" s="475"/>
      <c r="R49" s="475"/>
      <c r="S49" s="475"/>
    </row>
    <row r="50" s="459" customFormat="1" ht="14.25" customHeight="1" spans="1:19">
      <c r="A50" s="516" t="s">
        <v>121</v>
      </c>
      <c r="B50" s="503"/>
      <c r="C50" s="498"/>
      <c r="D50" s="518"/>
      <c r="E50" s="507">
        <f ca="1" t="shared" si="7"/>
        <v>0</v>
      </c>
      <c r="F50" s="517"/>
      <c r="G50" s="575" t="e">
        <f ca="1">OFFSET(分配表!C608,0,mth-1,1,1)</f>
        <v>#DIV/0!</v>
      </c>
      <c r="I50" s="516" t="s">
        <v>121</v>
      </c>
      <c r="J50" s="503"/>
      <c r="K50" s="498"/>
      <c r="L50" s="518"/>
      <c r="M50" s="496" t="e">
        <f ca="1" t="shared" si="6"/>
        <v>#DIV/0!</v>
      </c>
      <c r="N50" s="517"/>
      <c r="O50" s="509" t="e">
        <f ca="1">分配表!O608</f>
        <v>#DIV/0!</v>
      </c>
      <c r="P50" s="475"/>
      <c r="Q50" s="475"/>
      <c r="R50" s="475"/>
      <c r="S50" s="475"/>
    </row>
    <row r="51" s="459" customFormat="1" ht="14.25" customHeight="1" spans="1:19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475"/>
      <c r="Q51" s="475"/>
      <c r="R51" s="475"/>
      <c r="S51" s="475"/>
    </row>
    <row r="52" s="460" customFormat="1" ht="14.25" customHeight="1" spans="1:19">
      <c r="A52" s="524" t="s">
        <v>124</v>
      </c>
      <c r="B52" s="525"/>
      <c r="C52" s="514"/>
      <c r="D52" s="515"/>
      <c r="E52" s="487" t="e">
        <f ca="1">E35-E36</f>
        <v>#DIV/0!</v>
      </c>
      <c r="F52" s="526"/>
      <c r="G52" s="487" t="e">
        <f ca="1">G35-G36</f>
        <v>#DIV/0!</v>
      </c>
      <c r="H52" s="527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59" customFormat="1" ht="14.25" customHeight="1" spans="1:19">
      <c r="A53" s="524" t="s">
        <v>125</v>
      </c>
      <c r="B53" s="525"/>
      <c r="C53" s="514"/>
      <c r="D53" s="515"/>
      <c r="E53" s="487" t="e">
        <f ca="1">E52+E37</f>
        <v>#DIV/0!</v>
      </c>
      <c r="F53" s="526"/>
      <c r="G53" s="487" t="e">
        <f ca="1">G52+G37</f>
        <v>#DIV/0!</v>
      </c>
      <c r="H53" s="527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  <c r="P53" s="475"/>
      <c r="Q53" s="475"/>
      <c r="R53" s="475"/>
      <c r="S53" s="475"/>
    </row>
    <row r="54" s="540" customFormat="1" ht="14.25" customHeight="1" spans="1:19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  <c r="P54" s="475"/>
      <c r="Q54" s="475"/>
      <c r="R54" s="475"/>
      <c r="S54" s="475"/>
    </row>
    <row r="55" s="459" customFormat="1" customHeight="1" spans="1:19">
      <c r="A55" s="516" t="s">
        <v>127</v>
      </c>
      <c r="B55" s="503"/>
      <c r="C55" s="516"/>
      <c r="D55" s="516"/>
      <c r="E55" s="507">
        <f ca="1">IF(VALUE($F$3)=0,0,G55/$F$3)</f>
        <v>0</v>
      </c>
      <c r="F55" s="517"/>
      <c r="G55" s="509" t="e">
        <f ca="1">OFFSET(分配表!C621,0,mth-1,1,1)</f>
        <v>#DIV/0!</v>
      </c>
      <c r="I55" s="502" t="s">
        <v>127</v>
      </c>
      <c r="J55" s="516"/>
      <c r="K55" s="516"/>
      <c r="L55" s="516"/>
      <c r="M55" s="507" t="e">
        <f ca="1" t="shared" ref="M55" si="8">IF($N$3=0,0,O55/$N$3)</f>
        <v>#DIV/0!</v>
      </c>
      <c r="N55" s="517"/>
      <c r="O55" s="509" t="e">
        <f ca="1">分配表!O621</f>
        <v>#DIV/0!</v>
      </c>
    </row>
    <row r="56" s="459" customFormat="1" customHeight="1" spans="1:19">
      <c r="B56" s="538"/>
      <c r="C56" s="538"/>
      <c r="D56" s="538"/>
      <c r="E56" s="557"/>
      <c r="F56" s="557"/>
      <c r="G56" s="557"/>
      <c r="H56" s="558"/>
      <c r="I56" s="558"/>
      <c r="J56" s="558"/>
      <c r="K56" s="559"/>
      <c r="L56" s="559"/>
      <c r="M56" s="559"/>
      <c r="N56" s="559"/>
      <c r="O56" s="559"/>
    </row>
    <row r="57" s="459" customFormat="1" customHeight="1" spans="1:19">
      <c r="B57" s="538"/>
      <c r="E57" s="538"/>
      <c r="H57" s="538"/>
    </row>
    <row r="58" s="459" customFormat="1" customHeight="1" spans="1:19">
      <c r="B58" s="560"/>
      <c r="C58" s="561"/>
      <c r="D58" s="562"/>
      <c r="H58" s="563"/>
      <c r="I58" s="563"/>
      <c r="J58" s="563"/>
    </row>
    <row r="59" s="459" customFormat="1" customHeight="1" spans="1:19">
      <c r="B59" s="562"/>
      <c r="C59" s="561"/>
      <c r="D59" s="562"/>
      <c r="H59" s="563"/>
      <c r="I59" s="563"/>
      <c r="J59" s="563"/>
    </row>
    <row r="60" s="459" customFormat="1" customHeight="1" spans="1:19">
      <c r="B60" s="562"/>
      <c r="C60" s="561"/>
      <c r="D60" s="562"/>
      <c r="H60" s="563"/>
      <c r="I60" s="563"/>
      <c r="J60" s="563"/>
    </row>
    <row r="61" s="459" customFormat="1" customHeight="1" spans="1:19">
      <c r="B61" s="562"/>
      <c r="C61" s="561"/>
      <c r="D61" s="562"/>
      <c r="H61" s="563"/>
      <c r="I61" s="563"/>
      <c r="J61" s="563"/>
    </row>
    <row r="62" s="459" customFormat="1" customHeight="1" spans="1:19">
      <c r="B62" s="562"/>
      <c r="C62" s="561"/>
      <c r="D62" s="562"/>
      <c r="H62" s="563"/>
      <c r="I62" s="563"/>
      <c r="J62" s="563"/>
    </row>
    <row r="63" s="459" customFormat="1" customHeight="1" spans="1:19">
      <c r="B63" s="562"/>
      <c r="C63" s="561"/>
      <c r="D63" s="562"/>
      <c r="E63" s="539"/>
      <c r="H63" s="563"/>
      <c r="I63" s="563"/>
      <c r="J63" s="563"/>
    </row>
    <row r="64" s="459" customFormat="1" customHeight="1" spans="1:19">
      <c r="B64" s="562"/>
      <c r="C64" s="561"/>
      <c r="D64" s="562"/>
      <c r="E64" s="539"/>
      <c r="H64" s="563"/>
      <c r="I64" s="563"/>
      <c r="J64" s="563"/>
    </row>
    <row r="65" s="459" customFormat="1" customHeight="1" spans="1:10">
      <c r="B65" s="562"/>
      <c r="C65" s="561"/>
      <c r="D65" s="562"/>
      <c r="E65" s="539"/>
      <c r="H65" s="563"/>
      <c r="I65" s="563"/>
      <c r="J65" s="563"/>
    </row>
    <row r="66" s="459" customFormat="1" customHeight="1" spans="1:10">
      <c r="B66" s="562"/>
      <c r="C66" s="562"/>
      <c r="D66" s="562"/>
      <c r="E66" s="539"/>
      <c r="H66" s="563"/>
      <c r="I66" s="563"/>
      <c r="J66" s="563"/>
    </row>
    <row r="67" customHeight="1" spans="1:10">
      <c r="A67" s="539"/>
      <c r="B67" s="564"/>
    </row>
  </sheetData>
  <mergeCells count="5">
    <mergeCell ref="A1:G1"/>
    <mergeCell ref="I1:O1"/>
    <mergeCell ref="B56:D56"/>
    <mergeCell ref="E56:G56"/>
    <mergeCell ref="H56:J56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5889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92D050"/>
  </sheetPr>
  <dimension ref="A1:S58"/>
  <sheetViews>
    <sheetView workbookViewId="0">
      <pane xSplit="2" ySplit="4" topLeftCell="E8" activePane="bottomRight" state="frozen"/>
      <selection/>
      <selection pane="topRight"/>
      <selection pane="bottomLeft"/>
      <selection pane="bottomRight" activeCell="O45" sqref="O45:O50"/>
    </sheetView>
  </sheetViews>
  <sheetFormatPr defaultColWidth="9" defaultRowHeight="15" customHeight="1"/>
  <cols>
    <col min="1" max="1" width="32.125" style="639" customWidth="1"/>
    <col min="2" max="2" width="5.25" style="640" customWidth="1"/>
    <col min="3" max="3" width="8.25" style="639" customWidth="1"/>
    <col min="4" max="4" width="9" style="639" customWidth="1"/>
    <col min="5" max="5" width="10.25" style="462" customWidth="1"/>
    <col min="6" max="6" width="9.5" style="639" customWidth="1"/>
    <col min="7" max="7" width="10.5" style="639" customWidth="1"/>
    <col min="8" max="8" width="8.25" style="639" customWidth="1"/>
    <col min="9" max="9" width="28" style="639" customWidth="1"/>
    <col min="10" max="10" width="3.625" style="639" customWidth="1"/>
    <col min="11" max="11" width="10.375" style="639" customWidth="1"/>
    <col min="12" max="12" width="7" style="639" customWidth="1"/>
    <col min="13" max="13" width="10.25" style="639" customWidth="1"/>
    <col min="14" max="14" width="10.5" style="639" customWidth="1"/>
    <col min="15" max="15" width="11.375" style="639" customWidth="1"/>
    <col min="16" max="16" width="12.125" style="639" customWidth="1"/>
    <col min="17" max="16384" width="9" style="639"/>
  </cols>
  <sheetData>
    <row r="1" s="636" customFormat="1" ht="42.75" customHeight="1" spans="1:15">
      <c r="A1" s="97" t="str">
        <f>CONCATENATE("汇总综合成本利润表_不含税(2025年"&amp;mth&amp;"月)")</f>
        <v>汇总综合成本利润表_不含税(2025年8月)</v>
      </c>
      <c r="B1" s="98"/>
      <c r="C1" s="98"/>
      <c r="D1" s="98"/>
      <c r="E1" s="98"/>
      <c r="F1" s="98"/>
      <c r="G1" s="98"/>
      <c r="I1" s="463" t="str">
        <f>CONCATENATE("汇总综合成本利润表_不含税(2025年1-"&amp;mth&amp;"月)")</f>
        <v>汇总综合成本利润表_不含税(2025年1-8月)</v>
      </c>
      <c r="J1" s="463"/>
      <c r="K1" s="463"/>
      <c r="L1" s="463"/>
      <c r="M1" s="463"/>
      <c r="N1" s="463"/>
      <c r="O1" s="463"/>
    </row>
    <row r="2" s="636" customFormat="1" customHeight="1" spans="1:15">
      <c r="A2" s="643"/>
      <c r="B2" s="643"/>
      <c r="C2" s="643"/>
      <c r="D2" s="644"/>
      <c r="E2" s="645"/>
      <c r="F2" s="643"/>
      <c r="G2" s="643"/>
    </row>
    <row r="3" s="637" customFormat="1" customHeight="1" spans="1:15">
      <c r="A3" s="646" t="s">
        <v>73</v>
      </c>
      <c r="E3" s="646" t="s">
        <v>74</v>
      </c>
      <c r="F3" s="647">
        <f ca="1">OFFSET(基础表!C25,0,mth-1,1,1)/0.77</f>
        <v>0</v>
      </c>
      <c r="G3" s="646" t="s">
        <v>75</v>
      </c>
      <c r="K3" s="647"/>
      <c r="M3" s="689" t="s">
        <v>76</v>
      </c>
      <c r="N3" s="647">
        <f ca="1">基础表!O25/0.77</f>
        <v>57934.7634805195</v>
      </c>
      <c r="O3" s="646" t="s">
        <v>75</v>
      </c>
    </row>
    <row r="4" s="460" customFormat="1" ht="14.25" customHeight="1" spans="1:15">
      <c r="A4" s="648"/>
      <c r="B4" s="648" t="s">
        <v>77</v>
      </c>
      <c r="C4" s="649" t="s">
        <v>78</v>
      </c>
      <c r="D4" s="649" t="s">
        <v>79</v>
      </c>
      <c r="E4" s="469" t="s">
        <v>80</v>
      </c>
      <c r="F4" s="649" t="s">
        <v>81</v>
      </c>
      <c r="G4" s="649" t="s">
        <v>82</v>
      </c>
      <c r="I4" s="648"/>
      <c r="J4" s="648" t="s">
        <v>77</v>
      </c>
      <c r="K4" s="649" t="s">
        <v>78</v>
      </c>
      <c r="L4" s="649" t="s">
        <v>79</v>
      </c>
      <c r="M4" s="649" t="s">
        <v>80</v>
      </c>
      <c r="N4" s="649" t="s">
        <v>81</v>
      </c>
      <c r="O4" s="649" t="s">
        <v>82</v>
      </c>
    </row>
    <row r="5" s="460" customFormat="1" ht="14.25" customHeight="1" spans="1:15">
      <c r="A5" s="650" t="s">
        <v>83</v>
      </c>
      <c r="B5" s="651"/>
      <c r="C5" s="652"/>
      <c r="D5" s="652"/>
      <c r="E5" s="473">
        <f ca="1">E6-E7</f>
        <v>0</v>
      </c>
      <c r="F5" s="652"/>
      <c r="G5" s="653" t="e">
        <f ca="1">G6-G7</f>
        <v>#DIV/0!</v>
      </c>
      <c r="H5" s="690"/>
      <c r="I5" s="650" t="s">
        <v>83</v>
      </c>
      <c r="J5" s="651"/>
      <c r="K5" s="652"/>
      <c r="L5" s="652"/>
      <c r="M5" s="653">
        <f ca="1">M6-M7</f>
        <v>2722.35229904719</v>
      </c>
      <c r="N5" s="652"/>
      <c r="O5" s="653">
        <f ca="1">O6-O7</f>
        <v>157718836.555947</v>
      </c>
    </row>
    <row r="6" s="460" customFormat="1" ht="14.25" customHeight="1" spans="1:15">
      <c r="A6" s="654" t="s">
        <v>84</v>
      </c>
      <c r="B6" s="655"/>
      <c r="C6" s="478"/>
      <c r="D6" s="656"/>
      <c r="E6" s="478">
        <f ca="1">IF(F$3=0,0,G6/F$3)</f>
        <v>0</v>
      </c>
      <c r="F6" s="656"/>
      <c r="G6" s="575">
        <f ca="1">'F55'!G6+'F42'!G6+'F60'!G6+'F90'!G6</f>
        <v>0</v>
      </c>
      <c r="H6" s="690"/>
      <c r="I6" s="657" t="s">
        <v>84</v>
      </c>
      <c r="J6" s="655"/>
      <c r="K6" s="478"/>
      <c r="L6" s="656"/>
      <c r="M6" s="507">
        <f ca="1">IF($N$3=0,,O6/$N$3)</f>
        <v>2858.51476350415</v>
      </c>
      <c r="N6" s="691"/>
      <c r="O6" s="575">
        <f ca="1">'F55'!O6+'F42'!O6+'F60'!O6+'F90'!O6</f>
        <v>165607376.729186</v>
      </c>
    </row>
    <row r="7" s="460" customFormat="1" ht="14.25" customHeight="1" spans="1:15">
      <c r="A7" s="476" t="s">
        <v>85</v>
      </c>
      <c r="B7" s="655"/>
      <c r="C7" s="656"/>
      <c r="D7" s="656"/>
      <c r="E7" s="507">
        <f ca="1">IF($F$3=0,,G7/$F$3)</f>
        <v>0</v>
      </c>
      <c r="F7" s="656"/>
      <c r="G7" s="575" t="e">
        <f ca="1">'F55'!G7+'F42'!G7+'F60'!G7+'F90'!G7</f>
        <v>#DIV/0!</v>
      </c>
      <c r="H7" s="690"/>
      <c r="I7" s="476" t="s">
        <v>85</v>
      </c>
      <c r="J7" s="655"/>
      <c r="K7" s="656"/>
      <c r="L7" s="656"/>
      <c r="M7" s="507">
        <f ca="1">IF($N$3=0,,O7/$N$3)</f>
        <v>136.162464456965</v>
      </c>
      <c r="N7" s="691"/>
      <c r="O7" s="575">
        <f ca="1">'F55'!O7+'F42'!O7+'F60'!O7+'F90'!O7</f>
        <v>7888540.17323889</v>
      </c>
    </row>
    <row r="8" s="460" customFormat="1" ht="14.25" customHeight="1" spans="1:15">
      <c r="A8" s="476" t="s">
        <v>86</v>
      </c>
      <c r="B8" s="655"/>
      <c r="C8" s="656"/>
      <c r="D8" s="656"/>
      <c r="E8" s="507">
        <f ca="1">IF($F$3=0,,G8/$F$3)</f>
        <v>0</v>
      </c>
      <c r="F8" s="656"/>
      <c r="G8" s="575" t="e">
        <f ca="1">'F55'!G8+'F42'!G8+'F60'!G8+'F90'!G8</f>
        <v>#DIV/0!</v>
      </c>
      <c r="H8" s="690"/>
      <c r="I8" s="476" t="s">
        <v>86</v>
      </c>
      <c r="J8" s="655"/>
      <c r="K8" s="656"/>
      <c r="L8" s="656"/>
      <c r="M8" s="507">
        <f ca="1">IF($N$3=0,,O8/$N$3)</f>
        <v>64.4291546013175</v>
      </c>
      <c r="N8" s="691"/>
      <c r="O8" s="575">
        <f ca="1">'F55'!O8+'F42'!O8+'F60'!O8+'F90'!O8</f>
        <v>3732687.83307715</v>
      </c>
    </row>
    <row r="9" s="460" customFormat="1" ht="14.25" customHeight="1" spans="1:15">
      <c r="A9" s="476" t="s">
        <v>87</v>
      </c>
      <c r="B9" s="655"/>
      <c r="C9" s="656"/>
      <c r="D9" s="656"/>
      <c r="E9" s="507">
        <f ca="1">IF($F$3=0,,G9/$F$3)</f>
        <v>0</v>
      </c>
      <c r="F9" s="656"/>
      <c r="G9" s="575" t="e">
        <f ca="1">'F55'!G9+'F42'!G9+'F60'!G9+'F90'!G9</f>
        <v>#DIV/0!</v>
      </c>
      <c r="H9" s="690"/>
      <c r="I9" s="476" t="s">
        <v>87</v>
      </c>
      <c r="J9" s="655"/>
      <c r="K9" s="656"/>
      <c r="L9" s="656"/>
      <c r="M9" s="507">
        <f ca="1">IF($N$3=0,,O9/$N$3)</f>
        <v>71.7333098556472</v>
      </c>
      <c r="N9" s="691"/>
      <c r="O9" s="575">
        <f ca="1">'F55'!O9+'F42'!O9+'F60'!O9+'F90'!O9</f>
        <v>4155852.34016174</v>
      </c>
    </row>
    <row r="10" s="460" customFormat="1" ht="14.25" customHeight="1" spans="1:15">
      <c r="A10" s="659" t="s">
        <v>88</v>
      </c>
      <c r="B10" s="525"/>
      <c r="C10" s="660"/>
      <c r="D10" s="660"/>
      <c r="E10" s="487">
        <f ca="1">E11+E13+E26+E31+E34+E25</f>
        <v>0</v>
      </c>
      <c r="F10" s="526"/>
      <c r="G10" s="487" t="e">
        <f ca="1">G11+G13+G26+G31+G25</f>
        <v>#DIV/0!</v>
      </c>
      <c r="H10" s="690"/>
      <c r="I10" s="659" t="s">
        <v>88</v>
      </c>
      <c r="J10" s="525"/>
      <c r="K10" s="660"/>
      <c r="L10" s="660"/>
      <c r="M10" s="487" t="e">
        <f ca="1">M11+M13+M26+M31+M34+M25</f>
        <v>#DIV/0!</v>
      </c>
      <c r="N10" s="526"/>
      <c r="O10" s="487" t="e">
        <f ca="1">O11+O13+O26+O31+O25</f>
        <v>#DIV/0!</v>
      </c>
    </row>
    <row r="11" s="460" customFormat="1" ht="14.25" customHeight="1" spans="1:15">
      <c r="A11" s="662" t="s">
        <v>89</v>
      </c>
      <c r="B11" s="663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690"/>
      <c r="I11" s="662" t="s">
        <v>89</v>
      </c>
      <c r="J11" s="663" t="s">
        <v>75</v>
      </c>
      <c r="K11" s="491">
        <f ca="1">IF(N11=0,0,O11/N11)</f>
        <v>2499.41124232557</v>
      </c>
      <c r="L11" s="492">
        <f ca="1">L12</f>
        <v>0.84550164529801</v>
      </c>
      <c r="M11" s="491">
        <f ca="1">M12</f>
        <v>2113.25631766261</v>
      </c>
      <c r="N11" s="491">
        <f ca="1">N12</f>
        <v>48983.9378427303</v>
      </c>
      <c r="O11" s="491">
        <f ca="1">O12</f>
        <v>122431004.937497</v>
      </c>
    </row>
    <row r="12" s="460" customFormat="1" ht="14.25" customHeight="1" spans="1:15">
      <c r="A12" s="692" t="s">
        <v>90</v>
      </c>
      <c r="B12" s="693" t="s">
        <v>75</v>
      </c>
      <c r="C12" s="507">
        <f ca="1">IF(E12=0,0,E12/D12)</f>
        <v>0</v>
      </c>
      <c r="D12" s="518">
        <f ca="1">IF(F3=0,,F12/F3)</f>
        <v>0</v>
      </c>
      <c r="E12" s="496">
        <f ca="1">IF(F3=0,0,G12/F3)</f>
        <v>0</v>
      </c>
      <c r="F12" s="575">
        <f ca="1">'F55'!F12+'F42'!F12+'F60'!F12+'F90'!F12</f>
        <v>0</v>
      </c>
      <c r="G12" s="575">
        <f ca="1">'F55'!G12+'F42'!G12+'F60'!G12+'F90'!G12</f>
        <v>0</v>
      </c>
      <c r="H12" s="690"/>
      <c r="I12" s="692" t="s">
        <v>90</v>
      </c>
      <c r="J12" s="693" t="s">
        <v>75</v>
      </c>
      <c r="K12" s="507">
        <f ca="1">M12/L12</f>
        <v>2499.41124232557</v>
      </c>
      <c r="L12" s="518">
        <f ca="1">IF(N3=0,,N12/N3)</f>
        <v>0.84550164529801</v>
      </c>
      <c r="M12" s="496">
        <f ca="1">O12/N3</f>
        <v>2113.25631766261</v>
      </c>
      <c r="N12" s="575">
        <f ca="1">'F55'!N12+'F42'!N12+'F60'!N12+'F90'!N12</f>
        <v>48983.9378427303</v>
      </c>
      <c r="O12" s="575">
        <f ca="1">'F55'!O12+'F42'!O12+'F60'!O12+'F90'!O12</f>
        <v>122431004.937497</v>
      </c>
    </row>
    <row r="13" s="460" customFormat="1" ht="14.25" customHeight="1" spans="1:15">
      <c r="A13" s="662" t="s">
        <v>92</v>
      </c>
      <c r="B13" s="663"/>
      <c r="C13" s="501"/>
      <c r="D13" s="492"/>
      <c r="E13" s="501">
        <f ca="1">IF(VALUE($F$3)=0,0,G13/$F$3)</f>
        <v>0</v>
      </c>
      <c r="F13" s="491"/>
      <c r="G13" s="491" t="e">
        <f ca="1">'F55'!G13+'F42'!G13+'F60'!G13+'F90'!G13</f>
        <v>#DIV/0!</v>
      </c>
      <c r="H13" s="690"/>
      <c r="I13" s="662" t="s">
        <v>92</v>
      </c>
      <c r="J13" s="663"/>
      <c r="K13" s="501"/>
      <c r="L13" s="492"/>
      <c r="M13" s="501" t="e">
        <f ca="1">O13/N3</f>
        <v>#DIV/0!</v>
      </c>
      <c r="N13" s="491"/>
      <c r="O13" s="491" t="e">
        <f ca="1">'F55'!O13+'F42'!O13+'F60'!O13+'F90'!O13</f>
        <v>#DIV/0!</v>
      </c>
    </row>
    <row r="14" s="460" customFormat="1" ht="14.25" customHeight="1" spans="1:15">
      <c r="A14" s="664" t="s">
        <v>136</v>
      </c>
      <c r="B14" s="665"/>
      <c r="C14" s="505">
        <f ca="1">'F55'!C14</f>
        <v>0</v>
      </c>
      <c r="D14" s="505">
        <f ca="1" t="shared" ref="D14:D22" si="0">IF($F$3=0,,F14/$F$3)</f>
        <v>0</v>
      </c>
      <c r="E14" s="506">
        <f ca="1" t="shared" ref="E14:E22" si="1">C14*D14</f>
        <v>0</v>
      </c>
      <c r="F14" s="575">
        <f ca="1">'F55'!F14+'F42'!F14+'F60'!F14+'F90'!F14</f>
        <v>0</v>
      </c>
      <c r="G14" s="575">
        <f ca="1">'F55'!G14+'F42'!G14+'F60'!G14+'F90'!G14</f>
        <v>0</v>
      </c>
      <c r="H14" s="690"/>
      <c r="I14" s="664" t="s">
        <v>136</v>
      </c>
      <c r="J14" s="665"/>
      <c r="K14" s="505">
        <f ca="1">'F55'!K14</f>
        <v>1.03363476247911</v>
      </c>
      <c r="L14" s="505">
        <f ca="1" t="shared" ref="L14:L22" si="2">IF($N$3=0,,N14/$N$3)</f>
        <v>4.53944375018344</v>
      </c>
      <c r="M14" s="506">
        <f ca="1" t="shared" ref="M14:M22" si="3">K14*L14</f>
        <v>4.69212686250812</v>
      </c>
      <c r="N14" s="575">
        <f ca="1">'F55'!N14+'F42'!N14+'F60'!N14+'F90'!N14</f>
        <v>262991.6</v>
      </c>
      <c r="O14" s="575">
        <f ca="1">'F55'!O14+'F42'!O14+'F60'!O14+'F90'!O14</f>
        <v>271837.26</v>
      </c>
    </row>
    <row r="15" s="460" customFormat="1" ht="14.25" customHeight="1" spans="1:15">
      <c r="A15" s="664" t="s">
        <v>137</v>
      </c>
      <c r="B15" s="665"/>
      <c r="C15" s="505">
        <f ca="1">'F55'!C15</f>
        <v>0</v>
      </c>
      <c r="D15" s="505">
        <f ca="1" t="shared" si="0"/>
        <v>0</v>
      </c>
      <c r="E15" s="506">
        <f ca="1" t="shared" si="1"/>
        <v>0</v>
      </c>
      <c r="F15" s="575">
        <f ca="1">'F55'!F15+'F42'!F15+'F60'!F15+'F90'!F15</f>
        <v>0</v>
      </c>
      <c r="G15" s="575">
        <f ca="1">'F55'!G15+'F42'!G15+'F60'!G15+'F90'!G15</f>
        <v>0</v>
      </c>
      <c r="H15" s="690"/>
      <c r="I15" s="664" t="s">
        <v>137</v>
      </c>
      <c r="J15" s="665"/>
      <c r="K15" s="505">
        <f ca="1">'F55'!K15</f>
        <v>3.16530363402344</v>
      </c>
      <c r="L15" s="505">
        <f ca="1" t="shared" si="2"/>
        <v>5.04236113949491</v>
      </c>
      <c r="M15" s="506">
        <f ca="1" t="shared" si="3"/>
        <v>15.9606040389018</v>
      </c>
      <c r="N15" s="575">
        <f ca="1">'F55'!N15+'F42'!N15+'F60'!N15+'F90'!N15</f>
        <v>292128</v>
      </c>
      <c r="O15" s="575">
        <f ca="1">'F55'!O15+'F42'!O15+'F60'!O15+'F90'!O15</f>
        <v>924673.82</v>
      </c>
    </row>
    <row r="16" s="460" customFormat="1" ht="14.25" customHeight="1" spans="1:15">
      <c r="A16" s="664" t="s">
        <v>138</v>
      </c>
      <c r="B16" s="665"/>
      <c r="C16" s="505">
        <f ca="1">'F55'!C16</f>
        <v>0</v>
      </c>
      <c r="D16" s="505">
        <f ca="1" t="shared" si="0"/>
        <v>0</v>
      </c>
      <c r="E16" s="506">
        <f ca="1" t="shared" si="1"/>
        <v>0</v>
      </c>
      <c r="F16" s="575">
        <f ca="1">'F55'!F16+'F42'!F16+'F60'!F16+'F90'!F16</f>
        <v>0</v>
      </c>
      <c r="G16" s="575">
        <f ca="1">'F55'!G16+'F42'!G16+'F60'!G16+'F90'!G16</f>
        <v>0</v>
      </c>
      <c r="H16" s="690"/>
      <c r="I16" s="664" t="s">
        <v>138</v>
      </c>
      <c r="J16" s="665"/>
      <c r="K16" s="505">
        <f ca="1">'F55'!K16</f>
        <v>2.60487003610108</v>
      </c>
      <c r="L16" s="505">
        <f ca="1" t="shared" si="2"/>
        <v>0.764998376404912</v>
      </c>
      <c r="M16" s="506">
        <f ca="1" t="shared" si="3"/>
        <v>1.99272134836313</v>
      </c>
      <c r="N16" s="575">
        <f ca="1">'F55'!N16+'F42'!N16+'F60'!N16+'F90'!N16</f>
        <v>44320</v>
      </c>
      <c r="O16" s="575">
        <f ca="1">'F55'!O16+'F42'!O16+'F60'!O16+'F90'!O16</f>
        <v>115447.84</v>
      </c>
    </row>
    <row r="17" s="460" customFormat="1" ht="14.25" customHeight="1" spans="1:17">
      <c r="A17" s="664" t="s">
        <v>139</v>
      </c>
      <c r="B17" s="665"/>
      <c r="C17" s="505">
        <f ca="1">'F55'!C17</f>
        <v>0</v>
      </c>
      <c r="D17" s="505">
        <f ca="1" t="shared" si="0"/>
        <v>0</v>
      </c>
      <c r="E17" s="506">
        <f ca="1" t="shared" si="1"/>
        <v>0</v>
      </c>
      <c r="F17" s="575">
        <f ca="1">'F55'!F17+'F42'!F17+'F60'!F17+'F90'!F17</f>
        <v>0</v>
      </c>
      <c r="G17" s="575">
        <f ca="1">'F55'!G17+'F42'!G17+'F60'!G17+'F90'!G17</f>
        <v>0</v>
      </c>
      <c r="H17" s="690"/>
      <c r="I17" s="664" t="s">
        <v>139</v>
      </c>
      <c r="J17" s="665"/>
      <c r="K17" s="505">
        <f ca="1">'F55'!K17</f>
        <v>7.07970147313692</v>
      </c>
      <c r="L17" s="505">
        <f ca="1" t="shared" si="2"/>
        <v>1.59351647359435</v>
      </c>
      <c r="M17" s="506">
        <f ca="1" t="shared" si="3"/>
        <v>11.2816209255739</v>
      </c>
      <c r="N17" s="575">
        <f ca="1">'F55'!N17+'F42'!N17+'F60'!N17+'F90'!N17</f>
        <v>92320.0000000001</v>
      </c>
      <c r="O17" s="575">
        <f ca="1">'F55'!O17+'F42'!O17+'F60'!O17+'F90'!O17</f>
        <v>653598.040000001</v>
      </c>
    </row>
    <row r="18" s="460" customFormat="1" ht="14.25" customHeight="1" spans="1:17">
      <c r="A18" s="664" t="s">
        <v>140</v>
      </c>
      <c r="B18" s="665"/>
      <c r="C18" s="505">
        <f ca="1">'F55'!C18</f>
        <v>0</v>
      </c>
      <c r="D18" s="505">
        <f ca="1" t="shared" si="0"/>
        <v>0</v>
      </c>
      <c r="E18" s="506">
        <f ca="1" t="shared" si="1"/>
        <v>0</v>
      </c>
      <c r="F18" s="575">
        <f ca="1">'F55'!F18+'F42'!F18+'F60'!F18+'F90'!F18</f>
        <v>0</v>
      </c>
      <c r="G18" s="575">
        <f ca="1">'F55'!G18+'F42'!G18+'F60'!G18+'F90'!G18</f>
        <v>0</v>
      </c>
      <c r="H18" s="690"/>
      <c r="I18" s="664" t="s">
        <v>140</v>
      </c>
      <c r="J18" s="665"/>
      <c r="K18" s="505">
        <f ca="1">'F55'!K18</f>
        <v>47.8014094240838</v>
      </c>
      <c r="L18" s="505">
        <f ca="1" t="shared" si="2"/>
        <v>0.0824202898766574</v>
      </c>
      <c r="M18" s="506">
        <f ca="1" t="shared" si="3"/>
        <v>3.93980602124577</v>
      </c>
      <c r="N18" s="575">
        <f ca="1">'F55'!N18+'F42'!N18+'F60'!N18+'F90'!N18</f>
        <v>4775</v>
      </c>
      <c r="O18" s="575">
        <f ca="1">'F55'!O18+'F42'!O18+'F60'!O18+'F90'!O18</f>
        <v>228251.73</v>
      </c>
    </row>
    <row r="19" s="460" customFormat="1" ht="14.25" customHeight="1" spans="1:17">
      <c r="A19" s="664" t="s">
        <v>141</v>
      </c>
      <c r="B19" s="665"/>
      <c r="C19" s="505">
        <f ca="1">'F55'!C19</f>
        <v>0</v>
      </c>
      <c r="D19" s="505">
        <f ca="1" t="shared" si="0"/>
        <v>0</v>
      </c>
      <c r="E19" s="506">
        <f ca="1" t="shared" si="1"/>
        <v>0</v>
      </c>
      <c r="F19" s="575">
        <f ca="1">'F55'!F19+'F42'!F19+'F60'!F19+'F90'!F19</f>
        <v>0</v>
      </c>
      <c r="G19" s="575">
        <f ca="1">'F55'!G19+'F42'!G19+'F60'!G19+'F90'!G19</f>
        <v>0</v>
      </c>
      <c r="H19" s="690"/>
      <c r="I19" s="664" t="s">
        <v>141</v>
      </c>
      <c r="J19" s="665"/>
      <c r="K19" s="505">
        <f ca="1">'F55'!K19</f>
        <v>32.1974312123818</v>
      </c>
      <c r="L19" s="505">
        <f ca="1" t="shared" si="2"/>
        <v>0.160594424505219</v>
      </c>
      <c r="M19" s="506">
        <f ca="1" t="shared" si="3"/>
        <v>5.17072793609882</v>
      </c>
      <c r="N19" s="575">
        <f ca="1">'F55'!N19+'F42'!N19+'F60'!N19+'F90'!N19</f>
        <v>9303.99999999999</v>
      </c>
      <c r="O19" s="575">
        <f ca="1">'F55'!O19+'F42'!O19+'F60'!O19+'F90'!O19</f>
        <v>299564.9</v>
      </c>
    </row>
    <row r="20" s="460" customFormat="1" ht="14.25" customHeight="1" spans="1:17">
      <c r="A20" s="664" t="s">
        <v>142</v>
      </c>
      <c r="B20" s="665"/>
      <c r="C20" s="505">
        <f ca="1">'F55'!C20</f>
        <v>0</v>
      </c>
      <c r="D20" s="505">
        <f ca="1" t="shared" si="0"/>
        <v>0</v>
      </c>
      <c r="E20" s="506">
        <f ca="1" t="shared" si="1"/>
        <v>0</v>
      </c>
      <c r="F20" s="575">
        <f ca="1">'F55'!F20+'F42'!F20+'F60'!F20+'F90'!F20</f>
        <v>0</v>
      </c>
      <c r="G20" s="575">
        <f ca="1">'F55'!G20+'F42'!G20+'F60'!G20+'F90'!G20</f>
        <v>0</v>
      </c>
      <c r="H20" s="690"/>
      <c r="I20" s="664" t="s">
        <v>142</v>
      </c>
      <c r="J20" s="665"/>
      <c r="K20" s="505">
        <f ca="1">'F55'!K20</f>
        <v>218.577020031909</v>
      </c>
      <c r="L20" s="505">
        <f ca="1" t="shared" si="2"/>
        <v>0.0973681372134501</v>
      </c>
      <c r="M20" s="506">
        <f ca="1" t="shared" si="3"/>
        <v>21.282437278174</v>
      </c>
      <c r="N20" s="575">
        <f ca="1">'F55'!N20+'F42'!N20+'F60'!N20+'F90'!N20</f>
        <v>5641</v>
      </c>
      <c r="O20" s="575">
        <f ca="1">'F55'!O20+'F42'!O20+'F60'!O20+'F90'!O20</f>
        <v>1232992.97</v>
      </c>
    </row>
    <row r="21" s="460" customFormat="1" ht="14.25" customHeight="1" spans="1:17">
      <c r="A21" s="664" t="s">
        <v>150</v>
      </c>
      <c r="B21" s="665"/>
      <c r="C21" s="505">
        <f ca="1">'F55'!C21</f>
        <v>0</v>
      </c>
      <c r="D21" s="505">
        <f ca="1" t="shared" si="0"/>
        <v>0</v>
      </c>
      <c r="E21" s="506">
        <f ca="1" t="shared" si="1"/>
        <v>0</v>
      </c>
      <c r="F21" s="575">
        <f ca="1">'F55'!F21+'F42'!F21+'F60'!F21+'F90'!F21</f>
        <v>0</v>
      </c>
      <c r="G21" s="575">
        <f ca="1">'F55'!G21+'F42'!G21+'F60'!G21+'F90'!G21</f>
        <v>0</v>
      </c>
      <c r="H21" s="690"/>
      <c r="I21" s="664" t="s">
        <v>150</v>
      </c>
      <c r="J21" s="665"/>
      <c r="K21" s="505">
        <f ca="1">'F55'!K21</f>
        <v>0.979474345549738</v>
      </c>
      <c r="L21" s="505">
        <f ca="1" t="shared" si="2"/>
        <v>0.494521739259945</v>
      </c>
      <c r="M21" s="506">
        <f ca="1" t="shared" si="3"/>
        <v>0.484371356921752</v>
      </c>
      <c r="N21" s="575">
        <f ca="1">'F55'!N21+'F42'!N21+'F60'!N21+'F90'!N21</f>
        <v>28650</v>
      </c>
      <c r="O21" s="575">
        <f ca="1">'F55'!O21+'F42'!O21+'F60'!O21+'F90'!O21</f>
        <v>28061.94</v>
      </c>
    </row>
    <row r="22" s="460" customFormat="1" ht="14.25" customHeight="1" spans="1:17">
      <c r="A22" s="664" t="s">
        <v>145</v>
      </c>
      <c r="B22" s="665"/>
      <c r="C22" s="505">
        <f ca="1">'F55'!C22</f>
        <v>0</v>
      </c>
      <c r="D22" s="505">
        <f ca="1" t="shared" si="0"/>
        <v>0</v>
      </c>
      <c r="E22" s="506">
        <f ca="1" t="shared" si="1"/>
        <v>0</v>
      </c>
      <c r="F22" s="575">
        <f ca="1">'F55'!F22+'F42'!F22+'F60'!F22+'F90'!F22</f>
        <v>0</v>
      </c>
      <c r="G22" s="575">
        <f ca="1">'F55'!G22+'F42'!G22+'F60'!G22+'F90'!G22</f>
        <v>0</v>
      </c>
      <c r="H22" s="690"/>
      <c r="I22" s="664" t="s">
        <v>145</v>
      </c>
      <c r="J22" s="665"/>
      <c r="K22" s="505">
        <f ca="1">'F55'!K22</f>
        <v>1.85608011869436</v>
      </c>
      <c r="L22" s="505">
        <f ca="1" t="shared" si="2"/>
        <v>0.290844373700875</v>
      </c>
      <c r="M22" s="506">
        <f ca="1" t="shared" si="3"/>
        <v>0.539830459660307</v>
      </c>
      <c r="N22" s="575">
        <f ca="1">'F55'!N22+'F42'!N22+'F60'!N22+'F90'!N22</f>
        <v>16850</v>
      </c>
      <c r="O22" s="575">
        <f ca="1">'F55'!O22+'F42'!O22+'F60'!O22+'F90'!O22</f>
        <v>31274.95</v>
      </c>
    </row>
    <row r="23" s="460" customFormat="1" ht="14.25" customHeight="1" spans="1:17">
      <c r="A23" s="664" t="s">
        <v>146</v>
      </c>
      <c r="B23" s="665"/>
      <c r="C23" s="505"/>
      <c r="D23" s="497"/>
      <c r="E23" s="506">
        <f ca="1">IF($F$3=0,0,G23/$F$3)</f>
        <v>0</v>
      </c>
      <c r="F23" s="575">
        <f ca="1">'F55'!F23+'F42'!F23+'F60'!F23</f>
        <v>0</v>
      </c>
      <c r="G23" s="575" t="e">
        <f ca="1">'F55'!G23+'F42'!G23+'F60'!G23+'F90'!G23</f>
        <v>#DIV/0!</v>
      </c>
      <c r="H23" s="690"/>
      <c r="I23" s="664" t="s">
        <v>146</v>
      </c>
      <c r="J23" s="665"/>
      <c r="K23" s="505"/>
      <c r="L23" s="497"/>
      <c r="M23" s="506" t="e">
        <f ca="1">IF($N$3=0,0,O23/$N$3)</f>
        <v>#DIV/0!</v>
      </c>
      <c r="N23" s="575">
        <f ca="1">'F55'!N23+'F42'!N23+'F60'!N23+'F90'!N23</f>
        <v>0</v>
      </c>
      <c r="O23" s="575" t="e">
        <f ca="1">'F55'!O23+'F42'!O23+'F60'!O23+'F90'!O23</f>
        <v>#DIV/0!</v>
      </c>
    </row>
    <row r="24" s="460" customFormat="1" ht="14.25" customHeight="1" spans="1:17">
      <c r="A24" s="664" t="s">
        <v>151</v>
      </c>
      <c r="B24" s="665"/>
      <c r="C24" s="505"/>
      <c r="D24" s="497"/>
      <c r="E24" s="506">
        <f ca="1">IF($F$3=0,0,G24/$F$3)</f>
        <v>0</v>
      </c>
      <c r="F24" s="575">
        <f>'F55'!F24+'F42'!F24+'F60'!F24</f>
        <v>0</v>
      </c>
      <c r="G24" s="575" t="e">
        <f ca="1">'F55'!G24+'F42'!G24+'F60'!G24+'F90'!G24</f>
        <v>#DIV/0!</v>
      </c>
      <c r="H24" s="690"/>
      <c r="I24" s="664" t="s">
        <v>151</v>
      </c>
      <c r="J24" s="665"/>
      <c r="K24" s="505"/>
      <c r="L24" s="497"/>
      <c r="M24" s="507" t="e">
        <f ca="1">O24/N3</f>
        <v>#DIV/0!</v>
      </c>
      <c r="N24" s="575">
        <f>'F55'!N24+'F42'!N24+'F60'!N24+'F90'!N24</f>
        <v>0</v>
      </c>
      <c r="O24" s="575" t="e">
        <f ca="1">'F55'!O24+'F42'!O24+'F60'!O24+'F90'!O24</f>
        <v>#DIV/0!</v>
      </c>
    </row>
    <row r="25" s="460" customFormat="1" ht="14.25" customHeight="1" spans="1:17">
      <c r="A25" s="666" t="s">
        <v>93</v>
      </c>
      <c r="B25" s="663"/>
      <c r="C25" s="501"/>
      <c r="D25" s="492"/>
      <c r="E25" s="491">
        <f ca="1">IF($F$3=0,,G25/$F$3)</f>
        <v>0</v>
      </c>
      <c r="F25" s="491"/>
      <c r="G25" s="491">
        <f>'F55'!G25+'F60'!G25+'F42'!G25+'F90'!G25</f>
        <v>0</v>
      </c>
      <c r="H25" s="690"/>
      <c r="I25" s="666" t="s">
        <v>93</v>
      </c>
      <c r="J25" s="663"/>
      <c r="K25" s="501"/>
      <c r="L25" s="492"/>
      <c r="M25" s="491">
        <f ca="1">IF($N$3=0,,O25/$N$3)</f>
        <v>0</v>
      </c>
      <c r="N25" s="491"/>
      <c r="O25" s="491">
        <f>'F55'!O25+'F60'!O25+'F42'!O25+'F90'!O25</f>
        <v>0</v>
      </c>
    </row>
    <row r="26" s="460" customFormat="1" ht="14.25" customHeight="1" spans="1:17">
      <c r="A26" s="666" t="s">
        <v>94</v>
      </c>
      <c r="B26" s="663"/>
      <c r="C26" s="501"/>
      <c r="D26" s="492"/>
      <c r="E26" s="501">
        <f ca="1">SUM(E27:E30)</f>
        <v>0</v>
      </c>
      <c r="F26" s="491"/>
      <c r="G26" s="491">
        <f ca="1">SUM(G27:G30)</f>
        <v>0</v>
      </c>
      <c r="H26" s="690"/>
      <c r="I26" s="666" t="s">
        <v>94</v>
      </c>
      <c r="J26" s="663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</row>
    <row r="27" s="460" customFormat="1" ht="14.25" customHeight="1" spans="1:17">
      <c r="A27" s="692" t="s">
        <v>95</v>
      </c>
      <c r="B27" s="693" t="s">
        <v>75</v>
      </c>
      <c r="C27" s="505">
        <f ca="1">'F55'!C27</f>
        <v>0</v>
      </c>
      <c r="D27" s="631">
        <f ca="1">IF($F$3=0,0,F27/$F$3)</f>
        <v>0</v>
      </c>
      <c r="E27" s="509">
        <f ca="1">C27*D27</f>
        <v>0</v>
      </c>
      <c r="F27" s="575">
        <f ca="1">'F55'!F27+'F42'!F27+'F60'!F27+'F90'!F27</f>
        <v>0</v>
      </c>
      <c r="G27" s="575">
        <f ca="1">'F55'!G27+'F42'!G27+'F60'!G27+'F90'!G27</f>
        <v>0</v>
      </c>
      <c r="H27" s="690"/>
      <c r="I27" s="692" t="s">
        <v>95</v>
      </c>
      <c r="J27" s="693" t="s">
        <v>75</v>
      </c>
      <c r="K27" s="505">
        <f ca="1">'F55'!K27</f>
        <v>374.799025538744</v>
      </c>
      <c r="L27" s="631">
        <f ca="1">IF($N$3=0,0,N27/$N$3)</f>
        <v>0.308036124217555</v>
      </c>
      <c r="M27" s="509">
        <f ca="1">K27*L27</f>
        <v>115.451639187471</v>
      </c>
      <c r="N27" s="575">
        <f ca="1">'F55'!N27+'F42'!N27+'F60'!N27+'F90'!N27</f>
        <v>17846</v>
      </c>
      <c r="O27" s="575">
        <f ca="1">'F55'!O27+'F42'!O27+'F60'!O27+'F90'!O27</f>
        <v>6688663.40976442</v>
      </c>
      <c r="P27" s="658"/>
      <c r="Q27" s="658"/>
    </row>
    <row r="28" s="460" customFormat="1" ht="14.25" customHeight="1" spans="1:17">
      <c r="A28" s="692" t="s">
        <v>96</v>
      </c>
      <c r="B28" s="693" t="s">
        <v>97</v>
      </c>
      <c r="C28" s="505">
        <f ca="1">'F55'!C28</f>
        <v>0</v>
      </c>
      <c r="D28" s="509">
        <f ca="1">IF($F$3=0,0,F28/$F$3)</f>
        <v>0</v>
      </c>
      <c r="E28" s="509">
        <f ca="1">C28*D28</f>
        <v>0</v>
      </c>
      <c r="F28" s="575" t="e">
        <f ca="1">'F55'!F28+'F42'!F28+'F60'!F28+'F90'!F28</f>
        <v>#DIV/0!</v>
      </c>
      <c r="G28" s="575">
        <f ca="1">'F55'!G28+'F42'!G28+'F60'!G28+'F90'!G28</f>
        <v>0</v>
      </c>
      <c r="H28" s="690"/>
      <c r="I28" s="692" t="s">
        <v>96</v>
      </c>
      <c r="J28" s="693" t="s">
        <v>97</v>
      </c>
      <c r="K28" s="505">
        <f ca="1">'F55'!K28</f>
        <v>0.680636799672716</v>
      </c>
      <c r="L28" s="509" t="e">
        <f ca="1">IF($N$3=0,0,N28/$N$3)</f>
        <v>#DIV/0!</v>
      </c>
      <c r="M28" s="509" t="e">
        <f ca="1">K28*L28</f>
        <v>#DIV/0!</v>
      </c>
      <c r="N28" s="575" t="e">
        <f ca="1">'F55'!N28+'F42'!N28+'F60'!N28+'F90'!N28</f>
        <v>#DIV/0!</v>
      </c>
      <c r="O28" s="575" t="e">
        <f ca="1">'F55'!O28+'F42'!O28+'F60'!O28+'F90'!O28</f>
        <v>#DIV/0!</v>
      </c>
    </row>
    <row r="29" s="460" customFormat="1" ht="14.25" customHeight="1" spans="1:17">
      <c r="A29" s="692" t="s">
        <v>98</v>
      </c>
      <c r="B29" s="693" t="s">
        <v>75</v>
      </c>
      <c r="C29" s="505">
        <f ca="1">'F55'!C29</f>
        <v>0</v>
      </c>
      <c r="D29" s="631">
        <f ca="1">IF($F$3=0,0,F29/$F$3)</f>
        <v>0</v>
      </c>
      <c r="E29" s="509">
        <f ca="1">C29*D29</f>
        <v>0</v>
      </c>
      <c r="F29" s="575" t="e">
        <f ca="1">'F55'!F29+'F42'!F29+'F60'!F29+'F90'!F29</f>
        <v>#DIV/0!</v>
      </c>
      <c r="G29" s="575">
        <f ca="1">'F55'!G29+'F42'!G29+'F60'!G29+'F90'!G29</f>
        <v>0</v>
      </c>
      <c r="H29" s="690"/>
      <c r="I29" s="692" t="s">
        <v>98</v>
      </c>
      <c r="J29" s="693" t="s">
        <v>75</v>
      </c>
      <c r="K29" s="505">
        <f ca="1">'F55'!K29</f>
        <v>5.8950402489434</v>
      </c>
      <c r="L29" s="631" t="e">
        <f ca="1">IF($N$3=0,0,N29/$N$3)</f>
        <v>#DIV/0!</v>
      </c>
      <c r="M29" s="509" t="e">
        <f ca="1">K29*L29</f>
        <v>#DIV/0!</v>
      </c>
      <c r="N29" s="575" t="e">
        <f ca="1">'F55'!N29+'F42'!N29+'F60'!N29+'F90'!N29</f>
        <v>#DIV/0!</v>
      </c>
      <c r="O29" s="575" t="e">
        <f ca="1">'F55'!O29+'F42'!O29+'F60'!O29+'F90'!O29</f>
        <v>#DIV/0!</v>
      </c>
    </row>
    <row r="30" s="460" customFormat="1" ht="14.25" customHeight="1" spans="1:17">
      <c r="A30" s="692" t="s">
        <v>99</v>
      </c>
      <c r="B30" s="693" t="s">
        <v>75</v>
      </c>
      <c r="C30" s="504">
        <f ca="1">IF(G30=0,0,G30/F30)</f>
        <v>0</v>
      </c>
      <c r="D30" s="631">
        <f ca="1">IF($F$3=0,0,F30/$F$3)</f>
        <v>0</v>
      </c>
      <c r="E30" s="509">
        <f ca="1">C30*D30</f>
        <v>0</v>
      </c>
      <c r="F30" s="575">
        <f ca="1">'F55'!F30+'F42'!F30+'F60'!F30+'F90'!F30</f>
        <v>0</v>
      </c>
      <c r="G30" s="575">
        <f ca="1">'F55'!G30+'F42'!G30+'F60'!G30+'F90'!G30</f>
        <v>0</v>
      </c>
      <c r="H30" s="690"/>
      <c r="I30" s="692" t="s">
        <v>99</v>
      </c>
      <c r="J30" s="693" t="s">
        <v>75</v>
      </c>
      <c r="K30" s="505">
        <f>'F55'!K30</f>
        <v>0</v>
      </c>
      <c r="L30" s="631">
        <f ca="1">IF($N$3=0,0,N30/$N$3)</f>
        <v>0</v>
      </c>
      <c r="M30" s="509">
        <f ca="1">K30*L30</f>
        <v>0</v>
      </c>
      <c r="N30" s="575">
        <f>'F55'!N30+'F42'!N30+'F60'!N30+'F90'!N30</f>
        <v>0</v>
      </c>
      <c r="O30" s="575">
        <f ca="1">'F55'!O30+'F42'!O30+'F60'!O30+'F90'!O30</f>
        <v>0</v>
      </c>
    </row>
    <row r="31" s="460" customFormat="1" ht="14.25" customHeight="1" spans="1:17">
      <c r="A31" s="666" t="s">
        <v>101</v>
      </c>
      <c r="B31" s="663"/>
      <c r="C31" s="501"/>
      <c r="D31" s="492"/>
      <c r="E31" s="501">
        <f ca="1">IF(F$3=0,0,G31/F$3)</f>
        <v>0</v>
      </c>
      <c r="F31" s="501">
        <f>'F55'!F31+'F42'!F31+'F60'!F31+'F90'!F31</f>
        <v>0</v>
      </c>
      <c r="G31" s="501" t="e">
        <f ca="1">'F55'!G31+'F60'!G31+'F42'!G31+'F90'!G31</f>
        <v>#DIV/0!</v>
      </c>
      <c r="H31" s="690"/>
      <c r="I31" s="666" t="s">
        <v>101</v>
      </c>
      <c r="J31" s="663"/>
      <c r="K31" s="501"/>
      <c r="L31" s="492"/>
      <c r="M31" s="501" t="e">
        <f ca="1">IF(N$3=0,0,O31/N$3)</f>
        <v>#DIV/0!</v>
      </c>
      <c r="N31" s="501">
        <f>'F55'!N31+'F42'!N31+'F60'!N31+'F90'!N31</f>
        <v>0</v>
      </c>
      <c r="O31" s="501" t="e">
        <f ca="1">'F55'!O31+'F60'!O31+'F42'!O301+'F90'!O31</f>
        <v>#DIV/0!</v>
      </c>
    </row>
    <row r="32" s="460" customFormat="1" ht="14.25" customHeight="1" spans="1:17">
      <c r="A32" s="541" t="s">
        <v>102</v>
      </c>
      <c r="B32" s="663"/>
      <c r="C32" s="501"/>
      <c r="D32" s="492"/>
      <c r="E32" s="501">
        <f ca="1">E31</f>
        <v>0</v>
      </c>
      <c r="F32" s="501">
        <f>F31</f>
        <v>0</v>
      </c>
      <c r="G32" s="501" t="e">
        <f ca="1">G31</f>
        <v>#DIV/0!</v>
      </c>
      <c r="H32" s="690"/>
      <c r="I32" s="666" t="s">
        <v>102</v>
      </c>
      <c r="J32" s="663"/>
      <c r="K32" s="501"/>
      <c r="L32" s="492"/>
      <c r="M32" s="501" t="e">
        <f ca="1">M31</f>
        <v>#DIV/0!</v>
      </c>
      <c r="N32" s="501">
        <f>N31</f>
        <v>0</v>
      </c>
      <c r="O32" s="501" t="e">
        <f ca="1">O31</f>
        <v>#DIV/0!</v>
      </c>
    </row>
    <row r="33" s="460" customFormat="1" ht="14.25" customHeight="1" spans="1:16">
      <c r="A33" s="541" t="s">
        <v>103</v>
      </c>
      <c r="B33" s="663"/>
      <c r="C33" s="501"/>
      <c r="D33" s="492"/>
      <c r="E33" s="501"/>
      <c r="F33" s="491"/>
      <c r="G33" s="491"/>
      <c r="H33" s="690"/>
      <c r="I33" s="666" t="s">
        <v>103</v>
      </c>
      <c r="J33" s="663"/>
      <c r="K33" s="501"/>
      <c r="L33" s="492"/>
      <c r="M33" s="501"/>
      <c r="N33" s="491"/>
      <c r="O33" s="491"/>
    </row>
    <row r="34" s="460" customFormat="1" ht="14.25" customHeight="1" spans="1:16">
      <c r="A34" s="666" t="s">
        <v>104</v>
      </c>
      <c r="B34" s="663"/>
      <c r="C34" s="501"/>
      <c r="D34" s="492"/>
      <c r="E34" s="501"/>
      <c r="F34" s="491"/>
      <c r="G34" s="491"/>
      <c r="H34" s="690"/>
      <c r="I34" s="666" t="s">
        <v>104</v>
      </c>
      <c r="J34" s="663"/>
      <c r="K34" s="501"/>
      <c r="L34" s="492"/>
      <c r="M34" s="501"/>
      <c r="N34" s="491"/>
      <c r="O34" s="491"/>
      <c r="P34" s="678"/>
    </row>
    <row r="35" s="460" customFormat="1" ht="14.25" customHeight="1" spans="1:16">
      <c r="A35" s="666" t="s">
        <v>105</v>
      </c>
      <c r="B35" s="663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690"/>
      <c r="I35" s="666" t="s">
        <v>105</v>
      </c>
      <c r="J35" s="663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527"/>
    </row>
    <row r="36" s="460" customFormat="1" ht="14.25" customHeight="1" spans="1:16">
      <c r="A36" s="524" t="s">
        <v>106</v>
      </c>
      <c r="B36" s="525"/>
      <c r="C36" s="514"/>
      <c r="D36" s="515"/>
      <c r="E36" s="487">
        <f ca="1">SUM(E37:E43)</f>
        <v>0</v>
      </c>
      <c r="F36" s="526"/>
      <c r="G36" s="487" t="e">
        <f ca="1">SUM(G37:G43)</f>
        <v>#DIV/0!</v>
      </c>
      <c r="H36" s="690"/>
      <c r="I36" s="524" t="s">
        <v>106</v>
      </c>
      <c r="J36" s="525"/>
      <c r="K36" s="514"/>
      <c r="L36" s="515"/>
      <c r="M36" s="487" t="e">
        <f ca="1" t="shared" ref="M36:M50" si="4">IF(N$3=0,0,O36/N$3)</f>
        <v>#DIV/0!</v>
      </c>
      <c r="N36" s="526"/>
      <c r="O36" s="487" t="e">
        <f ca="1">SUM(O37:O43)</f>
        <v>#DIV/0!</v>
      </c>
      <c r="P36" s="527"/>
    </row>
    <row r="37" s="460" customFormat="1" ht="14.25" customHeight="1" spans="1:16">
      <c r="A37" s="672" t="s">
        <v>107</v>
      </c>
      <c r="B37" s="665"/>
      <c r="C37" s="505"/>
      <c r="D37" s="497"/>
      <c r="E37" s="507">
        <f ca="1" t="shared" ref="E37:E50" si="5">IF(F$3=0,0,G37/F$3)</f>
        <v>0</v>
      </c>
      <c r="F37" s="673"/>
      <c r="G37" s="575" t="e">
        <f ca="1">'F55'!G37+'F42'!G37+'F60'!G37+'F90'!G37</f>
        <v>#DIV/0!</v>
      </c>
      <c r="H37" s="690"/>
      <c r="I37" s="672" t="s">
        <v>107</v>
      </c>
      <c r="J37" s="665"/>
      <c r="K37" s="505"/>
      <c r="L37" s="497"/>
      <c r="M37" s="507" t="e">
        <f ca="1" t="shared" si="4"/>
        <v>#DIV/0!</v>
      </c>
      <c r="N37" s="673"/>
      <c r="O37" s="575" t="e">
        <f ca="1">'F55'!O37+'F42'!O37+'F60'!O37+'F90'!O37</f>
        <v>#DIV/0!</v>
      </c>
    </row>
    <row r="38" s="460" customFormat="1" ht="14.25" customHeight="1" spans="1:16">
      <c r="A38" s="672" t="s">
        <v>108</v>
      </c>
      <c r="B38" s="665"/>
      <c r="C38" s="505"/>
      <c r="D38" s="497"/>
      <c r="E38" s="507">
        <f ca="1" t="shared" si="5"/>
        <v>0</v>
      </c>
      <c r="F38" s="673"/>
      <c r="G38" s="575" t="e">
        <f ca="1">'F55'!G38+'F42'!G38+'F60'!G38+'F90'!G38</f>
        <v>#DIV/0!</v>
      </c>
      <c r="H38" s="690"/>
      <c r="I38" s="672" t="s">
        <v>108</v>
      </c>
      <c r="J38" s="665"/>
      <c r="K38" s="505"/>
      <c r="L38" s="497"/>
      <c r="M38" s="507" t="e">
        <f ca="1" t="shared" si="4"/>
        <v>#DIV/0!</v>
      </c>
      <c r="N38" s="673"/>
      <c r="O38" s="575" t="e">
        <f ca="1">'F55'!O38+'F42'!O38+'F60'!O38+'F90'!O38</f>
        <v>#DIV/0!</v>
      </c>
    </row>
    <row r="39" s="460" customFormat="1" ht="14.25" customHeight="1" spans="1:16">
      <c r="A39" s="672" t="s">
        <v>109</v>
      </c>
      <c r="B39" s="665"/>
      <c r="C39" s="498"/>
      <c r="D39" s="518"/>
      <c r="E39" s="507">
        <f ca="1" t="shared" si="5"/>
        <v>0</v>
      </c>
      <c r="F39" s="673"/>
      <c r="G39" s="575" t="e">
        <f ca="1">'F55'!G39+'F42'!G39+'F60'!G39+'F90'!G39</f>
        <v>#DIV/0!</v>
      </c>
      <c r="H39" s="690"/>
      <c r="I39" s="672" t="s">
        <v>109</v>
      </c>
      <c r="J39" s="665"/>
      <c r="K39" s="498"/>
      <c r="L39" s="518"/>
      <c r="M39" s="507" t="e">
        <f ca="1" t="shared" si="4"/>
        <v>#DIV/0!</v>
      </c>
      <c r="N39" s="673"/>
      <c r="O39" s="575" t="e">
        <f ca="1">'F55'!O39+'F42'!O39+'F60'!O39+'F90'!O39</f>
        <v>#DIV/0!</v>
      </c>
    </row>
    <row r="40" s="460" customFormat="1" ht="14.25" customHeight="1" spans="1:16">
      <c r="A40" s="672" t="s">
        <v>110</v>
      </c>
      <c r="B40" s="665"/>
      <c r="C40" s="498"/>
      <c r="D40" s="518"/>
      <c r="E40" s="507">
        <f ca="1" t="shared" si="5"/>
        <v>0</v>
      </c>
      <c r="F40" s="673"/>
      <c r="G40" s="575" t="e">
        <f ca="1">'F55'!G40+'F42'!G40+'F60'!G40+'F90'!G40</f>
        <v>#DIV/0!</v>
      </c>
      <c r="H40" s="690"/>
      <c r="I40" s="672" t="s">
        <v>110</v>
      </c>
      <c r="J40" s="665"/>
      <c r="K40" s="498"/>
      <c r="L40" s="518"/>
      <c r="M40" s="507" t="e">
        <f ca="1" t="shared" si="4"/>
        <v>#DIV/0!</v>
      </c>
      <c r="N40" s="673"/>
      <c r="O40" s="575" t="e">
        <f ca="1">'F55'!O40+'F42'!O40+'F60'!O40+'F90'!O40</f>
        <v>#DIV/0!</v>
      </c>
    </row>
    <row r="41" s="460" customFormat="1" ht="14.25" customHeight="1" spans="1:16">
      <c r="A41" s="672" t="s">
        <v>111</v>
      </c>
      <c r="B41" s="665"/>
      <c r="C41" s="498"/>
      <c r="D41" s="518"/>
      <c r="E41" s="507">
        <f ca="1" t="shared" si="5"/>
        <v>0</v>
      </c>
      <c r="F41" s="673"/>
      <c r="G41" s="575" t="e">
        <f ca="1">'F55'!G41+'F42'!G41+'F60'!G41+'F90'!G41</f>
        <v>#DIV/0!</v>
      </c>
      <c r="H41" s="690"/>
      <c r="I41" s="672" t="s">
        <v>111</v>
      </c>
      <c r="J41" s="665"/>
      <c r="K41" s="498"/>
      <c r="L41" s="518"/>
      <c r="M41" s="507" t="e">
        <f ca="1" t="shared" si="4"/>
        <v>#DIV/0!</v>
      </c>
      <c r="N41" s="673"/>
      <c r="O41" s="575" t="e">
        <f ca="1">'F55'!O41+'F42'!O41+'F60'!O41+'F90'!O41</f>
        <v>#DIV/0!</v>
      </c>
    </row>
    <row r="42" s="460" customFormat="1" ht="14.25" customHeight="1" spans="1:16">
      <c r="A42" s="672" t="s">
        <v>112</v>
      </c>
      <c r="B42" s="665"/>
      <c r="C42" s="498"/>
      <c r="D42" s="518"/>
      <c r="E42" s="507">
        <f ca="1" t="shared" si="5"/>
        <v>0</v>
      </c>
      <c r="F42" s="673"/>
      <c r="G42" s="575" t="e">
        <f ca="1">'F55'!G42+'F42'!G42+'F60'!G42+'F90'!G42</f>
        <v>#DIV/0!</v>
      </c>
      <c r="H42" s="690"/>
      <c r="I42" s="672" t="s">
        <v>112</v>
      </c>
      <c r="J42" s="665"/>
      <c r="K42" s="498"/>
      <c r="L42" s="518"/>
      <c r="M42" s="507" t="e">
        <f ca="1" t="shared" si="4"/>
        <v>#DIV/0!</v>
      </c>
      <c r="N42" s="673"/>
      <c r="O42" s="575" t="e">
        <f ca="1">'F55'!O42+'F42'!O42+'F60'!O42+'F90'!O42</f>
        <v>#DIV/0!</v>
      </c>
    </row>
    <row r="43" s="460" customFormat="1" ht="14.25" customHeight="1" spans="1:16">
      <c r="A43" s="672" t="s">
        <v>113</v>
      </c>
      <c r="B43" s="665"/>
      <c r="C43" s="498"/>
      <c r="D43" s="518"/>
      <c r="E43" s="576">
        <f ca="1" t="shared" si="5"/>
        <v>0</v>
      </c>
      <c r="F43" s="673"/>
      <c r="G43" s="575" t="e">
        <f ca="1">'F55'!G43+'F42'!G43+'F60'!G43+'F90'!G43</f>
        <v>#DIV/0!</v>
      </c>
      <c r="H43" s="690"/>
      <c r="I43" s="672" t="s">
        <v>114</v>
      </c>
      <c r="J43" s="665"/>
      <c r="K43" s="498"/>
      <c r="L43" s="518"/>
      <c r="M43" s="576" t="e">
        <f ca="1" t="shared" si="4"/>
        <v>#DIV/0!</v>
      </c>
      <c r="N43" s="673"/>
      <c r="O43" s="575" t="e">
        <f ca="1">'F55'!O43+'F42'!O43+'F60'!O43+'F90'!O43</f>
        <v>#DIV/0!</v>
      </c>
    </row>
    <row r="44" s="460" customFormat="1" ht="14.25" customHeight="1" spans="1:16">
      <c r="A44" s="672" t="s">
        <v>115</v>
      </c>
      <c r="B44" s="665"/>
      <c r="C44" s="498"/>
      <c r="D44" s="518"/>
      <c r="E44" s="576">
        <f ca="1" t="shared" si="5"/>
        <v>0</v>
      </c>
      <c r="F44" s="673"/>
      <c r="G44" s="575" t="e">
        <f ca="1">'F55'!G44+'F60'!G44+'F42'!G44+'F90'!G44</f>
        <v>#DIV/0!</v>
      </c>
      <c r="H44" s="690"/>
      <c r="I44" s="672" t="s">
        <v>115</v>
      </c>
      <c r="J44" s="665"/>
      <c r="K44" s="498"/>
      <c r="L44" s="518"/>
      <c r="M44" s="576" t="e">
        <f ca="1" t="shared" si="4"/>
        <v>#DIV/0!</v>
      </c>
      <c r="N44" s="673"/>
      <c r="O44" s="575" t="e">
        <f ca="1">'F55'!O44+'F60'!O44+'F42'!O44+'F90'!O44</f>
        <v>#DIV/0!</v>
      </c>
    </row>
    <row r="45" s="460" customFormat="1" ht="14.25" customHeight="1" spans="1:16">
      <c r="A45" s="672" t="s">
        <v>116</v>
      </c>
      <c r="B45" s="665"/>
      <c r="C45" s="498"/>
      <c r="D45" s="518"/>
      <c r="E45" s="576">
        <f ca="1" t="shared" si="5"/>
        <v>0</v>
      </c>
      <c r="F45" s="673"/>
      <c r="G45" s="575" t="e">
        <f ca="1">'F55'!G45+'F60'!G45+'F42'!G45+'F90'!G45</f>
        <v>#DIV/0!</v>
      </c>
      <c r="H45" s="690"/>
      <c r="I45" s="672" t="s">
        <v>116</v>
      </c>
      <c r="J45" s="665"/>
      <c r="K45" s="498"/>
      <c r="L45" s="518"/>
      <c r="M45" s="576" t="e">
        <f ca="1" t="shared" si="4"/>
        <v>#DIV/0!</v>
      </c>
      <c r="N45" s="673"/>
      <c r="O45" s="575" t="e">
        <f ca="1">'F55'!O45+'F60'!O45+'F42'!O45+'F90'!O45</f>
        <v>#DIV/0!</v>
      </c>
    </row>
    <row r="46" s="460" customFormat="1" ht="14.25" customHeight="1" spans="1:16">
      <c r="A46" s="672" t="s">
        <v>117</v>
      </c>
      <c r="B46" s="665"/>
      <c r="C46" s="498"/>
      <c r="D46" s="518"/>
      <c r="E46" s="576">
        <f ca="1" t="shared" si="5"/>
        <v>0</v>
      </c>
      <c r="F46" s="673"/>
      <c r="G46" s="575" t="e">
        <f ca="1">'F55'!G46+'F60'!G46+'F42'!G46+'F90'!G46</f>
        <v>#DIV/0!</v>
      </c>
      <c r="H46" s="690"/>
      <c r="I46" s="672" t="s">
        <v>117</v>
      </c>
      <c r="J46" s="665"/>
      <c r="K46" s="498"/>
      <c r="L46" s="518"/>
      <c r="M46" s="576" t="e">
        <f ca="1" t="shared" si="4"/>
        <v>#DIV/0!</v>
      </c>
      <c r="N46" s="673"/>
      <c r="O46" s="575" t="e">
        <f ca="1">'F55'!O46+'F60'!O46+'F42'!O46+'F90'!O46</f>
        <v>#DIV/0!</v>
      </c>
    </row>
    <row r="47" s="460" customFormat="1" ht="14.25" customHeight="1" spans="1:16">
      <c r="A47" s="672" t="s">
        <v>118</v>
      </c>
      <c r="B47" s="665"/>
      <c r="C47" s="498"/>
      <c r="D47" s="518"/>
      <c r="E47" s="576">
        <f ca="1" t="shared" si="5"/>
        <v>0</v>
      </c>
      <c r="F47" s="673"/>
      <c r="G47" s="575" t="e">
        <f ca="1">'F55'!G47+'F60'!G47+'F42'!G47+'F90'!G47</f>
        <v>#DIV/0!</v>
      </c>
      <c r="H47" s="690"/>
      <c r="I47" s="672" t="s">
        <v>118</v>
      </c>
      <c r="J47" s="665"/>
      <c r="K47" s="498"/>
      <c r="L47" s="518"/>
      <c r="M47" s="576" t="e">
        <f ca="1" t="shared" si="4"/>
        <v>#DIV/0!</v>
      </c>
      <c r="N47" s="673"/>
      <c r="O47" s="575" t="e">
        <f ca="1">'F55'!O47+'F60'!O47+'F42'!O47+'F90'!O47</f>
        <v>#DIV/0!</v>
      </c>
    </row>
    <row r="48" s="460" customFormat="1" ht="14.25" customHeight="1" spans="1:16">
      <c r="A48" s="672" t="s">
        <v>119</v>
      </c>
      <c r="B48" s="665"/>
      <c r="C48" s="498"/>
      <c r="D48" s="518"/>
      <c r="E48" s="576">
        <f ca="1" t="shared" si="5"/>
        <v>0</v>
      </c>
      <c r="F48" s="673"/>
      <c r="G48" s="575" t="e">
        <f ca="1">'F55'!G48+'F60'!G48+'F42'!G48+'F90'!G48</f>
        <v>#DIV/0!</v>
      </c>
      <c r="H48" s="690"/>
      <c r="I48" s="672" t="s">
        <v>119</v>
      </c>
      <c r="J48" s="665"/>
      <c r="K48" s="498"/>
      <c r="L48" s="518"/>
      <c r="M48" s="576" t="e">
        <f ca="1" t="shared" si="4"/>
        <v>#DIV/0!</v>
      </c>
      <c r="N48" s="673"/>
      <c r="O48" s="575" t="e">
        <f ca="1">'F55'!O48+'F60'!O48+'F42'!O48+'F90'!O48</f>
        <v>#DIV/0!</v>
      </c>
    </row>
    <row r="49" s="460" customFormat="1" ht="14.25" customHeight="1" spans="1:19">
      <c r="A49" s="672" t="s">
        <v>120</v>
      </c>
      <c r="B49" s="665"/>
      <c r="C49" s="498"/>
      <c r="D49" s="518"/>
      <c r="E49" s="576">
        <f ca="1" t="shared" si="5"/>
        <v>0</v>
      </c>
      <c r="F49" s="673"/>
      <c r="G49" s="575" t="e">
        <f ca="1">'F55'!G49+'F60'!G49+'F42'!G49+'F90'!G49</f>
        <v>#DIV/0!</v>
      </c>
      <c r="H49" s="690"/>
      <c r="I49" s="672" t="s">
        <v>120</v>
      </c>
      <c r="J49" s="665"/>
      <c r="K49" s="498"/>
      <c r="L49" s="518"/>
      <c r="M49" s="576" t="e">
        <f ca="1" t="shared" si="4"/>
        <v>#DIV/0!</v>
      </c>
      <c r="N49" s="673"/>
      <c r="O49" s="575" t="e">
        <f ca="1">'F55'!O49+'F60'!O49+'F42'!O49+'F90'!O49</f>
        <v>#DIV/0!</v>
      </c>
    </row>
    <row r="50" s="460" customFormat="1" ht="14.25" customHeight="1" spans="1:19">
      <c r="A50" s="672" t="s">
        <v>121</v>
      </c>
      <c r="B50" s="665"/>
      <c r="C50" s="498"/>
      <c r="D50" s="518"/>
      <c r="E50" s="576">
        <f ca="1" t="shared" si="5"/>
        <v>0</v>
      </c>
      <c r="F50" s="673"/>
      <c r="G50" s="575" t="e">
        <f ca="1">'F55'!G50+'F60'!G50+'F42'!G50+'F90'!G50</f>
        <v>#DIV/0!</v>
      </c>
      <c r="H50" s="690"/>
      <c r="I50" s="672" t="s">
        <v>121</v>
      </c>
      <c r="J50" s="665"/>
      <c r="K50" s="498"/>
      <c r="L50" s="518"/>
      <c r="M50" s="576" t="e">
        <f ca="1" t="shared" si="4"/>
        <v>#DIV/0!</v>
      </c>
      <c r="N50" s="673"/>
      <c r="O50" s="575" t="e">
        <f ca="1">'F55'!O50+'F60'!O50+'F42'!O50+'F90'!O50</f>
        <v>#DIV/0!</v>
      </c>
    </row>
    <row r="51" s="460" customFormat="1" ht="14.25" customHeight="1" spans="1:19">
      <c r="A51" s="685" t="s">
        <v>122</v>
      </c>
      <c r="B51" s="525" t="s">
        <v>123</v>
      </c>
      <c r="C51" s="514"/>
      <c r="D51" s="515"/>
      <c r="E51" s="487">
        <f ca="1">E36+E10</f>
        <v>0</v>
      </c>
      <c r="F51" s="526"/>
      <c r="G51" s="487" t="e">
        <f ca="1">G36+G10</f>
        <v>#DIV/0!</v>
      </c>
      <c r="H51" s="690"/>
      <c r="I51" s="685" t="s">
        <v>122</v>
      </c>
      <c r="J51" s="525" t="s">
        <v>123</v>
      </c>
      <c r="K51" s="514"/>
      <c r="L51" s="515"/>
      <c r="M51" s="487" t="e">
        <f ca="1">M36+M10</f>
        <v>#DIV/0!</v>
      </c>
      <c r="N51" s="526"/>
      <c r="O51" s="487" t="e">
        <f ca="1">O36+O10</f>
        <v>#DIV/0!</v>
      </c>
    </row>
    <row r="52" s="460" customFormat="1" ht="14.25" customHeight="1" spans="1:19">
      <c r="A52" s="524" t="s">
        <v>124</v>
      </c>
      <c r="B52" s="525"/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690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60" customFormat="1" ht="14.25" customHeight="1" spans="1:19">
      <c r="A53" s="524" t="s">
        <v>125</v>
      </c>
      <c r="B53" s="525"/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690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638" customFormat="1" ht="14.25" customHeight="1" spans="1:19">
      <c r="A54" s="675" t="s">
        <v>126</v>
      </c>
      <c r="B54" s="676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678"/>
      <c r="I54" s="675" t="s">
        <v>126</v>
      </c>
      <c r="J54" s="676" t="s">
        <v>123</v>
      </c>
      <c r="K54" s="531"/>
      <c r="L54" s="532"/>
      <c r="M54" s="533" t="e">
        <f ca="1">M10-M11+M36-M25</f>
        <v>#DIV/0!</v>
      </c>
      <c r="N54" s="533"/>
      <c r="O54" s="534" t="e">
        <f ca="1">O10-O11+O36-O25</f>
        <v>#DIV/0!</v>
      </c>
      <c r="P54" s="678"/>
      <c r="Q54" s="678"/>
      <c r="R54" s="678"/>
      <c r="S54" s="678"/>
    </row>
    <row r="55" s="459" customFormat="1" customHeight="1" spans="1:19">
      <c r="A55" s="516" t="s">
        <v>127</v>
      </c>
      <c r="B55" s="503"/>
      <c r="C55" s="516"/>
      <c r="D55" s="516"/>
      <c r="E55" s="507">
        <f ca="1" t="shared" ref="E55" si="6">IF(F$3=0,0,G55/F$3)</f>
        <v>0</v>
      </c>
      <c r="F55" s="517"/>
      <c r="G55" s="509" t="e">
        <f ca="1">'F55'!G55+'F60'!G55+'F42'!G55+'F90'!G55</f>
        <v>#DIV/0!</v>
      </c>
      <c r="I55" s="502" t="s">
        <v>127</v>
      </c>
      <c r="J55" s="516"/>
      <c r="K55" s="516"/>
      <c r="L55" s="516"/>
      <c r="M55" s="507" t="e">
        <f ca="1" t="shared" ref="M55" si="7">IF(N$3=0,0,O55/N$3)</f>
        <v>#DIV/0!</v>
      </c>
      <c r="N55" s="517"/>
      <c r="O55" s="509" t="e">
        <f ca="1">'F55'!O55+'F60'!O55+'F42'!O55+'F90'!O55</f>
        <v>#DIV/0!</v>
      </c>
    </row>
    <row r="56" s="460" customFormat="1" customHeight="1" spans="1:19">
      <c r="B56" s="635"/>
      <c r="E56" s="539"/>
      <c r="G56" s="527"/>
      <c r="H56" s="679"/>
      <c r="I56" s="679"/>
      <c r="J56" s="679"/>
      <c r="K56" s="679"/>
      <c r="L56" s="679"/>
      <c r="M56" s="679"/>
      <c r="N56" s="679"/>
      <c r="O56" s="679"/>
    </row>
    <row r="57" s="460" customFormat="1" customHeight="1" spans="1:19">
      <c r="B57" s="635"/>
      <c r="E57" s="539"/>
    </row>
    <row r="58" s="460" customFormat="1" customHeight="1" spans="1:19">
      <c r="B58" s="635"/>
      <c r="E58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353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rgb="FF92D050"/>
  </sheetPr>
  <dimension ref="A1:Q58"/>
  <sheetViews>
    <sheetView workbookViewId="0">
      <pane xSplit="2" ySplit="4" topLeftCell="C29" activePane="bottomRight" state="frozen"/>
      <selection/>
      <selection pane="topRight"/>
      <selection pane="bottomLeft"/>
      <selection pane="bottomRight" activeCell="A41" sqref="A41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7.5" style="40" customWidth="1"/>
    <col min="4" max="4" width="6" style="40" customWidth="1"/>
    <col min="5" max="5" width="9" style="462" customWidth="1"/>
    <col min="6" max="6" width="11.625" style="40" customWidth="1"/>
    <col min="7" max="7" width="10.5" style="40" customWidth="1"/>
    <col min="8" max="8" width="6.75" style="40" customWidth="1"/>
    <col min="9" max="9" width="28" style="40" customWidth="1"/>
    <col min="10" max="10" width="4.5" style="40" customWidth="1"/>
    <col min="11" max="11" width="6.75" style="40" customWidth="1"/>
    <col min="12" max="12" width="6" style="40" customWidth="1"/>
    <col min="13" max="13" width="8.5" style="40" customWidth="1"/>
    <col min="14" max="14" width="9.5" style="40" customWidth="1"/>
    <col min="15" max="15" width="11.25" style="40" customWidth="1"/>
    <col min="16" max="16384" width="9" style="40"/>
  </cols>
  <sheetData>
    <row r="1" s="458" customFormat="1" ht="42.75" customHeight="1" spans="1:17">
      <c r="A1" s="97" t="str">
        <f>CONCATENATE("糖浆老线综合成本利润表_不含税(2025年"&amp;mth&amp;"月)")</f>
        <v>糖浆老线综合成本利润表_不含税(2025年8月)</v>
      </c>
      <c r="B1" s="98"/>
      <c r="C1" s="98"/>
      <c r="D1" s="98"/>
      <c r="E1" s="98"/>
      <c r="F1" s="98"/>
      <c r="G1" s="98"/>
      <c r="I1" s="463" t="str">
        <f>CONCATENATE("糖浆老线综合成本利润表_不含税(2025年1-"&amp;mth&amp;"月)")</f>
        <v>糖浆老线综合成本利润表_不含税(2025年1-8月)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7">
      <c r="A2" s="464"/>
      <c r="B2" s="464"/>
      <c r="C2" s="464"/>
      <c r="D2" s="465"/>
      <c r="E2" s="44"/>
      <c r="F2" s="464"/>
      <c r="G2" s="464"/>
    </row>
    <row r="3" s="38" customFormat="1" customHeight="1" spans="1:17">
      <c r="A3" s="38" t="s">
        <v>23</v>
      </c>
      <c r="E3" s="39" t="s">
        <v>133</v>
      </c>
      <c r="F3" s="687">
        <f ca="1">OFFSET(基础表!C13,0,mth-1,1,1)</f>
        <v>0</v>
      </c>
      <c r="G3" s="39" t="s">
        <v>75</v>
      </c>
      <c r="M3" s="378" t="s">
        <v>134</v>
      </c>
      <c r="N3" s="466">
        <f ca="1">基础表!O13</f>
        <v>38999.431</v>
      </c>
      <c r="O3" s="39" t="s">
        <v>75</v>
      </c>
    </row>
    <row r="4" s="459" customFormat="1" customHeight="1" spans="1:17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7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2838.4465544257</v>
      </c>
      <c r="N5" s="472"/>
      <c r="O5" s="474">
        <f ca="1">O6-O7</f>
        <v>110697800.546513</v>
      </c>
    </row>
    <row r="6" s="459" customFormat="1" customHeight="1" spans="1:17">
      <c r="A6" s="476" t="s">
        <v>84</v>
      </c>
      <c r="B6" s="477"/>
      <c r="C6" s="478"/>
      <c r="D6" s="479"/>
      <c r="E6" s="478">
        <f ca="1">OFFSET(销售收入及运费!C78,0,mth-1,1,1)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480">
        <f ca="1">销售收入及运费!O78</f>
        <v>2907.46639520873</v>
      </c>
      <c r="N6" s="482"/>
      <c r="O6" s="480">
        <f ca="1">M6*$N$3</f>
        <v>113389535.064762</v>
      </c>
    </row>
    <row r="7" s="459" customFormat="1" customHeight="1" spans="1:17">
      <c r="A7" s="476" t="s">
        <v>85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76" t="s">
        <v>85</v>
      </c>
      <c r="J7" s="477"/>
      <c r="K7" s="479"/>
      <c r="L7" s="479"/>
      <c r="M7" s="480">
        <f ca="1">M8+M9</f>
        <v>69.019840783028</v>
      </c>
      <c r="N7" s="482"/>
      <c r="O7" s="480">
        <f ca="1">M7*$N$3</f>
        <v>2691734.51824869</v>
      </c>
    </row>
    <row r="8" s="459" customFormat="1" customHeight="1" spans="1:17">
      <c r="A8" s="476" t="s">
        <v>86</v>
      </c>
      <c r="B8" s="477"/>
      <c r="C8" s="479"/>
      <c r="D8" s="479"/>
      <c r="E8" s="478" t="e">
        <f ca="1">OFFSET(销售收入及运费!C135,0,mth-1,1,1)/1.09/OFFSET(销售收入及运费!C18,0,mth-1,1,1)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销售收入及运费!O135/1.09/销售收入及运费!O18</f>
        <v>58.974503974077</v>
      </c>
      <c r="N8" s="482"/>
      <c r="O8" s="480">
        <f ca="1">M8*$N$3</f>
        <v>2299972.09849624</v>
      </c>
    </row>
    <row r="9" s="459" customFormat="1" customHeight="1" spans="1:17">
      <c r="A9" s="476" t="s">
        <v>87</v>
      </c>
      <c r="B9" s="477"/>
      <c r="C9" s="479"/>
      <c r="D9" s="479"/>
      <c r="E9" s="478" t="e">
        <f ca="1">(OFFSET(销售收入及运费!C155,0,mth-1,1,1)/1.13+OFFSET(销售收入及运费!C175,0,mth-1,1,1)/1.13)/(OFFSET(销售收入及运费!C18,0,mth-1,1,1))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(销售收入及运费!O155+销售收入及运费!O175)/1.13/销售收入及运费!O18</f>
        <v>10.0453368089509</v>
      </c>
      <c r="N9" s="482"/>
      <c r="O9" s="480">
        <f ca="1">M9*$N$3</f>
        <v>391762.419752442</v>
      </c>
    </row>
    <row r="10" s="459" customFormat="1" customHeight="1" spans="1:17">
      <c r="A10" s="484" t="s">
        <v>88</v>
      </c>
      <c r="B10" s="485"/>
      <c r="C10" s="486"/>
      <c r="D10" s="486"/>
      <c r="E10" s="487">
        <f ca="1">E11+E13+E28+E33</f>
        <v>0</v>
      </c>
      <c r="F10" s="488"/>
      <c r="G10" s="487" t="e">
        <f ca="1">G11+G13+G28+G33+G27</f>
        <v>#DIV/0!</v>
      </c>
      <c r="I10" s="484" t="s">
        <v>88</v>
      </c>
      <c r="J10" s="485"/>
      <c r="K10" s="486"/>
      <c r="L10" s="486"/>
      <c r="M10" s="487" t="e">
        <f ca="1">M11+M13+M28+M33</f>
        <v>#DIV/0!</v>
      </c>
      <c r="N10" s="488"/>
      <c r="O10" s="487" t="e">
        <f ca="1">O11+O13+O28+O33+O27</f>
        <v>#DIV/0!</v>
      </c>
      <c r="Q10" s="511">
        <f ca="1">F3*0.84</f>
        <v>0</v>
      </c>
    </row>
    <row r="11" s="459" customFormat="1" customHeight="1" spans="1:17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2498.30329653107</v>
      </c>
      <c r="L11" s="492">
        <f ca="1">IF(K11=0,0,M11/K11)</f>
        <v>0.849257156349613</v>
      </c>
      <c r="M11" s="491">
        <f ca="1">M12</f>
        <v>2121.70195331084</v>
      </c>
      <c r="N11" s="491">
        <f ca="1">N12</f>
        <v>33120.5458703129</v>
      </c>
      <c r="O11" s="491">
        <f ca="1">O12</f>
        <v>82745168.9307113</v>
      </c>
    </row>
    <row r="12" s="459" customFormat="1" customHeight="1" spans="1:17">
      <c r="A12" s="494" t="s">
        <v>90</v>
      </c>
      <c r="B12" s="495" t="s">
        <v>75</v>
      </c>
      <c r="C12" s="496">
        <f ca="1">OFFSET(分配表!C70,0,mth-1,1,1)</f>
        <v>0</v>
      </c>
      <c r="D12" s="497">
        <f ca="1">IF(VALUE($F$3)=0,0,F12/$F$3)</f>
        <v>0</v>
      </c>
      <c r="E12" s="496">
        <f ca="1">C12*D12</f>
        <v>0</v>
      </c>
      <c r="F12" s="688">
        <f ca="1">OFFSET(分配表!C84,0,mth-1,1,1)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分配表!O70</f>
        <v>2498.30329653107</v>
      </c>
      <c r="L12" s="497">
        <f ca="1">IF($N$3=0,0,N12/$N$3)</f>
        <v>0.849257156349613</v>
      </c>
      <c r="M12" s="496">
        <f ca="1">K12*L12</f>
        <v>2121.70195331084</v>
      </c>
      <c r="N12" s="496">
        <f ca="1">分配表!O84</f>
        <v>33120.5458703129</v>
      </c>
      <c r="O12" s="496">
        <f ca="1">K12*N12</f>
        <v>82745168.9307113</v>
      </c>
    </row>
    <row r="13" s="459" customFormat="1" customHeight="1" spans="1:17">
      <c r="A13" s="489" t="s">
        <v>130</v>
      </c>
      <c r="B13" s="490"/>
      <c r="C13" s="501"/>
      <c r="D13" s="492"/>
      <c r="E13" s="491">
        <f ca="1">IF(VALUE($F$3)=0,0,G13/$F$3)</f>
        <v>0</v>
      </c>
      <c r="F13" s="491"/>
      <c r="G13" s="491">
        <f ca="1">OFFSET(分配表!C281,0,mth-1)</f>
        <v>0</v>
      </c>
      <c r="I13" s="489" t="s">
        <v>130</v>
      </c>
      <c r="J13" s="490"/>
      <c r="K13" s="501"/>
      <c r="L13" s="492"/>
      <c r="M13" s="491">
        <f ca="1">IF($N$3=0,0,O13/$N$3)</f>
        <v>45.0964023039208</v>
      </c>
      <c r="N13" s="491"/>
      <c r="O13" s="491">
        <f ca="1">分配表!O281</f>
        <v>1758734.03</v>
      </c>
    </row>
    <row r="14" s="459" customFormat="1" customHeight="1" spans="1:17">
      <c r="A14" s="502" t="s">
        <v>152</v>
      </c>
      <c r="B14" s="503"/>
      <c r="C14" s="504">
        <f ca="1">OFFSET(分配表!C240,0,mth-1,1,1)</f>
        <v>0</v>
      </c>
      <c r="D14" s="505">
        <f ca="1">IF(VALUE($F$3)=0,0,F14/$F$3)</f>
        <v>0</v>
      </c>
      <c r="E14" s="506">
        <f ca="1">C14*D14</f>
        <v>0</v>
      </c>
      <c r="F14" s="507">
        <f ca="1">OFFSET(分配表!C226,0,mth-1)</f>
        <v>0</v>
      </c>
      <c r="G14" s="496">
        <f ca="1">E14*$F$3</f>
        <v>0</v>
      </c>
      <c r="I14" s="502" t="s">
        <v>152</v>
      </c>
      <c r="J14" s="503"/>
      <c r="K14" s="505">
        <f ca="1">分配表!O240</f>
        <v>3.57205785685183</v>
      </c>
      <c r="L14" s="505">
        <f ca="1">IF($N$3=0,,N14/$N$3)</f>
        <v>3.7759525260766</v>
      </c>
      <c r="M14" s="506">
        <f ca="1">K14*L14</f>
        <v>13.4879208878714</v>
      </c>
      <c r="N14" s="507">
        <f ca="1">分配表!O226</f>
        <v>147260</v>
      </c>
      <c r="O14" s="496">
        <f ca="1">M14*$N$3</f>
        <v>526021.24</v>
      </c>
    </row>
    <row r="15" s="459" customFormat="1" customHeight="1" spans="1:17">
      <c r="A15" s="502" t="s">
        <v>153</v>
      </c>
      <c r="B15" s="503"/>
      <c r="C15" s="504">
        <f ca="1">OFFSET(分配表!C241,0,mth-1,1,1)</f>
        <v>0</v>
      </c>
      <c r="D15" s="505">
        <f ca="1">IF(VALUE($F$3)=0,0,F15/$F$3)</f>
        <v>0</v>
      </c>
      <c r="E15" s="506">
        <f ca="1" t="shared" ref="E15:E24" si="0">C15*D15</f>
        <v>0</v>
      </c>
      <c r="F15" s="507">
        <f ca="1">OFFSET(分配表!C227,0,mth-1)</f>
        <v>0</v>
      </c>
      <c r="G15" s="496">
        <f ca="1">E15*$F$3</f>
        <v>0</v>
      </c>
      <c r="I15" s="502" t="s">
        <v>153</v>
      </c>
      <c r="J15" s="503"/>
      <c r="K15" s="505">
        <f ca="1">分配表!O241</f>
        <v>1.03239668025852</v>
      </c>
      <c r="L15" s="505">
        <f ca="1" t="shared" ref="L15:L24" si="1">IF($N$3=0,,N15/$N$3)</f>
        <v>3.64414291070042</v>
      </c>
      <c r="M15" s="506">
        <f ca="1" t="shared" ref="M15:M24" si="2">K15*L15</f>
        <v>3.76220104339471</v>
      </c>
      <c r="N15" s="507">
        <f ca="1">分配表!O227</f>
        <v>142119.5</v>
      </c>
      <c r="O15" s="496">
        <f ca="1" t="shared" ref="O15:O24" si="3">M15*$N$3</f>
        <v>146723.7</v>
      </c>
    </row>
    <row r="16" s="459" customFormat="1" customHeight="1" spans="1:17">
      <c r="A16" s="502" t="s">
        <v>154</v>
      </c>
      <c r="B16" s="503"/>
      <c r="C16" s="504">
        <f ca="1">OFFSET(分配表!C242,0,mth-1,1,1)</f>
        <v>0</v>
      </c>
      <c r="D16" s="505">
        <f ca="1" t="shared" ref="D16:D24" si="4">IF(VALUE($F$3)=0,0,F16/$F$3)</f>
        <v>0</v>
      </c>
      <c r="E16" s="506">
        <f ca="1" t="shared" si="0"/>
        <v>0</v>
      </c>
      <c r="F16" s="507">
        <f ca="1">OFFSET(分配表!C228,0,mth-1)</f>
        <v>0</v>
      </c>
      <c r="G16" s="496">
        <f ca="1" t="shared" ref="G16:G25" si="5">E16*$F$3</f>
        <v>0</v>
      </c>
      <c r="I16" s="502" t="s">
        <v>154</v>
      </c>
      <c r="J16" s="503"/>
      <c r="K16" s="505">
        <f ca="1">分配表!O242</f>
        <v>3.15376327745073</v>
      </c>
      <c r="L16" s="505">
        <f ca="1" t="shared" si="1"/>
        <v>4.48810650596415</v>
      </c>
      <c r="M16" s="506">
        <f ca="1" t="shared" si="2"/>
        <v>14.1544254837974</v>
      </c>
      <c r="N16" s="507">
        <f ca="1">分配表!O228</f>
        <v>175033.6</v>
      </c>
      <c r="O16" s="496">
        <f ca="1" t="shared" si="3"/>
        <v>552014.54</v>
      </c>
    </row>
    <row r="17" s="459" customFormat="1" customHeight="1" spans="1:15">
      <c r="A17" s="502" t="s">
        <v>155</v>
      </c>
      <c r="B17" s="503"/>
      <c r="C17" s="504">
        <f ca="1">OFFSET(分配表!C243,0,mth-1,1,1)</f>
        <v>0</v>
      </c>
      <c r="D17" s="505">
        <f ca="1" t="shared" si="4"/>
        <v>0</v>
      </c>
      <c r="E17" s="506">
        <f ca="1" t="shared" si="0"/>
        <v>0</v>
      </c>
      <c r="F17" s="507">
        <f ca="1">OFFSET(分配表!C229,0,mth-1)</f>
        <v>0</v>
      </c>
      <c r="G17" s="496">
        <f ca="1" t="shared" si="5"/>
        <v>0</v>
      </c>
      <c r="I17" s="502" t="s">
        <v>155</v>
      </c>
      <c r="J17" s="503"/>
      <c r="K17" s="505">
        <f ca="1">分配表!O243</f>
        <v>2.14461333333333</v>
      </c>
      <c r="L17" s="505">
        <f ca="1" t="shared" si="1"/>
        <v>0.0769241992274195</v>
      </c>
      <c r="M17" s="506">
        <f ca="1" t="shared" si="2"/>
        <v>0.164972663319114</v>
      </c>
      <c r="N17" s="507">
        <f ca="1">分配表!O229</f>
        <v>3000</v>
      </c>
      <c r="O17" s="496">
        <f ca="1" t="shared" si="3"/>
        <v>6433.84</v>
      </c>
    </row>
    <row r="18" s="459" customFormat="1" customHeight="1" spans="1:15">
      <c r="A18" s="502" t="s">
        <v>156</v>
      </c>
      <c r="B18" s="503"/>
      <c r="C18" s="504">
        <f ca="1">OFFSET(分配表!C244,0,mth-1,1,1)</f>
        <v>0</v>
      </c>
      <c r="D18" s="505">
        <f ca="1" t="shared" si="4"/>
        <v>0</v>
      </c>
      <c r="E18" s="506">
        <f ca="1" t="shared" si="0"/>
        <v>0</v>
      </c>
      <c r="F18" s="507">
        <f ca="1">OFFSET(分配表!C230,0,mth-1)</f>
        <v>0</v>
      </c>
      <c r="G18" s="496">
        <f ca="1" t="shared" si="5"/>
        <v>0</v>
      </c>
      <c r="I18" s="502" t="s">
        <v>156</v>
      </c>
      <c r="J18" s="503"/>
      <c r="K18" s="505">
        <f ca="1">分配表!O244</f>
        <v>35.3982425562818</v>
      </c>
      <c r="L18" s="505">
        <f ca="1" t="shared" si="1"/>
        <v>0.0353082074453855</v>
      </c>
      <c r="M18" s="506">
        <f ca="1" t="shared" si="2"/>
        <v>1.24984849137927</v>
      </c>
      <c r="N18" s="507">
        <f ca="1">分配表!O230</f>
        <v>1377</v>
      </c>
      <c r="O18" s="496">
        <f ca="1" t="shared" si="3"/>
        <v>48743.38</v>
      </c>
    </row>
    <row r="19" s="459" customFormat="1" customHeight="1" spans="1:15">
      <c r="A19" s="502" t="s">
        <v>157</v>
      </c>
      <c r="B19" s="503"/>
      <c r="C19" s="504">
        <f ca="1">OFFSET(分配表!C245,0,mth-1,1,1)</f>
        <v>0</v>
      </c>
      <c r="D19" s="505">
        <f ca="1" t="shared" si="4"/>
        <v>0</v>
      </c>
      <c r="E19" s="506">
        <f ca="1" t="shared" si="0"/>
        <v>0</v>
      </c>
      <c r="F19" s="507">
        <f ca="1">OFFSET(分配表!C231,0,mth-1)</f>
        <v>0</v>
      </c>
      <c r="G19" s="496">
        <f ca="1" t="shared" si="5"/>
        <v>0</v>
      </c>
      <c r="I19" s="502" t="s">
        <v>157</v>
      </c>
      <c r="J19" s="503"/>
      <c r="K19" s="505">
        <f ca="1">分配表!O245</f>
        <v>18.550904383207</v>
      </c>
      <c r="L19" s="505">
        <f ca="1" t="shared" si="1"/>
        <v>0.138643048407552</v>
      </c>
      <c r="M19" s="506">
        <f ca="1" t="shared" si="2"/>
        <v>2.57195393440484</v>
      </c>
      <c r="N19" s="507">
        <f ca="1">分配表!O231</f>
        <v>5407</v>
      </c>
      <c r="O19" s="496">
        <f ca="1" t="shared" si="3"/>
        <v>100304.74</v>
      </c>
    </row>
    <row r="20" s="459" customFormat="1" customHeight="1" spans="1:15">
      <c r="A20" s="502" t="s">
        <v>158</v>
      </c>
      <c r="B20" s="503"/>
      <c r="C20" s="504">
        <f ca="1">OFFSET(分配表!C246,0,mth-1,1,1)</f>
        <v>0</v>
      </c>
      <c r="D20" s="505">
        <f ca="1" t="shared" si="4"/>
        <v>0</v>
      </c>
      <c r="E20" s="506">
        <f ca="1" t="shared" si="0"/>
        <v>0</v>
      </c>
      <c r="F20" s="507">
        <f ca="1">OFFSET(分配表!C232,0,mth-1)</f>
        <v>0</v>
      </c>
      <c r="G20" s="496">
        <f ca="1" t="shared" si="5"/>
        <v>0</v>
      </c>
      <c r="I20" s="502" t="s">
        <v>158</v>
      </c>
      <c r="J20" s="503"/>
      <c r="K20" s="505">
        <f ca="1">分配表!O246</f>
        <v>35.3982107657316</v>
      </c>
      <c r="L20" s="505">
        <f ca="1" t="shared" si="1"/>
        <v>0.0169105031301611</v>
      </c>
      <c r="M20" s="506">
        <f ca="1" t="shared" si="2"/>
        <v>0.598601553956005</v>
      </c>
      <c r="N20" s="507">
        <f ca="1">分配表!O232</f>
        <v>659.5</v>
      </c>
      <c r="O20" s="496">
        <f ca="1" t="shared" si="3"/>
        <v>23345.12</v>
      </c>
    </row>
    <row r="21" s="459" customFormat="1" customHeight="1" spans="1:15">
      <c r="A21" s="502" t="s">
        <v>159</v>
      </c>
      <c r="B21" s="503"/>
      <c r="C21" s="504">
        <f ca="1">OFFSET(分配表!C247,0,mth-1,1,1)</f>
        <v>0</v>
      </c>
      <c r="D21" s="505">
        <f ca="1" t="shared" si="4"/>
        <v>0</v>
      </c>
      <c r="E21" s="506">
        <f ca="1" t="shared" si="0"/>
        <v>0</v>
      </c>
      <c r="F21" s="507">
        <f ca="1">OFFSET(分配表!C233,0,mth-1)</f>
        <v>0</v>
      </c>
      <c r="G21" s="496">
        <f ca="1" t="shared" si="5"/>
        <v>0</v>
      </c>
      <c r="I21" s="502" t="s">
        <v>159</v>
      </c>
      <c r="J21" s="503"/>
      <c r="K21" s="505">
        <f ca="1">分配表!O247</f>
        <v>62.022153988582</v>
      </c>
      <c r="L21" s="505">
        <f ca="1" t="shared" si="1"/>
        <v>0.0830909558654843</v>
      </c>
      <c r="M21" s="506">
        <f ca="1" t="shared" si="2"/>
        <v>5.15348005974754</v>
      </c>
      <c r="N21" s="507">
        <f ca="1">分配表!O233</f>
        <v>3240.5</v>
      </c>
      <c r="O21" s="496">
        <f ca="1" t="shared" si="3"/>
        <v>200982.79</v>
      </c>
    </row>
    <row r="22" s="459" customFormat="1" customHeight="1" spans="1:15">
      <c r="A22" s="502" t="s">
        <v>160</v>
      </c>
      <c r="B22" s="503"/>
      <c r="C22" s="504">
        <f ca="1">OFFSET(分配表!C248,0,mth-1,1,1)</f>
        <v>0</v>
      </c>
      <c r="D22" s="505">
        <f ca="1" t="shared" si="4"/>
        <v>0</v>
      </c>
      <c r="E22" s="506">
        <f ca="1" t="shared" si="0"/>
        <v>0</v>
      </c>
      <c r="F22" s="507">
        <f ca="1">OFFSET(分配表!C234,0,mth-1)</f>
        <v>0</v>
      </c>
      <c r="G22" s="496">
        <f ca="1" t="shared" si="5"/>
        <v>0</v>
      </c>
      <c r="I22" s="502" t="s">
        <v>160</v>
      </c>
      <c r="J22" s="503"/>
      <c r="K22" s="505">
        <f ca="1">分配表!O248</f>
        <v>25.2924845679012</v>
      </c>
      <c r="L22" s="505">
        <f ca="1" t="shared" si="1"/>
        <v>0.0332312540662452</v>
      </c>
      <c r="M22" s="506">
        <f ca="1" t="shared" si="2"/>
        <v>0.840500980642512</v>
      </c>
      <c r="N22" s="507">
        <f ca="1">分配表!O234</f>
        <v>1296</v>
      </c>
      <c r="O22" s="496">
        <f ca="1" t="shared" si="3"/>
        <v>32779.06</v>
      </c>
    </row>
    <row r="23" s="459" customFormat="1" customHeight="1" spans="1:15">
      <c r="A23" s="502" t="s">
        <v>161</v>
      </c>
      <c r="B23" s="503"/>
      <c r="C23" s="504">
        <f ca="1">OFFSET(分配表!C249,0,mth-1,1,1)</f>
        <v>0</v>
      </c>
      <c r="D23" s="505">
        <f ca="1" t="shared" si="4"/>
        <v>0</v>
      </c>
      <c r="E23" s="506">
        <f ca="1" t="shared" si="0"/>
        <v>0</v>
      </c>
      <c r="F23" s="507">
        <f ca="1">OFFSET(分配表!C235,0,mth-1)</f>
        <v>0</v>
      </c>
      <c r="G23" s="496">
        <f ca="1" t="shared" si="5"/>
        <v>0</v>
      </c>
      <c r="I23" s="502" t="s">
        <v>161</v>
      </c>
      <c r="J23" s="503"/>
      <c r="K23" s="505">
        <f ca="1">分配表!O249</f>
        <v>529.203533333333</v>
      </c>
      <c r="L23" s="505">
        <f ca="1" t="shared" si="1"/>
        <v>0.00384620996137098</v>
      </c>
      <c r="M23" s="506">
        <f ca="1" t="shared" si="2"/>
        <v>2.03542790149938</v>
      </c>
      <c r="N23" s="507">
        <f ca="1">分配表!O235</f>
        <v>150</v>
      </c>
      <c r="O23" s="496">
        <f ca="1" t="shared" si="3"/>
        <v>79380.53</v>
      </c>
    </row>
    <row r="24" s="459" customFormat="1" customHeight="1" spans="1:15">
      <c r="A24" s="502" t="s">
        <v>162</v>
      </c>
      <c r="B24" s="503"/>
      <c r="C24" s="504">
        <f ca="1">OFFSET(分配表!C250,0,mth-1,1,1)</f>
        <v>0</v>
      </c>
      <c r="D24" s="505">
        <f ca="1" t="shared" si="4"/>
        <v>0</v>
      </c>
      <c r="E24" s="506">
        <f ca="1" t="shared" si="0"/>
        <v>0</v>
      </c>
      <c r="F24" s="507">
        <f ca="1">OFFSET(分配表!C236,0,mth-1)</f>
        <v>0</v>
      </c>
      <c r="G24" s="496">
        <f ca="1" t="shared" si="5"/>
        <v>0</v>
      </c>
      <c r="I24" s="502" t="s">
        <v>162</v>
      </c>
      <c r="J24" s="503"/>
      <c r="K24" s="505">
        <f ca="1">分配表!O250</f>
        <v>0</v>
      </c>
      <c r="L24" s="505">
        <f ca="1" t="shared" si="1"/>
        <v>0</v>
      </c>
      <c r="M24" s="506">
        <f ca="1" t="shared" si="2"/>
        <v>0</v>
      </c>
      <c r="N24" s="507">
        <f ca="1">分配表!O236</f>
        <v>0</v>
      </c>
      <c r="O24" s="496">
        <f ca="1" t="shared" si="3"/>
        <v>0</v>
      </c>
    </row>
    <row r="25" s="459" customFormat="1" customHeight="1" spans="1:15">
      <c r="A25" s="502" t="s">
        <v>163</v>
      </c>
      <c r="B25" s="503"/>
      <c r="C25" s="504">
        <f ca="1">OFFSET(分配表!C251,0,mth-1,1,1)</f>
        <v>0</v>
      </c>
      <c r="D25" s="505">
        <f ca="1" t="shared" ref="D25" si="6">IF(VALUE($F$3)=0,0,F25/$F$3)</f>
        <v>0</v>
      </c>
      <c r="E25" s="506">
        <f ca="1" t="shared" ref="E25" si="7">C25*D25</f>
        <v>0</v>
      </c>
      <c r="F25" s="507">
        <f ca="1">OFFSET(分配表!C237,0,mth-1)</f>
        <v>0</v>
      </c>
      <c r="G25" s="496">
        <f ca="1" t="shared" si="5"/>
        <v>0</v>
      </c>
      <c r="I25" s="502" t="s">
        <v>163</v>
      </c>
      <c r="J25" s="503"/>
      <c r="K25" s="505">
        <f ca="1">分配表!O251</f>
        <v>0</v>
      </c>
      <c r="L25" s="505">
        <f ca="1" t="shared" ref="L25" si="8">IF($N$3=0,,N25/$N$3)</f>
        <v>0</v>
      </c>
      <c r="M25" s="506">
        <f ca="1" t="shared" ref="M25" si="9">K25*L25</f>
        <v>0</v>
      </c>
      <c r="N25" s="507">
        <f ca="1">分配表!O237</f>
        <v>0</v>
      </c>
      <c r="O25" s="496">
        <f ca="1" t="shared" ref="O25" si="10">M25*$N$3</f>
        <v>0</v>
      </c>
    </row>
    <row r="26" s="459" customFormat="1" customHeight="1" spans="1:15">
      <c r="A26" s="502" t="s">
        <v>49</v>
      </c>
      <c r="B26" s="503"/>
      <c r="C26" s="505"/>
      <c r="D26" s="497"/>
      <c r="E26" s="506" t="e">
        <f ca="1">G26/F3</f>
        <v>#DIV/0!</v>
      </c>
      <c r="F26" s="507"/>
      <c r="G26" s="507">
        <f ca="1">OFFSET(分配表!C280,0,mth-1,1,1)</f>
        <v>0</v>
      </c>
      <c r="I26" s="502" t="s">
        <v>49</v>
      </c>
      <c r="J26" s="503"/>
      <c r="K26" s="505"/>
      <c r="L26" s="497"/>
      <c r="M26" s="506">
        <f ca="1">O26/N3</f>
        <v>1.07706930390856</v>
      </c>
      <c r="N26" s="507"/>
      <c r="O26" s="507">
        <f ca="1">分配表!O280</f>
        <v>42005.09</v>
      </c>
    </row>
    <row r="27" s="459" customFormat="1" customHeight="1" spans="1:15">
      <c r="A27" s="508" t="s">
        <v>93</v>
      </c>
      <c r="B27" s="490"/>
      <c r="C27" s="501"/>
      <c r="D27" s="492"/>
      <c r="E27" s="491"/>
      <c r="F27" s="491"/>
      <c r="G27" s="491"/>
      <c r="I27" s="508" t="s">
        <v>93</v>
      </c>
      <c r="J27" s="490"/>
      <c r="K27" s="501"/>
      <c r="L27" s="492"/>
      <c r="M27" s="491"/>
      <c r="N27" s="491"/>
      <c r="O27" s="491"/>
    </row>
    <row r="28" s="459" customFormat="1" customHeight="1" spans="1:15">
      <c r="A28" s="508" t="s">
        <v>94</v>
      </c>
      <c r="B28" s="490"/>
      <c r="C28" s="501"/>
      <c r="D28" s="492"/>
      <c r="E28" s="491">
        <f ca="1">SUM(E29:E32)</f>
        <v>0</v>
      </c>
      <c r="F28" s="491"/>
      <c r="G28" s="491">
        <f ca="1">SUM(G29:G32)</f>
        <v>0</v>
      </c>
      <c r="I28" s="508" t="s">
        <v>94</v>
      </c>
      <c r="J28" s="490"/>
      <c r="K28" s="501"/>
      <c r="L28" s="492"/>
      <c r="M28" s="491">
        <f ca="1">SUM(M29:M32)</f>
        <v>215.054440817871</v>
      </c>
      <c r="N28" s="491"/>
      <c r="O28" s="491">
        <f ca="1">SUM(O29:O32)</f>
        <v>8387000.82592014</v>
      </c>
    </row>
    <row r="29" s="459" customFormat="1" customHeight="1" spans="1:15">
      <c r="A29" s="494" t="s">
        <v>95</v>
      </c>
      <c r="B29" s="495" t="s">
        <v>75</v>
      </c>
      <c r="C29" s="505">
        <f ca="1">'F55'!C27</f>
        <v>0</v>
      </c>
      <c r="D29" s="505">
        <f ca="1">IF(VALUE($F$3)=0,0,F29/$F$3)</f>
        <v>0</v>
      </c>
      <c r="E29" s="509">
        <f ca="1">C29*D29</f>
        <v>0</v>
      </c>
      <c r="F29" s="509">
        <f ca="1">OFFSET(分配表!C314,0,mth-1,1,1)</f>
        <v>0</v>
      </c>
      <c r="G29" s="509">
        <f ca="1">E29*F$3</f>
        <v>0</v>
      </c>
      <c r="H29" s="510"/>
      <c r="I29" s="494" t="s">
        <v>95</v>
      </c>
      <c r="J29" s="495" t="s">
        <v>75</v>
      </c>
      <c r="K29" s="505">
        <f ca="1">'F55'!K27</f>
        <v>374.799025538744</v>
      </c>
      <c r="L29" s="505">
        <f ca="1">IF($N$3=0,0,N29/$N$3)</f>
        <v>0.434314028838011</v>
      </c>
      <c r="M29" s="509">
        <f ca="1">K29*L29</f>
        <v>162.780474786292</v>
      </c>
      <c r="N29" s="496">
        <f ca="1">分配表!O314</f>
        <v>16938</v>
      </c>
      <c r="O29" s="509">
        <f ca="1">M29*N$3</f>
        <v>6348345.89457524</v>
      </c>
    </row>
    <row r="30" s="459" customFormat="1" customHeight="1" spans="1:15">
      <c r="A30" s="494" t="s">
        <v>96</v>
      </c>
      <c r="B30" s="495" t="s">
        <v>97</v>
      </c>
      <c r="C30" s="505">
        <f ca="1">'F55'!C28</f>
        <v>0</v>
      </c>
      <c r="D30" s="505">
        <f ca="1">IF(VALUE($F$3)=0,0,F30/$F$3)</f>
        <v>0</v>
      </c>
      <c r="E30" s="509">
        <f ca="1">C30*D30</f>
        <v>0</v>
      </c>
      <c r="F30" s="509">
        <f ca="1">OFFSET(分配表!C333,0,mth-1,1,1)</f>
        <v>0</v>
      </c>
      <c r="G30" s="509">
        <f ca="1">E30*F$3</f>
        <v>0</v>
      </c>
      <c r="I30" s="494" t="s">
        <v>96</v>
      </c>
      <c r="J30" s="495" t="s">
        <v>97</v>
      </c>
      <c r="K30" s="505">
        <f ca="1">'F55'!K28</f>
        <v>0.680636799672716</v>
      </c>
      <c r="L30" s="505">
        <f ca="1">IF($N$3=0,0,N30/$N$3)</f>
        <v>61.2587142617542</v>
      </c>
      <c r="M30" s="509">
        <f ca="1">K30*L30</f>
        <v>41.6949352271858</v>
      </c>
      <c r="N30" s="496">
        <f ca="1">分配表!O333</f>
        <v>2389055</v>
      </c>
      <c r="O30" s="509">
        <f ca="1">M30*N$3</f>
        <v>1626078.7494421</v>
      </c>
    </row>
    <row r="31" s="459" customFormat="1" customHeight="1" spans="1:15">
      <c r="A31" s="494" t="s">
        <v>98</v>
      </c>
      <c r="B31" s="495" t="s">
        <v>75</v>
      </c>
      <c r="C31" s="505">
        <f ca="1">'F55'!C29</f>
        <v>0</v>
      </c>
      <c r="D31" s="505">
        <f ca="1">IF(VALUE($F$3)=0,0,F31/$F$3)</f>
        <v>0</v>
      </c>
      <c r="E31" s="509">
        <f ca="1">C31*D31</f>
        <v>0</v>
      </c>
      <c r="F31" s="509">
        <f ca="1">OFFSET(分配表!C351,0,mth-1,1,1)</f>
        <v>0</v>
      </c>
      <c r="G31" s="509">
        <f ca="1">E31*F$3</f>
        <v>0</v>
      </c>
      <c r="I31" s="494" t="s">
        <v>98</v>
      </c>
      <c r="J31" s="495" t="s">
        <v>75</v>
      </c>
      <c r="K31" s="505">
        <f ca="1">'F55'!K29</f>
        <v>5.8950402489434</v>
      </c>
      <c r="L31" s="505">
        <f ca="1">IF($N$3=0,0,N31/$N$3)</f>
        <v>1.79456464377647</v>
      </c>
      <c r="M31" s="509">
        <f ca="1">K31*L31</f>
        <v>10.5790308043931</v>
      </c>
      <c r="N31" s="496">
        <f ca="1">分配表!O351</f>
        <v>69987</v>
      </c>
      <c r="O31" s="509">
        <f ca="1">M31*N$3</f>
        <v>412576.181902802</v>
      </c>
    </row>
    <row r="32" s="459" customFormat="1" customHeight="1" spans="1:15">
      <c r="A32" s="494" t="s">
        <v>164</v>
      </c>
      <c r="B32" s="495" t="s">
        <v>100</v>
      </c>
      <c r="C32" s="505">
        <f ca="1">'F55'!C30</f>
        <v>0</v>
      </c>
      <c r="D32" s="505">
        <f ca="1">IF(VALUE($F$3)=0,0,F32/$F$3)</f>
        <v>0</v>
      </c>
      <c r="E32" s="509">
        <f ca="1">C32*D32</f>
        <v>0</v>
      </c>
      <c r="F32" s="509">
        <f ca="1">OFFSET(分配表!C367,0,mth-1,1,1)</f>
        <v>0</v>
      </c>
      <c r="G32" s="509">
        <f ca="1">E32*F$3</f>
        <v>0</v>
      </c>
      <c r="I32" s="494" t="s">
        <v>164</v>
      </c>
      <c r="J32" s="495" t="s">
        <v>100</v>
      </c>
      <c r="K32" s="505">
        <f>'F55'!K30</f>
        <v>0</v>
      </c>
      <c r="L32" s="505">
        <f ca="1">IF($N$3=0,0,N32/$N$3)</f>
        <v>0</v>
      </c>
      <c r="M32" s="509">
        <f ca="1">K32*L32</f>
        <v>0</v>
      </c>
      <c r="N32" s="496">
        <f>分配表!O367</f>
        <v>0</v>
      </c>
      <c r="O32" s="509">
        <f ca="1">M32*N$3</f>
        <v>0</v>
      </c>
    </row>
    <row r="33" s="459" customFormat="1" customHeight="1" spans="1:15">
      <c r="A33" s="508" t="s">
        <v>165</v>
      </c>
      <c r="B33" s="490"/>
      <c r="C33" s="501"/>
      <c r="D33" s="492"/>
      <c r="E33" s="491">
        <f ca="1">IF(VALUE($F$3)=0,0,G33/$F$3)</f>
        <v>0</v>
      </c>
      <c r="F33" s="491"/>
      <c r="G33" s="491" t="e">
        <f ca="1">OFFSET(分配表!C379,0,mth-1,1,1)</f>
        <v>#DIV/0!</v>
      </c>
      <c r="H33" s="483"/>
      <c r="I33" s="508" t="s">
        <v>165</v>
      </c>
      <c r="J33" s="490"/>
      <c r="K33" s="501"/>
      <c r="L33" s="492"/>
      <c r="M33" s="501" t="e">
        <f ca="1">IF($N$3=0,,O33/$N$3)</f>
        <v>#DIV/0!</v>
      </c>
      <c r="N33" s="491"/>
      <c r="O33" s="491" t="e">
        <f ca="1">分配表!O379</f>
        <v>#DIV/0!</v>
      </c>
    </row>
    <row r="34" s="459" customFormat="1" customHeight="1" spans="1:15">
      <c r="A34" s="508" t="s">
        <v>102</v>
      </c>
      <c r="B34" s="490"/>
      <c r="C34" s="501"/>
      <c r="D34" s="492"/>
      <c r="E34" s="501">
        <f ca="1">E33</f>
        <v>0</v>
      </c>
      <c r="F34" s="491"/>
      <c r="G34" s="491" t="e">
        <f ca="1">G33</f>
        <v>#DIV/0!</v>
      </c>
      <c r="H34" s="483"/>
      <c r="I34" s="508" t="s">
        <v>102</v>
      </c>
      <c r="J34" s="490"/>
      <c r="K34" s="501"/>
      <c r="L34" s="492"/>
      <c r="M34" s="501" t="e">
        <f ca="1">M33</f>
        <v>#DIV/0!</v>
      </c>
      <c r="N34" s="491"/>
      <c r="O34" s="491" t="e">
        <f ca="1">O33</f>
        <v>#DIV/0!</v>
      </c>
    </row>
    <row r="35" s="459" customFormat="1" customHeight="1" spans="1:15">
      <c r="A35" s="508" t="s">
        <v>103</v>
      </c>
      <c r="B35" s="490"/>
      <c r="C35" s="501"/>
      <c r="D35" s="492"/>
      <c r="E35" s="501"/>
      <c r="F35" s="491"/>
      <c r="G35" s="491"/>
      <c r="H35" s="483"/>
      <c r="I35" s="508" t="s">
        <v>103</v>
      </c>
      <c r="J35" s="490"/>
      <c r="K35" s="501"/>
      <c r="L35" s="492"/>
      <c r="M35" s="501"/>
      <c r="N35" s="491"/>
      <c r="O35" s="491"/>
    </row>
    <row r="36" s="459" customFormat="1" customHeight="1" spans="1:15">
      <c r="A36" s="508" t="s">
        <v>166</v>
      </c>
      <c r="B36" s="490"/>
      <c r="C36" s="501"/>
      <c r="D36" s="492"/>
      <c r="E36" s="501"/>
      <c r="F36" s="491"/>
      <c r="G36" s="491"/>
      <c r="I36" s="508" t="s">
        <v>166</v>
      </c>
      <c r="J36" s="490"/>
      <c r="K36" s="501"/>
      <c r="L36" s="492"/>
      <c r="M36" s="501"/>
      <c r="N36" s="491"/>
      <c r="O36" s="491"/>
    </row>
    <row r="37" s="459" customFormat="1" customHeight="1" spans="1:15">
      <c r="A37" s="508" t="s">
        <v>105</v>
      </c>
      <c r="B37" s="490"/>
      <c r="C37" s="501"/>
      <c r="D37" s="492"/>
      <c r="E37" s="491" t="e">
        <f ca="1">E5-E10</f>
        <v>#DIV/0!</v>
      </c>
      <c r="F37" s="491"/>
      <c r="G37" s="491" t="e">
        <f ca="1">G5-G10</f>
        <v>#DIV/0!</v>
      </c>
      <c r="H37" s="512"/>
      <c r="I37" s="508" t="s">
        <v>105</v>
      </c>
      <c r="J37" s="490"/>
      <c r="K37" s="501"/>
      <c r="L37" s="492"/>
      <c r="M37" s="542" t="e">
        <f ca="1">M5-M10</f>
        <v>#DIV/0!</v>
      </c>
      <c r="N37" s="491"/>
      <c r="O37" s="491" t="e">
        <f ca="1">O5-O10</f>
        <v>#DIV/0!</v>
      </c>
    </row>
    <row r="38" s="459" customFormat="1" customHeight="1" spans="1:15">
      <c r="A38" s="513" t="s">
        <v>106</v>
      </c>
      <c r="B38" s="485"/>
      <c r="C38" s="514"/>
      <c r="D38" s="515"/>
      <c r="E38" s="487">
        <f ca="1">SUM(E39:E45)</f>
        <v>0</v>
      </c>
      <c r="F38" s="488"/>
      <c r="G38" s="487" t="e">
        <f ca="1">SUM(G39:G45)</f>
        <v>#DIV/0!</v>
      </c>
      <c r="I38" s="513" t="s">
        <v>106</v>
      </c>
      <c r="J38" s="485"/>
      <c r="K38" s="514"/>
      <c r="L38" s="515"/>
      <c r="M38" s="487" t="e">
        <f ca="1">IF(N$3=0,0,O38/N$3)</f>
        <v>#DIV/0!</v>
      </c>
      <c r="N38" s="488"/>
      <c r="O38" s="487" t="e">
        <f ca="1">SUM(O39:O45)</f>
        <v>#DIV/0!</v>
      </c>
    </row>
    <row r="39" s="459" customFormat="1" customHeight="1" spans="1:15">
      <c r="A39" s="516" t="s">
        <v>107</v>
      </c>
      <c r="B39" s="503"/>
      <c r="C39" s="505"/>
      <c r="D39" s="497"/>
      <c r="E39" s="507">
        <f ca="1" t="shared" ref="E39:E52" si="11">IF(VALUE($F$3)=0,0,G39/$F$3)</f>
        <v>0</v>
      </c>
      <c r="F39" s="517"/>
      <c r="G39" s="509" t="e">
        <f ca="1">OFFSET(分配表!C412,0,mth-1,1,1)</f>
        <v>#DIV/0!</v>
      </c>
      <c r="H39" s="483"/>
      <c r="I39" s="516" t="s">
        <v>107</v>
      </c>
      <c r="J39" s="503"/>
      <c r="K39" s="505"/>
      <c r="L39" s="497"/>
      <c r="M39" s="507" t="e">
        <f ca="1">IF($N$3=0,0,O39/$N$3)</f>
        <v>#DIV/0!</v>
      </c>
      <c r="N39" s="517"/>
      <c r="O39" s="509" t="e">
        <f ca="1">分配表!O412</f>
        <v>#DIV/0!</v>
      </c>
    </row>
    <row r="40" s="459" customFormat="1" customHeight="1" spans="1:15">
      <c r="A40" s="516" t="s">
        <v>108</v>
      </c>
      <c r="B40" s="503"/>
      <c r="C40" s="505"/>
      <c r="D40" s="497"/>
      <c r="E40" s="507">
        <f ca="1" t="shared" si="11"/>
        <v>0</v>
      </c>
      <c r="F40" s="517"/>
      <c r="G40" s="509" t="e">
        <f ca="1">OFFSET(分配表!C432,0,mth-1,1,1)</f>
        <v>#DIV/0!</v>
      </c>
      <c r="H40" s="483"/>
      <c r="I40" s="516" t="s">
        <v>108</v>
      </c>
      <c r="J40" s="503"/>
      <c r="K40" s="505"/>
      <c r="L40" s="497"/>
      <c r="M40" s="507" t="e">
        <f ca="1" t="shared" ref="M40:M52" si="12">IF($N$3=0,0,O40/$N$3)</f>
        <v>#DIV/0!</v>
      </c>
      <c r="N40" s="517"/>
      <c r="O40" s="509" t="e">
        <f ca="1">分配表!O432</f>
        <v>#DIV/0!</v>
      </c>
    </row>
    <row r="41" s="459" customFormat="1" customHeight="1" spans="1:15">
      <c r="A41" s="516" t="s">
        <v>109</v>
      </c>
      <c r="B41" s="503"/>
      <c r="C41" s="498"/>
      <c r="D41" s="518"/>
      <c r="E41" s="507">
        <f ca="1" t="shared" si="11"/>
        <v>0</v>
      </c>
      <c r="F41" s="517"/>
      <c r="G41" s="509" t="e">
        <f ca="1">OFFSET(分配表!C452,0,mth-1,1,1)</f>
        <v>#DIV/0!</v>
      </c>
      <c r="H41" s="483"/>
      <c r="I41" s="516" t="s">
        <v>109</v>
      </c>
      <c r="J41" s="503"/>
      <c r="K41" s="498"/>
      <c r="L41" s="518"/>
      <c r="M41" s="507" t="e">
        <f ca="1" t="shared" si="12"/>
        <v>#DIV/0!</v>
      </c>
      <c r="N41" s="517"/>
      <c r="O41" s="509" t="e">
        <f ca="1">分配表!O452</f>
        <v>#DIV/0!</v>
      </c>
    </row>
    <row r="42" s="459" customFormat="1" customHeight="1" spans="1:15">
      <c r="A42" s="516" t="s">
        <v>110</v>
      </c>
      <c r="B42" s="503"/>
      <c r="C42" s="498"/>
      <c r="D42" s="518"/>
      <c r="E42" s="507">
        <f ca="1" t="shared" si="11"/>
        <v>0</v>
      </c>
      <c r="F42" s="517"/>
      <c r="G42" s="509" t="e">
        <f ca="1">OFFSET(分配表!C472,0,mth-1,1,1)</f>
        <v>#DIV/0!</v>
      </c>
      <c r="H42" s="483"/>
      <c r="I42" s="516" t="s">
        <v>110</v>
      </c>
      <c r="J42" s="503"/>
      <c r="K42" s="498"/>
      <c r="L42" s="518"/>
      <c r="M42" s="507" t="e">
        <f ca="1" t="shared" si="12"/>
        <v>#DIV/0!</v>
      </c>
      <c r="N42" s="517"/>
      <c r="O42" s="509" t="e">
        <f ca="1">分配表!O472</f>
        <v>#DIV/0!</v>
      </c>
    </row>
    <row r="43" s="459" customFormat="1" customHeight="1" spans="1:15">
      <c r="A43" s="516" t="s">
        <v>111</v>
      </c>
      <c r="B43" s="503"/>
      <c r="C43" s="498"/>
      <c r="D43" s="518"/>
      <c r="E43" s="519">
        <f ca="1" t="shared" si="11"/>
        <v>0</v>
      </c>
      <c r="F43" s="520"/>
      <c r="G43" s="521" t="e">
        <f ca="1">OFFSET(分配表!C492,0,mth-1,1,1)</f>
        <v>#DIV/0!</v>
      </c>
      <c r="H43" s="483"/>
      <c r="I43" s="516" t="s">
        <v>111</v>
      </c>
      <c r="J43" s="503"/>
      <c r="K43" s="498"/>
      <c r="L43" s="518"/>
      <c r="M43" s="507" t="e">
        <f ca="1" t="shared" si="12"/>
        <v>#DIV/0!</v>
      </c>
      <c r="N43" s="509"/>
      <c r="O43" s="509" t="e">
        <f ca="1">分配表!O492</f>
        <v>#DIV/0!</v>
      </c>
    </row>
    <row r="44" s="459" customFormat="1" customHeight="1" spans="1:15">
      <c r="A44" s="516" t="s">
        <v>112</v>
      </c>
      <c r="B44" s="503"/>
      <c r="C44" s="498"/>
      <c r="D44" s="522"/>
      <c r="E44" s="507">
        <f ca="1" t="shared" si="11"/>
        <v>0</v>
      </c>
      <c r="F44" s="517"/>
      <c r="G44" s="509" t="e">
        <f ca="1">OFFSET(分配表!C508,0,mth-1,1,1)</f>
        <v>#DIV/0!</v>
      </c>
      <c r="H44" s="483"/>
      <c r="I44" s="516" t="s">
        <v>112</v>
      </c>
      <c r="J44" s="503"/>
      <c r="K44" s="498"/>
      <c r="L44" s="518"/>
      <c r="M44" s="507" t="e">
        <f ca="1" t="shared" si="12"/>
        <v>#DIV/0!</v>
      </c>
      <c r="N44" s="509"/>
      <c r="O44" s="509" t="e">
        <f ca="1">分配表!O508</f>
        <v>#DIV/0!</v>
      </c>
    </row>
    <row r="45" s="459" customFormat="1" customHeight="1" spans="1:15">
      <c r="A45" s="516" t="s">
        <v>113</v>
      </c>
      <c r="B45" s="503"/>
      <c r="C45" s="498"/>
      <c r="D45" s="522"/>
      <c r="E45" s="507">
        <f ca="1" t="shared" si="11"/>
        <v>0</v>
      </c>
      <c r="F45" s="517"/>
      <c r="G45" s="509" t="e">
        <f ca="1">OFFSET(分配表!C530,0,mth-1,1,1)</f>
        <v>#DIV/0!</v>
      </c>
      <c r="I45" s="516" t="s">
        <v>114</v>
      </c>
      <c r="J45" s="503"/>
      <c r="K45" s="498"/>
      <c r="L45" s="518"/>
      <c r="M45" s="507" t="e">
        <f ca="1" t="shared" si="12"/>
        <v>#DIV/0!</v>
      </c>
      <c r="N45" s="509"/>
      <c r="O45" s="509" t="e">
        <f ca="1">分配表!O530</f>
        <v>#DIV/0!</v>
      </c>
    </row>
    <row r="46" s="459" customFormat="1" ht="14.25" customHeight="1" spans="1:15">
      <c r="A46" s="516" t="s">
        <v>115</v>
      </c>
      <c r="B46" s="503"/>
      <c r="C46" s="498"/>
      <c r="D46" s="518"/>
      <c r="E46" s="576">
        <f ca="1" t="shared" si="11"/>
        <v>0</v>
      </c>
      <c r="F46" s="517"/>
      <c r="G46" s="575" t="e">
        <f ca="1">OFFSET(分配表!C542,0,mth-1,1,1)</f>
        <v>#DIV/0!</v>
      </c>
      <c r="I46" s="516" t="s">
        <v>115</v>
      </c>
      <c r="J46" s="503"/>
      <c r="K46" s="498"/>
      <c r="L46" s="518"/>
      <c r="M46" s="576" t="e">
        <f ca="1" t="shared" si="12"/>
        <v>#DIV/0!</v>
      </c>
      <c r="N46" s="517"/>
      <c r="O46" s="576" t="e">
        <f ca="1">分配表!O542</f>
        <v>#DIV/0!</v>
      </c>
    </row>
    <row r="47" s="459" customFormat="1" ht="14.25" customHeight="1" spans="1:15">
      <c r="A47" s="516" t="s">
        <v>116</v>
      </c>
      <c r="B47" s="503"/>
      <c r="C47" s="498"/>
      <c r="D47" s="518"/>
      <c r="E47" s="576">
        <f ca="1" t="shared" si="11"/>
        <v>0</v>
      </c>
      <c r="F47" s="517"/>
      <c r="G47" s="575" t="e">
        <f ca="1">OFFSET(分配表!C554,0,mth-1,1,1)</f>
        <v>#DIV/0!</v>
      </c>
      <c r="I47" s="516" t="s">
        <v>116</v>
      </c>
      <c r="J47" s="503"/>
      <c r="K47" s="498"/>
      <c r="L47" s="518"/>
      <c r="M47" s="576" t="e">
        <f ca="1" t="shared" si="12"/>
        <v>#DIV/0!</v>
      </c>
      <c r="N47" s="517"/>
      <c r="O47" s="576" t="e">
        <f ca="1">分配表!O554</f>
        <v>#DIV/0!</v>
      </c>
    </row>
    <row r="48" s="459" customFormat="1" ht="14.25" customHeight="1" spans="1:15">
      <c r="A48" s="516" t="s">
        <v>117</v>
      </c>
      <c r="B48" s="503"/>
      <c r="C48" s="498"/>
      <c r="D48" s="518"/>
      <c r="E48" s="576">
        <f ca="1" t="shared" si="11"/>
        <v>0</v>
      </c>
      <c r="F48" s="517"/>
      <c r="G48" s="575" t="e">
        <f ca="1">OFFSET(分配表!C602,0,mth-1,1,1)</f>
        <v>#DIV/0!</v>
      </c>
      <c r="I48" s="516" t="s">
        <v>117</v>
      </c>
      <c r="J48" s="503"/>
      <c r="K48" s="498"/>
      <c r="L48" s="518"/>
      <c r="M48" s="576" t="e">
        <f ca="1" t="shared" si="12"/>
        <v>#DIV/0!</v>
      </c>
      <c r="N48" s="517"/>
      <c r="O48" s="576" t="e">
        <f ca="1">分配表!O602</f>
        <v>#DIV/0!</v>
      </c>
    </row>
    <row r="49" s="459" customFormat="1" ht="14.25" customHeight="1" spans="1:16">
      <c r="A49" s="516" t="s">
        <v>118</v>
      </c>
      <c r="B49" s="503"/>
      <c r="C49" s="498"/>
      <c r="D49" s="518"/>
      <c r="E49" s="576">
        <f ca="1" t="shared" si="11"/>
        <v>0</v>
      </c>
      <c r="F49" s="517"/>
      <c r="G49" s="575" t="e">
        <f ca="1">OFFSET(分配表!C566,0,mth-1,1,1)</f>
        <v>#DIV/0!</v>
      </c>
      <c r="I49" s="516" t="s">
        <v>118</v>
      </c>
      <c r="J49" s="503"/>
      <c r="K49" s="498"/>
      <c r="L49" s="518"/>
      <c r="M49" s="576" t="e">
        <f ca="1" t="shared" si="12"/>
        <v>#DIV/0!</v>
      </c>
      <c r="N49" s="517"/>
      <c r="O49" s="576" t="e">
        <f ca="1">分配表!O566</f>
        <v>#DIV/0!</v>
      </c>
    </row>
    <row r="50" s="459" customFormat="1" ht="14.25" customHeight="1" spans="1:16">
      <c r="A50" s="516" t="s">
        <v>119</v>
      </c>
      <c r="B50" s="503"/>
      <c r="C50" s="498"/>
      <c r="D50" s="518"/>
      <c r="E50" s="576">
        <f ca="1" t="shared" si="11"/>
        <v>0</v>
      </c>
      <c r="F50" s="517"/>
      <c r="G50" s="575" t="e">
        <f ca="1">OFFSET(分配表!C578,0,mth-1,1,1)</f>
        <v>#DIV/0!</v>
      </c>
      <c r="I50" s="516" t="s">
        <v>119</v>
      </c>
      <c r="J50" s="503"/>
      <c r="K50" s="498"/>
      <c r="L50" s="518"/>
      <c r="M50" s="576" t="e">
        <f ca="1" t="shared" si="12"/>
        <v>#DIV/0!</v>
      </c>
      <c r="N50" s="517"/>
      <c r="O50" s="576" t="e">
        <f ca="1">分配表!O578</f>
        <v>#DIV/0!</v>
      </c>
    </row>
    <row r="51" s="459" customFormat="1" ht="14.25" customHeight="1" spans="1:16">
      <c r="A51" s="516" t="s">
        <v>120</v>
      </c>
      <c r="B51" s="503"/>
      <c r="C51" s="498"/>
      <c r="D51" s="518"/>
      <c r="E51" s="576">
        <f ca="1" t="shared" si="11"/>
        <v>0</v>
      </c>
      <c r="F51" s="517"/>
      <c r="G51" s="575" t="e">
        <f ca="1">OFFSET(分配表!C590,0,mth-1,1,1)</f>
        <v>#DIV/0!</v>
      </c>
      <c r="I51" s="516" t="s">
        <v>120</v>
      </c>
      <c r="J51" s="503"/>
      <c r="K51" s="498"/>
      <c r="L51" s="518"/>
      <c r="M51" s="576" t="e">
        <f ca="1" t="shared" si="12"/>
        <v>#DIV/0!</v>
      </c>
      <c r="N51" s="517"/>
      <c r="O51" s="576" t="e">
        <f ca="1">分配表!O590</f>
        <v>#DIV/0!</v>
      </c>
    </row>
    <row r="52" s="459" customFormat="1" ht="12" spans="1:16">
      <c r="A52" s="516" t="s">
        <v>121</v>
      </c>
      <c r="B52" s="503"/>
      <c r="C52" s="498"/>
      <c r="D52" s="518"/>
      <c r="E52" s="576">
        <f ca="1" t="shared" si="11"/>
        <v>0</v>
      </c>
      <c r="F52" s="517"/>
      <c r="G52" s="575" t="e">
        <f ca="1">OFFSET(分配表!C614,0,mth-1,1,1)</f>
        <v>#DIV/0!</v>
      </c>
      <c r="I52" s="516" t="s">
        <v>121</v>
      </c>
      <c r="J52" s="503"/>
      <c r="K52" s="498"/>
      <c r="L52" s="518"/>
      <c r="M52" s="576" t="e">
        <f ca="1" t="shared" si="12"/>
        <v>#DIV/0!</v>
      </c>
      <c r="N52" s="517"/>
      <c r="O52" s="576" t="e">
        <f ca="1">分配表!O614</f>
        <v>#DIV/0!</v>
      </c>
    </row>
    <row r="53" s="459" customFormat="1" ht="14.25" customHeight="1" spans="1:16">
      <c r="A53" s="523" t="s">
        <v>122</v>
      </c>
      <c r="B53" s="485" t="s">
        <v>123</v>
      </c>
      <c r="C53" s="514"/>
      <c r="D53" s="515"/>
      <c r="E53" s="487">
        <f ca="1">E38+E10</f>
        <v>0</v>
      </c>
      <c r="F53" s="488"/>
      <c r="G53" s="487" t="e">
        <f ca="1">G38+G10</f>
        <v>#DIV/0!</v>
      </c>
      <c r="H53" s="483"/>
      <c r="I53" s="523" t="s">
        <v>122</v>
      </c>
      <c r="J53" s="485" t="s">
        <v>123</v>
      </c>
      <c r="K53" s="514"/>
      <c r="L53" s="515"/>
      <c r="M53" s="487" t="e">
        <f ca="1">M38+M10</f>
        <v>#DIV/0!</v>
      </c>
      <c r="N53" s="488"/>
      <c r="O53" s="487" t="e">
        <f ca="1">O38+O10</f>
        <v>#DIV/0!</v>
      </c>
    </row>
    <row r="54" s="460" customFormat="1" ht="14.25" customHeight="1" spans="1:16">
      <c r="A54" s="524" t="s">
        <v>124</v>
      </c>
      <c r="B54" s="525"/>
      <c r="C54" s="514"/>
      <c r="D54" s="515"/>
      <c r="E54" s="487" t="e">
        <f ca="1">E37-E38</f>
        <v>#DIV/0!</v>
      </c>
      <c r="F54" s="526"/>
      <c r="G54" s="487" t="e">
        <f ca="1">G37-G38</f>
        <v>#DIV/0!</v>
      </c>
      <c r="H54" s="527"/>
      <c r="I54" s="524" t="s">
        <v>124</v>
      </c>
      <c r="J54" s="525"/>
      <c r="K54" s="514"/>
      <c r="L54" s="515"/>
      <c r="M54" s="487" t="e">
        <f ca="1">M37-M38</f>
        <v>#DIV/0!</v>
      </c>
      <c r="N54" s="526"/>
      <c r="O54" s="487" t="e">
        <f ca="1">O37-O38</f>
        <v>#DIV/0!</v>
      </c>
    </row>
    <row r="55" s="459" customFormat="1" ht="14.25" customHeight="1" spans="1:16">
      <c r="A55" s="524" t="s">
        <v>125</v>
      </c>
      <c r="B55" s="525"/>
      <c r="C55" s="514"/>
      <c r="D55" s="515"/>
      <c r="E55" s="487" t="e">
        <f ca="1">E54+E39</f>
        <v>#DIV/0!</v>
      </c>
      <c r="F55" s="526"/>
      <c r="G55" s="487" t="e">
        <f ca="1">G54+G39</f>
        <v>#DIV/0!</v>
      </c>
      <c r="H55" s="527"/>
      <c r="I55" s="524" t="s">
        <v>125</v>
      </c>
      <c r="J55" s="525"/>
      <c r="K55" s="514"/>
      <c r="L55" s="515"/>
      <c r="M55" s="487" t="e">
        <f ca="1">M54+M39</f>
        <v>#DIV/0!</v>
      </c>
      <c r="N55" s="526"/>
      <c r="O55" s="487" t="e">
        <f ca="1">O54+O39</f>
        <v>#DIV/0!</v>
      </c>
    </row>
    <row r="56" s="540" customFormat="1" ht="14.25" customHeight="1" spans="1:16">
      <c r="A56" s="529" t="s">
        <v>126</v>
      </c>
      <c r="B56" s="530" t="s">
        <v>123</v>
      </c>
      <c r="C56" s="531"/>
      <c r="D56" s="532"/>
      <c r="E56" s="533">
        <f ca="1">E10-E11-E27+E38</f>
        <v>0</v>
      </c>
      <c r="F56" s="533"/>
      <c r="G56" s="534" t="e">
        <f ca="1">G10-G11-G27+G38</f>
        <v>#DIV/0!</v>
      </c>
      <c r="H56" s="535"/>
      <c r="I56" s="536" t="s">
        <v>126</v>
      </c>
      <c r="J56" s="537" t="s">
        <v>123</v>
      </c>
      <c r="K56" s="533"/>
      <c r="L56" s="533"/>
      <c r="M56" s="533" t="e">
        <f ca="1">M10-M11-M27+M38</f>
        <v>#DIV/0!</v>
      </c>
      <c r="N56" s="533"/>
      <c r="O56" s="534" t="e">
        <f ca="1">O10-O11-O27+O38</f>
        <v>#DIV/0!</v>
      </c>
      <c r="P56" s="475"/>
    </row>
    <row r="57" s="459" customFormat="1" customHeight="1" spans="1:16">
      <c r="A57" s="516" t="s">
        <v>127</v>
      </c>
      <c r="B57" s="503"/>
      <c r="C57" s="516"/>
      <c r="D57" s="516"/>
      <c r="E57" s="507">
        <f ca="1">IF(VALUE($F$3)=0,0,G57/$F$3)</f>
        <v>0</v>
      </c>
      <c r="F57" s="517"/>
      <c r="G57" s="509" t="e">
        <f ca="1">OFFSET(分配表!C627,0,mth-1,1,1)</f>
        <v>#DIV/0!</v>
      </c>
      <c r="I57" s="502" t="s">
        <v>127</v>
      </c>
      <c r="J57" s="516"/>
      <c r="K57" s="516"/>
      <c r="L57" s="516"/>
      <c r="M57" s="507" t="e">
        <f ca="1">IF($N$3=0,0,O57/$N$3)</f>
        <v>#DIV/0!</v>
      </c>
      <c r="N57" s="517"/>
      <c r="O57" s="509" t="e">
        <f ca="1">分配表!O627</f>
        <v>#DIV/0!</v>
      </c>
    </row>
    <row r="58" s="459" customFormat="1" customHeight="1" spans="1:16">
      <c r="B58" s="538"/>
      <c r="E58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985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W67"/>
  <sheetViews>
    <sheetView workbookViewId="0">
      <selection activeCell="F3" sqref="F3"/>
    </sheetView>
  </sheetViews>
  <sheetFormatPr defaultColWidth="9" defaultRowHeight="15.75"/>
  <cols>
    <col min="1" max="1" width="32.125" style="40" customWidth="1"/>
    <col min="2" max="2" width="9.75" style="461" customWidth="1"/>
    <col min="3" max="3" width="9.75" style="40" customWidth="1"/>
    <col min="4" max="4" width="10.5" style="40" customWidth="1"/>
    <col min="5" max="5" width="10.125" style="462" customWidth="1"/>
    <col min="6" max="6" width="9.5" style="40" customWidth="1"/>
    <col min="7" max="7" width="10.5" style="40" customWidth="1"/>
    <col min="8" max="8" width="8.625" style="40" customWidth="1"/>
    <col min="9" max="9" width="28" style="40" customWidth="1"/>
    <col min="10" max="10" width="8.875" style="40" customWidth="1"/>
    <col min="11" max="11" width="7.5" style="40" customWidth="1"/>
    <col min="12" max="12" width="7" style="40" customWidth="1"/>
    <col min="13" max="13" width="10.625" style="40" customWidth="1"/>
    <col min="14" max="14" width="10.5" style="40" customWidth="1"/>
    <col min="15" max="15" width="11.375" style="40" customWidth="1"/>
    <col min="16" max="23" width="9" style="40"/>
  </cols>
  <sheetData>
    <row r="1" ht="25.5" spans="1:23">
      <c r="A1" s="97" t="str">
        <f>CONCATENATE("果葡糖浆F90综合成本利润表_不含税(2025年"&amp;mth&amp;"月)")</f>
        <v>果葡糖浆F90综合成本利润表_不含税(2025年8月)</v>
      </c>
      <c r="B1" s="98"/>
      <c r="C1" s="98"/>
      <c r="D1" s="98"/>
      <c r="E1" s="98"/>
      <c r="F1" s="98"/>
      <c r="G1" s="98"/>
      <c r="H1" s="458"/>
      <c r="I1" s="463" t="str">
        <f>CONCATENATE("果葡糖浆F90综合成本利润表_不含税(2025年1-"&amp;mth&amp;"月)")</f>
        <v>果葡糖浆F90综合成本利润表_不含税(2025年1-8月)</v>
      </c>
      <c r="J1" s="463"/>
      <c r="K1" s="463"/>
      <c r="L1" s="463"/>
      <c r="M1" s="463"/>
      <c r="N1" s="463"/>
      <c r="O1" s="463"/>
      <c r="P1" s="458"/>
      <c r="Q1" s="458"/>
      <c r="R1" s="458"/>
      <c r="S1" s="458"/>
      <c r="T1" s="458"/>
      <c r="U1" s="458"/>
      <c r="V1" s="458"/>
      <c r="W1" s="458"/>
    </row>
    <row r="2" ht="25.5" spans="1:23">
      <c r="A2" s="464"/>
      <c r="B2" s="464"/>
      <c r="C2" s="464"/>
      <c r="D2" s="465"/>
      <c r="E2" s="44"/>
      <c r="F2" s="551"/>
      <c r="G2" s="39"/>
      <c r="H2" s="458"/>
      <c r="I2" s="458"/>
      <c r="J2" s="458"/>
      <c r="K2" s="458"/>
      <c r="L2" s="458"/>
      <c r="M2" s="44"/>
      <c r="N2" s="551"/>
      <c r="O2" s="39"/>
      <c r="P2" s="458"/>
      <c r="Q2" s="458"/>
      <c r="R2" s="458"/>
      <c r="S2" s="458"/>
      <c r="T2" s="458"/>
      <c r="U2" s="458"/>
      <c r="V2" s="458"/>
      <c r="W2" s="458"/>
    </row>
    <row r="3" spans="1:23">
      <c r="A3" s="39" t="s">
        <v>148</v>
      </c>
      <c r="B3" s="38"/>
      <c r="C3" s="38"/>
      <c r="D3" s="38"/>
      <c r="E3" s="39" t="s">
        <v>149</v>
      </c>
      <c r="F3" s="466">
        <f ca="1">OFFSET(基础表!C11,0,mth-1,1,1)</f>
        <v>0</v>
      </c>
      <c r="G3" s="38"/>
      <c r="H3" s="38"/>
      <c r="I3" s="38"/>
      <c r="J3" s="38"/>
      <c r="K3" s="552"/>
      <c r="L3" s="38"/>
      <c r="M3" s="39" t="s">
        <v>149</v>
      </c>
      <c r="N3" s="552">
        <f ca="1">基础表!O11</f>
        <v>36.72</v>
      </c>
      <c r="O3" s="39" t="s">
        <v>75</v>
      </c>
      <c r="P3" s="38"/>
      <c r="Q3" s="38"/>
      <c r="R3" s="38"/>
      <c r="S3" s="38"/>
      <c r="T3" s="38"/>
      <c r="U3" s="38"/>
      <c r="V3" s="38"/>
      <c r="W3" s="38"/>
    </row>
    <row r="4" spans="1:23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H4" s="459"/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  <c r="P4" s="459"/>
      <c r="Q4" s="459"/>
      <c r="R4" s="459"/>
      <c r="S4" s="459"/>
      <c r="T4" s="459"/>
      <c r="U4" s="459"/>
      <c r="V4" s="459"/>
      <c r="W4" s="459"/>
    </row>
    <row r="5" spans="1:23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459"/>
      <c r="I5" s="470" t="s">
        <v>83</v>
      </c>
      <c r="J5" s="471"/>
      <c r="K5" s="472"/>
      <c r="L5" s="472"/>
      <c r="M5" s="474">
        <f ca="1">M6-M7</f>
        <v>3626.03593086228</v>
      </c>
      <c r="N5" s="472"/>
      <c r="O5" s="474">
        <f ca="1">O6-O7</f>
        <v>133148.039381263</v>
      </c>
      <c r="P5" s="475"/>
      <c r="Q5" s="475"/>
      <c r="R5" s="475"/>
      <c r="S5" s="475"/>
      <c r="T5" s="459"/>
      <c r="U5" s="459"/>
      <c r="V5" s="459"/>
      <c r="W5" s="459"/>
    </row>
    <row r="6" spans="1:23">
      <c r="A6" s="476" t="s">
        <v>84</v>
      </c>
      <c r="B6" s="477"/>
      <c r="C6" s="478"/>
      <c r="D6" s="479"/>
      <c r="E6" s="478">
        <f ca="1">OFFSET(销售收入及运费!C77,0,mth-1,1,1)</f>
        <v>0</v>
      </c>
      <c r="F6" s="479"/>
      <c r="G6" s="480">
        <f ca="1">E6*$F$3</f>
        <v>0</v>
      </c>
      <c r="H6" s="459"/>
      <c r="I6" s="481" t="s">
        <v>84</v>
      </c>
      <c r="J6" s="477"/>
      <c r="K6" s="478"/>
      <c r="L6" s="479"/>
      <c r="M6" s="553">
        <f ca="1">销售收入及运费!O77</f>
        <v>3679.725005675</v>
      </c>
      <c r="N6" s="482"/>
      <c r="O6" s="480">
        <f ca="1">M6*$N$3</f>
        <v>135119.502208386</v>
      </c>
      <c r="P6" s="475"/>
      <c r="Q6" s="475"/>
      <c r="R6" s="475"/>
      <c r="S6" s="475"/>
      <c r="T6" s="459"/>
      <c r="U6" s="459"/>
      <c r="V6" s="459"/>
      <c r="W6" s="459"/>
    </row>
    <row r="7" spans="1:23">
      <c r="A7" s="476" t="s">
        <v>85</v>
      </c>
      <c r="B7" s="477"/>
      <c r="C7" s="479"/>
      <c r="D7" s="479"/>
      <c r="E7" s="478">
        <f ca="1">SUM(E8:E9)</f>
        <v>0</v>
      </c>
      <c r="F7" s="479"/>
      <c r="G7" s="480">
        <f ca="1">E7*$F$3</f>
        <v>0</v>
      </c>
      <c r="H7" s="483"/>
      <c r="I7" s="476" t="s">
        <v>85</v>
      </c>
      <c r="J7" s="477"/>
      <c r="K7" s="479"/>
      <c r="L7" s="479"/>
      <c r="M7" s="480">
        <f ca="1">SUM(M8:M9)</f>
        <v>53.689074812725</v>
      </c>
      <c r="N7" s="482"/>
      <c r="O7" s="480">
        <f ca="1">M7*$N$3</f>
        <v>1971.46282712326</v>
      </c>
      <c r="P7" s="475"/>
      <c r="Q7" s="475"/>
      <c r="R7" s="475"/>
      <c r="S7" s="475"/>
      <c r="T7" s="459"/>
      <c r="U7" s="459"/>
      <c r="V7" s="459"/>
      <c r="W7" s="459"/>
    </row>
    <row r="8" spans="1:23">
      <c r="A8" s="476" t="s">
        <v>86</v>
      </c>
      <c r="B8" s="477"/>
      <c r="C8" s="479"/>
      <c r="D8" s="479"/>
      <c r="E8" s="478" t="str">
        <f ca="1">IFERROR(OFFSET(销售收入及运费!C134,0,mth-1,1,1)/1.09/OFFSET(销售收入及运费!C17,0,mth-1,1,1),"0")</f>
        <v>0</v>
      </c>
      <c r="F8" s="479"/>
      <c r="G8" s="480">
        <f ca="1">E8*$F$3</f>
        <v>0</v>
      </c>
      <c r="H8" s="483"/>
      <c r="I8" s="476" t="s">
        <v>86</v>
      </c>
      <c r="J8" s="477"/>
      <c r="K8" s="479"/>
      <c r="L8" s="479"/>
      <c r="M8" s="480">
        <f ca="1">IFERROR(销售收入及运费!O134/1.09/销售收入及运费!O17,"0")</f>
        <v>53.689074812725</v>
      </c>
      <c r="N8" s="482"/>
      <c r="O8" s="480">
        <f ca="1">M8*$N$3</f>
        <v>1971.46282712326</v>
      </c>
      <c r="P8" s="475"/>
      <c r="Q8" s="475"/>
      <c r="R8" s="475"/>
      <c r="S8" s="475"/>
      <c r="T8" s="459"/>
      <c r="U8" s="459"/>
      <c r="V8" s="459"/>
      <c r="W8" s="459"/>
    </row>
    <row r="9" spans="1:23">
      <c r="A9" s="476" t="s">
        <v>87</v>
      </c>
      <c r="B9" s="477"/>
      <c r="C9" s="479"/>
      <c r="D9" s="479"/>
      <c r="E9" s="478" t="str">
        <f ca="1">IFERROR((OFFSET(销售收入及运费!C154,0,mth-1,1,1)/1.13+OFFSET(销售收入及运费!C174,0,mth-1,1,1)/1.13)/OFFSET(销售收入及运费!C17,0,mth-1,1,1),"0")</f>
        <v>0</v>
      </c>
      <c r="F9" s="479"/>
      <c r="G9" s="480">
        <f ca="1">E9*$F$3</f>
        <v>0</v>
      </c>
      <c r="H9" s="483"/>
      <c r="I9" s="476" t="s">
        <v>87</v>
      </c>
      <c r="J9" s="477"/>
      <c r="K9" s="479"/>
      <c r="L9" s="479"/>
      <c r="M9" s="480">
        <f ca="1">IFERROR((销售收入及运费!O154+销售收入及运费!O174)/1.13/销售收入及运费!O17,"0")</f>
        <v>0</v>
      </c>
      <c r="N9" s="482"/>
      <c r="O9" s="480">
        <f ca="1">M9*$N$3</f>
        <v>0</v>
      </c>
      <c r="P9" s="475"/>
      <c r="Q9" s="475"/>
      <c r="R9" s="475"/>
      <c r="S9" s="475"/>
      <c r="T9" s="459"/>
      <c r="U9" s="459"/>
      <c r="V9" s="459"/>
      <c r="W9" s="459"/>
    </row>
    <row r="10" spans="1:23">
      <c r="A10" s="484" t="s">
        <v>88</v>
      </c>
      <c r="B10" s="485"/>
      <c r="C10" s="486"/>
      <c r="D10" s="486"/>
      <c r="E10" s="514">
        <f ca="1">E11+E13+E26+E31+E34+E25</f>
        <v>0</v>
      </c>
      <c r="F10" s="488"/>
      <c r="G10" s="487" t="e">
        <f ca="1">G11+G13+G26+G31+G25</f>
        <v>#DIV/0!</v>
      </c>
      <c r="H10" s="511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O11+O13+O26+O31+O25</f>
        <v>#DIV/0!</v>
      </c>
      <c r="P10" s="475"/>
      <c r="Q10" s="475"/>
      <c r="R10" s="475"/>
      <c r="S10" s="475"/>
      <c r="T10" s="459"/>
      <c r="U10" s="459"/>
      <c r="V10" s="459"/>
      <c r="W10" s="459"/>
    </row>
    <row r="11" spans="1:23">
      <c r="A11" s="489" t="s">
        <v>89</v>
      </c>
      <c r="B11" s="490" t="s">
        <v>75</v>
      </c>
      <c r="C11" s="491">
        <f ca="1" t="shared" ref="C11:G11" si="0">C12</f>
        <v>0</v>
      </c>
      <c r="D11" s="492">
        <f ca="1">IF(C11=0,0,E11/C11)</f>
        <v>0</v>
      </c>
      <c r="E11" s="491">
        <f ca="1" t="shared" si="0"/>
        <v>0</v>
      </c>
      <c r="F11" s="491">
        <f ca="1" t="shared" si="0"/>
        <v>0</v>
      </c>
      <c r="G11" s="491">
        <f ca="1" t="shared" si="0"/>
        <v>0</v>
      </c>
      <c r="H11" s="554"/>
      <c r="I11" s="489" t="s">
        <v>89</v>
      </c>
      <c r="J11" s="490" t="s">
        <v>75</v>
      </c>
      <c r="K11" s="491">
        <f ca="1">IF(N11=0,0,O11/N11)</f>
        <v>2453.7157195875</v>
      </c>
      <c r="L11" s="492">
        <f ca="1">IF(K11=0,0,M11/K11)</f>
        <v>0.81284706675317</v>
      </c>
      <c r="M11" s="491">
        <f ca="1" t="shared" ref="M11:O11" si="1">M12</f>
        <v>1994.49562531284</v>
      </c>
      <c r="N11" s="491">
        <f ca="1" t="shared" si="1"/>
        <v>29.8477442911764</v>
      </c>
      <c r="O11" s="491">
        <f ca="1" t="shared" si="1"/>
        <v>73237.8793614876</v>
      </c>
      <c r="P11" s="475"/>
      <c r="Q11" s="475"/>
      <c r="R11" s="475"/>
      <c r="S11" s="475"/>
      <c r="T11" s="459"/>
      <c r="U11" s="459"/>
      <c r="V11" s="459"/>
      <c r="W11" s="459"/>
    </row>
    <row r="12" spans="1:23">
      <c r="A12" s="494" t="s">
        <v>90</v>
      </c>
      <c r="B12" s="495" t="s">
        <v>75</v>
      </c>
      <c r="C12" s="496">
        <f ca="1">OFFSET(分配表!C69,0,mth-1,1,1)</f>
        <v>0</v>
      </c>
      <c r="D12" s="497">
        <f ca="1">IF(VALUE($F$3)=0,0,F12/$F$3)</f>
        <v>0</v>
      </c>
      <c r="E12" s="496">
        <f ca="1" t="shared" ref="E12:E22" si="2">C12*D12</f>
        <v>0</v>
      </c>
      <c r="F12" s="555">
        <f ca="1">OFFSET(分配表!C83,0,mth-1,1,1)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分配表!O69</f>
        <v>2453.7157195875</v>
      </c>
      <c r="L12" s="497">
        <f ca="1">IF($N$3=0,,N12/$N$3)</f>
        <v>0.81284706675317</v>
      </c>
      <c r="M12" s="496">
        <f ca="1" t="shared" ref="M12:M22" si="3">K12*L12</f>
        <v>1994.49562531284</v>
      </c>
      <c r="N12" s="496">
        <f ca="1">分配表!O83</f>
        <v>29.8477442911764</v>
      </c>
      <c r="O12" s="496">
        <f ca="1">K12*N12</f>
        <v>73237.8793614876</v>
      </c>
      <c r="P12" s="475"/>
      <c r="Q12" s="475"/>
      <c r="R12" s="475"/>
      <c r="S12" s="475"/>
      <c r="T12" s="459"/>
      <c r="U12" s="459"/>
      <c r="V12" s="459"/>
      <c r="W12" s="459"/>
    </row>
    <row r="13" spans="1:23">
      <c r="A13" s="489" t="s">
        <v>92</v>
      </c>
      <c r="B13" s="490"/>
      <c r="C13" s="501"/>
      <c r="D13" s="492"/>
      <c r="E13" s="501">
        <f ca="1">SUM(E14:E24)</f>
        <v>0</v>
      </c>
      <c r="F13" s="491"/>
      <c r="G13" s="491" t="e">
        <f ca="1">SUM(G14:G24)</f>
        <v>#DIV/0!</v>
      </c>
      <c r="H13" s="511"/>
      <c r="I13" s="489" t="s">
        <v>92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475"/>
      <c r="R13" s="475"/>
      <c r="S13" s="475"/>
      <c r="T13" s="459"/>
      <c r="U13" s="459"/>
      <c r="V13" s="459"/>
      <c r="W13" s="459"/>
    </row>
    <row r="14" spans="1:23">
      <c r="A14" s="502" t="s">
        <v>136</v>
      </c>
      <c r="B14" s="503"/>
      <c r="C14" s="504">
        <f ca="1">OFFSET(分配表!C179,0,mth-1,1,1)</f>
        <v>0</v>
      </c>
      <c r="D14" s="505">
        <f ca="1" t="shared" ref="D14:D22" si="4">IF(VALUE($F$3)=0,0,F14/$F$3)</f>
        <v>0</v>
      </c>
      <c r="E14" s="506">
        <f ca="1" t="shared" si="2"/>
        <v>0</v>
      </c>
      <c r="F14" s="507">
        <f ca="1">OFFSET(分配表!C166,0,mth-1)</f>
        <v>0</v>
      </c>
      <c r="G14" s="496">
        <f ca="1" t="shared" ref="G14:G22" si="5">E14*$F$3</f>
        <v>0</v>
      </c>
      <c r="H14" s="556"/>
      <c r="I14" s="502" t="s">
        <v>136</v>
      </c>
      <c r="J14" s="503"/>
      <c r="K14" s="505">
        <f ca="1">分配表!O179</f>
        <v>1.03363476247911</v>
      </c>
      <c r="L14" s="505">
        <f ca="1" t="shared" ref="L14:L22" si="6">IF($N$3=0,,N14/$N$3)</f>
        <v>4.30555555555556</v>
      </c>
      <c r="M14" s="506">
        <f ca="1" t="shared" si="3"/>
        <v>4.45037189400726</v>
      </c>
      <c r="N14" s="507">
        <f ca="1">分配表!O166</f>
        <v>158.1</v>
      </c>
      <c r="O14" s="496">
        <f ca="1" t="shared" ref="O14:O22" si="7">M14*$N$3</f>
        <v>163.417655947947</v>
      </c>
      <c r="P14" s="475"/>
      <c r="Q14" s="475"/>
      <c r="R14" s="475"/>
      <c r="S14" s="475"/>
      <c r="T14" s="459"/>
      <c r="U14" s="459"/>
      <c r="V14" s="459"/>
      <c r="W14" s="459"/>
    </row>
    <row r="15" spans="1:23">
      <c r="A15" s="502" t="s">
        <v>137</v>
      </c>
      <c r="B15" s="503"/>
      <c r="C15" s="504">
        <f ca="1">OFFSET(分配表!C180,0,mth-1,1,1)</f>
        <v>0</v>
      </c>
      <c r="D15" s="505">
        <f ca="1" t="shared" si="4"/>
        <v>0</v>
      </c>
      <c r="E15" s="506">
        <f ca="1" t="shared" si="2"/>
        <v>0</v>
      </c>
      <c r="F15" s="507">
        <f ca="1">OFFSET(分配表!C167,0,mth-1)</f>
        <v>0</v>
      </c>
      <c r="G15" s="496">
        <f ca="1" t="shared" si="5"/>
        <v>0</v>
      </c>
      <c r="H15" s="556"/>
      <c r="I15" s="502" t="s">
        <v>137</v>
      </c>
      <c r="J15" s="503"/>
      <c r="K15" s="505">
        <f ca="1">分配表!O180</f>
        <v>3.16530363402344</v>
      </c>
      <c r="L15" s="505">
        <f ca="1" t="shared" si="6"/>
        <v>4.96732026143791</v>
      </c>
      <c r="M15" s="506">
        <f ca="1" t="shared" si="3"/>
        <v>15.7230768748877</v>
      </c>
      <c r="N15" s="507">
        <f ca="1">分配表!O167</f>
        <v>182.4</v>
      </c>
      <c r="O15" s="496">
        <f ca="1" t="shared" si="7"/>
        <v>577.351382845876</v>
      </c>
      <c r="P15" s="475"/>
      <c r="Q15" s="475"/>
      <c r="R15" s="475"/>
      <c r="S15" s="475"/>
      <c r="T15" s="459"/>
      <c r="U15" s="459"/>
      <c r="V15" s="459"/>
      <c r="W15" s="459"/>
    </row>
    <row r="16" spans="1:23">
      <c r="A16" s="502" t="s">
        <v>138</v>
      </c>
      <c r="B16" s="503"/>
      <c r="C16" s="504">
        <f ca="1">OFFSET(分配表!C181,0,mth-1,1,1)</f>
        <v>0</v>
      </c>
      <c r="D16" s="505">
        <f ca="1" t="shared" si="4"/>
        <v>0</v>
      </c>
      <c r="E16" s="506">
        <f ca="1" t="shared" si="2"/>
        <v>0</v>
      </c>
      <c r="F16" s="507">
        <f ca="1">OFFSET(分配表!C168,0,mth-1)</f>
        <v>0</v>
      </c>
      <c r="G16" s="496">
        <f ca="1" t="shared" si="5"/>
        <v>0</v>
      </c>
      <c r="H16" s="556"/>
      <c r="I16" s="502" t="s">
        <v>138</v>
      </c>
      <c r="J16" s="503"/>
      <c r="K16" s="505">
        <f ca="1">分配表!O181</f>
        <v>2.60487003610108</v>
      </c>
      <c r="L16" s="505">
        <f ca="1" t="shared" si="6"/>
        <v>0.844226579520697</v>
      </c>
      <c r="M16" s="506">
        <f ca="1" t="shared" si="3"/>
        <v>2.19910052067357</v>
      </c>
      <c r="N16" s="507">
        <f ca="1">分配表!O168</f>
        <v>31</v>
      </c>
      <c r="O16" s="496">
        <f ca="1" t="shared" si="7"/>
        <v>80.7509711191336</v>
      </c>
      <c r="P16" s="475"/>
      <c r="Q16" s="475"/>
      <c r="R16" s="475"/>
      <c r="S16" s="475"/>
      <c r="T16" s="459"/>
      <c r="U16" s="459"/>
      <c r="V16" s="459"/>
      <c r="W16" s="459"/>
    </row>
    <row r="17" spans="1:23">
      <c r="A17" s="502" t="s">
        <v>139</v>
      </c>
      <c r="B17" s="503"/>
      <c r="C17" s="504">
        <f ca="1">OFFSET(分配表!C183,0,mth-1,1,1)</f>
        <v>0</v>
      </c>
      <c r="D17" s="505">
        <f ca="1" t="shared" si="4"/>
        <v>0</v>
      </c>
      <c r="E17" s="506">
        <f ca="1" t="shared" si="2"/>
        <v>0</v>
      </c>
      <c r="F17" s="507">
        <f ca="1">OFFSET(分配表!C170,0,mth-1)</f>
        <v>0</v>
      </c>
      <c r="G17" s="496">
        <f ca="1" t="shared" si="5"/>
        <v>0</v>
      </c>
      <c r="H17" s="556"/>
      <c r="I17" s="502" t="s">
        <v>139</v>
      </c>
      <c r="J17" s="503"/>
      <c r="K17" s="505">
        <f ca="1">分配表!O183</f>
        <v>7.07970147313692</v>
      </c>
      <c r="L17" s="505">
        <f ca="1" t="shared" si="6"/>
        <v>1.77015250544662</v>
      </c>
      <c r="M17" s="506">
        <f ca="1" t="shared" si="3"/>
        <v>12.5321513004875</v>
      </c>
      <c r="N17" s="507">
        <f ca="1">分配表!O170</f>
        <v>65</v>
      </c>
      <c r="O17" s="496">
        <f ca="1" t="shared" si="7"/>
        <v>460.1805957539</v>
      </c>
      <c r="P17" s="475"/>
      <c r="Q17" s="475"/>
      <c r="R17" s="475"/>
      <c r="S17" s="475"/>
      <c r="T17" s="459"/>
      <c r="U17" s="459"/>
      <c r="V17" s="459"/>
      <c r="W17" s="459"/>
    </row>
    <row r="18" spans="1:23">
      <c r="A18" s="502" t="s">
        <v>140</v>
      </c>
      <c r="B18" s="503"/>
      <c r="C18" s="504">
        <f ca="1">OFFSET(分配表!C184,0,mth-1,1,1)</f>
        <v>0</v>
      </c>
      <c r="D18" s="505">
        <f ca="1" t="shared" si="4"/>
        <v>0</v>
      </c>
      <c r="E18" s="506">
        <f ca="1" t="shared" si="2"/>
        <v>0</v>
      </c>
      <c r="F18" s="507">
        <f ca="1">OFFSET(分配表!C171,0,mth-1)</f>
        <v>0</v>
      </c>
      <c r="G18" s="496">
        <f ca="1" t="shared" si="5"/>
        <v>0</v>
      </c>
      <c r="H18" s="556"/>
      <c r="I18" s="502" t="s">
        <v>140</v>
      </c>
      <c r="J18" s="503"/>
      <c r="K18" s="505">
        <f ca="1">分配表!O184</f>
        <v>47.8014094240838</v>
      </c>
      <c r="L18" s="505">
        <f ca="1" t="shared" si="6"/>
        <v>0.0871459694989107</v>
      </c>
      <c r="M18" s="506">
        <f ca="1" t="shared" si="3"/>
        <v>4.16570016767615</v>
      </c>
      <c r="N18" s="507">
        <f ca="1">分配表!O171</f>
        <v>3.2</v>
      </c>
      <c r="O18" s="496">
        <f ca="1" t="shared" si="7"/>
        <v>152.964510157068</v>
      </c>
      <c r="P18" s="475"/>
      <c r="Q18" s="475"/>
      <c r="R18" s="475"/>
      <c r="S18" s="475"/>
      <c r="T18" s="459"/>
      <c r="U18" s="459"/>
      <c r="V18" s="459"/>
      <c r="W18" s="459"/>
    </row>
    <row r="19" spans="1:23">
      <c r="A19" s="502" t="s">
        <v>141</v>
      </c>
      <c r="B19" s="503"/>
      <c r="C19" s="504">
        <f ca="1">OFFSET(分配表!C185,0,mth-1,1,1)</f>
        <v>0</v>
      </c>
      <c r="D19" s="505">
        <f ca="1" t="shared" si="4"/>
        <v>0</v>
      </c>
      <c r="E19" s="506">
        <f ca="1" t="shared" si="2"/>
        <v>0</v>
      </c>
      <c r="F19" s="507">
        <f ca="1">OFFSET(分配表!C172,0,mth-1)</f>
        <v>0</v>
      </c>
      <c r="G19" s="496">
        <f ca="1" t="shared" si="5"/>
        <v>0</v>
      </c>
      <c r="H19" s="556"/>
      <c r="I19" s="502" t="s">
        <v>141</v>
      </c>
      <c r="J19" s="503"/>
      <c r="K19" s="505">
        <f ca="1">分配表!O185</f>
        <v>32.1974312123818</v>
      </c>
      <c r="L19" s="505">
        <f ca="1" t="shared" si="6"/>
        <v>0.149782135076253</v>
      </c>
      <c r="M19" s="506">
        <f ca="1" t="shared" si="3"/>
        <v>4.82259999096133</v>
      </c>
      <c r="N19" s="507">
        <f ca="1">分配表!O172</f>
        <v>5.5</v>
      </c>
      <c r="O19" s="496">
        <f ca="1" t="shared" si="7"/>
        <v>177.0858716681</v>
      </c>
      <c r="P19" s="475"/>
      <c r="Q19" s="475"/>
      <c r="R19" s="475"/>
      <c r="S19" s="475"/>
      <c r="T19" s="459"/>
      <c r="U19" s="459"/>
      <c r="V19" s="459"/>
      <c r="W19" s="459"/>
    </row>
    <row r="20" spans="1:23">
      <c r="A20" s="502" t="s">
        <v>142</v>
      </c>
      <c r="B20" s="503"/>
      <c r="C20" s="504">
        <f ca="1">OFFSET(分配表!C186,0,mth-1,1,1)</f>
        <v>0</v>
      </c>
      <c r="D20" s="505">
        <f ca="1" t="shared" si="4"/>
        <v>0</v>
      </c>
      <c r="E20" s="506">
        <f ca="1" t="shared" si="2"/>
        <v>0</v>
      </c>
      <c r="F20" s="507">
        <f ca="1">OFFSET(分配表!C1726,0,mth-1)</f>
        <v>0</v>
      </c>
      <c r="G20" s="496">
        <f ca="1" t="shared" si="5"/>
        <v>0</v>
      </c>
      <c r="H20" s="556"/>
      <c r="I20" s="502" t="s">
        <v>142</v>
      </c>
      <c r="J20" s="503"/>
      <c r="K20" s="505">
        <f ca="1">分配表!O186</f>
        <v>218.577020031909</v>
      </c>
      <c r="L20" s="505">
        <f ca="1" t="shared" si="6"/>
        <v>0.0898692810457516</v>
      </c>
      <c r="M20" s="506">
        <f ca="1" t="shared" si="3"/>
        <v>19.6433596433905</v>
      </c>
      <c r="N20" s="507">
        <f ca="1">分配表!O173</f>
        <v>3.3</v>
      </c>
      <c r="O20" s="496">
        <f ca="1" t="shared" si="7"/>
        <v>721.3041661053</v>
      </c>
      <c r="P20" s="475"/>
      <c r="Q20" s="475"/>
      <c r="R20" s="475"/>
      <c r="S20" s="475"/>
      <c r="T20" s="459"/>
      <c r="U20" s="459"/>
      <c r="V20" s="459"/>
      <c r="W20" s="459"/>
    </row>
    <row r="21" spans="1:23">
      <c r="A21" s="502" t="s">
        <v>150</v>
      </c>
      <c r="B21" s="503"/>
      <c r="C21" s="504">
        <f ca="1">OFFSET(分配表!C187,0,mth-1,1,1)</f>
        <v>0</v>
      </c>
      <c r="D21" s="505">
        <f ca="1" t="shared" si="4"/>
        <v>0</v>
      </c>
      <c r="E21" s="506">
        <f ca="1" t="shared" si="2"/>
        <v>0</v>
      </c>
      <c r="F21" s="507">
        <f ca="1">OFFSET(分配表!C174,0,mth-1)</f>
        <v>0</v>
      </c>
      <c r="G21" s="496">
        <f ca="1" t="shared" si="5"/>
        <v>0</v>
      </c>
      <c r="H21" s="556"/>
      <c r="I21" s="502" t="s">
        <v>150</v>
      </c>
      <c r="J21" s="503"/>
      <c r="K21" s="505">
        <f ca="1">分配表!O187</f>
        <v>0.979474345549738</v>
      </c>
      <c r="L21" s="505">
        <f ca="1" t="shared" si="6"/>
        <v>0.435729847494553</v>
      </c>
      <c r="M21" s="506">
        <f ca="1" t="shared" si="3"/>
        <v>0.426786207211215</v>
      </c>
      <c r="N21" s="507">
        <f ca="1">分配表!O174</f>
        <v>16</v>
      </c>
      <c r="O21" s="496">
        <f ca="1" t="shared" si="7"/>
        <v>15.6715895287958</v>
      </c>
      <c r="P21" s="475"/>
      <c r="Q21" s="475"/>
      <c r="R21" s="475"/>
      <c r="S21" s="475"/>
      <c r="T21" s="459"/>
      <c r="U21" s="459"/>
      <c r="V21" s="459"/>
      <c r="W21" s="459"/>
    </row>
    <row r="22" spans="1:23">
      <c r="A22" s="502" t="s">
        <v>145</v>
      </c>
      <c r="B22" s="503"/>
      <c r="C22" s="504">
        <f ca="1">OFFSET(分配表!C188,0,mth-1,1,1)</f>
        <v>0</v>
      </c>
      <c r="D22" s="505">
        <f ca="1" t="shared" si="4"/>
        <v>0</v>
      </c>
      <c r="E22" s="506">
        <f ca="1" t="shared" si="2"/>
        <v>0</v>
      </c>
      <c r="F22" s="507">
        <f ca="1">OFFSET(分配表!C175,0,mth-1)</f>
        <v>0</v>
      </c>
      <c r="G22" s="496">
        <f ca="1" t="shared" si="5"/>
        <v>0</v>
      </c>
      <c r="H22" s="556"/>
      <c r="I22" s="502" t="s">
        <v>145</v>
      </c>
      <c r="J22" s="503"/>
      <c r="K22" s="505">
        <f ca="1">分配表!O188</f>
        <v>1.85608011869436</v>
      </c>
      <c r="L22" s="505">
        <f ca="1" t="shared" si="6"/>
        <v>0.299564270152505</v>
      </c>
      <c r="M22" s="506">
        <f ca="1" t="shared" si="3"/>
        <v>0.556015286101252</v>
      </c>
      <c r="N22" s="507">
        <f ca="1">分配表!O175</f>
        <v>11</v>
      </c>
      <c r="O22" s="496">
        <f ca="1" t="shared" si="7"/>
        <v>20.416881305638</v>
      </c>
      <c r="P22" s="475"/>
      <c r="Q22" s="475"/>
      <c r="R22" s="475"/>
      <c r="S22" s="475"/>
      <c r="T22" s="459"/>
      <c r="U22" s="459"/>
      <c r="V22" s="459"/>
      <c r="W22" s="459"/>
    </row>
    <row r="23" spans="1:23">
      <c r="A23" s="502" t="s">
        <v>146</v>
      </c>
      <c r="B23" s="503"/>
      <c r="C23" s="504"/>
      <c r="D23" s="505"/>
      <c r="E23" s="507">
        <f ca="1">IF(VALUE($F$3)=0,0,G23/$F$3)</f>
        <v>0</v>
      </c>
      <c r="F23" s="507"/>
      <c r="G23" s="507" t="e">
        <f ca="1">OFFSET(分配表!C205,0,mth-1,1,1)</f>
        <v>#DIV/0!</v>
      </c>
      <c r="H23" s="556"/>
      <c r="I23" s="502" t="s">
        <v>146</v>
      </c>
      <c r="J23" s="503"/>
      <c r="K23" s="505"/>
      <c r="L23" s="497"/>
      <c r="M23" s="506" t="e">
        <f ca="1">IF($N$3=0,0,O23/$N$3)</f>
        <v>#DIV/0!</v>
      </c>
      <c r="N23" s="507"/>
      <c r="O23" s="496" t="e">
        <f ca="1">分配表!O210</f>
        <v>#DIV/0!</v>
      </c>
      <c r="P23" s="475"/>
      <c r="Q23" s="475"/>
      <c r="R23" s="475"/>
      <c r="S23" s="475"/>
      <c r="T23" s="459"/>
      <c r="U23" s="459"/>
      <c r="V23" s="459"/>
      <c r="W23" s="459"/>
    </row>
    <row r="24" spans="1:23">
      <c r="A24" s="502" t="s">
        <v>147</v>
      </c>
      <c r="B24" s="503"/>
      <c r="C24" s="505"/>
      <c r="D24" s="497"/>
      <c r="E24" s="507">
        <f ca="1">IF(VALUE($F$3)=0,0,G24/$F$3)</f>
        <v>0</v>
      </c>
      <c r="F24" s="507"/>
      <c r="G24" s="507" t="e">
        <f ca="1">OFFSET(分配表!C216,0,mth-1,1,1)</f>
        <v>#DIV/0!</v>
      </c>
      <c r="H24" s="459"/>
      <c r="I24" s="502" t="s">
        <v>147</v>
      </c>
      <c r="J24" s="503"/>
      <c r="K24" s="505"/>
      <c r="L24" s="497"/>
      <c r="M24" s="507" t="e">
        <f ca="1">IF($N$3=0,0,O24/$N$3)</f>
        <v>#DIV/0!</v>
      </c>
      <c r="N24" s="507"/>
      <c r="O24" s="507" t="e">
        <f ca="1">分配表!O221</f>
        <v>#DIV/0!</v>
      </c>
      <c r="P24" s="475"/>
      <c r="Q24" s="475"/>
      <c r="R24" s="475"/>
      <c r="S24" s="475"/>
      <c r="T24" s="459"/>
      <c r="U24" s="459"/>
      <c r="V24" s="459"/>
      <c r="W24" s="459"/>
    </row>
    <row r="25" spans="1:23">
      <c r="A25" s="508" t="s">
        <v>93</v>
      </c>
      <c r="B25" s="490"/>
      <c r="C25" s="501"/>
      <c r="D25" s="492"/>
      <c r="E25" s="491"/>
      <c r="F25" s="491"/>
      <c r="G25" s="491"/>
      <c r="H25" s="459"/>
      <c r="I25" s="508" t="s">
        <v>93</v>
      </c>
      <c r="J25" s="490"/>
      <c r="K25" s="501"/>
      <c r="L25" s="492"/>
      <c r="M25" s="491"/>
      <c r="N25" s="491"/>
      <c r="O25" s="491"/>
      <c r="P25" s="475"/>
      <c r="Q25" s="475"/>
      <c r="R25" s="475"/>
      <c r="S25" s="475"/>
      <c r="T25" s="459"/>
      <c r="U25" s="459"/>
      <c r="V25" s="459"/>
      <c r="W25" s="459"/>
    </row>
    <row r="26" spans="1:23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H26" s="459"/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475"/>
      <c r="Q26" s="475"/>
      <c r="R26" s="475"/>
      <c r="S26" s="475"/>
      <c r="T26" s="459"/>
      <c r="U26" s="459"/>
      <c r="V26" s="459"/>
      <c r="W26" s="459"/>
    </row>
    <row r="27" spans="1:23">
      <c r="A27" s="494" t="s">
        <v>95</v>
      </c>
      <c r="B27" s="495" t="s">
        <v>75</v>
      </c>
      <c r="C27" s="504">
        <f ca="1">OFFSET(分配表!C305,0,mth-1,1,1)</f>
        <v>0</v>
      </c>
      <c r="D27" s="497">
        <f ca="1">IF(VALUE($F$3)=0,0,F27/$F$3)</f>
        <v>0</v>
      </c>
      <c r="E27" s="509">
        <f ca="1" t="shared" ref="E27:E30" si="8">C27*D27</f>
        <v>0</v>
      </c>
      <c r="F27" s="509">
        <f ca="1">OFFSET(分配表!C313,0,mth-1,1,1)</f>
        <v>0</v>
      </c>
      <c r="G27" s="509">
        <f ca="1">E27*F$3</f>
        <v>0</v>
      </c>
      <c r="H27" s="459"/>
      <c r="I27" s="494" t="s">
        <v>95</v>
      </c>
      <c r="J27" s="495" t="s">
        <v>75</v>
      </c>
      <c r="K27" s="504">
        <f ca="1">分配表!O305</f>
        <v>374.799025538744</v>
      </c>
      <c r="L27" s="518">
        <f ca="1">IF($N$3=0,0,N27/$N$3)</f>
        <v>0.816993464052288</v>
      </c>
      <c r="M27" s="509">
        <f ca="1" t="shared" ref="M27:M30" si="9">K27*L27</f>
        <v>306.20835419832</v>
      </c>
      <c r="N27" s="496">
        <f ca="1">分配表!O313</f>
        <v>30</v>
      </c>
      <c r="O27" s="509">
        <f ca="1">M27*N$3</f>
        <v>11243.9707661623</v>
      </c>
      <c r="P27" s="475"/>
      <c r="Q27" s="475"/>
      <c r="R27" s="475"/>
      <c r="S27" s="475"/>
      <c r="T27" s="459"/>
      <c r="U27" s="459"/>
      <c r="V27" s="459"/>
      <c r="W27" s="459"/>
    </row>
    <row r="28" spans="1:23">
      <c r="A28" s="494" t="s">
        <v>96</v>
      </c>
      <c r="B28" s="495" t="s">
        <v>97</v>
      </c>
      <c r="C28" s="504">
        <f ca="1">OFFSET(分配表!C324,0,mth-1,1,1)</f>
        <v>0</v>
      </c>
      <c r="D28" s="505">
        <f ca="1">IF(VALUE($F$3)=0,0,F28/$F$3)</f>
        <v>0</v>
      </c>
      <c r="E28" s="509">
        <f ca="1" t="shared" si="8"/>
        <v>0</v>
      </c>
      <c r="F28" s="509" t="e">
        <f ca="1">OFFSET(分配表!C332,0,mth-1,1,1)</f>
        <v>#DIV/0!</v>
      </c>
      <c r="G28" s="509">
        <f ca="1">E28*F$3</f>
        <v>0</v>
      </c>
      <c r="H28" s="459"/>
      <c r="I28" s="494" t="s">
        <v>96</v>
      </c>
      <c r="J28" s="495" t="s">
        <v>97</v>
      </c>
      <c r="K28" s="504">
        <f ca="1">分配表!O324</f>
        <v>0.680636799672716</v>
      </c>
      <c r="L28" s="498" t="e">
        <f ca="1">IF($N$3=0,0,N28/$N$3)</f>
        <v>#DIV/0!</v>
      </c>
      <c r="M28" s="509" t="e">
        <f ca="1" t="shared" si="9"/>
        <v>#DIV/0!</v>
      </c>
      <c r="N28" s="496" t="e">
        <f ca="1">分配表!O332</f>
        <v>#DIV/0!</v>
      </c>
      <c r="O28" s="509" t="e">
        <f ca="1">M28*N$3</f>
        <v>#DIV/0!</v>
      </c>
      <c r="P28" s="475"/>
      <c r="Q28" s="475"/>
      <c r="R28" s="475"/>
      <c r="S28" s="475"/>
      <c r="T28" s="459"/>
      <c r="U28" s="459"/>
      <c r="V28" s="459"/>
      <c r="W28" s="459"/>
    </row>
    <row r="29" spans="1:23">
      <c r="A29" s="494" t="s">
        <v>98</v>
      </c>
      <c r="B29" s="495" t="s">
        <v>75</v>
      </c>
      <c r="C29" s="504">
        <f ca="1">OFFSET(分配表!C343,0,mth-1,1,1)</f>
        <v>0</v>
      </c>
      <c r="D29" s="505">
        <f ca="1">IF(VALUE($F$3)=0,0,F29/$F$3)</f>
        <v>0</v>
      </c>
      <c r="E29" s="509">
        <f ca="1" t="shared" si="8"/>
        <v>0</v>
      </c>
      <c r="F29" s="509" t="e">
        <f ca="1">OFFSET(分配表!C350,0,mth-1,1,1)</f>
        <v>#DIV/0!</v>
      </c>
      <c r="G29" s="509">
        <f ca="1">E29*F$3</f>
        <v>0</v>
      </c>
      <c r="H29" s="459"/>
      <c r="I29" s="494" t="s">
        <v>98</v>
      </c>
      <c r="J29" s="495" t="s">
        <v>75</v>
      </c>
      <c r="K29" s="504">
        <f ca="1">分配表!O343</f>
        <v>5.8950402489434</v>
      </c>
      <c r="L29" s="498" t="e">
        <f ca="1">IF($N$3=0,0,N29/$N$3)</f>
        <v>#DIV/0!</v>
      </c>
      <c r="M29" s="509" t="e">
        <f ca="1" t="shared" si="9"/>
        <v>#DIV/0!</v>
      </c>
      <c r="N29" s="496" t="e">
        <f ca="1">分配表!O350</f>
        <v>#DIV/0!</v>
      </c>
      <c r="O29" s="509" t="e">
        <f ca="1">M29*N$3</f>
        <v>#DIV/0!</v>
      </c>
      <c r="P29" s="475"/>
      <c r="Q29" s="475"/>
      <c r="R29" s="475"/>
      <c r="S29" s="475"/>
      <c r="T29" s="459"/>
      <c r="U29" s="459"/>
      <c r="V29" s="459"/>
      <c r="W29" s="459"/>
    </row>
    <row r="30" spans="1:23">
      <c r="A30" s="494" t="s">
        <v>99</v>
      </c>
      <c r="B30" s="495" t="s">
        <v>75</v>
      </c>
      <c r="C30" s="504">
        <f ca="1">OFFSET(分配表!C360,0,mth-1,1,1)</f>
        <v>0</v>
      </c>
      <c r="D30" s="505">
        <f ca="1">IF(VALUE($F$3)=0,0,F30/$F$3)</f>
        <v>0</v>
      </c>
      <c r="E30" s="509">
        <f ca="1" t="shared" si="8"/>
        <v>0</v>
      </c>
      <c r="F30" s="509">
        <f ca="1">OFFSET(分配表!C366,0,mth-1,1,1)</f>
        <v>0</v>
      </c>
      <c r="G30" s="509">
        <f ca="1">E30*F$3</f>
        <v>0</v>
      </c>
      <c r="H30" s="459"/>
      <c r="I30" s="494" t="s">
        <v>99</v>
      </c>
      <c r="J30" s="495" t="s">
        <v>75</v>
      </c>
      <c r="K30" s="504">
        <f>分配表!O360</f>
        <v>0</v>
      </c>
      <c r="L30" s="498">
        <f ca="1">IF($N$3=0,0,N30/$N$3)</f>
        <v>0</v>
      </c>
      <c r="M30" s="509">
        <f ca="1" t="shared" si="9"/>
        <v>0</v>
      </c>
      <c r="N30" s="496">
        <f>分配表!O366</f>
        <v>0</v>
      </c>
      <c r="O30" s="509">
        <f ca="1">M30*N$3</f>
        <v>0</v>
      </c>
      <c r="P30" s="475"/>
      <c r="Q30" s="475"/>
      <c r="R30" s="475"/>
      <c r="S30" s="475"/>
      <c r="T30" s="459"/>
      <c r="U30" s="459"/>
      <c r="V30" s="459"/>
      <c r="W30" s="459"/>
    </row>
    <row r="31" spans="1:23">
      <c r="A31" s="508" t="s">
        <v>101</v>
      </c>
      <c r="B31" s="490"/>
      <c r="C31" s="501"/>
      <c r="D31" s="492"/>
      <c r="E31" s="501">
        <f ca="1">IF(VALUE($F$3)=0,0,G31/$F$3)</f>
        <v>0</v>
      </c>
      <c r="F31" s="501"/>
      <c r="G31" s="501" t="e">
        <f ca="1">OFFSET(分配表!C378,0,mth-1,1,1)</f>
        <v>#DIV/0!</v>
      </c>
      <c r="H31" s="459"/>
      <c r="I31" s="508" t="s">
        <v>101</v>
      </c>
      <c r="J31" s="490"/>
      <c r="K31" s="501"/>
      <c r="L31" s="492"/>
      <c r="M31" s="501" t="e">
        <f ca="1">IF($N$3=0,,O31/$N$3)</f>
        <v>#DIV/0!</v>
      </c>
      <c r="N31" s="501"/>
      <c r="O31" s="501" t="e">
        <f ca="1">分配表!O378</f>
        <v>#DIV/0!</v>
      </c>
      <c r="P31" s="475"/>
      <c r="Q31" s="475"/>
      <c r="R31" s="475"/>
      <c r="S31" s="475"/>
      <c r="T31" s="459"/>
      <c r="U31" s="459"/>
      <c r="V31" s="459"/>
      <c r="W31" s="459"/>
    </row>
    <row r="32" spans="1:23">
      <c r="A32" s="541" t="s">
        <v>102</v>
      </c>
      <c r="B32" s="490"/>
      <c r="C32" s="501"/>
      <c r="D32" s="492"/>
      <c r="E32" s="501">
        <f ca="1">E31</f>
        <v>0</v>
      </c>
      <c r="F32" s="501"/>
      <c r="G32" s="501" t="e">
        <f ca="1">G31</f>
        <v>#DIV/0!</v>
      </c>
      <c r="H32" s="483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P32" s="475"/>
      <c r="Q32" s="475"/>
      <c r="R32" s="475"/>
      <c r="S32" s="475"/>
      <c r="T32" s="459"/>
      <c r="U32" s="459"/>
      <c r="V32" s="459"/>
      <c r="W32" s="459"/>
    </row>
    <row r="33" spans="1:23">
      <c r="A33" s="541" t="s">
        <v>103</v>
      </c>
      <c r="B33" s="490"/>
      <c r="C33" s="501"/>
      <c r="D33" s="492"/>
      <c r="E33" s="501"/>
      <c r="F33" s="491"/>
      <c r="G33" s="491"/>
      <c r="H33" s="483"/>
      <c r="I33" s="508" t="s">
        <v>103</v>
      </c>
      <c r="J33" s="490"/>
      <c r="K33" s="501"/>
      <c r="L33" s="492"/>
      <c r="M33" s="501"/>
      <c r="N33" s="491"/>
      <c r="O33" s="491"/>
      <c r="P33" s="475"/>
      <c r="Q33" s="475"/>
      <c r="R33" s="475"/>
      <c r="S33" s="475"/>
      <c r="T33" s="459"/>
      <c r="U33" s="459"/>
      <c r="V33" s="459"/>
      <c r="W33" s="459"/>
    </row>
    <row r="34" spans="1:23">
      <c r="A34" s="508" t="s">
        <v>104</v>
      </c>
      <c r="B34" s="490"/>
      <c r="C34" s="501"/>
      <c r="D34" s="492"/>
      <c r="E34" s="501"/>
      <c r="F34" s="491"/>
      <c r="G34" s="491"/>
      <c r="H34" s="459"/>
      <c r="I34" s="508" t="s">
        <v>104</v>
      </c>
      <c r="J34" s="490"/>
      <c r="K34" s="501"/>
      <c r="L34" s="492"/>
      <c r="M34" s="501"/>
      <c r="N34" s="491"/>
      <c r="O34" s="491"/>
      <c r="P34" s="475"/>
      <c r="Q34" s="475"/>
      <c r="R34" s="475"/>
      <c r="S34" s="475"/>
      <c r="T34" s="459"/>
      <c r="U34" s="459"/>
      <c r="V34" s="459"/>
      <c r="W34" s="459"/>
    </row>
    <row r="35" spans="1:23">
      <c r="A35" s="508" t="s">
        <v>105</v>
      </c>
      <c r="B35" s="490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1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475"/>
      <c r="Q35" s="475"/>
      <c r="R35" s="475"/>
      <c r="S35" s="475"/>
      <c r="T35" s="459"/>
      <c r="U35" s="459"/>
      <c r="V35" s="459"/>
      <c r="W35" s="459"/>
    </row>
    <row r="36" spans="1:23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H36" s="459"/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475"/>
      <c r="Q36" s="475"/>
      <c r="R36" s="475"/>
      <c r="S36" s="475"/>
      <c r="T36" s="459"/>
      <c r="U36" s="459"/>
      <c r="V36" s="459"/>
      <c r="W36" s="459"/>
    </row>
    <row r="37" spans="1:23">
      <c r="A37" s="516" t="s">
        <v>107</v>
      </c>
      <c r="B37" s="503"/>
      <c r="C37" s="505"/>
      <c r="D37" s="497"/>
      <c r="E37" s="507">
        <f ca="1" t="shared" ref="E37:E50" si="10">IF(VALUE($F$3)=0,0,G37/$F$3)</f>
        <v>0</v>
      </c>
      <c r="F37" s="517"/>
      <c r="G37" s="509" t="e">
        <f ca="1">OFFSET(分配表!C411,0,mth-1,1,1)</f>
        <v>#DIV/0!</v>
      </c>
      <c r="H37" s="483"/>
      <c r="I37" s="516" t="s">
        <v>107</v>
      </c>
      <c r="J37" s="503"/>
      <c r="K37" s="505"/>
      <c r="L37" s="497"/>
      <c r="M37" s="496" t="e">
        <f ca="1" t="shared" ref="M37:M50" si="11">IF($N$3=0,0,O37/$N$3)</f>
        <v>#DIV/0!</v>
      </c>
      <c r="N37" s="517"/>
      <c r="O37" s="509" t="e">
        <f ca="1">分配表!O411</f>
        <v>#DIV/0!</v>
      </c>
      <c r="P37" s="475"/>
      <c r="Q37" s="475"/>
      <c r="R37" s="475"/>
      <c r="S37" s="475"/>
      <c r="T37" s="459"/>
      <c r="U37" s="459"/>
      <c r="V37" s="459"/>
      <c r="W37" s="459"/>
    </row>
    <row r="38" spans="1:23">
      <c r="A38" s="516" t="s">
        <v>108</v>
      </c>
      <c r="B38" s="503"/>
      <c r="C38" s="505"/>
      <c r="D38" s="497"/>
      <c r="E38" s="507">
        <f ca="1" t="shared" si="10"/>
        <v>0</v>
      </c>
      <c r="F38" s="517"/>
      <c r="G38" s="509" t="e">
        <f ca="1">OFFSET(分配表!C431,0,mth-1,1,1)</f>
        <v>#DIV/0!</v>
      </c>
      <c r="H38" s="483"/>
      <c r="I38" s="516" t="s">
        <v>108</v>
      </c>
      <c r="J38" s="503"/>
      <c r="K38" s="505"/>
      <c r="L38" s="497"/>
      <c r="M38" s="496" t="e">
        <f ca="1" t="shared" si="11"/>
        <v>#DIV/0!</v>
      </c>
      <c r="N38" s="517"/>
      <c r="O38" s="509" t="e">
        <f ca="1">分配表!O431</f>
        <v>#DIV/0!</v>
      </c>
      <c r="P38" s="475"/>
      <c r="Q38" s="475"/>
      <c r="R38" s="475"/>
      <c r="S38" s="475"/>
      <c r="T38" s="459"/>
      <c r="U38" s="459"/>
      <c r="V38" s="459"/>
      <c r="W38" s="459"/>
    </row>
    <row r="39" spans="1:23">
      <c r="A39" s="516" t="s">
        <v>109</v>
      </c>
      <c r="B39" s="503"/>
      <c r="C39" s="498"/>
      <c r="D39" s="518"/>
      <c r="E39" s="507">
        <f ca="1" t="shared" si="10"/>
        <v>0</v>
      </c>
      <c r="F39" s="517"/>
      <c r="G39" s="509" t="e">
        <f ca="1">OFFSET(分配表!C451,0,mth-1,1,1)</f>
        <v>#DIV/0!</v>
      </c>
      <c r="H39" s="483"/>
      <c r="I39" s="516" t="s">
        <v>109</v>
      </c>
      <c r="J39" s="503"/>
      <c r="K39" s="498"/>
      <c r="L39" s="518"/>
      <c r="M39" s="496" t="e">
        <f ca="1" t="shared" si="11"/>
        <v>#DIV/0!</v>
      </c>
      <c r="N39" s="517"/>
      <c r="O39" s="509" t="e">
        <f ca="1">分配表!O451</f>
        <v>#DIV/0!</v>
      </c>
      <c r="P39" s="475"/>
      <c r="Q39" s="475"/>
      <c r="R39" s="475"/>
      <c r="S39" s="475"/>
      <c r="T39" s="459"/>
      <c r="U39" s="459"/>
      <c r="V39" s="459"/>
      <c r="W39" s="459"/>
    </row>
    <row r="40" spans="1:23">
      <c r="A40" s="516" t="s">
        <v>110</v>
      </c>
      <c r="B40" s="503"/>
      <c r="C40" s="498"/>
      <c r="D40" s="518"/>
      <c r="E40" s="507">
        <f ca="1" t="shared" si="10"/>
        <v>0</v>
      </c>
      <c r="F40" s="517"/>
      <c r="G40" s="509" t="e">
        <f ca="1">OFFSET(分配表!C471,0,mth-1,1,1)</f>
        <v>#DIV/0!</v>
      </c>
      <c r="H40" s="483"/>
      <c r="I40" s="516" t="s">
        <v>110</v>
      </c>
      <c r="J40" s="503"/>
      <c r="K40" s="498"/>
      <c r="L40" s="518"/>
      <c r="M40" s="496" t="e">
        <f ca="1" t="shared" si="11"/>
        <v>#DIV/0!</v>
      </c>
      <c r="N40" s="517"/>
      <c r="O40" s="509" t="e">
        <f ca="1">分配表!O471</f>
        <v>#DIV/0!</v>
      </c>
      <c r="P40" s="475"/>
      <c r="Q40" s="475"/>
      <c r="R40" s="475"/>
      <c r="S40" s="475"/>
      <c r="T40" s="459"/>
      <c r="U40" s="459"/>
      <c r="V40" s="459"/>
      <c r="W40" s="459"/>
    </row>
    <row r="41" spans="1:23">
      <c r="A41" s="516" t="s">
        <v>111</v>
      </c>
      <c r="B41" s="503"/>
      <c r="C41" s="498"/>
      <c r="D41" s="518"/>
      <c r="E41" s="507">
        <f ca="1" t="shared" si="10"/>
        <v>0</v>
      </c>
      <c r="F41" s="517"/>
      <c r="G41" s="509" t="e">
        <f ca="1">OFFSET(分配表!C491,0,mth-1,1,1)</f>
        <v>#DIV/0!</v>
      </c>
      <c r="H41" s="483"/>
      <c r="I41" s="516" t="s">
        <v>111</v>
      </c>
      <c r="J41" s="503"/>
      <c r="K41" s="498"/>
      <c r="L41" s="518"/>
      <c r="M41" s="496" t="e">
        <f ca="1" t="shared" si="11"/>
        <v>#DIV/0!</v>
      </c>
      <c r="N41" s="517"/>
      <c r="O41" s="509" t="e">
        <f ca="1">分配表!O491</f>
        <v>#DIV/0!</v>
      </c>
      <c r="P41" s="475"/>
      <c r="Q41" s="475"/>
      <c r="R41" s="475"/>
      <c r="S41" s="475"/>
      <c r="T41" s="459"/>
      <c r="U41" s="459"/>
      <c r="V41" s="459"/>
      <c r="W41" s="459"/>
    </row>
    <row r="42" spans="1:23">
      <c r="A42" s="516" t="s">
        <v>112</v>
      </c>
      <c r="B42" s="503"/>
      <c r="C42" s="498"/>
      <c r="D42" s="518"/>
      <c r="E42" s="507">
        <f ca="1" t="shared" si="10"/>
        <v>0</v>
      </c>
      <c r="F42" s="517"/>
      <c r="G42" s="509" t="e">
        <f ca="1">OFFSET(分配表!C507,0,mth-1,1,1)</f>
        <v>#DIV/0!</v>
      </c>
      <c r="H42" s="483"/>
      <c r="I42" s="516" t="s">
        <v>112</v>
      </c>
      <c r="J42" s="503"/>
      <c r="K42" s="498"/>
      <c r="L42" s="518"/>
      <c r="M42" s="496" t="e">
        <f ca="1" t="shared" si="11"/>
        <v>#DIV/0!</v>
      </c>
      <c r="N42" s="517"/>
      <c r="O42" s="509" t="e">
        <f ca="1">分配表!O507</f>
        <v>#DIV/0!</v>
      </c>
      <c r="P42" s="475"/>
      <c r="Q42" s="475"/>
      <c r="R42" s="475"/>
      <c r="S42" s="475"/>
      <c r="T42" s="459"/>
      <c r="U42" s="459"/>
      <c r="V42" s="459"/>
      <c r="W42" s="459"/>
    </row>
    <row r="43" spans="1:23">
      <c r="A43" s="516" t="s">
        <v>113</v>
      </c>
      <c r="B43" s="503"/>
      <c r="C43" s="498"/>
      <c r="D43" s="518"/>
      <c r="E43" s="507">
        <f ca="1" t="shared" si="10"/>
        <v>0</v>
      </c>
      <c r="F43" s="517"/>
      <c r="G43" s="509" t="e">
        <f ca="1">OFFSET(分配表!C529,0,mth-1,1,1)</f>
        <v>#DIV/0!</v>
      </c>
      <c r="H43" s="459"/>
      <c r="I43" s="516" t="s">
        <v>114</v>
      </c>
      <c r="J43" s="503"/>
      <c r="K43" s="498"/>
      <c r="L43" s="518"/>
      <c r="M43" s="496" t="e">
        <f ca="1" t="shared" si="11"/>
        <v>#DIV/0!</v>
      </c>
      <c r="N43" s="517"/>
      <c r="O43" s="509" t="e">
        <f ca="1">分配表!O529</f>
        <v>#DIV/0!</v>
      </c>
      <c r="P43" s="475"/>
      <c r="Q43" s="475"/>
      <c r="R43" s="475"/>
      <c r="S43" s="475"/>
      <c r="T43" s="459"/>
      <c r="U43" s="459"/>
      <c r="V43" s="459"/>
      <c r="W43" s="459"/>
    </row>
    <row r="44" spans="1:23">
      <c r="A44" s="516" t="s">
        <v>115</v>
      </c>
      <c r="B44" s="503"/>
      <c r="C44" s="498"/>
      <c r="D44" s="518"/>
      <c r="E44" s="507">
        <f ca="1" t="shared" si="10"/>
        <v>0</v>
      </c>
      <c r="F44" s="517"/>
      <c r="G44" s="575" t="e">
        <f ca="1">OFFSET(分配表!C541,0,mth-1,1,1)</f>
        <v>#DIV/0!</v>
      </c>
      <c r="H44" s="459"/>
      <c r="I44" s="516" t="s">
        <v>115</v>
      </c>
      <c r="J44" s="503"/>
      <c r="K44" s="498"/>
      <c r="L44" s="518"/>
      <c r="M44" s="496" t="e">
        <f ca="1" t="shared" si="11"/>
        <v>#DIV/0!</v>
      </c>
      <c r="N44" s="517"/>
      <c r="O44" s="509" t="e">
        <f ca="1">分配表!O541</f>
        <v>#DIV/0!</v>
      </c>
      <c r="P44" s="475"/>
      <c r="Q44" s="475"/>
      <c r="R44" s="475"/>
      <c r="S44" s="475"/>
      <c r="T44" s="459"/>
      <c r="U44" s="459"/>
      <c r="V44" s="459"/>
      <c r="W44" s="459"/>
    </row>
    <row r="45" spans="1:23">
      <c r="A45" s="516" t="s">
        <v>116</v>
      </c>
      <c r="B45" s="503"/>
      <c r="C45" s="498"/>
      <c r="D45" s="518"/>
      <c r="E45" s="507">
        <f ca="1" t="shared" si="10"/>
        <v>0</v>
      </c>
      <c r="F45" s="517"/>
      <c r="G45" s="575" t="e">
        <f ca="1">OFFSET(分配表!C553,0,mth-1,1,1)</f>
        <v>#DIV/0!</v>
      </c>
      <c r="H45" s="459"/>
      <c r="I45" s="516" t="s">
        <v>116</v>
      </c>
      <c r="J45" s="503"/>
      <c r="K45" s="498"/>
      <c r="L45" s="518"/>
      <c r="M45" s="496" t="e">
        <f ca="1" t="shared" si="11"/>
        <v>#DIV/0!</v>
      </c>
      <c r="N45" s="517"/>
      <c r="O45" s="509" t="e">
        <f ca="1">分配表!O553</f>
        <v>#DIV/0!</v>
      </c>
      <c r="P45" s="475"/>
      <c r="Q45" s="475"/>
      <c r="R45" s="475"/>
      <c r="S45" s="475"/>
      <c r="T45" s="459"/>
      <c r="U45" s="459"/>
      <c r="V45" s="459"/>
      <c r="W45" s="459"/>
    </row>
    <row r="46" spans="1:23">
      <c r="A46" s="516" t="s">
        <v>117</v>
      </c>
      <c r="B46" s="503"/>
      <c r="C46" s="498"/>
      <c r="D46" s="518"/>
      <c r="E46" s="507">
        <f ca="1" t="shared" si="10"/>
        <v>0</v>
      </c>
      <c r="F46" s="517"/>
      <c r="G46" s="575" t="e">
        <f ca="1">OFFSET(分配表!C601,0,mth-1,1,1)</f>
        <v>#DIV/0!</v>
      </c>
      <c r="H46" s="459"/>
      <c r="I46" s="516" t="s">
        <v>117</v>
      </c>
      <c r="J46" s="503"/>
      <c r="K46" s="498"/>
      <c r="L46" s="518"/>
      <c r="M46" s="496" t="e">
        <f ca="1" t="shared" si="11"/>
        <v>#DIV/0!</v>
      </c>
      <c r="N46" s="517"/>
      <c r="O46" s="509" t="e">
        <f ca="1">分配表!O601</f>
        <v>#DIV/0!</v>
      </c>
      <c r="P46" s="475"/>
      <c r="Q46" s="475"/>
      <c r="R46" s="475"/>
      <c r="S46" s="475"/>
      <c r="T46" s="459"/>
      <c r="U46" s="459"/>
      <c r="V46" s="459"/>
      <c r="W46" s="459"/>
    </row>
    <row r="47" spans="1:23">
      <c r="A47" s="516" t="s">
        <v>118</v>
      </c>
      <c r="B47" s="503"/>
      <c r="C47" s="498"/>
      <c r="D47" s="518"/>
      <c r="E47" s="507">
        <f ca="1" t="shared" si="10"/>
        <v>0</v>
      </c>
      <c r="F47" s="517"/>
      <c r="G47" s="575" t="e">
        <f ca="1">OFFSET(分配表!C565,0,mth-1,1,1)</f>
        <v>#DIV/0!</v>
      </c>
      <c r="H47" s="459"/>
      <c r="I47" s="516" t="s">
        <v>118</v>
      </c>
      <c r="J47" s="503"/>
      <c r="K47" s="498"/>
      <c r="L47" s="518"/>
      <c r="M47" s="496" t="e">
        <f ca="1" t="shared" si="11"/>
        <v>#DIV/0!</v>
      </c>
      <c r="N47" s="517"/>
      <c r="O47" s="509" t="e">
        <f ca="1">分配表!O565</f>
        <v>#DIV/0!</v>
      </c>
      <c r="P47" s="475"/>
      <c r="Q47" s="475"/>
      <c r="R47" s="475"/>
      <c r="S47" s="475"/>
      <c r="T47" s="459"/>
      <c r="U47" s="459"/>
      <c r="V47" s="459"/>
      <c r="W47" s="459"/>
    </row>
    <row r="48" spans="1:23">
      <c r="A48" s="516" t="s">
        <v>119</v>
      </c>
      <c r="B48" s="503"/>
      <c r="C48" s="498"/>
      <c r="D48" s="518"/>
      <c r="E48" s="507">
        <f ca="1" t="shared" si="10"/>
        <v>0</v>
      </c>
      <c r="F48" s="517"/>
      <c r="G48" s="575" t="e">
        <f ca="1">OFFSET(分配表!C577,0,mth-1,1,1)</f>
        <v>#DIV/0!</v>
      </c>
      <c r="H48" s="459"/>
      <c r="I48" s="516" t="s">
        <v>119</v>
      </c>
      <c r="J48" s="503"/>
      <c r="K48" s="498"/>
      <c r="L48" s="518"/>
      <c r="M48" s="496" t="e">
        <f ca="1" t="shared" si="11"/>
        <v>#DIV/0!</v>
      </c>
      <c r="N48" s="517"/>
      <c r="O48" s="509" t="e">
        <f ca="1">分配表!O577</f>
        <v>#DIV/0!</v>
      </c>
      <c r="P48" s="475"/>
      <c r="Q48" s="475"/>
      <c r="R48" s="475"/>
      <c r="S48" s="475"/>
      <c r="T48" s="459"/>
      <c r="U48" s="459"/>
      <c r="V48" s="459"/>
      <c r="W48" s="459"/>
    </row>
    <row r="49" spans="1:23">
      <c r="A49" s="516" t="s">
        <v>120</v>
      </c>
      <c r="B49" s="503"/>
      <c r="C49" s="498"/>
      <c r="D49" s="518"/>
      <c r="E49" s="507">
        <f ca="1" t="shared" si="10"/>
        <v>0</v>
      </c>
      <c r="F49" s="517"/>
      <c r="G49" s="575" t="e">
        <f ca="1">OFFSET(分配表!C589,0,mth-1,1,1)</f>
        <v>#DIV/0!</v>
      </c>
      <c r="H49" s="459"/>
      <c r="I49" s="516" t="s">
        <v>120</v>
      </c>
      <c r="J49" s="503"/>
      <c r="K49" s="498"/>
      <c r="L49" s="518"/>
      <c r="M49" s="496" t="e">
        <f ca="1" t="shared" si="11"/>
        <v>#DIV/0!</v>
      </c>
      <c r="N49" s="517"/>
      <c r="O49" s="509" t="e">
        <f ca="1">分配表!O589</f>
        <v>#DIV/0!</v>
      </c>
      <c r="P49" s="475"/>
      <c r="Q49" s="475"/>
      <c r="R49" s="475"/>
      <c r="S49" s="475"/>
      <c r="T49" s="459"/>
      <c r="U49" s="459"/>
      <c r="V49" s="459"/>
      <c r="W49" s="459"/>
    </row>
    <row r="50" spans="1:23">
      <c r="A50" s="516" t="s">
        <v>121</v>
      </c>
      <c r="B50" s="503"/>
      <c r="C50" s="498"/>
      <c r="D50" s="518"/>
      <c r="E50" s="507">
        <f ca="1" t="shared" si="10"/>
        <v>0</v>
      </c>
      <c r="F50" s="517"/>
      <c r="G50" s="575" t="e">
        <f ca="1">OFFSET(分配表!C613,0,mth-1,1,1)</f>
        <v>#DIV/0!</v>
      </c>
      <c r="H50" s="459"/>
      <c r="I50" s="516" t="s">
        <v>121</v>
      </c>
      <c r="J50" s="503"/>
      <c r="K50" s="498"/>
      <c r="L50" s="518"/>
      <c r="M50" s="496" t="e">
        <f ca="1" t="shared" si="11"/>
        <v>#DIV/0!</v>
      </c>
      <c r="N50" s="517"/>
      <c r="O50" s="509" t="e">
        <f ca="1">分配表!O613</f>
        <v>#DIV/0!</v>
      </c>
      <c r="P50" s="475"/>
      <c r="Q50" s="475"/>
      <c r="R50" s="475"/>
      <c r="S50" s="475"/>
      <c r="T50" s="459"/>
      <c r="U50" s="459"/>
      <c r="V50" s="459"/>
      <c r="W50" s="459"/>
    </row>
    <row r="51" spans="1:23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475"/>
      <c r="Q51" s="475"/>
      <c r="R51" s="475"/>
      <c r="S51" s="475"/>
      <c r="T51" s="459"/>
      <c r="U51" s="459"/>
      <c r="V51" s="459"/>
      <c r="W51" s="459"/>
    </row>
    <row r="52" spans="1:23">
      <c r="A52" s="524" t="s">
        <v>124</v>
      </c>
      <c r="B52" s="525"/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460"/>
      <c r="Q52" s="460"/>
      <c r="R52" s="460"/>
      <c r="S52" s="460"/>
      <c r="T52" s="460"/>
      <c r="U52" s="460"/>
      <c r="V52" s="460"/>
      <c r="W52" s="460"/>
    </row>
    <row r="53" ht="16.5" spans="1:23">
      <c r="A53" s="524" t="s">
        <v>125</v>
      </c>
      <c r="B53" s="525"/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  <c r="P53" s="475"/>
      <c r="Q53" s="475"/>
      <c r="R53" s="475"/>
      <c r="S53" s="475"/>
      <c r="T53" s="459"/>
      <c r="U53" s="459"/>
      <c r="V53" s="459"/>
      <c r="W53" s="459"/>
    </row>
    <row r="54" ht="16.5" spans="1:23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  <c r="P54" s="475"/>
      <c r="Q54" s="475"/>
      <c r="R54" s="475"/>
      <c r="S54" s="475"/>
      <c r="T54" s="540"/>
      <c r="U54" s="540"/>
      <c r="V54" s="540"/>
      <c r="W54" s="540"/>
    </row>
    <row r="55" spans="1:23">
      <c r="A55" s="516" t="s">
        <v>127</v>
      </c>
      <c r="B55" s="503"/>
      <c r="C55" s="516"/>
      <c r="D55" s="516"/>
      <c r="E55" s="507">
        <f ca="1">IF(VALUE($F$3)=0,0,G55/$F$3)</f>
        <v>0</v>
      </c>
      <c r="F55" s="517"/>
      <c r="G55" s="509" t="e">
        <f ca="1">OFFSET(分配表!C626,0,mth-1,1,1)</f>
        <v>#DIV/0!</v>
      </c>
      <c r="H55" s="459"/>
      <c r="I55" s="502" t="s">
        <v>127</v>
      </c>
      <c r="J55" s="516"/>
      <c r="K55" s="516"/>
      <c r="L55" s="516"/>
      <c r="M55" s="507" t="e">
        <f ca="1">IF($N$3=0,0,O55/$N$3)</f>
        <v>#DIV/0!</v>
      </c>
      <c r="N55" s="517"/>
      <c r="O55" s="509" t="e">
        <f ca="1">分配表!O626</f>
        <v>#DIV/0!</v>
      </c>
      <c r="P55" s="459"/>
      <c r="Q55" s="459"/>
      <c r="R55" s="459"/>
      <c r="S55" s="459"/>
      <c r="T55" s="459"/>
      <c r="U55" s="459"/>
      <c r="V55" s="459"/>
      <c r="W55" s="459"/>
    </row>
    <row r="56" spans="1:23">
      <c r="A56" s="459"/>
      <c r="B56" s="538"/>
      <c r="C56" s="538"/>
      <c r="D56" s="538"/>
      <c r="E56" s="557"/>
      <c r="F56" s="557"/>
      <c r="G56" s="557"/>
      <c r="H56" s="558"/>
      <c r="I56" s="558"/>
      <c r="J56" s="558"/>
      <c r="K56" s="559"/>
      <c r="L56" s="559"/>
      <c r="M56" s="559"/>
      <c r="N56" s="559"/>
      <c r="O56" s="559"/>
      <c r="P56" s="459"/>
      <c r="Q56" s="459"/>
      <c r="R56" s="459"/>
      <c r="S56" s="459"/>
      <c r="T56" s="459"/>
      <c r="U56" s="459"/>
      <c r="V56" s="459"/>
      <c r="W56" s="459"/>
    </row>
    <row r="57" spans="1:23">
      <c r="A57" s="459"/>
      <c r="B57" s="538"/>
      <c r="C57" s="459"/>
      <c r="D57" s="459"/>
      <c r="E57" s="538"/>
      <c r="F57" s="459"/>
      <c r="G57" s="459"/>
      <c r="H57" s="538"/>
      <c r="I57" s="459"/>
      <c r="J57" s="459"/>
      <c r="K57" s="459"/>
      <c r="L57" s="459"/>
      <c r="M57" s="459"/>
      <c r="N57" s="459"/>
      <c r="O57" s="459"/>
      <c r="P57" s="459"/>
      <c r="Q57" s="459"/>
      <c r="R57" s="459"/>
      <c r="S57" s="459"/>
      <c r="T57" s="459"/>
      <c r="U57" s="459"/>
      <c r="V57" s="459"/>
      <c r="W57" s="459"/>
    </row>
    <row r="58" spans="1:23">
      <c r="A58" s="459"/>
      <c r="B58" s="560"/>
      <c r="C58" s="561"/>
      <c r="D58" s="562"/>
      <c r="E58" s="459"/>
      <c r="F58" s="459"/>
      <c r="G58" s="459"/>
      <c r="H58" s="563"/>
      <c r="I58" s="563"/>
      <c r="J58" s="563"/>
      <c r="K58" s="459"/>
      <c r="L58" s="459"/>
      <c r="M58" s="459"/>
      <c r="N58" s="459"/>
      <c r="O58" s="459"/>
      <c r="P58" s="459"/>
      <c r="Q58" s="459"/>
      <c r="R58" s="459"/>
      <c r="S58" s="459"/>
      <c r="T58" s="459"/>
      <c r="U58" s="459"/>
      <c r="V58" s="459"/>
      <c r="W58" s="459"/>
    </row>
    <row r="59" spans="1:23">
      <c r="A59" s="459"/>
      <c r="B59" s="562"/>
      <c r="C59" s="561"/>
      <c r="D59" s="562"/>
      <c r="E59" s="459"/>
      <c r="F59" s="459"/>
      <c r="G59" s="459"/>
      <c r="H59" s="563"/>
      <c r="I59" s="563"/>
      <c r="J59" s="563"/>
      <c r="K59" s="459"/>
      <c r="L59" s="459"/>
      <c r="M59" s="459"/>
      <c r="N59" s="459"/>
      <c r="O59" s="459"/>
      <c r="P59" s="459"/>
      <c r="Q59" s="459"/>
      <c r="R59" s="459"/>
      <c r="S59" s="459"/>
      <c r="T59" s="459"/>
      <c r="U59" s="459"/>
      <c r="V59" s="459"/>
      <c r="W59" s="459"/>
    </row>
    <row r="60" spans="1:23">
      <c r="A60" s="459"/>
      <c r="B60" s="562"/>
      <c r="C60" s="561"/>
      <c r="D60" s="562"/>
      <c r="E60" s="459"/>
      <c r="F60" s="459"/>
      <c r="G60" s="459"/>
      <c r="H60" s="563"/>
      <c r="I60" s="563"/>
      <c r="J60" s="563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</row>
    <row r="61" spans="1:23">
      <c r="A61" s="459"/>
      <c r="B61" s="562"/>
      <c r="C61" s="561"/>
      <c r="D61" s="562"/>
      <c r="E61" s="459"/>
      <c r="F61" s="459"/>
      <c r="G61" s="459"/>
      <c r="H61" s="563"/>
      <c r="I61" s="563"/>
      <c r="J61" s="563"/>
      <c r="K61" s="459"/>
      <c r="L61" s="459"/>
      <c r="M61" s="459"/>
      <c r="N61" s="459"/>
      <c r="O61" s="459"/>
      <c r="P61" s="459"/>
      <c r="Q61" s="459"/>
      <c r="R61" s="459"/>
      <c r="S61" s="459"/>
      <c r="T61" s="459"/>
      <c r="U61" s="459"/>
      <c r="V61" s="459"/>
      <c r="W61" s="459"/>
    </row>
    <row r="62" spans="1:23">
      <c r="A62" s="459"/>
      <c r="B62" s="562"/>
      <c r="C62" s="561"/>
      <c r="D62" s="562"/>
      <c r="E62" s="459"/>
      <c r="F62" s="459"/>
      <c r="G62" s="459"/>
      <c r="H62" s="563"/>
      <c r="I62" s="563"/>
      <c r="J62" s="563"/>
      <c r="K62" s="459"/>
      <c r="L62" s="459"/>
      <c r="M62" s="459"/>
      <c r="N62" s="459"/>
      <c r="O62" s="459"/>
      <c r="P62" s="459"/>
      <c r="Q62" s="459"/>
      <c r="R62" s="459"/>
      <c r="S62" s="459"/>
      <c r="T62" s="459"/>
      <c r="U62" s="459"/>
      <c r="V62" s="459"/>
      <c r="W62" s="459"/>
    </row>
    <row r="63" spans="1:23">
      <c r="A63" s="459"/>
      <c r="B63" s="562"/>
      <c r="C63" s="561"/>
      <c r="D63" s="562"/>
      <c r="E63" s="539"/>
      <c r="F63" s="459"/>
      <c r="G63" s="459"/>
      <c r="H63" s="563"/>
      <c r="I63" s="563"/>
      <c r="J63" s="563"/>
      <c r="K63" s="459"/>
      <c r="L63" s="459"/>
      <c r="M63" s="459"/>
      <c r="N63" s="459"/>
      <c r="O63" s="459"/>
      <c r="P63" s="459"/>
      <c r="Q63" s="459"/>
      <c r="R63" s="459"/>
      <c r="S63" s="459"/>
      <c r="T63" s="459"/>
      <c r="U63" s="459"/>
      <c r="V63" s="459"/>
      <c r="W63" s="459"/>
    </row>
    <row r="64" spans="1:23">
      <c r="A64" s="459"/>
      <c r="B64" s="562"/>
      <c r="C64" s="561"/>
      <c r="D64" s="562"/>
      <c r="E64" s="539"/>
      <c r="F64" s="459"/>
      <c r="G64" s="459"/>
      <c r="H64" s="563"/>
      <c r="I64" s="563"/>
      <c r="J64" s="563"/>
      <c r="K64" s="459"/>
      <c r="L64" s="459"/>
      <c r="M64" s="459"/>
      <c r="N64" s="459"/>
      <c r="O64" s="459"/>
      <c r="P64" s="459"/>
      <c r="Q64" s="459"/>
      <c r="R64" s="459"/>
      <c r="S64" s="459"/>
      <c r="T64" s="459"/>
      <c r="U64" s="459"/>
      <c r="V64" s="459"/>
      <c r="W64" s="459"/>
    </row>
    <row r="65" spans="1:23">
      <c r="A65" s="459"/>
      <c r="B65" s="562"/>
      <c r="C65" s="561"/>
      <c r="D65" s="562"/>
      <c r="E65" s="539"/>
      <c r="F65" s="459"/>
      <c r="G65" s="459"/>
      <c r="H65" s="563"/>
      <c r="I65" s="563"/>
      <c r="J65" s="563"/>
      <c r="K65" s="459"/>
      <c r="L65" s="459"/>
      <c r="M65" s="459"/>
      <c r="N65" s="459"/>
      <c r="O65" s="459"/>
      <c r="P65" s="459"/>
      <c r="Q65" s="459"/>
      <c r="R65" s="459"/>
      <c r="S65" s="459"/>
      <c r="T65" s="459"/>
      <c r="U65" s="459"/>
      <c r="V65" s="459"/>
      <c r="W65" s="459"/>
    </row>
    <row r="66" spans="1:23">
      <c r="A66" s="459"/>
      <c r="B66" s="562"/>
      <c r="C66" s="562"/>
      <c r="D66" s="562"/>
      <c r="E66" s="539"/>
      <c r="F66" s="459"/>
      <c r="G66" s="459"/>
      <c r="H66" s="563"/>
      <c r="I66" s="563"/>
      <c r="J66" s="563"/>
      <c r="K66" s="459"/>
      <c r="L66" s="459"/>
      <c r="M66" s="459"/>
      <c r="N66" s="459"/>
      <c r="O66" s="459"/>
      <c r="P66" s="459"/>
      <c r="Q66" s="459"/>
      <c r="R66" s="459"/>
      <c r="S66" s="459"/>
      <c r="T66" s="459"/>
      <c r="U66" s="459"/>
      <c r="V66" s="459"/>
      <c r="W66" s="459"/>
    </row>
    <row r="67" spans="1:23">
      <c r="A67" s="539"/>
      <c r="B67" s="564"/>
    </row>
  </sheetData>
  <mergeCells count="5">
    <mergeCell ref="A1:G1"/>
    <mergeCell ref="I1:O1"/>
    <mergeCell ref="B56:D56"/>
    <mergeCell ref="E56:G56"/>
    <mergeCell ref="H56:J56"/>
  </mergeCell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7746" name="Scroll Bar 2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47" name="Scroll Bar 3" r:id="rId4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3"/>
  </sheetPr>
  <dimension ref="A1:S67"/>
  <sheetViews>
    <sheetView workbookViewId="0">
      <pane xSplit="2" ySplit="4" topLeftCell="C44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5" customHeight="1"/>
  <cols>
    <col min="1" max="1" width="32.125" style="639" customWidth="1"/>
    <col min="2" max="2" width="4.5" style="640" customWidth="1"/>
    <col min="3" max="3" width="7.5" style="639" customWidth="1"/>
    <col min="4" max="4" width="9" style="639" customWidth="1"/>
    <col min="5" max="5" width="10.25" style="462" customWidth="1"/>
    <col min="6" max="6" width="9" style="639" customWidth="1"/>
    <col min="7" max="7" width="10.5" style="639" customWidth="1"/>
    <col min="8" max="8" width="7.5" style="639" customWidth="1"/>
    <col min="9" max="9" width="28" style="639" customWidth="1"/>
    <col min="10" max="10" width="3.625" style="639" customWidth="1"/>
    <col min="11" max="11" width="7.5" style="639" customWidth="1"/>
    <col min="12" max="12" width="8.125" style="639" customWidth="1"/>
    <col min="13" max="13" width="10.25" style="639" customWidth="1"/>
    <col min="14" max="14" width="10.5" style="639" customWidth="1"/>
    <col min="15" max="15" width="14.75" style="639" customWidth="1"/>
    <col min="16" max="16" width="10.5" style="641" customWidth="1"/>
    <col min="17" max="17" width="13.875" style="639" customWidth="1"/>
    <col min="18" max="18" width="11.5" style="639" customWidth="1"/>
    <col min="19" max="16384" width="9" style="639"/>
  </cols>
  <sheetData>
    <row r="1" s="636" customFormat="1" ht="42.75" customHeight="1" spans="1:18">
      <c r="A1" s="97" t="str">
        <f>CONCATENATE("果糖装置汇总综合成本利润表_含税(2025年"&amp;mth&amp;"月)")</f>
        <v>果糖装置汇总综合成本利润表_含税(2025年8月)</v>
      </c>
      <c r="B1" s="98"/>
      <c r="C1" s="98"/>
      <c r="D1" s="98"/>
      <c r="E1" s="98"/>
      <c r="F1" s="98"/>
      <c r="G1" s="98"/>
      <c r="I1" s="463" t="str">
        <f>CONCATENATE("果糖装置汇总综合成本利润表_含税(2025年1-"&amp;mth&amp;"月)")</f>
        <v>果糖装置汇总综合成本利润表_含税(2025年1-8月)</v>
      </c>
      <c r="J1" s="463"/>
      <c r="K1" s="463"/>
      <c r="L1" s="463"/>
      <c r="M1" s="463"/>
      <c r="N1" s="463"/>
      <c r="O1" s="463"/>
      <c r="P1" s="642"/>
    </row>
    <row r="2" s="636" customFormat="1" customHeight="1" spans="1:18">
      <c r="A2" s="643"/>
      <c r="B2" s="643"/>
      <c r="C2" s="643"/>
      <c r="D2" s="644"/>
      <c r="E2" s="645"/>
      <c r="F2" s="643"/>
      <c r="G2" s="643"/>
      <c r="P2" s="642"/>
    </row>
    <row r="3" s="637" customFormat="1" customHeight="1" spans="1:18">
      <c r="A3" s="646"/>
      <c r="E3" s="644" t="s">
        <v>128</v>
      </c>
      <c r="F3" s="647">
        <f ca="1">果糖汇总!F3</f>
        <v>0</v>
      </c>
      <c r="G3" s="646" t="s">
        <v>75</v>
      </c>
      <c r="K3" s="647"/>
      <c r="M3" s="644" t="s">
        <v>129</v>
      </c>
      <c r="N3" s="647">
        <f ca="1">果糖汇总!N3</f>
        <v>57934.7634805195</v>
      </c>
      <c r="O3" s="646" t="s">
        <v>75</v>
      </c>
      <c r="P3" s="122"/>
    </row>
    <row r="4" s="460" customFormat="1" ht="14.25" customHeight="1" spans="1:18">
      <c r="A4" s="648"/>
      <c r="B4" s="648" t="s">
        <v>77</v>
      </c>
      <c r="C4" s="649" t="s">
        <v>78</v>
      </c>
      <c r="D4" s="649" t="s">
        <v>79</v>
      </c>
      <c r="E4" s="469" t="s">
        <v>80</v>
      </c>
      <c r="F4" s="649" t="s">
        <v>81</v>
      </c>
      <c r="G4" s="649" t="s">
        <v>82</v>
      </c>
      <c r="I4" s="648"/>
      <c r="J4" s="648" t="s">
        <v>77</v>
      </c>
      <c r="K4" s="649" t="s">
        <v>78</v>
      </c>
      <c r="L4" s="649" t="s">
        <v>79</v>
      </c>
      <c r="M4" s="649" t="s">
        <v>80</v>
      </c>
      <c r="N4" s="649" t="s">
        <v>81</v>
      </c>
      <c r="O4" s="649" t="s">
        <v>82</v>
      </c>
      <c r="P4" s="562"/>
    </row>
    <row r="5" s="460" customFormat="1" ht="14.25" customHeight="1" spans="1:18">
      <c r="A5" s="650" t="s">
        <v>83</v>
      </c>
      <c r="B5" s="651"/>
      <c r="C5" s="652"/>
      <c r="D5" s="652"/>
      <c r="E5" s="473">
        <f ca="1">E6-E7</f>
        <v>0</v>
      </c>
      <c r="F5" s="652"/>
      <c r="G5" s="653">
        <f ca="1">G6-G7</f>
        <v>0</v>
      </c>
      <c r="I5" s="650" t="s">
        <v>83</v>
      </c>
      <c r="J5" s="651"/>
      <c r="K5" s="652"/>
      <c r="L5" s="652"/>
      <c r="M5" s="653">
        <f ca="1">M6-M7</f>
        <v>3077.27073012675</v>
      </c>
      <c r="N5" s="652"/>
      <c r="O5" s="653">
        <f ca="1">O6-O7</f>
        <v>178280951.915418</v>
      </c>
      <c r="P5" s="562"/>
    </row>
    <row r="6" s="460" customFormat="1" ht="14.25" customHeight="1" spans="1:18">
      <c r="A6" s="654" t="s">
        <v>84</v>
      </c>
      <c r="B6" s="655"/>
      <c r="C6" s="478"/>
      <c r="D6" s="656"/>
      <c r="E6" s="478">
        <f ca="1">IF(F$3=0,0,G6/F$3)</f>
        <v>0</v>
      </c>
      <c r="F6" s="656"/>
      <c r="G6" s="507">
        <f ca="1">'F60-含税'!G6+'F55-含税'!G6+'F42-含税-pt'!G6+'F90-含税 '!G6</f>
        <v>0</v>
      </c>
      <c r="I6" s="657" t="s">
        <v>84</v>
      </c>
      <c r="J6" s="655"/>
      <c r="K6" s="478"/>
      <c r="L6" s="656"/>
      <c r="M6" s="478">
        <f ca="1">IF($N$3=0,,O6/$N$3)</f>
        <v>3228.55714877906</v>
      </c>
      <c r="N6" s="656"/>
      <c r="O6" s="507">
        <f ca="1">'F55-含税'!O6+'F60-含税'!O6+'F42-含税'!O6+'F90-含税 '!O6</f>
        <v>187045694.797855</v>
      </c>
      <c r="P6" s="562"/>
      <c r="Q6" s="658"/>
      <c r="R6" s="658"/>
    </row>
    <row r="7" s="460" customFormat="1" ht="14.25" customHeight="1" spans="1:18">
      <c r="A7" s="476" t="s">
        <v>85</v>
      </c>
      <c r="B7" s="655"/>
      <c r="C7" s="656"/>
      <c r="D7" s="656"/>
      <c r="E7" s="507">
        <f ca="1">IF($F$3=0,,G7/$F$3)</f>
        <v>0</v>
      </c>
      <c r="F7" s="656"/>
      <c r="G7" s="507">
        <f ca="1">'F55-含税'!G7+'F60-含税'!G7+'F42-含税'!G7+'F90-含税 '!G7</f>
        <v>0</v>
      </c>
      <c r="I7" s="476" t="s">
        <v>85</v>
      </c>
      <c r="J7" s="655"/>
      <c r="K7" s="656"/>
      <c r="L7" s="656"/>
      <c r="M7" s="507">
        <f ca="1">IF($N$3=0,,O7/$N$3)</f>
        <v>151.286418652317</v>
      </c>
      <c r="N7" s="656"/>
      <c r="O7" s="507">
        <f ca="1">'F55-含税'!O7+'F60-含税'!O7+'F42-含税'!O7+'F90-含税 '!O7</f>
        <v>8764742.88243685</v>
      </c>
      <c r="P7" s="562"/>
      <c r="Q7" s="658"/>
      <c r="R7" s="658"/>
    </row>
    <row r="8" s="460" customFormat="1" ht="14.25" customHeight="1" spans="1:18">
      <c r="A8" s="476" t="s">
        <v>86</v>
      </c>
      <c r="B8" s="655"/>
      <c r="C8" s="656"/>
      <c r="D8" s="656"/>
      <c r="E8" s="507">
        <f ca="1">果糖汇总!E8*1.09</f>
        <v>0</v>
      </c>
      <c r="F8" s="656"/>
      <c r="G8" s="507" t="e">
        <f ca="1">果糖汇总!G8*1.09</f>
        <v>#DIV/0!</v>
      </c>
      <c r="I8" s="476" t="s">
        <v>86</v>
      </c>
      <c r="J8" s="655"/>
      <c r="K8" s="656"/>
      <c r="L8" s="656"/>
      <c r="M8" s="507">
        <f ca="1">果糖汇总!M8*1.09</f>
        <v>70.2277785154361</v>
      </c>
      <c r="N8" s="656"/>
      <c r="O8" s="507">
        <f ca="1">果糖汇总!O8*1.09</f>
        <v>4068629.7380541</v>
      </c>
      <c r="P8" s="562"/>
      <c r="Q8" s="658"/>
      <c r="R8" s="658"/>
    </row>
    <row r="9" s="460" customFormat="1" ht="14.25" customHeight="1" spans="1:18">
      <c r="A9" s="476" t="s">
        <v>87</v>
      </c>
      <c r="B9" s="655"/>
      <c r="C9" s="656"/>
      <c r="D9" s="656"/>
      <c r="E9" s="507">
        <f ca="1">果糖汇总!E9*1.13</f>
        <v>0</v>
      </c>
      <c r="F9" s="656"/>
      <c r="G9" s="507" t="e">
        <f ca="1">果糖汇总!G9*1.13</f>
        <v>#DIV/0!</v>
      </c>
      <c r="I9" s="476" t="s">
        <v>87</v>
      </c>
      <c r="J9" s="655"/>
      <c r="K9" s="656"/>
      <c r="L9" s="656"/>
      <c r="M9" s="507">
        <f ca="1">果糖汇总!M9*1.13</f>
        <v>81.0586401368813</v>
      </c>
      <c r="N9" s="656"/>
      <c r="O9" s="507">
        <f ca="1">果糖汇总!O9*1.13</f>
        <v>4696113.14438276</v>
      </c>
      <c r="P9" s="562"/>
      <c r="Q9" s="658"/>
      <c r="R9" s="658"/>
    </row>
    <row r="10" s="460" customFormat="1" ht="14.25" customHeight="1" spans="1:18">
      <c r="A10" s="659" t="s">
        <v>88</v>
      </c>
      <c r="B10" s="525"/>
      <c r="C10" s="660"/>
      <c r="D10" s="660"/>
      <c r="E10" s="487">
        <f ca="1">E11+E13+E26+E31+E34+E25</f>
        <v>0</v>
      </c>
      <c r="F10" s="526"/>
      <c r="G10" s="487" t="e">
        <f ca="1">G11+G13+G26+G31+G34+G25</f>
        <v>#DIV/0!</v>
      </c>
      <c r="I10" s="659" t="s">
        <v>88</v>
      </c>
      <c r="J10" s="525"/>
      <c r="K10" s="660"/>
      <c r="L10" s="660"/>
      <c r="M10" s="487" t="e">
        <f ca="1">M11+M13+M26+M31+M34+M25</f>
        <v>#DIV/0!</v>
      </c>
      <c r="N10" s="526"/>
      <c r="O10" s="487" t="e">
        <f ca="1">O11+O13+O26+O31+O34+O25</f>
        <v>#DIV/0!</v>
      </c>
      <c r="P10" s="562"/>
      <c r="Q10" s="658"/>
      <c r="R10" s="658"/>
    </row>
    <row r="11" s="460" customFormat="1" ht="14.25" customHeight="1" spans="1:18">
      <c r="A11" s="662" t="s">
        <v>89</v>
      </c>
      <c r="B11" s="663" t="s">
        <v>75</v>
      </c>
      <c r="C11" s="491">
        <f ca="1">C12</f>
        <v>0</v>
      </c>
      <c r="D11" s="492">
        <f ca="1">D12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662" t="s">
        <v>89</v>
      </c>
      <c r="J11" s="663" t="s">
        <v>75</v>
      </c>
      <c r="K11" s="491">
        <f ca="1">IF(N11=0,0,O11/N11)</f>
        <v>2824.33470382789</v>
      </c>
      <c r="L11" s="492">
        <f ca="1">IF(K11=0,0,M11/K11)</f>
        <v>0.84550164529801</v>
      </c>
      <c r="M11" s="491">
        <f ca="1">M12</f>
        <v>2387.97963895875</v>
      </c>
      <c r="N11" s="491">
        <f ca="1">N12</f>
        <v>48983.9378427303</v>
      </c>
      <c r="O11" s="491">
        <f ca="1">O12</f>
        <v>138347035.579371</v>
      </c>
      <c r="P11" s="562"/>
      <c r="Q11" s="658"/>
      <c r="R11" s="658"/>
    </row>
    <row r="12" s="460" customFormat="1" ht="14.25" customHeight="1" spans="1:18">
      <c r="A12" s="664" t="s">
        <v>90</v>
      </c>
      <c r="B12" s="665" t="s">
        <v>75</v>
      </c>
      <c r="C12" s="507">
        <f ca="1">果糖汇总!C12*1.13</f>
        <v>0</v>
      </c>
      <c r="D12" s="497">
        <f ca="1">果糖汇总!D12</f>
        <v>0</v>
      </c>
      <c r="E12" s="507">
        <f ca="1">果糖汇总!E12*1.13</f>
        <v>0</v>
      </c>
      <c r="F12" s="507">
        <f ca="1">果糖汇总!F12</f>
        <v>0</v>
      </c>
      <c r="G12" s="507">
        <f ca="1">果糖汇总!G12*1.13</f>
        <v>0</v>
      </c>
      <c r="I12" s="664" t="s">
        <v>90</v>
      </c>
      <c r="J12" s="665" t="s">
        <v>75</v>
      </c>
      <c r="K12" s="507">
        <f ca="1">果糖汇总!K12*1.13</f>
        <v>2824.33470382789</v>
      </c>
      <c r="L12" s="497">
        <f ca="1">果糖汇总!L12</f>
        <v>0.84550164529801</v>
      </c>
      <c r="M12" s="507">
        <f ca="1">果糖汇总!M12*1.13</f>
        <v>2387.97963895875</v>
      </c>
      <c r="N12" s="507">
        <f ca="1">果糖汇总!N12</f>
        <v>48983.9378427303</v>
      </c>
      <c r="O12" s="507">
        <f ca="1">果糖汇总!O12*1.13</f>
        <v>138347035.579371</v>
      </c>
      <c r="P12" s="562"/>
      <c r="Q12" s="658"/>
      <c r="R12" s="658"/>
    </row>
    <row r="13" s="460" customFormat="1" ht="14.25" customHeight="1" spans="1:18">
      <c r="A13" s="662" t="s">
        <v>130</v>
      </c>
      <c r="B13" s="663"/>
      <c r="C13" s="501"/>
      <c r="D13" s="492"/>
      <c r="E13" s="491">
        <f ca="1">果糖汇总!E13*1.13</f>
        <v>0</v>
      </c>
      <c r="F13" s="491"/>
      <c r="G13" s="491" t="e">
        <f ca="1">果糖汇总!G13*1.13</f>
        <v>#DIV/0!</v>
      </c>
      <c r="I13" s="662" t="s">
        <v>130</v>
      </c>
      <c r="J13" s="663"/>
      <c r="K13" s="501"/>
      <c r="L13" s="492"/>
      <c r="M13" s="491" t="e">
        <f ca="1">果糖汇总!M13*1.13</f>
        <v>#DIV/0!</v>
      </c>
      <c r="N13" s="491"/>
      <c r="O13" s="491" t="e">
        <f ca="1">果糖汇总!O13*1.13</f>
        <v>#DIV/0!</v>
      </c>
      <c r="P13" s="562"/>
      <c r="Q13" s="658"/>
      <c r="R13" s="658"/>
    </row>
    <row r="14" s="460" customFormat="1" ht="14.25" customHeight="1" spans="1:18">
      <c r="A14" s="664" t="s">
        <v>136</v>
      </c>
      <c r="B14" s="503" t="s">
        <v>167</v>
      </c>
      <c r="C14" s="505">
        <f ca="1">果糖汇总!C14*1.13</f>
        <v>0</v>
      </c>
      <c r="D14" s="505">
        <f ca="1">果糖汇总!D14</f>
        <v>0</v>
      </c>
      <c r="E14" s="506">
        <f ca="1">果糖汇总!E14*1.13</f>
        <v>0</v>
      </c>
      <c r="F14" s="507">
        <f ca="1">果糖汇总!F14</f>
        <v>0</v>
      </c>
      <c r="G14" s="507">
        <f ca="1">果糖汇总!G14*1.13</f>
        <v>0</v>
      </c>
      <c r="I14" s="664" t="s">
        <v>136</v>
      </c>
      <c r="J14" s="503" t="s">
        <v>167</v>
      </c>
      <c r="K14" s="505">
        <f ca="1">果糖汇总!K14*1.13</f>
        <v>1.16800728160139</v>
      </c>
      <c r="L14" s="505">
        <f ca="1">果糖汇总!L14</f>
        <v>4.53944375018344</v>
      </c>
      <c r="M14" s="505">
        <f ca="1">果糖汇总!M14*1.13</f>
        <v>5.30210335463418</v>
      </c>
      <c r="N14" s="507">
        <f ca="1">果糖汇总!N14</f>
        <v>262991.6</v>
      </c>
      <c r="O14" s="507">
        <f ca="1">果糖汇总!O14*1.13</f>
        <v>307176.1038</v>
      </c>
      <c r="P14" s="562"/>
      <c r="Q14" s="658"/>
      <c r="R14" s="658"/>
    </row>
    <row r="15" s="460" customFormat="1" ht="14.25" customHeight="1" spans="1:18">
      <c r="A15" s="664" t="s">
        <v>137</v>
      </c>
      <c r="B15" s="503" t="s">
        <v>167</v>
      </c>
      <c r="C15" s="505">
        <f ca="1">果糖汇总!C15*1.13</f>
        <v>0</v>
      </c>
      <c r="D15" s="505">
        <f ca="1">果糖汇总!D15</f>
        <v>0</v>
      </c>
      <c r="E15" s="506">
        <f ca="1">果糖汇总!E15*1.13</f>
        <v>0</v>
      </c>
      <c r="F15" s="507">
        <f ca="1">果糖汇总!F15</f>
        <v>0</v>
      </c>
      <c r="G15" s="507">
        <f ca="1">果糖汇总!G15*1.13</f>
        <v>0</v>
      </c>
      <c r="I15" s="664" t="s">
        <v>137</v>
      </c>
      <c r="J15" s="503" t="s">
        <v>167</v>
      </c>
      <c r="K15" s="505">
        <f ca="1">果糖汇总!K15*1.13</f>
        <v>3.57679310644649</v>
      </c>
      <c r="L15" s="505">
        <f ca="1">果糖汇总!L15</f>
        <v>5.04236113949491</v>
      </c>
      <c r="M15" s="505">
        <f ca="1">果糖汇总!M15*1.13</f>
        <v>18.035482563959</v>
      </c>
      <c r="N15" s="507">
        <f ca="1">果糖汇总!N15</f>
        <v>292128</v>
      </c>
      <c r="O15" s="507">
        <f ca="1">果糖汇总!O15*1.13</f>
        <v>1044881.4166</v>
      </c>
      <c r="P15" s="562"/>
      <c r="Q15" s="658"/>
      <c r="R15" s="658"/>
    </row>
    <row r="16" s="460" customFormat="1" ht="14.25" customHeight="1" spans="1:18">
      <c r="A16" s="664" t="s">
        <v>138</v>
      </c>
      <c r="B16" s="503" t="s">
        <v>167</v>
      </c>
      <c r="C16" s="505">
        <f ca="1">果糖汇总!C16*1.13</f>
        <v>0</v>
      </c>
      <c r="D16" s="505">
        <f ca="1">果糖汇总!D16</f>
        <v>0</v>
      </c>
      <c r="E16" s="506">
        <f ca="1">果糖汇总!E16*1.13</f>
        <v>0</v>
      </c>
      <c r="F16" s="507">
        <f ca="1">果糖汇总!F16</f>
        <v>0</v>
      </c>
      <c r="G16" s="507">
        <f ca="1">果糖汇总!G16*1.13</f>
        <v>0</v>
      </c>
      <c r="I16" s="664" t="s">
        <v>138</v>
      </c>
      <c r="J16" s="503" t="s">
        <v>167</v>
      </c>
      <c r="K16" s="505">
        <f ca="1">果糖汇总!K16*1.13</f>
        <v>2.94350314079422</v>
      </c>
      <c r="L16" s="505">
        <f ca="1">果糖汇总!L16</f>
        <v>0.764998376404912</v>
      </c>
      <c r="M16" s="505">
        <f ca="1">果糖汇总!M16*1.13</f>
        <v>2.25177512365034</v>
      </c>
      <c r="N16" s="507">
        <f ca="1">果糖汇总!N16</f>
        <v>44320</v>
      </c>
      <c r="O16" s="507">
        <f ca="1">果糖汇总!O16*1.13</f>
        <v>130456.0592</v>
      </c>
      <c r="P16" s="562"/>
      <c r="Q16" s="658"/>
      <c r="R16" s="658"/>
    </row>
    <row r="17" s="460" customFormat="1" ht="14.25" customHeight="1" spans="1:18">
      <c r="A17" s="664" t="s">
        <v>139</v>
      </c>
      <c r="B17" s="503" t="s">
        <v>167</v>
      </c>
      <c r="C17" s="505">
        <f ca="1">果糖汇总!C17*1.13</f>
        <v>0</v>
      </c>
      <c r="D17" s="505">
        <f ca="1">果糖汇总!D17</f>
        <v>0</v>
      </c>
      <c r="E17" s="506">
        <f ca="1">果糖汇总!E17*1.13</f>
        <v>0</v>
      </c>
      <c r="F17" s="507">
        <f ca="1">果糖汇总!F17</f>
        <v>0</v>
      </c>
      <c r="G17" s="507">
        <f ca="1">果糖汇总!G17*1.13</f>
        <v>0</v>
      </c>
      <c r="I17" s="664" t="s">
        <v>139</v>
      </c>
      <c r="J17" s="503" t="s">
        <v>167</v>
      </c>
      <c r="K17" s="505">
        <f ca="1">果糖汇总!K17*1.13</f>
        <v>8.00006266464471</v>
      </c>
      <c r="L17" s="505">
        <f ca="1">果糖汇总!L17</f>
        <v>1.59351647359435</v>
      </c>
      <c r="M17" s="505">
        <f ca="1">果糖汇总!M17*1.13</f>
        <v>12.7482316458985</v>
      </c>
      <c r="N17" s="507">
        <f ca="1">果糖汇总!N17</f>
        <v>92320.0000000001</v>
      </c>
      <c r="O17" s="507">
        <f ca="1">果糖汇总!O17*1.13</f>
        <v>738565.785200001</v>
      </c>
      <c r="P17" s="562"/>
      <c r="Q17" s="658"/>
      <c r="R17" s="658"/>
    </row>
    <row r="18" s="460" customFormat="1" ht="14.25" customHeight="1" spans="1:18">
      <c r="A18" s="664" t="s">
        <v>140</v>
      </c>
      <c r="B18" s="503" t="s">
        <v>167</v>
      </c>
      <c r="C18" s="505">
        <f ca="1">果糖汇总!C18*1.13</f>
        <v>0</v>
      </c>
      <c r="D18" s="505">
        <f ca="1">果糖汇总!D18</f>
        <v>0</v>
      </c>
      <c r="E18" s="506">
        <f ca="1">果糖汇总!E18*1.13</f>
        <v>0</v>
      </c>
      <c r="F18" s="507">
        <f ca="1">果糖汇总!F18</f>
        <v>0</v>
      </c>
      <c r="G18" s="507">
        <f ca="1">果糖汇总!G18*1.13</f>
        <v>0</v>
      </c>
      <c r="I18" s="664" t="s">
        <v>140</v>
      </c>
      <c r="J18" s="503" t="s">
        <v>167</v>
      </c>
      <c r="K18" s="505">
        <f ca="1">果糖汇总!K18*1.13</f>
        <v>54.0155926492147</v>
      </c>
      <c r="L18" s="505">
        <f ca="1">果糖汇总!L18</f>
        <v>0.0824202898766574</v>
      </c>
      <c r="M18" s="505">
        <f ca="1">果糖汇总!M18*1.13</f>
        <v>4.45198080400772</v>
      </c>
      <c r="N18" s="507">
        <f ca="1">果糖汇总!N18</f>
        <v>4775</v>
      </c>
      <c r="O18" s="507">
        <f ca="1">果糖汇总!O18*1.13</f>
        <v>257924.4549</v>
      </c>
      <c r="P18" s="562"/>
      <c r="Q18" s="658"/>
      <c r="R18" s="658"/>
    </row>
    <row r="19" s="460" customFormat="1" ht="14.25" customHeight="1" spans="1:18">
      <c r="A19" s="664" t="s">
        <v>141</v>
      </c>
      <c r="B19" s="503" t="s">
        <v>167</v>
      </c>
      <c r="C19" s="505">
        <f ca="1">果糖汇总!C19*1.13</f>
        <v>0</v>
      </c>
      <c r="D19" s="505">
        <f ca="1">果糖汇总!D19</f>
        <v>0</v>
      </c>
      <c r="E19" s="506">
        <f ca="1">果糖汇总!E19*1.13</f>
        <v>0</v>
      </c>
      <c r="F19" s="507">
        <f ca="1">果糖汇总!F19</f>
        <v>0</v>
      </c>
      <c r="G19" s="507">
        <f ca="1">果糖汇总!G19*1.13</f>
        <v>0</v>
      </c>
      <c r="I19" s="664" t="s">
        <v>141</v>
      </c>
      <c r="J19" s="503" t="s">
        <v>167</v>
      </c>
      <c r="K19" s="505">
        <f ca="1">果糖汇总!K19*1.13</f>
        <v>36.3830972699914</v>
      </c>
      <c r="L19" s="505">
        <f ca="1">果糖汇总!L19</f>
        <v>0.160594424505219</v>
      </c>
      <c r="M19" s="505">
        <f ca="1">果糖汇总!M19*1.13</f>
        <v>5.84292256779167</v>
      </c>
      <c r="N19" s="507">
        <f ca="1">果糖汇总!N19</f>
        <v>9303.99999999999</v>
      </c>
      <c r="O19" s="507">
        <f ca="1">果糖汇总!O19*1.13</f>
        <v>338508.337</v>
      </c>
      <c r="P19" s="562"/>
      <c r="Q19" s="658"/>
      <c r="R19" s="658"/>
    </row>
    <row r="20" s="460" customFormat="1" ht="14.25" customHeight="1" spans="1:18">
      <c r="A20" s="664" t="s">
        <v>142</v>
      </c>
      <c r="B20" s="503" t="s">
        <v>167</v>
      </c>
      <c r="C20" s="505">
        <f ca="1">果糖汇总!C20*1.13</f>
        <v>0</v>
      </c>
      <c r="D20" s="505">
        <f ca="1">果糖汇总!D20</f>
        <v>0</v>
      </c>
      <c r="E20" s="506">
        <f ca="1">果糖汇总!E20*1.13</f>
        <v>0</v>
      </c>
      <c r="F20" s="507">
        <f ca="1">果糖汇总!F20</f>
        <v>0</v>
      </c>
      <c r="G20" s="507">
        <f ca="1">果糖汇总!G20*1.13</f>
        <v>0</v>
      </c>
      <c r="I20" s="664" t="s">
        <v>142</v>
      </c>
      <c r="J20" s="503" t="s">
        <v>167</v>
      </c>
      <c r="K20" s="505">
        <f ca="1">果糖汇总!K20*1.13</f>
        <v>246.992032636057</v>
      </c>
      <c r="L20" s="505">
        <f ca="1">果糖汇总!L20</f>
        <v>0.0973681372134501</v>
      </c>
      <c r="M20" s="505">
        <f ca="1">果糖汇总!M20*1.13</f>
        <v>24.0491541243366</v>
      </c>
      <c r="N20" s="507">
        <f ca="1">果糖汇总!N20</f>
        <v>5641</v>
      </c>
      <c r="O20" s="507">
        <f ca="1">果糖汇总!O20*1.13</f>
        <v>1393282.0561</v>
      </c>
      <c r="P20" s="562"/>
      <c r="Q20" s="658"/>
      <c r="R20" s="658"/>
    </row>
    <row r="21" s="460" customFormat="1" ht="14.25" customHeight="1" spans="1:18">
      <c r="A21" s="664" t="s">
        <v>150</v>
      </c>
      <c r="B21" s="503" t="s">
        <v>167</v>
      </c>
      <c r="C21" s="505">
        <f ca="1">果糖汇总!C21*1.13</f>
        <v>0</v>
      </c>
      <c r="D21" s="505">
        <f ca="1">果糖汇总!D21</f>
        <v>0</v>
      </c>
      <c r="E21" s="506">
        <f ca="1">果糖汇总!E21*1.13</f>
        <v>0</v>
      </c>
      <c r="F21" s="507">
        <f ca="1">果糖汇总!F21</f>
        <v>0</v>
      </c>
      <c r="G21" s="507">
        <f ca="1">果糖汇总!G21*1.13</f>
        <v>0</v>
      </c>
      <c r="I21" s="664" t="s">
        <v>150</v>
      </c>
      <c r="J21" s="503" t="s">
        <v>167</v>
      </c>
      <c r="K21" s="505">
        <f ca="1">果糖汇总!K21*1.13</f>
        <v>1.1068060104712</v>
      </c>
      <c r="L21" s="505">
        <f ca="1">果糖汇总!L21</f>
        <v>0.494521739259945</v>
      </c>
      <c r="M21" s="505">
        <f ca="1">果糖汇总!M21*1.13</f>
        <v>0.54733963332158</v>
      </c>
      <c r="N21" s="507">
        <f ca="1">果糖汇总!N21</f>
        <v>28650</v>
      </c>
      <c r="O21" s="507">
        <f ca="1">果糖汇总!O21*1.13</f>
        <v>31709.9922</v>
      </c>
      <c r="P21" s="562"/>
      <c r="Q21" s="658"/>
      <c r="R21" s="658"/>
    </row>
    <row r="22" s="460" customFormat="1" ht="14.25" customHeight="1" spans="1:18">
      <c r="A22" s="664" t="s">
        <v>145</v>
      </c>
      <c r="B22" s="503" t="s">
        <v>167</v>
      </c>
      <c r="C22" s="505">
        <f ca="1">果糖汇总!C22*1.13</f>
        <v>0</v>
      </c>
      <c r="D22" s="505">
        <f ca="1">果糖汇总!D22</f>
        <v>0</v>
      </c>
      <c r="E22" s="506">
        <f ca="1">果糖汇总!E22*1.13</f>
        <v>0</v>
      </c>
      <c r="F22" s="507">
        <f ca="1">果糖汇总!F22</f>
        <v>0</v>
      </c>
      <c r="G22" s="507">
        <f ca="1">果糖汇总!G22*1.13</f>
        <v>0</v>
      </c>
      <c r="I22" s="664" t="s">
        <v>145</v>
      </c>
      <c r="J22" s="503" t="s">
        <v>167</v>
      </c>
      <c r="K22" s="505">
        <f ca="1">果糖汇总!K22*1.13</f>
        <v>2.09737053412463</v>
      </c>
      <c r="L22" s="505">
        <f ca="1">果糖汇总!L22</f>
        <v>0.290844373700875</v>
      </c>
      <c r="M22" s="505">
        <f ca="1">果糖汇总!M22*1.13</f>
        <v>0.610008419416147</v>
      </c>
      <c r="N22" s="507">
        <f ca="1">果糖汇总!N22</f>
        <v>16850</v>
      </c>
      <c r="O22" s="507">
        <f ca="1">果糖汇总!O22*1.13</f>
        <v>35340.6935</v>
      </c>
      <c r="P22" s="562"/>
      <c r="Q22" s="658"/>
      <c r="R22" s="658"/>
    </row>
    <row r="23" s="460" customFormat="1" ht="14.25" customHeight="1" spans="1:18">
      <c r="A23" s="664" t="s">
        <v>146</v>
      </c>
      <c r="B23" s="503" t="s">
        <v>167</v>
      </c>
      <c r="C23" s="505"/>
      <c r="D23" s="505"/>
      <c r="E23" s="506">
        <f ca="1">果糖汇总!E23*1.13</f>
        <v>0</v>
      </c>
      <c r="F23" s="507"/>
      <c r="G23" s="507" t="e">
        <f ca="1">果糖汇总!G23*1.13</f>
        <v>#DIV/0!</v>
      </c>
      <c r="I23" s="664" t="s">
        <v>146</v>
      </c>
      <c r="J23" s="503" t="s">
        <v>167</v>
      </c>
      <c r="K23" s="505">
        <f>果糖汇总!K23*1.13</f>
        <v>0</v>
      </c>
      <c r="L23" s="505">
        <f>果糖汇总!L23</f>
        <v>0</v>
      </c>
      <c r="M23" s="505" t="e">
        <f ca="1">果糖汇总!M23*1.13</f>
        <v>#DIV/0!</v>
      </c>
      <c r="N23" s="507">
        <f ca="1">果糖汇总!N23</f>
        <v>0</v>
      </c>
      <c r="O23" s="507" t="e">
        <f ca="1">果糖汇总!O23*1.13</f>
        <v>#DIV/0!</v>
      </c>
      <c r="P23" s="562"/>
      <c r="Q23" s="658"/>
      <c r="R23" s="658"/>
    </row>
    <row r="24" s="460" customFormat="1" ht="14.25" customHeight="1" spans="1:18">
      <c r="A24" s="664" t="s">
        <v>151</v>
      </c>
      <c r="B24" s="665"/>
      <c r="C24" s="505"/>
      <c r="D24" s="505"/>
      <c r="E24" s="506">
        <f ca="1">果糖汇总!E24*1.13</f>
        <v>0</v>
      </c>
      <c r="F24" s="507"/>
      <c r="G24" s="507" t="e">
        <f ca="1">果糖汇总!G24*1.13</f>
        <v>#DIV/0!</v>
      </c>
      <c r="I24" s="664" t="s">
        <v>151</v>
      </c>
      <c r="J24" s="665"/>
      <c r="K24" s="505">
        <f>果糖汇总!K24*1.13</f>
        <v>0</v>
      </c>
      <c r="L24" s="505">
        <f>果糖汇总!L24</f>
        <v>0</v>
      </c>
      <c r="M24" s="505" t="e">
        <f ca="1">果糖汇总!M24*1.13</f>
        <v>#DIV/0!</v>
      </c>
      <c r="N24" s="507">
        <f>果糖汇总!N24</f>
        <v>0</v>
      </c>
      <c r="O24" s="507" t="e">
        <f ca="1">果糖汇总!O24*1.13</f>
        <v>#DIV/0!</v>
      </c>
      <c r="P24" s="562"/>
      <c r="Q24" s="658"/>
      <c r="R24" s="658"/>
    </row>
    <row r="25" s="460" customFormat="1" ht="14.25" customHeight="1" spans="1:18">
      <c r="A25" s="666" t="s">
        <v>93</v>
      </c>
      <c r="B25" s="663"/>
      <c r="C25" s="501"/>
      <c r="D25" s="492"/>
      <c r="E25" s="491">
        <f ca="1">IF($F$3=0,,G25/$F$3)</f>
        <v>0</v>
      </c>
      <c r="F25" s="491"/>
      <c r="G25" s="491">
        <f>'F55-含税'!G25+'F60-含税'!G25+'F42-含税'!G25+'F90-含税 '!G25</f>
        <v>0</v>
      </c>
      <c r="I25" s="666" t="s">
        <v>93</v>
      </c>
      <c r="J25" s="663"/>
      <c r="K25" s="501"/>
      <c r="L25" s="492"/>
      <c r="M25" s="491">
        <f ca="1">IF($N$3=0,,O25/$N$3)</f>
        <v>0</v>
      </c>
      <c r="N25" s="491"/>
      <c r="O25" s="491">
        <f>'F55-含税'!O25+'F60-含税'!O25+'F42-含税'!O25</f>
        <v>0</v>
      </c>
      <c r="P25" s="562"/>
      <c r="Q25" s="658"/>
      <c r="R25" s="658"/>
    </row>
    <row r="26" s="460" customFormat="1" ht="14.25" customHeight="1" spans="1:18">
      <c r="A26" s="666" t="s">
        <v>94</v>
      </c>
      <c r="B26" s="663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666" t="s">
        <v>94</v>
      </c>
      <c r="J26" s="663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562"/>
      <c r="Q26" s="658"/>
      <c r="R26" s="658"/>
    </row>
    <row r="27" s="460" customFormat="1" ht="14.25" customHeight="1" spans="1:18">
      <c r="A27" s="664" t="s">
        <v>95</v>
      </c>
      <c r="B27" s="665" t="s">
        <v>75</v>
      </c>
      <c r="C27" s="567">
        <f ca="1">'F55-含税'!C27</f>
        <v>0</v>
      </c>
      <c r="D27" s="497">
        <f ca="1">果糖汇总!D27</f>
        <v>0</v>
      </c>
      <c r="E27" s="507">
        <f ca="1">C27*D27</f>
        <v>0</v>
      </c>
      <c r="F27" s="507">
        <f ca="1">果糖汇总!F27</f>
        <v>0</v>
      </c>
      <c r="G27" s="507">
        <f ca="1">'F55-含税'!G27+'F42-含税'!G27+'F60-含税'!G27+'F90-含税 '!G27</f>
        <v>0</v>
      </c>
      <c r="I27" s="664" t="s">
        <v>95</v>
      </c>
      <c r="J27" s="665" t="s">
        <v>75</v>
      </c>
      <c r="K27" s="567">
        <f ca="1">'F55-含税'!K27</f>
        <v>408.530937837231</v>
      </c>
      <c r="L27" s="497">
        <f ca="1">果糖汇总!L27</f>
        <v>0.308036124217555</v>
      </c>
      <c r="M27" s="507">
        <f ca="1">K27*L27</f>
        <v>125.842286714344</v>
      </c>
      <c r="N27" s="507">
        <f ca="1">果糖汇总!N27</f>
        <v>17846</v>
      </c>
      <c r="O27" s="507">
        <f ca="1">'F55-含税'!O27+'F42-含税'!O27+'F60-含税'!O27+'F90-含税 '!O27</f>
        <v>7290643.11664321</v>
      </c>
      <c r="P27" s="562"/>
      <c r="Q27" s="658"/>
      <c r="R27" s="658"/>
    </row>
    <row r="28" s="460" customFormat="1" ht="14.25" customHeight="1" spans="1:18">
      <c r="A28" s="664" t="s">
        <v>96</v>
      </c>
      <c r="B28" s="665" t="s">
        <v>97</v>
      </c>
      <c r="C28" s="684">
        <f ca="1">IF(G28=0,0,G28/F28)</f>
        <v>0</v>
      </c>
      <c r="D28" s="505">
        <f ca="1">果糖汇总!D28</f>
        <v>0</v>
      </c>
      <c r="E28" s="507">
        <f ca="1">果糖汇总!E28*1.13</f>
        <v>0</v>
      </c>
      <c r="F28" s="507" t="e">
        <f ca="1">果糖汇总!F28</f>
        <v>#DIV/0!</v>
      </c>
      <c r="G28" s="507">
        <f ca="1">果糖汇总!G28*1.13</f>
        <v>0</v>
      </c>
      <c r="I28" s="664" t="s">
        <v>96</v>
      </c>
      <c r="J28" s="665" t="s">
        <v>97</v>
      </c>
      <c r="K28" s="567" t="e">
        <f ca="1">IF(O28=0,0,O28/N28)</f>
        <v>#DIV/0!</v>
      </c>
      <c r="L28" s="505" t="e">
        <f ca="1">果糖汇总!L28</f>
        <v>#DIV/0!</v>
      </c>
      <c r="M28" s="507" t="e">
        <f ca="1">果糖汇总!M28*1.13</f>
        <v>#DIV/0!</v>
      </c>
      <c r="N28" s="507" t="e">
        <f ca="1">果糖汇总!N28</f>
        <v>#DIV/0!</v>
      </c>
      <c r="O28" s="507" t="e">
        <f ca="1">果糖汇总!O28*1.13</f>
        <v>#DIV/0!</v>
      </c>
      <c r="P28" s="562"/>
      <c r="Q28" s="658"/>
      <c r="R28" s="658"/>
    </row>
    <row r="29" s="460" customFormat="1" ht="14.25" customHeight="1" spans="1:18">
      <c r="A29" s="664" t="s">
        <v>98</v>
      </c>
      <c r="B29" s="665" t="s">
        <v>75</v>
      </c>
      <c r="C29" s="567">
        <f ca="1">IF(G29=0,0,G29/F29)</f>
        <v>0</v>
      </c>
      <c r="D29" s="505">
        <f ca="1">果糖汇总!D29</f>
        <v>0</v>
      </c>
      <c r="E29" s="507">
        <f ca="1">D29*C29</f>
        <v>0</v>
      </c>
      <c r="F29" s="507" t="e">
        <f ca="1">果糖汇总!F29</f>
        <v>#DIV/0!</v>
      </c>
      <c r="G29" s="507">
        <f ca="1">'F55-含税'!G29+'F60-含税'!G29+'F42-含税'!G29+'F90-含税 '!G29</f>
        <v>0</v>
      </c>
      <c r="I29" s="664" t="s">
        <v>98</v>
      </c>
      <c r="J29" s="665" t="s">
        <v>75</v>
      </c>
      <c r="K29" s="567" t="e">
        <f ca="1">IF(O29=0,0,O29/N29)</f>
        <v>#DIV/0!</v>
      </c>
      <c r="L29" s="505" t="e">
        <f ca="1">果糖汇总!L29</f>
        <v>#DIV/0!</v>
      </c>
      <c r="M29" s="507" t="e">
        <f ca="1">L29*K29</f>
        <v>#DIV/0!</v>
      </c>
      <c r="N29" s="507" t="e">
        <f ca="1">果糖汇总!N29</f>
        <v>#DIV/0!</v>
      </c>
      <c r="O29" s="507" t="e">
        <f ca="1">'F55-含税'!O29+'F60-含税'!O29+'F42-含税'!O29+'F90-含税 '!O29</f>
        <v>#DIV/0!</v>
      </c>
      <c r="P29" s="562"/>
      <c r="Q29" s="658"/>
      <c r="R29" s="658"/>
    </row>
    <row r="30" s="460" customFormat="1" ht="14.25" customHeight="1" spans="1:18">
      <c r="A30" s="664" t="s">
        <v>99</v>
      </c>
      <c r="B30" s="665" t="s">
        <v>75</v>
      </c>
      <c r="C30" s="567"/>
      <c r="D30" s="505"/>
      <c r="E30" s="507"/>
      <c r="F30" s="507"/>
      <c r="G30" s="507"/>
      <c r="I30" s="664" t="s">
        <v>99</v>
      </c>
      <c r="J30" s="665" t="s">
        <v>75</v>
      </c>
      <c r="K30" s="667"/>
      <c r="L30" s="505"/>
      <c r="M30" s="507"/>
      <c r="N30" s="507"/>
      <c r="O30" s="507"/>
      <c r="P30" s="562"/>
      <c r="Q30" s="658"/>
      <c r="R30" s="658"/>
    </row>
    <row r="31" s="460" customFormat="1" ht="14.25" customHeight="1" spans="1:18">
      <c r="A31" s="666" t="s">
        <v>101</v>
      </c>
      <c r="B31" s="663"/>
      <c r="C31" s="501"/>
      <c r="D31" s="492"/>
      <c r="E31" s="491">
        <f ca="1">果糖汇总!$E$31*1.13</f>
        <v>0</v>
      </c>
      <c r="F31" s="491"/>
      <c r="G31" s="491" t="e">
        <f ca="1">果糖汇总!$G$31*1.13</f>
        <v>#DIV/0!</v>
      </c>
      <c r="I31" s="666" t="s">
        <v>101</v>
      </c>
      <c r="J31" s="663"/>
      <c r="K31" s="501"/>
      <c r="L31" s="492"/>
      <c r="M31" s="491" t="e">
        <f ca="1">果糖汇总!$M$31*1.13</f>
        <v>#DIV/0!</v>
      </c>
      <c r="N31" s="491"/>
      <c r="O31" s="491" t="e">
        <f ca="1">果糖汇总!$O$31*1.13</f>
        <v>#DIV/0!</v>
      </c>
      <c r="P31" s="562"/>
    </row>
    <row r="32" s="460" customFormat="1" ht="14.25" customHeight="1" spans="1:18">
      <c r="A32" s="541" t="s">
        <v>102</v>
      </c>
      <c r="B32" s="663"/>
      <c r="C32" s="501"/>
      <c r="D32" s="492"/>
      <c r="E32" s="491">
        <f ca="1">果糖汇总!$E$31*1.13</f>
        <v>0</v>
      </c>
      <c r="F32" s="491"/>
      <c r="G32" s="491" t="e">
        <f ca="1">果糖汇总!$G$31*1.13</f>
        <v>#DIV/0!</v>
      </c>
      <c r="I32" s="666" t="s">
        <v>102</v>
      </c>
      <c r="J32" s="663"/>
      <c r="K32" s="501"/>
      <c r="L32" s="492"/>
      <c r="M32" s="491" t="e">
        <f ca="1">果糖汇总!$M$31*1.13</f>
        <v>#DIV/0!</v>
      </c>
      <c r="N32" s="491"/>
      <c r="O32" s="491" t="e">
        <f ca="1">果糖汇总!$O$31*1.13</f>
        <v>#DIV/0!</v>
      </c>
      <c r="P32" s="562"/>
      <c r="Q32" s="661"/>
    </row>
    <row r="33" s="460" customFormat="1" ht="14.25" customHeight="1" spans="1:17">
      <c r="A33" s="541" t="s">
        <v>103</v>
      </c>
      <c r="B33" s="663"/>
      <c r="C33" s="501"/>
      <c r="D33" s="492"/>
      <c r="E33" s="501"/>
      <c r="F33" s="491"/>
      <c r="G33" s="491"/>
      <c r="I33" s="666" t="s">
        <v>103</v>
      </c>
      <c r="J33" s="663"/>
      <c r="K33" s="501"/>
      <c r="L33" s="492"/>
      <c r="M33" s="501"/>
      <c r="N33" s="491"/>
      <c r="O33" s="491"/>
      <c r="P33" s="562"/>
    </row>
    <row r="34" s="460" customFormat="1" ht="14.25" customHeight="1" spans="1:17">
      <c r="A34" s="666" t="s">
        <v>104</v>
      </c>
      <c r="B34" s="663"/>
      <c r="C34" s="501"/>
      <c r="D34" s="492"/>
      <c r="E34" s="491">
        <f ca="1">SUM(E5,-E11,-E13,-E26,-E31,-E25)-SUM(果糖汇总!E5,-果糖汇总!E11,-果糖汇总!E13,-果糖汇总!E26,-果糖汇总!E31,-果糖汇总!E25)</f>
        <v>0</v>
      </c>
      <c r="F34" s="491"/>
      <c r="G34" s="491" t="e">
        <f ca="1">SUM(G5,-G11,-G13,-G26,-G31,-G25)-SUM(果糖汇总!G5,-果糖汇总!G11,-果糖汇总!G13,-果糖汇总!G26,-果糖汇总!G31,-果糖汇总!G25)</f>
        <v>#DIV/0!</v>
      </c>
      <c r="I34" s="666" t="s">
        <v>104</v>
      </c>
      <c r="J34" s="663"/>
      <c r="K34" s="501"/>
      <c r="L34" s="492"/>
      <c r="M34" s="491" t="e">
        <f ca="1">SUM(M5,-M11,-M13,-M26,-M31,-M25)-SUM(果糖汇总!M5,-果糖汇总!M11,-果糖汇总!M13,-果糖汇总!M26,-果糖汇总!M31,-果糖汇总!M25)</f>
        <v>#DIV/0!</v>
      </c>
      <c r="N34" s="491"/>
      <c r="O34" s="491" t="e">
        <f ca="1">SUM(O5,-O11,-O13,-O26,-O31,-O25)-SUM(果糖汇总!O5,-果糖汇总!O11,-果糖汇总!O13,-果糖汇总!O26,-果糖汇总!O31,-果糖汇总!O25)</f>
        <v>#DIV/0!</v>
      </c>
      <c r="P34" s="562"/>
      <c r="Q34" s="678"/>
    </row>
    <row r="35" s="460" customFormat="1" ht="14.25" customHeight="1" spans="1:17">
      <c r="A35" s="666" t="s">
        <v>105</v>
      </c>
      <c r="B35" s="663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12"/>
      <c r="I35" s="666" t="s">
        <v>105</v>
      </c>
      <c r="J35" s="663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562"/>
      <c r="Q35" s="678"/>
    </row>
    <row r="36" s="460" customFormat="1" ht="14.25" customHeight="1" spans="1:17">
      <c r="A36" s="524" t="s">
        <v>106</v>
      </c>
      <c r="B36" s="525"/>
      <c r="C36" s="514"/>
      <c r="D36" s="515"/>
      <c r="E36" s="487">
        <f ca="1">SUM(E37:E43)</f>
        <v>0</v>
      </c>
      <c r="F36" s="526"/>
      <c r="G36" s="487" t="e">
        <f ca="1">SUM(G37:G43)</f>
        <v>#DIV/0!</v>
      </c>
      <c r="I36" s="524" t="s">
        <v>106</v>
      </c>
      <c r="J36" s="525"/>
      <c r="K36" s="514"/>
      <c r="L36" s="515"/>
      <c r="M36" s="671" t="e">
        <f ca="1">SUM(M37:M43)</f>
        <v>#DIV/0!</v>
      </c>
      <c r="N36" s="526"/>
      <c r="O36" s="487" t="e">
        <f ca="1">SUM(O37:O43)</f>
        <v>#DIV/0!</v>
      </c>
      <c r="P36" s="562"/>
      <c r="Q36" s="527"/>
    </row>
    <row r="37" s="460" customFormat="1" ht="14.25" customHeight="1" spans="1:17">
      <c r="A37" s="672" t="s">
        <v>107</v>
      </c>
      <c r="B37" s="665"/>
      <c r="C37" s="505"/>
      <c r="D37" s="497"/>
      <c r="E37" s="507">
        <f ca="1" t="shared" ref="E37:E50" si="0">IF(F$3=0,0,G37/F$3)</f>
        <v>0</v>
      </c>
      <c r="F37" s="673"/>
      <c r="G37" s="507" t="e">
        <f ca="1">果糖汇总!G37</f>
        <v>#DIV/0!</v>
      </c>
      <c r="H37" s="527"/>
      <c r="I37" s="672" t="s">
        <v>107</v>
      </c>
      <c r="J37" s="665"/>
      <c r="K37" s="505"/>
      <c r="L37" s="497"/>
      <c r="M37" s="507" t="e">
        <f ca="1" t="shared" ref="M37:M50" si="1">IF(N$3=0,0,O37/N$3)</f>
        <v>#DIV/0!</v>
      </c>
      <c r="N37" s="673"/>
      <c r="O37" s="507" t="e">
        <f ca="1">果糖汇总!O37</f>
        <v>#DIV/0!</v>
      </c>
      <c r="P37" s="562"/>
    </row>
    <row r="38" s="460" customFormat="1" ht="14.25" customHeight="1" spans="1:17">
      <c r="A38" s="672" t="s">
        <v>108</v>
      </c>
      <c r="B38" s="665"/>
      <c r="C38" s="505"/>
      <c r="D38" s="497"/>
      <c r="E38" s="507">
        <f ca="1" t="shared" si="0"/>
        <v>0</v>
      </c>
      <c r="F38" s="673"/>
      <c r="G38" s="507" t="e">
        <f ca="1">果糖汇总!G38</f>
        <v>#DIV/0!</v>
      </c>
      <c r="H38" s="527"/>
      <c r="I38" s="672" t="s">
        <v>108</v>
      </c>
      <c r="J38" s="665"/>
      <c r="K38" s="505"/>
      <c r="L38" s="497"/>
      <c r="M38" s="507" t="e">
        <f ca="1" t="shared" si="1"/>
        <v>#DIV/0!</v>
      </c>
      <c r="N38" s="673"/>
      <c r="O38" s="507" t="e">
        <f ca="1">果糖汇总!O38</f>
        <v>#DIV/0!</v>
      </c>
      <c r="P38" s="562"/>
    </row>
    <row r="39" s="460" customFormat="1" ht="14.25" customHeight="1" spans="1:17">
      <c r="A39" s="672" t="s">
        <v>109</v>
      </c>
      <c r="B39" s="665"/>
      <c r="C39" s="498"/>
      <c r="D39" s="518"/>
      <c r="E39" s="507">
        <f ca="1" t="shared" si="0"/>
        <v>0</v>
      </c>
      <c r="F39" s="673"/>
      <c r="G39" s="507" t="e">
        <f ca="1">果糖汇总!G39</f>
        <v>#DIV/0!</v>
      </c>
      <c r="H39" s="527"/>
      <c r="I39" s="672" t="s">
        <v>109</v>
      </c>
      <c r="J39" s="665"/>
      <c r="K39" s="498"/>
      <c r="L39" s="518"/>
      <c r="M39" s="507" t="e">
        <f ca="1" t="shared" si="1"/>
        <v>#DIV/0!</v>
      </c>
      <c r="N39" s="673"/>
      <c r="O39" s="507" t="e">
        <f ca="1">果糖汇总!O39</f>
        <v>#DIV/0!</v>
      </c>
      <c r="P39" s="562"/>
    </row>
    <row r="40" s="460" customFormat="1" ht="14.25" customHeight="1" spans="1:17">
      <c r="A40" s="672" t="s">
        <v>110</v>
      </c>
      <c r="B40" s="665"/>
      <c r="C40" s="498"/>
      <c r="D40" s="518"/>
      <c r="E40" s="507">
        <f ca="1" t="shared" si="0"/>
        <v>0</v>
      </c>
      <c r="F40" s="673"/>
      <c r="G40" s="507" t="e">
        <f ca="1">果糖汇总!G40</f>
        <v>#DIV/0!</v>
      </c>
      <c r="H40" s="527"/>
      <c r="I40" s="672" t="s">
        <v>110</v>
      </c>
      <c r="J40" s="665"/>
      <c r="K40" s="498"/>
      <c r="L40" s="518"/>
      <c r="M40" s="507" t="e">
        <f ca="1" t="shared" si="1"/>
        <v>#DIV/0!</v>
      </c>
      <c r="N40" s="673"/>
      <c r="O40" s="507" t="e">
        <f ca="1">果糖汇总!O40</f>
        <v>#DIV/0!</v>
      </c>
      <c r="P40" s="562"/>
    </row>
    <row r="41" s="460" customFormat="1" ht="14.25" customHeight="1" spans="1:17">
      <c r="A41" s="672" t="s">
        <v>111</v>
      </c>
      <c r="B41" s="665"/>
      <c r="C41" s="498"/>
      <c r="D41" s="518"/>
      <c r="E41" s="507">
        <f ca="1" t="shared" si="0"/>
        <v>0</v>
      </c>
      <c r="F41" s="673"/>
      <c r="G41" s="507" t="e">
        <f ca="1">果糖汇总!G41</f>
        <v>#DIV/0!</v>
      </c>
      <c r="H41" s="527"/>
      <c r="I41" s="672" t="s">
        <v>111</v>
      </c>
      <c r="J41" s="665"/>
      <c r="K41" s="498"/>
      <c r="L41" s="518"/>
      <c r="M41" s="507" t="e">
        <f ca="1" t="shared" si="1"/>
        <v>#DIV/0!</v>
      </c>
      <c r="N41" s="673"/>
      <c r="O41" s="507" t="e">
        <f ca="1">果糖汇总!O41</f>
        <v>#DIV/0!</v>
      </c>
      <c r="P41" s="562"/>
    </row>
    <row r="42" s="460" customFormat="1" ht="14.25" customHeight="1" spans="1:17">
      <c r="A42" s="672" t="s">
        <v>112</v>
      </c>
      <c r="B42" s="665"/>
      <c r="C42" s="498"/>
      <c r="D42" s="518"/>
      <c r="E42" s="507">
        <f ca="1" t="shared" si="0"/>
        <v>0</v>
      </c>
      <c r="F42" s="673"/>
      <c r="G42" s="507" t="e">
        <f ca="1">果糖汇总!G42</f>
        <v>#DIV/0!</v>
      </c>
      <c r="H42" s="527"/>
      <c r="I42" s="672" t="s">
        <v>112</v>
      </c>
      <c r="J42" s="665"/>
      <c r="K42" s="498"/>
      <c r="L42" s="518"/>
      <c r="M42" s="507" t="e">
        <f ca="1" t="shared" si="1"/>
        <v>#DIV/0!</v>
      </c>
      <c r="N42" s="673"/>
      <c r="O42" s="507" t="e">
        <f ca="1">果糖汇总!O42</f>
        <v>#DIV/0!</v>
      </c>
      <c r="P42" s="562"/>
    </row>
    <row r="43" s="460" customFormat="1" ht="14.25" customHeight="1" spans="1:17">
      <c r="A43" s="672" t="s">
        <v>113</v>
      </c>
      <c r="B43" s="665"/>
      <c r="C43" s="498"/>
      <c r="D43" s="518"/>
      <c r="E43" s="576">
        <f ca="1" t="shared" si="0"/>
        <v>0</v>
      </c>
      <c r="F43" s="673"/>
      <c r="G43" s="507" t="e">
        <f ca="1">果糖汇总!G43</f>
        <v>#DIV/0!</v>
      </c>
      <c r="I43" s="672" t="s">
        <v>114</v>
      </c>
      <c r="J43" s="665"/>
      <c r="K43" s="498"/>
      <c r="L43" s="518"/>
      <c r="M43" s="576" t="e">
        <f ca="1" t="shared" si="1"/>
        <v>#DIV/0!</v>
      </c>
      <c r="N43" s="673"/>
      <c r="O43" s="507" t="e">
        <f ca="1">果糖汇总!O43</f>
        <v>#DIV/0!</v>
      </c>
      <c r="P43" s="562"/>
    </row>
    <row r="44" s="460" customFormat="1" ht="14.25" customHeight="1" spans="1:17">
      <c r="A44" s="672" t="s">
        <v>115</v>
      </c>
      <c r="B44" s="665"/>
      <c r="C44" s="498"/>
      <c r="D44" s="518"/>
      <c r="E44" s="576">
        <f ca="1" t="shared" si="0"/>
        <v>0</v>
      </c>
      <c r="F44" s="673"/>
      <c r="G44" s="507" t="e">
        <f ca="1">果糖汇总!G44</f>
        <v>#DIV/0!</v>
      </c>
      <c r="I44" s="672" t="s">
        <v>115</v>
      </c>
      <c r="J44" s="665"/>
      <c r="K44" s="498"/>
      <c r="L44" s="518"/>
      <c r="M44" s="576" t="e">
        <f ca="1" t="shared" si="1"/>
        <v>#DIV/0!</v>
      </c>
      <c r="N44" s="673"/>
      <c r="O44" s="507" t="e">
        <f ca="1">果糖汇总!O44</f>
        <v>#DIV/0!</v>
      </c>
      <c r="P44" s="562"/>
    </row>
    <row r="45" s="460" customFormat="1" ht="14.25" customHeight="1" spans="1:17">
      <c r="A45" s="672" t="s">
        <v>116</v>
      </c>
      <c r="B45" s="665"/>
      <c r="C45" s="498"/>
      <c r="D45" s="518"/>
      <c r="E45" s="576">
        <f ca="1" t="shared" si="0"/>
        <v>0</v>
      </c>
      <c r="F45" s="673"/>
      <c r="G45" s="507" t="e">
        <f ca="1">果糖汇总!G45</f>
        <v>#DIV/0!</v>
      </c>
      <c r="I45" s="672" t="s">
        <v>116</v>
      </c>
      <c r="J45" s="665"/>
      <c r="K45" s="498"/>
      <c r="L45" s="518"/>
      <c r="M45" s="576" t="e">
        <f ca="1" t="shared" si="1"/>
        <v>#DIV/0!</v>
      </c>
      <c r="N45" s="673"/>
      <c r="O45" s="507" t="e">
        <f ca="1">果糖汇总!O45</f>
        <v>#DIV/0!</v>
      </c>
      <c r="P45" s="562"/>
    </row>
    <row r="46" s="460" customFormat="1" ht="14.25" customHeight="1" spans="1:17">
      <c r="A46" s="672" t="s">
        <v>117</v>
      </c>
      <c r="B46" s="665"/>
      <c r="C46" s="498"/>
      <c r="D46" s="518"/>
      <c r="E46" s="576">
        <f ca="1" t="shared" si="0"/>
        <v>0</v>
      </c>
      <c r="F46" s="673"/>
      <c r="G46" s="507" t="e">
        <f ca="1">果糖汇总!G46</f>
        <v>#DIV/0!</v>
      </c>
      <c r="I46" s="672" t="s">
        <v>117</v>
      </c>
      <c r="J46" s="665"/>
      <c r="K46" s="498"/>
      <c r="L46" s="518"/>
      <c r="M46" s="576" t="e">
        <f ca="1" t="shared" si="1"/>
        <v>#DIV/0!</v>
      </c>
      <c r="N46" s="673"/>
      <c r="O46" s="507" t="e">
        <f ca="1">果糖汇总!O46</f>
        <v>#DIV/0!</v>
      </c>
      <c r="P46" s="562"/>
    </row>
    <row r="47" s="460" customFormat="1" ht="14.25" customHeight="1" spans="1:17">
      <c r="A47" s="672" t="s">
        <v>118</v>
      </c>
      <c r="B47" s="665"/>
      <c r="C47" s="498"/>
      <c r="D47" s="518"/>
      <c r="E47" s="576">
        <f ca="1" t="shared" si="0"/>
        <v>0</v>
      </c>
      <c r="F47" s="673"/>
      <c r="G47" s="507" t="e">
        <f ca="1">果糖汇总!G47</f>
        <v>#DIV/0!</v>
      </c>
      <c r="I47" s="672" t="s">
        <v>118</v>
      </c>
      <c r="J47" s="665"/>
      <c r="K47" s="498"/>
      <c r="L47" s="518"/>
      <c r="M47" s="576" t="e">
        <f ca="1" t="shared" si="1"/>
        <v>#DIV/0!</v>
      </c>
      <c r="N47" s="673"/>
      <c r="O47" s="507" t="e">
        <f ca="1">果糖汇总!O47</f>
        <v>#DIV/0!</v>
      </c>
      <c r="P47" s="562"/>
    </row>
    <row r="48" s="460" customFormat="1" ht="14.25" customHeight="1" spans="1:17">
      <c r="A48" s="672" t="s">
        <v>119</v>
      </c>
      <c r="B48" s="665"/>
      <c r="C48" s="498"/>
      <c r="D48" s="518"/>
      <c r="E48" s="576">
        <f ca="1" t="shared" si="0"/>
        <v>0</v>
      </c>
      <c r="F48" s="673"/>
      <c r="G48" s="507" t="e">
        <f ca="1">果糖汇总!G48</f>
        <v>#DIV/0!</v>
      </c>
      <c r="I48" s="672" t="s">
        <v>119</v>
      </c>
      <c r="J48" s="665"/>
      <c r="K48" s="498"/>
      <c r="L48" s="518"/>
      <c r="M48" s="576" t="e">
        <f ca="1" t="shared" si="1"/>
        <v>#DIV/0!</v>
      </c>
      <c r="N48" s="673"/>
      <c r="O48" s="507" t="e">
        <f ca="1">果糖汇总!O48</f>
        <v>#DIV/0!</v>
      </c>
      <c r="P48" s="562"/>
    </row>
    <row r="49" s="460" customFormat="1" ht="14.25" customHeight="1" spans="1:19">
      <c r="A49" s="672" t="s">
        <v>120</v>
      </c>
      <c r="B49" s="665"/>
      <c r="C49" s="498"/>
      <c r="D49" s="518"/>
      <c r="E49" s="576">
        <f ca="1" t="shared" si="0"/>
        <v>0</v>
      </c>
      <c r="F49" s="673"/>
      <c r="G49" s="507" t="e">
        <f ca="1">果糖汇总!G49</f>
        <v>#DIV/0!</v>
      </c>
      <c r="I49" s="672" t="s">
        <v>120</v>
      </c>
      <c r="J49" s="665"/>
      <c r="K49" s="498"/>
      <c r="L49" s="518"/>
      <c r="M49" s="576" t="e">
        <f ca="1" t="shared" si="1"/>
        <v>#DIV/0!</v>
      </c>
      <c r="N49" s="673"/>
      <c r="O49" s="507" t="e">
        <f ca="1">果糖汇总!O49</f>
        <v>#DIV/0!</v>
      </c>
      <c r="P49" s="562"/>
    </row>
    <row r="50" s="460" customFormat="1" ht="14.25" customHeight="1" spans="1:19">
      <c r="A50" s="672" t="s">
        <v>121</v>
      </c>
      <c r="B50" s="665"/>
      <c r="C50" s="498"/>
      <c r="D50" s="518"/>
      <c r="E50" s="576">
        <f ca="1" t="shared" si="0"/>
        <v>0</v>
      </c>
      <c r="F50" s="673"/>
      <c r="G50" s="507" t="e">
        <f ca="1">果糖汇总!G50</f>
        <v>#DIV/0!</v>
      </c>
      <c r="I50" s="672" t="s">
        <v>121</v>
      </c>
      <c r="J50" s="665"/>
      <c r="K50" s="498"/>
      <c r="L50" s="518"/>
      <c r="M50" s="576" t="e">
        <f ca="1" t="shared" si="1"/>
        <v>#DIV/0!</v>
      </c>
      <c r="N50" s="673"/>
      <c r="O50" s="507" t="e">
        <f ca="1">果糖汇总!O50</f>
        <v>#DIV/0!</v>
      </c>
      <c r="P50" s="562"/>
    </row>
    <row r="51" s="460" customFormat="1" ht="14.25" customHeight="1" spans="1:19">
      <c r="A51" s="685" t="s">
        <v>122</v>
      </c>
      <c r="B51" s="525" t="s">
        <v>123</v>
      </c>
      <c r="C51" s="514"/>
      <c r="D51" s="515"/>
      <c r="E51" s="487">
        <f ca="1">E36+E10</f>
        <v>0</v>
      </c>
      <c r="F51" s="526"/>
      <c r="G51" s="487" t="e">
        <f ca="1">G36+G10</f>
        <v>#DIV/0!</v>
      </c>
      <c r="H51" s="527"/>
      <c r="I51" s="685" t="s">
        <v>122</v>
      </c>
      <c r="J51" s="525" t="s">
        <v>123</v>
      </c>
      <c r="K51" s="514"/>
      <c r="L51" s="515"/>
      <c r="M51" s="487" t="e">
        <f ca="1">M36+M10</f>
        <v>#DIV/0!</v>
      </c>
      <c r="N51" s="526"/>
      <c r="O51" s="487" t="e">
        <f ca="1">O36+O10</f>
        <v>#DIV/0!</v>
      </c>
      <c r="P51" s="562"/>
    </row>
    <row r="52" s="460" customFormat="1" ht="14.25" customHeight="1" spans="1:19">
      <c r="A52" s="524" t="s">
        <v>124</v>
      </c>
      <c r="B52" s="525" t="s">
        <v>123</v>
      </c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52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562"/>
    </row>
    <row r="53" s="460" customFormat="1" ht="14.25" customHeight="1" spans="1:19">
      <c r="A53" s="524" t="s">
        <v>125</v>
      </c>
      <c r="B53" s="525" t="s">
        <v>123</v>
      </c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52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  <c r="P53" s="562"/>
    </row>
    <row r="54" s="638" customFormat="1" ht="14.25" customHeight="1" spans="1:19">
      <c r="A54" s="675" t="s">
        <v>126</v>
      </c>
      <c r="B54" s="676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677"/>
      <c r="I54" s="675" t="s">
        <v>126</v>
      </c>
      <c r="J54" s="676" t="s">
        <v>123</v>
      </c>
      <c r="K54" s="531"/>
      <c r="L54" s="532"/>
      <c r="M54" s="533" t="e">
        <f ca="1">M10-M11+M36-M25</f>
        <v>#DIV/0!</v>
      </c>
      <c r="N54" s="533"/>
      <c r="O54" s="534" t="e">
        <f ca="1">O10-O11+O36-O25</f>
        <v>#DIV/0!</v>
      </c>
      <c r="P54" s="562"/>
      <c r="Q54" s="678"/>
      <c r="R54" s="678"/>
      <c r="S54" s="678"/>
    </row>
    <row r="55" s="40" customFormat="1" customHeight="1" spans="1:19">
      <c r="A55" s="516" t="s">
        <v>127</v>
      </c>
      <c r="B55" s="681"/>
      <c r="C55" s="85"/>
      <c r="D55" s="85"/>
      <c r="E55" s="576">
        <f ca="1" t="shared" ref="E55" si="2">IF(F$3=0,0,G55/F$3)</f>
        <v>0</v>
      </c>
      <c r="F55" s="517"/>
      <c r="G55" s="575" t="e">
        <f ca="1">果糖汇总!G55</f>
        <v>#DIV/0!</v>
      </c>
      <c r="I55" s="516" t="s">
        <v>127</v>
      </c>
      <c r="J55" s="85"/>
      <c r="K55" s="85"/>
      <c r="L55" s="85"/>
      <c r="M55" s="576" t="e">
        <f ca="1" t="shared" ref="M55" si="3">IF(N$3=0,0,O55/N$3)</f>
        <v>#DIV/0!</v>
      </c>
      <c r="N55" s="517"/>
      <c r="O55" s="576" t="e">
        <f ca="1">果糖汇总!O55</f>
        <v>#DIV/0!</v>
      </c>
    </row>
    <row r="56" s="460" customFormat="1" customHeight="1" spans="1:19">
      <c r="B56" s="635"/>
      <c r="E56" s="539"/>
      <c r="G56" s="527"/>
      <c r="H56" s="679"/>
      <c r="I56" s="679"/>
      <c r="J56" s="679"/>
      <c r="K56" s="679"/>
      <c r="L56" s="679"/>
      <c r="M56" s="679"/>
      <c r="N56" s="679"/>
      <c r="O56" s="527"/>
      <c r="P56" s="562"/>
    </row>
    <row r="57" s="460" customFormat="1" customHeight="1" spans="1:19">
      <c r="B57" s="635"/>
      <c r="E57" s="539"/>
      <c r="G57" s="658"/>
      <c r="H57" s="679"/>
      <c r="P57" s="562"/>
    </row>
    <row r="58" s="460" customFormat="1" customHeight="1" spans="1:19">
      <c r="A58" s="686" t="s">
        <v>131</v>
      </c>
      <c r="B58" s="635"/>
      <c r="E58" s="539">
        <f ca="1">E35-果糖汇总!E35</f>
        <v>0</v>
      </c>
      <c r="F58" s="539"/>
      <c r="G58" s="539" t="e">
        <f ca="1">G35-果糖汇总!G35</f>
        <v>#DIV/0!</v>
      </c>
      <c r="L58" s="460" t="s">
        <v>132</v>
      </c>
      <c r="M58" s="539" t="e">
        <f ca="1">M35-果糖汇总!M35</f>
        <v>#DIV/0!</v>
      </c>
      <c r="O58" s="539" t="e">
        <f ca="1">O35-果糖汇总!O35</f>
        <v>#DIV/0!</v>
      </c>
      <c r="P58" s="562"/>
    </row>
    <row r="59" s="460" customFormat="1" customHeight="1" spans="1:19">
      <c r="B59" s="635"/>
      <c r="E59" s="539"/>
      <c r="O59" s="539" t="e">
        <f ca="1">O36-果糖汇总!O36</f>
        <v>#DIV/0!</v>
      </c>
      <c r="P59" s="562"/>
    </row>
    <row r="60" s="460" customFormat="1" customHeight="1" spans="1:19">
      <c r="B60" s="635"/>
      <c r="E60" s="539"/>
      <c r="P60" s="562"/>
    </row>
    <row r="61" s="460" customFormat="1" customHeight="1" spans="1:19">
      <c r="B61" s="635"/>
      <c r="E61" s="539"/>
      <c r="P61" s="562"/>
    </row>
    <row r="62" s="460" customFormat="1" customHeight="1" spans="1:19">
      <c r="B62" s="635"/>
      <c r="E62" s="539"/>
      <c r="P62" s="562"/>
    </row>
    <row r="64" s="460" customFormat="1" customHeight="1" spans="1:19">
      <c r="B64" s="635"/>
      <c r="E64" s="539"/>
      <c r="P64" s="562"/>
    </row>
    <row r="65" s="460" customFormat="1" customHeight="1" spans="2:16">
      <c r="B65" s="635"/>
      <c r="E65" s="539"/>
      <c r="P65" s="562"/>
    </row>
    <row r="66" s="460" customFormat="1" customHeight="1" spans="2:16">
      <c r="B66" s="635"/>
      <c r="E66" s="539"/>
      <c r="P66" s="562"/>
    </row>
    <row r="67" s="460" customFormat="1" customHeight="1" spans="2:16">
      <c r="B67" s="635"/>
      <c r="E67" s="539"/>
      <c r="P67" s="56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6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3"/>
  </sheetPr>
  <dimension ref="A1:T74"/>
  <sheetViews>
    <sheetView workbookViewId="0">
      <pane xSplit="2" ySplit="4" topLeftCell="C50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7.5" style="40" customWidth="1"/>
    <col min="4" max="4" width="8.5" style="40" customWidth="1"/>
    <col min="5" max="5" width="9" style="462" customWidth="1"/>
    <col min="6" max="6" width="9.5" style="40" customWidth="1"/>
    <col min="7" max="7" width="10.5" style="40" customWidth="1"/>
    <col min="8" max="8" width="11.375" style="40" customWidth="1"/>
    <col min="9" max="9" width="28" style="40" customWidth="1"/>
    <col min="10" max="10" width="3.625" style="40" customWidth="1"/>
    <col min="11" max="11" width="7.5" style="40" customWidth="1"/>
    <col min="12" max="13" width="8.5" style="40" customWidth="1"/>
    <col min="14" max="14" width="9.5" style="40" customWidth="1"/>
    <col min="15" max="15" width="13" style="40" customWidth="1"/>
    <col min="16" max="16" width="10.5" style="40" customWidth="1"/>
    <col min="17" max="17" width="11.375" style="40" customWidth="1"/>
    <col min="18" max="18" width="13" style="40" customWidth="1"/>
    <col min="19" max="16384" width="9" style="40"/>
  </cols>
  <sheetData>
    <row r="1" s="458" customFormat="1" ht="42.75" customHeight="1" spans="1:18">
      <c r="A1" s="97" t="str">
        <f>CONCATENATE("专用糖综合成本利润表_含税(2025年"&amp;mth&amp;"月)")</f>
        <v>专用糖综合成本利润表_含税(2025年8月)</v>
      </c>
      <c r="B1" s="98"/>
      <c r="C1" s="98"/>
      <c r="D1" s="98"/>
      <c r="E1" s="98"/>
      <c r="F1" s="98"/>
      <c r="G1" s="98"/>
      <c r="I1" s="463" t="str">
        <f>CONCATENATE("专用糖综合成本利润表_含税(2025年1-"&amp;mth&amp;"月)")</f>
        <v>专用糖综合成本利润表_含税(2025年1-8月)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专用糖!F3</f>
        <v>0</v>
      </c>
      <c r="G3" s="39" t="s">
        <v>75</v>
      </c>
      <c r="M3" s="378" t="s">
        <v>134</v>
      </c>
      <c r="N3" s="466">
        <f ca="1">专用糖!N3</f>
        <v>38999.431</v>
      </c>
      <c r="O3" s="39" t="s">
        <v>75</v>
      </c>
    </row>
    <row r="4" s="459" customFormat="1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3182.0162796326</v>
      </c>
      <c r="N5" s="472"/>
      <c r="O5" s="474">
        <f ca="1">O6-O7</f>
        <v>124096824.338408</v>
      </c>
      <c r="P5" s="475"/>
      <c r="Q5" s="475"/>
    </row>
    <row r="6" s="459" customFormat="1" customHeight="1" spans="1:18">
      <c r="A6" s="476" t="s">
        <v>84</v>
      </c>
      <c r="B6" s="477"/>
      <c r="C6" s="478"/>
      <c r="D6" s="479"/>
      <c r="E6" s="480">
        <f ca="1">OFFSET(销售收入及运费!C97,0,mth-1,1,1)</f>
        <v>0</v>
      </c>
      <c r="F6" s="479"/>
      <c r="G6" s="480">
        <f ca="1">F3*E6</f>
        <v>0</v>
      </c>
      <c r="H6" s="510"/>
      <c r="I6" s="481" t="s">
        <v>84</v>
      </c>
      <c r="J6" s="477"/>
      <c r="K6" s="478"/>
      <c r="L6" s="479"/>
      <c r="M6" s="480">
        <f ca="1">销售收入及运费!O97</f>
        <v>3257.64971955846</v>
      </c>
      <c r="N6" s="482"/>
      <c r="O6" s="507">
        <f ca="1">M6*$N$3</f>
        <v>127046485.460089</v>
      </c>
      <c r="P6" s="475"/>
      <c r="Q6" s="475"/>
      <c r="R6" s="511"/>
    </row>
    <row r="7" s="459" customFormat="1" customHeight="1" spans="1:18">
      <c r="A7" s="476" t="s">
        <v>85</v>
      </c>
      <c r="B7" s="477"/>
      <c r="C7" s="479"/>
      <c r="D7" s="479"/>
      <c r="E7" s="480">
        <f ca="1">OFFSET(销售收入及运费!C195,0,mth-1,1,1)</f>
        <v>0</v>
      </c>
      <c r="F7" s="480"/>
      <c r="G7" s="480">
        <f ca="1">E7*$F$3</f>
        <v>0</v>
      </c>
      <c r="H7" s="510"/>
      <c r="I7" s="476" t="s">
        <v>85</v>
      </c>
      <c r="J7" s="477"/>
      <c r="K7" s="479"/>
      <c r="L7" s="479"/>
      <c r="M7" s="480">
        <f ca="1">销售收入及运费!O195</f>
        <v>75.6334399258585</v>
      </c>
      <c r="N7" s="482"/>
      <c r="O7" s="507">
        <f ca="1">M7*$N$3</f>
        <v>2949661.12168116</v>
      </c>
      <c r="P7" s="475"/>
      <c r="Q7" s="475"/>
      <c r="R7" s="511"/>
    </row>
    <row r="8" s="459" customFormat="1" customHeight="1" spans="1:18">
      <c r="A8" s="476" t="s">
        <v>86</v>
      </c>
      <c r="B8" s="477"/>
      <c r="C8" s="479"/>
      <c r="D8" s="479"/>
      <c r="E8" s="480" t="e">
        <f ca="1">专用糖!E8*1.09</f>
        <v>#DIV/0!</v>
      </c>
      <c r="F8" s="480"/>
      <c r="G8" s="480" t="e">
        <f ca="1">专用糖!G8*1.09</f>
        <v>#DIV/0!</v>
      </c>
      <c r="H8" s="510"/>
      <c r="I8" s="476" t="s">
        <v>86</v>
      </c>
      <c r="J8" s="477"/>
      <c r="K8" s="479"/>
      <c r="L8" s="479"/>
      <c r="M8" s="480">
        <f ca="1">专用糖!M8*1.09</f>
        <v>64.282209331744</v>
      </c>
      <c r="N8" s="482"/>
      <c r="O8" s="480">
        <f ca="1">专用糖!O8*1.09</f>
        <v>2506969.5873609</v>
      </c>
      <c r="P8" s="475"/>
      <c r="Q8" s="475"/>
      <c r="R8" s="511"/>
    </row>
    <row r="9" s="459" customFormat="1" customHeight="1" spans="1:18">
      <c r="A9" s="476" t="s">
        <v>87</v>
      </c>
      <c r="B9" s="477"/>
      <c r="C9" s="479"/>
      <c r="D9" s="479"/>
      <c r="E9" s="480" t="e">
        <f ca="1">专用糖!E9*1.13</f>
        <v>#DIV/0!</v>
      </c>
      <c r="F9" s="480"/>
      <c r="G9" s="480" t="e">
        <f ca="1">专用糖!G9*1.13</f>
        <v>#DIV/0!</v>
      </c>
      <c r="H9" s="510"/>
      <c r="I9" s="476" t="s">
        <v>87</v>
      </c>
      <c r="J9" s="477"/>
      <c r="K9" s="479"/>
      <c r="L9" s="479"/>
      <c r="M9" s="480">
        <f ca="1">专用糖!M9*1.13</f>
        <v>11.3512305941146</v>
      </c>
      <c r="N9" s="482"/>
      <c r="O9" s="480">
        <f ca="1">专用糖!O9*1.13</f>
        <v>442691.53432026</v>
      </c>
      <c r="P9" s="475"/>
      <c r="Q9" s="475"/>
      <c r="R9" s="511"/>
    </row>
    <row r="10" s="459" customFormat="1" customHeight="1" spans="1:18">
      <c r="A10" s="484" t="s">
        <v>88</v>
      </c>
      <c r="B10" s="485"/>
      <c r="C10" s="486"/>
      <c r="D10" s="486"/>
      <c r="E10" s="487">
        <f ca="1">E11+E13+E28+E33+E36+E27</f>
        <v>0</v>
      </c>
      <c r="F10" s="488"/>
      <c r="G10" s="487" t="e">
        <f ca="1">G11+G13+G28+G33+G36+G27</f>
        <v>#DIV/0!</v>
      </c>
      <c r="H10" s="510"/>
      <c r="I10" s="484" t="s">
        <v>88</v>
      </c>
      <c r="J10" s="485"/>
      <c r="K10" s="486"/>
      <c r="L10" s="486"/>
      <c r="M10" s="487" t="e">
        <f ca="1">M11+M13+M28+M33+M36+M27</f>
        <v>#DIV/0!</v>
      </c>
      <c r="N10" s="488"/>
      <c r="O10" s="487" t="e">
        <f ca="1">O11+O13+O28+O33+O36+O27</f>
        <v>#DIV/0!</v>
      </c>
      <c r="P10" s="475"/>
      <c r="Q10" s="475"/>
      <c r="R10" s="511"/>
    </row>
    <row r="11" s="459" customFormat="1" customHeight="1" spans="1:18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10"/>
      <c r="I11" s="489" t="s">
        <v>89</v>
      </c>
      <c r="J11" s="490" t="s">
        <v>75</v>
      </c>
      <c r="K11" s="491">
        <f ca="1">IF(N11=0,0,O11/N11)</f>
        <v>2823.08272508011</v>
      </c>
      <c r="L11" s="492">
        <f ca="1">IF(K11=0,0,M11/K11)</f>
        <v>0.849257156349613</v>
      </c>
      <c r="M11" s="491">
        <f ca="1">M12</f>
        <v>2397.52320724125</v>
      </c>
      <c r="N11" s="491">
        <f ca="1">N12</f>
        <v>33120.5458703129</v>
      </c>
      <c r="O11" s="491">
        <f ca="1">O12</f>
        <v>93502040.8917038</v>
      </c>
      <c r="P11" s="475"/>
      <c r="Q11" s="475"/>
    </row>
    <row r="12" s="459" customFormat="1" customHeight="1" spans="1:18">
      <c r="A12" s="502" t="s">
        <v>90</v>
      </c>
      <c r="B12" s="503" t="s">
        <v>75</v>
      </c>
      <c r="C12" s="507">
        <f ca="1">专用糖!C12*1.13</f>
        <v>0</v>
      </c>
      <c r="D12" s="497">
        <f ca="1">专用糖!D12</f>
        <v>0</v>
      </c>
      <c r="E12" s="480">
        <f ca="1">专用糖!E12*1.13</f>
        <v>0</v>
      </c>
      <c r="F12" s="507">
        <f ca="1">专用糖!F12</f>
        <v>0</v>
      </c>
      <c r="G12" s="480">
        <f ca="1">专用糖!G12*1.13</f>
        <v>0</v>
      </c>
      <c r="H12" s="583"/>
      <c r="I12" s="502" t="s">
        <v>90</v>
      </c>
      <c r="J12" s="503" t="s">
        <v>75</v>
      </c>
      <c r="K12" s="507">
        <f ca="1">专用糖!K12*1.13</f>
        <v>2823.08272508011</v>
      </c>
      <c r="L12" s="497">
        <f ca="1">专用糖!L12</f>
        <v>0.849257156349613</v>
      </c>
      <c r="M12" s="480">
        <f ca="1">专用糖!M12*1.13</f>
        <v>2397.52320724125</v>
      </c>
      <c r="N12" s="507">
        <f ca="1">专用糖!N12</f>
        <v>33120.5458703129</v>
      </c>
      <c r="O12" s="480">
        <f ca="1">专用糖!O12*1.13</f>
        <v>93502040.8917038</v>
      </c>
      <c r="P12" s="475"/>
      <c r="Q12" s="475"/>
      <c r="R12" s="475"/>
    </row>
    <row r="13" s="459" customFormat="1" customHeight="1" spans="1:18">
      <c r="A13" s="489" t="s">
        <v>130</v>
      </c>
      <c r="B13" s="490"/>
      <c r="C13" s="501"/>
      <c r="D13" s="492"/>
      <c r="E13" s="491">
        <f ca="1">专用糖!E13*1.13</f>
        <v>0</v>
      </c>
      <c r="F13" s="491"/>
      <c r="G13" s="491">
        <f ca="1">专用糖!G13*1.13</f>
        <v>0</v>
      </c>
      <c r="H13" s="510"/>
      <c r="I13" s="489" t="s">
        <v>130</v>
      </c>
      <c r="J13" s="490"/>
      <c r="K13" s="501"/>
      <c r="L13" s="492"/>
      <c r="M13" s="491">
        <f ca="1">专用糖!M13*1.13</f>
        <v>50.9589346034305</v>
      </c>
      <c r="N13" s="491"/>
      <c r="O13" s="491">
        <f ca="1">专用糖!O13*1.13</f>
        <v>1987369.4539</v>
      </c>
      <c r="P13" s="475"/>
      <c r="Q13" s="475"/>
      <c r="R13" s="475"/>
    </row>
    <row r="14" s="459" customFormat="1" customHeight="1" spans="1:18">
      <c r="A14" s="502" t="s">
        <v>152</v>
      </c>
      <c r="B14" s="503" t="s">
        <v>167</v>
      </c>
      <c r="C14" s="505">
        <f ca="1">专用糖!C14*1.13</f>
        <v>0</v>
      </c>
      <c r="D14" s="505">
        <f ca="1">专用糖!D14</f>
        <v>0</v>
      </c>
      <c r="E14" s="480">
        <f ca="1">专用糖!E14*1.13</f>
        <v>0</v>
      </c>
      <c r="F14" s="507">
        <f ca="1">专用糖!F14</f>
        <v>0</v>
      </c>
      <c r="G14" s="480">
        <f ca="1">专用糖!G14*1.13</f>
        <v>0</v>
      </c>
      <c r="H14" s="510"/>
      <c r="I14" s="502" t="s">
        <v>152</v>
      </c>
      <c r="J14" s="503" t="s">
        <v>167</v>
      </c>
      <c r="K14" s="505">
        <f ca="1">分配表!O254</f>
        <v>4.03642537824256</v>
      </c>
      <c r="L14" s="505">
        <f ca="1">专用糖!L14</f>
        <v>3.7759525260766</v>
      </c>
      <c r="M14" s="506">
        <f ca="1">专用糖!M14*1.13</f>
        <v>15.2413506032947</v>
      </c>
      <c r="N14" s="507">
        <f ca="1">专用糖!N14</f>
        <v>147260</v>
      </c>
      <c r="O14" s="507">
        <f ca="1">专用糖!O14*1.13</f>
        <v>594404.0012</v>
      </c>
      <c r="P14" s="475"/>
      <c r="Q14" s="475"/>
      <c r="R14" s="475"/>
    </row>
    <row r="15" s="459" customFormat="1" customHeight="1" spans="1:18">
      <c r="A15" s="502" t="s">
        <v>153</v>
      </c>
      <c r="B15" s="503" t="s">
        <v>167</v>
      </c>
      <c r="C15" s="505">
        <f ca="1">专用糖!C15*1.13</f>
        <v>0</v>
      </c>
      <c r="D15" s="505">
        <f ca="1">专用糖!D15</f>
        <v>0</v>
      </c>
      <c r="E15" s="480">
        <f ca="1">专用糖!E15*1.13</f>
        <v>0</v>
      </c>
      <c r="F15" s="507">
        <f ca="1">专用糖!F15</f>
        <v>0</v>
      </c>
      <c r="G15" s="480">
        <f ca="1">专用糖!G15*1.13</f>
        <v>0</v>
      </c>
      <c r="H15" s="510"/>
      <c r="I15" s="502" t="s">
        <v>153</v>
      </c>
      <c r="J15" s="503" t="s">
        <v>167</v>
      </c>
      <c r="K15" s="505">
        <f ca="1">分配表!O255</f>
        <v>1.16660824869212</v>
      </c>
      <c r="L15" s="505">
        <f ca="1">专用糖!L15</f>
        <v>3.64414291070042</v>
      </c>
      <c r="M15" s="506">
        <f ca="1">专用糖!M15*1.13</f>
        <v>4.25128717903603</v>
      </c>
      <c r="N15" s="507">
        <f ca="1">专用糖!N15</f>
        <v>142119.5</v>
      </c>
      <c r="O15" s="507">
        <f ca="1">专用糖!O15*1.13</f>
        <v>165797.781</v>
      </c>
      <c r="P15" s="475"/>
      <c r="Q15" s="475"/>
      <c r="R15" s="475"/>
    </row>
    <row r="16" s="459" customFormat="1" customHeight="1" spans="1:18">
      <c r="A16" s="502" t="s">
        <v>154</v>
      </c>
      <c r="B16" s="503" t="s">
        <v>167</v>
      </c>
      <c r="C16" s="505">
        <f ca="1">专用糖!C16*1.13</f>
        <v>0</v>
      </c>
      <c r="D16" s="505">
        <f ca="1">专用糖!D16</f>
        <v>0</v>
      </c>
      <c r="E16" s="480">
        <f ca="1">专用糖!E16*1.13</f>
        <v>0</v>
      </c>
      <c r="F16" s="507">
        <f ca="1">专用糖!F16</f>
        <v>0</v>
      </c>
      <c r="G16" s="480">
        <f ca="1">专用糖!G16*1.13</f>
        <v>0</v>
      </c>
      <c r="H16" s="510"/>
      <c r="I16" s="502" t="s">
        <v>154</v>
      </c>
      <c r="J16" s="503" t="s">
        <v>167</v>
      </c>
      <c r="K16" s="505">
        <f ca="1">分配表!O256</f>
        <v>3.56375250351933</v>
      </c>
      <c r="L16" s="505">
        <f ca="1">专用糖!L16</f>
        <v>4.48810650596415</v>
      </c>
      <c r="M16" s="506">
        <f ca="1">专用糖!M16*1.13</f>
        <v>15.9945007966911</v>
      </c>
      <c r="N16" s="507">
        <f ca="1">专用糖!N16</f>
        <v>175033.6</v>
      </c>
      <c r="O16" s="507">
        <f ca="1">专用糖!O16*1.13</f>
        <v>623776.4302</v>
      </c>
      <c r="P16" s="475"/>
      <c r="Q16" s="475"/>
      <c r="R16" s="475"/>
    </row>
    <row r="17" s="459" customFormat="1" customHeight="1" spans="1:18">
      <c r="A17" s="502" t="s">
        <v>155</v>
      </c>
      <c r="B17" s="503" t="s">
        <v>167</v>
      </c>
      <c r="C17" s="505">
        <f ca="1">专用糖!C17*1.13</f>
        <v>0</v>
      </c>
      <c r="D17" s="505">
        <f ca="1">专用糖!D17</f>
        <v>0</v>
      </c>
      <c r="E17" s="628">
        <f ca="1">专用糖!E17*1.13</f>
        <v>0</v>
      </c>
      <c r="F17" s="507">
        <f ca="1">专用糖!F17</f>
        <v>0</v>
      </c>
      <c r="G17" s="480">
        <f ca="1">专用糖!G17*1.13</f>
        <v>0</v>
      </c>
      <c r="H17" s="510"/>
      <c r="I17" s="502" t="s">
        <v>155</v>
      </c>
      <c r="J17" s="503" t="s">
        <v>167</v>
      </c>
      <c r="K17" s="505">
        <f ca="1">分配表!O257</f>
        <v>2.42341306666667</v>
      </c>
      <c r="L17" s="505">
        <f ca="1">专用糖!L17</f>
        <v>0.0769241992274195</v>
      </c>
      <c r="M17" s="506">
        <f ca="1">专用糖!M17*1.13</f>
        <v>0.186419109550598</v>
      </c>
      <c r="N17" s="507">
        <f ca="1">专用糖!N17</f>
        <v>3000</v>
      </c>
      <c r="O17" s="507">
        <f ca="1">专用糖!O17*1.13</f>
        <v>7270.2392</v>
      </c>
      <c r="P17" s="475"/>
      <c r="Q17" s="475"/>
      <c r="R17" s="475"/>
    </row>
    <row r="18" s="459" customFormat="1" customHeight="1" spans="1:18">
      <c r="A18" s="502" t="s">
        <v>156</v>
      </c>
      <c r="B18" s="503" t="s">
        <v>167</v>
      </c>
      <c r="C18" s="505">
        <f ca="1">专用糖!C18*1.13</f>
        <v>0</v>
      </c>
      <c r="D18" s="505">
        <f ca="1">专用糖!D18</f>
        <v>0</v>
      </c>
      <c r="E18" s="480">
        <f ca="1">专用糖!E18*1.13</f>
        <v>0</v>
      </c>
      <c r="F18" s="507">
        <f ca="1">专用糖!F18</f>
        <v>0</v>
      </c>
      <c r="G18" s="480">
        <f ca="1">专用糖!G18*1.13</f>
        <v>0</v>
      </c>
      <c r="H18" s="510"/>
      <c r="I18" s="502" t="s">
        <v>156</v>
      </c>
      <c r="J18" s="503" t="s">
        <v>167</v>
      </c>
      <c r="K18" s="505">
        <f ca="1">分配表!O258</f>
        <v>40.0000140885984</v>
      </c>
      <c r="L18" s="505">
        <f ca="1">专用糖!L18</f>
        <v>0.0353082074453855</v>
      </c>
      <c r="M18" s="506">
        <f ca="1">专用糖!M18*1.13</f>
        <v>1.41232879525858</v>
      </c>
      <c r="N18" s="507">
        <f ca="1">专用糖!N18</f>
        <v>1377</v>
      </c>
      <c r="O18" s="507">
        <f ca="1">专用糖!O18*1.13</f>
        <v>55080.0194</v>
      </c>
      <c r="P18" s="475"/>
      <c r="Q18" s="475"/>
      <c r="R18" s="475"/>
    </row>
    <row r="19" s="459" customFormat="1" customHeight="1" spans="1:18">
      <c r="A19" s="502" t="s">
        <v>157</v>
      </c>
      <c r="B19" s="503" t="s">
        <v>167</v>
      </c>
      <c r="C19" s="505">
        <f ca="1">专用糖!C19*1.13</f>
        <v>0</v>
      </c>
      <c r="D19" s="505">
        <f ca="1">专用糖!D19</f>
        <v>0</v>
      </c>
      <c r="E19" s="480">
        <f ca="1">专用糖!E19*1.13</f>
        <v>0</v>
      </c>
      <c r="F19" s="507">
        <f ca="1">专用糖!F19</f>
        <v>0</v>
      </c>
      <c r="G19" s="480">
        <f ca="1">专用糖!G19*1.13</f>
        <v>0</v>
      </c>
      <c r="H19" s="510"/>
      <c r="I19" s="502" t="s">
        <v>157</v>
      </c>
      <c r="J19" s="503" t="s">
        <v>167</v>
      </c>
      <c r="K19" s="505">
        <f ca="1">分配表!O259</f>
        <v>20.9625219530239</v>
      </c>
      <c r="L19" s="505">
        <f ca="1">专用糖!L19</f>
        <v>0.138643048407552</v>
      </c>
      <c r="M19" s="506">
        <f ca="1">专用糖!M19*1.13</f>
        <v>2.90630794587747</v>
      </c>
      <c r="N19" s="507">
        <f ca="1">专用糖!N19</f>
        <v>5407</v>
      </c>
      <c r="O19" s="507">
        <f ca="1">专用糖!O19*1.13</f>
        <v>113344.3562</v>
      </c>
      <c r="P19" s="475"/>
      <c r="Q19" s="475"/>
      <c r="R19" s="475"/>
    </row>
    <row r="20" s="459" customFormat="1" customHeight="1" spans="1:18">
      <c r="A20" s="502" t="s">
        <v>158</v>
      </c>
      <c r="B20" s="503" t="s">
        <v>167</v>
      </c>
      <c r="C20" s="505">
        <f ca="1">专用糖!C20*1.13</f>
        <v>0</v>
      </c>
      <c r="D20" s="505">
        <f ca="1">专用糖!D20</f>
        <v>0</v>
      </c>
      <c r="E20" s="480">
        <f ca="1">专用糖!E20*1.13</f>
        <v>0</v>
      </c>
      <c r="F20" s="507">
        <f ca="1">专用糖!F20</f>
        <v>0</v>
      </c>
      <c r="G20" s="480">
        <f ca="1">专用糖!G20*1.13</f>
        <v>0</v>
      </c>
      <c r="H20" s="510"/>
      <c r="I20" s="502" t="s">
        <v>158</v>
      </c>
      <c r="J20" s="503" t="s">
        <v>167</v>
      </c>
      <c r="K20" s="505">
        <f ca="1">分配表!O260</f>
        <v>39.9999781652767</v>
      </c>
      <c r="L20" s="505">
        <f ca="1">专用糖!L20</f>
        <v>0.0169105031301611</v>
      </c>
      <c r="M20" s="506">
        <f ca="1">专用糖!M20*1.13</f>
        <v>0.676419755970286</v>
      </c>
      <c r="N20" s="507">
        <f ca="1">专用糖!N20</f>
        <v>659.5</v>
      </c>
      <c r="O20" s="507">
        <f ca="1">专用糖!O20*1.13</f>
        <v>26379.9856</v>
      </c>
      <c r="P20" s="475"/>
      <c r="Q20" s="475"/>
      <c r="R20" s="475"/>
    </row>
    <row r="21" s="459" customFormat="1" customHeight="1" spans="1:18">
      <c r="A21" s="502" t="s">
        <v>159</v>
      </c>
      <c r="B21" s="503" t="s">
        <v>167</v>
      </c>
      <c r="C21" s="505">
        <f ca="1">专用糖!C21*1.13</f>
        <v>0</v>
      </c>
      <c r="D21" s="505">
        <f ca="1">专用糖!D21</f>
        <v>0</v>
      </c>
      <c r="E21" s="480">
        <f ca="1">专用糖!E21*1.13</f>
        <v>0</v>
      </c>
      <c r="F21" s="507">
        <f ca="1">专用糖!F21</f>
        <v>0</v>
      </c>
      <c r="G21" s="480">
        <f ca="1">专用糖!G21*1.13</f>
        <v>0</v>
      </c>
      <c r="H21" s="510"/>
      <c r="I21" s="502" t="s">
        <v>159</v>
      </c>
      <c r="J21" s="503" t="s">
        <v>167</v>
      </c>
      <c r="K21" s="505">
        <f ca="1">分配表!O261</f>
        <v>70.0850340070977</v>
      </c>
      <c r="L21" s="505">
        <f ca="1">专用糖!L21</f>
        <v>0.0830909558654843</v>
      </c>
      <c r="M21" s="506">
        <f ca="1">专用糖!M21*1.13</f>
        <v>5.82343246751472</v>
      </c>
      <c r="N21" s="507">
        <f ca="1">专用糖!N21</f>
        <v>3240.5</v>
      </c>
      <c r="O21" s="507">
        <f ca="1">专用糖!O21*1.13</f>
        <v>227110.5527</v>
      </c>
      <c r="P21" s="475"/>
      <c r="Q21" s="475"/>
      <c r="R21" s="475"/>
    </row>
    <row r="22" s="459" customFormat="1" customHeight="1" spans="1:18">
      <c r="A22" s="502" t="s">
        <v>160</v>
      </c>
      <c r="B22" s="503" t="s">
        <v>167</v>
      </c>
      <c r="C22" s="505">
        <f ca="1">专用糖!C22*1.13</f>
        <v>0</v>
      </c>
      <c r="D22" s="505">
        <f ca="1">专用糖!D22</f>
        <v>0</v>
      </c>
      <c r="E22" s="480">
        <f ca="1">专用糖!E22*1.13</f>
        <v>0</v>
      </c>
      <c r="F22" s="507">
        <f ca="1">专用糖!F22</f>
        <v>0</v>
      </c>
      <c r="G22" s="480">
        <f ca="1">专用糖!G22*1.13</f>
        <v>0</v>
      </c>
      <c r="H22" s="510"/>
      <c r="I22" s="502" t="s">
        <v>160</v>
      </c>
      <c r="J22" s="503" t="s">
        <v>167</v>
      </c>
      <c r="K22" s="505">
        <f ca="1">分配表!O262</f>
        <v>28.5805075617284</v>
      </c>
      <c r="L22" s="505">
        <f ca="1">专用糖!L22</f>
        <v>0.0332312540662452</v>
      </c>
      <c r="M22" s="506">
        <f ca="1">专用糖!M22*1.13</f>
        <v>0.949766108126039</v>
      </c>
      <c r="N22" s="507">
        <f ca="1">专用糖!N22</f>
        <v>1296</v>
      </c>
      <c r="O22" s="507">
        <f ca="1">专用糖!O22*1.13</f>
        <v>37040.3378</v>
      </c>
      <c r="P22" s="475"/>
      <c r="Q22" s="475"/>
      <c r="R22" s="475"/>
    </row>
    <row r="23" s="459" customFormat="1" customHeight="1" spans="1:18">
      <c r="A23" s="502" t="s">
        <v>161</v>
      </c>
      <c r="B23" s="503" t="s">
        <v>168</v>
      </c>
      <c r="C23" s="505">
        <f ca="1">专用糖!C23*1.13</f>
        <v>0</v>
      </c>
      <c r="D23" s="505">
        <f ca="1">专用糖!D23</f>
        <v>0</v>
      </c>
      <c r="E23" s="480">
        <f ca="1">专用糖!E23*1.13</f>
        <v>0</v>
      </c>
      <c r="F23" s="507">
        <f ca="1">专用糖!F23</f>
        <v>0</v>
      </c>
      <c r="G23" s="480">
        <f ca="1">专用糖!G23*1.13</f>
        <v>0</v>
      </c>
      <c r="H23" s="510"/>
      <c r="I23" s="502" t="s">
        <v>161</v>
      </c>
      <c r="J23" s="503" t="s">
        <v>168</v>
      </c>
      <c r="K23" s="505">
        <f ca="1">分配表!O263</f>
        <v>597.999992666667</v>
      </c>
      <c r="L23" s="505">
        <f ca="1">专用糖!L23</f>
        <v>0.00384620996137098</v>
      </c>
      <c r="M23" s="506">
        <f ca="1">专用糖!M23*1.13</f>
        <v>2.3000335286943</v>
      </c>
      <c r="N23" s="507">
        <f ca="1">专用糖!N23</f>
        <v>150</v>
      </c>
      <c r="O23" s="507">
        <f ca="1">专用糖!O23*1.13</f>
        <v>89699.9989</v>
      </c>
      <c r="P23" s="475"/>
      <c r="Q23" s="475"/>
      <c r="R23" s="475"/>
    </row>
    <row r="24" s="459" customFormat="1" customHeight="1" spans="1:18">
      <c r="A24" s="502" t="s">
        <v>162</v>
      </c>
      <c r="B24" s="503" t="s">
        <v>167</v>
      </c>
      <c r="C24" s="505">
        <f ca="1">专用糖!C24*1.13</f>
        <v>0</v>
      </c>
      <c r="D24" s="505">
        <f ca="1">专用糖!D24</f>
        <v>0</v>
      </c>
      <c r="E24" s="480">
        <f ca="1">专用糖!E24*1.13</f>
        <v>0</v>
      </c>
      <c r="F24" s="507">
        <f ca="1">专用糖!F24</f>
        <v>0</v>
      </c>
      <c r="G24" s="480">
        <f ca="1">专用糖!G24*1.13</f>
        <v>0</v>
      </c>
      <c r="H24" s="510"/>
      <c r="I24" s="502" t="s">
        <v>162</v>
      </c>
      <c r="J24" s="503" t="s">
        <v>167</v>
      </c>
      <c r="K24" s="505">
        <f ca="1">分配表!O264</f>
        <v>0</v>
      </c>
      <c r="L24" s="505">
        <f ca="1">专用糖!L24</f>
        <v>0</v>
      </c>
      <c r="M24" s="506">
        <f ca="1">专用糖!M24*1.13</f>
        <v>0</v>
      </c>
      <c r="N24" s="507">
        <f ca="1">专用糖!N24</f>
        <v>0</v>
      </c>
      <c r="O24" s="507">
        <f ca="1">专用糖!O24*1.13</f>
        <v>0</v>
      </c>
      <c r="P24" s="475"/>
      <c r="Q24" s="475"/>
      <c r="R24" s="475"/>
    </row>
    <row r="25" s="459" customFormat="1" customHeight="1" spans="1:18">
      <c r="A25" s="502" t="s">
        <v>163</v>
      </c>
      <c r="B25" s="503" t="s">
        <v>167</v>
      </c>
      <c r="C25" s="505">
        <f ca="1">专用糖!C25*1.13</f>
        <v>0</v>
      </c>
      <c r="D25" s="505">
        <f ca="1">专用糖!D25</f>
        <v>0</v>
      </c>
      <c r="E25" s="480">
        <f ca="1">专用糖!E25*1.13</f>
        <v>0</v>
      </c>
      <c r="F25" s="507">
        <f ca="1">专用糖!F25</f>
        <v>0</v>
      </c>
      <c r="G25" s="480">
        <f ca="1">专用糖!G25*1.13</f>
        <v>0</v>
      </c>
      <c r="H25" s="510"/>
      <c r="I25" s="502" t="s">
        <v>163</v>
      </c>
      <c r="J25" s="503" t="s">
        <v>167</v>
      </c>
      <c r="K25" s="505">
        <f ca="1">分配表!O265</f>
        <v>0</v>
      </c>
      <c r="L25" s="505">
        <f ca="1">专用糖!L25</f>
        <v>0</v>
      </c>
      <c r="M25" s="506">
        <f ca="1">专用糖!M25*1.13</f>
        <v>0</v>
      </c>
      <c r="N25" s="507">
        <f ca="1">专用糖!N25</f>
        <v>0</v>
      </c>
      <c r="O25" s="507">
        <f ca="1">专用糖!O25*1.13</f>
        <v>0</v>
      </c>
      <c r="P25" s="475"/>
      <c r="Q25" s="475"/>
      <c r="R25" s="475"/>
    </row>
    <row r="26" s="459" customFormat="1" customHeight="1" spans="1:18">
      <c r="A26" s="502" t="s">
        <v>49</v>
      </c>
      <c r="B26" s="503"/>
      <c r="C26" s="505"/>
      <c r="D26" s="505"/>
      <c r="E26" s="480" t="e">
        <f ca="1">专用糖!E26*1.13</f>
        <v>#DIV/0!</v>
      </c>
      <c r="F26" s="507"/>
      <c r="G26" s="480">
        <f ca="1">专用糖!G26*1.13</f>
        <v>0</v>
      </c>
      <c r="H26" s="510"/>
      <c r="I26" s="502" t="s">
        <v>49</v>
      </c>
      <c r="J26" s="503"/>
      <c r="K26" s="505"/>
      <c r="L26" s="505"/>
      <c r="M26" s="506">
        <f ca="1">专用糖!M26*1.13</f>
        <v>1.21708831341668</v>
      </c>
      <c r="N26" s="507"/>
      <c r="O26" s="507">
        <f ca="1">专用糖!O26*1.13</f>
        <v>47465.7517</v>
      </c>
      <c r="P26" s="475"/>
      <c r="Q26" s="475"/>
      <c r="R26" s="475"/>
    </row>
    <row r="27" s="459" customFormat="1" customHeight="1" spans="1:18">
      <c r="A27" s="508" t="s">
        <v>93</v>
      </c>
      <c r="B27" s="490"/>
      <c r="C27" s="501"/>
      <c r="D27" s="492"/>
      <c r="E27" s="491"/>
      <c r="F27" s="491"/>
      <c r="G27" s="491"/>
      <c r="H27" s="510"/>
      <c r="I27" s="508" t="s">
        <v>93</v>
      </c>
      <c r="J27" s="490"/>
      <c r="K27" s="501"/>
      <c r="L27" s="492"/>
      <c r="M27" s="491"/>
      <c r="N27" s="491"/>
      <c r="O27" s="491"/>
      <c r="P27" s="475"/>
      <c r="Q27" s="475"/>
      <c r="R27" s="475"/>
    </row>
    <row r="28" s="459" customFormat="1" customHeight="1" spans="1:18">
      <c r="A28" s="508" t="s">
        <v>94</v>
      </c>
      <c r="B28" s="490"/>
      <c r="C28" s="501"/>
      <c r="D28" s="492"/>
      <c r="E28" s="491">
        <f ca="1">SUM(E29:E32)</f>
        <v>0</v>
      </c>
      <c r="F28" s="491"/>
      <c r="G28" s="491">
        <f ca="1">SUM(G29:G32)</f>
        <v>0</v>
      </c>
      <c r="H28" s="510"/>
      <c r="I28" s="508" t="s">
        <v>94</v>
      </c>
      <c r="J28" s="490"/>
      <c r="K28" s="501"/>
      <c r="L28" s="492"/>
      <c r="M28" s="491">
        <f ca="1">SUM(M29:M32)</f>
        <v>235.300820233931</v>
      </c>
      <c r="N28" s="491"/>
      <c r="O28" s="491">
        <f ca="1">SUM(O29:O32)</f>
        <v>9176598.10295659</v>
      </c>
      <c r="P28" s="475"/>
      <c r="Q28" s="475"/>
      <c r="R28" s="475"/>
    </row>
    <row r="29" s="459" customFormat="1" customHeight="1" spans="1:18">
      <c r="A29" s="502" t="s">
        <v>95</v>
      </c>
      <c r="B29" s="503" t="s">
        <v>75</v>
      </c>
      <c r="C29" s="566">
        <f ca="1">OFFSET(分配表!C306,0,mth-1,1,1)</f>
        <v>0</v>
      </c>
      <c r="D29" s="497">
        <f ca="1">专用糖!D29</f>
        <v>0</v>
      </c>
      <c r="E29" s="507">
        <f ca="1">C29*D29</f>
        <v>0</v>
      </c>
      <c r="F29" s="507">
        <f ca="1">专用糖!F29</f>
        <v>0</v>
      </c>
      <c r="G29" s="507">
        <f ca="1">E29*F$3</f>
        <v>0</v>
      </c>
      <c r="H29" s="510"/>
      <c r="I29" s="502" t="s">
        <v>95</v>
      </c>
      <c r="J29" s="503" t="s">
        <v>75</v>
      </c>
      <c r="K29" s="567">
        <f ca="1">分配表!O306</f>
        <v>408.530937837231</v>
      </c>
      <c r="L29" s="505">
        <f ca="1">专用糖!L29</f>
        <v>0.434314028838011</v>
      </c>
      <c r="M29" s="507">
        <f ca="1">K29*L29</f>
        <v>177.430717517058</v>
      </c>
      <c r="N29" s="507">
        <f ca="1">专用糖!N29</f>
        <v>16938</v>
      </c>
      <c r="O29" s="507">
        <f ca="1">M29*N$3</f>
        <v>6919697.02508701</v>
      </c>
      <c r="P29" s="475"/>
      <c r="Q29" s="475"/>
      <c r="R29" s="475"/>
    </row>
    <row r="30" s="459" customFormat="1" customHeight="1" spans="1:18">
      <c r="A30" s="502" t="s">
        <v>96</v>
      </c>
      <c r="B30" s="503" t="s">
        <v>97</v>
      </c>
      <c r="C30" s="683">
        <f ca="1">专用糖!C30*1.13</f>
        <v>0</v>
      </c>
      <c r="D30" s="505">
        <f ca="1">专用糖!D30</f>
        <v>0</v>
      </c>
      <c r="E30" s="480">
        <f ca="1">专用糖!E30*1.13</f>
        <v>0</v>
      </c>
      <c r="F30" s="507">
        <f ca="1">专用糖!F30</f>
        <v>0</v>
      </c>
      <c r="G30" s="480">
        <f ca="1">专用糖!G30*1.13</f>
        <v>0</v>
      </c>
      <c r="H30" s="510"/>
      <c r="I30" s="502" t="s">
        <v>96</v>
      </c>
      <c r="J30" s="503" t="s">
        <v>97</v>
      </c>
      <c r="K30" s="505">
        <f ca="1">专用糖!K30*1.13</f>
        <v>0.769119583630169</v>
      </c>
      <c r="L30" s="505">
        <f ca="1">专用糖!L30</f>
        <v>61.2587142617542</v>
      </c>
      <c r="M30" s="480">
        <f ca="1">专用糖!M30*1.13</f>
        <v>47.1152768067199</v>
      </c>
      <c r="N30" s="507">
        <f ca="1">专用糖!N30</f>
        <v>2389055</v>
      </c>
      <c r="O30" s="480">
        <f ca="1">专用糖!O30*1.13</f>
        <v>1837468.98686957</v>
      </c>
      <c r="P30" s="475"/>
      <c r="Q30" s="475"/>
      <c r="R30" s="475"/>
    </row>
    <row r="31" s="459" customFormat="1" customHeight="1" spans="1:18">
      <c r="A31" s="502" t="s">
        <v>98</v>
      </c>
      <c r="B31" s="503" t="s">
        <v>75</v>
      </c>
      <c r="C31" s="505">
        <f>3.32+0.9*2.97</f>
        <v>5.993</v>
      </c>
      <c r="D31" s="505">
        <f ca="1">专用糖!D31</f>
        <v>0</v>
      </c>
      <c r="E31" s="480">
        <f ca="1">D31*C31</f>
        <v>0</v>
      </c>
      <c r="F31" s="507">
        <f ca="1">专用糖!F31</f>
        <v>0</v>
      </c>
      <c r="G31" s="480">
        <f ca="1">E31*F3</f>
        <v>0</v>
      </c>
      <c r="H31" s="510"/>
      <c r="I31" s="502" t="s">
        <v>98</v>
      </c>
      <c r="J31" s="503" t="s">
        <v>75</v>
      </c>
      <c r="K31" s="505">
        <f>3.32+0.9*2.97</f>
        <v>5.993</v>
      </c>
      <c r="L31" s="505">
        <f ca="1">专用糖!L31</f>
        <v>1.79456464377647</v>
      </c>
      <c r="M31" s="480">
        <f ca="1">L31*K31</f>
        <v>10.7548259101524</v>
      </c>
      <c r="N31" s="507">
        <f ca="1">专用糖!N31</f>
        <v>69987</v>
      </c>
      <c r="O31" s="480">
        <f ca="1">M31*N3</f>
        <v>419432.091</v>
      </c>
      <c r="P31" s="475"/>
      <c r="Q31" s="475"/>
      <c r="R31" s="475"/>
    </row>
    <row r="32" s="459" customFormat="1" customHeight="1" spans="1:18">
      <c r="A32" s="502" t="s">
        <v>99</v>
      </c>
      <c r="B32" s="503" t="s">
        <v>100</v>
      </c>
      <c r="C32" s="505"/>
      <c r="D32" s="497"/>
      <c r="E32" s="480"/>
      <c r="F32" s="507"/>
      <c r="G32" s="480"/>
      <c r="H32" s="510"/>
      <c r="I32" s="502" t="s">
        <v>99</v>
      </c>
      <c r="J32" s="503" t="s">
        <v>100</v>
      </c>
      <c r="K32" s="480"/>
      <c r="L32" s="505"/>
      <c r="M32" s="480"/>
      <c r="N32" s="507"/>
      <c r="O32" s="480"/>
      <c r="P32" s="475"/>
      <c r="Q32" s="475"/>
      <c r="R32" s="475"/>
    </row>
    <row r="33" s="459" customFormat="1" customHeight="1" spans="1:18">
      <c r="A33" s="508" t="s">
        <v>101</v>
      </c>
      <c r="B33" s="490"/>
      <c r="C33" s="501"/>
      <c r="D33" s="492"/>
      <c r="E33" s="491">
        <f ca="1">专用糖!E33*1.13</f>
        <v>0</v>
      </c>
      <c r="F33" s="491"/>
      <c r="G33" s="491" t="e">
        <f ca="1">专用糖!G33*1.13</f>
        <v>#DIV/0!</v>
      </c>
      <c r="H33" s="510"/>
      <c r="I33" s="508" t="s">
        <v>101</v>
      </c>
      <c r="J33" s="490"/>
      <c r="K33" s="501"/>
      <c r="L33" s="492"/>
      <c r="M33" s="491" t="e">
        <f ca="1">专用糖!M33*1.13</f>
        <v>#DIV/0!</v>
      </c>
      <c r="N33" s="491"/>
      <c r="O33" s="491" t="e">
        <f ca="1">专用糖!O33*1.13</f>
        <v>#DIV/0!</v>
      </c>
      <c r="P33" s="475"/>
      <c r="Q33" s="475"/>
      <c r="R33" s="475"/>
    </row>
    <row r="34" s="459" customFormat="1" customHeight="1" spans="1:18">
      <c r="A34" s="508" t="s">
        <v>102</v>
      </c>
      <c r="B34" s="490"/>
      <c r="C34" s="501"/>
      <c r="D34" s="492"/>
      <c r="E34" s="491">
        <f ca="1">E33</f>
        <v>0</v>
      </c>
      <c r="F34" s="491"/>
      <c r="G34" s="491" t="e">
        <f ca="1">G33</f>
        <v>#DIV/0!</v>
      </c>
      <c r="H34" s="510"/>
      <c r="I34" s="508" t="s">
        <v>102</v>
      </c>
      <c r="J34" s="490"/>
      <c r="K34" s="501"/>
      <c r="L34" s="492"/>
      <c r="M34" s="491" t="e">
        <f ca="1">M33</f>
        <v>#DIV/0!</v>
      </c>
      <c r="N34" s="491"/>
      <c r="O34" s="491" t="e">
        <f ca="1">O33</f>
        <v>#DIV/0!</v>
      </c>
      <c r="P34" s="475"/>
      <c r="Q34" s="475"/>
      <c r="R34" s="511"/>
    </row>
    <row r="35" s="459" customFormat="1" customHeight="1" spans="1:18">
      <c r="A35" s="508" t="s">
        <v>103</v>
      </c>
      <c r="B35" s="490"/>
      <c r="C35" s="501"/>
      <c r="D35" s="492"/>
      <c r="E35" s="501"/>
      <c r="F35" s="491"/>
      <c r="G35" s="491"/>
      <c r="H35" s="510"/>
      <c r="I35" s="508" t="s">
        <v>103</v>
      </c>
      <c r="J35" s="490"/>
      <c r="K35" s="501"/>
      <c r="L35" s="492"/>
      <c r="M35" s="501"/>
      <c r="N35" s="491"/>
      <c r="O35" s="491"/>
      <c r="P35" s="475"/>
      <c r="Q35" s="475"/>
      <c r="R35" s="511"/>
    </row>
    <row r="36" s="459" customFormat="1" customHeight="1" spans="1:18">
      <c r="A36" s="508" t="s">
        <v>166</v>
      </c>
      <c r="B36" s="490"/>
      <c r="C36" s="501"/>
      <c r="D36" s="492"/>
      <c r="E36" s="491">
        <f ca="1">IF(VALUE(F$3)=0,0,G36/F$3)</f>
        <v>0</v>
      </c>
      <c r="F36" s="491"/>
      <c r="G36" s="491" t="e">
        <f ca="1">SUM(G5,-G11,-G13,-G28,-G33,-G27)-SUM(专用糖!G5,-专用糖!G11,-专用糖!G13,-专用糖!G28,-专用糖!G33,-专用糖!G27)</f>
        <v>#DIV/0!</v>
      </c>
      <c r="H36" s="510"/>
      <c r="I36" s="508" t="s">
        <v>166</v>
      </c>
      <c r="J36" s="490"/>
      <c r="K36" s="501"/>
      <c r="L36" s="492"/>
      <c r="M36" s="491" t="e">
        <f ca="1">IF(N$3=0,0,O36/N$3)</f>
        <v>#DIV/0!</v>
      </c>
      <c r="N36" s="491"/>
      <c r="O36" s="491" t="e">
        <f ca="1">SUM(O5,-O11,-O13,-O28,-O33,-O27)-SUM(专用糖!O5,-专用糖!O11,-专用糖!O13,-专用糖!O28,-专用糖!O33,-专用糖!O27)</f>
        <v>#DIV/0!</v>
      </c>
      <c r="P36" s="475"/>
      <c r="Q36" s="475"/>
    </row>
    <row r="37" s="459" customFormat="1" customHeight="1" spans="1:18">
      <c r="A37" s="508" t="s">
        <v>105</v>
      </c>
      <c r="B37" s="490"/>
      <c r="C37" s="501"/>
      <c r="D37" s="492"/>
      <c r="E37" s="491">
        <f ca="1">E5-E10</f>
        <v>0</v>
      </c>
      <c r="F37" s="491"/>
      <c r="G37" s="491" t="e">
        <f ca="1">G5-G10</f>
        <v>#DIV/0!</v>
      </c>
      <c r="H37" s="512"/>
      <c r="I37" s="508" t="s">
        <v>105</v>
      </c>
      <c r="J37" s="490"/>
      <c r="K37" s="501"/>
      <c r="L37" s="492"/>
      <c r="M37" s="542" t="e">
        <f ca="1">M5-M10</f>
        <v>#DIV/0!</v>
      </c>
      <c r="N37" s="491"/>
      <c r="O37" s="491" t="e">
        <f ca="1">O5-O10</f>
        <v>#DIV/0!</v>
      </c>
      <c r="P37" s="475"/>
      <c r="Q37" s="475"/>
    </row>
    <row r="38" s="459" customFormat="1" customHeight="1" spans="1:18">
      <c r="A38" s="513" t="s">
        <v>106</v>
      </c>
      <c r="B38" s="485"/>
      <c r="C38" s="514"/>
      <c r="D38" s="515"/>
      <c r="E38" s="487">
        <f ca="1">SUM(E39:E45)</f>
        <v>0</v>
      </c>
      <c r="F38" s="488"/>
      <c r="G38" s="487" t="e">
        <f ca="1">SUM(G39:G45)</f>
        <v>#DIV/0!</v>
      </c>
      <c r="I38" s="513" t="s">
        <v>106</v>
      </c>
      <c r="J38" s="485"/>
      <c r="K38" s="514"/>
      <c r="L38" s="515"/>
      <c r="M38" s="487" t="e">
        <f ca="1">IF(N$3=0,0,O38/N$3)</f>
        <v>#DIV/0!</v>
      </c>
      <c r="N38" s="488"/>
      <c r="O38" s="487" t="e">
        <f ca="1">SUM(O39:O45)</f>
        <v>#DIV/0!</v>
      </c>
      <c r="P38" s="475"/>
      <c r="Q38" s="475"/>
    </row>
    <row r="39" s="459" customFormat="1" customHeight="1" spans="1:18">
      <c r="A39" s="516" t="s">
        <v>107</v>
      </c>
      <c r="B39" s="503"/>
      <c r="C39" s="505"/>
      <c r="D39" s="497"/>
      <c r="E39" s="480">
        <f ca="1">专用糖!E39</f>
        <v>0</v>
      </c>
      <c r="F39" s="507"/>
      <c r="G39" s="480" t="e">
        <f ca="1">专用糖!G39</f>
        <v>#DIV/0!</v>
      </c>
      <c r="H39" s="483"/>
      <c r="I39" s="516" t="s">
        <v>107</v>
      </c>
      <c r="J39" s="503"/>
      <c r="K39" s="505"/>
      <c r="L39" s="497"/>
      <c r="M39" s="480" t="e">
        <f ca="1">专用糖!M39</f>
        <v>#DIV/0!</v>
      </c>
      <c r="N39" s="507"/>
      <c r="O39" s="480" t="e">
        <f ca="1">专用糖!O39</f>
        <v>#DIV/0!</v>
      </c>
      <c r="P39" s="475"/>
      <c r="Q39" s="475"/>
    </row>
    <row r="40" s="459" customFormat="1" customHeight="1" spans="1:18">
      <c r="A40" s="516" t="s">
        <v>108</v>
      </c>
      <c r="B40" s="503"/>
      <c r="C40" s="505"/>
      <c r="D40" s="497"/>
      <c r="E40" s="480">
        <f ca="1">专用糖!E40</f>
        <v>0</v>
      </c>
      <c r="F40" s="507"/>
      <c r="G40" s="480" t="e">
        <f ca="1">专用糖!G40</f>
        <v>#DIV/0!</v>
      </c>
      <c r="H40" s="483"/>
      <c r="I40" s="516" t="s">
        <v>108</v>
      </c>
      <c r="J40" s="503"/>
      <c r="K40" s="505"/>
      <c r="L40" s="497"/>
      <c r="M40" s="480" t="e">
        <f ca="1">专用糖!M40</f>
        <v>#DIV/0!</v>
      </c>
      <c r="N40" s="507"/>
      <c r="O40" s="480" t="e">
        <f ca="1">专用糖!O40</f>
        <v>#DIV/0!</v>
      </c>
      <c r="P40" s="475"/>
      <c r="Q40" s="475"/>
    </row>
    <row r="41" s="459" customFormat="1" customHeight="1" spans="1:18">
      <c r="A41" s="516" t="s">
        <v>109</v>
      </c>
      <c r="B41" s="503"/>
      <c r="C41" s="498"/>
      <c r="D41" s="518"/>
      <c r="E41" s="480">
        <f ca="1">专用糖!E41</f>
        <v>0</v>
      </c>
      <c r="F41" s="507"/>
      <c r="G41" s="480" t="e">
        <f ca="1">专用糖!G41</f>
        <v>#DIV/0!</v>
      </c>
      <c r="H41" s="483"/>
      <c r="I41" s="516" t="s">
        <v>109</v>
      </c>
      <c r="J41" s="503"/>
      <c r="K41" s="498"/>
      <c r="L41" s="518"/>
      <c r="M41" s="480" t="e">
        <f ca="1">专用糖!M41</f>
        <v>#DIV/0!</v>
      </c>
      <c r="N41" s="507"/>
      <c r="O41" s="480" t="e">
        <f ca="1">专用糖!O41</f>
        <v>#DIV/0!</v>
      </c>
      <c r="P41" s="475"/>
      <c r="Q41" s="475"/>
    </row>
    <row r="42" s="459" customFormat="1" customHeight="1" spans="1:18">
      <c r="A42" s="516" t="s">
        <v>110</v>
      </c>
      <c r="B42" s="503"/>
      <c r="C42" s="498"/>
      <c r="D42" s="518"/>
      <c r="E42" s="480">
        <f ca="1">专用糖!E42</f>
        <v>0</v>
      </c>
      <c r="F42" s="507"/>
      <c r="G42" s="480" t="e">
        <f ca="1">专用糖!G42</f>
        <v>#DIV/0!</v>
      </c>
      <c r="H42" s="483"/>
      <c r="I42" s="516" t="s">
        <v>110</v>
      </c>
      <c r="J42" s="503"/>
      <c r="K42" s="498"/>
      <c r="L42" s="518"/>
      <c r="M42" s="480" t="e">
        <f ca="1">专用糖!M42</f>
        <v>#DIV/0!</v>
      </c>
      <c r="N42" s="507"/>
      <c r="O42" s="480" t="e">
        <f ca="1">专用糖!O42</f>
        <v>#DIV/0!</v>
      </c>
      <c r="P42" s="475"/>
      <c r="Q42" s="475"/>
    </row>
    <row r="43" s="459" customFormat="1" customHeight="1" spans="1:18">
      <c r="A43" s="516" t="s">
        <v>111</v>
      </c>
      <c r="B43" s="503"/>
      <c r="C43" s="498"/>
      <c r="D43" s="518"/>
      <c r="E43" s="480">
        <f ca="1">专用糖!E43</f>
        <v>0</v>
      </c>
      <c r="F43" s="507"/>
      <c r="G43" s="480" t="e">
        <f ca="1">专用糖!G43</f>
        <v>#DIV/0!</v>
      </c>
      <c r="H43" s="483"/>
      <c r="I43" s="516" t="s">
        <v>111</v>
      </c>
      <c r="J43" s="503"/>
      <c r="K43" s="498"/>
      <c r="L43" s="518"/>
      <c r="M43" s="480" t="e">
        <f ca="1">专用糖!M43</f>
        <v>#DIV/0!</v>
      </c>
      <c r="N43" s="507"/>
      <c r="O43" s="480" t="e">
        <f ca="1">专用糖!O43</f>
        <v>#DIV/0!</v>
      </c>
      <c r="P43" s="475"/>
      <c r="Q43" s="475"/>
    </row>
    <row r="44" s="459" customFormat="1" customHeight="1" spans="1:18">
      <c r="A44" s="516" t="s">
        <v>112</v>
      </c>
      <c r="B44" s="503"/>
      <c r="C44" s="498"/>
      <c r="D44" s="518"/>
      <c r="E44" s="480">
        <f ca="1">专用糖!E44</f>
        <v>0</v>
      </c>
      <c r="F44" s="507"/>
      <c r="G44" s="480" t="e">
        <f ca="1">专用糖!G44</f>
        <v>#DIV/0!</v>
      </c>
      <c r="H44" s="483"/>
      <c r="I44" s="516" t="s">
        <v>112</v>
      </c>
      <c r="J44" s="503"/>
      <c r="K44" s="498"/>
      <c r="L44" s="518"/>
      <c r="M44" s="480" t="e">
        <f ca="1">专用糖!M44</f>
        <v>#DIV/0!</v>
      </c>
      <c r="N44" s="507"/>
      <c r="O44" s="480" t="e">
        <f ca="1">专用糖!O44</f>
        <v>#DIV/0!</v>
      </c>
      <c r="P44" s="475"/>
      <c r="Q44" s="475"/>
    </row>
    <row r="45" s="459" customFormat="1" customHeight="1" spans="1:18">
      <c r="A45" s="516" t="s">
        <v>113</v>
      </c>
      <c r="B45" s="503"/>
      <c r="C45" s="498"/>
      <c r="D45" s="518"/>
      <c r="E45" s="480">
        <f ca="1">专用糖!E45</f>
        <v>0</v>
      </c>
      <c r="F45" s="507"/>
      <c r="G45" s="480" t="e">
        <f ca="1">专用糖!G45</f>
        <v>#DIV/0!</v>
      </c>
      <c r="I45" s="516" t="s">
        <v>114</v>
      </c>
      <c r="J45" s="503"/>
      <c r="K45" s="498"/>
      <c r="L45" s="518"/>
      <c r="M45" s="480" t="e">
        <f ca="1">专用糖!M45</f>
        <v>#DIV/0!</v>
      </c>
      <c r="N45" s="507"/>
      <c r="O45" s="480" t="e">
        <f ca="1">专用糖!O45</f>
        <v>#DIV/0!</v>
      </c>
      <c r="P45" s="475"/>
      <c r="Q45" s="475"/>
    </row>
    <row r="46" s="459" customFormat="1" ht="14.25" customHeight="1" spans="1:18">
      <c r="A46" s="516" t="s">
        <v>115</v>
      </c>
      <c r="B46" s="503"/>
      <c r="C46" s="498"/>
      <c r="D46" s="518"/>
      <c r="E46" s="576">
        <f ca="1">专用糖!E46</f>
        <v>0</v>
      </c>
      <c r="F46" s="517"/>
      <c r="G46" s="575" t="e">
        <f ca="1">专用糖!G46</f>
        <v>#DIV/0!</v>
      </c>
      <c r="I46" s="516" t="s">
        <v>115</v>
      </c>
      <c r="J46" s="503"/>
      <c r="K46" s="498"/>
      <c r="L46" s="518"/>
      <c r="M46" s="576" t="e">
        <f ca="1">专用糖!M46</f>
        <v>#DIV/0!</v>
      </c>
      <c r="N46" s="517"/>
      <c r="O46" s="576" t="e">
        <f ca="1">专用糖!O46</f>
        <v>#DIV/0!</v>
      </c>
    </row>
    <row r="47" s="459" customFormat="1" ht="14.25" customHeight="1" spans="1:18">
      <c r="A47" s="516" t="s">
        <v>116</v>
      </c>
      <c r="B47" s="503"/>
      <c r="C47" s="498"/>
      <c r="D47" s="518"/>
      <c r="E47" s="576">
        <f ca="1">专用糖!E47</f>
        <v>0</v>
      </c>
      <c r="F47" s="517"/>
      <c r="G47" s="575" t="e">
        <f ca="1">专用糖!G47</f>
        <v>#DIV/0!</v>
      </c>
      <c r="I47" s="516" t="s">
        <v>116</v>
      </c>
      <c r="J47" s="503"/>
      <c r="K47" s="498"/>
      <c r="L47" s="518"/>
      <c r="M47" s="576" t="e">
        <f ca="1">专用糖!M47</f>
        <v>#DIV/0!</v>
      </c>
      <c r="N47" s="517"/>
      <c r="O47" s="576" t="e">
        <f ca="1">专用糖!O47</f>
        <v>#DIV/0!</v>
      </c>
    </row>
    <row r="48" s="459" customFormat="1" ht="14.25" customHeight="1" spans="1:18">
      <c r="A48" s="516" t="s">
        <v>117</v>
      </c>
      <c r="B48" s="503"/>
      <c r="C48" s="498"/>
      <c r="D48" s="518"/>
      <c r="E48" s="576">
        <f ca="1">专用糖!E48</f>
        <v>0</v>
      </c>
      <c r="F48" s="517"/>
      <c r="G48" s="575" t="e">
        <f ca="1">专用糖!G48</f>
        <v>#DIV/0!</v>
      </c>
      <c r="I48" s="516" t="s">
        <v>117</v>
      </c>
      <c r="J48" s="503"/>
      <c r="K48" s="498"/>
      <c r="L48" s="518"/>
      <c r="M48" s="576" t="e">
        <f ca="1">专用糖!M48</f>
        <v>#DIV/0!</v>
      </c>
      <c r="N48" s="517"/>
      <c r="O48" s="576" t="e">
        <f ca="1">专用糖!O48</f>
        <v>#DIV/0!</v>
      </c>
    </row>
    <row r="49" s="459" customFormat="1" ht="14.25" customHeight="1" spans="1:20">
      <c r="A49" s="516" t="s">
        <v>118</v>
      </c>
      <c r="B49" s="503"/>
      <c r="C49" s="498"/>
      <c r="D49" s="518"/>
      <c r="E49" s="576">
        <f ca="1">专用糖!E49</f>
        <v>0</v>
      </c>
      <c r="F49" s="517"/>
      <c r="G49" s="575" t="e">
        <f ca="1">专用糖!G49</f>
        <v>#DIV/0!</v>
      </c>
      <c r="I49" s="516" t="s">
        <v>118</v>
      </c>
      <c r="J49" s="503"/>
      <c r="K49" s="498"/>
      <c r="L49" s="518"/>
      <c r="M49" s="576" t="e">
        <f ca="1">专用糖!M49</f>
        <v>#DIV/0!</v>
      </c>
      <c r="N49" s="517"/>
      <c r="O49" s="576" t="e">
        <f ca="1">专用糖!O49</f>
        <v>#DIV/0!</v>
      </c>
    </row>
    <row r="50" s="459" customFormat="1" ht="14.25" customHeight="1" spans="1:20">
      <c r="A50" s="516" t="s">
        <v>119</v>
      </c>
      <c r="B50" s="503"/>
      <c r="C50" s="498"/>
      <c r="D50" s="518"/>
      <c r="E50" s="576">
        <f ca="1">专用糖!E50</f>
        <v>0</v>
      </c>
      <c r="F50" s="517"/>
      <c r="G50" s="575" t="e">
        <f ca="1">专用糖!G50</f>
        <v>#DIV/0!</v>
      </c>
      <c r="I50" s="516" t="s">
        <v>119</v>
      </c>
      <c r="J50" s="503"/>
      <c r="K50" s="498"/>
      <c r="L50" s="518"/>
      <c r="M50" s="576" t="e">
        <f ca="1">专用糖!M50</f>
        <v>#DIV/0!</v>
      </c>
      <c r="N50" s="517"/>
      <c r="O50" s="576" t="e">
        <f ca="1">专用糖!O50</f>
        <v>#DIV/0!</v>
      </c>
    </row>
    <row r="51" s="459" customFormat="1" ht="14.25" customHeight="1" spans="1:20">
      <c r="A51" s="516" t="s">
        <v>120</v>
      </c>
      <c r="B51" s="503"/>
      <c r="C51" s="498"/>
      <c r="D51" s="518"/>
      <c r="E51" s="576">
        <f ca="1">专用糖!E51</f>
        <v>0</v>
      </c>
      <c r="F51" s="517"/>
      <c r="G51" s="575" t="e">
        <f ca="1">专用糖!G51</f>
        <v>#DIV/0!</v>
      </c>
      <c r="I51" s="516" t="s">
        <v>120</v>
      </c>
      <c r="J51" s="503"/>
      <c r="K51" s="498"/>
      <c r="L51" s="518"/>
      <c r="M51" s="576" t="e">
        <f ca="1">专用糖!M51</f>
        <v>#DIV/0!</v>
      </c>
      <c r="N51" s="517"/>
      <c r="O51" s="576" t="e">
        <f ca="1">专用糖!O51</f>
        <v>#DIV/0!</v>
      </c>
    </row>
    <row r="52" s="459" customFormat="1" ht="12" spans="1:20">
      <c r="A52" s="516" t="s">
        <v>121</v>
      </c>
      <c r="B52" s="503"/>
      <c r="C52" s="498"/>
      <c r="D52" s="518"/>
      <c r="E52" s="576">
        <f ca="1">专用糖!E52</f>
        <v>0</v>
      </c>
      <c r="F52" s="517"/>
      <c r="G52" s="575" t="e">
        <f ca="1">专用糖!G52</f>
        <v>#DIV/0!</v>
      </c>
      <c r="I52" s="516" t="s">
        <v>121</v>
      </c>
      <c r="J52" s="503"/>
      <c r="K52" s="498"/>
      <c r="L52" s="518"/>
      <c r="M52" s="576" t="e">
        <f ca="1">专用糖!M52</f>
        <v>#DIV/0!</v>
      </c>
      <c r="N52" s="517"/>
      <c r="O52" s="576" t="e">
        <f ca="1">专用糖!O52</f>
        <v>#DIV/0!</v>
      </c>
    </row>
    <row r="53" s="459" customFormat="1" ht="14.25" customHeight="1" spans="1:20">
      <c r="A53" s="523" t="s">
        <v>122</v>
      </c>
      <c r="B53" s="485" t="s">
        <v>123</v>
      </c>
      <c r="C53" s="514"/>
      <c r="D53" s="515"/>
      <c r="E53" s="487">
        <f ca="1">E38+E10</f>
        <v>0</v>
      </c>
      <c r="F53" s="488"/>
      <c r="G53" s="487" t="e">
        <f ca="1">G38+G10</f>
        <v>#DIV/0!</v>
      </c>
      <c r="H53" s="483"/>
      <c r="I53" s="523" t="s">
        <v>122</v>
      </c>
      <c r="J53" s="485" t="s">
        <v>123</v>
      </c>
      <c r="K53" s="514"/>
      <c r="L53" s="515"/>
      <c r="M53" s="487" t="e">
        <f ca="1">M38+M10</f>
        <v>#DIV/0!</v>
      </c>
      <c r="N53" s="488"/>
      <c r="O53" s="487" t="e">
        <f ca="1">O38+O10</f>
        <v>#DIV/0!</v>
      </c>
      <c r="P53" s="483"/>
    </row>
    <row r="54" s="460" customFormat="1" ht="14.25" customHeight="1" spans="1:20">
      <c r="A54" s="524" t="s">
        <v>124</v>
      </c>
      <c r="B54" s="485" t="s">
        <v>123</v>
      </c>
      <c r="C54" s="514"/>
      <c r="D54" s="515"/>
      <c r="E54" s="487">
        <f ca="1">E37-E38</f>
        <v>0</v>
      </c>
      <c r="F54" s="526"/>
      <c r="G54" s="487" t="e">
        <f ca="1">G37-G38</f>
        <v>#DIV/0!</v>
      </c>
      <c r="H54" s="527"/>
      <c r="I54" s="524" t="s">
        <v>124</v>
      </c>
      <c r="J54" s="485" t="s">
        <v>123</v>
      </c>
      <c r="K54" s="514"/>
      <c r="L54" s="515"/>
      <c r="M54" s="487" t="e">
        <f ca="1">M37-M38</f>
        <v>#DIV/0!</v>
      </c>
      <c r="N54" s="526"/>
      <c r="O54" s="487" t="e">
        <f ca="1">O37-O38</f>
        <v>#DIV/0!</v>
      </c>
      <c r="P54" s="527"/>
    </row>
    <row r="55" s="459" customFormat="1" ht="14.25" customHeight="1" spans="1:20">
      <c r="A55" s="524" t="s">
        <v>125</v>
      </c>
      <c r="B55" s="485" t="s">
        <v>123</v>
      </c>
      <c r="C55" s="514"/>
      <c r="D55" s="515"/>
      <c r="E55" s="487">
        <f ca="1">E54+E39</f>
        <v>0</v>
      </c>
      <c r="F55" s="526"/>
      <c r="G55" s="487" t="e">
        <f ca="1">G54+G39</f>
        <v>#DIV/0!</v>
      </c>
      <c r="H55" s="527"/>
      <c r="I55" s="524" t="s">
        <v>125</v>
      </c>
      <c r="J55" s="485" t="s">
        <v>123</v>
      </c>
      <c r="K55" s="514"/>
      <c r="L55" s="515"/>
      <c r="M55" s="487" t="e">
        <f ca="1">M54+M39</f>
        <v>#DIV/0!</v>
      </c>
      <c r="N55" s="526"/>
      <c r="O55" s="487" t="e">
        <f ca="1">O54+O39</f>
        <v>#DIV/0!</v>
      </c>
    </row>
    <row r="56" s="540" customFormat="1" customHeight="1" spans="1:20">
      <c r="A56" s="529" t="s">
        <v>126</v>
      </c>
      <c r="B56" s="530" t="s">
        <v>123</v>
      </c>
      <c r="C56" s="531"/>
      <c r="D56" s="532"/>
      <c r="E56" s="533">
        <f ca="1">E10-E11-E27+E38</f>
        <v>0</v>
      </c>
      <c r="F56" s="533"/>
      <c r="G56" s="534" t="e">
        <f ca="1">G10-G11-G27+G38</f>
        <v>#DIV/0!</v>
      </c>
      <c r="H56" s="535"/>
      <c r="I56" s="536" t="s">
        <v>126</v>
      </c>
      <c r="J56" s="537" t="s">
        <v>123</v>
      </c>
      <c r="K56" s="533"/>
      <c r="L56" s="533"/>
      <c r="M56" s="533" t="e">
        <f ca="1">M10-M11-M27+M38</f>
        <v>#DIV/0!</v>
      </c>
      <c r="N56" s="533"/>
      <c r="O56" s="534" t="e">
        <f ca="1">O10-O11-O27+O38</f>
        <v>#DIV/0!</v>
      </c>
      <c r="P56" s="475"/>
      <c r="Q56" s="475"/>
      <c r="R56" s="475"/>
      <c r="S56" s="475"/>
      <c r="T56" s="475"/>
    </row>
    <row r="57" customHeight="1" spans="1:20">
      <c r="A57" s="516" t="s">
        <v>127</v>
      </c>
      <c r="B57" s="681"/>
      <c r="C57" s="85"/>
      <c r="D57" s="85"/>
      <c r="E57" s="576">
        <f ca="1">专用糖!E57</f>
        <v>0</v>
      </c>
      <c r="F57" s="517"/>
      <c r="G57" s="575" t="e">
        <f ca="1">专用糖!G57</f>
        <v>#DIV/0!</v>
      </c>
      <c r="I57" s="516" t="s">
        <v>127</v>
      </c>
      <c r="J57" s="85"/>
      <c r="K57" s="85"/>
      <c r="L57" s="85"/>
      <c r="M57" s="576" t="e">
        <f ca="1">专用糖!M57</f>
        <v>#DIV/0!</v>
      </c>
      <c r="N57" s="517"/>
      <c r="O57" s="576" t="e">
        <f ca="1">专用糖!O57</f>
        <v>#DIV/0!</v>
      </c>
    </row>
    <row r="62" s="459" customFormat="1" customHeight="1" spans="1:20">
      <c r="A62" s="582" t="s">
        <v>131</v>
      </c>
      <c r="B62" s="538"/>
      <c r="E62" s="539" t="e">
        <f ca="1">E37-专用糖!E37</f>
        <v>#DIV/0!</v>
      </c>
      <c r="F62" s="539"/>
      <c r="G62" s="539" t="e">
        <f ca="1">G37-专用糖!G37</f>
        <v>#DIV/0!</v>
      </c>
      <c r="L62" s="459" t="s">
        <v>132</v>
      </c>
      <c r="M62" s="499" t="e">
        <f ca="1">M37-专用糖!M37</f>
        <v>#DIV/0!</v>
      </c>
      <c r="O62" s="539" t="e">
        <f ca="1">O37-专用糖!O37</f>
        <v>#DIV/0!</v>
      </c>
    </row>
    <row r="67" customHeight="1" spans="6:15">
      <c r="F67" s="82"/>
      <c r="G67" s="82"/>
      <c r="N67" s="82"/>
      <c r="O67" s="82"/>
    </row>
    <row r="68" customHeight="1" spans="6:15">
      <c r="F68" s="82"/>
      <c r="G68" s="82"/>
      <c r="N68" s="82"/>
      <c r="O68" s="82"/>
    </row>
    <row r="69" customHeight="1" spans="6:15">
      <c r="F69" s="82"/>
      <c r="G69" s="82"/>
      <c r="N69" s="82"/>
      <c r="O69" s="82"/>
    </row>
    <row r="70" customHeight="1" spans="6:15">
      <c r="F70" s="82"/>
      <c r="G70" s="82"/>
      <c r="N70" s="82"/>
      <c r="O70" s="82"/>
    </row>
    <row r="71" customHeight="1" spans="6:15">
      <c r="F71" s="82"/>
      <c r="G71" s="82"/>
      <c r="N71" s="82"/>
      <c r="O71" s="82"/>
    </row>
    <row r="72" customHeight="1" spans="6:15">
      <c r="F72" s="82"/>
      <c r="G72" s="82"/>
      <c r="N72" s="82"/>
      <c r="O72" s="82"/>
    </row>
    <row r="73" customHeight="1" spans="6:15">
      <c r="F73" s="82"/>
      <c r="G73" s="82"/>
      <c r="N73" s="82"/>
      <c r="O73" s="82"/>
    </row>
    <row r="74" customHeight="1" spans="6:15">
      <c r="F74" s="82"/>
      <c r="G74" s="82"/>
      <c r="N74" s="82"/>
      <c r="O74" s="8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3"/>
  </sheetPr>
  <dimension ref="A1:S104"/>
  <sheetViews>
    <sheetView workbookViewId="0">
      <pane xSplit="2" ySplit="4" topLeftCell="C79" activePane="bottomRight" state="frozen"/>
      <selection/>
      <selection pane="topRight"/>
      <selection pane="bottomLeft"/>
      <selection pane="bottomRight" activeCell="E84" sqref="E84"/>
    </sheetView>
  </sheetViews>
  <sheetFormatPr defaultColWidth="9" defaultRowHeight="15" customHeight="1"/>
  <cols>
    <col min="1" max="1" width="26.375" style="40" customWidth="1"/>
    <col min="2" max="2" width="4.5" style="461" customWidth="1"/>
    <col min="3" max="3" width="9" style="40" customWidth="1"/>
    <col min="4" max="4" width="8.5" style="40" customWidth="1"/>
    <col min="5" max="5" width="9" style="462" customWidth="1"/>
    <col min="6" max="6" width="9.5" style="40" customWidth="1"/>
    <col min="7" max="7" width="10.5" style="40" customWidth="1"/>
    <col min="8" max="8" width="8.25" style="40" customWidth="1"/>
    <col min="9" max="9" width="28" style="40" customWidth="1"/>
    <col min="10" max="10" width="3.625" style="40" customWidth="1"/>
    <col min="11" max="11" width="8.25" style="40" customWidth="1"/>
    <col min="12" max="12" width="8.5" style="40" customWidth="1"/>
    <col min="13" max="13" width="10.5" style="40" customWidth="1"/>
    <col min="14" max="14" width="9.5" style="40" customWidth="1"/>
    <col min="15" max="15" width="11.375" style="40" customWidth="1"/>
    <col min="16" max="17" width="10.5" style="40" customWidth="1"/>
    <col min="18" max="18" width="13" style="40" customWidth="1"/>
    <col min="19" max="19" width="10.5" style="40" customWidth="1"/>
    <col min="20" max="16384" width="9" style="40"/>
  </cols>
  <sheetData>
    <row r="1" s="458" customFormat="1" ht="42.75" customHeight="1" spans="1:18">
      <c r="A1" s="97" t="str">
        <f>CONCATENATE("风味糖综合成本利润表_含税(2025年"&amp;mth&amp;"月)")</f>
        <v>风味糖综合成本利润表_含税(2025年8月)</v>
      </c>
      <c r="B1" s="98"/>
      <c r="C1" s="98"/>
      <c r="D1" s="98"/>
      <c r="E1" s="98"/>
      <c r="F1" s="98"/>
      <c r="G1" s="98"/>
      <c r="I1" s="463" t="str">
        <f>CONCATENATE("风味糖综合成本利润表_含税(2025年1-"&amp;mth&amp;"月)")</f>
        <v>风味糖综合成本利润表_含税(2025年1-8月)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风味糖!F3</f>
        <v>0</v>
      </c>
      <c r="G3" s="39" t="s">
        <v>75</v>
      </c>
      <c r="M3" s="378" t="s">
        <v>134</v>
      </c>
      <c r="N3" s="466">
        <f ca="1">风味糖!N3</f>
        <v>415.896777777777</v>
      </c>
      <c r="O3" s="39" t="s">
        <v>75</v>
      </c>
    </row>
    <row r="4" s="459" customFormat="1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16042.264335151</v>
      </c>
      <c r="N5" s="472"/>
      <c r="O5" s="474">
        <f ca="1">O6-O7</f>
        <v>6671926.04524866</v>
      </c>
      <c r="P5" s="475"/>
      <c r="Q5" s="475"/>
    </row>
    <row r="6" s="459" customFormat="1" customHeight="1" spans="1:18">
      <c r="A6" s="476" t="s">
        <v>84</v>
      </c>
      <c r="B6" s="477"/>
      <c r="C6" s="478"/>
      <c r="D6" s="479"/>
      <c r="E6" s="480">
        <f ca="1">OFFSET(销售收入及运费!C101,0,mth-1,1,1)</f>
        <v>0</v>
      </c>
      <c r="F6" s="479"/>
      <c r="G6" s="480">
        <f ca="1">风味糖!G6*1.13</f>
        <v>0</v>
      </c>
      <c r="I6" s="481" t="s">
        <v>84</v>
      </c>
      <c r="J6" s="477"/>
      <c r="K6" s="478"/>
      <c r="L6" s="479"/>
      <c r="M6" s="480">
        <f ca="1">销售收入及运费!O101</f>
        <v>18772.9517136602</v>
      </c>
      <c r="N6" s="482"/>
      <c r="O6" s="507">
        <f ca="1">M6*$N$3</f>
        <v>7807610.12708907</v>
      </c>
      <c r="P6" s="475"/>
      <c r="Q6" s="475"/>
      <c r="R6" s="511"/>
    </row>
    <row r="7" s="459" customFormat="1" customHeight="1" spans="1:18">
      <c r="A7" s="476" t="s">
        <v>85</v>
      </c>
      <c r="B7" s="477"/>
      <c r="C7" s="479"/>
      <c r="D7" s="479"/>
      <c r="E7" s="480">
        <f ca="1">OFFSET(销售收入及运费!C199,0,mth-1,1,1)</f>
        <v>0</v>
      </c>
      <c r="F7" s="480"/>
      <c r="G7" s="480">
        <f ca="1">E7*F3</f>
        <v>0</v>
      </c>
      <c r="I7" s="476" t="s">
        <v>85</v>
      </c>
      <c r="J7" s="477"/>
      <c r="K7" s="479"/>
      <c r="L7" s="479"/>
      <c r="M7" s="480">
        <f ca="1">销售收入及运费!O199</f>
        <v>2730.68737850917</v>
      </c>
      <c r="N7" s="482"/>
      <c r="O7" s="507">
        <f ca="1">M7*$N$3</f>
        <v>1135684.08184041</v>
      </c>
      <c r="P7" s="475"/>
      <c r="Q7" s="475"/>
      <c r="R7" s="511"/>
    </row>
    <row r="8" s="459" customFormat="1" customHeight="1" spans="1:18">
      <c r="A8" s="476" t="s">
        <v>86</v>
      </c>
      <c r="B8" s="477"/>
      <c r="C8" s="479"/>
      <c r="D8" s="479"/>
      <c r="E8" s="480" t="e">
        <f ca="1">风味糖!E8*1.09</f>
        <v>#DIV/0!</v>
      </c>
      <c r="F8" s="480"/>
      <c r="G8" s="480" t="e">
        <f ca="1">风味糖!G8*1.09</f>
        <v>#DIV/0!</v>
      </c>
      <c r="I8" s="476" t="s">
        <v>86</v>
      </c>
      <c r="J8" s="477"/>
      <c r="K8" s="479"/>
      <c r="L8" s="479"/>
      <c r="M8" s="480">
        <f ca="1">风味糖!M8*1.09</f>
        <v>395.501031265346</v>
      </c>
      <c r="N8" s="482"/>
      <c r="O8" s="480">
        <f ca="1">风味糖!O8*1.09</f>
        <v>164487.604511045</v>
      </c>
      <c r="P8" s="475"/>
      <c r="Q8" s="475"/>
      <c r="R8" s="511"/>
    </row>
    <row r="9" s="459" customFormat="1" customHeight="1" spans="1:18">
      <c r="A9" s="476" t="s">
        <v>87</v>
      </c>
      <c r="B9" s="477"/>
      <c r="C9" s="479"/>
      <c r="D9" s="479"/>
      <c r="E9" s="480" t="e">
        <f ca="1">风味糖!E9*1.13</f>
        <v>#DIV/0!</v>
      </c>
      <c r="F9" s="480"/>
      <c r="G9" s="480" t="e">
        <f ca="1">风味糖!G9*1.13</f>
        <v>#DIV/0!</v>
      </c>
      <c r="I9" s="476" t="s">
        <v>87</v>
      </c>
      <c r="J9" s="477"/>
      <c r="K9" s="479"/>
      <c r="L9" s="479"/>
      <c r="M9" s="480">
        <f ca="1">风味糖!M9*1.13</f>
        <v>2335.18634724382</v>
      </c>
      <c r="N9" s="482"/>
      <c r="O9" s="480">
        <f ca="1">风味糖!O9*1.13</f>
        <v>971196.477329363</v>
      </c>
      <c r="P9" s="475"/>
      <c r="Q9" s="475"/>
      <c r="R9" s="511"/>
    </row>
    <row r="10" s="459" customFormat="1" customHeight="1" spans="1:18">
      <c r="A10" s="484" t="s">
        <v>88</v>
      </c>
      <c r="B10" s="485"/>
      <c r="C10" s="486"/>
      <c r="D10" s="486"/>
      <c r="E10" s="487" t="e">
        <f ca="1">E11+E20+E58+E63+E66+E57</f>
        <v>#DIV/0!</v>
      </c>
      <c r="F10" s="488"/>
      <c r="G10" s="487" t="e">
        <f ca="1">G11+G20+G58+G63+G66+G57</f>
        <v>#DIV/0!</v>
      </c>
      <c r="I10" s="484" t="s">
        <v>88</v>
      </c>
      <c r="J10" s="485"/>
      <c r="K10" s="486"/>
      <c r="L10" s="486"/>
      <c r="M10" s="487" t="e">
        <f ca="1">M11+M20+M58+M63+M66+M57</f>
        <v>#DIV/0!</v>
      </c>
      <c r="N10" s="488"/>
      <c r="O10" s="487" t="e">
        <f ca="1">O11+O20+O58+O63+O66+O57</f>
        <v>#DIV/0!</v>
      </c>
      <c r="P10" s="475"/>
      <c r="Q10" s="475"/>
      <c r="R10" s="511"/>
    </row>
    <row r="11" s="459" customFormat="1" customHeight="1" spans="1:18">
      <c r="A11" s="489" t="s">
        <v>169</v>
      </c>
      <c r="B11" s="490" t="s">
        <v>75</v>
      </c>
      <c r="C11" s="491">
        <f ca="1">IFERROR(风味糖!C11*1.13,0)</f>
        <v>0</v>
      </c>
      <c r="D11" s="492">
        <f ca="1">IFERROR(IF(C11=0,0,E11/C11),0)</f>
        <v>0</v>
      </c>
      <c r="E11" s="491" t="e">
        <f ca="1">SUM(E12:E19)</f>
        <v>#DIV/0!</v>
      </c>
      <c r="F11" s="491">
        <f ca="1">SUM(F12:F19)</f>
        <v>0</v>
      </c>
      <c r="G11" s="491">
        <f ca="1">SUM(G12:G19)</f>
        <v>0</v>
      </c>
      <c r="I11" s="489" t="s">
        <v>169</v>
      </c>
      <c r="J11" s="490" t="s">
        <v>75</v>
      </c>
      <c r="K11" s="491">
        <f ca="1">IF(N11=0,0,O11/N11)</f>
        <v>5325.89375644722</v>
      </c>
      <c r="L11" s="492">
        <f ca="1">IF(K11=0,0,M11/K11)</f>
        <v>0.0214476294999481</v>
      </c>
      <c r="M11" s="491">
        <f ca="1">SUM(M12:M19)</f>
        <v>114.227796044367</v>
      </c>
      <c r="N11" s="491">
        <f ca="1" t="shared" ref="N11:O11" si="0">SUM(N12:N19)</f>
        <v>8.92</v>
      </c>
      <c r="O11" s="491">
        <f ca="1" t="shared" si="0"/>
        <v>47506.9723075092</v>
      </c>
      <c r="P11" s="475"/>
      <c r="Q11" s="475"/>
    </row>
    <row r="12" s="459" customFormat="1" customHeight="1" spans="1:18">
      <c r="A12" s="494" t="s">
        <v>170</v>
      </c>
      <c r="B12" s="503" t="s">
        <v>75</v>
      </c>
      <c r="C12" s="507">
        <f ca="1">风味糖!C12*1.13</f>
        <v>0</v>
      </c>
      <c r="D12" s="497">
        <f ca="1">风味糖!D12</f>
        <v>0</v>
      </c>
      <c r="E12" s="480">
        <f ca="1">风味糖!E12*1.13</f>
        <v>0</v>
      </c>
      <c r="F12" s="507">
        <f ca="1">风味糖!F12</f>
        <v>0</v>
      </c>
      <c r="G12" s="480">
        <f ca="1">风味糖!G12*1.13</f>
        <v>0</v>
      </c>
      <c r="I12" s="494" t="s">
        <v>170</v>
      </c>
      <c r="J12" s="503" t="s">
        <v>75</v>
      </c>
      <c r="K12" s="507">
        <f ca="1">风味糖!K12*1.13</f>
        <v>0</v>
      </c>
      <c r="L12" s="497">
        <f ca="1">风味糖!L12</f>
        <v>0</v>
      </c>
      <c r="M12" s="480">
        <f ca="1">风味糖!M12*1.13</f>
        <v>0</v>
      </c>
      <c r="N12" s="507">
        <f ca="1">风味糖!N12</f>
        <v>0</v>
      </c>
      <c r="O12" s="480">
        <f ca="1">风味糖!O12*1.13</f>
        <v>0</v>
      </c>
      <c r="P12" s="475"/>
      <c r="Q12" s="475"/>
      <c r="R12" s="475"/>
    </row>
    <row r="13" s="459" customFormat="1" customHeight="1" spans="1:18">
      <c r="A13" s="494" t="s">
        <v>171</v>
      </c>
      <c r="B13" s="503" t="s">
        <v>75</v>
      </c>
      <c r="C13" s="507">
        <f ca="1">风味糖!C13*1.13</f>
        <v>0</v>
      </c>
      <c r="D13" s="497">
        <f ca="1">风味糖!D13</f>
        <v>0</v>
      </c>
      <c r="E13" s="480">
        <f ca="1">风味糖!E13*1.13</f>
        <v>0</v>
      </c>
      <c r="F13" s="507">
        <f ca="1">风味糖!F13</f>
        <v>0</v>
      </c>
      <c r="G13" s="480">
        <f ca="1">风味糖!G13*1.13</f>
        <v>0</v>
      </c>
      <c r="I13" s="494" t="s">
        <v>171</v>
      </c>
      <c r="J13" s="503" t="s">
        <v>75</v>
      </c>
      <c r="K13" s="507">
        <f ca="1">风味糖!K13*1.13</f>
        <v>0</v>
      </c>
      <c r="L13" s="497">
        <f ca="1">风味糖!L13</f>
        <v>0</v>
      </c>
      <c r="M13" s="480">
        <f ca="1">风味糖!M13*1.13</f>
        <v>0</v>
      </c>
      <c r="N13" s="507">
        <f ca="1">风味糖!N13</f>
        <v>0</v>
      </c>
      <c r="O13" s="480">
        <f ca="1">风味糖!O13*1.13</f>
        <v>0</v>
      </c>
      <c r="P13" s="475"/>
      <c r="Q13" s="475"/>
      <c r="R13" s="475"/>
    </row>
    <row r="14" s="459" customFormat="1" customHeight="1" spans="1:18">
      <c r="A14" s="494" t="s">
        <v>172</v>
      </c>
      <c r="B14" s="503" t="s">
        <v>75</v>
      </c>
      <c r="C14" s="507">
        <f ca="1">风味糖!C14*1.13</f>
        <v>0</v>
      </c>
      <c r="D14" s="497">
        <f ca="1">风味糖!D14</f>
        <v>0</v>
      </c>
      <c r="E14" s="480">
        <f ca="1">风味糖!E14*1.13</f>
        <v>0</v>
      </c>
      <c r="F14" s="507">
        <f ca="1">风味糖!F14</f>
        <v>0</v>
      </c>
      <c r="G14" s="480">
        <f ca="1">风味糖!G14*1.13</f>
        <v>0</v>
      </c>
      <c r="I14" s="494" t="s">
        <v>172</v>
      </c>
      <c r="J14" s="503" t="s">
        <v>75</v>
      </c>
      <c r="K14" s="507">
        <f ca="1">风味糖!K14*1.13</f>
        <v>0</v>
      </c>
      <c r="L14" s="497">
        <f ca="1">风味糖!L14</f>
        <v>0</v>
      </c>
      <c r="M14" s="480">
        <f ca="1">风味糖!M14*1.13</f>
        <v>0</v>
      </c>
      <c r="N14" s="507">
        <f ca="1">风味糖!N14</f>
        <v>0</v>
      </c>
      <c r="O14" s="480">
        <f ca="1">风味糖!O14*1.13</f>
        <v>0</v>
      </c>
      <c r="P14" s="475"/>
      <c r="Q14" s="475"/>
      <c r="R14" s="475"/>
    </row>
    <row r="15" s="459" customFormat="1" customHeight="1" spans="1:18">
      <c r="A15" s="494" t="s">
        <v>173</v>
      </c>
      <c r="B15" s="503" t="s">
        <v>75</v>
      </c>
      <c r="C15" s="507">
        <f ca="1">风味糖!C15*1.13</f>
        <v>0</v>
      </c>
      <c r="D15" s="497">
        <f ca="1">风味糖!D15</f>
        <v>0</v>
      </c>
      <c r="E15" s="480">
        <f ca="1">风味糖!E15*1.13</f>
        <v>0</v>
      </c>
      <c r="F15" s="507">
        <f ca="1">风味糖!F15</f>
        <v>0</v>
      </c>
      <c r="G15" s="480">
        <f ca="1">风味糖!G15*1.13</f>
        <v>0</v>
      </c>
      <c r="I15" s="494" t="s">
        <v>173</v>
      </c>
      <c r="J15" s="503" t="s">
        <v>75</v>
      </c>
      <c r="K15" s="507">
        <f ca="1">风味糖!K15*1.13</f>
        <v>0</v>
      </c>
      <c r="L15" s="497">
        <f ca="1">风味糖!L15</f>
        <v>0</v>
      </c>
      <c r="M15" s="480">
        <f ca="1">风味糖!M15*1.13</f>
        <v>0</v>
      </c>
      <c r="N15" s="507">
        <f ca="1">风味糖!N15</f>
        <v>0</v>
      </c>
      <c r="O15" s="480">
        <f ca="1">风味糖!O15*1.13</f>
        <v>0</v>
      </c>
      <c r="P15" s="475"/>
      <c r="Q15" s="475"/>
      <c r="R15" s="475"/>
    </row>
    <row r="16" s="459" customFormat="1" customHeight="1" spans="1:18">
      <c r="A16" s="494" t="s">
        <v>174</v>
      </c>
      <c r="B16" s="503" t="s">
        <v>75</v>
      </c>
      <c r="C16" s="507">
        <f ca="1">风味糖!C16*1.13</f>
        <v>0</v>
      </c>
      <c r="D16" s="497">
        <f ca="1">风味糖!D16</f>
        <v>0</v>
      </c>
      <c r="E16" s="480">
        <f ca="1">风味糖!E16*1.13</f>
        <v>0</v>
      </c>
      <c r="F16" s="507">
        <f ca="1">风味糖!F16</f>
        <v>0</v>
      </c>
      <c r="G16" s="480">
        <f ca="1">风味糖!G16*1.13</f>
        <v>0</v>
      </c>
      <c r="I16" s="494" t="s">
        <v>174</v>
      </c>
      <c r="J16" s="503" t="s">
        <v>75</v>
      </c>
      <c r="K16" s="507">
        <f ca="1">风味糖!K16*1.13</f>
        <v>0</v>
      </c>
      <c r="L16" s="497">
        <f ca="1">风味糖!L16</f>
        <v>0</v>
      </c>
      <c r="M16" s="480">
        <f ca="1">风味糖!M16*1.13</f>
        <v>0</v>
      </c>
      <c r="N16" s="507">
        <f ca="1">风味糖!N16</f>
        <v>0</v>
      </c>
      <c r="O16" s="480">
        <f ca="1">风味糖!O16*1.13</f>
        <v>0</v>
      </c>
      <c r="P16" s="475"/>
      <c r="Q16" s="475"/>
      <c r="R16" s="475"/>
    </row>
    <row r="17" s="459" customFormat="1" customHeight="1" spans="1:18">
      <c r="A17" s="494" t="s">
        <v>175</v>
      </c>
      <c r="B17" s="503" t="s">
        <v>75</v>
      </c>
      <c r="C17" s="507">
        <f ca="1">风味糖!C17*1.13</f>
        <v>0</v>
      </c>
      <c r="D17" s="497">
        <f ca="1">风味糖!D17</f>
        <v>0</v>
      </c>
      <c r="E17" s="480">
        <f ca="1">风味糖!E17*1.13</f>
        <v>0</v>
      </c>
      <c r="F17" s="507">
        <f ca="1">风味糖!F17</f>
        <v>0</v>
      </c>
      <c r="G17" s="480">
        <f ca="1">风味糖!G17*1.13</f>
        <v>0</v>
      </c>
      <c r="I17" s="494" t="s">
        <v>175</v>
      </c>
      <c r="J17" s="503" t="s">
        <v>75</v>
      </c>
      <c r="K17" s="507">
        <f ca="1">风味糖!K17*1.13</f>
        <v>2755.98759196891</v>
      </c>
      <c r="L17" s="497">
        <f ca="1">风味糖!L17</f>
        <v>0.0185622981770851</v>
      </c>
      <c r="M17" s="480">
        <f ca="1">风味糖!M17*1.13</f>
        <v>51.1574634544737</v>
      </c>
      <c r="N17" s="507">
        <f ca="1">风味糖!N17</f>
        <v>7.72</v>
      </c>
      <c r="O17" s="480">
        <f ca="1">风味糖!O17*1.13</f>
        <v>21276.22421</v>
      </c>
      <c r="P17" s="475"/>
      <c r="Q17" s="475"/>
      <c r="R17" s="475"/>
    </row>
    <row r="18" s="459" customFormat="1" customHeight="1" spans="1:18">
      <c r="A18" s="494" t="s">
        <v>176</v>
      </c>
      <c r="B18" s="503" t="s">
        <v>75</v>
      </c>
      <c r="C18" s="507">
        <f ca="1">风味糖!C18*1.13</f>
        <v>0</v>
      </c>
      <c r="D18" s="497">
        <f ca="1">风味糖!D18</f>
        <v>0</v>
      </c>
      <c r="E18" s="480">
        <f ca="1">风味糖!E18*1.13</f>
        <v>0</v>
      </c>
      <c r="F18" s="507">
        <f ca="1">风味糖!F18</f>
        <v>0</v>
      </c>
      <c r="G18" s="480">
        <f ca="1">风味糖!G18*1.13</f>
        <v>0</v>
      </c>
      <c r="I18" s="494" t="s">
        <v>176</v>
      </c>
      <c r="J18" s="503" t="s">
        <v>75</v>
      </c>
      <c r="K18" s="507">
        <f ca="1">风味糖!K18*1.13</f>
        <v>6817.6064</v>
      </c>
      <c r="L18" s="497">
        <f ca="1">风味糖!L18</f>
        <v>0.00288533132286297</v>
      </c>
      <c r="M18" s="480">
        <f ca="1">风味糖!M18*1.13</f>
        <v>19.671053292871</v>
      </c>
      <c r="N18" s="507">
        <f ca="1">风味糖!N18</f>
        <v>1.2</v>
      </c>
      <c r="O18" s="480">
        <f ca="1">风味糖!O18*1.13</f>
        <v>8181.12768</v>
      </c>
      <c r="P18" s="475"/>
      <c r="Q18" s="475"/>
      <c r="R18" s="475"/>
    </row>
    <row r="19" s="459" customFormat="1" customHeight="1" spans="1:18">
      <c r="A19" s="494" t="s">
        <v>177</v>
      </c>
      <c r="B19" s="503" t="s">
        <v>75</v>
      </c>
      <c r="C19" s="507">
        <f>风味糖!C19*1.13</f>
        <v>0</v>
      </c>
      <c r="D19" s="497">
        <f>风味糖!D19</f>
        <v>0</v>
      </c>
      <c r="E19" s="480" t="e">
        <f ca="1">风味糖!E19</f>
        <v>#DIV/0!</v>
      </c>
      <c r="F19" s="507">
        <f>风味糖!F19</f>
        <v>0</v>
      </c>
      <c r="G19" s="480">
        <f ca="1">风味糖!G19</f>
        <v>0</v>
      </c>
      <c r="I19" s="494" t="s">
        <v>177</v>
      </c>
      <c r="J19" s="503" t="s">
        <v>75</v>
      </c>
      <c r="K19" s="507">
        <f>风味糖!K19*1.13</f>
        <v>0</v>
      </c>
      <c r="L19" s="497">
        <f>风味糖!L19</f>
        <v>0</v>
      </c>
      <c r="M19" s="480">
        <f ca="1">风味糖!M19</f>
        <v>43.3992792970219</v>
      </c>
      <c r="N19" s="507">
        <f>风味糖!N19</f>
        <v>0</v>
      </c>
      <c r="O19" s="480">
        <f ca="1">风味糖!O19</f>
        <v>18049.6204175092</v>
      </c>
      <c r="P19" s="475"/>
      <c r="Q19" s="475"/>
      <c r="R19" s="475"/>
    </row>
    <row r="20" s="459" customFormat="1" customHeight="1" spans="1:18">
      <c r="A20" s="489" t="s">
        <v>92</v>
      </c>
      <c r="B20" s="490"/>
      <c r="C20" s="501"/>
      <c r="D20" s="492"/>
      <c r="E20" s="491">
        <f ca="1">风味糖!E20*1.13</f>
        <v>0</v>
      </c>
      <c r="F20" s="491"/>
      <c r="G20" s="491">
        <f ca="1">风味糖!G20*1.13</f>
        <v>0</v>
      </c>
      <c r="I20" s="489" t="s">
        <v>92</v>
      </c>
      <c r="J20" s="490"/>
      <c r="K20" s="501"/>
      <c r="L20" s="492"/>
      <c r="M20" s="491">
        <f ca="1">风味糖!M20*1.13</f>
        <v>5385.17154248477</v>
      </c>
      <c r="N20" s="491"/>
      <c r="O20" s="491">
        <f ca="1">风味糖!O20*1.13</f>
        <v>2239675.4923</v>
      </c>
      <c r="P20" s="475"/>
      <c r="Q20" s="475"/>
      <c r="R20" s="475"/>
    </row>
    <row r="21" s="459" customFormat="1" customHeight="1" spans="1:18">
      <c r="A21" s="502" t="s">
        <v>178</v>
      </c>
      <c r="B21" s="503" t="s">
        <v>167</v>
      </c>
      <c r="C21" s="614">
        <f ca="1">风味糖!C21*1.13</f>
        <v>0</v>
      </c>
      <c r="D21" s="505">
        <f ca="1">风味糖!D21</f>
        <v>0</v>
      </c>
      <c r="E21" s="480">
        <f ca="1">风味糖!E21*1.13</f>
        <v>0</v>
      </c>
      <c r="F21" s="507">
        <f ca="1">风味糖!F21</f>
        <v>0</v>
      </c>
      <c r="G21" s="480">
        <f ca="1">风味糖!G21*1.13</f>
        <v>0</v>
      </c>
      <c r="I21" s="502" t="s">
        <v>178</v>
      </c>
      <c r="J21" s="503" t="s">
        <v>167</v>
      </c>
      <c r="K21" s="505">
        <f ca="1">分配表!O887</f>
        <v>0</v>
      </c>
      <c r="L21" s="505">
        <f ca="1">风味糖!L21</f>
        <v>0</v>
      </c>
      <c r="M21" s="506">
        <f ca="1">风味糖!M21*1.13</f>
        <v>0</v>
      </c>
      <c r="N21" s="507">
        <f ca="1">风味糖!N21</f>
        <v>0</v>
      </c>
      <c r="O21" s="507">
        <f ca="1">风味糖!O21*1.13</f>
        <v>0</v>
      </c>
      <c r="P21" s="589"/>
      <c r="Q21" s="589"/>
      <c r="R21" s="475"/>
    </row>
    <row r="22" s="459" customFormat="1" customHeight="1" spans="1:18">
      <c r="A22" s="502" t="s">
        <v>179</v>
      </c>
      <c r="B22" s="503" t="s">
        <v>167</v>
      </c>
      <c r="C22" s="614">
        <f ca="1">风味糖!C22*1.13</f>
        <v>0</v>
      </c>
      <c r="D22" s="505">
        <f ca="1">风味糖!D22</f>
        <v>0</v>
      </c>
      <c r="E22" s="480">
        <f ca="1">风味糖!E22*1.13</f>
        <v>0</v>
      </c>
      <c r="F22" s="507">
        <f ca="1">风味糖!F22</f>
        <v>0</v>
      </c>
      <c r="G22" s="480">
        <f ca="1">风味糖!G22*1.13</f>
        <v>0</v>
      </c>
      <c r="I22" s="502" t="s">
        <v>179</v>
      </c>
      <c r="J22" s="503" t="s">
        <v>167</v>
      </c>
      <c r="K22" s="505">
        <f ca="1">分配表!O888</f>
        <v>0</v>
      </c>
      <c r="L22" s="505">
        <f ca="1">风味糖!L22</f>
        <v>0</v>
      </c>
      <c r="M22" s="506">
        <f ca="1">风味糖!M22*1.13</f>
        <v>0</v>
      </c>
      <c r="N22" s="507">
        <f ca="1">风味糖!N22</f>
        <v>0</v>
      </c>
      <c r="O22" s="507">
        <f ca="1">风味糖!O22*1.13</f>
        <v>0</v>
      </c>
      <c r="P22" s="589"/>
      <c r="Q22" s="589"/>
      <c r="R22" s="475"/>
    </row>
    <row r="23" s="459" customFormat="1" customHeight="1" spans="1:18">
      <c r="A23" s="502" t="s">
        <v>180</v>
      </c>
      <c r="B23" s="503" t="s">
        <v>167</v>
      </c>
      <c r="C23" s="614">
        <f ca="1">风味糖!C23*1.13</f>
        <v>0</v>
      </c>
      <c r="D23" s="505">
        <f ca="1">风味糖!D23</f>
        <v>0</v>
      </c>
      <c r="E23" s="480">
        <f ca="1">风味糖!E23*1.13</f>
        <v>0</v>
      </c>
      <c r="F23" s="507">
        <f ca="1">风味糖!F23</f>
        <v>0</v>
      </c>
      <c r="G23" s="480">
        <f ca="1">风味糖!G23*1.13</f>
        <v>0</v>
      </c>
      <c r="I23" s="502" t="s">
        <v>180</v>
      </c>
      <c r="J23" s="503" t="s">
        <v>167</v>
      </c>
      <c r="K23" s="505">
        <f ca="1">分配表!O889</f>
        <v>0</v>
      </c>
      <c r="L23" s="505">
        <f ca="1">风味糖!L23</f>
        <v>0</v>
      </c>
      <c r="M23" s="506">
        <f ca="1">风味糖!M23*1.13</f>
        <v>0</v>
      </c>
      <c r="N23" s="507">
        <f ca="1">风味糖!N23</f>
        <v>0</v>
      </c>
      <c r="O23" s="507">
        <f ca="1">风味糖!O23*1.13</f>
        <v>0</v>
      </c>
      <c r="P23" s="589"/>
      <c r="Q23" s="589"/>
      <c r="R23" s="475"/>
    </row>
    <row r="24" s="459" customFormat="1" customHeight="1" spans="1:18">
      <c r="A24" s="502" t="s">
        <v>181</v>
      </c>
      <c r="B24" s="503" t="s">
        <v>167</v>
      </c>
      <c r="C24" s="614">
        <f ca="1">风味糖!C24*1.13</f>
        <v>0</v>
      </c>
      <c r="D24" s="505">
        <f ca="1">风味糖!D24</f>
        <v>0</v>
      </c>
      <c r="E24" s="480">
        <f ca="1">风味糖!E24*1.13</f>
        <v>0</v>
      </c>
      <c r="F24" s="507">
        <f ca="1">风味糖!F24</f>
        <v>0</v>
      </c>
      <c r="G24" s="480">
        <f ca="1">风味糖!G24*1.13</f>
        <v>0</v>
      </c>
      <c r="I24" s="502" t="s">
        <v>181</v>
      </c>
      <c r="J24" s="503" t="s">
        <v>167</v>
      </c>
      <c r="K24" s="505">
        <f ca="1">分配表!O890</f>
        <v>0</v>
      </c>
      <c r="L24" s="505">
        <f ca="1">风味糖!L24</f>
        <v>0</v>
      </c>
      <c r="M24" s="506">
        <f ca="1">风味糖!M24*1.13</f>
        <v>0</v>
      </c>
      <c r="N24" s="507">
        <f ca="1">风味糖!N24</f>
        <v>0</v>
      </c>
      <c r="O24" s="507">
        <f ca="1">风味糖!O24*1.13</f>
        <v>0</v>
      </c>
      <c r="P24" s="589"/>
      <c r="Q24" s="589"/>
      <c r="R24" s="475"/>
    </row>
    <row r="25" s="459" customFormat="1" customHeight="1" spans="1:18">
      <c r="A25" s="502" t="s">
        <v>182</v>
      </c>
      <c r="B25" s="503" t="s">
        <v>167</v>
      </c>
      <c r="C25" s="614">
        <f ca="1">风味糖!C25*1.13</f>
        <v>0</v>
      </c>
      <c r="D25" s="505">
        <f ca="1">风味糖!D25</f>
        <v>0</v>
      </c>
      <c r="E25" s="480">
        <f ca="1">风味糖!E25*1.13</f>
        <v>0</v>
      </c>
      <c r="F25" s="507">
        <f ca="1">风味糖!F25</f>
        <v>0</v>
      </c>
      <c r="G25" s="480">
        <f ca="1">风味糖!G25*1.13</f>
        <v>0</v>
      </c>
      <c r="I25" s="502" t="s">
        <v>182</v>
      </c>
      <c r="J25" s="503" t="s">
        <v>167</v>
      </c>
      <c r="K25" s="505">
        <f ca="1">分配表!O891</f>
        <v>6.85058891447764</v>
      </c>
      <c r="L25" s="505">
        <f ca="1">风味糖!L25</f>
        <v>430.267089243031</v>
      </c>
      <c r="M25" s="506">
        <f ca="1">风味糖!M25*1.13</f>
        <v>2947.58295183287</v>
      </c>
      <c r="N25" s="507">
        <f ca="1">风味糖!N25</f>
        <v>178946.696</v>
      </c>
      <c r="O25" s="507">
        <f ca="1">风味糖!O25*1.13</f>
        <v>1225890.2519</v>
      </c>
      <c r="P25" s="589"/>
      <c r="Q25" s="589"/>
      <c r="R25" s="475"/>
    </row>
    <row r="26" s="459" customFormat="1" customHeight="1" spans="1:18">
      <c r="A26" s="502" t="s">
        <v>183</v>
      </c>
      <c r="B26" s="503" t="s">
        <v>167</v>
      </c>
      <c r="C26" s="614">
        <f ca="1">风味糖!C26*1.13</f>
        <v>0</v>
      </c>
      <c r="D26" s="505">
        <f ca="1">风味糖!D26</f>
        <v>0</v>
      </c>
      <c r="E26" s="480">
        <f ca="1">风味糖!E26*1.13</f>
        <v>0</v>
      </c>
      <c r="F26" s="507">
        <f ca="1">风味糖!F26</f>
        <v>0</v>
      </c>
      <c r="G26" s="480">
        <f ca="1">风味糖!G26*1.13</f>
        <v>0</v>
      </c>
      <c r="I26" s="502" t="s">
        <v>183</v>
      </c>
      <c r="J26" s="503" t="s">
        <v>167</v>
      </c>
      <c r="K26" s="505">
        <f ca="1">分配表!O892</f>
        <v>0</v>
      </c>
      <c r="L26" s="505">
        <f ca="1">风味糖!L26</f>
        <v>0</v>
      </c>
      <c r="M26" s="506">
        <f ca="1">风味糖!M26*1.13</f>
        <v>0</v>
      </c>
      <c r="N26" s="507">
        <f ca="1">风味糖!N26</f>
        <v>0</v>
      </c>
      <c r="O26" s="507">
        <f ca="1">风味糖!O26*1.13</f>
        <v>0</v>
      </c>
      <c r="P26" s="589"/>
      <c r="Q26" s="589"/>
      <c r="R26" s="475"/>
    </row>
    <row r="27" s="459" customFormat="1" customHeight="1" spans="1:18">
      <c r="A27" s="502" t="s">
        <v>184</v>
      </c>
      <c r="B27" s="503" t="s">
        <v>167</v>
      </c>
      <c r="C27" s="614">
        <f ca="1">风味糖!C27*1.13</f>
        <v>0</v>
      </c>
      <c r="D27" s="505">
        <f ca="1">风味糖!D27</f>
        <v>0</v>
      </c>
      <c r="E27" s="480">
        <f ca="1">风味糖!E27*1.13</f>
        <v>0</v>
      </c>
      <c r="F27" s="507">
        <f ca="1">风味糖!F27</f>
        <v>0</v>
      </c>
      <c r="G27" s="480">
        <f ca="1">风味糖!G27*1.13</f>
        <v>0</v>
      </c>
      <c r="I27" s="502" t="s">
        <v>184</v>
      </c>
      <c r="J27" s="503" t="s">
        <v>167</v>
      </c>
      <c r="K27" s="505">
        <f ca="1">分配表!O893</f>
        <v>0</v>
      </c>
      <c r="L27" s="505">
        <f ca="1">风味糖!L27</f>
        <v>0</v>
      </c>
      <c r="M27" s="506">
        <f ca="1">风味糖!M27*1.13</f>
        <v>0</v>
      </c>
      <c r="N27" s="507">
        <f ca="1">风味糖!N27</f>
        <v>0</v>
      </c>
      <c r="O27" s="507">
        <f ca="1">风味糖!O27*1.13</f>
        <v>0</v>
      </c>
      <c r="P27" s="589"/>
      <c r="Q27" s="589"/>
      <c r="R27" s="475"/>
    </row>
    <row r="28" s="459" customFormat="1" customHeight="1" spans="1:18">
      <c r="A28" s="502" t="s">
        <v>185</v>
      </c>
      <c r="B28" s="503" t="s">
        <v>167</v>
      </c>
      <c r="C28" s="614">
        <f ca="1">风味糖!C28*1.13</f>
        <v>0</v>
      </c>
      <c r="D28" s="505">
        <f ca="1">风味糖!D28</f>
        <v>0</v>
      </c>
      <c r="E28" s="480">
        <f ca="1">风味糖!E28*1.13</f>
        <v>0</v>
      </c>
      <c r="F28" s="507">
        <f ca="1">风味糖!F28</f>
        <v>0</v>
      </c>
      <c r="G28" s="480">
        <f ca="1">风味糖!G28*1.13</f>
        <v>0</v>
      </c>
      <c r="I28" s="502" t="s">
        <v>185</v>
      </c>
      <c r="J28" s="503" t="s">
        <v>167</v>
      </c>
      <c r="K28" s="505">
        <f ca="1">分配表!O894</f>
        <v>8.99923690600069</v>
      </c>
      <c r="L28" s="505">
        <f ca="1">风味糖!L28</f>
        <v>0.00693200850317828</v>
      </c>
      <c r="M28" s="506">
        <f ca="1">风味糖!M28*1.13</f>
        <v>0.0623827867545126</v>
      </c>
      <c r="N28" s="507">
        <f ca="1">风味糖!N28</f>
        <v>2.883</v>
      </c>
      <c r="O28" s="507">
        <f ca="1">风味糖!O28*1.13</f>
        <v>25.9448</v>
      </c>
      <c r="P28" s="589"/>
      <c r="Q28" s="589"/>
      <c r="R28" s="475"/>
    </row>
    <row r="29" s="459" customFormat="1" customHeight="1" spans="1:18">
      <c r="A29" s="502" t="s">
        <v>186</v>
      </c>
      <c r="B29" s="503" t="s">
        <v>167</v>
      </c>
      <c r="C29" s="614">
        <f ca="1">风味糖!C29*1.13</f>
        <v>0</v>
      </c>
      <c r="D29" s="505">
        <f ca="1">风味糖!D29</f>
        <v>0</v>
      </c>
      <c r="E29" s="480">
        <f ca="1">风味糖!E29*1.13</f>
        <v>0</v>
      </c>
      <c r="F29" s="507">
        <f ca="1">风味糖!F29</f>
        <v>0</v>
      </c>
      <c r="G29" s="480">
        <f ca="1">风味糖!G29*1.13</f>
        <v>0</v>
      </c>
      <c r="I29" s="502" t="s">
        <v>186</v>
      </c>
      <c r="J29" s="503" t="s">
        <v>167</v>
      </c>
      <c r="K29" s="505">
        <f ca="1">分配表!O895</f>
        <v>21.5000514384197</v>
      </c>
      <c r="L29" s="505">
        <f ca="1">风味糖!L29</f>
        <v>0.45341779517407</v>
      </c>
      <c r="M29" s="506">
        <f ca="1">风味糖!M29*1.13</f>
        <v>9.74850591933736</v>
      </c>
      <c r="N29" s="507">
        <f ca="1">风味糖!N29</f>
        <v>188.575</v>
      </c>
      <c r="O29" s="507">
        <f ca="1">风味糖!O29*1.13</f>
        <v>4054.3722</v>
      </c>
      <c r="P29" s="589"/>
      <c r="Q29" s="589"/>
      <c r="R29" s="475"/>
    </row>
    <row r="30" s="459" customFormat="1" customHeight="1" spans="1:18">
      <c r="A30" s="502" t="s">
        <v>187</v>
      </c>
      <c r="B30" s="503" t="s">
        <v>167</v>
      </c>
      <c r="C30" s="614">
        <f ca="1">风味糖!C30*1.13</f>
        <v>0</v>
      </c>
      <c r="D30" s="505">
        <f ca="1">风味糖!D30</f>
        <v>0</v>
      </c>
      <c r="E30" s="480">
        <f ca="1">风味糖!E30*1.13</f>
        <v>0</v>
      </c>
      <c r="F30" s="507">
        <f ca="1">风味糖!F30</f>
        <v>0</v>
      </c>
      <c r="G30" s="480">
        <f ca="1">风味糖!G30*1.13</f>
        <v>0</v>
      </c>
      <c r="I30" s="502" t="s">
        <v>187</v>
      </c>
      <c r="J30" s="503" t="s">
        <v>167</v>
      </c>
      <c r="K30" s="505">
        <f ca="1">分配表!O896</f>
        <v>350.000759259259</v>
      </c>
      <c r="L30" s="505">
        <f ca="1">风味糖!L30</f>
        <v>0.0259679819057667</v>
      </c>
      <c r="M30" s="506">
        <f ca="1">风味糖!M30*1.13</f>
        <v>9.08881338344905</v>
      </c>
      <c r="N30" s="507">
        <f ca="1">风味糖!N30</f>
        <v>10.8</v>
      </c>
      <c r="O30" s="507">
        <f ca="1">风味糖!O30*1.13</f>
        <v>3780.0082</v>
      </c>
      <c r="P30" s="589"/>
      <c r="Q30" s="589"/>
      <c r="R30" s="475"/>
    </row>
    <row r="31" s="459" customFormat="1" customHeight="1" spans="1:18">
      <c r="A31" s="502" t="s">
        <v>188</v>
      </c>
      <c r="B31" s="503" t="s">
        <v>75</v>
      </c>
      <c r="C31" s="614">
        <f ca="1">风味糖!C31*1.13</f>
        <v>0</v>
      </c>
      <c r="D31" s="505">
        <f ca="1">风味糖!D31</f>
        <v>0</v>
      </c>
      <c r="E31" s="480">
        <f ca="1">风味糖!E31*1.13</f>
        <v>0</v>
      </c>
      <c r="F31" s="507">
        <f ca="1">风味糖!F31</f>
        <v>0</v>
      </c>
      <c r="G31" s="480">
        <f ca="1">风味糖!G31*1.13</f>
        <v>0</v>
      </c>
      <c r="I31" s="502" t="s">
        <v>188</v>
      </c>
      <c r="J31" s="503" t="s">
        <v>75</v>
      </c>
      <c r="K31" s="505">
        <f ca="1">分配表!O897</f>
        <v>0</v>
      </c>
      <c r="L31" s="505">
        <f ca="1">风味糖!L31</f>
        <v>0</v>
      </c>
      <c r="M31" s="506">
        <f ca="1">风味糖!M31*1.13</f>
        <v>0</v>
      </c>
      <c r="N31" s="507">
        <f ca="1">风味糖!N31</f>
        <v>0</v>
      </c>
      <c r="O31" s="507">
        <f ca="1">风味糖!O31*1.13</f>
        <v>0</v>
      </c>
      <c r="P31" s="589"/>
      <c r="Q31" s="589"/>
      <c r="R31" s="475"/>
    </row>
    <row r="32" s="459" customFormat="1" customHeight="1" spans="1:18">
      <c r="A32" s="502" t="s">
        <v>189</v>
      </c>
      <c r="B32" s="503" t="s">
        <v>167</v>
      </c>
      <c r="C32" s="614">
        <f ca="1">风味糖!C32*1.13</f>
        <v>0</v>
      </c>
      <c r="D32" s="505">
        <f ca="1">风味糖!D32</f>
        <v>0</v>
      </c>
      <c r="E32" s="480">
        <f ca="1">风味糖!E32*1.13</f>
        <v>0</v>
      </c>
      <c r="F32" s="507">
        <f ca="1">风味糖!F32</f>
        <v>0</v>
      </c>
      <c r="G32" s="480">
        <f ca="1">风味糖!G32*1.13</f>
        <v>0</v>
      </c>
      <c r="I32" s="502" t="s">
        <v>189</v>
      </c>
      <c r="J32" s="503" t="s">
        <v>167</v>
      </c>
      <c r="K32" s="505">
        <f ca="1">分配表!O898</f>
        <v>0</v>
      </c>
      <c r="L32" s="505">
        <f ca="1">风味糖!L32</f>
        <v>0</v>
      </c>
      <c r="M32" s="506">
        <f ca="1">风味糖!M32*1.13</f>
        <v>0</v>
      </c>
      <c r="N32" s="507">
        <f ca="1">风味糖!N32</f>
        <v>0</v>
      </c>
      <c r="O32" s="507">
        <f ca="1">风味糖!O32*1.13</f>
        <v>0</v>
      </c>
      <c r="P32" s="589"/>
      <c r="Q32" s="589"/>
      <c r="R32" s="475"/>
    </row>
    <row r="33" s="459" customFormat="1" customHeight="1" spans="1:18">
      <c r="A33" s="502" t="s">
        <v>190</v>
      </c>
      <c r="B33" s="503" t="s">
        <v>167</v>
      </c>
      <c r="C33" s="614">
        <f ca="1">风味糖!C33*1.13</f>
        <v>0</v>
      </c>
      <c r="D33" s="505">
        <f ca="1">风味糖!D33</f>
        <v>0</v>
      </c>
      <c r="E33" s="480">
        <f ca="1">风味糖!E33*1.13</f>
        <v>0</v>
      </c>
      <c r="F33" s="507">
        <f ca="1">风味糖!F33</f>
        <v>0</v>
      </c>
      <c r="G33" s="480">
        <f ca="1">风味糖!G33*1.13</f>
        <v>0</v>
      </c>
      <c r="I33" s="502" t="s">
        <v>190</v>
      </c>
      <c r="J33" s="503" t="s">
        <v>167</v>
      </c>
      <c r="K33" s="505">
        <f ca="1">分配表!O899</f>
        <v>0</v>
      </c>
      <c r="L33" s="505">
        <f ca="1">风味糖!L33</f>
        <v>0</v>
      </c>
      <c r="M33" s="506">
        <f ca="1">风味糖!M33*1.13</f>
        <v>0</v>
      </c>
      <c r="N33" s="507">
        <f ca="1">风味糖!N33</f>
        <v>0</v>
      </c>
      <c r="O33" s="507">
        <f ca="1">风味糖!O33*1.13</f>
        <v>0</v>
      </c>
      <c r="P33" s="589"/>
      <c r="Q33" s="589"/>
      <c r="R33" s="475"/>
    </row>
    <row r="34" s="459" customFormat="1" customHeight="1" spans="1:18">
      <c r="A34" s="502" t="s">
        <v>191</v>
      </c>
      <c r="B34" s="503" t="s">
        <v>75</v>
      </c>
      <c r="C34" s="614">
        <f ca="1">风味糖!C34*1.13</f>
        <v>0</v>
      </c>
      <c r="D34" s="505">
        <f ca="1">风味糖!D34</f>
        <v>0</v>
      </c>
      <c r="E34" s="480">
        <f ca="1">风味糖!E34*1.13</f>
        <v>0</v>
      </c>
      <c r="F34" s="507">
        <f ca="1">风味糖!F34</f>
        <v>0</v>
      </c>
      <c r="G34" s="480">
        <f ca="1">风味糖!G34*1.13</f>
        <v>0</v>
      </c>
      <c r="I34" s="502" t="s">
        <v>191</v>
      </c>
      <c r="J34" s="503" t="s">
        <v>75</v>
      </c>
      <c r="K34" s="505">
        <f ca="1">分配表!O900</f>
        <v>7330.71886432278</v>
      </c>
      <c r="L34" s="505">
        <f ca="1">风味糖!L34</f>
        <v>0.268290128613644</v>
      </c>
      <c r="M34" s="506">
        <f ca="1">风味糖!M34*1.13</f>
        <v>1966.75950693962</v>
      </c>
      <c r="N34" s="507">
        <f ca="1">风味糖!N34</f>
        <v>111.581</v>
      </c>
      <c r="O34" s="507">
        <f ca="1">风味糖!O34*1.13</f>
        <v>817968.9416</v>
      </c>
      <c r="P34" s="589"/>
      <c r="Q34" s="475"/>
      <c r="R34" s="475"/>
    </row>
    <row r="35" s="459" customFormat="1" customHeight="1" spans="1:18">
      <c r="A35" s="502" t="s">
        <v>192</v>
      </c>
      <c r="B35" s="503" t="s">
        <v>167</v>
      </c>
      <c r="C35" s="614">
        <f ca="1">风味糖!C35*1.13</f>
        <v>0</v>
      </c>
      <c r="D35" s="505">
        <f ca="1">风味糖!D35</f>
        <v>0</v>
      </c>
      <c r="E35" s="480">
        <f ca="1">风味糖!E35*1.13</f>
        <v>0</v>
      </c>
      <c r="F35" s="507">
        <f ca="1">风味糖!F35</f>
        <v>0</v>
      </c>
      <c r="G35" s="480">
        <f ca="1">风味糖!G35*1.13</f>
        <v>0</v>
      </c>
      <c r="I35" s="502" t="s">
        <v>192</v>
      </c>
      <c r="J35" s="503" t="s">
        <v>167</v>
      </c>
      <c r="K35" s="505">
        <f ca="1">分配表!O901</f>
        <v>0</v>
      </c>
      <c r="L35" s="505">
        <f ca="1">风味糖!L35</f>
        <v>0</v>
      </c>
      <c r="M35" s="506">
        <f ca="1">风味糖!M35*1.13</f>
        <v>0</v>
      </c>
      <c r="N35" s="507">
        <f ca="1">风味糖!N35</f>
        <v>0</v>
      </c>
      <c r="O35" s="507">
        <f ca="1">风味糖!O35*1.13</f>
        <v>0</v>
      </c>
      <c r="P35" s="589"/>
      <c r="Q35" s="589"/>
      <c r="R35" s="475"/>
    </row>
    <row r="36" s="459" customFormat="1" customHeight="1" spans="1:18">
      <c r="A36" s="502" t="s">
        <v>193</v>
      </c>
      <c r="B36" s="503" t="s">
        <v>167</v>
      </c>
      <c r="C36" s="614">
        <f ca="1">风味糖!C36*1.13</f>
        <v>0</v>
      </c>
      <c r="D36" s="505">
        <f ca="1">风味糖!D36</f>
        <v>0</v>
      </c>
      <c r="E36" s="480">
        <f ca="1">风味糖!E36*1.13</f>
        <v>0</v>
      </c>
      <c r="F36" s="507">
        <f ca="1">风味糖!F36</f>
        <v>0</v>
      </c>
      <c r="G36" s="480">
        <f ca="1">风味糖!G36*1.13</f>
        <v>0</v>
      </c>
      <c r="I36" s="502" t="s">
        <v>193</v>
      </c>
      <c r="J36" s="503" t="s">
        <v>167</v>
      </c>
      <c r="K36" s="505">
        <f ca="1">分配表!O902</f>
        <v>0</v>
      </c>
      <c r="L36" s="505">
        <f ca="1">风味糖!L36</f>
        <v>0</v>
      </c>
      <c r="M36" s="506">
        <f ca="1">风味糖!M36*1.13</f>
        <v>0</v>
      </c>
      <c r="N36" s="507">
        <f ca="1">风味糖!N36</f>
        <v>0</v>
      </c>
      <c r="O36" s="507">
        <f ca="1">风味糖!O36*1.13</f>
        <v>0</v>
      </c>
      <c r="P36" s="589"/>
      <c r="Q36" s="589"/>
      <c r="R36" s="475"/>
    </row>
    <row r="37" s="459" customFormat="1" customHeight="1" spans="1:18">
      <c r="A37" s="502" t="s">
        <v>194</v>
      </c>
      <c r="B37" s="503" t="s">
        <v>167</v>
      </c>
      <c r="C37" s="614">
        <f ca="1">风味糖!C37*1.13</f>
        <v>0</v>
      </c>
      <c r="D37" s="505">
        <f ca="1">风味糖!D37</f>
        <v>0</v>
      </c>
      <c r="E37" s="480">
        <f ca="1">风味糖!E37*1.13</f>
        <v>0</v>
      </c>
      <c r="F37" s="507">
        <f ca="1">风味糖!F37</f>
        <v>0</v>
      </c>
      <c r="G37" s="480">
        <f ca="1">风味糖!G37*1.13</f>
        <v>0</v>
      </c>
      <c r="I37" s="502" t="s">
        <v>194</v>
      </c>
      <c r="J37" s="503" t="s">
        <v>167</v>
      </c>
      <c r="K37" s="505">
        <f ca="1">分配表!O903</f>
        <v>0</v>
      </c>
      <c r="L37" s="505">
        <f ca="1">风味糖!L37</f>
        <v>0</v>
      </c>
      <c r="M37" s="506">
        <f ca="1">风味糖!M37*1.13</f>
        <v>0</v>
      </c>
      <c r="N37" s="507">
        <f ca="1">风味糖!N37</f>
        <v>0</v>
      </c>
      <c r="O37" s="507">
        <f ca="1">风味糖!O37*1.13</f>
        <v>0</v>
      </c>
      <c r="P37" s="589"/>
      <c r="Q37" s="589"/>
      <c r="R37" s="475"/>
    </row>
    <row r="38" s="459" customFormat="1" customHeight="1" spans="1:18">
      <c r="A38" s="502" t="s">
        <v>195</v>
      </c>
      <c r="B38" s="503" t="s">
        <v>167</v>
      </c>
      <c r="C38" s="614">
        <f ca="1">风味糖!C38*1.13</f>
        <v>0</v>
      </c>
      <c r="D38" s="505">
        <f ca="1">风味糖!D38</f>
        <v>0</v>
      </c>
      <c r="E38" s="480">
        <f ca="1">风味糖!E38*1.13</f>
        <v>0</v>
      </c>
      <c r="F38" s="507">
        <f ca="1">风味糖!F38</f>
        <v>0</v>
      </c>
      <c r="G38" s="480">
        <f ca="1">风味糖!G38*1.13</f>
        <v>0</v>
      </c>
      <c r="I38" s="502" t="s">
        <v>195</v>
      </c>
      <c r="J38" s="503" t="s">
        <v>167</v>
      </c>
      <c r="K38" s="505">
        <f ca="1">分配表!O904</f>
        <v>0</v>
      </c>
      <c r="L38" s="505">
        <f ca="1">风味糖!L38</f>
        <v>0</v>
      </c>
      <c r="M38" s="506">
        <f ca="1">风味糖!M38*1.13</f>
        <v>0</v>
      </c>
      <c r="N38" s="507">
        <f ca="1">风味糖!N38</f>
        <v>0</v>
      </c>
      <c r="O38" s="507">
        <f ca="1">风味糖!O38*1.13</f>
        <v>0</v>
      </c>
      <c r="P38" s="589"/>
      <c r="Q38" s="589"/>
      <c r="R38" s="475"/>
    </row>
    <row r="39" s="459" customFormat="1" customHeight="1" spans="1:18">
      <c r="A39" s="502" t="s">
        <v>196</v>
      </c>
      <c r="B39" s="503" t="s">
        <v>167</v>
      </c>
      <c r="C39" s="614">
        <f ca="1">风味糖!C39*1.13</f>
        <v>0</v>
      </c>
      <c r="D39" s="505">
        <f ca="1">风味糖!D39</f>
        <v>0</v>
      </c>
      <c r="E39" s="480">
        <f ca="1">风味糖!E39*1.13</f>
        <v>0</v>
      </c>
      <c r="F39" s="507">
        <f ca="1">风味糖!F39</f>
        <v>0</v>
      </c>
      <c r="G39" s="480">
        <f ca="1">风味糖!G39*1.13</f>
        <v>0</v>
      </c>
      <c r="I39" s="502" t="s">
        <v>196</v>
      </c>
      <c r="J39" s="503" t="s">
        <v>167</v>
      </c>
      <c r="K39" s="505">
        <f ca="1">分配表!O905</f>
        <v>0</v>
      </c>
      <c r="L39" s="505">
        <f ca="1">风味糖!L39</f>
        <v>0</v>
      </c>
      <c r="M39" s="506">
        <f ca="1">风味糖!M39*1.13</f>
        <v>0</v>
      </c>
      <c r="N39" s="507">
        <f ca="1">风味糖!N39</f>
        <v>0</v>
      </c>
      <c r="O39" s="507">
        <f ca="1">风味糖!O39*1.13</f>
        <v>0</v>
      </c>
      <c r="P39" s="589"/>
      <c r="Q39" s="589"/>
      <c r="R39" s="475"/>
    </row>
    <row r="40" s="459" customFormat="1" customHeight="1" spans="1:18">
      <c r="A40" s="502" t="s">
        <v>197</v>
      </c>
      <c r="B40" s="503" t="s">
        <v>167</v>
      </c>
      <c r="C40" s="614">
        <f ca="1">风味糖!C40*1.13</f>
        <v>0</v>
      </c>
      <c r="D40" s="505">
        <f ca="1">风味糖!D40</f>
        <v>0</v>
      </c>
      <c r="E40" s="480">
        <f ca="1">风味糖!E40*1.13</f>
        <v>0</v>
      </c>
      <c r="F40" s="507">
        <f ca="1">风味糖!F40</f>
        <v>0</v>
      </c>
      <c r="G40" s="480">
        <f ca="1">风味糖!G40*1.13</f>
        <v>0</v>
      </c>
      <c r="I40" s="502" t="s">
        <v>197</v>
      </c>
      <c r="J40" s="503" t="s">
        <v>167</v>
      </c>
      <c r="K40" s="505">
        <f ca="1">分配表!O906</f>
        <v>0</v>
      </c>
      <c r="L40" s="505">
        <f ca="1">风味糖!L40</f>
        <v>0</v>
      </c>
      <c r="M40" s="506">
        <f ca="1">风味糖!M40*1.13</f>
        <v>0</v>
      </c>
      <c r="N40" s="507">
        <f ca="1">风味糖!N40</f>
        <v>0</v>
      </c>
      <c r="O40" s="507">
        <f ca="1">风味糖!O40*1.13</f>
        <v>0</v>
      </c>
      <c r="P40" s="589"/>
      <c r="Q40" s="589"/>
      <c r="R40" s="475"/>
    </row>
    <row r="41" s="459" customFormat="1" customHeight="1" spans="1:18">
      <c r="A41" s="502" t="s">
        <v>198</v>
      </c>
      <c r="B41" s="503" t="s">
        <v>167</v>
      </c>
      <c r="C41" s="614">
        <f ca="1">风味糖!C41*1.13</f>
        <v>0</v>
      </c>
      <c r="D41" s="505">
        <f ca="1">风味糖!D41</f>
        <v>0</v>
      </c>
      <c r="E41" s="480">
        <f ca="1">风味糖!E41*1.13</f>
        <v>0</v>
      </c>
      <c r="F41" s="507">
        <f ca="1">风味糖!F41</f>
        <v>0</v>
      </c>
      <c r="G41" s="480">
        <f ca="1">风味糖!G41*1.13</f>
        <v>0</v>
      </c>
      <c r="I41" s="502" t="s">
        <v>198</v>
      </c>
      <c r="J41" s="503" t="s">
        <v>167</v>
      </c>
      <c r="K41" s="505">
        <f ca="1">分配表!O907</f>
        <v>25.8161957708222</v>
      </c>
      <c r="L41" s="505">
        <f ca="1">风味糖!L41</f>
        <v>0.0947182140012841</v>
      </c>
      <c r="M41" s="506">
        <f ca="1">风味糖!M41*1.13</f>
        <v>2.44526395571978</v>
      </c>
      <c r="N41" s="507">
        <f ca="1">风味糖!N41</f>
        <v>39.393</v>
      </c>
      <c r="O41" s="507">
        <f ca="1">风味糖!O41*1.13</f>
        <v>1016.9774</v>
      </c>
      <c r="P41" s="589"/>
      <c r="Q41" s="589"/>
      <c r="R41" s="475"/>
    </row>
    <row r="42" s="459" customFormat="1" customHeight="1" spans="1:18">
      <c r="A42" s="502" t="s">
        <v>199</v>
      </c>
      <c r="B42" s="503" t="s">
        <v>167</v>
      </c>
      <c r="C42" s="614">
        <f ca="1">风味糖!C42*1.13</f>
        <v>0</v>
      </c>
      <c r="D42" s="505">
        <f ca="1">风味糖!D42</f>
        <v>0</v>
      </c>
      <c r="E42" s="480">
        <f ca="1">风味糖!E42*1.13</f>
        <v>0</v>
      </c>
      <c r="F42" s="507">
        <f ca="1">风味糖!F42</f>
        <v>0</v>
      </c>
      <c r="G42" s="480">
        <f ca="1">风味糖!G42*1.13</f>
        <v>0</v>
      </c>
      <c r="I42" s="502" t="s">
        <v>199</v>
      </c>
      <c r="J42" s="503" t="s">
        <v>167</v>
      </c>
      <c r="K42" s="505">
        <f ca="1">分配表!O908</f>
        <v>0</v>
      </c>
      <c r="L42" s="505">
        <f ca="1">风味糖!L42</f>
        <v>0</v>
      </c>
      <c r="M42" s="506">
        <f ca="1">风味糖!M42*1.13</f>
        <v>0</v>
      </c>
      <c r="N42" s="507">
        <f ca="1">风味糖!N42</f>
        <v>0</v>
      </c>
      <c r="O42" s="507">
        <f ca="1">风味糖!O42*1.13</f>
        <v>0</v>
      </c>
      <c r="P42" s="589"/>
      <c r="Q42" s="589"/>
      <c r="R42" s="475"/>
    </row>
    <row r="43" s="459" customFormat="1" customHeight="1" spans="1:18">
      <c r="A43" s="502" t="s">
        <v>200</v>
      </c>
      <c r="B43" s="503" t="s">
        <v>167</v>
      </c>
      <c r="C43" s="614">
        <f ca="1">风味糖!C43*1.13</f>
        <v>0</v>
      </c>
      <c r="D43" s="505">
        <f ca="1">风味糖!D43</f>
        <v>0</v>
      </c>
      <c r="E43" s="480">
        <f ca="1">风味糖!E43*1.13</f>
        <v>0</v>
      </c>
      <c r="F43" s="507">
        <f ca="1">风味糖!F43</f>
        <v>0</v>
      </c>
      <c r="G43" s="480">
        <f ca="1">风味糖!G43*1.13</f>
        <v>0</v>
      </c>
      <c r="I43" s="502" t="s">
        <v>200</v>
      </c>
      <c r="J43" s="503" t="s">
        <v>167</v>
      </c>
      <c r="K43" s="505">
        <f ca="1">分配表!O909</f>
        <v>10.9785485788114</v>
      </c>
      <c r="L43" s="505">
        <f ca="1">风味糖!L43</f>
        <v>29.7766192519458</v>
      </c>
      <c r="M43" s="506">
        <f ca="1">风味糖!M43*1.13</f>
        <v>326.904060970257</v>
      </c>
      <c r="N43" s="507">
        <f ca="1">风味糖!N43</f>
        <v>12384</v>
      </c>
      <c r="O43" s="507">
        <f ca="1">风味糖!O43*1.13</f>
        <v>135958.3456</v>
      </c>
      <c r="P43" s="589"/>
      <c r="Q43" s="589"/>
      <c r="R43" s="475"/>
    </row>
    <row r="44" s="459" customFormat="1" customHeight="1" spans="1:18">
      <c r="A44" s="502" t="s">
        <v>201</v>
      </c>
      <c r="B44" s="503"/>
      <c r="C44" s="614">
        <f ca="1">风味糖!C44*1.13</f>
        <v>0</v>
      </c>
      <c r="D44" s="505">
        <f ca="1">风味糖!D44</f>
        <v>0</v>
      </c>
      <c r="E44" s="480">
        <f ca="1">风味糖!E44*1.13</f>
        <v>0</v>
      </c>
      <c r="F44" s="507">
        <f ca="1">风味糖!F44</f>
        <v>0</v>
      </c>
      <c r="G44" s="480">
        <f ca="1">风味糖!G44*1.13</f>
        <v>0</v>
      </c>
      <c r="I44" s="502" t="s">
        <v>201</v>
      </c>
      <c r="J44" s="503"/>
      <c r="K44" s="505">
        <f ca="1">分配表!O910</f>
        <v>0</v>
      </c>
      <c r="L44" s="505">
        <f ca="1">风味糖!L44</f>
        <v>0</v>
      </c>
      <c r="M44" s="506">
        <f ca="1">风味糖!M44*1.13</f>
        <v>0</v>
      </c>
      <c r="N44" s="507">
        <f ca="1">风味糖!N44</f>
        <v>0</v>
      </c>
      <c r="O44" s="507">
        <f ca="1">风味糖!O44*1.13</f>
        <v>0</v>
      </c>
      <c r="P44" s="589"/>
      <c r="Q44" s="589"/>
      <c r="R44" s="475"/>
    </row>
    <row r="45" s="459" customFormat="1" customHeight="1" spans="1:18">
      <c r="A45" s="502" t="s">
        <v>202</v>
      </c>
      <c r="B45" s="503"/>
      <c r="C45" s="614">
        <f ca="1">风味糖!C45*1.13</f>
        <v>0</v>
      </c>
      <c r="D45" s="505">
        <f ca="1">风味糖!D45</f>
        <v>0</v>
      </c>
      <c r="E45" s="480">
        <f ca="1">风味糖!E45*1.13</f>
        <v>0</v>
      </c>
      <c r="F45" s="507">
        <f ca="1">风味糖!F45</f>
        <v>0</v>
      </c>
      <c r="G45" s="480">
        <f ca="1">风味糖!G45*1.13</f>
        <v>0</v>
      </c>
      <c r="I45" s="502" t="s">
        <v>202</v>
      </c>
      <c r="J45" s="503"/>
      <c r="K45" s="505">
        <f ca="1">分配表!O911</f>
        <v>140.000785</v>
      </c>
      <c r="L45" s="505">
        <f ca="1">风味糖!L45</f>
        <v>0.0480888553810495</v>
      </c>
      <c r="M45" s="506">
        <f ca="1">风味糖!M45*1.13</f>
        <v>6.7324775030984</v>
      </c>
      <c r="N45" s="507">
        <f ca="1">风味糖!N45</f>
        <v>20</v>
      </c>
      <c r="O45" s="507">
        <f ca="1">风味糖!O45*1.13</f>
        <v>2800.0157</v>
      </c>
      <c r="P45" s="589"/>
      <c r="Q45" s="589"/>
      <c r="R45" s="475"/>
    </row>
    <row r="46" s="459" customFormat="1" customHeight="1" spans="1:18">
      <c r="A46" s="502" t="s">
        <v>203</v>
      </c>
      <c r="B46" s="503"/>
      <c r="C46" s="614">
        <f ca="1">风味糖!C46*1.13</f>
        <v>0</v>
      </c>
      <c r="D46" s="505">
        <f ca="1">风味糖!D46</f>
        <v>0</v>
      </c>
      <c r="E46" s="480">
        <f ca="1">风味糖!E46*1.13</f>
        <v>0</v>
      </c>
      <c r="F46" s="507">
        <f ca="1">风味糖!F46</f>
        <v>0</v>
      </c>
      <c r="G46" s="480">
        <f ca="1">风味糖!G46*1.13</f>
        <v>0</v>
      </c>
      <c r="I46" s="502" t="s">
        <v>203</v>
      </c>
      <c r="J46" s="503"/>
      <c r="K46" s="505">
        <f ca="1">分配表!O912</f>
        <v>0</v>
      </c>
      <c r="L46" s="505">
        <f ca="1">风味糖!L46</f>
        <v>0</v>
      </c>
      <c r="M46" s="506">
        <f ca="1">风味糖!M46*1.13</f>
        <v>0</v>
      </c>
      <c r="N46" s="507">
        <f ca="1">风味糖!N46</f>
        <v>0</v>
      </c>
      <c r="O46" s="507">
        <f ca="1">风味糖!O46*1.13</f>
        <v>0</v>
      </c>
      <c r="P46" s="589"/>
      <c r="Q46" s="589"/>
      <c r="R46" s="475"/>
    </row>
    <row r="47" s="459" customFormat="1" customHeight="1" spans="1:18">
      <c r="A47" s="502" t="s">
        <v>204</v>
      </c>
      <c r="B47" s="503"/>
      <c r="C47" s="614">
        <f ca="1">风味糖!C47*1.13</f>
        <v>0</v>
      </c>
      <c r="D47" s="505">
        <f ca="1">风味糖!D47</f>
        <v>0</v>
      </c>
      <c r="E47" s="480">
        <f ca="1">风味糖!E47*1.13</f>
        <v>0</v>
      </c>
      <c r="F47" s="507">
        <f ca="1">风味糖!F47</f>
        <v>0</v>
      </c>
      <c r="G47" s="480">
        <f ca="1">风味糖!G47*1.13</f>
        <v>0</v>
      </c>
      <c r="I47" s="502" t="s">
        <v>204</v>
      </c>
      <c r="J47" s="503"/>
      <c r="K47" s="505">
        <f ca="1">分配表!O913</f>
        <v>117.419497505779</v>
      </c>
      <c r="L47" s="505">
        <f ca="1">风味糖!L47</f>
        <v>0.0395242302376846</v>
      </c>
      <c r="M47" s="506">
        <f ca="1">风味糖!M47*1.13</f>
        <v>4.64091525381165</v>
      </c>
      <c r="N47" s="507">
        <f ca="1">风味糖!N47</f>
        <v>16.438</v>
      </c>
      <c r="O47" s="507">
        <f ca="1">风味糖!O47*1.13</f>
        <v>1930.1417</v>
      </c>
      <c r="P47" s="589"/>
      <c r="Q47" s="589"/>
      <c r="R47" s="475"/>
    </row>
    <row r="48" s="459" customFormat="1" customHeight="1" spans="1:18">
      <c r="A48" s="502" t="str">
        <f>风味糖!A48</f>
        <v>其它香精_通用_液体香精_SHRS0120</v>
      </c>
      <c r="B48" s="503"/>
      <c r="C48" s="614">
        <f ca="1">风味糖!C48*1.13</f>
        <v>0</v>
      </c>
      <c r="D48" s="505">
        <f ca="1">风味糖!D48</f>
        <v>0</v>
      </c>
      <c r="E48" s="480">
        <f ca="1">风味糖!E48*1.13</f>
        <v>0</v>
      </c>
      <c r="F48" s="507">
        <f ca="1">风味糖!F48</f>
        <v>0</v>
      </c>
      <c r="G48" s="480">
        <f ca="1">风味糖!G48*1.13</f>
        <v>0</v>
      </c>
      <c r="I48" s="502" t="str">
        <f>A48</f>
        <v>其它香精_通用_液体香精_SHRS0120</v>
      </c>
      <c r="J48" s="503"/>
      <c r="K48" s="505">
        <f ca="1">分配表!O914</f>
        <v>123.000023528067</v>
      </c>
      <c r="L48" s="505">
        <f ca="1">风味糖!L48</f>
        <v>0.715362599320185</v>
      </c>
      <c r="M48" s="506">
        <f ca="1">风味糖!M48*1.13</f>
        <v>87.9896165474822</v>
      </c>
      <c r="N48" s="507">
        <f ca="1">风味糖!N48</f>
        <v>297.517</v>
      </c>
      <c r="O48" s="507">
        <f ca="1">风味糖!O48*1.13</f>
        <v>36594.598</v>
      </c>
      <c r="P48" s="589"/>
      <c r="Q48" s="475"/>
      <c r="R48" s="475"/>
    </row>
    <row r="49" s="459" customFormat="1" customHeight="1" spans="1:18">
      <c r="A49" s="502" t="str">
        <f>风味糖!A49</f>
        <v>甘蔗香精_通用_通用</v>
      </c>
      <c r="B49" s="503"/>
      <c r="C49" s="614">
        <f ca="1">风味糖!C49*1.13</f>
        <v>0</v>
      </c>
      <c r="D49" s="505">
        <f ca="1">风味糖!D49</f>
        <v>0</v>
      </c>
      <c r="E49" s="480">
        <f ca="1">风味糖!E49*1.13</f>
        <v>0</v>
      </c>
      <c r="F49" s="507">
        <f ca="1">风味糖!F49</f>
        <v>0</v>
      </c>
      <c r="G49" s="480">
        <f ca="1">风味糖!G49*1.13</f>
        <v>0</v>
      </c>
      <c r="I49" s="502" t="str">
        <f t="shared" ref="I49" si="1">A49</f>
        <v>甘蔗香精_通用_通用</v>
      </c>
      <c r="J49" s="503"/>
      <c r="K49" s="505">
        <f ca="1">分配表!O915</f>
        <v>0</v>
      </c>
      <c r="L49" s="505">
        <f ca="1">风味糖!L49</f>
        <v>0</v>
      </c>
      <c r="M49" s="506">
        <f ca="1">风味糖!M49*1.13</f>
        <v>0</v>
      </c>
      <c r="N49" s="507">
        <f ca="1">风味糖!N49</f>
        <v>0</v>
      </c>
      <c r="O49" s="507">
        <f ca="1">风味糖!O49*1.13</f>
        <v>0</v>
      </c>
      <c r="P49" s="589"/>
      <c r="Q49" s="475"/>
      <c r="R49" s="475"/>
    </row>
    <row r="50" s="459" customFormat="1" customHeight="1" spans="1:18">
      <c r="A50" s="502" t="str">
        <f>风味糖!A50</f>
        <v>炒板栗香精_通用_通用</v>
      </c>
      <c r="B50" s="503"/>
      <c r="C50" s="614">
        <f ca="1">风味糖!C50*1.13</f>
        <v>0</v>
      </c>
      <c r="D50" s="505">
        <f ca="1">风味糖!D50</f>
        <v>0</v>
      </c>
      <c r="E50" s="480">
        <f ca="1">风味糖!E50*1.13</f>
        <v>0</v>
      </c>
      <c r="F50" s="507">
        <f ca="1">风味糖!F50</f>
        <v>0</v>
      </c>
      <c r="G50" s="480">
        <f ca="1">风味糖!G50*1.13</f>
        <v>0</v>
      </c>
      <c r="I50" s="502" t="str">
        <f t="shared" ref="I50:I52" si="2">A50</f>
        <v>炒板栗香精_通用_通用</v>
      </c>
      <c r="J50" s="503"/>
      <c r="K50" s="505">
        <f ca="1">分配表!O916</f>
        <v>0</v>
      </c>
      <c r="L50" s="505">
        <f ca="1">风味糖!L50</f>
        <v>0</v>
      </c>
      <c r="M50" s="506">
        <f ca="1">风味糖!M50*1.13</f>
        <v>0</v>
      </c>
      <c r="N50" s="507">
        <f ca="1">风味糖!N50</f>
        <v>0</v>
      </c>
      <c r="O50" s="507">
        <f ca="1">风味糖!O50*1.13</f>
        <v>0</v>
      </c>
      <c r="P50" s="589"/>
      <c r="Q50" s="475"/>
      <c r="R50" s="475"/>
    </row>
    <row r="51" s="459" customFormat="1" customHeight="1" spans="1:18">
      <c r="A51" s="502" t="str">
        <f>风味糖!A51</f>
        <v>其它香精_通用_液体香精_SHRS0160</v>
      </c>
      <c r="B51" s="503"/>
      <c r="C51" s="614">
        <f ca="1">风味糖!C51*1.13</f>
        <v>0</v>
      </c>
      <c r="D51" s="505">
        <f ca="1">风味糖!D51</f>
        <v>0</v>
      </c>
      <c r="E51" s="480">
        <f ca="1">风味糖!E51*1.13</f>
        <v>0</v>
      </c>
      <c r="F51" s="507">
        <f ca="1">风味糖!F51</f>
        <v>0</v>
      </c>
      <c r="G51" s="480">
        <f ca="1">风味糖!G51*1.13</f>
        <v>0</v>
      </c>
      <c r="I51" s="502" t="str">
        <f t="shared" si="2"/>
        <v>其它香精_通用_液体香精_SHRS0160</v>
      </c>
      <c r="J51" s="503"/>
      <c r="K51" s="505">
        <f ca="1">分配表!O917</f>
        <v>179.280007370555</v>
      </c>
      <c r="L51" s="505">
        <f ca="1">风味糖!L51</f>
        <v>0.0260978218152955</v>
      </c>
      <c r="M51" s="506">
        <f ca="1">风味糖!M51*1.13</f>
        <v>4.67881768740161</v>
      </c>
      <c r="N51" s="507">
        <f ca="1">风味糖!N51</f>
        <v>10.854</v>
      </c>
      <c r="O51" s="507">
        <f ca="1">风味糖!O51*1.13</f>
        <v>1945.9052</v>
      </c>
      <c r="P51" s="589"/>
      <c r="Q51" s="475"/>
      <c r="R51" s="475"/>
    </row>
    <row r="52" s="459" customFormat="1" customHeight="1" spans="1:18">
      <c r="A52" s="502" t="str">
        <f>风味糖!A52</f>
        <v>其它香精_通用_液体香精_SHRS0240</v>
      </c>
      <c r="B52" s="503"/>
      <c r="C52" s="614">
        <f ca="1">风味糖!C52*1.13</f>
        <v>0</v>
      </c>
      <c r="D52" s="505">
        <f ca="1">风味糖!D52</f>
        <v>0</v>
      </c>
      <c r="E52" s="480">
        <f ca="1">风味糖!E52*1.13</f>
        <v>0</v>
      </c>
      <c r="F52" s="507">
        <f ca="1">风味糖!F52</f>
        <v>0</v>
      </c>
      <c r="G52" s="480">
        <f ca="1">风味糖!G52*1.13</f>
        <v>0</v>
      </c>
      <c r="I52" s="502" t="str">
        <f t="shared" si="2"/>
        <v>其它香精_通用_液体香精_SHRS0240</v>
      </c>
      <c r="J52" s="503"/>
      <c r="K52" s="505">
        <f ca="1">分配表!O918</f>
        <v>258.004692703603</v>
      </c>
      <c r="L52" s="505">
        <f ca="1">风味糖!L52</f>
        <v>0.00794187446618032</v>
      </c>
      <c r="M52" s="506">
        <f ca="1">风味糖!M52*1.13</f>
        <v>2.04904088113744</v>
      </c>
      <c r="N52" s="507">
        <f ca="1">风味糖!N52</f>
        <v>3.303</v>
      </c>
      <c r="O52" s="507">
        <f ca="1">风味糖!O52*1.13</f>
        <v>852.189500000001</v>
      </c>
      <c r="P52" s="589"/>
      <c r="Q52" s="475"/>
      <c r="R52" s="475"/>
    </row>
    <row r="53" s="459" customFormat="1" customHeight="1" spans="1:18">
      <c r="A53" s="502" t="str">
        <f>风味糖!A53</f>
        <v>其它香精_通用_液体香精_SHRS0220</v>
      </c>
      <c r="B53" s="503"/>
      <c r="C53" s="614">
        <f ca="1">风味糖!C53*1.13</f>
        <v>0</v>
      </c>
      <c r="D53" s="505">
        <f ca="1">风味糖!D53</f>
        <v>0</v>
      </c>
      <c r="E53" s="480">
        <f ca="1">风味糖!E53*1.13</f>
        <v>0</v>
      </c>
      <c r="F53" s="507">
        <f ca="1">风味糖!F53</f>
        <v>0</v>
      </c>
      <c r="G53" s="480">
        <f ca="1">风味糖!G53*1.13</f>
        <v>0</v>
      </c>
      <c r="I53" s="502" t="str">
        <f t="shared" ref="I53:I56" si="3">A53</f>
        <v>其它香精_通用_液体香精_SHRS0220</v>
      </c>
      <c r="J53" s="503"/>
      <c r="K53" s="505">
        <f ca="1">分配表!O919</f>
        <v>227.264797389589</v>
      </c>
      <c r="L53" s="505">
        <f ca="1">风味糖!L53</f>
        <v>0.0316857468105735</v>
      </c>
      <c r="M53" s="506">
        <f ca="1">风味糖!M53*1.13</f>
        <v>7.20105482904279</v>
      </c>
      <c r="N53" s="507">
        <f ca="1">风味糖!N53</f>
        <v>13.178</v>
      </c>
      <c r="O53" s="507">
        <f ca="1">风味糖!O53*1.13</f>
        <v>2994.8955</v>
      </c>
      <c r="P53" s="589"/>
      <c r="Q53" s="475"/>
      <c r="R53" s="475"/>
    </row>
    <row r="54" s="459" customFormat="1" customHeight="1" spans="1:18">
      <c r="A54" s="502" t="str">
        <f>风味糖!A54</f>
        <v>甘蔗多酚_通用</v>
      </c>
      <c r="B54" s="503"/>
      <c r="C54" s="614">
        <f ca="1">风味糖!C54*1.13</f>
        <v>0</v>
      </c>
      <c r="D54" s="505">
        <f ca="1">风味糖!D54</f>
        <v>0</v>
      </c>
      <c r="E54" s="480">
        <f ca="1">风味糖!E54*1.13</f>
        <v>0</v>
      </c>
      <c r="F54" s="507">
        <f ca="1">风味糖!F54</f>
        <v>0</v>
      </c>
      <c r="G54" s="480">
        <f ca="1">风味糖!G54*1.13</f>
        <v>0</v>
      </c>
      <c r="I54" s="502" t="str">
        <f t="shared" si="3"/>
        <v>甘蔗多酚_通用</v>
      </c>
      <c r="J54" s="503"/>
      <c r="K54" s="505">
        <f ca="1">分配表!O920</f>
        <v>0</v>
      </c>
      <c r="L54" s="505">
        <f ca="1">风味糖!L54</f>
        <v>0</v>
      </c>
      <c r="M54" s="506">
        <f ca="1">风味糖!M54*1.13</f>
        <v>0</v>
      </c>
      <c r="N54" s="507">
        <f ca="1">风味糖!N54</f>
        <v>0</v>
      </c>
      <c r="O54" s="507">
        <f ca="1">风味糖!O54*1.13</f>
        <v>0</v>
      </c>
      <c r="P54" s="589"/>
      <c r="Q54" s="475"/>
      <c r="R54" s="475"/>
    </row>
    <row r="55" s="459" customFormat="1" customHeight="1" spans="1:18">
      <c r="A55" s="502" t="str">
        <f>风味糖!A55</f>
        <v>其它香精_通用_液体香精_SHRS0200</v>
      </c>
      <c r="B55" s="503"/>
      <c r="C55" s="614">
        <f ca="1">风味糖!C55*1.13</f>
        <v>0</v>
      </c>
      <c r="D55" s="505">
        <f ca="1">风味糖!D55</f>
        <v>0</v>
      </c>
      <c r="E55" s="480">
        <f ca="1">风味糖!E55*1.13</f>
        <v>0</v>
      </c>
      <c r="F55" s="507">
        <f ca="1">风味糖!F55</f>
        <v>0</v>
      </c>
      <c r="G55" s="480">
        <f ca="1">风味糖!G55*1.13</f>
        <v>0</v>
      </c>
      <c r="I55" s="502" t="str">
        <f t="shared" si="3"/>
        <v>其它香精_通用_液体香精_SHRS0200</v>
      </c>
      <c r="J55" s="503"/>
      <c r="K55" s="505">
        <f ca="1">分配表!O921</f>
        <v>217.000242816674</v>
      </c>
      <c r="L55" s="505">
        <f ca="1">风味糖!L55</f>
        <v>0.0118827561646573</v>
      </c>
      <c r="M55" s="506">
        <f ca="1">风味糖!M55*1.13</f>
        <v>2.57856097306196</v>
      </c>
      <c r="N55" s="507">
        <f ca="1">风味糖!N55</f>
        <v>4.942</v>
      </c>
      <c r="O55" s="507">
        <f ca="1">风味糖!O55*1.13</f>
        <v>1072.4152</v>
      </c>
      <c r="P55" s="589"/>
      <c r="Q55" s="475"/>
      <c r="R55" s="475"/>
    </row>
    <row r="56" s="459" customFormat="1" customHeight="1" spans="1:18">
      <c r="A56" s="502" t="str">
        <f>风味糖!A56</f>
        <v>无水柠檬酸_细目</v>
      </c>
      <c r="B56" s="503"/>
      <c r="C56" s="614">
        <f ca="1">风味糖!C56*1.13</f>
        <v>0</v>
      </c>
      <c r="D56" s="505">
        <f ca="1">风味糖!D56</f>
        <v>0</v>
      </c>
      <c r="E56" s="480">
        <f ca="1">风味糖!E56*1.13</f>
        <v>0</v>
      </c>
      <c r="F56" s="507">
        <f ca="1">风味糖!F56</f>
        <v>0</v>
      </c>
      <c r="G56" s="480">
        <f ca="1">风味糖!G56*1.13</f>
        <v>0</v>
      </c>
      <c r="I56" s="502" t="str">
        <f t="shared" si="3"/>
        <v>无水柠檬酸_细目</v>
      </c>
      <c r="J56" s="503"/>
      <c r="K56" s="505">
        <f ca="1">分配表!O922</f>
        <v>6149.98153846154</v>
      </c>
      <c r="L56" s="505">
        <f ca="1">风味糖!L56</f>
        <v>0.000937732679930465</v>
      </c>
      <c r="M56" s="506">
        <f ca="1">风味糖!M56*1.13</f>
        <v>5.76703866958442</v>
      </c>
      <c r="N56" s="507">
        <f ca="1">风味糖!N56</f>
        <v>0.39</v>
      </c>
      <c r="O56" s="507">
        <f ca="1">风味糖!O56*1.13</f>
        <v>2398.4928</v>
      </c>
      <c r="P56" s="475"/>
      <c r="Q56" s="475"/>
      <c r="R56" s="475"/>
    </row>
    <row r="57" s="459" customFormat="1" customHeight="1" spans="1:18">
      <c r="A57" s="508" t="s">
        <v>93</v>
      </c>
      <c r="B57" s="490"/>
      <c r="C57" s="501"/>
      <c r="D57" s="492"/>
      <c r="E57" s="491"/>
      <c r="F57" s="491"/>
      <c r="G57" s="491"/>
      <c r="I57" s="508" t="s">
        <v>93</v>
      </c>
      <c r="J57" s="490"/>
      <c r="K57" s="501"/>
      <c r="L57" s="492"/>
      <c r="M57" s="491"/>
      <c r="N57" s="491"/>
      <c r="O57" s="491"/>
      <c r="P57" s="475"/>
      <c r="Q57" s="475"/>
      <c r="R57" s="475"/>
    </row>
    <row r="58" s="459" customFormat="1" customHeight="1" spans="1:18">
      <c r="A58" s="508" t="s">
        <v>94</v>
      </c>
      <c r="B58" s="490"/>
      <c r="C58" s="501"/>
      <c r="D58" s="492"/>
      <c r="E58" s="491">
        <f ca="1">SUM(E59:E62)</f>
        <v>0</v>
      </c>
      <c r="F58" s="491"/>
      <c r="G58" s="491">
        <f ca="1">SUM(G59:G62)</f>
        <v>0</v>
      </c>
      <c r="I58" s="508" t="s">
        <v>94</v>
      </c>
      <c r="J58" s="490"/>
      <c r="K58" s="501"/>
      <c r="L58" s="492"/>
      <c r="M58" s="491" t="e">
        <f ca="1">SUM(M59:M62)</f>
        <v>#DIV/0!</v>
      </c>
      <c r="N58" s="491"/>
      <c r="O58" s="491" t="e">
        <f ca="1">SUM(O59:O62)</f>
        <v>#DIV/0!</v>
      </c>
      <c r="P58" s="475"/>
      <c r="Q58" s="475"/>
      <c r="R58" s="475"/>
    </row>
    <row r="59" s="459" customFormat="1" customHeight="1" spans="1:18">
      <c r="A59" s="502" t="s">
        <v>95</v>
      </c>
      <c r="B59" s="503" t="s">
        <v>75</v>
      </c>
      <c r="C59" s="566">
        <f ca="1">OFFSET(分配表!C306,0,mth-1,1,1)</f>
        <v>0</v>
      </c>
      <c r="D59" s="497">
        <f ca="1">风味糖!D59</f>
        <v>0</v>
      </c>
      <c r="E59" s="507">
        <f ca="1">C59*D59</f>
        <v>0</v>
      </c>
      <c r="F59" s="507" t="e">
        <f ca="1">风味糖!F59</f>
        <v>#DIV/0!</v>
      </c>
      <c r="G59" s="507">
        <f ca="1">E59*F$3</f>
        <v>0</v>
      </c>
      <c r="I59" s="502" t="s">
        <v>95</v>
      </c>
      <c r="J59" s="503" t="s">
        <v>75</v>
      </c>
      <c r="K59" s="567">
        <f ca="1">分配表!O306</f>
        <v>408.530937837231</v>
      </c>
      <c r="L59" s="505" t="e">
        <f ca="1">风味糖!L59</f>
        <v>#DIV/0!</v>
      </c>
      <c r="M59" s="507" t="e">
        <f ca="1">K59*L59</f>
        <v>#DIV/0!</v>
      </c>
      <c r="N59" s="507" t="e">
        <f ca="1">风味糖!N59</f>
        <v>#DIV/0!</v>
      </c>
      <c r="O59" s="507" t="e">
        <f ca="1">M59*N$3</f>
        <v>#DIV/0!</v>
      </c>
      <c r="P59" s="475"/>
      <c r="Q59" s="475"/>
      <c r="R59" s="475"/>
    </row>
    <row r="60" s="459" customFormat="1" customHeight="1" spans="1:18">
      <c r="A60" s="502" t="s">
        <v>96</v>
      </c>
      <c r="B60" s="503" t="s">
        <v>97</v>
      </c>
      <c r="C60" s="505">
        <f ca="1">风味糖!C60*1.13</f>
        <v>0</v>
      </c>
      <c r="D60" s="505">
        <f ca="1">风味糖!D60</f>
        <v>0</v>
      </c>
      <c r="E60" s="480">
        <f ca="1">风味糖!E60*1.13</f>
        <v>0</v>
      </c>
      <c r="F60" s="507" t="e">
        <f ca="1">风味糖!F60</f>
        <v>#DIV/0!</v>
      </c>
      <c r="G60" s="480">
        <f ca="1">风味糖!G60*1.13</f>
        <v>0</v>
      </c>
      <c r="I60" s="502" t="s">
        <v>96</v>
      </c>
      <c r="J60" s="503" t="s">
        <v>97</v>
      </c>
      <c r="K60" s="505">
        <f ca="1">风味糖!K60*1.13</f>
        <v>0.769119583630169</v>
      </c>
      <c r="L60" s="505" t="e">
        <f ca="1">风味糖!L60</f>
        <v>#DIV/0!</v>
      </c>
      <c r="M60" s="480" t="e">
        <f ca="1">风味糖!M60*1.13</f>
        <v>#DIV/0!</v>
      </c>
      <c r="N60" s="507" t="e">
        <f ca="1">风味糖!N60</f>
        <v>#DIV/0!</v>
      </c>
      <c r="O60" s="480" t="e">
        <f ca="1">风味糖!O60*1.13</f>
        <v>#DIV/0!</v>
      </c>
      <c r="P60" s="475"/>
      <c r="Q60" s="475"/>
      <c r="R60" s="475"/>
    </row>
    <row r="61" s="459" customFormat="1" customHeight="1" spans="1:18">
      <c r="A61" s="502" t="s">
        <v>98</v>
      </c>
      <c r="B61" s="503" t="s">
        <v>75</v>
      </c>
      <c r="C61" s="505">
        <f>3.32+0.9*2.97</f>
        <v>5.993</v>
      </c>
      <c r="D61" s="505">
        <f ca="1">风味糖!D61</f>
        <v>0</v>
      </c>
      <c r="E61" s="480">
        <f ca="1">D61*C61</f>
        <v>0</v>
      </c>
      <c r="F61" s="507" t="e">
        <f ca="1">风味糖!F61</f>
        <v>#DIV/0!</v>
      </c>
      <c r="G61" s="480">
        <f ca="1">E61*F3</f>
        <v>0</v>
      </c>
      <c r="I61" s="502" t="s">
        <v>98</v>
      </c>
      <c r="J61" s="503" t="s">
        <v>75</v>
      </c>
      <c r="K61" s="505">
        <v>5.993</v>
      </c>
      <c r="L61" s="505" t="e">
        <f ca="1">风味糖!L61</f>
        <v>#DIV/0!</v>
      </c>
      <c r="M61" s="480" t="e">
        <f ca="1">L61*K61</f>
        <v>#DIV/0!</v>
      </c>
      <c r="N61" s="507" t="e">
        <f ca="1">风味糖!N61</f>
        <v>#DIV/0!</v>
      </c>
      <c r="O61" s="480" t="e">
        <f ca="1">M61*N3</f>
        <v>#DIV/0!</v>
      </c>
      <c r="P61" s="475"/>
      <c r="Q61" s="475"/>
      <c r="R61" s="475"/>
    </row>
    <row r="62" s="459" customFormat="1" customHeight="1" spans="1:18">
      <c r="A62" s="502" t="s">
        <v>99</v>
      </c>
      <c r="B62" s="503" t="s">
        <v>100</v>
      </c>
      <c r="C62" s="505"/>
      <c r="D62" s="497"/>
      <c r="E62" s="480"/>
      <c r="F62" s="507"/>
      <c r="G62" s="480"/>
      <c r="I62" s="502" t="s">
        <v>99</v>
      </c>
      <c r="J62" s="503" t="s">
        <v>100</v>
      </c>
      <c r="K62" s="480"/>
      <c r="L62" s="505"/>
      <c r="M62" s="480"/>
      <c r="N62" s="507"/>
      <c r="O62" s="480"/>
      <c r="P62" s="475"/>
      <c r="Q62" s="475"/>
      <c r="R62" s="475"/>
    </row>
    <row r="63" s="459" customFormat="1" customHeight="1" spans="1:18">
      <c r="A63" s="508" t="s">
        <v>101</v>
      </c>
      <c r="B63" s="490"/>
      <c r="C63" s="501"/>
      <c r="D63" s="492"/>
      <c r="E63" s="491">
        <f ca="1">风味糖!E63*1.13</f>
        <v>0</v>
      </c>
      <c r="F63" s="491"/>
      <c r="G63" s="491" t="e">
        <f ca="1">风味糖!G63*1.13</f>
        <v>#DIV/0!</v>
      </c>
      <c r="I63" s="508" t="s">
        <v>101</v>
      </c>
      <c r="J63" s="490"/>
      <c r="K63" s="501"/>
      <c r="L63" s="492"/>
      <c r="M63" s="491" t="e">
        <f ca="1">风味糖!M63*1.13</f>
        <v>#DIV/0!</v>
      </c>
      <c r="N63" s="491"/>
      <c r="O63" s="491" t="e">
        <f ca="1">风味糖!O63*1.13</f>
        <v>#DIV/0!</v>
      </c>
      <c r="P63" s="475"/>
      <c r="Q63" s="475"/>
      <c r="R63" s="475"/>
    </row>
    <row r="64" s="459" customFormat="1" customHeight="1" spans="1:18">
      <c r="A64" s="508" t="s">
        <v>102</v>
      </c>
      <c r="B64" s="490"/>
      <c r="C64" s="501"/>
      <c r="D64" s="492"/>
      <c r="E64" s="491">
        <f ca="1">E63</f>
        <v>0</v>
      </c>
      <c r="F64" s="491"/>
      <c r="G64" s="491" t="e">
        <f ca="1">G63</f>
        <v>#DIV/0!</v>
      </c>
      <c r="I64" s="508" t="s">
        <v>102</v>
      </c>
      <c r="J64" s="490"/>
      <c r="K64" s="501"/>
      <c r="L64" s="492"/>
      <c r="M64" s="682" t="e">
        <f ca="1">M63</f>
        <v>#DIV/0!</v>
      </c>
      <c r="N64" s="491"/>
      <c r="O64" s="491" t="e">
        <f ca="1">O63</f>
        <v>#DIV/0!</v>
      </c>
      <c r="P64" s="475"/>
      <c r="Q64" s="475"/>
      <c r="R64" s="475"/>
    </row>
    <row r="65" s="459" customFormat="1" customHeight="1" spans="1:19">
      <c r="A65" s="508" t="s">
        <v>103</v>
      </c>
      <c r="B65" s="490"/>
      <c r="C65" s="501"/>
      <c r="D65" s="492"/>
      <c r="E65" s="501"/>
      <c r="F65" s="491"/>
      <c r="G65" s="491"/>
      <c r="I65" s="508" t="s">
        <v>103</v>
      </c>
      <c r="J65" s="490"/>
      <c r="K65" s="501"/>
      <c r="L65" s="492"/>
      <c r="M65" s="508"/>
      <c r="N65" s="491"/>
      <c r="O65" s="491"/>
      <c r="P65" s="475"/>
      <c r="Q65" s="475"/>
      <c r="R65" s="511"/>
    </row>
    <row r="66" s="459" customFormat="1" customHeight="1" spans="1:19">
      <c r="A66" s="508" t="s">
        <v>104</v>
      </c>
      <c r="B66" s="490"/>
      <c r="C66" s="501"/>
      <c r="D66" s="492"/>
      <c r="E66" s="491">
        <f ca="1">IF(VALUE(F$3)=0,0,G66/F$3)</f>
        <v>0</v>
      </c>
      <c r="F66" s="491"/>
      <c r="G66" s="491" t="e">
        <f ca="1">SUM(G5,-G11,-G20,-G58,-G63,-G57)-SUM(风味糖!G5,-风味糖!G11,-风味糖!G20,-风味糖!G58,-风味糖!G63,-风味糖!G57)</f>
        <v>#DIV/0!</v>
      </c>
      <c r="I66" s="508" t="s">
        <v>166</v>
      </c>
      <c r="J66" s="490"/>
      <c r="K66" s="501"/>
      <c r="L66" s="492"/>
      <c r="M66" s="491" t="e">
        <f ca="1">IF(N$3=0,0,O66/N$3)</f>
        <v>#DIV/0!</v>
      </c>
      <c r="N66" s="491"/>
      <c r="O66" s="491" t="e">
        <f ca="1">SUM(O5,-O11,-O20,-O58,-O63,-O57)-SUM(风味糖!O5,-风味糖!O11,-风味糖!O20,-风味糖!O58,-风味糖!O63,-风味糖!O57)</f>
        <v>#DIV/0!</v>
      </c>
      <c r="P66" s="475"/>
      <c r="Q66" s="475"/>
    </row>
    <row r="67" s="459" customFormat="1" customHeight="1" spans="1:19">
      <c r="A67" s="508" t="s">
        <v>105</v>
      </c>
      <c r="B67" s="490"/>
      <c r="C67" s="501"/>
      <c r="D67" s="492"/>
      <c r="E67" s="491" t="e">
        <f ca="1">E5-E10</f>
        <v>#DIV/0!</v>
      </c>
      <c r="F67" s="491"/>
      <c r="G67" s="491" t="e">
        <f ca="1">G5-G10</f>
        <v>#DIV/0!</v>
      </c>
      <c r="H67" s="512"/>
      <c r="I67" s="508" t="s">
        <v>105</v>
      </c>
      <c r="J67" s="490"/>
      <c r="K67" s="501"/>
      <c r="L67" s="492"/>
      <c r="M67" s="542" t="e">
        <f ca="1">M5-M10</f>
        <v>#DIV/0!</v>
      </c>
      <c r="N67" s="491"/>
      <c r="O67" s="491" t="e">
        <f ca="1">O5-O10</f>
        <v>#DIV/0!</v>
      </c>
      <c r="P67" s="475"/>
      <c r="Q67" s="475"/>
    </row>
    <row r="68" s="459" customFormat="1" customHeight="1" spans="1:19">
      <c r="A68" s="513" t="s">
        <v>106</v>
      </c>
      <c r="B68" s="485"/>
      <c r="C68" s="514"/>
      <c r="D68" s="515"/>
      <c r="E68" s="487">
        <f ca="1">SUM(E69:E75)</f>
        <v>0</v>
      </c>
      <c r="F68" s="488"/>
      <c r="G68" s="487" t="e">
        <f ca="1">SUM(G69:G75)</f>
        <v>#DIV/0!</v>
      </c>
      <c r="I68" s="513" t="s">
        <v>106</v>
      </c>
      <c r="J68" s="485"/>
      <c r="K68" s="514"/>
      <c r="L68" s="515"/>
      <c r="M68" s="487" t="e">
        <f ca="1">IF(N$3=0,0,O68/N$3)</f>
        <v>#DIV/0!</v>
      </c>
      <c r="N68" s="488"/>
      <c r="O68" s="487" t="e">
        <f ca="1">SUM(O69:O75)</f>
        <v>#DIV/0!</v>
      </c>
      <c r="P68" s="475"/>
      <c r="Q68" s="475"/>
    </row>
    <row r="69" s="459" customFormat="1" customHeight="1" spans="1:19">
      <c r="A69" s="516" t="s">
        <v>107</v>
      </c>
      <c r="B69" s="503"/>
      <c r="C69" s="505"/>
      <c r="D69" s="497"/>
      <c r="E69" s="480">
        <f ca="1">风味糖!E69</f>
        <v>0</v>
      </c>
      <c r="F69" s="507"/>
      <c r="G69" s="480" t="e">
        <f ca="1">风味糖!G69</f>
        <v>#DIV/0!</v>
      </c>
      <c r="H69" s="483"/>
      <c r="I69" s="516" t="s">
        <v>107</v>
      </c>
      <c r="J69" s="503"/>
      <c r="K69" s="505"/>
      <c r="L69" s="497"/>
      <c r="M69" s="480" t="e">
        <f ca="1">风味糖!M69</f>
        <v>#DIV/0!</v>
      </c>
      <c r="N69" s="507"/>
      <c r="O69" s="480" t="e">
        <f ca="1">风味糖!O69</f>
        <v>#DIV/0!</v>
      </c>
      <c r="P69" s="475"/>
      <c r="Q69" s="475"/>
    </row>
    <row r="70" s="459" customFormat="1" customHeight="1" spans="1:19">
      <c r="A70" s="516" t="s">
        <v>108</v>
      </c>
      <c r="B70" s="503"/>
      <c r="C70" s="505"/>
      <c r="D70" s="497"/>
      <c r="E70" s="480">
        <f ca="1">风味糖!E70</f>
        <v>0</v>
      </c>
      <c r="F70" s="507"/>
      <c r="G70" s="480" t="e">
        <f ca="1">风味糖!G70</f>
        <v>#DIV/0!</v>
      </c>
      <c r="H70" s="483"/>
      <c r="I70" s="516" t="s">
        <v>108</v>
      </c>
      <c r="J70" s="503"/>
      <c r="K70" s="505"/>
      <c r="L70" s="497"/>
      <c r="M70" s="480" t="e">
        <f ca="1">风味糖!M70</f>
        <v>#DIV/0!</v>
      </c>
      <c r="N70" s="507"/>
      <c r="O70" s="480" t="e">
        <f ca="1">风味糖!O70</f>
        <v>#DIV/0!</v>
      </c>
      <c r="P70" s="475"/>
      <c r="Q70" s="475"/>
      <c r="S70" s="511"/>
    </row>
    <row r="71" s="459" customFormat="1" customHeight="1" spans="1:19">
      <c r="A71" s="516" t="s">
        <v>109</v>
      </c>
      <c r="B71" s="503"/>
      <c r="C71" s="498"/>
      <c r="D71" s="518"/>
      <c r="E71" s="480">
        <f ca="1">风味糖!E71</f>
        <v>0</v>
      </c>
      <c r="F71" s="507"/>
      <c r="G71" s="480" t="e">
        <f ca="1">风味糖!G71</f>
        <v>#DIV/0!</v>
      </c>
      <c r="H71" s="483"/>
      <c r="I71" s="516" t="s">
        <v>109</v>
      </c>
      <c r="J71" s="503"/>
      <c r="K71" s="498"/>
      <c r="L71" s="518"/>
      <c r="M71" s="480" t="e">
        <f ca="1">风味糖!M71</f>
        <v>#DIV/0!</v>
      </c>
      <c r="N71" s="507"/>
      <c r="O71" s="480" t="e">
        <f ca="1">风味糖!O71</f>
        <v>#DIV/0!</v>
      </c>
      <c r="P71" s="475"/>
      <c r="Q71" s="475"/>
    </row>
    <row r="72" s="459" customFormat="1" customHeight="1" spans="1:19">
      <c r="A72" s="516" t="s">
        <v>110</v>
      </c>
      <c r="B72" s="503"/>
      <c r="C72" s="498"/>
      <c r="D72" s="518"/>
      <c r="E72" s="480">
        <f ca="1">风味糖!E72</f>
        <v>0</v>
      </c>
      <c r="F72" s="507"/>
      <c r="G72" s="480" t="e">
        <f ca="1">风味糖!G72</f>
        <v>#DIV/0!</v>
      </c>
      <c r="H72" s="483"/>
      <c r="I72" s="516" t="s">
        <v>110</v>
      </c>
      <c r="J72" s="503"/>
      <c r="K72" s="498"/>
      <c r="L72" s="518"/>
      <c r="M72" s="480" t="e">
        <f ca="1">风味糖!M72</f>
        <v>#DIV/0!</v>
      </c>
      <c r="N72" s="507"/>
      <c r="O72" s="480" t="e">
        <f ca="1">风味糖!O72</f>
        <v>#DIV/0!</v>
      </c>
      <c r="P72" s="475"/>
      <c r="Q72" s="475"/>
    </row>
    <row r="73" s="459" customFormat="1" customHeight="1" spans="1:19">
      <c r="A73" s="516" t="s">
        <v>111</v>
      </c>
      <c r="B73" s="503"/>
      <c r="C73" s="498"/>
      <c r="D73" s="518"/>
      <c r="E73" s="480">
        <f ca="1">风味糖!E73</f>
        <v>0</v>
      </c>
      <c r="F73" s="507"/>
      <c r="G73" s="480" t="e">
        <f ca="1">风味糖!G73</f>
        <v>#DIV/0!</v>
      </c>
      <c r="H73" s="483"/>
      <c r="I73" s="516" t="s">
        <v>111</v>
      </c>
      <c r="J73" s="503"/>
      <c r="K73" s="498"/>
      <c r="L73" s="518"/>
      <c r="M73" s="480" t="e">
        <f ca="1">风味糖!M73</f>
        <v>#DIV/0!</v>
      </c>
      <c r="N73" s="507"/>
      <c r="O73" s="480" t="e">
        <f ca="1">风味糖!O73</f>
        <v>#DIV/0!</v>
      </c>
      <c r="P73" s="475"/>
      <c r="Q73" s="475"/>
    </row>
    <row r="74" s="459" customFormat="1" customHeight="1" spans="1:19">
      <c r="A74" s="516" t="s">
        <v>112</v>
      </c>
      <c r="B74" s="503"/>
      <c r="C74" s="498"/>
      <c r="D74" s="518"/>
      <c r="E74" s="480">
        <f ca="1">风味糖!E74</f>
        <v>0</v>
      </c>
      <c r="F74" s="507"/>
      <c r="G74" s="480" t="e">
        <f ca="1">风味糖!G74</f>
        <v>#DIV/0!</v>
      </c>
      <c r="H74" s="483"/>
      <c r="I74" s="516" t="s">
        <v>112</v>
      </c>
      <c r="J74" s="503"/>
      <c r="K74" s="498"/>
      <c r="L74" s="518"/>
      <c r="M74" s="480" t="e">
        <f ca="1">风味糖!M74</f>
        <v>#DIV/0!</v>
      </c>
      <c r="N74" s="507"/>
      <c r="O74" s="480" t="e">
        <f ca="1">风味糖!O74</f>
        <v>#DIV/0!</v>
      </c>
      <c r="P74" s="475"/>
      <c r="Q74" s="475"/>
    </row>
    <row r="75" s="459" customFormat="1" customHeight="1" spans="1:19">
      <c r="A75" s="516" t="s">
        <v>113</v>
      </c>
      <c r="B75" s="503"/>
      <c r="C75" s="498"/>
      <c r="D75" s="518"/>
      <c r="E75" s="576">
        <f ca="1">风味糖!E75</f>
        <v>0</v>
      </c>
      <c r="F75" s="507"/>
      <c r="G75" s="576" t="e">
        <f ca="1">风味糖!G75</f>
        <v>#DIV/0!</v>
      </c>
      <c r="I75" s="516" t="s">
        <v>114</v>
      </c>
      <c r="J75" s="503"/>
      <c r="K75" s="498"/>
      <c r="L75" s="518"/>
      <c r="M75" s="576" t="e">
        <f ca="1">风味糖!M75</f>
        <v>#DIV/0!</v>
      </c>
      <c r="N75" s="507"/>
      <c r="O75" s="576" t="e">
        <f ca="1">风味糖!O75</f>
        <v>#DIV/0!</v>
      </c>
      <c r="P75" s="475"/>
      <c r="Q75" s="475"/>
    </row>
    <row r="76" s="459" customFormat="1" ht="14.25" customHeight="1" spans="1:19">
      <c r="A76" s="516" t="s">
        <v>115</v>
      </c>
      <c r="B76" s="503"/>
      <c r="C76" s="498"/>
      <c r="D76" s="518"/>
      <c r="E76" s="576">
        <f ca="1">风味糖!E76</f>
        <v>0</v>
      </c>
      <c r="F76" s="517"/>
      <c r="G76" s="575" t="e">
        <f ca="1">风味糖!G76</f>
        <v>#DIV/0!</v>
      </c>
      <c r="I76" s="516" t="s">
        <v>115</v>
      </c>
      <c r="J76" s="503"/>
      <c r="K76" s="498"/>
      <c r="L76" s="518"/>
      <c r="M76" s="576" t="e">
        <f ca="1">风味糖!M76</f>
        <v>#DIV/0!</v>
      </c>
      <c r="N76" s="517"/>
      <c r="O76" s="576" t="e">
        <f ca="1">风味糖!O76</f>
        <v>#DIV/0!</v>
      </c>
    </row>
    <row r="77" s="459" customFormat="1" ht="14.25" customHeight="1" spans="1:19">
      <c r="A77" s="516" t="s">
        <v>116</v>
      </c>
      <c r="B77" s="503"/>
      <c r="C77" s="498"/>
      <c r="D77" s="518"/>
      <c r="E77" s="576">
        <f ca="1">风味糖!E77</f>
        <v>0</v>
      </c>
      <c r="F77" s="517"/>
      <c r="G77" s="575" t="e">
        <f ca="1">风味糖!G77</f>
        <v>#DIV/0!</v>
      </c>
      <c r="I77" s="516" t="s">
        <v>116</v>
      </c>
      <c r="J77" s="503"/>
      <c r="K77" s="498"/>
      <c r="L77" s="518"/>
      <c r="M77" s="576" t="e">
        <f ca="1">风味糖!M77</f>
        <v>#DIV/0!</v>
      </c>
      <c r="N77" s="517"/>
      <c r="O77" s="576" t="e">
        <f ca="1">风味糖!O77</f>
        <v>#DIV/0!</v>
      </c>
    </row>
    <row r="78" s="459" customFormat="1" ht="14.25" customHeight="1" spans="1:19">
      <c r="A78" s="516" t="s">
        <v>117</v>
      </c>
      <c r="B78" s="503"/>
      <c r="C78" s="498"/>
      <c r="D78" s="518"/>
      <c r="E78" s="576">
        <f ca="1">风味糖!E78</f>
        <v>0</v>
      </c>
      <c r="F78" s="517"/>
      <c r="G78" s="575" t="e">
        <f ca="1">风味糖!G78</f>
        <v>#DIV/0!</v>
      </c>
      <c r="I78" s="516" t="s">
        <v>117</v>
      </c>
      <c r="J78" s="503"/>
      <c r="K78" s="498"/>
      <c r="L78" s="518"/>
      <c r="M78" s="576" t="e">
        <f ca="1">风味糖!M78</f>
        <v>#DIV/0!</v>
      </c>
      <c r="N78" s="517"/>
      <c r="O78" s="576" t="e">
        <f ca="1">风味糖!O78</f>
        <v>#DIV/0!</v>
      </c>
    </row>
    <row r="79" s="459" customFormat="1" ht="14.25" customHeight="1" spans="1:19">
      <c r="A79" s="516" t="s">
        <v>118</v>
      </c>
      <c r="B79" s="503"/>
      <c r="C79" s="498"/>
      <c r="D79" s="518"/>
      <c r="E79" s="576">
        <f ca="1">风味糖!E79</f>
        <v>0</v>
      </c>
      <c r="F79" s="517"/>
      <c r="G79" s="575" t="e">
        <f ca="1">风味糖!G79</f>
        <v>#DIV/0!</v>
      </c>
      <c r="I79" s="516" t="s">
        <v>118</v>
      </c>
      <c r="J79" s="503"/>
      <c r="K79" s="498"/>
      <c r="L79" s="518"/>
      <c r="M79" s="576" t="e">
        <f ca="1">风味糖!M79</f>
        <v>#DIV/0!</v>
      </c>
      <c r="N79" s="517"/>
      <c r="O79" s="576" t="e">
        <f ca="1">风味糖!O79</f>
        <v>#DIV/0!</v>
      </c>
    </row>
    <row r="80" s="459" customFormat="1" ht="14.25" customHeight="1" spans="1:19">
      <c r="A80" s="516" t="s">
        <v>119</v>
      </c>
      <c r="B80" s="503"/>
      <c r="C80" s="498"/>
      <c r="D80" s="518"/>
      <c r="E80" s="576">
        <f ca="1">风味糖!E80</f>
        <v>0</v>
      </c>
      <c r="F80" s="517"/>
      <c r="G80" s="575" t="e">
        <f ca="1">风味糖!G80</f>
        <v>#DIV/0!</v>
      </c>
      <c r="I80" s="516" t="s">
        <v>119</v>
      </c>
      <c r="J80" s="503"/>
      <c r="K80" s="498"/>
      <c r="L80" s="518"/>
      <c r="M80" s="576" t="e">
        <f ca="1">风味糖!M80</f>
        <v>#DIV/0!</v>
      </c>
      <c r="N80" s="517"/>
      <c r="O80" s="576" t="e">
        <f ca="1">风味糖!O80</f>
        <v>#DIV/0!</v>
      </c>
    </row>
    <row r="81" s="459" customFormat="1" ht="14.25" customHeight="1" spans="1:17">
      <c r="A81" s="516" t="s">
        <v>120</v>
      </c>
      <c r="B81" s="503"/>
      <c r="C81" s="498"/>
      <c r="D81" s="518"/>
      <c r="E81" s="576">
        <f ca="1">风味糖!E81</f>
        <v>0</v>
      </c>
      <c r="F81" s="517"/>
      <c r="G81" s="575" t="e">
        <f ca="1">风味糖!G81</f>
        <v>#DIV/0!</v>
      </c>
      <c r="I81" s="516" t="s">
        <v>120</v>
      </c>
      <c r="J81" s="503"/>
      <c r="K81" s="498"/>
      <c r="L81" s="518"/>
      <c r="M81" s="576" t="e">
        <f ca="1">风味糖!M81</f>
        <v>#DIV/0!</v>
      </c>
      <c r="N81" s="517"/>
      <c r="O81" s="576" t="e">
        <f ca="1">风味糖!O81</f>
        <v>#DIV/0!</v>
      </c>
    </row>
    <row r="82" s="459" customFormat="1" ht="12" spans="1:17">
      <c r="A82" s="516" t="s">
        <v>121</v>
      </c>
      <c r="B82" s="503"/>
      <c r="C82" s="498"/>
      <c r="D82" s="518"/>
      <c r="E82" s="576">
        <f ca="1">风味糖!E82</f>
        <v>0</v>
      </c>
      <c r="F82" s="517"/>
      <c r="G82" s="575" t="e">
        <f ca="1">风味糖!G82</f>
        <v>#DIV/0!</v>
      </c>
      <c r="I82" s="516" t="s">
        <v>121</v>
      </c>
      <c r="J82" s="503"/>
      <c r="K82" s="498"/>
      <c r="L82" s="518"/>
      <c r="M82" s="576" t="e">
        <f ca="1">风味糖!M82</f>
        <v>#DIV/0!</v>
      </c>
      <c r="N82" s="517"/>
      <c r="O82" s="576" t="e">
        <f ca="1">风味糖!O82</f>
        <v>#DIV/0!</v>
      </c>
    </row>
    <row r="83" s="459" customFormat="1" ht="17.25" customHeight="1" spans="1:17">
      <c r="A83" s="523" t="s">
        <v>122</v>
      </c>
      <c r="B83" s="485" t="s">
        <v>123</v>
      </c>
      <c r="C83" s="514"/>
      <c r="D83" s="515"/>
      <c r="E83" s="487" t="e">
        <f ca="1">E68+E10</f>
        <v>#DIV/0!</v>
      </c>
      <c r="F83" s="488"/>
      <c r="G83" s="487" t="e">
        <f ca="1">G68+G10</f>
        <v>#DIV/0!</v>
      </c>
      <c r="H83" s="483"/>
      <c r="I83" s="523" t="s">
        <v>122</v>
      </c>
      <c r="J83" s="485" t="s">
        <v>123</v>
      </c>
      <c r="K83" s="514"/>
      <c r="L83" s="515"/>
      <c r="M83" s="487" t="e">
        <f ca="1">M68+M10</f>
        <v>#DIV/0!</v>
      </c>
      <c r="N83" s="488"/>
      <c r="O83" s="487" t="e">
        <f ca="1">O68+O10</f>
        <v>#DIV/0!</v>
      </c>
      <c r="P83" s="475"/>
      <c r="Q83" s="475"/>
    </row>
    <row r="84" s="460" customFormat="1" customHeight="1" spans="1:17">
      <c r="A84" s="524" t="s">
        <v>124</v>
      </c>
      <c r="B84" s="485" t="s">
        <v>123</v>
      </c>
      <c r="C84" s="514"/>
      <c r="D84" s="515"/>
      <c r="E84" s="487" t="e">
        <f ca="1">E67-E68</f>
        <v>#DIV/0!</v>
      </c>
      <c r="F84" s="526"/>
      <c r="G84" s="487" t="e">
        <f ca="1">G67-G68</f>
        <v>#DIV/0!</v>
      </c>
      <c r="H84" s="527"/>
      <c r="I84" s="524" t="s">
        <v>124</v>
      </c>
      <c r="J84" s="485" t="s">
        <v>123</v>
      </c>
      <c r="K84" s="514"/>
      <c r="L84" s="515"/>
      <c r="M84" s="487" t="e">
        <f ca="1">M67-M68</f>
        <v>#DIV/0!</v>
      </c>
      <c r="N84" s="526"/>
      <c r="O84" s="487" t="e">
        <f ca="1">O67-O68</f>
        <v>#DIV/0!</v>
      </c>
      <c r="P84" s="528"/>
      <c r="Q84" s="528"/>
    </row>
    <row r="85" s="460" customFormat="1" customHeight="1" spans="1:17">
      <c r="A85" s="524" t="s">
        <v>125</v>
      </c>
      <c r="B85" s="485" t="s">
        <v>123</v>
      </c>
      <c r="C85" s="514"/>
      <c r="D85" s="515"/>
      <c r="E85" s="487" t="e">
        <f ca="1">E84+E69</f>
        <v>#DIV/0!</v>
      </c>
      <c r="F85" s="526"/>
      <c r="G85" s="487" t="e">
        <f ca="1">G84+G69</f>
        <v>#DIV/0!</v>
      </c>
      <c r="H85" s="527"/>
      <c r="I85" s="524" t="s">
        <v>125</v>
      </c>
      <c r="J85" s="485" t="s">
        <v>123</v>
      </c>
      <c r="K85" s="514"/>
      <c r="L85" s="515"/>
      <c r="M85" s="487" t="e">
        <f ca="1">M84+M69</f>
        <v>#DIV/0!</v>
      </c>
      <c r="N85" s="526"/>
      <c r="O85" s="487" t="e">
        <f ca="1">O84+O69</f>
        <v>#DIV/0!</v>
      </c>
      <c r="P85" s="528"/>
      <c r="Q85" s="528"/>
    </row>
    <row r="86" s="459" customFormat="1" customHeight="1" spans="1:17">
      <c r="A86" s="529" t="s">
        <v>126</v>
      </c>
      <c r="B86" s="530" t="s">
        <v>123</v>
      </c>
      <c r="C86" s="531"/>
      <c r="D86" s="532"/>
      <c r="E86" s="533" t="e">
        <f ca="1">E10-E11+E68-E57</f>
        <v>#DIV/0!</v>
      </c>
      <c r="F86" s="533"/>
      <c r="G86" s="534" t="e">
        <f ca="1">G10-G11+G68-G57</f>
        <v>#DIV/0!</v>
      </c>
      <c r="H86" s="535"/>
      <c r="I86" s="536" t="s">
        <v>126</v>
      </c>
      <c r="J86" s="537" t="s">
        <v>123</v>
      </c>
      <c r="K86" s="533"/>
      <c r="L86" s="533"/>
      <c r="M86" s="533" t="e">
        <f ca="1">M10-M11+M68-M57</f>
        <v>#DIV/0!</v>
      </c>
      <c r="N86" s="533"/>
      <c r="O86" s="534" t="e">
        <f ca="1">O10-O11+O68-O57</f>
        <v>#DIV/0!</v>
      </c>
      <c r="P86" s="475"/>
      <c r="Q86" s="475"/>
    </row>
    <row r="87" customHeight="1" spans="1:17">
      <c r="A87" s="516" t="s">
        <v>127</v>
      </c>
      <c r="B87" s="681"/>
      <c r="C87" s="85"/>
      <c r="D87" s="85"/>
      <c r="E87" s="576">
        <f ca="1">风味糖!E87</f>
        <v>0</v>
      </c>
      <c r="F87" s="517"/>
      <c r="G87" s="575" t="e">
        <f ca="1">风味糖!G87</f>
        <v>#DIV/0!</v>
      </c>
      <c r="I87" s="516" t="s">
        <v>127</v>
      </c>
      <c r="J87" s="85"/>
      <c r="K87" s="85"/>
      <c r="L87" s="85"/>
      <c r="M87" s="576" t="e">
        <f ca="1">风味糖!M87</f>
        <v>#DIV/0!</v>
      </c>
      <c r="N87" s="517"/>
      <c r="O87" s="576" t="e">
        <f ca="1">风味糖!O87</f>
        <v>#DIV/0!</v>
      </c>
    </row>
    <row r="92" s="459" customFormat="1" customHeight="1" spans="1:17">
      <c r="A92" s="582" t="s">
        <v>131</v>
      </c>
      <c r="B92" s="538"/>
      <c r="E92" s="539" t="e">
        <f ca="1">E67-风味糖!E67</f>
        <v>#DIV/0!</v>
      </c>
      <c r="F92" s="539"/>
      <c r="G92" s="539" t="e">
        <f ca="1">G67-风味糖!G67</f>
        <v>#DIV/0!</v>
      </c>
      <c r="L92" s="459" t="s">
        <v>132</v>
      </c>
      <c r="M92" s="499" t="e">
        <f ca="1">M67-风味糖!M67</f>
        <v>#DIV/0!</v>
      </c>
      <c r="O92" s="539" t="e">
        <f ca="1">O67-风味糖!O67</f>
        <v>#DIV/0!</v>
      </c>
    </row>
    <row r="97" customHeight="1" spans="6:15">
      <c r="F97" s="82"/>
      <c r="G97" s="82"/>
      <c r="N97" s="82"/>
      <c r="O97" s="82"/>
    </row>
    <row r="98" customHeight="1" spans="6:15">
      <c r="F98" s="82"/>
      <c r="G98" s="82"/>
      <c r="N98" s="82"/>
      <c r="O98" s="82"/>
    </row>
    <row r="99" customHeight="1" spans="6:15">
      <c r="F99" s="82"/>
      <c r="G99" s="82"/>
      <c r="N99" s="82"/>
      <c r="O99" s="82"/>
    </row>
    <row r="100" customHeight="1" spans="6:15">
      <c r="F100" s="82"/>
      <c r="G100" s="82"/>
      <c r="N100" s="82"/>
      <c r="O100" s="82"/>
    </row>
    <row r="101" customHeight="1" spans="6:15">
      <c r="F101" s="82"/>
      <c r="G101" s="82"/>
      <c r="N101" s="82"/>
      <c r="O101" s="82"/>
    </row>
    <row r="102" customHeight="1" spans="6:15">
      <c r="F102" s="82"/>
      <c r="G102" s="82"/>
      <c r="N102" s="82"/>
      <c r="O102" s="82"/>
    </row>
    <row r="103" customHeight="1" spans="6:15">
      <c r="F103" s="82"/>
      <c r="G103" s="82"/>
      <c r="N103" s="82"/>
      <c r="O103" s="82"/>
    </row>
    <row r="104" customHeight="1" spans="6:15">
      <c r="F104" s="82"/>
      <c r="G104" s="82"/>
      <c r="N104" s="82"/>
      <c r="O104" s="8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16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>
    <tabColor theme="3"/>
  </sheetPr>
  <dimension ref="A1:S96"/>
  <sheetViews>
    <sheetView workbookViewId="0">
      <pane xSplit="2" ySplit="4" topLeftCell="C73" activePane="bottomRight" state="frozen"/>
      <selection/>
      <selection pane="topRight"/>
      <selection pane="bottomLeft"/>
      <selection pane="bottomRight" activeCell="G69" sqref="G69"/>
    </sheetView>
  </sheetViews>
  <sheetFormatPr defaultColWidth="9" defaultRowHeight="15" customHeight="1"/>
  <cols>
    <col min="1" max="1" width="26.375" style="40" customWidth="1"/>
    <col min="2" max="2" width="4.5" style="461" customWidth="1"/>
    <col min="3" max="3" width="9" style="40" customWidth="1"/>
    <col min="4" max="4" width="8.5" style="40" customWidth="1"/>
    <col min="5" max="5" width="9.75" style="462" customWidth="1"/>
    <col min="6" max="6" width="9.5" style="40" customWidth="1"/>
    <col min="7" max="7" width="10.5" style="40" customWidth="1"/>
    <col min="8" max="8" width="8.25" style="40" customWidth="1"/>
    <col min="9" max="9" width="28" style="40" customWidth="1"/>
    <col min="10" max="10" width="3.625" style="40" customWidth="1"/>
    <col min="11" max="11" width="8.25" style="40" customWidth="1"/>
    <col min="12" max="12" width="8.5" style="40" customWidth="1"/>
    <col min="13" max="13" width="10.5" style="40" customWidth="1"/>
    <col min="14" max="14" width="9.5" style="40" customWidth="1"/>
    <col min="15" max="15" width="12.25" style="40" customWidth="1"/>
    <col min="16" max="17" width="10.5" style="40" customWidth="1"/>
    <col min="18" max="18" width="13" style="40" customWidth="1"/>
    <col min="19" max="19" width="10.5" style="40" customWidth="1"/>
    <col min="20" max="16384" width="9" style="40"/>
  </cols>
  <sheetData>
    <row r="1" s="458" customFormat="1" ht="42.75" customHeight="1" spans="1:19">
      <c r="A1" s="97" t="str">
        <f>CONCATENATE("调味糖综合成本利润表_含税(2025年"&amp;mth&amp;"月)")</f>
        <v>调味糖综合成本利润表_含税(2025年8月)</v>
      </c>
      <c r="B1" s="98"/>
      <c r="C1" s="98"/>
      <c r="D1" s="98"/>
      <c r="E1" s="98"/>
      <c r="F1" s="98"/>
      <c r="G1" s="98"/>
      <c r="I1" s="463" t="str">
        <f>CONCATENATE("调味糖综合成本利润表_含税(2025年1-"&amp;mth&amp;"月)")</f>
        <v>调味糖综合成本利润表_含税(2025年1-8月)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9">
      <c r="A2" s="464"/>
      <c r="B2" s="464"/>
      <c r="C2" s="464"/>
      <c r="D2" s="465"/>
      <c r="E2" s="44"/>
      <c r="F2" s="464"/>
      <c r="G2" s="464"/>
    </row>
    <row r="3" s="38" customFormat="1" customHeight="1" spans="1:19">
      <c r="A3" s="38" t="s">
        <v>23</v>
      </c>
      <c r="E3" s="39" t="s">
        <v>133</v>
      </c>
      <c r="F3" s="466">
        <f ca="1">调味糖!F3</f>
        <v>0</v>
      </c>
      <c r="G3" s="39" t="s">
        <v>75</v>
      </c>
      <c r="M3" s="378" t="s">
        <v>134</v>
      </c>
      <c r="N3" s="466">
        <f ca="1">调味糖!N3</f>
        <v>773.711055555555</v>
      </c>
      <c r="O3" s="39" t="s">
        <v>75</v>
      </c>
    </row>
    <row r="4" s="459" customFormat="1" customHeight="1" spans="1:19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9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6486.95204416074</v>
      </c>
      <c r="N5" s="472"/>
      <c r="O5" s="474">
        <f ca="1">O6-O7</f>
        <v>5019026.51342588</v>
      </c>
      <c r="P5" s="475"/>
      <c r="Q5" s="475"/>
    </row>
    <row r="6" s="459" customFormat="1" customHeight="1" spans="1:19">
      <c r="A6" s="476" t="s">
        <v>84</v>
      </c>
      <c r="B6" s="477"/>
      <c r="C6" s="478"/>
      <c r="D6" s="479"/>
      <c r="E6" s="480">
        <f ca="1">OFFSET(销售收入及运费!C102,0,mth-1,1,1)</f>
        <v>0</v>
      </c>
      <c r="F6" s="479"/>
      <c r="G6" s="480">
        <f ca="1">调味糖!G6*1.13</f>
        <v>0</v>
      </c>
      <c r="I6" s="481" t="s">
        <v>84</v>
      </c>
      <c r="J6" s="477"/>
      <c r="K6" s="478"/>
      <c r="L6" s="479"/>
      <c r="M6" s="480">
        <f ca="1">销售收入及运费!O102</f>
        <v>7966.15909906388</v>
      </c>
      <c r="N6" s="482"/>
      <c r="O6" s="507">
        <f ca="1">M6*$N$3</f>
        <v>6163505.36526021</v>
      </c>
      <c r="P6" s="475"/>
      <c r="Q6" s="475"/>
      <c r="R6" s="511"/>
    </row>
    <row r="7" s="459" customFormat="1" customHeight="1" spans="1:19">
      <c r="A7" s="476" t="s">
        <v>85</v>
      </c>
      <c r="B7" s="477"/>
      <c r="C7" s="479"/>
      <c r="D7" s="479"/>
      <c r="E7" s="480">
        <f ca="1">OFFSET(销售收入及运费!C200,0,mth-1,1,1)</f>
        <v>0</v>
      </c>
      <c r="F7" s="480"/>
      <c r="G7" s="480">
        <f ca="1">E7*F3</f>
        <v>0</v>
      </c>
      <c r="I7" s="476" t="s">
        <v>85</v>
      </c>
      <c r="J7" s="477"/>
      <c r="K7" s="479"/>
      <c r="L7" s="479"/>
      <c r="M7" s="480">
        <f ca="1">销售收入及运费!O200</f>
        <v>1479.20705490314</v>
      </c>
      <c r="N7" s="482"/>
      <c r="O7" s="507">
        <f ca="1">M7*$N$3</f>
        <v>1144478.85183433</v>
      </c>
      <c r="P7" s="475"/>
      <c r="Q7" s="475"/>
      <c r="R7" s="511"/>
    </row>
    <row r="8" s="459" customFormat="1" customHeight="1" spans="1:19">
      <c r="A8" s="476" t="s">
        <v>86</v>
      </c>
      <c r="B8" s="477"/>
      <c r="C8" s="479"/>
      <c r="D8" s="479"/>
      <c r="E8" s="480" t="e">
        <f ca="1">调味糖!E8*1.09</f>
        <v>#DIV/0!</v>
      </c>
      <c r="F8" s="480"/>
      <c r="G8" s="480" t="e">
        <f ca="1">调味糖!G8*1.09</f>
        <v>#DIV/0!</v>
      </c>
      <c r="I8" s="476" t="s">
        <v>86</v>
      </c>
      <c r="J8" s="477"/>
      <c r="K8" s="479"/>
      <c r="L8" s="479"/>
      <c r="M8" s="480">
        <f ca="1">调味糖!M8*1.09</f>
        <v>258.62759315556</v>
      </c>
      <c r="N8" s="482"/>
      <c r="O8" s="480">
        <f ca="1">调味糖!O8*1.09</f>
        <v>200103.028096181</v>
      </c>
      <c r="P8" s="475"/>
      <c r="Q8" s="475"/>
      <c r="R8" s="511"/>
    </row>
    <row r="9" s="459" customFormat="1" customHeight="1" spans="1:19">
      <c r="A9" s="476" t="s">
        <v>87</v>
      </c>
      <c r="B9" s="477"/>
      <c r="C9" s="479"/>
      <c r="D9" s="479"/>
      <c r="E9" s="480" t="e">
        <f ca="1">调味糖!E9*1.13</f>
        <v>#DIV/0!</v>
      </c>
      <c r="F9" s="480"/>
      <c r="G9" s="480" t="e">
        <f ca="1">调味糖!G9*1.13</f>
        <v>#DIV/0!</v>
      </c>
      <c r="I9" s="476" t="s">
        <v>87</v>
      </c>
      <c r="J9" s="477"/>
      <c r="K9" s="479"/>
      <c r="L9" s="479"/>
      <c r="M9" s="480">
        <f ca="1">调味糖!M9*1.13</f>
        <v>1220.57946174758</v>
      </c>
      <c r="N9" s="482"/>
      <c r="O9" s="480">
        <f ca="1">调味糖!O9*1.13</f>
        <v>944375.823738148</v>
      </c>
      <c r="P9" s="475"/>
      <c r="Q9" s="475"/>
      <c r="R9" s="511"/>
    </row>
    <row r="10" s="459" customFormat="1" customHeight="1" spans="1:19">
      <c r="A10" s="484" t="s">
        <v>88</v>
      </c>
      <c r="B10" s="485"/>
      <c r="C10" s="486"/>
      <c r="D10" s="486"/>
      <c r="E10" s="487" t="e">
        <f ca="1">E11+E20+E50+E55+E58+E49</f>
        <v>#DIV/0!</v>
      </c>
      <c r="F10" s="488"/>
      <c r="G10" s="487" t="e">
        <f ca="1">G11+G20+G50+G55+G58+G49</f>
        <v>#DIV/0!</v>
      </c>
      <c r="I10" s="484" t="s">
        <v>88</v>
      </c>
      <c r="J10" s="485"/>
      <c r="K10" s="486"/>
      <c r="L10" s="486"/>
      <c r="M10" s="487" t="e">
        <f ca="1">M11+M20+M50+M55+M58+M49</f>
        <v>#DIV/0!</v>
      </c>
      <c r="N10" s="488"/>
      <c r="O10" s="487" t="e">
        <f ca="1">O11+O20+O50+O55+O58+O49</f>
        <v>#DIV/0!</v>
      </c>
      <c r="P10" s="475"/>
      <c r="Q10" s="475"/>
      <c r="R10" s="511"/>
    </row>
    <row r="11" s="459" customFormat="1" customHeight="1" spans="1:19">
      <c r="A11" s="489" t="s">
        <v>169</v>
      </c>
      <c r="B11" s="490" t="s">
        <v>75</v>
      </c>
      <c r="C11" s="491">
        <f ca="1">IFERROR(调味糖!C11*1.13,0)</f>
        <v>0</v>
      </c>
      <c r="D11" s="492">
        <f ca="1">IFERROR(IF(C11=0,0,E11/C11),0)</f>
        <v>0</v>
      </c>
      <c r="E11" s="491" t="e">
        <f ca="1">SUM(E12:E19)</f>
        <v>#DIV/0!</v>
      </c>
      <c r="F11" s="491">
        <f ca="1">SUM(F12:F19)</f>
        <v>0</v>
      </c>
      <c r="G11" s="491">
        <f ca="1">SUM(G12:G19)</f>
        <v>0</v>
      </c>
      <c r="I11" s="489" t="s">
        <v>169</v>
      </c>
      <c r="J11" s="490" t="s">
        <v>75</v>
      </c>
      <c r="K11" s="491">
        <f ca="1">IF(N11=0,0,O11/N11)</f>
        <v>2872.34010868174</v>
      </c>
      <c r="L11" s="492">
        <f ca="1">IF(K11=0,0,M11/K11)</f>
        <v>0.524645469500924</v>
      </c>
      <c r="M11" s="491">
        <f ca="1">SUM(M12:M19)</f>
        <v>1506.96022488567</v>
      </c>
      <c r="N11" s="491">
        <f ca="1" t="shared" ref="N11:O11" si="0">SUM(N12:N19)</f>
        <v>405.924</v>
      </c>
      <c r="O11" s="491">
        <f ca="1" t="shared" si="0"/>
        <v>1165951.78627653</v>
      </c>
      <c r="P11" s="475"/>
      <c r="Q11" s="475"/>
    </row>
    <row r="12" s="459" customFormat="1" customHeight="1" spans="1:19">
      <c r="A12" s="494" t="s">
        <v>170</v>
      </c>
      <c r="B12" s="503" t="s">
        <v>75</v>
      </c>
      <c r="C12" s="507">
        <f ca="1">调味糖!C12*1.13</f>
        <v>0</v>
      </c>
      <c r="D12" s="497">
        <f ca="1">调味糖!D12</f>
        <v>0</v>
      </c>
      <c r="E12" s="480">
        <f ca="1">调味糖!E12*1.13</f>
        <v>0</v>
      </c>
      <c r="F12" s="507">
        <f ca="1">调味糖!F12</f>
        <v>0</v>
      </c>
      <c r="G12" s="480">
        <f ca="1">调味糖!G12*1.13</f>
        <v>0</v>
      </c>
      <c r="I12" s="494" t="s">
        <v>170</v>
      </c>
      <c r="J12" s="503" t="s">
        <v>75</v>
      </c>
      <c r="K12" s="507">
        <f ca="1">调味糖!K12*1.13</f>
        <v>2428.09506663392</v>
      </c>
      <c r="L12" s="497">
        <f ca="1">调味糖!L12</f>
        <v>0.0789441995967631</v>
      </c>
      <c r="M12" s="480">
        <f ca="1">调味糖!M12*1.13</f>
        <v>191.684021580264</v>
      </c>
      <c r="N12" s="507">
        <f ca="1">调味糖!N12</f>
        <v>61.08</v>
      </c>
      <c r="O12" s="480">
        <f ca="1">调味糖!O12*1.13</f>
        <v>148308.04667</v>
      </c>
      <c r="P12" s="475"/>
      <c r="Q12" s="475"/>
      <c r="R12" s="475"/>
    </row>
    <row r="13" s="459" customFormat="1" customHeight="1" spans="1:19">
      <c r="A13" s="494" t="s">
        <v>171</v>
      </c>
      <c r="B13" s="503" t="s">
        <v>75</v>
      </c>
      <c r="C13" s="507">
        <f ca="1">调味糖!C13*1.13</f>
        <v>0</v>
      </c>
      <c r="D13" s="497">
        <f ca="1">调味糖!D13</f>
        <v>0</v>
      </c>
      <c r="E13" s="480">
        <f ca="1">调味糖!E13*1.13</f>
        <v>0</v>
      </c>
      <c r="F13" s="507">
        <f ca="1">调味糖!F13</f>
        <v>0</v>
      </c>
      <c r="G13" s="480">
        <f ca="1">调味糖!G13*1.13</f>
        <v>0</v>
      </c>
      <c r="I13" s="494" t="s">
        <v>171</v>
      </c>
      <c r="J13" s="503" t="s">
        <v>75</v>
      </c>
      <c r="K13" s="507">
        <f ca="1">调味糖!K13*1.13</f>
        <v>2641.95575751749</v>
      </c>
      <c r="L13" s="497">
        <f ca="1">调味糖!L13</f>
        <v>0.336077658620621</v>
      </c>
      <c r="M13" s="480">
        <f ca="1">调味糖!M13*1.13</f>
        <v>887.902305165745</v>
      </c>
      <c r="N13" s="507">
        <f ca="1">调味糖!N13</f>
        <v>260.027</v>
      </c>
      <c r="O13" s="480">
        <f ca="1">调味糖!O13*1.13</f>
        <v>686979.82976</v>
      </c>
      <c r="P13" s="475"/>
      <c r="Q13" s="475"/>
      <c r="R13" s="475"/>
    </row>
    <row r="14" s="459" customFormat="1" customHeight="1" spans="1:19">
      <c r="A14" s="494" t="s">
        <v>172</v>
      </c>
      <c r="B14" s="503" t="s">
        <v>75</v>
      </c>
      <c r="C14" s="507">
        <f ca="1">调味糖!C14*1.13</f>
        <v>0</v>
      </c>
      <c r="D14" s="497">
        <f ca="1">调味糖!D14</f>
        <v>0</v>
      </c>
      <c r="E14" s="480">
        <f ca="1">调味糖!E14*1.13</f>
        <v>0</v>
      </c>
      <c r="F14" s="507">
        <f ca="1">调味糖!F14</f>
        <v>0</v>
      </c>
      <c r="G14" s="480">
        <f ca="1">调味糖!G14*1.13</f>
        <v>0</v>
      </c>
      <c r="I14" s="494" t="s">
        <v>172</v>
      </c>
      <c r="J14" s="503" t="s">
        <v>75</v>
      </c>
      <c r="K14" s="507">
        <f ca="1">调味糖!K14*1.13</f>
        <v>2901.18294232923</v>
      </c>
      <c r="L14" s="497">
        <f ca="1">调味糖!L14</f>
        <v>0.00923342111852121</v>
      </c>
      <c r="M14" s="480">
        <f ca="1">调味糖!M14*1.13</f>
        <v>26.7878438483962</v>
      </c>
      <c r="N14" s="507">
        <f ca="1">调味糖!N14</f>
        <v>7.144</v>
      </c>
      <c r="O14" s="480">
        <f ca="1">调味糖!O14*1.13</f>
        <v>20726.05094</v>
      </c>
      <c r="P14" s="475"/>
      <c r="Q14" s="475"/>
      <c r="R14" s="475"/>
    </row>
    <row r="15" s="459" customFormat="1" customHeight="1" spans="1:19">
      <c r="A15" s="494" t="s">
        <v>173</v>
      </c>
      <c r="B15" s="503" t="s">
        <v>75</v>
      </c>
      <c r="C15" s="507">
        <f ca="1">调味糖!C15*1.13</f>
        <v>0</v>
      </c>
      <c r="D15" s="497">
        <f ca="1">调味糖!D15</f>
        <v>0</v>
      </c>
      <c r="E15" s="480">
        <f ca="1">调味糖!E15*1.13</f>
        <v>0</v>
      </c>
      <c r="F15" s="507">
        <f ca="1">调味糖!F15</f>
        <v>0</v>
      </c>
      <c r="G15" s="480">
        <f ca="1">调味糖!G15*1.13</f>
        <v>0</v>
      </c>
      <c r="I15" s="494" t="s">
        <v>173</v>
      </c>
      <c r="J15" s="503" t="s">
        <v>75</v>
      </c>
      <c r="K15" s="507">
        <f ca="1">调味糖!K15*1.13</f>
        <v>2969.65926136364</v>
      </c>
      <c r="L15" s="497">
        <f ca="1">调味糖!L15</f>
        <v>0.00159232570241015</v>
      </c>
      <c r="M15" s="480">
        <f ca="1">调味糖!M15*1.13</f>
        <v>4.72866476926967</v>
      </c>
      <c r="N15" s="507">
        <f ca="1">调味糖!N15</f>
        <v>1.232</v>
      </c>
      <c r="O15" s="480">
        <f ca="1">调味糖!O15*1.13</f>
        <v>3658.62021</v>
      </c>
      <c r="P15" s="475"/>
      <c r="Q15" s="475"/>
      <c r="R15" s="475"/>
    </row>
    <row r="16" s="459" customFormat="1" customHeight="1" spans="1:19">
      <c r="A16" s="494" t="s">
        <v>174</v>
      </c>
      <c r="B16" s="503" t="s">
        <v>75</v>
      </c>
      <c r="C16" s="507">
        <f ca="1">调味糖!C16*1.13</f>
        <v>0</v>
      </c>
      <c r="D16" s="497">
        <f ca="1">调味糖!D16</f>
        <v>0</v>
      </c>
      <c r="E16" s="480">
        <f ca="1">调味糖!E16*1.13</f>
        <v>0</v>
      </c>
      <c r="F16" s="507">
        <f ca="1">调味糖!F16</f>
        <v>0</v>
      </c>
      <c r="G16" s="480">
        <f ca="1">调味糖!G16*1.13</f>
        <v>0</v>
      </c>
      <c r="I16" s="494" t="s">
        <v>174</v>
      </c>
      <c r="J16" s="503" t="s">
        <v>75</v>
      </c>
      <c r="K16" s="507">
        <f ca="1">调味糖!K16*1.13</f>
        <v>3151.30519029131</v>
      </c>
      <c r="L16" s="497">
        <f ca="1">调味糖!L16</f>
        <v>0.0978737468674604</v>
      </c>
      <c r="M16" s="480">
        <f ca="1">调味糖!M16*1.13</f>
        <v>308.430046496686</v>
      </c>
      <c r="N16" s="507">
        <f ca="1">调味糖!N16</f>
        <v>75.726</v>
      </c>
      <c r="O16" s="480">
        <f ca="1">调味糖!O16*1.13</f>
        <v>238635.73684</v>
      </c>
      <c r="P16" s="475"/>
      <c r="Q16" s="475"/>
      <c r="R16" s="475"/>
      <c r="S16" s="510"/>
    </row>
    <row r="17" s="459" customFormat="1" customHeight="1" spans="1:18">
      <c r="A17" s="494" t="s">
        <v>175</v>
      </c>
      <c r="B17" s="503" t="s">
        <v>75</v>
      </c>
      <c r="C17" s="507">
        <f ca="1">调味糖!C17*1.13</f>
        <v>0</v>
      </c>
      <c r="D17" s="497">
        <f ca="1">调味糖!D17</f>
        <v>0</v>
      </c>
      <c r="E17" s="480">
        <f ca="1">调味糖!E17*1.13</f>
        <v>0</v>
      </c>
      <c r="F17" s="507">
        <f ca="1">调味糖!F17</f>
        <v>0</v>
      </c>
      <c r="G17" s="480">
        <f ca="1">调味糖!G17*1.13</f>
        <v>0</v>
      </c>
      <c r="I17" s="494" t="s">
        <v>175</v>
      </c>
      <c r="J17" s="503" t="s">
        <v>75</v>
      </c>
      <c r="K17" s="507">
        <f ca="1">调味糖!K17*1.13</f>
        <v>0</v>
      </c>
      <c r="L17" s="497">
        <f ca="1">调味糖!L17</f>
        <v>0</v>
      </c>
      <c r="M17" s="480">
        <f ca="1">调味糖!M17*1.13</f>
        <v>0</v>
      </c>
      <c r="N17" s="507">
        <f ca="1">调味糖!N17</f>
        <v>0</v>
      </c>
      <c r="O17" s="480">
        <f ca="1">调味糖!O17*1.13</f>
        <v>0</v>
      </c>
      <c r="P17" s="475"/>
      <c r="Q17" s="475"/>
      <c r="R17" s="475"/>
    </row>
    <row r="18" s="459" customFormat="1" customHeight="1" spans="1:18">
      <c r="A18" s="494" t="s">
        <v>176</v>
      </c>
      <c r="B18" s="503" t="s">
        <v>75</v>
      </c>
      <c r="C18" s="507">
        <f ca="1">调味糖!C18*1.13</f>
        <v>0</v>
      </c>
      <c r="D18" s="497">
        <f ca="1">调味糖!D18</f>
        <v>0</v>
      </c>
      <c r="E18" s="480">
        <f ca="1">调味糖!E18*1.13</f>
        <v>0</v>
      </c>
      <c r="F18" s="507">
        <f ca="1">调味糖!F18</f>
        <v>0</v>
      </c>
      <c r="G18" s="480">
        <f ca="1">调味糖!G18*1.13</f>
        <v>0</v>
      </c>
      <c r="I18" s="494" t="s">
        <v>176</v>
      </c>
      <c r="J18" s="503" t="s">
        <v>75</v>
      </c>
      <c r="K18" s="507">
        <f ca="1">调味糖!K18*1.13</f>
        <v>4664.59574825175</v>
      </c>
      <c r="L18" s="497">
        <f ca="1">调味糖!L18</f>
        <v>0.000924117595148749</v>
      </c>
      <c r="M18" s="480">
        <f ca="1">调味糖!M18*1.13</f>
        <v>4.31063500521549</v>
      </c>
      <c r="N18" s="507">
        <f ca="1">调味糖!N18</f>
        <v>0.715</v>
      </c>
      <c r="O18" s="480">
        <f ca="1">调味糖!O18*1.13</f>
        <v>3335.18596</v>
      </c>
      <c r="P18" s="475"/>
      <c r="Q18" s="475"/>
      <c r="R18" s="475"/>
    </row>
    <row r="19" s="459" customFormat="1" customHeight="1" spans="1:18">
      <c r="A19" s="494" t="s">
        <v>177</v>
      </c>
      <c r="B19" s="503" t="s">
        <v>75</v>
      </c>
      <c r="C19" s="507">
        <f>调味糖!C19*1.13</f>
        <v>0</v>
      </c>
      <c r="D19" s="497">
        <f>调味糖!D19</f>
        <v>0</v>
      </c>
      <c r="E19" s="480" t="e">
        <f ca="1">调味糖!E19</f>
        <v>#DIV/0!</v>
      </c>
      <c r="F19" s="507">
        <f>调味糖!F19</f>
        <v>0</v>
      </c>
      <c r="G19" s="480">
        <f ca="1">调味糖!G19</f>
        <v>0</v>
      </c>
      <c r="I19" s="494" t="s">
        <v>177</v>
      </c>
      <c r="J19" s="503" t="s">
        <v>75</v>
      </c>
      <c r="K19" s="507">
        <f>调味糖!K19*1.13</f>
        <v>0</v>
      </c>
      <c r="L19" s="497">
        <f>调味糖!L19</f>
        <v>0</v>
      </c>
      <c r="M19" s="480">
        <f ca="1">调味糖!M19</f>
        <v>83.116708020093</v>
      </c>
      <c r="N19" s="507">
        <f>调味糖!N19</f>
        <v>0</v>
      </c>
      <c r="O19" s="480">
        <f ca="1">调味糖!O19</f>
        <v>64308.315896529</v>
      </c>
      <c r="P19" s="475"/>
      <c r="Q19" s="475"/>
      <c r="R19" s="475"/>
    </row>
    <row r="20" s="459" customFormat="1" customHeight="1" spans="1:18">
      <c r="A20" s="489" t="s">
        <v>92</v>
      </c>
      <c r="B20" s="490"/>
      <c r="C20" s="501"/>
      <c r="D20" s="492"/>
      <c r="E20" s="491">
        <f ca="1">调味糖!E20*1.13</f>
        <v>0</v>
      </c>
      <c r="F20" s="491"/>
      <c r="G20" s="491">
        <f ca="1">调味糖!G20*1.13</f>
        <v>0</v>
      </c>
      <c r="I20" s="489" t="s">
        <v>92</v>
      </c>
      <c r="J20" s="490"/>
      <c r="K20" s="501"/>
      <c r="L20" s="492"/>
      <c r="M20" s="491">
        <f ca="1">调味糖!M20*1.13</f>
        <v>2233.12777889593</v>
      </c>
      <c r="N20" s="491"/>
      <c r="O20" s="491">
        <f ca="1">调味糖!O20*1.13</f>
        <v>1727795.651</v>
      </c>
      <c r="P20" s="475"/>
      <c r="Q20" s="475"/>
      <c r="R20" s="475"/>
    </row>
    <row r="21" s="459" customFormat="1" customHeight="1" spans="1:18">
      <c r="A21" s="502" t="s">
        <v>178</v>
      </c>
      <c r="B21" s="503" t="s">
        <v>167</v>
      </c>
      <c r="C21" s="614">
        <f ca="1">调味糖!C21*1.13</f>
        <v>0</v>
      </c>
      <c r="D21" s="505">
        <f ca="1">调味糖!D21</f>
        <v>0</v>
      </c>
      <c r="E21" s="480">
        <f ca="1">调味糖!E21*1.13</f>
        <v>0</v>
      </c>
      <c r="F21" s="507">
        <f ca="1">调味糖!F21</f>
        <v>0</v>
      </c>
      <c r="G21" s="480">
        <f ca="1">调味糖!G21*1.13</f>
        <v>0</v>
      </c>
      <c r="I21" s="502" t="s">
        <v>178</v>
      </c>
      <c r="J21" s="503" t="s">
        <v>167</v>
      </c>
      <c r="K21" s="505">
        <f ca="1">分配表!O926</f>
        <v>0</v>
      </c>
      <c r="L21" s="505">
        <f ca="1">调味糖!L21</f>
        <v>0</v>
      </c>
      <c r="M21" s="506">
        <f ca="1">调味糖!M21*1.13</f>
        <v>0</v>
      </c>
      <c r="N21" s="507">
        <f ca="1">调味糖!N21</f>
        <v>0</v>
      </c>
      <c r="O21" s="507">
        <f ca="1">调味糖!O21*1.13</f>
        <v>0</v>
      </c>
      <c r="P21" s="589"/>
      <c r="Q21" s="589"/>
      <c r="R21" s="475"/>
    </row>
    <row r="22" s="459" customFormat="1" customHeight="1" spans="1:18">
      <c r="A22" s="502" t="s">
        <v>179</v>
      </c>
      <c r="B22" s="503" t="s">
        <v>167</v>
      </c>
      <c r="C22" s="614">
        <f ca="1">调味糖!C22*1.13</f>
        <v>0</v>
      </c>
      <c r="D22" s="505">
        <f ca="1">调味糖!D22</f>
        <v>0</v>
      </c>
      <c r="E22" s="480">
        <f ca="1">调味糖!E22*1.13</f>
        <v>0</v>
      </c>
      <c r="F22" s="507">
        <f ca="1">调味糖!F22</f>
        <v>0</v>
      </c>
      <c r="G22" s="480">
        <f ca="1">调味糖!G22*1.13</f>
        <v>0</v>
      </c>
      <c r="I22" s="502" t="s">
        <v>179</v>
      </c>
      <c r="J22" s="503" t="s">
        <v>167</v>
      </c>
      <c r="K22" s="505">
        <f ca="1">分配表!O927</f>
        <v>5.95614122773292</v>
      </c>
      <c r="L22" s="505">
        <f ca="1">调味糖!L22</f>
        <v>1.00851602726513</v>
      </c>
      <c r="M22" s="506">
        <f ca="1">调味糖!M22*1.13</f>
        <v>6.00686388882327</v>
      </c>
      <c r="N22" s="507">
        <f ca="1">调味糖!N22</f>
        <v>780.3</v>
      </c>
      <c r="O22" s="507">
        <f ca="1">调味糖!O22*1.13</f>
        <v>4647.577</v>
      </c>
      <c r="P22" s="589"/>
      <c r="Q22" s="589"/>
      <c r="R22" s="475"/>
    </row>
    <row r="23" s="459" customFormat="1" customHeight="1" spans="1:18">
      <c r="A23" s="502" t="s">
        <v>180</v>
      </c>
      <c r="B23" s="503" t="s">
        <v>167</v>
      </c>
      <c r="C23" s="614">
        <f ca="1">调味糖!C23*1.13</f>
        <v>0</v>
      </c>
      <c r="D23" s="505">
        <f ca="1">调味糖!D23</f>
        <v>0</v>
      </c>
      <c r="E23" s="480">
        <f ca="1">调味糖!E23*1.13</f>
        <v>0</v>
      </c>
      <c r="F23" s="507">
        <f ca="1">调味糖!F23</f>
        <v>0</v>
      </c>
      <c r="G23" s="480">
        <f ca="1">调味糖!G23*1.13</f>
        <v>0</v>
      </c>
      <c r="I23" s="502" t="s">
        <v>180</v>
      </c>
      <c r="J23" s="503" t="s">
        <v>167</v>
      </c>
      <c r="K23" s="505">
        <f ca="1">分配表!O928</f>
        <v>0</v>
      </c>
      <c r="L23" s="505">
        <f ca="1">调味糖!L23</f>
        <v>0</v>
      </c>
      <c r="M23" s="506">
        <f ca="1">调味糖!M23*1.13</f>
        <v>0</v>
      </c>
      <c r="N23" s="507">
        <f ca="1">调味糖!N23</f>
        <v>0</v>
      </c>
      <c r="O23" s="507">
        <f ca="1">调味糖!O23*1.13</f>
        <v>0</v>
      </c>
      <c r="P23" s="589"/>
      <c r="Q23" s="589"/>
      <c r="R23" s="475"/>
    </row>
    <row r="24" s="459" customFormat="1" customHeight="1" spans="1:18">
      <c r="A24" s="502" t="s">
        <v>181</v>
      </c>
      <c r="B24" s="503" t="s">
        <v>167</v>
      </c>
      <c r="C24" s="614">
        <f ca="1">调味糖!C24*1.13</f>
        <v>0</v>
      </c>
      <c r="D24" s="505">
        <f ca="1">调味糖!D24</f>
        <v>0</v>
      </c>
      <c r="E24" s="480">
        <f ca="1">调味糖!E24*1.13</f>
        <v>0</v>
      </c>
      <c r="F24" s="507">
        <f ca="1">调味糖!F24</f>
        <v>0</v>
      </c>
      <c r="G24" s="480">
        <f ca="1">调味糖!G24*1.13</f>
        <v>0</v>
      </c>
      <c r="I24" s="502" t="s">
        <v>181</v>
      </c>
      <c r="J24" s="503" t="s">
        <v>167</v>
      </c>
      <c r="K24" s="505">
        <f ca="1">分配表!O929</f>
        <v>6.446961609421</v>
      </c>
      <c r="L24" s="505">
        <f ca="1">调味糖!L24</f>
        <v>26.340582642142</v>
      </c>
      <c r="M24" s="506">
        <f ca="1">调味糖!M24*1.13</f>
        <v>169.81672506367</v>
      </c>
      <c r="N24" s="507">
        <f ca="1">调味糖!N24</f>
        <v>20380</v>
      </c>
      <c r="O24" s="507">
        <f ca="1">调味糖!O24*1.13</f>
        <v>131389.0776</v>
      </c>
      <c r="P24" s="589"/>
      <c r="Q24" s="589"/>
      <c r="R24" s="475"/>
    </row>
    <row r="25" s="459" customFormat="1" customHeight="1" spans="1:18">
      <c r="A25" s="502" t="s">
        <v>182</v>
      </c>
      <c r="B25" s="503" t="s">
        <v>167</v>
      </c>
      <c r="C25" s="614">
        <f ca="1">调味糖!C25*1.13</f>
        <v>0</v>
      </c>
      <c r="D25" s="505">
        <f ca="1">调味糖!D25</f>
        <v>0</v>
      </c>
      <c r="E25" s="480">
        <f ca="1">调味糖!E25*1.13</f>
        <v>0</v>
      </c>
      <c r="F25" s="507">
        <f ca="1">调味糖!F25</f>
        <v>0</v>
      </c>
      <c r="G25" s="480">
        <f ca="1">调味糖!G25*1.13</f>
        <v>0</v>
      </c>
      <c r="I25" s="502" t="s">
        <v>182</v>
      </c>
      <c r="J25" s="503" t="s">
        <v>167</v>
      </c>
      <c r="K25" s="505">
        <f ca="1">分配表!O930</f>
        <v>6.84596014301751</v>
      </c>
      <c r="L25" s="505">
        <f ca="1">调味糖!L25</f>
        <v>67.7656905940841</v>
      </c>
      <c r="M25" s="506">
        <f ca="1">调味糖!M25*1.13</f>
        <v>463.921216871156</v>
      </c>
      <c r="N25" s="507">
        <f ca="1">调味糖!N25</f>
        <v>52431.064</v>
      </c>
      <c r="O25" s="507">
        <f ca="1">调味糖!O25*1.13</f>
        <v>358940.9744</v>
      </c>
      <c r="P25" s="589"/>
      <c r="Q25" s="589"/>
      <c r="R25" s="475"/>
    </row>
    <row r="26" s="459" customFormat="1" customHeight="1" spans="1:18">
      <c r="A26" s="502" t="s">
        <v>183</v>
      </c>
      <c r="B26" s="503" t="s">
        <v>167</v>
      </c>
      <c r="C26" s="614">
        <f ca="1">调味糖!C26*1.13</f>
        <v>0</v>
      </c>
      <c r="D26" s="505">
        <f ca="1">调味糖!D26</f>
        <v>0</v>
      </c>
      <c r="E26" s="480">
        <f ca="1">调味糖!E26*1.13</f>
        <v>0</v>
      </c>
      <c r="F26" s="507">
        <f ca="1">调味糖!F26</f>
        <v>0</v>
      </c>
      <c r="G26" s="480">
        <f ca="1">调味糖!G26*1.13</f>
        <v>0</v>
      </c>
      <c r="I26" s="502" t="s">
        <v>183</v>
      </c>
      <c r="J26" s="503" t="s">
        <v>167</v>
      </c>
      <c r="K26" s="505">
        <f ca="1">分配表!O931</f>
        <v>6.70532899921814</v>
      </c>
      <c r="L26" s="505">
        <f ca="1">调味糖!L26</f>
        <v>33.0614378795874</v>
      </c>
      <c r="M26" s="506">
        <f ca="1">调味糖!M26*1.13</f>
        <v>221.687818169847</v>
      </c>
      <c r="N26" s="507">
        <f ca="1">调味糖!N26</f>
        <v>25580</v>
      </c>
      <c r="O26" s="507">
        <f ca="1">调味糖!O26*1.13</f>
        <v>171522.3158</v>
      </c>
      <c r="P26" s="589"/>
      <c r="Q26" s="589"/>
      <c r="R26" s="475"/>
    </row>
    <row r="27" s="459" customFormat="1" customHeight="1" spans="1:18">
      <c r="A27" s="502" t="s">
        <v>184</v>
      </c>
      <c r="B27" s="503" t="s">
        <v>167</v>
      </c>
      <c r="C27" s="614">
        <f ca="1">调味糖!C27*1.13</f>
        <v>0</v>
      </c>
      <c r="D27" s="505">
        <f ca="1">调味糖!D27</f>
        <v>0</v>
      </c>
      <c r="E27" s="480">
        <f ca="1">调味糖!E27*1.13</f>
        <v>0</v>
      </c>
      <c r="F27" s="507">
        <f ca="1">调味糖!F27</f>
        <v>0</v>
      </c>
      <c r="G27" s="480">
        <f ca="1">调味糖!G27*1.13</f>
        <v>0</v>
      </c>
      <c r="I27" s="502" t="s">
        <v>184</v>
      </c>
      <c r="J27" s="503" t="s">
        <v>167</v>
      </c>
      <c r="K27" s="505">
        <f ca="1">分配表!O932</f>
        <v>17.5035183633707</v>
      </c>
      <c r="L27" s="505">
        <f ca="1">调味糖!L27</f>
        <v>1.32672267331495</v>
      </c>
      <c r="M27" s="506">
        <f ca="1">调味糖!M27*1.13</f>
        <v>23.2223146754685</v>
      </c>
      <c r="N27" s="507">
        <f ca="1">调味糖!N27</f>
        <v>1026.5</v>
      </c>
      <c r="O27" s="507">
        <f ca="1">调味糖!O27*1.13</f>
        <v>17967.3616</v>
      </c>
      <c r="P27" s="589"/>
      <c r="Q27" s="589"/>
      <c r="R27" s="475"/>
    </row>
    <row r="28" s="459" customFormat="1" customHeight="1" spans="1:18">
      <c r="A28" s="502" t="s">
        <v>185</v>
      </c>
      <c r="B28" s="503" t="s">
        <v>167</v>
      </c>
      <c r="C28" s="614">
        <f ca="1">调味糖!C28*1.13</f>
        <v>0</v>
      </c>
      <c r="D28" s="505">
        <f ca="1">调味糖!D28</f>
        <v>0</v>
      </c>
      <c r="E28" s="480">
        <f ca="1">调味糖!E28*1.13</f>
        <v>0</v>
      </c>
      <c r="F28" s="507">
        <f ca="1">调味糖!F28</f>
        <v>0</v>
      </c>
      <c r="G28" s="480">
        <f ca="1">调味糖!G28*1.13</f>
        <v>0</v>
      </c>
      <c r="I28" s="502" t="s">
        <v>185</v>
      </c>
      <c r="J28" s="503" t="s">
        <v>167</v>
      </c>
      <c r="K28" s="505">
        <f ca="1">分配表!O933</f>
        <v>8.99995867171566</v>
      </c>
      <c r="L28" s="505">
        <f ca="1">调味糖!L28</f>
        <v>0.384661687154385</v>
      </c>
      <c r="M28" s="506">
        <f ca="1">调味糖!M28*1.13</f>
        <v>3.46193928698188</v>
      </c>
      <c r="N28" s="507">
        <f ca="1">调味糖!N28</f>
        <v>297.617</v>
      </c>
      <c r="O28" s="507">
        <f ca="1">调味糖!O28*1.13</f>
        <v>2678.5407</v>
      </c>
      <c r="P28" s="589"/>
      <c r="Q28" s="589"/>
      <c r="R28" s="475"/>
    </row>
    <row r="29" s="459" customFormat="1" customHeight="1" spans="1:18">
      <c r="A29" s="502" t="s">
        <v>186</v>
      </c>
      <c r="B29" s="503" t="s">
        <v>167</v>
      </c>
      <c r="C29" s="614">
        <f ca="1">调味糖!C29*1.13</f>
        <v>0</v>
      </c>
      <c r="D29" s="505">
        <f ca="1">调味糖!D29</f>
        <v>0</v>
      </c>
      <c r="E29" s="480">
        <f ca="1">调味糖!E29*1.13</f>
        <v>0</v>
      </c>
      <c r="F29" s="507">
        <f ca="1">调味糖!F29</f>
        <v>0</v>
      </c>
      <c r="G29" s="480">
        <f ca="1">调味糖!G29*1.13</f>
        <v>0</v>
      </c>
      <c r="I29" s="502" t="s">
        <v>186</v>
      </c>
      <c r="J29" s="503" t="s">
        <v>167</v>
      </c>
      <c r="K29" s="505">
        <f ca="1">分配表!O934</f>
        <v>21.499921759127</v>
      </c>
      <c r="L29" s="505">
        <f ca="1">调味糖!L29</f>
        <v>0.379940286350079</v>
      </c>
      <c r="M29" s="506">
        <f ca="1">调味糖!M29*1.13</f>
        <v>8.168686429667</v>
      </c>
      <c r="N29" s="507">
        <f ca="1">调味糖!N29</f>
        <v>293.964</v>
      </c>
      <c r="O29" s="507">
        <f ca="1">调味糖!O29*1.13</f>
        <v>6320.203</v>
      </c>
      <c r="P29" s="589"/>
      <c r="Q29" s="589"/>
      <c r="R29" s="475"/>
    </row>
    <row r="30" s="459" customFormat="1" customHeight="1" spans="1:18">
      <c r="A30" s="502" t="s">
        <v>187</v>
      </c>
      <c r="B30" s="503" t="s">
        <v>167</v>
      </c>
      <c r="C30" s="614">
        <f ca="1">调味糖!C30*1.13</f>
        <v>0</v>
      </c>
      <c r="D30" s="505">
        <f ca="1">调味糖!D30</f>
        <v>0</v>
      </c>
      <c r="E30" s="480">
        <f ca="1">调味糖!E30*1.13</f>
        <v>0</v>
      </c>
      <c r="F30" s="507">
        <f ca="1">调味糖!F30</f>
        <v>0</v>
      </c>
      <c r="G30" s="480">
        <f ca="1">调味糖!G30*1.13</f>
        <v>0</v>
      </c>
      <c r="I30" s="502" t="s">
        <v>187</v>
      </c>
      <c r="J30" s="503" t="s">
        <v>167</v>
      </c>
      <c r="K30" s="505">
        <f ca="1">分配表!O935</f>
        <v>0</v>
      </c>
      <c r="L30" s="505">
        <f ca="1">调味糖!L30</f>
        <v>0</v>
      </c>
      <c r="M30" s="506">
        <f ca="1">调味糖!M30*1.13</f>
        <v>0</v>
      </c>
      <c r="N30" s="507">
        <f ca="1">调味糖!N30</f>
        <v>0</v>
      </c>
      <c r="O30" s="507">
        <f ca="1">调味糖!O30*1.13</f>
        <v>0</v>
      </c>
      <c r="P30" s="589"/>
      <c r="Q30" s="589"/>
      <c r="R30" s="475"/>
    </row>
    <row r="31" s="459" customFormat="1" customHeight="1" spans="1:18">
      <c r="A31" s="502" t="s">
        <v>188</v>
      </c>
      <c r="B31" s="503" t="s">
        <v>75</v>
      </c>
      <c r="C31" s="614">
        <f ca="1">调味糖!C31*1.13</f>
        <v>0</v>
      </c>
      <c r="D31" s="505">
        <f ca="1">调味糖!D31</f>
        <v>0</v>
      </c>
      <c r="E31" s="480">
        <f ca="1">调味糖!E31*1.13</f>
        <v>0</v>
      </c>
      <c r="F31" s="507">
        <f ca="1">调味糖!F31</f>
        <v>0</v>
      </c>
      <c r="G31" s="480">
        <f ca="1">调味糖!G31*1.13</f>
        <v>0</v>
      </c>
      <c r="I31" s="502" t="s">
        <v>188</v>
      </c>
      <c r="J31" s="503" t="s">
        <v>75</v>
      </c>
      <c r="K31" s="505">
        <f ca="1">分配表!O936</f>
        <v>15.5000030523256</v>
      </c>
      <c r="L31" s="505">
        <f ca="1">调味糖!L31</f>
        <v>0.889220846800475</v>
      </c>
      <c r="M31" s="506">
        <f ca="1">调味糖!M31*1.13</f>
        <v>13.7829258395989</v>
      </c>
      <c r="N31" s="507">
        <f ca="1">调味糖!N31</f>
        <v>688</v>
      </c>
      <c r="O31" s="507">
        <f ca="1">调味糖!O31*1.13</f>
        <v>10664.0021</v>
      </c>
      <c r="P31" s="589"/>
      <c r="Q31" s="589"/>
      <c r="R31" s="475"/>
    </row>
    <row r="32" s="459" customFormat="1" customHeight="1" spans="1:18">
      <c r="A32" s="502" t="s">
        <v>189</v>
      </c>
      <c r="B32" s="503" t="s">
        <v>167</v>
      </c>
      <c r="C32" s="614">
        <f ca="1">调味糖!C32*1.13</f>
        <v>0</v>
      </c>
      <c r="D32" s="505">
        <f ca="1">调味糖!D32</f>
        <v>0</v>
      </c>
      <c r="E32" s="480">
        <f ca="1">调味糖!E32*1.13</f>
        <v>0</v>
      </c>
      <c r="F32" s="507">
        <f ca="1">调味糖!F32</f>
        <v>0</v>
      </c>
      <c r="G32" s="480">
        <f ca="1">调味糖!G32*1.13</f>
        <v>0</v>
      </c>
      <c r="I32" s="502" t="s">
        <v>189</v>
      </c>
      <c r="J32" s="503" t="s">
        <v>167</v>
      </c>
      <c r="K32" s="505">
        <f ca="1">分配表!O937</f>
        <v>20.9997944444444</v>
      </c>
      <c r="L32" s="505">
        <f ca="1">调味糖!L32</f>
        <v>0.0930579955953985</v>
      </c>
      <c r="M32" s="506">
        <f ca="1">调味糖!M32*1.13</f>
        <v>1.95419877891538</v>
      </c>
      <c r="N32" s="507">
        <f ca="1">调味糖!N32</f>
        <v>72</v>
      </c>
      <c r="O32" s="507">
        <f ca="1">调味糖!O32*1.13</f>
        <v>1511.9852</v>
      </c>
      <c r="P32" s="589"/>
      <c r="Q32" s="589"/>
      <c r="R32" s="475"/>
    </row>
    <row r="33" s="459" customFormat="1" customHeight="1" spans="1:18">
      <c r="A33" s="502" t="s">
        <v>190</v>
      </c>
      <c r="B33" s="503" t="s">
        <v>167</v>
      </c>
      <c r="C33" s="614">
        <f ca="1">调味糖!C33*1.13</f>
        <v>0</v>
      </c>
      <c r="D33" s="505">
        <f ca="1">调味糖!D33</f>
        <v>0</v>
      </c>
      <c r="E33" s="480">
        <f ca="1">调味糖!E33*1.13</f>
        <v>0</v>
      </c>
      <c r="F33" s="507">
        <f ca="1">调味糖!F33</f>
        <v>0</v>
      </c>
      <c r="G33" s="480">
        <f ca="1">调味糖!G33*1.13</f>
        <v>0</v>
      </c>
      <c r="I33" s="502" t="s">
        <v>190</v>
      </c>
      <c r="J33" s="503" t="s">
        <v>167</v>
      </c>
      <c r="K33" s="505">
        <f ca="1">分配表!O938</f>
        <v>270.000026923077</v>
      </c>
      <c r="L33" s="505">
        <f ca="1">调味糖!L33</f>
        <v>0.0336042761872272</v>
      </c>
      <c r="M33" s="506">
        <f ca="1">调味糖!M33*1.13</f>
        <v>9.07315547528185</v>
      </c>
      <c r="N33" s="507">
        <f ca="1">调味糖!N33</f>
        <v>26</v>
      </c>
      <c r="O33" s="507">
        <f ca="1">调味糖!O33*1.13</f>
        <v>7020.00069999999</v>
      </c>
      <c r="P33" s="589"/>
      <c r="Q33" s="589"/>
      <c r="R33" s="475"/>
    </row>
    <row r="34" s="459" customFormat="1" customHeight="1" spans="1:18">
      <c r="A34" s="502" t="s">
        <v>191</v>
      </c>
      <c r="B34" s="503"/>
      <c r="C34" s="614">
        <f ca="1">调味糖!C34*1.13</f>
        <v>0</v>
      </c>
      <c r="D34" s="505">
        <f ca="1">调味糖!D34</f>
        <v>0</v>
      </c>
      <c r="E34" s="480">
        <f ca="1">调味糖!E34*1.13</f>
        <v>0</v>
      </c>
      <c r="F34" s="507">
        <f ca="1">调味糖!F34</f>
        <v>0</v>
      </c>
      <c r="G34" s="480">
        <f ca="1">调味糖!G34*1.13</f>
        <v>0</v>
      </c>
      <c r="I34" s="502" t="s">
        <v>191</v>
      </c>
      <c r="J34" s="503"/>
      <c r="K34" s="505">
        <f ca="1">分配表!O939</f>
        <v>7364.16757226902</v>
      </c>
      <c r="L34" s="505">
        <f ca="1">调味糖!L34</f>
        <v>0.132253506351316</v>
      </c>
      <c r="M34" s="506">
        <f ca="1">调味糖!M34*1.13</f>
        <v>973.936982791236</v>
      </c>
      <c r="N34" s="507">
        <f ca="1">调味糖!N34</f>
        <v>102.326</v>
      </c>
      <c r="O34" s="507">
        <f ca="1">调味糖!O34*1.13</f>
        <v>753545.811</v>
      </c>
      <c r="P34" s="589"/>
      <c r="Q34" s="475"/>
      <c r="R34" s="475"/>
    </row>
    <row r="35" s="459" customFormat="1" customHeight="1" spans="1:18">
      <c r="A35" s="502" t="s">
        <v>192</v>
      </c>
      <c r="B35" s="503" t="s">
        <v>167</v>
      </c>
      <c r="C35" s="614">
        <f ca="1">调味糖!C35*1.13</f>
        <v>0</v>
      </c>
      <c r="D35" s="505">
        <f ca="1">调味糖!D35</f>
        <v>0</v>
      </c>
      <c r="E35" s="480">
        <f ca="1">调味糖!E35*1.13</f>
        <v>0</v>
      </c>
      <c r="F35" s="507">
        <f ca="1">调味糖!F35</f>
        <v>0</v>
      </c>
      <c r="G35" s="480">
        <f ca="1">调味糖!G35*1.13</f>
        <v>0</v>
      </c>
      <c r="I35" s="502" t="s">
        <v>192</v>
      </c>
      <c r="J35" s="503" t="s">
        <v>167</v>
      </c>
      <c r="K35" s="505">
        <f ca="1">分配表!O940</f>
        <v>8.44546576303318</v>
      </c>
      <c r="L35" s="505">
        <f ca="1">调味糖!L35</f>
        <v>6.81779064952399</v>
      </c>
      <c r="M35" s="506">
        <f ca="1">调味糖!M35*1.13</f>
        <v>57.5794175100826</v>
      </c>
      <c r="N35" s="507">
        <f ca="1">调味糖!N35</f>
        <v>5275</v>
      </c>
      <c r="O35" s="507">
        <f ca="1">调味糖!O35*1.13</f>
        <v>44549.8319</v>
      </c>
      <c r="P35" s="589"/>
      <c r="Q35" s="589"/>
      <c r="R35" s="475"/>
    </row>
    <row r="36" s="459" customFormat="1" customHeight="1" spans="1:18">
      <c r="A36" s="502" t="s">
        <v>193</v>
      </c>
      <c r="B36" s="503" t="s">
        <v>167</v>
      </c>
      <c r="C36" s="614">
        <f ca="1">调味糖!C36*1.13</f>
        <v>0</v>
      </c>
      <c r="D36" s="505">
        <f ca="1">调味糖!D36</f>
        <v>0</v>
      </c>
      <c r="E36" s="480">
        <f ca="1">调味糖!E36*1.13</f>
        <v>0</v>
      </c>
      <c r="F36" s="507">
        <f ca="1">调味糖!F36</f>
        <v>0</v>
      </c>
      <c r="G36" s="480">
        <f ca="1">调味糖!G36*1.13</f>
        <v>0</v>
      </c>
      <c r="I36" s="502" t="s">
        <v>193</v>
      </c>
      <c r="J36" s="503" t="s">
        <v>167</v>
      </c>
      <c r="K36" s="505">
        <f ca="1">分配表!O941</f>
        <v>0</v>
      </c>
      <c r="L36" s="505">
        <f ca="1">调味糖!L36</f>
        <v>0</v>
      </c>
      <c r="M36" s="506">
        <f ca="1">调味糖!M36*1.13</f>
        <v>0</v>
      </c>
      <c r="N36" s="507">
        <f ca="1">调味糖!N36</f>
        <v>0</v>
      </c>
      <c r="O36" s="507">
        <f ca="1">调味糖!O36*1.13</f>
        <v>0</v>
      </c>
      <c r="P36" s="589"/>
      <c r="Q36" s="589"/>
      <c r="R36" s="475"/>
    </row>
    <row r="37" s="459" customFormat="1" customHeight="1" spans="1:18">
      <c r="A37" s="502" t="s">
        <v>194</v>
      </c>
      <c r="B37" s="503" t="s">
        <v>167</v>
      </c>
      <c r="C37" s="614">
        <f ca="1">调味糖!C37*1.13</f>
        <v>0</v>
      </c>
      <c r="D37" s="505">
        <f ca="1">调味糖!D37</f>
        <v>0</v>
      </c>
      <c r="E37" s="480">
        <f ca="1">调味糖!E37*1.13</f>
        <v>0</v>
      </c>
      <c r="F37" s="507">
        <f ca="1">调味糖!F37</f>
        <v>0</v>
      </c>
      <c r="G37" s="480">
        <f ca="1">调味糖!G37*1.13</f>
        <v>0</v>
      </c>
      <c r="I37" s="502" t="s">
        <v>194</v>
      </c>
      <c r="J37" s="503" t="s">
        <v>167</v>
      </c>
      <c r="K37" s="505">
        <f ca="1">分配表!O942</f>
        <v>50.6828789473684</v>
      </c>
      <c r="L37" s="505">
        <f ca="1">调味糖!L37</f>
        <v>0.0736709131796905</v>
      </c>
      <c r="M37" s="506">
        <f ca="1">调味糖!M37*1.13</f>
        <v>3.73385397462834</v>
      </c>
      <c r="N37" s="507">
        <f ca="1">调味糖!N37</f>
        <v>57</v>
      </c>
      <c r="O37" s="507">
        <f ca="1">调味糖!O37*1.13</f>
        <v>2888.9241</v>
      </c>
      <c r="P37" s="589"/>
      <c r="Q37" s="589"/>
      <c r="R37" s="475"/>
    </row>
    <row r="38" s="459" customFormat="1" customHeight="1" spans="1:18">
      <c r="A38" s="502" t="s">
        <v>195</v>
      </c>
      <c r="B38" s="503" t="s">
        <v>167</v>
      </c>
      <c r="C38" s="614">
        <f ca="1">调味糖!C38*1.13</f>
        <v>0</v>
      </c>
      <c r="D38" s="505">
        <f ca="1">调味糖!D38</f>
        <v>0</v>
      </c>
      <c r="E38" s="480">
        <f ca="1">调味糖!E38*1.13</f>
        <v>0</v>
      </c>
      <c r="F38" s="507">
        <f ca="1">调味糖!F38</f>
        <v>0</v>
      </c>
      <c r="G38" s="480">
        <f ca="1">调味糖!G38*1.13</f>
        <v>0</v>
      </c>
      <c r="I38" s="502" t="s">
        <v>195</v>
      </c>
      <c r="J38" s="503" t="s">
        <v>167</v>
      </c>
      <c r="K38" s="505">
        <f ca="1">分配表!O943</f>
        <v>43.9998458333333</v>
      </c>
      <c r="L38" s="505">
        <f ca="1">调味糖!L38</f>
        <v>0.0620386637302657</v>
      </c>
      <c r="M38" s="506">
        <f ca="1">调味糖!M38*1.13</f>
        <v>2.7296916398377</v>
      </c>
      <c r="N38" s="507">
        <f ca="1">调味糖!N38</f>
        <v>48</v>
      </c>
      <c r="O38" s="507">
        <f ca="1">调味糖!O38*1.13</f>
        <v>2111.9926</v>
      </c>
      <c r="P38" s="589"/>
      <c r="Q38" s="589"/>
      <c r="R38" s="475"/>
    </row>
    <row r="39" s="459" customFormat="1" customHeight="1" spans="1:18">
      <c r="A39" s="502" t="s">
        <v>196</v>
      </c>
      <c r="B39" s="503" t="s">
        <v>167</v>
      </c>
      <c r="C39" s="614">
        <f ca="1">调味糖!C39*1.13</f>
        <v>0</v>
      </c>
      <c r="D39" s="505">
        <f ca="1">调味糖!D39</f>
        <v>0</v>
      </c>
      <c r="E39" s="480">
        <f ca="1">调味糖!E39*1.13</f>
        <v>0</v>
      </c>
      <c r="F39" s="507">
        <f ca="1">调味糖!F39</f>
        <v>0</v>
      </c>
      <c r="G39" s="480">
        <f ca="1">调味糖!G39*1.13</f>
        <v>0</v>
      </c>
      <c r="I39" s="502" t="s">
        <v>196</v>
      </c>
      <c r="J39" s="503" t="s">
        <v>167</v>
      </c>
      <c r="K39" s="505">
        <f ca="1">分配表!O944</f>
        <v>0</v>
      </c>
      <c r="L39" s="505">
        <f ca="1">调味糖!L39</f>
        <v>0</v>
      </c>
      <c r="M39" s="506">
        <f ca="1">调味糖!M39*1.13</f>
        <v>0</v>
      </c>
      <c r="N39" s="507">
        <f ca="1">调味糖!N39</f>
        <v>0</v>
      </c>
      <c r="O39" s="507">
        <f ca="1">调味糖!O39*1.13</f>
        <v>0</v>
      </c>
      <c r="P39" s="589"/>
      <c r="Q39" s="589"/>
      <c r="R39" s="475"/>
    </row>
    <row r="40" s="459" customFormat="1" customHeight="1" spans="1:18">
      <c r="A40" s="502" t="s">
        <v>197</v>
      </c>
      <c r="B40" s="503" t="s">
        <v>167</v>
      </c>
      <c r="C40" s="614">
        <f ca="1">调味糖!C40*1.13</f>
        <v>0</v>
      </c>
      <c r="D40" s="505">
        <f ca="1">调味糖!D40</f>
        <v>0</v>
      </c>
      <c r="E40" s="480">
        <f ca="1">调味糖!E40*1.13</f>
        <v>0</v>
      </c>
      <c r="F40" s="507">
        <f ca="1">调味糖!F40</f>
        <v>0</v>
      </c>
      <c r="G40" s="480">
        <f ca="1">调味糖!G40*1.13</f>
        <v>0</v>
      </c>
      <c r="I40" s="502" t="s">
        <v>197</v>
      </c>
      <c r="J40" s="503" t="s">
        <v>167</v>
      </c>
      <c r="K40" s="505">
        <f ca="1">分配表!O945</f>
        <v>0</v>
      </c>
      <c r="L40" s="505">
        <f ca="1">调味糖!L40</f>
        <v>0</v>
      </c>
      <c r="M40" s="506">
        <f ca="1">调味糖!M40*1.13</f>
        <v>0</v>
      </c>
      <c r="N40" s="507">
        <f ca="1">调味糖!N40</f>
        <v>0</v>
      </c>
      <c r="O40" s="507">
        <f ca="1">调味糖!O40*1.13</f>
        <v>0</v>
      </c>
      <c r="P40" s="589"/>
      <c r="Q40" s="589"/>
      <c r="R40" s="475"/>
    </row>
    <row r="41" s="459" customFormat="1" customHeight="1" spans="1:18">
      <c r="A41" s="502" t="s">
        <v>198</v>
      </c>
      <c r="B41" s="503" t="s">
        <v>167</v>
      </c>
      <c r="C41" s="614">
        <f ca="1">调味糖!C41*1.13</f>
        <v>0</v>
      </c>
      <c r="D41" s="505">
        <f ca="1">调味糖!D41</f>
        <v>0</v>
      </c>
      <c r="E41" s="480">
        <f ca="1">调味糖!E41*1.13</f>
        <v>0</v>
      </c>
      <c r="F41" s="507">
        <f ca="1">调味糖!F41</f>
        <v>0</v>
      </c>
      <c r="G41" s="480">
        <f ca="1">调味糖!G41*1.13</f>
        <v>0</v>
      </c>
      <c r="I41" s="502" t="s">
        <v>198</v>
      </c>
      <c r="J41" s="503" t="s">
        <v>167</v>
      </c>
      <c r="K41" s="505">
        <f ca="1">分配表!O946</f>
        <v>25.5988697167953</v>
      </c>
      <c r="L41" s="505">
        <f ca="1">调味糖!L41</f>
        <v>1.66161125754741</v>
      </c>
      <c r="M41" s="506">
        <f ca="1">调味糖!M41*1.13</f>
        <v>42.5353701019165</v>
      </c>
      <c r="N41" s="507">
        <f ca="1">调味糖!N41</f>
        <v>1285.607</v>
      </c>
      <c r="O41" s="507">
        <f ca="1">调味糖!O41*1.13</f>
        <v>32910.0861</v>
      </c>
      <c r="P41" s="589"/>
      <c r="Q41" s="589"/>
      <c r="R41" s="475"/>
    </row>
    <row r="42" s="459" customFormat="1" customHeight="1" spans="1:18">
      <c r="A42" s="502" t="s">
        <v>199</v>
      </c>
      <c r="B42" s="503" t="s">
        <v>167</v>
      </c>
      <c r="C42" s="614">
        <f ca="1">调味糖!C42*1.13</f>
        <v>0</v>
      </c>
      <c r="D42" s="505">
        <f ca="1">调味糖!D42</f>
        <v>0</v>
      </c>
      <c r="E42" s="480">
        <f ca="1">调味糖!E42*1.13</f>
        <v>0</v>
      </c>
      <c r="F42" s="507">
        <f ca="1">调味糖!F42</f>
        <v>0</v>
      </c>
      <c r="G42" s="480">
        <f ca="1">调味糖!G42*1.13</f>
        <v>0</v>
      </c>
      <c r="I42" s="502" t="s">
        <v>199</v>
      </c>
      <c r="J42" s="503" t="s">
        <v>167</v>
      </c>
      <c r="K42" s="505">
        <f ca="1">分配表!O947</f>
        <v>0</v>
      </c>
      <c r="L42" s="505">
        <f ca="1">调味糖!L42</f>
        <v>0</v>
      </c>
      <c r="M42" s="506">
        <f ca="1">调味糖!M42*1.13</f>
        <v>0</v>
      </c>
      <c r="N42" s="507">
        <f ca="1">调味糖!N42</f>
        <v>0</v>
      </c>
      <c r="O42" s="507">
        <f ca="1">调味糖!O42*1.13</f>
        <v>0</v>
      </c>
      <c r="P42" s="589"/>
      <c r="Q42" s="589"/>
      <c r="R42" s="475"/>
    </row>
    <row r="43" s="459" customFormat="1" customHeight="1" spans="1:18">
      <c r="A43" s="502" t="s">
        <v>200</v>
      </c>
      <c r="B43" s="503" t="s">
        <v>167</v>
      </c>
      <c r="C43" s="614">
        <f ca="1">调味糖!C43*1.13</f>
        <v>0</v>
      </c>
      <c r="D43" s="505">
        <f ca="1">调味糖!D43</f>
        <v>0</v>
      </c>
      <c r="E43" s="480">
        <f ca="1">调味糖!E43*1.13</f>
        <v>0</v>
      </c>
      <c r="F43" s="507">
        <f ca="1">调味糖!F43</f>
        <v>0</v>
      </c>
      <c r="G43" s="480">
        <f ca="1">调味糖!G43*1.13</f>
        <v>0</v>
      </c>
      <c r="I43" s="502" t="s">
        <v>200</v>
      </c>
      <c r="J43" s="503" t="s">
        <v>167</v>
      </c>
      <c r="K43" s="505">
        <f ca="1">分配表!O948</f>
        <v>0</v>
      </c>
      <c r="L43" s="505">
        <f ca="1">调味糖!L43</f>
        <v>0</v>
      </c>
      <c r="M43" s="506">
        <f ca="1">调味糖!M43*1.13</f>
        <v>0</v>
      </c>
      <c r="N43" s="507">
        <f ca="1">调味糖!N43</f>
        <v>0</v>
      </c>
      <c r="O43" s="507">
        <f ca="1">调味糖!O43*1.13</f>
        <v>0</v>
      </c>
      <c r="P43" s="589"/>
      <c r="Q43" s="589"/>
      <c r="R43" s="475"/>
    </row>
    <row r="44" s="459" customFormat="1" customHeight="1" spans="1:18">
      <c r="A44" s="502" t="s">
        <v>205</v>
      </c>
      <c r="B44" s="503"/>
      <c r="C44" s="614">
        <f ca="1">调味糖!C44*1.13</f>
        <v>0</v>
      </c>
      <c r="D44" s="505">
        <f ca="1">调味糖!D44</f>
        <v>0</v>
      </c>
      <c r="E44" s="480">
        <f ca="1">调味糖!E44*1.13</f>
        <v>0</v>
      </c>
      <c r="F44" s="507">
        <f ca="1">调味糖!F44</f>
        <v>0</v>
      </c>
      <c r="G44" s="480">
        <f ca="1">调味糖!G44*1.13</f>
        <v>0</v>
      </c>
      <c r="I44" s="502" t="s">
        <v>205</v>
      </c>
      <c r="J44" s="503"/>
      <c r="K44" s="505">
        <f ca="1">分配表!O949</f>
        <v>0</v>
      </c>
      <c r="L44" s="505">
        <f ca="1">调味糖!L44</f>
        <v>0</v>
      </c>
      <c r="M44" s="506">
        <f ca="1">调味糖!M44*1.13</f>
        <v>0</v>
      </c>
      <c r="N44" s="507">
        <f ca="1">调味糖!N44</f>
        <v>0</v>
      </c>
      <c r="O44" s="507">
        <f ca="1">调味糖!O44*1.13</f>
        <v>0</v>
      </c>
      <c r="P44" s="589"/>
      <c r="Q44" s="589"/>
      <c r="R44" s="475"/>
    </row>
    <row r="45" s="459" customFormat="1" customHeight="1" spans="1:18">
      <c r="A45" s="502" t="s">
        <v>203</v>
      </c>
      <c r="B45" s="503"/>
      <c r="C45" s="614">
        <f ca="1">调味糖!C45*1.13</f>
        <v>0</v>
      </c>
      <c r="D45" s="505">
        <f ca="1">调味糖!D45</f>
        <v>0</v>
      </c>
      <c r="E45" s="480">
        <f ca="1">调味糖!E45*1.13</f>
        <v>0</v>
      </c>
      <c r="F45" s="507">
        <f ca="1">调味糖!F45</f>
        <v>0</v>
      </c>
      <c r="G45" s="480">
        <f ca="1">调味糖!G45*1.13</f>
        <v>0</v>
      </c>
      <c r="I45" s="502" t="s">
        <v>203</v>
      </c>
      <c r="J45" s="503"/>
      <c r="K45" s="505" t="e">
        <f ca="1">分配表!O950</f>
        <v>#DIV/0!</v>
      </c>
      <c r="L45" s="505">
        <f ca="1">调味糖!L45</f>
        <v>0</v>
      </c>
      <c r="M45" s="506">
        <f ca="1">调味糖!M45*1.13</f>
        <v>0</v>
      </c>
      <c r="N45" s="507">
        <f ca="1">调味糖!N45</f>
        <v>0</v>
      </c>
      <c r="O45" s="507">
        <f ca="1">调味糖!O45*1.13</f>
        <v>0</v>
      </c>
      <c r="P45" s="589"/>
      <c r="Q45" s="589"/>
      <c r="R45" s="475"/>
    </row>
    <row r="46" s="459" customFormat="1" customHeight="1" spans="1:18">
      <c r="A46" s="502" t="s">
        <v>206</v>
      </c>
      <c r="B46" s="503"/>
      <c r="C46" s="614">
        <f ca="1">调味糖!C46*1.13</f>
        <v>0</v>
      </c>
      <c r="D46" s="505">
        <f ca="1">调味糖!D46</f>
        <v>0</v>
      </c>
      <c r="E46" s="480">
        <f ca="1">调味糖!E46*1.13</f>
        <v>0</v>
      </c>
      <c r="F46" s="507">
        <f ca="1">调味糖!F46</f>
        <v>0</v>
      </c>
      <c r="G46" s="480">
        <f ca="1">调味糖!G46*1.13</f>
        <v>0</v>
      </c>
      <c r="I46" s="502" t="s">
        <v>206</v>
      </c>
      <c r="J46" s="503"/>
      <c r="K46" s="505">
        <f ca="1">分配表!O951</f>
        <v>557.935407407407</v>
      </c>
      <c r="L46" s="505">
        <f ca="1">调味糖!L46</f>
        <v>0.348967483482744</v>
      </c>
      <c r="M46" s="506">
        <f ca="1">调味糖!M46*1.13</f>
        <v>194.701315068883</v>
      </c>
      <c r="N46" s="507">
        <f ca="1">调味糖!N46</f>
        <v>270</v>
      </c>
      <c r="O46" s="507">
        <f ca="1">调味糖!O46*1.13</f>
        <v>150642.56</v>
      </c>
      <c r="P46" s="589"/>
      <c r="Q46" s="589"/>
      <c r="R46" s="475"/>
    </row>
    <row r="47" s="459" customFormat="1" customHeight="1" spans="1:18">
      <c r="A47" s="502" t="str">
        <f>调味糖!A47</f>
        <v>食品级六偏磷酸钠_通用_含量≥67%_通用</v>
      </c>
      <c r="B47" s="503"/>
      <c r="C47" s="614">
        <f ca="1">调味糖!C47*1.13</f>
        <v>0</v>
      </c>
      <c r="D47" s="505">
        <f ca="1">调味糖!D47</f>
        <v>0</v>
      </c>
      <c r="E47" s="480">
        <f ca="1">调味糖!E47*1.13</f>
        <v>0</v>
      </c>
      <c r="F47" s="507">
        <f ca="1">调味糖!F47</f>
        <v>0</v>
      </c>
      <c r="G47" s="480">
        <f ca="1">调味糖!G47*1.13</f>
        <v>0</v>
      </c>
      <c r="I47" s="502" t="str">
        <f>A47</f>
        <v>食品级六偏磷酸钠_通用_含量≥67%_通用</v>
      </c>
      <c r="J47" s="503"/>
      <c r="K47" s="505">
        <f ca="1">分配表!O952</f>
        <v>12.170665</v>
      </c>
      <c r="L47" s="505">
        <f ca="1">调味糖!L47</f>
        <v>0.025849443220944</v>
      </c>
      <c r="M47" s="506">
        <f ca="1">调味糖!M47*1.13</f>
        <v>0.314604913878631</v>
      </c>
      <c r="N47" s="507">
        <f ca="1">调味糖!N47</f>
        <v>20</v>
      </c>
      <c r="O47" s="507">
        <f ca="1">调味糖!O47*1.13</f>
        <v>243.4133</v>
      </c>
      <c r="P47" s="589"/>
      <c r="Q47" s="589"/>
      <c r="R47" s="475"/>
    </row>
    <row r="48" s="459" customFormat="1" customHeight="1" spans="1:18">
      <c r="A48" s="502" t="str">
        <f>调味糖!A48</f>
        <v>无水柠檬酸_细目</v>
      </c>
      <c r="B48" s="503"/>
      <c r="C48" s="614">
        <f ca="1">调味糖!C48*1.13</f>
        <v>0</v>
      </c>
      <c r="D48" s="505">
        <f ca="1">调味糖!D48</f>
        <v>0</v>
      </c>
      <c r="E48" s="480">
        <f ca="1">调味糖!E48*1.13</f>
        <v>0</v>
      </c>
      <c r="F48" s="507">
        <f ca="1">调味糖!F48</f>
        <v>0</v>
      </c>
      <c r="G48" s="480">
        <f ca="1">调味糖!G48*1.13</f>
        <v>0</v>
      </c>
      <c r="I48" s="502" t="str">
        <f>A48</f>
        <v>无水柠檬酸_细目</v>
      </c>
      <c r="J48" s="503"/>
      <c r="K48" s="505">
        <f ca="1">分配表!O953</f>
        <v>6150.00159954298</v>
      </c>
      <c r="L48" s="505">
        <f ca="1">调味糖!L48</f>
        <v>0.00452494503582625</v>
      </c>
      <c r="M48" s="506">
        <f ca="1">调味糖!M48*1.13</f>
        <v>27.8284192081755</v>
      </c>
      <c r="N48" s="507">
        <f ca="1">调味糖!N48</f>
        <v>3.501</v>
      </c>
      <c r="O48" s="507">
        <f ca="1">调味糖!O48*1.13</f>
        <v>21531.1556</v>
      </c>
      <c r="P48" s="475"/>
      <c r="Q48" s="475"/>
      <c r="R48" s="475"/>
    </row>
    <row r="49" s="459" customFormat="1" customHeight="1" spans="1:19">
      <c r="A49" s="508" t="s">
        <v>93</v>
      </c>
      <c r="B49" s="490"/>
      <c r="C49" s="501"/>
      <c r="D49" s="492"/>
      <c r="E49" s="491"/>
      <c r="F49" s="491"/>
      <c r="G49" s="491"/>
      <c r="I49" s="508" t="s">
        <v>93</v>
      </c>
      <c r="J49" s="490"/>
      <c r="K49" s="501"/>
      <c r="L49" s="492"/>
      <c r="M49" s="491"/>
      <c r="N49" s="491"/>
      <c r="O49" s="491"/>
      <c r="P49" s="475"/>
      <c r="Q49" s="475"/>
      <c r="R49" s="475"/>
    </row>
    <row r="50" s="459" customFormat="1" customHeight="1" spans="1:19">
      <c r="A50" s="508" t="s">
        <v>94</v>
      </c>
      <c r="B50" s="490"/>
      <c r="C50" s="501"/>
      <c r="D50" s="492"/>
      <c r="E50" s="491">
        <f ca="1">SUM(E51:E54)</f>
        <v>0</v>
      </c>
      <c r="F50" s="491"/>
      <c r="G50" s="491">
        <f ca="1">SUM(G51:G54)</f>
        <v>0</v>
      </c>
      <c r="I50" s="508" t="s">
        <v>94</v>
      </c>
      <c r="J50" s="490"/>
      <c r="K50" s="501"/>
      <c r="L50" s="492"/>
      <c r="M50" s="491" t="e">
        <f ca="1">SUM(M51:M54)</f>
        <v>#DIV/0!</v>
      </c>
      <c r="N50" s="491"/>
      <c r="O50" s="491" t="e">
        <f ca="1">SUM(O51:O54)</f>
        <v>#DIV/0!</v>
      </c>
      <c r="P50" s="475"/>
      <c r="Q50" s="475"/>
      <c r="R50" s="475"/>
    </row>
    <row r="51" s="459" customFormat="1" customHeight="1" spans="1:19">
      <c r="A51" s="502" t="s">
        <v>95</v>
      </c>
      <c r="B51" s="503" t="s">
        <v>75</v>
      </c>
      <c r="C51" s="566">
        <f ca="1">OFFSET(分配表!C306,0,mth-1,1,1)</f>
        <v>0</v>
      </c>
      <c r="D51" s="497">
        <f ca="1">调味糖!D52</f>
        <v>0</v>
      </c>
      <c r="E51" s="507">
        <f ca="1">C51*D51</f>
        <v>0</v>
      </c>
      <c r="F51" s="507" t="e">
        <f ca="1">调味糖!F52</f>
        <v>#DIV/0!</v>
      </c>
      <c r="G51" s="507">
        <f ca="1">E51*F$3</f>
        <v>0</v>
      </c>
      <c r="I51" s="502" t="s">
        <v>95</v>
      </c>
      <c r="J51" s="503" t="s">
        <v>75</v>
      </c>
      <c r="K51" s="567">
        <f ca="1">分配表!O306</f>
        <v>408.530937837231</v>
      </c>
      <c r="L51" s="505" t="e">
        <f ca="1">调味糖!L52</f>
        <v>#DIV/0!</v>
      </c>
      <c r="M51" s="507" t="e">
        <f ca="1">K51*L51</f>
        <v>#DIV/0!</v>
      </c>
      <c r="N51" s="507" t="e">
        <f ca="1">调味糖!N52</f>
        <v>#DIV/0!</v>
      </c>
      <c r="O51" s="507" t="e">
        <f ca="1">M51*N$3</f>
        <v>#DIV/0!</v>
      </c>
      <c r="P51" s="475"/>
      <c r="Q51" s="475"/>
      <c r="R51" s="475"/>
    </row>
    <row r="52" s="459" customFormat="1" customHeight="1" spans="1:19">
      <c r="A52" s="502" t="s">
        <v>96</v>
      </c>
      <c r="B52" s="503" t="s">
        <v>97</v>
      </c>
      <c r="C52" s="505">
        <f ca="1">调味糖!C53*1.13</f>
        <v>0</v>
      </c>
      <c r="D52" s="505">
        <f ca="1">调味糖!D53</f>
        <v>0</v>
      </c>
      <c r="E52" s="480">
        <f ca="1">调味糖!E53*1.13</f>
        <v>0</v>
      </c>
      <c r="F52" s="507" t="e">
        <f ca="1">调味糖!F53</f>
        <v>#DIV/0!</v>
      </c>
      <c r="G52" s="480">
        <f ca="1">调味糖!G53*1.13</f>
        <v>0</v>
      </c>
      <c r="I52" s="502" t="s">
        <v>96</v>
      </c>
      <c r="J52" s="503" t="s">
        <v>97</v>
      </c>
      <c r="K52" s="505">
        <f ca="1">调味糖!K53*1.13</f>
        <v>0.769119583630169</v>
      </c>
      <c r="L52" s="505" t="e">
        <f ca="1">调味糖!L53</f>
        <v>#DIV/0!</v>
      </c>
      <c r="M52" s="480" t="e">
        <f ca="1">调味糖!M53*1.13</f>
        <v>#DIV/0!</v>
      </c>
      <c r="N52" s="507" t="e">
        <f ca="1">调味糖!N53</f>
        <v>#DIV/0!</v>
      </c>
      <c r="O52" s="480" t="e">
        <f ca="1">调味糖!O53*1.13</f>
        <v>#DIV/0!</v>
      </c>
      <c r="P52" s="475"/>
      <c r="Q52" s="475"/>
      <c r="R52" s="475"/>
    </row>
    <row r="53" s="459" customFormat="1" customHeight="1" spans="1:19">
      <c r="A53" s="502" t="s">
        <v>98</v>
      </c>
      <c r="B53" s="503" t="s">
        <v>75</v>
      </c>
      <c r="C53" s="505">
        <f>3.32+0.9*2.97</f>
        <v>5.993</v>
      </c>
      <c r="D53" s="505">
        <f ca="1">调味糖!D54</f>
        <v>0</v>
      </c>
      <c r="E53" s="480">
        <f ca="1">D53*C53</f>
        <v>0</v>
      </c>
      <c r="F53" s="507" t="e">
        <f ca="1">调味糖!F54</f>
        <v>#DIV/0!</v>
      </c>
      <c r="G53" s="480">
        <f ca="1">E53*F3</f>
        <v>0</v>
      </c>
      <c r="I53" s="502" t="s">
        <v>98</v>
      </c>
      <c r="J53" s="503" t="s">
        <v>75</v>
      </c>
      <c r="K53" s="505">
        <v>5.993</v>
      </c>
      <c r="L53" s="505" t="e">
        <f ca="1">调味糖!L54</f>
        <v>#DIV/0!</v>
      </c>
      <c r="M53" s="480" t="e">
        <f ca="1">L53*K53</f>
        <v>#DIV/0!</v>
      </c>
      <c r="N53" s="507" t="e">
        <f ca="1">调味糖!N54</f>
        <v>#DIV/0!</v>
      </c>
      <c r="O53" s="480" t="e">
        <f ca="1">M53*N3</f>
        <v>#DIV/0!</v>
      </c>
      <c r="P53" s="475"/>
      <c r="Q53" s="475"/>
      <c r="R53" s="475"/>
    </row>
    <row r="54" s="459" customFormat="1" customHeight="1" spans="1:19">
      <c r="A54" s="502" t="s">
        <v>99</v>
      </c>
      <c r="B54" s="503" t="s">
        <v>100</v>
      </c>
      <c r="C54" s="505"/>
      <c r="D54" s="497"/>
      <c r="E54" s="480"/>
      <c r="F54" s="507"/>
      <c r="G54" s="480"/>
      <c r="I54" s="502" t="s">
        <v>99</v>
      </c>
      <c r="J54" s="503" t="s">
        <v>100</v>
      </c>
      <c r="K54" s="480"/>
      <c r="L54" s="505"/>
      <c r="M54" s="480"/>
      <c r="N54" s="507"/>
      <c r="O54" s="480"/>
      <c r="P54" s="475"/>
      <c r="Q54" s="475"/>
      <c r="R54" s="475"/>
    </row>
    <row r="55" s="459" customFormat="1" customHeight="1" spans="1:19">
      <c r="A55" s="508" t="s">
        <v>101</v>
      </c>
      <c r="B55" s="490"/>
      <c r="C55" s="501"/>
      <c r="D55" s="492"/>
      <c r="E55" s="491">
        <f ca="1">调味糖!E56*1.13</f>
        <v>0</v>
      </c>
      <c r="F55" s="491"/>
      <c r="G55" s="491" t="e">
        <f ca="1">调味糖!G56*1.13</f>
        <v>#DIV/0!</v>
      </c>
      <c r="I55" s="508" t="s">
        <v>101</v>
      </c>
      <c r="J55" s="490"/>
      <c r="K55" s="501"/>
      <c r="L55" s="492"/>
      <c r="M55" s="491" t="e">
        <f ca="1">调味糖!M56*1.13</f>
        <v>#DIV/0!</v>
      </c>
      <c r="N55" s="491"/>
      <c r="O55" s="491" t="e">
        <f ca="1">调味糖!O56*1.13</f>
        <v>#DIV/0!</v>
      </c>
      <c r="P55" s="475"/>
      <c r="Q55" s="475"/>
      <c r="R55" s="475"/>
    </row>
    <row r="56" s="459" customFormat="1" customHeight="1" spans="1:19">
      <c r="A56" s="508" t="s">
        <v>102</v>
      </c>
      <c r="B56" s="490"/>
      <c r="C56" s="501"/>
      <c r="D56" s="492"/>
      <c r="E56" s="491">
        <f ca="1">E55</f>
        <v>0</v>
      </c>
      <c r="F56" s="491"/>
      <c r="G56" s="491" t="e">
        <f ca="1">G55</f>
        <v>#DIV/0!</v>
      </c>
      <c r="I56" s="508" t="s">
        <v>102</v>
      </c>
      <c r="J56" s="490"/>
      <c r="K56" s="501"/>
      <c r="L56" s="492"/>
      <c r="M56" s="682" t="e">
        <f ca="1">M55</f>
        <v>#DIV/0!</v>
      </c>
      <c r="N56" s="491"/>
      <c r="O56" s="491" t="e">
        <f ca="1">O55</f>
        <v>#DIV/0!</v>
      </c>
      <c r="P56" s="475"/>
      <c r="Q56" s="475"/>
      <c r="R56" s="475"/>
    </row>
    <row r="57" s="459" customFormat="1" customHeight="1" spans="1:19">
      <c r="A57" s="508" t="s">
        <v>103</v>
      </c>
      <c r="B57" s="490"/>
      <c r="C57" s="501"/>
      <c r="D57" s="492"/>
      <c r="E57" s="501"/>
      <c r="F57" s="491"/>
      <c r="G57" s="491"/>
      <c r="I57" s="508" t="s">
        <v>103</v>
      </c>
      <c r="J57" s="490"/>
      <c r="K57" s="501"/>
      <c r="L57" s="492"/>
      <c r="M57" s="508"/>
      <c r="N57" s="491"/>
      <c r="O57" s="491"/>
      <c r="P57" s="475"/>
      <c r="Q57" s="475"/>
      <c r="R57" s="511"/>
    </row>
    <row r="58" s="459" customFormat="1" customHeight="1" spans="1:19">
      <c r="A58" s="508" t="s">
        <v>166</v>
      </c>
      <c r="B58" s="490"/>
      <c r="C58" s="501"/>
      <c r="D58" s="492"/>
      <c r="E58" s="491">
        <f ca="1">IF(VALUE(F$3)=0,0,G58/F$3)</f>
        <v>0</v>
      </c>
      <c r="F58" s="491"/>
      <c r="G58" s="491" t="e">
        <f ca="1">SUM(G5,-G11,-G20,-G50,-G55,-G49)-SUM(调味糖!G5,-调味糖!G11,-调味糖!G20,-调味糖!G51,-调味糖!G56,-调味糖!G50)</f>
        <v>#DIV/0!</v>
      </c>
      <c r="I58" s="508" t="s">
        <v>166</v>
      </c>
      <c r="J58" s="490"/>
      <c r="K58" s="501"/>
      <c r="L58" s="492"/>
      <c r="M58" s="491" t="e">
        <f ca="1">IF(N$3=0,0,O58/N$3)</f>
        <v>#DIV/0!</v>
      </c>
      <c r="N58" s="491"/>
      <c r="O58" s="491" t="e">
        <f ca="1">SUM(O5,-O11,-O20,-O50,-O55,-O49)-SUM(调味糖!O5,-调味糖!O11,-调味糖!O20,-调味糖!O51,-调味糖!O56,-调味糖!O50)</f>
        <v>#DIV/0!</v>
      </c>
      <c r="P58" s="475"/>
      <c r="Q58" s="475"/>
    </row>
    <row r="59" s="459" customFormat="1" customHeight="1" spans="1:19">
      <c r="A59" s="508" t="s">
        <v>105</v>
      </c>
      <c r="B59" s="490"/>
      <c r="C59" s="501"/>
      <c r="D59" s="492"/>
      <c r="E59" s="491" t="e">
        <f ca="1">E5-E10</f>
        <v>#DIV/0!</v>
      </c>
      <c r="F59" s="491"/>
      <c r="G59" s="491" t="e">
        <f ca="1">G5-G10</f>
        <v>#DIV/0!</v>
      </c>
      <c r="H59" s="512"/>
      <c r="I59" s="508" t="s">
        <v>105</v>
      </c>
      <c r="J59" s="490"/>
      <c r="K59" s="501"/>
      <c r="L59" s="492"/>
      <c r="M59" s="542" t="e">
        <f ca="1">M5-M10</f>
        <v>#DIV/0!</v>
      </c>
      <c r="N59" s="491"/>
      <c r="O59" s="491" t="e">
        <f ca="1">O5-O10</f>
        <v>#DIV/0!</v>
      </c>
      <c r="P59" s="475"/>
      <c r="Q59" s="475"/>
    </row>
    <row r="60" s="459" customFormat="1" customHeight="1" spans="1:19">
      <c r="A60" s="513" t="s">
        <v>106</v>
      </c>
      <c r="B60" s="485"/>
      <c r="C60" s="514"/>
      <c r="D60" s="515"/>
      <c r="E60" s="487">
        <f ca="1">SUM(E61:E67)</f>
        <v>0</v>
      </c>
      <c r="F60" s="488"/>
      <c r="G60" s="487" t="e">
        <f ca="1">SUM(G61:G67)</f>
        <v>#DIV/0!</v>
      </c>
      <c r="I60" s="513" t="s">
        <v>106</v>
      </c>
      <c r="J60" s="485"/>
      <c r="K60" s="514"/>
      <c r="L60" s="515"/>
      <c r="M60" s="487" t="e">
        <f ca="1">IF(N$3=0,0,O60/N$3)</f>
        <v>#DIV/0!</v>
      </c>
      <c r="N60" s="488"/>
      <c r="O60" s="487" t="e">
        <f ca="1">SUM(O61:O67)</f>
        <v>#DIV/0!</v>
      </c>
      <c r="P60" s="475"/>
      <c r="Q60" s="475"/>
    </row>
    <row r="61" s="459" customFormat="1" customHeight="1" spans="1:19">
      <c r="A61" s="516" t="s">
        <v>107</v>
      </c>
      <c r="B61" s="503"/>
      <c r="C61" s="505"/>
      <c r="D61" s="497"/>
      <c r="E61" s="480">
        <f ca="1">调味糖!E62</f>
        <v>0</v>
      </c>
      <c r="F61" s="507"/>
      <c r="G61" s="480" t="e">
        <f ca="1">调味糖!G62</f>
        <v>#DIV/0!</v>
      </c>
      <c r="H61" s="483"/>
      <c r="I61" s="516" t="s">
        <v>107</v>
      </c>
      <c r="J61" s="503"/>
      <c r="K61" s="505"/>
      <c r="L61" s="497"/>
      <c r="M61" s="480" t="e">
        <f ca="1">调味糖!M62</f>
        <v>#DIV/0!</v>
      </c>
      <c r="N61" s="507"/>
      <c r="O61" s="480" t="e">
        <f ca="1">调味糖!O62</f>
        <v>#DIV/0!</v>
      </c>
      <c r="P61" s="475"/>
      <c r="Q61" s="475"/>
    </row>
    <row r="62" s="459" customFormat="1" customHeight="1" spans="1:19">
      <c r="A62" s="516" t="s">
        <v>108</v>
      </c>
      <c r="B62" s="503"/>
      <c r="C62" s="505"/>
      <c r="D62" s="497"/>
      <c r="E62" s="480">
        <f ca="1">调味糖!E63</f>
        <v>0</v>
      </c>
      <c r="F62" s="507"/>
      <c r="G62" s="480" t="e">
        <f ca="1">调味糖!G63</f>
        <v>#DIV/0!</v>
      </c>
      <c r="H62" s="483"/>
      <c r="I62" s="516" t="s">
        <v>108</v>
      </c>
      <c r="J62" s="503"/>
      <c r="K62" s="505"/>
      <c r="L62" s="497"/>
      <c r="M62" s="480" t="e">
        <f ca="1">调味糖!M63</f>
        <v>#DIV/0!</v>
      </c>
      <c r="N62" s="507"/>
      <c r="O62" s="480" t="e">
        <f ca="1">调味糖!O63</f>
        <v>#DIV/0!</v>
      </c>
      <c r="P62" s="475"/>
      <c r="Q62" s="475"/>
      <c r="S62" s="511"/>
    </row>
    <row r="63" s="459" customFormat="1" customHeight="1" spans="1:19">
      <c r="A63" s="516" t="s">
        <v>109</v>
      </c>
      <c r="B63" s="503"/>
      <c r="C63" s="498"/>
      <c r="D63" s="518"/>
      <c r="E63" s="480">
        <f ca="1">调味糖!E64</f>
        <v>0</v>
      </c>
      <c r="F63" s="507"/>
      <c r="G63" s="480" t="e">
        <f ca="1">调味糖!G64</f>
        <v>#DIV/0!</v>
      </c>
      <c r="H63" s="483"/>
      <c r="I63" s="516" t="s">
        <v>109</v>
      </c>
      <c r="J63" s="503"/>
      <c r="K63" s="498"/>
      <c r="L63" s="518"/>
      <c r="M63" s="480" t="e">
        <f ca="1">调味糖!M64</f>
        <v>#DIV/0!</v>
      </c>
      <c r="N63" s="507"/>
      <c r="O63" s="480" t="e">
        <f ca="1">调味糖!O64</f>
        <v>#DIV/0!</v>
      </c>
      <c r="P63" s="475"/>
      <c r="Q63" s="475"/>
    </row>
    <row r="64" s="459" customFormat="1" customHeight="1" spans="1:19">
      <c r="A64" s="516" t="s">
        <v>110</v>
      </c>
      <c r="B64" s="503"/>
      <c r="C64" s="498"/>
      <c r="D64" s="518"/>
      <c r="E64" s="480">
        <f ca="1">调味糖!E65</f>
        <v>0</v>
      </c>
      <c r="F64" s="507"/>
      <c r="G64" s="480" t="e">
        <f ca="1">调味糖!G65</f>
        <v>#DIV/0!</v>
      </c>
      <c r="H64" s="483"/>
      <c r="I64" s="516" t="s">
        <v>110</v>
      </c>
      <c r="J64" s="503"/>
      <c r="K64" s="498"/>
      <c r="L64" s="518"/>
      <c r="M64" s="480" t="e">
        <f ca="1">调味糖!M65</f>
        <v>#DIV/0!</v>
      </c>
      <c r="N64" s="507"/>
      <c r="O64" s="480" t="e">
        <f ca="1">调味糖!O65</f>
        <v>#DIV/0!</v>
      </c>
      <c r="P64" s="475"/>
      <c r="Q64" s="475"/>
    </row>
    <row r="65" s="459" customFormat="1" customHeight="1" spans="1:17">
      <c r="A65" s="516" t="s">
        <v>111</v>
      </c>
      <c r="B65" s="503"/>
      <c r="C65" s="498"/>
      <c r="D65" s="518"/>
      <c r="E65" s="480">
        <f ca="1">调味糖!E66</f>
        <v>0</v>
      </c>
      <c r="F65" s="507"/>
      <c r="G65" s="480" t="e">
        <f ca="1">调味糖!G66</f>
        <v>#DIV/0!</v>
      </c>
      <c r="H65" s="483"/>
      <c r="I65" s="516" t="s">
        <v>111</v>
      </c>
      <c r="J65" s="503"/>
      <c r="K65" s="498"/>
      <c r="L65" s="518"/>
      <c r="M65" s="480" t="e">
        <f ca="1">调味糖!M66</f>
        <v>#DIV/0!</v>
      </c>
      <c r="N65" s="507"/>
      <c r="O65" s="480" t="e">
        <f ca="1">调味糖!O66</f>
        <v>#DIV/0!</v>
      </c>
      <c r="P65" s="475"/>
      <c r="Q65" s="475"/>
    </row>
    <row r="66" s="459" customFormat="1" customHeight="1" spans="1:17">
      <c r="A66" s="516" t="s">
        <v>112</v>
      </c>
      <c r="B66" s="503"/>
      <c r="C66" s="498"/>
      <c r="D66" s="518"/>
      <c r="E66" s="480">
        <f ca="1">调味糖!E67</f>
        <v>0</v>
      </c>
      <c r="F66" s="507"/>
      <c r="G66" s="480" t="e">
        <f ca="1">调味糖!G67</f>
        <v>#DIV/0!</v>
      </c>
      <c r="H66" s="483"/>
      <c r="I66" s="516" t="s">
        <v>112</v>
      </c>
      <c r="J66" s="503"/>
      <c r="K66" s="498"/>
      <c r="L66" s="518"/>
      <c r="M66" s="480" t="e">
        <f ca="1">调味糖!M67</f>
        <v>#DIV/0!</v>
      </c>
      <c r="N66" s="507"/>
      <c r="O66" s="480" t="e">
        <f ca="1">调味糖!O67</f>
        <v>#DIV/0!</v>
      </c>
      <c r="P66" s="475"/>
      <c r="Q66" s="475"/>
    </row>
    <row r="67" s="459" customFormat="1" customHeight="1" spans="1:17">
      <c r="A67" s="516" t="s">
        <v>113</v>
      </c>
      <c r="B67" s="503"/>
      <c r="C67" s="498"/>
      <c r="D67" s="518"/>
      <c r="E67" s="576">
        <f ca="1">调味糖!E68</f>
        <v>0</v>
      </c>
      <c r="F67" s="507"/>
      <c r="G67" s="576" t="e">
        <f ca="1">调味糖!G68</f>
        <v>#DIV/0!</v>
      </c>
      <c r="I67" s="516" t="s">
        <v>114</v>
      </c>
      <c r="J67" s="503"/>
      <c r="K67" s="498"/>
      <c r="L67" s="518"/>
      <c r="M67" s="576" t="e">
        <f ca="1">调味糖!M68</f>
        <v>#DIV/0!</v>
      </c>
      <c r="N67" s="507"/>
      <c r="O67" s="576" t="e">
        <f ca="1">调味糖!O68</f>
        <v>#DIV/0!</v>
      </c>
      <c r="P67" s="475"/>
      <c r="Q67" s="475"/>
    </row>
    <row r="68" s="459" customFormat="1" ht="14.25" customHeight="1" spans="1:17">
      <c r="A68" s="516" t="s">
        <v>115</v>
      </c>
      <c r="B68" s="503"/>
      <c r="C68" s="498"/>
      <c r="D68" s="518"/>
      <c r="E68" s="576">
        <f ca="1">调味糖!E69</f>
        <v>0</v>
      </c>
      <c r="F68" s="517"/>
      <c r="G68" s="575" t="e">
        <f ca="1">调味糖!G69</f>
        <v>#DIV/0!</v>
      </c>
      <c r="I68" s="516" t="s">
        <v>115</v>
      </c>
      <c r="J68" s="503"/>
      <c r="K68" s="498"/>
      <c r="L68" s="518"/>
      <c r="M68" s="576" t="e">
        <f ca="1">调味糖!M69</f>
        <v>#DIV/0!</v>
      </c>
      <c r="N68" s="517"/>
      <c r="O68" s="576" t="e">
        <f ca="1">调味糖!O69</f>
        <v>#DIV/0!</v>
      </c>
    </row>
    <row r="69" s="459" customFormat="1" ht="14.25" customHeight="1" spans="1:17">
      <c r="A69" s="516" t="s">
        <v>116</v>
      </c>
      <c r="B69" s="503"/>
      <c r="C69" s="498"/>
      <c r="D69" s="518"/>
      <c r="E69" s="576">
        <f ca="1">调味糖!E70</f>
        <v>0</v>
      </c>
      <c r="F69" s="517"/>
      <c r="G69" s="575" t="e">
        <f ca="1">调味糖!G70</f>
        <v>#DIV/0!</v>
      </c>
      <c r="I69" s="516" t="s">
        <v>116</v>
      </c>
      <c r="J69" s="503"/>
      <c r="K69" s="498"/>
      <c r="L69" s="518"/>
      <c r="M69" s="576" t="e">
        <f ca="1">调味糖!M70</f>
        <v>#DIV/0!</v>
      </c>
      <c r="N69" s="517"/>
      <c r="O69" s="576" t="e">
        <f ca="1">调味糖!O70</f>
        <v>#DIV/0!</v>
      </c>
    </row>
    <row r="70" s="459" customFormat="1" ht="14.25" customHeight="1" spans="1:17">
      <c r="A70" s="516" t="s">
        <v>117</v>
      </c>
      <c r="B70" s="503"/>
      <c r="C70" s="498"/>
      <c r="D70" s="518"/>
      <c r="E70" s="576">
        <f ca="1">调味糖!E71</f>
        <v>0</v>
      </c>
      <c r="F70" s="517"/>
      <c r="G70" s="575" t="e">
        <f ca="1">调味糖!G71</f>
        <v>#DIV/0!</v>
      </c>
      <c r="I70" s="516" t="s">
        <v>117</v>
      </c>
      <c r="J70" s="503"/>
      <c r="K70" s="498"/>
      <c r="L70" s="518"/>
      <c r="M70" s="576" t="e">
        <f ca="1">调味糖!M71</f>
        <v>#DIV/0!</v>
      </c>
      <c r="N70" s="517"/>
      <c r="O70" s="576" t="e">
        <f ca="1">调味糖!O71</f>
        <v>#DIV/0!</v>
      </c>
    </row>
    <row r="71" s="459" customFormat="1" ht="14.25" customHeight="1" spans="1:17">
      <c r="A71" s="516" t="s">
        <v>118</v>
      </c>
      <c r="B71" s="503"/>
      <c r="C71" s="498"/>
      <c r="D71" s="518"/>
      <c r="E71" s="576">
        <f ca="1">调味糖!E72</f>
        <v>0</v>
      </c>
      <c r="F71" s="517"/>
      <c r="G71" s="575" t="e">
        <f ca="1">调味糖!G72</f>
        <v>#DIV/0!</v>
      </c>
      <c r="I71" s="516" t="s">
        <v>118</v>
      </c>
      <c r="J71" s="503"/>
      <c r="K71" s="498"/>
      <c r="L71" s="518"/>
      <c r="M71" s="576" t="e">
        <f ca="1">调味糖!M72</f>
        <v>#DIV/0!</v>
      </c>
      <c r="N71" s="517"/>
      <c r="O71" s="576" t="e">
        <f ca="1">调味糖!O72</f>
        <v>#DIV/0!</v>
      </c>
    </row>
    <row r="72" s="459" customFormat="1" ht="14.25" customHeight="1" spans="1:17">
      <c r="A72" s="516" t="s">
        <v>119</v>
      </c>
      <c r="B72" s="503"/>
      <c r="C72" s="498"/>
      <c r="D72" s="518"/>
      <c r="E72" s="576">
        <f ca="1">调味糖!E73</f>
        <v>0</v>
      </c>
      <c r="F72" s="517"/>
      <c r="G72" s="575" t="e">
        <f ca="1">调味糖!G73</f>
        <v>#DIV/0!</v>
      </c>
      <c r="I72" s="516" t="s">
        <v>119</v>
      </c>
      <c r="J72" s="503"/>
      <c r="K72" s="498"/>
      <c r="L72" s="518"/>
      <c r="M72" s="576" t="e">
        <f ca="1">调味糖!M73</f>
        <v>#DIV/0!</v>
      </c>
      <c r="N72" s="517"/>
      <c r="O72" s="576" t="e">
        <f ca="1">调味糖!O73</f>
        <v>#DIV/0!</v>
      </c>
    </row>
    <row r="73" s="459" customFormat="1" ht="14.25" customHeight="1" spans="1:17">
      <c r="A73" s="516" t="s">
        <v>120</v>
      </c>
      <c r="B73" s="503"/>
      <c r="C73" s="498"/>
      <c r="D73" s="518"/>
      <c r="E73" s="576">
        <f ca="1">调味糖!E74</f>
        <v>0</v>
      </c>
      <c r="F73" s="517"/>
      <c r="G73" s="575" t="e">
        <f ca="1">调味糖!G74</f>
        <v>#DIV/0!</v>
      </c>
      <c r="I73" s="516" t="s">
        <v>120</v>
      </c>
      <c r="J73" s="503"/>
      <c r="K73" s="498"/>
      <c r="L73" s="518"/>
      <c r="M73" s="576" t="e">
        <f ca="1">调味糖!M74</f>
        <v>#DIV/0!</v>
      </c>
      <c r="N73" s="517"/>
      <c r="O73" s="576" t="e">
        <f ca="1">调味糖!O74</f>
        <v>#DIV/0!</v>
      </c>
    </row>
    <row r="74" s="459" customFormat="1" ht="12" spans="1:17">
      <c r="A74" s="516" t="s">
        <v>121</v>
      </c>
      <c r="B74" s="503"/>
      <c r="C74" s="498"/>
      <c r="D74" s="518"/>
      <c r="E74" s="576">
        <f ca="1">调味糖!E75</f>
        <v>0</v>
      </c>
      <c r="F74" s="517"/>
      <c r="G74" s="575" t="e">
        <f ca="1">调味糖!G75</f>
        <v>#DIV/0!</v>
      </c>
      <c r="I74" s="516" t="s">
        <v>121</v>
      </c>
      <c r="J74" s="503"/>
      <c r="K74" s="498"/>
      <c r="L74" s="518"/>
      <c r="M74" s="576" t="e">
        <f ca="1">调味糖!M75</f>
        <v>#DIV/0!</v>
      </c>
      <c r="N74" s="517"/>
      <c r="O74" s="576" t="e">
        <f ca="1">调味糖!O75</f>
        <v>#DIV/0!</v>
      </c>
    </row>
    <row r="75" s="459" customFormat="1" ht="17.25" customHeight="1" spans="1:17">
      <c r="A75" s="523" t="s">
        <v>122</v>
      </c>
      <c r="B75" s="485" t="s">
        <v>123</v>
      </c>
      <c r="C75" s="514"/>
      <c r="D75" s="515"/>
      <c r="E75" s="487" t="e">
        <f ca="1">E60+E10</f>
        <v>#DIV/0!</v>
      </c>
      <c r="F75" s="488"/>
      <c r="G75" s="487" t="e">
        <f ca="1">G60+G10</f>
        <v>#DIV/0!</v>
      </c>
      <c r="H75" s="483"/>
      <c r="I75" s="523" t="s">
        <v>122</v>
      </c>
      <c r="J75" s="485" t="s">
        <v>123</v>
      </c>
      <c r="K75" s="514"/>
      <c r="L75" s="515"/>
      <c r="M75" s="487" t="e">
        <f ca="1">M60+M10</f>
        <v>#DIV/0!</v>
      </c>
      <c r="N75" s="488"/>
      <c r="O75" s="487" t="e">
        <f ca="1">O60+O10</f>
        <v>#DIV/0!</v>
      </c>
      <c r="P75" s="475"/>
      <c r="Q75" s="475"/>
    </row>
    <row r="76" s="460" customFormat="1" customHeight="1" spans="1:17">
      <c r="A76" s="524" t="s">
        <v>124</v>
      </c>
      <c r="B76" s="485" t="s">
        <v>123</v>
      </c>
      <c r="C76" s="514"/>
      <c r="D76" s="515"/>
      <c r="E76" s="487" t="e">
        <f ca="1">E59-E60</f>
        <v>#DIV/0!</v>
      </c>
      <c r="F76" s="526"/>
      <c r="G76" s="487" t="e">
        <f ca="1">G59-G60</f>
        <v>#DIV/0!</v>
      </c>
      <c r="H76" s="527"/>
      <c r="I76" s="524" t="s">
        <v>124</v>
      </c>
      <c r="J76" s="485" t="s">
        <v>123</v>
      </c>
      <c r="K76" s="514"/>
      <c r="L76" s="515"/>
      <c r="M76" s="487" t="e">
        <f ca="1">M59-M60</f>
        <v>#DIV/0!</v>
      </c>
      <c r="N76" s="526"/>
      <c r="O76" s="487" t="e">
        <f ca="1">O59-O60</f>
        <v>#DIV/0!</v>
      </c>
      <c r="P76" s="528"/>
      <c r="Q76" s="528"/>
    </row>
    <row r="77" s="460" customFormat="1" customHeight="1" spans="1:17">
      <c r="A77" s="524" t="s">
        <v>125</v>
      </c>
      <c r="B77" s="485" t="s">
        <v>123</v>
      </c>
      <c r="C77" s="514"/>
      <c r="D77" s="515"/>
      <c r="E77" s="487" t="e">
        <f ca="1">E76+E61</f>
        <v>#DIV/0!</v>
      </c>
      <c r="F77" s="526"/>
      <c r="G77" s="487" t="e">
        <f ca="1">G76+G61</f>
        <v>#DIV/0!</v>
      </c>
      <c r="H77" s="527"/>
      <c r="I77" s="524" t="s">
        <v>125</v>
      </c>
      <c r="J77" s="485" t="s">
        <v>123</v>
      </c>
      <c r="K77" s="514"/>
      <c r="L77" s="515"/>
      <c r="M77" s="487" t="e">
        <f ca="1">M76+M61</f>
        <v>#DIV/0!</v>
      </c>
      <c r="N77" s="526"/>
      <c r="O77" s="487" t="e">
        <f ca="1">O76+O61</f>
        <v>#DIV/0!</v>
      </c>
      <c r="P77" s="528"/>
      <c r="Q77" s="528"/>
    </row>
    <row r="78" s="459" customFormat="1" customHeight="1" spans="1:17">
      <c r="A78" s="529" t="s">
        <v>126</v>
      </c>
      <c r="B78" s="530" t="s">
        <v>123</v>
      </c>
      <c r="C78" s="531"/>
      <c r="D78" s="532"/>
      <c r="E78" s="533" t="e">
        <f ca="1">E10-E11+E60-E49</f>
        <v>#DIV/0!</v>
      </c>
      <c r="F78" s="533"/>
      <c r="G78" s="534" t="e">
        <f ca="1">G10-G11+G60-G49</f>
        <v>#DIV/0!</v>
      </c>
      <c r="H78" s="535"/>
      <c r="I78" s="536" t="s">
        <v>126</v>
      </c>
      <c r="J78" s="537" t="s">
        <v>123</v>
      </c>
      <c r="K78" s="533"/>
      <c r="L78" s="533"/>
      <c r="M78" s="533" t="e">
        <f ca="1">M10-M11+M60-M49</f>
        <v>#DIV/0!</v>
      </c>
      <c r="N78" s="533"/>
      <c r="O78" s="534" t="e">
        <f ca="1">O10-O11+O60-O49</f>
        <v>#DIV/0!</v>
      </c>
      <c r="P78" s="475"/>
      <c r="Q78" s="475"/>
    </row>
    <row r="79" customHeight="1" spans="1:17">
      <c r="A79" s="516" t="s">
        <v>127</v>
      </c>
      <c r="B79" s="681"/>
      <c r="C79" s="85"/>
      <c r="D79" s="85"/>
      <c r="E79" s="576">
        <f ca="1">调味糖!E80</f>
        <v>0</v>
      </c>
      <c r="F79" s="517"/>
      <c r="G79" s="575" t="e">
        <f ca="1">调味糖!G80</f>
        <v>#DIV/0!</v>
      </c>
      <c r="I79" s="516" t="s">
        <v>127</v>
      </c>
      <c r="J79" s="85"/>
      <c r="K79" s="85"/>
      <c r="L79" s="85"/>
      <c r="M79" s="576" t="e">
        <f ca="1">调味糖!M80</f>
        <v>#DIV/0!</v>
      </c>
      <c r="N79" s="517"/>
      <c r="O79" s="576" t="e">
        <f ca="1">调味糖!O80</f>
        <v>#DIV/0!</v>
      </c>
    </row>
    <row r="84" s="459" customFormat="1" customHeight="1" spans="1:15">
      <c r="A84" s="582" t="s">
        <v>131</v>
      </c>
      <c r="B84" s="538"/>
      <c r="E84" s="539" t="e">
        <f ca="1">E59-调味糖!E60</f>
        <v>#DIV/0!</v>
      </c>
      <c r="F84" s="539"/>
      <c r="G84" s="539" t="e">
        <f ca="1">G59-调味糖!G60</f>
        <v>#DIV/0!</v>
      </c>
      <c r="L84" s="459" t="s">
        <v>132</v>
      </c>
      <c r="M84" s="499" t="e">
        <f ca="1">M59-调味糖!M60</f>
        <v>#DIV/0!</v>
      </c>
      <c r="O84" s="539" t="e">
        <f ca="1">O59-调味糖!O60</f>
        <v>#DIV/0!</v>
      </c>
    </row>
    <row r="89" customHeight="1" spans="1:15">
      <c r="F89" s="82"/>
      <c r="G89" s="82"/>
      <c r="N89" s="82"/>
      <c r="O89" s="82"/>
    </row>
    <row r="90" customHeight="1" spans="1:15">
      <c r="F90" s="82"/>
      <c r="G90" s="82"/>
      <c r="N90" s="82"/>
      <c r="O90" s="82"/>
    </row>
    <row r="91" customHeight="1" spans="1:15">
      <c r="F91" s="82"/>
      <c r="G91" s="82"/>
      <c r="N91" s="82"/>
      <c r="O91" s="82"/>
    </row>
    <row r="92" customHeight="1" spans="1:15">
      <c r="F92" s="82"/>
      <c r="G92" s="82"/>
      <c r="N92" s="82"/>
      <c r="O92" s="82"/>
    </row>
    <row r="93" customHeight="1" spans="1:15">
      <c r="F93" s="82"/>
      <c r="G93" s="82"/>
      <c r="N93" s="82"/>
      <c r="O93" s="82"/>
    </row>
    <row r="94" customHeight="1" spans="1:15">
      <c r="F94" s="82"/>
      <c r="G94" s="82"/>
      <c r="N94" s="82"/>
      <c r="O94" s="82"/>
    </row>
    <row r="95" customHeight="1" spans="1:15">
      <c r="F95" s="82"/>
      <c r="G95" s="82"/>
      <c r="N95" s="82"/>
      <c r="O95" s="82"/>
    </row>
    <row r="96" customHeight="1" spans="1:15">
      <c r="F96" s="82"/>
      <c r="G96" s="82"/>
      <c r="N96" s="82"/>
      <c r="O96" s="8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3409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3"/>
  </sheetPr>
  <dimension ref="A1:S60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P52" sqref="P52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.5" style="462" customWidth="1"/>
    <col min="6" max="6" width="9" style="40" customWidth="1"/>
    <col min="7" max="7" width="10.25" style="40" customWidth="1"/>
    <col min="8" max="8" width="5.125" style="40" customWidth="1"/>
    <col min="9" max="9" width="28" style="40" customWidth="1"/>
    <col min="10" max="10" width="3.625" style="40" customWidth="1"/>
    <col min="11" max="11" width="9" style="40" customWidth="1"/>
    <col min="12" max="13" width="8.5" style="40" customWidth="1"/>
    <col min="14" max="14" width="11.625" style="40" customWidth="1"/>
    <col min="15" max="15" width="11.375" style="40" customWidth="1"/>
    <col min="16" max="16" width="9.75" style="40" customWidth="1"/>
    <col min="17" max="17" width="13" style="40" customWidth="1"/>
    <col min="18" max="16384" width="9" style="40"/>
  </cols>
  <sheetData>
    <row r="1" s="458" customFormat="1" ht="42.75" customHeight="1" spans="1:17">
      <c r="A1" s="97" t="str">
        <f>CONCATENATE("果葡糖浆F42综合成本利润表_含税(2025年"&amp;mth&amp;"月)")</f>
        <v>果葡糖浆F42综合成本利润表_含税(2025年8月)</v>
      </c>
      <c r="B1" s="98"/>
      <c r="C1" s="98"/>
      <c r="D1" s="98"/>
      <c r="E1" s="98"/>
      <c r="F1" s="98"/>
      <c r="G1" s="98"/>
      <c r="I1" s="463" t="str">
        <f>CONCATENATE("果葡糖浆F42综合成本利润表_含税(2025年1-"&amp;mth&amp;"月)")</f>
        <v>果葡糖浆F42综合成本利润表_含税(2025年1-8月)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7">
      <c r="A2" s="464"/>
      <c r="B2" s="464"/>
      <c r="C2" s="464"/>
      <c r="D2" s="465"/>
      <c r="E2" s="44"/>
      <c r="F2" s="464"/>
      <c r="G2" s="464"/>
    </row>
    <row r="3" s="38" customFormat="1" customHeight="1" spans="1:17">
      <c r="A3" s="38" t="s">
        <v>23</v>
      </c>
      <c r="E3" s="39" t="s">
        <v>133</v>
      </c>
      <c r="F3" s="466">
        <f ca="1">'F42'!F3</f>
        <v>0</v>
      </c>
      <c r="G3" s="39" t="s">
        <v>75</v>
      </c>
      <c r="M3" s="378" t="s">
        <v>134</v>
      </c>
      <c r="N3" s="466">
        <f ca="1">'F42'!N3</f>
        <v>1923.675</v>
      </c>
      <c r="O3" s="39" t="s">
        <v>75</v>
      </c>
    </row>
    <row r="4" s="459" customFormat="1" ht="14.25" customHeight="1" spans="1:17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7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3103.38110992138</v>
      </c>
      <c r="N5" s="472"/>
      <c r="O5" s="474">
        <f ca="1">O6-O7</f>
        <v>5969896.65662802</v>
      </c>
      <c r="P5" s="475"/>
    </row>
    <row r="6" s="459" customFormat="1" ht="14.25" customHeight="1" spans="1:17">
      <c r="A6" s="476" t="s">
        <v>84</v>
      </c>
      <c r="B6" s="477"/>
      <c r="C6" s="478"/>
      <c r="D6" s="479"/>
      <c r="E6" s="480">
        <f ca="1">OFFSET(销售收入及运费!C93,0,mth-1,1,1)</f>
        <v>0</v>
      </c>
      <c r="F6" s="479"/>
      <c r="G6" s="480">
        <f ca="1">F3*E6</f>
        <v>0</v>
      </c>
      <c r="I6" s="481" t="s">
        <v>84</v>
      </c>
      <c r="J6" s="477"/>
      <c r="K6" s="478"/>
      <c r="L6" s="479"/>
      <c r="M6" s="507">
        <f ca="1">销售收入及运费!O93</f>
        <v>3171.88092673198</v>
      </c>
      <c r="N6" s="482"/>
      <c r="O6" s="507">
        <f ca="1">M6*$N$3</f>
        <v>6101668.04173114</v>
      </c>
      <c r="P6" s="475"/>
      <c r="Q6" s="511"/>
    </row>
    <row r="7" s="459" customFormat="1" ht="14.25" customHeight="1" spans="1:17">
      <c r="A7" s="476" t="s">
        <v>85</v>
      </c>
      <c r="B7" s="477"/>
      <c r="C7" s="479"/>
      <c r="D7" s="479"/>
      <c r="E7" s="480">
        <f ca="1">OFFSET(销售收入及运费!C191,0,mth-1,1,1)</f>
        <v>0</v>
      </c>
      <c r="F7" s="479"/>
      <c r="G7" s="480">
        <f ca="1">E7*F3</f>
        <v>0</v>
      </c>
      <c r="I7" s="476" t="s">
        <v>85</v>
      </c>
      <c r="J7" s="477"/>
      <c r="K7" s="479"/>
      <c r="L7" s="479"/>
      <c r="M7" s="507">
        <f ca="1">销售收入及运费!O191</f>
        <v>68.4998168105951</v>
      </c>
      <c r="N7" s="482"/>
      <c r="O7" s="507">
        <f ca="1">M7*$N$3</f>
        <v>131771.385103121</v>
      </c>
      <c r="P7" s="475"/>
      <c r="Q7" s="511"/>
    </row>
    <row r="8" s="459" customFormat="1" ht="14.25" customHeight="1" spans="1:17">
      <c r="A8" s="476" t="s">
        <v>86</v>
      </c>
      <c r="B8" s="477"/>
      <c r="C8" s="479"/>
      <c r="D8" s="479"/>
      <c r="E8" s="480" t="e">
        <f ca="1">'F42'!E8*1.09</f>
        <v>#DIV/0!</v>
      </c>
      <c r="F8" s="479"/>
      <c r="G8" s="480" t="e">
        <f ca="1">'F42'!G8*1.09</f>
        <v>#DIV/0!</v>
      </c>
      <c r="I8" s="476" t="s">
        <v>86</v>
      </c>
      <c r="J8" s="477"/>
      <c r="K8" s="479"/>
      <c r="L8" s="479"/>
      <c r="M8" s="480">
        <f ca="1">'F42'!M8*1.09</f>
        <v>42.3001625483452</v>
      </c>
      <c r="N8" s="482"/>
      <c r="O8" s="480">
        <f ca="1">'F42'!O8*1.09</f>
        <v>81371.765190188</v>
      </c>
      <c r="P8" s="475"/>
      <c r="Q8" s="511"/>
    </row>
    <row r="9" s="459" customFormat="1" ht="14.25" customHeight="1" spans="1:17">
      <c r="A9" s="476" t="s">
        <v>87</v>
      </c>
      <c r="B9" s="477"/>
      <c r="C9" s="479"/>
      <c r="D9" s="479"/>
      <c r="E9" s="480" t="e">
        <f ca="1">'F42'!E9*1.13</f>
        <v>#DIV/0!</v>
      </c>
      <c r="F9" s="479"/>
      <c r="G9" s="480" t="e">
        <f ca="1">'F42'!G9*1.13</f>
        <v>#DIV/0!</v>
      </c>
      <c r="I9" s="476" t="s">
        <v>87</v>
      </c>
      <c r="J9" s="477"/>
      <c r="K9" s="479"/>
      <c r="L9" s="479"/>
      <c r="M9" s="480">
        <f ca="1">'F42'!M9*1.13</f>
        <v>26.1996542622498</v>
      </c>
      <c r="N9" s="482"/>
      <c r="O9" s="480">
        <f ca="1">'F42'!O9*1.13</f>
        <v>50399.6199129334</v>
      </c>
      <c r="P9" s="475"/>
      <c r="Q9" s="511"/>
    </row>
    <row r="10" s="459" customFormat="1" ht="14.25" customHeight="1" spans="1:17">
      <c r="A10" s="484" t="s">
        <v>88</v>
      </c>
      <c r="B10" s="485"/>
      <c r="C10" s="486"/>
      <c r="D10" s="486"/>
      <c r="E10" s="487">
        <f ca="1">E11+E13+E26+E31+E34+E25</f>
        <v>0</v>
      </c>
      <c r="F10" s="488"/>
      <c r="G10" s="487" t="e">
        <f ca="1">G11+G13+G26+G31+G34+G25</f>
        <v>#DIV/0!</v>
      </c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O11+O13+O26+O31+O34+O25</f>
        <v>#DIV/0!</v>
      </c>
      <c r="P10" s="475"/>
      <c r="Q10" s="511"/>
    </row>
    <row r="11" s="459" customFormat="1" ht="14.25" customHeight="1" spans="1:17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2810.9369959152</v>
      </c>
      <c r="L11" s="492">
        <f ca="1">IF(K11=0,0,M11/K11)</f>
        <v>0.76798883427179</v>
      </c>
      <c r="M11" s="491">
        <f ca="1">M12</f>
        <v>2158.76822670436</v>
      </c>
      <c r="N11" s="491">
        <f ca="1">N12</f>
        <v>1477.36092076778</v>
      </c>
      <c r="O11" s="491">
        <f ca="1">O12</f>
        <v>4152768.46850552</v>
      </c>
      <c r="P11" s="475"/>
    </row>
    <row r="12" s="459" customFormat="1" ht="14.25" customHeight="1" spans="1:17">
      <c r="A12" s="502" t="s">
        <v>90</v>
      </c>
      <c r="B12" s="503" t="s">
        <v>75</v>
      </c>
      <c r="C12" s="507">
        <f ca="1">'F42'!C12*1.13</f>
        <v>0</v>
      </c>
      <c r="D12" s="497">
        <f ca="1">'F42'!D12</f>
        <v>0</v>
      </c>
      <c r="E12" s="480">
        <f ca="1">'F42'!E12*1.13</f>
        <v>0</v>
      </c>
      <c r="F12" s="507">
        <f ca="1">'F42'!F12</f>
        <v>0</v>
      </c>
      <c r="G12" s="480">
        <f ca="1">'F42'!G12*1.13</f>
        <v>0</v>
      </c>
      <c r="I12" s="502" t="s">
        <v>90</v>
      </c>
      <c r="J12" s="503" t="s">
        <v>75</v>
      </c>
      <c r="K12" s="591">
        <f ca="1">'F42'!K12*1.13</f>
        <v>2810.9369959152</v>
      </c>
      <c r="L12" s="497">
        <f ca="1">'F42'!L12</f>
        <v>0.76798883427179</v>
      </c>
      <c r="M12" s="480">
        <f ca="1">'F42'!M12*1.13</f>
        <v>2158.76822670436</v>
      </c>
      <c r="N12" s="507">
        <f ca="1">L12*N3</f>
        <v>1477.36092076778</v>
      </c>
      <c r="O12" s="480">
        <f ca="1">'F42'!O12*1.13</f>
        <v>4152768.46850552</v>
      </c>
      <c r="P12" s="475"/>
      <c r="Q12" s="475"/>
    </row>
    <row r="13" s="459" customFormat="1" ht="14.25" customHeight="1" spans="1:17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475"/>
    </row>
    <row r="14" s="459" customFormat="1" ht="14.25" customHeight="1" spans="1:17">
      <c r="A14" s="502" t="s">
        <v>136</v>
      </c>
      <c r="B14" s="503" t="s">
        <v>167</v>
      </c>
      <c r="C14" s="505">
        <f ca="1">'F42'!C14*1.13</f>
        <v>0</v>
      </c>
      <c r="D14" s="505">
        <f ca="1">'F42'!D14</f>
        <v>0</v>
      </c>
      <c r="E14" s="505">
        <f ca="1">'F42'!E14*1.13</f>
        <v>0</v>
      </c>
      <c r="F14" s="507">
        <f ca="1">'F42'!F14</f>
        <v>0</v>
      </c>
      <c r="G14" s="591">
        <f ca="1">'F42'!G14*1.13</f>
        <v>0</v>
      </c>
      <c r="I14" s="502" t="s">
        <v>136</v>
      </c>
      <c r="J14" s="503" t="s">
        <v>167</v>
      </c>
      <c r="K14" s="505">
        <f ca="1">分配表!O191</f>
        <v>1.16800728160139</v>
      </c>
      <c r="L14" s="505">
        <f ca="1">'F42'!L14</f>
        <v>4.03912827102078</v>
      </c>
      <c r="M14" s="505">
        <f ca="1">'F42'!M14*1.13</f>
        <v>4.7177312318743</v>
      </c>
      <c r="N14" s="507">
        <f ca="1">'F42'!N14</f>
        <v>7769.97007675589</v>
      </c>
      <c r="O14" s="507">
        <f ca="1">'F42'!O14*1.13</f>
        <v>9075.38162747579</v>
      </c>
      <c r="P14" s="475"/>
      <c r="Q14" s="475"/>
    </row>
    <row r="15" s="459" customFormat="1" ht="14.25" customHeight="1" spans="1:17">
      <c r="A15" s="502" t="s">
        <v>137</v>
      </c>
      <c r="B15" s="503" t="s">
        <v>167</v>
      </c>
      <c r="C15" s="505">
        <f ca="1">'F42'!C15*1.13</f>
        <v>0</v>
      </c>
      <c r="D15" s="505">
        <f ca="1">'F42'!D15</f>
        <v>0</v>
      </c>
      <c r="E15" s="505">
        <f ca="1">'F42'!E15*1.13</f>
        <v>0</v>
      </c>
      <c r="F15" s="507">
        <f ca="1">'F42'!F15</f>
        <v>0</v>
      </c>
      <c r="G15" s="591">
        <f ca="1">'F42'!G15*1.13</f>
        <v>0</v>
      </c>
      <c r="I15" s="502" t="s">
        <v>137</v>
      </c>
      <c r="J15" s="503" t="s">
        <v>167</v>
      </c>
      <c r="K15" s="505">
        <f ca="1">分配表!O192</f>
        <v>3.57679310644649</v>
      </c>
      <c r="L15" s="505">
        <f ca="1">'F42'!L15</f>
        <v>4.49952746612638</v>
      </c>
      <c r="M15" s="505">
        <f ca="1">'F42'!M15*1.13</f>
        <v>16.0938788231075</v>
      </c>
      <c r="N15" s="507">
        <f ca="1">'F42'!N15</f>
        <v>8655.62849840066</v>
      </c>
      <c r="O15" s="507">
        <f ca="1">'F42'!O15*1.13</f>
        <v>30959.3923450413</v>
      </c>
      <c r="P15" s="475"/>
      <c r="Q15" s="475"/>
    </row>
    <row r="16" s="459" customFormat="1" ht="14.25" customHeight="1" spans="1:17">
      <c r="A16" s="502" t="s">
        <v>138</v>
      </c>
      <c r="B16" s="503" t="s">
        <v>167</v>
      </c>
      <c r="C16" s="505">
        <f ca="1">'F42'!C16*1.13</f>
        <v>0</v>
      </c>
      <c r="D16" s="505">
        <f ca="1">'F42'!D16</f>
        <v>0</v>
      </c>
      <c r="E16" s="505">
        <f ca="1">'F42'!E16*1.13</f>
        <v>0</v>
      </c>
      <c r="F16" s="507">
        <f ca="1">'F42'!F16</f>
        <v>0</v>
      </c>
      <c r="G16" s="591">
        <f ca="1">'F42'!G16*1.13</f>
        <v>0</v>
      </c>
      <c r="I16" s="502" t="s">
        <v>138</v>
      </c>
      <c r="J16" s="503" t="s">
        <v>167</v>
      </c>
      <c r="K16" s="505">
        <f ca="1">分配表!O193</f>
        <v>2.94350314079422</v>
      </c>
      <c r="L16" s="505">
        <f ca="1">'F42'!L16</f>
        <v>0.725865533790539</v>
      </c>
      <c r="M16" s="505">
        <f ca="1">'F42'!M16*1.13</f>
        <v>2.13658747850673</v>
      </c>
      <c r="N16" s="507">
        <f ca="1">'F42'!N16</f>
        <v>1396.32938071451</v>
      </c>
      <c r="O16" s="507">
        <f ca="1">'F42'!O16*1.13</f>
        <v>4110.09991771642</v>
      </c>
      <c r="P16" s="475"/>
      <c r="Q16" s="475"/>
    </row>
    <row r="17" s="459" customFormat="1" ht="14.25" customHeight="1" spans="1:17">
      <c r="A17" s="502" t="s">
        <v>139</v>
      </c>
      <c r="B17" s="503" t="s">
        <v>167</v>
      </c>
      <c r="C17" s="505">
        <f ca="1">'F42'!C17*1.13</f>
        <v>0</v>
      </c>
      <c r="D17" s="505">
        <f ca="1">'F42'!D17</f>
        <v>0</v>
      </c>
      <c r="E17" s="505">
        <f ca="1">'F42'!E17*1.13</f>
        <v>0</v>
      </c>
      <c r="F17" s="507">
        <f ca="1">'F42'!F17</f>
        <v>0</v>
      </c>
      <c r="G17" s="591">
        <f ca="1">'F42'!G17*1.13</f>
        <v>0</v>
      </c>
      <c r="I17" s="502" t="s">
        <v>139</v>
      </c>
      <c r="J17" s="503" t="s">
        <v>167</v>
      </c>
      <c r="K17" s="505">
        <f ca="1">分配表!O195</f>
        <v>8.00006266464471</v>
      </c>
      <c r="L17" s="505">
        <f ca="1">'F42'!L17</f>
        <v>1.44724791571465</v>
      </c>
      <c r="M17" s="505">
        <f ca="1">'F42'!M17*1.13</f>
        <v>11.5780740169936</v>
      </c>
      <c r="N17" s="507">
        <f ca="1">'F42'!N17</f>
        <v>2784.03463426237</v>
      </c>
      <c r="O17" s="507">
        <f ca="1">'F42'!O17*1.13</f>
        <v>22272.4515346402</v>
      </c>
      <c r="P17" s="475"/>
      <c r="Q17" s="475"/>
    </row>
    <row r="18" s="459" customFormat="1" ht="14.25" customHeight="1" spans="1:17">
      <c r="A18" s="502" t="s">
        <v>140</v>
      </c>
      <c r="B18" s="503" t="s">
        <v>167</v>
      </c>
      <c r="C18" s="505">
        <f ca="1">'F42'!C18*1.13</f>
        <v>0</v>
      </c>
      <c r="D18" s="505">
        <f ca="1">'F42'!D18</f>
        <v>0</v>
      </c>
      <c r="E18" s="505">
        <f ca="1">'F42'!E18*1.13</f>
        <v>0</v>
      </c>
      <c r="F18" s="507">
        <f ca="1">'F42'!F18</f>
        <v>0</v>
      </c>
      <c r="G18" s="591">
        <f ca="1">'F42'!G18*1.13</f>
        <v>0</v>
      </c>
      <c r="I18" s="502" t="s">
        <v>140</v>
      </c>
      <c r="J18" s="503" t="s">
        <v>167</v>
      </c>
      <c r="K18" s="505">
        <f ca="1">分配表!O196</f>
        <v>54.0155926492147</v>
      </c>
      <c r="L18" s="505">
        <f ca="1">'F42'!L18</f>
        <v>0.0796635799561935</v>
      </c>
      <c r="M18" s="505">
        <f ca="1">'F42'!M18*1.13</f>
        <v>4.30307548389189</v>
      </c>
      <c r="N18" s="507">
        <f ca="1">'F42'!N18</f>
        <v>153.24683717223</v>
      </c>
      <c r="O18" s="507">
        <f ca="1">'F42'!O18*1.13</f>
        <v>8277.71873147573</v>
      </c>
      <c r="P18" s="475"/>
      <c r="Q18" s="475"/>
    </row>
    <row r="19" s="459" customFormat="1" ht="14.25" customHeight="1" spans="1:17">
      <c r="A19" s="502" t="s">
        <v>141</v>
      </c>
      <c r="B19" s="503" t="s">
        <v>167</v>
      </c>
      <c r="C19" s="505">
        <f ca="1">'F42'!C19*1.13</f>
        <v>0</v>
      </c>
      <c r="D19" s="505">
        <f ca="1">'F42'!D19</f>
        <v>0</v>
      </c>
      <c r="E19" s="505">
        <f ca="1">'F42'!E19*1.13</f>
        <v>0</v>
      </c>
      <c r="F19" s="507">
        <f ca="1">'F42'!F19</f>
        <v>0</v>
      </c>
      <c r="G19" s="591">
        <f ca="1">'F42'!G19*1.13</f>
        <v>0</v>
      </c>
      <c r="I19" s="502" t="s">
        <v>141</v>
      </c>
      <c r="J19" s="503" t="s">
        <v>167</v>
      </c>
      <c r="K19" s="505">
        <f ca="1">分配表!O197</f>
        <v>36.3830972699914</v>
      </c>
      <c r="L19" s="505">
        <f ca="1">'F42'!L19</f>
        <v>0.146674121105557</v>
      </c>
      <c r="M19" s="505">
        <f ca="1">'F42'!M19*1.13</f>
        <v>5.33645881517398</v>
      </c>
      <c r="N19" s="507">
        <f ca="1">'F42'!N19</f>
        <v>282.153339917732</v>
      </c>
      <c r="O19" s="507">
        <f ca="1">'F42'!O19*1.13</f>
        <v>10265.6124112798</v>
      </c>
      <c r="P19" s="475"/>
      <c r="Q19" s="475"/>
    </row>
    <row r="20" s="459" customFormat="1" ht="14.25" customHeight="1" spans="1:17">
      <c r="A20" s="502" t="s">
        <v>142</v>
      </c>
      <c r="B20" s="503" t="s">
        <v>167</v>
      </c>
      <c r="C20" s="505">
        <f ca="1">'F42'!C20*1.13</f>
        <v>0</v>
      </c>
      <c r="D20" s="505">
        <f ca="1">'F42'!D20</f>
        <v>0</v>
      </c>
      <c r="E20" s="505">
        <f ca="1">'F42'!E20*1.13</f>
        <v>0</v>
      </c>
      <c r="F20" s="507">
        <f ca="1">'F42'!F20</f>
        <v>0</v>
      </c>
      <c r="G20" s="591">
        <f ca="1">'F42'!G20*1.13</f>
        <v>0</v>
      </c>
      <c r="I20" s="502" t="s">
        <v>142</v>
      </c>
      <c r="J20" s="503" t="s">
        <v>167</v>
      </c>
      <c r="K20" s="505">
        <f ca="1">分配表!O198</f>
        <v>246.992032636057</v>
      </c>
      <c r="L20" s="505">
        <f ca="1">'F42'!L20</f>
        <v>0.0880217436176268</v>
      </c>
      <c r="M20" s="505">
        <f ca="1">'F42'!M20*1.13</f>
        <v>21.7406693722876</v>
      </c>
      <c r="N20" s="507">
        <f ca="1">'F42'!N20</f>
        <v>169.325227653638</v>
      </c>
      <c r="O20" s="507">
        <f ca="1">'F42'!O20*1.13</f>
        <v>41821.9821547353</v>
      </c>
      <c r="P20" s="475"/>
      <c r="Q20" s="475"/>
    </row>
    <row r="21" s="459" customFormat="1" ht="14.25" customHeight="1" spans="1:17">
      <c r="A21" s="502" t="s">
        <v>143</v>
      </c>
      <c r="B21" s="503" t="s">
        <v>167</v>
      </c>
      <c r="C21" s="505">
        <f ca="1">'F42'!C21*1.13</f>
        <v>0</v>
      </c>
      <c r="D21" s="505">
        <f ca="1">'F42'!D21</f>
        <v>0</v>
      </c>
      <c r="E21" s="505">
        <f ca="1">'F42'!E21*1.13</f>
        <v>0</v>
      </c>
      <c r="F21" s="507">
        <f ca="1">'F42'!F21</f>
        <v>0</v>
      </c>
      <c r="G21" s="591">
        <f ca="1">'F42'!G21*1.13</f>
        <v>0</v>
      </c>
      <c r="I21" s="502" t="s">
        <v>143</v>
      </c>
      <c r="J21" s="503" t="s">
        <v>167</v>
      </c>
      <c r="K21" s="505">
        <f ca="1">分配表!O199</f>
        <v>1.1068060104712</v>
      </c>
      <c r="L21" s="505">
        <f ca="1">'F42'!L21</f>
        <v>0.456475450991857</v>
      </c>
      <c r="M21" s="505">
        <f ca="1">'F42'!M21*1.13</f>
        <v>0.505229772790341</v>
      </c>
      <c r="N21" s="507">
        <f ca="1">'F42'!N21</f>
        <v>878.11041318676</v>
      </c>
      <c r="O21" s="507">
        <f ca="1">'F42'!O21*1.13</f>
        <v>971.897883172458</v>
      </c>
      <c r="P21" s="475"/>
      <c r="Q21" s="475"/>
    </row>
    <row r="22" s="459" customFormat="1" ht="14.25" customHeight="1" spans="1:17">
      <c r="A22" s="502" t="s">
        <v>144</v>
      </c>
      <c r="B22" s="503" t="s">
        <v>167</v>
      </c>
      <c r="C22" s="505">
        <f ca="1">'F42'!C22*1.13</f>
        <v>0</v>
      </c>
      <c r="D22" s="505">
        <f ca="1">'F42'!D22</f>
        <v>0</v>
      </c>
      <c r="E22" s="505">
        <f ca="1">'F42'!E22*1.13</f>
        <v>0</v>
      </c>
      <c r="F22" s="507">
        <f ca="1">'F42'!F22</f>
        <v>0</v>
      </c>
      <c r="G22" s="591">
        <f ca="1">'F42'!G22*1.13</f>
        <v>0</v>
      </c>
      <c r="I22" s="502" t="s">
        <v>144</v>
      </c>
      <c r="J22" s="503" t="s">
        <v>167</v>
      </c>
      <c r="K22" s="505">
        <f ca="1">分配表!O200</f>
        <v>2.09737053412463</v>
      </c>
      <c r="L22" s="505">
        <f ca="1">'F42'!L22</f>
        <v>0.266294314649662</v>
      </c>
      <c r="M22" s="505">
        <f ca="1">'F42'!M22*1.13</f>
        <v>0.558517848951114</v>
      </c>
      <c r="N22" s="507">
        <f ca="1">'F42'!N22</f>
        <v>512.263715733689</v>
      </c>
      <c r="O22" s="507">
        <f ca="1">'F42'!O22*1.13</f>
        <v>1074.40682308103</v>
      </c>
      <c r="P22" s="475"/>
      <c r="Q22" s="475"/>
    </row>
    <row r="23" s="459" customFormat="1" ht="14.25" customHeight="1" spans="1:17">
      <c r="A23" s="502" t="s">
        <v>146</v>
      </c>
      <c r="B23" s="503" t="s">
        <v>167</v>
      </c>
      <c r="C23" s="505">
        <f>'F42'!C23*1.13</f>
        <v>0</v>
      </c>
      <c r="D23" s="505">
        <f>'F42'!D23</f>
        <v>0</v>
      </c>
      <c r="E23" s="505">
        <f ca="1">'F42'!E23*1.13</f>
        <v>0</v>
      </c>
      <c r="F23" s="507">
        <f>'F42'!F23</f>
        <v>0</v>
      </c>
      <c r="G23" s="591" t="e">
        <f ca="1">'F42'!G23*1.13</f>
        <v>#DIV/0!</v>
      </c>
      <c r="I23" s="502" t="s">
        <v>146</v>
      </c>
      <c r="J23" s="503" t="s">
        <v>167</v>
      </c>
      <c r="K23" s="505">
        <f>分配表!O201</f>
        <v>0</v>
      </c>
      <c r="L23" s="505">
        <f>'F42'!L23</f>
        <v>0</v>
      </c>
      <c r="M23" s="505" t="e">
        <f ca="1">'F42'!M23*1.13</f>
        <v>#DIV/0!</v>
      </c>
      <c r="N23" s="507">
        <f>'F42'!N23</f>
        <v>0</v>
      </c>
      <c r="O23" s="507" t="e">
        <f ca="1">'F42'!O23*1.13</f>
        <v>#DIV/0!</v>
      </c>
      <c r="P23" s="475"/>
      <c r="Q23" s="475"/>
    </row>
    <row r="24" s="459" customFormat="1" ht="14.25" customHeight="1" spans="1:17">
      <c r="A24" s="502" t="s">
        <v>147</v>
      </c>
      <c r="B24" s="503"/>
      <c r="C24" s="505"/>
      <c r="D24" s="505"/>
      <c r="E24" s="505">
        <f ca="1">'F42'!E24*1.13</f>
        <v>0</v>
      </c>
      <c r="F24" s="507"/>
      <c r="G24" s="591" t="e">
        <f ca="1">'F42'!G24*1.13</f>
        <v>#DIV/0!</v>
      </c>
      <c r="I24" s="502" t="s">
        <v>147</v>
      </c>
      <c r="J24" s="503"/>
      <c r="K24" s="505"/>
      <c r="L24" s="505"/>
      <c r="M24" s="505" t="e">
        <f ca="1">'F42'!M24*1.13</f>
        <v>#DIV/0!</v>
      </c>
      <c r="N24" s="507"/>
      <c r="O24" s="507" t="e">
        <f ca="1">'F42'!O24*1.13</f>
        <v>#DIV/0!</v>
      </c>
      <c r="P24" s="475"/>
      <c r="Q24" s="475"/>
    </row>
    <row r="25" s="459" customFormat="1" ht="14.25" customHeight="1" spans="1:17">
      <c r="A25" s="508" t="s">
        <v>93</v>
      </c>
      <c r="B25" s="490"/>
      <c r="C25" s="501"/>
      <c r="D25" s="492"/>
      <c r="E25" s="491"/>
      <c r="F25" s="491"/>
      <c r="G25" s="491"/>
      <c r="I25" s="508" t="s">
        <v>93</v>
      </c>
      <c r="J25" s="490"/>
      <c r="K25" s="501"/>
      <c r="L25" s="492"/>
      <c r="M25" s="491"/>
      <c r="N25" s="491"/>
      <c r="O25" s="491"/>
      <c r="P25" s="475"/>
      <c r="Q25" s="475"/>
    </row>
    <row r="26" s="459" customFormat="1" ht="14.25" customHeight="1" spans="1:17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475"/>
      <c r="Q26" s="475"/>
    </row>
    <row r="27" s="459" customFormat="1" ht="14.25" customHeight="1" spans="1:17">
      <c r="A27" s="502" t="s">
        <v>95</v>
      </c>
      <c r="B27" s="503" t="s">
        <v>75</v>
      </c>
      <c r="C27" s="566">
        <f ca="1">OFFSET(分配表!C306,0,mth-1,1,1)</f>
        <v>0</v>
      </c>
      <c r="D27" s="505">
        <f ca="1">'F42'!D27</f>
        <v>0</v>
      </c>
      <c r="E27" s="507">
        <f ca="1">C27*D27</f>
        <v>0</v>
      </c>
      <c r="F27" s="507">
        <f ca="1">'F42'!F27</f>
        <v>0</v>
      </c>
      <c r="G27" s="507">
        <f ca="1">E27*F$3</f>
        <v>0</v>
      </c>
      <c r="I27" s="502" t="s">
        <v>95</v>
      </c>
      <c r="J27" s="503" t="s">
        <v>75</v>
      </c>
      <c r="K27" s="567">
        <f ca="1">分配表!O306</f>
        <v>408.530937837231</v>
      </c>
      <c r="L27" s="505">
        <f ca="1">'F42'!L27</f>
        <v>0.277942575811421</v>
      </c>
      <c r="M27" s="507">
        <f ca="1">K27*L27</f>
        <v>113.548141161135</v>
      </c>
      <c r="N27" s="507">
        <f ca="1">'F42'!N27</f>
        <v>534.671184524035</v>
      </c>
      <c r="O27" s="507">
        <f ca="1">M27*N$3</f>
        <v>218429.720448147</v>
      </c>
      <c r="P27" s="475"/>
      <c r="Q27" s="475"/>
    </row>
    <row r="28" s="459" customFormat="1" ht="14.25" customHeight="1" spans="1:17">
      <c r="A28" s="502" t="s">
        <v>96</v>
      </c>
      <c r="B28" s="503" t="s">
        <v>97</v>
      </c>
      <c r="C28" s="566">
        <f ca="1">'F42'!C28*1.13</f>
        <v>0</v>
      </c>
      <c r="D28" s="505">
        <f ca="1">'F42'!D28</f>
        <v>0</v>
      </c>
      <c r="E28" s="480">
        <f ca="1">'F42'!E28*1.13</f>
        <v>0</v>
      </c>
      <c r="F28" s="507" t="e">
        <f ca="1">'F42'!F28</f>
        <v>#DIV/0!</v>
      </c>
      <c r="G28" s="480">
        <f ca="1">'F42'!G28*1.13</f>
        <v>0</v>
      </c>
      <c r="I28" s="502" t="s">
        <v>96</v>
      </c>
      <c r="J28" s="503" t="s">
        <v>97</v>
      </c>
      <c r="K28" s="566">
        <f ca="1">'F42'!K28*1.13</f>
        <v>0.769119583630169</v>
      </c>
      <c r="L28" s="505" t="e">
        <f ca="1">'F42'!L28</f>
        <v>#DIV/0!</v>
      </c>
      <c r="M28" s="480" t="e">
        <f ca="1">'F42'!M28*1.13</f>
        <v>#DIV/0!</v>
      </c>
      <c r="N28" s="507" t="e">
        <f ca="1">'F42'!N28</f>
        <v>#DIV/0!</v>
      </c>
      <c r="O28" s="480" t="e">
        <f ca="1">'F42'!O28*1.13</f>
        <v>#DIV/0!</v>
      </c>
      <c r="P28" s="475"/>
      <c r="Q28" s="475"/>
    </row>
    <row r="29" s="459" customFormat="1" ht="14.25" customHeight="1" spans="1:17">
      <c r="A29" s="502" t="s">
        <v>98</v>
      </c>
      <c r="B29" s="503" t="s">
        <v>75</v>
      </c>
      <c r="C29" s="566">
        <f>3.32+0.9*2.97</f>
        <v>5.993</v>
      </c>
      <c r="D29" s="505">
        <f ca="1">'F42'!D29</f>
        <v>0</v>
      </c>
      <c r="E29" s="480">
        <f ca="1">D29*C29</f>
        <v>0</v>
      </c>
      <c r="F29" s="507" t="e">
        <f ca="1">'F42'!F29</f>
        <v>#DIV/0!</v>
      </c>
      <c r="G29" s="480">
        <f ca="1">E29*F3</f>
        <v>0</v>
      </c>
      <c r="I29" s="502" t="s">
        <v>98</v>
      </c>
      <c r="J29" s="503" t="s">
        <v>75</v>
      </c>
      <c r="K29" s="566">
        <f>3.32+0.9*2.97</f>
        <v>5.993</v>
      </c>
      <c r="L29" s="505" t="e">
        <f ca="1">'F42'!L29</f>
        <v>#DIV/0!</v>
      </c>
      <c r="M29" s="480" t="e">
        <f ca="1">L29*K29</f>
        <v>#DIV/0!</v>
      </c>
      <c r="N29" s="507" t="e">
        <f ca="1">'F42'!N29</f>
        <v>#DIV/0!</v>
      </c>
      <c r="O29" s="480" t="e">
        <f ca="1">M29*N3</f>
        <v>#DIV/0!</v>
      </c>
      <c r="P29" s="475"/>
      <c r="Q29" s="475"/>
    </row>
    <row r="30" s="459" customFormat="1" ht="14.25" customHeight="1" spans="1:17">
      <c r="A30" s="502" t="s">
        <v>99</v>
      </c>
      <c r="B30" s="503" t="s">
        <v>75</v>
      </c>
      <c r="C30" s="566">
        <f ca="1">'F42'!C30*1.13</f>
        <v>0</v>
      </c>
      <c r="D30" s="505">
        <f ca="1">'F42'!D30</f>
        <v>0</v>
      </c>
      <c r="E30" s="480">
        <f ca="1">'F42'!E30*1.13</f>
        <v>0</v>
      </c>
      <c r="F30" s="507">
        <f ca="1">'F42'!F30</f>
        <v>0</v>
      </c>
      <c r="G30" s="480">
        <f ca="1">'F42'!G30*1.13</f>
        <v>0</v>
      </c>
      <c r="I30" s="502" t="s">
        <v>99</v>
      </c>
      <c r="J30" s="503" t="s">
        <v>75</v>
      </c>
      <c r="K30" s="480">
        <f>'F42'!K30*1.13</f>
        <v>0</v>
      </c>
      <c r="L30" s="505">
        <f ca="1">'F42'!L30</f>
        <v>0</v>
      </c>
      <c r="M30" s="480">
        <f ca="1">'F42'!M30*1.13</f>
        <v>0</v>
      </c>
      <c r="N30" s="507">
        <f>'F42'!N30</f>
        <v>0</v>
      </c>
      <c r="O30" s="480">
        <f ca="1">'F42'!O30*1.13</f>
        <v>0</v>
      </c>
      <c r="P30" s="475"/>
      <c r="Q30" s="475"/>
    </row>
    <row r="31" s="459" customFormat="1" ht="14.25" customHeight="1" spans="1:17">
      <c r="A31" s="508" t="s">
        <v>101</v>
      </c>
      <c r="B31" s="490"/>
      <c r="C31" s="501"/>
      <c r="D31" s="492"/>
      <c r="E31" s="491">
        <f ca="1">IF(F$3=0,0,G31/F$3)</f>
        <v>0</v>
      </c>
      <c r="F31" s="501"/>
      <c r="G31" s="491" t="e">
        <f ca="1">'F42'!G31*1.13</f>
        <v>#DIV/0!</v>
      </c>
      <c r="I31" s="508" t="s">
        <v>101</v>
      </c>
      <c r="J31" s="490"/>
      <c r="K31" s="501"/>
      <c r="L31" s="492"/>
      <c r="M31" s="491" t="e">
        <f ca="1">IF(N$3=0,0,O31/N$3)</f>
        <v>#DIV/0!</v>
      </c>
      <c r="N31" s="491"/>
      <c r="O31" s="491" t="e">
        <f ca="1">'F42'!O31*1.13</f>
        <v>#DIV/0!</v>
      </c>
      <c r="P31" s="475"/>
      <c r="Q31" s="475"/>
    </row>
    <row r="32" s="459" customFormat="1" ht="14.25" customHeight="1" spans="1:17">
      <c r="A32" s="541" t="s">
        <v>102</v>
      </c>
      <c r="B32" s="490"/>
      <c r="C32" s="501"/>
      <c r="D32" s="492"/>
      <c r="E32" s="491">
        <f ca="1">E31</f>
        <v>0</v>
      </c>
      <c r="F32" s="501"/>
      <c r="G32" s="491" t="e">
        <f ca="1">G31</f>
        <v>#DIV/0!</v>
      </c>
      <c r="I32" s="508" t="s">
        <v>102</v>
      </c>
      <c r="J32" s="490"/>
      <c r="K32" s="501"/>
      <c r="L32" s="492"/>
      <c r="M32" s="491" t="e">
        <f ca="1">M31</f>
        <v>#DIV/0!</v>
      </c>
      <c r="N32" s="491"/>
      <c r="O32" s="491" t="e">
        <f ca="1">O31</f>
        <v>#DIV/0!</v>
      </c>
      <c r="P32" s="475"/>
      <c r="Q32" s="511"/>
    </row>
    <row r="33" s="459" customFormat="1" ht="14.25" customHeight="1" spans="1:17">
      <c r="A33" s="541" t="s">
        <v>103</v>
      </c>
      <c r="B33" s="490"/>
      <c r="C33" s="501"/>
      <c r="D33" s="492"/>
      <c r="E33" s="501"/>
      <c r="F33" s="491"/>
      <c r="G33" s="491"/>
      <c r="I33" s="508" t="s">
        <v>103</v>
      </c>
      <c r="J33" s="490"/>
      <c r="K33" s="501"/>
      <c r="L33" s="492"/>
      <c r="M33" s="501"/>
      <c r="N33" s="491"/>
      <c r="O33" s="491"/>
      <c r="P33" s="475"/>
      <c r="Q33" s="511"/>
    </row>
    <row r="34" s="459" customFormat="1" ht="14.25" customHeight="1" spans="1:17">
      <c r="A34" s="508" t="s">
        <v>104</v>
      </c>
      <c r="B34" s="490"/>
      <c r="C34" s="501"/>
      <c r="D34" s="492"/>
      <c r="E34" s="491">
        <f ca="1">IF(VALUE(F$3)=0,0,G34/F$3)</f>
        <v>0</v>
      </c>
      <c r="F34" s="491"/>
      <c r="G34" s="491" t="e">
        <f ca="1">SUM(G5,-G11,-G13,-G26,-G31,-G25)-SUM('F42'!G5,-'F42'!G11-'F42'!G13-'F42'!G26-'F42'!G31,-'F42'!G25)</f>
        <v>#DIV/0!</v>
      </c>
      <c r="I34" s="508" t="s">
        <v>104</v>
      </c>
      <c r="J34" s="490"/>
      <c r="K34" s="501"/>
      <c r="L34" s="492"/>
      <c r="M34" s="491" t="e">
        <f ca="1">IF(N$3=0,0,O34/N$3)</f>
        <v>#DIV/0!</v>
      </c>
      <c r="N34" s="491"/>
      <c r="O34" s="491" t="e">
        <f ca="1">SUM(O5,-O11,-O13,-O26,-O31,-O25)-SUM('F42'!O5,-'F42'!O11-'F42'!O13-'F42'!O26-'F42'!O31,-'F42'!O25)</f>
        <v>#DIV/0!</v>
      </c>
      <c r="P34" s="475"/>
    </row>
    <row r="35" s="459" customFormat="1" ht="14.25" customHeight="1" spans="1:17">
      <c r="A35" s="508" t="s">
        <v>105</v>
      </c>
      <c r="B35" s="490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1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475"/>
    </row>
    <row r="36" s="459" customFormat="1" ht="14.25" customHeight="1" spans="1:17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475"/>
    </row>
    <row r="37" s="459" customFormat="1" ht="14.25" customHeight="1" spans="1:17">
      <c r="A37" s="516" t="s">
        <v>107</v>
      </c>
      <c r="B37" s="503"/>
      <c r="C37" s="505"/>
      <c r="D37" s="497"/>
      <c r="E37" s="575">
        <f ca="1">'F42'!E37</f>
        <v>0</v>
      </c>
      <c r="F37" s="517"/>
      <c r="G37" s="575" t="e">
        <f ca="1">'F42'!G37</f>
        <v>#DIV/0!</v>
      </c>
      <c r="H37" s="483"/>
      <c r="I37" s="516" t="s">
        <v>107</v>
      </c>
      <c r="J37" s="503"/>
      <c r="K37" s="505"/>
      <c r="L37" s="497"/>
      <c r="M37" s="575" t="e">
        <f ca="1">'F42'!M37</f>
        <v>#DIV/0!</v>
      </c>
      <c r="N37" s="517"/>
      <c r="O37" s="575" t="e">
        <f ca="1">'F42'!O37</f>
        <v>#DIV/0!</v>
      </c>
    </row>
    <row r="38" s="459" customFormat="1" ht="14.25" customHeight="1" spans="1:17">
      <c r="A38" s="516" t="s">
        <v>108</v>
      </c>
      <c r="B38" s="503"/>
      <c r="C38" s="505"/>
      <c r="D38" s="497"/>
      <c r="E38" s="575">
        <f ca="1">'F42'!E38</f>
        <v>0</v>
      </c>
      <c r="F38" s="517"/>
      <c r="G38" s="575" t="e">
        <f ca="1">'F42'!G38</f>
        <v>#DIV/0!</v>
      </c>
      <c r="H38" s="483"/>
      <c r="I38" s="516" t="s">
        <v>108</v>
      </c>
      <c r="J38" s="503"/>
      <c r="K38" s="505"/>
      <c r="L38" s="497"/>
      <c r="M38" s="575" t="e">
        <f ca="1">'F42'!M38</f>
        <v>#DIV/0!</v>
      </c>
      <c r="N38" s="517"/>
      <c r="O38" s="575" t="e">
        <f ca="1">'F42'!O38</f>
        <v>#DIV/0!</v>
      </c>
    </row>
    <row r="39" s="459" customFormat="1" ht="14.25" customHeight="1" spans="1:17">
      <c r="A39" s="516" t="s">
        <v>109</v>
      </c>
      <c r="B39" s="503"/>
      <c r="C39" s="498"/>
      <c r="D39" s="518"/>
      <c r="E39" s="575">
        <f ca="1">'F42'!E39</f>
        <v>0</v>
      </c>
      <c r="F39" s="517"/>
      <c r="G39" s="575" t="e">
        <f ca="1">'F42'!G39</f>
        <v>#DIV/0!</v>
      </c>
      <c r="H39" s="483"/>
      <c r="I39" s="516" t="s">
        <v>109</v>
      </c>
      <c r="J39" s="503"/>
      <c r="K39" s="498"/>
      <c r="L39" s="518"/>
      <c r="M39" s="575" t="e">
        <f ca="1">'F42'!M39</f>
        <v>#DIV/0!</v>
      </c>
      <c r="N39" s="517"/>
      <c r="O39" s="575" t="e">
        <f ca="1">'F42'!O39</f>
        <v>#DIV/0!</v>
      </c>
    </row>
    <row r="40" s="459" customFormat="1" ht="14.25" customHeight="1" spans="1:17">
      <c r="A40" s="516" t="s">
        <v>110</v>
      </c>
      <c r="B40" s="503"/>
      <c r="C40" s="498"/>
      <c r="D40" s="518"/>
      <c r="E40" s="575">
        <f ca="1">'F42'!E40</f>
        <v>0</v>
      </c>
      <c r="F40" s="517"/>
      <c r="G40" s="575" t="e">
        <f ca="1">'F42'!G40</f>
        <v>#DIV/0!</v>
      </c>
      <c r="H40" s="483"/>
      <c r="I40" s="516" t="s">
        <v>110</v>
      </c>
      <c r="J40" s="503"/>
      <c r="K40" s="498"/>
      <c r="L40" s="518"/>
      <c r="M40" s="575" t="e">
        <f ca="1">'F42'!M40</f>
        <v>#DIV/0!</v>
      </c>
      <c r="N40" s="517"/>
      <c r="O40" s="575" t="e">
        <f ca="1">'F42'!O40</f>
        <v>#DIV/0!</v>
      </c>
      <c r="P40" s="510"/>
    </row>
    <row r="41" s="459" customFormat="1" ht="14.25" customHeight="1" spans="1:17">
      <c r="A41" s="516" t="s">
        <v>111</v>
      </c>
      <c r="B41" s="503"/>
      <c r="C41" s="498"/>
      <c r="D41" s="518"/>
      <c r="E41" s="575">
        <f ca="1">'F42'!E41</f>
        <v>0</v>
      </c>
      <c r="F41" s="517"/>
      <c r="G41" s="575" t="e">
        <f ca="1">'F42'!G41</f>
        <v>#DIV/0!</v>
      </c>
      <c r="H41" s="483"/>
      <c r="I41" s="516" t="s">
        <v>111</v>
      </c>
      <c r="J41" s="503"/>
      <c r="K41" s="498"/>
      <c r="L41" s="518"/>
      <c r="M41" s="575" t="e">
        <f ca="1">'F42'!M41</f>
        <v>#DIV/0!</v>
      </c>
      <c r="N41" s="517"/>
      <c r="O41" s="575" t="e">
        <f ca="1">'F42'!O41</f>
        <v>#DIV/0!</v>
      </c>
    </row>
    <row r="42" s="459" customFormat="1" ht="14.25" customHeight="1" spans="1:17">
      <c r="A42" s="516" t="s">
        <v>112</v>
      </c>
      <c r="B42" s="503"/>
      <c r="C42" s="498"/>
      <c r="D42" s="518"/>
      <c r="E42" s="575">
        <f ca="1">'F42'!E42</f>
        <v>0</v>
      </c>
      <c r="F42" s="517"/>
      <c r="G42" s="575" t="e">
        <f ca="1">'F42'!G42</f>
        <v>#DIV/0!</v>
      </c>
      <c r="H42" s="483"/>
      <c r="I42" s="516" t="s">
        <v>112</v>
      </c>
      <c r="J42" s="503"/>
      <c r="K42" s="498"/>
      <c r="L42" s="518"/>
      <c r="M42" s="575" t="e">
        <f ca="1">'F42'!M42</f>
        <v>#DIV/0!</v>
      </c>
      <c r="N42" s="517"/>
      <c r="O42" s="575" t="e">
        <f ca="1">'F42'!O42</f>
        <v>#DIV/0!</v>
      </c>
    </row>
    <row r="43" s="459" customFormat="1" ht="14.25" customHeight="1" spans="1:17">
      <c r="A43" s="516" t="s">
        <v>113</v>
      </c>
      <c r="B43" s="503"/>
      <c r="C43" s="498"/>
      <c r="D43" s="518"/>
      <c r="E43" s="575">
        <f ca="1">'F42'!E43</f>
        <v>0</v>
      </c>
      <c r="F43" s="517"/>
      <c r="G43" s="575" t="e">
        <f ca="1">'F42'!G43</f>
        <v>#DIV/0!</v>
      </c>
      <c r="I43" s="516" t="s">
        <v>114</v>
      </c>
      <c r="J43" s="503"/>
      <c r="K43" s="498"/>
      <c r="L43" s="518"/>
      <c r="M43" s="575" t="e">
        <f ca="1">'F42'!M43</f>
        <v>#DIV/0!</v>
      </c>
      <c r="N43" s="517"/>
      <c r="O43" s="575" t="e">
        <f ca="1">'F42'!O43</f>
        <v>#DIV/0!</v>
      </c>
    </row>
    <row r="44" s="459" customFormat="1" ht="14.25" customHeight="1" spans="1:17">
      <c r="A44" s="516" t="s">
        <v>115</v>
      </c>
      <c r="B44" s="503"/>
      <c r="C44" s="498"/>
      <c r="D44" s="518"/>
      <c r="E44" s="576">
        <f ca="1">'F42'!E44</f>
        <v>0</v>
      </c>
      <c r="F44" s="517"/>
      <c r="G44" s="575" t="e">
        <f ca="1">'F42'!G44</f>
        <v>#DIV/0!</v>
      </c>
      <c r="I44" s="516" t="s">
        <v>115</v>
      </c>
      <c r="J44" s="503"/>
      <c r="K44" s="498"/>
      <c r="L44" s="518"/>
      <c r="M44" s="576" t="e">
        <f ca="1">'F42'!M44</f>
        <v>#DIV/0!</v>
      </c>
      <c r="N44" s="517"/>
      <c r="O44" s="576" t="e">
        <f ca="1">'F42'!O44</f>
        <v>#DIV/0!</v>
      </c>
    </row>
    <row r="45" s="459" customFormat="1" ht="14.25" customHeight="1" spans="1:17">
      <c r="A45" s="516" t="s">
        <v>116</v>
      </c>
      <c r="B45" s="503"/>
      <c r="C45" s="498"/>
      <c r="D45" s="518"/>
      <c r="E45" s="576">
        <f ca="1">'F42'!E45</f>
        <v>0</v>
      </c>
      <c r="F45" s="517"/>
      <c r="G45" s="575" t="e">
        <f ca="1">'F42'!G45</f>
        <v>#DIV/0!</v>
      </c>
      <c r="I45" s="516" t="s">
        <v>116</v>
      </c>
      <c r="J45" s="503"/>
      <c r="K45" s="498"/>
      <c r="L45" s="518"/>
      <c r="M45" s="576" t="e">
        <f ca="1">'F42'!M45</f>
        <v>#DIV/0!</v>
      </c>
      <c r="N45" s="517"/>
      <c r="O45" s="576" t="e">
        <f ca="1">'F42'!O45</f>
        <v>#DIV/0!</v>
      </c>
    </row>
    <row r="46" s="459" customFormat="1" ht="14.25" customHeight="1" spans="1:17">
      <c r="A46" s="516" t="s">
        <v>117</v>
      </c>
      <c r="B46" s="503"/>
      <c r="C46" s="498"/>
      <c r="D46" s="518"/>
      <c r="E46" s="576">
        <f ca="1">'F42'!E46</f>
        <v>0</v>
      </c>
      <c r="F46" s="517"/>
      <c r="G46" s="575" t="e">
        <f ca="1">'F42'!G46</f>
        <v>#DIV/0!</v>
      </c>
      <c r="I46" s="516" t="s">
        <v>117</v>
      </c>
      <c r="J46" s="503"/>
      <c r="K46" s="498"/>
      <c r="L46" s="518"/>
      <c r="M46" s="576" t="e">
        <f ca="1">'F42'!M46</f>
        <v>#DIV/0!</v>
      </c>
      <c r="N46" s="517"/>
      <c r="O46" s="576" t="e">
        <f ca="1">'F42'!O46</f>
        <v>#DIV/0!</v>
      </c>
    </row>
    <row r="47" s="459" customFormat="1" ht="14.25" customHeight="1" spans="1:17">
      <c r="A47" s="516" t="s">
        <v>118</v>
      </c>
      <c r="B47" s="503"/>
      <c r="C47" s="498"/>
      <c r="D47" s="518"/>
      <c r="E47" s="576">
        <f ca="1">'F42'!E47</f>
        <v>0</v>
      </c>
      <c r="F47" s="517"/>
      <c r="G47" s="575" t="e">
        <f ca="1">'F42'!G47</f>
        <v>#DIV/0!</v>
      </c>
      <c r="I47" s="516" t="s">
        <v>118</v>
      </c>
      <c r="J47" s="503"/>
      <c r="K47" s="498"/>
      <c r="L47" s="518"/>
      <c r="M47" s="576" t="e">
        <f ca="1">'F42'!M47</f>
        <v>#DIV/0!</v>
      </c>
      <c r="N47" s="517"/>
      <c r="O47" s="576" t="e">
        <f ca="1">'F42'!O47</f>
        <v>#DIV/0!</v>
      </c>
    </row>
    <row r="48" s="459" customFormat="1" ht="14.25" customHeight="1" spans="1:17">
      <c r="A48" s="516" t="s">
        <v>119</v>
      </c>
      <c r="B48" s="503"/>
      <c r="C48" s="498"/>
      <c r="D48" s="518"/>
      <c r="E48" s="576">
        <f ca="1">'F42'!E48</f>
        <v>0</v>
      </c>
      <c r="F48" s="517"/>
      <c r="G48" s="575" t="e">
        <f ca="1">'F42'!G48</f>
        <v>#DIV/0!</v>
      </c>
      <c r="I48" s="516" t="s">
        <v>119</v>
      </c>
      <c r="J48" s="503"/>
      <c r="K48" s="498"/>
      <c r="L48" s="518"/>
      <c r="M48" s="576" t="e">
        <f ca="1">'F42'!M48</f>
        <v>#DIV/0!</v>
      </c>
      <c r="N48" s="517"/>
      <c r="O48" s="576" t="e">
        <f ca="1">'F42'!O48</f>
        <v>#DIV/0!</v>
      </c>
    </row>
    <row r="49" s="459" customFormat="1" ht="14.25" customHeight="1" spans="1:19">
      <c r="A49" s="516" t="s">
        <v>120</v>
      </c>
      <c r="B49" s="503"/>
      <c r="C49" s="498"/>
      <c r="D49" s="518"/>
      <c r="E49" s="576">
        <f ca="1">'F42'!E49</f>
        <v>0</v>
      </c>
      <c r="F49" s="517"/>
      <c r="G49" s="575" t="e">
        <f ca="1">'F42'!G49</f>
        <v>#DIV/0!</v>
      </c>
      <c r="I49" s="516" t="s">
        <v>120</v>
      </c>
      <c r="J49" s="503"/>
      <c r="K49" s="498"/>
      <c r="L49" s="518"/>
      <c r="M49" s="576" t="e">
        <f ca="1">'F42'!M49</f>
        <v>#DIV/0!</v>
      </c>
      <c r="N49" s="517"/>
      <c r="O49" s="576" t="e">
        <f ca="1">'F42'!O49</f>
        <v>#DIV/0!</v>
      </c>
    </row>
    <row r="50" s="459" customFormat="1" ht="14.25" customHeight="1" spans="1:19">
      <c r="A50" s="516" t="s">
        <v>121</v>
      </c>
      <c r="B50" s="503"/>
      <c r="C50" s="498"/>
      <c r="D50" s="518"/>
      <c r="E50" s="576">
        <f ca="1">'F42'!E50</f>
        <v>0</v>
      </c>
      <c r="F50" s="517"/>
      <c r="G50" s="575" t="e">
        <f ca="1">'F42'!G50</f>
        <v>#DIV/0!</v>
      </c>
      <c r="I50" s="516" t="s">
        <v>121</v>
      </c>
      <c r="J50" s="503"/>
      <c r="K50" s="498"/>
      <c r="L50" s="518"/>
      <c r="M50" s="576" t="e">
        <f ca="1">'F42'!M50</f>
        <v>#DIV/0!</v>
      </c>
      <c r="N50" s="517"/>
      <c r="O50" s="576" t="e">
        <f ca="1">'F42'!O50</f>
        <v>#DIV/0!</v>
      </c>
    </row>
    <row r="51" s="459" customFormat="1" ht="14.25" customHeight="1" spans="1:19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</row>
    <row r="52" s="460" customFormat="1" ht="14.25" customHeight="1" spans="1:19">
      <c r="A52" s="524" t="s">
        <v>124</v>
      </c>
      <c r="B52" s="485" t="s">
        <v>123</v>
      </c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48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59" customFormat="1" ht="14.25" customHeight="1" spans="1:19">
      <c r="A53" s="524" t="s">
        <v>125</v>
      </c>
      <c r="B53" s="485" t="s">
        <v>123</v>
      </c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48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540" customFormat="1" ht="14.25" customHeight="1" spans="1:19">
      <c r="A54" s="543" t="s">
        <v>126</v>
      </c>
      <c r="B54" s="544" t="s">
        <v>123</v>
      </c>
      <c r="C54" s="545"/>
      <c r="D54" s="546"/>
      <c r="E54" s="547">
        <f ca="1">E10-E11+E36-E25</f>
        <v>0</v>
      </c>
      <c r="F54" s="547"/>
      <c r="G54" s="548" t="e">
        <f ca="1">G10-G11+G36-G25</f>
        <v>#DIV/0!</v>
      </c>
      <c r="H54" s="535"/>
      <c r="I54" s="549" t="s">
        <v>126</v>
      </c>
      <c r="J54" s="550" t="s">
        <v>123</v>
      </c>
      <c r="K54" s="547"/>
      <c r="L54" s="547"/>
      <c r="M54" s="547" t="e">
        <f ca="1">M10-M11+M36-M25</f>
        <v>#DIV/0!</v>
      </c>
      <c r="N54" s="547"/>
      <c r="O54" s="548" t="e">
        <f ca="1">O10-O11+O36-O25</f>
        <v>#DIV/0!</v>
      </c>
      <c r="P54" s="475"/>
      <c r="Q54" s="475"/>
      <c r="R54" s="475"/>
      <c r="S54" s="475"/>
    </row>
    <row r="55" customHeight="1" spans="1:19">
      <c r="A55" s="516" t="s">
        <v>127</v>
      </c>
      <c r="B55" s="681"/>
      <c r="C55" s="85"/>
      <c r="D55" s="85"/>
      <c r="E55" s="576">
        <f ca="1">'F42'!E55</f>
        <v>0</v>
      </c>
      <c r="F55" s="517"/>
      <c r="G55" s="575" t="e">
        <f ca="1">'F42'!G55</f>
        <v>#DIV/0!</v>
      </c>
      <c r="I55" s="516" t="s">
        <v>127</v>
      </c>
      <c r="J55" s="85"/>
      <c r="K55" s="85"/>
      <c r="L55" s="85"/>
      <c r="M55" s="576" t="e">
        <f ca="1">'F42'!M55</f>
        <v>#DIV/0!</v>
      </c>
      <c r="N55" s="517"/>
      <c r="O55" s="576" t="e">
        <f ca="1">'F42'!O55</f>
        <v>#DIV/0!</v>
      </c>
    </row>
    <row r="56" customHeight="1" spans="1:19">
      <c r="G56" s="594"/>
    </row>
    <row r="60" s="459" customFormat="1" customHeight="1" spans="1:19">
      <c r="A60" s="582" t="s">
        <v>131</v>
      </c>
      <c r="B60" s="538"/>
      <c r="E60" s="539" t="e">
        <f ca="1">E35-'F42'!E35</f>
        <v>#DIV/0!</v>
      </c>
      <c r="F60" s="539"/>
      <c r="G60" s="539" t="e">
        <f ca="1">G35-'F42'!G35</f>
        <v>#DIV/0!</v>
      </c>
      <c r="L60" s="459" t="s">
        <v>132</v>
      </c>
      <c r="M60" s="539" t="e">
        <f ca="1">M35-'F42'!M35</f>
        <v>#DIV/0!</v>
      </c>
      <c r="O60" s="539" t="e">
        <f ca="1">O35-'F42'!O35</f>
        <v>#DIV/0!</v>
      </c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6913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3"/>
  </sheetPr>
  <dimension ref="A1:Q6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6.875" style="40" customWidth="1"/>
    <col min="5" max="5" width="9" style="462" customWidth="1"/>
    <col min="6" max="6" width="9.5" style="40" customWidth="1"/>
    <col min="7" max="7" width="12.25" style="40" customWidth="1"/>
    <col min="8" max="8" width="10.125" style="40" customWidth="1"/>
    <col min="9" max="9" width="28" style="40" customWidth="1"/>
    <col min="10" max="10" width="5.125" style="40" customWidth="1"/>
    <col min="11" max="11" width="10.375" style="40" customWidth="1"/>
    <col min="12" max="12" width="7" style="40" customWidth="1"/>
    <col min="13" max="13" width="9.375" style="40" customWidth="1"/>
    <col min="14" max="14" width="11.5" style="40" customWidth="1"/>
    <col min="15" max="15" width="11.375" style="40" customWidth="1"/>
    <col min="16" max="16" width="9.625" style="40"/>
    <col min="17" max="17" width="10.5" style="40" customWidth="1"/>
    <col min="18" max="16384" width="9" style="40"/>
  </cols>
  <sheetData>
    <row r="1" s="458" customFormat="1" ht="42.75" customHeight="1" spans="1:17">
      <c r="A1" s="97" t="str">
        <f>CONCATENATE("果葡糖浆F55综合成本利润表_含税(2025年"&amp;mth&amp;"月)")</f>
        <v>果葡糖浆F55综合成本利润表_含税(2025年8月)</v>
      </c>
      <c r="B1" s="98"/>
      <c r="C1" s="98"/>
      <c r="D1" s="98"/>
      <c r="E1" s="98"/>
      <c r="F1" s="98"/>
      <c r="G1" s="98"/>
      <c r="I1" s="463" t="str">
        <f>CONCATENATE("果葡糖浆F55综合成本利润表_含税(2025年1-"&amp;mth&amp;"月)")</f>
        <v>果葡糖浆F55综合成本利润表_含税(2025年1-8月)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7">
      <c r="A2" s="464"/>
      <c r="B2" s="464"/>
      <c r="C2" s="464"/>
      <c r="D2" s="465"/>
      <c r="E2" s="44"/>
      <c r="F2" s="584"/>
      <c r="G2" s="39"/>
      <c r="H2" s="585"/>
      <c r="M2" s="44"/>
      <c r="N2" s="584"/>
      <c r="O2" s="39"/>
    </row>
    <row r="3" s="38" customFormat="1" customHeight="1" spans="1:17">
      <c r="A3" s="39"/>
      <c r="E3" s="39" t="s">
        <v>133</v>
      </c>
      <c r="F3" s="466">
        <f ca="1">'F55'!F3</f>
        <v>0</v>
      </c>
      <c r="G3" s="39" t="s">
        <v>75</v>
      </c>
      <c r="K3" s="552"/>
      <c r="M3" s="586" t="s">
        <v>76</v>
      </c>
      <c r="N3" s="466">
        <f ca="1">'F55'!N3</f>
        <v>49280.176</v>
      </c>
      <c r="O3" s="586" t="s">
        <v>75</v>
      </c>
    </row>
    <row r="4" s="459" customFormat="1" ht="14.25" customHeight="1" spans="1:17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7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3000.74713961007</v>
      </c>
      <c r="N5" s="472"/>
      <c r="O5" s="474">
        <f ca="1">O6-O7</f>
        <v>147877347.171481</v>
      </c>
      <c r="Q5" s="475"/>
    </row>
    <row r="6" s="459" customFormat="1" ht="14.25" customHeight="1" spans="1:17">
      <c r="A6" s="476" t="s">
        <v>84</v>
      </c>
      <c r="B6" s="477"/>
      <c r="C6" s="478"/>
      <c r="D6" s="479"/>
      <c r="E6" s="480">
        <f ca="1">OFFSET(销售收入及运费!C85,0,mth-1,1,1)</f>
        <v>0</v>
      </c>
      <c r="F6" s="479"/>
      <c r="G6" s="480">
        <f ca="1">E6*$F$3</f>
        <v>0</v>
      </c>
      <c r="H6" s="510"/>
      <c r="I6" s="481" t="s">
        <v>84</v>
      </c>
      <c r="J6" s="477"/>
      <c r="K6" s="478"/>
      <c r="L6" s="479"/>
      <c r="M6" s="480">
        <f ca="1">销售收入及运费!O85</f>
        <v>3063.93110295465</v>
      </c>
      <c r="N6" s="482"/>
      <c r="O6" s="480">
        <f ca="1">M6*$N$3</f>
        <v>150991064.005479</v>
      </c>
      <c r="Q6" s="475"/>
    </row>
    <row r="7" s="459" customFormat="1" ht="14.25" customHeight="1" spans="1:17">
      <c r="A7" s="476" t="s">
        <v>85</v>
      </c>
      <c r="B7" s="477"/>
      <c r="C7" s="479"/>
      <c r="D7" s="479"/>
      <c r="E7" s="480">
        <f ca="1">OFFSET(销售收入及运费!C183,0,mth-1,1,1)</f>
        <v>0</v>
      </c>
      <c r="F7" s="479"/>
      <c r="G7" s="480">
        <f ca="1">E7*$F$3</f>
        <v>0</v>
      </c>
      <c r="H7" s="510"/>
      <c r="I7" s="476" t="s">
        <v>85</v>
      </c>
      <c r="J7" s="477"/>
      <c r="K7" s="479"/>
      <c r="L7" s="479"/>
      <c r="M7" s="480">
        <f ca="1">销售收入及运费!O183</f>
        <v>63.1839633445735</v>
      </c>
      <c r="N7" s="479"/>
      <c r="O7" s="480">
        <f ca="1">M7*$N$3</f>
        <v>3113716.83399813</v>
      </c>
      <c r="Q7" s="475"/>
    </row>
    <row r="8" s="459" customFormat="1" ht="14.25" customHeight="1" spans="1:17">
      <c r="A8" s="476" t="s">
        <v>86</v>
      </c>
      <c r="B8" s="477"/>
      <c r="C8" s="479"/>
      <c r="D8" s="479"/>
      <c r="E8" s="480" t="e">
        <f ca="1">'F55'!E8*1.09</f>
        <v>#DIV/0!</v>
      </c>
      <c r="F8" s="479"/>
      <c r="G8" s="480" t="e">
        <f ca="1">'F55'!G8*1.09</f>
        <v>#DIV/0!</v>
      </c>
      <c r="H8" s="510"/>
      <c r="I8" s="476" t="s">
        <v>86</v>
      </c>
      <c r="J8" s="477"/>
      <c r="K8" s="479"/>
      <c r="L8" s="479"/>
      <c r="M8" s="480">
        <f ca="1">'F55'!M8*1.09</f>
        <v>48.8837687668308</v>
      </c>
      <c r="N8" s="479"/>
      <c r="O8" s="480">
        <f ca="1">'F55'!O8*1.09</f>
        <v>2409000.72837272</v>
      </c>
      <c r="Q8" s="475"/>
    </row>
    <row r="9" s="459" customFormat="1" ht="14.25" customHeight="1" spans="1:17">
      <c r="A9" s="476" t="s">
        <v>87</v>
      </c>
      <c r="B9" s="477"/>
      <c r="C9" s="479"/>
      <c r="D9" s="479"/>
      <c r="E9" s="480" t="e">
        <f ca="1">'F55'!E9*1.13</f>
        <v>#DIV/0!</v>
      </c>
      <c r="F9" s="479"/>
      <c r="G9" s="480" t="e">
        <f ca="1">'F55'!G9*1.13</f>
        <v>#DIV/0!</v>
      </c>
      <c r="H9" s="510"/>
      <c r="I9" s="476" t="s">
        <v>87</v>
      </c>
      <c r="J9" s="477"/>
      <c r="K9" s="479"/>
      <c r="L9" s="479"/>
      <c r="M9" s="480">
        <f ca="1">'F55'!M9*1.13</f>
        <v>14.3001945777427</v>
      </c>
      <c r="N9" s="479"/>
      <c r="O9" s="480">
        <f ca="1">'F55'!O9*1.13</f>
        <v>704716.105625408</v>
      </c>
      <c r="Q9" s="475"/>
    </row>
    <row r="10" s="459" customFormat="1" ht="14.25" customHeight="1" spans="1:17">
      <c r="A10" s="484" t="s">
        <v>88</v>
      </c>
      <c r="B10" s="485"/>
      <c r="C10" s="486"/>
      <c r="D10" s="486"/>
      <c r="E10" s="487">
        <f ca="1">E11+E13+E26+E31+E34+E25</f>
        <v>0</v>
      </c>
      <c r="F10" s="488"/>
      <c r="G10" s="487" t="e">
        <f ca="1">G11+G13+G26+G31+G34+G25</f>
        <v>#DIV/0!</v>
      </c>
      <c r="H10" s="510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O11+O13+O26+O31+O34+O25</f>
        <v>#DIV/0!</v>
      </c>
      <c r="Q10" s="475"/>
    </row>
    <row r="11" s="459" customFormat="1" ht="14.25" customHeight="1" spans="1:17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10"/>
      <c r="I11" s="489" t="s">
        <v>89</v>
      </c>
      <c r="J11" s="490" t="s">
        <v>75</v>
      </c>
      <c r="K11" s="491">
        <f ca="1">IF(N11=0,0,O11/N11)</f>
        <v>2824.36837726118</v>
      </c>
      <c r="L11" s="492">
        <f ca="1">IF(K11=0,0,M11/K11)</f>
        <v>0.848770030048684</v>
      </c>
      <c r="M11" s="491">
        <f ca="1">M12</f>
        <v>2397.23923243652</v>
      </c>
      <c r="N11" s="491">
        <f ca="1">N12</f>
        <v>41827.5364643244</v>
      </c>
      <c r="O11" s="491">
        <f ca="1">O12</f>
        <v>118136371.288577</v>
      </c>
      <c r="Q11" s="475"/>
    </row>
    <row r="12" s="459" customFormat="1" ht="14.25" customHeight="1" spans="1:17">
      <c r="A12" s="502" t="s">
        <v>90</v>
      </c>
      <c r="B12" s="503" t="s">
        <v>75</v>
      </c>
      <c r="C12" s="507">
        <f ca="1">'F55'!C12*1.13</f>
        <v>0</v>
      </c>
      <c r="D12" s="497">
        <f ca="1">'F55'!D12</f>
        <v>0</v>
      </c>
      <c r="E12" s="480">
        <f ca="1">'F55'!E12*1.13</f>
        <v>0</v>
      </c>
      <c r="F12" s="507">
        <f ca="1">'F55'!F12</f>
        <v>0</v>
      </c>
      <c r="G12" s="480">
        <f ca="1">'F55'!G12*1.13</f>
        <v>0</v>
      </c>
      <c r="H12" s="510"/>
      <c r="I12" s="502" t="s">
        <v>90</v>
      </c>
      <c r="J12" s="503" t="s">
        <v>75</v>
      </c>
      <c r="K12" s="507">
        <f ca="1">分配表!O71</f>
        <v>2824.36837726118</v>
      </c>
      <c r="L12" s="497">
        <f ca="1">'F55'!L12</f>
        <v>0.848770030048684</v>
      </c>
      <c r="M12" s="496">
        <f ca="1">K12*L12</f>
        <v>2397.23923243652</v>
      </c>
      <c r="N12" s="507">
        <f ca="1">L12*N3</f>
        <v>41827.5364643244</v>
      </c>
      <c r="O12" s="496">
        <f ca="1">K12*N12</f>
        <v>118136371.288577</v>
      </c>
      <c r="P12" s="589"/>
      <c r="Q12" s="475"/>
    </row>
    <row r="13" s="459" customFormat="1" ht="14.25" customHeight="1" spans="1:17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10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39"/>
      <c r="Q13" s="475"/>
    </row>
    <row r="14" s="459" customFormat="1" ht="14.25" customHeight="1" spans="1:17">
      <c r="A14" s="502" t="s">
        <v>136</v>
      </c>
      <c r="B14" s="503" t="s">
        <v>167</v>
      </c>
      <c r="C14" s="505">
        <f ca="1">'F55'!C14*1.13</f>
        <v>0</v>
      </c>
      <c r="D14" s="505">
        <f ca="1">'F55'!D14</f>
        <v>0</v>
      </c>
      <c r="E14" s="480">
        <f ca="1">'F55'!E14*1.13</f>
        <v>0</v>
      </c>
      <c r="F14" s="507">
        <f ca="1">'F55'!F14</f>
        <v>0</v>
      </c>
      <c r="G14" s="480">
        <f ca="1">'F55'!G14*1.13</f>
        <v>0</v>
      </c>
      <c r="H14" s="510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'F55'!L14</f>
        <v>4.55787434531979</v>
      </c>
      <c r="M14" s="506">
        <f ca="1">K14*L14</f>
        <v>5.32363042395768</v>
      </c>
      <c r="N14" s="507">
        <f ca="1">'F55'!N14</f>
        <v>224612.849923244</v>
      </c>
      <c r="O14" s="496">
        <f ca="1">M14*$N$3</f>
        <v>262349.444251589</v>
      </c>
      <c r="P14" s="539"/>
      <c r="Q14" s="475"/>
    </row>
    <row r="15" s="459" customFormat="1" ht="14.25" customHeight="1" spans="1:17">
      <c r="A15" s="502" t="s">
        <v>137</v>
      </c>
      <c r="B15" s="503" t="s">
        <v>167</v>
      </c>
      <c r="C15" s="505">
        <f ca="1">'F55'!C15*1.13</f>
        <v>0</v>
      </c>
      <c r="D15" s="505">
        <f ca="1">'F55'!D15</f>
        <v>0</v>
      </c>
      <c r="E15" s="480">
        <f ca="1">'F55'!E15*1.13</f>
        <v>0</v>
      </c>
      <c r="F15" s="507">
        <f ca="1">'F55'!F15</f>
        <v>0</v>
      </c>
      <c r="G15" s="480">
        <f ca="1">'F55'!G15*1.13</f>
        <v>0</v>
      </c>
      <c r="H15" s="510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'F55'!L15</f>
        <v>5.06258686051769</v>
      </c>
      <c r="M15" s="506">
        <f ca="1" t="shared" ref="M15:M22" si="0">K15*L15</f>
        <v>18.1078257834863</v>
      </c>
      <c r="N15" s="507">
        <f ca="1">'F55'!N15</f>
        <v>249485.171501599</v>
      </c>
      <c r="O15" s="496">
        <f ca="1" t="shared" ref="O15:O22" si="1">M15*$N$3</f>
        <v>892356.841587541</v>
      </c>
      <c r="Q15" s="475"/>
    </row>
    <row r="16" s="459" customFormat="1" ht="14.25" customHeight="1" spans="1:17">
      <c r="A16" s="502" t="s">
        <v>138</v>
      </c>
      <c r="B16" s="503" t="s">
        <v>167</v>
      </c>
      <c r="C16" s="505">
        <f ca="1">'F55'!C16*1.13</f>
        <v>0</v>
      </c>
      <c r="D16" s="505">
        <f ca="1">'F55'!D16</f>
        <v>0</v>
      </c>
      <c r="E16" s="480">
        <f ca="1">'F55'!E16*1.13</f>
        <v>0</v>
      </c>
      <c r="F16" s="507">
        <f ca="1">'F55'!F16</f>
        <v>0</v>
      </c>
      <c r="G16" s="480">
        <f ca="1">'F55'!G16*1.13</f>
        <v>0</v>
      </c>
      <c r="H16" s="510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'F55'!L16</f>
        <v>0.766508435750828</v>
      </c>
      <c r="M16" s="506">
        <f ca="1" t="shared" si="0"/>
        <v>2.25621998807783</v>
      </c>
      <c r="N16" s="507">
        <f ca="1">'F55'!N16</f>
        <v>37773.6706192855</v>
      </c>
      <c r="O16" s="496">
        <f ca="1" t="shared" si="1"/>
        <v>111186.918107193</v>
      </c>
      <c r="Q16" s="475"/>
    </row>
    <row r="17" s="459" customFormat="1" ht="14.25" customHeight="1" spans="1:17">
      <c r="A17" s="502" t="s">
        <v>139</v>
      </c>
      <c r="B17" s="503" t="s">
        <v>167</v>
      </c>
      <c r="C17" s="505">
        <f ca="1">'F55'!C17*1.13</f>
        <v>0</v>
      </c>
      <c r="D17" s="505">
        <f ca="1">'F55'!D17</f>
        <v>0</v>
      </c>
      <c r="E17" s="480">
        <f ca="1">'F55'!E17*1.13</f>
        <v>0</v>
      </c>
      <c r="F17" s="507">
        <f ca="1">'F55'!F17</f>
        <v>0</v>
      </c>
      <c r="G17" s="480">
        <f ca="1">'F55'!G17*1.13</f>
        <v>0</v>
      </c>
      <c r="H17" s="510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'F55'!L17</f>
        <v>1.59987183011964</v>
      </c>
      <c r="M17" s="506">
        <f ca="1" t="shared" si="0"/>
        <v>12.7990748963569</v>
      </c>
      <c r="N17" s="507">
        <f ca="1">'F55'!N17</f>
        <v>78841.9653657378</v>
      </c>
      <c r="O17" s="496">
        <f ca="1" t="shared" si="1"/>
        <v>630740.66352965</v>
      </c>
      <c r="Q17" s="475"/>
    </row>
    <row r="18" s="459" customFormat="1" ht="14.25" customHeight="1" spans="1:17">
      <c r="A18" s="502" t="s">
        <v>140</v>
      </c>
      <c r="B18" s="503" t="s">
        <v>167</v>
      </c>
      <c r="C18" s="505">
        <f ca="1">'F55'!C18*1.13</f>
        <v>0</v>
      </c>
      <c r="D18" s="505">
        <f ca="1">'F55'!D18</f>
        <v>0</v>
      </c>
      <c r="E18" s="480">
        <f ca="1">'F55'!E18*1.13</f>
        <v>0</v>
      </c>
      <c r="F18" s="507">
        <f ca="1">'F55'!F18</f>
        <v>0</v>
      </c>
      <c r="G18" s="480">
        <f ca="1">'F55'!G18*1.13</f>
        <v>0</v>
      </c>
      <c r="H18" s="510"/>
      <c r="I18" s="502" t="s">
        <v>140</v>
      </c>
      <c r="J18" s="503" t="s">
        <v>167</v>
      </c>
      <c r="K18" s="505">
        <f ca="1">分配表!O196</f>
        <v>54.0155926492147</v>
      </c>
      <c r="L18" s="505">
        <f ca="1">'F55'!L18</f>
        <v>0.0825190470672785</v>
      </c>
      <c r="M18" s="506">
        <f ca="1" t="shared" si="0"/>
        <v>4.45731523218749</v>
      </c>
      <c r="N18" s="507">
        <f ca="1">'F55'!N18</f>
        <v>4066.55316282777</v>
      </c>
      <c r="O18" s="496">
        <f ca="1" t="shared" si="1"/>
        <v>219657.27912968</v>
      </c>
      <c r="Q18" s="475"/>
    </row>
    <row r="19" s="459" customFormat="1" ht="14.25" customHeight="1" spans="1:17">
      <c r="A19" s="502" t="s">
        <v>141</v>
      </c>
      <c r="B19" s="503" t="s">
        <v>167</v>
      </c>
      <c r="C19" s="505">
        <f ca="1">'F55'!C19*1.13</f>
        <v>0</v>
      </c>
      <c r="D19" s="505">
        <f ca="1">'F55'!D19</f>
        <v>0</v>
      </c>
      <c r="E19" s="480">
        <f ca="1">'F55'!E19*1.13</f>
        <v>0</v>
      </c>
      <c r="F19" s="507">
        <f ca="1">'F55'!F19</f>
        <v>0</v>
      </c>
      <c r="G19" s="480">
        <f ca="1">'F55'!G19*1.13</f>
        <v>0</v>
      </c>
      <c r="H19" s="510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'F55'!L19</f>
        <v>0.16120775745773</v>
      </c>
      <c r="M19" s="506">
        <f ca="1" t="shared" si="0"/>
        <v>5.86523752026179</v>
      </c>
      <c r="N19" s="507">
        <f ca="1">'F55'!N19</f>
        <v>7944.34666008226</v>
      </c>
      <c r="O19" s="496">
        <f ca="1" t="shared" si="1"/>
        <v>289039.937280304</v>
      </c>
      <c r="Q19" s="475"/>
    </row>
    <row r="20" s="459" customFormat="1" ht="14.25" customHeight="1" spans="1:17">
      <c r="A20" s="502" t="s">
        <v>142</v>
      </c>
      <c r="B20" s="503" t="s">
        <v>167</v>
      </c>
      <c r="C20" s="505">
        <f ca="1">'F55'!C20*1.13</f>
        <v>0</v>
      </c>
      <c r="D20" s="505">
        <f ca="1">'F55'!D20</f>
        <v>0</v>
      </c>
      <c r="E20" s="480">
        <f ca="1">'F55'!E20*1.13</f>
        <v>0</v>
      </c>
      <c r="F20" s="507">
        <f ca="1">'F55'!F20</f>
        <v>0</v>
      </c>
      <c r="G20" s="480">
        <f ca="1">'F55'!G20*1.13</f>
        <v>0</v>
      </c>
      <c r="H20" s="510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'F55'!L20</f>
        <v>0.0977000320036674</v>
      </c>
      <c r="M20" s="506">
        <f ca="1" t="shared" si="0"/>
        <v>24.1311294931937</v>
      </c>
      <c r="N20" s="507">
        <f ca="1">'F55'!N20</f>
        <v>4814.67477234636</v>
      </c>
      <c r="O20" s="496">
        <f ca="1" t="shared" si="1"/>
        <v>1189186.30850338</v>
      </c>
      <c r="Q20" s="475"/>
    </row>
    <row r="21" s="459" customFormat="1" ht="14.25" customHeight="1" spans="1:17">
      <c r="A21" s="502" t="s">
        <v>150</v>
      </c>
      <c r="B21" s="503" t="s">
        <v>167</v>
      </c>
      <c r="C21" s="505">
        <f ca="1">'F55'!C21*1.13</f>
        <v>0</v>
      </c>
      <c r="D21" s="505">
        <f ca="1">'F55'!D21</f>
        <v>0</v>
      </c>
      <c r="E21" s="480">
        <f ca="1">'F55'!E21*1.13</f>
        <v>0</v>
      </c>
      <c r="F21" s="507">
        <f ca="1">'F55'!F21</f>
        <v>0</v>
      </c>
      <c r="G21" s="480">
        <f ca="1">'F55'!G21*1.13</f>
        <v>0</v>
      </c>
      <c r="H21" s="510"/>
      <c r="I21" s="502" t="s">
        <v>150</v>
      </c>
      <c r="J21" s="503" t="s">
        <v>167</v>
      </c>
      <c r="K21" s="505">
        <f ca="1">分配表!O199</f>
        <v>1.1068060104712</v>
      </c>
      <c r="L21" s="505">
        <f ca="1">'F55'!L21</f>
        <v>0.496079591655948</v>
      </c>
      <c r="M21" s="506">
        <f ca="1" t="shared" si="0"/>
        <v>0.549063873716904</v>
      </c>
      <c r="N21" s="507">
        <f ca="1">'F55'!N21</f>
        <v>24446.8895868132</v>
      </c>
      <c r="O21" s="496">
        <f ca="1" t="shared" si="1"/>
        <v>27057.9643320108</v>
      </c>
      <c r="Q21" s="475"/>
    </row>
    <row r="22" s="459" customFormat="1" ht="14.25" customHeight="1" spans="1:17">
      <c r="A22" s="502" t="s">
        <v>145</v>
      </c>
      <c r="B22" s="503" t="s">
        <v>167</v>
      </c>
      <c r="C22" s="505">
        <f ca="1">'F55'!C22*1.13</f>
        <v>0</v>
      </c>
      <c r="D22" s="505">
        <f ca="1">'F55'!D22</f>
        <v>0</v>
      </c>
      <c r="E22" s="480">
        <f ca="1">'F55'!E22*1.13</f>
        <v>0</v>
      </c>
      <c r="F22" s="507">
        <f ca="1">'F55'!F22</f>
        <v>0</v>
      </c>
      <c r="G22" s="480">
        <f ca="1">'F55'!G22*1.13</f>
        <v>0</v>
      </c>
      <c r="H22" s="510"/>
      <c r="I22" s="502" t="s">
        <v>145</v>
      </c>
      <c r="J22" s="503" t="s">
        <v>167</v>
      </c>
      <c r="K22" s="505">
        <f ca="1">分配表!O200</f>
        <v>2.09737053412463</v>
      </c>
      <c r="L22" s="505">
        <f ca="1">'F55'!L22</f>
        <v>0.291815846685822</v>
      </c>
      <c r="M22" s="506">
        <f ca="1" t="shared" si="0"/>
        <v>0.612045958229473</v>
      </c>
      <c r="N22" s="507">
        <f ca="1">'F55'!N22</f>
        <v>14380.7362842663</v>
      </c>
      <c r="O22" s="496">
        <f ca="1" t="shared" si="1"/>
        <v>30161.7325416371</v>
      </c>
      <c r="Q22" s="475"/>
    </row>
    <row r="23" s="459" customFormat="1" ht="14.25" customHeight="1" spans="1:17">
      <c r="A23" s="502" t="s">
        <v>146</v>
      </c>
      <c r="B23" s="503" t="s">
        <v>167</v>
      </c>
      <c r="C23" s="505">
        <f>'F55'!C23*1.13</f>
        <v>0</v>
      </c>
      <c r="D23" s="505">
        <f>'F55'!D23</f>
        <v>0</v>
      </c>
      <c r="E23" s="480">
        <f ca="1">'F55'!E23*1.13</f>
        <v>0</v>
      </c>
      <c r="F23" s="507">
        <f>'F55'!F23</f>
        <v>0</v>
      </c>
      <c r="G23" s="480" t="e">
        <f ca="1">'F55'!G23*1.13</f>
        <v>#DIV/0!</v>
      </c>
      <c r="H23" s="510"/>
      <c r="I23" s="502" t="s">
        <v>146</v>
      </c>
      <c r="J23" s="503" t="s">
        <v>167</v>
      </c>
      <c r="K23" s="505">
        <f>分配表!O201</f>
        <v>0</v>
      </c>
      <c r="L23" s="505">
        <f>'F55'!L23</f>
        <v>0</v>
      </c>
      <c r="M23" s="506">
        <f ca="1">IF($N$3=0,0,O23/$N$3)</f>
        <v>0</v>
      </c>
      <c r="N23" s="507">
        <f>'F55'!N23</f>
        <v>0</v>
      </c>
      <c r="O23" s="507">
        <f ca="1">基础表!O241</f>
        <v>0</v>
      </c>
      <c r="Q23" s="475"/>
    </row>
    <row r="24" s="459" customFormat="1" ht="14.25" customHeight="1" spans="1:17">
      <c r="A24" s="502" t="s">
        <v>151</v>
      </c>
      <c r="B24" s="503"/>
      <c r="C24" s="505"/>
      <c r="D24" s="505"/>
      <c r="E24" s="566">
        <f ca="1">'F55'!E24*1.13</f>
        <v>0</v>
      </c>
      <c r="F24" s="507"/>
      <c r="G24" s="480" t="e">
        <f ca="1">'F55'!G24*1.13</f>
        <v>#DIV/0!</v>
      </c>
      <c r="H24" s="510"/>
      <c r="I24" s="502" t="s">
        <v>151</v>
      </c>
      <c r="J24" s="503"/>
      <c r="K24" s="505"/>
      <c r="L24" s="505"/>
      <c r="M24" s="505" t="e">
        <f ca="1">IF($N$3=0,0,O24/$N$3)</f>
        <v>#DIV/0!</v>
      </c>
      <c r="N24" s="507"/>
      <c r="O24" s="507" t="e">
        <f ca="1">'F55'!O24*1.13</f>
        <v>#DIV/0!</v>
      </c>
      <c r="Q24" s="475"/>
    </row>
    <row r="25" s="459" customFormat="1" ht="14.25" customHeight="1" spans="1:17">
      <c r="A25" s="508" t="s">
        <v>93</v>
      </c>
      <c r="B25" s="490"/>
      <c r="C25" s="501"/>
      <c r="D25" s="492"/>
      <c r="E25" s="491"/>
      <c r="F25" s="491"/>
      <c r="G25" s="491"/>
      <c r="H25" s="510"/>
      <c r="I25" s="508" t="s">
        <v>93</v>
      </c>
      <c r="J25" s="490"/>
      <c r="K25" s="501"/>
      <c r="L25" s="492"/>
      <c r="M25" s="491"/>
      <c r="N25" s="491"/>
      <c r="O25" s="491"/>
      <c r="Q25" s="475"/>
    </row>
    <row r="26" s="459" customFormat="1" ht="14.25" customHeight="1" spans="1:17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H26" s="510"/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Q26" s="475"/>
    </row>
    <row r="27" s="459" customFormat="1" ht="14.25" customHeight="1" spans="1:17">
      <c r="A27" s="502" t="s">
        <v>95</v>
      </c>
      <c r="B27" s="503" t="s">
        <v>75</v>
      </c>
      <c r="C27" s="566">
        <f ca="1">OFFSET(分配表!C306,0,mth-1,1,1)</f>
        <v>0</v>
      </c>
      <c r="D27" s="497">
        <f ca="1">'F55'!D27</f>
        <v>0</v>
      </c>
      <c r="E27" s="507">
        <f ca="1">C27*D27</f>
        <v>0</v>
      </c>
      <c r="F27" s="507">
        <f ca="1">'F55'!F27</f>
        <v>0</v>
      </c>
      <c r="G27" s="507">
        <f ca="1">E27*F$3</f>
        <v>0</v>
      </c>
      <c r="H27" s="510"/>
      <c r="I27" s="502" t="s">
        <v>95</v>
      </c>
      <c r="J27" s="503" t="s">
        <v>75</v>
      </c>
      <c r="K27" s="567">
        <f ca="1">分配表!O306</f>
        <v>408.530937837231</v>
      </c>
      <c r="L27" s="497">
        <f ca="1">IF($N$3=0,0,N27/$N$3)</f>
        <v>0.308599320251534</v>
      </c>
      <c r="M27" s="509">
        <f ca="1">K27*L27</f>
        <v>126.072369718291</v>
      </c>
      <c r="N27" s="507">
        <f ca="1">'F55'!N27</f>
        <v>15207.828815476</v>
      </c>
      <c r="O27" s="507">
        <f ca="1">M27*N$3</f>
        <v>6212868.56845445</v>
      </c>
      <c r="Q27" s="475"/>
    </row>
    <row r="28" s="459" customFormat="1" ht="14.25" customHeight="1" spans="1:17">
      <c r="A28" s="502" t="s">
        <v>96</v>
      </c>
      <c r="B28" s="503" t="s">
        <v>97</v>
      </c>
      <c r="C28" s="566">
        <f ca="1">'F55'!C28*1.13</f>
        <v>0</v>
      </c>
      <c r="D28" s="505">
        <f ca="1">'F55'!D28</f>
        <v>0</v>
      </c>
      <c r="E28" s="480">
        <f ca="1">'F55'!E28*1.13</f>
        <v>0</v>
      </c>
      <c r="F28" s="507" t="e">
        <f ca="1">'F55'!F28</f>
        <v>#DIV/0!</v>
      </c>
      <c r="G28" s="480">
        <f ca="1">'F55'!G28*1.13</f>
        <v>0</v>
      </c>
      <c r="H28" s="510"/>
      <c r="I28" s="502" t="s">
        <v>96</v>
      </c>
      <c r="J28" s="503" t="s">
        <v>97</v>
      </c>
      <c r="K28" s="566">
        <f ca="1">分配表!O325</f>
        <v>0.769119583630169</v>
      </c>
      <c r="L28" s="505" t="e">
        <f ca="1">IF($N$3=0,0,N28/$N$3)</f>
        <v>#DIV/0!</v>
      </c>
      <c r="M28" s="509" t="e">
        <f ca="1">K28*L28</f>
        <v>#DIV/0!</v>
      </c>
      <c r="N28" s="507" t="e">
        <f ca="1">'F55'!N28</f>
        <v>#DIV/0!</v>
      </c>
      <c r="O28" s="509" t="e">
        <f ca="1">M28*N$3</f>
        <v>#DIV/0!</v>
      </c>
      <c r="Q28" s="475"/>
    </row>
    <row r="29" s="459" customFormat="1" ht="14.25" customHeight="1" spans="1:17">
      <c r="A29" s="502" t="s">
        <v>98</v>
      </c>
      <c r="B29" s="503" t="s">
        <v>75</v>
      </c>
      <c r="C29" s="566">
        <f>3.32+0.9*2.97</f>
        <v>5.993</v>
      </c>
      <c r="D29" s="505">
        <f ca="1">'F55'!D29</f>
        <v>0</v>
      </c>
      <c r="E29" s="480">
        <f ca="1">D29*C29</f>
        <v>0</v>
      </c>
      <c r="F29" s="507" t="e">
        <f ca="1">'F55'!F29</f>
        <v>#DIV/0!</v>
      </c>
      <c r="G29" s="480">
        <f ca="1">E29*F3</f>
        <v>0</v>
      </c>
      <c r="H29" s="510"/>
      <c r="I29" s="502" t="s">
        <v>98</v>
      </c>
      <c r="J29" s="503" t="s">
        <v>75</v>
      </c>
      <c r="K29" s="566">
        <f>3.32+0.9*2.97</f>
        <v>5.993</v>
      </c>
      <c r="L29" s="505" t="e">
        <f ca="1">IF($N$3=0,0,N29/$N$3)</f>
        <v>#DIV/0!</v>
      </c>
      <c r="M29" s="509" t="e">
        <f ca="1">L29*K29</f>
        <v>#DIV/0!</v>
      </c>
      <c r="N29" s="507" t="e">
        <f ca="1">'F55'!N29</f>
        <v>#DIV/0!</v>
      </c>
      <c r="O29" s="509" t="e">
        <f ca="1">M29*N3</f>
        <v>#DIV/0!</v>
      </c>
      <c r="Q29" s="475"/>
    </row>
    <row r="30" s="459" customFormat="1" ht="14.25" customHeight="1" spans="1:17">
      <c r="A30" s="502" t="s">
        <v>99</v>
      </c>
      <c r="B30" s="503" t="s">
        <v>75</v>
      </c>
      <c r="C30" s="566">
        <f ca="1">'F55'!C30*1.13</f>
        <v>0</v>
      </c>
      <c r="D30" s="505">
        <f ca="1">'F55'!D30</f>
        <v>0</v>
      </c>
      <c r="E30" s="480">
        <f ca="1">'F55'!E30*1.13</f>
        <v>0</v>
      </c>
      <c r="F30" s="507">
        <f ca="1">'F55'!F30</f>
        <v>0</v>
      </c>
      <c r="G30" s="480">
        <f ca="1">'F55'!G30*1.13</f>
        <v>0</v>
      </c>
      <c r="H30" s="510"/>
      <c r="I30" s="502" t="s">
        <v>99</v>
      </c>
      <c r="J30" s="503" t="s">
        <v>75</v>
      </c>
      <c r="K30" s="566">
        <f>'F55'!K30*1.13</f>
        <v>0</v>
      </c>
      <c r="L30" s="505">
        <f ca="1">IF($N$3=0,0,N30/$N$3)</f>
        <v>0</v>
      </c>
      <c r="M30" s="480">
        <f ca="1">'F55'!M30*1.13</f>
        <v>0</v>
      </c>
      <c r="N30" s="507">
        <f>'F55'!N30</f>
        <v>0</v>
      </c>
      <c r="O30" s="480">
        <f ca="1">'F55'!O30*1.13</f>
        <v>0</v>
      </c>
      <c r="Q30" s="475"/>
    </row>
    <row r="31" s="459" customFormat="1" ht="14.25" customHeight="1" spans="1:17">
      <c r="A31" s="508" t="s">
        <v>101</v>
      </c>
      <c r="B31" s="490"/>
      <c r="C31" s="501"/>
      <c r="D31" s="492"/>
      <c r="E31" s="491">
        <f ca="1">IF(VALUE(F$3)=0,0,G31/F$3)</f>
        <v>0</v>
      </c>
      <c r="F31" s="491"/>
      <c r="G31" s="491" t="e">
        <f ca="1">'F55'!G31*1.13</f>
        <v>#DIV/0!</v>
      </c>
      <c r="H31" s="510"/>
      <c r="I31" s="508" t="s">
        <v>101</v>
      </c>
      <c r="J31" s="490"/>
      <c r="K31" s="501">
        <f ca="1">IF(N31=0,0,O31/N31)</f>
        <v>0</v>
      </c>
      <c r="L31" s="492">
        <f ca="1">IF(K31=0,0,M31/K31)</f>
        <v>0</v>
      </c>
      <c r="M31" s="501" t="e">
        <f ca="1">IF($N$3=0,,O31/$N$3)</f>
        <v>#DIV/0!</v>
      </c>
      <c r="N31" s="501"/>
      <c r="O31" s="501" t="e">
        <f ca="1">分配表!O385</f>
        <v>#DIV/0!</v>
      </c>
      <c r="Q31" s="475"/>
    </row>
    <row r="32" s="459" customFormat="1" ht="14.25" customHeight="1" spans="1:17">
      <c r="A32" s="541" t="s">
        <v>102</v>
      </c>
      <c r="B32" s="490"/>
      <c r="C32" s="501"/>
      <c r="D32" s="492"/>
      <c r="E32" s="491">
        <f ca="1">E31</f>
        <v>0</v>
      </c>
      <c r="F32" s="491"/>
      <c r="G32" s="491" t="e">
        <f ca="1">G31</f>
        <v>#DIV/0!</v>
      </c>
      <c r="H32" s="510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Q32" s="475"/>
    </row>
    <row r="33" s="459" customFormat="1" ht="14.25" customHeight="1" spans="1:17">
      <c r="A33" s="541" t="s">
        <v>103</v>
      </c>
      <c r="B33" s="490"/>
      <c r="C33" s="501"/>
      <c r="D33" s="492"/>
      <c r="E33" s="501"/>
      <c r="F33" s="491"/>
      <c r="G33" s="491"/>
      <c r="H33" s="510"/>
      <c r="I33" s="508" t="s">
        <v>103</v>
      </c>
      <c r="J33" s="490"/>
      <c r="K33" s="501"/>
      <c r="L33" s="492"/>
      <c r="M33" s="501"/>
      <c r="N33" s="491"/>
      <c r="O33" s="491"/>
      <c r="Q33" s="475"/>
    </row>
    <row r="34" s="459" customFormat="1" ht="14.25" customHeight="1" spans="1:17">
      <c r="A34" s="508" t="s">
        <v>104</v>
      </c>
      <c r="B34" s="490"/>
      <c r="C34" s="501"/>
      <c r="D34" s="492"/>
      <c r="E34" s="491">
        <f ca="1">IF(VALUE(F$3)=0,0,G34/F$3)</f>
        <v>0</v>
      </c>
      <c r="F34" s="491"/>
      <c r="G34" s="491" t="e">
        <f ca="1">SUM(G5,-G11,-G13,-G26,-G31,-G25)-SUM('F55'!G5,-'F55'!G11-'F55'!G13-'F55'!G26-'F55'!G31,-'F55'!G25)</f>
        <v>#DIV/0!</v>
      </c>
      <c r="H34" s="510"/>
      <c r="I34" s="508" t="s">
        <v>104</v>
      </c>
      <c r="J34" s="490"/>
      <c r="K34" s="501"/>
      <c r="L34" s="492"/>
      <c r="M34" s="542" t="e">
        <f ca="1">IF(N$3=0,0,O34/N$3)</f>
        <v>#DIV/0!</v>
      </c>
      <c r="N34" s="491"/>
      <c r="O34" s="491" t="e">
        <f ca="1">SUM(O5,-O11,-O13,-O26,-O31,-O25)-SUM('F55'!O5,-'F55'!O11-'F55'!O13-'F55'!O26-'F55'!O31,-'F55'!O25)</f>
        <v>#DIV/0!</v>
      </c>
      <c r="Q34" s="475"/>
    </row>
    <row r="35" s="459" customFormat="1" ht="14.25" customHeight="1" spans="1:17">
      <c r="A35" s="508" t="s">
        <v>105</v>
      </c>
      <c r="B35" s="490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88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</row>
    <row r="36" s="459" customFormat="1" ht="14.25" customHeight="1" spans="1:17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</row>
    <row r="37" s="459" customFormat="1" ht="14.25" customHeight="1" spans="1:17">
      <c r="A37" s="516" t="s">
        <v>107</v>
      </c>
      <c r="B37" s="503"/>
      <c r="C37" s="505"/>
      <c r="D37" s="497"/>
      <c r="E37" s="575">
        <f ca="1">'F55'!E37</f>
        <v>0</v>
      </c>
      <c r="F37" s="517"/>
      <c r="G37" s="575" t="e">
        <f ca="1">'F55'!G37</f>
        <v>#DIV/0!</v>
      </c>
      <c r="H37" s="483"/>
      <c r="I37" s="516" t="s">
        <v>107</v>
      </c>
      <c r="J37" s="503"/>
      <c r="K37" s="505"/>
      <c r="L37" s="497"/>
      <c r="M37" s="575" t="e">
        <f ca="1">'F55'!M37</f>
        <v>#DIV/0!</v>
      </c>
      <c r="N37" s="517"/>
      <c r="O37" s="575" t="e">
        <f ca="1">'F55'!O37</f>
        <v>#DIV/0!</v>
      </c>
    </row>
    <row r="38" s="459" customFormat="1" ht="14.25" customHeight="1" spans="1:17">
      <c r="A38" s="516" t="s">
        <v>108</v>
      </c>
      <c r="B38" s="503"/>
      <c r="C38" s="505"/>
      <c r="D38" s="497"/>
      <c r="E38" s="575">
        <f ca="1">'F55'!E38</f>
        <v>0</v>
      </c>
      <c r="F38" s="517"/>
      <c r="G38" s="575" t="e">
        <f ca="1">'F55'!G38</f>
        <v>#DIV/0!</v>
      </c>
      <c r="H38" s="483"/>
      <c r="I38" s="516" t="s">
        <v>108</v>
      </c>
      <c r="J38" s="503"/>
      <c r="K38" s="505"/>
      <c r="L38" s="497"/>
      <c r="M38" s="575" t="e">
        <f ca="1">'F55'!M38</f>
        <v>#DIV/0!</v>
      </c>
      <c r="N38" s="517"/>
      <c r="O38" s="575" t="e">
        <f ca="1">'F55'!O38</f>
        <v>#DIV/0!</v>
      </c>
    </row>
    <row r="39" s="459" customFormat="1" ht="14.25" customHeight="1" spans="1:17">
      <c r="A39" s="516" t="s">
        <v>109</v>
      </c>
      <c r="B39" s="503"/>
      <c r="C39" s="498"/>
      <c r="D39" s="518"/>
      <c r="E39" s="575">
        <f ca="1">'F55'!E39</f>
        <v>0</v>
      </c>
      <c r="F39" s="517"/>
      <c r="G39" s="575" t="e">
        <f ca="1">'F55'!G39</f>
        <v>#DIV/0!</v>
      </c>
      <c r="H39" s="483"/>
      <c r="I39" s="516" t="s">
        <v>109</v>
      </c>
      <c r="J39" s="503"/>
      <c r="K39" s="498"/>
      <c r="L39" s="518"/>
      <c r="M39" s="575" t="e">
        <f ca="1">'F55'!M39</f>
        <v>#DIV/0!</v>
      </c>
      <c r="N39" s="517"/>
      <c r="O39" s="575" t="e">
        <f ca="1">'F55'!O39</f>
        <v>#DIV/0!</v>
      </c>
    </row>
    <row r="40" s="459" customFormat="1" ht="14.25" customHeight="1" spans="1:17">
      <c r="A40" s="516" t="s">
        <v>110</v>
      </c>
      <c r="B40" s="503"/>
      <c r="C40" s="498"/>
      <c r="D40" s="518"/>
      <c r="E40" s="575">
        <f ca="1">'F55'!E40</f>
        <v>0</v>
      </c>
      <c r="F40" s="517"/>
      <c r="G40" s="575" t="e">
        <f ca="1">'F55'!G40</f>
        <v>#DIV/0!</v>
      </c>
      <c r="H40" s="483"/>
      <c r="I40" s="516" t="s">
        <v>110</v>
      </c>
      <c r="J40" s="503"/>
      <c r="K40" s="498"/>
      <c r="L40" s="518"/>
      <c r="M40" s="575" t="e">
        <f ca="1">'F55'!M40</f>
        <v>#DIV/0!</v>
      </c>
      <c r="N40" s="517"/>
      <c r="O40" s="575" t="e">
        <f ca="1">'F55'!O40</f>
        <v>#DIV/0!</v>
      </c>
    </row>
    <row r="41" s="459" customFormat="1" ht="14.25" customHeight="1" spans="1:17">
      <c r="A41" s="516" t="s">
        <v>111</v>
      </c>
      <c r="B41" s="503"/>
      <c r="C41" s="498"/>
      <c r="D41" s="518"/>
      <c r="E41" s="575">
        <f ca="1">'F55'!E41</f>
        <v>0</v>
      </c>
      <c r="F41" s="517"/>
      <c r="G41" s="575" t="e">
        <f ca="1">'F55'!G41</f>
        <v>#DIV/0!</v>
      </c>
      <c r="H41" s="483"/>
      <c r="I41" s="516" t="s">
        <v>111</v>
      </c>
      <c r="J41" s="503"/>
      <c r="K41" s="498"/>
      <c r="L41" s="518"/>
      <c r="M41" s="575" t="e">
        <f ca="1">'F55'!M41</f>
        <v>#DIV/0!</v>
      </c>
      <c r="N41" s="517"/>
      <c r="O41" s="575" t="e">
        <f ca="1">'F55'!O41</f>
        <v>#DIV/0!</v>
      </c>
    </row>
    <row r="42" s="459" customFormat="1" ht="14.25" customHeight="1" spans="1:17">
      <c r="A42" s="516" t="s">
        <v>112</v>
      </c>
      <c r="B42" s="503"/>
      <c r="C42" s="498"/>
      <c r="D42" s="518"/>
      <c r="E42" s="575">
        <f ca="1">'F55'!E42</f>
        <v>0</v>
      </c>
      <c r="F42" s="517"/>
      <c r="G42" s="575" t="e">
        <f ca="1">'F55'!G42</f>
        <v>#DIV/0!</v>
      </c>
      <c r="H42" s="483"/>
      <c r="I42" s="516" t="s">
        <v>112</v>
      </c>
      <c r="J42" s="503"/>
      <c r="K42" s="498"/>
      <c r="L42" s="518"/>
      <c r="M42" s="575" t="e">
        <f ca="1">'F55'!M42</f>
        <v>#DIV/0!</v>
      </c>
      <c r="N42" s="517"/>
      <c r="O42" s="575" t="e">
        <f ca="1">'F55'!O42</f>
        <v>#DIV/0!</v>
      </c>
    </row>
    <row r="43" s="459" customFormat="1" ht="14.25" customHeight="1" spans="1:17">
      <c r="A43" s="516" t="s">
        <v>113</v>
      </c>
      <c r="B43" s="503"/>
      <c r="C43" s="498"/>
      <c r="D43" s="518"/>
      <c r="E43" s="575">
        <f ca="1">'F55'!E43</f>
        <v>0</v>
      </c>
      <c r="F43" s="517"/>
      <c r="G43" s="575" t="e">
        <f ca="1">'F55'!G43</f>
        <v>#DIV/0!</v>
      </c>
      <c r="I43" s="516" t="s">
        <v>114</v>
      </c>
      <c r="J43" s="503"/>
      <c r="K43" s="498"/>
      <c r="L43" s="518"/>
      <c r="M43" s="575" t="e">
        <f ca="1">'F55'!M43</f>
        <v>#DIV/0!</v>
      </c>
      <c r="N43" s="517"/>
      <c r="O43" s="575" t="e">
        <f ca="1">'F55'!O43</f>
        <v>#DIV/0!</v>
      </c>
    </row>
    <row r="44" s="459" customFormat="1" ht="14.25" customHeight="1" spans="1:17">
      <c r="A44" s="516" t="s">
        <v>115</v>
      </c>
      <c r="B44" s="503"/>
      <c r="C44" s="498"/>
      <c r="D44" s="518"/>
      <c r="E44" s="576">
        <f ca="1">'F55'!E44</f>
        <v>0</v>
      </c>
      <c r="F44" s="517"/>
      <c r="G44" s="575" t="e">
        <f ca="1">'F55'!G44</f>
        <v>#DIV/0!</v>
      </c>
      <c r="I44" s="516" t="s">
        <v>115</v>
      </c>
      <c r="J44" s="503"/>
      <c r="K44" s="498"/>
      <c r="L44" s="518"/>
      <c r="M44" s="576" t="e">
        <f ca="1">'F55'!M44</f>
        <v>#DIV/0!</v>
      </c>
      <c r="N44" s="517"/>
      <c r="O44" s="576" t="e">
        <f ca="1">'F55'!O44</f>
        <v>#DIV/0!</v>
      </c>
    </row>
    <row r="45" s="459" customFormat="1" ht="14.25" customHeight="1" spans="1:17">
      <c r="A45" s="516" t="s">
        <v>116</v>
      </c>
      <c r="B45" s="503"/>
      <c r="C45" s="498"/>
      <c r="D45" s="518"/>
      <c r="E45" s="576">
        <f ca="1">'F55'!E45</f>
        <v>0</v>
      </c>
      <c r="F45" s="517"/>
      <c r="G45" s="575" t="e">
        <f ca="1">'F55'!G45</f>
        <v>#DIV/0!</v>
      </c>
      <c r="I45" s="516" t="s">
        <v>116</v>
      </c>
      <c r="J45" s="503"/>
      <c r="K45" s="498"/>
      <c r="L45" s="518"/>
      <c r="M45" s="576" t="e">
        <f ca="1">'F55'!M45</f>
        <v>#DIV/0!</v>
      </c>
      <c r="N45" s="517"/>
      <c r="O45" s="576" t="e">
        <f ca="1">'F55'!O45</f>
        <v>#DIV/0!</v>
      </c>
    </row>
    <row r="46" s="459" customFormat="1" ht="14.25" customHeight="1" spans="1:17">
      <c r="A46" s="516" t="s">
        <v>117</v>
      </c>
      <c r="B46" s="503"/>
      <c r="C46" s="498"/>
      <c r="D46" s="518"/>
      <c r="E46" s="576">
        <f ca="1">'F55'!E46</f>
        <v>0</v>
      </c>
      <c r="F46" s="517"/>
      <c r="G46" s="575" t="e">
        <f ca="1">'F55'!G46</f>
        <v>#DIV/0!</v>
      </c>
      <c r="I46" s="516" t="s">
        <v>117</v>
      </c>
      <c r="J46" s="503"/>
      <c r="K46" s="498"/>
      <c r="L46" s="518"/>
      <c r="M46" s="576" t="e">
        <f ca="1">'F55'!M46</f>
        <v>#DIV/0!</v>
      </c>
      <c r="N46" s="517"/>
      <c r="O46" s="576" t="e">
        <f ca="1">'F55'!O46</f>
        <v>#DIV/0!</v>
      </c>
    </row>
    <row r="47" s="459" customFormat="1" ht="14.25" customHeight="1" spans="1:17">
      <c r="A47" s="516" t="s">
        <v>118</v>
      </c>
      <c r="B47" s="503"/>
      <c r="C47" s="498"/>
      <c r="D47" s="518"/>
      <c r="E47" s="576">
        <f ca="1">'F55'!E47</f>
        <v>0</v>
      </c>
      <c r="F47" s="517"/>
      <c r="G47" s="575" t="e">
        <f ca="1">'F55'!G47</f>
        <v>#DIV/0!</v>
      </c>
      <c r="I47" s="516" t="s">
        <v>118</v>
      </c>
      <c r="J47" s="503"/>
      <c r="K47" s="498"/>
      <c r="L47" s="518"/>
      <c r="M47" s="576" t="e">
        <f ca="1">'F55'!M47</f>
        <v>#DIV/0!</v>
      </c>
      <c r="N47" s="517"/>
      <c r="O47" s="576" t="e">
        <f ca="1">'F55'!O47</f>
        <v>#DIV/0!</v>
      </c>
    </row>
    <row r="48" s="459" customFormat="1" ht="14.25" customHeight="1" spans="1:17">
      <c r="A48" s="516" t="s">
        <v>119</v>
      </c>
      <c r="B48" s="503"/>
      <c r="C48" s="498"/>
      <c r="D48" s="518"/>
      <c r="E48" s="576">
        <f ca="1">'F55'!E48</f>
        <v>0</v>
      </c>
      <c r="F48" s="517"/>
      <c r="G48" s="575" t="e">
        <f ca="1">'F55'!G48</f>
        <v>#DIV/0!</v>
      </c>
      <c r="I48" s="516" t="s">
        <v>119</v>
      </c>
      <c r="J48" s="503"/>
      <c r="K48" s="498"/>
      <c r="L48" s="518"/>
      <c r="M48" s="576" t="e">
        <f ca="1">'F55'!M48</f>
        <v>#DIV/0!</v>
      </c>
      <c r="N48" s="517"/>
      <c r="O48" s="576" t="e">
        <f ca="1">'F55'!O48</f>
        <v>#DIV/0!</v>
      </c>
    </row>
    <row r="49" s="459" customFormat="1" ht="14.25" customHeight="1" spans="1:15">
      <c r="A49" s="516" t="s">
        <v>120</v>
      </c>
      <c r="B49" s="503"/>
      <c r="C49" s="498"/>
      <c r="D49" s="518"/>
      <c r="E49" s="576">
        <f ca="1">'F55'!E49</f>
        <v>0</v>
      </c>
      <c r="F49" s="517"/>
      <c r="G49" s="575" t="e">
        <f ca="1">'F55'!G49</f>
        <v>#DIV/0!</v>
      </c>
      <c r="I49" s="516" t="s">
        <v>120</v>
      </c>
      <c r="J49" s="503"/>
      <c r="K49" s="498"/>
      <c r="L49" s="518"/>
      <c r="M49" s="576" t="e">
        <f ca="1">'F55'!M49</f>
        <v>#DIV/0!</v>
      </c>
      <c r="N49" s="517"/>
      <c r="O49" s="576" t="e">
        <f ca="1">'F55'!O49</f>
        <v>#DIV/0!</v>
      </c>
    </row>
    <row r="50" s="459" customFormat="1" ht="14.25" customHeight="1" spans="1:15">
      <c r="A50" s="516" t="s">
        <v>121</v>
      </c>
      <c r="B50" s="503"/>
      <c r="C50" s="498"/>
      <c r="D50" s="518"/>
      <c r="E50" s="576">
        <f ca="1">'F55'!E50</f>
        <v>0</v>
      </c>
      <c r="F50" s="517"/>
      <c r="G50" s="575" t="e">
        <f ca="1">'F55'!G50</f>
        <v>#DIV/0!</v>
      </c>
      <c r="I50" s="516" t="s">
        <v>121</v>
      </c>
      <c r="J50" s="503"/>
      <c r="K50" s="498"/>
      <c r="L50" s="518"/>
      <c r="M50" s="576" t="e">
        <f ca="1">'F55'!M50</f>
        <v>#DIV/0!</v>
      </c>
      <c r="N50" s="517"/>
      <c r="O50" s="576" t="e">
        <f ca="1">'F55'!O50</f>
        <v>#DIV/0!</v>
      </c>
    </row>
    <row r="51" s="459" customFormat="1" ht="14.25" customHeight="1" spans="1:15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</row>
    <row r="52" s="460" customFormat="1" ht="14.25" customHeight="1" spans="1:15">
      <c r="A52" s="524" t="s">
        <v>124</v>
      </c>
      <c r="B52" s="485" t="s">
        <v>123</v>
      </c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48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59" customFormat="1" ht="14.25" customHeight="1" spans="1:15">
      <c r="A53" s="524" t="s">
        <v>125</v>
      </c>
      <c r="B53" s="485" t="s">
        <v>123</v>
      </c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48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540" customFormat="1" ht="14.25" customHeight="1" spans="1:15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</row>
    <row r="55" customHeight="1" spans="1:15">
      <c r="A55" s="516" t="s">
        <v>127</v>
      </c>
      <c r="B55" s="681"/>
      <c r="C55" s="85"/>
      <c r="D55" s="85"/>
      <c r="E55" s="576">
        <f ca="1">'F55'!E55</f>
        <v>0</v>
      </c>
      <c r="F55" s="517"/>
      <c r="G55" s="575" t="e">
        <f ca="1">'F55'!G55</f>
        <v>#DIV/0!</v>
      </c>
      <c r="I55" s="516" t="s">
        <v>127</v>
      </c>
      <c r="J55" s="85"/>
      <c r="K55" s="85"/>
      <c r="L55" s="85"/>
      <c r="M55" s="576" t="e">
        <f ca="1">'F55'!M55</f>
        <v>#DIV/0!</v>
      </c>
      <c r="N55" s="517"/>
      <c r="O55" s="576" t="e">
        <f ca="1">'F55'!O55</f>
        <v>#DIV/0!</v>
      </c>
    </row>
    <row r="56" s="459" customFormat="1" customHeight="1" spans="1:15">
      <c r="B56" s="538"/>
      <c r="E56" s="589"/>
    </row>
    <row r="60" s="459" customFormat="1" customHeight="1" spans="1:15">
      <c r="A60" s="582" t="s">
        <v>131</v>
      </c>
      <c r="B60" s="538"/>
      <c r="E60" s="590" t="e">
        <f ca="1">E35-'F55'!E35</f>
        <v>#DIV/0!</v>
      </c>
      <c r="F60" s="539"/>
      <c r="G60" s="539" t="e">
        <f ca="1">G35-'F55'!G35</f>
        <v>#DIV/0!</v>
      </c>
      <c r="L60" s="459" t="s">
        <v>132</v>
      </c>
      <c r="M60" s="539" t="e">
        <f ca="1">M35-'F55'!M35</f>
        <v>#DIV/0!</v>
      </c>
      <c r="N60" s="539"/>
      <c r="O60" s="539" t="e">
        <f ca="1">O35-'F55'!O35</f>
        <v>#DIV/0!</v>
      </c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4865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4" tint="-0.249977111117893"/>
  </sheetPr>
  <dimension ref="A1:T58"/>
  <sheetViews>
    <sheetView workbookViewId="0">
      <pane xSplit="2" ySplit="4" topLeftCell="C23" activePane="bottomRight" state="frozen"/>
      <selection/>
      <selection pane="topRight"/>
      <selection pane="bottomLeft"/>
      <selection pane="bottomRight" activeCell="H52" sqref="H52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" style="462" customWidth="1"/>
    <col min="6" max="6" width="9" style="40" customWidth="1"/>
    <col min="7" max="7" width="9.75" style="40" customWidth="1"/>
    <col min="8" max="8" width="8.875" style="40" customWidth="1"/>
    <col min="9" max="9" width="28" style="40" customWidth="1"/>
    <col min="10" max="10" width="3.625" style="40" customWidth="1"/>
    <col min="11" max="11" width="8.875" style="40" customWidth="1"/>
    <col min="12" max="13" width="8.5" style="40" customWidth="1"/>
    <col min="14" max="14" width="9" style="40" customWidth="1"/>
    <col min="15" max="15" width="11.375" style="40" customWidth="1"/>
    <col min="16" max="16" width="10.5" style="40" customWidth="1"/>
    <col min="17" max="17" width="9.75" style="40" customWidth="1"/>
    <col min="18" max="18" width="13" style="40" customWidth="1"/>
    <col min="19" max="16384" width="9" style="40"/>
  </cols>
  <sheetData>
    <row r="1" s="458" customFormat="1" ht="42.75" customHeight="1" spans="1:18">
      <c r="A1" s="97" t="str">
        <f>CONCATENATE("果葡糖浆F60综合成本利润表_含税(2025年"&amp;mth&amp;"月)")</f>
        <v>果葡糖浆F60综合成本利润表_含税(2025年8月)</v>
      </c>
      <c r="B1" s="98"/>
      <c r="C1" s="98"/>
      <c r="D1" s="98"/>
      <c r="E1" s="98"/>
      <c r="F1" s="98"/>
      <c r="G1" s="98"/>
      <c r="I1" s="463" t="str">
        <f>CONCATENATE("果葡糖浆F60综合成本利润表_含税(2025年1-"&amp;mth&amp;"月)")</f>
        <v>果葡糖浆F60综合成本利润表_含税(2025年1-8月)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'F60'!F3</f>
        <v>0</v>
      </c>
      <c r="G3" s="39" t="s">
        <v>75</v>
      </c>
      <c r="M3" s="378" t="s">
        <v>134</v>
      </c>
      <c r="N3" s="466">
        <f ca="1">'F60'!N3</f>
        <v>6845.043</v>
      </c>
      <c r="O3" s="39" t="s">
        <v>75</v>
      </c>
    </row>
    <row r="4" s="459" customFormat="1" ht="14.25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62"/>
      <c r="I5" s="470" t="s">
        <v>83</v>
      </c>
      <c r="J5" s="471"/>
      <c r="K5" s="472"/>
      <c r="L5" s="472"/>
      <c r="M5" s="474">
        <f ca="1">M6-M7</f>
        <v>3547.55579246113</v>
      </c>
      <c r="N5" s="472"/>
      <c r="O5" s="474">
        <f ca="1">O6-O7</f>
        <v>24283171.9442955</v>
      </c>
      <c r="P5" s="562"/>
      <c r="Q5" s="539"/>
      <c r="R5" s="511"/>
    </row>
    <row r="6" s="459" customFormat="1" ht="14.25" customHeight="1" spans="1:18">
      <c r="A6" s="476" t="s">
        <v>84</v>
      </c>
      <c r="B6" s="477"/>
      <c r="C6" s="478"/>
      <c r="D6" s="479"/>
      <c r="E6" s="480">
        <f ca="1">OFFSET(销售收入及运费!C90,0,mth-1,1,1)</f>
        <v>0</v>
      </c>
      <c r="F6" s="479"/>
      <c r="G6" s="480">
        <f ca="1">E6*F3</f>
        <v>0</v>
      </c>
      <c r="H6" s="562"/>
      <c r="I6" s="481" t="s">
        <v>84</v>
      </c>
      <c r="J6" s="477"/>
      <c r="K6" s="478"/>
      <c r="L6" s="479"/>
      <c r="M6" s="480">
        <f ca="1">销售收入及运费!O90</f>
        <v>4353.55595474704</v>
      </c>
      <c r="N6" s="482"/>
      <c r="O6" s="507">
        <f ca="1">M6*$N$3</f>
        <v>29800277.7131495</v>
      </c>
      <c r="P6" s="562"/>
      <c r="Q6" s="539"/>
      <c r="R6" s="511"/>
    </row>
    <row r="7" s="459" customFormat="1" ht="14.25" customHeight="1" spans="1:18">
      <c r="A7" s="476" t="s">
        <v>85</v>
      </c>
      <c r="B7" s="477"/>
      <c r="C7" s="479"/>
      <c r="D7" s="479"/>
      <c r="E7" s="480">
        <f ca="1">OFFSET(销售收入及运费!C188,0,mth-1,1,1)</f>
        <v>0</v>
      </c>
      <c r="F7" s="480"/>
      <c r="G7" s="480">
        <f ca="1">F3*E7</f>
        <v>0</v>
      </c>
      <c r="H7" s="562"/>
      <c r="I7" s="476" t="s">
        <v>85</v>
      </c>
      <c r="J7" s="477"/>
      <c r="K7" s="479"/>
      <c r="L7" s="479"/>
      <c r="M7" s="480">
        <f ca="1">销售收入及运费!O188</f>
        <v>806.000162285911</v>
      </c>
      <c r="N7" s="482"/>
      <c r="O7" s="507">
        <f ca="1">M7*$N$3</f>
        <v>5517105.76885404</v>
      </c>
      <c r="P7" s="562"/>
      <c r="Q7" s="539"/>
      <c r="R7" s="511"/>
    </row>
    <row r="8" s="459" customFormat="1" ht="14.25" customHeight="1" spans="1:18">
      <c r="A8" s="476" t="s">
        <v>86</v>
      </c>
      <c r="B8" s="477"/>
      <c r="C8" s="479"/>
      <c r="D8" s="479"/>
      <c r="E8" s="480" t="e">
        <f ca="1">'F60'!E8*1.09</f>
        <v>#DIV/0!</v>
      </c>
      <c r="F8" s="480"/>
      <c r="G8" s="480" t="e">
        <f ca="1">'F60'!G8*1.09</f>
        <v>#DIV/0!</v>
      </c>
      <c r="H8" s="562"/>
      <c r="I8" s="476" t="s">
        <v>86</v>
      </c>
      <c r="J8" s="477"/>
      <c r="K8" s="479"/>
      <c r="L8" s="479"/>
      <c r="M8" s="480">
        <f ca="1">'F60'!M8*1.09</f>
        <v>230.25543448151</v>
      </c>
      <c r="N8" s="482"/>
      <c r="O8" s="480">
        <f ca="1">'F60'!O8*1.09</f>
        <v>1576108.35000962</v>
      </c>
      <c r="P8" s="562"/>
      <c r="Q8" s="539"/>
      <c r="R8" s="511"/>
    </row>
    <row r="9" s="459" customFormat="1" ht="14.25" customHeight="1" spans="1:18">
      <c r="A9" s="476" t="s">
        <v>87</v>
      </c>
      <c r="B9" s="477"/>
      <c r="C9" s="479"/>
      <c r="D9" s="479"/>
      <c r="E9" s="480" t="e">
        <f ca="1">'F60'!E9*1.13</f>
        <v>#DIV/0!</v>
      </c>
      <c r="F9" s="480"/>
      <c r="G9" s="480" t="e">
        <f ca="1">'F60'!G9*1.13</f>
        <v>#DIV/0!</v>
      </c>
      <c r="H9" s="562"/>
      <c r="I9" s="476" t="s">
        <v>87</v>
      </c>
      <c r="J9" s="477"/>
      <c r="K9" s="479"/>
      <c r="L9" s="479"/>
      <c r="M9" s="480">
        <f ca="1">'F60'!M9*1.13</f>
        <v>575.744727804401</v>
      </c>
      <c r="N9" s="482"/>
      <c r="O9" s="480">
        <f ca="1">'F60'!O9*1.13</f>
        <v>3940997.41884442</v>
      </c>
      <c r="P9" s="562"/>
      <c r="Q9" s="539"/>
      <c r="R9" s="511"/>
    </row>
    <row r="10" s="459" customFormat="1" ht="14.25" customHeight="1" spans="1:18">
      <c r="A10" s="484" t="s">
        <v>88</v>
      </c>
      <c r="B10" s="485"/>
      <c r="C10" s="486"/>
      <c r="D10" s="486"/>
      <c r="E10" s="487">
        <f ca="1">E11+E13+E26+E31+E34+E25</f>
        <v>0</v>
      </c>
      <c r="F10" s="488"/>
      <c r="G10" s="487" t="e">
        <f ca="1">G11+G13+G26+G31+G34+G25</f>
        <v>#DIV/0!</v>
      </c>
      <c r="H10" s="562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O11+O13+O26+O31+O34+O25</f>
        <v>#DIV/0!</v>
      </c>
      <c r="P10" s="562"/>
      <c r="Q10" s="539"/>
      <c r="R10" s="511"/>
    </row>
    <row r="11" s="459" customFormat="1" ht="14.25" customHeight="1" spans="1:18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62"/>
      <c r="I11" s="489" t="s">
        <v>89</v>
      </c>
      <c r="J11" s="490" t="s">
        <v>75</v>
      </c>
      <c r="K11" s="491">
        <f ca="1">IF(N11=0,0,O11/N11)</f>
        <v>2827.75572167122</v>
      </c>
      <c r="L11" s="492">
        <f ca="1">IF(K11=0,0,M11/K11)</f>
        <v>0.825296891976701</v>
      </c>
      <c r="M11" s="491">
        <f ca="1">M12</f>
        <v>2333.73800836459</v>
      </c>
      <c r="N11" s="491">
        <f ca="1">N12</f>
        <v>5649.19271334687</v>
      </c>
      <c r="O11" s="491">
        <f ca="1">O12</f>
        <v>15974537.01799</v>
      </c>
      <c r="P11" s="562"/>
      <c r="Q11" s="539"/>
    </row>
    <row r="12" s="459" customFormat="1" ht="14.25" customHeight="1" spans="1:18">
      <c r="A12" s="502" t="s">
        <v>90</v>
      </c>
      <c r="B12" s="503" t="s">
        <v>75</v>
      </c>
      <c r="C12" s="507">
        <f ca="1">'F60'!C12*1.13</f>
        <v>0</v>
      </c>
      <c r="D12" s="497">
        <f ca="1">'F60'!D12</f>
        <v>0</v>
      </c>
      <c r="E12" s="480">
        <f ca="1">'F60'!E12*1.13</f>
        <v>0</v>
      </c>
      <c r="F12" s="507">
        <f ca="1">'F60'!F12</f>
        <v>0</v>
      </c>
      <c r="G12" s="480">
        <f ca="1">'F60'!G12*1.13</f>
        <v>0</v>
      </c>
      <c r="H12" s="562"/>
      <c r="I12" s="502" t="s">
        <v>90</v>
      </c>
      <c r="J12" s="503" t="s">
        <v>75</v>
      </c>
      <c r="K12" s="507">
        <f ca="1">分配表!O74</f>
        <v>2827.75572167122</v>
      </c>
      <c r="L12" s="497">
        <f ca="1">'F60'!L12</f>
        <v>0.825296891976701</v>
      </c>
      <c r="M12" s="480">
        <f ca="1">K12*L12</f>
        <v>2333.73800836459</v>
      </c>
      <c r="N12" s="507">
        <f ca="1">L12*N3</f>
        <v>5649.19271334687</v>
      </c>
      <c r="O12" s="480">
        <f ca="1">K12*N12</f>
        <v>15974537.01799</v>
      </c>
      <c r="P12" s="562"/>
      <c r="Q12" s="539"/>
      <c r="R12" s="475"/>
    </row>
    <row r="13" s="459" customFormat="1" ht="14.25" customHeight="1" spans="1:18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62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62"/>
      <c r="Q13" s="539"/>
      <c r="R13" s="475"/>
    </row>
    <row r="14" s="459" customFormat="1" ht="14.25" customHeight="1" spans="1:18">
      <c r="A14" s="502" t="s">
        <v>136</v>
      </c>
      <c r="B14" s="503" t="s">
        <v>167</v>
      </c>
      <c r="C14" s="505">
        <f ca="1">'F60'!C14*1.13</f>
        <v>0</v>
      </c>
      <c r="D14" s="505">
        <f ca="1">'F60'!D14</f>
        <v>0</v>
      </c>
      <c r="E14" s="505">
        <f ca="1">'F60'!E14*1.13</f>
        <v>0</v>
      </c>
      <c r="F14" s="507">
        <f ca="1">'F60'!F14</f>
        <v>0</v>
      </c>
      <c r="G14" s="505">
        <f ca="1">'F60'!G14*1.13</f>
        <v>0</v>
      </c>
      <c r="H14" s="562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'F60'!L14</f>
        <v>4.44857395344339</v>
      </c>
      <c r="M14" s="505">
        <f ca="1">'F60'!M14*1.13</f>
        <v>5.19596677036416</v>
      </c>
      <c r="N14" s="507">
        <f ca="1">'F60'!N14</f>
        <v>30450.68</v>
      </c>
      <c r="O14" s="507">
        <f ca="1">'F60'!O14*1.13</f>
        <v>35566.6159697138</v>
      </c>
      <c r="P14" s="562"/>
      <c r="Q14" s="539"/>
      <c r="R14" s="475"/>
    </row>
    <row r="15" s="459" customFormat="1" ht="14.25" customHeight="1" spans="1:18">
      <c r="A15" s="502" t="s">
        <v>137</v>
      </c>
      <c r="B15" s="503" t="s">
        <v>167</v>
      </c>
      <c r="C15" s="505">
        <f ca="1">'F60'!C15*1.13</f>
        <v>0</v>
      </c>
      <c r="D15" s="505">
        <f ca="1">'F60'!D15</f>
        <v>0</v>
      </c>
      <c r="E15" s="505">
        <f ca="1">'F60'!E15*1.13</f>
        <v>0</v>
      </c>
      <c r="F15" s="507">
        <f ca="1">'F60'!F15</f>
        <v>0</v>
      </c>
      <c r="G15" s="505">
        <f ca="1">'F60'!G15*1.13</f>
        <v>0</v>
      </c>
      <c r="H15" s="562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'F60'!L15</f>
        <v>4.9385811016819</v>
      </c>
      <c r="M15" s="505">
        <f ca="1">'F60'!M15*1.13</f>
        <v>17.6642828401227</v>
      </c>
      <c r="N15" s="507">
        <f ca="1">'F60'!N15</f>
        <v>33804.8</v>
      </c>
      <c r="O15" s="507">
        <f ca="1">'F60'!O15*1.13</f>
        <v>120912.775604802</v>
      </c>
      <c r="P15" s="562"/>
      <c r="Q15" s="539"/>
      <c r="R15" s="475"/>
    </row>
    <row r="16" s="459" customFormat="1" ht="14.25" customHeight="1" spans="1:18">
      <c r="A16" s="502" t="s">
        <v>138</v>
      </c>
      <c r="B16" s="503" t="s">
        <v>167</v>
      </c>
      <c r="C16" s="505">
        <f ca="1">'F60'!C16*1.13</f>
        <v>0</v>
      </c>
      <c r="D16" s="505">
        <f ca="1">'F60'!D16</f>
        <v>0</v>
      </c>
      <c r="E16" s="505">
        <f ca="1">'F60'!E16*1.13</f>
        <v>0</v>
      </c>
      <c r="F16" s="507">
        <f ca="1">'F60'!F16</f>
        <v>0</v>
      </c>
      <c r="G16" s="505">
        <f ca="1">'F60'!G16*1.13</f>
        <v>0</v>
      </c>
      <c r="H16" s="562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'F60'!L16</f>
        <v>0.747840444537748</v>
      </c>
      <c r="M16" s="505">
        <f ca="1">'F60'!M16*1.13</f>
        <v>2.20127069730981</v>
      </c>
      <c r="N16" s="507">
        <f ca="1">'F60'!N16</f>
        <v>5119</v>
      </c>
      <c r="O16" s="507">
        <f ca="1">'F60'!O16*1.13</f>
        <v>15067.7925777256</v>
      </c>
      <c r="P16" s="562"/>
      <c r="Q16" s="539"/>
      <c r="R16" s="475"/>
    </row>
    <row r="17" s="459" customFormat="1" ht="14.25" customHeight="1" spans="1:18">
      <c r="A17" s="502" t="s">
        <v>139</v>
      </c>
      <c r="B17" s="503" t="s">
        <v>167</v>
      </c>
      <c r="C17" s="505">
        <f ca="1">'F60'!C17*1.13</f>
        <v>0</v>
      </c>
      <c r="D17" s="505">
        <f ca="1">'F60'!D17</f>
        <v>0</v>
      </c>
      <c r="E17" s="505">
        <f ca="1">'F60'!E17*1.13</f>
        <v>0</v>
      </c>
      <c r="F17" s="507">
        <f ca="1">'F60'!F17</f>
        <v>0</v>
      </c>
      <c r="G17" s="505">
        <f ca="1">'F60'!G17*1.13</f>
        <v>0</v>
      </c>
      <c r="H17" s="562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'F60'!L17</f>
        <v>1.55280251709157</v>
      </c>
      <c r="M17" s="505">
        <f ca="1">'F60'!M17*1.13</f>
        <v>12.4225174425506</v>
      </c>
      <c r="N17" s="507">
        <f ca="1">'F60'!N17</f>
        <v>10629</v>
      </c>
      <c r="O17" s="507">
        <f ca="1">'F60'!O17*1.13</f>
        <v>85032.6660625087</v>
      </c>
      <c r="P17" s="562"/>
      <c r="Q17" s="539"/>
      <c r="R17" s="475"/>
    </row>
    <row r="18" s="459" customFormat="1" ht="14.25" customHeight="1" spans="1:18">
      <c r="A18" s="502" t="s">
        <v>207</v>
      </c>
      <c r="B18" s="503" t="s">
        <v>167</v>
      </c>
      <c r="C18" s="505">
        <f ca="1">'F60'!C18*1.13</f>
        <v>0</v>
      </c>
      <c r="D18" s="505">
        <f ca="1">'F60'!D18</f>
        <v>0</v>
      </c>
      <c r="E18" s="505">
        <f ca="1">'F60'!E18*1.13</f>
        <v>0</v>
      </c>
      <c r="F18" s="507">
        <f ca="1">'F60'!F18</f>
        <v>0</v>
      </c>
      <c r="G18" s="505">
        <f ca="1">'F60'!G18*1.13</f>
        <v>0</v>
      </c>
      <c r="H18" s="562"/>
      <c r="I18" s="502" t="s">
        <v>207</v>
      </c>
      <c r="J18" s="503" t="s">
        <v>167</v>
      </c>
      <c r="K18" s="505">
        <f ca="1">分配表!O196</f>
        <v>54.0155926492147</v>
      </c>
      <c r="L18" s="505">
        <f ca="1">'F60'!L18</f>
        <v>0.0806422983756274</v>
      </c>
      <c r="M18" s="505">
        <f ca="1">'F60'!M18*1.13</f>
        <v>4.35594153935432</v>
      </c>
      <c r="N18" s="507">
        <f ca="1">'F60'!N18</f>
        <v>552</v>
      </c>
      <c r="O18" s="507">
        <f ca="1">'F60'!O18*1.13</f>
        <v>29816.6071423665</v>
      </c>
      <c r="P18" s="562"/>
      <c r="Q18" s="539"/>
      <c r="R18" s="475"/>
    </row>
    <row r="19" s="459" customFormat="1" ht="14.25" customHeight="1" spans="1:18">
      <c r="A19" s="502" t="s">
        <v>141</v>
      </c>
      <c r="B19" s="503" t="s">
        <v>167</v>
      </c>
      <c r="C19" s="505">
        <f ca="1">'F60'!C19*1.13</f>
        <v>0</v>
      </c>
      <c r="D19" s="505">
        <f ca="1">'F60'!D19</f>
        <v>0</v>
      </c>
      <c r="E19" s="505">
        <f ca="1">'F60'!E19*1.13</f>
        <v>0</v>
      </c>
      <c r="F19" s="507">
        <f ca="1">'F60'!F19</f>
        <v>0</v>
      </c>
      <c r="G19" s="505">
        <f ca="1">'F60'!G19*1.13</f>
        <v>0</v>
      </c>
      <c r="H19" s="562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'F60'!L19</f>
        <v>0.156609680903392</v>
      </c>
      <c r="M19" s="505">
        <f ca="1">'F60'!M19*1.13</f>
        <v>5.69794525373045</v>
      </c>
      <c r="N19" s="507">
        <f ca="1">'F60'!N19</f>
        <v>1072</v>
      </c>
      <c r="O19" s="507">
        <f ca="1">'F60'!O19*1.13</f>
        <v>39002.6802734308</v>
      </c>
      <c r="P19" s="562"/>
      <c r="Q19" s="539"/>
      <c r="R19" s="475"/>
    </row>
    <row r="20" s="459" customFormat="1" ht="14.25" customHeight="1" spans="1:18">
      <c r="A20" s="502" t="s">
        <v>142</v>
      </c>
      <c r="B20" s="503" t="s">
        <v>167</v>
      </c>
      <c r="C20" s="505">
        <f ca="1">'F60'!C20*1.13</f>
        <v>0</v>
      </c>
      <c r="D20" s="505">
        <f ca="1">'F60'!D20</f>
        <v>0</v>
      </c>
      <c r="E20" s="505">
        <f ca="1">'F60'!E20*1.13</f>
        <v>0</v>
      </c>
      <c r="F20" s="507">
        <f ca="1">'F60'!F20</f>
        <v>0</v>
      </c>
      <c r="G20" s="505">
        <f ca="1">'F60'!G20*1.13</f>
        <v>0</v>
      </c>
      <c r="H20" s="562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'F60'!L20</f>
        <v>0.0954997653046153</v>
      </c>
      <c r="M20" s="505">
        <f ca="1">'F60'!M20*1.13</f>
        <v>23.5876811488534</v>
      </c>
      <c r="N20" s="507">
        <f ca="1">'F60'!N20</f>
        <v>653.7</v>
      </c>
      <c r="O20" s="507">
        <f ca="1">'F60'!O20*1.13</f>
        <v>161458.691734191</v>
      </c>
      <c r="P20" s="562"/>
      <c r="Q20" s="539"/>
      <c r="R20" s="475"/>
    </row>
    <row r="21" s="459" customFormat="1" ht="14.25" customHeight="1" spans="1:18">
      <c r="A21" s="502" t="s">
        <v>143</v>
      </c>
      <c r="B21" s="503" t="s">
        <v>167</v>
      </c>
      <c r="C21" s="505">
        <f ca="1">'F60'!C21*1.13</f>
        <v>0</v>
      </c>
      <c r="D21" s="505">
        <f ca="1">'F60'!D21</f>
        <v>0</v>
      </c>
      <c r="E21" s="505">
        <f ca="1">'F60'!E21*1.13</f>
        <v>0</v>
      </c>
      <c r="F21" s="507">
        <f ca="1">'F60'!F21</f>
        <v>0</v>
      </c>
      <c r="G21" s="505">
        <f ca="1">'F60'!G21*1.13</f>
        <v>0</v>
      </c>
      <c r="H21" s="562"/>
      <c r="I21" s="502" t="s">
        <v>143</v>
      </c>
      <c r="J21" s="503" t="s">
        <v>167</v>
      </c>
      <c r="K21" s="505">
        <f ca="1">分配表!O199</f>
        <v>1.1068060104712</v>
      </c>
      <c r="L21" s="505">
        <f ca="1">'F60'!L21</f>
        <v>0.483415516893028</v>
      </c>
      <c r="M21" s="505">
        <f ca="1">'F60'!M21*1.13</f>
        <v>0.535047199652247</v>
      </c>
      <c r="N21" s="507">
        <f ca="1">'F60'!N21</f>
        <v>3309</v>
      </c>
      <c r="O21" s="507">
        <f ca="1">'F60'!O21*1.13</f>
        <v>3662.42108864921</v>
      </c>
      <c r="P21" s="562"/>
      <c r="Q21" s="539"/>
      <c r="R21" s="475"/>
    </row>
    <row r="22" s="459" customFormat="1" ht="14.25" customHeight="1" spans="1:18">
      <c r="A22" s="502" t="s">
        <v>144</v>
      </c>
      <c r="B22" s="503" t="s">
        <v>167</v>
      </c>
      <c r="C22" s="505">
        <f ca="1">'F60'!C22*1.13</f>
        <v>0</v>
      </c>
      <c r="D22" s="505">
        <f ca="1">'F60'!D22</f>
        <v>0</v>
      </c>
      <c r="E22" s="505">
        <f ca="1">'F60'!E22*1.13</f>
        <v>0</v>
      </c>
      <c r="F22" s="507">
        <f ca="1">'F60'!F22</f>
        <v>0</v>
      </c>
      <c r="G22" s="505">
        <f ca="1">'F60'!G22*1.13</f>
        <v>0</v>
      </c>
      <c r="H22" s="562"/>
      <c r="I22" s="502" t="s">
        <v>144</v>
      </c>
      <c r="J22" s="503" t="s">
        <v>167</v>
      </c>
      <c r="K22" s="505">
        <f ca="1">分配表!O200</f>
        <v>2.09737053412463</v>
      </c>
      <c r="L22" s="505">
        <f ca="1">'F60'!L22</f>
        <v>0.284293319998136</v>
      </c>
      <c r="M22" s="505">
        <f ca="1">'F60'!M22*1.13</f>
        <v>0.596268432412554</v>
      </c>
      <c r="N22" s="507">
        <f ca="1">'F60'!N22</f>
        <v>1946</v>
      </c>
      <c r="O22" s="507">
        <f ca="1">'F60'!O22*1.13</f>
        <v>4081.48305940653</v>
      </c>
      <c r="P22" s="562"/>
      <c r="Q22" s="539"/>
      <c r="R22" s="475"/>
    </row>
    <row r="23" s="459" customFormat="1" ht="14.25" customHeight="1" spans="1:18">
      <c r="A23" s="502" t="s">
        <v>146</v>
      </c>
      <c r="B23" s="503" t="s">
        <v>167</v>
      </c>
      <c r="C23" s="505">
        <f>'F60'!C23*1.13</f>
        <v>0</v>
      </c>
      <c r="D23" s="505">
        <f>'F60'!D23</f>
        <v>0</v>
      </c>
      <c r="E23" s="505">
        <f ca="1">'F60'!E23*1.13</f>
        <v>0</v>
      </c>
      <c r="F23" s="507">
        <f ca="1">'F60'!F23</f>
        <v>0</v>
      </c>
      <c r="G23" s="505" t="e">
        <f ca="1">'F60'!G23*1.13</f>
        <v>#DIV/0!</v>
      </c>
      <c r="H23" s="562"/>
      <c r="I23" s="502" t="s">
        <v>146</v>
      </c>
      <c r="J23" s="503" t="s">
        <v>167</v>
      </c>
      <c r="K23" s="505">
        <f>分配表!O201</f>
        <v>0</v>
      </c>
      <c r="L23" s="505">
        <f>'F60'!L23</f>
        <v>0</v>
      </c>
      <c r="M23" s="505" t="e">
        <f ca="1">'F60'!M23*1.13</f>
        <v>#DIV/0!</v>
      </c>
      <c r="N23" s="507">
        <f ca="1">'F60'!N23</f>
        <v>0</v>
      </c>
      <c r="O23" s="507" t="e">
        <f ca="1">'F60'!O23*1.13</f>
        <v>#DIV/0!</v>
      </c>
      <c r="P23" s="562"/>
      <c r="Q23" s="539"/>
      <c r="R23" s="475"/>
    </row>
    <row r="24" s="459" customFormat="1" ht="14.25" customHeight="1" spans="1:18">
      <c r="A24" s="502" t="s">
        <v>147</v>
      </c>
      <c r="B24" s="503"/>
      <c r="C24" s="505"/>
      <c r="D24" s="505"/>
      <c r="E24" s="505">
        <f ca="1">'F60'!E24*1.13</f>
        <v>0</v>
      </c>
      <c r="F24" s="507"/>
      <c r="G24" s="480" t="e">
        <f ca="1">'F60'!G24*1.13</f>
        <v>#DIV/0!</v>
      </c>
      <c r="H24" s="562"/>
      <c r="I24" s="502" t="s">
        <v>147</v>
      </c>
      <c r="J24" s="503"/>
      <c r="K24" s="505"/>
      <c r="L24" s="505"/>
      <c r="M24" s="505" t="e">
        <f ca="1">'F60'!M24*1.13</f>
        <v>#DIV/0!</v>
      </c>
      <c r="N24" s="507"/>
      <c r="O24" s="507" t="e">
        <f ca="1">'F60'!O24*1.13</f>
        <v>#DIV/0!</v>
      </c>
      <c r="P24" s="562"/>
      <c r="Q24" s="539"/>
      <c r="R24" s="475"/>
    </row>
    <row r="25" s="459" customFormat="1" ht="14.25" customHeight="1" spans="1:18">
      <c r="A25" s="508" t="s">
        <v>93</v>
      </c>
      <c r="B25" s="490"/>
      <c r="C25" s="501"/>
      <c r="D25" s="492"/>
      <c r="E25" s="491"/>
      <c r="F25" s="491"/>
      <c r="G25" s="491"/>
      <c r="H25" s="562"/>
      <c r="I25" s="508" t="s">
        <v>93</v>
      </c>
      <c r="J25" s="490"/>
      <c r="K25" s="501"/>
      <c r="L25" s="492"/>
      <c r="M25" s="491"/>
      <c r="N25" s="491"/>
      <c r="O25" s="491"/>
      <c r="P25" s="562"/>
      <c r="Q25" s="539"/>
      <c r="R25" s="475"/>
    </row>
    <row r="26" s="459" customFormat="1" ht="14.25" customHeight="1" spans="1:18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H26" s="562"/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562"/>
      <c r="Q26" s="539"/>
      <c r="R26" s="475"/>
    </row>
    <row r="27" s="459" customFormat="1" ht="14.25" customHeight="1" spans="1:18">
      <c r="A27" s="502" t="s">
        <v>95</v>
      </c>
      <c r="B27" s="503" t="s">
        <v>75</v>
      </c>
      <c r="C27" s="566">
        <f ca="1">OFFSET(分配表!C306,0,mth-1,1,1)</f>
        <v>0</v>
      </c>
      <c r="D27" s="497">
        <f ca="1">'F60'!D27</f>
        <v>0</v>
      </c>
      <c r="E27" s="507">
        <f ca="1">C27*D27</f>
        <v>0</v>
      </c>
      <c r="F27" s="507">
        <f ca="1">'F60'!F27</f>
        <v>0</v>
      </c>
      <c r="G27" s="507">
        <f ca="1">E27*F$3</f>
        <v>0</v>
      </c>
      <c r="H27" s="562"/>
      <c r="I27" s="502" t="s">
        <v>95</v>
      </c>
      <c r="J27" s="503" t="s">
        <v>75</v>
      </c>
      <c r="K27" s="567">
        <f ca="1">分配表!O306</f>
        <v>408.530937837231</v>
      </c>
      <c r="L27" s="505">
        <f ca="1">'F60'!L27</f>
        <v>0.302919937829463</v>
      </c>
      <c r="M27" s="507">
        <f ca="1">K27*L27</f>
        <v>123.752166291066</v>
      </c>
      <c r="N27" s="507">
        <f ca="1">'F60'!N27</f>
        <v>2073.5</v>
      </c>
      <c r="O27" s="507">
        <f ca="1">M27*N$3</f>
        <v>847088.899605498</v>
      </c>
      <c r="P27" s="562"/>
      <c r="Q27" s="539"/>
      <c r="R27" s="475"/>
    </row>
    <row r="28" s="459" customFormat="1" ht="14.25" customHeight="1" spans="1:18">
      <c r="A28" s="502" t="s">
        <v>96</v>
      </c>
      <c r="B28" s="503" t="s">
        <v>97</v>
      </c>
      <c r="C28" s="566">
        <f ca="1">'F60'!C28*1.13</f>
        <v>0</v>
      </c>
      <c r="D28" s="505">
        <f ca="1">'F60'!D28</f>
        <v>0</v>
      </c>
      <c r="E28" s="480">
        <f ca="1">'F60'!E28*1.13</f>
        <v>0</v>
      </c>
      <c r="F28" s="507" t="e">
        <f ca="1">'F60'!F28</f>
        <v>#DIV/0!</v>
      </c>
      <c r="G28" s="480">
        <f ca="1">'F60'!G28*1.13</f>
        <v>0</v>
      </c>
      <c r="H28" s="562"/>
      <c r="I28" s="502" t="s">
        <v>96</v>
      </c>
      <c r="J28" s="503" t="s">
        <v>97</v>
      </c>
      <c r="K28" s="566">
        <f ca="1">'F60'!K28*1.13</f>
        <v>0.769119583630169</v>
      </c>
      <c r="L28" s="505" t="e">
        <f ca="1">'F60'!L28</f>
        <v>#DIV/0!</v>
      </c>
      <c r="M28" s="480" t="e">
        <f ca="1">'F60'!M28*1.13</f>
        <v>#DIV/0!</v>
      </c>
      <c r="N28" s="507" t="e">
        <f ca="1">'F60'!N28</f>
        <v>#DIV/0!</v>
      </c>
      <c r="O28" s="480" t="e">
        <f ca="1">'F60'!O28*1.13</f>
        <v>#DIV/0!</v>
      </c>
      <c r="P28" s="562"/>
      <c r="Q28" s="539"/>
      <c r="R28" s="475"/>
    </row>
    <row r="29" s="459" customFormat="1" ht="14.25" customHeight="1" spans="1:18">
      <c r="A29" s="502" t="s">
        <v>98</v>
      </c>
      <c r="B29" s="503" t="s">
        <v>75</v>
      </c>
      <c r="C29" s="566">
        <f>3.32+0.9*2.97</f>
        <v>5.993</v>
      </c>
      <c r="D29" s="505">
        <f ca="1">'F60'!D29</f>
        <v>0</v>
      </c>
      <c r="E29" s="480">
        <f ca="1">D29*C29</f>
        <v>0</v>
      </c>
      <c r="F29" s="507" t="e">
        <f ca="1">'F60'!F29</f>
        <v>#DIV/0!</v>
      </c>
      <c r="G29" s="480">
        <f ca="1">E29*F3</f>
        <v>0</v>
      </c>
      <c r="H29" s="562"/>
      <c r="I29" s="502" t="s">
        <v>98</v>
      </c>
      <c r="J29" s="503" t="s">
        <v>75</v>
      </c>
      <c r="K29" s="566">
        <f>3.32+0.9*2.97</f>
        <v>5.993</v>
      </c>
      <c r="L29" s="505" t="e">
        <f ca="1">'F60'!L29</f>
        <v>#DIV/0!</v>
      </c>
      <c r="M29" s="480" t="e">
        <f ca="1">L29*K29</f>
        <v>#DIV/0!</v>
      </c>
      <c r="N29" s="507" t="e">
        <f ca="1">'F60'!N29</f>
        <v>#DIV/0!</v>
      </c>
      <c r="O29" s="480" t="e">
        <f ca="1">M29*N3</f>
        <v>#DIV/0!</v>
      </c>
      <c r="P29" s="562"/>
      <c r="Q29" s="539"/>
      <c r="R29" s="475"/>
    </row>
    <row r="30" s="459" customFormat="1" ht="14.25" customHeight="1" spans="1:18">
      <c r="A30" s="502" t="s">
        <v>99</v>
      </c>
      <c r="B30" s="503" t="s">
        <v>75</v>
      </c>
      <c r="C30" s="566">
        <f ca="1">'F60'!C30*1.13</f>
        <v>0</v>
      </c>
      <c r="D30" s="505">
        <f ca="1">'F60'!D30</f>
        <v>0</v>
      </c>
      <c r="E30" s="480">
        <f ca="1">'F60'!E30*1.13</f>
        <v>0</v>
      </c>
      <c r="F30" s="507">
        <f>'F60'!F30</f>
        <v>0</v>
      </c>
      <c r="G30" s="480">
        <f ca="1">'F60'!G30*1.13</f>
        <v>0</v>
      </c>
      <c r="H30" s="562"/>
      <c r="I30" s="502" t="s">
        <v>99</v>
      </c>
      <c r="J30" s="503" t="s">
        <v>75</v>
      </c>
      <c r="K30" s="566">
        <f>'F60'!K30*1.13</f>
        <v>0</v>
      </c>
      <c r="L30" s="505">
        <f ca="1">'F60'!L30</f>
        <v>0</v>
      </c>
      <c r="M30" s="480">
        <f ca="1">'F60'!M30*1.13</f>
        <v>0</v>
      </c>
      <c r="N30" s="507">
        <f>'F60'!N30</f>
        <v>0</v>
      </c>
      <c r="O30" s="480">
        <f ca="1">'F60'!O30*1.13</f>
        <v>0</v>
      </c>
      <c r="P30" s="562"/>
      <c r="Q30" s="539"/>
      <c r="R30" s="475"/>
    </row>
    <row r="31" s="459" customFormat="1" ht="14.25" customHeight="1" spans="1:18">
      <c r="A31" s="508" t="s">
        <v>101</v>
      </c>
      <c r="B31" s="490"/>
      <c r="C31" s="501"/>
      <c r="D31" s="492"/>
      <c r="E31" s="491">
        <f ca="1">IF(VALUE($F$3)=0,0,G31/$F$3)</f>
        <v>0</v>
      </c>
      <c r="F31" s="491"/>
      <c r="G31" s="491" t="e">
        <f ca="1">'F60'!G31*1.13</f>
        <v>#DIV/0!</v>
      </c>
      <c r="H31" s="562"/>
      <c r="I31" s="508" t="s">
        <v>101</v>
      </c>
      <c r="J31" s="490"/>
      <c r="K31" s="501">
        <f ca="1">IF(N31=0,0,O31/N31)</f>
        <v>0</v>
      </c>
      <c r="L31" s="492">
        <f ca="1">IF(K31=0,0,M31/K31)</f>
        <v>0</v>
      </c>
      <c r="M31" s="491" t="e">
        <f ca="1">IF(N$3=0,0,O31/N$3)</f>
        <v>#DIV/0!</v>
      </c>
      <c r="N31" s="501"/>
      <c r="O31" s="501" t="e">
        <f ca="1">'F60'!O31*1.13</f>
        <v>#DIV/0!</v>
      </c>
      <c r="P31" s="562"/>
      <c r="Q31" s="539"/>
      <c r="R31" s="475"/>
    </row>
    <row r="32" s="459" customFormat="1" ht="14.25" customHeight="1" spans="1:18">
      <c r="A32" s="541" t="s">
        <v>102</v>
      </c>
      <c r="B32" s="490"/>
      <c r="C32" s="501"/>
      <c r="D32" s="492"/>
      <c r="E32" s="491">
        <f ca="1">E31</f>
        <v>0</v>
      </c>
      <c r="F32" s="491"/>
      <c r="G32" s="491" t="e">
        <f ca="1">G31</f>
        <v>#DIV/0!</v>
      </c>
      <c r="H32" s="562"/>
      <c r="I32" s="508" t="s">
        <v>102</v>
      </c>
      <c r="J32" s="490"/>
      <c r="K32" s="501"/>
      <c r="L32" s="492"/>
      <c r="M32" s="491" t="e">
        <f ca="1">M31</f>
        <v>#DIV/0!</v>
      </c>
      <c r="N32" s="501"/>
      <c r="O32" s="501" t="e">
        <f ca="1">O31</f>
        <v>#DIV/0!</v>
      </c>
      <c r="P32" s="562"/>
      <c r="Q32" s="539"/>
      <c r="R32" s="511"/>
    </row>
    <row r="33" s="459" customFormat="1" ht="14.25" customHeight="1" spans="1:18">
      <c r="A33" s="541" t="s">
        <v>103</v>
      </c>
      <c r="B33" s="490"/>
      <c r="C33" s="501"/>
      <c r="D33" s="492"/>
      <c r="E33" s="501"/>
      <c r="F33" s="491"/>
      <c r="G33" s="491"/>
      <c r="H33" s="562"/>
      <c r="I33" s="508" t="s">
        <v>103</v>
      </c>
      <c r="J33" s="490"/>
      <c r="K33" s="501"/>
      <c r="L33" s="492"/>
      <c r="M33" s="501"/>
      <c r="N33" s="491"/>
      <c r="O33" s="491"/>
      <c r="P33" s="562"/>
      <c r="Q33" s="539"/>
      <c r="R33" s="511"/>
    </row>
    <row r="34" s="459" customFormat="1" ht="14.25" customHeight="1" spans="1:18">
      <c r="A34" s="508" t="s">
        <v>104</v>
      </c>
      <c r="B34" s="490"/>
      <c r="C34" s="501"/>
      <c r="D34" s="492"/>
      <c r="E34" s="542">
        <f ca="1">IF(VALUE(F$3)=0,0,G34/F$3)</f>
        <v>0</v>
      </c>
      <c r="F34" s="491"/>
      <c r="G34" s="491" t="e">
        <f ca="1">SUM(G5,-G11,-G13,-G26,-G31,-G25)-SUM('F60'!G5,-'F60'!G11-'F60'!G13-'F60'!G26-'F60'!G31,-'F60'!G25)</f>
        <v>#DIV/0!</v>
      </c>
      <c r="H34" s="562"/>
      <c r="I34" s="508" t="s">
        <v>104</v>
      </c>
      <c r="J34" s="490"/>
      <c r="K34" s="501"/>
      <c r="L34" s="492"/>
      <c r="M34" s="491" t="e">
        <f ca="1">IF(N$3=0,0,O34/N$3)</f>
        <v>#DIV/0!</v>
      </c>
      <c r="N34" s="491"/>
      <c r="O34" s="491" t="e">
        <f ca="1">SUM(O5,-O11,-O13,-O26,-O31,-O25)-SUM('F60'!O5,-'F60'!O11-'F60'!O13-'F60'!O26-'F60'!O31,-'F60'!O25)</f>
        <v>#DIV/0!</v>
      </c>
      <c r="P34" s="562"/>
      <c r="Q34" s="539"/>
    </row>
    <row r="35" s="459" customFormat="1" ht="14.25" customHeight="1" spans="1:18">
      <c r="A35" s="508" t="s">
        <v>105</v>
      </c>
      <c r="B35" s="490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6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562"/>
    </row>
    <row r="36" s="459" customFormat="1" ht="14.25" customHeight="1" spans="1:18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H36" s="562"/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562"/>
    </row>
    <row r="37" s="459" customFormat="1" ht="14.25" customHeight="1" spans="1:18">
      <c r="A37" s="516" t="s">
        <v>107</v>
      </c>
      <c r="B37" s="503"/>
      <c r="C37" s="505"/>
      <c r="D37" s="497"/>
      <c r="E37" s="575">
        <f ca="1">'F60'!E37</f>
        <v>0</v>
      </c>
      <c r="F37" s="517"/>
      <c r="G37" s="480" t="e">
        <f ca="1">'F60'!G37</f>
        <v>#DIV/0!</v>
      </c>
      <c r="H37" s="483"/>
      <c r="I37" s="516" t="s">
        <v>107</v>
      </c>
      <c r="J37" s="503"/>
      <c r="K37" s="505"/>
      <c r="L37" s="497"/>
      <c r="M37" s="575" t="e">
        <f ca="1">'F60'!M37</f>
        <v>#DIV/0!</v>
      </c>
      <c r="N37" s="517"/>
      <c r="O37" s="480" t="e">
        <f ca="1">'F60'!O37</f>
        <v>#DIV/0!</v>
      </c>
      <c r="P37" s="562"/>
    </row>
    <row r="38" s="459" customFormat="1" ht="14.25" customHeight="1" spans="1:18">
      <c r="A38" s="516" t="s">
        <v>108</v>
      </c>
      <c r="B38" s="503"/>
      <c r="C38" s="505"/>
      <c r="D38" s="497"/>
      <c r="E38" s="575">
        <f ca="1">'F60'!E38</f>
        <v>0</v>
      </c>
      <c r="F38" s="517"/>
      <c r="G38" s="480" t="e">
        <f ca="1">'F60'!G38</f>
        <v>#DIV/0!</v>
      </c>
      <c r="H38" s="483"/>
      <c r="I38" s="516" t="s">
        <v>108</v>
      </c>
      <c r="J38" s="503"/>
      <c r="K38" s="505"/>
      <c r="L38" s="497"/>
      <c r="M38" s="575" t="e">
        <f ca="1">'F60'!M38</f>
        <v>#DIV/0!</v>
      </c>
      <c r="N38" s="517"/>
      <c r="O38" s="480" t="e">
        <f ca="1">'F60'!O38</f>
        <v>#DIV/0!</v>
      </c>
      <c r="P38" s="562"/>
    </row>
    <row r="39" s="459" customFormat="1" ht="14.25" customHeight="1" spans="1:18">
      <c r="A39" s="516" t="s">
        <v>109</v>
      </c>
      <c r="B39" s="503"/>
      <c r="C39" s="498"/>
      <c r="D39" s="518"/>
      <c r="E39" s="575">
        <f ca="1">'F60'!E39</f>
        <v>0</v>
      </c>
      <c r="F39" s="517"/>
      <c r="G39" s="480" t="e">
        <f ca="1">'F60'!G39</f>
        <v>#DIV/0!</v>
      </c>
      <c r="H39" s="483"/>
      <c r="I39" s="516" t="s">
        <v>109</v>
      </c>
      <c r="J39" s="503"/>
      <c r="K39" s="498"/>
      <c r="L39" s="518"/>
      <c r="M39" s="575" t="e">
        <f ca="1">'F60'!M39</f>
        <v>#DIV/0!</v>
      </c>
      <c r="N39" s="517"/>
      <c r="O39" s="480" t="e">
        <f ca="1">'F60'!O39</f>
        <v>#DIV/0!</v>
      </c>
      <c r="P39" s="562"/>
    </row>
    <row r="40" s="459" customFormat="1" ht="14.25" customHeight="1" spans="1:18">
      <c r="A40" s="516" t="s">
        <v>110</v>
      </c>
      <c r="B40" s="503"/>
      <c r="C40" s="498"/>
      <c r="D40" s="518"/>
      <c r="E40" s="575">
        <f ca="1">'F60'!E40</f>
        <v>0</v>
      </c>
      <c r="F40" s="517"/>
      <c r="G40" s="480" t="e">
        <f ca="1">'F60'!G40</f>
        <v>#DIV/0!</v>
      </c>
      <c r="H40" s="483"/>
      <c r="I40" s="516" t="s">
        <v>110</v>
      </c>
      <c r="J40" s="503"/>
      <c r="K40" s="498"/>
      <c r="L40" s="518"/>
      <c r="M40" s="575" t="e">
        <f ca="1">'F60'!M40</f>
        <v>#DIV/0!</v>
      </c>
      <c r="N40" s="517"/>
      <c r="O40" s="480" t="e">
        <f ca="1">'F60'!O40</f>
        <v>#DIV/0!</v>
      </c>
      <c r="P40" s="562"/>
    </row>
    <row r="41" s="459" customFormat="1" ht="14.25" customHeight="1" spans="1:18">
      <c r="A41" s="516" t="s">
        <v>111</v>
      </c>
      <c r="B41" s="503"/>
      <c r="C41" s="498"/>
      <c r="D41" s="518"/>
      <c r="E41" s="575">
        <f ca="1">'F60'!E41</f>
        <v>0</v>
      </c>
      <c r="F41" s="517"/>
      <c r="G41" s="480" t="e">
        <f ca="1">'F60'!G41</f>
        <v>#DIV/0!</v>
      </c>
      <c r="H41" s="483"/>
      <c r="I41" s="516" t="s">
        <v>111</v>
      </c>
      <c r="J41" s="503"/>
      <c r="K41" s="498"/>
      <c r="L41" s="518"/>
      <c r="M41" s="575" t="e">
        <f ca="1">'F60'!M41</f>
        <v>#DIV/0!</v>
      </c>
      <c r="N41" s="517"/>
      <c r="O41" s="480" t="e">
        <f ca="1">'F60'!O41</f>
        <v>#DIV/0!</v>
      </c>
      <c r="P41" s="562"/>
    </row>
    <row r="42" s="459" customFormat="1" ht="14.25" customHeight="1" spans="1:18">
      <c r="A42" s="516" t="s">
        <v>112</v>
      </c>
      <c r="B42" s="503"/>
      <c r="C42" s="498"/>
      <c r="D42" s="518"/>
      <c r="E42" s="575">
        <f ca="1">'F60'!E42</f>
        <v>0</v>
      </c>
      <c r="F42" s="517"/>
      <c r="G42" s="480" t="e">
        <f ca="1">'F60'!G42</f>
        <v>#DIV/0!</v>
      </c>
      <c r="H42" s="483"/>
      <c r="I42" s="516" t="s">
        <v>112</v>
      </c>
      <c r="J42" s="503"/>
      <c r="K42" s="498"/>
      <c r="L42" s="518"/>
      <c r="M42" s="575" t="e">
        <f ca="1">'F60'!M42</f>
        <v>#DIV/0!</v>
      </c>
      <c r="N42" s="517"/>
      <c r="O42" s="480" t="e">
        <f ca="1">'F60'!O42</f>
        <v>#DIV/0!</v>
      </c>
      <c r="P42" s="562"/>
    </row>
    <row r="43" s="459" customFormat="1" ht="14.25" customHeight="1" spans="1:18">
      <c r="A43" s="516" t="s">
        <v>113</v>
      </c>
      <c r="B43" s="503"/>
      <c r="C43" s="498"/>
      <c r="D43" s="518"/>
      <c r="E43" s="575">
        <f ca="1">'F60'!E43</f>
        <v>0</v>
      </c>
      <c r="F43" s="517"/>
      <c r="G43" s="480" t="e">
        <f ca="1">'F60'!G43</f>
        <v>#DIV/0!</v>
      </c>
      <c r="I43" s="516" t="s">
        <v>114</v>
      </c>
      <c r="J43" s="503"/>
      <c r="K43" s="498"/>
      <c r="L43" s="518"/>
      <c r="M43" s="575" t="e">
        <f ca="1">'F60'!M43</f>
        <v>#DIV/0!</v>
      </c>
      <c r="N43" s="517"/>
      <c r="O43" s="480" t="e">
        <f ca="1">'F60'!O43</f>
        <v>#DIV/0!</v>
      </c>
      <c r="P43" s="562"/>
    </row>
    <row r="44" s="459" customFormat="1" ht="14.25" customHeight="1" spans="1:18">
      <c r="A44" s="516" t="s">
        <v>115</v>
      </c>
      <c r="B44" s="503"/>
      <c r="C44" s="498"/>
      <c r="D44" s="518"/>
      <c r="E44" s="576">
        <f ca="1">'F60'!E44</f>
        <v>0</v>
      </c>
      <c r="F44" s="517"/>
      <c r="G44" s="575" t="e">
        <f ca="1">'F60'!G44</f>
        <v>#DIV/0!</v>
      </c>
      <c r="I44" s="516" t="s">
        <v>115</v>
      </c>
      <c r="J44" s="503"/>
      <c r="K44" s="498"/>
      <c r="L44" s="518"/>
      <c r="M44" s="576" t="e">
        <f ca="1">'F60'!M44</f>
        <v>#DIV/0!</v>
      </c>
      <c r="N44" s="517"/>
      <c r="O44" s="576" t="e">
        <f ca="1">'F60'!O44</f>
        <v>#DIV/0!</v>
      </c>
      <c r="P44" s="562"/>
    </row>
    <row r="45" s="459" customFormat="1" ht="14.25" customHeight="1" spans="1:18">
      <c r="A45" s="516" t="s">
        <v>116</v>
      </c>
      <c r="B45" s="503"/>
      <c r="C45" s="498"/>
      <c r="D45" s="518"/>
      <c r="E45" s="576">
        <f ca="1">'F60'!E45</f>
        <v>0</v>
      </c>
      <c r="F45" s="517"/>
      <c r="G45" s="575" t="e">
        <f ca="1">'F60'!G45</f>
        <v>#DIV/0!</v>
      </c>
      <c r="I45" s="516" t="s">
        <v>116</v>
      </c>
      <c r="J45" s="503"/>
      <c r="K45" s="498"/>
      <c r="L45" s="518"/>
      <c r="M45" s="576" t="e">
        <f ca="1">'F60'!M45</f>
        <v>#DIV/0!</v>
      </c>
      <c r="N45" s="517"/>
      <c r="O45" s="576" t="e">
        <f ca="1">'F60'!O45</f>
        <v>#DIV/0!</v>
      </c>
      <c r="P45" s="562"/>
    </row>
    <row r="46" s="459" customFormat="1" ht="14.25" customHeight="1" spans="1:18">
      <c r="A46" s="516" t="s">
        <v>117</v>
      </c>
      <c r="B46" s="503"/>
      <c r="C46" s="498"/>
      <c r="D46" s="518"/>
      <c r="E46" s="576">
        <f ca="1">'F60'!E46</f>
        <v>0</v>
      </c>
      <c r="F46" s="517"/>
      <c r="G46" s="575" t="e">
        <f ca="1">'F60'!G46</f>
        <v>#DIV/0!</v>
      </c>
      <c r="I46" s="516" t="s">
        <v>117</v>
      </c>
      <c r="J46" s="503"/>
      <c r="K46" s="498"/>
      <c r="L46" s="518"/>
      <c r="M46" s="576" t="e">
        <f ca="1">'F60'!M46</f>
        <v>#DIV/0!</v>
      </c>
      <c r="N46" s="517"/>
      <c r="O46" s="576" t="e">
        <f ca="1">'F60'!O46</f>
        <v>#DIV/0!</v>
      </c>
      <c r="P46" s="562"/>
    </row>
    <row r="47" s="459" customFormat="1" ht="14.25" customHeight="1" spans="1:18">
      <c r="A47" s="516" t="s">
        <v>118</v>
      </c>
      <c r="B47" s="503"/>
      <c r="C47" s="498"/>
      <c r="D47" s="518"/>
      <c r="E47" s="576">
        <f ca="1">'F60'!E47</f>
        <v>0</v>
      </c>
      <c r="F47" s="517"/>
      <c r="G47" s="575" t="e">
        <f ca="1">'F60'!G47</f>
        <v>#DIV/0!</v>
      </c>
      <c r="I47" s="516" t="s">
        <v>118</v>
      </c>
      <c r="J47" s="503"/>
      <c r="K47" s="498"/>
      <c r="L47" s="518"/>
      <c r="M47" s="576" t="e">
        <f ca="1">'F60'!M47</f>
        <v>#DIV/0!</v>
      </c>
      <c r="N47" s="517"/>
      <c r="O47" s="576" t="e">
        <f ca="1">'F60'!O47</f>
        <v>#DIV/0!</v>
      </c>
      <c r="P47" s="562"/>
    </row>
    <row r="48" s="459" customFormat="1" ht="14.25" customHeight="1" spans="1:18">
      <c r="A48" s="516" t="s">
        <v>119</v>
      </c>
      <c r="B48" s="503"/>
      <c r="C48" s="498"/>
      <c r="D48" s="518"/>
      <c r="E48" s="576">
        <f ca="1">'F60'!E48</f>
        <v>0</v>
      </c>
      <c r="F48" s="517"/>
      <c r="G48" s="575" t="e">
        <f ca="1">'F60'!G48</f>
        <v>#DIV/0!</v>
      </c>
      <c r="I48" s="516" t="s">
        <v>119</v>
      </c>
      <c r="J48" s="503"/>
      <c r="K48" s="498"/>
      <c r="L48" s="518"/>
      <c r="M48" s="576" t="e">
        <f ca="1">'F60'!M48</f>
        <v>#DIV/0!</v>
      </c>
      <c r="N48" s="517"/>
      <c r="O48" s="576" t="e">
        <f ca="1">'F60'!O48</f>
        <v>#DIV/0!</v>
      </c>
      <c r="P48" s="562"/>
    </row>
    <row r="49" s="459" customFormat="1" ht="14.25" customHeight="1" spans="1:20">
      <c r="A49" s="516" t="s">
        <v>120</v>
      </c>
      <c r="B49" s="503"/>
      <c r="C49" s="498"/>
      <c r="D49" s="518"/>
      <c r="E49" s="576">
        <f ca="1">'F60'!E49</f>
        <v>0</v>
      </c>
      <c r="F49" s="517"/>
      <c r="G49" s="575" t="e">
        <f ca="1">'F60'!G49</f>
        <v>#DIV/0!</v>
      </c>
      <c r="I49" s="516" t="s">
        <v>120</v>
      </c>
      <c r="J49" s="503"/>
      <c r="K49" s="498"/>
      <c r="L49" s="518"/>
      <c r="M49" s="576" t="e">
        <f ca="1">'F60'!M49</f>
        <v>#DIV/0!</v>
      </c>
      <c r="N49" s="517"/>
      <c r="O49" s="576" t="e">
        <f ca="1">'F60'!O49</f>
        <v>#DIV/0!</v>
      </c>
      <c r="P49" s="562"/>
    </row>
    <row r="50" s="459" customFormat="1" ht="14.25" customHeight="1" spans="1:20">
      <c r="A50" s="516" t="s">
        <v>121</v>
      </c>
      <c r="B50" s="503"/>
      <c r="C50" s="498"/>
      <c r="D50" s="518"/>
      <c r="E50" s="576">
        <f ca="1">'F60'!E50</f>
        <v>0</v>
      </c>
      <c r="F50" s="517"/>
      <c r="G50" s="575" t="e">
        <f ca="1">'F60'!G50</f>
        <v>#DIV/0!</v>
      </c>
      <c r="I50" s="516" t="s">
        <v>121</v>
      </c>
      <c r="J50" s="503"/>
      <c r="K50" s="498"/>
      <c r="L50" s="518"/>
      <c r="M50" s="576" t="e">
        <f ca="1">'F60'!M50</f>
        <v>#DIV/0!</v>
      </c>
      <c r="N50" s="517"/>
      <c r="O50" s="576" t="e">
        <f ca="1">'F60'!O50</f>
        <v>#DIV/0!</v>
      </c>
      <c r="P50" s="562"/>
    </row>
    <row r="51" s="459" customFormat="1" ht="14.25" customHeight="1" spans="1:20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562"/>
    </row>
    <row r="52" s="460" customFormat="1" ht="14.25" customHeight="1" spans="1:20">
      <c r="A52" s="524" t="s">
        <v>124</v>
      </c>
      <c r="B52" s="485" t="s">
        <v>123</v>
      </c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48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527"/>
    </row>
    <row r="53" s="459" customFormat="1" ht="14.25" customHeight="1" spans="1:20">
      <c r="A53" s="524" t="s">
        <v>125</v>
      </c>
      <c r="B53" s="485" t="s">
        <v>123</v>
      </c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48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  <c r="P53" s="562"/>
    </row>
    <row r="54" s="540" customFormat="1" ht="14.25" customHeight="1" spans="1:20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  <c r="P54" s="562"/>
      <c r="Q54" s="475"/>
      <c r="R54" s="475"/>
      <c r="S54" s="475"/>
      <c r="T54" s="475"/>
    </row>
    <row r="55" customHeight="1" spans="1:20">
      <c r="A55" s="516" t="s">
        <v>127</v>
      </c>
      <c r="B55" s="681"/>
      <c r="C55" s="85"/>
      <c r="D55" s="85"/>
      <c r="E55" s="576">
        <f ca="1">'F60'!E55</f>
        <v>0</v>
      </c>
      <c r="F55" s="517"/>
      <c r="G55" s="575" t="e">
        <f ca="1">'F60'!G55</f>
        <v>#DIV/0!</v>
      </c>
      <c r="I55" s="516" t="s">
        <v>127</v>
      </c>
      <c r="J55" s="85"/>
      <c r="K55" s="85"/>
      <c r="L55" s="85"/>
      <c r="M55" s="576" t="e">
        <f ca="1">'F60'!M55</f>
        <v>#DIV/0!</v>
      </c>
      <c r="N55" s="517"/>
      <c r="O55" s="576" t="e">
        <f ca="1">'F60'!O55</f>
        <v>#DIV/0!</v>
      </c>
    </row>
    <row r="58" s="459" customFormat="1" customHeight="1" spans="1:20">
      <c r="A58" s="582" t="s">
        <v>131</v>
      </c>
      <c r="B58" s="538"/>
      <c r="E58" s="539" t="e">
        <f ca="1">E35-'F60'!E35</f>
        <v>#DIV/0!</v>
      </c>
      <c r="F58" s="539"/>
      <c r="G58" s="539" t="e">
        <f ca="1">G35-'F60'!G35</f>
        <v>#DIV/0!</v>
      </c>
      <c r="L58" s="459" t="s">
        <v>132</v>
      </c>
      <c r="M58" s="499" t="e">
        <f ca="1">M35-'F60'!M35</f>
        <v>#DIV/0!</v>
      </c>
      <c r="O58" s="539" t="e">
        <f ca="1">O35-'F60'!O35</f>
        <v>#DIV/0!</v>
      </c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ignoredErrors>
    <ignoredError sqref="M35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24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2060"/>
  </sheetPr>
  <dimension ref="A1:T58"/>
  <sheetViews>
    <sheetView workbookViewId="0">
      <pane xSplit="2" ySplit="4" topLeftCell="C35" activePane="bottomRight" state="frozen"/>
      <selection/>
      <selection pane="topRight"/>
      <selection pane="bottomLeft"/>
      <selection pane="bottomRight" activeCell="P52" sqref="P52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" style="462" customWidth="1"/>
    <col min="6" max="6" width="9" style="40" customWidth="1"/>
    <col min="7" max="7" width="9.75" style="40" customWidth="1"/>
    <col min="8" max="8" width="8.875" style="40" customWidth="1"/>
    <col min="9" max="9" width="28" style="40" customWidth="1"/>
    <col min="10" max="10" width="3.625" style="40" customWidth="1"/>
    <col min="11" max="11" width="8.875" style="40" customWidth="1"/>
    <col min="12" max="13" width="8.5" style="40" customWidth="1"/>
    <col min="14" max="14" width="9" style="40" customWidth="1"/>
    <col min="15" max="15" width="11.375" style="40" customWidth="1"/>
    <col min="16" max="16" width="10.5" style="40" customWidth="1"/>
    <col min="17" max="17" width="9.75" style="40" customWidth="1"/>
    <col min="18" max="18" width="13" style="40" customWidth="1"/>
    <col min="19" max="16384" width="9" style="40"/>
  </cols>
  <sheetData>
    <row r="1" s="458" customFormat="1" ht="42.75" customHeight="1" spans="1:18">
      <c r="A1" s="97" t="str">
        <f>CONCATENATE("果葡糖浆F90综合成本利润表_含税(2025年"&amp;mth&amp;"月)")</f>
        <v>果葡糖浆F90综合成本利润表_含税(2025年8月)</v>
      </c>
      <c r="B1" s="98"/>
      <c r="C1" s="98"/>
      <c r="D1" s="98"/>
      <c r="E1" s="98"/>
      <c r="F1" s="98"/>
      <c r="G1" s="98"/>
      <c r="I1" s="463" t="str">
        <f>CONCATENATE("果葡糖浆F90综合成本利润表_含税(2025年1-"&amp;mth&amp;"月)")</f>
        <v>果葡糖浆F90综合成本利润表_含税(2025年1-8月)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'F90'!F3</f>
        <v>0</v>
      </c>
      <c r="G3" s="39" t="s">
        <v>75</v>
      </c>
      <c r="M3" s="378" t="s">
        <v>134</v>
      </c>
      <c r="N3" s="466">
        <f ca="1">'F90'!N3</f>
        <v>36.72</v>
      </c>
      <c r="O3" s="39" t="s">
        <v>75</v>
      </c>
    </row>
    <row r="4" s="459" customFormat="1" ht="14.25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62"/>
      <c r="I5" s="470" t="s">
        <v>83</v>
      </c>
      <c r="J5" s="471"/>
      <c r="K5" s="472"/>
      <c r="L5" s="472"/>
      <c r="M5" s="474">
        <f ca="1">M6-M7</f>
        <v>4099.56816486688</v>
      </c>
      <c r="N5" s="472"/>
      <c r="O5" s="474">
        <f ca="1">O6-O7</f>
        <v>150536.143013912</v>
      </c>
      <c r="P5" s="562"/>
    </row>
    <row r="6" s="459" customFormat="1" ht="14.25" customHeight="1" spans="1:18">
      <c r="A6" s="476" t="s">
        <v>84</v>
      </c>
      <c r="B6" s="477"/>
      <c r="C6" s="478"/>
      <c r="D6" s="479"/>
      <c r="E6" s="480">
        <f ca="1">OFFSET(销售收入及运费!C96,0,mth-1,1,1)</f>
        <v>0</v>
      </c>
      <c r="F6" s="479"/>
      <c r="G6" s="480">
        <f ca="1">E6*F3</f>
        <v>0</v>
      </c>
      <c r="H6" s="562"/>
      <c r="I6" s="481" t="s">
        <v>84</v>
      </c>
      <c r="J6" s="477"/>
      <c r="K6" s="478"/>
      <c r="L6" s="479"/>
      <c r="M6" s="480">
        <f ca="1">销售收入及运费!O96</f>
        <v>4158.08925641275</v>
      </c>
      <c r="N6" s="482"/>
      <c r="O6" s="507">
        <f ca="1">M6*$N$3</f>
        <v>152685.037495476</v>
      </c>
      <c r="P6" s="562"/>
      <c r="Q6" s="511"/>
      <c r="R6" s="511"/>
    </row>
    <row r="7" s="459" customFormat="1" ht="14.25" customHeight="1" spans="1:18">
      <c r="A7" s="476" t="s">
        <v>85</v>
      </c>
      <c r="B7" s="477"/>
      <c r="C7" s="479"/>
      <c r="D7" s="479"/>
      <c r="E7" s="480">
        <f ca="1">OFFSET(销售收入及运费!C194,0,mth-1,1,1)</f>
        <v>0</v>
      </c>
      <c r="F7" s="480"/>
      <c r="G7" s="480">
        <f ca="1">'F90'!G7*1.09</f>
        <v>0</v>
      </c>
      <c r="H7" s="562"/>
      <c r="I7" s="476" t="s">
        <v>85</v>
      </c>
      <c r="J7" s="477"/>
      <c r="K7" s="479"/>
      <c r="L7" s="479"/>
      <c r="M7" s="480">
        <f ca="1">销售收入及运费!O194</f>
        <v>58.5210915458702</v>
      </c>
      <c r="N7" s="482"/>
      <c r="O7" s="507">
        <f ca="1">M7*$N$3</f>
        <v>2148.89448156435</v>
      </c>
      <c r="P7" s="562"/>
      <c r="Q7" s="511"/>
      <c r="R7" s="511"/>
    </row>
    <row r="8" s="459" customFormat="1" ht="14.25" customHeight="1" spans="1:18">
      <c r="A8" s="476" t="s">
        <v>86</v>
      </c>
      <c r="B8" s="477"/>
      <c r="C8" s="479"/>
      <c r="D8" s="479"/>
      <c r="E8" s="480">
        <f ca="1">'F90'!E8*1.09</f>
        <v>0</v>
      </c>
      <c r="F8" s="480"/>
      <c r="G8" s="480">
        <f ca="1">'F90'!G8*1.09</f>
        <v>0</v>
      </c>
      <c r="H8" s="562"/>
      <c r="I8" s="476" t="s">
        <v>86</v>
      </c>
      <c r="J8" s="477"/>
      <c r="K8" s="479"/>
      <c r="L8" s="479"/>
      <c r="M8" s="480">
        <f ca="1">'F90'!M8*1.09</f>
        <v>58.5210915458702</v>
      </c>
      <c r="N8" s="482"/>
      <c r="O8" s="480">
        <f ca="1">'F90'!O8*1.09</f>
        <v>2148.89448156435</v>
      </c>
      <c r="P8" s="562"/>
      <c r="Q8" s="511"/>
      <c r="R8" s="511"/>
    </row>
    <row r="9" s="459" customFormat="1" ht="14.25" customHeight="1" spans="1:18">
      <c r="A9" s="476" t="s">
        <v>87</v>
      </c>
      <c r="B9" s="477"/>
      <c r="C9" s="479"/>
      <c r="D9" s="479"/>
      <c r="E9" s="480">
        <f ca="1">'F90'!E9*1.13</f>
        <v>0</v>
      </c>
      <c r="F9" s="480"/>
      <c r="G9" s="480">
        <f ca="1">'F90'!G9*1.13</f>
        <v>0</v>
      </c>
      <c r="H9" s="562"/>
      <c r="I9" s="476" t="s">
        <v>87</v>
      </c>
      <c r="J9" s="477"/>
      <c r="K9" s="479"/>
      <c r="L9" s="479"/>
      <c r="M9" s="480">
        <f ca="1">'F90'!M9*1.13</f>
        <v>0</v>
      </c>
      <c r="N9" s="482"/>
      <c r="O9" s="480">
        <f ca="1">'F90'!O9*1.13</f>
        <v>0</v>
      </c>
      <c r="P9" s="562"/>
      <c r="Q9" s="511"/>
      <c r="R9" s="511"/>
    </row>
    <row r="10" s="459" customFormat="1" ht="14.25" customHeight="1" spans="1:18">
      <c r="A10" s="484" t="s">
        <v>88</v>
      </c>
      <c r="B10" s="485"/>
      <c r="C10" s="486"/>
      <c r="D10" s="486"/>
      <c r="E10" s="487">
        <f ca="1">E11+E13+E26+E31+E34+E25</f>
        <v>0</v>
      </c>
      <c r="F10" s="488"/>
      <c r="G10" s="487" t="e">
        <f ca="1">G11+G13+G26+G31+G34+G25</f>
        <v>#DIV/0!</v>
      </c>
      <c r="H10" s="562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O11+O13+O26+O31+O34+O25</f>
        <v>#DIV/0!</v>
      </c>
      <c r="P10" s="562"/>
      <c r="Q10" s="511"/>
      <c r="R10" s="511"/>
    </row>
    <row r="11" s="459" customFormat="1" ht="14.25" customHeight="1" spans="1:18">
      <c r="A11" s="489" t="s">
        <v>89</v>
      </c>
      <c r="B11" s="490" t="s">
        <v>75</v>
      </c>
      <c r="C11" s="491">
        <f ca="1" t="shared" ref="C11:G11" si="0">C12</f>
        <v>0</v>
      </c>
      <c r="D11" s="492">
        <f ca="1">IF(C11=0,0,E11/C11)</f>
        <v>0</v>
      </c>
      <c r="E11" s="491">
        <f ca="1" t="shared" si="0"/>
        <v>0</v>
      </c>
      <c r="F11" s="491">
        <f ca="1" t="shared" si="0"/>
        <v>0</v>
      </c>
      <c r="G11" s="491">
        <f ca="1" t="shared" si="0"/>
        <v>0</v>
      </c>
      <c r="H11" s="562"/>
      <c r="I11" s="489" t="s">
        <v>89</v>
      </c>
      <c r="J11" s="490" t="s">
        <v>75</v>
      </c>
      <c r="K11" s="491">
        <f ca="1">IF(N11=0,0,O11/N11)</f>
        <v>2774.87801597404</v>
      </c>
      <c r="L11" s="492">
        <f ca="1">IF(K11=0,0,M11/K11)</f>
        <v>0.81284706675317</v>
      </c>
      <c r="M11" s="491">
        <f ca="1" t="shared" ref="M11:O11" si="1">M12</f>
        <v>2255.55145588235</v>
      </c>
      <c r="N11" s="491">
        <f ca="1" t="shared" si="1"/>
        <v>29.8477442911764</v>
      </c>
      <c r="O11" s="491">
        <f ca="1" t="shared" si="1"/>
        <v>82823.84946</v>
      </c>
      <c r="P11" s="562"/>
      <c r="Q11" s="511"/>
    </row>
    <row r="12" s="459" customFormat="1" ht="14.25" customHeight="1" spans="1:18">
      <c r="A12" s="502" t="s">
        <v>90</v>
      </c>
      <c r="B12" s="503" t="s">
        <v>75</v>
      </c>
      <c r="C12" s="507">
        <f ca="1">'F90'!C12*1.13</f>
        <v>0</v>
      </c>
      <c r="D12" s="497">
        <f ca="1">'F90'!D12</f>
        <v>0</v>
      </c>
      <c r="E12" s="480">
        <f ca="1">'F90'!E12*1.13</f>
        <v>0</v>
      </c>
      <c r="F12" s="507">
        <f ca="1">'F90'!F12</f>
        <v>0</v>
      </c>
      <c r="G12" s="480">
        <f ca="1">'F90'!G12*1.13</f>
        <v>0</v>
      </c>
      <c r="H12" s="562"/>
      <c r="I12" s="502" t="s">
        <v>90</v>
      </c>
      <c r="J12" s="503" t="s">
        <v>75</v>
      </c>
      <c r="K12" s="507">
        <f ca="1">分配表!O75</f>
        <v>2774.87801597404</v>
      </c>
      <c r="L12" s="497">
        <f ca="1">'F90'!L12</f>
        <v>0.81284706675317</v>
      </c>
      <c r="M12" s="480">
        <f ca="1">K12*L12</f>
        <v>2255.55145588235</v>
      </c>
      <c r="N12" s="507">
        <f ca="1">L12*N3</f>
        <v>29.8477442911764</v>
      </c>
      <c r="O12" s="480">
        <f ca="1">K12*N12</f>
        <v>82823.84946</v>
      </c>
      <c r="P12" s="562"/>
      <c r="Q12" s="511"/>
      <c r="R12" s="583"/>
    </row>
    <row r="13" s="459" customFormat="1" ht="14.25" customHeight="1" spans="1:18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62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62"/>
      <c r="Q13" s="511"/>
      <c r="R13" s="475"/>
    </row>
    <row r="14" s="459" customFormat="1" ht="14.25" customHeight="1" spans="1:18">
      <c r="A14" s="502" t="s">
        <v>136</v>
      </c>
      <c r="B14" s="503" t="s">
        <v>167</v>
      </c>
      <c r="C14" s="505">
        <f ca="1">'F90'!C14*1.13</f>
        <v>0</v>
      </c>
      <c r="D14" s="505">
        <f ca="1">'F90'!D14</f>
        <v>0</v>
      </c>
      <c r="E14" s="505">
        <f ca="1">'F90'!E14*1.13</f>
        <v>0</v>
      </c>
      <c r="F14" s="507">
        <f ca="1">'F90'!F14</f>
        <v>0</v>
      </c>
      <c r="G14" s="505">
        <f ca="1">'F90'!G14*1.13</f>
        <v>0</v>
      </c>
      <c r="H14" s="562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'F90'!L14</f>
        <v>4.30555555555556</v>
      </c>
      <c r="M14" s="505">
        <f ca="1">'F90'!M14*1.13</f>
        <v>5.02892024022821</v>
      </c>
      <c r="N14" s="507">
        <f ca="1">'F90'!N14</f>
        <v>158.1</v>
      </c>
      <c r="O14" s="507">
        <f ca="1">'F90'!O14*1.13</f>
        <v>184.66195122118</v>
      </c>
      <c r="P14" s="562"/>
      <c r="Q14" s="511"/>
      <c r="R14" s="475"/>
    </row>
    <row r="15" s="459" customFormat="1" ht="14.25" customHeight="1" spans="1:18">
      <c r="A15" s="502" t="s">
        <v>137</v>
      </c>
      <c r="B15" s="503" t="s">
        <v>167</v>
      </c>
      <c r="C15" s="505">
        <f ca="1">'F90'!C15*1.13</f>
        <v>0</v>
      </c>
      <c r="D15" s="505">
        <f ca="1">'F90'!D15</f>
        <v>0</v>
      </c>
      <c r="E15" s="505">
        <f ca="1">'F90'!E15*1.13</f>
        <v>0</v>
      </c>
      <c r="F15" s="507">
        <f ca="1">'F90'!F15</f>
        <v>0</v>
      </c>
      <c r="G15" s="505">
        <f ca="1">'F90'!G15*1.13</f>
        <v>0</v>
      </c>
      <c r="H15" s="562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'F90'!L15</f>
        <v>4.96732026143791</v>
      </c>
      <c r="M15" s="505">
        <f ca="1">'F90'!M15*1.13</f>
        <v>17.7670768686231</v>
      </c>
      <c r="N15" s="507">
        <f ca="1">'F90'!N15</f>
        <v>182.4</v>
      </c>
      <c r="O15" s="507">
        <f ca="1">'F90'!O15*1.13</f>
        <v>652.40706261584</v>
      </c>
      <c r="P15" s="562"/>
      <c r="Q15" s="511"/>
      <c r="R15" s="475"/>
    </row>
    <row r="16" s="459" customFormat="1" ht="14.25" customHeight="1" spans="1:18">
      <c r="A16" s="502" t="s">
        <v>138</v>
      </c>
      <c r="B16" s="503" t="s">
        <v>167</v>
      </c>
      <c r="C16" s="505">
        <f ca="1">'F90'!C16*1.13</f>
        <v>0</v>
      </c>
      <c r="D16" s="505">
        <f ca="1">'F90'!D16</f>
        <v>0</v>
      </c>
      <c r="E16" s="505">
        <f ca="1">'F90'!E16*1.13</f>
        <v>0</v>
      </c>
      <c r="F16" s="507">
        <f ca="1">'F90'!F16</f>
        <v>0</v>
      </c>
      <c r="G16" s="505">
        <f ca="1">'F90'!G16*1.13</f>
        <v>0</v>
      </c>
      <c r="H16" s="562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'F90'!L16</f>
        <v>0.844226579520697</v>
      </c>
      <c r="M16" s="505">
        <f ca="1">'F90'!M16*1.13</f>
        <v>2.48498358836114</v>
      </c>
      <c r="N16" s="507">
        <f ca="1">'F90'!N16</f>
        <v>31</v>
      </c>
      <c r="O16" s="507">
        <f ca="1">'F90'!O16*1.13</f>
        <v>91.2485973646209</v>
      </c>
      <c r="P16" s="562"/>
      <c r="Q16" s="511"/>
      <c r="R16" s="475"/>
    </row>
    <row r="17" s="459" customFormat="1" ht="14.25" customHeight="1" spans="1:18">
      <c r="A17" s="502" t="s">
        <v>139</v>
      </c>
      <c r="B17" s="503" t="s">
        <v>167</v>
      </c>
      <c r="C17" s="505">
        <f ca="1">'F90'!C17*1.13</f>
        <v>0</v>
      </c>
      <c r="D17" s="505">
        <f ca="1">'F90'!D17</f>
        <v>0</v>
      </c>
      <c r="E17" s="505">
        <f ca="1">'F90'!E17*1.13</f>
        <v>0</v>
      </c>
      <c r="F17" s="507">
        <f ca="1">'F90'!F17</f>
        <v>0</v>
      </c>
      <c r="G17" s="505">
        <f ca="1">'F90'!G17*1.13</f>
        <v>0</v>
      </c>
      <c r="H17" s="562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'F90'!L17</f>
        <v>1.77015250544662</v>
      </c>
      <c r="M17" s="505">
        <f ca="1">'F90'!M17*1.13</f>
        <v>14.1613309695508</v>
      </c>
      <c r="N17" s="507">
        <f ca="1">'F90'!N17</f>
        <v>65</v>
      </c>
      <c r="O17" s="507">
        <f ca="1">'F90'!O17*1.13</f>
        <v>520.004073201906</v>
      </c>
      <c r="P17" s="562"/>
      <c r="Q17" s="511"/>
      <c r="R17" s="475"/>
    </row>
    <row r="18" s="459" customFormat="1" ht="14.25" customHeight="1" spans="1:18">
      <c r="A18" s="502" t="s">
        <v>207</v>
      </c>
      <c r="B18" s="503" t="s">
        <v>167</v>
      </c>
      <c r="C18" s="505">
        <f ca="1">'F90'!C18*1.13</f>
        <v>0</v>
      </c>
      <c r="D18" s="505">
        <f ca="1">'F90'!D18</f>
        <v>0</v>
      </c>
      <c r="E18" s="505">
        <f ca="1">'F90'!E18*1.13</f>
        <v>0</v>
      </c>
      <c r="F18" s="507">
        <f ca="1">'F90'!F18</f>
        <v>0</v>
      </c>
      <c r="G18" s="505">
        <f ca="1">'F90'!G18*1.13</f>
        <v>0</v>
      </c>
      <c r="H18" s="562"/>
      <c r="I18" s="502" t="s">
        <v>207</v>
      </c>
      <c r="J18" s="503" t="s">
        <v>167</v>
      </c>
      <c r="K18" s="505">
        <f ca="1">分配表!O196</f>
        <v>54.0155926492147</v>
      </c>
      <c r="L18" s="505">
        <f ca="1">'F90'!L18</f>
        <v>0.0871459694989107</v>
      </c>
      <c r="M18" s="505">
        <f ca="1">'F90'!M18*1.13</f>
        <v>4.70724118947405</v>
      </c>
      <c r="N18" s="507">
        <f ca="1">'F90'!N18</f>
        <v>3.2</v>
      </c>
      <c r="O18" s="507">
        <f ca="1">'F90'!O18*1.13</f>
        <v>172.849896477487</v>
      </c>
      <c r="P18" s="562"/>
      <c r="Q18" s="511"/>
      <c r="R18" s="475"/>
    </row>
    <row r="19" s="459" customFormat="1" ht="14.25" customHeight="1" spans="1:18">
      <c r="A19" s="502" t="s">
        <v>141</v>
      </c>
      <c r="B19" s="503" t="s">
        <v>167</v>
      </c>
      <c r="C19" s="505">
        <f ca="1">'F90'!C19*1.13</f>
        <v>0</v>
      </c>
      <c r="D19" s="505">
        <f ca="1">'F90'!D19</f>
        <v>0</v>
      </c>
      <c r="E19" s="505">
        <f ca="1">'F90'!E19*1.13</f>
        <v>0</v>
      </c>
      <c r="F19" s="507">
        <f ca="1">'F90'!F19</f>
        <v>0</v>
      </c>
      <c r="G19" s="505">
        <f ca="1">'F90'!G19*1.13</f>
        <v>0</v>
      </c>
      <c r="H19" s="562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'F90'!L19</f>
        <v>0.149782135076253</v>
      </c>
      <c r="M19" s="505">
        <f ca="1">'F90'!M19*1.13</f>
        <v>5.4495379897863</v>
      </c>
      <c r="N19" s="507">
        <f ca="1">'F90'!N19</f>
        <v>5.5</v>
      </c>
      <c r="O19" s="507">
        <f ca="1">'F90'!O19*1.13</f>
        <v>200.107034984953</v>
      </c>
      <c r="P19" s="562"/>
      <c r="Q19" s="511"/>
      <c r="R19" s="475"/>
    </row>
    <row r="20" s="459" customFormat="1" ht="14.25" customHeight="1" spans="1:18">
      <c r="A20" s="502" t="s">
        <v>142</v>
      </c>
      <c r="B20" s="503" t="s">
        <v>167</v>
      </c>
      <c r="C20" s="505">
        <f ca="1">'F90'!C20*1.13</f>
        <v>0</v>
      </c>
      <c r="D20" s="505">
        <f ca="1">'F90'!D20</f>
        <v>0</v>
      </c>
      <c r="E20" s="505">
        <f ca="1">'F90'!E20*1.13</f>
        <v>0</v>
      </c>
      <c r="F20" s="507">
        <f ca="1">'F90'!F20</f>
        <v>0</v>
      </c>
      <c r="G20" s="505">
        <f ca="1">'F90'!G20*1.13</f>
        <v>0</v>
      </c>
      <c r="H20" s="562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'F90'!L20</f>
        <v>0.0898692810457516</v>
      </c>
      <c r="M20" s="505">
        <f ca="1">'F90'!M20*1.13</f>
        <v>22.1969963970313</v>
      </c>
      <c r="N20" s="507">
        <f ca="1">'F90'!N20</f>
        <v>3.3</v>
      </c>
      <c r="O20" s="507">
        <f ca="1">'F90'!O20*1.13</f>
        <v>815.073707698989</v>
      </c>
      <c r="P20" s="562"/>
      <c r="Q20" s="511"/>
      <c r="R20" s="475"/>
    </row>
    <row r="21" s="459" customFormat="1" ht="14.25" customHeight="1" spans="1:18">
      <c r="A21" s="502" t="s">
        <v>143</v>
      </c>
      <c r="B21" s="503" t="s">
        <v>167</v>
      </c>
      <c r="C21" s="505">
        <f ca="1">'F90'!C21*1.13</f>
        <v>0</v>
      </c>
      <c r="D21" s="505">
        <f ca="1">'F90'!D21</f>
        <v>0</v>
      </c>
      <c r="E21" s="505">
        <f ca="1">'F90'!E21*1.13</f>
        <v>0</v>
      </c>
      <c r="F21" s="507">
        <f ca="1">'F90'!F21</f>
        <v>0</v>
      </c>
      <c r="G21" s="505">
        <f ca="1">'F90'!G21*1.13</f>
        <v>0</v>
      </c>
      <c r="H21" s="562"/>
      <c r="I21" s="502" t="s">
        <v>143</v>
      </c>
      <c r="J21" s="503" t="s">
        <v>167</v>
      </c>
      <c r="K21" s="505">
        <f ca="1">分配表!O199</f>
        <v>1.1068060104712</v>
      </c>
      <c r="L21" s="505">
        <f ca="1">'F90'!L21</f>
        <v>0.435729847494553</v>
      </c>
      <c r="M21" s="505">
        <f ca="1">'F90'!M21*1.13</f>
        <v>0.482268414148673</v>
      </c>
      <c r="N21" s="507">
        <f ca="1">'F90'!N21</f>
        <v>16</v>
      </c>
      <c r="O21" s="507">
        <f ca="1">'F90'!O21*1.13</f>
        <v>17.7088961675393</v>
      </c>
      <c r="P21" s="562"/>
      <c r="Q21" s="511"/>
      <c r="R21" s="475"/>
    </row>
    <row r="22" s="459" customFormat="1" ht="14.25" customHeight="1" spans="1:18">
      <c r="A22" s="502" t="s">
        <v>144</v>
      </c>
      <c r="B22" s="503" t="s">
        <v>167</v>
      </c>
      <c r="C22" s="505">
        <f ca="1">'F90'!C22*1.13</f>
        <v>0</v>
      </c>
      <c r="D22" s="505">
        <f ca="1">'F90'!D22</f>
        <v>0</v>
      </c>
      <c r="E22" s="505">
        <f ca="1">'F90'!E22*1.13</f>
        <v>0</v>
      </c>
      <c r="F22" s="507">
        <f ca="1">'F90'!F22</f>
        <v>0</v>
      </c>
      <c r="G22" s="505">
        <f ca="1">'F90'!G22*1.13</f>
        <v>0</v>
      </c>
      <c r="H22" s="562"/>
      <c r="I22" s="502" t="s">
        <v>144</v>
      </c>
      <c r="J22" s="503" t="s">
        <v>167</v>
      </c>
      <c r="K22" s="505">
        <f ca="1">分配表!O200</f>
        <v>2.09737053412463</v>
      </c>
      <c r="L22" s="505">
        <f ca="1">'F90'!L22</f>
        <v>0.299564270152505</v>
      </c>
      <c r="M22" s="505">
        <f ca="1">'F90'!M22*1.13</f>
        <v>0.628297273294415</v>
      </c>
      <c r="N22" s="507">
        <f ca="1">'F90'!N22</f>
        <v>11</v>
      </c>
      <c r="O22" s="507">
        <f ca="1">'F90'!O22*1.13</f>
        <v>23.0710758753709</v>
      </c>
      <c r="P22" s="562"/>
      <c r="Q22" s="511"/>
      <c r="R22" s="475"/>
    </row>
    <row r="23" s="459" customFormat="1" ht="14.25" customHeight="1" spans="1:18">
      <c r="A23" s="502" t="s">
        <v>146</v>
      </c>
      <c r="B23" s="503" t="s">
        <v>167</v>
      </c>
      <c r="C23" s="505">
        <f>'F90'!C23*1.13</f>
        <v>0</v>
      </c>
      <c r="D23" s="505">
        <f>'F90'!D23</f>
        <v>0</v>
      </c>
      <c r="E23" s="505">
        <f ca="1">'F90'!E23*1.13</f>
        <v>0</v>
      </c>
      <c r="F23" s="507">
        <f>'F90'!F23</f>
        <v>0</v>
      </c>
      <c r="G23" s="505" t="e">
        <f ca="1">'F90'!G23*1.13</f>
        <v>#DIV/0!</v>
      </c>
      <c r="H23" s="562"/>
      <c r="I23" s="502" t="s">
        <v>146</v>
      </c>
      <c r="J23" s="503" t="s">
        <v>167</v>
      </c>
      <c r="K23" s="505">
        <f>分配表!O201</f>
        <v>0</v>
      </c>
      <c r="L23" s="505">
        <f>'F90'!L23</f>
        <v>0</v>
      </c>
      <c r="M23" s="505" t="e">
        <f ca="1">'F90'!M23*1.13</f>
        <v>#DIV/0!</v>
      </c>
      <c r="N23" s="507">
        <f>'F90'!N23</f>
        <v>0</v>
      </c>
      <c r="O23" s="507" t="e">
        <f ca="1">'F90'!O23*1.13</f>
        <v>#DIV/0!</v>
      </c>
      <c r="P23" s="562"/>
      <c r="Q23" s="511"/>
      <c r="R23" s="475"/>
    </row>
    <row r="24" s="459" customFormat="1" ht="14.25" customHeight="1" spans="1:18">
      <c r="A24" s="502" t="s">
        <v>147</v>
      </c>
      <c r="B24" s="503"/>
      <c r="C24" s="505"/>
      <c r="D24" s="505"/>
      <c r="E24" s="505">
        <f ca="1">'F90'!E24*1.13</f>
        <v>0</v>
      </c>
      <c r="F24" s="507"/>
      <c r="G24" s="480" t="e">
        <f ca="1">'F90'!G24*1.13</f>
        <v>#DIV/0!</v>
      </c>
      <c r="H24" s="562"/>
      <c r="I24" s="502" t="s">
        <v>147</v>
      </c>
      <c r="J24" s="503"/>
      <c r="K24" s="505"/>
      <c r="L24" s="505"/>
      <c r="M24" s="505" t="e">
        <f ca="1">'F90'!M24*1.13</f>
        <v>#DIV/0!</v>
      </c>
      <c r="N24" s="507"/>
      <c r="O24" s="507" t="e">
        <f ca="1">'F90'!O24*1.13</f>
        <v>#DIV/0!</v>
      </c>
      <c r="P24" s="562"/>
      <c r="Q24" s="511"/>
      <c r="R24" s="475"/>
    </row>
    <row r="25" s="459" customFormat="1" ht="14.25" customHeight="1" spans="1:18">
      <c r="A25" s="508" t="s">
        <v>93</v>
      </c>
      <c r="B25" s="490"/>
      <c r="C25" s="501"/>
      <c r="D25" s="492"/>
      <c r="E25" s="491"/>
      <c r="F25" s="491"/>
      <c r="G25" s="491"/>
      <c r="H25" s="562"/>
      <c r="I25" s="508" t="s">
        <v>93</v>
      </c>
      <c r="J25" s="490"/>
      <c r="K25" s="501"/>
      <c r="L25" s="492"/>
      <c r="M25" s="491"/>
      <c r="N25" s="491"/>
      <c r="O25" s="491"/>
      <c r="P25" s="562"/>
      <c r="Q25" s="511"/>
      <c r="R25" s="475"/>
    </row>
    <row r="26" s="459" customFormat="1" ht="14.25" customHeight="1" spans="1:18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H26" s="562"/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562"/>
      <c r="Q26" s="511"/>
      <c r="R26" s="475"/>
    </row>
    <row r="27" s="459" customFormat="1" ht="14.25" customHeight="1" spans="1:18">
      <c r="A27" s="502" t="s">
        <v>95</v>
      </c>
      <c r="B27" s="503" t="s">
        <v>75</v>
      </c>
      <c r="C27" s="566">
        <f ca="1">OFFSET(分配表!C306,0,mth-1,1,1)</f>
        <v>0</v>
      </c>
      <c r="D27" s="497">
        <f ca="1">'F90'!D27</f>
        <v>0</v>
      </c>
      <c r="E27" s="507">
        <f ca="1">C27*D27</f>
        <v>0</v>
      </c>
      <c r="F27" s="507">
        <f ca="1">'F90'!F27</f>
        <v>0</v>
      </c>
      <c r="G27" s="507">
        <f ca="1">E27*F$3</f>
        <v>0</v>
      </c>
      <c r="H27" s="562"/>
      <c r="I27" s="502" t="s">
        <v>95</v>
      </c>
      <c r="J27" s="503" t="s">
        <v>75</v>
      </c>
      <c r="K27" s="567">
        <f ca="1">分配表!O306</f>
        <v>408.530937837231</v>
      </c>
      <c r="L27" s="505">
        <f ca="1">'F90'!L27</f>
        <v>0.816993464052288</v>
      </c>
      <c r="M27" s="507">
        <f ca="1">K27*L27</f>
        <v>333.767106076169</v>
      </c>
      <c r="N27" s="507">
        <f ca="1">'F90'!N27</f>
        <v>30</v>
      </c>
      <c r="O27" s="507">
        <f ca="1">M27*N$3</f>
        <v>12255.9281351169</v>
      </c>
      <c r="P27" s="562"/>
      <c r="Q27" s="511"/>
      <c r="R27" s="475"/>
    </row>
    <row r="28" s="459" customFormat="1" ht="14.25" customHeight="1" spans="1:18">
      <c r="A28" s="502" t="s">
        <v>96</v>
      </c>
      <c r="B28" s="503" t="s">
        <v>97</v>
      </c>
      <c r="C28" s="566">
        <f ca="1">'F90'!C28*1.13</f>
        <v>0</v>
      </c>
      <c r="D28" s="505">
        <f ca="1">'F90'!D28</f>
        <v>0</v>
      </c>
      <c r="E28" s="480">
        <f ca="1">'F90'!E28*1.13</f>
        <v>0</v>
      </c>
      <c r="F28" s="507" t="e">
        <f ca="1">'F90'!F28</f>
        <v>#DIV/0!</v>
      </c>
      <c r="G28" s="480">
        <f ca="1">'F90'!G28*1.13</f>
        <v>0</v>
      </c>
      <c r="H28" s="562"/>
      <c r="I28" s="502" t="s">
        <v>96</v>
      </c>
      <c r="J28" s="503" t="s">
        <v>97</v>
      </c>
      <c r="K28" s="566">
        <f ca="1">'F90'!K28*1.13</f>
        <v>0.769119583630169</v>
      </c>
      <c r="L28" s="505" t="e">
        <f ca="1">'F90'!L28</f>
        <v>#DIV/0!</v>
      </c>
      <c r="M28" s="480" t="e">
        <f ca="1">'F90'!M28*1.13</f>
        <v>#DIV/0!</v>
      </c>
      <c r="N28" s="507" t="e">
        <f ca="1">'F90'!N28</f>
        <v>#DIV/0!</v>
      </c>
      <c r="O28" s="480" t="e">
        <f ca="1">'F90'!O28*1.13</f>
        <v>#DIV/0!</v>
      </c>
      <c r="P28" s="562"/>
      <c r="Q28" s="511"/>
      <c r="R28" s="475"/>
    </row>
    <row r="29" s="459" customFormat="1" ht="14.25" customHeight="1" spans="1:18">
      <c r="A29" s="502" t="s">
        <v>98</v>
      </c>
      <c r="B29" s="503" t="s">
        <v>75</v>
      </c>
      <c r="C29" s="566">
        <f>3.32+0.9*2.97</f>
        <v>5.993</v>
      </c>
      <c r="D29" s="505">
        <f ca="1">'F90'!D29</f>
        <v>0</v>
      </c>
      <c r="E29" s="480">
        <f ca="1">D29*C29</f>
        <v>0</v>
      </c>
      <c r="F29" s="507" t="e">
        <f ca="1">'F90'!F29</f>
        <v>#DIV/0!</v>
      </c>
      <c r="G29" s="480">
        <f ca="1">E29*F3</f>
        <v>0</v>
      </c>
      <c r="H29" s="562"/>
      <c r="I29" s="502" t="s">
        <v>98</v>
      </c>
      <c r="J29" s="503" t="s">
        <v>75</v>
      </c>
      <c r="K29" s="566">
        <f>3.32+0.9*2.97</f>
        <v>5.993</v>
      </c>
      <c r="L29" s="505" t="e">
        <f ca="1">'F90'!L29</f>
        <v>#DIV/0!</v>
      </c>
      <c r="M29" s="480" t="e">
        <f ca="1">L29*K29</f>
        <v>#DIV/0!</v>
      </c>
      <c r="N29" s="507" t="e">
        <f ca="1">'F90'!N29</f>
        <v>#DIV/0!</v>
      </c>
      <c r="O29" s="480" t="e">
        <f ca="1">M29*N3</f>
        <v>#DIV/0!</v>
      </c>
      <c r="P29" s="562"/>
      <c r="Q29" s="511"/>
      <c r="R29" s="475"/>
    </row>
    <row r="30" s="459" customFormat="1" ht="14.25" customHeight="1" spans="1:18">
      <c r="A30" s="502" t="s">
        <v>99</v>
      </c>
      <c r="B30" s="503" t="s">
        <v>75</v>
      </c>
      <c r="C30" s="566">
        <f ca="1">'F90'!C30*1.13</f>
        <v>0</v>
      </c>
      <c r="D30" s="505">
        <f ca="1">'F90'!D30</f>
        <v>0</v>
      </c>
      <c r="E30" s="480">
        <f ca="1">'F90'!E30*1.13</f>
        <v>0</v>
      </c>
      <c r="F30" s="507">
        <f ca="1">'F90'!F30</f>
        <v>0</v>
      </c>
      <c r="G30" s="480">
        <f ca="1">'F90'!G30*1.13</f>
        <v>0</v>
      </c>
      <c r="H30" s="562"/>
      <c r="I30" s="502" t="s">
        <v>99</v>
      </c>
      <c r="J30" s="503" t="s">
        <v>75</v>
      </c>
      <c r="K30" s="566">
        <f>'F90'!K30*1.13</f>
        <v>0</v>
      </c>
      <c r="L30" s="505">
        <f ca="1">'F90'!L30</f>
        <v>0</v>
      </c>
      <c r="M30" s="480">
        <f ca="1">'F90'!M30*1.13</f>
        <v>0</v>
      </c>
      <c r="N30" s="507">
        <f>'F90'!N30</f>
        <v>0</v>
      </c>
      <c r="O30" s="480">
        <f ca="1">'F90'!O30*1.13</f>
        <v>0</v>
      </c>
      <c r="P30" s="568"/>
      <c r="Q30" s="511"/>
      <c r="R30" s="475"/>
    </row>
    <row r="31" s="459" customFormat="1" ht="14.25" customHeight="1" spans="1:18">
      <c r="A31" s="508" t="s">
        <v>101</v>
      </c>
      <c r="B31" s="490"/>
      <c r="C31" s="501"/>
      <c r="D31" s="492"/>
      <c r="E31" s="491">
        <f ca="1">IF(VALUE($F$3)=0,0,G31/$F$3)</f>
        <v>0</v>
      </c>
      <c r="F31" s="491"/>
      <c r="G31" s="491" t="e">
        <f ca="1">'F90'!G31*1.13</f>
        <v>#DIV/0!</v>
      </c>
      <c r="H31" s="562"/>
      <c r="I31" s="508" t="s">
        <v>101</v>
      </c>
      <c r="J31" s="490"/>
      <c r="K31" s="501">
        <f ca="1">IF(N31=0,0,O31/N31)</f>
        <v>0</v>
      </c>
      <c r="L31" s="492">
        <f ca="1">IF(K31=0,0,M31/K31)</f>
        <v>0</v>
      </c>
      <c r="M31" s="491" t="e">
        <f ca="1">IF(N$3=0,0,O31/N$3)</f>
        <v>#DIV/0!</v>
      </c>
      <c r="N31" s="501"/>
      <c r="O31" s="501" t="e">
        <f ca="1">'F90'!O31*1.13</f>
        <v>#DIV/0!</v>
      </c>
      <c r="P31" s="562"/>
      <c r="Q31" s="511"/>
    </row>
    <row r="32" s="459" customFormat="1" ht="14.25" customHeight="1" spans="1:18">
      <c r="A32" s="541" t="s">
        <v>102</v>
      </c>
      <c r="B32" s="490"/>
      <c r="C32" s="501"/>
      <c r="D32" s="492"/>
      <c r="E32" s="491">
        <f ca="1">E31</f>
        <v>0</v>
      </c>
      <c r="F32" s="491"/>
      <c r="G32" s="491" t="e">
        <f ca="1">G31</f>
        <v>#DIV/0!</v>
      </c>
      <c r="H32" s="562"/>
      <c r="I32" s="508" t="s">
        <v>102</v>
      </c>
      <c r="J32" s="490"/>
      <c r="K32" s="501"/>
      <c r="L32" s="492"/>
      <c r="M32" s="491" t="e">
        <f ca="1">M31</f>
        <v>#DIV/0!</v>
      </c>
      <c r="N32" s="501"/>
      <c r="O32" s="501" t="e">
        <f ca="1">O31</f>
        <v>#DIV/0!</v>
      </c>
      <c r="P32" s="562"/>
      <c r="Q32" s="511"/>
    </row>
    <row r="33" s="459" customFormat="1" ht="14.25" customHeight="1" spans="1:17">
      <c r="A33" s="541" t="s">
        <v>103</v>
      </c>
      <c r="B33" s="490"/>
      <c r="C33" s="501"/>
      <c r="D33" s="492"/>
      <c r="E33" s="501"/>
      <c r="F33" s="491"/>
      <c r="G33" s="491"/>
      <c r="H33" s="562"/>
      <c r="I33" s="508" t="s">
        <v>103</v>
      </c>
      <c r="J33" s="490"/>
      <c r="K33" s="501"/>
      <c r="L33" s="492"/>
      <c r="M33" s="501"/>
      <c r="N33" s="491"/>
      <c r="O33" s="491"/>
      <c r="P33" s="562"/>
      <c r="Q33" s="511"/>
    </row>
    <row r="34" s="459" customFormat="1" ht="14.25" customHeight="1" spans="1:17">
      <c r="A34" s="508" t="s">
        <v>104</v>
      </c>
      <c r="B34" s="490"/>
      <c r="C34" s="501"/>
      <c r="D34" s="492"/>
      <c r="E34" s="542">
        <f ca="1">IF(VALUE(F$3)=0,0,G34/F$3)</f>
        <v>0</v>
      </c>
      <c r="F34" s="491"/>
      <c r="G34" s="491" t="e">
        <f ca="1">SUM(G5,-G11,-G13,-G26,-G31,-G25)-SUM('F90'!G5,-'F90'!G11-'F90'!G13-'F90'!G26-'F90'!G31,-'F90'!G25)</f>
        <v>#DIV/0!</v>
      </c>
      <c r="H34" s="562"/>
      <c r="I34" s="508" t="s">
        <v>104</v>
      </c>
      <c r="J34" s="490"/>
      <c r="K34" s="501"/>
      <c r="L34" s="492"/>
      <c r="M34" s="491" t="e">
        <f ca="1">IF(N$3=0,0,O34/N$3)</f>
        <v>#DIV/0!</v>
      </c>
      <c r="N34" s="491"/>
      <c r="O34" s="491" t="e">
        <f ca="1">SUM(O5,-O11,-O13,-O26,-O31,-O25)-SUM('F90'!O5,-'F90'!O11-'F90'!O13-'F90'!O26-'F90'!O31,-'F90'!O25)</f>
        <v>#DIV/0!</v>
      </c>
      <c r="P34" s="562"/>
      <c r="Q34" s="539"/>
    </row>
    <row r="35" s="459" customFormat="1" ht="14.25" customHeight="1" spans="1:17">
      <c r="A35" s="508" t="s">
        <v>105</v>
      </c>
      <c r="B35" s="490"/>
      <c r="C35" s="501"/>
      <c r="D35" s="492"/>
      <c r="E35" s="491">
        <f ca="1">E5-E10</f>
        <v>0</v>
      </c>
      <c r="F35" s="491"/>
      <c r="G35" s="491" t="e">
        <f ca="1">G5-G10</f>
        <v>#DIV/0!</v>
      </c>
      <c r="H35" s="56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562"/>
    </row>
    <row r="36" s="459" customFormat="1" ht="14.25" customHeight="1" spans="1:17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H36" s="562"/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562"/>
    </row>
    <row r="37" s="459" customFormat="1" ht="14.25" customHeight="1" spans="1:17">
      <c r="A37" s="516" t="s">
        <v>107</v>
      </c>
      <c r="B37" s="503"/>
      <c r="C37" s="505"/>
      <c r="D37" s="497"/>
      <c r="E37" s="575">
        <f ca="1">'F90'!E37</f>
        <v>0</v>
      </c>
      <c r="F37" s="517"/>
      <c r="G37" s="480" t="e">
        <f ca="1">'F90'!G37</f>
        <v>#DIV/0!</v>
      </c>
      <c r="H37" s="483"/>
      <c r="I37" s="516" t="s">
        <v>107</v>
      </c>
      <c r="J37" s="503"/>
      <c r="K37" s="505"/>
      <c r="L37" s="497"/>
      <c r="M37" s="575" t="e">
        <f ca="1">'F90'!M37</f>
        <v>#DIV/0!</v>
      </c>
      <c r="N37" s="517"/>
      <c r="O37" s="480" t="e">
        <f ca="1">'F90'!O37</f>
        <v>#DIV/0!</v>
      </c>
      <c r="P37" s="562"/>
    </row>
    <row r="38" s="459" customFormat="1" ht="14.25" customHeight="1" spans="1:17">
      <c r="A38" s="516" t="s">
        <v>108</v>
      </c>
      <c r="B38" s="503"/>
      <c r="C38" s="505"/>
      <c r="D38" s="497"/>
      <c r="E38" s="575">
        <f ca="1">'F90'!E38</f>
        <v>0</v>
      </c>
      <c r="F38" s="517"/>
      <c r="G38" s="480" t="e">
        <f ca="1">'F90'!G38</f>
        <v>#DIV/0!</v>
      </c>
      <c r="H38" s="483"/>
      <c r="I38" s="516" t="s">
        <v>108</v>
      </c>
      <c r="J38" s="503"/>
      <c r="K38" s="505"/>
      <c r="L38" s="497"/>
      <c r="M38" s="575" t="e">
        <f ca="1">'F90'!M38</f>
        <v>#DIV/0!</v>
      </c>
      <c r="N38" s="517"/>
      <c r="O38" s="480" t="e">
        <f ca="1">'F90'!O38</f>
        <v>#DIV/0!</v>
      </c>
      <c r="P38" s="562"/>
    </row>
    <row r="39" s="459" customFormat="1" ht="14.25" customHeight="1" spans="1:17">
      <c r="A39" s="516" t="s">
        <v>109</v>
      </c>
      <c r="B39" s="503"/>
      <c r="C39" s="498"/>
      <c r="D39" s="518"/>
      <c r="E39" s="575">
        <f ca="1">'F90'!E39</f>
        <v>0</v>
      </c>
      <c r="F39" s="517"/>
      <c r="G39" s="480" t="e">
        <f ca="1">'F90'!G39</f>
        <v>#DIV/0!</v>
      </c>
      <c r="H39" s="483"/>
      <c r="I39" s="516" t="s">
        <v>109</v>
      </c>
      <c r="J39" s="503"/>
      <c r="K39" s="498"/>
      <c r="L39" s="518"/>
      <c r="M39" s="575" t="e">
        <f ca="1">'F90'!M39</f>
        <v>#DIV/0!</v>
      </c>
      <c r="N39" s="517"/>
      <c r="O39" s="480" t="e">
        <f ca="1">'F90'!O39</f>
        <v>#DIV/0!</v>
      </c>
      <c r="P39" s="562"/>
    </row>
    <row r="40" s="459" customFormat="1" ht="14.25" customHeight="1" spans="1:17">
      <c r="A40" s="516" t="s">
        <v>110</v>
      </c>
      <c r="B40" s="503"/>
      <c r="C40" s="498"/>
      <c r="D40" s="518"/>
      <c r="E40" s="575">
        <f ca="1">'F90'!E40</f>
        <v>0</v>
      </c>
      <c r="F40" s="517"/>
      <c r="G40" s="480" t="e">
        <f ca="1">'F90'!G40</f>
        <v>#DIV/0!</v>
      </c>
      <c r="H40" s="483"/>
      <c r="I40" s="516" t="s">
        <v>110</v>
      </c>
      <c r="J40" s="503"/>
      <c r="K40" s="498"/>
      <c r="L40" s="518"/>
      <c r="M40" s="575" t="e">
        <f ca="1">'F90'!M40</f>
        <v>#DIV/0!</v>
      </c>
      <c r="N40" s="517"/>
      <c r="O40" s="480" t="e">
        <f ca="1">'F90'!O40</f>
        <v>#DIV/0!</v>
      </c>
      <c r="P40" s="562"/>
    </row>
    <row r="41" s="459" customFormat="1" ht="14.25" customHeight="1" spans="1:17">
      <c r="A41" s="516" t="s">
        <v>111</v>
      </c>
      <c r="B41" s="503"/>
      <c r="C41" s="498"/>
      <c r="D41" s="518"/>
      <c r="E41" s="575">
        <f ca="1">'F90'!E41</f>
        <v>0</v>
      </c>
      <c r="F41" s="517"/>
      <c r="G41" s="480" t="e">
        <f ca="1">'F90'!G41</f>
        <v>#DIV/0!</v>
      </c>
      <c r="H41" s="483"/>
      <c r="I41" s="516" t="s">
        <v>111</v>
      </c>
      <c r="J41" s="503"/>
      <c r="K41" s="498"/>
      <c r="L41" s="518"/>
      <c r="M41" s="575" t="e">
        <f ca="1">'F90'!M41</f>
        <v>#DIV/0!</v>
      </c>
      <c r="N41" s="517"/>
      <c r="O41" s="480" t="e">
        <f ca="1">'F90'!O41</f>
        <v>#DIV/0!</v>
      </c>
      <c r="P41" s="562"/>
    </row>
    <row r="42" s="459" customFormat="1" ht="14.25" customHeight="1" spans="1:17">
      <c r="A42" s="516" t="s">
        <v>112</v>
      </c>
      <c r="B42" s="503"/>
      <c r="C42" s="498"/>
      <c r="D42" s="518"/>
      <c r="E42" s="575">
        <f ca="1">'F90'!E42</f>
        <v>0</v>
      </c>
      <c r="F42" s="517"/>
      <c r="G42" s="480" t="e">
        <f ca="1">'F90'!G42</f>
        <v>#DIV/0!</v>
      </c>
      <c r="H42" s="483"/>
      <c r="I42" s="516" t="s">
        <v>112</v>
      </c>
      <c r="J42" s="503"/>
      <c r="K42" s="498"/>
      <c r="L42" s="518"/>
      <c r="M42" s="575" t="e">
        <f ca="1">'F90'!M42</f>
        <v>#DIV/0!</v>
      </c>
      <c r="N42" s="517"/>
      <c r="O42" s="480" t="e">
        <f ca="1">'F90'!O42</f>
        <v>#DIV/0!</v>
      </c>
      <c r="P42" s="562"/>
    </row>
    <row r="43" s="459" customFormat="1" ht="14.25" customHeight="1" spans="1:17">
      <c r="A43" s="516" t="s">
        <v>113</v>
      </c>
      <c r="B43" s="503"/>
      <c r="C43" s="498"/>
      <c r="D43" s="518"/>
      <c r="E43" s="575">
        <f ca="1">'F90'!E43</f>
        <v>0</v>
      </c>
      <c r="F43" s="517"/>
      <c r="G43" s="480" t="e">
        <f ca="1">'F90'!G43</f>
        <v>#DIV/0!</v>
      </c>
      <c r="I43" s="516" t="s">
        <v>114</v>
      </c>
      <c r="J43" s="503"/>
      <c r="K43" s="498"/>
      <c r="L43" s="518"/>
      <c r="M43" s="575" t="e">
        <f ca="1">'F90'!M43</f>
        <v>#DIV/0!</v>
      </c>
      <c r="N43" s="517"/>
      <c r="O43" s="480" t="e">
        <f ca="1">'F90'!O43</f>
        <v>#DIV/0!</v>
      </c>
      <c r="P43" s="562"/>
    </row>
    <row r="44" s="459" customFormat="1" ht="14.25" customHeight="1" spans="1:17">
      <c r="A44" s="516" t="s">
        <v>115</v>
      </c>
      <c r="B44" s="503"/>
      <c r="C44" s="498"/>
      <c r="D44" s="518"/>
      <c r="E44" s="576">
        <f ca="1">'F90'!E44</f>
        <v>0</v>
      </c>
      <c r="F44" s="517"/>
      <c r="G44" s="575" t="e">
        <f ca="1">'F90'!G44</f>
        <v>#DIV/0!</v>
      </c>
      <c r="I44" s="516" t="s">
        <v>115</v>
      </c>
      <c r="J44" s="503"/>
      <c r="K44" s="498"/>
      <c r="L44" s="518"/>
      <c r="M44" s="576" t="e">
        <f ca="1">'F90'!M44</f>
        <v>#DIV/0!</v>
      </c>
      <c r="N44" s="517"/>
      <c r="O44" s="576" t="e">
        <f ca="1">'F90'!O44</f>
        <v>#DIV/0!</v>
      </c>
      <c r="P44" s="562"/>
    </row>
    <row r="45" s="459" customFormat="1" ht="14.25" customHeight="1" spans="1:17">
      <c r="A45" s="516" t="s">
        <v>116</v>
      </c>
      <c r="B45" s="503"/>
      <c r="C45" s="498"/>
      <c r="D45" s="518"/>
      <c r="E45" s="576">
        <f ca="1">'F90'!E45</f>
        <v>0</v>
      </c>
      <c r="F45" s="517"/>
      <c r="G45" s="575" t="e">
        <f ca="1">'F90'!G45</f>
        <v>#DIV/0!</v>
      </c>
      <c r="I45" s="516" t="s">
        <v>116</v>
      </c>
      <c r="J45" s="503"/>
      <c r="K45" s="498"/>
      <c r="L45" s="518"/>
      <c r="M45" s="576" t="e">
        <f ca="1">'F90'!M45</f>
        <v>#DIV/0!</v>
      </c>
      <c r="N45" s="517"/>
      <c r="O45" s="576" t="e">
        <f ca="1">'F90'!O45</f>
        <v>#DIV/0!</v>
      </c>
      <c r="P45" s="562"/>
    </row>
    <row r="46" s="459" customFormat="1" ht="14.25" customHeight="1" spans="1:17">
      <c r="A46" s="516" t="s">
        <v>117</v>
      </c>
      <c r="B46" s="503"/>
      <c r="C46" s="498"/>
      <c r="D46" s="518"/>
      <c r="E46" s="576">
        <f ca="1">'F90'!E46</f>
        <v>0</v>
      </c>
      <c r="F46" s="517"/>
      <c r="G46" s="575" t="e">
        <f ca="1">'F90'!G46</f>
        <v>#DIV/0!</v>
      </c>
      <c r="I46" s="516" t="s">
        <v>117</v>
      </c>
      <c r="J46" s="503"/>
      <c r="K46" s="498"/>
      <c r="L46" s="518"/>
      <c r="M46" s="576" t="e">
        <f ca="1">'F90'!M46</f>
        <v>#DIV/0!</v>
      </c>
      <c r="N46" s="517"/>
      <c r="O46" s="576" t="e">
        <f ca="1">'F90'!O46</f>
        <v>#DIV/0!</v>
      </c>
      <c r="P46" s="562"/>
    </row>
    <row r="47" s="459" customFormat="1" ht="14.25" customHeight="1" spans="1:17">
      <c r="A47" s="516" t="s">
        <v>118</v>
      </c>
      <c r="B47" s="503"/>
      <c r="C47" s="498"/>
      <c r="D47" s="518"/>
      <c r="E47" s="576">
        <f ca="1">'F90'!E47</f>
        <v>0</v>
      </c>
      <c r="F47" s="517"/>
      <c r="G47" s="575" t="e">
        <f ca="1">'F90'!G47</f>
        <v>#DIV/0!</v>
      </c>
      <c r="I47" s="516" t="s">
        <v>118</v>
      </c>
      <c r="J47" s="503"/>
      <c r="K47" s="498"/>
      <c r="L47" s="518"/>
      <c r="M47" s="576" t="e">
        <f ca="1">'F90'!M47</f>
        <v>#DIV/0!</v>
      </c>
      <c r="N47" s="517"/>
      <c r="O47" s="576" t="e">
        <f ca="1">'F90'!O47</f>
        <v>#DIV/0!</v>
      </c>
      <c r="P47" s="562"/>
    </row>
    <row r="48" s="459" customFormat="1" ht="14.25" customHeight="1" spans="1:17">
      <c r="A48" s="516" t="s">
        <v>119</v>
      </c>
      <c r="B48" s="503"/>
      <c r="C48" s="498"/>
      <c r="D48" s="518"/>
      <c r="E48" s="576">
        <f ca="1">'F90'!E48</f>
        <v>0</v>
      </c>
      <c r="F48" s="517"/>
      <c r="G48" s="575" t="e">
        <f ca="1">'F90'!G48</f>
        <v>#DIV/0!</v>
      </c>
      <c r="I48" s="516" t="s">
        <v>119</v>
      </c>
      <c r="J48" s="503"/>
      <c r="K48" s="498"/>
      <c r="L48" s="518"/>
      <c r="M48" s="576" t="e">
        <f ca="1">'F90'!M48</f>
        <v>#DIV/0!</v>
      </c>
      <c r="N48" s="517"/>
      <c r="O48" s="576" t="e">
        <f ca="1">'F90'!O48</f>
        <v>#DIV/0!</v>
      </c>
      <c r="P48" s="562"/>
    </row>
    <row r="49" s="459" customFormat="1" ht="14.25" customHeight="1" spans="1:20">
      <c r="A49" s="516" t="s">
        <v>120</v>
      </c>
      <c r="B49" s="503"/>
      <c r="C49" s="498"/>
      <c r="D49" s="518"/>
      <c r="E49" s="576">
        <f ca="1">'F90'!E49</f>
        <v>0</v>
      </c>
      <c r="F49" s="517"/>
      <c r="G49" s="575" t="e">
        <f ca="1">'F90'!G49</f>
        <v>#DIV/0!</v>
      </c>
      <c r="I49" s="516" t="s">
        <v>120</v>
      </c>
      <c r="J49" s="503"/>
      <c r="K49" s="498"/>
      <c r="L49" s="518"/>
      <c r="M49" s="576" t="e">
        <f ca="1">'F90'!M49</f>
        <v>#DIV/0!</v>
      </c>
      <c r="N49" s="517"/>
      <c r="O49" s="576" t="e">
        <f ca="1">'F90'!O49</f>
        <v>#DIV/0!</v>
      </c>
      <c r="P49" s="562"/>
    </row>
    <row r="50" s="460" customFormat="1" ht="14.25" customHeight="1" spans="1:20">
      <c r="A50" s="516" t="s">
        <v>121</v>
      </c>
      <c r="B50" s="503"/>
      <c r="C50" s="498"/>
      <c r="D50" s="518"/>
      <c r="E50" s="576">
        <f ca="1">'F90'!E50</f>
        <v>0</v>
      </c>
      <c r="F50" s="517"/>
      <c r="G50" s="575" t="e">
        <f ca="1">'F90'!G50</f>
        <v>#DIV/0!</v>
      </c>
      <c r="H50" s="459"/>
      <c r="I50" s="516" t="s">
        <v>121</v>
      </c>
      <c r="J50" s="503"/>
      <c r="K50" s="498"/>
      <c r="L50" s="518"/>
      <c r="M50" s="576" t="e">
        <f ca="1">'F90'!M50</f>
        <v>#DIV/0!</v>
      </c>
      <c r="N50" s="517"/>
      <c r="O50" s="576" t="e">
        <f ca="1">'F90'!O50</f>
        <v>#DIV/0!</v>
      </c>
      <c r="P50" s="562"/>
    </row>
    <row r="51" s="459" customFormat="1" ht="14.25" customHeight="1" spans="1:20">
      <c r="A51" s="523" t="s">
        <v>122</v>
      </c>
      <c r="B51" s="485" t="s">
        <v>123</v>
      </c>
      <c r="C51" s="514"/>
      <c r="D51" s="515"/>
      <c r="E51" s="487">
        <f ca="1">E36+E10</f>
        <v>0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562"/>
    </row>
    <row r="52" s="540" customFormat="1" ht="14.25" customHeight="1" spans="1:20">
      <c r="A52" s="524" t="s">
        <v>124</v>
      </c>
      <c r="B52" s="485" t="s">
        <v>123</v>
      </c>
      <c r="C52" s="514"/>
      <c r="D52" s="515"/>
      <c r="E52" s="487">
        <f ca="1">E35-E36</f>
        <v>0</v>
      </c>
      <c r="F52" s="526"/>
      <c r="G52" s="487" t="e">
        <f ca="1">G35-G36</f>
        <v>#DIV/0!</v>
      </c>
      <c r="H52" s="527"/>
      <c r="I52" s="524" t="s">
        <v>124</v>
      </c>
      <c r="J52" s="48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562"/>
      <c r="Q52" s="475"/>
      <c r="R52" s="475"/>
      <c r="S52" s="475"/>
      <c r="T52" s="475"/>
    </row>
    <row r="53" customHeight="1" spans="1:20">
      <c r="A53" s="524" t="s">
        <v>125</v>
      </c>
      <c r="B53" s="485" t="s">
        <v>123</v>
      </c>
      <c r="C53" s="514"/>
      <c r="D53" s="515"/>
      <c r="E53" s="487">
        <f ca="1">E52+E37</f>
        <v>0</v>
      </c>
      <c r="F53" s="526"/>
      <c r="G53" s="487" t="e">
        <f ca="1">G52+G37</f>
        <v>#DIV/0!</v>
      </c>
      <c r="H53" s="527"/>
      <c r="I53" s="524" t="s">
        <v>125</v>
      </c>
      <c r="J53" s="48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customHeight="1" spans="1:20">
      <c r="A54" s="529" t="s">
        <v>126</v>
      </c>
      <c r="B54" s="530" t="s">
        <v>123</v>
      </c>
      <c r="C54" s="531"/>
      <c r="D54" s="532"/>
      <c r="E54" s="533">
        <f ca="1">E10-E11+E36-E25</f>
        <v>0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</row>
    <row r="55" customHeight="1" spans="1:20">
      <c r="A55" s="516" t="s">
        <v>127</v>
      </c>
      <c r="B55" s="681"/>
      <c r="C55" s="85"/>
      <c r="D55" s="85"/>
      <c r="E55" s="576">
        <f ca="1">'F90'!E55</f>
        <v>0</v>
      </c>
      <c r="F55" s="517"/>
      <c r="G55" s="575" t="e">
        <f ca="1">'F90'!G55</f>
        <v>#DIV/0!</v>
      </c>
      <c r="I55" s="516" t="s">
        <v>127</v>
      </c>
      <c r="J55" s="85"/>
      <c r="K55" s="85"/>
      <c r="L55" s="85"/>
      <c r="M55" s="576" t="e">
        <f ca="1">'F90'!M55</f>
        <v>#DIV/0!</v>
      </c>
      <c r="N55" s="517"/>
      <c r="O55" s="576" t="e">
        <f ca="1">'F90'!O55</f>
        <v>#DIV/0!</v>
      </c>
    </row>
    <row r="56" s="459" customFormat="1" customHeight="1" spans="1:20">
      <c r="A56" s="40"/>
      <c r="B56" s="461"/>
      <c r="C56" s="40"/>
      <c r="D56" s="40"/>
      <c r="E56" s="462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8" customHeight="1" spans="1:20">
      <c r="A58" s="582" t="s">
        <v>131</v>
      </c>
      <c r="B58" s="538"/>
      <c r="C58" s="459"/>
      <c r="D58" s="459"/>
      <c r="E58" s="539">
        <f ca="1">E35-'F90'!E35</f>
        <v>0</v>
      </c>
      <c r="F58" s="539"/>
      <c r="G58" s="539" t="e">
        <f ca="1">G35-'F90'!G35</f>
        <v>#DIV/0!</v>
      </c>
      <c r="H58" s="459"/>
      <c r="I58" s="459"/>
      <c r="J58" s="459"/>
      <c r="K58" s="459"/>
      <c r="L58" s="459" t="s">
        <v>132</v>
      </c>
      <c r="M58" s="499" t="e">
        <f ca="1">M35-'F90'!M35</f>
        <v>#DIV/0!</v>
      </c>
      <c r="N58" s="459"/>
      <c r="O58" s="539" t="e">
        <f ca="1">O35-'F90'!O35</f>
        <v>#DIV/0!</v>
      </c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569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98" name="Scroll Bar 2" r:id="rId4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>
    <tabColor theme="3"/>
  </sheetPr>
  <dimension ref="A1:Q60"/>
  <sheetViews>
    <sheetView workbookViewId="0">
      <pane xSplit="2" ySplit="4" topLeftCell="C29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6.875" style="40" customWidth="1"/>
    <col min="5" max="5" width="9" style="462" customWidth="1"/>
    <col min="6" max="6" width="9.5" style="40" customWidth="1"/>
    <col min="7" max="7" width="12.25" style="40" customWidth="1"/>
    <col min="8" max="8" width="10.125" style="40" customWidth="1"/>
    <col min="9" max="9" width="28" style="40" customWidth="1"/>
    <col min="10" max="10" width="5.125" style="40" customWidth="1"/>
    <col min="11" max="11" width="10.375" style="40" customWidth="1"/>
    <col min="12" max="12" width="7" style="40" customWidth="1"/>
    <col min="13" max="13" width="9.375" style="40" customWidth="1"/>
    <col min="14" max="14" width="11.5" style="40" customWidth="1"/>
    <col min="15" max="15" width="11.375" style="40" customWidth="1"/>
    <col min="16" max="16" width="9" style="40"/>
    <col min="17" max="17" width="10.5" style="40" customWidth="1"/>
    <col min="18" max="16384" width="9" style="40"/>
  </cols>
  <sheetData>
    <row r="1" s="458" customFormat="1" ht="42.75" customHeight="1" spans="1:17">
      <c r="A1" s="97" t="str">
        <f>CONCATENATE("果葡糖浆F55小包装综合成本利润表_含税(2024年"&amp;mth&amp;"月)")</f>
        <v>果葡糖浆F55小包装综合成本利润表_含税(2024年8月)</v>
      </c>
      <c r="B1" s="98"/>
      <c r="C1" s="98"/>
      <c r="D1" s="98"/>
      <c r="E1" s="98"/>
      <c r="F1" s="98"/>
      <c r="G1" s="98"/>
      <c r="I1" s="463" t="str">
        <f>CONCATENATE("果葡糖浆F55小包装综合成本利润表_含税(2024年1-"&amp;mth&amp;"月)")</f>
        <v>果葡糖浆F55小包装综合成本利润表_含税(2024年1-8月)</v>
      </c>
      <c r="J1" s="463"/>
      <c r="K1" s="463"/>
      <c r="L1" s="463"/>
      <c r="M1" s="463"/>
      <c r="N1" s="463"/>
      <c r="O1" s="463"/>
    </row>
    <row r="2" s="458" customFormat="1" customHeight="1" spans="1:17">
      <c r="A2" s="464"/>
      <c r="B2" s="464"/>
      <c r="C2" s="464"/>
      <c r="D2" s="465"/>
      <c r="E2" s="44"/>
      <c r="F2" s="584"/>
      <c r="G2" s="39"/>
      <c r="H2" s="585"/>
      <c r="M2" s="44"/>
      <c r="N2" s="584"/>
      <c r="O2" s="39"/>
    </row>
    <row r="3" s="38" customFormat="1" customHeight="1" spans="1:17">
      <c r="A3" s="39"/>
      <c r="E3" s="39" t="s">
        <v>133</v>
      </c>
      <c r="F3" s="466">
        <f ca="1">F55小包装!F3</f>
        <v>0</v>
      </c>
      <c r="G3" s="39" t="s">
        <v>75</v>
      </c>
      <c r="K3" s="552"/>
      <c r="M3" s="586" t="s">
        <v>76</v>
      </c>
      <c r="N3" s="466">
        <f ca="1">F55小包装!N3</f>
        <v>89.175</v>
      </c>
      <c r="O3" s="586" t="s">
        <v>75</v>
      </c>
    </row>
    <row r="4" s="459" customFormat="1" ht="14.25" customHeight="1" spans="1:17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7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4172.48594336978</v>
      </c>
      <c r="N5" s="472"/>
      <c r="O5" s="474">
        <f ca="1">O6-O7</f>
        <v>372081.434</v>
      </c>
      <c r="Q5" s="475"/>
    </row>
    <row r="6" s="459" customFormat="1" ht="14.25" customHeight="1" spans="1:17">
      <c r="A6" s="476" t="s">
        <v>84</v>
      </c>
      <c r="B6" s="477"/>
      <c r="C6" s="478"/>
      <c r="D6" s="479"/>
      <c r="E6" s="480">
        <f ca="1">OFFSET(销售收入及运费!C87,0,mth-1,1,1)</f>
        <v>0</v>
      </c>
      <c r="F6" s="479"/>
      <c r="G6" s="480">
        <f ca="1">E6*$F$3</f>
        <v>0</v>
      </c>
      <c r="H6" s="510"/>
      <c r="I6" s="481" t="s">
        <v>84</v>
      </c>
      <c r="J6" s="477"/>
      <c r="K6" s="478"/>
      <c r="L6" s="479"/>
      <c r="M6" s="480">
        <f ca="1">销售收入及运费!O87</f>
        <v>5163.53218054388</v>
      </c>
      <c r="N6" s="482"/>
      <c r="O6" s="480">
        <f ca="1">M6*$N$3</f>
        <v>460457.9822</v>
      </c>
      <c r="Q6" s="475"/>
    </row>
    <row r="7" s="459" customFormat="1" ht="14.25" customHeight="1" spans="1:17">
      <c r="A7" s="476" t="s">
        <v>85</v>
      </c>
      <c r="B7" s="477"/>
      <c r="C7" s="479"/>
      <c r="D7" s="479"/>
      <c r="E7" s="480">
        <f ca="1">OFFSET(销售收入及运费!C185,0,mth-1,1,1)</f>
        <v>0</v>
      </c>
      <c r="F7" s="479"/>
      <c r="G7" s="480">
        <f ca="1">E7*$F$3</f>
        <v>0</v>
      </c>
      <c r="H7" s="510"/>
      <c r="I7" s="476" t="s">
        <v>85</v>
      </c>
      <c r="J7" s="477"/>
      <c r="K7" s="479"/>
      <c r="L7" s="479"/>
      <c r="M7" s="480">
        <f ca="1">销售收入及运费!O185</f>
        <v>991.046237174096</v>
      </c>
      <c r="N7" s="479"/>
      <c r="O7" s="480">
        <f ca="1">M7*$N$3</f>
        <v>88376.5482</v>
      </c>
      <c r="Q7" s="475"/>
    </row>
    <row r="8" s="459" customFormat="1" ht="14.25" customHeight="1" spans="1:17">
      <c r="A8" s="476" t="s">
        <v>86</v>
      </c>
      <c r="B8" s="477"/>
      <c r="C8" s="479"/>
      <c r="D8" s="479"/>
      <c r="E8" s="480" t="e">
        <f ca="1">F55小包装!E8*1.09</f>
        <v>#DIV/0!</v>
      </c>
      <c r="F8" s="479"/>
      <c r="G8" s="480" t="e">
        <f ca="1">E8*$F$3</f>
        <v>#DIV/0!</v>
      </c>
      <c r="H8" s="510"/>
      <c r="I8" s="476" t="s">
        <v>86</v>
      </c>
      <c r="J8" s="477"/>
      <c r="K8" s="479"/>
      <c r="L8" s="479"/>
      <c r="M8" s="480">
        <f ca="1">F55小包装!M8*1.09</f>
        <v>102.170433417438</v>
      </c>
      <c r="N8" s="479"/>
      <c r="O8" s="480">
        <f ca="1">M8*$N$3</f>
        <v>9111.0484</v>
      </c>
      <c r="Q8" s="475"/>
    </row>
    <row r="9" s="459" customFormat="1" ht="14.25" customHeight="1" spans="1:17">
      <c r="A9" s="476" t="s">
        <v>87</v>
      </c>
      <c r="B9" s="477"/>
      <c r="C9" s="479"/>
      <c r="D9" s="479"/>
      <c r="E9" s="480" t="e">
        <f ca="1">F55小包装!E9*1.13</f>
        <v>#DIV/0!</v>
      </c>
      <c r="F9" s="479"/>
      <c r="G9" s="480" t="e">
        <f ca="1">E9*$F$3</f>
        <v>#DIV/0!</v>
      </c>
      <c r="H9" s="510"/>
      <c r="I9" s="476" t="s">
        <v>87</v>
      </c>
      <c r="J9" s="477"/>
      <c r="K9" s="479"/>
      <c r="L9" s="479"/>
      <c r="M9" s="480">
        <f ca="1">F55小包装!M9*1.13</f>
        <v>888.875803756658</v>
      </c>
      <c r="N9" s="479"/>
      <c r="O9" s="480">
        <f ca="1">M9*$N$3</f>
        <v>79265.4998</v>
      </c>
      <c r="Q9" s="475"/>
    </row>
    <row r="10" s="459" customFormat="1" ht="14.25" customHeight="1" spans="1:17">
      <c r="A10" s="484" t="s">
        <v>88</v>
      </c>
      <c r="B10" s="485"/>
      <c r="C10" s="486"/>
      <c r="D10" s="486"/>
      <c r="E10" s="487" t="e">
        <f ca="1">E11+E13+E26+E31+E34+E25</f>
        <v>#DIV/0!</v>
      </c>
      <c r="F10" s="488"/>
      <c r="G10" s="487" t="e">
        <f ca="1">G11+G13+G26+G31+G34+G25</f>
        <v>#DIV/0!</v>
      </c>
      <c r="H10" s="510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O11+O13+O26+O31+O34+O25</f>
        <v>#DIV/0!</v>
      </c>
      <c r="Q10" s="475"/>
    </row>
    <row r="11" s="459" customFormat="1" ht="14.25" customHeight="1" spans="1:17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10"/>
      <c r="I11" s="489" t="s">
        <v>89</v>
      </c>
      <c r="J11" s="490" t="s">
        <v>75</v>
      </c>
      <c r="K11" s="491">
        <f ca="1">IF(N11=0,0,O11/N11)</f>
        <v>2824.36837726118</v>
      </c>
      <c r="L11" s="492">
        <f ca="1">IF(K11=0,0,M11/K11)</f>
        <v>0.848770030048684</v>
      </c>
      <c r="M11" s="491">
        <f ca="1">M12</f>
        <v>2397.23923243652</v>
      </c>
      <c r="N11" s="491">
        <f ca="1">N12</f>
        <v>75.6890674295913</v>
      </c>
      <c r="O11" s="491">
        <f ca="1">O12</f>
        <v>213773.808552527</v>
      </c>
      <c r="Q11" s="475"/>
    </row>
    <row r="12" s="459" customFormat="1" ht="14.25" customHeight="1" spans="1:17">
      <c r="A12" s="502" t="s">
        <v>90</v>
      </c>
      <c r="B12" s="503" t="s">
        <v>75</v>
      </c>
      <c r="C12" s="507">
        <f ca="1">F55小包装!C12*1.13</f>
        <v>0</v>
      </c>
      <c r="D12" s="497">
        <f ca="1">F55小包装!D12</f>
        <v>0</v>
      </c>
      <c r="E12" s="480">
        <f ca="1">F55小包装!E12*1.13</f>
        <v>0</v>
      </c>
      <c r="F12" s="507">
        <f ca="1">F55小包装!F12</f>
        <v>0</v>
      </c>
      <c r="G12" s="480">
        <f ca="1">F55小包装!G12*1.13</f>
        <v>0</v>
      </c>
      <c r="H12" s="510"/>
      <c r="I12" s="502" t="s">
        <v>90</v>
      </c>
      <c r="J12" s="503" t="s">
        <v>75</v>
      </c>
      <c r="K12" s="507">
        <f ca="1">分配表!O71</f>
        <v>2824.36837726118</v>
      </c>
      <c r="L12" s="497">
        <f ca="1">F55小包装!L12</f>
        <v>0.848770030048684</v>
      </c>
      <c r="M12" s="496">
        <f ca="1">K12*L12</f>
        <v>2397.23923243652</v>
      </c>
      <c r="N12" s="507">
        <f ca="1">L12*N3</f>
        <v>75.6890674295913</v>
      </c>
      <c r="O12" s="496">
        <f ca="1">K12*N12</f>
        <v>213773.808552527</v>
      </c>
      <c r="P12" s="589"/>
      <c r="Q12" s="475"/>
    </row>
    <row r="13" s="459" customFormat="1" ht="14.25" customHeight="1" spans="1:17">
      <c r="A13" s="489" t="s">
        <v>130</v>
      </c>
      <c r="B13" s="490"/>
      <c r="C13" s="501"/>
      <c r="D13" s="492"/>
      <c r="E13" s="491" t="e">
        <f ca="1">SUM(E14:E24)</f>
        <v>#DIV/0!</v>
      </c>
      <c r="F13" s="491"/>
      <c r="G13" s="491" t="e">
        <f ca="1">SUM(G14:G24)</f>
        <v>#DIV/0!</v>
      </c>
      <c r="H13" s="510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39"/>
      <c r="Q13" s="475"/>
    </row>
    <row r="14" s="459" customFormat="1" ht="14.25" customHeight="1" spans="1:17">
      <c r="A14" s="502" t="s">
        <v>136</v>
      </c>
      <c r="B14" s="503" t="s">
        <v>167</v>
      </c>
      <c r="C14" s="505">
        <f ca="1">F55小包装!C14*1.13</f>
        <v>0</v>
      </c>
      <c r="D14" s="505">
        <f ca="1">F55小包装!D14</f>
        <v>0</v>
      </c>
      <c r="E14" s="480">
        <f ca="1">F55小包装!E14*1.13</f>
        <v>0</v>
      </c>
      <c r="F14" s="507">
        <f ca="1">F55小包装!F14</f>
        <v>0</v>
      </c>
      <c r="G14" s="480">
        <f ca="1">F55小包装!G14*1.13</f>
        <v>0</v>
      </c>
      <c r="H14" s="510"/>
      <c r="I14" s="502" t="s">
        <v>136</v>
      </c>
      <c r="J14" s="503" t="s">
        <v>167</v>
      </c>
      <c r="K14" s="505">
        <f ca="1">F55小包装!K14*1.13</f>
        <v>1.16800728160139</v>
      </c>
      <c r="L14" s="505">
        <f ca="1">F55小包装!L14</f>
        <v>4.55787434531979</v>
      </c>
      <c r="M14" s="506">
        <f ca="1">K14*L14</f>
        <v>5.32363042395768</v>
      </c>
      <c r="N14" s="507">
        <f ca="1">F55小包装!N14</f>
        <v>406.448444743892</v>
      </c>
      <c r="O14" s="496">
        <f ca="1">M14*$N$3</f>
        <v>474.734743056426</v>
      </c>
      <c r="P14" s="539"/>
      <c r="Q14" s="475"/>
    </row>
    <row r="15" s="459" customFormat="1" ht="14.25" customHeight="1" spans="1:17">
      <c r="A15" s="502" t="s">
        <v>137</v>
      </c>
      <c r="B15" s="503" t="s">
        <v>167</v>
      </c>
      <c r="C15" s="505">
        <f ca="1">F55小包装!C15*1.13</f>
        <v>0</v>
      </c>
      <c r="D15" s="505">
        <f ca="1">F55小包装!D15</f>
        <v>0</v>
      </c>
      <c r="E15" s="480">
        <f ca="1">F55小包装!E15*1.13</f>
        <v>0</v>
      </c>
      <c r="F15" s="507">
        <f ca="1">F55小包装!F15</f>
        <v>0</v>
      </c>
      <c r="G15" s="480">
        <f ca="1">F55小包装!G15*1.13</f>
        <v>0</v>
      </c>
      <c r="H15" s="510"/>
      <c r="I15" s="502" t="s">
        <v>137</v>
      </c>
      <c r="J15" s="503" t="s">
        <v>167</v>
      </c>
      <c r="K15" s="505">
        <f ca="1">F55小包装!K15*1.13</f>
        <v>3.57679310644649</v>
      </c>
      <c r="L15" s="505">
        <f ca="1">F55小包装!L15</f>
        <v>5.06258686051769</v>
      </c>
      <c r="M15" s="506">
        <f ca="1" t="shared" ref="M15:M22" si="0">K15*L15</f>
        <v>18.1078257834863</v>
      </c>
      <c r="N15" s="507">
        <f ca="1">F55小包装!N15</f>
        <v>451.456183286665</v>
      </c>
      <c r="O15" s="496">
        <f ca="1">M15*$N$3</f>
        <v>1614.76536424239</v>
      </c>
      <c r="Q15" s="475"/>
    </row>
    <row r="16" s="459" customFormat="1" ht="14.25" customHeight="1" spans="1:17">
      <c r="A16" s="502" t="s">
        <v>138</v>
      </c>
      <c r="B16" s="503" t="s">
        <v>167</v>
      </c>
      <c r="C16" s="505">
        <f ca="1">F55小包装!C16*1.13</f>
        <v>0</v>
      </c>
      <c r="D16" s="505">
        <f ca="1">F55小包装!D16</f>
        <v>0</v>
      </c>
      <c r="E16" s="480">
        <f ca="1">F55小包装!E16*1.13</f>
        <v>0</v>
      </c>
      <c r="F16" s="507">
        <f ca="1">F55小包装!F16</f>
        <v>0</v>
      </c>
      <c r="G16" s="480">
        <f ca="1">F55小包装!G16*1.13</f>
        <v>0</v>
      </c>
      <c r="H16" s="510"/>
      <c r="I16" s="502" t="s">
        <v>138</v>
      </c>
      <c r="J16" s="503" t="s">
        <v>167</v>
      </c>
      <c r="K16" s="505">
        <f ca="1">F55小包装!K16*1.13</f>
        <v>2.94350314079422</v>
      </c>
      <c r="L16" s="505">
        <f ca="1">F55小包装!L16</f>
        <v>0.766508435750828</v>
      </c>
      <c r="M16" s="506">
        <f ca="1" t="shared" si="0"/>
        <v>2.25621998807783</v>
      </c>
      <c r="N16" s="507">
        <f ca="1">F55小包装!N16</f>
        <v>68.3533897580801</v>
      </c>
      <c r="O16" s="496">
        <f ca="1" t="shared" ref="O16:O22" si="1">M16*$N$3</f>
        <v>201.19841743684</v>
      </c>
      <c r="Q16" s="475"/>
    </row>
    <row r="17" s="459" customFormat="1" ht="14.25" customHeight="1" spans="1:17">
      <c r="A17" s="502" t="s">
        <v>139</v>
      </c>
      <c r="B17" s="503" t="s">
        <v>167</v>
      </c>
      <c r="C17" s="505">
        <f ca="1">F55小包装!C17*1.13</f>
        <v>0</v>
      </c>
      <c r="D17" s="505">
        <f ca="1">F55小包装!D17</f>
        <v>0</v>
      </c>
      <c r="E17" s="480">
        <f ca="1">F55小包装!E17*1.13</f>
        <v>0</v>
      </c>
      <c r="F17" s="507">
        <f ca="1">F55小包装!F17</f>
        <v>0</v>
      </c>
      <c r="G17" s="480">
        <f ca="1">F55小包装!G17*1.13</f>
        <v>0</v>
      </c>
      <c r="H17" s="510"/>
      <c r="I17" s="502" t="s">
        <v>139</v>
      </c>
      <c r="J17" s="503" t="s">
        <v>167</v>
      </c>
      <c r="K17" s="505">
        <f ca="1">F55小包装!K17*1.13</f>
        <v>8.00006266464471</v>
      </c>
      <c r="L17" s="505">
        <f ca="1">F55小包装!L17</f>
        <v>1.59987183011964</v>
      </c>
      <c r="M17" s="506">
        <f ca="1" t="shared" si="0"/>
        <v>12.7990748963569</v>
      </c>
      <c r="N17" s="507">
        <f ca="1">F55小包装!N17</f>
        <v>142.668570450919</v>
      </c>
      <c r="O17" s="496">
        <f ca="1" t="shared" si="1"/>
        <v>1141.35750388263</v>
      </c>
      <c r="Q17" s="475"/>
    </row>
    <row r="18" s="459" customFormat="1" ht="14.25" customHeight="1" spans="1:17">
      <c r="A18" s="502" t="s">
        <v>140</v>
      </c>
      <c r="B18" s="503" t="s">
        <v>167</v>
      </c>
      <c r="C18" s="505">
        <f ca="1">F55小包装!C18*1.13</f>
        <v>0</v>
      </c>
      <c r="D18" s="505">
        <f ca="1">F55小包装!D18</f>
        <v>0</v>
      </c>
      <c r="E18" s="480">
        <f ca="1">F55小包装!E18*1.13</f>
        <v>0</v>
      </c>
      <c r="F18" s="507">
        <f ca="1">F55小包装!F18</f>
        <v>0</v>
      </c>
      <c r="G18" s="480">
        <f ca="1">F55小包装!G18*1.13</f>
        <v>0</v>
      </c>
      <c r="H18" s="510"/>
      <c r="I18" s="502" t="s">
        <v>140</v>
      </c>
      <c r="J18" s="503" t="s">
        <v>167</v>
      </c>
      <c r="K18" s="505">
        <f ca="1">F55小包装!K18*1.13</f>
        <v>54.0155926492147</v>
      </c>
      <c r="L18" s="505">
        <f ca="1">F55小包装!L18</f>
        <v>0.0825190470672785</v>
      </c>
      <c r="M18" s="506">
        <f ca="1" t="shared" si="0"/>
        <v>4.45731523218749</v>
      </c>
      <c r="N18" s="507">
        <f ca="1">F55小包装!N18</f>
        <v>7.35863602222456</v>
      </c>
      <c r="O18" s="496">
        <f ca="1" t="shared" si="1"/>
        <v>397.481085830319</v>
      </c>
      <c r="Q18" s="475"/>
    </row>
    <row r="19" s="459" customFormat="1" ht="14.25" customHeight="1" spans="1:17">
      <c r="A19" s="502" t="s">
        <v>141</v>
      </c>
      <c r="B19" s="503" t="s">
        <v>167</v>
      </c>
      <c r="C19" s="505">
        <f ca="1">F55小包装!C19*1.13</f>
        <v>0</v>
      </c>
      <c r="D19" s="505">
        <f ca="1">F55小包装!D19</f>
        <v>0</v>
      </c>
      <c r="E19" s="480">
        <f ca="1">F55小包装!E19*1.13</f>
        <v>0</v>
      </c>
      <c r="F19" s="507">
        <f ca="1">F55小包装!F19</f>
        <v>0</v>
      </c>
      <c r="G19" s="480">
        <f ca="1">F55小包装!G19*1.13</f>
        <v>0</v>
      </c>
      <c r="H19" s="510"/>
      <c r="I19" s="502" t="s">
        <v>141</v>
      </c>
      <c r="J19" s="503" t="s">
        <v>167</v>
      </c>
      <c r="K19" s="505">
        <f ca="1">F55小包装!K19*1.13</f>
        <v>36.3830972699914</v>
      </c>
      <c r="L19" s="505">
        <f ca="1">F55小包装!L19</f>
        <v>0.16120775745773</v>
      </c>
      <c r="M19" s="506">
        <f ca="1" t="shared" si="0"/>
        <v>5.86523752026179</v>
      </c>
      <c r="N19" s="507">
        <f ca="1">F55小包装!N19</f>
        <v>14.3757017712931</v>
      </c>
      <c r="O19" s="496">
        <f ca="1" t="shared" si="1"/>
        <v>523.032555869345</v>
      </c>
      <c r="Q19" s="475"/>
    </row>
    <row r="20" s="459" customFormat="1" ht="14.25" customHeight="1" spans="1:17">
      <c r="A20" s="502" t="s">
        <v>142</v>
      </c>
      <c r="B20" s="503" t="s">
        <v>167</v>
      </c>
      <c r="C20" s="505">
        <f ca="1">F55小包装!C20*1.13</f>
        <v>0</v>
      </c>
      <c r="D20" s="505">
        <f ca="1">F55小包装!D20</f>
        <v>0</v>
      </c>
      <c r="E20" s="480">
        <f ca="1">F55小包装!E20*1.13</f>
        <v>0</v>
      </c>
      <c r="F20" s="507">
        <f ca="1">F55小包装!F20</f>
        <v>0</v>
      </c>
      <c r="G20" s="480">
        <f ca="1">F55小包装!G20*1.13</f>
        <v>0</v>
      </c>
      <c r="H20" s="510"/>
      <c r="I20" s="502" t="s">
        <v>142</v>
      </c>
      <c r="J20" s="503" t="s">
        <v>167</v>
      </c>
      <c r="K20" s="505">
        <f ca="1">F55小包装!K20*1.13</f>
        <v>246.992032636057</v>
      </c>
      <c r="L20" s="505">
        <f ca="1">F55小包装!L20</f>
        <v>0.0977000320036674</v>
      </c>
      <c r="M20" s="506">
        <f ca="1" t="shared" si="0"/>
        <v>24.1311294931937</v>
      </c>
      <c r="N20" s="507">
        <f ca="1">F55小包装!N20</f>
        <v>8.71240035392704</v>
      </c>
      <c r="O20" s="496">
        <f ca="1" t="shared" si="1"/>
        <v>2151.89347255555</v>
      </c>
      <c r="Q20" s="475"/>
    </row>
    <row r="21" s="459" customFormat="1" ht="14.25" customHeight="1" spans="1:17">
      <c r="A21" s="502" t="s">
        <v>150</v>
      </c>
      <c r="B21" s="503" t="s">
        <v>167</v>
      </c>
      <c r="C21" s="505">
        <f ca="1">F55小包装!C21*1.13</f>
        <v>0</v>
      </c>
      <c r="D21" s="505">
        <f ca="1">F55小包装!D21</f>
        <v>0</v>
      </c>
      <c r="E21" s="480">
        <f ca="1">F55小包装!E21*1.13</f>
        <v>0</v>
      </c>
      <c r="F21" s="507">
        <f ca="1">F55小包装!F21</f>
        <v>0</v>
      </c>
      <c r="G21" s="480">
        <f ca="1">F55小包装!G21*1.13</f>
        <v>0</v>
      </c>
      <c r="H21" s="510"/>
      <c r="I21" s="502" t="s">
        <v>150</v>
      </c>
      <c r="J21" s="503" t="s">
        <v>167</v>
      </c>
      <c r="K21" s="505">
        <f ca="1">F55小包装!K21*1.13</f>
        <v>1.1068060104712</v>
      </c>
      <c r="L21" s="505">
        <f ca="1">F55小包装!L21</f>
        <v>0.496079591655948</v>
      </c>
      <c r="M21" s="506">
        <f ca="1" t="shared" si="0"/>
        <v>0.549063873716904</v>
      </c>
      <c r="N21" s="507">
        <f ca="1">F55小包装!N21</f>
        <v>44.2378975859192</v>
      </c>
      <c r="O21" s="496">
        <f ca="1" t="shared" si="1"/>
        <v>48.9627709387049</v>
      </c>
      <c r="Q21" s="475"/>
    </row>
    <row r="22" s="459" customFormat="1" ht="14.25" customHeight="1" spans="1:17">
      <c r="A22" s="502" t="s">
        <v>145</v>
      </c>
      <c r="B22" s="503" t="s">
        <v>167</v>
      </c>
      <c r="C22" s="505">
        <f ca="1">F55小包装!C22*1.13</f>
        <v>0</v>
      </c>
      <c r="D22" s="505">
        <f ca="1">F55小包装!D22</f>
        <v>0</v>
      </c>
      <c r="E22" s="480">
        <f ca="1">F55小包装!E22*1.13</f>
        <v>0</v>
      </c>
      <c r="F22" s="507">
        <f ca="1">F55小包装!F22</f>
        <v>0</v>
      </c>
      <c r="G22" s="480">
        <f ca="1">F55小包装!G22*1.13</f>
        <v>0</v>
      </c>
      <c r="H22" s="510"/>
      <c r="I22" s="502" t="s">
        <v>145</v>
      </c>
      <c r="J22" s="503" t="s">
        <v>167</v>
      </c>
      <c r="K22" s="505">
        <f ca="1">F55小包装!K22*1.13</f>
        <v>2.09737053412463</v>
      </c>
      <c r="L22" s="505">
        <f ca="1">F55小包装!L22</f>
        <v>0.291815846685822</v>
      </c>
      <c r="M22" s="506">
        <f ca="1" t="shared" si="0"/>
        <v>0.612045958229473</v>
      </c>
      <c r="N22" s="507">
        <f ca="1">F55小包装!N22</f>
        <v>26.0226781282082</v>
      </c>
      <c r="O22" s="496">
        <f ca="1" t="shared" si="1"/>
        <v>54.5791983251132</v>
      </c>
      <c r="Q22" s="475"/>
    </row>
    <row r="23" s="459" customFormat="1" ht="14.25" customHeight="1" spans="1:17">
      <c r="A23" s="502" t="s">
        <v>146</v>
      </c>
      <c r="B23" s="503" t="s">
        <v>167</v>
      </c>
      <c r="C23" s="505">
        <f>F55小包装!C23*1.13</f>
        <v>0</v>
      </c>
      <c r="D23" s="505">
        <f>F55小包装!D23</f>
        <v>0</v>
      </c>
      <c r="E23" s="480">
        <f ca="1">F55小包装!E23*1.13</f>
        <v>0</v>
      </c>
      <c r="F23" s="507">
        <f>F55小包装!F23</f>
        <v>0</v>
      </c>
      <c r="G23" s="480" t="e">
        <f ca="1">F55小包装!G23*1.13</f>
        <v>#DIV/0!</v>
      </c>
      <c r="H23" s="510"/>
      <c r="I23" s="502" t="s">
        <v>146</v>
      </c>
      <c r="J23" s="503" t="s">
        <v>167</v>
      </c>
      <c r="K23" s="505">
        <f>F55小包装!K23*1.13</f>
        <v>0</v>
      </c>
      <c r="L23" s="505">
        <f>F55小包装!L23</f>
        <v>0</v>
      </c>
      <c r="M23" s="506">
        <f ca="1">IF($N$3=0,0,O23/$N$3)</f>
        <v>0</v>
      </c>
      <c r="N23" s="507">
        <f>F55小包装!N23</f>
        <v>0</v>
      </c>
      <c r="O23" s="507">
        <f ca="1">基础表!O241</f>
        <v>0</v>
      </c>
      <c r="Q23" s="475"/>
    </row>
    <row r="24" s="459" customFormat="1" ht="14.25" customHeight="1" spans="1:17">
      <c r="A24" s="502" t="s">
        <v>151</v>
      </c>
      <c r="B24" s="503"/>
      <c r="C24" s="505"/>
      <c r="D24" s="505"/>
      <c r="E24" s="566" t="e">
        <f ca="1">F55小包装!E24*1.13</f>
        <v>#DIV/0!</v>
      </c>
      <c r="F24" s="507"/>
      <c r="G24" s="480" t="e">
        <f ca="1">F55小包装!G24*1.13</f>
        <v>#DIV/0!</v>
      </c>
      <c r="H24" s="510"/>
      <c r="I24" s="502" t="s">
        <v>151</v>
      </c>
      <c r="J24" s="503"/>
      <c r="K24" s="505"/>
      <c r="L24" s="505"/>
      <c r="M24" s="505" t="e">
        <f ca="1">IF($N$3=0,0,O24/$N$3)</f>
        <v>#DIV/0!</v>
      </c>
      <c r="N24" s="507"/>
      <c r="O24" s="507" t="e">
        <f ca="1">F55小包装!O24*1.13</f>
        <v>#DIV/0!</v>
      </c>
      <c r="Q24" s="475"/>
    </row>
    <row r="25" s="459" customFormat="1" ht="14.25" customHeight="1" spans="1:17">
      <c r="A25" s="508" t="s">
        <v>93</v>
      </c>
      <c r="B25" s="490"/>
      <c r="C25" s="501"/>
      <c r="D25" s="492"/>
      <c r="E25" s="491"/>
      <c r="F25" s="491"/>
      <c r="G25" s="491"/>
      <c r="H25" s="510"/>
      <c r="I25" s="508" t="s">
        <v>93</v>
      </c>
      <c r="J25" s="490"/>
      <c r="K25" s="501"/>
      <c r="L25" s="492"/>
      <c r="M25" s="491"/>
      <c r="N25" s="491"/>
      <c r="O25" s="491"/>
      <c r="Q25" s="475"/>
    </row>
    <row r="26" s="459" customFormat="1" ht="14.25" customHeight="1" spans="1:17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H26" s="510"/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Q26" s="475"/>
    </row>
    <row r="27" s="459" customFormat="1" ht="14.25" customHeight="1" spans="1:17">
      <c r="A27" s="502" t="s">
        <v>95</v>
      </c>
      <c r="B27" s="503" t="s">
        <v>75</v>
      </c>
      <c r="C27" s="566">
        <f ca="1">OFFSET(分配表!C306,0,mth-1,1,1)</f>
        <v>0</v>
      </c>
      <c r="D27" s="497">
        <f ca="1">F55小包装!D27</f>
        <v>0</v>
      </c>
      <c r="E27" s="507">
        <f ca="1">C27*D27</f>
        <v>0</v>
      </c>
      <c r="F27" s="507">
        <f ca="1">F55小包装!F27</f>
        <v>0</v>
      </c>
      <c r="G27" s="507">
        <f ca="1">E27*F$3</f>
        <v>0</v>
      </c>
      <c r="H27" s="510"/>
      <c r="I27" s="502" t="s">
        <v>95</v>
      </c>
      <c r="J27" s="503" t="s">
        <v>75</v>
      </c>
      <c r="K27" s="567">
        <f ca="1">分配表!O306</f>
        <v>408.530937837231</v>
      </c>
      <c r="L27" s="497">
        <f ca="1">IF($N$3=0,0,N27/$N$3)</f>
        <v>0.308599320251534</v>
      </c>
      <c r="M27" s="509">
        <f ca="1">K27*L27</f>
        <v>126.072369718291</v>
      </c>
      <c r="N27" s="507">
        <f ca="1">F55小包装!N27</f>
        <v>27.5193443834305</v>
      </c>
      <c r="O27" s="507">
        <f ca="1">M27*N$3</f>
        <v>11242.5035696286</v>
      </c>
      <c r="Q27" s="475"/>
    </row>
    <row r="28" s="459" customFormat="1" ht="14.25" customHeight="1" spans="1:17">
      <c r="A28" s="502" t="s">
        <v>96</v>
      </c>
      <c r="B28" s="503" t="s">
        <v>97</v>
      </c>
      <c r="C28" s="566">
        <f ca="1">F55小包装!C28*1.13</f>
        <v>0</v>
      </c>
      <c r="D28" s="505">
        <f ca="1">F55小包装!D28</f>
        <v>0</v>
      </c>
      <c r="E28" s="480">
        <f ca="1">F55小包装!E28*1.13</f>
        <v>0</v>
      </c>
      <c r="F28" s="507">
        <f ca="1">F55小包装!F28</f>
        <v>0</v>
      </c>
      <c r="G28" s="480">
        <f ca="1">F55小包装!G28*1.13</f>
        <v>0</v>
      </c>
      <c r="H28" s="510"/>
      <c r="I28" s="502" t="s">
        <v>96</v>
      </c>
      <c r="J28" s="503" t="s">
        <v>97</v>
      </c>
      <c r="K28" s="566">
        <f ca="1">分配表!O325</f>
        <v>0.769119583630169</v>
      </c>
      <c r="L28" s="505" t="e">
        <f ca="1">IF($N$3=0,0,N28/$N$3)</f>
        <v>#DIV/0!</v>
      </c>
      <c r="M28" s="509" t="e">
        <f ca="1">K28*L28</f>
        <v>#DIV/0!</v>
      </c>
      <c r="N28" s="507" t="e">
        <f ca="1">F55小包装!N28</f>
        <v>#DIV/0!</v>
      </c>
      <c r="O28" s="509" t="e">
        <f ca="1">M28*N$3</f>
        <v>#DIV/0!</v>
      </c>
      <c r="Q28" s="475"/>
    </row>
    <row r="29" s="459" customFormat="1" ht="14.25" customHeight="1" spans="1:17">
      <c r="A29" s="502" t="s">
        <v>98</v>
      </c>
      <c r="B29" s="503" t="s">
        <v>75</v>
      </c>
      <c r="C29" s="566">
        <f>3.32+0.9*2.97</f>
        <v>5.993</v>
      </c>
      <c r="D29" s="505">
        <f ca="1">F55小包装!D29</f>
        <v>0</v>
      </c>
      <c r="E29" s="480">
        <f ca="1">D29*C29</f>
        <v>0</v>
      </c>
      <c r="F29" s="507">
        <f ca="1">F55小包装!F29</f>
        <v>0</v>
      </c>
      <c r="G29" s="480">
        <f ca="1">E29*F3</f>
        <v>0</v>
      </c>
      <c r="H29" s="510"/>
      <c r="I29" s="502" t="s">
        <v>98</v>
      </c>
      <c r="J29" s="503" t="s">
        <v>75</v>
      </c>
      <c r="K29" s="566">
        <f>3.32+0.9*2.97</f>
        <v>5.993</v>
      </c>
      <c r="L29" s="505" t="e">
        <f ca="1">IF($N$3=0,0,N29/$N$3)</f>
        <v>#DIV/0!</v>
      </c>
      <c r="M29" s="509" t="e">
        <f ca="1">L29*K29</f>
        <v>#DIV/0!</v>
      </c>
      <c r="N29" s="507" t="e">
        <f ca="1">F55小包装!N29</f>
        <v>#DIV/0!</v>
      </c>
      <c r="O29" s="509" t="e">
        <f ca="1">M29*N3</f>
        <v>#DIV/0!</v>
      </c>
      <c r="Q29" s="475"/>
    </row>
    <row r="30" s="459" customFormat="1" ht="14.25" customHeight="1" spans="1:17">
      <c r="A30" s="502" t="s">
        <v>99</v>
      </c>
      <c r="B30" s="503" t="s">
        <v>75</v>
      </c>
      <c r="C30" s="566">
        <f ca="1">F55小包装!C30*1.13</f>
        <v>0</v>
      </c>
      <c r="D30" s="505">
        <f ca="1">F55小包装!D30</f>
        <v>0</v>
      </c>
      <c r="E30" s="480">
        <f ca="1">F55小包装!E30*1.13</f>
        <v>0</v>
      </c>
      <c r="F30" s="507">
        <f ca="1">F55小包装!F30</f>
        <v>0</v>
      </c>
      <c r="G30" s="480">
        <f ca="1">F55小包装!G30*1.13</f>
        <v>0</v>
      </c>
      <c r="H30" s="510"/>
      <c r="I30" s="502" t="s">
        <v>99</v>
      </c>
      <c r="J30" s="503" t="s">
        <v>75</v>
      </c>
      <c r="K30" s="566">
        <f>F55小包装!K30*1.13</f>
        <v>0</v>
      </c>
      <c r="L30" s="505">
        <f ca="1">IF($N$3=0,0,N30/$N$3)</f>
        <v>0</v>
      </c>
      <c r="M30" s="480">
        <f ca="1">F55小包装!M30*1.13</f>
        <v>0</v>
      </c>
      <c r="N30" s="507">
        <f ca="1">F55小包装!N30</f>
        <v>0</v>
      </c>
      <c r="O30" s="480">
        <f ca="1">F55小包装!O30*1.13</f>
        <v>0</v>
      </c>
      <c r="Q30" s="475"/>
    </row>
    <row r="31" s="459" customFormat="1" ht="14.25" customHeight="1" spans="1:17">
      <c r="A31" s="508" t="s">
        <v>101</v>
      </c>
      <c r="B31" s="490"/>
      <c r="C31" s="501"/>
      <c r="D31" s="492"/>
      <c r="E31" s="491">
        <f ca="1">IF(VALUE(F$3)=0,0,G31/F$3)</f>
        <v>0</v>
      </c>
      <c r="F31" s="491"/>
      <c r="G31" s="491" t="e">
        <f ca="1">F55小包装!G31*1.13</f>
        <v>#DIV/0!</v>
      </c>
      <c r="H31" s="510"/>
      <c r="I31" s="508" t="s">
        <v>101</v>
      </c>
      <c r="J31" s="490"/>
      <c r="K31" s="501">
        <f ca="1">IF(N31=0,0,O31/N31)</f>
        <v>0</v>
      </c>
      <c r="L31" s="492">
        <f ca="1">IF(K31=0,0,M31/K31)</f>
        <v>0</v>
      </c>
      <c r="M31" s="501" t="e">
        <f ca="1">IF($N$3=0,,O31/$N$3)</f>
        <v>#DIV/0!</v>
      </c>
      <c r="N31" s="501"/>
      <c r="O31" s="501" t="e">
        <f ca="1">F55小包装!O31*1.13</f>
        <v>#DIV/0!</v>
      </c>
      <c r="Q31" s="475"/>
    </row>
    <row r="32" s="459" customFormat="1" ht="14.25" customHeight="1" spans="1:17">
      <c r="A32" s="541" t="s">
        <v>102</v>
      </c>
      <c r="B32" s="490"/>
      <c r="C32" s="501"/>
      <c r="D32" s="492"/>
      <c r="E32" s="491">
        <f ca="1">E31</f>
        <v>0</v>
      </c>
      <c r="F32" s="491"/>
      <c r="G32" s="491" t="e">
        <f ca="1">G31</f>
        <v>#DIV/0!</v>
      </c>
      <c r="H32" s="510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Q32" s="475"/>
    </row>
    <row r="33" s="459" customFormat="1" ht="14.25" customHeight="1" spans="1:17">
      <c r="A33" s="541" t="s">
        <v>103</v>
      </c>
      <c r="B33" s="490"/>
      <c r="C33" s="501"/>
      <c r="D33" s="492"/>
      <c r="E33" s="501"/>
      <c r="F33" s="491"/>
      <c r="G33" s="491"/>
      <c r="H33" s="510"/>
      <c r="I33" s="508" t="s">
        <v>103</v>
      </c>
      <c r="J33" s="490"/>
      <c r="K33" s="501"/>
      <c r="L33" s="492"/>
      <c r="M33" s="501"/>
      <c r="N33" s="491"/>
      <c r="O33" s="491"/>
      <c r="Q33" s="475"/>
    </row>
    <row r="34" s="459" customFormat="1" ht="14.25" customHeight="1" spans="1:17">
      <c r="A34" s="508" t="s">
        <v>104</v>
      </c>
      <c r="B34" s="490"/>
      <c r="C34" s="501"/>
      <c r="D34" s="492"/>
      <c r="E34" s="491">
        <f ca="1">IF(VALUE(F$3)=0,0,G34/F$3)</f>
        <v>0</v>
      </c>
      <c r="F34" s="491"/>
      <c r="G34" s="491" t="e">
        <f ca="1">SUM(G5,-G11,-G13,-G26,-G31,-G25)-SUM(F55小包装!G5,-F55小包装!G11-F55小包装!G13-F55小包装!G26-F55小包装!G31,-F55小包装!G25)</f>
        <v>#DIV/0!</v>
      </c>
      <c r="H34" s="510"/>
      <c r="I34" s="508" t="s">
        <v>104</v>
      </c>
      <c r="J34" s="490"/>
      <c r="K34" s="501"/>
      <c r="L34" s="492"/>
      <c r="M34" s="491" t="e">
        <f ca="1">IF(N$3=0,0,O34/N$3)</f>
        <v>#DIV/0!</v>
      </c>
      <c r="N34" s="491"/>
      <c r="O34" s="491" t="e">
        <f ca="1">SUM(O5,-O11,-O13,-O26,-O31,-O25)-SUM(F55小包装!O5,-F55小包装!O11-F55小包装!O13-F55小包装!O26-F55小包装!O31,-F55小包装!O25)</f>
        <v>#DIV/0!</v>
      </c>
      <c r="Q34" s="475"/>
    </row>
    <row r="35" s="459" customFormat="1" ht="14.25" customHeight="1" spans="1:17">
      <c r="A35" s="508" t="s">
        <v>105</v>
      </c>
      <c r="B35" s="490"/>
      <c r="C35" s="501"/>
      <c r="D35" s="492"/>
      <c r="E35" s="491" t="e">
        <f ca="1">E5-E10</f>
        <v>#DIV/0!</v>
      </c>
      <c r="F35" s="491"/>
      <c r="G35" s="491" t="e">
        <f ca="1">G5-G10</f>
        <v>#DIV/0!</v>
      </c>
      <c r="H35" s="588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</row>
    <row r="36" s="459" customFormat="1" ht="14.25" customHeight="1" spans="1:17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</row>
    <row r="37" s="459" customFormat="1" ht="14.25" customHeight="1" spans="1:17">
      <c r="A37" s="516" t="s">
        <v>107</v>
      </c>
      <c r="B37" s="503"/>
      <c r="C37" s="505"/>
      <c r="D37" s="497"/>
      <c r="E37" s="575">
        <f ca="1">F55小包装!E37</f>
        <v>0</v>
      </c>
      <c r="F37" s="517"/>
      <c r="G37" s="575" t="e">
        <f ca="1">F55小包装!G37</f>
        <v>#DIV/0!</v>
      </c>
      <c r="H37" s="483"/>
      <c r="I37" s="516" t="s">
        <v>107</v>
      </c>
      <c r="J37" s="503"/>
      <c r="K37" s="505"/>
      <c r="L37" s="497"/>
      <c r="M37" s="575" t="e">
        <f ca="1">F55小包装!M37</f>
        <v>#DIV/0!</v>
      </c>
      <c r="N37" s="517"/>
      <c r="O37" s="575" t="e">
        <f ca="1">F55小包装!O37</f>
        <v>#DIV/0!</v>
      </c>
    </row>
    <row r="38" s="459" customFormat="1" ht="14.25" customHeight="1" spans="1:17">
      <c r="A38" s="516" t="s">
        <v>108</v>
      </c>
      <c r="B38" s="503"/>
      <c r="C38" s="505"/>
      <c r="D38" s="497"/>
      <c r="E38" s="575">
        <f ca="1">F55小包装!E38</f>
        <v>0</v>
      </c>
      <c r="F38" s="517"/>
      <c r="G38" s="575" t="e">
        <f ca="1">F55小包装!G38</f>
        <v>#DIV/0!</v>
      </c>
      <c r="H38" s="483"/>
      <c r="I38" s="516" t="s">
        <v>108</v>
      </c>
      <c r="J38" s="503"/>
      <c r="K38" s="505"/>
      <c r="L38" s="497"/>
      <c r="M38" s="575" t="e">
        <f ca="1">F55小包装!M38</f>
        <v>#DIV/0!</v>
      </c>
      <c r="N38" s="517"/>
      <c r="O38" s="575" t="e">
        <f ca="1">F55小包装!O38</f>
        <v>#DIV/0!</v>
      </c>
    </row>
    <row r="39" s="459" customFormat="1" ht="14.25" customHeight="1" spans="1:17">
      <c r="A39" s="516" t="s">
        <v>109</v>
      </c>
      <c r="B39" s="503"/>
      <c r="C39" s="498"/>
      <c r="D39" s="518"/>
      <c r="E39" s="575">
        <f ca="1">F55小包装!E39</f>
        <v>0</v>
      </c>
      <c r="F39" s="517"/>
      <c r="G39" s="575" t="e">
        <f ca="1">F55小包装!G39</f>
        <v>#DIV/0!</v>
      </c>
      <c r="H39" s="483"/>
      <c r="I39" s="516" t="s">
        <v>109</v>
      </c>
      <c r="J39" s="503"/>
      <c r="K39" s="498"/>
      <c r="L39" s="518"/>
      <c r="M39" s="575" t="e">
        <f ca="1">F55小包装!M39</f>
        <v>#DIV/0!</v>
      </c>
      <c r="N39" s="517"/>
      <c r="O39" s="575" t="e">
        <f ca="1">F55小包装!O39</f>
        <v>#DIV/0!</v>
      </c>
    </row>
    <row r="40" s="459" customFormat="1" ht="14.25" customHeight="1" spans="1:17">
      <c r="A40" s="516" t="s">
        <v>110</v>
      </c>
      <c r="B40" s="503"/>
      <c r="C40" s="498"/>
      <c r="D40" s="518"/>
      <c r="E40" s="575">
        <f ca="1">F55小包装!E40</f>
        <v>0</v>
      </c>
      <c r="F40" s="517"/>
      <c r="G40" s="575" t="e">
        <f ca="1">F55小包装!G40</f>
        <v>#DIV/0!</v>
      </c>
      <c r="H40" s="483"/>
      <c r="I40" s="516" t="s">
        <v>110</v>
      </c>
      <c r="J40" s="503"/>
      <c r="K40" s="498"/>
      <c r="L40" s="518"/>
      <c r="M40" s="575" t="e">
        <f ca="1">F55小包装!M40</f>
        <v>#DIV/0!</v>
      </c>
      <c r="N40" s="517"/>
      <c r="O40" s="575" t="e">
        <f ca="1">F55小包装!O40</f>
        <v>#DIV/0!</v>
      </c>
    </row>
    <row r="41" s="459" customFormat="1" ht="14.25" customHeight="1" spans="1:17">
      <c r="A41" s="516" t="s">
        <v>111</v>
      </c>
      <c r="B41" s="503"/>
      <c r="C41" s="498"/>
      <c r="D41" s="518"/>
      <c r="E41" s="575">
        <f ca="1">F55小包装!E41</f>
        <v>0</v>
      </c>
      <c r="F41" s="517"/>
      <c r="G41" s="575" t="e">
        <f ca="1">F55小包装!G41</f>
        <v>#DIV/0!</v>
      </c>
      <c r="H41" s="483"/>
      <c r="I41" s="516" t="s">
        <v>111</v>
      </c>
      <c r="J41" s="503"/>
      <c r="K41" s="498"/>
      <c r="L41" s="518"/>
      <c r="M41" s="575" t="e">
        <f ca="1">F55小包装!M41</f>
        <v>#DIV/0!</v>
      </c>
      <c r="N41" s="517"/>
      <c r="O41" s="575" t="e">
        <f ca="1">F55小包装!O41</f>
        <v>#DIV/0!</v>
      </c>
    </row>
    <row r="42" s="459" customFormat="1" ht="14.25" customHeight="1" spans="1:17">
      <c r="A42" s="516" t="s">
        <v>112</v>
      </c>
      <c r="B42" s="503"/>
      <c r="C42" s="498"/>
      <c r="D42" s="518"/>
      <c r="E42" s="575">
        <f ca="1">F55小包装!E42</f>
        <v>0</v>
      </c>
      <c r="F42" s="517"/>
      <c r="G42" s="575" t="e">
        <f ca="1">F55小包装!G42</f>
        <v>#DIV/0!</v>
      </c>
      <c r="H42" s="483"/>
      <c r="I42" s="516" t="s">
        <v>112</v>
      </c>
      <c r="J42" s="503"/>
      <c r="K42" s="498"/>
      <c r="L42" s="518"/>
      <c r="M42" s="575" t="e">
        <f ca="1">F55小包装!M42</f>
        <v>#DIV/0!</v>
      </c>
      <c r="N42" s="517"/>
      <c r="O42" s="575" t="e">
        <f ca="1">F55小包装!O42</f>
        <v>#DIV/0!</v>
      </c>
    </row>
    <row r="43" s="459" customFormat="1" ht="14.25" customHeight="1" spans="1:17">
      <c r="A43" s="516" t="s">
        <v>113</v>
      </c>
      <c r="B43" s="503"/>
      <c r="C43" s="498"/>
      <c r="D43" s="518"/>
      <c r="E43" s="575">
        <f ca="1">F55小包装!E43</f>
        <v>0</v>
      </c>
      <c r="F43" s="517"/>
      <c r="G43" s="575" t="e">
        <f ca="1">F55小包装!G43</f>
        <v>#DIV/0!</v>
      </c>
      <c r="I43" s="516" t="s">
        <v>114</v>
      </c>
      <c r="J43" s="503"/>
      <c r="K43" s="498"/>
      <c r="L43" s="518"/>
      <c r="M43" s="575" t="e">
        <f ca="1">F55小包装!M43</f>
        <v>#DIV/0!</v>
      </c>
      <c r="N43" s="517"/>
      <c r="O43" s="575" t="e">
        <f ca="1">F55小包装!O43</f>
        <v>#DIV/0!</v>
      </c>
    </row>
    <row r="44" s="459" customFormat="1" ht="14.25" customHeight="1" spans="1:17">
      <c r="A44" s="516" t="s">
        <v>115</v>
      </c>
      <c r="B44" s="503"/>
      <c r="C44" s="498"/>
      <c r="D44" s="518"/>
      <c r="E44" s="576">
        <f ca="1">F55小包装!E44</f>
        <v>0</v>
      </c>
      <c r="F44" s="517"/>
      <c r="G44" s="575" t="e">
        <f ca="1">F55小包装!G44</f>
        <v>#DIV/0!</v>
      </c>
      <c r="I44" s="516" t="s">
        <v>115</v>
      </c>
      <c r="J44" s="503"/>
      <c r="K44" s="498"/>
      <c r="L44" s="518"/>
      <c r="M44" s="576" t="e">
        <f ca="1">F55小包装!M44</f>
        <v>#DIV/0!</v>
      </c>
      <c r="N44" s="517"/>
      <c r="O44" s="576" t="e">
        <f ca="1">F55小包装!O44</f>
        <v>#DIV/0!</v>
      </c>
    </row>
    <row r="45" s="459" customFormat="1" ht="14.25" customHeight="1" spans="1:17">
      <c r="A45" s="516" t="s">
        <v>116</v>
      </c>
      <c r="B45" s="503"/>
      <c r="C45" s="498"/>
      <c r="D45" s="518"/>
      <c r="E45" s="576">
        <f ca="1">F55小包装!E45</f>
        <v>0</v>
      </c>
      <c r="F45" s="517"/>
      <c r="G45" s="575" t="e">
        <f ca="1">F55小包装!G45</f>
        <v>#DIV/0!</v>
      </c>
      <c r="I45" s="516" t="s">
        <v>116</v>
      </c>
      <c r="J45" s="503"/>
      <c r="K45" s="498"/>
      <c r="L45" s="518"/>
      <c r="M45" s="576" t="e">
        <f ca="1">F55小包装!M45</f>
        <v>#DIV/0!</v>
      </c>
      <c r="N45" s="517"/>
      <c r="O45" s="576" t="e">
        <f ca="1">F55小包装!O45</f>
        <v>#DIV/0!</v>
      </c>
    </row>
    <row r="46" s="459" customFormat="1" ht="14.25" customHeight="1" spans="1:17">
      <c r="A46" s="516" t="s">
        <v>117</v>
      </c>
      <c r="B46" s="503"/>
      <c r="C46" s="498"/>
      <c r="D46" s="518"/>
      <c r="E46" s="576">
        <f ca="1">F55小包装!E46</f>
        <v>0</v>
      </c>
      <c r="F46" s="517"/>
      <c r="G46" s="575" t="e">
        <f ca="1">F55小包装!G46</f>
        <v>#DIV/0!</v>
      </c>
      <c r="I46" s="516" t="s">
        <v>117</v>
      </c>
      <c r="J46" s="503"/>
      <c r="K46" s="498"/>
      <c r="L46" s="518"/>
      <c r="M46" s="576" t="e">
        <f ca="1">F55小包装!M46</f>
        <v>#DIV/0!</v>
      </c>
      <c r="N46" s="517"/>
      <c r="O46" s="576" t="e">
        <f ca="1">F55小包装!O46</f>
        <v>#DIV/0!</v>
      </c>
    </row>
    <row r="47" s="459" customFormat="1" ht="14.25" customHeight="1" spans="1:17">
      <c r="A47" s="516" t="s">
        <v>118</v>
      </c>
      <c r="B47" s="503"/>
      <c r="C47" s="498"/>
      <c r="D47" s="518"/>
      <c r="E47" s="576">
        <f ca="1">F55小包装!E47</f>
        <v>0</v>
      </c>
      <c r="F47" s="517"/>
      <c r="G47" s="575" t="e">
        <f ca="1">F55小包装!G47</f>
        <v>#DIV/0!</v>
      </c>
      <c r="I47" s="516" t="s">
        <v>118</v>
      </c>
      <c r="J47" s="503"/>
      <c r="K47" s="498"/>
      <c r="L47" s="518"/>
      <c r="M47" s="576" t="e">
        <f ca="1">F55小包装!M47</f>
        <v>#DIV/0!</v>
      </c>
      <c r="N47" s="517"/>
      <c r="O47" s="576" t="e">
        <f ca="1">F55小包装!O47</f>
        <v>#DIV/0!</v>
      </c>
    </row>
    <row r="48" s="459" customFormat="1" ht="14.25" customHeight="1" spans="1:17">
      <c r="A48" s="516" t="s">
        <v>119</v>
      </c>
      <c r="B48" s="503"/>
      <c r="C48" s="498"/>
      <c r="D48" s="518"/>
      <c r="E48" s="576">
        <f ca="1">F55小包装!E48</f>
        <v>0</v>
      </c>
      <c r="F48" s="517"/>
      <c r="G48" s="575" t="e">
        <f ca="1">F55小包装!G48</f>
        <v>#DIV/0!</v>
      </c>
      <c r="I48" s="516" t="s">
        <v>119</v>
      </c>
      <c r="J48" s="503"/>
      <c r="K48" s="498"/>
      <c r="L48" s="518"/>
      <c r="M48" s="576" t="e">
        <f ca="1">F55小包装!M48</f>
        <v>#DIV/0!</v>
      </c>
      <c r="N48" s="517"/>
      <c r="O48" s="576" t="e">
        <f ca="1">F55小包装!O48</f>
        <v>#DIV/0!</v>
      </c>
    </row>
    <row r="49" s="459" customFormat="1" ht="14.25" customHeight="1" spans="1:15">
      <c r="A49" s="516" t="s">
        <v>120</v>
      </c>
      <c r="B49" s="503"/>
      <c r="C49" s="498"/>
      <c r="D49" s="518"/>
      <c r="E49" s="576">
        <f ca="1">F55小包装!E49</f>
        <v>0</v>
      </c>
      <c r="F49" s="517"/>
      <c r="G49" s="575" t="e">
        <f ca="1">F55小包装!G49</f>
        <v>#DIV/0!</v>
      </c>
      <c r="I49" s="516" t="s">
        <v>120</v>
      </c>
      <c r="J49" s="503"/>
      <c r="K49" s="498"/>
      <c r="L49" s="518"/>
      <c r="M49" s="576" t="e">
        <f ca="1">F55小包装!M49</f>
        <v>#DIV/0!</v>
      </c>
      <c r="N49" s="517"/>
      <c r="O49" s="576" t="e">
        <f ca="1">F55小包装!O49</f>
        <v>#DIV/0!</v>
      </c>
    </row>
    <row r="50" s="459" customFormat="1" ht="14.25" customHeight="1" spans="1:15">
      <c r="A50" s="516" t="s">
        <v>121</v>
      </c>
      <c r="B50" s="503"/>
      <c r="C50" s="498"/>
      <c r="D50" s="518"/>
      <c r="E50" s="576">
        <f ca="1">F55小包装!E50</f>
        <v>0</v>
      </c>
      <c r="F50" s="517"/>
      <c r="G50" s="575" t="e">
        <f ca="1">F55小包装!G50</f>
        <v>#DIV/0!</v>
      </c>
      <c r="I50" s="516" t="s">
        <v>121</v>
      </c>
      <c r="J50" s="503"/>
      <c r="K50" s="498"/>
      <c r="L50" s="518"/>
      <c r="M50" s="576" t="e">
        <f ca="1">F55小包装!M50</f>
        <v>#DIV/0!</v>
      </c>
      <c r="N50" s="517"/>
      <c r="O50" s="576" t="e">
        <f ca="1">F55小包装!O50</f>
        <v>#DIV/0!</v>
      </c>
    </row>
    <row r="51" s="459" customFormat="1" ht="14.25" customHeight="1" spans="1:15">
      <c r="A51" s="523" t="s">
        <v>122</v>
      </c>
      <c r="B51" s="485" t="s">
        <v>123</v>
      </c>
      <c r="C51" s="514"/>
      <c r="D51" s="515"/>
      <c r="E51" s="487" t="e">
        <f ca="1">E36+E10</f>
        <v>#DIV/0!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</row>
    <row r="52" s="460" customFormat="1" ht="14.25" customHeight="1" spans="1:15">
      <c r="A52" s="524" t="s">
        <v>124</v>
      </c>
      <c r="B52" s="485" t="s">
        <v>123</v>
      </c>
      <c r="C52" s="514"/>
      <c r="D52" s="515"/>
      <c r="E52" s="487" t="e">
        <f ca="1">E35-E36</f>
        <v>#DIV/0!</v>
      </c>
      <c r="F52" s="526"/>
      <c r="G52" s="487" t="e">
        <f ca="1">G35-G36</f>
        <v>#DIV/0!</v>
      </c>
      <c r="H52" s="527"/>
      <c r="I52" s="524" t="s">
        <v>124</v>
      </c>
      <c r="J52" s="485" t="s">
        <v>123</v>
      </c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59" customFormat="1" ht="14.25" customHeight="1" spans="1:15">
      <c r="A53" s="524" t="s">
        <v>125</v>
      </c>
      <c r="B53" s="485" t="s">
        <v>123</v>
      </c>
      <c r="C53" s="514"/>
      <c r="D53" s="515"/>
      <c r="E53" s="487" t="e">
        <f ca="1">E52+E37</f>
        <v>#DIV/0!</v>
      </c>
      <c r="F53" s="526"/>
      <c r="G53" s="487" t="e">
        <f ca="1">G52+G37</f>
        <v>#DIV/0!</v>
      </c>
      <c r="H53" s="527"/>
      <c r="I53" s="524" t="s">
        <v>125</v>
      </c>
      <c r="J53" s="485" t="s">
        <v>123</v>
      </c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540" customFormat="1" ht="14.25" customHeight="1" spans="1:15">
      <c r="A54" s="529" t="s">
        <v>126</v>
      </c>
      <c r="B54" s="530" t="s">
        <v>123</v>
      </c>
      <c r="C54" s="531"/>
      <c r="D54" s="532"/>
      <c r="E54" s="533" t="e">
        <f ca="1">E10-E11+E36-E25</f>
        <v>#DIV/0!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</row>
    <row r="55" customHeight="1" spans="1:15">
      <c r="A55" s="516" t="s">
        <v>127</v>
      </c>
      <c r="B55" s="681"/>
      <c r="C55" s="85"/>
      <c r="D55" s="85"/>
      <c r="E55" s="576">
        <f ca="1">F55小包装!E55</f>
        <v>0</v>
      </c>
      <c r="F55" s="517"/>
      <c r="G55" s="575" t="e">
        <f ca="1">F55小包装!G55</f>
        <v>#DIV/0!</v>
      </c>
      <c r="I55" s="516" t="s">
        <v>127</v>
      </c>
      <c r="J55" s="85"/>
      <c r="K55" s="85"/>
      <c r="L55" s="85"/>
      <c r="M55" s="576" t="e">
        <f ca="1">F55小包装!M55</f>
        <v>#DIV/0!</v>
      </c>
      <c r="N55" s="517"/>
      <c r="O55" s="576" t="e">
        <f ca="1">F55小包装!O55</f>
        <v>#DIV/0!</v>
      </c>
    </row>
    <row r="56" s="459" customFormat="1" customHeight="1" spans="1:15">
      <c r="B56" s="538"/>
      <c r="E56" s="589"/>
    </row>
    <row r="60" s="459" customFormat="1" customHeight="1" spans="1:15">
      <c r="A60" s="582" t="s">
        <v>131</v>
      </c>
      <c r="B60" s="538"/>
      <c r="E60" s="590" t="e">
        <f ca="1">E35-F55小包装!E35</f>
        <v>#DIV/0!</v>
      </c>
      <c r="F60" s="539"/>
      <c r="G60" s="539" t="e">
        <f ca="1">G35-F55小包装!G35</f>
        <v>#DIV/0!</v>
      </c>
      <c r="L60" s="459" t="s">
        <v>132</v>
      </c>
      <c r="M60" s="539" t="e">
        <f ca="1">M35-F55小包装!M35</f>
        <v>#DIV/0!</v>
      </c>
      <c r="N60" s="539"/>
      <c r="O60" s="539" t="e">
        <f ca="1">O35-F55小包装!O35</f>
        <v>#DIV/0!</v>
      </c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>
    <tabColor theme="7" tint="0.399975585192419"/>
    <pageSetUpPr fitToPage="1"/>
  </sheetPr>
  <dimension ref="A1:S63"/>
  <sheetViews>
    <sheetView workbookViewId="0">
      <pane xSplit="2" ySplit="4" topLeftCell="C8" activePane="bottomRight" state="frozen"/>
      <selection/>
      <selection pane="topRight"/>
      <selection pane="bottomLeft"/>
      <selection pane="bottomRight" activeCell="D11" sqref="D11"/>
    </sheetView>
  </sheetViews>
  <sheetFormatPr defaultColWidth="9" defaultRowHeight="15" customHeight="1"/>
  <cols>
    <col min="1" max="1" width="32.125" style="639" customWidth="1"/>
    <col min="2" max="2" width="4.5" style="640" customWidth="1"/>
    <col min="3" max="3" width="7.5" style="639" customWidth="1"/>
    <col min="4" max="4" width="9" style="639" customWidth="1"/>
    <col min="5" max="5" width="10.25" style="462" customWidth="1"/>
    <col min="6" max="6" width="9" style="639" customWidth="1"/>
    <col min="7" max="7" width="10.5" style="639" customWidth="1"/>
    <col min="8" max="8" width="10" style="639" customWidth="1"/>
    <col min="9" max="9" width="28" style="639" customWidth="1"/>
    <col min="10" max="10" width="3.625" style="639" customWidth="1"/>
    <col min="11" max="11" width="7.5" style="639" customWidth="1"/>
    <col min="12" max="12" width="8.125" style="639" customWidth="1"/>
    <col min="13" max="13" width="10.25" style="639" customWidth="1"/>
    <col min="14" max="14" width="10.5" style="639" customWidth="1"/>
    <col min="15" max="15" width="14.75" style="639" customWidth="1"/>
    <col min="16" max="16" width="10.5" style="641" customWidth="1"/>
    <col min="17" max="17" width="13.875" style="639" customWidth="1"/>
    <col min="18" max="18" width="11.5" style="639" customWidth="1"/>
    <col min="19" max="16384" width="9" style="639"/>
  </cols>
  <sheetData>
    <row r="1" s="636" customFormat="1" ht="42.75" customHeight="1" spans="1:18">
      <c r="A1" s="98" t="str">
        <f>CONCATENATE("果糖装置汇总综合成本利润表_含税(2025年"&amp;mth&amp;"月)")</f>
        <v>果糖装置汇总综合成本利润表_含税(2025年8月)</v>
      </c>
      <c r="B1" s="98"/>
      <c r="C1" s="98"/>
      <c r="D1" s="98"/>
      <c r="E1" s="98"/>
      <c r="F1" s="98"/>
      <c r="G1" s="98"/>
      <c r="I1" s="463" t="str">
        <f>CONCATENATE("果糖装置汇总综合成本利润表_含税(2025年1-"&amp;mth&amp;"月)")</f>
        <v>果糖装置汇总综合成本利润表_含税(2025年1-8月)</v>
      </c>
      <c r="J1" s="463"/>
      <c r="K1" s="463"/>
      <c r="L1" s="463"/>
      <c r="M1" s="463"/>
      <c r="N1" s="463"/>
      <c r="O1" s="463"/>
      <c r="P1" s="642"/>
    </row>
    <row r="2" s="636" customFormat="1" customHeight="1" spans="1:18">
      <c r="A2" s="643"/>
      <c r="B2" s="643"/>
      <c r="C2" s="643"/>
      <c r="D2" s="644"/>
      <c r="E2" s="645"/>
      <c r="F2" s="643"/>
      <c r="G2" s="643"/>
      <c r="P2" s="642"/>
    </row>
    <row r="3" s="637" customFormat="1" customHeight="1" spans="1:18">
      <c r="A3" s="646"/>
      <c r="E3" s="644" t="s">
        <v>128</v>
      </c>
      <c r="F3" s="647">
        <f ca="1">果糖汇总!F3</f>
        <v>0</v>
      </c>
      <c r="G3" s="646" t="s">
        <v>75</v>
      </c>
      <c r="K3" s="647"/>
      <c r="M3" s="644" t="s">
        <v>129</v>
      </c>
      <c r="N3" s="647">
        <f ca="1">果糖汇总!N3</f>
        <v>57934.7634805195</v>
      </c>
      <c r="O3" s="646" t="s">
        <v>75</v>
      </c>
      <c r="P3" s="122"/>
    </row>
    <row r="4" s="460" customFormat="1" ht="14.25" customHeight="1" spans="1:18">
      <c r="A4" s="648"/>
      <c r="B4" s="648" t="s">
        <v>77</v>
      </c>
      <c r="C4" s="649" t="s">
        <v>78</v>
      </c>
      <c r="D4" s="649" t="s">
        <v>79</v>
      </c>
      <c r="E4" s="469" t="s">
        <v>80</v>
      </c>
      <c r="F4" s="649" t="s">
        <v>81</v>
      </c>
      <c r="G4" s="649" t="s">
        <v>82</v>
      </c>
      <c r="I4" s="648"/>
      <c r="J4" s="648" t="s">
        <v>77</v>
      </c>
      <c r="K4" s="649" t="s">
        <v>78</v>
      </c>
      <c r="L4" s="649" t="s">
        <v>79</v>
      </c>
      <c r="M4" s="649" t="s">
        <v>80</v>
      </c>
      <c r="N4" s="649" t="s">
        <v>81</v>
      </c>
      <c r="O4" s="649" t="s">
        <v>82</v>
      </c>
      <c r="P4" s="562"/>
    </row>
    <row r="5" s="460" customFormat="1" ht="14.25" customHeight="1" spans="1:18">
      <c r="A5" s="650" t="s">
        <v>83</v>
      </c>
      <c r="B5" s="651"/>
      <c r="C5" s="652"/>
      <c r="D5" s="652"/>
      <c r="E5" s="473">
        <f ca="1">E6-E7</f>
        <v>0</v>
      </c>
      <c r="F5" s="652"/>
      <c r="G5" s="653">
        <f ca="1">G6-G7</f>
        <v>0</v>
      </c>
      <c r="I5" s="650" t="s">
        <v>83</v>
      </c>
      <c r="J5" s="651"/>
      <c r="K5" s="652"/>
      <c r="L5" s="652"/>
      <c r="M5" s="653">
        <f ca="1">M6-M7</f>
        <v>3077.27073012675</v>
      </c>
      <c r="N5" s="652"/>
      <c r="O5" s="653">
        <f ca="1">O6-O7</f>
        <v>178280951.915418</v>
      </c>
      <c r="P5" s="562"/>
    </row>
    <row r="6" s="460" customFormat="1" ht="14.25" customHeight="1" spans="1:18">
      <c r="A6" s="654" t="s">
        <v>84</v>
      </c>
      <c r="B6" s="655"/>
      <c r="C6" s="478"/>
      <c r="D6" s="656"/>
      <c r="E6" s="478">
        <f ca="1">IF(F$3=0,0,G6/F$3)</f>
        <v>0</v>
      </c>
      <c r="F6" s="656"/>
      <c r="G6" s="507">
        <f ca="1">'F55-含税'!G6+'F60-含税'!G6+'F42-含税'!G6</f>
        <v>0</v>
      </c>
      <c r="I6" s="657" t="s">
        <v>84</v>
      </c>
      <c r="J6" s="655"/>
      <c r="K6" s="478"/>
      <c r="L6" s="656"/>
      <c r="M6" s="478">
        <f ca="1">IF($N$3=0,,O6/$N$3)</f>
        <v>3228.55714877906</v>
      </c>
      <c r="N6" s="656"/>
      <c r="O6" s="507">
        <f ca="1">'果糖汇总-含税'!O6</f>
        <v>187045694.797855</v>
      </c>
      <c r="P6" s="562"/>
      <c r="Q6" s="658"/>
      <c r="R6" s="658"/>
    </row>
    <row r="7" s="460" customFormat="1" ht="14.25" customHeight="1" spans="1:18">
      <c r="A7" s="476" t="s">
        <v>85</v>
      </c>
      <c r="B7" s="655"/>
      <c r="C7" s="656"/>
      <c r="D7" s="656"/>
      <c r="E7" s="507">
        <f ca="1">IF($F$3=0,,G7/$F$3)</f>
        <v>0</v>
      </c>
      <c r="F7" s="656"/>
      <c r="G7" s="507">
        <f ca="1">'果糖汇总-含税'!G7</f>
        <v>0</v>
      </c>
      <c r="I7" s="476" t="s">
        <v>85</v>
      </c>
      <c r="J7" s="655"/>
      <c r="K7" s="656"/>
      <c r="L7" s="656"/>
      <c r="M7" s="507">
        <f ca="1">IF($N$3=0,,O7/$N$3)</f>
        <v>151.286418652317</v>
      </c>
      <c r="N7" s="656"/>
      <c r="O7" s="507">
        <f ca="1">'果糖汇总-含税'!O7</f>
        <v>8764742.88243685</v>
      </c>
      <c r="P7" s="562"/>
      <c r="Q7" s="658"/>
      <c r="R7" s="658"/>
    </row>
    <row r="8" s="460" customFormat="1" ht="14.25" customHeight="1" spans="1:18">
      <c r="A8" s="476" t="s">
        <v>86</v>
      </c>
      <c r="B8" s="655"/>
      <c r="C8" s="656"/>
      <c r="D8" s="656"/>
      <c r="E8" s="507">
        <f ca="1">'果糖汇总-含税'!E8</f>
        <v>0</v>
      </c>
      <c r="F8" s="656"/>
      <c r="G8" s="507" t="e">
        <f ca="1">'果糖汇总-含税'!G8</f>
        <v>#DIV/0!</v>
      </c>
      <c r="I8" s="476" t="s">
        <v>86</v>
      </c>
      <c r="J8" s="655"/>
      <c r="K8" s="656"/>
      <c r="L8" s="656"/>
      <c r="M8" s="507">
        <f ca="1">'果糖汇总-含税'!M8</f>
        <v>70.2277785154361</v>
      </c>
      <c r="N8" s="656"/>
      <c r="O8" s="507">
        <f ca="1">'果糖汇总-含税'!O8</f>
        <v>4068629.7380541</v>
      </c>
      <c r="P8" s="562"/>
      <c r="Q8" s="658"/>
      <c r="R8" s="658"/>
    </row>
    <row r="9" s="460" customFormat="1" ht="14.25" customHeight="1" spans="1:18">
      <c r="A9" s="476" t="s">
        <v>87</v>
      </c>
      <c r="B9" s="655"/>
      <c r="C9" s="656"/>
      <c r="D9" s="656"/>
      <c r="E9" s="507">
        <f ca="1">'果糖汇总-含税'!E9</f>
        <v>0</v>
      </c>
      <c r="F9" s="656"/>
      <c r="G9" s="507" t="e">
        <f ca="1">'果糖汇总-含税'!G9</f>
        <v>#DIV/0!</v>
      </c>
      <c r="I9" s="476" t="s">
        <v>87</v>
      </c>
      <c r="J9" s="655"/>
      <c r="K9" s="656"/>
      <c r="L9" s="656"/>
      <c r="M9" s="507">
        <f ca="1">'果糖汇总-含税'!M9</f>
        <v>81.0586401368813</v>
      </c>
      <c r="N9" s="656"/>
      <c r="O9" s="507">
        <f ca="1">'果糖汇总-含税'!O9</f>
        <v>4696113.14438276</v>
      </c>
      <c r="P9" s="562"/>
      <c r="Q9" s="658"/>
      <c r="R9" s="658"/>
    </row>
    <row r="10" s="460" customFormat="1" ht="14.25" customHeight="1" spans="1:18">
      <c r="A10" s="659" t="s">
        <v>88</v>
      </c>
      <c r="B10" s="525"/>
      <c r="C10" s="660"/>
      <c r="D10" s="660"/>
      <c r="E10" s="487" t="e">
        <f ca="1">E11+E13+E25+E31+E32+E33</f>
        <v>#DIV/0!</v>
      </c>
      <c r="F10" s="526"/>
      <c r="G10" s="487" t="e">
        <f ca="1">G11+G13+G25+G31+G33+G32</f>
        <v>#DIV/0!</v>
      </c>
      <c r="H10" s="661"/>
      <c r="I10" s="659" t="s">
        <v>88</v>
      </c>
      <c r="J10" s="525"/>
      <c r="K10" s="660"/>
      <c r="L10" s="660"/>
      <c r="M10" s="487" t="e">
        <f ca="1">M11+M13+M25+M31+M32+M33</f>
        <v>#DIV/0!</v>
      </c>
      <c r="N10" s="526"/>
      <c r="O10" s="487" t="e">
        <f ca="1">O11+O13+O25+O31+O33+O32</f>
        <v>#DIV/0!</v>
      </c>
      <c r="P10" s="562"/>
      <c r="Q10" s="658"/>
      <c r="R10" s="539"/>
    </row>
    <row r="11" s="460" customFormat="1" ht="14.25" customHeight="1" spans="1:18">
      <c r="A11" s="662" t="s">
        <v>89</v>
      </c>
      <c r="B11" s="663" t="s">
        <v>75</v>
      </c>
      <c r="C11" s="491">
        <f ca="1">C12</f>
        <v>0</v>
      </c>
      <c r="D11" s="492">
        <f ca="1">D12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661"/>
      <c r="I11" s="662" t="s">
        <v>89</v>
      </c>
      <c r="J11" s="663" t="s">
        <v>75</v>
      </c>
      <c r="K11" s="491">
        <f ca="1">IF(N11=0,0,O11/N11)</f>
        <v>2824.33470382789</v>
      </c>
      <c r="L11" s="492">
        <f ca="1">IF(K11=0,0,M11/K11)</f>
        <v>0.84550164529801</v>
      </c>
      <c r="M11" s="491">
        <f ca="1">M12</f>
        <v>2387.97963895875</v>
      </c>
      <c r="N11" s="491">
        <f ca="1">N12</f>
        <v>48983.9378427303</v>
      </c>
      <c r="O11" s="491">
        <f ca="1">O12</f>
        <v>138347035.579371</v>
      </c>
      <c r="P11" s="562"/>
      <c r="Q11" s="658"/>
      <c r="R11" s="658"/>
    </row>
    <row r="12" s="460" customFormat="1" ht="14.25" customHeight="1" spans="1:18">
      <c r="A12" s="664" t="s">
        <v>90</v>
      </c>
      <c r="B12" s="665" t="s">
        <v>75</v>
      </c>
      <c r="C12" s="507">
        <f ca="1">果糖汇总!C12*1.13</f>
        <v>0</v>
      </c>
      <c r="D12" s="497">
        <f ca="1">果糖汇总!D12</f>
        <v>0</v>
      </c>
      <c r="E12" s="507">
        <f ca="1">果糖汇总!E12*1.13</f>
        <v>0</v>
      </c>
      <c r="F12" s="507">
        <f ca="1">果糖汇总!F12</f>
        <v>0</v>
      </c>
      <c r="G12" s="507">
        <f ca="1">果糖汇总!G12*1.13</f>
        <v>0</v>
      </c>
      <c r="H12" s="661"/>
      <c r="I12" s="664" t="s">
        <v>90</v>
      </c>
      <c r="J12" s="665" t="s">
        <v>75</v>
      </c>
      <c r="K12" s="507">
        <f ca="1">果糖汇总!K12*1.13</f>
        <v>2824.33470382789</v>
      </c>
      <c r="L12" s="497">
        <f ca="1">果糖汇总!L12</f>
        <v>0.84550164529801</v>
      </c>
      <c r="M12" s="507">
        <f ca="1">果糖汇总!M12*1.13</f>
        <v>2387.97963895875</v>
      </c>
      <c r="N12" s="507">
        <f ca="1">果糖汇总!N12</f>
        <v>48983.9378427303</v>
      </c>
      <c r="O12" s="507">
        <f ca="1">'果糖汇总-含税'!O12</f>
        <v>138347035.579371</v>
      </c>
      <c r="P12" s="562"/>
      <c r="Q12" s="658"/>
      <c r="R12" s="658"/>
    </row>
    <row r="13" s="460" customFormat="1" ht="14.25" customHeight="1" spans="1:18">
      <c r="A13" s="662" t="s">
        <v>130</v>
      </c>
      <c r="B13" s="663"/>
      <c r="C13" s="501"/>
      <c r="D13" s="492"/>
      <c r="E13" s="491">
        <f ca="1">果糖汇总!E13*1.13</f>
        <v>0</v>
      </c>
      <c r="F13" s="491"/>
      <c r="G13" s="491" t="e">
        <f ca="1">果糖汇总!G13*1.13</f>
        <v>#DIV/0!</v>
      </c>
      <c r="H13" s="661"/>
      <c r="I13" s="662" t="s">
        <v>130</v>
      </c>
      <c r="J13" s="663"/>
      <c r="K13" s="501"/>
      <c r="L13" s="492"/>
      <c r="M13" s="491" t="e">
        <f ca="1">果糖汇总!M13*1.13</f>
        <v>#DIV/0!</v>
      </c>
      <c r="N13" s="491"/>
      <c r="O13" s="491" t="e">
        <f ca="1">'果糖汇总-含税'!O13</f>
        <v>#DIV/0!</v>
      </c>
      <c r="P13" s="562"/>
      <c r="Q13" s="658"/>
      <c r="R13" s="658"/>
    </row>
    <row r="14" s="460" customFormat="1" ht="14.25" customHeight="1" spans="1:18">
      <c r="A14" s="664" t="s">
        <v>136</v>
      </c>
      <c r="B14" s="503" t="s">
        <v>167</v>
      </c>
      <c r="C14" s="505">
        <f ca="1">果糖汇总!C14*1.13</f>
        <v>0</v>
      </c>
      <c r="D14" s="505">
        <f ca="1">果糖汇总!D14</f>
        <v>0</v>
      </c>
      <c r="E14" s="506">
        <f ca="1">果糖汇总!E14*1.13</f>
        <v>0</v>
      </c>
      <c r="F14" s="507">
        <f ca="1">果糖汇总!F14</f>
        <v>0</v>
      </c>
      <c r="G14" s="507">
        <f ca="1">果糖汇总!G14*1.13</f>
        <v>0</v>
      </c>
      <c r="H14" s="661"/>
      <c r="I14" s="664" t="s">
        <v>136</v>
      </c>
      <c r="J14" s="503" t="s">
        <v>167</v>
      </c>
      <c r="K14" s="505">
        <f ca="1">果糖汇总!K14*1.13</f>
        <v>1.16800728160139</v>
      </c>
      <c r="L14" s="505">
        <f ca="1">果糖汇总!L14</f>
        <v>4.53944375018344</v>
      </c>
      <c r="M14" s="505">
        <f ca="1">果糖汇总!M14*1.13</f>
        <v>5.30210335463418</v>
      </c>
      <c r="N14" s="507"/>
      <c r="O14" s="507">
        <f ca="1">'果糖汇总-含税'!O14</f>
        <v>307176.1038</v>
      </c>
      <c r="P14" s="562"/>
      <c r="Q14" s="658"/>
      <c r="R14" s="658"/>
    </row>
    <row r="15" s="460" customFormat="1" ht="14.25" customHeight="1" spans="1:18">
      <c r="A15" s="664" t="s">
        <v>137</v>
      </c>
      <c r="B15" s="503" t="s">
        <v>167</v>
      </c>
      <c r="C15" s="505">
        <f ca="1">果糖汇总!C15*1.13</f>
        <v>0</v>
      </c>
      <c r="D15" s="505">
        <f ca="1">果糖汇总!D15</f>
        <v>0</v>
      </c>
      <c r="E15" s="506">
        <f ca="1">果糖汇总!E15*1.13</f>
        <v>0</v>
      </c>
      <c r="F15" s="507">
        <f ca="1">果糖汇总!F15</f>
        <v>0</v>
      </c>
      <c r="G15" s="507">
        <f ca="1">果糖汇总!G15*1.13</f>
        <v>0</v>
      </c>
      <c r="H15" s="661"/>
      <c r="I15" s="664" t="s">
        <v>137</v>
      </c>
      <c r="J15" s="503" t="s">
        <v>167</v>
      </c>
      <c r="K15" s="505">
        <f ca="1">果糖汇总!K15*1.13</f>
        <v>3.57679310644649</v>
      </c>
      <c r="L15" s="505">
        <f ca="1">果糖汇总!L15</f>
        <v>5.04236113949491</v>
      </c>
      <c r="M15" s="505">
        <f ca="1">果糖汇总!M15*1.13</f>
        <v>18.035482563959</v>
      </c>
      <c r="N15" s="507"/>
      <c r="O15" s="507">
        <f ca="1">'果糖汇总-含税'!O15</f>
        <v>1044881.4166</v>
      </c>
      <c r="P15" s="562"/>
      <c r="Q15" s="658"/>
      <c r="R15" s="658"/>
    </row>
    <row r="16" s="460" customFormat="1" ht="14.25" customHeight="1" spans="1:18">
      <c r="A16" s="664" t="s">
        <v>138</v>
      </c>
      <c r="B16" s="503" t="s">
        <v>167</v>
      </c>
      <c r="C16" s="505">
        <f ca="1">果糖汇总!C16*1.13</f>
        <v>0</v>
      </c>
      <c r="D16" s="505">
        <f ca="1">果糖汇总!D16</f>
        <v>0</v>
      </c>
      <c r="E16" s="506">
        <f ca="1">果糖汇总!E16*1.13</f>
        <v>0</v>
      </c>
      <c r="F16" s="507">
        <f ca="1">果糖汇总!F16</f>
        <v>0</v>
      </c>
      <c r="G16" s="507">
        <f ca="1">果糖汇总!G16*1.13</f>
        <v>0</v>
      </c>
      <c r="H16" s="661"/>
      <c r="I16" s="664" t="s">
        <v>138</v>
      </c>
      <c r="J16" s="503" t="s">
        <v>167</v>
      </c>
      <c r="K16" s="505">
        <f ca="1">果糖汇总!K16*1.13</f>
        <v>2.94350314079422</v>
      </c>
      <c r="L16" s="505">
        <f ca="1">果糖汇总!L16</f>
        <v>0.764998376404912</v>
      </c>
      <c r="M16" s="505">
        <f ca="1">果糖汇总!M16*1.13</f>
        <v>2.25177512365034</v>
      </c>
      <c r="N16" s="507"/>
      <c r="O16" s="507">
        <f ca="1">'果糖汇总-含税'!O16</f>
        <v>130456.0592</v>
      </c>
      <c r="P16" s="562"/>
      <c r="Q16" s="658"/>
      <c r="R16" s="658"/>
    </row>
    <row r="17" s="460" customFormat="1" ht="14.25" customHeight="1" spans="1:18">
      <c r="A17" s="664" t="s">
        <v>139</v>
      </c>
      <c r="B17" s="503" t="s">
        <v>167</v>
      </c>
      <c r="C17" s="505">
        <f ca="1">果糖汇总!C17*1.13</f>
        <v>0</v>
      </c>
      <c r="D17" s="505">
        <f ca="1">果糖汇总!D17</f>
        <v>0</v>
      </c>
      <c r="E17" s="506">
        <f ca="1">果糖汇总!E17*1.13</f>
        <v>0</v>
      </c>
      <c r="F17" s="507">
        <f ca="1">果糖汇总!F17</f>
        <v>0</v>
      </c>
      <c r="G17" s="507">
        <f ca="1">果糖汇总!G17*1.13</f>
        <v>0</v>
      </c>
      <c r="H17" s="661"/>
      <c r="I17" s="664" t="s">
        <v>139</v>
      </c>
      <c r="J17" s="503" t="s">
        <v>167</v>
      </c>
      <c r="K17" s="505">
        <f ca="1">果糖汇总!K17*1.13</f>
        <v>8.00006266464471</v>
      </c>
      <c r="L17" s="505">
        <f ca="1">果糖汇总!L17</f>
        <v>1.59351647359435</v>
      </c>
      <c r="M17" s="505">
        <f ca="1">果糖汇总!M17*1.13</f>
        <v>12.7482316458985</v>
      </c>
      <c r="N17" s="507"/>
      <c r="O17" s="507">
        <f ca="1">'果糖汇总-含税'!O17</f>
        <v>738565.785200001</v>
      </c>
      <c r="P17" s="562"/>
      <c r="Q17" s="658"/>
      <c r="R17" s="658"/>
    </row>
    <row r="18" s="460" customFormat="1" ht="14.25" customHeight="1" spans="1:18">
      <c r="A18" s="664" t="s">
        <v>140</v>
      </c>
      <c r="B18" s="503" t="s">
        <v>167</v>
      </c>
      <c r="C18" s="505">
        <f ca="1">果糖汇总!C18*1.13</f>
        <v>0</v>
      </c>
      <c r="D18" s="505">
        <f ca="1">果糖汇总!D18</f>
        <v>0</v>
      </c>
      <c r="E18" s="506">
        <f ca="1">果糖汇总!E18*1.13</f>
        <v>0</v>
      </c>
      <c r="F18" s="507">
        <f ca="1">果糖汇总!F18</f>
        <v>0</v>
      </c>
      <c r="G18" s="507">
        <f ca="1">果糖汇总!G18*1.13</f>
        <v>0</v>
      </c>
      <c r="H18" s="661"/>
      <c r="I18" s="664" t="s">
        <v>140</v>
      </c>
      <c r="J18" s="503" t="s">
        <v>167</v>
      </c>
      <c r="K18" s="505">
        <f ca="1">果糖汇总!K18*1.13</f>
        <v>54.0155926492147</v>
      </c>
      <c r="L18" s="505">
        <f ca="1">果糖汇总!L18</f>
        <v>0.0824202898766574</v>
      </c>
      <c r="M18" s="505">
        <f ca="1">果糖汇总!M18*1.13</f>
        <v>4.45198080400772</v>
      </c>
      <c r="N18" s="507"/>
      <c r="O18" s="507">
        <f ca="1">'果糖汇总-含税'!O18</f>
        <v>257924.4549</v>
      </c>
      <c r="P18" s="562"/>
      <c r="Q18" s="658"/>
      <c r="R18" s="658"/>
    </row>
    <row r="19" s="460" customFormat="1" ht="14.25" customHeight="1" spans="1:18">
      <c r="A19" s="664" t="s">
        <v>141</v>
      </c>
      <c r="B19" s="503" t="s">
        <v>167</v>
      </c>
      <c r="C19" s="505">
        <f ca="1">果糖汇总!C19*1.13</f>
        <v>0</v>
      </c>
      <c r="D19" s="505">
        <f ca="1">果糖汇总!D19</f>
        <v>0</v>
      </c>
      <c r="E19" s="506">
        <f ca="1">果糖汇总!E19*1.13</f>
        <v>0</v>
      </c>
      <c r="F19" s="507">
        <f ca="1">果糖汇总!F19</f>
        <v>0</v>
      </c>
      <c r="G19" s="507">
        <f ca="1">果糖汇总!G19*1.13</f>
        <v>0</v>
      </c>
      <c r="H19" s="661"/>
      <c r="I19" s="664" t="s">
        <v>141</v>
      </c>
      <c r="J19" s="503" t="s">
        <v>167</v>
      </c>
      <c r="K19" s="505">
        <f ca="1">果糖汇总!K19*1.13</f>
        <v>36.3830972699914</v>
      </c>
      <c r="L19" s="505">
        <f ca="1">果糖汇总!L19</f>
        <v>0.160594424505219</v>
      </c>
      <c r="M19" s="505">
        <f ca="1">果糖汇总!M19*1.13</f>
        <v>5.84292256779167</v>
      </c>
      <c r="N19" s="507"/>
      <c r="O19" s="507">
        <f ca="1">'果糖汇总-含税'!O19</f>
        <v>338508.337</v>
      </c>
      <c r="P19" s="562"/>
      <c r="Q19" s="658"/>
      <c r="R19" s="658"/>
    </row>
    <row r="20" s="460" customFormat="1" ht="14.25" customHeight="1" spans="1:18">
      <c r="A20" s="664" t="s">
        <v>142</v>
      </c>
      <c r="B20" s="503" t="s">
        <v>167</v>
      </c>
      <c r="C20" s="505">
        <f ca="1">果糖汇总!C20*1.13</f>
        <v>0</v>
      </c>
      <c r="D20" s="505">
        <f ca="1">果糖汇总!D20</f>
        <v>0</v>
      </c>
      <c r="E20" s="506">
        <f ca="1">果糖汇总!E20*1.13</f>
        <v>0</v>
      </c>
      <c r="F20" s="507">
        <f ca="1">果糖汇总!F20</f>
        <v>0</v>
      </c>
      <c r="G20" s="507">
        <f ca="1">果糖汇总!G20*1.13</f>
        <v>0</v>
      </c>
      <c r="H20" s="661"/>
      <c r="I20" s="664" t="s">
        <v>142</v>
      </c>
      <c r="J20" s="503" t="s">
        <v>167</v>
      </c>
      <c r="K20" s="505">
        <f ca="1">果糖汇总!K20*1.13</f>
        <v>246.992032636057</v>
      </c>
      <c r="L20" s="505">
        <f ca="1">果糖汇总!L20</f>
        <v>0.0973681372134501</v>
      </c>
      <c r="M20" s="505">
        <f ca="1">果糖汇总!M20*1.13</f>
        <v>24.0491541243366</v>
      </c>
      <c r="N20" s="507"/>
      <c r="O20" s="507">
        <f ca="1">'果糖汇总-含税'!O20</f>
        <v>1393282.0561</v>
      </c>
      <c r="P20" s="562"/>
      <c r="Q20" s="658"/>
      <c r="R20" s="658"/>
    </row>
    <row r="21" s="460" customFormat="1" ht="14.25" customHeight="1" spans="1:18">
      <c r="A21" s="664" t="s">
        <v>150</v>
      </c>
      <c r="B21" s="503" t="s">
        <v>167</v>
      </c>
      <c r="C21" s="505">
        <f ca="1">果糖汇总!C21*1.13</f>
        <v>0</v>
      </c>
      <c r="D21" s="505">
        <f ca="1">果糖汇总!D21</f>
        <v>0</v>
      </c>
      <c r="E21" s="506">
        <f ca="1">果糖汇总!E21*1.13</f>
        <v>0</v>
      </c>
      <c r="F21" s="507">
        <f ca="1">果糖汇总!F21</f>
        <v>0</v>
      </c>
      <c r="G21" s="507">
        <f ca="1">果糖汇总!G21*1.13</f>
        <v>0</v>
      </c>
      <c r="H21" s="661"/>
      <c r="I21" s="664" t="s">
        <v>150</v>
      </c>
      <c r="J21" s="503" t="s">
        <v>167</v>
      </c>
      <c r="K21" s="505">
        <f ca="1">果糖汇总!K21*1.13</f>
        <v>1.1068060104712</v>
      </c>
      <c r="L21" s="505">
        <f ca="1">果糖汇总!L21</f>
        <v>0.494521739259945</v>
      </c>
      <c r="M21" s="505">
        <f ca="1">果糖汇总!M21*1.13</f>
        <v>0.54733963332158</v>
      </c>
      <c r="N21" s="507"/>
      <c r="O21" s="507">
        <f ca="1">'果糖汇总-含税'!O21</f>
        <v>31709.9922</v>
      </c>
      <c r="P21" s="562"/>
      <c r="Q21" s="658"/>
      <c r="R21" s="658"/>
    </row>
    <row r="22" s="460" customFormat="1" ht="14.25" customHeight="1" spans="1:18">
      <c r="A22" s="664" t="s">
        <v>145</v>
      </c>
      <c r="B22" s="503" t="s">
        <v>167</v>
      </c>
      <c r="C22" s="505">
        <f ca="1">果糖汇总!C22*1.13</f>
        <v>0</v>
      </c>
      <c r="D22" s="505">
        <f ca="1">果糖汇总!D22</f>
        <v>0</v>
      </c>
      <c r="E22" s="506">
        <f ca="1">果糖汇总!E22*1.13</f>
        <v>0</v>
      </c>
      <c r="F22" s="507">
        <f ca="1">果糖汇总!F22</f>
        <v>0</v>
      </c>
      <c r="G22" s="507">
        <f ca="1">果糖汇总!G22*1.13</f>
        <v>0</v>
      </c>
      <c r="H22" s="661"/>
      <c r="I22" s="664" t="s">
        <v>145</v>
      </c>
      <c r="J22" s="503" t="s">
        <v>167</v>
      </c>
      <c r="K22" s="505">
        <f ca="1">果糖汇总!K22*1.13</f>
        <v>2.09737053412463</v>
      </c>
      <c r="L22" s="505">
        <f ca="1">果糖汇总!L22</f>
        <v>0.290844373700875</v>
      </c>
      <c r="M22" s="505">
        <f ca="1">果糖汇总!M22*1.13</f>
        <v>0.610008419416147</v>
      </c>
      <c r="N22" s="507"/>
      <c r="O22" s="507">
        <f ca="1">'果糖汇总-含税'!O22</f>
        <v>35340.6935</v>
      </c>
      <c r="P22" s="562"/>
      <c r="Q22" s="658"/>
      <c r="R22" s="658"/>
    </row>
    <row r="23" s="460" customFormat="1" ht="14.25" customHeight="1" spans="1:18">
      <c r="A23" s="664" t="s">
        <v>146</v>
      </c>
      <c r="B23" s="503" t="s">
        <v>167</v>
      </c>
      <c r="C23" s="505"/>
      <c r="D23" s="505"/>
      <c r="E23" s="506">
        <f ca="1">果糖汇总!E23*1.13</f>
        <v>0</v>
      </c>
      <c r="F23" s="507"/>
      <c r="G23" s="507" t="e">
        <f ca="1">果糖汇总!G23*1.13</f>
        <v>#DIV/0!</v>
      </c>
      <c r="H23" s="661"/>
      <c r="I23" s="664" t="s">
        <v>146</v>
      </c>
      <c r="J23" s="503" t="s">
        <v>167</v>
      </c>
      <c r="K23" s="505">
        <f>果糖汇总!K23*1.13</f>
        <v>0</v>
      </c>
      <c r="L23" s="505">
        <f>果糖汇总!L23</f>
        <v>0</v>
      </c>
      <c r="M23" s="505" t="e">
        <f ca="1">果糖汇总!M23*1.13</f>
        <v>#DIV/0!</v>
      </c>
      <c r="N23" s="507"/>
      <c r="O23" s="507" t="e">
        <f ca="1">'果糖汇总-含税'!O23</f>
        <v>#DIV/0!</v>
      </c>
      <c r="P23" s="562"/>
      <c r="Q23" s="658"/>
      <c r="R23" s="658"/>
    </row>
    <row r="24" s="460" customFormat="1" ht="14.25" customHeight="1" spans="1:18">
      <c r="A24" s="664" t="s">
        <v>151</v>
      </c>
      <c r="B24" s="665"/>
      <c r="C24" s="505"/>
      <c r="D24" s="505"/>
      <c r="E24" s="506">
        <f ca="1">果糖汇总!E24*1.13</f>
        <v>0</v>
      </c>
      <c r="F24" s="507"/>
      <c r="G24" s="507" t="e">
        <f ca="1">果糖汇总!G24*1.13</f>
        <v>#DIV/0!</v>
      </c>
      <c r="H24" s="661"/>
      <c r="I24" s="664" t="s">
        <v>151</v>
      </c>
      <c r="J24" s="665"/>
      <c r="K24" s="505">
        <f>果糖汇总!K24*1.13</f>
        <v>0</v>
      </c>
      <c r="L24" s="505">
        <f>果糖汇总!L24</f>
        <v>0</v>
      </c>
      <c r="M24" s="505" t="e">
        <f ca="1">果糖汇总!M24*1.13</f>
        <v>#DIV/0!</v>
      </c>
      <c r="N24" s="507"/>
      <c r="O24" s="507" t="e">
        <f ca="1">'果糖汇总-含税'!O24</f>
        <v>#DIV/0!</v>
      </c>
      <c r="P24" s="562"/>
      <c r="Q24" s="658"/>
      <c r="R24" s="658"/>
    </row>
    <row r="25" s="460" customFormat="1" ht="14.25" customHeight="1" spans="1:18">
      <c r="A25" s="666" t="s">
        <v>208</v>
      </c>
      <c r="B25" s="663"/>
      <c r="C25" s="501"/>
      <c r="D25" s="492"/>
      <c r="E25" s="491">
        <f ca="1">SUM(E26:E29)+E30</f>
        <v>0</v>
      </c>
      <c r="F25" s="491"/>
      <c r="G25" s="491" t="e">
        <f ca="1">SUM(G26:G29)+G30</f>
        <v>#DIV/0!</v>
      </c>
      <c r="H25" s="661"/>
      <c r="I25" s="666" t="s">
        <v>208</v>
      </c>
      <c r="J25" s="663"/>
      <c r="K25" s="501"/>
      <c r="L25" s="492"/>
      <c r="M25" s="491" t="e">
        <f ca="1">SUM(M26:M29)+M30</f>
        <v>#DIV/0!</v>
      </c>
      <c r="N25" s="491"/>
      <c r="O25" s="491" t="e">
        <f ca="1">SUM(O26:O29)+O30</f>
        <v>#DIV/0!</v>
      </c>
      <c r="P25" s="562"/>
      <c r="Q25" s="658"/>
      <c r="R25" s="658"/>
    </row>
    <row r="26" s="460" customFormat="1" ht="14.25" customHeight="1" spans="1:18">
      <c r="A26" s="664" t="s">
        <v>95</v>
      </c>
      <c r="B26" s="665" t="s">
        <v>75</v>
      </c>
      <c r="C26" s="567">
        <f ca="1">'F55-含税'!C27</f>
        <v>0</v>
      </c>
      <c r="D26" s="497">
        <f ca="1">果糖汇总!D27</f>
        <v>0</v>
      </c>
      <c r="E26" s="507">
        <f ca="1">C26*D26</f>
        <v>0</v>
      </c>
      <c r="F26" s="507">
        <f ca="1">果糖汇总!F27</f>
        <v>0</v>
      </c>
      <c r="G26" s="507">
        <f ca="1">'F55-含税'!G27+'F42-含税'!G27+'F60-含税'!G27</f>
        <v>0</v>
      </c>
      <c r="H26" s="661"/>
      <c r="I26" s="664" t="s">
        <v>95</v>
      </c>
      <c r="J26" s="665" t="s">
        <v>75</v>
      </c>
      <c r="K26" s="567">
        <f ca="1">'F55-含税'!K27</f>
        <v>408.530937837231</v>
      </c>
      <c r="L26" s="497">
        <f ca="1">果糖汇总!L27</f>
        <v>0.308036124217555</v>
      </c>
      <c r="M26" s="507">
        <f ca="1">K26*L26</f>
        <v>125.842286714344</v>
      </c>
      <c r="N26" s="507">
        <f ca="1">果糖汇总!N27</f>
        <v>17846</v>
      </c>
      <c r="O26" s="507">
        <f ca="1">'果糖汇总-含税'!O27</f>
        <v>7290643.11664321</v>
      </c>
      <c r="P26" s="562"/>
      <c r="Q26" s="658"/>
      <c r="R26" s="658"/>
    </row>
    <row r="27" s="460" customFormat="1" ht="14.25" customHeight="1" spans="1:18">
      <c r="A27" s="664" t="s">
        <v>96</v>
      </c>
      <c r="B27" s="665" t="s">
        <v>97</v>
      </c>
      <c r="C27" s="567">
        <f ca="1">IF(G27=0,0,G27/F27)</f>
        <v>0</v>
      </c>
      <c r="D27" s="505">
        <f ca="1">果糖汇总!D28</f>
        <v>0</v>
      </c>
      <c r="E27" s="507">
        <f ca="1">果糖汇总!E28*1.13</f>
        <v>0</v>
      </c>
      <c r="F27" s="507" t="e">
        <f ca="1">果糖汇总!F28</f>
        <v>#DIV/0!</v>
      </c>
      <c r="G27" s="507">
        <f ca="1">果糖汇总!G28*1.13</f>
        <v>0</v>
      </c>
      <c r="H27" s="661"/>
      <c r="I27" s="664" t="s">
        <v>96</v>
      </c>
      <c r="J27" s="665" t="s">
        <v>97</v>
      </c>
      <c r="K27" s="567" t="e">
        <f ca="1">IF(O27=0,0,O27/N27)</f>
        <v>#DIV/0!</v>
      </c>
      <c r="L27" s="505" t="e">
        <f ca="1">果糖汇总!L28</f>
        <v>#DIV/0!</v>
      </c>
      <c r="M27" s="507" t="e">
        <f ca="1">果糖汇总!M28*1.13</f>
        <v>#DIV/0!</v>
      </c>
      <c r="N27" s="507" t="e">
        <f ca="1">果糖汇总!N28</f>
        <v>#DIV/0!</v>
      </c>
      <c r="O27" s="507" t="e">
        <f ca="1">'果糖汇总-含税'!O28</f>
        <v>#DIV/0!</v>
      </c>
      <c r="P27" s="562"/>
      <c r="Q27" s="658"/>
      <c r="R27" s="658"/>
    </row>
    <row r="28" s="460" customFormat="1" ht="14.25" customHeight="1" spans="1:18">
      <c r="A28" s="664" t="s">
        <v>98</v>
      </c>
      <c r="B28" s="665" t="s">
        <v>75</v>
      </c>
      <c r="C28" s="567">
        <f ca="1">IF(G28=0,0,G28/F28)</f>
        <v>0</v>
      </c>
      <c r="D28" s="505">
        <f ca="1">果糖汇总!D29</f>
        <v>0</v>
      </c>
      <c r="E28" s="507">
        <f ca="1">D28*C28</f>
        <v>0</v>
      </c>
      <c r="F28" s="507" t="e">
        <f ca="1">果糖汇总!F29</f>
        <v>#DIV/0!</v>
      </c>
      <c r="G28" s="507">
        <f ca="1">'F55-含税'!G29+'F60-含税'!G29+'F42-含税'!G29</f>
        <v>0</v>
      </c>
      <c r="H28" s="661"/>
      <c r="I28" s="664" t="s">
        <v>98</v>
      </c>
      <c r="J28" s="665" t="s">
        <v>75</v>
      </c>
      <c r="K28" s="567" t="e">
        <f ca="1">IF(O28=0,0,O28/N28)</f>
        <v>#DIV/0!</v>
      </c>
      <c r="L28" s="505" t="e">
        <f ca="1">果糖汇总!L29</f>
        <v>#DIV/0!</v>
      </c>
      <c r="M28" s="507" t="e">
        <f ca="1">L28*K28</f>
        <v>#DIV/0!</v>
      </c>
      <c r="N28" s="507" t="e">
        <f ca="1">果糖汇总!N29</f>
        <v>#DIV/0!</v>
      </c>
      <c r="O28" s="507" t="e">
        <f ca="1">'果糖汇总-含税'!O29</f>
        <v>#DIV/0!</v>
      </c>
      <c r="P28" s="562"/>
      <c r="Q28" s="658"/>
      <c r="R28" s="658"/>
    </row>
    <row r="29" s="460" customFormat="1" ht="14.25" customHeight="1" spans="1:18">
      <c r="A29" s="664" t="s">
        <v>99</v>
      </c>
      <c r="B29" s="665" t="s">
        <v>75</v>
      </c>
      <c r="C29" s="567"/>
      <c r="D29" s="505"/>
      <c r="E29" s="507"/>
      <c r="F29" s="507"/>
      <c r="G29" s="507"/>
      <c r="H29" s="661"/>
      <c r="I29" s="664" t="s">
        <v>99</v>
      </c>
      <c r="J29" s="665" t="s">
        <v>75</v>
      </c>
      <c r="K29" s="667"/>
      <c r="L29" s="505"/>
      <c r="M29" s="507"/>
      <c r="N29" s="507"/>
      <c r="O29" s="507"/>
      <c r="P29" s="562"/>
      <c r="Q29" s="658"/>
      <c r="R29" s="658"/>
    </row>
    <row r="30" s="460" customFormat="1" ht="14.25" customHeight="1" spans="1:18">
      <c r="A30" s="664" t="s">
        <v>209</v>
      </c>
      <c r="B30" s="665"/>
      <c r="C30" s="567"/>
      <c r="D30" s="505"/>
      <c r="E30" s="507">
        <f ca="1">果糖汇总!$E$31*1.13</f>
        <v>0</v>
      </c>
      <c r="F30" s="507"/>
      <c r="G30" s="507" t="e">
        <f ca="1">果糖汇总!$G$31*1.13</f>
        <v>#DIV/0!</v>
      </c>
      <c r="H30" s="661"/>
      <c r="I30" s="668" t="s">
        <v>209</v>
      </c>
      <c r="J30" s="669"/>
      <c r="K30" s="631"/>
      <c r="L30" s="632"/>
      <c r="M30" s="509" t="e">
        <f ca="1">果糖汇总!$M$31*1.13</f>
        <v>#DIV/0!</v>
      </c>
      <c r="N30" s="509"/>
      <c r="O30" s="509" t="e">
        <f ca="1">果糖汇总!$O$31*1.13</f>
        <v>#DIV/0!</v>
      </c>
      <c r="P30" s="562"/>
      <c r="Q30" s="658"/>
    </row>
    <row r="31" s="460" customFormat="1" ht="14.25" customHeight="1" spans="1:18">
      <c r="A31" s="666" t="s">
        <v>210</v>
      </c>
      <c r="B31" s="663"/>
      <c r="C31" s="501"/>
      <c r="D31" s="492"/>
      <c r="E31" s="491">
        <f ca="1">SUM(E5,-E11,-E13,-E25)-SUM(果糖汇总!E5,-果糖汇总!E11,-果糖汇总!E13,-果糖汇总!E26,-果糖汇总!E31)</f>
        <v>0</v>
      </c>
      <c r="F31" s="491"/>
      <c r="G31" s="491" t="e">
        <f ca="1">SUM(G5,-G11,-G13,-G25)-SUM(果糖汇总!G5,-果糖汇总!G11,-果糖汇总!G13,-果糖汇总!G26,-果糖汇总!G31)</f>
        <v>#DIV/0!</v>
      </c>
      <c r="H31" s="661"/>
      <c r="I31" s="666" t="s">
        <v>210</v>
      </c>
      <c r="J31" s="663"/>
      <c r="K31" s="501"/>
      <c r="L31" s="492"/>
      <c r="M31" s="491" t="e">
        <f ca="1">SUM(M5,-M11,-M13,-M25)-SUM(果糖汇总!M5,-果糖汇总!M11,-果糖汇总!M13,-果糖汇总!M26,-果糖汇总!M31)</f>
        <v>#DIV/0!</v>
      </c>
      <c r="N31" s="491"/>
      <c r="O31" s="491" t="e">
        <f ca="1">SUM(O5,-O11,-O13,-O25)-SUM(果糖汇总!O5,-果糖汇总!O11,-果糖汇总!O13,-果糖汇总!O26,-果糖汇总!O31)</f>
        <v>#DIV/0!</v>
      </c>
      <c r="P31" s="562"/>
      <c r="Q31" s="658"/>
    </row>
    <row r="32" s="460" customFormat="1" ht="14.25" customHeight="1" spans="1:18">
      <c r="A32" s="666" t="s">
        <v>211</v>
      </c>
      <c r="B32" s="663"/>
      <c r="C32" s="501"/>
      <c r="D32" s="492"/>
      <c r="E32" s="491">
        <f ca="1">IF(F$3=0,0,G32/F$3)</f>
        <v>0</v>
      </c>
      <c r="F32" s="491"/>
      <c r="G32" s="491" t="e">
        <f ca="1">果糖汇总!G44</f>
        <v>#DIV/0!</v>
      </c>
      <c r="H32" s="661"/>
      <c r="I32" s="666" t="s">
        <v>211</v>
      </c>
      <c r="J32" s="666"/>
      <c r="K32" s="666"/>
      <c r="L32" s="666"/>
      <c r="M32" s="542" t="e">
        <f ca="1">IF(N$3=0,0,O32/N$3)</f>
        <v>#DIV/0!</v>
      </c>
      <c r="N32" s="542"/>
      <c r="O32" s="542" t="e">
        <f ca="1">果糖汇总!O44</f>
        <v>#DIV/0!</v>
      </c>
      <c r="P32" s="562"/>
      <c r="Q32" s="658"/>
    </row>
    <row r="33" s="460" customFormat="1" ht="14.25" customHeight="1" spans="1:17">
      <c r="A33" s="666" t="s">
        <v>212</v>
      </c>
      <c r="B33" s="663"/>
      <c r="C33" s="501"/>
      <c r="D33" s="492"/>
      <c r="E33" s="491" t="e">
        <f ca="1">G33/F3</f>
        <v>#DIV/0!</v>
      </c>
      <c r="F33" s="491"/>
      <c r="G33" s="491" t="e">
        <f ca="1">'果糖汇总-含税'!G55</f>
        <v>#DIV/0!</v>
      </c>
      <c r="H33" s="661"/>
      <c r="I33" s="666" t="s">
        <v>212</v>
      </c>
      <c r="J33" s="666"/>
      <c r="K33" s="666"/>
      <c r="L33" s="666"/>
      <c r="M33" s="491" t="e">
        <f ca="1">O33/N3</f>
        <v>#DIV/0!</v>
      </c>
      <c r="N33" s="491"/>
      <c r="O33" s="491" t="e">
        <f ca="1">'果糖汇总-含税'!O55</f>
        <v>#DIV/0!</v>
      </c>
      <c r="P33" s="562"/>
    </row>
    <row r="34" s="460" customFormat="1" ht="14.25" customHeight="1" spans="1:17">
      <c r="A34" s="670" t="s">
        <v>105</v>
      </c>
      <c r="B34" s="65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12"/>
      <c r="I34" s="670" t="s">
        <v>105</v>
      </c>
      <c r="J34" s="65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  <c r="P34" s="512"/>
      <c r="Q34" s="539"/>
    </row>
    <row r="35" s="460" customFormat="1" ht="14.25" customHeight="1" spans="1:17">
      <c r="A35" s="524" t="s">
        <v>106</v>
      </c>
      <c r="B35" s="525"/>
      <c r="C35" s="514"/>
      <c r="D35" s="515"/>
      <c r="E35" s="487">
        <f ca="1">SUM(E36:E42)</f>
        <v>0</v>
      </c>
      <c r="F35" s="526"/>
      <c r="G35" s="487" t="e">
        <f ca="1">SUM(G36:G42)</f>
        <v>#DIV/0!</v>
      </c>
      <c r="I35" s="524" t="s">
        <v>106</v>
      </c>
      <c r="J35" s="525"/>
      <c r="K35" s="514"/>
      <c r="L35" s="515"/>
      <c r="M35" s="671" t="e">
        <f ca="1">SUM(M36:M42)</f>
        <v>#DIV/0!</v>
      </c>
      <c r="N35" s="526"/>
      <c r="O35" s="487" t="e">
        <f ca="1">SUM(O36:O42)</f>
        <v>#DIV/0!</v>
      </c>
      <c r="P35" s="562"/>
      <c r="Q35" s="527"/>
    </row>
    <row r="36" s="460" customFormat="1" ht="14.25" customHeight="1" spans="1:17">
      <c r="A36" s="672" t="s">
        <v>107</v>
      </c>
      <c r="B36" s="665"/>
      <c r="C36" s="505"/>
      <c r="D36" s="497"/>
      <c r="E36" s="507">
        <f ca="1" t="shared" ref="E36:E48" si="0">IF(F$3=0,0,G36/F$3)</f>
        <v>0</v>
      </c>
      <c r="F36" s="673"/>
      <c r="G36" s="507" t="e">
        <f ca="1">果糖汇总!G37</f>
        <v>#DIV/0!</v>
      </c>
      <c r="H36" s="527"/>
      <c r="I36" s="672" t="s">
        <v>107</v>
      </c>
      <c r="J36" s="665"/>
      <c r="K36" s="505"/>
      <c r="L36" s="497"/>
      <c r="M36" s="507" t="e">
        <f ca="1" t="shared" ref="M36:M48" si="1">IF(N$3=0,0,O36/N$3)</f>
        <v>#DIV/0!</v>
      </c>
      <c r="N36" s="673"/>
      <c r="O36" s="507" t="e">
        <f ca="1">果糖汇总!O37</f>
        <v>#DIV/0!</v>
      </c>
      <c r="P36" s="562"/>
      <c r="Q36" s="658"/>
    </row>
    <row r="37" s="460" customFormat="1" ht="14.25" customHeight="1" spans="1:17">
      <c r="A37" s="672" t="s">
        <v>108</v>
      </c>
      <c r="B37" s="665"/>
      <c r="C37" s="505"/>
      <c r="D37" s="497"/>
      <c r="E37" s="507">
        <f ca="1" t="shared" si="0"/>
        <v>0</v>
      </c>
      <c r="F37" s="673"/>
      <c r="G37" s="507" t="e">
        <f ca="1">果糖汇总!G38</f>
        <v>#DIV/0!</v>
      </c>
      <c r="H37" s="527"/>
      <c r="I37" s="672" t="s">
        <v>108</v>
      </c>
      <c r="J37" s="665"/>
      <c r="K37" s="505"/>
      <c r="L37" s="497"/>
      <c r="M37" s="507" t="e">
        <f ca="1" t="shared" si="1"/>
        <v>#DIV/0!</v>
      </c>
      <c r="N37" s="673"/>
      <c r="O37" s="507" t="e">
        <f ca="1">果糖汇总!O38</f>
        <v>#DIV/0!</v>
      </c>
      <c r="P37" s="562"/>
    </row>
    <row r="38" s="460" customFormat="1" ht="14.25" customHeight="1" spans="1:17">
      <c r="A38" s="672" t="s">
        <v>109</v>
      </c>
      <c r="B38" s="665"/>
      <c r="C38" s="498"/>
      <c r="D38" s="518"/>
      <c r="E38" s="507">
        <f ca="1" t="shared" si="0"/>
        <v>0</v>
      </c>
      <c r="F38" s="673"/>
      <c r="G38" s="507" t="e">
        <f ca="1">果糖汇总!G39</f>
        <v>#DIV/0!</v>
      </c>
      <c r="H38" s="527"/>
      <c r="I38" s="672" t="s">
        <v>109</v>
      </c>
      <c r="J38" s="665"/>
      <c r="K38" s="498"/>
      <c r="L38" s="518"/>
      <c r="M38" s="507" t="e">
        <f ca="1" t="shared" si="1"/>
        <v>#DIV/0!</v>
      </c>
      <c r="N38" s="673"/>
      <c r="O38" s="507" t="e">
        <f ca="1">果糖汇总!O39</f>
        <v>#DIV/0!</v>
      </c>
      <c r="P38" s="562"/>
    </row>
    <row r="39" s="460" customFormat="1" ht="14.25" customHeight="1" spans="1:17">
      <c r="A39" s="672" t="s">
        <v>110</v>
      </c>
      <c r="B39" s="665"/>
      <c r="C39" s="498"/>
      <c r="D39" s="518"/>
      <c r="E39" s="507">
        <f ca="1" t="shared" si="0"/>
        <v>0</v>
      </c>
      <c r="F39" s="673"/>
      <c r="G39" s="507" t="e">
        <f ca="1">果糖汇总!G40</f>
        <v>#DIV/0!</v>
      </c>
      <c r="H39" s="527"/>
      <c r="I39" s="672" t="s">
        <v>110</v>
      </c>
      <c r="J39" s="665"/>
      <c r="K39" s="498"/>
      <c r="L39" s="518"/>
      <c r="M39" s="507" t="e">
        <f ca="1" t="shared" si="1"/>
        <v>#DIV/0!</v>
      </c>
      <c r="N39" s="673"/>
      <c r="O39" s="507" t="e">
        <f ca="1">果糖汇总!O40</f>
        <v>#DIV/0!</v>
      </c>
      <c r="P39" s="562"/>
    </row>
    <row r="40" s="460" customFormat="1" ht="14.25" customHeight="1" spans="1:17">
      <c r="A40" s="672" t="s">
        <v>111</v>
      </c>
      <c r="B40" s="665"/>
      <c r="C40" s="498"/>
      <c r="D40" s="518"/>
      <c r="E40" s="507">
        <f ca="1" t="shared" si="0"/>
        <v>0</v>
      </c>
      <c r="F40" s="673"/>
      <c r="G40" s="507" t="e">
        <f ca="1">果糖汇总!G41</f>
        <v>#DIV/0!</v>
      </c>
      <c r="H40" s="527"/>
      <c r="I40" s="672" t="s">
        <v>111</v>
      </c>
      <c r="J40" s="665"/>
      <c r="K40" s="498"/>
      <c r="L40" s="518"/>
      <c r="M40" s="507" t="e">
        <f ca="1" t="shared" si="1"/>
        <v>#DIV/0!</v>
      </c>
      <c r="N40" s="673"/>
      <c r="O40" s="507" t="e">
        <f ca="1">果糖汇总!O41</f>
        <v>#DIV/0!</v>
      </c>
      <c r="P40" s="562"/>
    </row>
    <row r="41" s="460" customFormat="1" ht="14.25" customHeight="1" spans="1:17">
      <c r="A41" s="672" t="s">
        <v>112</v>
      </c>
      <c r="B41" s="665"/>
      <c r="C41" s="498"/>
      <c r="D41" s="518"/>
      <c r="E41" s="507">
        <f ca="1" t="shared" si="0"/>
        <v>0</v>
      </c>
      <c r="F41" s="673"/>
      <c r="G41" s="507" t="e">
        <f ca="1">果糖汇总!G42</f>
        <v>#DIV/0!</v>
      </c>
      <c r="H41" s="527"/>
      <c r="I41" s="672" t="s">
        <v>112</v>
      </c>
      <c r="J41" s="665"/>
      <c r="K41" s="498"/>
      <c r="L41" s="518"/>
      <c r="M41" s="507" t="e">
        <f ca="1" t="shared" si="1"/>
        <v>#DIV/0!</v>
      </c>
      <c r="N41" s="673"/>
      <c r="O41" s="507" t="e">
        <f ca="1">果糖汇总!O42</f>
        <v>#DIV/0!</v>
      </c>
      <c r="P41" s="562"/>
    </row>
    <row r="42" s="460" customFormat="1" ht="14.25" hidden="1" customHeight="1" spans="1:17">
      <c r="A42" s="672" t="s">
        <v>113</v>
      </c>
      <c r="B42" s="665"/>
      <c r="C42" s="498"/>
      <c r="D42" s="518"/>
      <c r="E42" s="576"/>
      <c r="F42" s="673"/>
      <c r="G42" s="507"/>
      <c r="I42" s="672" t="s">
        <v>114</v>
      </c>
      <c r="J42" s="665"/>
      <c r="K42" s="498"/>
      <c r="L42" s="518"/>
      <c r="M42" s="576"/>
      <c r="N42" s="673"/>
      <c r="O42" s="507"/>
      <c r="P42" s="562"/>
    </row>
    <row r="43" s="460" customFormat="1" ht="14.25" hidden="1" customHeight="1" spans="1:17">
      <c r="A43" s="672" t="s">
        <v>116</v>
      </c>
      <c r="B43" s="665"/>
      <c r="C43" s="498"/>
      <c r="D43" s="518"/>
      <c r="E43" s="576"/>
      <c r="F43" s="673"/>
      <c r="G43" s="507"/>
      <c r="I43" s="672" t="s">
        <v>116</v>
      </c>
      <c r="J43" s="665"/>
      <c r="K43" s="498"/>
      <c r="L43" s="518"/>
      <c r="M43" s="576"/>
      <c r="N43" s="673"/>
      <c r="O43" s="507"/>
      <c r="P43" s="562"/>
    </row>
    <row r="44" s="460" customFormat="1" ht="14.25" hidden="1" customHeight="1" spans="1:17">
      <c r="A44" s="672" t="s">
        <v>117</v>
      </c>
      <c r="B44" s="665"/>
      <c r="C44" s="498"/>
      <c r="D44" s="518"/>
      <c r="E44" s="576">
        <f ca="1" t="shared" si="0"/>
        <v>0</v>
      </c>
      <c r="F44" s="673"/>
      <c r="G44" s="507" t="e">
        <f ca="1">果糖汇总!G46</f>
        <v>#DIV/0!</v>
      </c>
      <c r="I44" s="672" t="s">
        <v>117</v>
      </c>
      <c r="J44" s="665"/>
      <c r="K44" s="498"/>
      <c r="L44" s="518"/>
      <c r="M44" s="576" t="e">
        <f ca="1" t="shared" si="1"/>
        <v>#DIV/0!</v>
      </c>
      <c r="N44" s="673"/>
      <c r="O44" s="507" t="e">
        <f ca="1">果糖汇总!O46</f>
        <v>#DIV/0!</v>
      </c>
      <c r="P44" s="562"/>
    </row>
    <row r="45" s="460" customFormat="1" ht="14.25" hidden="1" customHeight="1" spans="1:17">
      <c r="A45" s="672" t="s">
        <v>118</v>
      </c>
      <c r="B45" s="665"/>
      <c r="C45" s="498"/>
      <c r="D45" s="518"/>
      <c r="E45" s="576">
        <f ca="1" t="shared" si="0"/>
        <v>0</v>
      </c>
      <c r="F45" s="673"/>
      <c r="G45" s="507" t="e">
        <f ca="1">果糖汇总!G47</f>
        <v>#DIV/0!</v>
      </c>
      <c r="I45" s="672" t="s">
        <v>118</v>
      </c>
      <c r="J45" s="665"/>
      <c r="K45" s="498"/>
      <c r="L45" s="518"/>
      <c r="M45" s="576" t="e">
        <f ca="1" t="shared" si="1"/>
        <v>#DIV/0!</v>
      </c>
      <c r="N45" s="673"/>
      <c r="O45" s="507" t="e">
        <f ca="1">果糖汇总!O47</f>
        <v>#DIV/0!</v>
      </c>
      <c r="P45" s="562"/>
    </row>
    <row r="46" s="460" customFormat="1" ht="14.25" hidden="1" customHeight="1" spans="1:17">
      <c r="A46" s="672" t="s">
        <v>119</v>
      </c>
      <c r="B46" s="665"/>
      <c r="C46" s="498"/>
      <c r="D46" s="518"/>
      <c r="E46" s="576">
        <f ca="1" t="shared" si="0"/>
        <v>0</v>
      </c>
      <c r="F46" s="673"/>
      <c r="G46" s="507" t="e">
        <f ca="1">果糖汇总!G48</f>
        <v>#DIV/0!</v>
      </c>
      <c r="I46" s="672" t="s">
        <v>119</v>
      </c>
      <c r="J46" s="665"/>
      <c r="K46" s="498"/>
      <c r="L46" s="518"/>
      <c r="M46" s="576" t="e">
        <f ca="1" t="shared" si="1"/>
        <v>#DIV/0!</v>
      </c>
      <c r="N46" s="673"/>
      <c r="O46" s="507" t="e">
        <f ca="1">果糖汇总!O48</f>
        <v>#DIV/0!</v>
      </c>
      <c r="P46" s="562"/>
    </row>
    <row r="47" s="460" customFormat="1" ht="14.25" hidden="1" customHeight="1" spans="1:17">
      <c r="A47" s="672" t="s">
        <v>120</v>
      </c>
      <c r="B47" s="665"/>
      <c r="C47" s="498"/>
      <c r="D47" s="518"/>
      <c r="E47" s="576">
        <f ca="1" t="shared" si="0"/>
        <v>0</v>
      </c>
      <c r="F47" s="673"/>
      <c r="G47" s="507" t="e">
        <f ca="1">果糖汇总!G49</f>
        <v>#DIV/0!</v>
      </c>
      <c r="I47" s="672" t="s">
        <v>120</v>
      </c>
      <c r="J47" s="665"/>
      <c r="K47" s="498"/>
      <c r="L47" s="518"/>
      <c r="M47" s="576" t="e">
        <f ca="1" t="shared" si="1"/>
        <v>#DIV/0!</v>
      </c>
      <c r="N47" s="673"/>
      <c r="O47" s="507" t="e">
        <f ca="1">果糖汇总!O49</f>
        <v>#DIV/0!</v>
      </c>
      <c r="P47" s="562"/>
    </row>
    <row r="48" s="460" customFormat="1" ht="14.25" hidden="1" customHeight="1" spans="1:17">
      <c r="A48" s="672" t="s">
        <v>121</v>
      </c>
      <c r="B48" s="665"/>
      <c r="C48" s="498"/>
      <c r="D48" s="518"/>
      <c r="E48" s="576">
        <f ca="1" t="shared" si="0"/>
        <v>0</v>
      </c>
      <c r="F48" s="673"/>
      <c r="G48" s="507" t="e">
        <f ca="1">果糖汇总!G50</f>
        <v>#DIV/0!</v>
      </c>
      <c r="I48" s="672" t="s">
        <v>121</v>
      </c>
      <c r="J48" s="665"/>
      <c r="K48" s="498"/>
      <c r="L48" s="518"/>
      <c r="M48" s="576" t="e">
        <f ca="1" t="shared" si="1"/>
        <v>#DIV/0!</v>
      </c>
      <c r="N48" s="673"/>
      <c r="O48" s="507" t="e">
        <f ca="1">果糖汇总!O50</f>
        <v>#DIV/0!</v>
      </c>
      <c r="P48" s="562"/>
    </row>
    <row r="49" s="460" customFormat="1" ht="14.25" customHeight="1" spans="1:19">
      <c r="A49" s="674" t="s">
        <v>122</v>
      </c>
      <c r="B49" s="525" t="s">
        <v>123</v>
      </c>
      <c r="C49" s="514"/>
      <c r="D49" s="515"/>
      <c r="E49" s="578" t="e">
        <f ca="1">E35+E10</f>
        <v>#DIV/0!</v>
      </c>
      <c r="F49" s="581"/>
      <c r="G49" s="578" t="e">
        <f ca="1">G35+G10</f>
        <v>#DIV/0!</v>
      </c>
      <c r="H49" s="527"/>
      <c r="I49" s="674" t="s">
        <v>122</v>
      </c>
      <c r="J49" s="525" t="s">
        <v>123</v>
      </c>
      <c r="K49" s="514"/>
      <c r="L49" s="515"/>
      <c r="M49" s="578" t="e">
        <f ca="1">M35+M10</f>
        <v>#DIV/0!</v>
      </c>
      <c r="N49" s="581"/>
      <c r="O49" s="578" t="e">
        <f ca="1">O35+O10</f>
        <v>#DIV/0!</v>
      </c>
      <c r="P49" s="562"/>
    </row>
    <row r="50" s="460" customFormat="1" ht="14.25" customHeight="1" spans="1:19">
      <c r="A50" s="580" t="s">
        <v>124</v>
      </c>
      <c r="B50" s="52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52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  <c r="P50" s="562"/>
      <c r="Q50" s="527"/>
    </row>
    <row r="51" s="460" customFormat="1" ht="14.25" customHeight="1" spans="1:19">
      <c r="A51" s="580" t="s">
        <v>125</v>
      </c>
      <c r="B51" s="52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52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  <c r="P51" s="562"/>
    </row>
    <row r="52" s="638" customFormat="1" ht="14.25" customHeight="1" spans="1:19">
      <c r="A52" s="675" t="s">
        <v>126</v>
      </c>
      <c r="B52" s="676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677"/>
      <c r="I52" s="675" t="s">
        <v>126</v>
      </c>
      <c r="J52" s="676" t="s">
        <v>123</v>
      </c>
      <c r="K52" s="531"/>
      <c r="L52" s="532"/>
      <c r="M52" s="533" t="e">
        <f ca="1">M10-M11+M35</f>
        <v>#DIV/0!</v>
      </c>
      <c r="N52" s="533"/>
      <c r="O52" s="534" t="e">
        <f ca="1">O10-O11+O35</f>
        <v>#DIV/0!</v>
      </c>
      <c r="P52" s="562"/>
      <c r="Q52" s="678"/>
      <c r="R52" s="678"/>
      <c r="S52" s="678"/>
    </row>
    <row r="53" s="460" customFormat="1" customHeight="1" spans="1:19">
      <c r="B53" s="635"/>
      <c r="E53" s="539"/>
      <c r="H53" s="679"/>
      <c r="I53" s="679"/>
      <c r="J53" s="679"/>
      <c r="K53" s="679"/>
      <c r="L53" s="679"/>
      <c r="M53" s="679"/>
      <c r="N53" s="679"/>
      <c r="O53" s="680"/>
      <c r="P53" s="562"/>
    </row>
    <row r="54" s="460" customFormat="1" customHeight="1" spans="1:19">
      <c r="B54" s="635"/>
      <c r="E54" s="539"/>
      <c r="G54" s="527"/>
      <c r="H54" s="679"/>
      <c r="I54" s="679"/>
      <c r="J54" s="679"/>
      <c r="K54" s="679"/>
      <c r="L54" s="679"/>
      <c r="M54" s="679"/>
      <c r="N54" s="679"/>
      <c r="O54" s="527"/>
      <c r="P54" s="562"/>
    </row>
    <row r="55" s="460" customFormat="1" customHeight="1" spans="1:19">
      <c r="B55" s="635"/>
      <c r="E55" s="539"/>
      <c r="G55" s="658"/>
      <c r="H55" s="679"/>
      <c r="P55" s="562"/>
    </row>
    <row r="56" s="460" customFormat="1" customHeight="1" spans="1:19">
      <c r="B56" s="635"/>
      <c r="E56" s="539"/>
      <c r="P56" s="562"/>
    </row>
    <row r="57" s="460" customFormat="1" customHeight="1" spans="1:19">
      <c r="B57" s="635"/>
      <c r="E57" s="539"/>
      <c r="P57" s="562"/>
    </row>
    <row r="58" s="460" customFormat="1" customHeight="1" spans="1:19">
      <c r="B58" s="635"/>
      <c r="E58" s="539"/>
      <c r="P58" s="562"/>
    </row>
    <row r="60" s="460" customFormat="1" customHeight="1" spans="1:19">
      <c r="B60" s="635"/>
      <c r="E60" s="539"/>
      <c r="P60" s="562"/>
    </row>
    <row r="61" s="460" customFormat="1" customHeight="1" spans="1:19">
      <c r="B61" s="635"/>
      <c r="E61" s="539"/>
      <c r="P61" s="562"/>
    </row>
    <row r="62" s="460" customFormat="1" customHeight="1" spans="1:19">
      <c r="B62" s="635"/>
      <c r="E62" s="539"/>
      <c r="P62" s="562"/>
    </row>
    <row r="63" s="460" customFormat="1" customHeight="1" spans="1:19">
      <c r="B63" s="635"/>
      <c r="E63" s="539"/>
      <c r="P63" s="56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scale="76" fitToHeight="0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>
    <tabColor theme="7" tint="0.399975585192419"/>
    <pageSetUpPr fitToPage="1"/>
  </sheetPr>
  <dimension ref="A1:T7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O6" sqref="O6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7.5" style="40" customWidth="1"/>
    <col min="4" max="4" width="8.5" style="40" customWidth="1"/>
    <col min="5" max="5" width="9" style="462" customWidth="1"/>
    <col min="6" max="6" width="9.5" style="40" customWidth="1"/>
    <col min="7" max="7" width="10.5" style="40" customWidth="1"/>
    <col min="8" max="8" width="11.375" style="40" customWidth="1"/>
    <col min="9" max="9" width="28" style="40" customWidth="1"/>
    <col min="10" max="10" width="3.625" style="40" customWidth="1"/>
    <col min="11" max="11" width="7.5" style="40" customWidth="1"/>
    <col min="12" max="13" width="8.5" style="40" customWidth="1"/>
    <col min="14" max="14" width="9.5" style="40" customWidth="1"/>
    <col min="15" max="15" width="13" style="40" customWidth="1"/>
    <col min="16" max="16" width="10.5" style="40" customWidth="1"/>
    <col min="17" max="17" width="11.375" style="40" customWidth="1"/>
    <col min="18" max="18" width="13" style="40" customWidth="1"/>
    <col min="19" max="16384" width="9" style="40"/>
  </cols>
  <sheetData>
    <row r="1" s="458" customFormat="1" ht="42.75" customHeight="1" spans="1:18">
      <c r="A1" s="98" t="str">
        <f>CONCATENATE("专用糖综合成本利润表_含税(2025年"&amp;mth&amp;"月)")</f>
        <v>专用糖综合成本利润表_含税(2025年8月)</v>
      </c>
      <c r="B1" s="98"/>
      <c r="C1" s="98"/>
      <c r="D1" s="98"/>
      <c r="E1" s="98"/>
      <c r="F1" s="98"/>
      <c r="G1" s="98"/>
      <c r="I1" s="463" t="str">
        <f>CONCATENATE("专用糖综合成本利润表_含税(2025年1-"&amp;mth&amp;"月)")</f>
        <v>专用糖综合成本利润表_含税(2025年1-8月)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专用糖!F3</f>
        <v>0</v>
      </c>
      <c r="G3" s="39" t="s">
        <v>75</v>
      </c>
      <c r="M3" s="378" t="s">
        <v>134</v>
      </c>
      <c r="N3" s="466">
        <f ca="1">专用糖!N3</f>
        <v>38999.431</v>
      </c>
      <c r="O3" s="39" t="s">
        <v>75</v>
      </c>
    </row>
    <row r="4" s="459" customFormat="1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3182.0162796326</v>
      </c>
      <c r="N5" s="472"/>
      <c r="O5" s="474">
        <f ca="1">O6-O7</f>
        <v>124096824.338408</v>
      </c>
      <c r="P5" s="475"/>
      <c r="Q5" s="475"/>
    </row>
    <row r="6" s="459" customFormat="1" customHeight="1" spans="1:18">
      <c r="A6" s="476" t="s">
        <v>84</v>
      </c>
      <c r="B6" s="477"/>
      <c r="C6" s="478"/>
      <c r="D6" s="479"/>
      <c r="E6" s="480">
        <f ca="1">OFFSET(销售收入及运费!C97,0,mth-1,1,1)</f>
        <v>0</v>
      </c>
      <c r="F6" s="479"/>
      <c r="G6" s="480">
        <f ca="1">F3*E6</f>
        <v>0</v>
      </c>
      <c r="H6" s="510"/>
      <c r="I6" s="481" t="s">
        <v>84</v>
      </c>
      <c r="J6" s="477"/>
      <c r="K6" s="478"/>
      <c r="L6" s="479"/>
      <c r="M6" s="480">
        <f ca="1">销售收入及运费!O97</f>
        <v>3257.64971955846</v>
      </c>
      <c r="N6" s="482"/>
      <c r="O6" s="507">
        <f ca="1">M6*$N$3</f>
        <v>127046485.460089</v>
      </c>
      <c r="P6" s="475"/>
      <c r="Q6" s="475"/>
      <c r="R6" s="511"/>
    </row>
    <row r="7" s="459" customFormat="1" customHeight="1" spans="1:18">
      <c r="A7" s="476" t="s">
        <v>85</v>
      </c>
      <c r="B7" s="477"/>
      <c r="C7" s="479"/>
      <c r="D7" s="479"/>
      <c r="E7" s="480">
        <f ca="1">OFFSET(销售收入及运费!C195,0,mth-1,1,1)</f>
        <v>0</v>
      </c>
      <c r="F7" s="480"/>
      <c r="G7" s="480">
        <f ca="1">E7*$F$3</f>
        <v>0</v>
      </c>
      <c r="H7" s="510"/>
      <c r="I7" s="476" t="s">
        <v>85</v>
      </c>
      <c r="J7" s="477"/>
      <c r="K7" s="479"/>
      <c r="L7" s="479"/>
      <c r="M7" s="480">
        <f ca="1">销售收入及运费!O195</f>
        <v>75.6334399258585</v>
      </c>
      <c r="N7" s="482"/>
      <c r="O7" s="507">
        <f ca="1">M7*$N$3</f>
        <v>2949661.12168116</v>
      </c>
      <c r="P7" s="475"/>
      <c r="Q7" s="475"/>
      <c r="R7" s="511"/>
    </row>
    <row r="8" s="459" customFormat="1" customHeight="1" spans="1:18">
      <c r="A8" s="476" t="s">
        <v>86</v>
      </c>
      <c r="B8" s="477"/>
      <c r="C8" s="479"/>
      <c r="D8" s="479"/>
      <c r="E8" s="480" t="e">
        <f ca="1">'专用糖-含税'!E8</f>
        <v>#DIV/0!</v>
      </c>
      <c r="F8" s="480"/>
      <c r="G8" s="480" t="e">
        <f ca="1">'专用糖-含税'!G8</f>
        <v>#DIV/0!</v>
      </c>
      <c r="H8" s="510"/>
      <c r="I8" s="476" t="s">
        <v>86</v>
      </c>
      <c r="J8" s="477"/>
      <c r="K8" s="479"/>
      <c r="L8" s="479"/>
      <c r="M8" s="480">
        <f ca="1">'专用糖-含税'!M8</f>
        <v>64.282209331744</v>
      </c>
      <c r="N8" s="482"/>
      <c r="O8" s="480">
        <f ca="1">'专用糖-含税'!O8</f>
        <v>2506969.5873609</v>
      </c>
      <c r="P8" s="475"/>
      <c r="Q8" s="475"/>
      <c r="R8" s="511"/>
    </row>
    <row r="9" s="459" customFormat="1" customHeight="1" spans="1:18">
      <c r="A9" s="476" t="s">
        <v>87</v>
      </c>
      <c r="B9" s="477"/>
      <c r="C9" s="479"/>
      <c r="D9" s="479"/>
      <c r="E9" s="480" t="e">
        <f ca="1">'专用糖-含税'!E9</f>
        <v>#DIV/0!</v>
      </c>
      <c r="F9" s="480"/>
      <c r="G9" s="480" t="e">
        <f ca="1">'专用糖-含税'!G9</f>
        <v>#DIV/0!</v>
      </c>
      <c r="H9" s="510"/>
      <c r="I9" s="476" t="s">
        <v>87</v>
      </c>
      <c r="J9" s="477"/>
      <c r="K9" s="479"/>
      <c r="L9" s="479"/>
      <c r="M9" s="480">
        <f ca="1">'专用糖-含税'!M9</f>
        <v>11.3512305941146</v>
      </c>
      <c r="N9" s="482"/>
      <c r="O9" s="480">
        <f ca="1">'专用糖-含税'!O9</f>
        <v>442691.53432026</v>
      </c>
      <c r="P9" s="475"/>
      <c r="Q9" s="475"/>
      <c r="R9" s="511"/>
    </row>
    <row r="10" s="459" customFormat="1" customHeight="1" spans="1:18">
      <c r="A10" s="484" t="s">
        <v>88</v>
      </c>
      <c r="B10" s="485"/>
      <c r="C10" s="486"/>
      <c r="D10" s="486"/>
      <c r="E10" s="487" t="e">
        <f ca="1">E11+E13+E27+E33+E34+E35</f>
        <v>#DIV/0!</v>
      </c>
      <c r="F10" s="488"/>
      <c r="G10" s="487" t="e">
        <f ca="1">G11+G13+G27+G33+G34+G35</f>
        <v>#DIV/0!</v>
      </c>
      <c r="H10" s="510"/>
      <c r="I10" s="484" t="s">
        <v>88</v>
      </c>
      <c r="J10" s="485"/>
      <c r="K10" s="486"/>
      <c r="L10" s="486"/>
      <c r="M10" s="487" t="e">
        <f ca="1">M11+M13+M27+M33+M34+M35</f>
        <v>#DIV/0!</v>
      </c>
      <c r="N10" s="488"/>
      <c r="O10" s="487" t="e">
        <f ca="1">O11+O13+O27+O33+O34+O35</f>
        <v>#DIV/0!</v>
      </c>
      <c r="P10" s="475"/>
      <c r="Q10" s="475"/>
      <c r="R10" s="511"/>
    </row>
    <row r="11" s="459" customFormat="1" customHeight="1" spans="1:18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10"/>
      <c r="I11" s="489" t="s">
        <v>89</v>
      </c>
      <c r="J11" s="490" t="s">
        <v>75</v>
      </c>
      <c r="K11" s="491">
        <f ca="1">IF(N11=0,0,O11/N11)</f>
        <v>2823.08272508011</v>
      </c>
      <c r="L11" s="492">
        <f ca="1">IF(K11=0,0,M11/K11)</f>
        <v>0.849257156349613</v>
      </c>
      <c r="M11" s="491">
        <f ca="1">M12</f>
        <v>2397.52320724125</v>
      </c>
      <c r="N11" s="491">
        <f ca="1">N12</f>
        <v>33120.5458703129</v>
      </c>
      <c r="O11" s="491">
        <f ca="1">O12</f>
        <v>93502040.8917038</v>
      </c>
      <c r="P11" s="475"/>
      <c r="Q11" s="475"/>
    </row>
    <row r="12" s="459" customFormat="1" customHeight="1" spans="1:18">
      <c r="A12" s="502" t="s">
        <v>90</v>
      </c>
      <c r="B12" s="503" t="s">
        <v>75</v>
      </c>
      <c r="C12" s="507">
        <f ca="1">专用糖!C12*1.13</f>
        <v>0</v>
      </c>
      <c r="D12" s="497">
        <f ca="1">专用糖!D12</f>
        <v>0</v>
      </c>
      <c r="E12" s="627">
        <f ca="1">专用糖!E12*1.13</f>
        <v>0</v>
      </c>
      <c r="F12" s="507">
        <f ca="1">专用糖!F12</f>
        <v>0</v>
      </c>
      <c r="G12" s="480">
        <f ca="1">专用糖!G12*1.13</f>
        <v>0</v>
      </c>
      <c r="H12" s="510"/>
      <c r="I12" s="502" t="s">
        <v>90</v>
      </c>
      <c r="J12" s="503" t="s">
        <v>75</v>
      </c>
      <c r="K12" s="507">
        <f ca="1">专用糖!K12*1.13</f>
        <v>2823.08272508011</v>
      </c>
      <c r="L12" s="497">
        <f ca="1">专用糖!L12</f>
        <v>0.849257156349613</v>
      </c>
      <c r="M12" s="480">
        <f ca="1">专用糖!M12*1.13</f>
        <v>2397.52320724125</v>
      </c>
      <c r="N12" s="507">
        <f ca="1">专用糖!N12</f>
        <v>33120.5458703129</v>
      </c>
      <c r="O12" s="480">
        <f ca="1">专用糖!O12*1.13</f>
        <v>93502040.8917038</v>
      </c>
      <c r="P12" s="475"/>
      <c r="Q12" s="475"/>
      <c r="R12" s="475"/>
    </row>
    <row r="13" s="459" customFormat="1" customHeight="1" spans="1:18">
      <c r="A13" s="489" t="s">
        <v>130</v>
      </c>
      <c r="B13" s="490"/>
      <c r="C13" s="501"/>
      <c r="D13" s="492"/>
      <c r="E13" s="491">
        <f ca="1">专用糖!E13*1.13</f>
        <v>0</v>
      </c>
      <c r="F13" s="491"/>
      <c r="G13" s="491">
        <f ca="1">专用糖!G13*1.13</f>
        <v>0</v>
      </c>
      <c r="H13" s="510"/>
      <c r="I13" s="489" t="s">
        <v>130</v>
      </c>
      <c r="J13" s="490"/>
      <c r="K13" s="501"/>
      <c r="L13" s="492"/>
      <c r="M13" s="491">
        <f ca="1">专用糖!M13*1.13</f>
        <v>50.9589346034305</v>
      </c>
      <c r="N13" s="491"/>
      <c r="O13" s="491">
        <f ca="1">专用糖!O13*1.13</f>
        <v>1987369.4539</v>
      </c>
      <c r="P13" s="475"/>
      <c r="Q13" s="475"/>
      <c r="R13" s="475"/>
    </row>
    <row r="14" s="459" customFormat="1" customHeight="1" spans="1:18">
      <c r="A14" s="502" t="s">
        <v>152</v>
      </c>
      <c r="B14" s="503" t="s">
        <v>167</v>
      </c>
      <c r="C14" s="505">
        <f ca="1">专用糖!C14*1.13</f>
        <v>0</v>
      </c>
      <c r="D14" s="505">
        <f ca="1">专用糖!D14</f>
        <v>0</v>
      </c>
      <c r="E14" s="480">
        <f ca="1">专用糖!E14*1.13</f>
        <v>0</v>
      </c>
      <c r="F14" s="507">
        <f ca="1">专用糖!F14</f>
        <v>0</v>
      </c>
      <c r="G14" s="480">
        <f ca="1">专用糖!G14*1.13</f>
        <v>0</v>
      </c>
      <c r="H14" s="510"/>
      <c r="I14" s="502" t="s">
        <v>152</v>
      </c>
      <c r="J14" s="503" t="s">
        <v>167</v>
      </c>
      <c r="K14" s="505">
        <f ca="1">分配表!O254</f>
        <v>4.03642537824256</v>
      </c>
      <c r="L14" s="505">
        <f ca="1">专用糖!L14</f>
        <v>3.7759525260766</v>
      </c>
      <c r="M14" s="506">
        <f ca="1">专用糖!M14*1.13</f>
        <v>15.2413506032947</v>
      </c>
      <c r="N14" s="507">
        <f ca="1">专用糖!N14</f>
        <v>147260</v>
      </c>
      <c r="O14" s="507">
        <f ca="1">专用糖!O14*1.13</f>
        <v>594404.0012</v>
      </c>
      <c r="P14" s="475"/>
      <c r="Q14" s="475"/>
      <c r="R14" s="475"/>
    </row>
    <row r="15" s="459" customFormat="1" customHeight="1" spans="1:18">
      <c r="A15" s="502" t="s">
        <v>153</v>
      </c>
      <c r="B15" s="503" t="s">
        <v>167</v>
      </c>
      <c r="C15" s="505">
        <f ca="1">专用糖!C15*1.13</f>
        <v>0</v>
      </c>
      <c r="D15" s="505">
        <f ca="1">专用糖!D15</f>
        <v>0</v>
      </c>
      <c r="E15" s="480">
        <f ca="1">专用糖!E15*1.13</f>
        <v>0</v>
      </c>
      <c r="F15" s="507">
        <f ca="1">专用糖!F15</f>
        <v>0</v>
      </c>
      <c r="G15" s="480">
        <f ca="1">专用糖!G15*1.13</f>
        <v>0</v>
      </c>
      <c r="H15" s="510"/>
      <c r="I15" s="502" t="s">
        <v>153</v>
      </c>
      <c r="J15" s="503" t="s">
        <v>167</v>
      </c>
      <c r="K15" s="505">
        <f ca="1">分配表!O255</f>
        <v>1.16660824869212</v>
      </c>
      <c r="L15" s="505">
        <f ca="1">专用糖!L15</f>
        <v>3.64414291070042</v>
      </c>
      <c r="M15" s="506">
        <f ca="1">专用糖!M15*1.13</f>
        <v>4.25128717903603</v>
      </c>
      <c r="N15" s="507">
        <f ca="1">专用糖!N15</f>
        <v>142119.5</v>
      </c>
      <c r="O15" s="507">
        <f ca="1">专用糖!O15*1.13</f>
        <v>165797.781</v>
      </c>
      <c r="P15" s="475"/>
      <c r="Q15" s="475"/>
      <c r="R15" s="475"/>
    </row>
    <row r="16" s="459" customFormat="1" customHeight="1" spans="1:18">
      <c r="A16" s="502" t="s">
        <v>154</v>
      </c>
      <c r="B16" s="503" t="s">
        <v>167</v>
      </c>
      <c r="C16" s="505">
        <f ca="1">专用糖!C16*1.13</f>
        <v>0</v>
      </c>
      <c r="D16" s="505">
        <f ca="1">专用糖!D16</f>
        <v>0</v>
      </c>
      <c r="E16" s="480">
        <f ca="1">专用糖!E16*1.13</f>
        <v>0</v>
      </c>
      <c r="F16" s="507">
        <f ca="1">专用糖!F16</f>
        <v>0</v>
      </c>
      <c r="G16" s="480">
        <f ca="1">专用糖!G16*1.13</f>
        <v>0</v>
      </c>
      <c r="H16" s="510"/>
      <c r="I16" s="502" t="s">
        <v>154</v>
      </c>
      <c r="J16" s="503" t="s">
        <v>167</v>
      </c>
      <c r="K16" s="505">
        <f ca="1">分配表!O256</f>
        <v>3.56375250351933</v>
      </c>
      <c r="L16" s="505">
        <f ca="1">专用糖!L16</f>
        <v>4.48810650596415</v>
      </c>
      <c r="M16" s="506">
        <f ca="1">专用糖!M16*1.13</f>
        <v>15.9945007966911</v>
      </c>
      <c r="N16" s="507">
        <f ca="1">专用糖!N16</f>
        <v>175033.6</v>
      </c>
      <c r="O16" s="507">
        <f ca="1">专用糖!O16*1.13</f>
        <v>623776.4302</v>
      </c>
      <c r="P16" s="475"/>
      <c r="Q16" s="475"/>
      <c r="R16" s="475"/>
    </row>
    <row r="17" s="459" customFormat="1" customHeight="1" spans="1:20">
      <c r="A17" s="502" t="s">
        <v>155</v>
      </c>
      <c r="B17" s="503" t="s">
        <v>167</v>
      </c>
      <c r="C17" s="505">
        <f ca="1">专用糖!C17*1.13</f>
        <v>0</v>
      </c>
      <c r="D17" s="505">
        <f ca="1">专用糖!D17</f>
        <v>0</v>
      </c>
      <c r="E17" s="628">
        <f ca="1">专用糖!E17*1.13</f>
        <v>0</v>
      </c>
      <c r="F17" s="507">
        <f ca="1">专用糖!F17</f>
        <v>0</v>
      </c>
      <c r="G17" s="480">
        <f ca="1">专用糖!G17*1.13</f>
        <v>0</v>
      </c>
      <c r="H17" s="510"/>
      <c r="I17" s="502" t="s">
        <v>155</v>
      </c>
      <c r="J17" s="503" t="s">
        <v>167</v>
      </c>
      <c r="K17" s="505">
        <f ca="1">分配表!O257</f>
        <v>2.42341306666667</v>
      </c>
      <c r="L17" s="505">
        <f ca="1">专用糖!L17</f>
        <v>0.0769241992274195</v>
      </c>
      <c r="M17" s="506">
        <f ca="1">专用糖!M17*1.13</f>
        <v>0.186419109550598</v>
      </c>
      <c r="N17" s="507">
        <f ca="1">专用糖!N17</f>
        <v>3000</v>
      </c>
      <c r="O17" s="507">
        <f ca="1">专用糖!O17*1.13</f>
        <v>7270.2392</v>
      </c>
      <c r="P17" s="475"/>
      <c r="Q17" s="475"/>
      <c r="R17" s="475"/>
    </row>
    <row r="18" s="459" customFormat="1" customHeight="1" spans="1:20">
      <c r="A18" s="502" t="s">
        <v>156</v>
      </c>
      <c r="B18" s="503" t="s">
        <v>167</v>
      </c>
      <c r="C18" s="505">
        <f ca="1">专用糖!C18*1.13</f>
        <v>0</v>
      </c>
      <c r="D18" s="505">
        <f ca="1">专用糖!D18</f>
        <v>0</v>
      </c>
      <c r="E18" s="480">
        <f ca="1">专用糖!E18*1.13</f>
        <v>0</v>
      </c>
      <c r="F18" s="507">
        <f ca="1">专用糖!F18</f>
        <v>0</v>
      </c>
      <c r="G18" s="480">
        <f ca="1">专用糖!G18*1.13</f>
        <v>0</v>
      </c>
      <c r="H18" s="510"/>
      <c r="I18" s="502" t="s">
        <v>156</v>
      </c>
      <c r="J18" s="503" t="s">
        <v>167</v>
      </c>
      <c r="K18" s="505">
        <f ca="1">分配表!O258</f>
        <v>40.0000140885984</v>
      </c>
      <c r="L18" s="505">
        <f ca="1">专用糖!L18</f>
        <v>0.0353082074453855</v>
      </c>
      <c r="M18" s="506">
        <f ca="1">专用糖!M18*1.13</f>
        <v>1.41232879525858</v>
      </c>
      <c r="N18" s="507">
        <f ca="1">专用糖!N18</f>
        <v>1377</v>
      </c>
      <c r="O18" s="507">
        <f ca="1">专用糖!O18*1.13</f>
        <v>55080.0194</v>
      </c>
      <c r="P18" s="475"/>
      <c r="Q18" s="475"/>
      <c r="R18" s="475"/>
    </row>
    <row r="19" s="459" customFormat="1" customHeight="1" spans="1:20">
      <c r="A19" s="502" t="s">
        <v>157</v>
      </c>
      <c r="B19" s="503" t="s">
        <v>167</v>
      </c>
      <c r="C19" s="505">
        <f ca="1">专用糖!C19*1.13</f>
        <v>0</v>
      </c>
      <c r="D19" s="505">
        <f ca="1">专用糖!D19</f>
        <v>0</v>
      </c>
      <c r="E19" s="480">
        <f ca="1">专用糖!E19*1.13</f>
        <v>0</v>
      </c>
      <c r="F19" s="507">
        <f ca="1">专用糖!F19</f>
        <v>0</v>
      </c>
      <c r="G19" s="480">
        <f ca="1">专用糖!G19*1.13</f>
        <v>0</v>
      </c>
      <c r="H19" s="510"/>
      <c r="I19" s="502" t="s">
        <v>157</v>
      </c>
      <c r="J19" s="503" t="s">
        <v>167</v>
      </c>
      <c r="K19" s="505">
        <f ca="1">分配表!O259</f>
        <v>20.9625219530239</v>
      </c>
      <c r="L19" s="505">
        <f ca="1">专用糖!L19</f>
        <v>0.138643048407552</v>
      </c>
      <c r="M19" s="506">
        <f ca="1">专用糖!M19*1.13</f>
        <v>2.90630794587747</v>
      </c>
      <c r="N19" s="507">
        <f ca="1">专用糖!N19</f>
        <v>5407</v>
      </c>
      <c r="O19" s="507">
        <f ca="1">专用糖!O19*1.13</f>
        <v>113344.3562</v>
      </c>
      <c r="P19" s="475"/>
      <c r="Q19" s="475"/>
      <c r="R19" s="475"/>
    </row>
    <row r="20" s="459" customFormat="1" customHeight="1" spans="1:20">
      <c r="A20" s="502" t="s">
        <v>158</v>
      </c>
      <c r="B20" s="503" t="s">
        <v>167</v>
      </c>
      <c r="C20" s="505">
        <f ca="1">专用糖!C20*1.13</f>
        <v>0</v>
      </c>
      <c r="D20" s="505">
        <f ca="1">专用糖!D20</f>
        <v>0</v>
      </c>
      <c r="E20" s="480">
        <f ca="1">专用糖!E20*1.13</f>
        <v>0</v>
      </c>
      <c r="F20" s="507">
        <f ca="1">专用糖!F20</f>
        <v>0</v>
      </c>
      <c r="G20" s="480">
        <f ca="1">专用糖!G20*1.13</f>
        <v>0</v>
      </c>
      <c r="H20" s="510"/>
      <c r="I20" s="502" t="s">
        <v>158</v>
      </c>
      <c r="J20" s="503" t="s">
        <v>167</v>
      </c>
      <c r="K20" s="505">
        <f ca="1">分配表!O260</f>
        <v>39.9999781652767</v>
      </c>
      <c r="L20" s="505">
        <f ca="1">专用糖!L20</f>
        <v>0.0169105031301611</v>
      </c>
      <c r="M20" s="506">
        <f ca="1">专用糖!M20*1.13</f>
        <v>0.676419755970286</v>
      </c>
      <c r="N20" s="507">
        <f ca="1">专用糖!N20</f>
        <v>659.5</v>
      </c>
      <c r="O20" s="507">
        <f ca="1">专用糖!O20*1.13</f>
        <v>26379.9856</v>
      </c>
      <c r="P20" s="475"/>
      <c r="Q20" s="475"/>
      <c r="R20" s="475"/>
    </row>
    <row r="21" s="459" customFormat="1" customHeight="1" spans="1:20">
      <c r="A21" s="502" t="s">
        <v>159</v>
      </c>
      <c r="B21" s="503" t="s">
        <v>167</v>
      </c>
      <c r="C21" s="505">
        <f ca="1">专用糖!C21*1.13</f>
        <v>0</v>
      </c>
      <c r="D21" s="505">
        <f ca="1">专用糖!D21</f>
        <v>0</v>
      </c>
      <c r="E21" s="480">
        <f ca="1">专用糖!E21*1.13</f>
        <v>0</v>
      </c>
      <c r="F21" s="507">
        <f ca="1">专用糖!F21</f>
        <v>0</v>
      </c>
      <c r="G21" s="480">
        <f ca="1">专用糖!G21*1.13</f>
        <v>0</v>
      </c>
      <c r="H21" s="510"/>
      <c r="I21" s="502" t="s">
        <v>159</v>
      </c>
      <c r="J21" s="503" t="s">
        <v>167</v>
      </c>
      <c r="K21" s="505">
        <f ca="1">分配表!O261</f>
        <v>70.0850340070977</v>
      </c>
      <c r="L21" s="505">
        <f ca="1">专用糖!L21</f>
        <v>0.0830909558654843</v>
      </c>
      <c r="M21" s="506">
        <f ca="1">专用糖!M21*1.13</f>
        <v>5.82343246751472</v>
      </c>
      <c r="N21" s="507">
        <f ca="1">专用糖!N21</f>
        <v>3240.5</v>
      </c>
      <c r="O21" s="507">
        <f ca="1">专用糖!O21*1.13</f>
        <v>227110.5527</v>
      </c>
      <c r="P21" s="475"/>
      <c r="Q21" s="475"/>
      <c r="R21" s="475"/>
    </row>
    <row r="22" s="459" customFormat="1" customHeight="1" spans="1:20">
      <c r="A22" s="502" t="s">
        <v>160</v>
      </c>
      <c r="B22" s="503" t="s">
        <v>167</v>
      </c>
      <c r="C22" s="505">
        <f ca="1">专用糖!C22*1.13</f>
        <v>0</v>
      </c>
      <c r="D22" s="505">
        <f ca="1">专用糖!D22</f>
        <v>0</v>
      </c>
      <c r="E22" s="480">
        <f ca="1">专用糖!E22*1.13</f>
        <v>0</v>
      </c>
      <c r="F22" s="507">
        <f ca="1">专用糖!F22</f>
        <v>0</v>
      </c>
      <c r="G22" s="480">
        <f ca="1">专用糖!G22*1.13</f>
        <v>0</v>
      </c>
      <c r="H22" s="510"/>
      <c r="I22" s="502" t="s">
        <v>160</v>
      </c>
      <c r="J22" s="503" t="s">
        <v>167</v>
      </c>
      <c r="K22" s="505">
        <f ca="1">分配表!O262</f>
        <v>28.5805075617284</v>
      </c>
      <c r="L22" s="505">
        <f ca="1">专用糖!L22</f>
        <v>0.0332312540662452</v>
      </c>
      <c r="M22" s="506">
        <f ca="1">专用糖!M22*1.13</f>
        <v>0.949766108126039</v>
      </c>
      <c r="N22" s="507">
        <f ca="1">专用糖!N22</f>
        <v>1296</v>
      </c>
      <c r="O22" s="507">
        <f ca="1">专用糖!O22*1.13</f>
        <v>37040.3378</v>
      </c>
      <c r="P22" s="475"/>
      <c r="Q22" s="475"/>
      <c r="R22" s="475"/>
    </row>
    <row r="23" s="459" customFormat="1" customHeight="1" spans="1:20">
      <c r="A23" s="502" t="s">
        <v>161</v>
      </c>
      <c r="B23" s="503" t="s">
        <v>168</v>
      </c>
      <c r="C23" s="505">
        <f ca="1">专用糖!C23*1.13</f>
        <v>0</v>
      </c>
      <c r="D23" s="505">
        <f ca="1">专用糖!D23</f>
        <v>0</v>
      </c>
      <c r="E23" s="480">
        <f ca="1">专用糖!E23*1.13</f>
        <v>0</v>
      </c>
      <c r="F23" s="507">
        <f ca="1">专用糖!F23</f>
        <v>0</v>
      </c>
      <c r="G23" s="480">
        <f ca="1">专用糖!G23*1.13</f>
        <v>0</v>
      </c>
      <c r="H23" s="510"/>
      <c r="I23" s="502" t="s">
        <v>161</v>
      </c>
      <c r="J23" s="503" t="s">
        <v>168</v>
      </c>
      <c r="K23" s="505">
        <f ca="1">分配表!O263</f>
        <v>597.999992666667</v>
      </c>
      <c r="L23" s="505">
        <f ca="1">专用糖!L23</f>
        <v>0.00384620996137098</v>
      </c>
      <c r="M23" s="506">
        <f ca="1">专用糖!M23*1.13</f>
        <v>2.3000335286943</v>
      </c>
      <c r="N23" s="507">
        <f ca="1">专用糖!N23</f>
        <v>150</v>
      </c>
      <c r="O23" s="507">
        <f ca="1">专用糖!O23*1.13</f>
        <v>89699.9989</v>
      </c>
      <c r="P23" s="475"/>
      <c r="Q23" s="475"/>
      <c r="R23" s="475"/>
    </row>
    <row r="24" s="459" customFormat="1" customHeight="1" spans="1:20">
      <c r="A24" s="502" t="s">
        <v>162</v>
      </c>
      <c r="B24" s="503" t="s">
        <v>167</v>
      </c>
      <c r="C24" s="505">
        <f ca="1">专用糖!C24*1.13</f>
        <v>0</v>
      </c>
      <c r="D24" s="505">
        <f ca="1">专用糖!D24</f>
        <v>0</v>
      </c>
      <c r="E24" s="480">
        <f ca="1">专用糖!E24*1.13</f>
        <v>0</v>
      </c>
      <c r="F24" s="507">
        <f ca="1">专用糖!F24</f>
        <v>0</v>
      </c>
      <c r="G24" s="480">
        <f ca="1">专用糖!G24*1.13</f>
        <v>0</v>
      </c>
      <c r="H24" s="510"/>
      <c r="I24" s="502" t="s">
        <v>162</v>
      </c>
      <c r="J24" s="503" t="s">
        <v>167</v>
      </c>
      <c r="K24" s="505">
        <f ca="1">分配表!O264</f>
        <v>0</v>
      </c>
      <c r="L24" s="505">
        <f ca="1">专用糖!L24</f>
        <v>0</v>
      </c>
      <c r="M24" s="506">
        <f ca="1">专用糖!M24*1.13</f>
        <v>0</v>
      </c>
      <c r="N24" s="507">
        <f ca="1">专用糖!N24</f>
        <v>0</v>
      </c>
      <c r="O24" s="507">
        <f ca="1">专用糖!O24*1.13</f>
        <v>0</v>
      </c>
      <c r="P24" s="475"/>
      <c r="Q24" s="475"/>
      <c r="R24" s="475"/>
    </row>
    <row r="25" s="459" customFormat="1" customHeight="1" spans="1:20">
      <c r="A25" s="502" t="s">
        <v>163</v>
      </c>
      <c r="B25" s="503" t="s">
        <v>167</v>
      </c>
      <c r="C25" s="505">
        <f ca="1">专用糖!C25*1.13</f>
        <v>0</v>
      </c>
      <c r="D25" s="505">
        <f ca="1">专用糖!D25</f>
        <v>0</v>
      </c>
      <c r="E25" s="480">
        <f ca="1">专用糖!E25*1.13</f>
        <v>0</v>
      </c>
      <c r="F25" s="507">
        <f ca="1">专用糖!F25</f>
        <v>0</v>
      </c>
      <c r="G25" s="480">
        <f ca="1">专用糖!G25*1.13</f>
        <v>0</v>
      </c>
      <c r="H25" s="510"/>
      <c r="I25" s="502" t="s">
        <v>163</v>
      </c>
      <c r="J25" s="503" t="s">
        <v>167</v>
      </c>
      <c r="K25" s="505">
        <f ca="1">分配表!O265</f>
        <v>0</v>
      </c>
      <c r="L25" s="505">
        <f ca="1">专用糖!L25</f>
        <v>0</v>
      </c>
      <c r="M25" s="506">
        <f ca="1">专用糖!M25*1.13</f>
        <v>0</v>
      </c>
      <c r="N25" s="507">
        <f ca="1">专用糖!N25</f>
        <v>0</v>
      </c>
      <c r="O25" s="507">
        <f ca="1">专用糖!O25*1.13</f>
        <v>0</v>
      </c>
      <c r="P25" s="475"/>
      <c r="Q25" s="475"/>
      <c r="R25" s="475"/>
    </row>
    <row r="26" s="459" customFormat="1" customHeight="1" spans="1:20">
      <c r="A26" s="502" t="s">
        <v>49</v>
      </c>
      <c r="B26" s="503"/>
      <c r="C26" s="505"/>
      <c r="D26" s="505"/>
      <c r="E26" s="480" t="e">
        <f ca="1">专用糖!E26*1.13</f>
        <v>#DIV/0!</v>
      </c>
      <c r="F26" s="507"/>
      <c r="G26" s="480">
        <f ca="1">专用糖!G26*1.13</f>
        <v>0</v>
      </c>
      <c r="H26" s="510"/>
      <c r="I26" s="502" t="s">
        <v>49</v>
      </c>
      <c r="J26" s="503"/>
      <c r="K26" s="505"/>
      <c r="L26" s="505"/>
      <c r="M26" s="506">
        <f ca="1">专用糖!M26*1.13</f>
        <v>1.21708831341668</v>
      </c>
      <c r="N26" s="507"/>
      <c r="O26" s="507">
        <f ca="1">专用糖!O26*1.13</f>
        <v>47465.7517</v>
      </c>
      <c r="P26" s="475"/>
      <c r="Q26" s="475"/>
      <c r="R26" s="475"/>
    </row>
    <row r="27" s="459" customFormat="1" customHeight="1" spans="1:20">
      <c r="A27" s="508" t="s">
        <v>208</v>
      </c>
      <c r="B27" s="490"/>
      <c r="C27" s="501"/>
      <c r="D27" s="492"/>
      <c r="E27" s="491">
        <f ca="1">SUM(E28:E31)+E32</f>
        <v>0</v>
      </c>
      <c r="F27" s="491"/>
      <c r="G27" s="491" t="e">
        <f ca="1">SUM(G28:G31)+G32</f>
        <v>#DIV/0!</v>
      </c>
      <c r="H27" s="510"/>
      <c r="I27" s="508" t="s">
        <v>208</v>
      </c>
      <c r="J27" s="490"/>
      <c r="K27" s="501"/>
      <c r="L27" s="492"/>
      <c r="M27" s="491" t="e">
        <f ca="1">SUM(M28:M31)+M32</f>
        <v>#DIV/0!</v>
      </c>
      <c r="N27" s="491"/>
      <c r="O27" s="491" t="e">
        <f ca="1">SUM(O28:O31)+O32</f>
        <v>#DIV/0!</v>
      </c>
      <c r="P27" s="475"/>
      <c r="Q27" s="475"/>
      <c r="R27" s="583"/>
      <c r="T27" s="511"/>
    </row>
    <row r="28" s="459" customFormat="1" customHeight="1" spans="1:20">
      <c r="A28" s="502" t="s">
        <v>95</v>
      </c>
      <c r="B28" s="503" t="s">
        <v>75</v>
      </c>
      <c r="C28" s="566">
        <f ca="1">OFFSET(分配表!C306,0,mth-1,1,1)</f>
        <v>0</v>
      </c>
      <c r="D28" s="497">
        <f ca="1">专用糖!D29</f>
        <v>0</v>
      </c>
      <c r="E28" s="507">
        <f ca="1">C28*D28</f>
        <v>0</v>
      </c>
      <c r="F28" s="507">
        <f ca="1">专用糖!F29</f>
        <v>0</v>
      </c>
      <c r="G28" s="507">
        <f ca="1">E28*F$3</f>
        <v>0</v>
      </c>
      <c r="H28" s="510"/>
      <c r="I28" s="502" t="s">
        <v>95</v>
      </c>
      <c r="J28" s="503" t="s">
        <v>75</v>
      </c>
      <c r="K28" s="567">
        <f ca="1">分配表!O306</f>
        <v>408.530937837231</v>
      </c>
      <c r="L28" s="505">
        <f ca="1">专用糖!L29</f>
        <v>0.434314028838011</v>
      </c>
      <c r="M28" s="507">
        <f ca="1">K28*L28</f>
        <v>177.430717517058</v>
      </c>
      <c r="N28" s="507">
        <f ca="1">专用糖!N29</f>
        <v>16938</v>
      </c>
      <c r="O28" s="507">
        <f ca="1">M28*N$3</f>
        <v>6919697.02508701</v>
      </c>
      <c r="P28" s="475"/>
      <c r="Q28" s="475"/>
      <c r="R28" s="475"/>
    </row>
    <row r="29" s="459" customFormat="1" customHeight="1" spans="1:20">
      <c r="A29" s="502" t="s">
        <v>96</v>
      </c>
      <c r="B29" s="503" t="s">
        <v>97</v>
      </c>
      <c r="C29" s="505">
        <f ca="1">专用糖!C30*1.13</f>
        <v>0</v>
      </c>
      <c r="D29" s="505">
        <f ca="1">专用糖!D30</f>
        <v>0</v>
      </c>
      <c r="E29" s="480">
        <f ca="1">专用糖!E30*1.13</f>
        <v>0</v>
      </c>
      <c r="F29" s="507">
        <f ca="1">专用糖!F30</f>
        <v>0</v>
      </c>
      <c r="G29" s="480">
        <f ca="1">专用糖!G30*1.13</f>
        <v>0</v>
      </c>
      <c r="H29" s="510"/>
      <c r="I29" s="502" t="s">
        <v>96</v>
      </c>
      <c r="J29" s="503" t="s">
        <v>97</v>
      </c>
      <c r="K29" s="505">
        <f ca="1">专用糖!K30*1.13</f>
        <v>0.769119583630169</v>
      </c>
      <c r="L29" s="505">
        <f ca="1">专用糖!L30</f>
        <v>61.2587142617542</v>
      </c>
      <c r="M29" s="480">
        <f ca="1">专用糖!M30*1.13</f>
        <v>47.1152768067199</v>
      </c>
      <c r="N29" s="507">
        <f ca="1">专用糖!N30</f>
        <v>2389055</v>
      </c>
      <c r="O29" s="480">
        <f ca="1">专用糖!O30*1.13</f>
        <v>1837468.98686957</v>
      </c>
      <c r="P29" s="475"/>
      <c r="Q29" s="475"/>
      <c r="R29" s="475"/>
    </row>
    <row r="30" s="459" customFormat="1" customHeight="1" spans="1:20">
      <c r="A30" s="502" t="s">
        <v>98</v>
      </c>
      <c r="B30" s="503" t="s">
        <v>75</v>
      </c>
      <c r="C30" s="505">
        <f>3.32+0.9*2.97</f>
        <v>5.993</v>
      </c>
      <c r="D30" s="505">
        <f ca="1">专用糖!D31</f>
        <v>0</v>
      </c>
      <c r="E30" s="480">
        <f ca="1">D30*C30</f>
        <v>0</v>
      </c>
      <c r="F30" s="507">
        <f ca="1">专用糖!F31</f>
        <v>0</v>
      </c>
      <c r="G30" s="480">
        <f ca="1">E30*F3</f>
        <v>0</v>
      </c>
      <c r="H30" s="510"/>
      <c r="I30" s="502" t="s">
        <v>98</v>
      </c>
      <c r="J30" s="503" t="s">
        <v>75</v>
      </c>
      <c r="K30" s="505">
        <f>3.32+0.9*2.97</f>
        <v>5.993</v>
      </c>
      <c r="L30" s="505">
        <f ca="1">专用糖!L31</f>
        <v>1.79456464377647</v>
      </c>
      <c r="M30" s="480">
        <f ca="1">L30*K30</f>
        <v>10.7548259101524</v>
      </c>
      <c r="N30" s="507">
        <f ca="1">专用糖!N31</f>
        <v>69987</v>
      </c>
      <c r="O30" s="480">
        <f ca="1">M30*N3</f>
        <v>419432.091</v>
      </c>
      <c r="P30" s="475"/>
      <c r="Q30" s="475"/>
      <c r="R30" s="475"/>
    </row>
    <row r="31" s="459" customFormat="1" customHeight="1" spans="1:20">
      <c r="A31" s="502" t="s">
        <v>99</v>
      </c>
      <c r="B31" s="503" t="s">
        <v>100</v>
      </c>
      <c r="C31" s="505"/>
      <c r="D31" s="497"/>
      <c r="E31" s="480"/>
      <c r="F31" s="507"/>
      <c r="G31" s="480"/>
      <c r="H31" s="510"/>
      <c r="I31" s="502" t="s">
        <v>99</v>
      </c>
      <c r="J31" s="503" t="s">
        <v>100</v>
      </c>
      <c r="K31" s="480"/>
      <c r="L31" s="505"/>
      <c r="M31" s="480"/>
      <c r="N31" s="507"/>
      <c r="O31" s="480"/>
      <c r="P31" s="475"/>
      <c r="Q31" s="475"/>
      <c r="R31" s="475"/>
    </row>
    <row r="32" s="459" customFormat="1" customHeight="1" spans="1:20">
      <c r="A32" s="629" t="s">
        <v>209</v>
      </c>
      <c r="B32" s="630"/>
      <c r="C32" s="631"/>
      <c r="D32" s="632"/>
      <c r="E32" s="509">
        <f ca="1">专用糖!E33*1.13</f>
        <v>0</v>
      </c>
      <c r="F32" s="509"/>
      <c r="G32" s="509" t="e">
        <f ca="1">专用糖!G33*1.13</f>
        <v>#DIV/0!</v>
      </c>
      <c r="H32" s="633"/>
      <c r="I32" s="629" t="s">
        <v>209</v>
      </c>
      <c r="J32" s="630"/>
      <c r="K32" s="631"/>
      <c r="L32" s="632"/>
      <c r="M32" s="509" t="e">
        <f ca="1">专用糖!M33*1.13</f>
        <v>#DIV/0!</v>
      </c>
      <c r="N32" s="509"/>
      <c r="O32" s="509" t="e">
        <f ca="1">专用糖!O33*1.13</f>
        <v>#DIV/0!</v>
      </c>
      <c r="P32" s="475"/>
      <c r="Q32" s="475"/>
      <c r="R32" s="475"/>
    </row>
    <row r="33" s="459" customFormat="1" customHeight="1" spans="1:18">
      <c r="A33" s="508" t="s">
        <v>210</v>
      </c>
      <c r="B33" s="490"/>
      <c r="C33" s="501"/>
      <c r="D33" s="492"/>
      <c r="E33" s="491">
        <f ca="1">IF(VALUE(F$3)=0,0,G33/F$3)</f>
        <v>0</v>
      </c>
      <c r="F33" s="491"/>
      <c r="G33" s="491" t="e">
        <f ca="1">SUM(G5,-G11,-G13,-G27)-SUM(专用糖!G5,-专用糖!G11,-专用糖!G13,-专用糖!G28,-专用糖!G33)</f>
        <v>#DIV/0!</v>
      </c>
      <c r="H33" s="510"/>
      <c r="I33" s="508" t="s">
        <v>210</v>
      </c>
      <c r="J33" s="490"/>
      <c r="K33" s="501"/>
      <c r="L33" s="492"/>
      <c r="M33" s="491" t="e">
        <f ca="1">IF(N$3=0,0,O33/N$3)</f>
        <v>#DIV/0!</v>
      </c>
      <c r="N33" s="491"/>
      <c r="O33" s="491" t="e">
        <f ca="1">SUM(O5,-O11,-O13,-O27)-SUM(专用糖!O5,-专用糖!O11,-专用糖!O13,-专用糖!O28,-专用糖!O33)</f>
        <v>#DIV/0!</v>
      </c>
      <c r="P33" s="475"/>
      <c r="Q33" s="475"/>
    </row>
    <row r="34" s="459" customFormat="1" ht="14.25" customHeight="1" spans="1:18">
      <c r="A34" s="508" t="s">
        <v>211</v>
      </c>
      <c r="B34" s="508"/>
      <c r="C34" s="508"/>
      <c r="D34" s="508"/>
      <c r="E34" s="542">
        <f ca="1">专用糖!E46</f>
        <v>0</v>
      </c>
      <c r="F34" s="542"/>
      <c r="G34" s="542" t="e">
        <f ca="1">专用糖!G46</f>
        <v>#DIV/0!</v>
      </c>
      <c r="I34" s="508" t="s">
        <v>211</v>
      </c>
      <c r="J34" s="508"/>
      <c r="K34" s="508"/>
      <c r="L34" s="508"/>
      <c r="M34" s="542" t="e">
        <f ca="1">专用糖!M46</f>
        <v>#DIV/0!</v>
      </c>
      <c r="N34" s="542"/>
      <c r="O34" s="542" t="e">
        <f ca="1">专用糖!O46</f>
        <v>#DIV/0!</v>
      </c>
      <c r="Q34" s="475"/>
    </row>
    <row r="35" s="459" customFormat="1" ht="14.25" customHeight="1" spans="1:18">
      <c r="A35" s="508" t="s">
        <v>212</v>
      </c>
      <c r="B35" s="508"/>
      <c r="C35" s="508"/>
      <c r="D35" s="508"/>
      <c r="E35" s="491" t="e">
        <f ca="1">G35/F3</f>
        <v>#DIV/0!</v>
      </c>
      <c r="F35" s="491"/>
      <c r="G35" s="491" t="e">
        <f ca="1">'专用糖-含税'!G57</f>
        <v>#DIV/0!</v>
      </c>
      <c r="I35" s="508" t="s">
        <v>212</v>
      </c>
      <c r="J35" s="508"/>
      <c r="K35" s="508"/>
      <c r="L35" s="508"/>
      <c r="M35" s="491" t="e">
        <f ca="1">O35/N3</f>
        <v>#DIV/0!</v>
      </c>
      <c r="N35" s="491"/>
      <c r="O35" s="491" t="e">
        <f ca="1">'专用糖-含税'!O57</f>
        <v>#DIV/0!</v>
      </c>
      <c r="Q35" s="475"/>
    </row>
    <row r="36" s="459" customFormat="1" customHeight="1" spans="1:18">
      <c r="A36" s="569" t="s">
        <v>105</v>
      </c>
      <c r="B36" s="472"/>
      <c r="C36" s="570"/>
      <c r="D36" s="571"/>
      <c r="E36" s="572" t="e">
        <f ca="1">E5-E10</f>
        <v>#DIV/0!</v>
      </c>
      <c r="F36" s="572"/>
      <c r="G36" s="572" t="e">
        <f ca="1">G5-G10</f>
        <v>#DIV/0!</v>
      </c>
      <c r="H36" s="634"/>
      <c r="I36" s="569" t="s">
        <v>105</v>
      </c>
      <c r="J36" s="472"/>
      <c r="K36" s="570"/>
      <c r="L36" s="571"/>
      <c r="M36" s="574" t="e">
        <f ca="1">M5-M10</f>
        <v>#DIV/0!</v>
      </c>
      <c r="N36" s="572"/>
      <c r="O36" s="572" t="e">
        <f ca="1">O5-O10</f>
        <v>#DIV/0!</v>
      </c>
      <c r="P36" s="475"/>
      <c r="Q36" s="475"/>
      <c r="R36" s="483"/>
    </row>
    <row r="37" s="459" customFormat="1" customHeight="1" spans="1:18">
      <c r="A37" s="513" t="s">
        <v>106</v>
      </c>
      <c r="B37" s="485"/>
      <c r="C37" s="514"/>
      <c r="D37" s="515"/>
      <c r="E37" s="487">
        <f ca="1">SUM(E38:E44)</f>
        <v>0</v>
      </c>
      <c r="F37" s="488"/>
      <c r="G37" s="487" t="e">
        <f ca="1">SUM(G38:G44)</f>
        <v>#DIV/0!</v>
      </c>
      <c r="I37" s="513" t="s">
        <v>106</v>
      </c>
      <c r="J37" s="485"/>
      <c r="K37" s="514"/>
      <c r="L37" s="515"/>
      <c r="M37" s="487" t="e">
        <f ca="1">IF(N$3=0,0,O37/N$3)</f>
        <v>#DIV/0!</v>
      </c>
      <c r="N37" s="488"/>
      <c r="O37" s="487" t="e">
        <f ca="1">SUM(O38:O44)</f>
        <v>#DIV/0!</v>
      </c>
      <c r="P37" s="475"/>
      <c r="Q37" s="475"/>
    </row>
    <row r="38" s="459" customFormat="1" customHeight="1" spans="1:18">
      <c r="A38" s="516" t="s">
        <v>107</v>
      </c>
      <c r="B38" s="503"/>
      <c r="C38" s="505"/>
      <c r="D38" s="497"/>
      <c r="E38" s="480">
        <f ca="1">专用糖!E39</f>
        <v>0</v>
      </c>
      <c r="F38" s="507"/>
      <c r="G38" s="480" t="e">
        <f ca="1">专用糖!G39</f>
        <v>#DIV/0!</v>
      </c>
      <c r="H38" s="483"/>
      <c r="I38" s="516" t="s">
        <v>107</v>
      </c>
      <c r="J38" s="503"/>
      <c r="K38" s="505"/>
      <c r="L38" s="497"/>
      <c r="M38" s="480" t="e">
        <f ca="1">专用糖!M39</f>
        <v>#DIV/0!</v>
      </c>
      <c r="N38" s="507"/>
      <c r="O38" s="480" t="e">
        <f ca="1">专用糖!O39</f>
        <v>#DIV/0!</v>
      </c>
      <c r="P38" s="475"/>
      <c r="Q38" s="475"/>
    </row>
    <row r="39" s="459" customFormat="1" customHeight="1" spans="1:18">
      <c r="A39" s="516" t="s">
        <v>108</v>
      </c>
      <c r="B39" s="503"/>
      <c r="C39" s="505"/>
      <c r="D39" s="497"/>
      <c r="E39" s="480">
        <f ca="1">专用糖!E40</f>
        <v>0</v>
      </c>
      <c r="F39" s="507"/>
      <c r="G39" s="480" t="e">
        <f ca="1">专用糖!G40</f>
        <v>#DIV/0!</v>
      </c>
      <c r="H39" s="483"/>
      <c r="I39" s="516" t="s">
        <v>108</v>
      </c>
      <c r="J39" s="503"/>
      <c r="K39" s="505"/>
      <c r="L39" s="497"/>
      <c r="M39" s="480" t="e">
        <f ca="1">专用糖!M40</f>
        <v>#DIV/0!</v>
      </c>
      <c r="N39" s="507"/>
      <c r="O39" s="480" t="e">
        <f ca="1">专用糖!O40</f>
        <v>#DIV/0!</v>
      </c>
      <c r="P39" s="475"/>
      <c r="Q39" s="475"/>
    </row>
    <row r="40" s="459" customFormat="1" customHeight="1" spans="1:18">
      <c r="A40" s="516" t="s">
        <v>109</v>
      </c>
      <c r="B40" s="503"/>
      <c r="C40" s="498"/>
      <c r="D40" s="518"/>
      <c r="E40" s="480">
        <f ca="1">专用糖!E41</f>
        <v>0</v>
      </c>
      <c r="F40" s="507"/>
      <c r="G40" s="480" t="e">
        <f ca="1">专用糖!G41</f>
        <v>#DIV/0!</v>
      </c>
      <c r="H40" s="483"/>
      <c r="I40" s="516" t="s">
        <v>109</v>
      </c>
      <c r="J40" s="503"/>
      <c r="K40" s="498"/>
      <c r="L40" s="518"/>
      <c r="M40" s="480" t="e">
        <f ca="1">专用糖!M41</f>
        <v>#DIV/0!</v>
      </c>
      <c r="N40" s="507"/>
      <c r="O40" s="480" t="e">
        <f ca="1">专用糖!O41</f>
        <v>#DIV/0!</v>
      </c>
      <c r="P40" s="475"/>
      <c r="Q40" s="475"/>
    </row>
    <row r="41" s="459" customFormat="1" customHeight="1" spans="1:18">
      <c r="A41" s="516" t="s">
        <v>110</v>
      </c>
      <c r="B41" s="503"/>
      <c r="C41" s="498"/>
      <c r="D41" s="518"/>
      <c r="E41" s="480">
        <f ca="1">专用糖!E42</f>
        <v>0</v>
      </c>
      <c r="F41" s="507"/>
      <c r="G41" s="480" t="e">
        <f ca="1">专用糖!G42</f>
        <v>#DIV/0!</v>
      </c>
      <c r="H41" s="483"/>
      <c r="I41" s="516" t="s">
        <v>110</v>
      </c>
      <c r="J41" s="503"/>
      <c r="K41" s="498"/>
      <c r="L41" s="518"/>
      <c r="M41" s="480" t="e">
        <f ca="1">专用糖!M42</f>
        <v>#DIV/0!</v>
      </c>
      <c r="N41" s="507"/>
      <c r="O41" s="480" t="e">
        <f ca="1">专用糖!O42</f>
        <v>#DIV/0!</v>
      </c>
      <c r="P41" s="475"/>
      <c r="Q41" s="475"/>
    </row>
    <row r="42" s="459" customFormat="1" customHeight="1" spans="1:18">
      <c r="A42" s="516" t="s">
        <v>111</v>
      </c>
      <c r="B42" s="503"/>
      <c r="C42" s="498"/>
      <c r="D42" s="518"/>
      <c r="E42" s="575">
        <f ca="1">专用糖!E43</f>
        <v>0</v>
      </c>
      <c r="F42" s="575"/>
      <c r="G42" s="575" t="e">
        <f ca="1">专用糖!G43</f>
        <v>#DIV/0!</v>
      </c>
      <c r="H42" s="483"/>
      <c r="I42" s="516" t="s">
        <v>111</v>
      </c>
      <c r="J42" s="503"/>
      <c r="K42" s="498"/>
      <c r="L42" s="518"/>
      <c r="M42" s="480" t="e">
        <f ca="1">专用糖!M43</f>
        <v>#DIV/0!</v>
      </c>
      <c r="N42" s="507"/>
      <c r="O42" s="480" t="e">
        <f ca="1">专用糖!O43</f>
        <v>#DIV/0!</v>
      </c>
      <c r="P42" s="475"/>
      <c r="Q42" s="475"/>
    </row>
    <row r="43" s="459" customFormat="1" customHeight="1" spans="1:18">
      <c r="A43" s="516" t="s">
        <v>112</v>
      </c>
      <c r="B43" s="503"/>
      <c r="C43" s="498"/>
      <c r="D43" s="518"/>
      <c r="E43" s="480">
        <f ca="1">专用糖!E44</f>
        <v>0</v>
      </c>
      <c r="F43" s="507"/>
      <c r="G43" s="480" t="e">
        <f ca="1">专用糖!G44</f>
        <v>#DIV/0!</v>
      </c>
      <c r="H43" s="483"/>
      <c r="I43" s="516" t="s">
        <v>112</v>
      </c>
      <c r="J43" s="503"/>
      <c r="K43" s="498"/>
      <c r="L43" s="518"/>
      <c r="M43" s="480" t="e">
        <f ca="1">专用糖!M44</f>
        <v>#DIV/0!</v>
      </c>
      <c r="N43" s="507"/>
      <c r="O43" s="480" t="e">
        <f ca="1">专用糖!O44</f>
        <v>#DIV/0!</v>
      </c>
      <c r="P43" s="475"/>
      <c r="Q43" s="475"/>
    </row>
    <row r="44" s="459" customFormat="1" hidden="1" customHeight="1" spans="1:18">
      <c r="A44" s="516" t="s">
        <v>113</v>
      </c>
      <c r="B44" s="503"/>
      <c r="C44" s="498"/>
      <c r="D44" s="518"/>
      <c r="E44" s="576"/>
      <c r="F44" s="507"/>
      <c r="G44" s="575"/>
      <c r="I44" s="516" t="s">
        <v>114</v>
      </c>
      <c r="J44" s="503"/>
      <c r="K44" s="498"/>
      <c r="L44" s="518"/>
      <c r="M44" s="576"/>
      <c r="N44" s="507"/>
      <c r="O44" s="576"/>
      <c r="P44" s="475"/>
      <c r="Q44" s="475"/>
    </row>
    <row r="45" s="459" customFormat="1" ht="14.25" hidden="1" customHeight="1" spans="1:18">
      <c r="A45" s="516" t="s">
        <v>116</v>
      </c>
      <c r="B45" s="503"/>
      <c r="C45" s="498"/>
      <c r="D45" s="518"/>
      <c r="E45" s="576"/>
      <c r="F45" s="517"/>
      <c r="G45" s="575"/>
      <c r="I45" s="516" t="s">
        <v>116</v>
      </c>
      <c r="J45" s="503"/>
      <c r="K45" s="498"/>
      <c r="L45" s="518"/>
      <c r="M45" s="576"/>
      <c r="N45" s="517"/>
      <c r="O45" s="576"/>
      <c r="P45" s="511"/>
    </row>
    <row r="46" s="459" customFormat="1" ht="14.25" hidden="1" customHeight="1" spans="1:18">
      <c r="A46" s="516" t="s">
        <v>117</v>
      </c>
      <c r="B46" s="503"/>
      <c r="C46" s="498"/>
      <c r="D46" s="518"/>
      <c r="E46" s="576">
        <f ca="1">专用糖!E48</f>
        <v>0</v>
      </c>
      <c r="F46" s="517"/>
      <c r="G46" s="575" t="e">
        <f ca="1">专用糖!G48</f>
        <v>#DIV/0!</v>
      </c>
      <c r="I46" s="516" t="s">
        <v>117</v>
      </c>
      <c r="J46" s="503"/>
      <c r="K46" s="498"/>
      <c r="L46" s="518"/>
      <c r="M46" s="576" t="e">
        <f ca="1">专用糖!M48</f>
        <v>#DIV/0!</v>
      </c>
      <c r="N46" s="517"/>
      <c r="O46" s="576" t="e">
        <f ca="1">专用糖!O48</f>
        <v>#DIV/0!</v>
      </c>
    </row>
    <row r="47" s="459" customFormat="1" ht="14.25" hidden="1" customHeight="1" spans="1:18">
      <c r="A47" s="516" t="s">
        <v>118</v>
      </c>
      <c r="B47" s="503"/>
      <c r="C47" s="498"/>
      <c r="D47" s="518"/>
      <c r="E47" s="576">
        <f ca="1">专用糖!E49</f>
        <v>0</v>
      </c>
      <c r="F47" s="517"/>
      <c r="G47" s="575" t="e">
        <f ca="1">专用糖!G49</f>
        <v>#DIV/0!</v>
      </c>
      <c r="I47" s="516" t="s">
        <v>118</v>
      </c>
      <c r="J47" s="503"/>
      <c r="K47" s="498"/>
      <c r="L47" s="518"/>
      <c r="M47" s="576" t="e">
        <f ca="1">专用糖!M49</f>
        <v>#DIV/0!</v>
      </c>
      <c r="N47" s="517"/>
      <c r="O47" s="576" t="e">
        <f ca="1">专用糖!O49</f>
        <v>#DIV/0!</v>
      </c>
    </row>
    <row r="48" s="459" customFormat="1" ht="14.25" hidden="1" customHeight="1" spans="1:18">
      <c r="A48" s="516" t="s">
        <v>119</v>
      </c>
      <c r="B48" s="503"/>
      <c r="C48" s="498"/>
      <c r="D48" s="518"/>
      <c r="E48" s="576">
        <f ca="1">专用糖!E50</f>
        <v>0</v>
      </c>
      <c r="F48" s="517"/>
      <c r="G48" s="575" t="e">
        <f ca="1">专用糖!G50</f>
        <v>#DIV/0!</v>
      </c>
      <c r="I48" s="516" t="s">
        <v>119</v>
      </c>
      <c r="J48" s="503"/>
      <c r="K48" s="498"/>
      <c r="L48" s="518"/>
      <c r="M48" s="576" t="e">
        <f ca="1">专用糖!M50</f>
        <v>#DIV/0!</v>
      </c>
      <c r="N48" s="517"/>
      <c r="O48" s="576" t="e">
        <f ca="1">专用糖!O50</f>
        <v>#DIV/0!</v>
      </c>
    </row>
    <row r="49" s="459" customFormat="1" ht="14.25" hidden="1" customHeight="1" spans="1:20">
      <c r="A49" s="516" t="s">
        <v>120</v>
      </c>
      <c r="B49" s="503"/>
      <c r="C49" s="498"/>
      <c r="D49" s="518"/>
      <c r="E49" s="576">
        <f ca="1">专用糖!E51</f>
        <v>0</v>
      </c>
      <c r="F49" s="517"/>
      <c r="G49" s="575" t="e">
        <f ca="1">专用糖!G51</f>
        <v>#DIV/0!</v>
      </c>
      <c r="I49" s="516" t="s">
        <v>120</v>
      </c>
      <c r="J49" s="503"/>
      <c r="K49" s="498"/>
      <c r="L49" s="518"/>
      <c r="M49" s="576" t="e">
        <f ca="1">专用糖!M51</f>
        <v>#DIV/0!</v>
      </c>
      <c r="N49" s="517"/>
      <c r="O49" s="576" t="e">
        <f ca="1">专用糖!O51</f>
        <v>#DIV/0!</v>
      </c>
    </row>
    <row r="50" s="459" customFormat="1" ht="12" hidden="1" spans="1:20">
      <c r="A50" s="516" t="s">
        <v>121</v>
      </c>
      <c r="B50" s="503"/>
      <c r="C50" s="498"/>
      <c r="D50" s="518"/>
      <c r="E50" s="576">
        <f ca="1">专用糖!E52</f>
        <v>0</v>
      </c>
      <c r="F50" s="517"/>
      <c r="G50" s="575" t="e">
        <f ca="1">专用糖!G52</f>
        <v>#DIV/0!</v>
      </c>
      <c r="I50" s="516" t="s">
        <v>121</v>
      </c>
      <c r="J50" s="503"/>
      <c r="K50" s="498"/>
      <c r="L50" s="518"/>
      <c r="M50" s="576" t="e">
        <f ca="1">专用糖!M52</f>
        <v>#DIV/0!</v>
      </c>
      <c r="N50" s="517"/>
      <c r="O50" s="576" t="e">
        <f ca="1">专用糖!O52</f>
        <v>#DIV/0!</v>
      </c>
    </row>
    <row r="51" s="459" customFormat="1" ht="14.25" customHeight="1" spans="1:20">
      <c r="A51" s="577" t="s">
        <v>122</v>
      </c>
      <c r="B51" s="485" t="s">
        <v>123</v>
      </c>
      <c r="C51" s="514"/>
      <c r="D51" s="515"/>
      <c r="E51" s="578" t="e">
        <f ca="1">E37+E10</f>
        <v>#DIV/0!</v>
      </c>
      <c r="F51" s="579"/>
      <c r="G51" s="578" t="e">
        <f ca="1">G37+G10</f>
        <v>#DIV/0!</v>
      </c>
      <c r="H51" s="483"/>
      <c r="I51" s="577" t="s">
        <v>122</v>
      </c>
      <c r="J51" s="485" t="s">
        <v>123</v>
      </c>
      <c r="K51" s="514"/>
      <c r="L51" s="515"/>
      <c r="M51" s="578" t="e">
        <f ca="1">M37+M10</f>
        <v>#DIV/0!</v>
      </c>
      <c r="N51" s="579"/>
      <c r="O51" s="578" t="e">
        <f ca="1">O37+O10</f>
        <v>#DIV/0!</v>
      </c>
      <c r="P51" s="483"/>
    </row>
    <row r="52" s="460" customFormat="1" ht="14.25" customHeight="1" spans="1:20">
      <c r="A52" s="580" t="s">
        <v>124</v>
      </c>
      <c r="B52" s="485" t="s">
        <v>123</v>
      </c>
      <c r="C52" s="514"/>
      <c r="D52" s="515"/>
      <c r="E52" s="578" t="e">
        <f ca="1">E36-E37</f>
        <v>#DIV/0!</v>
      </c>
      <c r="F52" s="581"/>
      <c r="G52" s="578" t="e">
        <f ca="1">G36-G37</f>
        <v>#DIV/0!</v>
      </c>
      <c r="H52" s="527"/>
      <c r="I52" s="580" t="s">
        <v>124</v>
      </c>
      <c r="J52" s="485" t="s">
        <v>123</v>
      </c>
      <c r="K52" s="514"/>
      <c r="L52" s="515"/>
      <c r="M52" s="578" t="e">
        <f ca="1">M36-M37</f>
        <v>#DIV/0!</v>
      </c>
      <c r="N52" s="581"/>
      <c r="O52" s="578" t="e">
        <f ca="1">O36-O37</f>
        <v>#DIV/0!</v>
      </c>
      <c r="P52" s="528"/>
    </row>
    <row r="53" s="459" customFormat="1" ht="14.25" customHeight="1" spans="1:20">
      <c r="A53" s="580" t="s">
        <v>125</v>
      </c>
      <c r="B53" s="485" t="s">
        <v>123</v>
      </c>
      <c r="C53" s="514"/>
      <c r="D53" s="515"/>
      <c r="E53" s="578" t="e">
        <f ca="1">E52+E38</f>
        <v>#DIV/0!</v>
      </c>
      <c r="F53" s="581"/>
      <c r="G53" s="578" t="e">
        <f ca="1">G52+G38</f>
        <v>#DIV/0!</v>
      </c>
      <c r="H53" s="527"/>
      <c r="I53" s="580" t="s">
        <v>125</v>
      </c>
      <c r="J53" s="485" t="s">
        <v>123</v>
      </c>
      <c r="K53" s="514"/>
      <c r="L53" s="515"/>
      <c r="M53" s="578" t="e">
        <f ca="1">M52+M38</f>
        <v>#DIV/0!</v>
      </c>
      <c r="N53" s="581"/>
      <c r="O53" s="578" t="e">
        <f ca="1">O52+O38</f>
        <v>#DIV/0!</v>
      </c>
    </row>
    <row r="54" s="540" customFormat="1" customHeight="1" spans="1:20">
      <c r="A54" s="529" t="s">
        <v>126</v>
      </c>
      <c r="B54" s="530" t="s">
        <v>123</v>
      </c>
      <c r="C54" s="531"/>
      <c r="D54" s="532"/>
      <c r="E54" s="533" t="e">
        <f ca="1">E10-E11+E37</f>
        <v>#DIV/0!</v>
      </c>
      <c r="F54" s="533"/>
      <c r="G54" s="534" t="e">
        <f ca="1">G10-G11+G37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M10-M11+M37</f>
        <v>#DIV/0!</v>
      </c>
      <c r="N54" s="533"/>
      <c r="O54" s="534" t="e">
        <f ca="1">O10-O11+O37</f>
        <v>#DIV/0!</v>
      </c>
      <c r="P54" s="475"/>
      <c r="Q54" s="475"/>
      <c r="R54" s="475"/>
      <c r="S54" s="475"/>
      <c r="T54" s="475"/>
    </row>
    <row r="58" s="460" customFormat="1" customHeight="1" spans="1:20">
      <c r="B58" s="635"/>
      <c r="E58" s="539"/>
      <c r="P58" s="562"/>
    </row>
    <row r="59" s="460" customFormat="1" customHeight="1" spans="1:20">
      <c r="B59" s="635"/>
      <c r="E59" s="539"/>
      <c r="P59" s="562"/>
    </row>
    <row r="60" s="460" customFormat="1" customHeight="1" spans="1:20">
      <c r="B60" s="635"/>
      <c r="E60" s="539"/>
      <c r="P60" s="562"/>
    </row>
    <row r="64" customHeight="1" spans="1:20">
      <c r="F64" s="82"/>
      <c r="G64" s="82"/>
      <c r="N64" s="82"/>
      <c r="O64" s="82"/>
    </row>
    <row r="65" customHeight="1" spans="6:15">
      <c r="F65" s="82"/>
      <c r="G65" s="82"/>
      <c r="N65" s="82"/>
      <c r="O65" s="82"/>
    </row>
    <row r="66" customHeight="1" spans="6:15">
      <c r="F66" s="82"/>
      <c r="G66" s="82"/>
      <c r="N66" s="82"/>
      <c r="O66" s="82"/>
    </row>
    <row r="67" customHeight="1" spans="6:15">
      <c r="F67" s="82"/>
      <c r="G67" s="82"/>
      <c r="N67" s="82"/>
      <c r="O67" s="82"/>
    </row>
    <row r="68" customHeight="1" spans="6:15">
      <c r="F68" s="82"/>
      <c r="G68" s="82"/>
      <c r="N68" s="82"/>
      <c r="O68" s="82"/>
    </row>
    <row r="69" customHeight="1" spans="6:15">
      <c r="F69" s="82"/>
      <c r="G69" s="82"/>
      <c r="N69" s="82"/>
      <c r="O69" s="82"/>
    </row>
    <row r="70" customHeight="1" spans="6:15">
      <c r="F70" s="82"/>
      <c r="G70" s="82"/>
      <c r="N70" s="82"/>
      <c r="O70" s="82"/>
    </row>
    <row r="71" customHeight="1" spans="6:15">
      <c r="F71" s="82"/>
      <c r="G71" s="82"/>
      <c r="N71" s="82"/>
      <c r="O71" s="8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scale="80" fitToHeight="0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040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>
    <tabColor theme="7" tint="0.399975585192419"/>
    <pageSetUpPr fitToPage="1"/>
  </sheetPr>
  <dimension ref="A1:R102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D11" sqref="D11"/>
    </sheetView>
  </sheetViews>
  <sheetFormatPr defaultColWidth="9" defaultRowHeight="15" customHeight="1"/>
  <cols>
    <col min="1" max="1" width="26.375" style="40" customWidth="1"/>
    <col min="2" max="2" width="4.5" style="461" customWidth="1"/>
    <col min="3" max="3" width="9" style="40" customWidth="1"/>
    <col min="4" max="4" width="8.5" style="40" customWidth="1"/>
    <col min="5" max="5" width="9" style="595" customWidth="1"/>
    <col min="6" max="6" width="9.5" style="40" customWidth="1"/>
    <col min="7" max="7" width="10.5" style="596" customWidth="1"/>
    <col min="8" max="8" width="8.25" style="40" customWidth="1"/>
    <col min="9" max="9" width="28" style="40" customWidth="1"/>
    <col min="10" max="10" width="3.625" style="40" customWidth="1"/>
    <col min="11" max="11" width="8.25" style="40" customWidth="1"/>
    <col min="12" max="12" width="8.5" style="40" customWidth="1"/>
    <col min="13" max="13" width="10.5" style="40" customWidth="1"/>
    <col min="14" max="14" width="9.5" style="40" customWidth="1"/>
    <col min="15" max="15" width="11.375" style="596" customWidth="1"/>
    <col min="16" max="16" width="10.5" style="40" customWidth="1"/>
    <col min="17" max="17" width="13" style="40" customWidth="1"/>
    <col min="18" max="18" width="10.5" style="40" customWidth="1"/>
    <col min="19" max="16384" width="9" style="40"/>
  </cols>
  <sheetData>
    <row r="1" s="458" customFormat="1" ht="42.75" customHeight="1" spans="1:17">
      <c r="A1" s="98" t="str">
        <f>CONCATENATE("风味糖综合成本利润表_含税(2025年"&amp;mth&amp;"月)")</f>
        <v>风味糖综合成本利润表_含税(2025年8月)</v>
      </c>
      <c r="B1" s="98"/>
      <c r="C1" s="98"/>
      <c r="D1" s="98"/>
      <c r="E1" s="598"/>
      <c r="F1" s="98"/>
      <c r="G1" s="598"/>
      <c r="I1" s="463" t="str">
        <f>CONCATENATE("风味糖综合成本利润表_含税(2025年1-"&amp;mth&amp;"月)")</f>
        <v>风味糖综合成本利润表_含税(2025年1-8月)</v>
      </c>
      <c r="J1" s="463"/>
      <c r="K1" s="463"/>
      <c r="L1" s="463"/>
      <c r="M1" s="463"/>
      <c r="N1" s="463"/>
      <c r="O1" s="599"/>
    </row>
    <row r="2" s="458" customFormat="1" customHeight="1" spans="1:17">
      <c r="A2" s="464"/>
      <c r="B2" s="464"/>
      <c r="C2" s="464"/>
      <c r="D2" s="465"/>
      <c r="E2" s="601"/>
      <c r="F2" s="464"/>
      <c r="G2" s="602"/>
      <c r="O2" s="602"/>
    </row>
    <row r="3" s="38" customFormat="1" customHeight="1" spans="1:17">
      <c r="A3" s="38" t="s">
        <v>23</v>
      </c>
      <c r="E3" s="601" t="s">
        <v>133</v>
      </c>
      <c r="F3" s="466">
        <f ca="1">风味糖!F3</f>
        <v>0</v>
      </c>
      <c r="G3" s="601" t="s">
        <v>75</v>
      </c>
      <c r="M3" s="378" t="s">
        <v>134</v>
      </c>
      <c r="N3" s="466">
        <f ca="1">风味糖!N3</f>
        <v>415.896777777777</v>
      </c>
      <c r="O3" s="601" t="s">
        <v>75</v>
      </c>
    </row>
    <row r="4" s="459" customFormat="1" customHeight="1" spans="1:17">
      <c r="A4" s="467"/>
      <c r="B4" s="467" t="s">
        <v>77</v>
      </c>
      <c r="C4" s="468" t="s">
        <v>78</v>
      </c>
      <c r="D4" s="468" t="s">
        <v>79</v>
      </c>
      <c r="E4" s="604" t="s">
        <v>80</v>
      </c>
      <c r="F4" s="468" t="s">
        <v>81</v>
      </c>
      <c r="G4" s="605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605" t="s">
        <v>82</v>
      </c>
    </row>
    <row r="5" s="459" customFormat="1" customHeight="1" spans="1:17">
      <c r="A5" s="470" t="s">
        <v>83</v>
      </c>
      <c r="B5" s="471"/>
      <c r="C5" s="472"/>
      <c r="D5" s="472"/>
      <c r="E5" s="607">
        <f ca="1">E6-E7</f>
        <v>0</v>
      </c>
      <c r="F5" s="472"/>
      <c r="G5" s="608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16042.264335151</v>
      </c>
      <c r="N5" s="472"/>
      <c r="O5" s="608">
        <f ca="1">O6-O7</f>
        <v>6671926.04524866</v>
      </c>
      <c r="P5" s="475"/>
    </row>
    <row r="6" s="459" customFormat="1" customHeight="1" spans="1:17">
      <c r="A6" s="476" t="s">
        <v>84</v>
      </c>
      <c r="B6" s="477"/>
      <c r="C6" s="478"/>
      <c r="D6" s="479"/>
      <c r="E6" s="610">
        <f ca="1">OFFSET(销售收入及运费!C101,0,mth-1,1,1)</f>
        <v>0</v>
      </c>
      <c r="F6" s="479"/>
      <c r="G6" s="610">
        <f ca="1">风味糖!G6*1.13</f>
        <v>0</v>
      </c>
      <c r="I6" s="481" t="s">
        <v>84</v>
      </c>
      <c r="J6" s="477"/>
      <c r="K6" s="478"/>
      <c r="L6" s="479"/>
      <c r="M6" s="480">
        <f ca="1">销售收入及运费!O101</f>
        <v>18772.9517136602</v>
      </c>
      <c r="N6" s="482"/>
      <c r="O6" s="611">
        <f ca="1">M6*$N$3</f>
        <v>7807610.12708907</v>
      </c>
      <c r="P6" s="475"/>
      <c r="Q6" s="511"/>
    </row>
    <row r="7" s="459" customFormat="1" customHeight="1" spans="1:17">
      <c r="A7" s="476" t="s">
        <v>85</v>
      </c>
      <c r="B7" s="477"/>
      <c r="C7" s="479"/>
      <c r="D7" s="479"/>
      <c r="E7" s="610">
        <f ca="1">OFFSET(销售收入及运费!C199,0,mth-1,1,1)</f>
        <v>0</v>
      </c>
      <c r="F7" s="480"/>
      <c r="G7" s="610">
        <f ca="1">E7*F3</f>
        <v>0</v>
      </c>
      <c r="I7" s="476" t="s">
        <v>85</v>
      </c>
      <c r="J7" s="477"/>
      <c r="K7" s="479"/>
      <c r="L7" s="479"/>
      <c r="M7" s="480">
        <f ca="1">销售收入及运费!O199</f>
        <v>2730.68737850917</v>
      </c>
      <c r="N7" s="482"/>
      <c r="O7" s="611">
        <f ca="1">M7*$N$3</f>
        <v>1135684.08184041</v>
      </c>
      <c r="P7" s="475"/>
      <c r="Q7" s="511"/>
    </row>
    <row r="8" s="459" customFormat="1" customHeight="1" spans="1:17">
      <c r="A8" s="476" t="s">
        <v>86</v>
      </c>
      <c r="B8" s="477"/>
      <c r="C8" s="479"/>
      <c r="D8" s="479"/>
      <c r="E8" s="610" t="e">
        <f ca="1">'风味糖-含税'!E8</f>
        <v>#DIV/0!</v>
      </c>
      <c r="F8" s="480"/>
      <c r="G8" s="610" t="e">
        <f ca="1">'风味糖-含税'!G8</f>
        <v>#DIV/0!</v>
      </c>
      <c r="I8" s="476" t="s">
        <v>86</v>
      </c>
      <c r="J8" s="477"/>
      <c r="K8" s="479"/>
      <c r="L8" s="479"/>
      <c r="M8" s="480">
        <f ca="1">'风味糖-含税'!M8</f>
        <v>395.501031265346</v>
      </c>
      <c r="N8" s="482"/>
      <c r="O8" s="610">
        <f ca="1">'风味糖-含税'!O8</f>
        <v>164487.604511045</v>
      </c>
      <c r="P8" s="475"/>
      <c r="Q8" s="511"/>
    </row>
    <row r="9" s="459" customFormat="1" customHeight="1" spans="1:17">
      <c r="A9" s="476" t="s">
        <v>87</v>
      </c>
      <c r="B9" s="477"/>
      <c r="C9" s="479"/>
      <c r="D9" s="479"/>
      <c r="E9" s="610" t="e">
        <f ca="1">'风味糖-含税'!E9</f>
        <v>#DIV/0!</v>
      </c>
      <c r="F9" s="480"/>
      <c r="G9" s="610" t="e">
        <f ca="1">'风味糖-含税'!G9</f>
        <v>#DIV/0!</v>
      </c>
      <c r="I9" s="476" t="s">
        <v>87</v>
      </c>
      <c r="J9" s="477"/>
      <c r="K9" s="479"/>
      <c r="L9" s="479"/>
      <c r="M9" s="480">
        <f ca="1">'风味糖-含税'!M9</f>
        <v>2335.18634724382</v>
      </c>
      <c r="N9" s="482"/>
      <c r="O9" s="610">
        <f ca="1">'风味糖-含税'!O9</f>
        <v>971196.477329363</v>
      </c>
      <c r="P9" s="475"/>
      <c r="Q9" s="511"/>
    </row>
    <row r="10" s="459" customFormat="1" customHeight="1" spans="1:17">
      <c r="A10" s="484" t="s">
        <v>88</v>
      </c>
      <c r="B10" s="485"/>
      <c r="C10" s="486"/>
      <c r="D10" s="486"/>
      <c r="E10" s="613" t="e">
        <f ca="1">E11+E20+E57+E63+E64+E65</f>
        <v>#DIV/0!</v>
      </c>
      <c r="F10" s="488"/>
      <c r="G10" s="613" t="e">
        <f ca="1">G11+G20+G57+G63+G64+G65</f>
        <v>#DIV/0!</v>
      </c>
      <c r="I10" s="484" t="s">
        <v>88</v>
      </c>
      <c r="J10" s="485"/>
      <c r="K10" s="486"/>
      <c r="L10" s="486"/>
      <c r="M10" s="487" t="e">
        <f ca="1">M11+M20+M57+M63+M64+M65</f>
        <v>#DIV/0!</v>
      </c>
      <c r="N10" s="488"/>
      <c r="O10" s="613" t="e">
        <f ca="1">O11+O20+O57+O63+O64+O65</f>
        <v>#DIV/0!</v>
      </c>
      <c r="P10" s="475"/>
      <c r="Q10" s="511"/>
    </row>
    <row r="11" s="459" customFormat="1" customHeight="1" spans="1:17">
      <c r="A11" s="489" t="s">
        <v>169</v>
      </c>
      <c r="B11" s="490" t="s">
        <v>75</v>
      </c>
      <c r="C11" s="491">
        <f ca="1">'风味糖-含税'!C11</f>
        <v>0</v>
      </c>
      <c r="D11" s="493">
        <f ca="1">'风味糖-含税'!D11</f>
        <v>0</v>
      </c>
      <c r="E11" s="607" t="e">
        <f ca="1">'风味糖-含税'!E11</f>
        <v>#DIV/0!</v>
      </c>
      <c r="F11" s="491">
        <f ca="1">'风味糖-含税'!F11</f>
        <v>0</v>
      </c>
      <c r="G11" s="607">
        <f ca="1">'风味糖-含税'!G11</f>
        <v>0</v>
      </c>
      <c r="I11" s="489" t="s">
        <v>169</v>
      </c>
      <c r="J11" s="490" t="s">
        <v>75</v>
      </c>
      <c r="K11" s="491">
        <f ca="1">'风味糖-含税'!K11</f>
        <v>5325.89375644722</v>
      </c>
      <c r="L11" s="493">
        <f ca="1">'风味糖-含税'!L11</f>
        <v>0.0214476294999481</v>
      </c>
      <c r="M11" s="491">
        <f ca="1">'风味糖-含税'!M11</f>
        <v>114.227796044367</v>
      </c>
      <c r="N11" s="491">
        <f ca="1">'风味糖-含税'!N11</f>
        <v>8.92</v>
      </c>
      <c r="O11" s="607">
        <f ca="1">'风味糖-含税'!O11</f>
        <v>47506.9723075092</v>
      </c>
      <c r="P11" s="475"/>
    </row>
    <row r="12" s="459" customFormat="1" customHeight="1" spans="1:17">
      <c r="A12" s="494" t="s">
        <v>170</v>
      </c>
      <c r="B12" s="503" t="s">
        <v>75</v>
      </c>
      <c r="C12" s="507">
        <f ca="1">'风味糖-含税'!C12</f>
        <v>0</v>
      </c>
      <c r="D12" s="507">
        <f ca="1">'风味糖-含税'!D12</f>
        <v>0</v>
      </c>
      <c r="E12" s="611">
        <f ca="1">'风味糖-含税'!E12</f>
        <v>0</v>
      </c>
      <c r="F12" s="507">
        <f ca="1">'风味糖-含税'!F12</f>
        <v>0</v>
      </c>
      <c r="G12" s="611">
        <f ca="1">'风味糖-含税'!G12</f>
        <v>0</v>
      </c>
      <c r="I12" s="494" t="s">
        <v>170</v>
      </c>
      <c r="J12" s="503" t="s">
        <v>75</v>
      </c>
      <c r="K12" s="507">
        <f ca="1">'风味糖-含税'!K12</f>
        <v>0</v>
      </c>
      <c r="L12" s="507">
        <f ca="1">'风味糖-含税'!L12</f>
        <v>0</v>
      </c>
      <c r="M12" s="507">
        <f ca="1">'风味糖-含税'!M12</f>
        <v>0</v>
      </c>
      <c r="N12" s="507">
        <f ca="1">'风味糖-含税'!N12</f>
        <v>0</v>
      </c>
      <c r="O12" s="611">
        <f ca="1">'风味糖-含税'!O12</f>
        <v>0</v>
      </c>
      <c r="P12" s="475"/>
      <c r="Q12" s="475"/>
    </row>
    <row r="13" s="459" customFormat="1" customHeight="1" spans="1:17">
      <c r="A13" s="494" t="s">
        <v>171</v>
      </c>
      <c r="B13" s="503" t="s">
        <v>75</v>
      </c>
      <c r="C13" s="507">
        <f ca="1">'风味糖-含税'!C13</f>
        <v>0</v>
      </c>
      <c r="D13" s="507">
        <f ca="1">'风味糖-含税'!D13</f>
        <v>0</v>
      </c>
      <c r="E13" s="611">
        <f ca="1">'风味糖-含税'!E13</f>
        <v>0</v>
      </c>
      <c r="F13" s="507">
        <f ca="1">'风味糖-含税'!F13</f>
        <v>0</v>
      </c>
      <c r="G13" s="611">
        <f ca="1">'风味糖-含税'!G13</f>
        <v>0</v>
      </c>
      <c r="I13" s="494" t="s">
        <v>171</v>
      </c>
      <c r="J13" s="503" t="s">
        <v>75</v>
      </c>
      <c r="K13" s="507">
        <f ca="1">'风味糖-含税'!K13</f>
        <v>0</v>
      </c>
      <c r="L13" s="507">
        <f ca="1">'风味糖-含税'!L13</f>
        <v>0</v>
      </c>
      <c r="M13" s="507">
        <f ca="1">'风味糖-含税'!M13</f>
        <v>0</v>
      </c>
      <c r="N13" s="507">
        <f ca="1">'风味糖-含税'!N13</f>
        <v>0</v>
      </c>
      <c r="O13" s="611">
        <f ca="1">'风味糖-含税'!O13</f>
        <v>0</v>
      </c>
      <c r="P13" s="475"/>
      <c r="Q13" s="475"/>
    </row>
    <row r="14" s="459" customFormat="1" customHeight="1" spans="1:17">
      <c r="A14" s="494" t="s">
        <v>172</v>
      </c>
      <c r="B14" s="503" t="s">
        <v>75</v>
      </c>
      <c r="C14" s="507">
        <f ca="1">'风味糖-含税'!C14</f>
        <v>0</v>
      </c>
      <c r="D14" s="507">
        <f ca="1">'风味糖-含税'!D14</f>
        <v>0</v>
      </c>
      <c r="E14" s="611">
        <f ca="1">'风味糖-含税'!E14</f>
        <v>0</v>
      </c>
      <c r="F14" s="507">
        <f ca="1">'风味糖-含税'!F14</f>
        <v>0</v>
      </c>
      <c r="G14" s="611">
        <f ca="1">'风味糖-含税'!G14</f>
        <v>0</v>
      </c>
      <c r="I14" s="494" t="s">
        <v>172</v>
      </c>
      <c r="J14" s="503" t="s">
        <v>75</v>
      </c>
      <c r="K14" s="507">
        <f ca="1">'风味糖-含税'!K14</f>
        <v>0</v>
      </c>
      <c r="L14" s="507">
        <f ca="1">'风味糖-含税'!L14</f>
        <v>0</v>
      </c>
      <c r="M14" s="507">
        <f ca="1">'风味糖-含税'!M14</f>
        <v>0</v>
      </c>
      <c r="N14" s="507">
        <f ca="1">'风味糖-含税'!N14</f>
        <v>0</v>
      </c>
      <c r="O14" s="611">
        <f ca="1">'风味糖-含税'!O14</f>
        <v>0</v>
      </c>
      <c r="P14" s="475"/>
      <c r="Q14" s="475"/>
    </row>
    <row r="15" s="459" customFormat="1" customHeight="1" spans="1:17">
      <c r="A15" s="494" t="s">
        <v>173</v>
      </c>
      <c r="B15" s="503" t="s">
        <v>75</v>
      </c>
      <c r="C15" s="507">
        <f ca="1">'风味糖-含税'!C15</f>
        <v>0</v>
      </c>
      <c r="D15" s="507">
        <f ca="1">'风味糖-含税'!D15</f>
        <v>0</v>
      </c>
      <c r="E15" s="611">
        <f ca="1">'风味糖-含税'!E15</f>
        <v>0</v>
      </c>
      <c r="F15" s="507">
        <f ca="1">'风味糖-含税'!F15</f>
        <v>0</v>
      </c>
      <c r="G15" s="611">
        <f ca="1">'风味糖-含税'!G15</f>
        <v>0</v>
      </c>
      <c r="I15" s="494" t="s">
        <v>173</v>
      </c>
      <c r="J15" s="503" t="s">
        <v>75</v>
      </c>
      <c r="K15" s="507">
        <f ca="1">'风味糖-含税'!K15</f>
        <v>0</v>
      </c>
      <c r="L15" s="507">
        <f ca="1">'风味糖-含税'!L15</f>
        <v>0</v>
      </c>
      <c r="M15" s="507">
        <f ca="1">'风味糖-含税'!M15</f>
        <v>0</v>
      </c>
      <c r="N15" s="507">
        <f ca="1">'风味糖-含税'!N15</f>
        <v>0</v>
      </c>
      <c r="O15" s="611">
        <f ca="1">'风味糖-含税'!O15</f>
        <v>0</v>
      </c>
      <c r="P15" s="475"/>
      <c r="Q15" s="475"/>
    </row>
    <row r="16" s="459" customFormat="1" customHeight="1" spans="1:17">
      <c r="A16" s="494" t="s">
        <v>174</v>
      </c>
      <c r="B16" s="503" t="s">
        <v>75</v>
      </c>
      <c r="C16" s="507">
        <f ca="1">'风味糖-含税'!C16</f>
        <v>0</v>
      </c>
      <c r="D16" s="507">
        <f ca="1">'风味糖-含税'!D16</f>
        <v>0</v>
      </c>
      <c r="E16" s="611">
        <f ca="1">'风味糖-含税'!E16</f>
        <v>0</v>
      </c>
      <c r="F16" s="507">
        <f ca="1">'风味糖-含税'!F16</f>
        <v>0</v>
      </c>
      <c r="G16" s="611">
        <f ca="1">'风味糖-含税'!G16</f>
        <v>0</v>
      </c>
      <c r="I16" s="494" t="s">
        <v>174</v>
      </c>
      <c r="J16" s="503" t="s">
        <v>75</v>
      </c>
      <c r="K16" s="507">
        <f ca="1">'风味糖-含税'!K16</f>
        <v>0</v>
      </c>
      <c r="L16" s="507">
        <f ca="1">'风味糖-含税'!L16</f>
        <v>0</v>
      </c>
      <c r="M16" s="507">
        <f ca="1">'风味糖-含税'!M16</f>
        <v>0</v>
      </c>
      <c r="N16" s="507">
        <f ca="1">'风味糖-含税'!N16</f>
        <v>0</v>
      </c>
      <c r="O16" s="611">
        <f ca="1">'风味糖-含税'!O16</f>
        <v>0</v>
      </c>
      <c r="P16" s="475"/>
      <c r="Q16" s="475"/>
    </row>
    <row r="17" s="459" customFormat="1" customHeight="1" spans="1:17">
      <c r="A17" s="494" t="s">
        <v>175</v>
      </c>
      <c r="B17" s="503" t="s">
        <v>75</v>
      </c>
      <c r="C17" s="507">
        <f ca="1">'风味糖-含税'!C17</f>
        <v>0</v>
      </c>
      <c r="D17" s="507">
        <f ca="1">'风味糖-含税'!D17</f>
        <v>0</v>
      </c>
      <c r="E17" s="611">
        <f ca="1">'风味糖-含税'!E17</f>
        <v>0</v>
      </c>
      <c r="F17" s="507">
        <f ca="1">'风味糖-含税'!F17</f>
        <v>0</v>
      </c>
      <c r="G17" s="611">
        <f ca="1">'风味糖-含税'!G17</f>
        <v>0</v>
      </c>
      <c r="I17" s="494" t="s">
        <v>175</v>
      </c>
      <c r="J17" s="503" t="s">
        <v>75</v>
      </c>
      <c r="K17" s="507">
        <f ca="1">'风味糖-含税'!K17</f>
        <v>2755.98759196891</v>
      </c>
      <c r="L17" s="507">
        <f ca="1">'风味糖-含税'!L17</f>
        <v>0.0185622981770851</v>
      </c>
      <c r="M17" s="507">
        <f ca="1">'风味糖-含税'!M17</f>
        <v>51.1574634544737</v>
      </c>
      <c r="N17" s="507">
        <f ca="1">'风味糖-含税'!N17</f>
        <v>7.72</v>
      </c>
      <c r="O17" s="611">
        <f ca="1">'风味糖-含税'!O17</f>
        <v>21276.22421</v>
      </c>
      <c r="P17" s="475"/>
      <c r="Q17" s="475"/>
    </row>
    <row r="18" s="459" customFormat="1" customHeight="1" spans="1:17">
      <c r="A18" s="494" t="s">
        <v>176</v>
      </c>
      <c r="B18" s="503" t="s">
        <v>75</v>
      </c>
      <c r="C18" s="507">
        <f ca="1">'风味糖-含税'!C18</f>
        <v>0</v>
      </c>
      <c r="D18" s="507">
        <f ca="1">'风味糖-含税'!D18</f>
        <v>0</v>
      </c>
      <c r="E18" s="611">
        <f ca="1">'风味糖-含税'!E18</f>
        <v>0</v>
      </c>
      <c r="F18" s="507">
        <f ca="1">'风味糖-含税'!F18</f>
        <v>0</v>
      </c>
      <c r="G18" s="611">
        <f ca="1">'风味糖-含税'!G18</f>
        <v>0</v>
      </c>
      <c r="I18" s="494" t="s">
        <v>176</v>
      </c>
      <c r="J18" s="503" t="s">
        <v>75</v>
      </c>
      <c r="K18" s="507">
        <f ca="1">'风味糖-含税'!K18</f>
        <v>6817.6064</v>
      </c>
      <c r="L18" s="507">
        <f ca="1">'风味糖-含税'!L18</f>
        <v>0.00288533132286297</v>
      </c>
      <c r="M18" s="507">
        <f ca="1">'风味糖-含税'!M18</f>
        <v>19.671053292871</v>
      </c>
      <c r="N18" s="507">
        <f ca="1">'风味糖-含税'!N18</f>
        <v>1.2</v>
      </c>
      <c r="O18" s="611">
        <f ca="1">'风味糖-含税'!O18</f>
        <v>8181.12768</v>
      </c>
      <c r="P18" s="475"/>
      <c r="Q18" s="475"/>
    </row>
    <row r="19" s="459" customFormat="1" customHeight="1" spans="1:17">
      <c r="A19" s="494" t="s">
        <v>177</v>
      </c>
      <c r="B19" s="503" t="s">
        <v>75</v>
      </c>
      <c r="C19" s="507">
        <f>'风味糖-含税'!C19</f>
        <v>0</v>
      </c>
      <c r="D19" s="507">
        <f>'风味糖-含税'!D19</f>
        <v>0</v>
      </c>
      <c r="E19" s="611" t="e">
        <f ca="1">'风味糖-含税'!E19</f>
        <v>#DIV/0!</v>
      </c>
      <c r="F19" s="507">
        <f>'风味糖-含税'!F19</f>
        <v>0</v>
      </c>
      <c r="G19" s="611">
        <f ca="1">'风味糖-含税'!G19</f>
        <v>0</v>
      </c>
      <c r="I19" s="494" t="s">
        <v>177</v>
      </c>
      <c r="J19" s="503" t="s">
        <v>75</v>
      </c>
      <c r="K19" s="507">
        <f>'风味糖-含税'!K19</f>
        <v>0</v>
      </c>
      <c r="L19" s="507">
        <f>'风味糖-含税'!L19</f>
        <v>0</v>
      </c>
      <c r="M19" s="507">
        <f ca="1">'风味糖-含税'!M19</f>
        <v>43.3992792970219</v>
      </c>
      <c r="N19" s="507">
        <f>'风味糖-含税'!N19</f>
        <v>0</v>
      </c>
      <c r="O19" s="611">
        <f ca="1">'风味糖-含税'!O19</f>
        <v>18049.6204175092</v>
      </c>
      <c r="P19" s="475"/>
      <c r="Q19" s="475"/>
    </row>
    <row r="20" s="459" customFormat="1" customHeight="1" spans="1:17">
      <c r="A20" s="489" t="s">
        <v>92</v>
      </c>
      <c r="B20" s="490"/>
      <c r="C20" s="501"/>
      <c r="D20" s="492"/>
      <c r="E20" s="607">
        <f ca="1">'风味糖-含税'!E20</f>
        <v>0</v>
      </c>
      <c r="F20" s="491"/>
      <c r="G20" s="607">
        <f ca="1">'风味糖-含税'!G20</f>
        <v>0</v>
      </c>
      <c r="I20" s="489" t="s">
        <v>92</v>
      </c>
      <c r="J20" s="490"/>
      <c r="K20" s="501"/>
      <c r="L20" s="492"/>
      <c r="M20" s="491">
        <f ca="1">风味糖!M20*1.13</f>
        <v>5385.17154248477</v>
      </c>
      <c r="N20" s="491"/>
      <c r="O20" s="607">
        <f ca="1">风味糖!O20*1.13</f>
        <v>2239675.4923</v>
      </c>
      <c r="P20" s="475"/>
      <c r="Q20" s="475"/>
    </row>
    <row r="21" s="459" customFormat="1" customHeight="1" spans="1:17">
      <c r="A21" s="502" t="s">
        <v>178</v>
      </c>
      <c r="B21" s="503" t="s">
        <v>167</v>
      </c>
      <c r="C21" s="614">
        <f ca="1">'风味糖-含税'!C21</f>
        <v>0</v>
      </c>
      <c r="D21" s="614">
        <f ca="1">'风味糖-含税'!D21</f>
        <v>0</v>
      </c>
      <c r="E21" s="611">
        <f ca="1">'风味糖-含税'!E21</f>
        <v>0</v>
      </c>
      <c r="F21" s="614">
        <f ca="1">'风味糖-含税'!F21</f>
        <v>0</v>
      </c>
      <c r="G21" s="611">
        <f ca="1">'风味糖-含税'!G21</f>
        <v>0</v>
      </c>
      <c r="I21" s="502" t="s">
        <v>178</v>
      </c>
      <c r="J21" s="503" t="s">
        <v>167</v>
      </c>
      <c r="K21" s="505">
        <f ca="1">'风味糖-含税'!K21</f>
        <v>0</v>
      </c>
      <c r="L21" s="505">
        <f ca="1">'风味糖-含税'!L21</f>
        <v>0</v>
      </c>
      <c r="M21" s="505">
        <f ca="1">'风味糖-含税'!M21</f>
        <v>0</v>
      </c>
      <c r="N21" s="505">
        <f ca="1">'风味糖-含税'!N21</f>
        <v>0</v>
      </c>
      <c r="O21" s="611">
        <f ca="1">'风味糖-含税'!O21</f>
        <v>0</v>
      </c>
      <c r="P21" s="589"/>
      <c r="Q21" s="475"/>
    </row>
    <row r="22" s="459" customFormat="1" customHeight="1" spans="1:17">
      <c r="A22" s="502" t="s">
        <v>179</v>
      </c>
      <c r="B22" s="503" t="s">
        <v>167</v>
      </c>
      <c r="C22" s="614">
        <f ca="1">'风味糖-含税'!C22</f>
        <v>0</v>
      </c>
      <c r="D22" s="614">
        <f ca="1">'风味糖-含税'!D22</f>
        <v>0</v>
      </c>
      <c r="E22" s="611">
        <f ca="1">'风味糖-含税'!E22</f>
        <v>0</v>
      </c>
      <c r="F22" s="614">
        <f ca="1">'风味糖-含税'!F22</f>
        <v>0</v>
      </c>
      <c r="G22" s="611">
        <f ca="1">'风味糖-含税'!G22</f>
        <v>0</v>
      </c>
      <c r="I22" s="502" t="s">
        <v>179</v>
      </c>
      <c r="J22" s="503" t="s">
        <v>167</v>
      </c>
      <c r="K22" s="505">
        <f ca="1">'风味糖-含税'!K22</f>
        <v>0</v>
      </c>
      <c r="L22" s="505">
        <f ca="1">'风味糖-含税'!L22</f>
        <v>0</v>
      </c>
      <c r="M22" s="505">
        <f ca="1">'风味糖-含税'!M22</f>
        <v>0</v>
      </c>
      <c r="N22" s="505">
        <f ca="1">'风味糖-含税'!N22</f>
        <v>0</v>
      </c>
      <c r="O22" s="611">
        <f ca="1">'风味糖-含税'!O22</f>
        <v>0</v>
      </c>
      <c r="P22" s="589"/>
      <c r="Q22" s="475"/>
    </row>
    <row r="23" s="459" customFormat="1" customHeight="1" spans="1:17">
      <c r="A23" s="502" t="s">
        <v>180</v>
      </c>
      <c r="B23" s="503" t="s">
        <v>167</v>
      </c>
      <c r="C23" s="614">
        <f ca="1">'风味糖-含税'!C23</f>
        <v>0</v>
      </c>
      <c r="D23" s="614">
        <f ca="1">'风味糖-含税'!D23</f>
        <v>0</v>
      </c>
      <c r="E23" s="611">
        <f ca="1">'风味糖-含税'!E23</f>
        <v>0</v>
      </c>
      <c r="F23" s="614">
        <f ca="1">'风味糖-含税'!F23</f>
        <v>0</v>
      </c>
      <c r="G23" s="611">
        <f ca="1">'风味糖-含税'!G23</f>
        <v>0</v>
      </c>
      <c r="I23" s="502" t="s">
        <v>180</v>
      </c>
      <c r="J23" s="503" t="s">
        <v>167</v>
      </c>
      <c r="K23" s="505">
        <f ca="1">'风味糖-含税'!K23</f>
        <v>0</v>
      </c>
      <c r="L23" s="505">
        <f ca="1">'风味糖-含税'!L23</f>
        <v>0</v>
      </c>
      <c r="M23" s="505">
        <f ca="1">'风味糖-含税'!M23</f>
        <v>0</v>
      </c>
      <c r="N23" s="505">
        <f ca="1">'风味糖-含税'!N23</f>
        <v>0</v>
      </c>
      <c r="O23" s="611">
        <f ca="1">'风味糖-含税'!O23</f>
        <v>0</v>
      </c>
      <c r="P23" s="589"/>
      <c r="Q23" s="475"/>
    </row>
    <row r="24" s="459" customFormat="1" customHeight="1" spans="1:17">
      <c r="A24" s="502" t="s">
        <v>181</v>
      </c>
      <c r="B24" s="503" t="s">
        <v>167</v>
      </c>
      <c r="C24" s="614">
        <f ca="1">'风味糖-含税'!C24</f>
        <v>0</v>
      </c>
      <c r="D24" s="614">
        <f ca="1">'风味糖-含税'!D24</f>
        <v>0</v>
      </c>
      <c r="E24" s="611">
        <f ca="1">'风味糖-含税'!E24</f>
        <v>0</v>
      </c>
      <c r="F24" s="614">
        <f ca="1">'风味糖-含税'!F24</f>
        <v>0</v>
      </c>
      <c r="G24" s="611">
        <f ca="1">'风味糖-含税'!G24</f>
        <v>0</v>
      </c>
      <c r="I24" s="502" t="s">
        <v>181</v>
      </c>
      <c r="J24" s="503" t="s">
        <v>167</v>
      </c>
      <c r="K24" s="505">
        <f ca="1">'风味糖-含税'!K24</f>
        <v>0</v>
      </c>
      <c r="L24" s="505">
        <f ca="1">'风味糖-含税'!L24</f>
        <v>0</v>
      </c>
      <c r="M24" s="505">
        <f ca="1">'风味糖-含税'!M24</f>
        <v>0</v>
      </c>
      <c r="N24" s="505">
        <f ca="1">'风味糖-含税'!N24</f>
        <v>0</v>
      </c>
      <c r="O24" s="611">
        <f ca="1">'风味糖-含税'!O24</f>
        <v>0</v>
      </c>
      <c r="P24" s="589"/>
      <c r="Q24" s="475"/>
    </row>
    <row r="25" s="459" customFormat="1" customHeight="1" spans="1:17">
      <c r="A25" s="502" t="s">
        <v>182</v>
      </c>
      <c r="B25" s="503" t="s">
        <v>167</v>
      </c>
      <c r="C25" s="614">
        <f ca="1">'风味糖-含税'!C25</f>
        <v>0</v>
      </c>
      <c r="D25" s="614">
        <f ca="1">'风味糖-含税'!D25</f>
        <v>0</v>
      </c>
      <c r="E25" s="611">
        <f ca="1">'风味糖-含税'!E25</f>
        <v>0</v>
      </c>
      <c r="F25" s="614">
        <f ca="1">'风味糖-含税'!F25</f>
        <v>0</v>
      </c>
      <c r="G25" s="611">
        <f ca="1">'风味糖-含税'!G25</f>
        <v>0</v>
      </c>
      <c r="I25" s="502" t="s">
        <v>182</v>
      </c>
      <c r="J25" s="503" t="s">
        <v>167</v>
      </c>
      <c r="K25" s="505">
        <f ca="1">'风味糖-含税'!K25</f>
        <v>6.85058891447764</v>
      </c>
      <c r="L25" s="505">
        <f ca="1">'风味糖-含税'!L25</f>
        <v>430.267089243031</v>
      </c>
      <c r="M25" s="505">
        <f ca="1">'风味糖-含税'!M25</f>
        <v>2947.58295183287</v>
      </c>
      <c r="N25" s="505">
        <f ca="1">'风味糖-含税'!N25</f>
        <v>178946.696</v>
      </c>
      <c r="O25" s="611">
        <f ca="1">'风味糖-含税'!O25</f>
        <v>1225890.2519</v>
      </c>
      <c r="P25" s="589"/>
      <c r="Q25" s="475"/>
    </row>
    <row r="26" s="459" customFormat="1" customHeight="1" spans="1:17">
      <c r="A26" s="502" t="s">
        <v>183</v>
      </c>
      <c r="B26" s="503" t="s">
        <v>167</v>
      </c>
      <c r="C26" s="614">
        <f ca="1">'风味糖-含税'!C26</f>
        <v>0</v>
      </c>
      <c r="D26" s="614">
        <f ca="1">'风味糖-含税'!D26</f>
        <v>0</v>
      </c>
      <c r="E26" s="611">
        <f ca="1">'风味糖-含税'!E26</f>
        <v>0</v>
      </c>
      <c r="F26" s="614">
        <f ca="1">'风味糖-含税'!F26</f>
        <v>0</v>
      </c>
      <c r="G26" s="611">
        <f ca="1">'风味糖-含税'!G26</f>
        <v>0</v>
      </c>
      <c r="I26" s="502" t="s">
        <v>183</v>
      </c>
      <c r="J26" s="503" t="s">
        <v>167</v>
      </c>
      <c r="K26" s="505">
        <f ca="1">'风味糖-含税'!K26</f>
        <v>0</v>
      </c>
      <c r="L26" s="505">
        <f ca="1">'风味糖-含税'!L26</f>
        <v>0</v>
      </c>
      <c r="M26" s="505">
        <f ca="1">'风味糖-含税'!M26</f>
        <v>0</v>
      </c>
      <c r="N26" s="505">
        <f ca="1">'风味糖-含税'!N26</f>
        <v>0</v>
      </c>
      <c r="O26" s="611">
        <f ca="1">'风味糖-含税'!O26</f>
        <v>0</v>
      </c>
      <c r="P26" s="589"/>
      <c r="Q26" s="475"/>
    </row>
    <row r="27" s="459" customFormat="1" customHeight="1" spans="1:17">
      <c r="A27" s="502" t="s">
        <v>184</v>
      </c>
      <c r="B27" s="503" t="s">
        <v>167</v>
      </c>
      <c r="C27" s="614">
        <f ca="1">'风味糖-含税'!C27</f>
        <v>0</v>
      </c>
      <c r="D27" s="614">
        <f ca="1">'风味糖-含税'!D27</f>
        <v>0</v>
      </c>
      <c r="E27" s="611">
        <f ca="1">'风味糖-含税'!E27</f>
        <v>0</v>
      </c>
      <c r="F27" s="614">
        <f ca="1">'风味糖-含税'!F27</f>
        <v>0</v>
      </c>
      <c r="G27" s="611">
        <f ca="1">'风味糖-含税'!G27</f>
        <v>0</v>
      </c>
      <c r="I27" s="502" t="s">
        <v>184</v>
      </c>
      <c r="J27" s="503" t="s">
        <v>167</v>
      </c>
      <c r="K27" s="505">
        <f ca="1">'风味糖-含税'!K27</f>
        <v>0</v>
      </c>
      <c r="L27" s="505">
        <f ca="1">'风味糖-含税'!L27</f>
        <v>0</v>
      </c>
      <c r="M27" s="505">
        <f ca="1">'风味糖-含税'!M27</f>
        <v>0</v>
      </c>
      <c r="N27" s="505">
        <f ca="1">'风味糖-含税'!N27</f>
        <v>0</v>
      </c>
      <c r="O27" s="611">
        <f ca="1">'风味糖-含税'!O27</f>
        <v>0</v>
      </c>
      <c r="P27" s="589"/>
      <c r="Q27" s="475"/>
    </row>
    <row r="28" s="459" customFormat="1" customHeight="1" spans="1:17">
      <c r="A28" s="502" t="s">
        <v>185</v>
      </c>
      <c r="B28" s="503" t="s">
        <v>167</v>
      </c>
      <c r="C28" s="614">
        <f ca="1">'风味糖-含税'!C28</f>
        <v>0</v>
      </c>
      <c r="D28" s="614">
        <f ca="1">'风味糖-含税'!D28</f>
        <v>0</v>
      </c>
      <c r="E28" s="611">
        <f ca="1">'风味糖-含税'!E28</f>
        <v>0</v>
      </c>
      <c r="F28" s="614">
        <f ca="1">'风味糖-含税'!F28</f>
        <v>0</v>
      </c>
      <c r="G28" s="611">
        <f ca="1">'风味糖-含税'!G28</f>
        <v>0</v>
      </c>
      <c r="I28" s="502" t="s">
        <v>185</v>
      </c>
      <c r="J28" s="503" t="s">
        <v>167</v>
      </c>
      <c r="K28" s="505">
        <f ca="1">'风味糖-含税'!K28</f>
        <v>8.99923690600069</v>
      </c>
      <c r="L28" s="505">
        <f ca="1">'风味糖-含税'!L28</f>
        <v>0.00693200850317828</v>
      </c>
      <c r="M28" s="505">
        <f ca="1">'风味糖-含税'!M28</f>
        <v>0.0623827867545126</v>
      </c>
      <c r="N28" s="505">
        <f ca="1">'风味糖-含税'!N28</f>
        <v>2.883</v>
      </c>
      <c r="O28" s="611">
        <f ca="1">'风味糖-含税'!O28</f>
        <v>25.9448</v>
      </c>
      <c r="P28" s="589"/>
      <c r="Q28" s="475"/>
    </row>
    <row r="29" s="459" customFormat="1" customHeight="1" spans="1:17">
      <c r="A29" s="502" t="s">
        <v>186</v>
      </c>
      <c r="B29" s="503" t="s">
        <v>167</v>
      </c>
      <c r="C29" s="614">
        <f ca="1">'风味糖-含税'!C29</f>
        <v>0</v>
      </c>
      <c r="D29" s="614">
        <f ca="1">'风味糖-含税'!D29</f>
        <v>0</v>
      </c>
      <c r="E29" s="611">
        <f ca="1">'风味糖-含税'!E29</f>
        <v>0</v>
      </c>
      <c r="F29" s="614">
        <f ca="1">'风味糖-含税'!F29</f>
        <v>0</v>
      </c>
      <c r="G29" s="611">
        <f ca="1">'风味糖-含税'!G29</f>
        <v>0</v>
      </c>
      <c r="I29" s="502" t="s">
        <v>186</v>
      </c>
      <c r="J29" s="503" t="s">
        <v>167</v>
      </c>
      <c r="K29" s="505">
        <f ca="1">'风味糖-含税'!K29</f>
        <v>21.5000514384197</v>
      </c>
      <c r="L29" s="505">
        <f ca="1">'风味糖-含税'!L29</f>
        <v>0.45341779517407</v>
      </c>
      <c r="M29" s="505">
        <f ca="1">'风味糖-含税'!M29</f>
        <v>9.74850591933736</v>
      </c>
      <c r="N29" s="505">
        <f ca="1">'风味糖-含税'!N29</f>
        <v>188.575</v>
      </c>
      <c r="O29" s="611">
        <f ca="1">'风味糖-含税'!O29</f>
        <v>4054.3722</v>
      </c>
      <c r="P29" s="589"/>
      <c r="Q29" s="475"/>
    </row>
    <row r="30" s="459" customFormat="1" customHeight="1" spans="1:17">
      <c r="A30" s="502" t="s">
        <v>187</v>
      </c>
      <c r="B30" s="503" t="s">
        <v>167</v>
      </c>
      <c r="C30" s="614">
        <f ca="1">'风味糖-含税'!C30</f>
        <v>0</v>
      </c>
      <c r="D30" s="614">
        <f ca="1">'风味糖-含税'!D30</f>
        <v>0</v>
      </c>
      <c r="E30" s="611">
        <f ca="1">'风味糖-含税'!E30</f>
        <v>0</v>
      </c>
      <c r="F30" s="614">
        <f ca="1">'风味糖-含税'!F30</f>
        <v>0</v>
      </c>
      <c r="G30" s="611">
        <f ca="1">'风味糖-含税'!G30</f>
        <v>0</v>
      </c>
      <c r="I30" s="502" t="s">
        <v>187</v>
      </c>
      <c r="J30" s="503" t="s">
        <v>167</v>
      </c>
      <c r="K30" s="505">
        <f ca="1">'风味糖-含税'!K30</f>
        <v>350.000759259259</v>
      </c>
      <c r="L30" s="505">
        <f ca="1">'风味糖-含税'!L30</f>
        <v>0.0259679819057667</v>
      </c>
      <c r="M30" s="505">
        <f ca="1">'风味糖-含税'!M30</f>
        <v>9.08881338344905</v>
      </c>
      <c r="N30" s="505">
        <f ca="1">'风味糖-含税'!N30</f>
        <v>10.8</v>
      </c>
      <c r="O30" s="611">
        <f ca="1">'风味糖-含税'!O30</f>
        <v>3780.0082</v>
      </c>
      <c r="P30" s="589"/>
      <c r="Q30" s="475"/>
    </row>
    <row r="31" s="459" customFormat="1" customHeight="1" spans="1:17">
      <c r="A31" s="502" t="s">
        <v>188</v>
      </c>
      <c r="B31" s="503" t="s">
        <v>75</v>
      </c>
      <c r="C31" s="614">
        <f ca="1">'风味糖-含税'!C31</f>
        <v>0</v>
      </c>
      <c r="D31" s="614">
        <f ca="1">'风味糖-含税'!D31</f>
        <v>0</v>
      </c>
      <c r="E31" s="611">
        <f ca="1">'风味糖-含税'!E31</f>
        <v>0</v>
      </c>
      <c r="F31" s="614">
        <f ca="1">'风味糖-含税'!F31</f>
        <v>0</v>
      </c>
      <c r="G31" s="611">
        <f ca="1">'风味糖-含税'!G31</f>
        <v>0</v>
      </c>
      <c r="I31" s="502" t="s">
        <v>188</v>
      </c>
      <c r="J31" s="503" t="s">
        <v>75</v>
      </c>
      <c r="K31" s="505">
        <f ca="1">'风味糖-含税'!K31</f>
        <v>0</v>
      </c>
      <c r="L31" s="505">
        <f ca="1">'风味糖-含税'!L31</f>
        <v>0</v>
      </c>
      <c r="M31" s="505">
        <f ca="1">'风味糖-含税'!M31</f>
        <v>0</v>
      </c>
      <c r="N31" s="505">
        <f ca="1">'风味糖-含税'!N31</f>
        <v>0</v>
      </c>
      <c r="O31" s="611">
        <f ca="1">'风味糖-含税'!O31</f>
        <v>0</v>
      </c>
      <c r="P31" s="589"/>
      <c r="Q31" s="475"/>
    </row>
    <row r="32" s="459" customFormat="1" customHeight="1" spans="1:17">
      <c r="A32" s="502" t="s">
        <v>189</v>
      </c>
      <c r="B32" s="503" t="s">
        <v>167</v>
      </c>
      <c r="C32" s="614">
        <f ca="1">'风味糖-含税'!C32</f>
        <v>0</v>
      </c>
      <c r="D32" s="614">
        <f ca="1">'风味糖-含税'!D32</f>
        <v>0</v>
      </c>
      <c r="E32" s="611">
        <f ca="1">'风味糖-含税'!E32</f>
        <v>0</v>
      </c>
      <c r="F32" s="614">
        <f ca="1">'风味糖-含税'!F32</f>
        <v>0</v>
      </c>
      <c r="G32" s="611">
        <f ca="1">'风味糖-含税'!G32</f>
        <v>0</v>
      </c>
      <c r="I32" s="502" t="s">
        <v>189</v>
      </c>
      <c r="J32" s="503" t="s">
        <v>167</v>
      </c>
      <c r="K32" s="505">
        <f ca="1">'风味糖-含税'!K32</f>
        <v>0</v>
      </c>
      <c r="L32" s="505">
        <f ca="1">'风味糖-含税'!L32</f>
        <v>0</v>
      </c>
      <c r="M32" s="505">
        <f ca="1">'风味糖-含税'!M32</f>
        <v>0</v>
      </c>
      <c r="N32" s="505">
        <f ca="1">'风味糖-含税'!N32</f>
        <v>0</v>
      </c>
      <c r="O32" s="611">
        <f ca="1">'风味糖-含税'!O32</f>
        <v>0</v>
      </c>
      <c r="P32" s="589"/>
      <c r="Q32" s="475"/>
    </row>
    <row r="33" s="459" customFormat="1" customHeight="1" spans="1:17">
      <c r="A33" s="502" t="s">
        <v>190</v>
      </c>
      <c r="B33" s="503" t="s">
        <v>167</v>
      </c>
      <c r="C33" s="614">
        <f ca="1">'风味糖-含税'!C33</f>
        <v>0</v>
      </c>
      <c r="D33" s="614">
        <f ca="1">'风味糖-含税'!D33</f>
        <v>0</v>
      </c>
      <c r="E33" s="611">
        <f ca="1">'风味糖-含税'!E33</f>
        <v>0</v>
      </c>
      <c r="F33" s="614">
        <f ca="1">'风味糖-含税'!F33</f>
        <v>0</v>
      </c>
      <c r="G33" s="611">
        <f ca="1">'风味糖-含税'!G33</f>
        <v>0</v>
      </c>
      <c r="I33" s="502" t="s">
        <v>190</v>
      </c>
      <c r="J33" s="503" t="s">
        <v>167</v>
      </c>
      <c r="K33" s="505">
        <f ca="1">'风味糖-含税'!K33</f>
        <v>0</v>
      </c>
      <c r="L33" s="505">
        <f ca="1">'风味糖-含税'!L33</f>
        <v>0</v>
      </c>
      <c r="M33" s="505">
        <f ca="1">'风味糖-含税'!M33</f>
        <v>0</v>
      </c>
      <c r="N33" s="505">
        <f ca="1">'风味糖-含税'!N33</f>
        <v>0</v>
      </c>
      <c r="O33" s="611">
        <f ca="1">'风味糖-含税'!O33</f>
        <v>0</v>
      </c>
      <c r="P33" s="589"/>
      <c r="Q33" s="475"/>
    </row>
    <row r="34" s="459" customFormat="1" customHeight="1" spans="1:17">
      <c r="A34" s="502" t="s">
        <v>191</v>
      </c>
      <c r="B34" s="503"/>
      <c r="C34" s="614">
        <f ca="1">'风味糖-含税'!C34</f>
        <v>0</v>
      </c>
      <c r="D34" s="614">
        <f ca="1">'风味糖-含税'!D34</f>
        <v>0</v>
      </c>
      <c r="E34" s="611">
        <f ca="1">'风味糖-含税'!E34</f>
        <v>0</v>
      </c>
      <c r="F34" s="614">
        <f ca="1">'风味糖-含税'!F34</f>
        <v>0</v>
      </c>
      <c r="G34" s="611">
        <f ca="1">'风味糖-含税'!G34</f>
        <v>0</v>
      </c>
      <c r="I34" s="502" t="s">
        <v>191</v>
      </c>
      <c r="J34" s="503"/>
      <c r="K34" s="505">
        <f ca="1">'风味糖-含税'!K34</f>
        <v>7330.71886432278</v>
      </c>
      <c r="L34" s="505">
        <f ca="1">'风味糖-含税'!L34</f>
        <v>0.268290128613644</v>
      </c>
      <c r="M34" s="505">
        <f ca="1">'风味糖-含税'!M34</f>
        <v>1966.75950693962</v>
      </c>
      <c r="N34" s="505">
        <f ca="1">'风味糖-含税'!N34</f>
        <v>111.581</v>
      </c>
      <c r="O34" s="611">
        <f ca="1">'风味糖-含税'!O34</f>
        <v>817968.9416</v>
      </c>
      <c r="P34" s="475"/>
      <c r="Q34" s="475"/>
    </row>
    <row r="35" s="459" customFormat="1" customHeight="1" spans="1:17">
      <c r="A35" s="502" t="s">
        <v>192</v>
      </c>
      <c r="B35" s="503" t="s">
        <v>167</v>
      </c>
      <c r="C35" s="614">
        <f ca="1">'风味糖-含税'!C35</f>
        <v>0</v>
      </c>
      <c r="D35" s="614">
        <f ca="1">'风味糖-含税'!D35</f>
        <v>0</v>
      </c>
      <c r="E35" s="611">
        <f ca="1">'风味糖-含税'!E35</f>
        <v>0</v>
      </c>
      <c r="F35" s="614">
        <f ca="1">'风味糖-含税'!F35</f>
        <v>0</v>
      </c>
      <c r="G35" s="611">
        <f ca="1">'风味糖-含税'!G35</f>
        <v>0</v>
      </c>
      <c r="I35" s="502" t="s">
        <v>192</v>
      </c>
      <c r="J35" s="503" t="s">
        <v>167</v>
      </c>
      <c r="K35" s="505">
        <f ca="1">'风味糖-含税'!K35</f>
        <v>0</v>
      </c>
      <c r="L35" s="505">
        <f ca="1">'风味糖-含税'!L35</f>
        <v>0</v>
      </c>
      <c r="M35" s="505">
        <f ca="1">'风味糖-含税'!M35</f>
        <v>0</v>
      </c>
      <c r="N35" s="505">
        <f ca="1">'风味糖-含税'!N35</f>
        <v>0</v>
      </c>
      <c r="O35" s="611">
        <f ca="1">'风味糖-含税'!O35</f>
        <v>0</v>
      </c>
      <c r="P35" s="589"/>
      <c r="Q35" s="475"/>
    </row>
    <row r="36" s="459" customFormat="1" customHeight="1" spans="1:17">
      <c r="A36" s="502" t="s">
        <v>193</v>
      </c>
      <c r="B36" s="503" t="s">
        <v>167</v>
      </c>
      <c r="C36" s="614">
        <f ca="1">'风味糖-含税'!C36</f>
        <v>0</v>
      </c>
      <c r="D36" s="614">
        <f ca="1">'风味糖-含税'!D36</f>
        <v>0</v>
      </c>
      <c r="E36" s="611">
        <f ca="1">'风味糖-含税'!E36</f>
        <v>0</v>
      </c>
      <c r="F36" s="614">
        <f ca="1">'风味糖-含税'!F36</f>
        <v>0</v>
      </c>
      <c r="G36" s="611">
        <f ca="1">'风味糖-含税'!G36</f>
        <v>0</v>
      </c>
      <c r="I36" s="502" t="s">
        <v>193</v>
      </c>
      <c r="J36" s="503" t="s">
        <v>167</v>
      </c>
      <c r="K36" s="505">
        <f ca="1">'风味糖-含税'!K36</f>
        <v>0</v>
      </c>
      <c r="L36" s="505">
        <f ca="1">'风味糖-含税'!L36</f>
        <v>0</v>
      </c>
      <c r="M36" s="505">
        <f ca="1">'风味糖-含税'!M36</f>
        <v>0</v>
      </c>
      <c r="N36" s="505">
        <f ca="1">'风味糖-含税'!N36</f>
        <v>0</v>
      </c>
      <c r="O36" s="611">
        <f ca="1">'风味糖-含税'!O36</f>
        <v>0</v>
      </c>
      <c r="P36" s="589"/>
      <c r="Q36" s="475"/>
    </row>
    <row r="37" s="459" customFormat="1" customHeight="1" spans="1:17">
      <c r="A37" s="502" t="s">
        <v>194</v>
      </c>
      <c r="B37" s="503" t="s">
        <v>167</v>
      </c>
      <c r="C37" s="614">
        <f ca="1">'风味糖-含税'!C37</f>
        <v>0</v>
      </c>
      <c r="D37" s="614">
        <f ca="1">'风味糖-含税'!D37</f>
        <v>0</v>
      </c>
      <c r="E37" s="611">
        <f ca="1">'风味糖-含税'!E37</f>
        <v>0</v>
      </c>
      <c r="F37" s="614">
        <f ca="1">'风味糖-含税'!F37</f>
        <v>0</v>
      </c>
      <c r="G37" s="611">
        <f ca="1">'风味糖-含税'!G37</f>
        <v>0</v>
      </c>
      <c r="I37" s="502" t="s">
        <v>194</v>
      </c>
      <c r="J37" s="503" t="s">
        <v>167</v>
      </c>
      <c r="K37" s="505">
        <f ca="1">'风味糖-含税'!K37</f>
        <v>0</v>
      </c>
      <c r="L37" s="505">
        <f ca="1">'风味糖-含税'!L37</f>
        <v>0</v>
      </c>
      <c r="M37" s="505">
        <f ca="1">'风味糖-含税'!M37</f>
        <v>0</v>
      </c>
      <c r="N37" s="505">
        <f ca="1">'风味糖-含税'!N37</f>
        <v>0</v>
      </c>
      <c r="O37" s="611">
        <f ca="1">'风味糖-含税'!O37</f>
        <v>0</v>
      </c>
      <c r="P37" s="589"/>
      <c r="Q37" s="475"/>
    </row>
    <row r="38" s="459" customFormat="1" customHeight="1" spans="1:17">
      <c r="A38" s="502" t="s">
        <v>195</v>
      </c>
      <c r="B38" s="503" t="s">
        <v>167</v>
      </c>
      <c r="C38" s="614">
        <f ca="1">'风味糖-含税'!C38</f>
        <v>0</v>
      </c>
      <c r="D38" s="614">
        <f ca="1">'风味糖-含税'!D38</f>
        <v>0</v>
      </c>
      <c r="E38" s="611">
        <f ca="1">'风味糖-含税'!E38</f>
        <v>0</v>
      </c>
      <c r="F38" s="614">
        <f ca="1">'风味糖-含税'!F38</f>
        <v>0</v>
      </c>
      <c r="G38" s="611">
        <f ca="1">'风味糖-含税'!G38</f>
        <v>0</v>
      </c>
      <c r="I38" s="502" t="s">
        <v>195</v>
      </c>
      <c r="J38" s="503" t="s">
        <v>167</v>
      </c>
      <c r="K38" s="505">
        <f ca="1">'风味糖-含税'!K38</f>
        <v>0</v>
      </c>
      <c r="L38" s="505">
        <f ca="1">'风味糖-含税'!L38</f>
        <v>0</v>
      </c>
      <c r="M38" s="505">
        <f ca="1">'风味糖-含税'!M38</f>
        <v>0</v>
      </c>
      <c r="N38" s="505">
        <f ca="1">'风味糖-含税'!N38</f>
        <v>0</v>
      </c>
      <c r="O38" s="611">
        <f ca="1">'风味糖-含税'!O38</f>
        <v>0</v>
      </c>
      <c r="P38" s="589"/>
      <c r="Q38" s="475"/>
    </row>
    <row r="39" s="459" customFormat="1" customHeight="1" spans="1:17">
      <c r="A39" s="502" t="s">
        <v>196</v>
      </c>
      <c r="B39" s="503" t="s">
        <v>167</v>
      </c>
      <c r="C39" s="614">
        <f ca="1">'风味糖-含税'!C39</f>
        <v>0</v>
      </c>
      <c r="D39" s="614">
        <f ca="1">'风味糖-含税'!D39</f>
        <v>0</v>
      </c>
      <c r="E39" s="611">
        <f ca="1">'风味糖-含税'!E39</f>
        <v>0</v>
      </c>
      <c r="F39" s="614">
        <f ca="1">'风味糖-含税'!F39</f>
        <v>0</v>
      </c>
      <c r="G39" s="611">
        <f ca="1">'风味糖-含税'!G39</f>
        <v>0</v>
      </c>
      <c r="I39" s="502" t="s">
        <v>196</v>
      </c>
      <c r="J39" s="503" t="s">
        <v>167</v>
      </c>
      <c r="K39" s="505">
        <f ca="1">'风味糖-含税'!K39</f>
        <v>0</v>
      </c>
      <c r="L39" s="505">
        <f ca="1">'风味糖-含税'!L39</f>
        <v>0</v>
      </c>
      <c r="M39" s="505">
        <f ca="1">'风味糖-含税'!M39</f>
        <v>0</v>
      </c>
      <c r="N39" s="505">
        <f ca="1">'风味糖-含税'!N39</f>
        <v>0</v>
      </c>
      <c r="O39" s="611">
        <f ca="1">'风味糖-含税'!O39</f>
        <v>0</v>
      </c>
      <c r="P39" s="589"/>
      <c r="Q39" s="475"/>
    </row>
    <row r="40" s="459" customFormat="1" customHeight="1" spans="1:17">
      <c r="A40" s="502" t="s">
        <v>197</v>
      </c>
      <c r="B40" s="503" t="s">
        <v>167</v>
      </c>
      <c r="C40" s="614">
        <f ca="1">'风味糖-含税'!C40</f>
        <v>0</v>
      </c>
      <c r="D40" s="614">
        <f ca="1">'风味糖-含税'!D40</f>
        <v>0</v>
      </c>
      <c r="E40" s="611">
        <f ca="1">'风味糖-含税'!E40</f>
        <v>0</v>
      </c>
      <c r="F40" s="614">
        <f ca="1">'风味糖-含税'!F40</f>
        <v>0</v>
      </c>
      <c r="G40" s="611">
        <f ca="1">'风味糖-含税'!G40</f>
        <v>0</v>
      </c>
      <c r="I40" s="502" t="s">
        <v>197</v>
      </c>
      <c r="J40" s="503" t="s">
        <v>167</v>
      </c>
      <c r="K40" s="505">
        <f ca="1">'风味糖-含税'!K40</f>
        <v>0</v>
      </c>
      <c r="L40" s="505">
        <f ca="1">'风味糖-含税'!L40</f>
        <v>0</v>
      </c>
      <c r="M40" s="505">
        <f ca="1">'风味糖-含税'!M40</f>
        <v>0</v>
      </c>
      <c r="N40" s="505">
        <f ca="1">'风味糖-含税'!N40</f>
        <v>0</v>
      </c>
      <c r="O40" s="611">
        <f ca="1">'风味糖-含税'!O40</f>
        <v>0</v>
      </c>
      <c r="P40" s="589"/>
      <c r="Q40" s="475"/>
    </row>
    <row r="41" s="459" customFormat="1" customHeight="1" spans="1:17">
      <c r="A41" s="502" t="s">
        <v>198</v>
      </c>
      <c r="B41" s="503" t="s">
        <v>167</v>
      </c>
      <c r="C41" s="614">
        <f ca="1">'风味糖-含税'!C41</f>
        <v>0</v>
      </c>
      <c r="D41" s="614">
        <f ca="1">'风味糖-含税'!D41</f>
        <v>0</v>
      </c>
      <c r="E41" s="611">
        <f ca="1">'风味糖-含税'!E41</f>
        <v>0</v>
      </c>
      <c r="F41" s="614">
        <f ca="1">'风味糖-含税'!F41</f>
        <v>0</v>
      </c>
      <c r="G41" s="611">
        <f ca="1">'风味糖-含税'!G41</f>
        <v>0</v>
      </c>
      <c r="I41" s="502" t="s">
        <v>198</v>
      </c>
      <c r="J41" s="503" t="s">
        <v>167</v>
      </c>
      <c r="K41" s="505">
        <f ca="1">'风味糖-含税'!K41</f>
        <v>25.8161957708222</v>
      </c>
      <c r="L41" s="505">
        <f ca="1">'风味糖-含税'!L41</f>
        <v>0.0947182140012841</v>
      </c>
      <c r="M41" s="505">
        <f ca="1">'风味糖-含税'!M41</f>
        <v>2.44526395571978</v>
      </c>
      <c r="N41" s="505">
        <f ca="1">'风味糖-含税'!N41</f>
        <v>39.393</v>
      </c>
      <c r="O41" s="611">
        <f ca="1">'风味糖-含税'!O41</f>
        <v>1016.9774</v>
      </c>
      <c r="P41" s="589"/>
      <c r="Q41" s="475"/>
    </row>
    <row r="42" s="459" customFormat="1" customHeight="1" spans="1:17">
      <c r="A42" s="502" t="s">
        <v>199</v>
      </c>
      <c r="B42" s="503" t="s">
        <v>167</v>
      </c>
      <c r="C42" s="614">
        <f ca="1">'风味糖-含税'!C42</f>
        <v>0</v>
      </c>
      <c r="D42" s="614">
        <f ca="1">'风味糖-含税'!D42</f>
        <v>0</v>
      </c>
      <c r="E42" s="611">
        <f ca="1">'风味糖-含税'!E42</f>
        <v>0</v>
      </c>
      <c r="F42" s="614">
        <f ca="1">'风味糖-含税'!F42</f>
        <v>0</v>
      </c>
      <c r="G42" s="611">
        <f ca="1">'风味糖-含税'!G42</f>
        <v>0</v>
      </c>
      <c r="I42" s="502" t="s">
        <v>199</v>
      </c>
      <c r="J42" s="503" t="s">
        <v>167</v>
      </c>
      <c r="K42" s="505">
        <f ca="1">'风味糖-含税'!K42</f>
        <v>0</v>
      </c>
      <c r="L42" s="505">
        <f ca="1">'风味糖-含税'!L42</f>
        <v>0</v>
      </c>
      <c r="M42" s="505">
        <f ca="1">'风味糖-含税'!M42</f>
        <v>0</v>
      </c>
      <c r="N42" s="505">
        <f ca="1">'风味糖-含税'!N42</f>
        <v>0</v>
      </c>
      <c r="O42" s="611">
        <f ca="1">'风味糖-含税'!O42</f>
        <v>0</v>
      </c>
      <c r="P42" s="589"/>
      <c r="Q42" s="475"/>
    </row>
    <row r="43" s="459" customFormat="1" customHeight="1" spans="1:17">
      <c r="A43" s="502" t="s">
        <v>200</v>
      </c>
      <c r="B43" s="503" t="s">
        <v>167</v>
      </c>
      <c r="C43" s="614">
        <f ca="1">'风味糖-含税'!C43</f>
        <v>0</v>
      </c>
      <c r="D43" s="614">
        <f ca="1">'风味糖-含税'!D43</f>
        <v>0</v>
      </c>
      <c r="E43" s="611">
        <f ca="1">'风味糖-含税'!E43</f>
        <v>0</v>
      </c>
      <c r="F43" s="614">
        <f ca="1">'风味糖-含税'!F43</f>
        <v>0</v>
      </c>
      <c r="G43" s="611">
        <f ca="1">'风味糖-含税'!G43</f>
        <v>0</v>
      </c>
      <c r="I43" s="502" t="s">
        <v>200</v>
      </c>
      <c r="J43" s="503" t="s">
        <v>167</v>
      </c>
      <c r="K43" s="505">
        <f ca="1">'风味糖-含税'!K43</f>
        <v>10.9785485788114</v>
      </c>
      <c r="L43" s="505">
        <f ca="1">'风味糖-含税'!L43</f>
        <v>29.7766192519458</v>
      </c>
      <c r="M43" s="505">
        <f ca="1">'风味糖-含税'!M43</f>
        <v>326.904060970257</v>
      </c>
      <c r="N43" s="505">
        <f ca="1">'风味糖-含税'!N43</f>
        <v>12384</v>
      </c>
      <c r="O43" s="611">
        <f ca="1">'风味糖-含税'!O43</f>
        <v>135958.3456</v>
      </c>
      <c r="P43" s="589"/>
      <c r="Q43" s="475"/>
    </row>
    <row r="44" s="459" customFormat="1" customHeight="1" spans="1:17">
      <c r="A44" s="502" t="s">
        <v>201</v>
      </c>
      <c r="B44" s="503"/>
      <c r="C44" s="614">
        <f ca="1">'风味糖-含税'!C44</f>
        <v>0</v>
      </c>
      <c r="D44" s="614">
        <f ca="1">'风味糖-含税'!D44</f>
        <v>0</v>
      </c>
      <c r="E44" s="611">
        <f ca="1">'风味糖-含税'!E44</f>
        <v>0</v>
      </c>
      <c r="F44" s="614">
        <f ca="1">'风味糖-含税'!F44</f>
        <v>0</v>
      </c>
      <c r="G44" s="611">
        <f ca="1">'风味糖-含税'!G44</f>
        <v>0</v>
      </c>
      <c r="I44" s="502" t="s">
        <v>201</v>
      </c>
      <c r="J44" s="503"/>
      <c r="K44" s="505">
        <f ca="1">'风味糖-含税'!K44</f>
        <v>0</v>
      </c>
      <c r="L44" s="505">
        <f ca="1">'风味糖-含税'!L44</f>
        <v>0</v>
      </c>
      <c r="M44" s="505">
        <f ca="1">'风味糖-含税'!M44</f>
        <v>0</v>
      </c>
      <c r="N44" s="505">
        <f ca="1">'风味糖-含税'!N44</f>
        <v>0</v>
      </c>
      <c r="O44" s="611">
        <f ca="1">'风味糖-含税'!O44</f>
        <v>0</v>
      </c>
      <c r="P44" s="589"/>
      <c r="Q44" s="475"/>
    </row>
    <row r="45" s="459" customFormat="1" customHeight="1" spans="1:17">
      <c r="A45" s="502" t="s">
        <v>202</v>
      </c>
      <c r="B45" s="503"/>
      <c r="C45" s="614">
        <f ca="1">'风味糖-含税'!C45</f>
        <v>0</v>
      </c>
      <c r="D45" s="614">
        <f ca="1">'风味糖-含税'!D45</f>
        <v>0</v>
      </c>
      <c r="E45" s="611">
        <f ca="1">'风味糖-含税'!E45</f>
        <v>0</v>
      </c>
      <c r="F45" s="614">
        <f ca="1">'风味糖-含税'!F45</f>
        <v>0</v>
      </c>
      <c r="G45" s="611">
        <f ca="1">'风味糖-含税'!G45</f>
        <v>0</v>
      </c>
      <c r="I45" s="502" t="s">
        <v>202</v>
      </c>
      <c r="J45" s="503"/>
      <c r="K45" s="505">
        <f ca="1">'风味糖-含税'!K45</f>
        <v>140.000785</v>
      </c>
      <c r="L45" s="505">
        <f ca="1">'风味糖-含税'!L45</f>
        <v>0.0480888553810495</v>
      </c>
      <c r="M45" s="505">
        <f ca="1">'风味糖-含税'!M45</f>
        <v>6.7324775030984</v>
      </c>
      <c r="N45" s="505">
        <f ca="1">'风味糖-含税'!N45</f>
        <v>20</v>
      </c>
      <c r="O45" s="611">
        <f ca="1">'风味糖-含税'!O45</f>
        <v>2800.0157</v>
      </c>
      <c r="P45" s="589"/>
      <c r="Q45" s="475"/>
    </row>
    <row r="46" s="459" customFormat="1" customHeight="1" spans="1:17">
      <c r="A46" s="502" t="s">
        <v>203</v>
      </c>
      <c r="B46" s="503"/>
      <c r="C46" s="614">
        <f ca="1">'风味糖-含税'!C46</f>
        <v>0</v>
      </c>
      <c r="D46" s="614">
        <f ca="1">'风味糖-含税'!D46</f>
        <v>0</v>
      </c>
      <c r="E46" s="611">
        <f ca="1">'风味糖-含税'!E46</f>
        <v>0</v>
      </c>
      <c r="F46" s="614">
        <f ca="1">'风味糖-含税'!F46</f>
        <v>0</v>
      </c>
      <c r="G46" s="611">
        <f ca="1">'风味糖-含税'!G46</f>
        <v>0</v>
      </c>
      <c r="I46" s="502" t="s">
        <v>203</v>
      </c>
      <c r="J46" s="503"/>
      <c r="K46" s="505">
        <f ca="1">'风味糖-含税'!K46</f>
        <v>0</v>
      </c>
      <c r="L46" s="505">
        <f ca="1">'风味糖-含税'!L46</f>
        <v>0</v>
      </c>
      <c r="M46" s="505">
        <f ca="1">'风味糖-含税'!M46</f>
        <v>0</v>
      </c>
      <c r="N46" s="505">
        <f ca="1">'风味糖-含税'!N46</f>
        <v>0</v>
      </c>
      <c r="O46" s="611">
        <f ca="1">'风味糖-含税'!O46</f>
        <v>0</v>
      </c>
      <c r="P46" s="589"/>
      <c r="Q46" s="475"/>
    </row>
    <row r="47" s="459" customFormat="1" customHeight="1" spans="1:17">
      <c r="A47" s="502" t="s">
        <v>204</v>
      </c>
      <c r="B47" s="503"/>
      <c r="C47" s="614">
        <f ca="1">'风味糖-含税'!C47</f>
        <v>0</v>
      </c>
      <c r="D47" s="614">
        <f ca="1">'风味糖-含税'!D47</f>
        <v>0</v>
      </c>
      <c r="E47" s="611">
        <f ca="1">'风味糖-含税'!E47</f>
        <v>0</v>
      </c>
      <c r="F47" s="614">
        <f ca="1">'风味糖-含税'!F47</f>
        <v>0</v>
      </c>
      <c r="G47" s="611">
        <f ca="1">'风味糖-含税'!G47</f>
        <v>0</v>
      </c>
      <c r="I47" s="502" t="s">
        <v>204</v>
      </c>
      <c r="J47" s="503"/>
      <c r="K47" s="505">
        <f ca="1">'风味糖-含税'!K47</f>
        <v>117.419497505779</v>
      </c>
      <c r="L47" s="505">
        <f ca="1">'风味糖-含税'!L47</f>
        <v>0.0395242302376846</v>
      </c>
      <c r="M47" s="505">
        <f ca="1">'风味糖-含税'!M47</f>
        <v>4.64091525381165</v>
      </c>
      <c r="N47" s="505">
        <f ca="1">'风味糖-含税'!N47</f>
        <v>16.438</v>
      </c>
      <c r="O47" s="611">
        <f ca="1">'风味糖-含税'!O47</f>
        <v>1930.1417</v>
      </c>
      <c r="P47" s="589"/>
      <c r="Q47" s="475"/>
    </row>
    <row r="48" s="459" customFormat="1" customHeight="1" spans="1:17">
      <c r="A48" s="626" t="str">
        <f>'风味糖-含税'!A48</f>
        <v>其它香精_通用_液体香精_SHRS0120</v>
      </c>
      <c r="B48" s="503"/>
      <c r="C48" s="614">
        <f ca="1">'风味糖-含税'!C48</f>
        <v>0</v>
      </c>
      <c r="D48" s="614">
        <f ca="1">'风味糖-含税'!D48</f>
        <v>0</v>
      </c>
      <c r="E48" s="611">
        <f ca="1">'风味糖-含税'!E48</f>
        <v>0</v>
      </c>
      <c r="F48" s="614">
        <f ca="1">'风味糖-含税'!F48</f>
        <v>0</v>
      </c>
      <c r="G48" s="611">
        <f ca="1">'风味糖-含税'!G48</f>
        <v>0</v>
      </c>
      <c r="I48" s="502" t="str">
        <f>'风味糖-含税'!I48</f>
        <v>其它香精_通用_液体香精_SHRS0120</v>
      </c>
      <c r="J48" s="503"/>
      <c r="K48" s="505">
        <f ca="1">'风味糖-含税'!K48</f>
        <v>123.000023528067</v>
      </c>
      <c r="L48" s="505">
        <f ca="1">'风味糖-含税'!L48</f>
        <v>0.715362599320185</v>
      </c>
      <c r="M48" s="505">
        <f ca="1">'风味糖-含税'!M48</f>
        <v>87.9896165474822</v>
      </c>
      <c r="N48" s="505">
        <f ca="1">'风味糖-含税'!N48</f>
        <v>297.517</v>
      </c>
      <c r="O48" s="611">
        <f ca="1">'风味糖-含税'!O48</f>
        <v>36594.598</v>
      </c>
      <c r="P48" s="475"/>
      <c r="Q48" s="475"/>
    </row>
    <row r="49" s="459" customFormat="1" customHeight="1" spans="1:17">
      <c r="A49" s="626" t="str">
        <f>'风味糖-含税'!A49</f>
        <v>甘蔗香精_通用_通用</v>
      </c>
      <c r="B49" s="503"/>
      <c r="C49" s="614">
        <f ca="1">'风味糖-含税'!C49</f>
        <v>0</v>
      </c>
      <c r="D49" s="614">
        <f ca="1">'风味糖-含税'!D49</f>
        <v>0</v>
      </c>
      <c r="E49" s="611">
        <f ca="1">'风味糖-含税'!E49</f>
        <v>0</v>
      </c>
      <c r="F49" s="614">
        <f ca="1">'风味糖-含税'!F49</f>
        <v>0</v>
      </c>
      <c r="G49" s="611">
        <f ca="1">'风味糖-含税'!G49</f>
        <v>0</v>
      </c>
      <c r="I49" s="502" t="str">
        <f>'风味糖-含税'!I49</f>
        <v>甘蔗香精_通用_通用</v>
      </c>
      <c r="J49" s="503"/>
      <c r="K49" s="505">
        <f ca="1">'风味糖-含税'!K49</f>
        <v>0</v>
      </c>
      <c r="L49" s="505">
        <f ca="1">'风味糖-含税'!L49</f>
        <v>0</v>
      </c>
      <c r="M49" s="505">
        <f ca="1">'风味糖-含税'!M49</f>
        <v>0</v>
      </c>
      <c r="N49" s="505">
        <f ca="1">'风味糖-含税'!N49</f>
        <v>0</v>
      </c>
      <c r="O49" s="611">
        <f ca="1">'风味糖-含税'!O49</f>
        <v>0</v>
      </c>
      <c r="P49" s="475"/>
      <c r="Q49" s="475"/>
    </row>
    <row r="50" s="459" customFormat="1" customHeight="1" spans="1:17">
      <c r="A50" s="626" t="str">
        <f>'风味糖-含税'!A50</f>
        <v>炒板栗香精_通用_通用</v>
      </c>
      <c r="B50" s="503"/>
      <c r="C50" s="614">
        <f ca="1">'风味糖-含税'!C50</f>
        <v>0</v>
      </c>
      <c r="D50" s="614">
        <f ca="1">'风味糖-含税'!D50</f>
        <v>0</v>
      </c>
      <c r="E50" s="611">
        <f ca="1">'风味糖-含税'!E50</f>
        <v>0</v>
      </c>
      <c r="F50" s="614">
        <f ca="1">'风味糖-含税'!F50</f>
        <v>0</v>
      </c>
      <c r="G50" s="611">
        <f ca="1">'风味糖-含税'!G50</f>
        <v>0</v>
      </c>
      <c r="I50" s="502" t="str">
        <f>'风味糖-含税'!I50</f>
        <v>炒板栗香精_通用_通用</v>
      </c>
      <c r="J50" s="503"/>
      <c r="K50" s="505">
        <f ca="1">'风味糖-含税'!K50</f>
        <v>0</v>
      </c>
      <c r="L50" s="505">
        <f ca="1">'风味糖-含税'!L50</f>
        <v>0</v>
      </c>
      <c r="M50" s="505">
        <f ca="1">'风味糖-含税'!M50</f>
        <v>0</v>
      </c>
      <c r="N50" s="505">
        <f ca="1">'风味糖-含税'!N50</f>
        <v>0</v>
      </c>
      <c r="O50" s="611">
        <f ca="1">'风味糖-含税'!O50</f>
        <v>0</v>
      </c>
      <c r="P50" s="475"/>
      <c r="Q50" s="475"/>
    </row>
    <row r="51" s="459" customFormat="1" customHeight="1" spans="1:17">
      <c r="A51" s="626" t="str">
        <f>'风味糖-含税'!A51</f>
        <v>其它香精_通用_液体香精_SHRS0160</v>
      </c>
      <c r="B51" s="503"/>
      <c r="C51" s="614">
        <f ca="1">'风味糖-含税'!C51</f>
        <v>0</v>
      </c>
      <c r="D51" s="614">
        <f ca="1">'风味糖-含税'!D51</f>
        <v>0</v>
      </c>
      <c r="E51" s="611">
        <f ca="1">'风味糖-含税'!E51</f>
        <v>0</v>
      </c>
      <c r="F51" s="614">
        <f ca="1">'风味糖-含税'!F51</f>
        <v>0</v>
      </c>
      <c r="G51" s="611">
        <f ca="1">'风味糖-含税'!G51</f>
        <v>0</v>
      </c>
      <c r="I51" s="502" t="str">
        <f>'风味糖-含税'!I51</f>
        <v>其它香精_通用_液体香精_SHRS0160</v>
      </c>
      <c r="J51" s="503"/>
      <c r="K51" s="505">
        <f ca="1">'风味糖-含税'!K51</f>
        <v>179.280007370555</v>
      </c>
      <c r="L51" s="505">
        <f ca="1">'风味糖-含税'!L51</f>
        <v>0.0260978218152955</v>
      </c>
      <c r="M51" s="505">
        <f ca="1">'风味糖-含税'!M51</f>
        <v>4.67881768740161</v>
      </c>
      <c r="N51" s="505">
        <f ca="1">'风味糖-含税'!N51</f>
        <v>10.854</v>
      </c>
      <c r="O51" s="611">
        <f ca="1">'风味糖-含税'!O51</f>
        <v>1945.9052</v>
      </c>
      <c r="P51" s="475"/>
      <c r="Q51" s="475"/>
    </row>
    <row r="52" s="459" customFormat="1" customHeight="1" spans="1:17">
      <c r="A52" s="626" t="str">
        <f>'风味糖-含税'!A52</f>
        <v>其它香精_通用_液体香精_SHRS0240</v>
      </c>
      <c r="B52" s="503"/>
      <c r="C52" s="614">
        <f ca="1">'风味糖-含税'!C52</f>
        <v>0</v>
      </c>
      <c r="D52" s="614">
        <f ca="1">'风味糖-含税'!D52</f>
        <v>0</v>
      </c>
      <c r="E52" s="611">
        <f ca="1">'风味糖-含税'!E52</f>
        <v>0</v>
      </c>
      <c r="F52" s="614">
        <f ca="1">'风味糖-含税'!F52</f>
        <v>0</v>
      </c>
      <c r="G52" s="611">
        <f ca="1">'风味糖-含税'!G52</f>
        <v>0</v>
      </c>
      <c r="I52" s="502" t="str">
        <f>'风味糖-含税'!I52</f>
        <v>其它香精_通用_液体香精_SHRS0240</v>
      </c>
      <c r="J52" s="503"/>
      <c r="K52" s="505">
        <f ca="1">'风味糖-含税'!K52</f>
        <v>258.004692703603</v>
      </c>
      <c r="L52" s="505">
        <f ca="1">'风味糖-含税'!L52</f>
        <v>0.00794187446618032</v>
      </c>
      <c r="M52" s="505">
        <f ca="1">'风味糖-含税'!M52</f>
        <v>2.04904088113744</v>
      </c>
      <c r="N52" s="505">
        <f ca="1">'风味糖-含税'!N52</f>
        <v>3.303</v>
      </c>
      <c r="O52" s="611">
        <f ca="1">'风味糖-含税'!O52</f>
        <v>852.189500000001</v>
      </c>
      <c r="P52" s="475"/>
      <c r="Q52" s="475"/>
    </row>
    <row r="53" s="459" customFormat="1" customHeight="1" spans="1:17">
      <c r="A53" s="626" t="str">
        <f>'风味糖-含税'!A53</f>
        <v>其它香精_通用_液体香精_SHRS0220</v>
      </c>
      <c r="B53" s="503"/>
      <c r="C53" s="614">
        <f ca="1">'风味糖-含税'!C53</f>
        <v>0</v>
      </c>
      <c r="D53" s="614">
        <f ca="1">'风味糖-含税'!D53</f>
        <v>0</v>
      </c>
      <c r="E53" s="611">
        <f ca="1">'风味糖-含税'!E53</f>
        <v>0</v>
      </c>
      <c r="F53" s="614">
        <f ca="1">'风味糖-含税'!F53</f>
        <v>0</v>
      </c>
      <c r="G53" s="611">
        <f ca="1">'风味糖-含税'!G53</f>
        <v>0</v>
      </c>
      <c r="I53" s="502" t="str">
        <f>'风味糖-含税'!I53</f>
        <v>其它香精_通用_液体香精_SHRS0220</v>
      </c>
      <c r="J53" s="503"/>
      <c r="K53" s="505">
        <f ca="1">'风味糖-含税'!K53</f>
        <v>227.264797389589</v>
      </c>
      <c r="L53" s="505">
        <f ca="1">'风味糖-含税'!L53</f>
        <v>0.0316857468105735</v>
      </c>
      <c r="M53" s="505">
        <f ca="1">'风味糖-含税'!M53</f>
        <v>7.20105482904279</v>
      </c>
      <c r="N53" s="505">
        <f ca="1">'风味糖-含税'!N53</f>
        <v>13.178</v>
      </c>
      <c r="O53" s="611">
        <f ca="1">'风味糖-含税'!O53</f>
        <v>2994.8955</v>
      </c>
      <c r="P53" s="475"/>
      <c r="Q53" s="475"/>
    </row>
    <row r="54" s="459" customFormat="1" customHeight="1" spans="1:17">
      <c r="A54" s="626" t="str">
        <f>'风味糖-含税'!A54</f>
        <v>甘蔗多酚_通用</v>
      </c>
      <c r="B54" s="503"/>
      <c r="C54" s="614">
        <f ca="1">'风味糖-含税'!C54</f>
        <v>0</v>
      </c>
      <c r="D54" s="614">
        <f ca="1">'风味糖-含税'!D54</f>
        <v>0</v>
      </c>
      <c r="E54" s="611">
        <f ca="1">'风味糖-含税'!E54</f>
        <v>0</v>
      </c>
      <c r="F54" s="614">
        <f ca="1">'风味糖-含税'!F54</f>
        <v>0</v>
      </c>
      <c r="G54" s="611">
        <f ca="1">'风味糖-含税'!G54</f>
        <v>0</v>
      </c>
      <c r="I54" s="502" t="str">
        <f>'风味糖-含税'!I54</f>
        <v>甘蔗多酚_通用</v>
      </c>
      <c r="J54" s="503"/>
      <c r="K54" s="505">
        <f ca="1">'风味糖-含税'!K54</f>
        <v>0</v>
      </c>
      <c r="L54" s="505">
        <f ca="1">'风味糖-含税'!L54</f>
        <v>0</v>
      </c>
      <c r="M54" s="505">
        <f ca="1">'风味糖-含税'!M54</f>
        <v>0</v>
      </c>
      <c r="N54" s="505">
        <f ca="1">'风味糖-含税'!N54</f>
        <v>0</v>
      </c>
      <c r="O54" s="611">
        <f ca="1">'风味糖-含税'!O54</f>
        <v>0</v>
      </c>
      <c r="P54" s="475"/>
      <c r="Q54" s="475"/>
    </row>
    <row r="55" s="459" customFormat="1" customHeight="1" spans="1:17">
      <c r="A55" s="626" t="str">
        <f>'风味糖-含税'!A55</f>
        <v>其它香精_通用_液体香精_SHRS0200</v>
      </c>
      <c r="B55" s="503"/>
      <c r="C55" s="614">
        <f ca="1">'风味糖-含税'!C55</f>
        <v>0</v>
      </c>
      <c r="D55" s="614">
        <f ca="1">'风味糖-含税'!D55</f>
        <v>0</v>
      </c>
      <c r="E55" s="611">
        <f ca="1">'风味糖-含税'!E55</f>
        <v>0</v>
      </c>
      <c r="F55" s="614">
        <f ca="1">'风味糖-含税'!F55</f>
        <v>0</v>
      </c>
      <c r="G55" s="611">
        <f ca="1">'风味糖-含税'!G55</f>
        <v>0</v>
      </c>
      <c r="I55" s="502" t="str">
        <f>'风味糖-含税'!I55</f>
        <v>其它香精_通用_液体香精_SHRS0200</v>
      </c>
      <c r="J55" s="503"/>
      <c r="K55" s="505">
        <f ca="1">'风味糖-含税'!K55</f>
        <v>217.000242816674</v>
      </c>
      <c r="L55" s="505">
        <f ca="1">'风味糖-含税'!L55</f>
        <v>0.0118827561646573</v>
      </c>
      <c r="M55" s="505">
        <f ca="1">'风味糖-含税'!M55</f>
        <v>2.57856097306196</v>
      </c>
      <c r="N55" s="505">
        <f ca="1">'风味糖-含税'!N55</f>
        <v>4.942</v>
      </c>
      <c r="O55" s="611">
        <f ca="1">'风味糖-含税'!O55</f>
        <v>1072.4152</v>
      </c>
      <c r="P55" s="475"/>
      <c r="Q55" s="475"/>
    </row>
    <row r="56" s="459" customFormat="1" customHeight="1" spans="1:17">
      <c r="A56" s="626" t="str">
        <f>'风味糖-含税'!A56</f>
        <v>无水柠檬酸_细目</v>
      </c>
      <c r="B56" s="503"/>
      <c r="C56" s="614">
        <f ca="1">'风味糖-含税'!C56</f>
        <v>0</v>
      </c>
      <c r="D56" s="614">
        <f ca="1">'风味糖-含税'!D56</f>
        <v>0</v>
      </c>
      <c r="E56" s="611">
        <f ca="1">'风味糖-含税'!E56</f>
        <v>0</v>
      </c>
      <c r="F56" s="614">
        <f ca="1">'风味糖-含税'!F56</f>
        <v>0</v>
      </c>
      <c r="G56" s="611">
        <f ca="1">'风味糖-含税'!G56</f>
        <v>0</v>
      </c>
      <c r="I56" s="502" t="str">
        <f>'风味糖-含税'!I56</f>
        <v>无水柠檬酸_细目</v>
      </c>
      <c r="J56" s="503"/>
      <c r="K56" s="505">
        <f ca="1">'风味糖-含税'!K56</f>
        <v>6149.98153846154</v>
      </c>
      <c r="L56" s="505">
        <f ca="1">'风味糖-含税'!L56</f>
        <v>0.000937732679930465</v>
      </c>
      <c r="M56" s="505">
        <f ca="1">'风味糖-含税'!M56</f>
        <v>5.76703866958442</v>
      </c>
      <c r="N56" s="505">
        <f ca="1">'风味糖-含税'!N56</f>
        <v>0.39</v>
      </c>
      <c r="O56" s="611">
        <f ca="1">'风味糖-含税'!O56</f>
        <v>2398.4928</v>
      </c>
      <c r="P56" s="475"/>
      <c r="Q56" s="475"/>
    </row>
    <row r="57" s="459" customFormat="1" customHeight="1" spans="1:17">
      <c r="A57" s="508" t="s">
        <v>208</v>
      </c>
      <c r="B57" s="490"/>
      <c r="C57" s="501"/>
      <c r="D57" s="492"/>
      <c r="E57" s="607">
        <f ca="1">SUM(E58:E62)</f>
        <v>0</v>
      </c>
      <c r="F57" s="491"/>
      <c r="G57" s="607" t="e">
        <f ca="1">SUM(G58:G62)</f>
        <v>#DIV/0!</v>
      </c>
      <c r="I57" s="508" t="s">
        <v>208</v>
      </c>
      <c r="J57" s="490"/>
      <c r="K57" s="501"/>
      <c r="L57" s="492"/>
      <c r="M57" s="491" t="e">
        <f ca="1">SUM(M58:M62)</f>
        <v>#DIV/0!</v>
      </c>
      <c r="N57" s="491"/>
      <c r="O57" s="607" t="e">
        <f ca="1">SUM(O58:O62)</f>
        <v>#DIV/0!</v>
      </c>
      <c r="P57" s="475"/>
      <c r="Q57" s="475"/>
    </row>
    <row r="58" s="459" customFormat="1" customHeight="1" spans="1:17">
      <c r="A58" s="502" t="s">
        <v>95</v>
      </c>
      <c r="B58" s="503" t="s">
        <v>75</v>
      </c>
      <c r="C58" s="566">
        <f ca="1">'风味糖-含税'!C59</f>
        <v>0</v>
      </c>
      <c r="D58" s="566">
        <f ca="1">'风味糖-含税'!D59</f>
        <v>0</v>
      </c>
      <c r="E58" s="610">
        <f ca="1">'风味糖-含税'!E59</f>
        <v>0</v>
      </c>
      <c r="F58" s="480" t="e">
        <f ca="1">'风味糖-含税'!F59</f>
        <v>#DIV/0!</v>
      </c>
      <c r="G58" s="610">
        <f ca="1">'风味糖-含税'!G59</f>
        <v>0</v>
      </c>
      <c r="I58" s="502" t="s">
        <v>95</v>
      </c>
      <c r="J58" s="503" t="s">
        <v>75</v>
      </c>
      <c r="K58" s="567">
        <f ca="1">'风味糖-含税'!K59</f>
        <v>408.530937837231</v>
      </c>
      <c r="L58" s="567" t="e">
        <f ca="1">'风味糖-含税'!L59</f>
        <v>#DIV/0!</v>
      </c>
      <c r="M58" s="617" t="e">
        <f ca="1">'风味糖-含税'!M59</f>
        <v>#DIV/0!</v>
      </c>
      <c r="N58" s="617" t="e">
        <f ca="1">'风味糖-含税'!N59</f>
        <v>#DIV/0!</v>
      </c>
      <c r="O58" s="616" t="e">
        <f ca="1">'风味糖-含税'!O59</f>
        <v>#DIV/0!</v>
      </c>
      <c r="P58" s="475"/>
      <c r="Q58" s="475"/>
    </row>
    <row r="59" s="459" customFormat="1" customHeight="1" spans="1:17">
      <c r="A59" s="502" t="s">
        <v>96</v>
      </c>
      <c r="B59" s="503" t="s">
        <v>97</v>
      </c>
      <c r="C59" s="566">
        <f ca="1">'风味糖-含税'!C60</f>
        <v>0</v>
      </c>
      <c r="D59" s="566">
        <f ca="1">'风味糖-含税'!D60</f>
        <v>0</v>
      </c>
      <c r="E59" s="610">
        <f ca="1">'风味糖-含税'!E60</f>
        <v>0</v>
      </c>
      <c r="F59" s="480" t="e">
        <f ca="1">'风味糖-含税'!F60</f>
        <v>#DIV/0!</v>
      </c>
      <c r="G59" s="610">
        <f ca="1">'风味糖-含税'!G60</f>
        <v>0</v>
      </c>
      <c r="I59" s="502" t="s">
        <v>96</v>
      </c>
      <c r="J59" s="503" t="s">
        <v>97</v>
      </c>
      <c r="K59" s="567">
        <f ca="1">'风味糖-含税'!K60</f>
        <v>0.769119583630169</v>
      </c>
      <c r="L59" s="567" t="e">
        <f ca="1">'风味糖-含税'!L60</f>
        <v>#DIV/0!</v>
      </c>
      <c r="M59" s="617" t="e">
        <f ca="1">'风味糖-含税'!M60</f>
        <v>#DIV/0!</v>
      </c>
      <c r="N59" s="617" t="e">
        <f ca="1">'风味糖-含税'!N60</f>
        <v>#DIV/0!</v>
      </c>
      <c r="O59" s="616" t="e">
        <f ca="1">'风味糖-含税'!O60</f>
        <v>#DIV/0!</v>
      </c>
      <c r="P59" s="475"/>
      <c r="Q59" s="475"/>
    </row>
    <row r="60" s="459" customFormat="1" customHeight="1" spans="1:17">
      <c r="A60" s="502" t="s">
        <v>98</v>
      </c>
      <c r="B60" s="503" t="s">
        <v>75</v>
      </c>
      <c r="C60" s="566">
        <f>'风味糖-含税'!C61</f>
        <v>5.993</v>
      </c>
      <c r="D60" s="566">
        <f ca="1">'风味糖-含税'!D61</f>
        <v>0</v>
      </c>
      <c r="E60" s="610">
        <f ca="1">'风味糖-含税'!E61</f>
        <v>0</v>
      </c>
      <c r="F60" s="480" t="e">
        <f ca="1">'风味糖-含税'!F61</f>
        <v>#DIV/0!</v>
      </c>
      <c r="G60" s="610">
        <f ca="1">'风味糖-含税'!G61</f>
        <v>0</v>
      </c>
      <c r="I60" s="502" t="s">
        <v>98</v>
      </c>
      <c r="J60" s="503" t="s">
        <v>75</v>
      </c>
      <c r="K60" s="567">
        <f>'风味糖-含税'!K61</f>
        <v>5.993</v>
      </c>
      <c r="L60" s="567" t="e">
        <f ca="1">'风味糖-含税'!L61</f>
        <v>#DIV/0!</v>
      </c>
      <c r="M60" s="617" t="e">
        <f ca="1">'风味糖-含税'!M61</f>
        <v>#DIV/0!</v>
      </c>
      <c r="N60" s="617" t="e">
        <f ca="1">'风味糖-含税'!N61</f>
        <v>#DIV/0!</v>
      </c>
      <c r="O60" s="616" t="e">
        <f ca="1">'风味糖-含税'!O61</f>
        <v>#DIV/0!</v>
      </c>
      <c r="P60" s="475"/>
      <c r="Q60" s="475"/>
    </row>
    <row r="61" s="459" customFormat="1" customHeight="1" spans="1:17">
      <c r="A61" s="502" t="s">
        <v>99</v>
      </c>
      <c r="B61" s="503" t="s">
        <v>100</v>
      </c>
      <c r="C61" s="505"/>
      <c r="D61" s="497"/>
      <c r="E61" s="610"/>
      <c r="F61" s="507"/>
      <c r="G61" s="610"/>
      <c r="I61" s="502" t="s">
        <v>99</v>
      </c>
      <c r="J61" s="503" t="s">
        <v>100</v>
      </c>
      <c r="K61" s="480"/>
      <c r="L61" s="505"/>
      <c r="M61" s="480"/>
      <c r="N61" s="507"/>
      <c r="O61" s="610"/>
      <c r="P61" s="475"/>
      <c r="Q61" s="475"/>
    </row>
    <row r="62" s="459" customFormat="1" customHeight="1" spans="1:17">
      <c r="A62" s="516" t="s">
        <v>209</v>
      </c>
      <c r="B62" s="503"/>
      <c r="C62" s="505"/>
      <c r="D62" s="497"/>
      <c r="E62" s="611">
        <f ca="1">'风味糖-含税'!E63</f>
        <v>0</v>
      </c>
      <c r="F62" s="507"/>
      <c r="G62" s="611" t="e">
        <f ca="1">'风味糖-含税'!G63</f>
        <v>#DIV/0!</v>
      </c>
      <c r="I62" s="516" t="s">
        <v>209</v>
      </c>
      <c r="J62" s="503"/>
      <c r="K62" s="505"/>
      <c r="L62" s="497"/>
      <c r="M62" s="507" t="e">
        <f ca="1">'风味糖-含税'!M63</f>
        <v>#DIV/0!</v>
      </c>
      <c r="N62" s="507"/>
      <c r="O62" s="611" t="e">
        <f ca="1">'风味糖-含税'!O63</f>
        <v>#DIV/0!</v>
      </c>
      <c r="P62" s="475"/>
      <c r="Q62" s="475"/>
    </row>
    <row r="63" s="459" customFormat="1" customHeight="1" spans="1:17">
      <c r="A63" s="508" t="s">
        <v>210</v>
      </c>
      <c r="B63" s="490"/>
      <c r="C63" s="501"/>
      <c r="D63" s="492"/>
      <c r="E63" s="607">
        <f ca="1">IF(VALUE(F$3)=0,0,G63/F$3)</f>
        <v>0</v>
      </c>
      <c r="F63" s="491"/>
      <c r="G63" s="607" t="e">
        <f ca="1">SUM(G5,-G11,-G20,-G57)-SUM(风味糖!G5,-风味糖!G11,-风味糖!G20,-风味糖!G58,-风味糖!G63)</f>
        <v>#DIV/0!</v>
      </c>
      <c r="I63" s="508" t="s">
        <v>210</v>
      </c>
      <c r="J63" s="490"/>
      <c r="K63" s="501"/>
      <c r="L63" s="492"/>
      <c r="M63" s="491" t="e">
        <f ca="1">'风味糖-含税'!M66</f>
        <v>#DIV/0!</v>
      </c>
      <c r="N63" s="491"/>
      <c r="O63" s="607" t="e">
        <f ca="1">'风味糖-含税'!O66</f>
        <v>#DIV/0!</v>
      </c>
      <c r="P63" s="475"/>
    </row>
    <row r="64" s="459" customFormat="1" ht="14.25" customHeight="1" spans="1:17">
      <c r="A64" s="508" t="s">
        <v>211</v>
      </c>
      <c r="B64" s="508"/>
      <c r="C64" s="508"/>
      <c r="D64" s="508"/>
      <c r="E64" s="607">
        <f ca="1">'风味糖-含税'!E76</f>
        <v>0</v>
      </c>
      <c r="F64" s="542"/>
      <c r="G64" s="607" t="e">
        <f ca="1">'风味糖-含税'!G76</f>
        <v>#DIV/0!</v>
      </c>
      <c r="I64" s="508" t="s">
        <v>211</v>
      </c>
      <c r="J64" s="508"/>
      <c r="K64" s="508"/>
      <c r="L64" s="508"/>
      <c r="M64" s="542" t="e">
        <f ca="1">'风味糖-含税'!M76</f>
        <v>#DIV/0!</v>
      </c>
      <c r="N64" s="542"/>
      <c r="O64" s="607" t="e">
        <f ca="1">'风味糖-含税'!O76</f>
        <v>#DIV/0!</v>
      </c>
      <c r="Q64" s="511"/>
    </row>
    <row r="65" s="459" customFormat="1" ht="14.25" customHeight="1" spans="1:18">
      <c r="A65" s="508" t="s">
        <v>212</v>
      </c>
      <c r="B65" s="508"/>
      <c r="C65" s="508"/>
      <c r="D65" s="508"/>
      <c r="E65" s="607">
        <f ca="1">'风味糖-含税'!E87</f>
        <v>0</v>
      </c>
      <c r="F65" s="542"/>
      <c r="G65" s="607" t="e">
        <f ca="1">'风味糖-含税'!G87</f>
        <v>#DIV/0!</v>
      </c>
      <c r="I65" s="508" t="s">
        <v>212</v>
      </c>
      <c r="J65" s="508"/>
      <c r="K65" s="508"/>
      <c r="L65" s="508"/>
      <c r="M65" s="542" t="e">
        <f ca="1">O65/N3</f>
        <v>#DIV/0!</v>
      </c>
      <c r="N65" s="542"/>
      <c r="O65" s="607" t="e">
        <f ca="1">'风味糖-含税'!O87</f>
        <v>#DIV/0!</v>
      </c>
    </row>
    <row r="66" s="459" customFormat="1" customHeight="1" spans="1:18">
      <c r="A66" s="569" t="s">
        <v>105</v>
      </c>
      <c r="B66" s="472"/>
      <c r="C66" s="570"/>
      <c r="D66" s="571"/>
      <c r="E66" s="620" t="e">
        <f ca="1">E5-E10</f>
        <v>#DIV/0!</v>
      </c>
      <c r="F66" s="572"/>
      <c r="G66" s="620" t="e">
        <f ca="1">G5-G10</f>
        <v>#DIV/0!</v>
      </c>
      <c r="H66" s="593"/>
      <c r="I66" s="569" t="s">
        <v>105</v>
      </c>
      <c r="J66" s="472"/>
      <c r="K66" s="570"/>
      <c r="L66" s="571"/>
      <c r="M66" s="574" t="e">
        <f ca="1">M5-M10</f>
        <v>#DIV/0!</v>
      </c>
      <c r="N66" s="572"/>
      <c r="O66" s="620" t="e">
        <f ca="1">O5-O10</f>
        <v>#DIV/0!</v>
      </c>
      <c r="P66" s="475"/>
      <c r="Q66" s="511"/>
    </row>
    <row r="67" s="459" customFormat="1" customHeight="1" spans="1:18">
      <c r="A67" s="513" t="s">
        <v>106</v>
      </c>
      <c r="B67" s="485"/>
      <c r="C67" s="514"/>
      <c r="D67" s="515"/>
      <c r="E67" s="613">
        <f ca="1">SUM(E68:E74)</f>
        <v>0</v>
      </c>
      <c r="F67" s="488"/>
      <c r="G67" s="613" t="e">
        <f ca="1">SUM(G68:G74)</f>
        <v>#DIV/0!</v>
      </c>
      <c r="I67" s="513" t="s">
        <v>106</v>
      </c>
      <c r="J67" s="485"/>
      <c r="K67" s="514"/>
      <c r="L67" s="515"/>
      <c r="M67" s="487" t="e">
        <f ca="1">IF(N$3=0,0,O67/N$3)</f>
        <v>#DIV/0!</v>
      </c>
      <c r="N67" s="488"/>
      <c r="O67" s="613" t="e">
        <f ca="1">SUM(O68:O74)</f>
        <v>#DIV/0!</v>
      </c>
      <c r="P67" s="475"/>
    </row>
    <row r="68" s="459" customFormat="1" customHeight="1" spans="1:18">
      <c r="A68" s="516" t="s">
        <v>107</v>
      </c>
      <c r="B68" s="503"/>
      <c r="C68" s="505"/>
      <c r="D68" s="497"/>
      <c r="E68" s="610">
        <f ca="1">'风味糖-含税'!E69</f>
        <v>0</v>
      </c>
      <c r="F68" s="507"/>
      <c r="G68" s="610" t="e">
        <f ca="1">'风味糖-含税'!G69</f>
        <v>#DIV/0!</v>
      </c>
      <c r="H68" s="483"/>
      <c r="I68" s="516" t="s">
        <v>107</v>
      </c>
      <c r="J68" s="503"/>
      <c r="K68" s="505"/>
      <c r="L68" s="497"/>
      <c r="M68" s="480" t="e">
        <f ca="1">'风味糖-含税'!M69</f>
        <v>#DIV/0!</v>
      </c>
      <c r="N68" s="507"/>
      <c r="O68" s="610" t="e">
        <f ca="1">'风味糖-含税'!O69</f>
        <v>#DIV/0!</v>
      </c>
      <c r="P68" s="475"/>
    </row>
    <row r="69" s="459" customFormat="1" customHeight="1" spans="1:18">
      <c r="A69" s="516" t="s">
        <v>108</v>
      </c>
      <c r="B69" s="503"/>
      <c r="C69" s="505"/>
      <c r="D69" s="497"/>
      <c r="E69" s="610">
        <f ca="1">'风味糖-含税'!E70</f>
        <v>0</v>
      </c>
      <c r="F69" s="507"/>
      <c r="G69" s="610" t="e">
        <f ca="1">'风味糖-含税'!G70</f>
        <v>#DIV/0!</v>
      </c>
      <c r="H69" s="483"/>
      <c r="I69" s="516" t="s">
        <v>108</v>
      </c>
      <c r="J69" s="503"/>
      <c r="K69" s="505"/>
      <c r="L69" s="497"/>
      <c r="M69" s="480" t="e">
        <f ca="1">'风味糖-含税'!M70</f>
        <v>#DIV/0!</v>
      </c>
      <c r="N69" s="507"/>
      <c r="O69" s="610" t="e">
        <f ca="1">'风味糖-含税'!O70</f>
        <v>#DIV/0!</v>
      </c>
      <c r="P69" s="475"/>
      <c r="R69" s="511"/>
    </row>
    <row r="70" s="459" customFormat="1" customHeight="1" spans="1:18">
      <c r="A70" s="516" t="s">
        <v>109</v>
      </c>
      <c r="B70" s="503"/>
      <c r="C70" s="498"/>
      <c r="D70" s="518"/>
      <c r="E70" s="610">
        <f ca="1">'风味糖-含税'!E71</f>
        <v>0</v>
      </c>
      <c r="F70" s="507"/>
      <c r="G70" s="610" t="e">
        <f ca="1">'风味糖-含税'!G71</f>
        <v>#DIV/0!</v>
      </c>
      <c r="H70" s="483"/>
      <c r="I70" s="516" t="s">
        <v>109</v>
      </c>
      <c r="J70" s="503"/>
      <c r="K70" s="498"/>
      <c r="L70" s="518"/>
      <c r="M70" s="480" t="e">
        <f ca="1">'风味糖-含税'!M71</f>
        <v>#DIV/0!</v>
      </c>
      <c r="N70" s="507"/>
      <c r="O70" s="610" t="e">
        <f ca="1">'风味糖-含税'!O71</f>
        <v>#DIV/0!</v>
      </c>
      <c r="P70" s="475"/>
    </row>
    <row r="71" s="459" customFormat="1" customHeight="1" spans="1:18">
      <c r="A71" s="516" t="s">
        <v>110</v>
      </c>
      <c r="B71" s="503"/>
      <c r="C71" s="498"/>
      <c r="D71" s="518"/>
      <c r="E71" s="610">
        <f ca="1">'风味糖-含税'!E72</f>
        <v>0</v>
      </c>
      <c r="F71" s="507"/>
      <c r="G71" s="610" t="e">
        <f ca="1">'风味糖-含税'!G72</f>
        <v>#DIV/0!</v>
      </c>
      <c r="H71" s="483"/>
      <c r="I71" s="516" t="s">
        <v>110</v>
      </c>
      <c r="J71" s="503"/>
      <c r="K71" s="498"/>
      <c r="L71" s="518"/>
      <c r="M71" s="480" t="e">
        <f ca="1">'风味糖-含税'!M72</f>
        <v>#DIV/0!</v>
      </c>
      <c r="N71" s="507"/>
      <c r="O71" s="610" t="e">
        <f ca="1">'风味糖-含税'!O72</f>
        <v>#DIV/0!</v>
      </c>
      <c r="P71" s="475"/>
    </row>
    <row r="72" s="459" customFormat="1" customHeight="1" spans="1:18">
      <c r="A72" s="516" t="s">
        <v>111</v>
      </c>
      <c r="B72" s="503"/>
      <c r="C72" s="498"/>
      <c r="D72" s="518"/>
      <c r="E72" s="575">
        <f ca="1">'风味糖-含税'!E73</f>
        <v>0</v>
      </c>
      <c r="F72" s="575"/>
      <c r="G72" s="575" t="e">
        <f ca="1">'风味糖-含税'!G73</f>
        <v>#DIV/0!</v>
      </c>
      <c r="H72" s="483"/>
      <c r="I72" s="516" t="s">
        <v>111</v>
      </c>
      <c r="J72" s="503"/>
      <c r="K72" s="498"/>
      <c r="L72" s="518"/>
      <c r="M72" s="480" t="e">
        <f ca="1">'风味糖-含税'!M73</f>
        <v>#DIV/0!</v>
      </c>
      <c r="N72" s="507"/>
      <c r="O72" s="610" t="e">
        <f ca="1">'风味糖-含税'!O73</f>
        <v>#DIV/0!</v>
      </c>
      <c r="P72" s="475"/>
    </row>
    <row r="73" s="459" customFormat="1" customHeight="1" spans="1:18">
      <c r="A73" s="516" t="s">
        <v>112</v>
      </c>
      <c r="B73" s="503"/>
      <c r="C73" s="498"/>
      <c r="D73" s="518"/>
      <c r="E73" s="610">
        <f ca="1">'风味糖-含税'!E74</f>
        <v>0</v>
      </c>
      <c r="F73" s="507"/>
      <c r="G73" s="610" t="e">
        <f ca="1">'风味糖-含税'!G74</f>
        <v>#DIV/0!</v>
      </c>
      <c r="H73" s="483"/>
      <c r="I73" s="516" t="s">
        <v>112</v>
      </c>
      <c r="J73" s="503"/>
      <c r="K73" s="498"/>
      <c r="L73" s="518"/>
      <c r="M73" s="480" t="e">
        <f ca="1">'风味糖-含税'!M74</f>
        <v>#DIV/0!</v>
      </c>
      <c r="N73" s="507"/>
      <c r="O73" s="610" t="e">
        <f ca="1">'风味糖-含税'!O74</f>
        <v>#DIV/0!</v>
      </c>
      <c r="P73" s="475"/>
    </row>
    <row r="74" s="459" customFormat="1" hidden="1" customHeight="1" spans="1:18">
      <c r="A74" s="516" t="s">
        <v>113</v>
      </c>
      <c r="B74" s="503"/>
      <c r="C74" s="498"/>
      <c r="D74" s="518"/>
      <c r="E74" s="576"/>
      <c r="F74" s="507"/>
      <c r="G74" s="576"/>
      <c r="I74" s="516" t="s">
        <v>114</v>
      </c>
      <c r="J74" s="503"/>
      <c r="K74" s="498"/>
      <c r="L74" s="518"/>
      <c r="M74" s="576"/>
      <c r="N74" s="507"/>
      <c r="O74" s="576"/>
      <c r="P74" s="475"/>
    </row>
    <row r="75" s="459" customFormat="1" ht="14.25" hidden="1" customHeight="1" spans="1:18">
      <c r="A75" s="516" t="s">
        <v>116</v>
      </c>
      <c r="B75" s="503"/>
      <c r="C75" s="498"/>
      <c r="D75" s="518"/>
      <c r="E75" s="576"/>
      <c r="F75" s="517"/>
      <c r="G75" s="575"/>
      <c r="I75" s="516" t="s">
        <v>116</v>
      </c>
      <c r="J75" s="503"/>
      <c r="K75" s="498"/>
      <c r="L75" s="518"/>
      <c r="M75" s="576"/>
      <c r="N75" s="517"/>
      <c r="O75" s="576"/>
    </row>
    <row r="76" s="459" customFormat="1" ht="14.25" hidden="1" customHeight="1" spans="1:18">
      <c r="A76" s="516" t="s">
        <v>117</v>
      </c>
      <c r="B76" s="503"/>
      <c r="C76" s="498"/>
      <c r="D76" s="518"/>
      <c r="E76" s="576"/>
      <c r="F76" s="517"/>
      <c r="G76" s="575"/>
      <c r="I76" s="516" t="s">
        <v>117</v>
      </c>
      <c r="J76" s="503"/>
      <c r="K76" s="498"/>
      <c r="L76" s="518"/>
      <c r="M76" s="576"/>
      <c r="N76" s="517"/>
      <c r="O76" s="576"/>
    </row>
    <row r="77" s="459" customFormat="1" ht="14.25" hidden="1" customHeight="1" spans="1:18">
      <c r="A77" s="516" t="s">
        <v>118</v>
      </c>
      <c r="B77" s="503"/>
      <c r="C77" s="498"/>
      <c r="D77" s="518"/>
      <c r="E77" s="576"/>
      <c r="F77" s="517"/>
      <c r="G77" s="575"/>
      <c r="I77" s="516" t="s">
        <v>118</v>
      </c>
      <c r="J77" s="503"/>
      <c r="K77" s="498"/>
      <c r="L77" s="518"/>
      <c r="M77" s="576"/>
      <c r="N77" s="517"/>
      <c r="O77" s="576"/>
    </row>
    <row r="78" s="459" customFormat="1" ht="14.25" hidden="1" customHeight="1" spans="1:18">
      <c r="A78" s="516" t="s">
        <v>119</v>
      </c>
      <c r="B78" s="503"/>
      <c r="C78" s="498"/>
      <c r="D78" s="518"/>
      <c r="E78" s="576"/>
      <c r="F78" s="517"/>
      <c r="G78" s="575"/>
      <c r="I78" s="516" t="s">
        <v>119</v>
      </c>
      <c r="J78" s="503"/>
      <c r="K78" s="498"/>
      <c r="L78" s="518"/>
      <c r="M78" s="576"/>
      <c r="N78" s="517"/>
      <c r="O78" s="576"/>
    </row>
    <row r="79" s="459" customFormat="1" ht="14.25" hidden="1" customHeight="1" spans="1:18">
      <c r="A79" s="516" t="s">
        <v>120</v>
      </c>
      <c r="B79" s="503"/>
      <c r="C79" s="498"/>
      <c r="D79" s="518"/>
      <c r="E79" s="576"/>
      <c r="F79" s="517"/>
      <c r="G79" s="575"/>
      <c r="I79" s="516" t="s">
        <v>120</v>
      </c>
      <c r="J79" s="503"/>
      <c r="K79" s="498"/>
      <c r="L79" s="518"/>
      <c r="M79" s="576"/>
      <c r="N79" s="517"/>
      <c r="O79" s="576"/>
    </row>
    <row r="80" s="459" customFormat="1" ht="12" hidden="1" spans="1:18">
      <c r="A80" s="516" t="s">
        <v>121</v>
      </c>
      <c r="B80" s="503"/>
      <c r="C80" s="498"/>
      <c r="D80" s="518"/>
      <c r="E80" s="576"/>
      <c r="F80" s="517"/>
      <c r="G80" s="575"/>
      <c r="I80" s="516" t="s">
        <v>121</v>
      </c>
      <c r="J80" s="503"/>
      <c r="K80" s="498"/>
      <c r="L80" s="518"/>
      <c r="M80" s="576"/>
      <c r="N80" s="517"/>
      <c r="O80" s="576"/>
    </row>
    <row r="81" s="459" customFormat="1" ht="17.25" customHeight="1" spans="1:16">
      <c r="A81" s="577" t="s">
        <v>122</v>
      </c>
      <c r="B81" s="485" t="s">
        <v>123</v>
      </c>
      <c r="C81" s="514"/>
      <c r="D81" s="515"/>
      <c r="E81" s="621" t="e">
        <f ca="1">E67+E10</f>
        <v>#DIV/0!</v>
      </c>
      <c r="F81" s="579"/>
      <c r="G81" s="621" t="e">
        <f ca="1">G67+G10</f>
        <v>#DIV/0!</v>
      </c>
      <c r="H81" s="483"/>
      <c r="I81" s="577" t="s">
        <v>122</v>
      </c>
      <c r="J81" s="485" t="s">
        <v>123</v>
      </c>
      <c r="K81" s="514"/>
      <c r="L81" s="515"/>
      <c r="M81" s="578" t="e">
        <f ca="1">M67+M10</f>
        <v>#DIV/0!</v>
      </c>
      <c r="N81" s="579"/>
      <c r="O81" s="621" t="e">
        <f ca="1">O67+O10</f>
        <v>#DIV/0!</v>
      </c>
      <c r="P81" s="475"/>
    </row>
    <row r="82" s="460" customFormat="1" customHeight="1" spans="1:16">
      <c r="A82" s="580" t="s">
        <v>124</v>
      </c>
      <c r="B82" s="485" t="s">
        <v>123</v>
      </c>
      <c r="C82" s="514"/>
      <c r="D82" s="515"/>
      <c r="E82" s="621" t="e">
        <f ca="1">E66-E67</f>
        <v>#DIV/0!</v>
      </c>
      <c r="F82" s="581"/>
      <c r="G82" s="621" t="e">
        <f ca="1">G66-G67</f>
        <v>#DIV/0!</v>
      </c>
      <c r="H82" s="527"/>
      <c r="I82" s="580" t="s">
        <v>124</v>
      </c>
      <c r="J82" s="485" t="s">
        <v>123</v>
      </c>
      <c r="K82" s="514"/>
      <c r="L82" s="515"/>
      <c r="M82" s="578" t="e">
        <f ca="1">M66-M67</f>
        <v>#DIV/0!</v>
      </c>
      <c r="N82" s="581"/>
      <c r="O82" s="621" t="e">
        <f ca="1">O66-O67</f>
        <v>#DIV/0!</v>
      </c>
      <c r="P82" s="528"/>
    </row>
    <row r="83" s="460" customFormat="1" customHeight="1" spans="1:16">
      <c r="A83" s="580" t="s">
        <v>125</v>
      </c>
      <c r="B83" s="485" t="s">
        <v>123</v>
      </c>
      <c r="C83" s="514"/>
      <c r="D83" s="515"/>
      <c r="E83" s="621" t="e">
        <f ca="1">E82+E68</f>
        <v>#DIV/0!</v>
      </c>
      <c r="F83" s="581"/>
      <c r="G83" s="621" t="e">
        <f ca="1">G82+G68</f>
        <v>#DIV/0!</v>
      </c>
      <c r="H83" s="527"/>
      <c r="I83" s="580" t="s">
        <v>125</v>
      </c>
      <c r="J83" s="485" t="s">
        <v>123</v>
      </c>
      <c r="K83" s="514"/>
      <c r="L83" s="515"/>
      <c r="M83" s="578" t="e">
        <f ca="1">M82+M68</f>
        <v>#DIV/0!</v>
      </c>
      <c r="N83" s="581"/>
      <c r="O83" s="621" t="e">
        <f ca="1">O82+O68</f>
        <v>#DIV/0!</v>
      </c>
      <c r="P83" s="528"/>
    </row>
    <row r="84" s="459" customFormat="1" customHeight="1" spans="1:16">
      <c r="A84" s="529" t="s">
        <v>126</v>
      </c>
      <c r="B84" s="530" t="s">
        <v>123</v>
      </c>
      <c r="C84" s="531"/>
      <c r="D84" s="532"/>
      <c r="E84" s="622" t="e">
        <f ca="1">E10-E11+E67</f>
        <v>#DIV/0!</v>
      </c>
      <c r="F84" s="533"/>
      <c r="G84" s="623" t="e">
        <f ca="1">G10-G11+G67</f>
        <v>#DIV/0!</v>
      </c>
      <c r="H84" s="535"/>
      <c r="I84" s="536" t="s">
        <v>126</v>
      </c>
      <c r="J84" s="537" t="s">
        <v>123</v>
      </c>
      <c r="K84" s="533"/>
      <c r="L84" s="533"/>
      <c r="M84" s="533" t="e">
        <f ca="1">M10-M11+M67</f>
        <v>#DIV/0!</v>
      </c>
      <c r="N84" s="533"/>
      <c r="O84" s="623" t="e">
        <f ca="1">O10-O11+O67</f>
        <v>#DIV/0!</v>
      </c>
      <c r="P84" s="475"/>
    </row>
    <row r="90" s="459" customFormat="1" customHeight="1" spans="1:16">
      <c r="A90" s="582"/>
      <c r="B90" s="538"/>
      <c r="E90" s="624"/>
      <c r="F90" s="539"/>
      <c r="G90" s="624"/>
      <c r="M90" s="499"/>
      <c r="O90" s="624"/>
    </row>
    <row r="95" customHeight="1" spans="1:16">
      <c r="F95" s="82"/>
      <c r="N95" s="82"/>
    </row>
    <row r="96" customHeight="1" spans="1:16">
      <c r="F96" s="82"/>
      <c r="N96" s="82"/>
    </row>
    <row r="97" customHeight="1" spans="6:14">
      <c r="F97" s="82"/>
      <c r="N97" s="82"/>
    </row>
    <row r="98" customHeight="1" spans="6:14">
      <c r="F98" s="82"/>
      <c r="N98" s="82"/>
    </row>
    <row r="99" customHeight="1" spans="6:14">
      <c r="F99" s="82"/>
      <c r="N99" s="82"/>
    </row>
    <row r="100" customHeight="1" spans="6:14">
      <c r="F100" s="82"/>
      <c r="N100" s="82"/>
    </row>
    <row r="101" customHeight="1" spans="6:14">
      <c r="F101" s="82"/>
      <c r="N101" s="82"/>
    </row>
    <row r="102" customHeight="1" spans="6:14">
      <c r="F102" s="82"/>
      <c r="N102" s="82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scale="81" fitToHeight="0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5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>
    <tabColor rgb="FF92D050"/>
  </sheetPr>
  <dimension ref="A1:R81"/>
  <sheetViews>
    <sheetView workbookViewId="0">
      <pane xSplit="2" ySplit="4" topLeftCell="C47" activePane="bottomRight" state="frozen"/>
      <selection/>
      <selection pane="topRight"/>
      <selection pane="bottomLeft"/>
      <selection pane="bottomRight" activeCell="G69" sqref="G69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9" style="40" customWidth="1"/>
    <col min="4" max="4" width="6.75" style="40" customWidth="1"/>
    <col min="5" max="5" width="9" style="462" customWidth="1"/>
    <col min="6" max="6" width="6.75" style="40" customWidth="1"/>
    <col min="7" max="7" width="9.75" style="40" customWidth="1"/>
    <col min="8" max="8" width="6.75" style="40" customWidth="1"/>
    <col min="9" max="9" width="28" style="40" customWidth="1"/>
    <col min="10" max="10" width="4.5" style="40" customWidth="1"/>
    <col min="11" max="11" width="8.25" style="40" customWidth="1"/>
    <col min="12" max="12" width="6.75" style="40" customWidth="1"/>
    <col min="13" max="13" width="8.5" style="40" customWidth="1"/>
    <col min="14" max="14" width="7.5" style="40" customWidth="1"/>
    <col min="15" max="15" width="9.75" style="40" customWidth="1"/>
    <col min="16" max="16" width="13" style="40" customWidth="1"/>
    <col min="17" max="16384" width="9" style="40"/>
  </cols>
  <sheetData>
    <row r="1" s="458" customFormat="1" ht="42.75" customHeight="1" spans="1:16">
      <c r="A1" s="97" t="str">
        <f>CONCATENATE("调味糖综合成本利润表_不含税(2025年"&amp;mth&amp;"月)")</f>
        <v>调味糖综合成本利润表_不含税(2025年8月)</v>
      </c>
      <c r="B1" s="98"/>
      <c r="C1" s="98"/>
      <c r="D1" s="98"/>
      <c r="E1" s="98"/>
      <c r="F1" s="98"/>
      <c r="G1" s="98"/>
      <c r="I1" s="463" t="str">
        <f>CONCATENATE("调味糖综合成本利润表_不含税(2025年1-"&amp;mth&amp;"月)")</f>
        <v>调味糖综合成本利润表_不含税(2025年1-8月)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6">
      <c r="A2" s="464"/>
      <c r="B2" s="464"/>
      <c r="C2" s="464"/>
      <c r="D2" s="465"/>
      <c r="E2" s="44"/>
      <c r="F2" s="464"/>
      <c r="G2" s="464"/>
    </row>
    <row r="3" s="38" customFormat="1" customHeight="1" spans="1:16">
      <c r="A3" s="38" t="s">
        <v>23</v>
      </c>
      <c r="E3" s="39" t="s">
        <v>133</v>
      </c>
      <c r="F3" s="466">
        <f ca="1">OFFSET(基础表!C16,0,mth-1,1,1)</f>
        <v>0</v>
      </c>
      <c r="G3" s="39" t="s">
        <v>75</v>
      </c>
      <c r="M3" s="378" t="s">
        <v>134</v>
      </c>
      <c r="N3" s="466">
        <f ca="1">基础表!O16</f>
        <v>773.711055555555</v>
      </c>
      <c r="O3" s="39" t="s">
        <v>75</v>
      </c>
    </row>
    <row r="4" s="459" customFormat="1" customHeight="1" spans="1:16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6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5732.26648080619</v>
      </c>
      <c r="N5" s="472"/>
      <c r="O5" s="474">
        <f ca="1">O6-O7</f>
        <v>4435117.94959029</v>
      </c>
      <c r="P5" s="475"/>
    </row>
    <row r="6" s="459" customFormat="1" customHeight="1" spans="1:16">
      <c r="A6" s="476" t="s">
        <v>84</v>
      </c>
      <c r="B6" s="477"/>
      <c r="C6" s="478"/>
      <c r="D6" s="479"/>
      <c r="E6" s="478">
        <f ca="1">OFFSET(销售收入及运费!C83,0,mth-1,1,1)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480">
        <f ca="1">销售收入及运费!O83</f>
        <v>7049.69831775564</v>
      </c>
      <c r="N6" s="482"/>
      <c r="O6" s="480">
        <f ca="1">M6*$N$3</f>
        <v>5454429.52677894</v>
      </c>
      <c r="P6" s="475"/>
    </row>
    <row r="7" s="459" customFormat="1" customHeight="1" spans="1:16">
      <c r="A7" s="476" t="s">
        <v>135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81" t="s">
        <v>135</v>
      </c>
      <c r="J7" s="477"/>
      <c r="K7" s="479"/>
      <c r="L7" s="479"/>
      <c r="M7" s="480">
        <f ca="1">M8+M9</f>
        <v>1317.43183694945</v>
      </c>
      <c r="N7" s="482"/>
      <c r="O7" s="480">
        <f ca="1">M7*$N$3</f>
        <v>1019311.57718866</v>
      </c>
      <c r="P7" s="475"/>
    </row>
    <row r="8" s="459" customFormat="1" customHeight="1" spans="1:16">
      <c r="A8" s="476" t="s">
        <v>86</v>
      </c>
      <c r="B8" s="477"/>
      <c r="C8" s="479"/>
      <c r="D8" s="479"/>
      <c r="E8" s="478" t="e">
        <f ca="1">OFFSET(销售收入及运费!C140,0,mth-1,1,1)/1.09/OFFSET(销售收入及运费!C23,0,mth-1,1,1)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销售收入及运费!O140/1.09/销售收入及运费!O23</f>
        <v>237.273021243633</v>
      </c>
      <c r="N8" s="482"/>
      <c r="O8" s="480">
        <f ca="1">M8*$N$3</f>
        <v>183580.759721267</v>
      </c>
      <c r="P8" s="475"/>
    </row>
    <row r="9" s="459" customFormat="1" customHeight="1" spans="1:16">
      <c r="A9" s="476" t="s">
        <v>87</v>
      </c>
      <c r="B9" s="477"/>
      <c r="C9" s="479"/>
      <c r="D9" s="479"/>
      <c r="E9" s="478" t="e">
        <f ca="1">(OFFSET(销售收入及运费!C160,0,mth-1,1,1)/1.13+OFFSET(销售收入及运费!C180,0,mth-1,1,1)/1.13)/OFFSET(销售收入及运费!C23,0,mth-1,1,1)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(销售收入及运费!O160/1.13+销售收入及运费!O180/1.13)/销售收入及运费!O23</f>
        <v>1080.15881570582</v>
      </c>
      <c r="N9" s="482"/>
      <c r="O9" s="480">
        <f ca="1">M9*$N$3</f>
        <v>835730.817467388</v>
      </c>
      <c r="P9" s="475"/>
    </row>
    <row r="10" s="459" customFormat="1" customHeight="1" spans="1:16">
      <c r="A10" s="484" t="s">
        <v>88</v>
      </c>
      <c r="B10" s="485"/>
      <c r="C10" s="486"/>
      <c r="D10" s="486"/>
      <c r="E10" s="487" t="e">
        <f ca="1">E11+E20+E51+E56+E50</f>
        <v>#DIV/0!</v>
      </c>
      <c r="F10" s="488"/>
      <c r="G10" s="487" t="e">
        <f ca="1">G11+G20+G51+G56+G50</f>
        <v>#DIV/0!</v>
      </c>
      <c r="I10" s="484" t="s">
        <v>88</v>
      </c>
      <c r="J10" s="485"/>
      <c r="K10" s="486"/>
      <c r="L10" s="486"/>
      <c r="M10" s="487" t="e">
        <f ca="1">M11+M20+M51+M56+M50</f>
        <v>#DIV/0!</v>
      </c>
      <c r="N10" s="488"/>
      <c r="O10" s="487" t="e">
        <f ca="1">O11+O20+O51+O56+O50</f>
        <v>#DIV/0!</v>
      </c>
      <c r="P10" s="475"/>
    </row>
    <row r="11" s="459" customFormat="1" customHeight="1" spans="1:16">
      <c r="A11" s="489" t="s">
        <v>169</v>
      </c>
      <c r="B11" s="490" t="s">
        <v>75</v>
      </c>
      <c r="C11" s="491">
        <f ca="1">IFERROR(G11/F11,0)</f>
        <v>0</v>
      </c>
      <c r="D11" s="492">
        <f ca="1">IFERROR(IF(C11=0,0,E11/C11),0)</f>
        <v>0</v>
      </c>
      <c r="E11" s="491" t="e">
        <f ca="1">SUM(E12:E19)</f>
        <v>#DIV/0!</v>
      </c>
      <c r="F11" s="493">
        <f ca="1">SUM(F12:F18)</f>
        <v>0</v>
      </c>
      <c r="G11" s="491">
        <f ca="1">SUM(G12:G19)</f>
        <v>0</v>
      </c>
      <c r="I11" s="489" t="s">
        <v>169</v>
      </c>
      <c r="J11" s="490" t="s">
        <v>75</v>
      </c>
      <c r="K11" s="491">
        <f ca="1">IF(N11=0,0,O11/N11)</f>
        <v>2560.11973151755</v>
      </c>
      <c r="L11" s="492">
        <f ca="1">IF(K11=0,0,M11/K11)</f>
        <v>0.524645469500924</v>
      </c>
      <c r="M11" s="491">
        <f ca="1">SUM(M12:M19)</f>
        <v>1343.1552185206</v>
      </c>
      <c r="N11" s="491">
        <f ca="1">SUM(N12:N18)</f>
        <v>405.924</v>
      </c>
      <c r="O11" s="491">
        <f ca="1">SUM(O12:O19)</f>
        <v>1039214.04189653</v>
      </c>
      <c r="P11" s="475"/>
    </row>
    <row r="12" s="459" customFormat="1" customHeight="1" spans="1:16">
      <c r="A12" s="494" t="s">
        <v>170</v>
      </c>
      <c r="B12" s="495" t="s">
        <v>75</v>
      </c>
      <c r="C12" s="496">
        <f ca="1">OFFSET(分配表!C682,0,mth-1,1,1)</f>
        <v>0</v>
      </c>
      <c r="D12" s="497">
        <f ca="1" t="shared" ref="D12:D18" si="0">IF(VALUE($F$3)=0,0,F12/$F$3)</f>
        <v>0</v>
      </c>
      <c r="E12" s="496">
        <f ca="1">C12*D12</f>
        <v>0</v>
      </c>
      <c r="F12" s="498">
        <f ca="1">OFFSET(分配表!C664,0,mth-1,1,1)</f>
        <v>0</v>
      </c>
      <c r="G12" s="496">
        <f ca="1">E12*$F$3</f>
        <v>0</v>
      </c>
      <c r="H12" s="499"/>
      <c r="I12" s="494" t="s">
        <v>170</v>
      </c>
      <c r="J12" s="495" t="s">
        <v>75</v>
      </c>
      <c r="K12" s="496">
        <f ca="1">分配表!O682</f>
        <v>2148.75669613621</v>
      </c>
      <c r="L12" s="497">
        <f ca="1" t="shared" ref="L12:L18" si="1">IF($N$3=0,0,N12/$N$3)</f>
        <v>0.0789441995967631</v>
      </c>
      <c r="M12" s="496">
        <f ca="1" t="shared" ref="M12:M18" si="2">K12*L12</f>
        <v>169.631877504659</v>
      </c>
      <c r="N12" s="500">
        <f ca="1">分配表!O664</f>
        <v>61.08</v>
      </c>
      <c r="O12" s="496">
        <f ca="1" t="shared" ref="O12:O18" si="3">K12*N12</f>
        <v>131246.059</v>
      </c>
      <c r="P12" s="475"/>
    </row>
    <row r="13" s="459" customFormat="1" customHeight="1" spans="1:16">
      <c r="A13" s="494" t="s">
        <v>171</v>
      </c>
      <c r="B13" s="495" t="s">
        <v>75</v>
      </c>
      <c r="C13" s="496">
        <f ca="1">OFFSET(分配表!C683,0,mth-1,1,1)</f>
        <v>0</v>
      </c>
      <c r="D13" s="497">
        <f ca="1" t="shared" si="0"/>
        <v>0</v>
      </c>
      <c r="E13" s="496">
        <f ca="1" t="shared" ref="E13:E18" si="4">C13*D13</f>
        <v>0</v>
      </c>
      <c r="F13" s="498">
        <f ca="1">OFFSET(分配表!C665,0,mth-1,1,1)</f>
        <v>0</v>
      </c>
      <c r="G13" s="496">
        <f ca="1" t="shared" ref="G13:G18" si="5">E13*$F$3</f>
        <v>0</v>
      </c>
      <c r="H13" s="499"/>
      <c r="I13" s="494" t="s">
        <v>171</v>
      </c>
      <c r="J13" s="495" t="s">
        <v>75</v>
      </c>
      <c r="K13" s="496">
        <f ca="1">分配表!O683</f>
        <v>2338.01394470574</v>
      </c>
      <c r="L13" s="497">
        <f ca="1" t="shared" si="1"/>
        <v>0.336077658620621</v>
      </c>
      <c r="M13" s="496">
        <f ca="1" t="shared" si="2"/>
        <v>785.754252359067</v>
      </c>
      <c r="N13" s="500">
        <f ca="1">分配表!O665</f>
        <v>260.027</v>
      </c>
      <c r="O13" s="496">
        <f ca="1" t="shared" si="3"/>
        <v>607946.752</v>
      </c>
      <c r="P13" s="475"/>
    </row>
    <row r="14" s="459" customFormat="1" customHeight="1" spans="1:16">
      <c r="A14" s="494" t="s">
        <v>172</v>
      </c>
      <c r="B14" s="495" t="s">
        <v>75</v>
      </c>
      <c r="C14" s="496">
        <f ca="1">OFFSET(分配表!C684,0,mth-1,1,1)</f>
        <v>0</v>
      </c>
      <c r="D14" s="497">
        <f ca="1" t="shared" si="0"/>
        <v>0</v>
      </c>
      <c r="E14" s="496">
        <f ca="1" t="shared" si="4"/>
        <v>0</v>
      </c>
      <c r="F14" s="498">
        <f ca="1">OFFSET(分配表!C666,0,mth-1,1,1)</f>
        <v>0</v>
      </c>
      <c r="G14" s="496">
        <f ca="1" t="shared" si="5"/>
        <v>0</v>
      </c>
      <c r="H14" s="499"/>
      <c r="I14" s="494" t="s">
        <v>172</v>
      </c>
      <c r="J14" s="495" t="s">
        <v>75</v>
      </c>
      <c r="K14" s="496">
        <f ca="1">分配表!O684</f>
        <v>2567.41853303472</v>
      </c>
      <c r="L14" s="497">
        <f ca="1" t="shared" si="1"/>
        <v>0.00923342111852121</v>
      </c>
      <c r="M14" s="496">
        <f ca="1" t="shared" si="2"/>
        <v>23.7060565030055</v>
      </c>
      <c r="N14" s="500">
        <f ca="1">分配表!O666</f>
        <v>7.144</v>
      </c>
      <c r="O14" s="496">
        <f ca="1" t="shared" si="3"/>
        <v>18341.638</v>
      </c>
      <c r="P14" s="475"/>
    </row>
    <row r="15" s="459" customFormat="1" customHeight="1" spans="1:16">
      <c r="A15" s="494" t="s">
        <v>173</v>
      </c>
      <c r="B15" s="495" t="s">
        <v>75</v>
      </c>
      <c r="C15" s="496">
        <f ca="1">OFFSET(分配表!C685,0,mth-1,1,1)</f>
        <v>0</v>
      </c>
      <c r="D15" s="497">
        <f ca="1" t="shared" si="0"/>
        <v>0</v>
      </c>
      <c r="E15" s="496">
        <f ca="1" t="shared" si="4"/>
        <v>0</v>
      </c>
      <c r="F15" s="498">
        <f ca="1">OFFSET(分配表!C667,0,mth-1,1,1)</f>
        <v>0</v>
      </c>
      <c r="G15" s="496">
        <f ca="1" t="shared" si="5"/>
        <v>0</v>
      </c>
      <c r="H15" s="499"/>
      <c r="I15" s="494" t="s">
        <v>173</v>
      </c>
      <c r="J15" s="495" t="s">
        <v>75</v>
      </c>
      <c r="K15" s="496">
        <f ca="1">分配表!O685</f>
        <v>2628.01704545455</v>
      </c>
      <c r="L15" s="497">
        <f ca="1" t="shared" si="1"/>
        <v>0.00159232570241015</v>
      </c>
      <c r="M15" s="496">
        <f ca="1" t="shared" si="2"/>
        <v>4.18465908784926</v>
      </c>
      <c r="N15" s="500">
        <f ca="1">分配表!O667</f>
        <v>1.232</v>
      </c>
      <c r="O15" s="496">
        <f ca="1" t="shared" si="3"/>
        <v>3237.717</v>
      </c>
      <c r="P15" s="475"/>
    </row>
    <row r="16" s="459" customFormat="1" customHeight="1" spans="1:16">
      <c r="A16" s="494" t="s">
        <v>174</v>
      </c>
      <c r="B16" s="495" t="s">
        <v>75</v>
      </c>
      <c r="C16" s="496">
        <f ca="1">OFFSET(分配表!C686,0,mth-1,1,1)</f>
        <v>0</v>
      </c>
      <c r="D16" s="497">
        <f ca="1" t="shared" si="0"/>
        <v>0</v>
      </c>
      <c r="E16" s="496">
        <f ca="1" t="shared" si="4"/>
        <v>0</v>
      </c>
      <c r="F16" s="498">
        <f ca="1">OFFSET(分配表!C668,0,mth-1,1,1)</f>
        <v>0</v>
      </c>
      <c r="G16" s="496">
        <f ca="1" t="shared" si="5"/>
        <v>0</v>
      </c>
      <c r="H16" s="499"/>
      <c r="I16" s="494" t="s">
        <v>174</v>
      </c>
      <c r="J16" s="495" t="s">
        <v>75</v>
      </c>
      <c r="K16" s="496">
        <f ca="1">分配表!O686</f>
        <v>2788.76565512505</v>
      </c>
      <c r="L16" s="497">
        <f ca="1" t="shared" si="1"/>
        <v>0.0978737468674604</v>
      </c>
      <c r="M16" s="496">
        <f ca="1" t="shared" si="2"/>
        <v>272.946943802377</v>
      </c>
      <c r="N16" s="500">
        <f ca="1">分配表!O668</f>
        <v>75.726</v>
      </c>
      <c r="O16" s="496">
        <f ca="1" t="shared" si="3"/>
        <v>211182.068</v>
      </c>
      <c r="P16" s="475"/>
    </row>
    <row r="17" s="459" customFormat="1" customHeight="1" spans="1:16">
      <c r="A17" s="494" t="s">
        <v>175</v>
      </c>
      <c r="B17" s="495" t="s">
        <v>75</v>
      </c>
      <c r="C17" s="496">
        <f ca="1">OFFSET(分配表!C687,0,mth-1,1,1)</f>
        <v>0</v>
      </c>
      <c r="D17" s="497">
        <f ca="1" t="shared" si="0"/>
        <v>0</v>
      </c>
      <c r="E17" s="496">
        <f ca="1" t="shared" si="4"/>
        <v>0</v>
      </c>
      <c r="F17" s="498">
        <f ca="1">OFFSET(分配表!C669,0,mth-1,1,1)</f>
        <v>0</v>
      </c>
      <c r="G17" s="496">
        <f ca="1" t="shared" si="5"/>
        <v>0</v>
      </c>
      <c r="H17" s="499"/>
      <c r="I17" s="494" t="s">
        <v>175</v>
      </c>
      <c r="J17" s="495" t="s">
        <v>75</v>
      </c>
      <c r="K17" s="496">
        <f ca="1">分配表!O687</f>
        <v>0</v>
      </c>
      <c r="L17" s="497">
        <f ca="1" t="shared" si="1"/>
        <v>0</v>
      </c>
      <c r="M17" s="496">
        <f ca="1" t="shared" si="2"/>
        <v>0</v>
      </c>
      <c r="N17" s="500">
        <f ca="1">分配表!O669</f>
        <v>0</v>
      </c>
      <c r="O17" s="496">
        <f ca="1" t="shared" si="3"/>
        <v>0</v>
      </c>
      <c r="P17" s="475"/>
    </row>
    <row r="18" s="459" customFormat="1" customHeight="1" spans="1:16">
      <c r="A18" s="494" t="s">
        <v>176</v>
      </c>
      <c r="B18" s="495" t="s">
        <v>75</v>
      </c>
      <c r="C18" s="496">
        <f ca="1">OFFSET(分配表!C688,0,mth-1,1,1)</f>
        <v>0</v>
      </c>
      <c r="D18" s="497">
        <f ca="1" t="shared" si="0"/>
        <v>0</v>
      </c>
      <c r="E18" s="496">
        <f ca="1" t="shared" si="4"/>
        <v>0</v>
      </c>
      <c r="F18" s="498">
        <f ca="1">OFFSET(分配表!C670,0,mth-1,1,1)</f>
        <v>0</v>
      </c>
      <c r="G18" s="496">
        <f ca="1" t="shared" si="5"/>
        <v>0</v>
      </c>
      <c r="H18" s="499"/>
      <c r="I18" s="494" t="s">
        <v>176</v>
      </c>
      <c r="J18" s="495" t="s">
        <v>75</v>
      </c>
      <c r="K18" s="496">
        <f ca="1">分配表!O688</f>
        <v>4127.96083916084</v>
      </c>
      <c r="L18" s="497">
        <f ca="1" t="shared" si="1"/>
        <v>0.000924117595148749</v>
      </c>
      <c r="M18" s="496">
        <f ca="1" t="shared" si="2"/>
        <v>3.81472124355353</v>
      </c>
      <c r="N18" s="500">
        <f ca="1">分配表!O670</f>
        <v>0.715</v>
      </c>
      <c r="O18" s="496">
        <f ca="1" t="shared" si="3"/>
        <v>2951.492</v>
      </c>
      <c r="P18" s="475"/>
    </row>
    <row r="19" s="459" customFormat="1" customHeight="1" spans="1:16">
      <c r="A19" s="494" t="s">
        <v>177</v>
      </c>
      <c r="B19" s="495"/>
      <c r="C19" s="496"/>
      <c r="D19" s="497"/>
      <c r="E19" s="496" t="e">
        <f ca="1">G19/F3</f>
        <v>#DIV/0!</v>
      </c>
      <c r="F19" s="498"/>
      <c r="G19" s="496">
        <f ca="1">OFFSET('调+风灌装损耗'!B2,0,mth-1,1,1)</f>
        <v>0</v>
      </c>
      <c r="H19" s="499"/>
      <c r="I19" s="494" t="s">
        <v>177</v>
      </c>
      <c r="J19" s="495"/>
      <c r="K19" s="496"/>
      <c r="L19" s="497"/>
      <c r="M19" s="496">
        <f ca="1">O19/N3</f>
        <v>83.116708020093</v>
      </c>
      <c r="N19" s="500"/>
      <c r="O19" s="496">
        <f ca="1">'调+风灌装损耗'!N2</f>
        <v>64308.315896529</v>
      </c>
      <c r="P19" s="475"/>
    </row>
    <row r="20" s="459" customFormat="1" customHeight="1" spans="1:16">
      <c r="A20" s="489" t="s">
        <v>92</v>
      </c>
      <c r="B20" s="490"/>
      <c r="C20" s="501"/>
      <c r="D20" s="492"/>
      <c r="E20" s="491">
        <f ca="1">IF(VALUE($F$3)=0,0,G20/$F$3)</f>
        <v>0</v>
      </c>
      <c r="F20" s="491"/>
      <c r="G20" s="491">
        <f ca="1">OFFSET(分配表!C1024,0,mth-1)</f>
        <v>0</v>
      </c>
      <c r="I20" s="489" t="s">
        <v>92</v>
      </c>
      <c r="J20" s="490"/>
      <c r="K20" s="501"/>
      <c r="L20" s="492"/>
      <c r="M20" s="491">
        <f ca="1">IF($N$3=0,0,O20/$N$3)</f>
        <v>1976.21927335923</v>
      </c>
      <c r="N20" s="491"/>
      <c r="O20" s="491">
        <f ca="1">分配表!O1024</f>
        <v>1529022.7</v>
      </c>
      <c r="P20" s="475"/>
    </row>
    <row r="21" s="459" customFormat="1" customHeight="1" spans="1:16">
      <c r="A21" s="502" t="s">
        <v>178</v>
      </c>
      <c r="B21" s="503"/>
      <c r="C21" s="504">
        <f ca="1">OFFSET(分配表!C857,0,mth-1,1,1)</f>
        <v>0</v>
      </c>
      <c r="D21" s="505">
        <f ca="1">IF(VALUE($F$3)=0,0,F21/$F$3)</f>
        <v>0</v>
      </c>
      <c r="E21" s="506">
        <f ca="1">C21*D21</f>
        <v>0</v>
      </c>
      <c r="F21" s="507">
        <f ca="1">OFFSET(分配表!C787,0,mth-1,1,1)</f>
        <v>0</v>
      </c>
      <c r="G21" s="496">
        <f ca="1">E21*$F$3</f>
        <v>0</v>
      </c>
      <c r="I21" s="502" t="s">
        <v>178</v>
      </c>
      <c r="J21" s="503"/>
      <c r="K21" s="505">
        <f ca="1">分配表!O857</f>
        <v>0</v>
      </c>
      <c r="L21" s="505">
        <f ca="1">IF($N$3=0,0,N21/$N$3)</f>
        <v>0</v>
      </c>
      <c r="M21" s="506">
        <f ca="1">K21*L21</f>
        <v>0</v>
      </c>
      <c r="N21" s="507">
        <f ca="1">分配表!O787</f>
        <v>0</v>
      </c>
      <c r="O21" s="496">
        <f ca="1">K21*N21</f>
        <v>0</v>
      </c>
      <c r="P21" s="475"/>
    </row>
    <row r="22" s="459" customFormat="1" customHeight="1" spans="1:16">
      <c r="A22" s="502" t="s">
        <v>179</v>
      </c>
      <c r="B22" s="503"/>
      <c r="C22" s="504">
        <f ca="1">OFFSET(分配表!C858,0,mth-1,1,1)</f>
        <v>0</v>
      </c>
      <c r="D22" s="505">
        <f ca="1" t="shared" ref="D22:D43" si="6">IF(VALUE($F$3)=0,0,F22/$F$3)</f>
        <v>0</v>
      </c>
      <c r="E22" s="506">
        <f ca="1" t="shared" ref="E22:E43" si="7">C22*D22</f>
        <v>0</v>
      </c>
      <c r="F22" s="507">
        <f ca="1">OFFSET(分配表!C788,0,mth-1,1,1)</f>
        <v>0</v>
      </c>
      <c r="G22" s="496">
        <f ca="1">E22*$F$3</f>
        <v>0</v>
      </c>
      <c r="I22" s="502" t="s">
        <v>179</v>
      </c>
      <c r="J22" s="503"/>
      <c r="K22" s="505">
        <f ca="1">分配表!O858</f>
        <v>5.27092144047161</v>
      </c>
      <c r="L22" s="505">
        <f ca="1" t="shared" ref="L22:L43" si="8">IF($N$3=0,0,N22/$N$3)</f>
        <v>1.00851602726513</v>
      </c>
      <c r="M22" s="506">
        <f ca="1" t="shared" ref="M22:M43" si="9">K22*L22</f>
        <v>5.31580875117104</v>
      </c>
      <c r="N22" s="507">
        <f ca="1">分配表!O788</f>
        <v>780.3</v>
      </c>
      <c r="O22" s="496">
        <f ca="1" t="shared" ref="O22:O43" si="10">K22*N22</f>
        <v>4112.9</v>
      </c>
      <c r="P22" s="475"/>
    </row>
    <row r="23" s="459" customFormat="1" customHeight="1" spans="1:16">
      <c r="A23" s="502" t="s">
        <v>180</v>
      </c>
      <c r="B23" s="503"/>
      <c r="C23" s="504">
        <f ca="1">OFFSET(分配表!C859,0,mth-1,1,1)</f>
        <v>0</v>
      </c>
      <c r="D23" s="505">
        <f ca="1" t="shared" si="6"/>
        <v>0</v>
      </c>
      <c r="E23" s="506">
        <f ca="1" t="shared" si="7"/>
        <v>0</v>
      </c>
      <c r="F23" s="507">
        <f ca="1">OFFSET(分配表!C789,0,mth-1,1,1)</f>
        <v>0</v>
      </c>
      <c r="G23" s="496">
        <f ca="1" t="shared" ref="G23:G43" si="11">E23*$F$3</f>
        <v>0</v>
      </c>
      <c r="I23" s="502" t="s">
        <v>180</v>
      </c>
      <c r="J23" s="503"/>
      <c r="K23" s="505">
        <f ca="1">分配表!O859</f>
        <v>0</v>
      </c>
      <c r="L23" s="505">
        <f ca="1" t="shared" si="8"/>
        <v>0</v>
      </c>
      <c r="M23" s="506">
        <f ca="1" t="shared" si="9"/>
        <v>0</v>
      </c>
      <c r="N23" s="507">
        <f ca="1">分配表!O789</f>
        <v>0</v>
      </c>
      <c r="O23" s="496">
        <f ca="1" t="shared" si="10"/>
        <v>0</v>
      </c>
      <c r="P23" s="475"/>
    </row>
    <row r="24" s="459" customFormat="1" customHeight="1" spans="1:16">
      <c r="A24" s="502" t="s">
        <v>181</v>
      </c>
      <c r="B24" s="503"/>
      <c r="C24" s="504">
        <f ca="1">OFFSET(分配表!C860,0,mth-1,1,1)</f>
        <v>0</v>
      </c>
      <c r="D24" s="505">
        <f ca="1" t="shared" si="6"/>
        <v>0</v>
      </c>
      <c r="E24" s="506">
        <f ca="1" t="shared" si="7"/>
        <v>0</v>
      </c>
      <c r="F24" s="507">
        <f ca="1">OFFSET(分配表!C790,0,mth-1,1,1)</f>
        <v>0</v>
      </c>
      <c r="G24" s="496">
        <f ca="1" t="shared" si="11"/>
        <v>0</v>
      </c>
      <c r="I24" s="502" t="s">
        <v>181</v>
      </c>
      <c r="J24" s="503"/>
      <c r="K24" s="505">
        <f ca="1">分配表!O860</f>
        <v>5.70527576054956</v>
      </c>
      <c r="L24" s="505">
        <f ca="1" t="shared" si="8"/>
        <v>26.340582642142</v>
      </c>
      <c r="M24" s="506">
        <f ca="1" t="shared" si="9"/>
        <v>150.280287666965</v>
      </c>
      <c r="N24" s="507">
        <f ca="1">分配表!O790</f>
        <v>20380</v>
      </c>
      <c r="O24" s="496">
        <f ca="1" t="shared" si="10"/>
        <v>116273.52</v>
      </c>
      <c r="P24" s="475"/>
    </row>
    <row r="25" s="459" customFormat="1" customHeight="1" spans="1:16">
      <c r="A25" s="502" t="s">
        <v>182</v>
      </c>
      <c r="B25" s="503"/>
      <c r="C25" s="504">
        <f ca="1">OFFSET(分配表!C861,0,mth-1,1,1)</f>
        <v>0</v>
      </c>
      <c r="D25" s="505">
        <f ca="1" t="shared" si="6"/>
        <v>0</v>
      </c>
      <c r="E25" s="506">
        <f ca="1" t="shared" si="7"/>
        <v>0</v>
      </c>
      <c r="F25" s="507">
        <f ca="1">OFFSET(分配表!C791,0,mth-1,1,1)</f>
        <v>0</v>
      </c>
      <c r="G25" s="496">
        <f ca="1" t="shared" si="11"/>
        <v>0</v>
      </c>
      <c r="I25" s="502" t="s">
        <v>182</v>
      </c>
      <c r="J25" s="503"/>
      <c r="K25" s="505">
        <f ca="1">分配表!O861</f>
        <v>6.05837180798009</v>
      </c>
      <c r="L25" s="505">
        <f ca="1" t="shared" si="8"/>
        <v>67.7656905940841</v>
      </c>
      <c r="M25" s="506">
        <f ca="1" t="shared" si="9"/>
        <v>410.549749443501</v>
      </c>
      <c r="N25" s="507">
        <f ca="1">分配表!O791</f>
        <v>52431.064</v>
      </c>
      <c r="O25" s="496">
        <f ca="1" t="shared" si="10"/>
        <v>317646.88</v>
      </c>
      <c r="P25" s="475"/>
    </row>
    <row r="26" s="459" customFormat="1" customHeight="1" spans="1:16">
      <c r="A26" s="502" t="s">
        <v>183</v>
      </c>
      <c r="B26" s="503"/>
      <c r="C26" s="504">
        <f ca="1">OFFSET(分配表!C862,0,mth-1,1,1)</f>
        <v>0</v>
      </c>
      <c r="D26" s="505">
        <f ca="1" t="shared" si="6"/>
        <v>0</v>
      </c>
      <c r="E26" s="506">
        <f ca="1" t="shared" si="7"/>
        <v>0</v>
      </c>
      <c r="F26" s="507">
        <f ca="1">OFFSET(分配表!C792,0,mth-1,1,1)</f>
        <v>0</v>
      </c>
      <c r="G26" s="496">
        <f ca="1" t="shared" si="11"/>
        <v>0</v>
      </c>
      <c r="I26" s="502" t="s">
        <v>183</v>
      </c>
      <c r="J26" s="503"/>
      <c r="K26" s="505">
        <f ca="1">分配表!O862</f>
        <v>5.93391946833464</v>
      </c>
      <c r="L26" s="505">
        <f ca="1" t="shared" si="8"/>
        <v>33.0614378795874</v>
      </c>
      <c r="M26" s="506">
        <f ca="1" t="shared" si="9"/>
        <v>196.18390988482</v>
      </c>
      <c r="N26" s="507">
        <f ca="1">分配表!O792</f>
        <v>25580</v>
      </c>
      <c r="O26" s="496">
        <f ca="1" t="shared" si="10"/>
        <v>151789.66</v>
      </c>
      <c r="P26" s="475"/>
    </row>
    <row r="27" s="459" customFormat="1" customHeight="1" spans="1:16">
      <c r="A27" s="502" t="s">
        <v>184</v>
      </c>
      <c r="B27" s="503"/>
      <c r="C27" s="504">
        <f ca="1">OFFSET(分配表!C863,0,mth-1,1,1)</f>
        <v>0</v>
      </c>
      <c r="D27" s="505">
        <f ca="1" t="shared" si="6"/>
        <v>0</v>
      </c>
      <c r="E27" s="506">
        <f ca="1" t="shared" si="7"/>
        <v>0</v>
      </c>
      <c r="F27" s="507">
        <f ca="1">OFFSET(分配表!C793,0,mth-1,1,1)</f>
        <v>0</v>
      </c>
      <c r="G27" s="496">
        <f ca="1" t="shared" si="11"/>
        <v>0</v>
      </c>
      <c r="I27" s="502" t="s">
        <v>184</v>
      </c>
      <c r="J27" s="503"/>
      <c r="K27" s="505">
        <f ca="1">分配表!O863</f>
        <v>15.4898392596201</v>
      </c>
      <c r="L27" s="505">
        <f ca="1" t="shared" si="8"/>
        <v>1.32672267331495</v>
      </c>
      <c r="M27" s="506">
        <f ca="1" t="shared" si="9"/>
        <v>20.550720951742</v>
      </c>
      <c r="N27" s="507">
        <f ca="1">分配表!O793</f>
        <v>1026.5</v>
      </c>
      <c r="O27" s="496">
        <f ca="1" t="shared" si="10"/>
        <v>15900.32</v>
      </c>
      <c r="P27" s="475"/>
    </row>
    <row r="28" s="459" customFormat="1" customHeight="1" spans="1:16">
      <c r="A28" s="502" t="s">
        <v>185</v>
      </c>
      <c r="B28" s="503"/>
      <c r="C28" s="504">
        <f ca="1">OFFSET(分配表!C864,0,mth-1,1,1)</f>
        <v>0</v>
      </c>
      <c r="D28" s="505">
        <f ca="1" t="shared" si="6"/>
        <v>0</v>
      </c>
      <c r="E28" s="506">
        <f ca="1" t="shared" si="7"/>
        <v>0</v>
      </c>
      <c r="F28" s="507">
        <f ca="1">OFFSET(分配表!C794,0,mth-1,1,1)</f>
        <v>0</v>
      </c>
      <c r="G28" s="496">
        <f ca="1" t="shared" si="11"/>
        <v>0</v>
      </c>
      <c r="I28" s="502" t="s">
        <v>185</v>
      </c>
      <c r="J28" s="503"/>
      <c r="K28" s="505">
        <f ca="1">分配表!O864</f>
        <v>7.96456519620855</v>
      </c>
      <c r="L28" s="505">
        <f ca="1" t="shared" si="8"/>
        <v>0.384661687154385</v>
      </c>
      <c r="M28" s="506">
        <f ca="1" t="shared" si="9"/>
        <v>3.06366308582468</v>
      </c>
      <c r="N28" s="507">
        <f ca="1">分配表!O794</f>
        <v>297.617</v>
      </c>
      <c r="O28" s="496">
        <f ca="1" t="shared" si="10"/>
        <v>2370.39</v>
      </c>
      <c r="P28" s="475"/>
    </row>
    <row r="29" s="459" customFormat="1" customHeight="1" spans="1:16">
      <c r="A29" s="502" t="s">
        <v>186</v>
      </c>
      <c r="B29" s="503"/>
      <c r="C29" s="504">
        <f ca="1">OFFSET(分配表!C865,0,mth-1,1,1)</f>
        <v>0</v>
      </c>
      <c r="D29" s="505">
        <f ca="1" t="shared" si="6"/>
        <v>0</v>
      </c>
      <c r="E29" s="506">
        <f ca="1" t="shared" si="7"/>
        <v>0</v>
      </c>
      <c r="F29" s="507">
        <f ca="1">OFFSET(分配表!C795,0,mth-1,1,1)</f>
        <v>0</v>
      </c>
      <c r="G29" s="496">
        <f ca="1" t="shared" si="11"/>
        <v>0</v>
      </c>
      <c r="I29" s="502" t="s">
        <v>186</v>
      </c>
      <c r="J29" s="503"/>
      <c r="K29" s="505">
        <f ca="1">分配表!O865</f>
        <v>19.0264794328557</v>
      </c>
      <c r="L29" s="505">
        <f ca="1" t="shared" si="8"/>
        <v>0.379940286350079</v>
      </c>
      <c r="M29" s="506">
        <f ca="1" t="shared" si="9"/>
        <v>7.2289260439531</v>
      </c>
      <c r="N29" s="507">
        <f ca="1">分配表!O795</f>
        <v>293.964</v>
      </c>
      <c r="O29" s="496">
        <f ca="1" t="shared" si="10"/>
        <v>5593.1</v>
      </c>
      <c r="P29" s="475"/>
    </row>
    <row r="30" s="459" customFormat="1" customHeight="1" spans="1:16">
      <c r="A30" s="502" t="s">
        <v>187</v>
      </c>
      <c r="B30" s="503"/>
      <c r="C30" s="504">
        <f ca="1">OFFSET(分配表!C866,0,mth-1,1,1)</f>
        <v>0</v>
      </c>
      <c r="D30" s="505">
        <f ca="1" t="shared" si="6"/>
        <v>0</v>
      </c>
      <c r="E30" s="506">
        <f ca="1" t="shared" si="7"/>
        <v>0</v>
      </c>
      <c r="F30" s="507">
        <f ca="1">OFFSET(分配表!C796,0,mth-1,1,1)</f>
        <v>0</v>
      </c>
      <c r="G30" s="496">
        <f ca="1" t="shared" si="11"/>
        <v>0</v>
      </c>
      <c r="I30" s="502" t="s">
        <v>187</v>
      </c>
      <c r="J30" s="503"/>
      <c r="K30" s="505">
        <f ca="1">分配表!O866</f>
        <v>0</v>
      </c>
      <c r="L30" s="505">
        <f ca="1" t="shared" si="8"/>
        <v>0</v>
      </c>
      <c r="M30" s="506">
        <f ca="1" t="shared" si="9"/>
        <v>0</v>
      </c>
      <c r="N30" s="507">
        <f ca="1">分配表!O796</f>
        <v>0</v>
      </c>
      <c r="O30" s="496">
        <f ca="1" t="shared" si="10"/>
        <v>0</v>
      </c>
      <c r="P30" s="475"/>
    </row>
    <row r="31" s="459" customFormat="1" customHeight="1" spans="1:16">
      <c r="A31" s="502" t="s">
        <v>188</v>
      </c>
      <c r="B31" s="503"/>
      <c r="C31" s="504">
        <f ca="1">OFFSET(分配表!C867,0,mth-1,1,1)</f>
        <v>0</v>
      </c>
      <c r="D31" s="505">
        <f ca="1" t="shared" si="6"/>
        <v>0</v>
      </c>
      <c r="E31" s="506">
        <f ca="1" t="shared" si="7"/>
        <v>0</v>
      </c>
      <c r="F31" s="507">
        <f ca="1">OFFSET(分配表!C797,0,mth-1,1,1)</f>
        <v>0</v>
      </c>
      <c r="G31" s="496">
        <f ca="1" t="shared" si="11"/>
        <v>0</v>
      </c>
      <c r="I31" s="502" t="s">
        <v>188</v>
      </c>
      <c r="J31" s="503"/>
      <c r="K31" s="505">
        <f ca="1">分配表!O867</f>
        <v>13.7168168604651</v>
      </c>
      <c r="L31" s="505">
        <f ca="1" t="shared" si="8"/>
        <v>0.889220846800475</v>
      </c>
      <c r="M31" s="506">
        <f ca="1" t="shared" si="9"/>
        <v>12.1972795040698</v>
      </c>
      <c r="N31" s="507">
        <f ca="1">分配表!O797</f>
        <v>688</v>
      </c>
      <c r="O31" s="496">
        <f ca="1" t="shared" si="10"/>
        <v>9437.17</v>
      </c>
      <c r="P31" s="475"/>
    </row>
    <row r="32" s="459" customFormat="1" customHeight="1" spans="1:16">
      <c r="A32" s="502" t="s">
        <v>189</v>
      </c>
      <c r="B32" s="503"/>
      <c r="C32" s="504">
        <f ca="1">OFFSET(分配表!C868,0,mth-1,1,1)</f>
        <v>0</v>
      </c>
      <c r="D32" s="505">
        <f ca="1" t="shared" si="6"/>
        <v>0</v>
      </c>
      <c r="E32" s="506">
        <f ca="1" t="shared" si="7"/>
        <v>0</v>
      </c>
      <c r="F32" s="507">
        <f ca="1">OFFSET(分配表!C798,0,mth-1,1,1)</f>
        <v>0</v>
      </c>
      <c r="G32" s="496">
        <f ca="1" t="shared" si="11"/>
        <v>0</v>
      </c>
      <c r="I32" s="502" t="s">
        <v>189</v>
      </c>
      <c r="J32" s="503"/>
      <c r="K32" s="505">
        <f ca="1">分配表!O868</f>
        <v>18.5838888888889</v>
      </c>
      <c r="L32" s="505">
        <f ca="1" t="shared" si="8"/>
        <v>0.0930579955953985</v>
      </c>
      <c r="M32" s="506">
        <f ca="1" t="shared" si="9"/>
        <v>1.7293794503676</v>
      </c>
      <c r="N32" s="507">
        <f ca="1">分配表!O798</f>
        <v>72</v>
      </c>
      <c r="O32" s="496">
        <f ca="1" t="shared" si="10"/>
        <v>1338.04</v>
      </c>
      <c r="P32" s="475"/>
    </row>
    <row r="33" s="459" customFormat="1" customHeight="1" spans="1:16">
      <c r="A33" s="502" t="s">
        <v>190</v>
      </c>
      <c r="B33" s="503"/>
      <c r="C33" s="504">
        <f ca="1">OFFSET(分配表!C869,0,mth-1,1,1)</f>
        <v>0</v>
      </c>
      <c r="D33" s="505">
        <f ca="1" t="shared" si="6"/>
        <v>0</v>
      </c>
      <c r="E33" s="506">
        <f ca="1" t="shared" si="7"/>
        <v>0</v>
      </c>
      <c r="F33" s="507">
        <f ca="1">OFFSET(分配表!C799,0,mth-1,1,1)</f>
        <v>0</v>
      </c>
      <c r="G33" s="496">
        <f ca="1" t="shared" si="11"/>
        <v>0</v>
      </c>
      <c r="I33" s="502" t="s">
        <v>190</v>
      </c>
      <c r="J33" s="503"/>
      <c r="K33" s="505">
        <f ca="1">分配表!O869</f>
        <v>238.938076923077</v>
      </c>
      <c r="L33" s="505">
        <f ca="1" t="shared" si="8"/>
        <v>0.0336042761872272</v>
      </c>
      <c r="M33" s="506">
        <f ca="1" t="shared" si="9"/>
        <v>8.02934112856801</v>
      </c>
      <c r="N33" s="507">
        <f ca="1">分配表!O799</f>
        <v>26</v>
      </c>
      <c r="O33" s="496">
        <f ca="1" t="shared" si="10"/>
        <v>6212.38999999999</v>
      </c>
      <c r="P33" s="475"/>
    </row>
    <row r="34" s="459" customFormat="1" customHeight="1" spans="1:16">
      <c r="A34" s="502" t="s">
        <v>191</v>
      </c>
      <c r="B34" s="503"/>
      <c r="C34" s="504">
        <f ca="1">OFFSET(分配表!C870,0,mth-1,1,1)</f>
        <v>0</v>
      </c>
      <c r="D34" s="505">
        <f ca="1" t="shared" si="6"/>
        <v>0</v>
      </c>
      <c r="E34" s="506">
        <f ca="1" t="shared" si="7"/>
        <v>0</v>
      </c>
      <c r="F34" s="507">
        <f ca="1">OFFSET(分配表!C800,0,mth-1,1,1)</f>
        <v>0</v>
      </c>
      <c r="G34" s="496">
        <f ca="1" t="shared" si="11"/>
        <v>0</v>
      </c>
      <c r="I34" s="502" t="s">
        <v>191</v>
      </c>
      <c r="J34" s="503"/>
      <c r="K34" s="505">
        <f ca="1">分配表!O870</f>
        <v>6516.96245333542</v>
      </c>
      <c r="L34" s="505">
        <f ca="1" t="shared" si="8"/>
        <v>0.132253506351316</v>
      </c>
      <c r="M34" s="506">
        <f ca="1" t="shared" si="9"/>
        <v>861.891135213483</v>
      </c>
      <c r="N34" s="507">
        <f ca="1">分配表!O800</f>
        <v>102.326</v>
      </c>
      <c r="O34" s="496">
        <f ca="1" t="shared" si="10"/>
        <v>666854.7</v>
      </c>
      <c r="P34" s="475"/>
    </row>
    <row r="35" s="459" customFormat="1" customHeight="1" spans="1:16">
      <c r="A35" s="502" t="s">
        <v>192</v>
      </c>
      <c r="B35" s="503"/>
      <c r="C35" s="504">
        <f ca="1">OFFSET(分配表!C871,0,mth-1,1,1)</f>
        <v>0</v>
      </c>
      <c r="D35" s="505">
        <f ca="1" t="shared" si="6"/>
        <v>0</v>
      </c>
      <c r="E35" s="506">
        <f ca="1" t="shared" si="7"/>
        <v>0</v>
      </c>
      <c r="F35" s="507">
        <f ca="1">OFFSET(分配表!C801,0,mth-1,1,1)</f>
        <v>0</v>
      </c>
      <c r="G35" s="496">
        <f ca="1" t="shared" si="11"/>
        <v>0</v>
      </c>
      <c r="I35" s="502" t="s">
        <v>192</v>
      </c>
      <c r="J35" s="503"/>
      <c r="K35" s="505">
        <f ca="1">分配表!O871</f>
        <v>7.47386350710901</v>
      </c>
      <c r="L35" s="505">
        <f ca="1" t="shared" si="8"/>
        <v>6.81779064952399</v>
      </c>
      <c r="M35" s="506">
        <f ca="1" t="shared" si="9"/>
        <v>50.9552367345863</v>
      </c>
      <c r="N35" s="507">
        <f ca="1">分配表!O801</f>
        <v>5275</v>
      </c>
      <c r="O35" s="496">
        <f ca="1" t="shared" si="10"/>
        <v>39424.63</v>
      </c>
      <c r="P35" s="475"/>
    </row>
    <row r="36" s="459" customFormat="1" customHeight="1" spans="1:16">
      <c r="A36" s="502" t="s">
        <v>193</v>
      </c>
      <c r="B36" s="503"/>
      <c r="C36" s="504">
        <f ca="1">OFFSET(分配表!C872,0,mth-1,1,1)</f>
        <v>0</v>
      </c>
      <c r="D36" s="505">
        <f ca="1" t="shared" si="6"/>
        <v>0</v>
      </c>
      <c r="E36" s="506">
        <f ca="1" t="shared" si="7"/>
        <v>0</v>
      </c>
      <c r="F36" s="507">
        <f ca="1">OFFSET(分配表!C802,0,mth-1,1,1)</f>
        <v>0</v>
      </c>
      <c r="G36" s="496">
        <f ca="1" t="shared" si="11"/>
        <v>0</v>
      </c>
      <c r="I36" s="502" t="s">
        <v>193</v>
      </c>
      <c r="J36" s="503"/>
      <c r="K36" s="505">
        <f ca="1">分配表!O872</f>
        <v>0</v>
      </c>
      <c r="L36" s="505">
        <f ca="1" t="shared" si="8"/>
        <v>0</v>
      </c>
      <c r="M36" s="506">
        <f ca="1" t="shared" si="9"/>
        <v>0</v>
      </c>
      <c r="N36" s="507">
        <f ca="1">分配表!O802</f>
        <v>0</v>
      </c>
      <c r="O36" s="496">
        <f ca="1" t="shared" si="10"/>
        <v>0</v>
      </c>
      <c r="P36" s="475"/>
    </row>
    <row r="37" s="459" customFormat="1" customHeight="1" spans="1:16">
      <c r="A37" s="502" t="s">
        <v>194</v>
      </c>
      <c r="B37" s="503"/>
      <c r="C37" s="504">
        <f ca="1">OFFSET(分配表!C873,0,mth-1,1,1)</f>
        <v>0</v>
      </c>
      <c r="D37" s="505">
        <f ca="1" t="shared" si="6"/>
        <v>0</v>
      </c>
      <c r="E37" s="506">
        <f ca="1" t="shared" si="7"/>
        <v>0</v>
      </c>
      <c r="F37" s="507">
        <f ca="1">OFFSET(分配表!C803,0,mth-1,1,1)</f>
        <v>0</v>
      </c>
      <c r="G37" s="496">
        <f ca="1" t="shared" si="11"/>
        <v>0</v>
      </c>
      <c r="I37" s="502" t="s">
        <v>194</v>
      </c>
      <c r="J37" s="503"/>
      <c r="K37" s="505">
        <f ca="1">分配表!O873</f>
        <v>44.8521052631579</v>
      </c>
      <c r="L37" s="505">
        <f ca="1" t="shared" si="8"/>
        <v>0.0736709131796905</v>
      </c>
      <c r="M37" s="506">
        <f ca="1" t="shared" si="9"/>
        <v>3.30429555276844</v>
      </c>
      <c r="N37" s="507">
        <f ca="1">分配表!O803</f>
        <v>57</v>
      </c>
      <c r="O37" s="496">
        <f ca="1" t="shared" si="10"/>
        <v>2556.57</v>
      </c>
      <c r="P37" s="475"/>
    </row>
    <row r="38" s="459" customFormat="1" customHeight="1" spans="1:16">
      <c r="A38" s="502" t="s">
        <v>195</v>
      </c>
      <c r="B38" s="503"/>
      <c r="C38" s="504">
        <f ca="1">OFFSET(分配表!C874,0,mth-1,1,1)</f>
        <v>0</v>
      </c>
      <c r="D38" s="505">
        <f ca="1" t="shared" si="6"/>
        <v>0</v>
      </c>
      <c r="E38" s="506">
        <f ca="1" t="shared" si="7"/>
        <v>0</v>
      </c>
      <c r="F38" s="507">
        <f ca="1">OFFSET(分配表!C804,0,mth-1,1,1)</f>
        <v>0</v>
      </c>
      <c r="G38" s="496">
        <f ca="1" t="shared" si="11"/>
        <v>0</v>
      </c>
      <c r="I38" s="502" t="s">
        <v>195</v>
      </c>
      <c r="J38" s="503"/>
      <c r="K38" s="505">
        <f ca="1">分配表!O874</f>
        <v>38.9379166666667</v>
      </c>
      <c r="L38" s="505">
        <f ca="1" t="shared" si="8"/>
        <v>0.0620386637302657</v>
      </c>
      <c r="M38" s="506">
        <f ca="1" t="shared" si="9"/>
        <v>2.41565631844044</v>
      </c>
      <c r="N38" s="507">
        <f ca="1">分配表!O804</f>
        <v>48</v>
      </c>
      <c r="O38" s="496">
        <f ca="1" t="shared" si="10"/>
        <v>1869.02</v>
      </c>
      <c r="P38" s="475"/>
    </row>
    <row r="39" s="459" customFormat="1" customHeight="1" spans="1:16">
      <c r="A39" s="502" t="s">
        <v>196</v>
      </c>
      <c r="B39" s="503"/>
      <c r="C39" s="504">
        <f ca="1">OFFSET(分配表!C875,0,mth-1,1,1)</f>
        <v>0</v>
      </c>
      <c r="D39" s="505">
        <f ca="1" t="shared" si="6"/>
        <v>0</v>
      </c>
      <c r="E39" s="506">
        <f ca="1" t="shared" si="7"/>
        <v>0</v>
      </c>
      <c r="F39" s="507">
        <f ca="1">OFFSET(分配表!C805,0,mth-1,1,1)</f>
        <v>0</v>
      </c>
      <c r="G39" s="496">
        <f ca="1" t="shared" si="11"/>
        <v>0</v>
      </c>
      <c r="I39" s="502" t="s">
        <v>196</v>
      </c>
      <c r="J39" s="503"/>
      <c r="K39" s="505">
        <f ca="1">分配表!O875</f>
        <v>0</v>
      </c>
      <c r="L39" s="505">
        <f ca="1" t="shared" si="8"/>
        <v>0</v>
      </c>
      <c r="M39" s="506">
        <f ca="1" t="shared" si="9"/>
        <v>0</v>
      </c>
      <c r="N39" s="507">
        <f ca="1">分配表!O805</f>
        <v>0</v>
      </c>
      <c r="O39" s="496">
        <f ca="1" t="shared" si="10"/>
        <v>0</v>
      </c>
      <c r="P39" s="475"/>
    </row>
    <row r="40" s="459" customFormat="1" customHeight="1" spans="1:16">
      <c r="A40" s="502" t="s">
        <v>197</v>
      </c>
      <c r="B40" s="503"/>
      <c r="C40" s="504">
        <f ca="1">OFFSET(分配表!C876,0,mth-1,1,1)</f>
        <v>0</v>
      </c>
      <c r="D40" s="505">
        <f ca="1" t="shared" si="6"/>
        <v>0</v>
      </c>
      <c r="E40" s="506">
        <f ca="1" t="shared" si="7"/>
        <v>0</v>
      </c>
      <c r="F40" s="507">
        <f ca="1">OFFSET(分配表!C806,0,mth-1,1,1)</f>
        <v>0</v>
      </c>
      <c r="G40" s="496">
        <f ca="1" t="shared" si="11"/>
        <v>0</v>
      </c>
      <c r="I40" s="502" t="s">
        <v>197</v>
      </c>
      <c r="J40" s="503"/>
      <c r="K40" s="505">
        <f ca="1">分配表!O876</f>
        <v>0</v>
      </c>
      <c r="L40" s="505">
        <f ca="1" t="shared" si="8"/>
        <v>0</v>
      </c>
      <c r="M40" s="506">
        <f ca="1" t="shared" si="9"/>
        <v>0</v>
      </c>
      <c r="N40" s="507">
        <f ca="1">分配表!O806</f>
        <v>0</v>
      </c>
      <c r="O40" s="496">
        <f ca="1" t="shared" si="10"/>
        <v>0</v>
      </c>
      <c r="P40" s="475"/>
    </row>
    <row r="41" s="459" customFormat="1" customHeight="1" spans="1:16">
      <c r="A41" s="502" t="s">
        <v>198</v>
      </c>
      <c r="B41" s="503"/>
      <c r="C41" s="504">
        <f ca="1">OFFSET(分配表!C877,0,mth-1,1,1)</f>
        <v>0</v>
      </c>
      <c r="D41" s="505">
        <f ca="1" t="shared" si="6"/>
        <v>0</v>
      </c>
      <c r="E41" s="506">
        <f ca="1" t="shared" si="7"/>
        <v>0</v>
      </c>
      <c r="F41" s="507">
        <f ca="1">OFFSET(分配表!C807,0,mth-1,1,1)</f>
        <v>0</v>
      </c>
      <c r="G41" s="496">
        <f ca="1" t="shared" si="11"/>
        <v>0</v>
      </c>
      <c r="I41" s="502" t="s">
        <v>198</v>
      </c>
      <c r="J41" s="503"/>
      <c r="K41" s="505">
        <f ca="1">分配表!O877</f>
        <v>22.6538670060135</v>
      </c>
      <c r="L41" s="505">
        <f ca="1" t="shared" si="8"/>
        <v>1.66161125754741</v>
      </c>
      <c r="M41" s="506">
        <f ca="1" t="shared" si="9"/>
        <v>37.6419204441739</v>
      </c>
      <c r="N41" s="507">
        <f ca="1">分配表!O807</f>
        <v>1285.607</v>
      </c>
      <c r="O41" s="496">
        <f ca="1" t="shared" si="10"/>
        <v>29123.97</v>
      </c>
      <c r="P41" s="475"/>
    </row>
    <row r="42" s="459" customFormat="1" customHeight="1" spans="1:16">
      <c r="A42" s="502" t="s">
        <v>199</v>
      </c>
      <c r="B42" s="503"/>
      <c r="C42" s="504">
        <f ca="1">OFFSET(分配表!C878,0,mth-1,1,1)</f>
        <v>0</v>
      </c>
      <c r="D42" s="505">
        <f ca="1" t="shared" si="6"/>
        <v>0</v>
      </c>
      <c r="E42" s="506">
        <f ca="1" t="shared" si="7"/>
        <v>0</v>
      </c>
      <c r="F42" s="507">
        <f ca="1">OFFSET(分配表!C808,0,mth-1,1,1)</f>
        <v>0</v>
      </c>
      <c r="G42" s="496">
        <f ca="1" t="shared" si="11"/>
        <v>0</v>
      </c>
      <c r="I42" s="502" t="s">
        <v>199</v>
      </c>
      <c r="J42" s="503"/>
      <c r="K42" s="505">
        <f ca="1">分配表!O878</f>
        <v>0</v>
      </c>
      <c r="L42" s="505">
        <f ca="1" t="shared" si="8"/>
        <v>0</v>
      </c>
      <c r="M42" s="506">
        <f ca="1" t="shared" si="9"/>
        <v>0</v>
      </c>
      <c r="N42" s="507">
        <f ca="1">分配表!O808</f>
        <v>0</v>
      </c>
      <c r="O42" s="496">
        <f ca="1" t="shared" si="10"/>
        <v>0</v>
      </c>
      <c r="P42" s="475"/>
    </row>
    <row r="43" s="459" customFormat="1" customHeight="1" spans="1:16">
      <c r="A43" s="502" t="s">
        <v>200</v>
      </c>
      <c r="B43" s="503"/>
      <c r="C43" s="504">
        <f ca="1">OFFSET(分配表!C879,0,mth-1,1,1)</f>
        <v>0</v>
      </c>
      <c r="D43" s="505">
        <f ca="1" t="shared" si="6"/>
        <v>0</v>
      </c>
      <c r="E43" s="506">
        <f ca="1" t="shared" si="7"/>
        <v>0</v>
      </c>
      <c r="F43" s="507">
        <f ca="1">OFFSET(分配表!C809,0,mth-1,1,1)</f>
        <v>0</v>
      </c>
      <c r="G43" s="496">
        <f ca="1" t="shared" si="11"/>
        <v>0</v>
      </c>
      <c r="I43" s="502" t="s">
        <v>200</v>
      </c>
      <c r="J43" s="503"/>
      <c r="K43" s="505">
        <f ca="1">分配表!O879</f>
        <v>0</v>
      </c>
      <c r="L43" s="505">
        <f ca="1" t="shared" si="8"/>
        <v>0</v>
      </c>
      <c r="M43" s="506">
        <f ca="1" t="shared" si="9"/>
        <v>0</v>
      </c>
      <c r="N43" s="507">
        <f ca="1">分配表!O809</f>
        <v>0</v>
      </c>
      <c r="O43" s="496">
        <f ca="1" t="shared" si="10"/>
        <v>0</v>
      </c>
      <c r="P43" s="475"/>
    </row>
    <row r="44" s="459" customFormat="1" customHeight="1" spans="1:16">
      <c r="A44" s="502" t="s">
        <v>205</v>
      </c>
      <c r="B44" s="503"/>
      <c r="C44" s="504">
        <f ca="1">OFFSET(分配表!C880,0,mth-1,1,1)</f>
        <v>0</v>
      </c>
      <c r="D44" s="505">
        <f ca="1" t="shared" ref="D44:D46" si="12">IF(VALUE($F$3)=0,0,F44/$F$3)</f>
        <v>0</v>
      </c>
      <c r="E44" s="506">
        <f ca="1" t="shared" ref="E44:E46" si="13">C44*D44</f>
        <v>0</v>
      </c>
      <c r="F44" s="507">
        <f ca="1">OFFSET(分配表!C810,0,mth-1,1,1)</f>
        <v>0</v>
      </c>
      <c r="G44" s="496">
        <f ca="1" t="shared" ref="G44:G46" si="14">E44*$F$3</f>
        <v>0</v>
      </c>
      <c r="I44" s="502" t="s">
        <v>205</v>
      </c>
      <c r="J44" s="503"/>
      <c r="K44" s="505">
        <f ca="1">分配表!O880</f>
        <v>0</v>
      </c>
      <c r="L44" s="505">
        <f ca="1" t="shared" ref="L44:L46" si="15">IF($N$3=0,0,N44/$N$3)</f>
        <v>0</v>
      </c>
      <c r="M44" s="506">
        <f ca="1" t="shared" ref="M44:M46" si="16">K44*L44</f>
        <v>0</v>
      </c>
      <c r="N44" s="507">
        <f ca="1">分配表!O810</f>
        <v>0</v>
      </c>
      <c r="O44" s="496">
        <f ca="1" t="shared" ref="O44:O46" si="17">K44*N44</f>
        <v>0</v>
      </c>
      <c r="P44" s="475"/>
    </row>
    <row r="45" s="459" customFormat="1" customHeight="1" spans="1:16">
      <c r="A45" s="502" t="s">
        <v>203</v>
      </c>
      <c r="B45" s="503"/>
      <c r="C45" s="504">
        <f ca="1">OFFSET(分配表!C881,0,mth-1,1,1)</f>
        <v>0</v>
      </c>
      <c r="D45" s="505">
        <f ca="1" t="shared" si="12"/>
        <v>0</v>
      </c>
      <c r="E45" s="506">
        <f ca="1" t="shared" si="13"/>
        <v>0</v>
      </c>
      <c r="F45" s="507">
        <f ca="1">OFFSET(分配表!C811,0,mth-1,1,1)</f>
        <v>0</v>
      </c>
      <c r="G45" s="496">
        <f ca="1" t="shared" si="14"/>
        <v>0</v>
      </c>
      <c r="I45" s="502" t="s">
        <v>203</v>
      </c>
      <c r="J45" s="503"/>
      <c r="K45" s="505">
        <f ca="1">分配表!O881</f>
        <v>0</v>
      </c>
      <c r="L45" s="505">
        <f ca="1" t="shared" si="15"/>
        <v>0</v>
      </c>
      <c r="M45" s="506">
        <f ca="1" t="shared" si="16"/>
        <v>0</v>
      </c>
      <c r="N45" s="507">
        <f ca="1">分配表!O811</f>
        <v>0</v>
      </c>
      <c r="O45" s="496">
        <f ca="1" t="shared" si="17"/>
        <v>0</v>
      </c>
      <c r="P45" s="475"/>
    </row>
    <row r="46" s="459" customFormat="1" customHeight="1" spans="1:16">
      <c r="A46" s="502" t="s">
        <v>206</v>
      </c>
      <c r="B46" s="503"/>
      <c r="C46" s="504">
        <f ca="1">OFFSET(分配表!C882,0,mth-1,1,1)</f>
        <v>0</v>
      </c>
      <c r="D46" s="505">
        <f ca="1" t="shared" si="12"/>
        <v>0</v>
      </c>
      <c r="E46" s="506">
        <f ca="1" t="shared" si="13"/>
        <v>0</v>
      </c>
      <c r="F46" s="507">
        <f ca="1">OFFSET(分配表!C812,0,mth-1,1,1)</f>
        <v>0</v>
      </c>
      <c r="G46" s="496">
        <f ca="1" t="shared" si="14"/>
        <v>0</v>
      </c>
      <c r="I46" s="502" t="s">
        <v>206</v>
      </c>
      <c r="J46" s="503"/>
      <c r="K46" s="505">
        <f ca="1">分配表!O882</f>
        <v>493.748148148148</v>
      </c>
      <c r="L46" s="505">
        <f ca="1" t="shared" si="15"/>
        <v>0.348967483482744</v>
      </c>
      <c r="M46" s="506">
        <f ca="1" t="shared" si="16"/>
        <v>172.302048733525</v>
      </c>
      <c r="N46" s="507">
        <f ca="1">分配表!O812</f>
        <v>270</v>
      </c>
      <c r="O46" s="496">
        <f ca="1" t="shared" si="17"/>
        <v>133312</v>
      </c>
      <c r="P46" s="475"/>
    </row>
    <row r="47" s="459" customFormat="1" customHeight="1" spans="1:16">
      <c r="A47" s="502" t="str">
        <f>分配表!A883</f>
        <v>食品级六偏磷酸钠_通用_含量≥67%_通用</v>
      </c>
      <c r="B47" s="503"/>
      <c r="C47" s="504">
        <f ca="1">OFFSET(分配表!C883,0,mth-1,1,1)</f>
        <v>0</v>
      </c>
      <c r="D47" s="505">
        <f ca="1" t="shared" ref="D47" si="18">IF(VALUE($F$3)=0,0,F47/$F$3)</f>
        <v>0</v>
      </c>
      <c r="E47" s="506">
        <f ca="1" t="shared" ref="E47" si="19">C47*D47</f>
        <v>0</v>
      </c>
      <c r="F47" s="507">
        <f ca="1">OFFSET(分配表!C813,0,mth-1,1,1)</f>
        <v>0</v>
      </c>
      <c r="G47" s="496">
        <f ca="1" t="shared" ref="G47" si="20">E47*$F$3</f>
        <v>0</v>
      </c>
      <c r="I47" s="502" t="str">
        <f>A47</f>
        <v>食品级六偏磷酸钠_通用_含量≥67%_通用</v>
      </c>
      <c r="J47" s="503"/>
      <c r="K47" s="505">
        <f ca="1">分配表!O883</f>
        <v>10.7705</v>
      </c>
      <c r="L47" s="505">
        <f ca="1" t="shared" ref="L47" si="21">IF($N$3=0,0,N47/$N$3)</f>
        <v>0.025849443220944</v>
      </c>
      <c r="M47" s="506">
        <f ca="1" t="shared" ref="M47" si="22">K47*L47</f>
        <v>0.278411428211178</v>
      </c>
      <c r="N47" s="507">
        <f ca="1">分配表!O813</f>
        <v>20</v>
      </c>
      <c r="O47" s="496">
        <f ca="1" t="shared" ref="O47" si="23">K47*N47</f>
        <v>215.41</v>
      </c>
      <c r="P47" s="475"/>
    </row>
    <row r="48" s="459" customFormat="1" customHeight="1" spans="1:16">
      <c r="A48" s="502" t="str">
        <f>分配表!A884</f>
        <v>无水柠檬酸_细目</v>
      </c>
      <c r="B48" s="503"/>
      <c r="C48" s="504">
        <f ca="1">OFFSET(分配表!C884,0,mth-1,1,1)</f>
        <v>0</v>
      </c>
      <c r="D48" s="505">
        <f ca="1" t="shared" ref="D48" si="24">IF(VALUE($F$3)=0,0,F48/$F$3)</f>
        <v>0</v>
      </c>
      <c r="E48" s="506">
        <f ca="1" t="shared" ref="E48" si="25">C48*D48</f>
        <v>0</v>
      </c>
      <c r="F48" s="507">
        <f ca="1">OFFSET(分配表!C814,0,mth-1,1,1)</f>
        <v>0</v>
      </c>
      <c r="G48" s="496">
        <f ca="1" t="shared" ref="G48" si="26">E48*$F$3</f>
        <v>0</v>
      </c>
      <c r="I48" s="502" t="str">
        <f>A48</f>
        <v>无水柠檬酸_细目</v>
      </c>
      <c r="J48" s="503"/>
      <c r="K48" s="505">
        <f ca="1">分配表!O884</f>
        <v>5442.47929163096</v>
      </c>
      <c r="L48" s="505">
        <f ca="1" t="shared" ref="L48" si="27">IF($N$3=0,0,N48/$N$3)</f>
        <v>0.00452494503582625</v>
      </c>
      <c r="M48" s="506">
        <f ca="1" t="shared" ref="M48" si="28">K48*L48</f>
        <v>24.6269196532527</v>
      </c>
      <c r="N48" s="507">
        <f ca="1">分配表!O814</f>
        <v>3.501</v>
      </c>
      <c r="O48" s="496">
        <f ca="1" t="shared" ref="O48" si="29">K48*N48</f>
        <v>19054.12</v>
      </c>
      <c r="P48" s="475"/>
    </row>
    <row r="49" s="459" customFormat="1" customHeight="1" spans="1:18">
      <c r="A49" s="502"/>
      <c r="B49" s="503"/>
      <c r="C49" s="504"/>
      <c r="D49" s="505"/>
      <c r="E49" s="506"/>
      <c r="F49" s="507"/>
      <c r="G49" s="507"/>
      <c r="I49" s="502"/>
      <c r="J49" s="503"/>
      <c r="K49" s="505"/>
      <c r="L49" s="505"/>
      <c r="M49" s="506"/>
      <c r="N49" s="507"/>
      <c r="O49" s="507"/>
      <c r="P49" s="475"/>
    </row>
    <row r="50" s="459" customFormat="1" customHeight="1" spans="1:18">
      <c r="A50" s="508" t="s">
        <v>93</v>
      </c>
      <c r="B50" s="490"/>
      <c r="C50" s="501"/>
      <c r="D50" s="492"/>
      <c r="E50" s="491"/>
      <c r="F50" s="491"/>
      <c r="G50" s="491"/>
      <c r="I50" s="508" t="s">
        <v>93</v>
      </c>
      <c r="J50" s="490"/>
      <c r="K50" s="501"/>
      <c r="L50" s="492"/>
      <c r="M50" s="491"/>
      <c r="N50" s="491"/>
      <c r="O50" s="491"/>
      <c r="P50" s="475"/>
    </row>
    <row r="51" s="459" customFormat="1" customHeight="1" spans="1:18">
      <c r="A51" s="508" t="s">
        <v>208</v>
      </c>
      <c r="B51" s="490"/>
      <c r="C51" s="501"/>
      <c r="D51" s="492"/>
      <c r="E51" s="491">
        <f ca="1">SUM(E52:E55)</f>
        <v>0</v>
      </c>
      <c r="F51" s="491"/>
      <c r="G51" s="491">
        <f ca="1">SUM(G52:G55)</f>
        <v>0</v>
      </c>
      <c r="I51" s="508" t="s">
        <v>208</v>
      </c>
      <c r="J51" s="490"/>
      <c r="K51" s="501"/>
      <c r="L51" s="492"/>
      <c r="M51" s="491" t="e">
        <f ca="1">SUM(M52:M55)</f>
        <v>#DIV/0!</v>
      </c>
      <c r="N51" s="491"/>
      <c r="O51" s="491" t="e">
        <f ca="1">SUM(O52:O55)</f>
        <v>#DIV/0!</v>
      </c>
      <c r="P51" s="475"/>
    </row>
    <row r="52" s="459" customFormat="1" customHeight="1" spans="1:18">
      <c r="A52" s="494" t="s">
        <v>95</v>
      </c>
      <c r="B52" s="495" t="s">
        <v>75</v>
      </c>
      <c r="C52" s="505">
        <f ca="1">OFFSET(分配表!C305,0,mth-1,1,1)</f>
        <v>0</v>
      </c>
      <c r="D52" s="505">
        <f ca="1">IF(VALUE($F$3)=0,0,F52/$F$3)</f>
        <v>0</v>
      </c>
      <c r="E52" s="509">
        <f ca="1">C52*D52</f>
        <v>0</v>
      </c>
      <c r="F52" s="509" t="e">
        <f ca="1">OFFSET(分配表!C317,0,mth-1,1,1)</f>
        <v>#DIV/0!</v>
      </c>
      <c r="G52" s="509">
        <f ca="1">E52*F$3</f>
        <v>0</v>
      </c>
      <c r="H52" s="510"/>
      <c r="I52" s="494" t="s">
        <v>95</v>
      </c>
      <c r="J52" s="495" t="s">
        <v>75</v>
      </c>
      <c r="K52" s="505">
        <f ca="1">分配表!O305</f>
        <v>374.799025538744</v>
      </c>
      <c r="L52" s="505" t="e">
        <f ca="1">IF($N$3=0,0,N52/$N$3)</f>
        <v>#DIV/0!</v>
      </c>
      <c r="M52" s="509" t="e">
        <f ca="1">K52*L52</f>
        <v>#DIV/0!</v>
      </c>
      <c r="N52" s="496" t="e">
        <f ca="1">分配表!O317</f>
        <v>#DIV/0!</v>
      </c>
      <c r="O52" s="509" t="e">
        <f ca="1">M52*N$3</f>
        <v>#DIV/0!</v>
      </c>
      <c r="P52" s="475"/>
      <c r="Q52" s="511"/>
      <c r="R52" s="511"/>
    </row>
    <row r="53" s="459" customFormat="1" customHeight="1" spans="1:18">
      <c r="A53" s="494" t="s">
        <v>96</v>
      </c>
      <c r="B53" s="495" t="s">
        <v>97</v>
      </c>
      <c r="C53" s="505">
        <f ca="1">OFFSET(分配表!C324,0,mth-1,1,1)</f>
        <v>0</v>
      </c>
      <c r="D53" s="505">
        <f ca="1">IF(VALUE($F$3)=0,0,F53/$F$3)</f>
        <v>0</v>
      </c>
      <c r="E53" s="509">
        <f ca="1">C53*D53</f>
        <v>0</v>
      </c>
      <c r="F53" s="509" t="e">
        <f ca="1">OFFSET(分配表!C336,0,mth-1,1,1)</f>
        <v>#DIV/0!</v>
      </c>
      <c r="G53" s="509">
        <f ca="1">E53*F$3</f>
        <v>0</v>
      </c>
      <c r="I53" s="494" t="s">
        <v>96</v>
      </c>
      <c r="J53" s="495" t="s">
        <v>97</v>
      </c>
      <c r="K53" s="505">
        <f ca="1">分配表!O324</f>
        <v>0.680636799672716</v>
      </c>
      <c r="L53" s="505" t="e">
        <f ca="1">IF($N$3=0,0,N53/$N$3)</f>
        <v>#DIV/0!</v>
      </c>
      <c r="M53" s="509" t="e">
        <f ca="1">K53*L53</f>
        <v>#DIV/0!</v>
      </c>
      <c r="N53" s="496" t="e">
        <f ca="1">分配表!O336</f>
        <v>#DIV/0!</v>
      </c>
      <c r="O53" s="509" t="e">
        <f ca="1">M53*N$3</f>
        <v>#DIV/0!</v>
      </c>
      <c r="P53" s="475"/>
    </row>
    <row r="54" s="459" customFormat="1" customHeight="1" spans="1:18">
      <c r="A54" s="494" t="s">
        <v>98</v>
      </c>
      <c r="B54" s="495" t="s">
        <v>75</v>
      </c>
      <c r="C54" s="505">
        <f ca="1">OFFSET(分配表!C343,0,mth-1,1,1)</f>
        <v>0</v>
      </c>
      <c r="D54" s="505">
        <f ca="1">IF(VALUE($F$3)=0,0,F54/$F$3)</f>
        <v>0</v>
      </c>
      <c r="E54" s="509">
        <f ca="1">C54*D54</f>
        <v>0</v>
      </c>
      <c r="F54" s="509" t="e">
        <f ca="1">OFFSET(分配表!C354,0,mth-1,1,1)</f>
        <v>#DIV/0!</v>
      </c>
      <c r="G54" s="509">
        <f ca="1">E54*F$3</f>
        <v>0</v>
      </c>
      <c r="I54" s="494" t="s">
        <v>98</v>
      </c>
      <c r="J54" s="495" t="s">
        <v>75</v>
      </c>
      <c r="K54" s="505">
        <f ca="1">分配表!O343</f>
        <v>5.8950402489434</v>
      </c>
      <c r="L54" s="505" t="e">
        <f ca="1">IF($N$3=0,0,N54/$N$3)</f>
        <v>#DIV/0!</v>
      </c>
      <c r="M54" s="509" t="e">
        <f ca="1">K54*L54</f>
        <v>#DIV/0!</v>
      </c>
      <c r="N54" s="496" t="e">
        <f ca="1">分配表!O354</f>
        <v>#DIV/0!</v>
      </c>
      <c r="O54" s="509" t="e">
        <f ca="1">M54*N$3</f>
        <v>#DIV/0!</v>
      </c>
      <c r="P54" s="475"/>
    </row>
    <row r="55" s="459" customFormat="1" customHeight="1" spans="1:18">
      <c r="A55" s="494" t="s">
        <v>99</v>
      </c>
      <c r="B55" s="495" t="s">
        <v>100</v>
      </c>
      <c r="C55" s="505">
        <f ca="1">OFFSET(分配表!C360,0,mth-1,1,1)</f>
        <v>0</v>
      </c>
      <c r="D55" s="505">
        <f ca="1">IF(VALUE($F$3)=0,0,F55/$F$3)</f>
        <v>0</v>
      </c>
      <c r="E55" s="509">
        <f ca="1">C55*D55</f>
        <v>0</v>
      </c>
      <c r="F55" s="509">
        <f ca="1">OFFSET(分配表!C369,0,mth-1,1,1)</f>
        <v>0</v>
      </c>
      <c r="G55" s="509">
        <f ca="1">E55*F$3</f>
        <v>0</v>
      </c>
      <c r="I55" s="494" t="s">
        <v>99</v>
      </c>
      <c r="J55" s="495" t="s">
        <v>100</v>
      </c>
      <c r="K55" s="505">
        <f>分配表!O360</f>
        <v>0</v>
      </c>
      <c r="L55" s="505">
        <f ca="1">IF($N$3=0,0,N55/$N$3)</f>
        <v>0</v>
      </c>
      <c r="M55" s="509">
        <f ca="1">K55*L55</f>
        <v>0</v>
      </c>
      <c r="N55" s="496">
        <f>分配表!O370</f>
        <v>0</v>
      </c>
      <c r="O55" s="509">
        <f ca="1">M55*N$3</f>
        <v>0</v>
      </c>
      <c r="P55" s="475"/>
    </row>
    <row r="56" s="459" customFormat="1" customHeight="1" spans="1:18">
      <c r="A56" s="508" t="s">
        <v>165</v>
      </c>
      <c r="B56" s="490"/>
      <c r="C56" s="501"/>
      <c r="D56" s="492"/>
      <c r="E56" s="491">
        <f ca="1">IF(VALUE($F$3)=0,0,G56/$F$3)</f>
        <v>0</v>
      </c>
      <c r="F56" s="491"/>
      <c r="G56" s="491" t="e">
        <f ca="1">OFFSET(分配表!C382,0,mth-1,1,1)</f>
        <v>#DIV/0!</v>
      </c>
      <c r="H56" s="483"/>
      <c r="I56" s="508" t="s">
        <v>165</v>
      </c>
      <c r="J56" s="490"/>
      <c r="K56" s="501"/>
      <c r="L56" s="492"/>
      <c r="M56" s="491" t="e">
        <f ca="1">IF($N$3=0,,O56/$N$3)</f>
        <v>#DIV/0!</v>
      </c>
      <c r="N56" s="491"/>
      <c r="O56" s="491" t="e">
        <f ca="1">分配表!O382</f>
        <v>#DIV/0!</v>
      </c>
      <c r="P56" s="475"/>
    </row>
    <row r="57" s="459" customFormat="1" customHeight="1" spans="1:18">
      <c r="A57" s="508" t="s">
        <v>102</v>
      </c>
      <c r="B57" s="490"/>
      <c r="C57" s="501"/>
      <c r="D57" s="492"/>
      <c r="E57" s="491">
        <f ca="1">IF(VALUE($F$3)=0,0,G57/$F$3)</f>
        <v>0</v>
      </c>
      <c r="F57" s="491"/>
      <c r="G57" s="491" t="e">
        <f ca="1">G56</f>
        <v>#DIV/0!</v>
      </c>
      <c r="H57" s="483"/>
      <c r="I57" s="508" t="s">
        <v>102</v>
      </c>
      <c r="J57" s="490"/>
      <c r="K57" s="501"/>
      <c r="L57" s="492"/>
      <c r="M57" s="491" t="e">
        <f ca="1">M56</f>
        <v>#DIV/0!</v>
      </c>
      <c r="N57" s="491"/>
      <c r="O57" s="491" t="e">
        <f ca="1">O56</f>
        <v>#DIV/0!</v>
      </c>
      <c r="P57" s="475"/>
    </row>
    <row r="58" s="459" customFormat="1" customHeight="1" spans="1:18">
      <c r="A58" s="508" t="s">
        <v>103</v>
      </c>
      <c r="B58" s="490"/>
      <c r="C58" s="501"/>
      <c r="D58" s="492"/>
      <c r="E58" s="501"/>
      <c r="F58" s="491"/>
      <c r="G58" s="491"/>
      <c r="H58" s="483"/>
      <c r="I58" s="508" t="s">
        <v>103</v>
      </c>
      <c r="J58" s="490"/>
      <c r="K58" s="501"/>
      <c r="L58" s="492"/>
      <c r="M58" s="491"/>
      <c r="N58" s="491"/>
      <c r="O58" s="491"/>
      <c r="P58" s="475"/>
    </row>
    <row r="59" s="459" customFormat="1" customHeight="1" spans="1:18">
      <c r="A59" s="508" t="s">
        <v>166</v>
      </c>
      <c r="B59" s="490"/>
      <c r="C59" s="501"/>
      <c r="D59" s="492"/>
      <c r="E59" s="501"/>
      <c r="F59" s="491"/>
      <c r="G59" s="491"/>
      <c r="I59" s="508" t="s">
        <v>166</v>
      </c>
      <c r="J59" s="490"/>
      <c r="K59" s="501"/>
      <c r="L59" s="492"/>
      <c r="M59" s="491"/>
      <c r="N59" s="491"/>
      <c r="O59" s="491"/>
      <c r="P59" s="475"/>
    </row>
    <row r="60" s="459" customFormat="1" customHeight="1" spans="1:18">
      <c r="A60" s="508" t="s">
        <v>105</v>
      </c>
      <c r="B60" s="490"/>
      <c r="C60" s="501"/>
      <c r="D60" s="492"/>
      <c r="E60" s="491" t="e">
        <f ca="1">E5-E10</f>
        <v>#DIV/0!</v>
      </c>
      <c r="F60" s="491"/>
      <c r="G60" s="491" t="e">
        <f ca="1">G5-G10</f>
        <v>#DIV/0!</v>
      </c>
      <c r="H60" s="512"/>
      <c r="I60" s="508" t="s">
        <v>105</v>
      </c>
      <c r="J60" s="490"/>
      <c r="K60" s="501"/>
      <c r="L60" s="492"/>
      <c r="M60" s="491" t="e">
        <f ca="1">M5-M10</f>
        <v>#DIV/0!</v>
      </c>
      <c r="N60" s="491"/>
      <c r="O60" s="491" t="e">
        <f ca="1">O5-O10</f>
        <v>#DIV/0!</v>
      </c>
      <c r="P60" s="475"/>
    </row>
    <row r="61" s="459" customFormat="1" customHeight="1" spans="1:18">
      <c r="A61" s="513" t="s">
        <v>106</v>
      </c>
      <c r="B61" s="485"/>
      <c r="C61" s="514"/>
      <c r="D61" s="515"/>
      <c r="E61" s="487">
        <f ca="1">SUM(E62:E68)</f>
        <v>0</v>
      </c>
      <c r="F61" s="488"/>
      <c r="G61" s="487" t="e">
        <f ca="1">SUM(G62:G68)</f>
        <v>#DIV/0!</v>
      </c>
      <c r="I61" s="513" t="s">
        <v>106</v>
      </c>
      <c r="J61" s="485"/>
      <c r="K61" s="514"/>
      <c r="L61" s="515"/>
      <c r="M61" s="487" t="e">
        <f ca="1">IF(N$3=0,0,O61/N$3)</f>
        <v>#DIV/0!</v>
      </c>
      <c r="N61" s="488"/>
      <c r="O61" s="487" t="e">
        <f ca="1">SUM(O62:O68)</f>
        <v>#DIV/0!</v>
      </c>
      <c r="P61" s="475"/>
    </row>
    <row r="62" s="459" customFormat="1" customHeight="1" spans="1:18">
      <c r="A62" s="516" t="s">
        <v>107</v>
      </c>
      <c r="B62" s="503"/>
      <c r="C62" s="505"/>
      <c r="D62" s="497"/>
      <c r="E62" s="507">
        <f ca="1" t="shared" ref="E62:E75" si="30">IF(VALUE($F$3)=0,0,G62/$F$3)</f>
        <v>0</v>
      </c>
      <c r="F62" s="517"/>
      <c r="G62" s="509" t="e">
        <f ca="1">OFFSET(分配表!C415,0,mth-1,1,1)</f>
        <v>#DIV/0!</v>
      </c>
      <c r="H62" s="483"/>
      <c r="I62" s="516" t="s">
        <v>107</v>
      </c>
      <c r="J62" s="503"/>
      <c r="K62" s="505"/>
      <c r="L62" s="497"/>
      <c r="M62" s="507" t="e">
        <f ca="1">IF($N$3=0,0,O62/$N$3)</f>
        <v>#DIV/0!</v>
      </c>
      <c r="N62" s="517"/>
      <c r="O62" s="509" t="e">
        <f ca="1">分配表!O415</f>
        <v>#DIV/0!</v>
      </c>
      <c r="P62" s="475"/>
    </row>
    <row r="63" s="459" customFormat="1" customHeight="1" spans="1:18">
      <c r="A63" s="516" t="s">
        <v>108</v>
      </c>
      <c r="B63" s="503"/>
      <c r="C63" s="505"/>
      <c r="D63" s="497"/>
      <c r="E63" s="507">
        <f ca="1" t="shared" si="30"/>
        <v>0</v>
      </c>
      <c r="F63" s="517"/>
      <c r="G63" s="509" t="e">
        <f ca="1">OFFSET(分配表!C435,0,mth-1,1,1)</f>
        <v>#DIV/0!</v>
      </c>
      <c r="H63" s="483"/>
      <c r="I63" s="516" t="s">
        <v>108</v>
      </c>
      <c r="J63" s="503"/>
      <c r="K63" s="505"/>
      <c r="L63" s="497"/>
      <c r="M63" s="507" t="e">
        <f ca="1" t="shared" ref="M63:M75" si="31">IF($N$3=0,0,O63/$N$3)</f>
        <v>#DIV/0!</v>
      </c>
      <c r="N63" s="517"/>
      <c r="O63" s="509" t="e">
        <f ca="1">分配表!O435</f>
        <v>#DIV/0!</v>
      </c>
      <c r="P63" s="475"/>
    </row>
    <row r="64" s="459" customFormat="1" customHeight="1" spans="1:18">
      <c r="A64" s="516" t="s">
        <v>109</v>
      </c>
      <c r="B64" s="503"/>
      <c r="C64" s="498"/>
      <c r="D64" s="518"/>
      <c r="E64" s="507">
        <f ca="1" t="shared" si="30"/>
        <v>0</v>
      </c>
      <c r="F64" s="517"/>
      <c r="G64" s="509" t="e">
        <f ca="1">OFFSET(分配表!C455,0,mth-1,1,1)</f>
        <v>#DIV/0!</v>
      </c>
      <c r="H64" s="483"/>
      <c r="I64" s="516" t="s">
        <v>109</v>
      </c>
      <c r="J64" s="503"/>
      <c r="K64" s="498"/>
      <c r="L64" s="518"/>
      <c r="M64" s="507" t="e">
        <f ca="1" t="shared" si="31"/>
        <v>#DIV/0!</v>
      </c>
      <c r="N64" s="517"/>
      <c r="O64" s="509" t="e">
        <f ca="1">分配表!O455</f>
        <v>#DIV/0!</v>
      </c>
      <c r="P64" s="475"/>
    </row>
    <row r="65" s="459" customFormat="1" customHeight="1" spans="1:16">
      <c r="A65" s="516" t="s">
        <v>110</v>
      </c>
      <c r="B65" s="503"/>
      <c r="C65" s="498"/>
      <c r="D65" s="518"/>
      <c r="E65" s="507">
        <f ca="1" t="shared" si="30"/>
        <v>0</v>
      </c>
      <c r="F65" s="517"/>
      <c r="G65" s="509" t="e">
        <f ca="1">OFFSET(分配表!C475,0,mth-1,1,1)</f>
        <v>#DIV/0!</v>
      </c>
      <c r="H65" s="483"/>
      <c r="I65" s="516" t="s">
        <v>110</v>
      </c>
      <c r="J65" s="503"/>
      <c r="K65" s="498"/>
      <c r="L65" s="518"/>
      <c r="M65" s="507" t="e">
        <f ca="1" t="shared" si="31"/>
        <v>#DIV/0!</v>
      </c>
      <c r="N65" s="517"/>
      <c r="O65" s="509" t="e">
        <f ca="1">分配表!O475</f>
        <v>#DIV/0!</v>
      </c>
      <c r="P65" s="475"/>
    </row>
    <row r="66" s="459" customFormat="1" customHeight="1" spans="1:16">
      <c r="A66" s="516" t="s">
        <v>111</v>
      </c>
      <c r="B66" s="503"/>
      <c r="C66" s="498"/>
      <c r="D66" s="518"/>
      <c r="E66" s="519">
        <f ca="1" t="shared" si="30"/>
        <v>0</v>
      </c>
      <c r="F66" s="520"/>
      <c r="G66" s="521" t="e">
        <f ca="1">OFFSET(分配表!C495,0,mth-1,1,1)</f>
        <v>#DIV/0!</v>
      </c>
      <c r="H66" s="483"/>
      <c r="I66" s="516" t="s">
        <v>111</v>
      </c>
      <c r="J66" s="503"/>
      <c r="K66" s="498"/>
      <c r="L66" s="518"/>
      <c r="M66" s="507" t="e">
        <f ca="1" t="shared" si="31"/>
        <v>#DIV/0!</v>
      </c>
      <c r="N66" s="509"/>
      <c r="O66" s="509" t="e">
        <f ca="1">分配表!O495</f>
        <v>#DIV/0!</v>
      </c>
      <c r="P66" s="475"/>
    </row>
    <row r="67" s="459" customFormat="1" customHeight="1" spans="1:16">
      <c r="A67" s="516" t="s">
        <v>112</v>
      </c>
      <c r="B67" s="503"/>
      <c r="C67" s="498"/>
      <c r="D67" s="522"/>
      <c r="E67" s="507">
        <f ca="1" t="shared" si="30"/>
        <v>0</v>
      </c>
      <c r="F67" s="517"/>
      <c r="G67" s="509" t="e">
        <f ca="1">OFFSET(分配表!C511,0,mth-1,1,1)</f>
        <v>#DIV/0!</v>
      </c>
      <c r="H67" s="483"/>
      <c r="I67" s="516" t="s">
        <v>112</v>
      </c>
      <c r="J67" s="503"/>
      <c r="K67" s="498"/>
      <c r="L67" s="518"/>
      <c r="M67" s="507" t="e">
        <f ca="1" t="shared" si="31"/>
        <v>#DIV/0!</v>
      </c>
      <c r="N67" s="509"/>
      <c r="O67" s="509" t="e">
        <f ca="1">分配表!O511</f>
        <v>#DIV/0!</v>
      </c>
      <c r="P67" s="475"/>
    </row>
    <row r="68" s="459" customFormat="1" customHeight="1" spans="1:16">
      <c r="A68" s="516" t="s">
        <v>113</v>
      </c>
      <c r="B68" s="503"/>
      <c r="C68" s="498"/>
      <c r="D68" s="522"/>
      <c r="E68" s="507">
        <f ca="1" t="shared" si="30"/>
        <v>0</v>
      </c>
      <c r="F68" s="517"/>
      <c r="G68" s="509" t="e">
        <f ca="1">OFFSET(分配表!C533,0,mth-1,1,1)</f>
        <v>#DIV/0!</v>
      </c>
      <c r="I68" s="516" t="s">
        <v>114</v>
      </c>
      <c r="J68" s="503"/>
      <c r="K68" s="498"/>
      <c r="L68" s="518"/>
      <c r="M68" s="507" t="e">
        <f ca="1" t="shared" si="31"/>
        <v>#DIV/0!</v>
      </c>
      <c r="N68" s="509"/>
      <c r="O68" s="509" t="e">
        <f ca="1">分配表!O533</f>
        <v>#DIV/0!</v>
      </c>
      <c r="P68" s="475"/>
    </row>
    <row r="69" s="459" customFormat="1" ht="14.25" customHeight="1" spans="1:16">
      <c r="A69" s="516" t="s">
        <v>115</v>
      </c>
      <c r="B69" s="503"/>
      <c r="C69" s="498"/>
      <c r="D69" s="518"/>
      <c r="E69" s="507">
        <f ca="1" t="shared" si="30"/>
        <v>0</v>
      </c>
      <c r="F69" s="517"/>
      <c r="G69" s="509" t="e">
        <f ca="1">OFFSET(分配表!C545,0,mth-1,1,1)</f>
        <v>#DIV/0!</v>
      </c>
      <c r="I69" s="516" t="s">
        <v>115</v>
      </c>
      <c r="J69" s="503"/>
      <c r="K69" s="498"/>
      <c r="L69" s="518"/>
      <c r="M69" s="507" t="e">
        <f ca="1" t="shared" si="31"/>
        <v>#DIV/0!</v>
      </c>
      <c r="N69" s="517"/>
      <c r="O69" s="509" t="e">
        <f ca="1">分配表!O545</f>
        <v>#DIV/0!</v>
      </c>
    </row>
    <row r="70" s="459" customFormat="1" ht="14.25" customHeight="1" spans="1:16">
      <c r="A70" s="516" t="s">
        <v>116</v>
      </c>
      <c r="B70" s="503"/>
      <c r="C70" s="498"/>
      <c r="D70" s="518"/>
      <c r="E70" s="507">
        <f ca="1" t="shared" si="30"/>
        <v>0</v>
      </c>
      <c r="F70" s="517"/>
      <c r="G70" s="509" t="e">
        <f ca="1">OFFSET(分配表!C557,0,mth-1,1,1)</f>
        <v>#DIV/0!</v>
      </c>
      <c r="I70" s="516" t="s">
        <v>116</v>
      </c>
      <c r="J70" s="503"/>
      <c r="K70" s="498"/>
      <c r="L70" s="518"/>
      <c r="M70" s="507" t="e">
        <f ca="1" t="shared" si="31"/>
        <v>#DIV/0!</v>
      </c>
      <c r="N70" s="517"/>
      <c r="O70" s="509" t="e">
        <f ca="1">分配表!O557</f>
        <v>#DIV/0!</v>
      </c>
    </row>
    <row r="71" s="459" customFormat="1" ht="14.25" customHeight="1" spans="1:16">
      <c r="A71" s="516" t="s">
        <v>117</v>
      </c>
      <c r="B71" s="503"/>
      <c r="C71" s="498"/>
      <c r="D71" s="518"/>
      <c r="E71" s="507">
        <f ca="1" t="shared" si="30"/>
        <v>0</v>
      </c>
      <c r="F71" s="517"/>
      <c r="G71" s="509" t="e">
        <f ca="1">OFFSET(分配表!C605,0,mth-1,1,1)</f>
        <v>#DIV/0!</v>
      </c>
      <c r="I71" s="516" t="s">
        <v>117</v>
      </c>
      <c r="J71" s="503"/>
      <c r="K71" s="498"/>
      <c r="L71" s="518"/>
      <c r="M71" s="507" t="e">
        <f ca="1" t="shared" si="31"/>
        <v>#DIV/0!</v>
      </c>
      <c r="N71" s="517"/>
      <c r="O71" s="509" t="e">
        <f ca="1">分配表!O605</f>
        <v>#DIV/0!</v>
      </c>
    </row>
    <row r="72" s="459" customFormat="1" ht="14.25" customHeight="1" spans="1:16">
      <c r="A72" s="516" t="s">
        <v>118</v>
      </c>
      <c r="B72" s="503"/>
      <c r="C72" s="498"/>
      <c r="D72" s="518"/>
      <c r="E72" s="507">
        <f ca="1" t="shared" si="30"/>
        <v>0</v>
      </c>
      <c r="F72" s="517"/>
      <c r="G72" s="509" t="e">
        <f ca="1">OFFSET(分配表!C569,0,mth-1,1,1)</f>
        <v>#DIV/0!</v>
      </c>
      <c r="I72" s="516" t="s">
        <v>118</v>
      </c>
      <c r="J72" s="503"/>
      <c r="K72" s="498"/>
      <c r="L72" s="518"/>
      <c r="M72" s="507" t="e">
        <f ca="1" t="shared" si="31"/>
        <v>#DIV/0!</v>
      </c>
      <c r="N72" s="517"/>
      <c r="O72" s="509" t="e">
        <f ca="1">分配表!O569</f>
        <v>#DIV/0!</v>
      </c>
    </row>
    <row r="73" s="459" customFormat="1" ht="14.25" customHeight="1" spans="1:16">
      <c r="A73" s="516" t="s">
        <v>119</v>
      </c>
      <c r="B73" s="503"/>
      <c r="C73" s="498"/>
      <c r="D73" s="518"/>
      <c r="E73" s="507">
        <f ca="1" t="shared" si="30"/>
        <v>0</v>
      </c>
      <c r="F73" s="517"/>
      <c r="G73" s="509" t="e">
        <f ca="1">OFFSET(分配表!C581,0,mth-1,1,1)</f>
        <v>#DIV/0!</v>
      </c>
      <c r="I73" s="516" t="s">
        <v>119</v>
      </c>
      <c r="J73" s="503"/>
      <c r="K73" s="498"/>
      <c r="L73" s="518"/>
      <c r="M73" s="507" t="e">
        <f ca="1" t="shared" si="31"/>
        <v>#DIV/0!</v>
      </c>
      <c r="N73" s="517"/>
      <c r="O73" s="509" t="e">
        <f ca="1">分配表!O581</f>
        <v>#DIV/0!</v>
      </c>
    </row>
    <row r="74" s="459" customFormat="1" ht="14.25" customHeight="1" spans="1:16">
      <c r="A74" s="516" t="s">
        <v>120</v>
      </c>
      <c r="B74" s="503"/>
      <c r="C74" s="498"/>
      <c r="D74" s="518"/>
      <c r="E74" s="507">
        <f ca="1" t="shared" si="30"/>
        <v>0</v>
      </c>
      <c r="F74" s="517"/>
      <c r="G74" s="509" t="e">
        <f ca="1">OFFSET(分配表!C593,0,mth-1,1,1)</f>
        <v>#DIV/0!</v>
      </c>
      <c r="I74" s="516" t="s">
        <v>120</v>
      </c>
      <c r="J74" s="503"/>
      <c r="K74" s="498"/>
      <c r="L74" s="518"/>
      <c r="M74" s="507" t="e">
        <f ca="1" t="shared" si="31"/>
        <v>#DIV/0!</v>
      </c>
      <c r="N74" s="517"/>
      <c r="O74" s="509" t="e">
        <f ca="1">分配表!O593</f>
        <v>#DIV/0!</v>
      </c>
    </row>
    <row r="75" s="459" customFormat="1" ht="14.25" customHeight="1" spans="1:16">
      <c r="A75" s="516" t="s">
        <v>121</v>
      </c>
      <c r="B75" s="503"/>
      <c r="C75" s="498"/>
      <c r="D75" s="518"/>
      <c r="E75" s="507">
        <f ca="1" t="shared" si="30"/>
        <v>0</v>
      </c>
      <c r="F75" s="517"/>
      <c r="G75" s="509" t="e">
        <f ca="1">OFFSET(分配表!C617,0,mth-1,1,1)</f>
        <v>#DIV/0!</v>
      </c>
      <c r="I75" s="516" t="s">
        <v>121</v>
      </c>
      <c r="J75" s="503"/>
      <c r="K75" s="498"/>
      <c r="L75" s="518"/>
      <c r="M75" s="507" t="e">
        <f ca="1" t="shared" si="31"/>
        <v>#DIV/0!</v>
      </c>
      <c r="N75" s="517"/>
      <c r="O75" s="509" t="e">
        <f ca="1">分配表!O617</f>
        <v>#DIV/0!</v>
      </c>
    </row>
    <row r="76" s="459" customFormat="1" ht="12" spans="1:16">
      <c r="A76" s="523" t="s">
        <v>122</v>
      </c>
      <c r="B76" s="485" t="s">
        <v>123</v>
      </c>
      <c r="C76" s="514"/>
      <c r="D76" s="515"/>
      <c r="E76" s="487" t="e">
        <f ca="1">E61+E10</f>
        <v>#DIV/0!</v>
      </c>
      <c r="F76" s="488"/>
      <c r="G76" s="487" t="e">
        <f ca="1">G61+G10</f>
        <v>#DIV/0!</v>
      </c>
      <c r="H76" s="483"/>
      <c r="I76" s="523" t="s">
        <v>122</v>
      </c>
      <c r="J76" s="485" t="s">
        <v>123</v>
      </c>
      <c r="K76" s="514"/>
      <c r="L76" s="515"/>
      <c r="M76" s="487" t="e">
        <f ca="1">M61+M10</f>
        <v>#DIV/0!</v>
      </c>
      <c r="N76" s="488"/>
      <c r="O76" s="487" t="e">
        <f ca="1">O61+O10</f>
        <v>#DIV/0!</v>
      </c>
      <c r="P76" s="475"/>
    </row>
    <row r="77" s="460" customFormat="1" customHeight="1" spans="1:16">
      <c r="A77" s="524" t="s">
        <v>124</v>
      </c>
      <c r="B77" s="525"/>
      <c r="C77" s="514"/>
      <c r="D77" s="515"/>
      <c r="E77" s="487" t="e">
        <f ca="1">E60-E61</f>
        <v>#DIV/0!</v>
      </c>
      <c r="F77" s="526"/>
      <c r="G77" s="487" t="e">
        <f ca="1">G60-G61</f>
        <v>#DIV/0!</v>
      </c>
      <c r="H77" s="527"/>
      <c r="I77" s="524" t="s">
        <v>124</v>
      </c>
      <c r="J77" s="525"/>
      <c r="K77" s="514"/>
      <c r="L77" s="515"/>
      <c r="M77" s="487" t="e">
        <f ca="1">M60-M61</f>
        <v>#DIV/0!</v>
      </c>
      <c r="N77" s="526"/>
      <c r="O77" s="487" t="e">
        <f ca="1">O60-O61</f>
        <v>#DIV/0!</v>
      </c>
      <c r="P77" s="528"/>
    </row>
    <row r="78" s="460" customFormat="1" customHeight="1" spans="1:16">
      <c r="A78" s="524" t="s">
        <v>125</v>
      </c>
      <c r="B78" s="525"/>
      <c r="C78" s="514"/>
      <c r="D78" s="515"/>
      <c r="E78" s="487" t="e">
        <f ca="1">E77+E62</f>
        <v>#DIV/0!</v>
      </c>
      <c r="F78" s="526"/>
      <c r="G78" s="487" t="e">
        <f ca="1">G77+G62</f>
        <v>#DIV/0!</v>
      </c>
      <c r="H78" s="527"/>
      <c r="I78" s="524" t="s">
        <v>125</v>
      </c>
      <c r="J78" s="525"/>
      <c r="K78" s="514"/>
      <c r="L78" s="515"/>
      <c r="M78" s="487" t="e">
        <f ca="1">M77+M62</f>
        <v>#DIV/0!</v>
      </c>
      <c r="N78" s="526"/>
      <c r="O78" s="487" t="e">
        <f ca="1">O77+O62</f>
        <v>#DIV/0!</v>
      </c>
      <c r="P78" s="528"/>
    </row>
    <row r="79" s="459" customFormat="1" customHeight="1" spans="1:16">
      <c r="A79" s="529" t="s">
        <v>126</v>
      </c>
      <c r="B79" s="530" t="s">
        <v>123</v>
      </c>
      <c r="C79" s="531"/>
      <c r="D79" s="532"/>
      <c r="E79" s="533" t="e">
        <f ca="1">E10-E19-E50+E61</f>
        <v>#DIV/0!</v>
      </c>
      <c r="F79" s="533"/>
      <c r="G79" s="534" t="e">
        <f ca="1">G10-G11-G50+G61</f>
        <v>#DIV/0!</v>
      </c>
      <c r="H79" s="535"/>
      <c r="I79" s="536" t="s">
        <v>126</v>
      </c>
      <c r="J79" s="537" t="s">
        <v>123</v>
      </c>
      <c r="K79" s="533"/>
      <c r="L79" s="533"/>
      <c r="M79" s="533" t="e">
        <f ca="1">M10-M19-M50+M61</f>
        <v>#DIV/0!</v>
      </c>
      <c r="N79" s="533"/>
      <c r="O79" s="534" t="e">
        <f ca="1">O10-O11-O50+O61</f>
        <v>#DIV/0!</v>
      </c>
      <c r="P79" s="475"/>
    </row>
    <row r="80" s="459" customFormat="1" customHeight="1" spans="1:16">
      <c r="A80" s="516" t="s">
        <v>127</v>
      </c>
      <c r="B80" s="503"/>
      <c r="C80" s="516"/>
      <c r="D80" s="516"/>
      <c r="E80" s="507">
        <f ca="1">IF(VALUE($F$3)=0,0,G80/$F$3)</f>
        <v>0</v>
      </c>
      <c r="F80" s="517"/>
      <c r="G80" s="507" t="e">
        <f ca="1">OFFSET(分配表!C630,0,mth-1,1,1)</f>
        <v>#DIV/0!</v>
      </c>
      <c r="I80" s="502" t="s">
        <v>127</v>
      </c>
      <c r="J80" s="516"/>
      <c r="K80" s="516"/>
      <c r="L80" s="516"/>
      <c r="M80" s="507" t="e">
        <f ca="1">IF($N$3=0,0,O80/$N$3)</f>
        <v>#DIV/0!</v>
      </c>
      <c r="N80" s="517"/>
      <c r="O80" s="509" t="e">
        <f ca="1">分配表!O630</f>
        <v>#DIV/0!</v>
      </c>
    </row>
    <row r="81" s="459" customFormat="1" customHeight="1" spans="2:5">
      <c r="B81" s="538"/>
      <c r="E81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4433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>
    <tabColor theme="7" tint="0.399975585192419"/>
    <pageSetUpPr fitToPage="1"/>
  </sheetPr>
  <dimension ref="A1:R94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O74" sqref="O74"/>
    </sheetView>
  </sheetViews>
  <sheetFormatPr defaultColWidth="9" defaultRowHeight="15" customHeight="1"/>
  <cols>
    <col min="1" max="1" width="26.375" style="40" customWidth="1"/>
    <col min="2" max="2" width="4.5" style="461" customWidth="1"/>
    <col min="3" max="3" width="9" style="40" customWidth="1"/>
    <col min="4" max="4" width="8.5" style="40" customWidth="1"/>
    <col min="5" max="5" width="9" style="595" customWidth="1"/>
    <col min="6" max="6" width="9.5" style="40" customWidth="1"/>
    <col min="7" max="7" width="10.5" style="596" customWidth="1"/>
    <col min="8" max="8" width="8.25" style="40" customWidth="1"/>
    <col min="9" max="9" width="28" style="40" customWidth="1"/>
    <col min="10" max="10" width="3.625" style="40" customWidth="1"/>
    <col min="11" max="11" width="8.25" style="40" customWidth="1"/>
    <col min="12" max="12" width="8.5" style="40" customWidth="1"/>
    <col min="13" max="13" width="10.5" style="596" customWidth="1"/>
    <col min="14" max="14" width="9.5" style="40" customWidth="1"/>
    <col min="15" max="15" width="11.375" style="597" customWidth="1"/>
    <col min="16" max="16" width="10.5" style="40" customWidth="1"/>
    <col min="17" max="17" width="13" style="40" customWidth="1"/>
    <col min="18" max="18" width="10.5" style="40" customWidth="1"/>
    <col min="19" max="16384" width="9" style="40"/>
  </cols>
  <sheetData>
    <row r="1" s="458" customFormat="1" ht="42.75" customHeight="1" spans="1:17">
      <c r="A1" s="98" t="str">
        <f>CONCATENATE("调味糖综合成本利润表_含税(2025年"&amp;mth&amp;"月)")</f>
        <v>调味糖综合成本利润表_含税(2025年8月)</v>
      </c>
      <c r="B1" s="98"/>
      <c r="C1" s="98"/>
      <c r="D1" s="98"/>
      <c r="E1" s="598"/>
      <c r="F1" s="98"/>
      <c r="G1" s="598"/>
      <c r="I1" s="463" t="str">
        <f>CONCATENATE("调味糖综合成本利润表_含税(2025年1-"&amp;mth&amp;"月)")</f>
        <v>调味糖综合成本利润表_含税(2025年1-8月)</v>
      </c>
      <c r="J1" s="463"/>
      <c r="K1" s="463"/>
      <c r="L1" s="463"/>
      <c r="M1" s="599"/>
      <c r="N1" s="463"/>
      <c r="O1" s="600"/>
    </row>
    <row r="2" s="458" customFormat="1" customHeight="1" spans="1:17">
      <c r="A2" s="464"/>
      <c r="B2" s="464"/>
      <c r="C2" s="464"/>
      <c r="D2" s="465"/>
      <c r="E2" s="601"/>
      <c r="F2" s="464"/>
      <c r="G2" s="602"/>
      <c r="M2" s="602"/>
      <c r="O2" s="603"/>
    </row>
    <row r="3" s="38" customFormat="1" customHeight="1" spans="1:17">
      <c r="A3" s="38" t="s">
        <v>23</v>
      </c>
      <c r="E3" s="601" t="s">
        <v>133</v>
      </c>
      <c r="F3" s="466">
        <f ca="1">调味糖!F3</f>
        <v>0</v>
      </c>
      <c r="G3" s="601" t="s">
        <v>75</v>
      </c>
      <c r="M3" s="601" t="s">
        <v>134</v>
      </c>
      <c r="N3" s="466">
        <f ca="1">调味糖!N3</f>
        <v>773.711055555555</v>
      </c>
      <c r="O3" s="465" t="s">
        <v>75</v>
      </c>
    </row>
    <row r="4" s="459" customFormat="1" customHeight="1" spans="1:17">
      <c r="A4" s="467"/>
      <c r="B4" s="467" t="s">
        <v>77</v>
      </c>
      <c r="C4" s="468" t="s">
        <v>78</v>
      </c>
      <c r="D4" s="468" t="s">
        <v>79</v>
      </c>
      <c r="E4" s="604" t="s">
        <v>80</v>
      </c>
      <c r="F4" s="468" t="s">
        <v>81</v>
      </c>
      <c r="G4" s="605" t="s">
        <v>82</v>
      </c>
      <c r="I4" s="467"/>
      <c r="J4" s="467" t="s">
        <v>77</v>
      </c>
      <c r="K4" s="468" t="s">
        <v>78</v>
      </c>
      <c r="L4" s="468" t="s">
        <v>79</v>
      </c>
      <c r="M4" s="605" t="s">
        <v>80</v>
      </c>
      <c r="N4" s="468" t="s">
        <v>81</v>
      </c>
      <c r="O4" s="606" t="s">
        <v>82</v>
      </c>
    </row>
    <row r="5" s="459" customFormat="1" customHeight="1" spans="1:17">
      <c r="A5" s="470" t="s">
        <v>83</v>
      </c>
      <c r="B5" s="471"/>
      <c r="C5" s="472"/>
      <c r="D5" s="472"/>
      <c r="E5" s="607">
        <f ca="1">E6-E7</f>
        <v>0</v>
      </c>
      <c r="F5" s="472"/>
      <c r="G5" s="608">
        <f ca="1">G6-G7</f>
        <v>0</v>
      </c>
      <c r="H5" s="510"/>
      <c r="I5" s="470" t="s">
        <v>83</v>
      </c>
      <c r="J5" s="471"/>
      <c r="K5" s="472"/>
      <c r="L5" s="472"/>
      <c r="M5" s="608">
        <f ca="1">M6-M7</f>
        <v>6486.95204416074</v>
      </c>
      <c r="N5" s="472"/>
      <c r="O5" s="609">
        <f ca="1">O6-O7</f>
        <v>5019026.51342588</v>
      </c>
      <c r="P5" s="475"/>
    </row>
    <row r="6" s="459" customFormat="1" customHeight="1" spans="1:17">
      <c r="A6" s="476" t="s">
        <v>84</v>
      </c>
      <c r="B6" s="477"/>
      <c r="C6" s="478"/>
      <c r="D6" s="479"/>
      <c r="E6" s="610">
        <f ca="1">OFFSET(销售收入及运费!C102,0,mth-1,1,1)</f>
        <v>0</v>
      </c>
      <c r="F6" s="479"/>
      <c r="G6" s="610">
        <f ca="1">调味糖!G6*1.13</f>
        <v>0</v>
      </c>
      <c r="I6" s="481" t="s">
        <v>84</v>
      </c>
      <c r="J6" s="477"/>
      <c r="K6" s="478"/>
      <c r="L6" s="479"/>
      <c r="M6" s="610">
        <f ca="1">销售收入及运费!O102</f>
        <v>7966.15909906388</v>
      </c>
      <c r="N6" s="482"/>
      <c r="O6" s="611">
        <f ca="1">M6*$N$3</f>
        <v>6163505.36526021</v>
      </c>
      <c r="P6" s="475"/>
      <c r="Q6" s="511"/>
    </row>
    <row r="7" s="459" customFormat="1" customHeight="1" spans="1:17">
      <c r="A7" s="476" t="s">
        <v>85</v>
      </c>
      <c r="B7" s="477"/>
      <c r="C7" s="479"/>
      <c r="D7" s="479"/>
      <c r="E7" s="610">
        <f ca="1">OFFSET(销售收入及运费!C200,0,mth-1,1,1)</f>
        <v>0</v>
      </c>
      <c r="F7" s="480"/>
      <c r="G7" s="610">
        <f ca="1">E7*F3</f>
        <v>0</v>
      </c>
      <c r="I7" s="476" t="s">
        <v>85</v>
      </c>
      <c r="J7" s="477"/>
      <c r="K7" s="479"/>
      <c r="L7" s="479"/>
      <c r="M7" s="610">
        <f ca="1">销售收入及运费!O200</f>
        <v>1479.20705490314</v>
      </c>
      <c r="N7" s="482"/>
      <c r="O7" s="611">
        <f ca="1">M7*$N$3</f>
        <v>1144478.85183433</v>
      </c>
      <c r="P7" s="475"/>
      <c r="Q7" s="511"/>
    </row>
    <row r="8" s="459" customFormat="1" customHeight="1" spans="1:17">
      <c r="A8" s="476" t="s">
        <v>86</v>
      </c>
      <c r="B8" s="477"/>
      <c r="C8" s="479"/>
      <c r="D8" s="479"/>
      <c r="E8" s="610" t="e">
        <f ca="1">'调味糖-含税'!E8</f>
        <v>#DIV/0!</v>
      </c>
      <c r="F8" s="480"/>
      <c r="G8" s="610" t="e">
        <f ca="1">'调味糖-含税'!G8</f>
        <v>#DIV/0!</v>
      </c>
      <c r="I8" s="476" t="s">
        <v>86</v>
      </c>
      <c r="J8" s="477"/>
      <c r="K8" s="479"/>
      <c r="L8" s="479"/>
      <c r="M8" s="610">
        <f ca="1">'调味糖-含税'!M8</f>
        <v>258.62759315556</v>
      </c>
      <c r="N8" s="482"/>
      <c r="O8" s="612">
        <f ca="1">'调味糖-含税'!O8</f>
        <v>200103.028096181</v>
      </c>
      <c r="P8" s="475"/>
      <c r="Q8" s="511"/>
    </row>
    <row r="9" s="459" customFormat="1" customHeight="1" spans="1:17">
      <c r="A9" s="476" t="s">
        <v>87</v>
      </c>
      <c r="B9" s="477"/>
      <c r="C9" s="479"/>
      <c r="D9" s="479"/>
      <c r="E9" s="610" t="e">
        <f ca="1">'调味糖-含税'!E9</f>
        <v>#DIV/0!</v>
      </c>
      <c r="F9" s="480"/>
      <c r="G9" s="610" t="e">
        <f ca="1">'调味糖-含税'!G9</f>
        <v>#DIV/0!</v>
      </c>
      <c r="I9" s="476" t="s">
        <v>87</v>
      </c>
      <c r="J9" s="477"/>
      <c r="K9" s="479"/>
      <c r="L9" s="479"/>
      <c r="M9" s="610">
        <f ca="1">'调味糖-含税'!M9</f>
        <v>1220.57946174758</v>
      </c>
      <c r="N9" s="482"/>
      <c r="O9" s="612">
        <f ca="1">'调味糖-含税'!O9</f>
        <v>944375.823738148</v>
      </c>
      <c r="P9" s="475"/>
      <c r="Q9" s="511"/>
    </row>
    <row r="10" s="459" customFormat="1" customHeight="1" spans="1:17">
      <c r="A10" s="484" t="s">
        <v>88</v>
      </c>
      <c r="B10" s="485"/>
      <c r="C10" s="486"/>
      <c r="D10" s="486"/>
      <c r="E10" s="613" t="e">
        <f ca="1">E11+E20+E49+E55+E56+E57</f>
        <v>#DIV/0!</v>
      </c>
      <c r="F10" s="488"/>
      <c r="G10" s="613" t="e">
        <f ca="1">G11+G20+G49+G55+G56+G57</f>
        <v>#DIV/0!</v>
      </c>
      <c r="I10" s="484" t="s">
        <v>88</v>
      </c>
      <c r="J10" s="485"/>
      <c r="K10" s="486"/>
      <c r="L10" s="486"/>
      <c r="M10" s="613" t="e">
        <f ca="1">M11+M20+M49+M55+M56+M57</f>
        <v>#DIV/0!</v>
      </c>
      <c r="N10" s="488"/>
      <c r="O10" s="613" t="e">
        <f ca="1">O11+O20+O49+O55+O56+O57</f>
        <v>#DIV/0!</v>
      </c>
      <c r="P10" s="475"/>
      <c r="Q10" s="511"/>
    </row>
    <row r="11" s="459" customFormat="1" customHeight="1" spans="1:17">
      <c r="A11" s="489" t="s">
        <v>169</v>
      </c>
      <c r="B11" s="490" t="s">
        <v>75</v>
      </c>
      <c r="C11" s="491">
        <f ca="1">'调味糖-含税'!C11</f>
        <v>0</v>
      </c>
      <c r="D11" s="493">
        <f ca="1">'调味糖-含税'!D11</f>
        <v>0</v>
      </c>
      <c r="E11" s="607" t="e">
        <f ca="1">'调味糖-含税'!E11</f>
        <v>#DIV/0!</v>
      </c>
      <c r="F11" s="491">
        <f ca="1">'调味糖-含税'!F11</f>
        <v>0</v>
      </c>
      <c r="G11" s="607">
        <f ca="1">'调味糖-含税'!G11</f>
        <v>0</v>
      </c>
      <c r="I11" s="489" t="s">
        <v>169</v>
      </c>
      <c r="J11" s="490" t="s">
        <v>75</v>
      </c>
      <c r="K11" s="491">
        <f ca="1">'调味糖-含税'!K11</f>
        <v>2872.34010868174</v>
      </c>
      <c r="L11" s="493">
        <f ca="1">'调味糖-含税'!L11</f>
        <v>0.524645469500924</v>
      </c>
      <c r="M11" s="607">
        <f ca="1">'调味糖-含税'!M11</f>
        <v>1506.96022488567</v>
      </c>
      <c r="N11" s="491">
        <f ca="1">'调味糖-含税'!N11</f>
        <v>405.924</v>
      </c>
      <c r="O11" s="607">
        <f ca="1">'调味糖-含税'!O11</f>
        <v>1165951.78627653</v>
      </c>
      <c r="P11" s="475"/>
    </row>
    <row r="12" s="459" customFormat="1" customHeight="1" spans="1:17">
      <c r="A12" s="494" t="s">
        <v>170</v>
      </c>
      <c r="B12" s="503" t="s">
        <v>75</v>
      </c>
      <c r="C12" s="507">
        <f ca="1">'调味糖-含税'!C12</f>
        <v>0</v>
      </c>
      <c r="D12" s="507">
        <f ca="1">'调味糖-含税'!D12</f>
        <v>0</v>
      </c>
      <c r="E12" s="611">
        <f ca="1">'调味糖-含税'!E12</f>
        <v>0</v>
      </c>
      <c r="F12" s="507">
        <f ca="1">'调味糖-含税'!F12</f>
        <v>0</v>
      </c>
      <c r="G12" s="611">
        <f ca="1">'调味糖-含税'!G12</f>
        <v>0</v>
      </c>
      <c r="I12" s="494" t="s">
        <v>170</v>
      </c>
      <c r="J12" s="503" t="s">
        <v>75</v>
      </c>
      <c r="K12" s="507">
        <f ca="1">'调味糖-含税'!K12</f>
        <v>2428.09506663392</v>
      </c>
      <c r="L12" s="507">
        <f ca="1">'调味糖-含税'!L12</f>
        <v>0.0789441995967631</v>
      </c>
      <c r="M12" s="611">
        <f ca="1">'调味糖-含税'!M12</f>
        <v>191.684021580264</v>
      </c>
      <c r="N12" s="507">
        <f ca="1">'调味糖-含税'!N12</f>
        <v>61.08</v>
      </c>
      <c r="O12" s="611">
        <f ca="1">'调味糖-含税'!O12</f>
        <v>148308.04667</v>
      </c>
      <c r="P12" s="475"/>
      <c r="Q12" s="475"/>
    </row>
    <row r="13" s="459" customFormat="1" customHeight="1" spans="1:17">
      <c r="A13" s="494" t="s">
        <v>171</v>
      </c>
      <c r="B13" s="503" t="s">
        <v>75</v>
      </c>
      <c r="C13" s="507">
        <f ca="1">'调味糖-含税'!C13</f>
        <v>0</v>
      </c>
      <c r="D13" s="507">
        <f ca="1">'调味糖-含税'!D13</f>
        <v>0</v>
      </c>
      <c r="E13" s="611">
        <f ca="1">'调味糖-含税'!E13</f>
        <v>0</v>
      </c>
      <c r="F13" s="507">
        <f ca="1">'调味糖-含税'!F13</f>
        <v>0</v>
      </c>
      <c r="G13" s="611">
        <f ca="1">'调味糖-含税'!G13</f>
        <v>0</v>
      </c>
      <c r="I13" s="494" t="s">
        <v>171</v>
      </c>
      <c r="J13" s="503" t="s">
        <v>75</v>
      </c>
      <c r="K13" s="507">
        <f ca="1">'调味糖-含税'!K13</f>
        <v>2641.95575751749</v>
      </c>
      <c r="L13" s="507">
        <f ca="1">'调味糖-含税'!L13</f>
        <v>0.336077658620621</v>
      </c>
      <c r="M13" s="611">
        <f ca="1">'调味糖-含税'!M13</f>
        <v>887.902305165745</v>
      </c>
      <c r="N13" s="507">
        <f ca="1">'调味糖-含税'!N13</f>
        <v>260.027</v>
      </c>
      <c r="O13" s="611">
        <f ca="1">'调味糖-含税'!O13</f>
        <v>686979.82976</v>
      </c>
      <c r="P13" s="475"/>
      <c r="Q13" s="475"/>
    </row>
    <row r="14" s="459" customFormat="1" customHeight="1" spans="1:17">
      <c r="A14" s="494" t="s">
        <v>172</v>
      </c>
      <c r="B14" s="503" t="s">
        <v>75</v>
      </c>
      <c r="C14" s="507">
        <f ca="1">'调味糖-含税'!C14</f>
        <v>0</v>
      </c>
      <c r="D14" s="507">
        <f ca="1">'调味糖-含税'!D14</f>
        <v>0</v>
      </c>
      <c r="E14" s="611">
        <f ca="1">'调味糖-含税'!E14</f>
        <v>0</v>
      </c>
      <c r="F14" s="507">
        <f ca="1">'调味糖-含税'!F14</f>
        <v>0</v>
      </c>
      <c r="G14" s="611">
        <f ca="1">'调味糖-含税'!G14</f>
        <v>0</v>
      </c>
      <c r="I14" s="494" t="s">
        <v>172</v>
      </c>
      <c r="J14" s="503" t="s">
        <v>75</v>
      </c>
      <c r="K14" s="507">
        <f ca="1">'调味糖-含税'!K14</f>
        <v>2901.18294232923</v>
      </c>
      <c r="L14" s="507">
        <f ca="1">'调味糖-含税'!L14</f>
        <v>0.00923342111852121</v>
      </c>
      <c r="M14" s="611">
        <f ca="1">'调味糖-含税'!M14</f>
        <v>26.7878438483962</v>
      </c>
      <c r="N14" s="507">
        <f ca="1">'调味糖-含税'!N14</f>
        <v>7.144</v>
      </c>
      <c r="O14" s="611">
        <f ca="1">'调味糖-含税'!O14</f>
        <v>20726.05094</v>
      </c>
      <c r="P14" s="475"/>
      <c r="Q14" s="475"/>
    </row>
    <row r="15" s="459" customFormat="1" customHeight="1" spans="1:17">
      <c r="A15" s="494" t="s">
        <v>173</v>
      </c>
      <c r="B15" s="503" t="s">
        <v>75</v>
      </c>
      <c r="C15" s="507">
        <f ca="1">'调味糖-含税'!C15</f>
        <v>0</v>
      </c>
      <c r="D15" s="507">
        <f ca="1">'调味糖-含税'!D15</f>
        <v>0</v>
      </c>
      <c r="E15" s="611">
        <f ca="1">'调味糖-含税'!E15</f>
        <v>0</v>
      </c>
      <c r="F15" s="507">
        <f ca="1">'调味糖-含税'!F15</f>
        <v>0</v>
      </c>
      <c r="G15" s="611">
        <f ca="1">'调味糖-含税'!G15</f>
        <v>0</v>
      </c>
      <c r="I15" s="494" t="s">
        <v>173</v>
      </c>
      <c r="J15" s="503" t="s">
        <v>75</v>
      </c>
      <c r="K15" s="507">
        <f ca="1">'调味糖-含税'!K15</f>
        <v>2969.65926136364</v>
      </c>
      <c r="L15" s="507">
        <f ca="1">'调味糖-含税'!L15</f>
        <v>0.00159232570241015</v>
      </c>
      <c r="M15" s="611">
        <f ca="1">'调味糖-含税'!M15</f>
        <v>4.72866476926967</v>
      </c>
      <c r="N15" s="507">
        <f ca="1">'调味糖-含税'!N15</f>
        <v>1.232</v>
      </c>
      <c r="O15" s="611">
        <f ca="1">'调味糖-含税'!O15</f>
        <v>3658.62021</v>
      </c>
      <c r="P15" s="475"/>
      <c r="Q15" s="475"/>
    </row>
    <row r="16" s="459" customFormat="1" customHeight="1" spans="1:17">
      <c r="A16" s="494" t="s">
        <v>174</v>
      </c>
      <c r="B16" s="503" t="s">
        <v>75</v>
      </c>
      <c r="C16" s="507">
        <f ca="1">'调味糖-含税'!C16</f>
        <v>0</v>
      </c>
      <c r="D16" s="507">
        <f ca="1">'调味糖-含税'!D16</f>
        <v>0</v>
      </c>
      <c r="E16" s="611">
        <f ca="1">'调味糖-含税'!E16</f>
        <v>0</v>
      </c>
      <c r="F16" s="507">
        <f ca="1">'调味糖-含税'!F16</f>
        <v>0</v>
      </c>
      <c r="G16" s="611">
        <f ca="1">'调味糖-含税'!G16</f>
        <v>0</v>
      </c>
      <c r="I16" s="494" t="s">
        <v>174</v>
      </c>
      <c r="J16" s="503" t="s">
        <v>75</v>
      </c>
      <c r="K16" s="507">
        <f ca="1">'调味糖-含税'!K16</f>
        <v>3151.30519029131</v>
      </c>
      <c r="L16" s="507">
        <f ca="1">'调味糖-含税'!L16</f>
        <v>0.0978737468674604</v>
      </c>
      <c r="M16" s="611">
        <f ca="1">'调味糖-含税'!M16</f>
        <v>308.430046496686</v>
      </c>
      <c r="N16" s="507">
        <f ca="1">'调味糖-含税'!N16</f>
        <v>75.726</v>
      </c>
      <c r="O16" s="611">
        <f ca="1">'调味糖-含税'!O16</f>
        <v>238635.73684</v>
      </c>
      <c r="P16" s="475"/>
      <c r="Q16" s="475"/>
    </row>
    <row r="17" s="459" customFormat="1" customHeight="1" spans="1:17">
      <c r="A17" s="494" t="s">
        <v>175</v>
      </c>
      <c r="B17" s="503" t="s">
        <v>75</v>
      </c>
      <c r="C17" s="507">
        <f ca="1">'调味糖-含税'!C17</f>
        <v>0</v>
      </c>
      <c r="D17" s="507">
        <f ca="1">'调味糖-含税'!D17</f>
        <v>0</v>
      </c>
      <c r="E17" s="611">
        <f ca="1">'调味糖-含税'!E17</f>
        <v>0</v>
      </c>
      <c r="F17" s="507">
        <f ca="1">'调味糖-含税'!F17</f>
        <v>0</v>
      </c>
      <c r="G17" s="611">
        <f ca="1">'调味糖-含税'!G17</f>
        <v>0</v>
      </c>
      <c r="I17" s="494" t="s">
        <v>175</v>
      </c>
      <c r="J17" s="503" t="s">
        <v>75</v>
      </c>
      <c r="K17" s="507">
        <f ca="1">'调味糖-含税'!K17</f>
        <v>0</v>
      </c>
      <c r="L17" s="507">
        <f ca="1">'调味糖-含税'!L17</f>
        <v>0</v>
      </c>
      <c r="M17" s="611">
        <f ca="1">'调味糖-含税'!M17</f>
        <v>0</v>
      </c>
      <c r="N17" s="507">
        <f ca="1">'调味糖-含税'!N17</f>
        <v>0</v>
      </c>
      <c r="O17" s="611">
        <f ca="1">'调味糖-含税'!O17</f>
        <v>0</v>
      </c>
      <c r="P17" s="475"/>
      <c r="Q17" s="475"/>
    </row>
    <row r="18" s="459" customFormat="1" customHeight="1" spans="1:17">
      <c r="A18" s="494" t="s">
        <v>176</v>
      </c>
      <c r="B18" s="503" t="s">
        <v>75</v>
      </c>
      <c r="C18" s="507">
        <f ca="1">'调味糖-含税'!C18</f>
        <v>0</v>
      </c>
      <c r="D18" s="507">
        <f ca="1">'调味糖-含税'!D18</f>
        <v>0</v>
      </c>
      <c r="E18" s="611">
        <f ca="1">'调味糖-含税'!E18</f>
        <v>0</v>
      </c>
      <c r="F18" s="507">
        <f ca="1">'调味糖-含税'!F18</f>
        <v>0</v>
      </c>
      <c r="G18" s="611">
        <f ca="1">'调味糖-含税'!G18</f>
        <v>0</v>
      </c>
      <c r="I18" s="494" t="s">
        <v>176</v>
      </c>
      <c r="J18" s="503" t="s">
        <v>75</v>
      </c>
      <c r="K18" s="507">
        <f ca="1">'调味糖-含税'!K18</f>
        <v>4664.59574825175</v>
      </c>
      <c r="L18" s="507">
        <f ca="1">'调味糖-含税'!L18</f>
        <v>0.000924117595148749</v>
      </c>
      <c r="M18" s="611">
        <f ca="1">'调味糖-含税'!M18</f>
        <v>4.31063500521549</v>
      </c>
      <c r="N18" s="507">
        <f ca="1">'调味糖-含税'!N18</f>
        <v>0.715</v>
      </c>
      <c r="O18" s="611">
        <f ca="1">'调味糖-含税'!O18</f>
        <v>3335.18596</v>
      </c>
      <c r="P18" s="475"/>
      <c r="Q18" s="475"/>
    </row>
    <row r="19" s="459" customFormat="1" customHeight="1" spans="1:17">
      <c r="A19" s="494" t="s">
        <v>177</v>
      </c>
      <c r="B19" s="503" t="s">
        <v>75</v>
      </c>
      <c r="C19" s="507">
        <f>'调味糖-含税'!C19</f>
        <v>0</v>
      </c>
      <c r="D19" s="507">
        <f>'调味糖-含税'!D19</f>
        <v>0</v>
      </c>
      <c r="E19" s="611" t="e">
        <f ca="1">'调味糖-含税'!E19</f>
        <v>#DIV/0!</v>
      </c>
      <c r="F19" s="507">
        <f>'调味糖-含税'!F19</f>
        <v>0</v>
      </c>
      <c r="G19" s="611">
        <f ca="1">'调味糖-含税'!G19</f>
        <v>0</v>
      </c>
      <c r="I19" s="494" t="s">
        <v>177</v>
      </c>
      <c r="J19" s="503" t="s">
        <v>75</v>
      </c>
      <c r="K19" s="507">
        <f>'调味糖-含税'!K19</f>
        <v>0</v>
      </c>
      <c r="L19" s="507">
        <f>'调味糖-含税'!L19</f>
        <v>0</v>
      </c>
      <c r="M19" s="611">
        <f ca="1">'调味糖-含税'!M19</f>
        <v>83.116708020093</v>
      </c>
      <c r="N19" s="507">
        <f>'调味糖-含税'!N19</f>
        <v>0</v>
      </c>
      <c r="O19" s="611">
        <f ca="1">'调味糖-含税'!O19</f>
        <v>64308.315896529</v>
      </c>
      <c r="P19" s="475"/>
      <c r="Q19" s="475"/>
    </row>
    <row r="20" s="459" customFormat="1" customHeight="1" spans="1:17">
      <c r="A20" s="489" t="s">
        <v>92</v>
      </c>
      <c r="B20" s="490"/>
      <c r="C20" s="501"/>
      <c r="D20" s="492"/>
      <c r="E20" s="607">
        <f ca="1">'调味糖-含税'!E20</f>
        <v>0</v>
      </c>
      <c r="F20" s="491"/>
      <c r="G20" s="607">
        <f ca="1">'调味糖-含税'!G20</f>
        <v>0</v>
      </c>
      <c r="I20" s="489" t="s">
        <v>92</v>
      </c>
      <c r="J20" s="490"/>
      <c r="K20" s="501"/>
      <c r="L20" s="492"/>
      <c r="M20" s="607">
        <f ca="1">调味糖!M20*1.13</f>
        <v>2233.12777889593</v>
      </c>
      <c r="N20" s="491"/>
      <c r="O20" s="607">
        <f ca="1">调味糖!O20*1.13</f>
        <v>1727795.651</v>
      </c>
      <c r="P20" s="475"/>
      <c r="Q20" s="475"/>
    </row>
    <row r="21" s="459" customFormat="1" customHeight="1" spans="1:17">
      <c r="A21" s="502" t="s">
        <v>178</v>
      </c>
      <c r="B21" s="503" t="s">
        <v>167</v>
      </c>
      <c r="C21" s="614">
        <f ca="1">'调味糖-含税'!C21</f>
        <v>0</v>
      </c>
      <c r="D21" s="614">
        <f ca="1">'调味糖-含税'!D21</f>
        <v>0</v>
      </c>
      <c r="E21" s="611">
        <f ca="1">'调味糖-含税'!E21</f>
        <v>0</v>
      </c>
      <c r="F21" s="614">
        <f ca="1">'调味糖-含税'!F21</f>
        <v>0</v>
      </c>
      <c r="G21" s="611">
        <f ca="1">'调味糖-含税'!G21</f>
        <v>0</v>
      </c>
      <c r="I21" s="502" t="s">
        <v>178</v>
      </c>
      <c r="J21" s="503" t="s">
        <v>167</v>
      </c>
      <c r="K21" s="505">
        <f ca="1">'调味糖-含税'!K21</f>
        <v>0</v>
      </c>
      <c r="L21" s="505">
        <f ca="1">'调味糖-含税'!L21</f>
        <v>0</v>
      </c>
      <c r="M21" s="611">
        <f ca="1">'调味糖-含税'!M21</f>
        <v>0</v>
      </c>
      <c r="N21" s="505">
        <f ca="1">'调味糖-含税'!N21</f>
        <v>0</v>
      </c>
      <c r="O21" s="615">
        <f ca="1">'调味糖-含税'!O21</f>
        <v>0</v>
      </c>
      <c r="P21" s="589"/>
      <c r="Q21" s="475"/>
    </row>
    <row r="22" s="459" customFormat="1" customHeight="1" spans="1:17">
      <c r="A22" s="502" t="s">
        <v>179</v>
      </c>
      <c r="B22" s="503" t="s">
        <v>167</v>
      </c>
      <c r="C22" s="614">
        <f ca="1">'调味糖-含税'!C22</f>
        <v>0</v>
      </c>
      <c r="D22" s="614">
        <f ca="1">'调味糖-含税'!D22</f>
        <v>0</v>
      </c>
      <c r="E22" s="611">
        <f ca="1">'调味糖-含税'!E22</f>
        <v>0</v>
      </c>
      <c r="F22" s="614">
        <f ca="1">'调味糖-含税'!F22</f>
        <v>0</v>
      </c>
      <c r="G22" s="611">
        <f ca="1">'调味糖-含税'!G22</f>
        <v>0</v>
      </c>
      <c r="I22" s="502" t="s">
        <v>179</v>
      </c>
      <c r="J22" s="503" t="s">
        <v>167</v>
      </c>
      <c r="K22" s="505">
        <f ca="1">'调味糖-含税'!K22</f>
        <v>5.95614122773292</v>
      </c>
      <c r="L22" s="505">
        <f ca="1">'调味糖-含税'!L22</f>
        <v>1.00851602726513</v>
      </c>
      <c r="M22" s="611">
        <f ca="1">'调味糖-含税'!M22</f>
        <v>6.00686388882327</v>
      </c>
      <c r="N22" s="505">
        <f ca="1">'调味糖-含税'!N22</f>
        <v>780.3</v>
      </c>
      <c r="O22" s="615">
        <f ca="1">'调味糖-含税'!O22</f>
        <v>4647.577</v>
      </c>
      <c r="P22" s="589"/>
      <c r="Q22" s="475"/>
    </row>
    <row r="23" s="459" customFormat="1" customHeight="1" spans="1:17">
      <c r="A23" s="502" t="s">
        <v>180</v>
      </c>
      <c r="B23" s="503" t="s">
        <v>167</v>
      </c>
      <c r="C23" s="614">
        <f ca="1">'调味糖-含税'!C23</f>
        <v>0</v>
      </c>
      <c r="D23" s="614">
        <f ca="1">'调味糖-含税'!D23</f>
        <v>0</v>
      </c>
      <c r="E23" s="611">
        <f ca="1">'调味糖-含税'!E23</f>
        <v>0</v>
      </c>
      <c r="F23" s="614">
        <f ca="1">'调味糖-含税'!F23</f>
        <v>0</v>
      </c>
      <c r="G23" s="611">
        <f ca="1">'调味糖-含税'!G23</f>
        <v>0</v>
      </c>
      <c r="I23" s="502" t="s">
        <v>180</v>
      </c>
      <c r="J23" s="503" t="s">
        <v>167</v>
      </c>
      <c r="K23" s="505">
        <f ca="1">'调味糖-含税'!K23</f>
        <v>0</v>
      </c>
      <c r="L23" s="505">
        <f ca="1">'调味糖-含税'!L23</f>
        <v>0</v>
      </c>
      <c r="M23" s="611">
        <f ca="1">'调味糖-含税'!M23</f>
        <v>0</v>
      </c>
      <c r="N23" s="505">
        <f ca="1">'调味糖-含税'!N23</f>
        <v>0</v>
      </c>
      <c r="O23" s="615">
        <f ca="1">'调味糖-含税'!O23</f>
        <v>0</v>
      </c>
      <c r="P23" s="589"/>
      <c r="Q23" s="475"/>
    </row>
    <row r="24" s="459" customFormat="1" customHeight="1" spans="1:17">
      <c r="A24" s="502" t="s">
        <v>181</v>
      </c>
      <c r="B24" s="503" t="s">
        <v>167</v>
      </c>
      <c r="C24" s="614">
        <f ca="1">'调味糖-含税'!C24</f>
        <v>0</v>
      </c>
      <c r="D24" s="614">
        <f ca="1">'调味糖-含税'!D24</f>
        <v>0</v>
      </c>
      <c r="E24" s="611">
        <f ca="1">'调味糖-含税'!E24</f>
        <v>0</v>
      </c>
      <c r="F24" s="614">
        <f ca="1">'调味糖-含税'!F24</f>
        <v>0</v>
      </c>
      <c r="G24" s="611">
        <f ca="1">'调味糖-含税'!G24</f>
        <v>0</v>
      </c>
      <c r="I24" s="502" t="s">
        <v>181</v>
      </c>
      <c r="J24" s="503" t="s">
        <v>167</v>
      </c>
      <c r="K24" s="505">
        <f ca="1">'调味糖-含税'!K24</f>
        <v>6.446961609421</v>
      </c>
      <c r="L24" s="505">
        <f ca="1">'调味糖-含税'!L24</f>
        <v>26.340582642142</v>
      </c>
      <c r="M24" s="611">
        <f ca="1">'调味糖-含税'!M24</f>
        <v>169.81672506367</v>
      </c>
      <c r="N24" s="505">
        <f ca="1">'调味糖-含税'!N24</f>
        <v>20380</v>
      </c>
      <c r="O24" s="615">
        <f ca="1">'调味糖-含税'!O24</f>
        <v>131389.0776</v>
      </c>
      <c r="P24" s="589"/>
      <c r="Q24" s="475"/>
    </row>
    <row r="25" s="459" customFormat="1" customHeight="1" spans="1:17">
      <c r="A25" s="502" t="s">
        <v>182</v>
      </c>
      <c r="B25" s="503" t="s">
        <v>167</v>
      </c>
      <c r="C25" s="614">
        <f ca="1">'调味糖-含税'!C25</f>
        <v>0</v>
      </c>
      <c r="D25" s="614">
        <f ca="1">'调味糖-含税'!D25</f>
        <v>0</v>
      </c>
      <c r="E25" s="611">
        <f ca="1">'调味糖-含税'!E25</f>
        <v>0</v>
      </c>
      <c r="F25" s="614">
        <f ca="1">'调味糖-含税'!F25</f>
        <v>0</v>
      </c>
      <c r="G25" s="611">
        <f ca="1">'调味糖-含税'!G25</f>
        <v>0</v>
      </c>
      <c r="I25" s="502" t="s">
        <v>182</v>
      </c>
      <c r="J25" s="503" t="s">
        <v>167</v>
      </c>
      <c r="K25" s="505">
        <f ca="1">'调味糖-含税'!K25</f>
        <v>6.84596014301751</v>
      </c>
      <c r="L25" s="505">
        <f ca="1">'调味糖-含税'!L25</f>
        <v>67.7656905940841</v>
      </c>
      <c r="M25" s="611">
        <f ca="1">'调味糖-含税'!M25</f>
        <v>463.921216871156</v>
      </c>
      <c r="N25" s="505">
        <f ca="1">'调味糖-含税'!N25</f>
        <v>52431.064</v>
      </c>
      <c r="O25" s="615">
        <f ca="1">'调味糖-含税'!O25</f>
        <v>358940.9744</v>
      </c>
      <c r="P25" s="589"/>
      <c r="Q25" s="475"/>
    </row>
    <row r="26" s="459" customFormat="1" customHeight="1" spans="1:17">
      <c r="A26" s="502" t="s">
        <v>183</v>
      </c>
      <c r="B26" s="503" t="s">
        <v>167</v>
      </c>
      <c r="C26" s="614">
        <f ca="1">'调味糖-含税'!C26</f>
        <v>0</v>
      </c>
      <c r="D26" s="614">
        <f ca="1">'调味糖-含税'!D26</f>
        <v>0</v>
      </c>
      <c r="E26" s="611">
        <f ca="1">'调味糖-含税'!E26</f>
        <v>0</v>
      </c>
      <c r="F26" s="614">
        <f ca="1">'调味糖-含税'!F26</f>
        <v>0</v>
      </c>
      <c r="G26" s="611">
        <f ca="1">'调味糖-含税'!G26</f>
        <v>0</v>
      </c>
      <c r="I26" s="502" t="s">
        <v>183</v>
      </c>
      <c r="J26" s="503" t="s">
        <v>167</v>
      </c>
      <c r="K26" s="505">
        <f ca="1">'调味糖-含税'!K26</f>
        <v>6.70532899921814</v>
      </c>
      <c r="L26" s="505">
        <f ca="1">'调味糖-含税'!L26</f>
        <v>33.0614378795874</v>
      </c>
      <c r="M26" s="611">
        <f ca="1">'调味糖-含税'!M26</f>
        <v>221.687818169847</v>
      </c>
      <c r="N26" s="505">
        <f ca="1">'调味糖-含税'!N26</f>
        <v>25580</v>
      </c>
      <c r="O26" s="615">
        <f ca="1">'调味糖-含税'!O26</f>
        <v>171522.3158</v>
      </c>
      <c r="P26" s="589"/>
      <c r="Q26" s="475"/>
    </row>
    <row r="27" s="459" customFormat="1" customHeight="1" spans="1:17">
      <c r="A27" s="502" t="s">
        <v>184</v>
      </c>
      <c r="B27" s="503" t="s">
        <v>167</v>
      </c>
      <c r="C27" s="614">
        <f ca="1">'调味糖-含税'!C27</f>
        <v>0</v>
      </c>
      <c r="D27" s="614">
        <f ca="1">'调味糖-含税'!D27</f>
        <v>0</v>
      </c>
      <c r="E27" s="611">
        <f ca="1">'调味糖-含税'!E27</f>
        <v>0</v>
      </c>
      <c r="F27" s="614">
        <f ca="1">'调味糖-含税'!F27</f>
        <v>0</v>
      </c>
      <c r="G27" s="611">
        <f ca="1">'调味糖-含税'!G27</f>
        <v>0</v>
      </c>
      <c r="I27" s="502" t="s">
        <v>184</v>
      </c>
      <c r="J27" s="503" t="s">
        <v>167</v>
      </c>
      <c r="K27" s="505">
        <f ca="1">'调味糖-含税'!K27</f>
        <v>17.5035183633707</v>
      </c>
      <c r="L27" s="505">
        <f ca="1">'调味糖-含税'!L27</f>
        <v>1.32672267331495</v>
      </c>
      <c r="M27" s="611">
        <f ca="1">'调味糖-含税'!M27</f>
        <v>23.2223146754685</v>
      </c>
      <c r="N27" s="505">
        <f ca="1">'调味糖-含税'!N27</f>
        <v>1026.5</v>
      </c>
      <c r="O27" s="615">
        <f ca="1">'调味糖-含税'!O27</f>
        <v>17967.3616</v>
      </c>
      <c r="P27" s="589"/>
      <c r="Q27" s="475"/>
    </row>
    <row r="28" s="459" customFormat="1" customHeight="1" spans="1:17">
      <c r="A28" s="502" t="s">
        <v>185</v>
      </c>
      <c r="B28" s="503" t="s">
        <v>167</v>
      </c>
      <c r="C28" s="614">
        <f ca="1">'调味糖-含税'!C28</f>
        <v>0</v>
      </c>
      <c r="D28" s="614">
        <f ca="1">'调味糖-含税'!D28</f>
        <v>0</v>
      </c>
      <c r="E28" s="611">
        <f ca="1">'调味糖-含税'!E28</f>
        <v>0</v>
      </c>
      <c r="F28" s="614">
        <f ca="1">'调味糖-含税'!F28</f>
        <v>0</v>
      </c>
      <c r="G28" s="611">
        <f ca="1">'调味糖-含税'!G28</f>
        <v>0</v>
      </c>
      <c r="I28" s="502" t="s">
        <v>185</v>
      </c>
      <c r="J28" s="503" t="s">
        <v>167</v>
      </c>
      <c r="K28" s="505">
        <f ca="1">'调味糖-含税'!K28</f>
        <v>8.99995867171566</v>
      </c>
      <c r="L28" s="505">
        <f ca="1">'调味糖-含税'!L28</f>
        <v>0.384661687154385</v>
      </c>
      <c r="M28" s="611">
        <f ca="1">'调味糖-含税'!M28</f>
        <v>3.46193928698188</v>
      </c>
      <c r="N28" s="505">
        <f ca="1">'调味糖-含税'!N28</f>
        <v>297.617</v>
      </c>
      <c r="O28" s="615">
        <f ca="1">'调味糖-含税'!O28</f>
        <v>2678.5407</v>
      </c>
      <c r="P28" s="589"/>
      <c r="Q28" s="475"/>
    </row>
    <row r="29" s="459" customFormat="1" customHeight="1" spans="1:17">
      <c r="A29" s="502" t="s">
        <v>186</v>
      </c>
      <c r="B29" s="503" t="s">
        <v>167</v>
      </c>
      <c r="C29" s="614">
        <f ca="1">'调味糖-含税'!C29</f>
        <v>0</v>
      </c>
      <c r="D29" s="614">
        <f ca="1">'调味糖-含税'!D29</f>
        <v>0</v>
      </c>
      <c r="E29" s="611">
        <f ca="1">'调味糖-含税'!E29</f>
        <v>0</v>
      </c>
      <c r="F29" s="614">
        <f ca="1">'调味糖-含税'!F29</f>
        <v>0</v>
      </c>
      <c r="G29" s="611">
        <f ca="1">'调味糖-含税'!G29</f>
        <v>0</v>
      </c>
      <c r="I29" s="502" t="s">
        <v>186</v>
      </c>
      <c r="J29" s="503" t="s">
        <v>167</v>
      </c>
      <c r="K29" s="505">
        <f ca="1">'调味糖-含税'!K29</f>
        <v>21.499921759127</v>
      </c>
      <c r="L29" s="505">
        <f ca="1">'调味糖-含税'!L29</f>
        <v>0.379940286350079</v>
      </c>
      <c r="M29" s="611">
        <f ca="1">'调味糖-含税'!M29</f>
        <v>8.168686429667</v>
      </c>
      <c r="N29" s="505">
        <f ca="1">'调味糖-含税'!N29</f>
        <v>293.964</v>
      </c>
      <c r="O29" s="615">
        <f ca="1">'调味糖-含税'!O29</f>
        <v>6320.203</v>
      </c>
      <c r="P29" s="589"/>
      <c r="Q29" s="475"/>
    </row>
    <row r="30" s="459" customFormat="1" customHeight="1" spans="1:17">
      <c r="A30" s="502" t="s">
        <v>187</v>
      </c>
      <c r="B30" s="503" t="s">
        <v>167</v>
      </c>
      <c r="C30" s="614">
        <f ca="1">'调味糖-含税'!C30</f>
        <v>0</v>
      </c>
      <c r="D30" s="614">
        <f ca="1">'调味糖-含税'!D30</f>
        <v>0</v>
      </c>
      <c r="E30" s="611">
        <f ca="1">'调味糖-含税'!E30</f>
        <v>0</v>
      </c>
      <c r="F30" s="614">
        <f ca="1">'调味糖-含税'!F30</f>
        <v>0</v>
      </c>
      <c r="G30" s="611">
        <f ca="1">'调味糖-含税'!G30</f>
        <v>0</v>
      </c>
      <c r="I30" s="502" t="s">
        <v>187</v>
      </c>
      <c r="J30" s="503" t="s">
        <v>167</v>
      </c>
      <c r="K30" s="505">
        <f ca="1">'调味糖-含税'!K30</f>
        <v>0</v>
      </c>
      <c r="L30" s="505">
        <f ca="1">'调味糖-含税'!L30</f>
        <v>0</v>
      </c>
      <c r="M30" s="611">
        <f ca="1">'调味糖-含税'!M30</f>
        <v>0</v>
      </c>
      <c r="N30" s="505">
        <f ca="1">'调味糖-含税'!N30</f>
        <v>0</v>
      </c>
      <c r="O30" s="615">
        <f ca="1">'调味糖-含税'!O30</f>
        <v>0</v>
      </c>
      <c r="P30" s="589"/>
      <c r="Q30" s="475"/>
    </row>
    <row r="31" s="459" customFormat="1" customHeight="1" spans="1:17">
      <c r="A31" s="502" t="s">
        <v>188</v>
      </c>
      <c r="B31" s="503" t="s">
        <v>75</v>
      </c>
      <c r="C31" s="614">
        <f ca="1">'调味糖-含税'!C31</f>
        <v>0</v>
      </c>
      <c r="D31" s="614">
        <f ca="1">'调味糖-含税'!D31</f>
        <v>0</v>
      </c>
      <c r="E31" s="611">
        <f ca="1">'调味糖-含税'!E31</f>
        <v>0</v>
      </c>
      <c r="F31" s="614">
        <f ca="1">'调味糖-含税'!F31</f>
        <v>0</v>
      </c>
      <c r="G31" s="611">
        <f ca="1">'调味糖-含税'!G31</f>
        <v>0</v>
      </c>
      <c r="I31" s="502" t="s">
        <v>188</v>
      </c>
      <c r="J31" s="503" t="s">
        <v>75</v>
      </c>
      <c r="K31" s="505">
        <f ca="1">'调味糖-含税'!K31</f>
        <v>15.5000030523256</v>
      </c>
      <c r="L31" s="505">
        <f ca="1">'调味糖-含税'!L31</f>
        <v>0.889220846800475</v>
      </c>
      <c r="M31" s="611">
        <f ca="1">'调味糖-含税'!M31</f>
        <v>13.7829258395989</v>
      </c>
      <c r="N31" s="505">
        <f ca="1">'调味糖-含税'!N31</f>
        <v>688</v>
      </c>
      <c r="O31" s="615">
        <f ca="1">'调味糖-含税'!O31</f>
        <v>10664.0021</v>
      </c>
      <c r="P31" s="589"/>
      <c r="Q31" s="475"/>
    </row>
    <row r="32" s="459" customFormat="1" customHeight="1" spans="1:17">
      <c r="A32" s="502" t="s">
        <v>189</v>
      </c>
      <c r="B32" s="503" t="s">
        <v>167</v>
      </c>
      <c r="C32" s="614">
        <f ca="1">'调味糖-含税'!C32</f>
        <v>0</v>
      </c>
      <c r="D32" s="614">
        <f ca="1">'调味糖-含税'!D32</f>
        <v>0</v>
      </c>
      <c r="E32" s="611">
        <f ca="1">'调味糖-含税'!E32</f>
        <v>0</v>
      </c>
      <c r="F32" s="614">
        <f ca="1">'调味糖-含税'!F32</f>
        <v>0</v>
      </c>
      <c r="G32" s="611">
        <f ca="1">'调味糖-含税'!G32</f>
        <v>0</v>
      </c>
      <c r="I32" s="502" t="s">
        <v>189</v>
      </c>
      <c r="J32" s="503" t="s">
        <v>167</v>
      </c>
      <c r="K32" s="505">
        <f ca="1">'调味糖-含税'!K32</f>
        <v>20.9997944444444</v>
      </c>
      <c r="L32" s="505">
        <f ca="1">'调味糖-含税'!L32</f>
        <v>0.0930579955953985</v>
      </c>
      <c r="M32" s="611">
        <f ca="1">'调味糖-含税'!M32</f>
        <v>1.95419877891538</v>
      </c>
      <c r="N32" s="505">
        <f ca="1">'调味糖-含税'!N32</f>
        <v>72</v>
      </c>
      <c r="O32" s="615">
        <f ca="1">'调味糖-含税'!O32</f>
        <v>1511.9852</v>
      </c>
      <c r="P32" s="589"/>
      <c r="Q32" s="475"/>
    </row>
    <row r="33" s="459" customFormat="1" customHeight="1" spans="1:17">
      <c r="A33" s="502" t="s">
        <v>190</v>
      </c>
      <c r="B33" s="503" t="s">
        <v>167</v>
      </c>
      <c r="C33" s="614">
        <f ca="1">'调味糖-含税'!C33</f>
        <v>0</v>
      </c>
      <c r="D33" s="614">
        <f ca="1">'调味糖-含税'!D33</f>
        <v>0</v>
      </c>
      <c r="E33" s="611">
        <f ca="1">'调味糖-含税'!E33</f>
        <v>0</v>
      </c>
      <c r="F33" s="614">
        <f ca="1">'调味糖-含税'!F33</f>
        <v>0</v>
      </c>
      <c r="G33" s="611">
        <f ca="1">'调味糖-含税'!G33</f>
        <v>0</v>
      </c>
      <c r="I33" s="502" t="s">
        <v>190</v>
      </c>
      <c r="J33" s="503" t="s">
        <v>167</v>
      </c>
      <c r="K33" s="505">
        <f ca="1">'调味糖-含税'!K33</f>
        <v>270.000026923077</v>
      </c>
      <c r="L33" s="505">
        <f ca="1">'调味糖-含税'!L33</f>
        <v>0.0336042761872272</v>
      </c>
      <c r="M33" s="611">
        <f ca="1">'调味糖-含税'!M33</f>
        <v>9.07315547528185</v>
      </c>
      <c r="N33" s="505">
        <f ca="1">'调味糖-含税'!N33</f>
        <v>26</v>
      </c>
      <c r="O33" s="615">
        <f ca="1">'调味糖-含税'!O33</f>
        <v>7020.00069999999</v>
      </c>
      <c r="P33" s="589"/>
      <c r="Q33" s="475"/>
    </row>
    <row r="34" s="459" customFormat="1" customHeight="1" spans="1:17">
      <c r="A34" s="502" t="s">
        <v>191</v>
      </c>
      <c r="B34" s="503"/>
      <c r="C34" s="614">
        <f ca="1">'调味糖-含税'!C34</f>
        <v>0</v>
      </c>
      <c r="D34" s="614">
        <f ca="1">'调味糖-含税'!D34</f>
        <v>0</v>
      </c>
      <c r="E34" s="611">
        <f ca="1">'调味糖-含税'!E34</f>
        <v>0</v>
      </c>
      <c r="F34" s="614">
        <f ca="1">'调味糖-含税'!F34</f>
        <v>0</v>
      </c>
      <c r="G34" s="611">
        <f ca="1">'调味糖-含税'!G34</f>
        <v>0</v>
      </c>
      <c r="I34" s="502" t="s">
        <v>191</v>
      </c>
      <c r="J34" s="503"/>
      <c r="K34" s="505">
        <f ca="1">'调味糖-含税'!K34</f>
        <v>7364.16757226902</v>
      </c>
      <c r="L34" s="505">
        <f ca="1">'调味糖-含税'!L34</f>
        <v>0.132253506351316</v>
      </c>
      <c r="M34" s="611">
        <f ca="1">'调味糖-含税'!M34</f>
        <v>973.936982791236</v>
      </c>
      <c r="N34" s="505">
        <f ca="1">'调味糖-含税'!N34</f>
        <v>102.326</v>
      </c>
      <c r="O34" s="615">
        <f ca="1">'调味糖-含税'!O34</f>
        <v>753545.811</v>
      </c>
      <c r="P34" s="475"/>
      <c r="Q34" s="475"/>
    </row>
    <row r="35" s="459" customFormat="1" customHeight="1" spans="1:17">
      <c r="A35" s="502" t="s">
        <v>192</v>
      </c>
      <c r="B35" s="503" t="s">
        <v>167</v>
      </c>
      <c r="C35" s="614">
        <f ca="1">'调味糖-含税'!C35</f>
        <v>0</v>
      </c>
      <c r="D35" s="614">
        <f ca="1">'调味糖-含税'!D35</f>
        <v>0</v>
      </c>
      <c r="E35" s="611">
        <f ca="1">'调味糖-含税'!E35</f>
        <v>0</v>
      </c>
      <c r="F35" s="614">
        <f ca="1">'调味糖-含税'!F35</f>
        <v>0</v>
      </c>
      <c r="G35" s="611">
        <f ca="1">'调味糖-含税'!G35</f>
        <v>0</v>
      </c>
      <c r="I35" s="502" t="s">
        <v>192</v>
      </c>
      <c r="J35" s="503" t="s">
        <v>167</v>
      </c>
      <c r="K35" s="505">
        <f ca="1">'调味糖-含税'!K35</f>
        <v>8.44546576303318</v>
      </c>
      <c r="L35" s="505">
        <f ca="1">'调味糖-含税'!L35</f>
        <v>6.81779064952399</v>
      </c>
      <c r="M35" s="611">
        <f ca="1">'调味糖-含税'!M35</f>
        <v>57.5794175100826</v>
      </c>
      <c r="N35" s="505">
        <f ca="1">'调味糖-含税'!N35</f>
        <v>5275</v>
      </c>
      <c r="O35" s="615">
        <f ca="1">'调味糖-含税'!O35</f>
        <v>44549.8319</v>
      </c>
      <c r="P35" s="589"/>
      <c r="Q35" s="475"/>
    </row>
    <row r="36" s="459" customFormat="1" customHeight="1" spans="1:17">
      <c r="A36" s="502" t="s">
        <v>193</v>
      </c>
      <c r="B36" s="503" t="s">
        <v>167</v>
      </c>
      <c r="C36" s="614">
        <f ca="1">'调味糖-含税'!C36</f>
        <v>0</v>
      </c>
      <c r="D36" s="614">
        <f ca="1">'调味糖-含税'!D36</f>
        <v>0</v>
      </c>
      <c r="E36" s="611">
        <f ca="1">'调味糖-含税'!E36</f>
        <v>0</v>
      </c>
      <c r="F36" s="614">
        <f ca="1">'调味糖-含税'!F36</f>
        <v>0</v>
      </c>
      <c r="G36" s="611">
        <f ca="1">'调味糖-含税'!G36</f>
        <v>0</v>
      </c>
      <c r="I36" s="502" t="s">
        <v>193</v>
      </c>
      <c r="J36" s="503" t="s">
        <v>167</v>
      </c>
      <c r="K36" s="505">
        <f ca="1">'调味糖-含税'!K36</f>
        <v>0</v>
      </c>
      <c r="L36" s="505">
        <f ca="1">'调味糖-含税'!L36</f>
        <v>0</v>
      </c>
      <c r="M36" s="611">
        <f ca="1">'调味糖-含税'!M36</f>
        <v>0</v>
      </c>
      <c r="N36" s="505">
        <f ca="1">'调味糖-含税'!N36</f>
        <v>0</v>
      </c>
      <c r="O36" s="615">
        <f ca="1">'调味糖-含税'!O36</f>
        <v>0</v>
      </c>
      <c r="P36" s="589"/>
      <c r="Q36" s="475"/>
    </row>
    <row r="37" s="459" customFormat="1" customHeight="1" spans="1:17">
      <c r="A37" s="502" t="s">
        <v>194</v>
      </c>
      <c r="B37" s="503" t="s">
        <v>167</v>
      </c>
      <c r="C37" s="614">
        <f ca="1">'调味糖-含税'!C37</f>
        <v>0</v>
      </c>
      <c r="D37" s="614">
        <f ca="1">'调味糖-含税'!D37</f>
        <v>0</v>
      </c>
      <c r="E37" s="611">
        <f ca="1">'调味糖-含税'!E37</f>
        <v>0</v>
      </c>
      <c r="F37" s="614">
        <f ca="1">'调味糖-含税'!F37</f>
        <v>0</v>
      </c>
      <c r="G37" s="611">
        <f ca="1">'调味糖-含税'!G37</f>
        <v>0</v>
      </c>
      <c r="I37" s="502" t="s">
        <v>194</v>
      </c>
      <c r="J37" s="503" t="s">
        <v>167</v>
      </c>
      <c r="K37" s="505">
        <f ca="1">'调味糖-含税'!K37</f>
        <v>50.6828789473684</v>
      </c>
      <c r="L37" s="505">
        <f ca="1">'调味糖-含税'!L37</f>
        <v>0.0736709131796905</v>
      </c>
      <c r="M37" s="611">
        <f ca="1">'调味糖-含税'!M37</f>
        <v>3.73385397462834</v>
      </c>
      <c r="N37" s="505">
        <f ca="1">'调味糖-含税'!N37</f>
        <v>57</v>
      </c>
      <c r="O37" s="615">
        <f ca="1">'调味糖-含税'!O37</f>
        <v>2888.9241</v>
      </c>
      <c r="P37" s="589"/>
      <c r="Q37" s="475"/>
    </row>
    <row r="38" s="459" customFormat="1" customHeight="1" spans="1:17">
      <c r="A38" s="502" t="s">
        <v>195</v>
      </c>
      <c r="B38" s="503" t="s">
        <v>167</v>
      </c>
      <c r="C38" s="614">
        <f ca="1">'调味糖-含税'!C38</f>
        <v>0</v>
      </c>
      <c r="D38" s="614">
        <f ca="1">'调味糖-含税'!D38</f>
        <v>0</v>
      </c>
      <c r="E38" s="611">
        <f ca="1">'调味糖-含税'!E38</f>
        <v>0</v>
      </c>
      <c r="F38" s="614">
        <f ca="1">'调味糖-含税'!F38</f>
        <v>0</v>
      </c>
      <c r="G38" s="611">
        <f ca="1">'调味糖-含税'!G38</f>
        <v>0</v>
      </c>
      <c r="I38" s="502" t="s">
        <v>195</v>
      </c>
      <c r="J38" s="503" t="s">
        <v>167</v>
      </c>
      <c r="K38" s="505">
        <f ca="1">'调味糖-含税'!K38</f>
        <v>43.9998458333333</v>
      </c>
      <c r="L38" s="505">
        <f ca="1">'调味糖-含税'!L38</f>
        <v>0.0620386637302657</v>
      </c>
      <c r="M38" s="611">
        <f ca="1">'调味糖-含税'!M38</f>
        <v>2.7296916398377</v>
      </c>
      <c r="N38" s="505">
        <f ca="1">'调味糖-含税'!N38</f>
        <v>48</v>
      </c>
      <c r="O38" s="615">
        <f ca="1">'调味糖-含税'!O38</f>
        <v>2111.9926</v>
      </c>
      <c r="P38" s="589"/>
      <c r="Q38" s="475"/>
    </row>
    <row r="39" s="459" customFormat="1" customHeight="1" spans="1:17">
      <c r="A39" s="502" t="s">
        <v>196</v>
      </c>
      <c r="B39" s="503" t="s">
        <v>167</v>
      </c>
      <c r="C39" s="614">
        <f ca="1">'调味糖-含税'!C39</f>
        <v>0</v>
      </c>
      <c r="D39" s="614">
        <f ca="1">'调味糖-含税'!D39</f>
        <v>0</v>
      </c>
      <c r="E39" s="611">
        <f ca="1">'调味糖-含税'!E39</f>
        <v>0</v>
      </c>
      <c r="F39" s="614">
        <f ca="1">'调味糖-含税'!F39</f>
        <v>0</v>
      </c>
      <c r="G39" s="611">
        <f ca="1">'调味糖-含税'!G39</f>
        <v>0</v>
      </c>
      <c r="I39" s="502" t="s">
        <v>196</v>
      </c>
      <c r="J39" s="503" t="s">
        <v>167</v>
      </c>
      <c r="K39" s="505">
        <f ca="1">'调味糖-含税'!K39</f>
        <v>0</v>
      </c>
      <c r="L39" s="505">
        <f ca="1">'调味糖-含税'!L39</f>
        <v>0</v>
      </c>
      <c r="M39" s="611">
        <f ca="1">'调味糖-含税'!M39</f>
        <v>0</v>
      </c>
      <c r="N39" s="505">
        <f ca="1">'调味糖-含税'!N39</f>
        <v>0</v>
      </c>
      <c r="O39" s="615">
        <f ca="1">'调味糖-含税'!O39</f>
        <v>0</v>
      </c>
      <c r="P39" s="589"/>
      <c r="Q39" s="475"/>
    </row>
    <row r="40" s="459" customFormat="1" customHeight="1" spans="1:17">
      <c r="A40" s="502" t="s">
        <v>197</v>
      </c>
      <c r="B40" s="503" t="s">
        <v>167</v>
      </c>
      <c r="C40" s="614">
        <f ca="1">'调味糖-含税'!C40</f>
        <v>0</v>
      </c>
      <c r="D40" s="614">
        <f ca="1">'调味糖-含税'!D40</f>
        <v>0</v>
      </c>
      <c r="E40" s="611">
        <f ca="1">'调味糖-含税'!E40</f>
        <v>0</v>
      </c>
      <c r="F40" s="614">
        <f ca="1">'调味糖-含税'!F40</f>
        <v>0</v>
      </c>
      <c r="G40" s="611">
        <f ca="1">'调味糖-含税'!G40</f>
        <v>0</v>
      </c>
      <c r="I40" s="502" t="s">
        <v>197</v>
      </c>
      <c r="J40" s="503" t="s">
        <v>167</v>
      </c>
      <c r="K40" s="505">
        <f ca="1">'调味糖-含税'!K40</f>
        <v>0</v>
      </c>
      <c r="L40" s="505">
        <f ca="1">'调味糖-含税'!L40</f>
        <v>0</v>
      </c>
      <c r="M40" s="611">
        <f ca="1">'调味糖-含税'!M40</f>
        <v>0</v>
      </c>
      <c r="N40" s="505">
        <f ca="1">'调味糖-含税'!N40</f>
        <v>0</v>
      </c>
      <c r="O40" s="615">
        <f ca="1">'调味糖-含税'!O40</f>
        <v>0</v>
      </c>
      <c r="P40" s="589"/>
      <c r="Q40" s="475"/>
    </row>
    <row r="41" s="459" customFormat="1" customHeight="1" spans="1:17">
      <c r="A41" s="502" t="s">
        <v>198</v>
      </c>
      <c r="B41" s="503" t="s">
        <v>167</v>
      </c>
      <c r="C41" s="614">
        <f ca="1">'调味糖-含税'!C41</f>
        <v>0</v>
      </c>
      <c r="D41" s="614">
        <f ca="1">'调味糖-含税'!D41</f>
        <v>0</v>
      </c>
      <c r="E41" s="611">
        <f ca="1">'调味糖-含税'!E41</f>
        <v>0</v>
      </c>
      <c r="F41" s="614">
        <f ca="1">'调味糖-含税'!F41</f>
        <v>0</v>
      </c>
      <c r="G41" s="611">
        <f ca="1">'调味糖-含税'!G41</f>
        <v>0</v>
      </c>
      <c r="I41" s="502" t="s">
        <v>198</v>
      </c>
      <c r="J41" s="503" t="s">
        <v>167</v>
      </c>
      <c r="K41" s="505">
        <f ca="1">'调味糖-含税'!K41</f>
        <v>25.5988697167953</v>
      </c>
      <c r="L41" s="505">
        <f ca="1">'调味糖-含税'!L41</f>
        <v>1.66161125754741</v>
      </c>
      <c r="M41" s="611">
        <f ca="1">'调味糖-含税'!M41</f>
        <v>42.5353701019165</v>
      </c>
      <c r="N41" s="505">
        <f ca="1">'调味糖-含税'!N41</f>
        <v>1285.607</v>
      </c>
      <c r="O41" s="615">
        <f ca="1">'调味糖-含税'!O41</f>
        <v>32910.0861</v>
      </c>
      <c r="P41" s="589"/>
      <c r="Q41" s="475"/>
    </row>
    <row r="42" s="459" customFormat="1" customHeight="1" spans="1:17">
      <c r="A42" s="502" t="s">
        <v>199</v>
      </c>
      <c r="B42" s="503" t="s">
        <v>167</v>
      </c>
      <c r="C42" s="614">
        <f ca="1">'调味糖-含税'!C42</f>
        <v>0</v>
      </c>
      <c r="D42" s="614">
        <f ca="1">'调味糖-含税'!D42</f>
        <v>0</v>
      </c>
      <c r="E42" s="611">
        <f ca="1">'调味糖-含税'!E42</f>
        <v>0</v>
      </c>
      <c r="F42" s="614">
        <f ca="1">'调味糖-含税'!F42</f>
        <v>0</v>
      </c>
      <c r="G42" s="611">
        <f ca="1">'调味糖-含税'!G42</f>
        <v>0</v>
      </c>
      <c r="I42" s="502" t="s">
        <v>199</v>
      </c>
      <c r="J42" s="503" t="s">
        <v>167</v>
      </c>
      <c r="K42" s="505">
        <f ca="1">'调味糖-含税'!K42</f>
        <v>0</v>
      </c>
      <c r="L42" s="505">
        <f ca="1">'调味糖-含税'!L42</f>
        <v>0</v>
      </c>
      <c r="M42" s="611">
        <f ca="1">'调味糖-含税'!M42</f>
        <v>0</v>
      </c>
      <c r="N42" s="505">
        <f ca="1">'调味糖-含税'!N42</f>
        <v>0</v>
      </c>
      <c r="O42" s="615">
        <f ca="1">'调味糖-含税'!O42</f>
        <v>0</v>
      </c>
      <c r="P42" s="589"/>
      <c r="Q42" s="475"/>
    </row>
    <row r="43" s="459" customFormat="1" customHeight="1" spans="1:17">
      <c r="A43" s="502" t="s">
        <v>200</v>
      </c>
      <c r="B43" s="503" t="s">
        <v>167</v>
      </c>
      <c r="C43" s="614">
        <f ca="1">'调味糖-含税'!C43</f>
        <v>0</v>
      </c>
      <c r="D43" s="614">
        <f ca="1">'调味糖-含税'!D43</f>
        <v>0</v>
      </c>
      <c r="E43" s="611">
        <f ca="1">'调味糖-含税'!E43</f>
        <v>0</v>
      </c>
      <c r="F43" s="614">
        <f ca="1">'调味糖-含税'!F43</f>
        <v>0</v>
      </c>
      <c r="G43" s="611">
        <f ca="1">'调味糖-含税'!G43</f>
        <v>0</v>
      </c>
      <c r="I43" s="502" t="s">
        <v>200</v>
      </c>
      <c r="J43" s="503" t="s">
        <v>167</v>
      </c>
      <c r="K43" s="505">
        <f ca="1">'调味糖-含税'!K43</f>
        <v>0</v>
      </c>
      <c r="L43" s="505">
        <f ca="1">'调味糖-含税'!L43</f>
        <v>0</v>
      </c>
      <c r="M43" s="611">
        <f ca="1">'调味糖-含税'!M43</f>
        <v>0</v>
      </c>
      <c r="N43" s="505">
        <f ca="1">'调味糖-含税'!N43</f>
        <v>0</v>
      </c>
      <c r="O43" s="615">
        <f ca="1">'调味糖-含税'!O43</f>
        <v>0</v>
      </c>
      <c r="P43" s="589"/>
      <c r="Q43" s="475"/>
    </row>
    <row r="44" s="459" customFormat="1" customHeight="1" spans="1:17">
      <c r="A44" s="502" t="s">
        <v>205</v>
      </c>
      <c r="B44" s="503"/>
      <c r="C44" s="614">
        <f ca="1">'调味糖-含税'!C44</f>
        <v>0</v>
      </c>
      <c r="D44" s="614">
        <f ca="1">'调味糖-含税'!D44</f>
        <v>0</v>
      </c>
      <c r="E44" s="611">
        <f ca="1">'调味糖-含税'!E44</f>
        <v>0</v>
      </c>
      <c r="F44" s="614">
        <f ca="1">'调味糖-含税'!F44</f>
        <v>0</v>
      </c>
      <c r="G44" s="611">
        <f ca="1">'调味糖-含税'!G44</f>
        <v>0</v>
      </c>
      <c r="I44" s="502" t="s">
        <v>205</v>
      </c>
      <c r="J44" s="503"/>
      <c r="K44" s="505">
        <f ca="1">'调味糖-含税'!K44</f>
        <v>0</v>
      </c>
      <c r="L44" s="505">
        <f ca="1">'调味糖-含税'!L44</f>
        <v>0</v>
      </c>
      <c r="M44" s="611">
        <f ca="1">'调味糖-含税'!M44</f>
        <v>0</v>
      </c>
      <c r="N44" s="505">
        <f ca="1">'调味糖-含税'!N44</f>
        <v>0</v>
      </c>
      <c r="O44" s="615">
        <f ca="1">'调味糖-含税'!O44</f>
        <v>0</v>
      </c>
      <c r="P44" s="589"/>
      <c r="Q44" s="475"/>
    </row>
    <row r="45" s="459" customFormat="1" customHeight="1" spans="1:17">
      <c r="A45" s="502" t="s">
        <v>203</v>
      </c>
      <c r="B45" s="503"/>
      <c r="C45" s="614">
        <f ca="1">'调味糖-含税'!C45</f>
        <v>0</v>
      </c>
      <c r="D45" s="614">
        <f ca="1">'调味糖-含税'!D45</f>
        <v>0</v>
      </c>
      <c r="E45" s="611">
        <f ca="1">'调味糖-含税'!E45</f>
        <v>0</v>
      </c>
      <c r="F45" s="614">
        <f ca="1">'调味糖-含税'!F45</f>
        <v>0</v>
      </c>
      <c r="G45" s="611">
        <f ca="1">'调味糖-含税'!G45</f>
        <v>0</v>
      </c>
      <c r="I45" s="502" t="s">
        <v>203</v>
      </c>
      <c r="J45" s="503"/>
      <c r="K45" s="505" t="e">
        <f ca="1">'调味糖-含税'!K45</f>
        <v>#DIV/0!</v>
      </c>
      <c r="L45" s="505">
        <f ca="1">'调味糖-含税'!L45</f>
        <v>0</v>
      </c>
      <c r="M45" s="611">
        <f ca="1">'调味糖-含税'!M45</f>
        <v>0</v>
      </c>
      <c r="N45" s="505">
        <f ca="1">'调味糖-含税'!N45</f>
        <v>0</v>
      </c>
      <c r="O45" s="615">
        <f ca="1">'调味糖-含税'!O45</f>
        <v>0</v>
      </c>
      <c r="P45" s="589"/>
      <c r="Q45" s="475"/>
    </row>
    <row r="46" s="459" customFormat="1" customHeight="1" spans="1:17">
      <c r="A46" s="502" t="s">
        <v>206</v>
      </c>
      <c r="B46" s="503"/>
      <c r="C46" s="614">
        <f ca="1">'调味糖-含税'!C46</f>
        <v>0</v>
      </c>
      <c r="D46" s="614">
        <f ca="1">'调味糖-含税'!D46</f>
        <v>0</v>
      </c>
      <c r="E46" s="611">
        <f ca="1">'调味糖-含税'!E46</f>
        <v>0</v>
      </c>
      <c r="F46" s="614">
        <f ca="1">'调味糖-含税'!F46</f>
        <v>0</v>
      </c>
      <c r="G46" s="611">
        <f ca="1">'调味糖-含税'!G46</f>
        <v>0</v>
      </c>
      <c r="I46" s="502" t="s">
        <v>206</v>
      </c>
      <c r="J46" s="503"/>
      <c r="K46" s="505">
        <f ca="1">'调味糖-含税'!K46</f>
        <v>557.935407407407</v>
      </c>
      <c r="L46" s="505">
        <f ca="1">'调味糖-含税'!L46</f>
        <v>0.348967483482744</v>
      </c>
      <c r="M46" s="611">
        <f ca="1">'调味糖-含税'!M46</f>
        <v>194.701315068883</v>
      </c>
      <c r="N46" s="505">
        <f ca="1">'调味糖-含税'!N46</f>
        <v>270</v>
      </c>
      <c r="O46" s="615">
        <f ca="1">'调味糖-含税'!O46</f>
        <v>150642.56</v>
      </c>
      <c r="P46" s="589"/>
      <c r="Q46" s="475"/>
    </row>
    <row r="47" s="459" customFormat="1" customHeight="1" spans="1:17">
      <c r="A47" s="502" t="str">
        <f>'调味糖-含税'!A47</f>
        <v>食品级六偏磷酸钠_通用_含量≥67%_通用</v>
      </c>
      <c r="B47" s="503"/>
      <c r="C47" s="614">
        <f ca="1">'调味糖-含税'!C47</f>
        <v>0</v>
      </c>
      <c r="D47" s="614">
        <f ca="1">'调味糖-含税'!D47</f>
        <v>0</v>
      </c>
      <c r="E47" s="611">
        <f ca="1">'调味糖-含税'!E47</f>
        <v>0</v>
      </c>
      <c r="F47" s="614">
        <f ca="1">'调味糖-含税'!F47</f>
        <v>0</v>
      </c>
      <c r="G47" s="611">
        <f ca="1">'调味糖-含税'!G47</f>
        <v>0</v>
      </c>
      <c r="I47" s="502" t="str">
        <f>'调味糖-含税'!I47</f>
        <v>食品级六偏磷酸钠_通用_含量≥67%_通用</v>
      </c>
      <c r="J47" s="503"/>
      <c r="K47" s="505">
        <f ca="1">'调味糖-含税'!K47</f>
        <v>12.170665</v>
      </c>
      <c r="L47" s="505">
        <f ca="1">'调味糖-含税'!L47</f>
        <v>0.025849443220944</v>
      </c>
      <c r="M47" s="611">
        <f ca="1">'调味糖-含税'!M47</f>
        <v>0.314604913878631</v>
      </c>
      <c r="N47" s="505">
        <f ca="1">'调味糖-含税'!N47</f>
        <v>20</v>
      </c>
      <c r="O47" s="615">
        <f ca="1">'调味糖-含税'!O47</f>
        <v>243.4133</v>
      </c>
      <c r="P47" s="589"/>
      <c r="Q47" s="475"/>
    </row>
    <row r="48" s="459" customFormat="1" customHeight="1" spans="1:17">
      <c r="A48" s="502" t="str">
        <f>'调味糖-含税'!A48</f>
        <v>无水柠檬酸_细目</v>
      </c>
      <c r="B48" s="503"/>
      <c r="C48" s="614">
        <f ca="1">'调味糖-含税'!C48</f>
        <v>0</v>
      </c>
      <c r="D48" s="614">
        <f ca="1">'调味糖-含税'!D48</f>
        <v>0</v>
      </c>
      <c r="E48" s="611">
        <f ca="1">'调味糖-含税'!E48</f>
        <v>0</v>
      </c>
      <c r="F48" s="614">
        <f ca="1">'调味糖-含税'!F48</f>
        <v>0</v>
      </c>
      <c r="G48" s="611">
        <f ca="1">'调味糖-含税'!G48</f>
        <v>0</v>
      </c>
      <c r="I48" s="502" t="str">
        <f>'调味糖-含税'!I48</f>
        <v>无水柠檬酸_细目</v>
      </c>
      <c r="J48" s="503"/>
      <c r="K48" s="505">
        <f ca="1">'调味糖-含税'!K48</f>
        <v>6150.00159954298</v>
      </c>
      <c r="L48" s="505">
        <f ca="1">'调味糖-含税'!L48</f>
        <v>0.00452494503582625</v>
      </c>
      <c r="M48" s="611">
        <f ca="1">'调味糖-含税'!M48</f>
        <v>27.8284192081755</v>
      </c>
      <c r="N48" s="505">
        <f ca="1">'调味糖-含税'!N48</f>
        <v>3.501</v>
      </c>
      <c r="O48" s="615">
        <f ca="1">'调味糖-含税'!O48</f>
        <v>21531.1556</v>
      </c>
      <c r="P48" s="475"/>
      <c r="Q48" s="475"/>
    </row>
    <row r="49" s="459" customFormat="1" customHeight="1" spans="1:18">
      <c r="A49" s="508" t="s">
        <v>208</v>
      </c>
      <c r="B49" s="490"/>
      <c r="C49" s="501"/>
      <c r="D49" s="492"/>
      <c r="E49" s="607">
        <f ca="1">SUM(E50:E54)</f>
        <v>0</v>
      </c>
      <c r="F49" s="491"/>
      <c r="G49" s="607" t="e">
        <f ca="1">SUM(G50:G54)</f>
        <v>#DIV/0!</v>
      </c>
      <c r="I49" s="508" t="s">
        <v>208</v>
      </c>
      <c r="J49" s="490"/>
      <c r="K49" s="501"/>
      <c r="L49" s="492"/>
      <c r="M49" s="607" t="e">
        <f ca="1">SUM(M50:M54)</f>
        <v>#DIV/0!</v>
      </c>
      <c r="N49" s="491"/>
      <c r="O49" s="607" t="e">
        <f ca="1">SUM(O50:O54)</f>
        <v>#DIV/0!</v>
      </c>
      <c r="P49" s="475"/>
      <c r="Q49" s="475"/>
    </row>
    <row r="50" s="459" customFormat="1" customHeight="1" spans="1:18">
      <c r="A50" s="502" t="s">
        <v>95</v>
      </c>
      <c r="B50" s="503" t="s">
        <v>75</v>
      </c>
      <c r="C50" s="566">
        <f ca="1">'调味糖-含税'!C51</f>
        <v>0</v>
      </c>
      <c r="D50" s="566">
        <f ca="1">'调味糖-含税'!D51</f>
        <v>0</v>
      </c>
      <c r="E50" s="610">
        <f ca="1">'调味糖-含税'!E51</f>
        <v>0</v>
      </c>
      <c r="F50" s="480" t="e">
        <f ca="1">'调味糖-含税'!F51</f>
        <v>#DIV/0!</v>
      </c>
      <c r="G50" s="610">
        <f ca="1">'调味糖-含税'!G51</f>
        <v>0</v>
      </c>
      <c r="I50" s="502" t="s">
        <v>95</v>
      </c>
      <c r="J50" s="503" t="s">
        <v>75</v>
      </c>
      <c r="K50" s="567">
        <f ca="1">'调味糖-含税'!K51</f>
        <v>408.530937837231</v>
      </c>
      <c r="L50" s="567" t="e">
        <f ca="1">'调味糖-含税'!L51</f>
        <v>#DIV/0!</v>
      </c>
      <c r="M50" s="616" t="e">
        <f ca="1">'调味糖-含税'!M51</f>
        <v>#DIV/0!</v>
      </c>
      <c r="N50" s="617" t="e">
        <f ca="1">'调味糖-含税'!N51</f>
        <v>#DIV/0!</v>
      </c>
      <c r="O50" s="618" t="e">
        <f ca="1">'调味糖-含税'!O51</f>
        <v>#DIV/0!</v>
      </c>
      <c r="P50" s="475"/>
      <c r="Q50" s="475"/>
    </row>
    <row r="51" s="459" customFormat="1" customHeight="1" spans="1:18">
      <c r="A51" s="502" t="s">
        <v>96</v>
      </c>
      <c r="B51" s="503" t="s">
        <v>97</v>
      </c>
      <c r="C51" s="566">
        <f ca="1">'调味糖-含税'!C52</f>
        <v>0</v>
      </c>
      <c r="D51" s="566">
        <f ca="1">'调味糖-含税'!D52</f>
        <v>0</v>
      </c>
      <c r="E51" s="610">
        <f ca="1">'调味糖-含税'!E52</f>
        <v>0</v>
      </c>
      <c r="F51" s="480" t="e">
        <f ca="1">'调味糖-含税'!F52</f>
        <v>#DIV/0!</v>
      </c>
      <c r="G51" s="610">
        <f ca="1">'调味糖-含税'!G52</f>
        <v>0</v>
      </c>
      <c r="I51" s="502" t="s">
        <v>96</v>
      </c>
      <c r="J51" s="503" t="s">
        <v>97</v>
      </c>
      <c r="K51" s="567">
        <f ca="1">'调味糖-含税'!K52</f>
        <v>0.769119583630169</v>
      </c>
      <c r="L51" s="567" t="e">
        <f ca="1">'调味糖-含税'!L52</f>
        <v>#DIV/0!</v>
      </c>
      <c r="M51" s="616" t="e">
        <f ca="1">'调味糖-含税'!M52</f>
        <v>#DIV/0!</v>
      </c>
      <c r="N51" s="617" t="e">
        <f ca="1">'调味糖-含税'!N52</f>
        <v>#DIV/0!</v>
      </c>
      <c r="O51" s="618" t="e">
        <f ca="1">'调味糖-含税'!O52</f>
        <v>#DIV/0!</v>
      </c>
      <c r="P51" s="475"/>
      <c r="Q51" s="475"/>
    </row>
    <row r="52" s="459" customFormat="1" customHeight="1" spans="1:18">
      <c r="A52" s="502" t="s">
        <v>98</v>
      </c>
      <c r="B52" s="503" t="s">
        <v>75</v>
      </c>
      <c r="C52" s="566">
        <f>'调味糖-含税'!C53</f>
        <v>5.993</v>
      </c>
      <c r="D52" s="566">
        <f ca="1">'调味糖-含税'!D53</f>
        <v>0</v>
      </c>
      <c r="E52" s="610">
        <f ca="1">'调味糖-含税'!E53</f>
        <v>0</v>
      </c>
      <c r="F52" s="480" t="e">
        <f ca="1">'调味糖-含税'!F53</f>
        <v>#DIV/0!</v>
      </c>
      <c r="G52" s="610">
        <f ca="1">'调味糖-含税'!G53</f>
        <v>0</v>
      </c>
      <c r="I52" s="502" t="s">
        <v>98</v>
      </c>
      <c r="J52" s="503" t="s">
        <v>75</v>
      </c>
      <c r="K52" s="567">
        <f>'调味糖-含税'!K53</f>
        <v>5.993</v>
      </c>
      <c r="L52" s="567" t="e">
        <f ca="1">'调味糖-含税'!L53</f>
        <v>#DIV/0!</v>
      </c>
      <c r="M52" s="616" t="e">
        <f ca="1">'调味糖-含税'!M53</f>
        <v>#DIV/0!</v>
      </c>
      <c r="N52" s="617" t="e">
        <f ca="1">'调味糖-含税'!N53</f>
        <v>#DIV/0!</v>
      </c>
      <c r="O52" s="618" t="e">
        <f ca="1">'调味糖-含税'!O53</f>
        <v>#DIV/0!</v>
      </c>
      <c r="P52" s="475"/>
      <c r="Q52" s="475"/>
    </row>
    <row r="53" s="459" customFormat="1" customHeight="1" spans="1:18">
      <c r="A53" s="502" t="s">
        <v>99</v>
      </c>
      <c r="B53" s="503" t="s">
        <v>100</v>
      </c>
      <c r="C53" s="505"/>
      <c r="D53" s="497"/>
      <c r="E53" s="610"/>
      <c r="F53" s="507"/>
      <c r="G53" s="610"/>
      <c r="I53" s="502" t="s">
        <v>99</v>
      </c>
      <c r="J53" s="503" t="s">
        <v>100</v>
      </c>
      <c r="K53" s="480"/>
      <c r="L53" s="505"/>
      <c r="M53" s="610"/>
      <c r="N53" s="507"/>
      <c r="O53" s="612"/>
      <c r="P53" s="475"/>
      <c r="Q53" s="475"/>
    </row>
    <row r="54" s="459" customFormat="1" customHeight="1" spans="1:18">
      <c r="A54" s="516" t="s">
        <v>209</v>
      </c>
      <c r="B54" s="503"/>
      <c r="C54" s="505"/>
      <c r="D54" s="497"/>
      <c r="E54" s="611">
        <f ca="1">'调味糖-含税'!E55</f>
        <v>0</v>
      </c>
      <c r="F54" s="507"/>
      <c r="G54" s="611" t="e">
        <f ca="1">'调味糖-含税'!G55</f>
        <v>#DIV/0!</v>
      </c>
      <c r="I54" s="516" t="s">
        <v>209</v>
      </c>
      <c r="J54" s="503"/>
      <c r="K54" s="505"/>
      <c r="L54" s="497"/>
      <c r="M54" s="611" t="e">
        <f ca="1">'调味糖-含税'!M55</f>
        <v>#DIV/0!</v>
      </c>
      <c r="N54" s="507"/>
      <c r="O54" s="611" t="e">
        <f ca="1">'调味糖-含税'!O55</f>
        <v>#DIV/0!</v>
      </c>
      <c r="P54" s="475"/>
      <c r="Q54" s="475"/>
    </row>
    <row r="55" s="459" customFormat="1" customHeight="1" spans="1:18">
      <c r="A55" s="508" t="s">
        <v>210</v>
      </c>
      <c r="B55" s="490"/>
      <c r="C55" s="501"/>
      <c r="D55" s="492"/>
      <c r="E55" s="607">
        <f ca="1">IF(VALUE(F$3)=0,0,G55/F$3)</f>
        <v>0</v>
      </c>
      <c r="F55" s="491"/>
      <c r="G55" s="607" t="e">
        <f ca="1">SUM(G5,-G11,-G20,-G49)-SUM(调味糖!G5,-调味糖!G11,-调味糖!G20,-调味糖!G51,-调味糖!G56)</f>
        <v>#DIV/0!</v>
      </c>
      <c r="I55" s="508" t="s">
        <v>210</v>
      </c>
      <c r="J55" s="490"/>
      <c r="K55" s="501"/>
      <c r="L55" s="492"/>
      <c r="M55" s="607" t="e">
        <f ca="1">'调味糖-含税'!M58</f>
        <v>#DIV/0!</v>
      </c>
      <c r="N55" s="491"/>
      <c r="O55" s="607" t="e">
        <f ca="1">'调味糖-含税'!O58</f>
        <v>#DIV/0!</v>
      </c>
      <c r="P55" s="475"/>
    </row>
    <row r="56" s="459" customFormat="1" ht="14.25" customHeight="1" spans="1:18">
      <c r="A56" s="508" t="s">
        <v>211</v>
      </c>
      <c r="B56" s="508"/>
      <c r="C56" s="508"/>
      <c r="D56" s="508"/>
      <c r="E56" s="607">
        <f ca="1">'调味糖-含税'!E68</f>
        <v>0</v>
      </c>
      <c r="F56" s="542"/>
      <c r="G56" s="607" t="e">
        <f ca="1">'调味糖-含税'!G68</f>
        <v>#DIV/0!</v>
      </c>
      <c r="I56" s="508" t="s">
        <v>211</v>
      </c>
      <c r="J56" s="508"/>
      <c r="K56" s="508"/>
      <c r="L56" s="508"/>
      <c r="M56" s="607" t="e">
        <f ca="1">'调味糖-含税'!M68</f>
        <v>#DIV/0!</v>
      </c>
      <c r="N56" s="542"/>
      <c r="O56" s="619" t="e">
        <f ca="1">'调味糖-含税'!O68</f>
        <v>#DIV/0!</v>
      </c>
      <c r="Q56" s="511"/>
    </row>
    <row r="57" s="459" customFormat="1" ht="14.25" customHeight="1" spans="1:18">
      <c r="A57" s="508" t="s">
        <v>212</v>
      </c>
      <c r="B57" s="508"/>
      <c r="C57" s="508"/>
      <c r="D57" s="508"/>
      <c r="E57" s="607">
        <f ca="1">'调味糖-含税'!E79</f>
        <v>0</v>
      </c>
      <c r="F57" s="542"/>
      <c r="G57" s="607" t="e">
        <f ca="1">'调味糖-含税'!G79</f>
        <v>#DIV/0!</v>
      </c>
      <c r="I57" s="508" t="s">
        <v>212</v>
      </c>
      <c r="J57" s="508"/>
      <c r="K57" s="508"/>
      <c r="L57" s="508"/>
      <c r="M57" s="607" t="e">
        <f ca="1">O57/N3</f>
        <v>#DIV/0!</v>
      </c>
      <c r="N57" s="542"/>
      <c r="O57" s="619" t="e">
        <f ca="1">'调味糖-含税'!O79</f>
        <v>#DIV/0!</v>
      </c>
    </row>
    <row r="58" s="459" customFormat="1" customHeight="1" spans="1:18">
      <c r="A58" s="569" t="s">
        <v>105</v>
      </c>
      <c r="B58" s="472"/>
      <c r="C58" s="570"/>
      <c r="D58" s="571"/>
      <c r="E58" s="620" t="e">
        <f ca="1">E5-E10</f>
        <v>#DIV/0!</v>
      </c>
      <c r="F58" s="572"/>
      <c r="G58" s="620" t="e">
        <f ca="1">G5-G10</f>
        <v>#DIV/0!</v>
      </c>
      <c r="H58" s="593"/>
      <c r="I58" s="569" t="s">
        <v>105</v>
      </c>
      <c r="J58" s="472"/>
      <c r="K58" s="570"/>
      <c r="L58" s="571"/>
      <c r="M58" s="620" t="e">
        <f ca="1">M5-M10</f>
        <v>#DIV/0!</v>
      </c>
      <c r="N58" s="572"/>
      <c r="O58" s="620" t="e">
        <f ca="1">O5-O10</f>
        <v>#DIV/0!</v>
      </c>
      <c r="P58" s="475"/>
      <c r="Q58" s="511"/>
    </row>
    <row r="59" s="459" customFormat="1" customHeight="1" spans="1:18">
      <c r="A59" s="513" t="s">
        <v>106</v>
      </c>
      <c r="B59" s="485"/>
      <c r="C59" s="514"/>
      <c r="D59" s="515"/>
      <c r="E59" s="613">
        <f ca="1">SUM(E60:E66)</f>
        <v>0</v>
      </c>
      <c r="F59" s="488"/>
      <c r="G59" s="613" t="e">
        <f ca="1">SUM(G60:G66)</f>
        <v>#DIV/0!</v>
      </c>
      <c r="I59" s="513" t="s">
        <v>106</v>
      </c>
      <c r="J59" s="485"/>
      <c r="K59" s="514"/>
      <c r="L59" s="515"/>
      <c r="M59" s="613" t="e">
        <f ca="1">IF(N$3=0,0,O59/N$3)</f>
        <v>#DIV/0!</v>
      </c>
      <c r="N59" s="488"/>
      <c r="O59" s="613" t="e">
        <f ca="1">SUM(O60:O66)</f>
        <v>#DIV/0!</v>
      </c>
      <c r="P59" s="475"/>
    </row>
    <row r="60" s="459" customFormat="1" customHeight="1" spans="1:18">
      <c r="A60" s="516" t="s">
        <v>107</v>
      </c>
      <c r="B60" s="503"/>
      <c r="C60" s="505"/>
      <c r="D60" s="497"/>
      <c r="E60" s="610">
        <f ca="1">'调味糖-含税'!E61</f>
        <v>0</v>
      </c>
      <c r="F60" s="507"/>
      <c r="G60" s="610" t="e">
        <f ca="1">'调味糖-含税'!G61</f>
        <v>#DIV/0!</v>
      </c>
      <c r="H60" s="483"/>
      <c r="I60" s="516" t="s">
        <v>107</v>
      </c>
      <c r="J60" s="503"/>
      <c r="K60" s="505"/>
      <c r="L60" s="497"/>
      <c r="M60" s="610" t="e">
        <f ca="1">'调味糖-含税'!M61</f>
        <v>#DIV/0!</v>
      </c>
      <c r="N60" s="507"/>
      <c r="O60" s="612" t="e">
        <f ca="1">'调味糖-含税'!O61</f>
        <v>#DIV/0!</v>
      </c>
      <c r="P60" s="475"/>
    </row>
    <row r="61" s="459" customFormat="1" customHeight="1" spans="1:18">
      <c r="A61" s="516" t="s">
        <v>108</v>
      </c>
      <c r="B61" s="503"/>
      <c r="C61" s="505"/>
      <c r="D61" s="497"/>
      <c r="E61" s="610">
        <f ca="1">'调味糖-含税'!E62</f>
        <v>0</v>
      </c>
      <c r="F61" s="507"/>
      <c r="G61" s="610" t="e">
        <f ca="1">'调味糖-含税'!G62</f>
        <v>#DIV/0!</v>
      </c>
      <c r="H61" s="483"/>
      <c r="I61" s="516" t="s">
        <v>108</v>
      </c>
      <c r="J61" s="503"/>
      <c r="K61" s="505"/>
      <c r="L61" s="497"/>
      <c r="M61" s="610" t="e">
        <f ca="1">'调味糖-含税'!M62</f>
        <v>#DIV/0!</v>
      </c>
      <c r="N61" s="507"/>
      <c r="O61" s="612" t="e">
        <f ca="1">'调味糖-含税'!O62</f>
        <v>#DIV/0!</v>
      </c>
      <c r="P61" s="475"/>
      <c r="R61" s="511"/>
    </row>
    <row r="62" s="459" customFormat="1" customHeight="1" spans="1:18">
      <c r="A62" s="516" t="s">
        <v>109</v>
      </c>
      <c r="B62" s="503"/>
      <c r="C62" s="498"/>
      <c r="D62" s="518"/>
      <c r="E62" s="610">
        <f ca="1">'调味糖-含税'!E63</f>
        <v>0</v>
      </c>
      <c r="F62" s="507"/>
      <c r="G62" s="610" t="e">
        <f ca="1">'调味糖-含税'!G63</f>
        <v>#DIV/0!</v>
      </c>
      <c r="H62" s="483"/>
      <c r="I62" s="516" t="s">
        <v>109</v>
      </c>
      <c r="J62" s="503"/>
      <c r="K62" s="498"/>
      <c r="L62" s="518"/>
      <c r="M62" s="610" t="e">
        <f ca="1">'调味糖-含税'!M63</f>
        <v>#DIV/0!</v>
      </c>
      <c r="N62" s="507"/>
      <c r="O62" s="612" t="e">
        <f ca="1">'调味糖-含税'!O63</f>
        <v>#DIV/0!</v>
      </c>
      <c r="P62" s="475"/>
    </row>
    <row r="63" s="459" customFormat="1" customHeight="1" spans="1:18">
      <c r="A63" s="516" t="s">
        <v>110</v>
      </c>
      <c r="B63" s="503"/>
      <c r="C63" s="498"/>
      <c r="D63" s="518"/>
      <c r="E63" s="610">
        <f ca="1">'调味糖-含税'!E64</f>
        <v>0</v>
      </c>
      <c r="F63" s="507"/>
      <c r="G63" s="610" t="e">
        <f ca="1">'调味糖-含税'!G64</f>
        <v>#DIV/0!</v>
      </c>
      <c r="H63" s="483"/>
      <c r="I63" s="516" t="s">
        <v>110</v>
      </c>
      <c r="J63" s="503"/>
      <c r="K63" s="498"/>
      <c r="L63" s="518"/>
      <c r="M63" s="610" t="e">
        <f ca="1">'调味糖-含税'!M64</f>
        <v>#DIV/0!</v>
      </c>
      <c r="N63" s="507"/>
      <c r="O63" s="612" t="e">
        <f ca="1">'调味糖-含税'!O64</f>
        <v>#DIV/0!</v>
      </c>
      <c r="P63" s="475"/>
    </row>
    <row r="64" s="459" customFormat="1" customHeight="1" spans="1:18">
      <c r="A64" s="516" t="s">
        <v>111</v>
      </c>
      <c r="B64" s="503"/>
      <c r="C64" s="498"/>
      <c r="D64" s="518"/>
      <c r="E64" s="575">
        <f ca="1">'调味糖-含税'!E65</f>
        <v>0</v>
      </c>
      <c r="F64" s="575"/>
      <c r="G64" s="575" t="e">
        <f ca="1">'调味糖-含税'!G65</f>
        <v>#DIV/0!</v>
      </c>
      <c r="H64" s="483"/>
      <c r="I64" s="516" t="s">
        <v>111</v>
      </c>
      <c r="J64" s="503"/>
      <c r="K64" s="498"/>
      <c r="L64" s="518"/>
      <c r="M64" s="610" t="e">
        <f ca="1">'调味糖-含税'!M65</f>
        <v>#DIV/0!</v>
      </c>
      <c r="N64" s="507"/>
      <c r="O64" s="612" t="e">
        <f ca="1">'调味糖-含税'!O65</f>
        <v>#DIV/0!</v>
      </c>
      <c r="P64" s="475"/>
    </row>
    <row r="65" s="459" customFormat="1" customHeight="1" spans="1:16">
      <c r="A65" s="516" t="s">
        <v>112</v>
      </c>
      <c r="B65" s="503"/>
      <c r="C65" s="498"/>
      <c r="D65" s="518"/>
      <c r="E65" s="610">
        <f ca="1">'调味糖-含税'!E66</f>
        <v>0</v>
      </c>
      <c r="F65" s="507"/>
      <c r="G65" s="610" t="e">
        <f ca="1">'调味糖-含税'!G66</f>
        <v>#DIV/0!</v>
      </c>
      <c r="H65" s="483"/>
      <c r="I65" s="516" t="s">
        <v>112</v>
      </c>
      <c r="J65" s="503"/>
      <c r="K65" s="498"/>
      <c r="L65" s="518"/>
      <c r="M65" s="610" t="e">
        <f ca="1">'调味糖-含税'!M66</f>
        <v>#DIV/0!</v>
      </c>
      <c r="N65" s="507"/>
      <c r="O65" s="612" t="e">
        <f ca="1">'调味糖-含税'!O66</f>
        <v>#DIV/0!</v>
      </c>
      <c r="P65" s="475"/>
    </row>
    <row r="66" s="459" customFormat="1" hidden="1" customHeight="1" spans="1:16">
      <c r="A66" s="516" t="s">
        <v>113</v>
      </c>
      <c r="B66" s="503"/>
      <c r="C66" s="498"/>
      <c r="D66" s="518"/>
      <c r="E66" s="576"/>
      <c r="F66" s="507"/>
      <c r="G66" s="576"/>
      <c r="I66" s="516" t="s">
        <v>114</v>
      </c>
      <c r="J66" s="503"/>
      <c r="K66" s="498"/>
      <c r="L66" s="518"/>
      <c r="M66" s="576"/>
      <c r="N66" s="507"/>
      <c r="O66" s="576"/>
      <c r="P66" s="475"/>
    </row>
    <row r="67" s="459" customFormat="1" ht="14.25" hidden="1" customHeight="1" spans="1:16">
      <c r="A67" s="516" t="s">
        <v>116</v>
      </c>
      <c r="B67" s="503"/>
      <c r="C67" s="498"/>
      <c r="D67" s="518"/>
      <c r="E67" s="576"/>
      <c r="F67" s="517"/>
      <c r="G67" s="575"/>
      <c r="I67" s="516" t="s">
        <v>116</v>
      </c>
      <c r="J67" s="503"/>
      <c r="K67" s="498"/>
      <c r="L67" s="518"/>
      <c r="M67" s="576"/>
      <c r="N67" s="517"/>
      <c r="O67" s="576"/>
    </row>
    <row r="68" s="459" customFormat="1" ht="14.25" hidden="1" customHeight="1" spans="1:16">
      <c r="A68" s="516" t="s">
        <v>117</v>
      </c>
      <c r="B68" s="503"/>
      <c r="C68" s="498"/>
      <c r="D68" s="518"/>
      <c r="E68" s="576"/>
      <c r="F68" s="517"/>
      <c r="G68" s="575"/>
      <c r="I68" s="516" t="s">
        <v>117</v>
      </c>
      <c r="J68" s="503"/>
      <c r="K68" s="498"/>
      <c r="L68" s="518"/>
      <c r="M68" s="576"/>
      <c r="N68" s="517"/>
      <c r="O68" s="576"/>
    </row>
    <row r="69" s="459" customFormat="1" ht="14.25" hidden="1" customHeight="1" spans="1:16">
      <c r="A69" s="516" t="s">
        <v>118</v>
      </c>
      <c r="B69" s="503"/>
      <c r="C69" s="498"/>
      <c r="D69" s="518"/>
      <c r="E69" s="576"/>
      <c r="F69" s="517"/>
      <c r="G69" s="575"/>
      <c r="I69" s="516" t="s">
        <v>118</v>
      </c>
      <c r="J69" s="503"/>
      <c r="K69" s="498"/>
      <c r="L69" s="518"/>
      <c r="M69" s="576"/>
      <c r="N69" s="517"/>
      <c r="O69" s="576"/>
    </row>
    <row r="70" s="459" customFormat="1" ht="14.25" hidden="1" customHeight="1" spans="1:16">
      <c r="A70" s="516" t="s">
        <v>119</v>
      </c>
      <c r="B70" s="503"/>
      <c r="C70" s="498"/>
      <c r="D70" s="518"/>
      <c r="E70" s="576"/>
      <c r="F70" s="517"/>
      <c r="G70" s="575"/>
      <c r="I70" s="516" t="s">
        <v>119</v>
      </c>
      <c r="J70" s="503"/>
      <c r="K70" s="498"/>
      <c r="L70" s="518"/>
      <c r="M70" s="576"/>
      <c r="N70" s="517"/>
      <c r="O70" s="576"/>
    </row>
    <row r="71" s="459" customFormat="1" ht="14.25" hidden="1" customHeight="1" spans="1:16">
      <c r="A71" s="516" t="s">
        <v>120</v>
      </c>
      <c r="B71" s="503"/>
      <c r="C71" s="498"/>
      <c r="D71" s="518"/>
      <c r="E71" s="576"/>
      <c r="F71" s="517"/>
      <c r="G71" s="575"/>
      <c r="I71" s="516" t="s">
        <v>120</v>
      </c>
      <c r="J71" s="503"/>
      <c r="K71" s="498"/>
      <c r="L71" s="518"/>
      <c r="M71" s="576"/>
      <c r="N71" s="517"/>
      <c r="O71" s="576"/>
    </row>
    <row r="72" s="459" customFormat="1" ht="12" hidden="1" spans="1:16">
      <c r="A72" s="516" t="s">
        <v>121</v>
      </c>
      <c r="B72" s="503"/>
      <c r="C72" s="498"/>
      <c r="D72" s="518"/>
      <c r="E72" s="576"/>
      <c r="F72" s="517"/>
      <c r="G72" s="575"/>
      <c r="I72" s="516" t="s">
        <v>121</v>
      </c>
      <c r="J72" s="503"/>
      <c r="K72" s="498"/>
      <c r="L72" s="518"/>
      <c r="M72" s="576"/>
      <c r="N72" s="517"/>
      <c r="O72" s="576"/>
    </row>
    <row r="73" s="459" customFormat="1" ht="17.25" customHeight="1" spans="1:16">
      <c r="A73" s="577" t="s">
        <v>122</v>
      </c>
      <c r="B73" s="485" t="s">
        <v>123</v>
      </c>
      <c r="C73" s="514"/>
      <c r="D73" s="515"/>
      <c r="E73" s="621" t="e">
        <f ca="1">E59+E10</f>
        <v>#DIV/0!</v>
      </c>
      <c r="F73" s="579"/>
      <c r="G73" s="621" t="e">
        <f ca="1">G59+G10</f>
        <v>#DIV/0!</v>
      </c>
      <c r="H73" s="483"/>
      <c r="I73" s="577" t="s">
        <v>122</v>
      </c>
      <c r="J73" s="485" t="s">
        <v>123</v>
      </c>
      <c r="K73" s="514"/>
      <c r="L73" s="515"/>
      <c r="M73" s="621" t="e">
        <f ca="1">M59+M10</f>
        <v>#DIV/0!</v>
      </c>
      <c r="N73" s="579"/>
      <c r="O73" s="621" t="e">
        <f ca="1">O59+O10</f>
        <v>#DIV/0!</v>
      </c>
      <c r="P73" s="475"/>
    </row>
    <row r="74" s="460" customFormat="1" customHeight="1" spans="1:16">
      <c r="A74" s="580" t="s">
        <v>124</v>
      </c>
      <c r="B74" s="485" t="s">
        <v>123</v>
      </c>
      <c r="C74" s="514"/>
      <c r="D74" s="515"/>
      <c r="E74" s="621" t="e">
        <f ca="1">E58-E59</f>
        <v>#DIV/0!</v>
      </c>
      <c r="F74" s="581"/>
      <c r="G74" s="621" t="e">
        <f ca="1">G58-G59</f>
        <v>#DIV/0!</v>
      </c>
      <c r="H74" s="527"/>
      <c r="I74" s="580" t="s">
        <v>124</v>
      </c>
      <c r="J74" s="485" t="s">
        <v>123</v>
      </c>
      <c r="K74" s="514"/>
      <c r="L74" s="515"/>
      <c r="M74" s="621" t="e">
        <f ca="1">M58-M59</f>
        <v>#DIV/0!</v>
      </c>
      <c r="N74" s="581"/>
      <c r="O74" s="621" t="e">
        <f ca="1">O58-O59</f>
        <v>#DIV/0!</v>
      </c>
      <c r="P74" s="528"/>
    </row>
    <row r="75" s="460" customFormat="1" customHeight="1" spans="1:16">
      <c r="A75" s="580" t="s">
        <v>125</v>
      </c>
      <c r="B75" s="485" t="s">
        <v>123</v>
      </c>
      <c r="C75" s="514"/>
      <c r="D75" s="515"/>
      <c r="E75" s="621" t="e">
        <f ca="1">E74+E60</f>
        <v>#DIV/0!</v>
      </c>
      <c r="F75" s="581"/>
      <c r="G75" s="621" t="e">
        <f ca="1">G74+G60</f>
        <v>#DIV/0!</v>
      </c>
      <c r="H75" s="527"/>
      <c r="I75" s="580" t="s">
        <v>125</v>
      </c>
      <c r="J75" s="485" t="s">
        <v>123</v>
      </c>
      <c r="K75" s="514"/>
      <c r="L75" s="515"/>
      <c r="M75" s="621" t="e">
        <f ca="1">M74+M60</f>
        <v>#DIV/0!</v>
      </c>
      <c r="N75" s="581"/>
      <c r="O75" s="621" t="e">
        <f ca="1">O74+O60</f>
        <v>#DIV/0!</v>
      </c>
      <c r="P75" s="528"/>
    </row>
    <row r="76" s="459" customFormat="1" customHeight="1" spans="1:16">
      <c r="A76" s="529" t="s">
        <v>126</v>
      </c>
      <c r="B76" s="530" t="s">
        <v>123</v>
      </c>
      <c r="C76" s="531"/>
      <c r="D76" s="532"/>
      <c r="E76" s="622" t="e">
        <f ca="1">E10-E11+E59</f>
        <v>#DIV/0!</v>
      </c>
      <c r="F76" s="533"/>
      <c r="G76" s="623" t="e">
        <f ca="1">G10-G11+G59</f>
        <v>#DIV/0!</v>
      </c>
      <c r="H76" s="535"/>
      <c r="I76" s="536" t="s">
        <v>126</v>
      </c>
      <c r="J76" s="537" t="s">
        <v>123</v>
      </c>
      <c r="K76" s="533"/>
      <c r="L76" s="533"/>
      <c r="M76" s="622" t="e">
        <f ca="1">M10-M11+M59</f>
        <v>#DIV/0!</v>
      </c>
      <c r="N76" s="533"/>
      <c r="O76" s="623" t="e">
        <f ca="1">O10-O11+O59</f>
        <v>#DIV/0!</v>
      </c>
      <c r="P76" s="475"/>
    </row>
    <row r="82" s="459" customFormat="1" customHeight="1" spans="1:15">
      <c r="A82" s="582"/>
      <c r="B82" s="538"/>
      <c r="E82" s="624"/>
      <c r="F82" s="539"/>
      <c r="G82" s="624"/>
      <c r="M82" s="624"/>
      <c r="O82" s="625"/>
    </row>
    <row r="87" customHeight="1" spans="1:15">
      <c r="F87" s="82"/>
      <c r="N87" s="82"/>
      <c r="O87" s="596"/>
    </row>
    <row r="88" customHeight="1" spans="1:15">
      <c r="F88" s="82"/>
      <c r="N88" s="82"/>
      <c r="O88" s="596"/>
    </row>
    <row r="89" customHeight="1" spans="1:15">
      <c r="F89" s="82"/>
      <c r="N89" s="82"/>
      <c r="O89" s="596"/>
    </row>
    <row r="90" customHeight="1" spans="1:15">
      <c r="F90" s="82"/>
      <c r="N90" s="82"/>
      <c r="O90" s="596"/>
    </row>
    <row r="91" customHeight="1" spans="1:15">
      <c r="F91" s="82"/>
      <c r="N91" s="82"/>
      <c r="O91" s="596"/>
    </row>
    <row r="92" customHeight="1" spans="1:15">
      <c r="F92" s="82"/>
      <c r="N92" s="82"/>
      <c r="O92" s="596"/>
    </row>
    <row r="93" customHeight="1" spans="1:15">
      <c r="F93" s="82"/>
      <c r="N93" s="82"/>
      <c r="O93" s="596"/>
    </row>
    <row r="94" customHeight="1" spans="1:15">
      <c r="F94" s="82"/>
      <c r="N94" s="82"/>
      <c r="O94" s="596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scale="81" fitToHeight="0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545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>
    <tabColor theme="7" tint="0.399975585192419"/>
  </sheetPr>
  <dimension ref="A1:S58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.5" style="462" customWidth="1"/>
    <col min="6" max="6" width="9" style="40" customWidth="1"/>
    <col min="7" max="7" width="10.25" style="40" customWidth="1"/>
    <col min="8" max="8" width="4.125" style="40" customWidth="1"/>
    <col min="9" max="9" width="28" style="40" customWidth="1"/>
    <col min="10" max="10" width="3.625" style="40" customWidth="1"/>
    <col min="11" max="11" width="9" style="40" customWidth="1"/>
    <col min="12" max="13" width="8.5" style="40" customWidth="1"/>
    <col min="14" max="14" width="11.625" style="40" customWidth="1"/>
    <col min="15" max="15" width="11.375" style="40" customWidth="1"/>
    <col min="16" max="16" width="9.75" style="40" customWidth="1"/>
    <col min="17" max="17" width="13" style="40" customWidth="1"/>
    <col min="18" max="16384" width="9" style="40"/>
  </cols>
  <sheetData>
    <row r="1" s="458" customFormat="1" ht="42.75" customHeight="1" spans="1:19">
      <c r="A1" s="97" t="str">
        <f>CONCATENATE("果葡糖浆F42综合成本利润表_含税(2025年"&amp;mth&amp;"月)")</f>
        <v>果葡糖浆F42综合成本利润表_含税(2025年8月)</v>
      </c>
      <c r="B1" s="98"/>
      <c r="C1" s="98"/>
      <c r="D1" s="98"/>
      <c r="E1" s="98"/>
      <c r="F1" s="98"/>
      <c r="G1" s="98"/>
      <c r="I1" s="463" t="str">
        <f>CONCATENATE("果葡糖浆F42综合成本利润表_含税(2025年1-"&amp;mth&amp;"月)")</f>
        <v>果葡糖浆F42综合成本利润表_含税(2025年1-8月)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9">
      <c r="A2" s="464"/>
      <c r="B2" s="464"/>
      <c r="C2" s="464"/>
      <c r="D2" s="465"/>
      <c r="E2" s="44"/>
      <c r="F2" s="464"/>
      <c r="G2" s="464"/>
    </row>
    <row r="3" s="38" customFormat="1" customHeight="1" spans="1:19">
      <c r="A3" s="38" t="s">
        <v>23</v>
      </c>
      <c r="E3" s="39" t="s">
        <v>133</v>
      </c>
      <c r="F3" s="466">
        <f ca="1">'F42'!F3</f>
        <v>0</v>
      </c>
      <c r="G3" s="39" t="s">
        <v>75</v>
      </c>
      <c r="M3" s="378" t="s">
        <v>134</v>
      </c>
      <c r="N3" s="466">
        <f ca="1">'F42'!N3</f>
        <v>1923.675</v>
      </c>
      <c r="O3" s="39" t="s">
        <v>75</v>
      </c>
    </row>
    <row r="4" s="459" customFormat="1" ht="14.25" customHeight="1" spans="1:19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9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3103.38110992138</v>
      </c>
      <c r="N5" s="472"/>
      <c r="O5" s="474">
        <f ca="1">O6-O7</f>
        <v>5969896.65662802</v>
      </c>
      <c r="P5" s="475"/>
    </row>
    <row r="6" s="459" customFormat="1" ht="14.25" customHeight="1" spans="1:19">
      <c r="A6" s="476" t="s">
        <v>84</v>
      </c>
      <c r="B6" s="477"/>
      <c r="C6" s="478"/>
      <c r="D6" s="479"/>
      <c r="E6" s="480">
        <f ca="1">OFFSET(销售收入及运费!C93,0,mth-1,1,1)</f>
        <v>0</v>
      </c>
      <c r="F6" s="479"/>
      <c r="G6" s="480">
        <f ca="1">F3*E6</f>
        <v>0</v>
      </c>
      <c r="I6" s="481" t="s">
        <v>84</v>
      </c>
      <c r="J6" s="477"/>
      <c r="K6" s="478"/>
      <c r="L6" s="479"/>
      <c r="M6" s="507">
        <f ca="1">销售收入及运费!O93</f>
        <v>3171.88092673198</v>
      </c>
      <c r="N6" s="482"/>
      <c r="O6" s="507">
        <f ca="1">M6*$N$3</f>
        <v>6101668.04173114</v>
      </c>
      <c r="P6" s="475"/>
      <c r="Q6" s="511"/>
    </row>
    <row r="7" s="459" customFormat="1" ht="14.25" customHeight="1" spans="1:19">
      <c r="A7" s="476" t="s">
        <v>85</v>
      </c>
      <c r="B7" s="477"/>
      <c r="C7" s="479"/>
      <c r="D7" s="479"/>
      <c r="E7" s="480">
        <f ca="1">OFFSET(销售收入及运费!C191,0,mth-1,1,1)</f>
        <v>0</v>
      </c>
      <c r="F7" s="479"/>
      <c r="G7" s="480">
        <f ca="1">E7*F3</f>
        <v>0</v>
      </c>
      <c r="I7" s="476" t="s">
        <v>85</v>
      </c>
      <c r="J7" s="477"/>
      <c r="K7" s="479"/>
      <c r="L7" s="479"/>
      <c r="M7" s="507">
        <f ca="1">销售收入及运费!O191</f>
        <v>68.4998168105951</v>
      </c>
      <c r="N7" s="482"/>
      <c r="O7" s="507">
        <f ca="1">M7*$N$3</f>
        <v>131771.385103121</v>
      </c>
      <c r="P7" s="475"/>
      <c r="Q7" s="511"/>
    </row>
    <row r="8" s="459" customFormat="1" ht="14.25" customHeight="1" spans="1:19">
      <c r="A8" s="476" t="s">
        <v>86</v>
      </c>
      <c r="B8" s="477"/>
      <c r="C8" s="479"/>
      <c r="D8" s="479"/>
      <c r="E8" s="480" t="e">
        <f ca="1">'F42-含税'!E8</f>
        <v>#DIV/0!</v>
      </c>
      <c r="F8" s="479"/>
      <c r="G8" s="480" t="e">
        <f ca="1">'F42-含税'!G8</f>
        <v>#DIV/0!</v>
      </c>
      <c r="I8" s="476" t="s">
        <v>86</v>
      </c>
      <c r="J8" s="477"/>
      <c r="K8" s="479"/>
      <c r="L8" s="479"/>
      <c r="M8" s="480">
        <f ca="1">'F42-含税'!M8</f>
        <v>42.3001625483452</v>
      </c>
      <c r="N8" s="482"/>
      <c r="O8" s="480">
        <f ca="1">'F42-含税'!O8</f>
        <v>81371.765190188</v>
      </c>
      <c r="P8" s="475"/>
      <c r="Q8" s="511"/>
    </row>
    <row r="9" s="459" customFormat="1" ht="14.25" customHeight="1" spans="1:19">
      <c r="A9" s="476" t="s">
        <v>87</v>
      </c>
      <c r="B9" s="477"/>
      <c r="C9" s="479"/>
      <c r="D9" s="479"/>
      <c r="E9" s="480" t="e">
        <f ca="1">'F42-含税'!E9</f>
        <v>#DIV/0!</v>
      </c>
      <c r="F9" s="479"/>
      <c r="G9" s="480" t="e">
        <f ca="1">'F42-含税'!G9</f>
        <v>#DIV/0!</v>
      </c>
      <c r="I9" s="476" t="s">
        <v>87</v>
      </c>
      <c r="J9" s="477"/>
      <c r="K9" s="479"/>
      <c r="L9" s="479"/>
      <c r="M9" s="480">
        <f ca="1">'F42-含税'!M9</f>
        <v>26.1996542622498</v>
      </c>
      <c r="N9" s="482"/>
      <c r="O9" s="480">
        <f ca="1">'F42-含税'!O9</f>
        <v>50399.6199129334</v>
      </c>
      <c r="P9" s="475"/>
      <c r="Q9" s="511"/>
    </row>
    <row r="10" s="459" customFormat="1" ht="14.25" customHeight="1" spans="1:19">
      <c r="A10" s="484" t="s">
        <v>88</v>
      </c>
      <c r="B10" s="485"/>
      <c r="C10" s="486"/>
      <c r="D10" s="486"/>
      <c r="E10" s="487" t="e">
        <f ca="1">E11+E13+E25+E31+E32+E33</f>
        <v>#DIV/0!</v>
      </c>
      <c r="F10" s="488"/>
      <c r="G10" s="487" t="e">
        <f ca="1">G11+G13+G25+G31+G33+G32</f>
        <v>#DIV/0!</v>
      </c>
      <c r="I10" s="484" t="s">
        <v>88</v>
      </c>
      <c r="J10" s="485"/>
      <c r="K10" s="486"/>
      <c r="L10" s="486"/>
      <c r="M10" s="487" t="e">
        <f ca="1">M11+M13+M25+M31+M32+M33</f>
        <v>#DIV/0!</v>
      </c>
      <c r="N10" s="488"/>
      <c r="O10" s="487" t="e">
        <f ca="1">O11+O13+O25+O31+O33+O32</f>
        <v>#DIV/0!</v>
      </c>
      <c r="P10" s="475"/>
      <c r="Q10" s="511"/>
    </row>
    <row r="11" s="459" customFormat="1" ht="14.25" customHeight="1" spans="1:19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2810.9369959152</v>
      </c>
      <c r="L11" s="492">
        <f ca="1">IF(K11=0,0,M11/K11)</f>
        <v>0.76798883427179</v>
      </c>
      <c r="M11" s="491">
        <f ca="1">M12</f>
        <v>2158.76822670436</v>
      </c>
      <c r="N11" s="491">
        <f ca="1">N12</f>
        <v>1477.36092076778</v>
      </c>
      <c r="O11" s="491">
        <f ca="1">O12</f>
        <v>4152768.46850552</v>
      </c>
      <c r="P11" s="475"/>
      <c r="Q11" s="511"/>
    </row>
    <row r="12" s="459" customFormat="1" ht="14.25" customHeight="1" spans="1:19">
      <c r="A12" s="502" t="s">
        <v>90</v>
      </c>
      <c r="B12" s="503" t="s">
        <v>75</v>
      </c>
      <c r="C12" s="507">
        <f ca="1">'F42'!C12*1.13</f>
        <v>0</v>
      </c>
      <c r="D12" s="497">
        <f ca="1">'F42'!D12</f>
        <v>0</v>
      </c>
      <c r="E12" s="480">
        <f ca="1">'F42'!E12*1.13</f>
        <v>0</v>
      </c>
      <c r="F12" s="507">
        <f ca="1">'F42'!F12</f>
        <v>0</v>
      </c>
      <c r="G12" s="480">
        <f ca="1">'F42'!G12*1.13</f>
        <v>0</v>
      </c>
      <c r="I12" s="502" t="s">
        <v>90</v>
      </c>
      <c r="J12" s="503" t="s">
        <v>75</v>
      </c>
      <c r="K12" s="591">
        <f ca="1">'F42'!K12*1.13</f>
        <v>2810.9369959152</v>
      </c>
      <c r="L12" s="497">
        <f ca="1">'F42'!L12</f>
        <v>0.76798883427179</v>
      </c>
      <c r="M12" s="480">
        <f ca="1">'F42'!M12*1.13</f>
        <v>2158.76822670436</v>
      </c>
      <c r="N12" s="507">
        <f ca="1">L12*N3</f>
        <v>1477.36092076778</v>
      </c>
      <c r="O12" s="480">
        <f ca="1">'F42'!O12*1.13</f>
        <v>4152768.46850552</v>
      </c>
      <c r="P12" s="475"/>
      <c r="Q12" s="592"/>
      <c r="R12" s="511"/>
    </row>
    <row r="13" s="459" customFormat="1" ht="14.25" customHeight="1" spans="1:19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592"/>
      <c r="S13" s="483"/>
    </row>
    <row r="14" s="459" customFormat="1" ht="14.25" customHeight="1" spans="1:19">
      <c r="A14" s="502" t="s">
        <v>136</v>
      </c>
      <c r="B14" s="503" t="s">
        <v>167</v>
      </c>
      <c r="C14" s="505">
        <f ca="1">'F42'!C14*1.13</f>
        <v>0</v>
      </c>
      <c r="D14" s="505">
        <f ca="1">'F42'!D14</f>
        <v>0</v>
      </c>
      <c r="E14" s="505">
        <f ca="1">'F42'!E14*1.13</f>
        <v>0</v>
      </c>
      <c r="F14" s="507">
        <f ca="1">'F42'!F14</f>
        <v>0</v>
      </c>
      <c r="G14" s="591">
        <f ca="1">'F42'!G14*1.13</f>
        <v>0</v>
      </c>
      <c r="I14" s="502" t="s">
        <v>136</v>
      </c>
      <c r="J14" s="503" t="s">
        <v>167</v>
      </c>
      <c r="K14" s="505">
        <f ca="1">分配表!O191</f>
        <v>1.16800728160139</v>
      </c>
      <c r="L14" s="505">
        <f ca="1">'F42'!L14</f>
        <v>4.03912827102078</v>
      </c>
      <c r="M14" s="505">
        <f ca="1">'F42'!M14*1.13</f>
        <v>4.7177312318743</v>
      </c>
      <c r="N14" s="507">
        <f ca="1">'F42'!N14</f>
        <v>7769.97007675589</v>
      </c>
      <c r="O14" s="507">
        <f ca="1">'F42'!O14*1.13</f>
        <v>9075.38162747579</v>
      </c>
      <c r="P14" s="475"/>
      <c r="Q14" s="592"/>
    </row>
    <row r="15" s="459" customFormat="1" ht="14.25" customHeight="1" spans="1:19">
      <c r="A15" s="502" t="s">
        <v>137</v>
      </c>
      <c r="B15" s="503" t="s">
        <v>167</v>
      </c>
      <c r="C15" s="505">
        <f ca="1">'F42'!C15*1.13</f>
        <v>0</v>
      </c>
      <c r="D15" s="505">
        <f ca="1">'F42'!D15</f>
        <v>0</v>
      </c>
      <c r="E15" s="505">
        <f ca="1">'F42'!E15*1.13</f>
        <v>0</v>
      </c>
      <c r="F15" s="507">
        <f ca="1">'F42'!F15</f>
        <v>0</v>
      </c>
      <c r="G15" s="591">
        <f ca="1">'F42'!G15*1.13</f>
        <v>0</v>
      </c>
      <c r="I15" s="502" t="s">
        <v>137</v>
      </c>
      <c r="J15" s="503" t="s">
        <v>167</v>
      </c>
      <c r="K15" s="505">
        <f ca="1">分配表!O192</f>
        <v>3.57679310644649</v>
      </c>
      <c r="L15" s="505">
        <f ca="1">'F42'!L15</f>
        <v>4.49952746612638</v>
      </c>
      <c r="M15" s="505">
        <f ca="1">'F42'!M15*1.13</f>
        <v>16.0938788231075</v>
      </c>
      <c r="N15" s="507">
        <f ca="1">'F42'!N15</f>
        <v>8655.62849840066</v>
      </c>
      <c r="O15" s="507">
        <f ca="1">'F42'!O15*1.13</f>
        <v>30959.3923450413</v>
      </c>
      <c r="P15" s="475"/>
      <c r="Q15" s="592"/>
    </row>
    <row r="16" s="459" customFormat="1" ht="14.25" customHeight="1" spans="1:19">
      <c r="A16" s="502" t="s">
        <v>138</v>
      </c>
      <c r="B16" s="503" t="s">
        <v>167</v>
      </c>
      <c r="C16" s="505">
        <f ca="1">'F42'!C16*1.13</f>
        <v>0</v>
      </c>
      <c r="D16" s="505">
        <f ca="1">'F42'!D16</f>
        <v>0</v>
      </c>
      <c r="E16" s="505">
        <f ca="1">'F42'!E16*1.13</f>
        <v>0</v>
      </c>
      <c r="F16" s="507">
        <f ca="1">'F42'!F16</f>
        <v>0</v>
      </c>
      <c r="G16" s="591">
        <f ca="1">'F42'!G16*1.13</f>
        <v>0</v>
      </c>
      <c r="I16" s="502" t="s">
        <v>138</v>
      </c>
      <c r="J16" s="503" t="s">
        <v>167</v>
      </c>
      <c r="K16" s="505">
        <f ca="1">分配表!O193</f>
        <v>2.94350314079422</v>
      </c>
      <c r="L16" s="505">
        <f ca="1">'F42'!L16</f>
        <v>0.725865533790539</v>
      </c>
      <c r="M16" s="505">
        <f ca="1">'F42'!M16*1.13</f>
        <v>2.13658747850673</v>
      </c>
      <c r="N16" s="507">
        <f ca="1">'F42'!N16</f>
        <v>1396.32938071451</v>
      </c>
      <c r="O16" s="507">
        <f ca="1">'F42'!O16*1.13</f>
        <v>4110.09991771642</v>
      </c>
      <c r="P16" s="475"/>
      <c r="Q16" s="592"/>
    </row>
    <row r="17" s="459" customFormat="1" ht="14.25" customHeight="1" spans="1:17">
      <c r="A17" s="502" t="s">
        <v>139</v>
      </c>
      <c r="B17" s="503" t="s">
        <v>167</v>
      </c>
      <c r="C17" s="505">
        <f ca="1">'F42'!C17*1.13</f>
        <v>0</v>
      </c>
      <c r="D17" s="505">
        <f ca="1">'F42'!D17</f>
        <v>0</v>
      </c>
      <c r="E17" s="505">
        <f ca="1">'F42'!E17*1.13</f>
        <v>0</v>
      </c>
      <c r="F17" s="507">
        <f ca="1">'F42'!F17</f>
        <v>0</v>
      </c>
      <c r="G17" s="591">
        <f ca="1">'F42'!G17*1.13</f>
        <v>0</v>
      </c>
      <c r="I17" s="502" t="s">
        <v>139</v>
      </c>
      <c r="J17" s="503" t="s">
        <v>167</v>
      </c>
      <c r="K17" s="505">
        <f ca="1">分配表!O195</f>
        <v>8.00006266464471</v>
      </c>
      <c r="L17" s="505">
        <f ca="1">'F42'!L17</f>
        <v>1.44724791571465</v>
      </c>
      <c r="M17" s="505">
        <f ca="1">'F42'!M17*1.13</f>
        <v>11.5780740169936</v>
      </c>
      <c r="N17" s="507">
        <f ca="1">'F42'!N17</f>
        <v>2784.03463426237</v>
      </c>
      <c r="O17" s="507">
        <f ca="1">'F42'!O17*1.13</f>
        <v>22272.4515346402</v>
      </c>
      <c r="P17" s="475"/>
      <c r="Q17" s="592"/>
    </row>
    <row r="18" s="459" customFormat="1" ht="14.25" customHeight="1" spans="1:17">
      <c r="A18" s="502" t="s">
        <v>140</v>
      </c>
      <c r="B18" s="503" t="s">
        <v>167</v>
      </c>
      <c r="C18" s="505">
        <f ca="1">'F42'!C18*1.13</f>
        <v>0</v>
      </c>
      <c r="D18" s="505">
        <f ca="1">'F42'!D18</f>
        <v>0</v>
      </c>
      <c r="E18" s="505">
        <f ca="1">'F42'!E18*1.13</f>
        <v>0</v>
      </c>
      <c r="F18" s="507">
        <f ca="1">'F42'!F18</f>
        <v>0</v>
      </c>
      <c r="G18" s="591">
        <f ca="1">'F42'!G18*1.13</f>
        <v>0</v>
      </c>
      <c r="I18" s="502" t="s">
        <v>140</v>
      </c>
      <c r="J18" s="503" t="s">
        <v>167</v>
      </c>
      <c r="K18" s="505">
        <f ca="1">分配表!O196</f>
        <v>54.0155926492147</v>
      </c>
      <c r="L18" s="505">
        <f ca="1">'F42'!L18</f>
        <v>0.0796635799561935</v>
      </c>
      <c r="M18" s="505">
        <f ca="1">'F42'!M18*1.13</f>
        <v>4.30307548389189</v>
      </c>
      <c r="N18" s="507">
        <f ca="1">'F42'!N18</f>
        <v>153.24683717223</v>
      </c>
      <c r="O18" s="507">
        <f ca="1">'F42'!O18*1.13</f>
        <v>8277.71873147573</v>
      </c>
      <c r="P18" s="475"/>
      <c r="Q18" s="592"/>
    </row>
    <row r="19" s="459" customFormat="1" ht="14.25" customHeight="1" spans="1:17">
      <c r="A19" s="502" t="s">
        <v>141</v>
      </c>
      <c r="B19" s="503" t="s">
        <v>167</v>
      </c>
      <c r="C19" s="505">
        <f ca="1">'F42'!C19*1.13</f>
        <v>0</v>
      </c>
      <c r="D19" s="505">
        <f ca="1">'F42'!D19</f>
        <v>0</v>
      </c>
      <c r="E19" s="505">
        <f ca="1">'F42'!E19*1.13</f>
        <v>0</v>
      </c>
      <c r="F19" s="507">
        <f ca="1">'F42'!F19</f>
        <v>0</v>
      </c>
      <c r="G19" s="591">
        <f ca="1">'F42'!G19*1.13</f>
        <v>0</v>
      </c>
      <c r="I19" s="502" t="s">
        <v>141</v>
      </c>
      <c r="J19" s="503" t="s">
        <v>167</v>
      </c>
      <c r="K19" s="505">
        <f ca="1">分配表!O197</f>
        <v>36.3830972699914</v>
      </c>
      <c r="L19" s="505">
        <f ca="1">'F42'!L19</f>
        <v>0.146674121105557</v>
      </c>
      <c r="M19" s="505">
        <f ca="1">'F42'!M19*1.13</f>
        <v>5.33645881517398</v>
      </c>
      <c r="N19" s="507">
        <f ca="1">'F42'!N19</f>
        <v>282.153339917732</v>
      </c>
      <c r="O19" s="507">
        <f ca="1">'F42'!O19*1.13</f>
        <v>10265.6124112798</v>
      </c>
      <c r="P19" s="475"/>
      <c r="Q19" s="592"/>
    </row>
    <row r="20" s="459" customFormat="1" ht="14.25" customHeight="1" spans="1:17">
      <c r="A20" s="502" t="s">
        <v>142</v>
      </c>
      <c r="B20" s="503" t="s">
        <v>167</v>
      </c>
      <c r="C20" s="505">
        <f ca="1">'F42'!C20*1.13</f>
        <v>0</v>
      </c>
      <c r="D20" s="505">
        <f ca="1">'F42'!D20</f>
        <v>0</v>
      </c>
      <c r="E20" s="505">
        <f ca="1">'F42'!E20*1.13</f>
        <v>0</v>
      </c>
      <c r="F20" s="507">
        <f ca="1">'F42'!F20</f>
        <v>0</v>
      </c>
      <c r="G20" s="591">
        <f ca="1">'F42'!G20*1.13</f>
        <v>0</v>
      </c>
      <c r="I20" s="502" t="s">
        <v>142</v>
      </c>
      <c r="J20" s="503" t="s">
        <v>167</v>
      </c>
      <c r="K20" s="505">
        <f ca="1">分配表!O198</f>
        <v>246.992032636057</v>
      </c>
      <c r="L20" s="505">
        <f ca="1">'F42'!L20</f>
        <v>0.0880217436176268</v>
      </c>
      <c r="M20" s="505">
        <f ca="1">'F42'!M20*1.13</f>
        <v>21.7406693722876</v>
      </c>
      <c r="N20" s="507">
        <f ca="1">'F42'!N20</f>
        <v>169.325227653638</v>
      </c>
      <c r="O20" s="507">
        <f ca="1">'F42'!O20*1.13</f>
        <v>41821.9821547353</v>
      </c>
      <c r="P20" s="475"/>
      <c r="Q20" s="592"/>
    </row>
    <row r="21" s="459" customFormat="1" ht="14.25" customHeight="1" spans="1:17">
      <c r="A21" s="502" t="s">
        <v>143</v>
      </c>
      <c r="B21" s="503" t="s">
        <v>167</v>
      </c>
      <c r="C21" s="505">
        <f ca="1">'F42'!C21*1.13</f>
        <v>0</v>
      </c>
      <c r="D21" s="505">
        <f ca="1">'F42'!D21</f>
        <v>0</v>
      </c>
      <c r="E21" s="505">
        <f ca="1">'F42'!E21*1.13</f>
        <v>0</v>
      </c>
      <c r="F21" s="507">
        <f ca="1">'F42'!F21</f>
        <v>0</v>
      </c>
      <c r="G21" s="591">
        <f ca="1">'F42'!G21*1.13</f>
        <v>0</v>
      </c>
      <c r="I21" s="502" t="s">
        <v>143</v>
      </c>
      <c r="J21" s="503" t="s">
        <v>167</v>
      </c>
      <c r="K21" s="505">
        <f ca="1">分配表!O199</f>
        <v>1.1068060104712</v>
      </c>
      <c r="L21" s="505">
        <f ca="1">'F42'!L21</f>
        <v>0.456475450991857</v>
      </c>
      <c r="M21" s="505">
        <f ca="1">'F42'!M21*1.13</f>
        <v>0.505229772790341</v>
      </c>
      <c r="N21" s="507">
        <f ca="1">'F42'!N21</f>
        <v>878.11041318676</v>
      </c>
      <c r="O21" s="507">
        <f ca="1">'F42'!O21*1.13</f>
        <v>971.897883172458</v>
      </c>
      <c r="P21" s="475"/>
      <c r="Q21" s="592"/>
    </row>
    <row r="22" s="459" customFormat="1" ht="14.25" customHeight="1" spans="1:17">
      <c r="A22" s="502" t="s">
        <v>144</v>
      </c>
      <c r="B22" s="503" t="s">
        <v>167</v>
      </c>
      <c r="C22" s="505">
        <f ca="1">'F42'!C22*1.13</f>
        <v>0</v>
      </c>
      <c r="D22" s="505">
        <f ca="1">'F42'!D22</f>
        <v>0</v>
      </c>
      <c r="E22" s="505">
        <f ca="1">'F42'!E22*1.13</f>
        <v>0</v>
      </c>
      <c r="F22" s="507">
        <f ca="1">'F42'!F22</f>
        <v>0</v>
      </c>
      <c r="G22" s="591">
        <f ca="1">'F42'!G22*1.13</f>
        <v>0</v>
      </c>
      <c r="I22" s="502" t="s">
        <v>144</v>
      </c>
      <c r="J22" s="503" t="s">
        <v>167</v>
      </c>
      <c r="K22" s="505">
        <f ca="1">分配表!O200</f>
        <v>2.09737053412463</v>
      </c>
      <c r="L22" s="505">
        <f ca="1">'F42'!L22</f>
        <v>0.266294314649662</v>
      </c>
      <c r="M22" s="505">
        <f ca="1">'F42'!M22*1.13</f>
        <v>0.558517848951114</v>
      </c>
      <c r="N22" s="507">
        <f ca="1">'F42'!N22</f>
        <v>512.263715733689</v>
      </c>
      <c r="O22" s="507">
        <f ca="1">'F42'!O22*1.13</f>
        <v>1074.40682308103</v>
      </c>
      <c r="P22" s="475"/>
      <c r="Q22" s="592"/>
    </row>
    <row r="23" s="459" customFormat="1" ht="14.25" customHeight="1" spans="1:17">
      <c r="A23" s="502" t="s">
        <v>146</v>
      </c>
      <c r="B23" s="503" t="s">
        <v>167</v>
      </c>
      <c r="C23" s="505">
        <f>'F42'!C23*1.13</f>
        <v>0</v>
      </c>
      <c r="D23" s="505">
        <f>'F42'!D23</f>
        <v>0</v>
      </c>
      <c r="E23" s="505">
        <f ca="1">'F42'!E23*1.13</f>
        <v>0</v>
      </c>
      <c r="F23" s="507">
        <f>'F42'!F23</f>
        <v>0</v>
      </c>
      <c r="G23" s="591" t="e">
        <f ca="1">'F42'!G23*1.13</f>
        <v>#DIV/0!</v>
      </c>
      <c r="I23" s="502" t="s">
        <v>146</v>
      </c>
      <c r="J23" s="503" t="s">
        <v>167</v>
      </c>
      <c r="K23" s="505">
        <f>分配表!O201</f>
        <v>0</v>
      </c>
      <c r="L23" s="505">
        <f>'F42'!L23</f>
        <v>0</v>
      </c>
      <c r="M23" s="505" t="e">
        <f ca="1">'F42'!M23*1.13</f>
        <v>#DIV/0!</v>
      </c>
      <c r="N23" s="507">
        <f>'F42'!N23</f>
        <v>0</v>
      </c>
      <c r="O23" s="507" t="e">
        <f ca="1">'F42'!O23*1.13</f>
        <v>#DIV/0!</v>
      </c>
      <c r="P23" s="475"/>
      <c r="Q23" s="592"/>
    </row>
    <row r="24" s="459" customFormat="1" ht="14.25" customHeight="1" spans="1:17">
      <c r="A24" s="502" t="s">
        <v>147</v>
      </c>
      <c r="B24" s="503"/>
      <c r="C24" s="505"/>
      <c r="D24" s="505"/>
      <c r="E24" s="505">
        <f ca="1">'F42'!E24*1.13</f>
        <v>0</v>
      </c>
      <c r="F24" s="507"/>
      <c r="G24" s="591" t="e">
        <f ca="1">'F42'!G24*1.13</f>
        <v>#DIV/0!</v>
      </c>
      <c r="I24" s="502" t="s">
        <v>147</v>
      </c>
      <c r="J24" s="503"/>
      <c r="K24" s="505"/>
      <c r="L24" s="505"/>
      <c r="M24" s="505" t="e">
        <f ca="1">'F42'!M24*1.13</f>
        <v>#DIV/0!</v>
      </c>
      <c r="N24" s="507"/>
      <c r="O24" s="507" t="e">
        <f ca="1">'F42'!O24*1.13</f>
        <v>#DIV/0!</v>
      </c>
      <c r="P24" s="475"/>
      <c r="Q24" s="592"/>
    </row>
    <row r="25" s="459" customFormat="1" ht="14.25" customHeight="1" spans="1:17">
      <c r="A25" s="508" t="s">
        <v>208</v>
      </c>
      <c r="B25" s="490"/>
      <c r="C25" s="501"/>
      <c r="D25" s="492"/>
      <c r="E25" s="491">
        <f ca="1">SUM(E26:E30)</f>
        <v>0</v>
      </c>
      <c r="F25" s="491"/>
      <c r="G25" s="491" t="e">
        <f ca="1">SUM(G26:G30)</f>
        <v>#DIV/0!</v>
      </c>
      <c r="I25" s="508" t="s">
        <v>208</v>
      </c>
      <c r="J25" s="490"/>
      <c r="K25" s="501"/>
      <c r="L25" s="492"/>
      <c r="M25" s="491" t="e">
        <f ca="1">SUM(M26:M30)</f>
        <v>#DIV/0!</v>
      </c>
      <c r="N25" s="491"/>
      <c r="O25" s="491" t="e">
        <f ca="1">SUM(O26:O30)</f>
        <v>#DIV/0!</v>
      </c>
      <c r="P25" s="475"/>
      <c r="Q25" s="592"/>
    </row>
    <row r="26" s="459" customFormat="1" ht="14.25" customHeight="1" spans="1:17">
      <c r="A26" s="502" t="s">
        <v>95</v>
      </c>
      <c r="B26" s="503" t="s">
        <v>75</v>
      </c>
      <c r="C26" s="566">
        <f ca="1">OFFSET(分配表!C306,0,mth-1,1,1)</f>
        <v>0</v>
      </c>
      <c r="D26" s="505">
        <f ca="1">'F42'!D27</f>
        <v>0</v>
      </c>
      <c r="E26" s="507">
        <f ca="1">C26*D26</f>
        <v>0</v>
      </c>
      <c r="F26" s="507">
        <f ca="1">'F42'!F27</f>
        <v>0</v>
      </c>
      <c r="G26" s="507">
        <f ca="1">E26*F$3</f>
        <v>0</v>
      </c>
      <c r="I26" s="502" t="s">
        <v>95</v>
      </c>
      <c r="J26" s="503" t="s">
        <v>75</v>
      </c>
      <c r="K26" s="567">
        <f ca="1">分配表!O306</f>
        <v>408.530937837231</v>
      </c>
      <c r="L26" s="505">
        <f ca="1">'F42'!L27</f>
        <v>0.277942575811421</v>
      </c>
      <c r="M26" s="507">
        <f ca="1">K26*L26</f>
        <v>113.548141161135</v>
      </c>
      <c r="N26" s="507">
        <f ca="1">'F42'!N27</f>
        <v>534.671184524035</v>
      </c>
      <c r="O26" s="507">
        <f ca="1">M26*N$3</f>
        <v>218429.720448147</v>
      </c>
      <c r="P26" s="475"/>
      <c r="Q26" s="592"/>
    </row>
    <row r="27" s="459" customFormat="1" ht="14.25" customHeight="1" spans="1:17">
      <c r="A27" s="502" t="s">
        <v>96</v>
      </c>
      <c r="B27" s="503" t="s">
        <v>97</v>
      </c>
      <c r="C27" s="566">
        <f ca="1">'F42'!C28*1.13</f>
        <v>0</v>
      </c>
      <c r="D27" s="505">
        <f ca="1">'F42'!D28</f>
        <v>0</v>
      </c>
      <c r="E27" s="480">
        <f ca="1">'F42'!E28*1.13</f>
        <v>0</v>
      </c>
      <c r="F27" s="507" t="e">
        <f ca="1">'F42'!F28</f>
        <v>#DIV/0!</v>
      </c>
      <c r="G27" s="480">
        <f ca="1">'F42'!G28*1.13</f>
        <v>0</v>
      </c>
      <c r="I27" s="502" t="s">
        <v>96</v>
      </c>
      <c r="J27" s="503" t="s">
        <v>97</v>
      </c>
      <c r="K27" s="566">
        <f ca="1">'F42'!K28*1.13</f>
        <v>0.769119583630169</v>
      </c>
      <c r="L27" s="505" t="e">
        <f ca="1">'F42'!L28</f>
        <v>#DIV/0!</v>
      </c>
      <c r="M27" s="480" t="e">
        <f ca="1">'F42'!M28*1.13</f>
        <v>#DIV/0!</v>
      </c>
      <c r="N27" s="507" t="e">
        <f ca="1">'F42'!N28</f>
        <v>#DIV/0!</v>
      </c>
      <c r="O27" s="480" t="e">
        <f ca="1">'F42'!O28*1.13</f>
        <v>#DIV/0!</v>
      </c>
      <c r="P27" s="475"/>
      <c r="Q27" s="511"/>
    </row>
    <row r="28" s="459" customFormat="1" ht="14.25" customHeight="1" spans="1:17">
      <c r="A28" s="502" t="s">
        <v>98</v>
      </c>
      <c r="B28" s="503" t="s">
        <v>75</v>
      </c>
      <c r="C28" s="566">
        <f>3.32+0.9*2.97</f>
        <v>5.993</v>
      </c>
      <c r="D28" s="505">
        <f ca="1">'F42'!D29</f>
        <v>0</v>
      </c>
      <c r="E28" s="480">
        <f ca="1">D28*C28</f>
        <v>0</v>
      </c>
      <c r="F28" s="507" t="e">
        <f ca="1">'F42'!F29</f>
        <v>#DIV/0!</v>
      </c>
      <c r="G28" s="480">
        <f ca="1">E28*F3</f>
        <v>0</v>
      </c>
      <c r="I28" s="502" t="s">
        <v>98</v>
      </c>
      <c r="J28" s="503" t="s">
        <v>75</v>
      </c>
      <c r="K28" s="566">
        <f>3.32+0.9*2.97</f>
        <v>5.993</v>
      </c>
      <c r="L28" s="505" t="e">
        <f ca="1">'F42'!L29</f>
        <v>#DIV/0!</v>
      </c>
      <c r="M28" s="480" t="e">
        <f ca="1">L28*K28</f>
        <v>#DIV/0!</v>
      </c>
      <c r="N28" s="507" t="e">
        <f ca="1">'F42'!N29</f>
        <v>#DIV/0!</v>
      </c>
      <c r="O28" s="480" t="e">
        <f ca="1">M28*N3</f>
        <v>#DIV/0!</v>
      </c>
      <c r="P28" s="475"/>
      <c r="Q28" s="511"/>
    </row>
    <row r="29" s="459" customFormat="1" ht="14.25" customHeight="1" spans="1:17">
      <c r="A29" s="502" t="s">
        <v>99</v>
      </c>
      <c r="B29" s="503" t="s">
        <v>75</v>
      </c>
      <c r="C29" s="566">
        <f ca="1">'F42'!C30*1.13</f>
        <v>0</v>
      </c>
      <c r="D29" s="505">
        <f ca="1">'F42'!D30</f>
        <v>0</v>
      </c>
      <c r="E29" s="480">
        <f ca="1">'F42'!E30*1.13</f>
        <v>0</v>
      </c>
      <c r="F29" s="507">
        <f ca="1">'F42'!F30</f>
        <v>0</v>
      </c>
      <c r="G29" s="480">
        <f ca="1">'F42'!G30*1.13</f>
        <v>0</v>
      </c>
      <c r="I29" s="502" t="s">
        <v>99</v>
      </c>
      <c r="J29" s="503" t="s">
        <v>75</v>
      </c>
      <c r="K29" s="480">
        <f>'F42'!K30*1.13</f>
        <v>0</v>
      </c>
      <c r="L29" s="505">
        <f ca="1">'F42'!L30</f>
        <v>0</v>
      </c>
      <c r="M29" s="480">
        <f ca="1">'F42'!M30*1.13</f>
        <v>0</v>
      </c>
      <c r="N29" s="507">
        <f>'F42'!N30</f>
        <v>0</v>
      </c>
      <c r="O29" s="480">
        <f ca="1">'F42'!O30*1.13</f>
        <v>0</v>
      </c>
      <c r="P29" s="475"/>
      <c r="Q29" s="511"/>
    </row>
    <row r="30" s="459" customFormat="1" ht="14.25" customHeight="1" spans="1:17">
      <c r="A30" s="516" t="s">
        <v>209</v>
      </c>
      <c r="B30" s="503"/>
      <c r="C30" s="505"/>
      <c r="D30" s="497"/>
      <c r="E30" s="507">
        <f ca="1">IF(F$3=0,0,G30/F$3)</f>
        <v>0</v>
      </c>
      <c r="F30" s="505"/>
      <c r="G30" s="507" t="e">
        <f ca="1">'F42'!G31*1.13</f>
        <v>#DIV/0!</v>
      </c>
      <c r="I30" s="516" t="s">
        <v>209</v>
      </c>
      <c r="J30" s="503"/>
      <c r="K30" s="505"/>
      <c r="L30" s="497"/>
      <c r="M30" s="507" t="e">
        <f ca="1">IF(N$3=0,0,O30/N$3)</f>
        <v>#DIV/0!</v>
      </c>
      <c r="N30" s="507"/>
      <c r="O30" s="507" t="e">
        <f ca="1">'F42'!O31*1.13</f>
        <v>#DIV/0!</v>
      </c>
      <c r="P30" s="475"/>
      <c r="Q30" s="511"/>
    </row>
    <row r="31" s="459" customFormat="1" ht="14.25" customHeight="1" spans="1:17">
      <c r="A31" s="508" t="s">
        <v>210</v>
      </c>
      <c r="B31" s="490"/>
      <c r="C31" s="501"/>
      <c r="D31" s="492"/>
      <c r="E31" s="491">
        <f ca="1">IF(VALUE(F$3)=0,0,G31/F$3)</f>
        <v>0</v>
      </c>
      <c r="F31" s="491"/>
      <c r="G31" s="491" t="e">
        <f ca="1">SUM(G5,-G11,-G13,-G25)-SUM('F42'!G5,-'F42'!G11-'F42'!G13-'F42'!G26-'F42'!G31)</f>
        <v>#DIV/0!</v>
      </c>
      <c r="I31" s="508" t="s">
        <v>210</v>
      </c>
      <c r="J31" s="490"/>
      <c r="K31" s="501"/>
      <c r="L31" s="492"/>
      <c r="M31" s="491" t="e">
        <f ca="1">IF(N$3=0,0,O31/N$3)</f>
        <v>#DIV/0!</v>
      </c>
      <c r="N31" s="491"/>
      <c r="O31" s="491" t="e">
        <f ca="1">SUM(O5,-O11,-O13,-O25)-SUM('F42'!O5,-'F42'!O11-'F42'!O13-'F42'!O26-'F42'!O31)</f>
        <v>#DIV/0!</v>
      </c>
      <c r="P31" s="475"/>
      <c r="Q31" s="511"/>
    </row>
    <row r="32" s="459" customFormat="1" ht="14.25" customHeight="1" spans="1:17">
      <c r="A32" s="508" t="s">
        <v>211</v>
      </c>
      <c r="B32" s="542"/>
      <c r="C32" s="542"/>
      <c r="D32" s="542"/>
      <c r="E32" s="542">
        <f ca="1">'F42'!E44</f>
        <v>0</v>
      </c>
      <c r="F32" s="542"/>
      <c r="G32" s="542" t="e">
        <f ca="1">'F42'!G44</f>
        <v>#DIV/0!</v>
      </c>
      <c r="I32" s="508" t="s">
        <v>211</v>
      </c>
      <c r="J32" s="542"/>
      <c r="K32" s="542"/>
      <c r="L32" s="542"/>
      <c r="M32" s="542" t="e">
        <f ca="1">'F42'!M44</f>
        <v>#DIV/0!</v>
      </c>
      <c r="N32" s="542"/>
      <c r="O32" s="542" t="e">
        <f ca="1">'F42'!O44</f>
        <v>#DIV/0!</v>
      </c>
      <c r="Q32" s="511"/>
    </row>
    <row r="33" s="459" customFormat="1" ht="14.25" customHeight="1" spans="1:18">
      <c r="A33" s="508" t="s">
        <v>212</v>
      </c>
      <c r="B33" s="542"/>
      <c r="C33" s="542"/>
      <c r="D33" s="542"/>
      <c r="E33" s="491" t="e">
        <f ca="1">G33/F3</f>
        <v>#DIV/0!</v>
      </c>
      <c r="F33" s="491"/>
      <c r="G33" s="491" t="e">
        <f ca="1">'F42-含税'!G55</f>
        <v>#DIV/0!</v>
      </c>
      <c r="I33" s="508" t="s">
        <v>212</v>
      </c>
      <c r="J33" s="542"/>
      <c r="K33" s="542"/>
      <c r="L33" s="542"/>
      <c r="M33" s="491" t="e">
        <f ca="1">O33/N3</f>
        <v>#DIV/0!</v>
      </c>
      <c r="N33" s="491"/>
      <c r="O33" s="491" t="e">
        <f ca="1">'F42-含税'!O55</f>
        <v>#DIV/0!</v>
      </c>
    </row>
    <row r="34" s="459" customFormat="1" ht="14.25" customHeight="1" spans="1:18">
      <c r="A34" s="569" t="s">
        <v>105</v>
      </c>
      <c r="B34" s="47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93"/>
      <c r="I34" s="569" t="s">
        <v>105</v>
      </c>
      <c r="J34" s="47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  <c r="P34" s="475"/>
      <c r="Q34" s="510"/>
      <c r="R34" s="483"/>
    </row>
    <row r="35" s="459" customFormat="1" ht="14.25" customHeight="1" spans="1:18">
      <c r="A35" s="513" t="s">
        <v>106</v>
      </c>
      <c r="B35" s="485"/>
      <c r="C35" s="514"/>
      <c r="D35" s="515"/>
      <c r="E35" s="487">
        <f ca="1">SUM(E36:E42)</f>
        <v>0</v>
      </c>
      <c r="F35" s="488"/>
      <c r="G35" s="487" t="e">
        <f ca="1">SUM(G36:G42)</f>
        <v>#DIV/0!</v>
      </c>
      <c r="I35" s="513" t="s">
        <v>106</v>
      </c>
      <c r="J35" s="485"/>
      <c r="K35" s="514"/>
      <c r="L35" s="515"/>
      <c r="M35" s="487" t="e">
        <f ca="1">IF(N$3=0,0,O35/N$3)</f>
        <v>#DIV/0!</v>
      </c>
      <c r="N35" s="488"/>
      <c r="O35" s="487" t="e">
        <f ca="1">SUM(O36:O42)</f>
        <v>#DIV/0!</v>
      </c>
      <c r="P35" s="475"/>
      <c r="Q35" s="511"/>
    </row>
    <row r="36" s="459" customFormat="1" ht="14.25" customHeight="1" spans="1:18">
      <c r="A36" s="516" t="s">
        <v>107</v>
      </c>
      <c r="B36" s="503"/>
      <c r="C36" s="505"/>
      <c r="D36" s="497"/>
      <c r="E36" s="575">
        <f ca="1">'F42'!E37</f>
        <v>0</v>
      </c>
      <c r="F36" s="517"/>
      <c r="G36" s="575" t="e">
        <f ca="1">'F42'!G37</f>
        <v>#DIV/0!</v>
      </c>
      <c r="H36" s="483"/>
      <c r="I36" s="516" t="s">
        <v>107</v>
      </c>
      <c r="J36" s="503"/>
      <c r="K36" s="505"/>
      <c r="L36" s="497"/>
      <c r="M36" s="575" t="e">
        <f ca="1">'F42'!M37</f>
        <v>#DIV/0!</v>
      </c>
      <c r="N36" s="517"/>
      <c r="O36" s="575" t="e">
        <f ca="1">'F42'!O37</f>
        <v>#DIV/0!</v>
      </c>
    </row>
    <row r="37" s="459" customFormat="1" ht="14.25" customHeight="1" spans="1:18">
      <c r="A37" s="516" t="s">
        <v>108</v>
      </c>
      <c r="B37" s="503"/>
      <c r="C37" s="505"/>
      <c r="D37" s="497"/>
      <c r="E37" s="575">
        <f ca="1">'F42'!E38</f>
        <v>0</v>
      </c>
      <c r="F37" s="517"/>
      <c r="G37" s="575" t="e">
        <f ca="1">'F42'!G38</f>
        <v>#DIV/0!</v>
      </c>
      <c r="H37" s="483"/>
      <c r="I37" s="516" t="s">
        <v>108</v>
      </c>
      <c r="J37" s="503"/>
      <c r="K37" s="505"/>
      <c r="L37" s="497"/>
      <c r="M37" s="575" t="e">
        <f ca="1">'F42'!M38</f>
        <v>#DIV/0!</v>
      </c>
      <c r="N37" s="517"/>
      <c r="O37" s="575" t="e">
        <f ca="1">'F42'!O38</f>
        <v>#DIV/0!</v>
      </c>
    </row>
    <row r="38" s="459" customFormat="1" ht="14.25" customHeight="1" spans="1:18">
      <c r="A38" s="516" t="s">
        <v>109</v>
      </c>
      <c r="B38" s="503"/>
      <c r="C38" s="498"/>
      <c r="D38" s="518"/>
      <c r="E38" s="575">
        <f ca="1">'F42'!E39</f>
        <v>0</v>
      </c>
      <c r="F38" s="517"/>
      <c r="G38" s="575" t="e">
        <f ca="1">'F42'!G39</f>
        <v>#DIV/0!</v>
      </c>
      <c r="H38" s="483"/>
      <c r="I38" s="516" t="s">
        <v>109</v>
      </c>
      <c r="J38" s="503"/>
      <c r="K38" s="498"/>
      <c r="L38" s="518"/>
      <c r="M38" s="575" t="e">
        <f ca="1">'F42'!M39</f>
        <v>#DIV/0!</v>
      </c>
      <c r="N38" s="517"/>
      <c r="O38" s="575" t="e">
        <f ca="1">'F42'!O39</f>
        <v>#DIV/0!</v>
      </c>
    </row>
    <row r="39" s="459" customFormat="1" ht="14.25" customHeight="1" spans="1:18">
      <c r="A39" s="516" t="s">
        <v>110</v>
      </c>
      <c r="B39" s="503"/>
      <c r="C39" s="498"/>
      <c r="D39" s="518"/>
      <c r="E39" s="575">
        <f ca="1">'F42'!E40</f>
        <v>0</v>
      </c>
      <c r="F39" s="517"/>
      <c r="G39" s="575" t="e">
        <f ca="1">'F42'!G40</f>
        <v>#DIV/0!</v>
      </c>
      <c r="H39" s="483"/>
      <c r="I39" s="516" t="s">
        <v>110</v>
      </c>
      <c r="J39" s="503"/>
      <c r="K39" s="498"/>
      <c r="L39" s="518"/>
      <c r="M39" s="575" t="e">
        <f ca="1">'F42'!M40</f>
        <v>#DIV/0!</v>
      </c>
      <c r="N39" s="517"/>
      <c r="O39" s="575" t="e">
        <f ca="1">'F42'!O40</f>
        <v>#DIV/0!</v>
      </c>
      <c r="P39" s="510"/>
    </row>
    <row r="40" s="459" customFormat="1" ht="14.25" customHeight="1" spans="1:18">
      <c r="A40" s="516" t="s">
        <v>111</v>
      </c>
      <c r="B40" s="503"/>
      <c r="C40" s="498"/>
      <c r="D40" s="518"/>
      <c r="E40" s="575">
        <f ca="1">'F42'!E41</f>
        <v>0</v>
      </c>
      <c r="F40" s="517"/>
      <c r="G40" s="575" t="e">
        <f ca="1">'F42'!G41</f>
        <v>#DIV/0!</v>
      </c>
      <c r="H40" s="483"/>
      <c r="I40" s="516" t="s">
        <v>111</v>
      </c>
      <c r="J40" s="503"/>
      <c r="K40" s="498"/>
      <c r="L40" s="518"/>
      <c r="M40" s="575" t="e">
        <f ca="1">'F42'!M41</f>
        <v>#DIV/0!</v>
      </c>
      <c r="N40" s="517"/>
      <c r="O40" s="575" t="e">
        <f ca="1">'F42'!O41</f>
        <v>#DIV/0!</v>
      </c>
    </row>
    <row r="41" s="459" customFormat="1" ht="14.25" customHeight="1" spans="1:18">
      <c r="A41" s="516" t="s">
        <v>112</v>
      </c>
      <c r="B41" s="503"/>
      <c r="C41" s="498"/>
      <c r="D41" s="518"/>
      <c r="E41" s="575">
        <f ca="1">'F42'!E42</f>
        <v>0</v>
      </c>
      <c r="F41" s="517"/>
      <c r="G41" s="575" t="e">
        <f ca="1">'F42'!G42</f>
        <v>#DIV/0!</v>
      </c>
      <c r="H41" s="483"/>
      <c r="I41" s="516" t="s">
        <v>112</v>
      </c>
      <c r="J41" s="503"/>
      <c r="K41" s="498"/>
      <c r="L41" s="518"/>
      <c r="M41" s="575" t="e">
        <f ca="1">'F42'!M42</f>
        <v>#DIV/0!</v>
      </c>
      <c r="N41" s="517"/>
      <c r="O41" s="575" t="e">
        <f ca="1">'F42'!O42</f>
        <v>#DIV/0!</v>
      </c>
    </row>
    <row r="42" s="459" customFormat="1" ht="14.25" hidden="1" customHeight="1" spans="1:18">
      <c r="A42" s="516" t="s">
        <v>113</v>
      </c>
      <c r="B42" s="503"/>
      <c r="C42" s="498"/>
      <c r="D42" s="518"/>
      <c r="E42" s="575"/>
      <c r="F42" s="517"/>
      <c r="G42" s="575"/>
      <c r="I42" s="516" t="s">
        <v>114</v>
      </c>
      <c r="J42" s="503"/>
      <c r="K42" s="498"/>
      <c r="L42" s="518"/>
      <c r="M42" s="575"/>
      <c r="N42" s="517"/>
      <c r="O42" s="575"/>
    </row>
    <row r="43" s="459" customFormat="1" ht="14.25" hidden="1" customHeight="1" spans="1:18">
      <c r="A43" s="516" t="s">
        <v>116</v>
      </c>
      <c r="B43" s="503"/>
      <c r="C43" s="498"/>
      <c r="D43" s="518"/>
      <c r="E43" s="576"/>
      <c r="F43" s="517"/>
      <c r="G43" s="575"/>
      <c r="I43" s="516" t="s">
        <v>116</v>
      </c>
      <c r="J43" s="503"/>
      <c r="K43" s="498"/>
      <c r="L43" s="518"/>
      <c r="M43" s="576"/>
      <c r="N43" s="517"/>
      <c r="O43" s="576"/>
    </row>
    <row r="44" s="459" customFormat="1" ht="14.25" hidden="1" customHeight="1" spans="1:18">
      <c r="A44" s="516" t="s">
        <v>117</v>
      </c>
      <c r="B44" s="503"/>
      <c r="C44" s="498"/>
      <c r="D44" s="518"/>
      <c r="E44" s="576">
        <f ca="1">'F42'!E46</f>
        <v>0</v>
      </c>
      <c r="F44" s="517"/>
      <c r="G44" s="575" t="e">
        <f ca="1">'F42'!G46</f>
        <v>#DIV/0!</v>
      </c>
      <c r="I44" s="516" t="s">
        <v>117</v>
      </c>
      <c r="J44" s="503"/>
      <c r="K44" s="498"/>
      <c r="L44" s="518"/>
      <c r="M44" s="576" t="e">
        <f ca="1">'F42'!M46</f>
        <v>#DIV/0!</v>
      </c>
      <c r="N44" s="517"/>
      <c r="O44" s="576" t="e">
        <f ca="1">'F42'!O46</f>
        <v>#DIV/0!</v>
      </c>
    </row>
    <row r="45" s="459" customFormat="1" ht="14.25" hidden="1" customHeight="1" spans="1:18">
      <c r="A45" s="516" t="s">
        <v>118</v>
      </c>
      <c r="B45" s="503"/>
      <c r="C45" s="498"/>
      <c r="D45" s="518"/>
      <c r="E45" s="576">
        <f ca="1">'F42'!E47</f>
        <v>0</v>
      </c>
      <c r="F45" s="517"/>
      <c r="G45" s="575" t="e">
        <f ca="1">'F42'!G47</f>
        <v>#DIV/0!</v>
      </c>
      <c r="I45" s="516" t="s">
        <v>118</v>
      </c>
      <c r="J45" s="503"/>
      <c r="K45" s="498"/>
      <c r="L45" s="518"/>
      <c r="M45" s="576" t="e">
        <f ca="1">'F42'!M47</f>
        <v>#DIV/0!</v>
      </c>
      <c r="N45" s="517"/>
      <c r="O45" s="576" t="e">
        <f ca="1">'F42'!O47</f>
        <v>#DIV/0!</v>
      </c>
    </row>
    <row r="46" s="459" customFormat="1" ht="14.25" hidden="1" customHeight="1" spans="1:18">
      <c r="A46" s="516" t="s">
        <v>119</v>
      </c>
      <c r="B46" s="503"/>
      <c r="C46" s="498"/>
      <c r="D46" s="518"/>
      <c r="E46" s="576">
        <f ca="1">'F42'!E48</f>
        <v>0</v>
      </c>
      <c r="F46" s="517"/>
      <c r="G46" s="575" t="e">
        <f ca="1">'F42'!G48</f>
        <v>#DIV/0!</v>
      </c>
      <c r="I46" s="516" t="s">
        <v>119</v>
      </c>
      <c r="J46" s="503"/>
      <c r="K46" s="498"/>
      <c r="L46" s="518"/>
      <c r="M46" s="576" t="e">
        <f ca="1">'F42'!M48</f>
        <v>#DIV/0!</v>
      </c>
      <c r="N46" s="517"/>
      <c r="O46" s="576" t="e">
        <f ca="1">'F42'!O48</f>
        <v>#DIV/0!</v>
      </c>
    </row>
    <row r="47" s="459" customFormat="1" ht="14.25" hidden="1" customHeight="1" spans="1:18">
      <c r="A47" s="516" t="s">
        <v>120</v>
      </c>
      <c r="B47" s="503"/>
      <c r="C47" s="498"/>
      <c r="D47" s="518"/>
      <c r="E47" s="576">
        <f ca="1">'F42'!E49</f>
        <v>0</v>
      </c>
      <c r="F47" s="517"/>
      <c r="G47" s="575" t="e">
        <f ca="1">'F42'!G49</f>
        <v>#DIV/0!</v>
      </c>
      <c r="I47" s="516" t="s">
        <v>120</v>
      </c>
      <c r="J47" s="503"/>
      <c r="K47" s="498"/>
      <c r="L47" s="518"/>
      <c r="M47" s="576" t="e">
        <f ca="1">'F42'!M49</f>
        <v>#DIV/0!</v>
      </c>
      <c r="N47" s="517"/>
      <c r="O47" s="576" t="e">
        <f ca="1">'F42'!O49</f>
        <v>#DIV/0!</v>
      </c>
    </row>
    <row r="48" s="459" customFormat="1" ht="14.25" hidden="1" customHeight="1" spans="1:18">
      <c r="A48" s="516" t="s">
        <v>121</v>
      </c>
      <c r="B48" s="503"/>
      <c r="C48" s="498"/>
      <c r="D48" s="518"/>
      <c r="E48" s="576">
        <f ca="1">'F42'!E50</f>
        <v>0</v>
      </c>
      <c r="F48" s="517"/>
      <c r="G48" s="575" t="e">
        <f ca="1">'F42'!G50</f>
        <v>#DIV/0!</v>
      </c>
      <c r="I48" s="516" t="s">
        <v>121</v>
      </c>
      <c r="J48" s="503"/>
      <c r="K48" s="498"/>
      <c r="L48" s="518"/>
      <c r="M48" s="576" t="e">
        <f ca="1">'F42'!M50</f>
        <v>#DIV/0!</v>
      </c>
      <c r="N48" s="517"/>
      <c r="O48" s="576" t="e">
        <f ca="1">'F42'!O50</f>
        <v>#DIV/0!</v>
      </c>
    </row>
    <row r="49" s="459" customFormat="1" ht="14.25" customHeight="1" spans="1:19">
      <c r="A49" s="577" t="s">
        <v>122</v>
      </c>
      <c r="B49" s="485" t="s">
        <v>123</v>
      </c>
      <c r="C49" s="514"/>
      <c r="D49" s="515"/>
      <c r="E49" s="578" t="e">
        <f ca="1">E35+E10</f>
        <v>#DIV/0!</v>
      </c>
      <c r="F49" s="579"/>
      <c r="G49" s="578" t="e">
        <f ca="1">G35+G10</f>
        <v>#DIV/0!</v>
      </c>
      <c r="H49" s="483"/>
      <c r="I49" s="577" t="s">
        <v>122</v>
      </c>
      <c r="J49" s="485" t="s">
        <v>123</v>
      </c>
      <c r="K49" s="514"/>
      <c r="L49" s="515"/>
      <c r="M49" s="578" t="e">
        <f ca="1">M35+M10</f>
        <v>#DIV/0!</v>
      </c>
      <c r="N49" s="579"/>
      <c r="O49" s="578" t="e">
        <f ca="1">O35+O10</f>
        <v>#DIV/0!</v>
      </c>
    </row>
    <row r="50" s="460" customFormat="1" ht="14.25" customHeight="1" spans="1:19">
      <c r="A50" s="580" t="s">
        <v>124</v>
      </c>
      <c r="B50" s="48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48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</row>
    <row r="51" s="459" customFormat="1" ht="14.25" customHeight="1" spans="1:19">
      <c r="A51" s="580" t="s">
        <v>125</v>
      </c>
      <c r="B51" s="48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48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</row>
    <row r="52" s="540" customFormat="1" ht="14.25" customHeight="1" spans="1:19">
      <c r="A52" s="529" t="s">
        <v>126</v>
      </c>
      <c r="B52" s="530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535"/>
      <c r="I52" s="536" t="s">
        <v>126</v>
      </c>
      <c r="J52" s="537" t="s">
        <v>123</v>
      </c>
      <c r="K52" s="533"/>
      <c r="L52" s="533"/>
      <c r="M52" s="533" t="e">
        <f ca="1">M10-M11+M35</f>
        <v>#DIV/0!</v>
      </c>
      <c r="N52" s="533"/>
      <c r="O52" s="534" t="e">
        <f ca="1">O10-O11+O35</f>
        <v>#DIV/0!</v>
      </c>
      <c r="P52" s="475"/>
      <c r="Q52" s="475"/>
      <c r="R52" s="475"/>
      <c r="S52" s="475"/>
    </row>
    <row r="54" customHeight="1" spans="1:19">
      <c r="G54" s="594"/>
    </row>
    <row r="58" s="459" customFormat="1" customHeight="1" spans="1:19">
      <c r="A58" s="582"/>
      <c r="B58" s="538"/>
      <c r="E58" s="539"/>
      <c r="F58" s="539"/>
      <c r="G58" s="539"/>
      <c r="M58" s="539"/>
      <c r="O58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8593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>
    <tabColor theme="7" tint="0.399975585192419"/>
  </sheetPr>
  <dimension ref="A1:R58"/>
  <sheetViews>
    <sheetView zoomScale="140" zoomScaleNormal="140" workbookViewId="0">
      <pane xSplit="2" ySplit="4" topLeftCell="C5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6.875" style="40" customWidth="1"/>
    <col min="5" max="5" width="9" style="462" customWidth="1"/>
    <col min="6" max="6" width="9.5" style="40" customWidth="1"/>
    <col min="7" max="7" width="12.25" style="40" customWidth="1"/>
    <col min="8" max="8" width="10.125" style="40" customWidth="1"/>
    <col min="9" max="9" width="28" style="40" customWidth="1"/>
    <col min="10" max="10" width="5.125" style="40" customWidth="1"/>
    <col min="11" max="11" width="10.375" style="40" customWidth="1"/>
    <col min="12" max="12" width="7" style="40" customWidth="1"/>
    <col min="13" max="13" width="9.375" style="40" customWidth="1"/>
    <col min="14" max="14" width="11.5" style="40" customWidth="1"/>
    <col min="15" max="16" width="11.375" style="40" customWidth="1"/>
    <col min="17" max="18" width="10.5" style="40" customWidth="1"/>
    <col min="19" max="16384" width="9" style="40"/>
  </cols>
  <sheetData>
    <row r="1" s="458" customFormat="1" ht="42.75" customHeight="1" spans="1:18">
      <c r="A1" s="97" t="str">
        <f>CONCATENATE("果葡糖浆F55综合成本利润表_含税(2025年"&amp;mth&amp;"月)")</f>
        <v>果葡糖浆F55综合成本利润表_含税(2025年8月)</v>
      </c>
      <c r="B1" s="98"/>
      <c r="C1" s="98"/>
      <c r="D1" s="98"/>
      <c r="E1" s="98"/>
      <c r="F1" s="98"/>
      <c r="G1" s="98"/>
      <c r="I1" s="463" t="str">
        <f>CONCATENATE("果葡糖浆F55综合成本利润表_含税(2025年1-"&amp;mth&amp;"月)")</f>
        <v>果葡糖浆F55综合成本利润表_含税(2025年1-8月)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584"/>
      <c r="G2" s="39"/>
      <c r="H2" s="585"/>
      <c r="M2" s="44"/>
      <c r="N2" s="584"/>
      <c r="O2" s="39"/>
    </row>
    <row r="3" s="38" customFormat="1" customHeight="1" spans="1:18">
      <c r="A3" s="39"/>
      <c r="E3" s="39" t="s">
        <v>133</v>
      </c>
      <c r="F3" s="466">
        <f ca="1">'F55'!F3</f>
        <v>0</v>
      </c>
      <c r="G3" s="39" t="s">
        <v>75</v>
      </c>
      <c r="K3" s="552"/>
      <c r="M3" s="586" t="s">
        <v>76</v>
      </c>
      <c r="N3" s="466">
        <f ca="1">'F55'!N3</f>
        <v>49280.176</v>
      </c>
      <c r="O3" s="586" t="s">
        <v>75</v>
      </c>
      <c r="P3" s="71"/>
    </row>
    <row r="4" s="459" customFormat="1" ht="14.25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10"/>
      <c r="I5" s="470" t="s">
        <v>83</v>
      </c>
      <c r="J5" s="471"/>
      <c r="K5" s="472"/>
      <c r="L5" s="472"/>
      <c r="M5" s="474">
        <f ca="1">M6-M7</f>
        <v>3000.74713961007</v>
      </c>
      <c r="N5" s="472"/>
      <c r="O5" s="474">
        <f ca="1">O6-O7</f>
        <v>147877347.171481</v>
      </c>
      <c r="P5" s="475"/>
      <c r="Q5" s="475"/>
    </row>
    <row r="6" s="459" customFormat="1" ht="14.25" customHeight="1" spans="1:18">
      <c r="A6" s="476" t="s">
        <v>84</v>
      </c>
      <c r="B6" s="477"/>
      <c r="C6" s="478"/>
      <c r="D6" s="479"/>
      <c r="E6" s="480">
        <f ca="1">OFFSET(销售收入及运费!C85,0,mth-1,1,1)</f>
        <v>0</v>
      </c>
      <c r="F6" s="479"/>
      <c r="G6" s="480">
        <f ca="1">E6*$F$3</f>
        <v>0</v>
      </c>
      <c r="H6" s="510"/>
      <c r="I6" s="481" t="s">
        <v>84</v>
      </c>
      <c r="J6" s="477"/>
      <c r="K6" s="478"/>
      <c r="L6" s="479"/>
      <c r="M6" s="480">
        <f ca="1">销售收入及运费!O85</f>
        <v>3063.93110295465</v>
      </c>
      <c r="N6" s="482"/>
      <c r="O6" s="480">
        <f ca="1">M6*$N$3</f>
        <v>150991064.005479</v>
      </c>
      <c r="P6" s="475"/>
      <c r="Q6" s="475"/>
    </row>
    <row r="7" s="459" customFormat="1" ht="14.25" customHeight="1" spans="1:18">
      <c r="A7" s="476" t="s">
        <v>85</v>
      </c>
      <c r="B7" s="477"/>
      <c r="C7" s="479"/>
      <c r="D7" s="479"/>
      <c r="E7" s="480">
        <f ca="1">OFFSET(销售收入及运费!C183,0,mth-1,1,1)</f>
        <v>0</v>
      </c>
      <c r="F7" s="479"/>
      <c r="G7" s="480">
        <f ca="1">E7*$F$3</f>
        <v>0</v>
      </c>
      <c r="H7" s="510"/>
      <c r="I7" s="476" t="s">
        <v>85</v>
      </c>
      <c r="J7" s="477"/>
      <c r="K7" s="479"/>
      <c r="L7" s="479"/>
      <c r="M7" s="480">
        <f ca="1">销售收入及运费!O183</f>
        <v>63.1839633445735</v>
      </c>
      <c r="N7" s="479"/>
      <c r="O7" s="480">
        <f ca="1">M7*$N$3</f>
        <v>3113716.83399813</v>
      </c>
      <c r="P7" s="475"/>
      <c r="Q7" s="475"/>
    </row>
    <row r="8" s="459" customFormat="1" ht="14.25" customHeight="1" spans="1:18">
      <c r="A8" s="476" t="s">
        <v>86</v>
      </c>
      <c r="B8" s="477"/>
      <c r="C8" s="479"/>
      <c r="D8" s="479"/>
      <c r="E8" s="480" t="e">
        <f ca="1">'F55-含税'!E8</f>
        <v>#DIV/0!</v>
      </c>
      <c r="F8" s="479"/>
      <c r="G8" s="480" t="e">
        <f ca="1">'F55-含税'!G8</f>
        <v>#DIV/0!</v>
      </c>
      <c r="H8" s="510"/>
      <c r="I8" s="476" t="s">
        <v>86</v>
      </c>
      <c r="J8" s="477"/>
      <c r="K8" s="479"/>
      <c r="L8" s="479"/>
      <c r="M8" s="480">
        <f ca="1">'F55-含税'!M8</f>
        <v>48.8837687668308</v>
      </c>
      <c r="N8" s="479"/>
      <c r="O8" s="480">
        <f ca="1">'F55-含税'!O8</f>
        <v>2409000.72837272</v>
      </c>
      <c r="P8" s="475"/>
      <c r="Q8" s="475"/>
    </row>
    <row r="9" s="459" customFormat="1" ht="14.25" customHeight="1" spans="1:18">
      <c r="A9" s="476" t="s">
        <v>87</v>
      </c>
      <c r="B9" s="477"/>
      <c r="C9" s="479"/>
      <c r="D9" s="479"/>
      <c r="E9" s="480" t="e">
        <f ca="1">'F55-含税'!E9</f>
        <v>#DIV/0!</v>
      </c>
      <c r="F9" s="479"/>
      <c r="G9" s="480" t="e">
        <f ca="1">'F55-含税'!G9</f>
        <v>#DIV/0!</v>
      </c>
      <c r="H9" s="510"/>
      <c r="I9" s="476" t="s">
        <v>87</v>
      </c>
      <c r="J9" s="477"/>
      <c r="K9" s="479"/>
      <c r="L9" s="479"/>
      <c r="M9" s="480">
        <f ca="1">'F55-含税'!M9</f>
        <v>14.3001945777427</v>
      </c>
      <c r="N9" s="479"/>
      <c r="O9" s="480">
        <f ca="1">'F55-含税'!O9</f>
        <v>704716.105625408</v>
      </c>
      <c r="P9" s="475"/>
      <c r="Q9" s="475"/>
    </row>
    <row r="10" s="459" customFormat="1" ht="14.25" customHeight="1" spans="1:18">
      <c r="A10" s="484" t="s">
        <v>88</v>
      </c>
      <c r="B10" s="485"/>
      <c r="C10" s="486"/>
      <c r="D10" s="486"/>
      <c r="E10" s="487" t="e">
        <f ca="1">E11+E13+E25+E31+E32+E33</f>
        <v>#DIV/0!</v>
      </c>
      <c r="F10" s="488"/>
      <c r="G10" s="487" t="e">
        <f ca="1">G11+G13+G25+G31+G33+G32</f>
        <v>#DIV/0!</v>
      </c>
      <c r="H10" s="510"/>
      <c r="I10" s="484" t="s">
        <v>88</v>
      </c>
      <c r="J10" s="485"/>
      <c r="K10" s="486"/>
      <c r="L10" s="486"/>
      <c r="M10" s="487" t="e">
        <f ca="1">M11+M13+M25+M31+M32+M33</f>
        <v>#DIV/0!</v>
      </c>
      <c r="N10" s="488"/>
      <c r="O10" s="487" t="e">
        <f ca="1">O11+O13+O25+O31+O33+O32</f>
        <v>#DIV/0!</v>
      </c>
      <c r="P10" s="475"/>
      <c r="Q10" s="475"/>
    </row>
    <row r="11" s="459" customFormat="1" ht="14.25" customHeight="1" spans="1:18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10"/>
      <c r="I11" s="489" t="s">
        <v>89</v>
      </c>
      <c r="J11" s="490" t="s">
        <v>75</v>
      </c>
      <c r="K11" s="491">
        <f ca="1">IF(N11=0,0,O11/N11)</f>
        <v>2824.36837726118</v>
      </c>
      <c r="L11" s="492">
        <f ca="1">IF(K11=0,0,M11/K11)</f>
        <v>0.848770030048684</v>
      </c>
      <c r="M11" s="491">
        <f ca="1">M12</f>
        <v>2397.23923243652</v>
      </c>
      <c r="N11" s="491">
        <f ca="1">N12</f>
        <v>41827.5364643244</v>
      </c>
      <c r="O11" s="491">
        <f ca="1">O12</f>
        <v>118136371.288577</v>
      </c>
      <c r="P11" s="475"/>
      <c r="Q11" s="475"/>
    </row>
    <row r="12" s="459" customFormat="1" ht="14.25" customHeight="1" spans="1:18">
      <c r="A12" s="502" t="s">
        <v>90</v>
      </c>
      <c r="B12" s="503" t="s">
        <v>75</v>
      </c>
      <c r="C12" s="507">
        <f ca="1">'F55'!C12*1.13</f>
        <v>0</v>
      </c>
      <c r="D12" s="497">
        <f ca="1">'F55'!D12</f>
        <v>0</v>
      </c>
      <c r="E12" s="480">
        <f ca="1">'F55'!E12*1.13</f>
        <v>0</v>
      </c>
      <c r="F12" s="507">
        <f ca="1">'F55'!F12</f>
        <v>0</v>
      </c>
      <c r="G12" s="480">
        <f ca="1">'F55'!G12*1.13</f>
        <v>0</v>
      </c>
      <c r="H12" s="510"/>
      <c r="I12" s="502" t="s">
        <v>90</v>
      </c>
      <c r="J12" s="503" t="s">
        <v>75</v>
      </c>
      <c r="K12" s="507">
        <f ca="1">分配表!O71</f>
        <v>2824.36837726118</v>
      </c>
      <c r="L12" s="497">
        <f ca="1">'F55'!L12</f>
        <v>0.848770030048684</v>
      </c>
      <c r="M12" s="496">
        <f ca="1">K12*L12</f>
        <v>2397.23923243652</v>
      </c>
      <c r="N12" s="507">
        <f ca="1">L12*N3</f>
        <v>41827.5364643244</v>
      </c>
      <c r="O12" s="496">
        <f ca="1">K12*N12</f>
        <v>118136371.288577</v>
      </c>
      <c r="P12" s="475"/>
      <c r="Q12" s="587"/>
      <c r="R12" s="565"/>
    </row>
    <row r="13" s="459" customFormat="1" ht="14.25" customHeight="1" spans="1:18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10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475"/>
      <c r="R13" s="511"/>
    </row>
    <row r="14" s="459" customFormat="1" ht="14.25" customHeight="1" spans="1:18">
      <c r="A14" s="502" t="s">
        <v>136</v>
      </c>
      <c r="B14" s="503" t="s">
        <v>167</v>
      </c>
      <c r="C14" s="505">
        <f ca="1">'F55'!C14*1.13</f>
        <v>0</v>
      </c>
      <c r="D14" s="505">
        <f ca="1">'F55'!D14</f>
        <v>0</v>
      </c>
      <c r="E14" s="480">
        <f ca="1">'F55'!E14*1.13</f>
        <v>0</v>
      </c>
      <c r="F14" s="507">
        <f ca="1">'F55'!F14</f>
        <v>0</v>
      </c>
      <c r="G14" s="480">
        <f ca="1">'F55'!G14*1.13</f>
        <v>0</v>
      </c>
      <c r="H14" s="510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'F55'!L14</f>
        <v>4.55787434531979</v>
      </c>
      <c r="M14" s="506">
        <f ca="1">K14*L14</f>
        <v>5.32363042395768</v>
      </c>
      <c r="N14" s="507">
        <f ca="1">'F55'!N14</f>
        <v>224612.849923244</v>
      </c>
      <c r="O14" s="496">
        <f ca="1">M14*$N$3</f>
        <v>262349.444251589</v>
      </c>
      <c r="P14" s="475"/>
      <c r="Q14" s="475"/>
    </row>
    <row r="15" s="459" customFormat="1" ht="14.25" customHeight="1" spans="1:18">
      <c r="A15" s="502" t="s">
        <v>137</v>
      </c>
      <c r="B15" s="503" t="s">
        <v>167</v>
      </c>
      <c r="C15" s="505">
        <f ca="1">'F55'!C15*1.13</f>
        <v>0</v>
      </c>
      <c r="D15" s="505">
        <f ca="1">'F55'!D15</f>
        <v>0</v>
      </c>
      <c r="E15" s="480">
        <f ca="1">'F55'!E15*1.13</f>
        <v>0</v>
      </c>
      <c r="F15" s="507">
        <f ca="1">'F55'!F15</f>
        <v>0</v>
      </c>
      <c r="G15" s="480">
        <f ca="1">'F55'!G15*1.13</f>
        <v>0</v>
      </c>
      <c r="H15" s="510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'F55'!L15</f>
        <v>5.06258686051769</v>
      </c>
      <c r="M15" s="506">
        <f ca="1" t="shared" ref="M15:M22" si="0">K15*L15</f>
        <v>18.1078257834863</v>
      </c>
      <c r="N15" s="507">
        <f ca="1">'F55'!N15</f>
        <v>249485.171501599</v>
      </c>
      <c r="O15" s="496">
        <f ca="1" t="shared" ref="O15:O22" si="1">M15*$N$3</f>
        <v>892356.841587541</v>
      </c>
      <c r="P15" s="475"/>
      <c r="Q15" s="475"/>
    </row>
    <row r="16" s="459" customFormat="1" ht="14.25" customHeight="1" spans="1:18">
      <c r="A16" s="502" t="s">
        <v>138</v>
      </c>
      <c r="B16" s="503" t="s">
        <v>167</v>
      </c>
      <c r="C16" s="505">
        <f ca="1">'F55'!C16*1.13</f>
        <v>0</v>
      </c>
      <c r="D16" s="505">
        <f ca="1">'F55'!D16</f>
        <v>0</v>
      </c>
      <c r="E16" s="480">
        <f ca="1">'F55'!E16*1.13</f>
        <v>0</v>
      </c>
      <c r="F16" s="507">
        <f ca="1">'F55'!F16</f>
        <v>0</v>
      </c>
      <c r="G16" s="480">
        <f ca="1">'F55'!G16*1.13</f>
        <v>0</v>
      </c>
      <c r="H16" s="510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'F55'!L16</f>
        <v>0.766508435750828</v>
      </c>
      <c r="M16" s="506">
        <f ca="1" t="shared" si="0"/>
        <v>2.25621998807783</v>
      </c>
      <c r="N16" s="507">
        <f ca="1">'F55'!N16</f>
        <v>37773.6706192855</v>
      </c>
      <c r="O16" s="496">
        <f ca="1" t="shared" si="1"/>
        <v>111186.918107193</v>
      </c>
      <c r="P16" s="475"/>
      <c r="Q16" s="475"/>
    </row>
    <row r="17" s="459" customFormat="1" ht="14.25" customHeight="1" spans="1:17">
      <c r="A17" s="502" t="s">
        <v>139</v>
      </c>
      <c r="B17" s="503" t="s">
        <v>167</v>
      </c>
      <c r="C17" s="505">
        <f ca="1">'F55'!C17*1.13</f>
        <v>0</v>
      </c>
      <c r="D17" s="505">
        <f ca="1">'F55'!D17</f>
        <v>0</v>
      </c>
      <c r="E17" s="480">
        <f ca="1">'F55'!E17*1.13</f>
        <v>0</v>
      </c>
      <c r="F17" s="507">
        <f ca="1">'F55'!F17</f>
        <v>0</v>
      </c>
      <c r="G17" s="480">
        <f ca="1">'F55'!G17*1.13</f>
        <v>0</v>
      </c>
      <c r="H17" s="510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'F55'!L17</f>
        <v>1.59987183011964</v>
      </c>
      <c r="M17" s="506">
        <f ca="1" t="shared" si="0"/>
        <v>12.7990748963569</v>
      </c>
      <c r="N17" s="507">
        <f ca="1">'F55'!N17</f>
        <v>78841.9653657378</v>
      </c>
      <c r="O17" s="496">
        <f ca="1" t="shared" si="1"/>
        <v>630740.66352965</v>
      </c>
      <c r="P17" s="475"/>
      <c r="Q17" s="475"/>
    </row>
    <row r="18" s="459" customFormat="1" ht="14.25" customHeight="1" spans="1:17">
      <c r="A18" s="502" t="s">
        <v>140</v>
      </c>
      <c r="B18" s="503" t="s">
        <v>167</v>
      </c>
      <c r="C18" s="505">
        <f ca="1">'F55'!C18*1.13</f>
        <v>0</v>
      </c>
      <c r="D18" s="505">
        <f ca="1">'F55'!D18</f>
        <v>0</v>
      </c>
      <c r="E18" s="480">
        <f ca="1">'F55'!E18*1.13</f>
        <v>0</v>
      </c>
      <c r="F18" s="507">
        <f ca="1">'F55'!F18</f>
        <v>0</v>
      </c>
      <c r="G18" s="480">
        <f ca="1">'F55'!G18*1.13</f>
        <v>0</v>
      </c>
      <c r="H18" s="510"/>
      <c r="I18" s="502" t="s">
        <v>140</v>
      </c>
      <c r="J18" s="503" t="s">
        <v>167</v>
      </c>
      <c r="K18" s="505">
        <f ca="1">分配表!O196</f>
        <v>54.0155926492147</v>
      </c>
      <c r="L18" s="505">
        <f ca="1">'F55'!L18</f>
        <v>0.0825190470672785</v>
      </c>
      <c r="M18" s="506">
        <f ca="1" t="shared" si="0"/>
        <v>4.45731523218749</v>
      </c>
      <c r="N18" s="507">
        <f ca="1">'F55'!N18</f>
        <v>4066.55316282777</v>
      </c>
      <c r="O18" s="496">
        <f ca="1" t="shared" si="1"/>
        <v>219657.27912968</v>
      </c>
      <c r="P18" s="475"/>
      <c r="Q18" s="475"/>
    </row>
    <row r="19" s="459" customFormat="1" ht="14.25" customHeight="1" spans="1:17">
      <c r="A19" s="502" t="s">
        <v>141</v>
      </c>
      <c r="B19" s="503" t="s">
        <v>167</v>
      </c>
      <c r="C19" s="505">
        <f ca="1">'F55'!C19*1.13</f>
        <v>0</v>
      </c>
      <c r="D19" s="505">
        <f ca="1">'F55'!D19</f>
        <v>0</v>
      </c>
      <c r="E19" s="480">
        <f ca="1">'F55'!E19*1.13</f>
        <v>0</v>
      </c>
      <c r="F19" s="507">
        <f ca="1">'F55'!F19</f>
        <v>0</v>
      </c>
      <c r="G19" s="480">
        <f ca="1">'F55'!G19*1.13</f>
        <v>0</v>
      </c>
      <c r="H19" s="510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'F55'!L19</f>
        <v>0.16120775745773</v>
      </c>
      <c r="M19" s="506">
        <f ca="1" t="shared" si="0"/>
        <v>5.86523752026179</v>
      </c>
      <c r="N19" s="507">
        <f ca="1">'F55'!N19</f>
        <v>7944.34666008226</v>
      </c>
      <c r="O19" s="496">
        <f ca="1" t="shared" si="1"/>
        <v>289039.937280304</v>
      </c>
      <c r="P19" s="475"/>
      <c r="Q19" s="475"/>
    </row>
    <row r="20" s="459" customFormat="1" ht="14.25" customHeight="1" spans="1:17">
      <c r="A20" s="502" t="s">
        <v>142</v>
      </c>
      <c r="B20" s="503" t="s">
        <v>167</v>
      </c>
      <c r="C20" s="505">
        <f ca="1">'F55'!C20*1.13</f>
        <v>0</v>
      </c>
      <c r="D20" s="505">
        <f ca="1">'F55'!D20</f>
        <v>0</v>
      </c>
      <c r="E20" s="480">
        <f ca="1">'F55'!E20*1.13</f>
        <v>0</v>
      </c>
      <c r="F20" s="507">
        <f ca="1">'F55'!F20</f>
        <v>0</v>
      </c>
      <c r="G20" s="480">
        <f ca="1">'F55'!G20*1.13</f>
        <v>0</v>
      </c>
      <c r="H20" s="510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'F55'!L20</f>
        <v>0.0977000320036674</v>
      </c>
      <c r="M20" s="506">
        <f ca="1" t="shared" si="0"/>
        <v>24.1311294931937</v>
      </c>
      <c r="N20" s="507">
        <f ca="1">'F55'!N20</f>
        <v>4814.67477234636</v>
      </c>
      <c r="O20" s="496">
        <f ca="1" t="shared" si="1"/>
        <v>1189186.30850338</v>
      </c>
      <c r="P20" s="475"/>
      <c r="Q20" s="475"/>
    </row>
    <row r="21" s="459" customFormat="1" ht="14.25" customHeight="1" spans="1:17">
      <c r="A21" s="502" t="s">
        <v>150</v>
      </c>
      <c r="B21" s="503" t="s">
        <v>167</v>
      </c>
      <c r="C21" s="505">
        <f ca="1">'F55'!C21*1.13</f>
        <v>0</v>
      </c>
      <c r="D21" s="505">
        <f ca="1">'F55'!D21</f>
        <v>0</v>
      </c>
      <c r="E21" s="480">
        <f ca="1">'F55'!E21*1.13</f>
        <v>0</v>
      </c>
      <c r="F21" s="507">
        <f ca="1">'F55'!F21</f>
        <v>0</v>
      </c>
      <c r="G21" s="480">
        <f ca="1">'F55'!G21*1.13</f>
        <v>0</v>
      </c>
      <c r="H21" s="510"/>
      <c r="I21" s="502" t="s">
        <v>150</v>
      </c>
      <c r="J21" s="503" t="s">
        <v>167</v>
      </c>
      <c r="K21" s="505">
        <f ca="1">分配表!O199</f>
        <v>1.1068060104712</v>
      </c>
      <c r="L21" s="505">
        <f ca="1">'F55'!L21</f>
        <v>0.496079591655948</v>
      </c>
      <c r="M21" s="506">
        <f ca="1" t="shared" si="0"/>
        <v>0.549063873716904</v>
      </c>
      <c r="N21" s="507">
        <f ca="1">'F55'!N21</f>
        <v>24446.8895868132</v>
      </c>
      <c r="O21" s="496">
        <f ca="1" t="shared" si="1"/>
        <v>27057.9643320108</v>
      </c>
      <c r="P21" s="475"/>
      <c r="Q21" s="475"/>
    </row>
    <row r="22" s="459" customFormat="1" ht="14.25" customHeight="1" spans="1:17">
      <c r="A22" s="502" t="s">
        <v>145</v>
      </c>
      <c r="B22" s="503" t="s">
        <v>167</v>
      </c>
      <c r="C22" s="505">
        <f ca="1">'F55'!C22*1.13</f>
        <v>0</v>
      </c>
      <c r="D22" s="505">
        <f ca="1">'F55'!D22</f>
        <v>0</v>
      </c>
      <c r="E22" s="480">
        <f ca="1">'F55'!E22*1.13</f>
        <v>0</v>
      </c>
      <c r="F22" s="507">
        <f ca="1">'F55'!F22</f>
        <v>0</v>
      </c>
      <c r="G22" s="480">
        <f ca="1">'F55'!G22*1.13</f>
        <v>0</v>
      </c>
      <c r="H22" s="510"/>
      <c r="I22" s="502" t="s">
        <v>145</v>
      </c>
      <c r="J22" s="503" t="s">
        <v>167</v>
      </c>
      <c r="K22" s="505">
        <f ca="1">分配表!O200</f>
        <v>2.09737053412463</v>
      </c>
      <c r="L22" s="505">
        <f ca="1">'F55'!L22</f>
        <v>0.291815846685822</v>
      </c>
      <c r="M22" s="506">
        <f ca="1" t="shared" si="0"/>
        <v>0.612045958229473</v>
      </c>
      <c r="N22" s="507">
        <f ca="1">'F55'!N22</f>
        <v>14380.7362842663</v>
      </c>
      <c r="O22" s="496">
        <f ca="1" t="shared" si="1"/>
        <v>30161.7325416371</v>
      </c>
      <c r="P22" s="475"/>
      <c r="Q22" s="475"/>
    </row>
    <row r="23" s="459" customFormat="1" ht="14.25" customHeight="1" spans="1:17">
      <c r="A23" s="502" t="s">
        <v>146</v>
      </c>
      <c r="B23" s="503" t="s">
        <v>167</v>
      </c>
      <c r="C23" s="505">
        <f>'F55'!C23*1.13</f>
        <v>0</v>
      </c>
      <c r="D23" s="505">
        <f>'F55'!D23</f>
        <v>0</v>
      </c>
      <c r="E23" s="480">
        <f ca="1">'F55'!E23*1.13</f>
        <v>0</v>
      </c>
      <c r="F23" s="507">
        <f>'F55'!F23</f>
        <v>0</v>
      </c>
      <c r="G23" s="480" t="e">
        <f ca="1">'F55'!G23*1.13</f>
        <v>#DIV/0!</v>
      </c>
      <c r="H23" s="510"/>
      <c r="I23" s="502" t="s">
        <v>146</v>
      </c>
      <c r="J23" s="503" t="s">
        <v>167</v>
      </c>
      <c r="K23" s="505">
        <f>分配表!O201</f>
        <v>0</v>
      </c>
      <c r="L23" s="505">
        <f>'F55'!L23</f>
        <v>0</v>
      </c>
      <c r="M23" s="506">
        <f ca="1">IF($N$3=0,0,O23/$N$3)</f>
        <v>0</v>
      </c>
      <c r="N23" s="507">
        <f>'F55'!N23</f>
        <v>0</v>
      </c>
      <c r="O23" s="507">
        <f ca="1">基础表!O241</f>
        <v>0</v>
      </c>
      <c r="P23" s="475"/>
      <c r="Q23" s="475"/>
    </row>
    <row r="24" s="459" customFormat="1" ht="14.25" customHeight="1" spans="1:17">
      <c r="A24" s="502" t="s">
        <v>147</v>
      </c>
      <c r="B24" s="503"/>
      <c r="C24" s="505"/>
      <c r="D24" s="505"/>
      <c r="E24" s="566">
        <f ca="1">'F55'!E24*1.13</f>
        <v>0</v>
      </c>
      <c r="F24" s="507"/>
      <c r="G24" s="480" t="e">
        <f ca="1">'F55'!G24*1.13</f>
        <v>#DIV/0!</v>
      </c>
      <c r="H24" s="510"/>
      <c r="I24" s="502" t="s">
        <v>147</v>
      </c>
      <c r="J24" s="503"/>
      <c r="K24" s="505"/>
      <c r="L24" s="505"/>
      <c r="M24" s="505" t="e">
        <f ca="1">IF($N$3=0,0,O24/$N$3)</f>
        <v>#DIV/0!</v>
      </c>
      <c r="N24" s="507"/>
      <c r="O24" s="507" t="e">
        <f ca="1">'F55'!O24*1.13</f>
        <v>#DIV/0!</v>
      </c>
      <c r="P24" s="475"/>
      <c r="Q24" s="475"/>
    </row>
    <row r="25" s="459" customFormat="1" ht="14.25" customHeight="1" spans="1:17">
      <c r="A25" s="508" t="s">
        <v>94</v>
      </c>
      <c r="B25" s="490"/>
      <c r="C25" s="501"/>
      <c r="D25" s="492"/>
      <c r="E25" s="491">
        <f ca="1">SUM(E26:E30)</f>
        <v>0</v>
      </c>
      <c r="F25" s="491"/>
      <c r="G25" s="491" t="e">
        <f ca="1">SUM(G26:G30)</f>
        <v>#DIV/0!</v>
      </c>
      <c r="H25" s="510"/>
      <c r="I25" s="508" t="s">
        <v>94</v>
      </c>
      <c r="J25" s="490"/>
      <c r="K25" s="501"/>
      <c r="L25" s="492"/>
      <c r="M25" s="491" t="e">
        <f ca="1">SUM(M26:M30)</f>
        <v>#DIV/0!</v>
      </c>
      <c r="N25" s="491"/>
      <c r="O25" s="491" t="e">
        <f ca="1">SUM(O26:O30)</f>
        <v>#DIV/0!</v>
      </c>
      <c r="P25" s="475"/>
      <c r="Q25" s="475"/>
    </row>
    <row r="26" s="459" customFormat="1" ht="14.25" customHeight="1" spans="1:17">
      <c r="A26" s="502" t="s">
        <v>95</v>
      </c>
      <c r="B26" s="503" t="s">
        <v>75</v>
      </c>
      <c r="C26" s="566">
        <f ca="1">OFFSET(分配表!C306,0,mth-1,1,1)</f>
        <v>0</v>
      </c>
      <c r="D26" s="497">
        <f ca="1">'F55'!D27</f>
        <v>0</v>
      </c>
      <c r="E26" s="507">
        <f ca="1">C26*D26</f>
        <v>0</v>
      </c>
      <c r="F26" s="507">
        <f ca="1">'F55'!F27</f>
        <v>0</v>
      </c>
      <c r="G26" s="507">
        <f ca="1">E26*F$3</f>
        <v>0</v>
      </c>
      <c r="H26" s="510"/>
      <c r="I26" s="502" t="s">
        <v>95</v>
      </c>
      <c r="J26" s="503" t="s">
        <v>75</v>
      </c>
      <c r="K26" s="567">
        <f ca="1">分配表!O306</f>
        <v>408.530937837231</v>
      </c>
      <c r="L26" s="497">
        <f ca="1">IF($N$3=0,0,N26/$N$3)</f>
        <v>0.308599320251534</v>
      </c>
      <c r="M26" s="509">
        <f ca="1">K26*L26</f>
        <v>126.072369718291</v>
      </c>
      <c r="N26" s="507">
        <f ca="1">'F55'!N27</f>
        <v>15207.828815476</v>
      </c>
      <c r="O26" s="507">
        <f ca="1">M26*N$3</f>
        <v>6212868.56845445</v>
      </c>
      <c r="P26" s="475"/>
      <c r="Q26" s="475"/>
    </row>
    <row r="27" s="459" customFormat="1" ht="14.25" customHeight="1" spans="1:17">
      <c r="A27" s="502" t="s">
        <v>96</v>
      </c>
      <c r="B27" s="503" t="s">
        <v>97</v>
      </c>
      <c r="C27" s="566">
        <f ca="1">'F55'!C28*1.13</f>
        <v>0</v>
      </c>
      <c r="D27" s="505">
        <f ca="1">'F55'!D28</f>
        <v>0</v>
      </c>
      <c r="E27" s="480">
        <f ca="1">'F55'!E28*1.13</f>
        <v>0</v>
      </c>
      <c r="F27" s="507" t="e">
        <f ca="1">'F55'!F28</f>
        <v>#DIV/0!</v>
      </c>
      <c r="G27" s="480">
        <f ca="1">'F55'!G28*1.13</f>
        <v>0</v>
      </c>
      <c r="H27" s="510"/>
      <c r="I27" s="502" t="s">
        <v>96</v>
      </c>
      <c r="J27" s="503" t="s">
        <v>97</v>
      </c>
      <c r="K27" s="566">
        <f ca="1">分配表!O325</f>
        <v>0.769119583630169</v>
      </c>
      <c r="L27" s="505" t="e">
        <f ca="1">IF($N$3=0,0,N27/$N$3)</f>
        <v>#DIV/0!</v>
      </c>
      <c r="M27" s="509" t="e">
        <f ca="1">K27*L27</f>
        <v>#DIV/0!</v>
      </c>
      <c r="N27" s="507" t="e">
        <f ca="1">'F55'!N28</f>
        <v>#DIV/0!</v>
      </c>
      <c r="O27" s="509" t="e">
        <f ca="1">M27*N$3</f>
        <v>#DIV/0!</v>
      </c>
      <c r="P27" s="475"/>
      <c r="Q27" s="475"/>
    </row>
    <row r="28" s="459" customFormat="1" ht="14.25" customHeight="1" spans="1:17">
      <c r="A28" s="502" t="s">
        <v>98</v>
      </c>
      <c r="B28" s="503" t="s">
        <v>75</v>
      </c>
      <c r="C28" s="566">
        <f>3.32+0.9*2.97</f>
        <v>5.993</v>
      </c>
      <c r="D28" s="505">
        <f ca="1">'F55'!D29</f>
        <v>0</v>
      </c>
      <c r="E28" s="480">
        <f ca="1">D28*C28</f>
        <v>0</v>
      </c>
      <c r="F28" s="507" t="e">
        <f ca="1">'F55'!F29</f>
        <v>#DIV/0!</v>
      </c>
      <c r="G28" s="480">
        <f ca="1">E28*F3</f>
        <v>0</v>
      </c>
      <c r="H28" s="510"/>
      <c r="I28" s="502" t="s">
        <v>98</v>
      </c>
      <c r="J28" s="503" t="s">
        <v>75</v>
      </c>
      <c r="K28" s="566">
        <f>3.32+0.9*2.97</f>
        <v>5.993</v>
      </c>
      <c r="L28" s="505" t="e">
        <f ca="1">IF($N$3=0,0,N28/$N$3)</f>
        <v>#DIV/0!</v>
      </c>
      <c r="M28" s="509" t="e">
        <f ca="1">L28*K28</f>
        <v>#DIV/0!</v>
      </c>
      <c r="N28" s="507" t="e">
        <f ca="1">'F55'!N29</f>
        <v>#DIV/0!</v>
      </c>
      <c r="O28" s="509" t="e">
        <f ca="1">M28*N3</f>
        <v>#DIV/0!</v>
      </c>
      <c r="P28" s="475"/>
      <c r="Q28" s="475"/>
    </row>
    <row r="29" s="459" customFormat="1" ht="14.25" customHeight="1" spans="1:17">
      <c r="A29" s="502" t="s">
        <v>99</v>
      </c>
      <c r="B29" s="503" t="s">
        <v>75</v>
      </c>
      <c r="C29" s="566">
        <f ca="1">'F55'!C30*1.13</f>
        <v>0</v>
      </c>
      <c r="D29" s="505">
        <f ca="1">'F55'!D30</f>
        <v>0</v>
      </c>
      <c r="E29" s="480">
        <f ca="1">'F55'!E30*1.13</f>
        <v>0</v>
      </c>
      <c r="F29" s="507">
        <f ca="1">'F55'!F30</f>
        <v>0</v>
      </c>
      <c r="G29" s="480">
        <f ca="1">'F55'!G30*1.13</f>
        <v>0</v>
      </c>
      <c r="H29" s="510"/>
      <c r="I29" s="502" t="s">
        <v>99</v>
      </c>
      <c r="J29" s="503" t="s">
        <v>75</v>
      </c>
      <c r="K29" s="566">
        <f>'F55'!K30*1.13</f>
        <v>0</v>
      </c>
      <c r="L29" s="505">
        <f ca="1">IF($N$3=0,0,N29/$N$3)</f>
        <v>0</v>
      </c>
      <c r="M29" s="480">
        <f ca="1">'F55'!M30*1.13</f>
        <v>0</v>
      </c>
      <c r="N29" s="507">
        <f>'F55'!N30</f>
        <v>0</v>
      </c>
      <c r="O29" s="480">
        <f ca="1">'F55'!O30*1.13</f>
        <v>0</v>
      </c>
      <c r="P29" s="475"/>
      <c r="Q29" s="475"/>
    </row>
    <row r="30" s="459" customFormat="1" ht="14.25" customHeight="1" spans="1:17">
      <c r="A30" s="516" t="s">
        <v>209</v>
      </c>
      <c r="B30" s="503"/>
      <c r="C30" s="505"/>
      <c r="D30" s="497"/>
      <c r="E30" s="507">
        <f ca="1">IF(VALUE(F$3)=0,0,G30/F$3)</f>
        <v>0</v>
      </c>
      <c r="F30" s="507"/>
      <c r="G30" s="507" t="e">
        <f ca="1">'F55'!G31*1.13</f>
        <v>#DIV/0!</v>
      </c>
      <c r="H30" s="510"/>
      <c r="I30" s="516" t="s">
        <v>209</v>
      </c>
      <c r="J30" s="503"/>
      <c r="K30" s="505">
        <f ca="1">IF(N30=0,0,O30/N30)</f>
        <v>0</v>
      </c>
      <c r="L30" s="497">
        <f ca="1">IF(K30=0,0,M30/K30)</f>
        <v>0</v>
      </c>
      <c r="M30" s="507" t="e">
        <f ca="1">IF($N$3=0,,O30/$N$3)</f>
        <v>#DIV/0!</v>
      </c>
      <c r="N30" s="505"/>
      <c r="O30" s="507" t="e">
        <f ca="1">分配表!O385</f>
        <v>#DIV/0!</v>
      </c>
      <c r="P30" s="475"/>
      <c r="Q30" s="475"/>
    </row>
    <row r="31" s="459" customFormat="1" ht="14.25" customHeight="1" spans="1:17">
      <c r="A31" s="508" t="s">
        <v>104</v>
      </c>
      <c r="B31" s="490"/>
      <c r="C31" s="501"/>
      <c r="D31" s="492"/>
      <c r="E31" s="491">
        <f ca="1">IF(VALUE(F$3)=0,0,G31/F$3)</f>
        <v>0</v>
      </c>
      <c r="F31" s="491"/>
      <c r="G31" s="491" t="e">
        <f ca="1">SUM(G5,-G11,-G13,-G25)-SUM('F55'!G5,-'F55'!G11-'F55'!G13-'F55'!G26-'F55'!G31)</f>
        <v>#DIV/0!</v>
      </c>
      <c r="H31" s="510"/>
      <c r="I31" s="508" t="s">
        <v>104</v>
      </c>
      <c r="J31" s="490"/>
      <c r="K31" s="501"/>
      <c r="L31" s="492"/>
      <c r="M31" s="491" t="e">
        <f ca="1">IF(N$3=0,0,O31/N$3)</f>
        <v>#DIV/0!</v>
      </c>
      <c r="N31" s="491"/>
      <c r="O31" s="491" t="e">
        <f ca="1">SUM(O5,-O11,-O13,-O25)-SUM('F55'!O5,-'F55'!O11-'F55'!O13-'F55'!O26-'F55'!O31)</f>
        <v>#DIV/0!</v>
      </c>
      <c r="P31" s="475"/>
      <c r="Q31" s="475"/>
    </row>
    <row r="32" s="459" customFormat="1" ht="14.25" customHeight="1" spans="1:17">
      <c r="A32" s="508" t="s">
        <v>211</v>
      </c>
      <c r="B32" s="542"/>
      <c r="C32" s="542"/>
      <c r="D32" s="542"/>
      <c r="E32" s="542">
        <f ca="1">'F55'!E44</f>
        <v>0</v>
      </c>
      <c r="F32" s="542"/>
      <c r="G32" s="542" t="e">
        <f ca="1">'F55'!G44</f>
        <v>#DIV/0!</v>
      </c>
      <c r="I32" s="508" t="s">
        <v>211</v>
      </c>
      <c r="J32" s="542"/>
      <c r="K32" s="542"/>
      <c r="L32" s="542"/>
      <c r="M32" s="542" t="e">
        <f ca="1">'F55'!M44</f>
        <v>#DIV/0!</v>
      </c>
      <c r="N32" s="542"/>
      <c r="O32" s="542" t="e">
        <f ca="1">'F55'!O44</f>
        <v>#DIV/0!</v>
      </c>
      <c r="P32" s="475"/>
      <c r="Q32" s="475"/>
    </row>
    <row r="33" s="459" customFormat="1" ht="14.25" customHeight="1" spans="1:18">
      <c r="A33" s="508" t="s">
        <v>212</v>
      </c>
      <c r="B33" s="542"/>
      <c r="C33" s="542"/>
      <c r="D33" s="542"/>
      <c r="E33" s="491" t="e">
        <f ca="1">G33/F3</f>
        <v>#DIV/0!</v>
      </c>
      <c r="F33" s="491"/>
      <c r="G33" s="491" t="e">
        <f ca="1">'F55-含税'!G55</f>
        <v>#DIV/0!</v>
      </c>
      <c r="I33" s="508" t="s">
        <v>212</v>
      </c>
      <c r="J33" s="542"/>
      <c r="K33" s="542"/>
      <c r="L33" s="542"/>
      <c r="M33" s="491" t="e">
        <f ca="1">O33/N3</f>
        <v>#DIV/0!</v>
      </c>
      <c r="N33" s="491"/>
      <c r="O33" s="491" t="e">
        <f ca="1">'F55-含税'!O55</f>
        <v>#DIV/0!</v>
      </c>
      <c r="P33" s="475"/>
      <c r="Q33" s="475"/>
    </row>
    <row r="34" s="459" customFormat="1" ht="14.25" customHeight="1" spans="1:18">
      <c r="A34" s="569" t="s">
        <v>105</v>
      </c>
      <c r="B34" s="47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88"/>
      <c r="I34" s="569" t="s">
        <v>105</v>
      </c>
      <c r="J34" s="47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  <c r="P34" s="475"/>
      <c r="Q34" s="475"/>
      <c r="R34" s="510"/>
    </row>
    <row r="35" s="459" customFormat="1" ht="14.25" customHeight="1" spans="1:18">
      <c r="A35" s="513" t="s">
        <v>106</v>
      </c>
      <c r="B35" s="485"/>
      <c r="C35" s="514"/>
      <c r="D35" s="515"/>
      <c r="E35" s="487">
        <f ca="1">SUM(E36:E42)</f>
        <v>0</v>
      </c>
      <c r="F35" s="488"/>
      <c r="G35" s="487" t="e">
        <f ca="1">SUM(G36:G42)</f>
        <v>#DIV/0!</v>
      </c>
      <c r="I35" s="513" t="s">
        <v>106</v>
      </c>
      <c r="J35" s="485"/>
      <c r="K35" s="514"/>
      <c r="L35" s="515"/>
      <c r="M35" s="487" t="e">
        <f ca="1">IF(N$3=0,0,O35/N$3)</f>
        <v>#DIV/0!</v>
      </c>
      <c r="N35" s="488"/>
      <c r="O35" s="487" t="e">
        <f ca="1">SUM(O36:O42)</f>
        <v>#DIV/0!</v>
      </c>
      <c r="P35" s="475"/>
      <c r="R35" s="539"/>
    </row>
    <row r="36" s="459" customFormat="1" ht="14.25" customHeight="1" spans="1:18">
      <c r="A36" s="516" t="s">
        <v>107</v>
      </c>
      <c r="B36" s="503"/>
      <c r="C36" s="505"/>
      <c r="D36" s="497"/>
      <c r="E36" s="575">
        <f ca="1">'F55'!E37</f>
        <v>0</v>
      </c>
      <c r="F36" s="517"/>
      <c r="G36" s="575" t="e">
        <f ca="1">'F55'!G37</f>
        <v>#DIV/0!</v>
      </c>
      <c r="H36" s="483"/>
      <c r="I36" s="516" t="s">
        <v>107</v>
      </c>
      <c r="J36" s="503"/>
      <c r="K36" s="505"/>
      <c r="L36" s="497"/>
      <c r="M36" s="575" t="e">
        <f ca="1">'F55'!M37</f>
        <v>#DIV/0!</v>
      </c>
      <c r="N36" s="517"/>
      <c r="O36" s="575" t="e">
        <f ca="1">'F55'!O37</f>
        <v>#DIV/0!</v>
      </c>
      <c r="P36" s="475"/>
    </row>
    <row r="37" s="459" customFormat="1" ht="14.25" customHeight="1" spans="1:18">
      <c r="A37" s="516" t="s">
        <v>108</v>
      </c>
      <c r="B37" s="503"/>
      <c r="C37" s="505"/>
      <c r="D37" s="497"/>
      <c r="E37" s="575">
        <f ca="1">'F55'!E38</f>
        <v>0</v>
      </c>
      <c r="F37" s="517"/>
      <c r="G37" s="575" t="e">
        <f ca="1">'F55'!G38</f>
        <v>#DIV/0!</v>
      </c>
      <c r="H37" s="483"/>
      <c r="I37" s="516" t="s">
        <v>108</v>
      </c>
      <c r="J37" s="503"/>
      <c r="K37" s="505"/>
      <c r="L37" s="497"/>
      <c r="M37" s="575" t="e">
        <f ca="1">'F55'!M38</f>
        <v>#DIV/0!</v>
      </c>
      <c r="N37" s="517"/>
      <c r="O37" s="575" t="e">
        <f ca="1">'F55'!O38</f>
        <v>#DIV/0!</v>
      </c>
      <c r="P37" s="475"/>
    </row>
    <row r="38" s="459" customFormat="1" ht="14.25" customHeight="1" spans="1:18">
      <c r="A38" s="516" t="s">
        <v>109</v>
      </c>
      <c r="B38" s="503"/>
      <c r="C38" s="498"/>
      <c r="D38" s="518"/>
      <c r="E38" s="575">
        <f ca="1">'F55'!E39</f>
        <v>0</v>
      </c>
      <c r="F38" s="517"/>
      <c r="G38" s="575" t="e">
        <f ca="1">'F55'!G39</f>
        <v>#DIV/0!</v>
      </c>
      <c r="H38" s="483"/>
      <c r="I38" s="516" t="s">
        <v>109</v>
      </c>
      <c r="J38" s="503"/>
      <c r="K38" s="498"/>
      <c r="L38" s="518"/>
      <c r="M38" s="575" t="e">
        <f ca="1">'F55'!M39</f>
        <v>#DIV/0!</v>
      </c>
      <c r="N38" s="517"/>
      <c r="O38" s="575" t="e">
        <f ca="1">'F55'!O39</f>
        <v>#DIV/0!</v>
      </c>
      <c r="P38" s="475"/>
    </row>
    <row r="39" s="459" customFormat="1" ht="14.25" customHeight="1" spans="1:18">
      <c r="A39" s="516" t="s">
        <v>110</v>
      </c>
      <c r="B39" s="503"/>
      <c r="C39" s="498"/>
      <c r="D39" s="518"/>
      <c r="E39" s="575">
        <f ca="1">'F55'!E40</f>
        <v>0</v>
      </c>
      <c r="F39" s="517"/>
      <c r="G39" s="575" t="e">
        <f ca="1">'F55'!G40</f>
        <v>#DIV/0!</v>
      </c>
      <c r="H39" s="483"/>
      <c r="I39" s="516" t="s">
        <v>110</v>
      </c>
      <c r="J39" s="503"/>
      <c r="K39" s="498"/>
      <c r="L39" s="518"/>
      <c r="M39" s="575" t="e">
        <f ca="1">'F55'!M40</f>
        <v>#DIV/0!</v>
      </c>
      <c r="N39" s="517"/>
      <c r="O39" s="575" t="e">
        <f ca="1">'F55'!O40</f>
        <v>#DIV/0!</v>
      </c>
      <c r="P39" s="475"/>
    </row>
    <row r="40" s="459" customFormat="1" ht="14.25" customHeight="1" spans="1:18">
      <c r="A40" s="516" t="s">
        <v>111</v>
      </c>
      <c r="B40" s="503"/>
      <c r="C40" s="498"/>
      <c r="D40" s="518"/>
      <c r="E40" s="575">
        <f ca="1">'F55'!E41</f>
        <v>0</v>
      </c>
      <c r="F40" s="517"/>
      <c r="G40" s="575" t="e">
        <f ca="1">'F55'!G41</f>
        <v>#DIV/0!</v>
      </c>
      <c r="H40" s="483"/>
      <c r="I40" s="516" t="s">
        <v>111</v>
      </c>
      <c r="J40" s="503"/>
      <c r="K40" s="498"/>
      <c r="L40" s="518"/>
      <c r="M40" s="575" t="e">
        <f ca="1">'F55'!M41</f>
        <v>#DIV/0!</v>
      </c>
      <c r="N40" s="517"/>
      <c r="O40" s="575" t="e">
        <f ca="1">'F55'!O41</f>
        <v>#DIV/0!</v>
      </c>
      <c r="P40" s="475"/>
    </row>
    <row r="41" s="459" customFormat="1" ht="14.25" customHeight="1" spans="1:18">
      <c r="A41" s="516" t="s">
        <v>112</v>
      </c>
      <c r="B41" s="503"/>
      <c r="C41" s="498"/>
      <c r="D41" s="518"/>
      <c r="E41" s="575">
        <f ca="1">'F55'!E42</f>
        <v>0</v>
      </c>
      <c r="F41" s="517"/>
      <c r="G41" s="575" t="e">
        <f ca="1">'F55'!G42</f>
        <v>#DIV/0!</v>
      </c>
      <c r="H41" s="483"/>
      <c r="I41" s="516" t="s">
        <v>112</v>
      </c>
      <c r="J41" s="503"/>
      <c r="K41" s="498"/>
      <c r="L41" s="518"/>
      <c r="M41" s="575" t="e">
        <f ca="1">'F55'!M42</f>
        <v>#DIV/0!</v>
      </c>
      <c r="N41" s="517"/>
      <c r="O41" s="575" t="e">
        <f ca="1">'F55'!O42</f>
        <v>#DIV/0!</v>
      </c>
      <c r="P41" s="475"/>
    </row>
    <row r="42" s="459" customFormat="1" ht="14.25" hidden="1" customHeight="1" spans="1:18">
      <c r="A42" s="516" t="s">
        <v>113</v>
      </c>
      <c r="B42" s="503"/>
      <c r="C42" s="498"/>
      <c r="D42" s="518"/>
      <c r="E42" s="575"/>
      <c r="F42" s="517"/>
      <c r="G42" s="575"/>
      <c r="I42" s="516" t="s">
        <v>114</v>
      </c>
      <c r="J42" s="503"/>
      <c r="K42" s="498"/>
      <c r="L42" s="518"/>
      <c r="M42" s="575"/>
      <c r="N42" s="517"/>
      <c r="O42" s="575"/>
      <c r="P42" s="475"/>
    </row>
    <row r="43" s="459" customFormat="1" ht="14.25" hidden="1" customHeight="1" spans="1:18">
      <c r="A43" s="516" t="s">
        <v>116</v>
      </c>
      <c r="B43" s="503"/>
      <c r="C43" s="498"/>
      <c r="D43" s="518"/>
      <c r="E43" s="576"/>
      <c r="F43" s="517"/>
      <c r="G43" s="575"/>
      <c r="I43" s="516" t="s">
        <v>116</v>
      </c>
      <c r="J43" s="503"/>
      <c r="K43" s="498"/>
      <c r="L43" s="518"/>
      <c r="M43" s="576"/>
      <c r="N43" s="517"/>
      <c r="O43" s="576"/>
      <c r="P43" s="475"/>
    </row>
    <row r="44" s="459" customFormat="1" ht="14.25" hidden="1" customHeight="1" spans="1:18">
      <c r="A44" s="516" t="s">
        <v>117</v>
      </c>
      <c r="B44" s="503"/>
      <c r="C44" s="498"/>
      <c r="D44" s="518"/>
      <c r="E44" s="576">
        <f ca="1">'F55'!E46</f>
        <v>0</v>
      </c>
      <c r="F44" s="517"/>
      <c r="G44" s="575" t="e">
        <f ca="1">'F55'!G46</f>
        <v>#DIV/0!</v>
      </c>
      <c r="I44" s="516" t="s">
        <v>117</v>
      </c>
      <c r="J44" s="503"/>
      <c r="K44" s="498"/>
      <c r="L44" s="518"/>
      <c r="M44" s="576" t="e">
        <f ca="1">'F55'!M46</f>
        <v>#DIV/0!</v>
      </c>
      <c r="N44" s="517"/>
      <c r="O44" s="576" t="e">
        <f ca="1">'F55'!O46</f>
        <v>#DIV/0!</v>
      </c>
      <c r="P44" s="475"/>
    </row>
    <row r="45" s="459" customFormat="1" ht="14.25" hidden="1" customHeight="1" spans="1:18">
      <c r="A45" s="516" t="s">
        <v>118</v>
      </c>
      <c r="B45" s="503"/>
      <c r="C45" s="498"/>
      <c r="D45" s="518"/>
      <c r="E45" s="576">
        <f ca="1">'F55'!E47</f>
        <v>0</v>
      </c>
      <c r="F45" s="517"/>
      <c r="G45" s="575" t="e">
        <f ca="1">'F55'!G47</f>
        <v>#DIV/0!</v>
      </c>
      <c r="I45" s="516" t="s">
        <v>118</v>
      </c>
      <c r="J45" s="503"/>
      <c r="K45" s="498"/>
      <c r="L45" s="518"/>
      <c r="M45" s="576" t="e">
        <f ca="1">'F55'!M47</f>
        <v>#DIV/0!</v>
      </c>
      <c r="N45" s="517"/>
      <c r="O45" s="576" t="e">
        <f ca="1">'F55'!O47</f>
        <v>#DIV/0!</v>
      </c>
      <c r="P45" s="475"/>
    </row>
    <row r="46" s="459" customFormat="1" ht="14.25" hidden="1" customHeight="1" spans="1:18">
      <c r="A46" s="516" t="s">
        <v>119</v>
      </c>
      <c r="B46" s="503"/>
      <c r="C46" s="498"/>
      <c r="D46" s="518"/>
      <c r="E46" s="576">
        <f ca="1">'F55'!E48</f>
        <v>0</v>
      </c>
      <c r="F46" s="517"/>
      <c r="G46" s="575" t="e">
        <f ca="1">'F55'!G48</f>
        <v>#DIV/0!</v>
      </c>
      <c r="I46" s="516" t="s">
        <v>119</v>
      </c>
      <c r="J46" s="503"/>
      <c r="K46" s="498"/>
      <c r="L46" s="518"/>
      <c r="M46" s="576" t="e">
        <f ca="1">'F55'!M48</f>
        <v>#DIV/0!</v>
      </c>
      <c r="N46" s="517"/>
      <c r="O46" s="576" t="e">
        <f ca="1">'F55'!O48</f>
        <v>#DIV/0!</v>
      </c>
      <c r="P46" s="475"/>
    </row>
    <row r="47" s="459" customFormat="1" ht="14.25" hidden="1" customHeight="1" spans="1:18">
      <c r="A47" s="516" t="s">
        <v>120</v>
      </c>
      <c r="B47" s="503"/>
      <c r="C47" s="498"/>
      <c r="D47" s="518"/>
      <c r="E47" s="576">
        <f ca="1">'F55'!E49</f>
        <v>0</v>
      </c>
      <c r="F47" s="517"/>
      <c r="G47" s="575" t="e">
        <f ca="1">'F55'!G49</f>
        <v>#DIV/0!</v>
      </c>
      <c r="I47" s="516" t="s">
        <v>120</v>
      </c>
      <c r="J47" s="503"/>
      <c r="K47" s="498"/>
      <c r="L47" s="518"/>
      <c r="M47" s="576" t="e">
        <f ca="1">'F55'!M49</f>
        <v>#DIV/0!</v>
      </c>
      <c r="N47" s="517"/>
      <c r="O47" s="576" t="e">
        <f ca="1">'F55'!O49</f>
        <v>#DIV/0!</v>
      </c>
      <c r="P47" s="475"/>
    </row>
    <row r="48" s="459" customFormat="1" ht="14.25" hidden="1" customHeight="1" spans="1:18">
      <c r="A48" s="516" t="s">
        <v>121</v>
      </c>
      <c r="B48" s="503"/>
      <c r="C48" s="498"/>
      <c r="D48" s="518"/>
      <c r="E48" s="576">
        <f ca="1">'F55'!E50</f>
        <v>0</v>
      </c>
      <c r="F48" s="517"/>
      <c r="G48" s="575" t="e">
        <f ca="1">'F55'!G50</f>
        <v>#DIV/0!</v>
      </c>
      <c r="I48" s="516" t="s">
        <v>121</v>
      </c>
      <c r="J48" s="503"/>
      <c r="K48" s="498"/>
      <c r="L48" s="518"/>
      <c r="M48" s="576" t="e">
        <f ca="1">'F55'!M50</f>
        <v>#DIV/0!</v>
      </c>
      <c r="N48" s="517"/>
      <c r="O48" s="576" t="e">
        <f ca="1">'F55'!O50</f>
        <v>#DIV/0!</v>
      </c>
      <c r="P48" s="475"/>
    </row>
    <row r="49" s="459" customFormat="1" ht="14.25" customHeight="1" spans="1:16">
      <c r="A49" s="577" t="s">
        <v>122</v>
      </c>
      <c r="B49" s="485" t="s">
        <v>123</v>
      </c>
      <c r="C49" s="514"/>
      <c r="D49" s="515"/>
      <c r="E49" s="578" t="e">
        <f ca="1">E35+E10</f>
        <v>#DIV/0!</v>
      </c>
      <c r="F49" s="579"/>
      <c r="G49" s="578" t="e">
        <f ca="1">G35+G10</f>
        <v>#DIV/0!</v>
      </c>
      <c r="H49" s="483"/>
      <c r="I49" s="577" t="s">
        <v>122</v>
      </c>
      <c r="J49" s="485" t="s">
        <v>123</v>
      </c>
      <c r="K49" s="514"/>
      <c r="L49" s="515"/>
      <c r="M49" s="578" t="e">
        <f ca="1">M35+M10</f>
        <v>#DIV/0!</v>
      </c>
      <c r="N49" s="579"/>
      <c r="O49" s="578" t="e">
        <f ca="1">O35+O10</f>
        <v>#DIV/0!</v>
      </c>
      <c r="P49" s="475"/>
    </row>
    <row r="50" s="460" customFormat="1" ht="14.25" customHeight="1" spans="1:16">
      <c r="A50" s="580" t="s">
        <v>124</v>
      </c>
      <c r="B50" s="48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48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  <c r="P50" s="475"/>
    </row>
    <row r="51" s="459" customFormat="1" ht="14.25" customHeight="1" spans="1:16">
      <c r="A51" s="580" t="s">
        <v>125</v>
      </c>
      <c r="B51" s="48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48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  <c r="P51" s="475"/>
    </row>
    <row r="52" s="540" customFormat="1" ht="14.25" customHeight="1" spans="1:16">
      <c r="A52" s="529" t="s">
        <v>126</v>
      </c>
      <c r="B52" s="530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535"/>
      <c r="I52" s="536" t="s">
        <v>126</v>
      </c>
      <c r="J52" s="537" t="s">
        <v>123</v>
      </c>
      <c r="K52" s="533"/>
      <c r="L52" s="533"/>
      <c r="M52" s="533" t="e">
        <f ca="1">M10-M11+M35</f>
        <v>#DIV/0!</v>
      </c>
      <c r="N52" s="533"/>
      <c r="O52" s="534" t="e">
        <f ca="1">O10-O11+O35</f>
        <v>#DIV/0!</v>
      </c>
      <c r="P52" s="475"/>
    </row>
    <row r="53" s="459" customFormat="1" customHeight="1" spans="1:16">
      <c r="B53" s="538"/>
      <c r="E53" s="539"/>
    </row>
    <row r="54" s="459" customFormat="1" customHeight="1" spans="1:16">
      <c r="B54" s="538"/>
      <c r="E54" s="589"/>
      <c r="G54" s="511"/>
    </row>
    <row r="58" s="459" customFormat="1" customHeight="1" spans="1:16">
      <c r="A58" s="582"/>
      <c r="B58" s="538"/>
      <c r="E58" s="590"/>
      <c r="F58" s="539"/>
      <c r="G58" s="539"/>
      <c r="M58" s="539"/>
      <c r="N58" s="539"/>
      <c r="O58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961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>
    <tabColor theme="7" tint="0.399975585192419"/>
  </sheetPr>
  <dimension ref="A1:T5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" style="462" customWidth="1"/>
    <col min="6" max="6" width="9" style="40" customWidth="1"/>
    <col min="7" max="7" width="9.75" style="40" customWidth="1"/>
    <col min="8" max="8" width="8.875" style="40" customWidth="1"/>
    <col min="9" max="9" width="28" style="40" customWidth="1"/>
    <col min="10" max="10" width="3.625" style="40" customWidth="1"/>
    <col min="11" max="11" width="8.875" style="40" customWidth="1"/>
    <col min="12" max="13" width="8.5" style="40" customWidth="1"/>
    <col min="14" max="14" width="9" style="40" customWidth="1"/>
    <col min="15" max="15" width="11.375" style="40" customWidth="1"/>
    <col min="16" max="16" width="10.5" style="40" customWidth="1"/>
    <col min="17" max="17" width="9.75" style="40" customWidth="1"/>
    <col min="18" max="18" width="13" style="40" customWidth="1"/>
    <col min="19" max="16384" width="9" style="40"/>
  </cols>
  <sheetData>
    <row r="1" s="458" customFormat="1" ht="42.75" customHeight="1" spans="1:18">
      <c r="A1" s="97" t="str">
        <f>CONCATENATE("果葡糖浆F60综合成本利润表_含税(2025年"&amp;mth&amp;"月)")</f>
        <v>果葡糖浆F60综合成本利润表_含税(2025年8月)</v>
      </c>
      <c r="B1" s="98"/>
      <c r="C1" s="98"/>
      <c r="D1" s="98"/>
      <c r="E1" s="98"/>
      <c r="F1" s="98"/>
      <c r="G1" s="98"/>
      <c r="I1" s="463" t="str">
        <f>CONCATENATE("果葡糖浆F60综合成本利润表_含税(2025年1-"&amp;mth&amp;"月)")</f>
        <v>果葡糖浆F60综合成本利润表_含税(2025年1-8月)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'F60-含税'!F3</f>
        <v>0</v>
      </c>
      <c r="G3" s="39" t="s">
        <v>75</v>
      </c>
      <c r="M3" s="378" t="s">
        <v>134</v>
      </c>
      <c r="N3" s="466">
        <f ca="1">'F60-含税'!N3</f>
        <v>6845.043</v>
      </c>
      <c r="O3" s="39" t="s">
        <v>75</v>
      </c>
    </row>
    <row r="4" s="459" customFormat="1" ht="14.25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8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62"/>
      <c r="I5" s="470" t="s">
        <v>83</v>
      </c>
      <c r="J5" s="471"/>
      <c r="K5" s="472"/>
      <c r="L5" s="472"/>
      <c r="M5" s="474">
        <f ca="1">M6-M7</f>
        <v>3547.55579246113</v>
      </c>
      <c r="N5" s="472"/>
      <c r="O5" s="474">
        <f ca="1">O6-O7</f>
        <v>24283171.9442955</v>
      </c>
      <c r="P5" s="562"/>
    </row>
    <row r="6" s="459" customFormat="1" ht="14.25" customHeight="1" spans="1:18">
      <c r="A6" s="476" t="s">
        <v>84</v>
      </c>
      <c r="B6" s="477"/>
      <c r="C6" s="478"/>
      <c r="D6" s="479"/>
      <c r="E6" s="480">
        <f ca="1">OFFSET(销售收入及运费!C90,0,mth-1,1,1)</f>
        <v>0</v>
      </c>
      <c r="F6" s="479"/>
      <c r="G6" s="480">
        <f ca="1">E6*F3</f>
        <v>0</v>
      </c>
      <c r="H6" s="562"/>
      <c r="I6" s="481" t="s">
        <v>84</v>
      </c>
      <c r="J6" s="477"/>
      <c r="K6" s="478"/>
      <c r="L6" s="479"/>
      <c r="M6" s="480">
        <f ca="1">销售收入及运费!O90</f>
        <v>4353.55595474704</v>
      </c>
      <c r="N6" s="482"/>
      <c r="O6" s="507">
        <f ca="1">M6*$N$3</f>
        <v>29800277.7131495</v>
      </c>
      <c r="P6" s="562"/>
      <c r="Q6" s="511"/>
      <c r="R6" s="511"/>
    </row>
    <row r="7" s="459" customFormat="1" ht="14.25" customHeight="1" spans="1:18">
      <c r="A7" s="476" t="s">
        <v>85</v>
      </c>
      <c r="B7" s="477"/>
      <c r="C7" s="479"/>
      <c r="D7" s="479"/>
      <c r="E7" s="480">
        <f ca="1">OFFSET(销售收入及运费!C188,0,mth-1,1,1)</f>
        <v>0</v>
      </c>
      <c r="F7" s="480"/>
      <c r="G7" s="480">
        <f ca="1">'F60-含税'!G7</f>
        <v>0</v>
      </c>
      <c r="H7" s="562"/>
      <c r="I7" s="476" t="s">
        <v>85</v>
      </c>
      <c r="J7" s="477"/>
      <c r="K7" s="479"/>
      <c r="L7" s="479"/>
      <c r="M7" s="480">
        <f ca="1">销售收入及运费!O188</f>
        <v>806.000162285911</v>
      </c>
      <c r="N7" s="482"/>
      <c r="O7" s="507">
        <f ca="1">M7*$N$3</f>
        <v>5517105.76885404</v>
      </c>
      <c r="P7" s="562"/>
      <c r="Q7" s="511"/>
      <c r="R7" s="511"/>
    </row>
    <row r="8" s="459" customFormat="1" ht="14.25" customHeight="1" spans="1:18">
      <c r="A8" s="476" t="s">
        <v>86</v>
      </c>
      <c r="B8" s="477"/>
      <c r="C8" s="479"/>
      <c r="D8" s="479"/>
      <c r="E8" s="480" t="e">
        <f ca="1">'F60-含税'!E8</f>
        <v>#DIV/0!</v>
      </c>
      <c r="F8" s="480"/>
      <c r="G8" s="480" t="e">
        <f ca="1">'F60-含税'!G8</f>
        <v>#DIV/0!</v>
      </c>
      <c r="H8" s="562"/>
      <c r="I8" s="476" t="s">
        <v>86</v>
      </c>
      <c r="J8" s="477"/>
      <c r="K8" s="479"/>
      <c r="L8" s="479"/>
      <c r="M8" s="480">
        <f ca="1">'F60-含税'!M8</f>
        <v>230.25543448151</v>
      </c>
      <c r="N8" s="482"/>
      <c r="O8" s="480">
        <f ca="1">'F60-含税'!O8</f>
        <v>1576108.35000962</v>
      </c>
      <c r="P8" s="562"/>
      <c r="Q8" s="511"/>
      <c r="R8" s="511"/>
    </row>
    <row r="9" s="459" customFormat="1" ht="14.25" customHeight="1" spans="1:18">
      <c r="A9" s="476" t="s">
        <v>87</v>
      </c>
      <c r="B9" s="477"/>
      <c r="C9" s="479"/>
      <c r="D9" s="479"/>
      <c r="E9" s="480" t="e">
        <f ca="1">'F60-含税'!E9</f>
        <v>#DIV/0!</v>
      </c>
      <c r="F9" s="480"/>
      <c r="G9" s="480" t="e">
        <f ca="1">'F60-含税'!G9</f>
        <v>#DIV/0!</v>
      </c>
      <c r="H9" s="562"/>
      <c r="I9" s="476" t="s">
        <v>87</v>
      </c>
      <c r="J9" s="477"/>
      <c r="K9" s="479"/>
      <c r="L9" s="479"/>
      <c r="M9" s="480">
        <f ca="1">'F60-含税'!M9</f>
        <v>575.744727804401</v>
      </c>
      <c r="N9" s="482"/>
      <c r="O9" s="480">
        <f ca="1">'F60-含税'!O9</f>
        <v>3940997.41884442</v>
      </c>
      <c r="P9" s="562"/>
      <c r="Q9" s="511"/>
      <c r="R9" s="511"/>
    </row>
    <row r="10" s="459" customFormat="1" ht="14.25" customHeight="1" spans="1:18">
      <c r="A10" s="484" t="s">
        <v>88</v>
      </c>
      <c r="B10" s="485"/>
      <c r="C10" s="486"/>
      <c r="D10" s="486"/>
      <c r="E10" s="487" t="e">
        <f ca="1">E11+E13+E25+E31+E32+E33</f>
        <v>#DIV/0!</v>
      </c>
      <c r="F10" s="488"/>
      <c r="G10" s="487" t="e">
        <f ca="1">G11+G13+G25+G31+G33+G32</f>
        <v>#DIV/0!</v>
      </c>
      <c r="H10" s="562"/>
      <c r="I10" s="484" t="s">
        <v>88</v>
      </c>
      <c r="J10" s="485"/>
      <c r="K10" s="486"/>
      <c r="L10" s="486"/>
      <c r="M10" s="487" t="e">
        <f ca="1">M11+M13+M25+M31+M32+M33</f>
        <v>#DIV/0!</v>
      </c>
      <c r="N10" s="488"/>
      <c r="O10" s="487" t="e">
        <f ca="1">O11+O13+O25+O31+O33+O32</f>
        <v>#DIV/0!</v>
      </c>
      <c r="P10" s="562"/>
      <c r="Q10" s="511"/>
      <c r="R10" s="511"/>
    </row>
    <row r="11" s="459" customFormat="1" ht="14.25" customHeight="1" spans="1:18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62"/>
      <c r="I11" s="489" t="s">
        <v>89</v>
      </c>
      <c r="J11" s="490" t="s">
        <v>75</v>
      </c>
      <c r="K11" s="491">
        <f ca="1">IF(N11=0,0,O11/N11)</f>
        <v>2827.75572167122</v>
      </c>
      <c r="L11" s="492">
        <f ca="1">IF(K11=0,0,M11/K11)</f>
        <v>0.825296891976701</v>
      </c>
      <c r="M11" s="491">
        <f ca="1">M12</f>
        <v>2333.73800836459</v>
      </c>
      <c r="N11" s="491">
        <f ca="1">N12</f>
        <v>5649.19271334687</v>
      </c>
      <c r="O11" s="491">
        <f ca="1">O12</f>
        <v>15974537.01799</v>
      </c>
      <c r="P11" s="562"/>
      <c r="Q11" s="511"/>
    </row>
    <row r="12" s="459" customFormat="1" ht="14.25" customHeight="1" spans="1:18">
      <c r="A12" s="502" t="s">
        <v>90</v>
      </c>
      <c r="B12" s="503" t="s">
        <v>75</v>
      </c>
      <c r="C12" s="507">
        <f ca="1">'F60'!C12*1.13</f>
        <v>0</v>
      </c>
      <c r="D12" s="497">
        <f ca="1">'F60-含税'!D12</f>
        <v>0</v>
      </c>
      <c r="E12" s="480">
        <f ca="1">'F60'!E12*1.13</f>
        <v>0</v>
      </c>
      <c r="F12" s="507">
        <f ca="1">'F60-含税'!F12</f>
        <v>0</v>
      </c>
      <c r="G12" s="480">
        <f ca="1">'F60-含税'!G12</f>
        <v>0</v>
      </c>
      <c r="H12" s="562"/>
      <c r="I12" s="502" t="s">
        <v>90</v>
      </c>
      <c r="J12" s="503" t="s">
        <v>75</v>
      </c>
      <c r="K12" s="507">
        <f ca="1">分配表!O74</f>
        <v>2827.75572167122</v>
      </c>
      <c r="L12" s="497">
        <f ca="1">'F60-含税'!L12</f>
        <v>0.825296891976701</v>
      </c>
      <c r="M12" s="480">
        <f ca="1">K12*L12</f>
        <v>2333.73800836459</v>
      </c>
      <c r="N12" s="507">
        <f ca="1">L12*N3</f>
        <v>5649.19271334687</v>
      </c>
      <c r="O12" s="480">
        <f ca="1">K12*N12</f>
        <v>15974537.01799</v>
      </c>
      <c r="P12" s="562"/>
      <c r="Q12" s="511"/>
      <c r="R12" s="583"/>
    </row>
    <row r="13" s="459" customFormat="1" ht="14.25" customHeight="1" spans="1:18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62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62"/>
      <c r="Q13" s="511"/>
      <c r="R13" s="475"/>
    </row>
    <row r="14" s="459" customFormat="1" ht="14.25" customHeight="1" spans="1:18">
      <c r="A14" s="502" t="s">
        <v>136</v>
      </c>
      <c r="B14" s="503" t="s">
        <v>167</v>
      </c>
      <c r="C14" s="505">
        <f ca="1">'F60-含税'!C14</f>
        <v>0</v>
      </c>
      <c r="D14" s="505">
        <f ca="1">'F60-含税'!D14</f>
        <v>0</v>
      </c>
      <c r="E14" s="505">
        <f ca="1">'F60-含税'!E14</f>
        <v>0</v>
      </c>
      <c r="F14" s="507">
        <f ca="1">'F60-含税'!F14</f>
        <v>0</v>
      </c>
      <c r="G14" s="505">
        <f ca="1">'F60-含税'!G14</f>
        <v>0</v>
      </c>
      <c r="H14" s="562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'F60-含税'!L14</f>
        <v>4.44857395344339</v>
      </c>
      <c r="M14" s="505">
        <f ca="1">'F60-含税'!M14</f>
        <v>5.19596677036416</v>
      </c>
      <c r="N14" s="507">
        <f ca="1">'F60-含税'!N14</f>
        <v>30450.68</v>
      </c>
      <c r="O14" s="507">
        <f ca="1">'F60-含税'!O14</f>
        <v>35566.6159697138</v>
      </c>
      <c r="P14" s="562"/>
      <c r="Q14" s="511"/>
      <c r="R14" s="475"/>
    </row>
    <row r="15" s="459" customFormat="1" ht="14.25" customHeight="1" spans="1:18">
      <c r="A15" s="502" t="s">
        <v>137</v>
      </c>
      <c r="B15" s="503" t="s">
        <v>167</v>
      </c>
      <c r="C15" s="505">
        <f ca="1">'F60-含税'!C15</f>
        <v>0</v>
      </c>
      <c r="D15" s="505">
        <f ca="1">'F60-含税'!D15</f>
        <v>0</v>
      </c>
      <c r="E15" s="505">
        <f ca="1">'F60-含税'!E15</f>
        <v>0</v>
      </c>
      <c r="F15" s="507">
        <f ca="1">'F60-含税'!F15</f>
        <v>0</v>
      </c>
      <c r="G15" s="505">
        <f ca="1">'F60-含税'!G15</f>
        <v>0</v>
      </c>
      <c r="H15" s="562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'F60-含税'!L15</f>
        <v>4.9385811016819</v>
      </c>
      <c r="M15" s="505">
        <f ca="1">'F60-含税'!M15</f>
        <v>17.6642828401227</v>
      </c>
      <c r="N15" s="507">
        <f ca="1">'F60-含税'!N15</f>
        <v>33804.8</v>
      </c>
      <c r="O15" s="507">
        <f ca="1">'F60-含税'!O15</f>
        <v>120912.775604802</v>
      </c>
      <c r="P15" s="562"/>
      <c r="Q15" s="511"/>
      <c r="R15" s="475"/>
    </row>
    <row r="16" s="459" customFormat="1" ht="14.25" customHeight="1" spans="1:18">
      <c r="A16" s="502" t="s">
        <v>138</v>
      </c>
      <c r="B16" s="503" t="s">
        <v>167</v>
      </c>
      <c r="C16" s="505">
        <f ca="1">'F60-含税'!C16</f>
        <v>0</v>
      </c>
      <c r="D16" s="505">
        <f ca="1">'F60-含税'!D16</f>
        <v>0</v>
      </c>
      <c r="E16" s="505">
        <f ca="1">'F60-含税'!E16</f>
        <v>0</v>
      </c>
      <c r="F16" s="507">
        <f ca="1">'F60-含税'!F16</f>
        <v>0</v>
      </c>
      <c r="G16" s="505">
        <f ca="1">'F60-含税'!G16</f>
        <v>0</v>
      </c>
      <c r="H16" s="562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'F60-含税'!L16</f>
        <v>0.747840444537748</v>
      </c>
      <c r="M16" s="505">
        <f ca="1">'F60-含税'!M16</f>
        <v>2.20127069730981</v>
      </c>
      <c r="N16" s="507">
        <f ca="1">'F60-含税'!N16</f>
        <v>5119</v>
      </c>
      <c r="O16" s="507">
        <f ca="1">'F60-含税'!O16</f>
        <v>15067.7925777256</v>
      </c>
      <c r="P16" s="562"/>
      <c r="Q16" s="511"/>
      <c r="R16" s="475"/>
    </row>
    <row r="17" s="459" customFormat="1" ht="14.25" customHeight="1" spans="1:18">
      <c r="A17" s="502" t="s">
        <v>139</v>
      </c>
      <c r="B17" s="503" t="s">
        <v>167</v>
      </c>
      <c r="C17" s="505">
        <f ca="1">'F60-含税'!C17</f>
        <v>0</v>
      </c>
      <c r="D17" s="505">
        <f ca="1">'F60-含税'!D17</f>
        <v>0</v>
      </c>
      <c r="E17" s="505">
        <f ca="1">'F60-含税'!E17</f>
        <v>0</v>
      </c>
      <c r="F17" s="507">
        <f ca="1">'F60-含税'!F17</f>
        <v>0</v>
      </c>
      <c r="G17" s="505">
        <f ca="1">'F60-含税'!G17</f>
        <v>0</v>
      </c>
      <c r="H17" s="562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'F60-含税'!L17</f>
        <v>1.55280251709157</v>
      </c>
      <c r="M17" s="505">
        <f ca="1">'F60-含税'!M17</f>
        <v>12.4225174425506</v>
      </c>
      <c r="N17" s="507">
        <f ca="1">'F60-含税'!N17</f>
        <v>10629</v>
      </c>
      <c r="O17" s="507">
        <f ca="1">'F60-含税'!O17</f>
        <v>85032.6660625087</v>
      </c>
      <c r="P17" s="562"/>
      <c r="Q17" s="511"/>
      <c r="R17" s="475"/>
    </row>
    <row r="18" s="459" customFormat="1" ht="14.25" customHeight="1" spans="1:18">
      <c r="A18" s="502" t="s">
        <v>207</v>
      </c>
      <c r="B18" s="503" t="s">
        <v>167</v>
      </c>
      <c r="C18" s="505">
        <f ca="1">'F60-含税'!C18</f>
        <v>0</v>
      </c>
      <c r="D18" s="505">
        <f ca="1">'F60-含税'!D18</f>
        <v>0</v>
      </c>
      <c r="E18" s="505">
        <f ca="1">'F60-含税'!E18</f>
        <v>0</v>
      </c>
      <c r="F18" s="507">
        <f ca="1">'F60-含税'!F18</f>
        <v>0</v>
      </c>
      <c r="G18" s="505">
        <f ca="1">'F60-含税'!G18</f>
        <v>0</v>
      </c>
      <c r="H18" s="562"/>
      <c r="I18" s="502" t="s">
        <v>207</v>
      </c>
      <c r="J18" s="503" t="s">
        <v>167</v>
      </c>
      <c r="K18" s="505">
        <f ca="1">分配表!O196</f>
        <v>54.0155926492147</v>
      </c>
      <c r="L18" s="505">
        <f ca="1">'F60-含税'!L18</f>
        <v>0.0806422983756274</v>
      </c>
      <c r="M18" s="505">
        <f ca="1">'F60-含税'!M18</f>
        <v>4.35594153935432</v>
      </c>
      <c r="N18" s="507">
        <f ca="1">'F60-含税'!N18</f>
        <v>552</v>
      </c>
      <c r="O18" s="507">
        <f ca="1">'F60-含税'!O18</f>
        <v>29816.6071423665</v>
      </c>
      <c r="P18" s="562"/>
      <c r="Q18" s="511"/>
      <c r="R18" s="475"/>
    </row>
    <row r="19" s="459" customFormat="1" ht="14.25" customHeight="1" spans="1:18">
      <c r="A19" s="502" t="s">
        <v>141</v>
      </c>
      <c r="B19" s="503" t="s">
        <v>167</v>
      </c>
      <c r="C19" s="505">
        <f ca="1">'F60-含税'!C19</f>
        <v>0</v>
      </c>
      <c r="D19" s="505">
        <f ca="1">'F60-含税'!D19</f>
        <v>0</v>
      </c>
      <c r="E19" s="505">
        <f ca="1">'F60-含税'!E19</f>
        <v>0</v>
      </c>
      <c r="F19" s="507">
        <f ca="1">'F60-含税'!F19</f>
        <v>0</v>
      </c>
      <c r="G19" s="505">
        <f ca="1">'F60-含税'!G19</f>
        <v>0</v>
      </c>
      <c r="H19" s="562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'F60-含税'!L19</f>
        <v>0.156609680903392</v>
      </c>
      <c r="M19" s="505">
        <f ca="1">'F60-含税'!M19</f>
        <v>5.69794525373045</v>
      </c>
      <c r="N19" s="507">
        <f ca="1">'F60-含税'!N19</f>
        <v>1072</v>
      </c>
      <c r="O19" s="507">
        <f ca="1">'F60-含税'!O19</f>
        <v>39002.6802734308</v>
      </c>
      <c r="P19" s="562"/>
      <c r="Q19" s="511"/>
      <c r="R19" s="475"/>
    </row>
    <row r="20" s="459" customFormat="1" ht="14.25" customHeight="1" spans="1:18">
      <c r="A20" s="502" t="s">
        <v>142</v>
      </c>
      <c r="B20" s="503" t="s">
        <v>167</v>
      </c>
      <c r="C20" s="505">
        <f ca="1">'F60-含税'!C20</f>
        <v>0</v>
      </c>
      <c r="D20" s="505">
        <f ca="1">'F60-含税'!D20</f>
        <v>0</v>
      </c>
      <c r="E20" s="505">
        <f ca="1">'F60-含税'!E20</f>
        <v>0</v>
      </c>
      <c r="F20" s="507">
        <f ca="1">'F60-含税'!F20</f>
        <v>0</v>
      </c>
      <c r="G20" s="505">
        <f ca="1">'F60-含税'!G20</f>
        <v>0</v>
      </c>
      <c r="H20" s="562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'F60-含税'!L20</f>
        <v>0.0954997653046153</v>
      </c>
      <c r="M20" s="505">
        <f ca="1">'F60-含税'!M20</f>
        <v>23.5876811488534</v>
      </c>
      <c r="N20" s="507">
        <f ca="1">'F60-含税'!N20</f>
        <v>653.7</v>
      </c>
      <c r="O20" s="507">
        <f ca="1">'F60-含税'!O20</f>
        <v>161458.691734191</v>
      </c>
      <c r="P20" s="562"/>
      <c r="Q20" s="511"/>
      <c r="R20" s="475"/>
    </row>
    <row r="21" s="459" customFormat="1" ht="14.25" customHeight="1" spans="1:18">
      <c r="A21" s="502" t="s">
        <v>143</v>
      </c>
      <c r="B21" s="503" t="s">
        <v>167</v>
      </c>
      <c r="C21" s="505">
        <f ca="1">'F60-含税'!C21</f>
        <v>0</v>
      </c>
      <c r="D21" s="505">
        <f ca="1">'F60-含税'!D21</f>
        <v>0</v>
      </c>
      <c r="E21" s="505">
        <f ca="1">'F60-含税'!E21</f>
        <v>0</v>
      </c>
      <c r="F21" s="507">
        <f ca="1">'F60-含税'!F21</f>
        <v>0</v>
      </c>
      <c r="G21" s="505">
        <f ca="1">'F60-含税'!G21</f>
        <v>0</v>
      </c>
      <c r="H21" s="562"/>
      <c r="I21" s="502" t="s">
        <v>143</v>
      </c>
      <c r="J21" s="503" t="s">
        <v>167</v>
      </c>
      <c r="K21" s="505">
        <f ca="1">分配表!O199</f>
        <v>1.1068060104712</v>
      </c>
      <c r="L21" s="505">
        <f ca="1">'F60-含税'!L21</f>
        <v>0.483415516893028</v>
      </c>
      <c r="M21" s="505">
        <f ca="1">'F60-含税'!M21</f>
        <v>0.535047199652247</v>
      </c>
      <c r="N21" s="507">
        <f ca="1">'F60-含税'!N21</f>
        <v>3309</v>
      </c>
      <c r="O21" s="507">
        <f ca="1">'F60-含税'!O21</f>
        <v>3662.42108864921</v>
      </c>
      <c r="P21" s="562"/>
      <c r="Q21" s="511"/>
      <c r="R21" s="475"/>
    </row>
    <row r="22" s="459" customFormat="1" ht="14.25" customHeight="1" spans="1:18">
      <c r="A22" s="502" t="s">
        <v>144</v>
      </c>
      <c r="B22" s="503" t="s">
        <v>167</v>
      </c>
      <c r="C22" s="505">
        <f ca="1">'F60-含税'!C22</f>
        <v>0</v>
      </c>
      <c r="D22" s="505">
        <f ca="1">'F60-含税'!D22</f>
        <v>0</v>
      </c>
      <c r="E22" s="505">
        <f ca="1">'F60-含税'!E22</f>
        <v>0</v>
      </c>
      <c r="F22" s="507">
        <f ca="1">'F60-含税'!F22</f>
        <v>0</v>
      </c>
      <c r="G22" s="505">
        <f ca="1">'F60-含税'!G22</f>
        <v>0</v>
      </c>
      <c r="H22" s="562"/>
      <c r="I22" s="502" t="s">
        <v>144</v>
      </c>
      <c r="J22" s="503" t="s">
        <v>167</v>
      </c>
      <c r="K22" s="505">
        <f ca="1">分配表!O200</f>
        <v>2.09737053412463</v>
      </c>
      <c r="L22" s="505">
        <f ca="1">'F60-含税'!L22</f>
        <v>0.284293319998136</v>
      </c>
      <c r="M22" s="505">
        <f ca="1">'F60-含税'!M22</f>
        <v>0.596268432412554</v>
      </c>
      <c r="N22" s="507">
        <f ca="1">'F60-含税'!N22</f>
        <v>1946</v>
      </c>
      <c r="O22" s="507">
        <f ca="1">'F60-含税'!O22</f>
        <v>4081.48305940653</v>
      </c>
      <c r="P22" s="562"/>
      <c r="Q22" s="511"/>
      <c r="R22" s="475"/>
    </row>
    <row r="23" s="459" customFormat="1" ht="14.25" customHeight="1" spans="1:18">
      <c r="A23" s="502" t="s">
        <v>146</v>
      </c>
      <c r="B23" s="503" t="s">
        <v>167</v>
      </c>
      <c r="C23" s="505">
        <f>'F60-含税'!C23</f>
        <v>0</v>
      </c>
      <c r="D23" s="505">
        <f>'F60-含税'!D23</f>
        <v>0</v>
      </c>
      <c r="E23" s="505">
        <f ca="1">'F60-含税'!E23</f>
        <v>0</v>
      </c>
      <c r="F23" s="507">
        <f ca="1">'F60-含税'!F23</f>
        <v>0</v>
      </c>
      <c r="G23" s="505" t="e">
        <f ca="1">'F60-含税'!G23</f>
        <v>#DIV/0!</v>
      </c>
      <c r="H23" s="562"/>
      <c r="I23" s="502" t="s">
        <v>146</v>
      </c>
      <c r="J23" s="503" t="s">
        <v>167</v>
      </c>
      <c r="K23" s="505">
        <f>分配表!O201</f>
        <v>0</v>
      </c>
      <c r="L23" s="505">
        <f>'F60-含税'!L23</f>
        <v>0</v>
      </c>
      <c r="M23" s="505" t="e">
        <f ca="1">'F60-含税'!M23</f>
        <v>#DIV/0!</v>
      </c>
      <c r="N23" s="507">
        <f ca="1">'F60-含税'!N23</f>
        <v>0</v>
      </c>
      <c r="O23" s="507" t="e">
        <f ca="1">'F60-含税'!O23</f>
        <v>#DIV/0!</v>
      </c>
      <c r="P23" s="562"/>
      <c r="Q23" s="511"/>
      <c r="R23" s="475"/>
    </row>
    <row r="24" s="459" customFormat="1" ht="14.25" customHeight="1" spans="1:18">
      <c r="A24" s="502" t="s">
        <v>147</v>
      </c>
      <c r="B24" s="503"/>
      <c r="C24" s="505"/>
      <c r="D24" s="505"/>
      <c r="E24" s="505">
        <f ca="1">'F60-含税'!E24</f>
        <v>0</v>
      </c>
      <c r="F24" s="507"/>
      <c r="G24" s="480" t="e">
        <f ca="1">'F60-含税'!G24</f>
        <v>#DIV/0!</v>
      </c>
      <c r="H24" s="562"/>
      <c r="I24" s="502" t="s">
        <v>147</v>
      </c>
      <c r="J24" s="503"/>
      <c r="K24" s="505"/>
      <c r="L24" s="505"/>
      <c r="M24" s="505" t="e">
        <f ca="1">'F60-含税'!M24</f>
        <v>#DIV/0!</v>
      </c>
      <c r="N24" s="507"/>
      <c r="O24" s="507" t="e">
        <f ca="1">'F60-含税'!O24</f>
        <v>#DIV/0!</v>
      </c>
      <c r="P24" s="562"/>
      <c r="Q24" s="511"/>
      <c r="R24" s="475"/>
    </row>
    <row r="25" s="459" customFormat="1" ht="14.25" customHeight="1" spans="1:18">
      <c r="A25" s="508" t="s">
        <v>208</v>
      </c>
      <c r="B25" s="490"/>
      <c r="C25" s="501"/>
      <c r="D25" s="492"/>
      <c r="E25" s="491">
        <f ca="1">SUM(E26:E30)</f>
        <v>0</v>
      </c>
      <c r="F25" s="491"/>
      <c r="G25" s="491" t="e">
        <f ca="1">SUM(G26:G30)</f>
        <v>#DIV/0!</v>
      </c>
      <c r="H25" s="562"/>
      <c r="I25" s="508" t="s">
        <v>208</v>
      </c>
      <c r="J25" s="490"/>
      <c r="K25" s="501"/>
      <c r="L25" s="492"/>
      <c r="M25" s="491" t="e">
        <f ca="1">SUM(M26:M30)</f>
        <v>#DIV/0!</v>
      </c>
      <c r="N25" s="491"/>
      <c r="O25" s="491" t="e">
        <f ca="1">SUM(O26:O30)</f>
        <v>#DIV/0!</v>
      </c>
      <c r="P25" s="562"/>
      <c r="Q25" s="511"/>
      <c r="R25" s="475"/>
    </row>
    <row r="26" s="459" customFormat="1" ht="14.25" customHeight="1" spans="1:18">
      <c r="A26" s="502" t="s">
        <v>95</v>
      </c>
      <c r="B26" s="503" t="s">
        <v>75</v>
      </c>
      <c r="C26" s="566">
        <f ca="1">OFFSET(分配表!C306,0,mth-1,1,1)</f>
        <v>0</v>
      </c>
      <c r="D26" s="497">
        <f ca="1">'F60-含税'!D27</f>
        <v>0</v>
      </c>
      <c r="E26" s="507">
        <f ca="1">C26*D26</f>
        <v>0</v>
      </c>
      <c r="F26" s="507">
        <f ca="1">'F60-含税'!F27</f>
        <v>0</v>
      </c>
      <c r="G26" s="507">
        <f ca="1">E26*F$3</f>
        <v>0</v>
      </c>
      <c r="H26" s="562"/>
      <c r="I26" s="502" t="s">
        <v>95</v>
      </c>
      <c r="J26" s="503" t="s">
        <v>75</v>
      </c>
      <c r="K26" s="567">
        <f ca="1">分配表!O306</f>
        <v>408.530937837231</v>
      </c>
      <c r="L26" s="505">
        <f ca="1">'F60-含税'!L27</f>
        <v>0.302919937829463</v>
      </c>
      <c r="M26" s="507">
        <f ca="1">K26*L26</f>
        <v>123.752166291066</v>
      </c>
      <c r="N26" s="507">
        <f ca="1">'F60-含税'!N27</f>
        <v>2073.5</v>
      </c>
      <c r="O26" s="507">
        <f ca="1">M26*N$3</f>
        <v>847088.899605498</v>
      </c>
      <c r="P26" s="562"/>
      <c r="Q26" s="511"/>
      <c r="R26" s="475"/>
    </row>
    <row r="27" s="459" customFormat="1" ht="14.25" customHeight="1" spans="1:18">
      <c r="A27" s="502" t="s">
        <v>96</v>
      </c>
      <c r="B27" s="503" t="s">
        <v>97</v>
      </c>
      <c r="C27" s="566">
        <f ca="1">'F60-含税'!C28</f>
        <v>0</v>
      </c>
      <c r="D27" s="505">
        <f ca="1">'F60-含税'!D28</f>
        <v>0</v>
      </c>
      <c r="E27" s="480">
        <f ca="1">'F60-含税'!E28</f>
        <v>0</v>
      </c>
      <c r="F27" s="507" t="e">
        <f ca="1">'F60-含税'!F28</f>
        <v>#DIV/0!</v>
      </c>
      <c r="G27" s="480">
        <f ca="1">'F60-含税'!G28</f>
        <v>0</v>
      </c>
      <c r="H27" s="562"/>
      <c r="I27" s="502" t="s">
        <v>96</v>
      </c>
      <c r="J27" s="503" t="s">
        <v>97</v>
      </c>
      <c r="K27" s="566">
        <f ca="1">'F60-含税'!K28</f>
        <v>0.769119583630169</v>
      </c>
      <c r="L27" s="505" t="e">
        <f ca="1">'F60-含税'!L28</f>
        <v>#DIV/0!</v>
      </c>
      <c r="M27" s="480" t="e">
        <f ca="1">'F60-含税'!M28</f>
        <v>#DIV/0!</v>
      </c>
      <c r="N27" s="507" t="e">
        <f ca="1">'F60-含税'!N28</f>
        <v>#DIV/0!</v>
      </c>
      <c r="O27" s="480" t="e">
        <f ca="1">'F60-含税'!O28</f>
        <v>#DIV/0!</v>
      </c>
      <c r="P27" s="562"/>
      <c r="Q27" s="511"/>
      <c r="R27" s="475"/>
    </row>
    <row r="28" s="459" customFormat="1" ht="14.25" customHeight="1" spans="1:18">
      <c r="A28" s="502" t="s">
        <v>98</v>
      </c>
      <c r="B28" s="503" t="s">
        <v>75</v>
      </c>
      <c r="C28" s="566">
        <f>3.32+0.9*2.97</f>
        <v>5.993</v>
      </c>
      <c r="D28" s="505">
        <f ca="1">'F60-含税'!D29</f>
        <v>0</v>
      </c>
      <c r="E28" s="480">
        <f ca="1">D28*C28</f>
        <v>0</v>
      </c>
      <c r="F28" s="507" t="e">
        <f ca="1">'F60-含税'!F29</f>
        <v>#DIV/0!</v>
      </c>
      <c r="G28" s="480">
        <f ca="1">E28*F3</f>
        <v>0</v>
      </c>
      <c r="H28" s="562"/>
      <c r="I28" s="502" t="s">
        <v>98</v>
      </c>
      <c r="J28" s="503" t="s">
        <v>75</v>
      </c>
      <c r="K28" s="566">
        <f>3.32+0.9*2.97</f>
        <v>5.993</v>
      </c>
      <c r="L28" s="505" t="e">
        <f ca="1">'F60-含税'!L29</f>
        <v>#DIV/0!</v>
      </c>
      <c r="M28" s="480" t="e">
        <f ca="1">L28*K28</f>
        <v>#DIV/0!</v>
      </c>
      <c r="N28" s="507" t="e">
        <f ca="1">'F60-含税'!N29</f>
        <v>#DIV/0!</v>
      </c>
      <c r="O28" s="480" t="e">
        <f ca="1">M28*N3</f>
        <v>#DIV/0!</v>
      </c>
      <c r="P28" s="562"/>
      <c r="Q28" s="511"/>
      <c r="R28" s="475"/>
    </row>
    <row r="29" s="459" customFormat="1" ht="14.25" customHeight="1" spans="1:18">
      <c r="A29" s="502" t="s">
        <v>99</v>
      </c>
      <c r="B29" s="503" t="s">
        <v>75</v>
      </c>
      <c r="C29" s="566">
        <f ca="1">'F60-含税'!C30*1.13</f>
        <v>0</v>
      </c>
      <c r="D29" s="505">
        <f ca="1">'F60-含税'!D30</f>
        <v>0</v>
      </c>
      <c r="E29" s="480">
        <f ca="1">'F60-含税'!E30</f>
        <v>0</v>
      </c>
      <c r="F29" s="507">
        <f>'F60-含税'!F30</f>
        <v>0</v>
      </c>
      <c r="G29" s="480">
        <f ca="1">'F60-含税'!G30</f>
        <v>0</v>
      </c>
      <c r="H29" s="562"/>
      <c r="I29" s="502" t="s">
        <v>99</v>
      </c>
      <c r="J29" s="503" t="s">
        <v>75</v>
      </c>
      <c r="K29" s="566">
        <f>'F60-含税'!K30*1.13</f>
        <v>0</v>
      </c>
      <c r="L29" s="505">
        <f ca="1">'F60-含税'!L30</f>
        <v>0</v>
      </c>
      <c r="M29" s="480">
        <f ca="1">'F60-含税'!M30</f>
        <v>0</v>
      </c>
      <c r="N29" s="507">
        <f>'F60-含税'!N30</f>
        <v>0</v>
      </c>
      <c r="O29" s="480">
        <f ca="1">'F60-含税'!O30</f>
        <v>0</v>
      </c>
      <c r="P29" s="562"/>
      <c r="Q29" s="511"/>
      <c r="R29" s="475"/>
    </row>
    <row r="30" s="459" customFormat="1" ht="14.25" customHeight="1" spans="1:18">
      <c r="A30" s="516" t="s">
        <v>209</v>
      </c>
      <c r="B30" s="503"/>
      <c r="C30" s="505"/>
      <c r="D30" s="497"/>
      <c r="E30" s="507">
        <f ca="1">IF(VALUE($F$3)=0,0,G30/$F$3)</f>
        <v>0</v>
      </c>
      <c r="F30" s="507"/>
      <c r="G30" s="507" t="e">
        <f ca="1">'F60-含税'!G31</f>
        <v>#DIV/0!</v>
      </c>
      <c r="H30" s="568"/>
      <c r="I30" s="516" t="s">
        <v>209</v>
      </c>
      <c r="J30" s="503"/>
      <c r="K30" s="505">
        <f ca="1">IF(N30=0,0,O30/N30)</f>
        <v>0</v>
      </c>
      <c r="L30" s="497">
        <f ca="1">IF(K30=0,0,M30/K30)</f>
        <v>0</v>
      </c>
      <c r="M30" s="507" t="e">
        <f ca="1">IF(N$3=0,0,O30/N$3)</f>
        <v>#DIV/0!</v>
      </c>
      <c r="N30" s="505"/>
      <c r="O30" s="507" t="e">
        <f ca="1">'F60-含税'!O31</f>
        <v>#DIV/0!</v>
      </c>
      <c r="P30" s="568"/>
      <c r="Q30" s="511"/>
      <c r="R30" s="475"/>
    </row>
    <row r="31" s="459" customFormat="1" ht="14.25" customHeight="1" spans="1:18">
      <c r="A31" s="508" t="s">
        <v>210</v>
      </c>
      <c r="B31" s="490"/>
      <c r="C31" s="501"/>
      <c r="D31" s="492"/>
      <c r="E31" s="542">
        <f ca="1">IF(VALUE(F$3)=0,0,G31/F$3)</f>
        <v>0</v>
      </c>
      <c r="F31" s="491"/>
      <c r="G31" s="491" t="e">
        <f ca="1">'F60-含税'!G34</f>
        <v>#DIV/0!</v>
      </c>
      <c r="H31" s="562"/>
      <c r="I31" s="508" t="s">
        <v>210</v>
      </c>
      <c r="J31" s="490"/>
      <c r="K31" s="501"/>
      <c r="L31" s="492"/>
      <c r="M31" s="491" t="e">
        <f ca="1">IF(N$3=0,0,O31/N$3)</f>
        <v>#DIV/0!</v>
      </c>
      <c r="N31" s="491"/>
      <c r="O31" s="491" t="e">
        <f ca="1">'F60-含税'!O34</f>
        <v>#DIV/0!</v>
      </c>
      <c r="P31" s="562"/>
      <c r="Q31" s="511"/>
    </row>
    <row r="32" s="459" customFormat="1" ht="14.25" customHeight="1" spans="1:18">
      <c r="A32" s="508" t="s">
        <v>211</v>
      </c>
      <c r="B32" s="508"/>
      <c r="C32" s="508"/>
      <c r="D32" s="508"/>
      <c r="E32" s="542">
        <f ca="1">'F60-含税'!E44</f>
        <v>0</v>
      </c>
      <c r="F32" s="542"/>
      <c r="G32" s="542" t="e">
        <f ca="1">'F60-含税'!G44</f>
        <v>#DIV/0!</v>
      </c>
      <c r="I32" s="508" t="s">
        <v>211</v>
      </c>
      <c r="J32" s="508"/>
      <c r="K32" s="508"/>
      <c r="L32" s="508"/>
      <c r="M32" s="542" t="e">
        <f ca="1">'F60-含税'!M44</f>
        <v>#DIV/0!</v>
      </c>
      <c r="N32" s="542"/>
      <c r="O32" s="542" t="e">
        <f ca="1">'F60-含税'!O44</f>
        <v>#DIV/0!</v>
      </c>
      <c r="P32" s="562"/>
      <c r="Q32" s="511"/>
    </row>
    <row r="33" s="459" customFormat="1" ht="14.25" customHeight="1" spans="1:17">
      <c r="A33" s="508" t="s">
        <v>212</v>
      </c>
      <c r="B33" s="508"/>
      <c r="C33" s="508"/>
      <c r="D33" s="508"/>
      <c r="E33" s="491" t="e">
        <f ca="1">G33/F3</f>
        <v>#DIV/0!</v>
      </c>
      <c r="F33" s="491"/>
      <c r="G33" s="491" t="e">
        <f ca="1">'F60-含税'!G55</f>
        <v>#DIV/0!</v>
      </c>
      <c r="H33" s="563"/>
      <c r="I33" s="508" t="s">
        <v>212</v>
      </c>
      <c r="J33" s="508"/>
      <c r="K33" s="508"/>
      <c r="L33" s="508"/>
      <c r="M33" s="491" t="e">
        <f ca="1">O33/N3</f>
        <v>#DIV/0!</v>
      </c>
      <c r="N33" s="491"/>
      <c r="O33" s="491" t="e">
        <f ca="1">'F60-含税'!O55</f>
        <v>#DIV/0!</v>
      </c>
      <c r="P33" s="562"/>
      <c r="Q33" s="511"/>
    </row>
    <row r="34" s="459" customFormat="1" ht="14.25" customHeight="1" spans="1:17">
      <c r="A34" s="569" t="s">
        <v>105</v>
      </c>
      <c r="B34" s="47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73"/>
      <c r="I34" s="569" t="s">
        <v>105</v>
      </c>
      <c r="J34" s="47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  <c r="P34" s="562"/>
      <c r="Q34" s="539"/>
    </row>
    <row r="35" s="459" customFormat="1" ht="14.25" customHeight="1" spans="1:17">
      <c r="A35" s="513" t="s">
        <v>106</v>
      </c>
      <c r="B35" s="485"/>
      <c r="C35" s="514"/>
      <c r="D35" s="515"/>
      <c r="E35" s="487">
        <f ca="1">SUM(E36:E42)</f>
        <v>0</v>
      </c>
      <c r="F35" s="488"/>
      <c r="G35" s="487" t="e">
        <f ca="1">SUM(G36:G42)</f>
        <v>#DIV/0!</v>
      </c>
      <c r="H35" s="562"/>
      <c r="I35" s="513" t="s">
        <v>106</v>
      </c>
      <c r="J35" s="485"/>
      <c r="K35" s="514"/>
      <c r="L35" s="515"/>
      <c r="M35" s="487" t="e">
        <f ca="1">IF(N$3=0,0,O35/N$3)</f>
        <v>#DIV/0!</v>
      </c>
      <c r="N35" s="488"/>
      <c r="O35" s="487" t="e">
        <f ca="1">SUM(O36:O42)</f>
        <v>#DIV/0!</v>
      </c>
      <c r="P35" s="562"/>
    </row>
    <row r="36" s="459" customFormat="1" ht="14.25" customHeight="1" spans="1:17">
      <c r="A36" s="516" t="s">
        <v>107</v>
      </c>
      <c r="B36" s="503"/>
      <c r="C36" s="505"/>
      <c r="D36" s="497"/>
      <c r="E36" s="575">
        <f ca="1">'F60-含税'!E37</f>
        <v>0</v>
      </c>
      <c r="F36" s="517"/>
      <c r="G36" s="480" t="e">
        <f ca="1">'F60-含税'!G37</f>
        <v>#DIV/0!</v>
      </c>
      <c r="H36" s="483"/>
      <c r="I36" s="516" t="s">
        <v>107</v>
      </c>
      <c r="J36" s="503"/>
      <c r="K36" s="505"/>
      <c r="L36" s="497"/>
      <c r="M36" s="575" t="e">
        <f ca="1">'F60-含税'!M37</f>
        <v>#DIV/0!</v>
      </c>
      <c r="N36" s="517"/>
      <c r="O36" s="480" t="e">
        <f ca="1">'F60-含税'!O37</f>
        <v>#DIV/0!</v>
      </c>
      <c r="P36" s="562"/>
    </row>
    <row r="37" s="459" customFormat="1" ht="14.25" customHeight="1" spans="1:17">
      <c r="A37" s="516" t="s">
        <v>108</v>
      </c>
      <c r="B37" s="503"/>
      <c r="C37" s="505"/>
      <c r="D37" s="497"/>
      <c r="E37" s="575">
        <f ca="1">'F60-含税'!E38</f>
        <v>0</v>
      </c>
      <c r="F37" s="517"/>
      <c r="G37" s="480" t="e">
        <f ca="1">'F60-含税'!G38</f>
        <v>#DIV/0!</v>
      </c>
      <c r="H37" s="483"/>
      <c r="I37" s="516" t="s">
        <v>108</v>
      </c>
      <c r="J37" s="503"/>
      <c r="K37" s="505"/>
      <c r="L37" s="497"/>
      <c r="M37" s="575" t="e">
        <f ca="1">'F60-含税'!M38</f>
        <v>#DIV/0!</v>
      </c>
      <c r="N37" s="517"/>
      <c r="O37" s="480" t="e">
        <f ca="1">'F60-含税'!O38</f>
        <v>#DIV/0!</v>
      </c>
      <c r="P37" s="562"/>
    </row>
    <row r="38" s="459" customFormat="1" ht="14.25" customHeight="1" spans="1:17">
      <c r="A38" s="516" t="s">
        <v>109</v>
      </c>
      <c r="B38" s="503"/>
      <c r="C38" s="498"/>
      <c r="D38" s="518"/>
      <c r="E38" s="575">
        <f ca="1">'F60-含税'!E39</f>
        <v>0</v>
      </c>
      <c r="F38" s="517"/>
      <c r="G38" s="480" t="e">
        <f ca="1">'F60-含税'!G39</f>
        <v>#DIV/0!</v>
      </c>
      <c r="H38" s="483"/>
      <c r="I38" s="516" t="s">
        <v>109</v>
      </c>
      <c r="J38" s="503"/>
      <c r="K38" s="498"/>
      <c r="L38" s="518"/>
      <c r="M38" s="575" t="e">
        <f ca="1">'F60-含税'!M39</f>
        <v>#DIV/0!</v>
      </c>
      <c r="N38" s="517"/>
      <c r="O38" s="480" t="e">
        <f ca="1">'F60-含税'!O39</f>
        <v>#DIV/0!</v>
      </c>
      <c r="P38" s="562"/>
    </row>
    <row r="39" s="459" customFormat="1" ht="14.25" customHeight="1" spans="1:17">
      <c r="A39" s="516" t="s">
        <v>110</v>
      </c>
      <c r="B39" s="503"/>
      <c r="C39" s="498"/>
      <c r="D39" s="518"/>
      <c r="E39" s="575">
        <f ca="1">'F60-含税'!E40</f>
        <v>0</v>
      </c>
      <c r="F39" s="517"/>
      <c r="G39" s="480" t="e">
        <f ca="1">'F60-含税'!G40</f>
        <v>#DIV/0!</v>
      </c>
      <c r="H39" s="483"/>
      <c r="I39" s="516" t="s">
        <v>110</v>
      </c>
      <c r="J39" s="503"/>
      <c r="K39" s="498"/>
      <c r="L39" s="518"/>
      <c r="M39" s="575" t="e">
        <f ca="1">'F60-含税'!M40</f>
        <v>#DIV/0!</v>
      </c>
      <c r="N39" s="517"/>
      <c r="O39" s="480" t="e">
        <f ca="1">'F60-含税'!O40</f>
        <v>#DIV/0!</v>
      </c>
      <c r="P39" s="562"/>
    </row>
    <row r="40" s="459" customFormat="1" ht="14.25" customHeight="1" spans="1:17">
      <c r="A40" s="516" t="s">
        <v>111</v>
      </c>
      <c r="B40" s="503"/>
      <c r="C40" s="498"/>
      <c r="D40" s="518"/>
      <c r="E40" s="575">
        <f ca="1">'F60-含税'!E41</f>
        <v>0</v>
      </c>
      <c r="F40" s="517"/>
      <c r="G40" s="575" t="e">
        <f ca="1">'F60-含税'!G41</f>
        <v>#DIV/0!</v>
      </c>
      <c r="H40" s="483"/>
      <c r="I40" s="516" t="s">
        <v>111</v>
      </c>
      <c r="J40" s="503"/>
      <c r="K40" s="498"/>
      <c r="L40" s="518"/>
      <c r="M40" s="575" t="e">
        <f ca="1">'F60-含税'!M41</f>
        <v>#DIV/0!</v>
      </c>
      <c r="N40" s="517"/>
      <c r="O40" s="480" t="e">
        <f ca="1">'F60-含税'!O41</f>
        <v>#DIV/0!</v>
      </c>
      <c r="P40" s="562"/>
    </row>
    <row r="41" s="459" customFormat="1" ht="14.25" customHeight="1" spans="1:17">
      <c r="A41" s="516" t="s">
        <v>112</v>
      </c>
      <c r="B41" s="503"/>
      <c r="C41" s="498"/>
      <c r="D41" s="518"/>
      <c r="E41" s="575">
        <f ca="1">'F60-含税'!E42</f>
        <v>0</v>
      </c>
      <c r="F41" s="517"/>
      <c r="G41" s="480" t="e">
        <f ca="1">'F60-含税'!G42</f>
        <v>#DIV/0!</v>
      </c>
      <c r="H41" s="483"/>
      <c r="I41" s="516" t="s">
        <v>112</v>
      </c>
      <c r="J41" s="503"/>
      <c r="K41" s="498"/>
      <c r="L41" s="518"/>
      <c r="M41" s="575" t="e">
        <f ca="1">'F60-含税'!M42</f>
        <v>#DIV/0!</v>
      </c>
      <c r="N41" s="517"/>
      <c r="O41" s="480" t="e">
        <f ca="1">'F60-含税'!O42</f>
        <v>#DIV/0!</v>
      </c>
      <c r="P41" s="562"/>
    </row>
    <row r="42" s="459" customFormat="1" ht="14.25" hidden="1" customHeight="1" spans="1:17">
      <c r="A42" s="516" t="s">
        <v>113</v>
      </c>
      <c r="B42" s="503"/>
      <c r="C42" s="498"/>
      <c r="D42" s="518"/>
      <c r="E42" s="575"/>
      <c r="F42" s="517"/>
      <c r="G42" s="575"/>
      <c r="I42" s="516" t="s">
        <v>114</v>
      </c>
      <c r="J42" s="503"/>
      <c r="K42" s="498"/>
      <c r="L42" s="518"/>
      <c r="M42" s="575"/>
      <c r="N42" s="517"/>
      <c r="O42" s="575"/>
      <c r="P42" s="562"/>
    </row>
    <row r="43" s="459" customFormat="1" ht="14.25" hidden="1" customHeight="1" spans="1:17">
      <c r="A43" s="516" t="s">
        <v>116</v>
      </c>
      <c r="B43" s="503"/>
      <c r="C43" s="498"/>
      <c r="D43" s="518"/>
      <c r="E43" s="576"/>
      <c r="F43" s="517"/>
      <c r="G43" s="575"/>
      <c r="I43" s="516" t="s">
        <v>116</v>
      </c>
      <c r="J43" s="503"/>
      <c r="K43" s="498"/>
      <c r="L43" s="518"/>
      <c r="M43" s="576"/>
      <c r="N43" s="517"/>
      <c r="O43" s="576"/>
      <c r="P43" s="562"/>
    </row>
    <row r="44" s="459" customFormat="1" ht="14.25" hidden="1" customHeight="1" spans="1:17">
      <c r="A44" s="516" t="s">
        <v>117</v>
      </c>
      <c r="B44" s="503"/>
      <c r="C44" s="498"/>
      <c r="D44" s="518"/>
      <c r="E44" s="576">
        <f ca="1">'F60-含税'!E46</f>
        <v>0</v>
      </c>
      <c r="F44" s="517"/>
      <c r="G44" s="575" t="e">
        <f ca="1">'F60-含税'!G46</f>
        <v>#DIV/0!</v>
      </c>
      <c r="I44" s="516" t="s">
        <v>117</v>
      </c>
      <c r="J44" s="503"/>
      <c r="K44" s="498"/>
      <c r="L44" s="518"/>
      <c r="M44" s="576" t="e">
        <f ca="1">'F60-含税'!M46</f>
        <v>#DIV/0!</v>
      </c>
      <c r="N44" s="517"/>
      <c r="O44" s="576" t="e">
        <f ca="1">'F60-含税'!O46</f>
        <v>#DIV/0!</v>
      </c>
      <c r="P44" s="562"/>
    </row>
    <row r="45" s="459" customFormat="1" ht="14.25" hidden="1" customHeight="1" spans="1:17">
      <c r="A45" s="516" t="s">
        <v>118</v>
      </c>
      <c r="B45" s="503"/>
      <c r="C45" s="498"/>
      <c r="D45" s="518"/>
      <c r="E45" s="576">
        <f ca="1">'F60-含税'!E47</f>
        <v>0</v>
      </c>
      <c r="F45" s="517"/>
      <c r="G45" s="575" t="e">
        <f ca="1">'F60-含税'!G47</f>
        <v>#DIV/0!</v>
      </c>
      <c r="I45" s="516" t="s">
        <v>118</v>
      </c>
      <c r="J45" s="503"/>
      <c r="K45" s="498"/>
      <c r="L45" s="518"/>
      <c r="M45" s="576" t="e">
        <f ca="1">'F60-含税'!M47</f>
        <v>#DIV/0!</v>
      </c>
      <c r="N45" s="517"/>
      <c r="O45" s="576" t="e">
        <f ca="1">'F60-含税'!O47</f>
        <v>#DIV/0!</v>
      </c>
      <c r="P45" s="562"/>
    </row>
    <row r="46" s="459" customFormat="1" ht="14.25" hidden="1" customHeight="1" spans="1:17">
      <c r="A46" s="516" t="s">
        <v>119</v>
      </c>
      <c r="B46" s="503"/>
      <c r="C46" s="498"/>
      <c r="D46" s="518"/>
      <c r="E46" s="576">
        <f ca="1">'F60-含税'!E48</f>
        <v>0</v>
      </c>
      <c r="F46" s="517"/>
      <c r="G46" s="575" t="e">
        <f ca="1">'F60-含税'!G48</f>
        <v>#DIV/0!</v>
      </c>
      <c r="I46" s="516" t="s">
        <v>119</v>
      </c>
      <c r="J46" s="503"/>
      <c r="K46" s="498"/>
      <c r="L46" s="518"/>
      <c r="M46" s="576" t="e">
        <f ca="1">'F60-含税'!M48</f>
        <v>#DIV/0!</v>
      </c>
      <c r="N46" s="517"/>
      <c r="O46" s="576" t="e">
        <f ca="1">'F60-含税'!O48</f>
        <v>#DIV/0!</v>
      </c>
      <c r="P46" s="562"/>
    </row>
    <row r="47" s="459" customFormat="1" ht="14.25" hidden="1" customHeight="1" spans="1:17">
      <c r="A47" s="516" t="s">
        <v>120</v>
      </c>
      <c r="B47" s="503"/>
      <c r="C47" s="498"/>
      <c r="D47" s="518"/>
      <c r="E47" s="576">
        <f ca="1">'F60-含税'!E49</f>
        <v>0</v>
      </c>
      <c r="F47" s="517"/>
      <c r="G47" s="575" t="e">
        <f ca="1">'F60-含税'!G49</f>
        <v>#DIV/0!</v>
      </c>
      <c r="I47" s="516" t="s">
        <v>120</v>
      </c>
      <c r="J47" s="503"/>
      <c r="K47" s="498"/>
      <c r="L47" s="518"/>
      <c r="M47" s="576" t="e">
        <f ca="1">'F60-含税'!M49</f>
        <v>#DIV/0!</v>
      </c>
      <c r="N47" s="517"/>
      <c r="O47" s="576" t="e">
        <f ca="1">'F60-含税'!O49</f>
        <v>#DIV/0!</v>
      </c>
      <c r="P47" s="562"/>
    </row>
    <row r="48" s="459" customFormat="1" ht="14.25" hidden="1" customHeight="1" spans="1:17">
      <c r="A48" s="516" t="s">
        <v>121</v>
      </c>
      <c r="B48" s="503"/>
      <c r="C48" s="498"/>
      <c r="D48" s="518"/>
      <c r="E48" s="576">
        <f ca="1">'F60-含税'!E50</f>
        <v>0</v>
      </c>
      <c r="F48" s="517"/>
      <c r="G48" s="575" t="e">
        <f ca="1">'F60-含税'!G50</f>
        <v>#DIV/0!</v>
      </c>
      <c r="I48" s="516" t="s">
        <v>121</v>
      </c>
      <c r="J48" s="503"/>
      <c r="K48" s="498"/>
      <c r="L48" s="518"/>
      <c r="M48" s="576" t="e">
        <f ca="1">'F60-含税'!M50</f>
        <v>#DIV/0!</v>
      </c>
      <c r="N48" s="517"/>
      <c r="O48" s="576" t="e">
        <f ca="1">'F60-含税'!O50</f>
        <v>#DIV/0!</v>
      </c>
      <c r="P48" s="562"/>
    </row>
    <row r="49" s="459" customFormat="1" ht="14.25" customHeight="1" spans="1:20">
      <c r="A49" s="577" t="s">
        <v>122</v>
      </c>
      <c r="B49" s="485" t="s">
        <v>123</v>
      </c>
      <c r="C49" s="514"/>
      <c r="D49" s="515"/>
      <c r="E49" s="578" t="e">
        <f ca="1">E35+E10</f>
        <v>#DIV/0!</v>
      </c>
      <c r="F49" s="579"/>
      <c r="G49" s="578" t="e">
        <f ca="1">G35+G10</f>
        <v>#DIV/0!</v>
      </c>
      <c r="H49" s="483"/>
      <c r="I49" s="577" t="s">
        <v>122</v>
      </c>
      <c r="J49" s="485" t="s">
        <v>123</v>
      </c>
      <c r="K49" s="514"/>
      <c r="L49" s="515"/>
      <c r="M49" s="578" t="e">
        <f ca="1">M35+M10</f>
        <v>#DIV/0!</v>
      </c>
      <c r="N49" s="579"/>
      <c r="O49" s="578" t="e">
        <f ca="1">O35+O10</f>
        <v>#DIV/0!</v>
      </c>
      <c r="P49" s="562"/>
    </row>
    <row r="50" s="460" customFormat="1" ht="14.25" customHeight="1" spans="1:20">
      <c r="A50" s="580" t="s">
        <v>124</v>
      </c>
      <c r="B50" s="48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48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  <c r="P50" s="562"/>
    </row>
    <row r="51" s="459" customFormat="1" ht="14.25" customHeight="1" spans="1:20">
      <c r="A51" s="580" t="s">
        <v>125</v>
      </c>
      <c r="B51" s="48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48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  <c r="P51" s="562"/>
    </row>
    <row r="52" s="540" customFormat="1" ht="14.25" customHeight="1" spans="1:20">
      <c r="A52" s="529" t="s">
        <v>126</v>
      </c>
      <c r="B52" s="530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535"/>
      <c r="I52" s="536" t="s">
        <v>126</v>
      </c>
      <c r="J52" s="537" t="s">
        <v>123</v>
      </c>
      <c r="K52" s="533"/>
      <c r="L52" s="533"/>
      <c r="M52" s="533" t="e">
        <f ca="1">M10-M11+M35</f>
        <v>#DIV/0!</v>
      </c>
      <c r="N52" s="533"/>
      <c r="O52" s="534" t="e">
        <f ca="1">O10-O11+O35</f>
        <v>#DIV/0!</v>
      </c>
      <c r="P52" s="562"/>
      <c r="Q52" s="475"/>
      <c r="R52" s="475"/>
      <c r="S52" s="475"/>
      <c r="T52" s="475"/>
    </row>
    <row r="56" s="459" customFormat="1" customHeight="1" spans="1:20">
      <c r="A56" s="582"/>
      <c r="B56" s="538"/>
      <c r="E56" s="539"/>
      <c r="F56" s="539"/>
      <c r="G56" s="539"/>
      <c r="M56" s="499"/>
      <c r="O56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064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7030A0"/>
  </sheetPr>
  <dimension ref="A1:O56"/>
  <sheetViews>
    <sheetView workbookViewId="0">
      <selection activeCell="M6" sqref="M6"/>
    </sheetView>
  </sheetViews>
  <sheetFormatPr defaultColWidth="9" defaultRowHeight="15.75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9" style="462" customWidth="1"/>
    <col min="6" max="6" width="9" style="40" customWidth="1"/>
    <col min="7" max="7" width="9.75" style="40" customWidth="1"/>
    <col min="8" max="8" width="8.875" style="40" customWidth="1"/>
    <col min="9" max="9" width="28" style="40" customWidth="1"/>
    <col min="10" max="10" width="3.625" style="40" customWidth="1"/>
    <col min="11" max="11" width="8.875" style="40" customWidth="1"/>
    <col min="12" max="13" width="8.5" style="40" customWidth="1"/>
    <col min="14" max="14" width="9" style="40" customWidth="1"/>
    <col min="15" max="15" width="11.375" style="40" customWidth="1"/>
    <col min="16" max="16" width="13.75"/>
  </cols>
  <sheetData>
    <row r="1" ht="25.5" spans="1:15">
      <c r="A1" s="97" t="str">
        <f>CONCATENATE("果葡糖浆F90综合成本利润表_含税(2025年"&amp;mth&amp;"月)")</f>
        <v>果葡糖浆F90综合成本利润表_含税(2025年8月)</v>
      </c>
      <c r="B1" s="98"/>
      <c r="C1" s="98"/>
      <c r="D1" s="98"/>
      <c r="E1" s="98"/>
      <c r="F1" s="98"/>
      <c r="G1" s="98"/>
      <c r="H1" s="458"/>
      <c r="I1" s="463" t="str">
        <f>CONCATENATE("果葡糖浆F90综合成本利润表_含税(2025年1-"&amp;mth&amp;"月)")</f>
        <v>果葡糖浆F90综合成本利润表_含税(2025年1-8月)</v>
      </c>
      <c r="J1" s="463"/>
      <c r="K1" s="463"/>
      <c r="L1" s="463"/>
      <c r="M1" s="463"/>
      <c r="N1" s="463"/>
      <c r="O1" s="463"/>
    </row>
    <row r="2" ht="25.5" spans="1:15">
      <c r="A2" s="464"/>
      <c r="B2" s="464"/>
      <c r="C2" s="464"/>
      <c r="D2" s="465"/>
      <c r="E2" s="44"/>
      <c r="F2" s="464"/>
      <c r="G2" s="464"/>
      <c r="H2" s="458"/>
      <c r="I2" s="458"/>
      <c r="J2" s="458"/>
      <c r="K2" s="458"/>
      <c r="L2" s="458"/>
      <c r="M2" s="458"/>
      <c r="N2" s="458"/>
      <c r="O2" s="458"/>
    </row>
    <row r="3" spans="1:15">
      <c r="A3" s="38" t="s">
        <v>23</v>
      </c>
      <c r="B3" s="38"/>
      <c r="C3" s="38"/>
      <c r="D3" s="38"/>
      <c r="E3" s="39" t="s">
        <v>133</v>
      </c>
      <c r="F3" s="466">
        <f ca="1">'F90-含税 '!F3</f>
        <v>0</v>
      </c>
      <c r="G3" s="39" t="s">
        <v>75</v>
      </c>
      <c r="H3" s="38"/>
      <c r="I3" s="38"/>
      <c r="J3" s="38"/>
      <c r="K3" s="38"/>
      <c r="L3" s="38"/>
      <c r="M3" s="378" t="s">
        <v>134</v>
      </c>
      <c r="N3" s="466">
        <f ca="1">'F90-含税 '!N3</f>
        <v>36.72</v>
      </c>
      <c r="O3" s="39" t="s">
        <v>75</v>
      </c>
    </row>
    <row r="4" spans="1:15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H4" s="459"/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pans="1:15">
      <c r="A5" s="470" t="s">
        <v>83</v>
      </c>
      <c r="B5" s="471"/>
      <c r="C5" s="472"/>
      <c r="D5" s="472"/>
      <c r="E5" s="473">
        <f ca="1">E6-E7</f>
        <v>0</v>
      </c>
      <c r="F5" s="472"/>
      <c r="G5" s="474">
        <f ca="1">G6-G7</f>
        <v>0</v>
      </c>
      <c r="H5" s="562"/>
      <c r="I5" s="470" t="s">
        <v>83</v>
      </c>
      <c r="J5" s="471"/>
      <c r="K5" s="472"/>
      <c r="L5" s="472"/>
      <c r="M5" s="474">
        <f ca="1">M6-M7</f>
        <v>4099.56816486688</v>
      </c>
      <c r="N5" s="472"/>
      <c r="O5" s="474">
        <f ca="1">O6-O7</f>
        <v>150536.143013912</v>
      </c>
    </row>
    <row r="6" spans="1:15">
      <c r="A6" s="476" t="s">
        <v>84</v>
      </c>
      <c r="B6" s="477"/>
      <c r="C6" s="478"/>
      <c r="D6" s="479"/>
      <c r="E6" s="480">
        <f ca="1">OFFSET(销售收入及运费!C96,0,mth-1,1,1)</f>
        <v>0</v>
      </c>
      <c r="F6" s="479"/>
      <c r="G6" s="480">
        <f ca="1">E6*F3</f>
        <v>0</v>
      </c>
      <c r="H6" s="562"/>
      <c r="I6" s="481" t="s">
        <v>84</v>
      </c>
      <c r="J6" s="477"/>
      <c r="K6" s="478"/>
      <c r="L6" s="479"/>
      <c r="M6" s="480">
        <f ca="1">销售收入及运费!O96</f>
        <v>4158.08925641275</v>
      </c>
      <c r="N6" s="482"/>
      <c r="O6" s="507">
        <f ca="1">M6*$N$3</f>
        <v>152685.037495476</v>
      </c>
    </row>
    <row r="7" spans="1:15">
      <c r="A7" s="476" t="s">
        <v>85</v>
      </c>
      <c r="B7" s="477"/>
      <c r="C7" s="479"/>
      <c r="D7" s="479"/>
      <c r="E7" s="480">
        <f ca="1">OFFSET(销售收入及运费!C194,0,mth-1,1,1)</f>
        <v>0</v>
      </c>
      <c r="F7" s="480"/>
      <c r="G7" s="480">
        <f ca="1">'F90-含税 '!G7</f>
        <v>0</v>
      </c>
      <c r="H7" s="562"/>
      <c r="I7" s="476" t="s">
        <v>85</v>
      </c>
      <c r="J7" s="477"/>
      <c r="K7" s="479"/>
      <c r="L7" s="479"/>
      <c r="M7" s="480">
        <f ca="1">销售收入及运费!O194</f>
        <v>58.5210915458702</v>
      </c>
      <c r="N7" s="482"/>
      <c r="O7" s="507">
        <f ca="1">M7*$N$3</f>
        <v>2148.89448156435</v>
      </c>
    </row>
    <row r="8" spans="1:15">
      <c r="A8" s="476" t="s">
        <v>86</v>
      </c>
      <c r="B8" s="477"/>
      <c r="C8" s="479"/>
      <c r="D8" s="479"/>
      <c r="E8" s="480">
        <f ca="1">'F90-含税 '!E8</f>
        <v>0</v>
      </c>
      <c r="F8" s="480"/>
      <c r="G8" s="480">
        <f ca="1">'F90-含税 '!G8</f>
        <v>0</v>
      </c>
      <c r="H8" s="562"/>
      <c r="I8" s="476" t="s">
        <v>86</v>
      </c>
      <c r="J8" s="477"/>
      <c r="K8" s="479"/>
      <c r="L8" s="479"/>
      <c r="M8" s="480">
        <f ca="1">'F90-含税 '!M8</f>
        <v>58.5210915458702</v>
      </c>
      <c r="N8" s="482"/>
      <c r="O8" s="480">
        <f ca="1">'F90-含税 '!O8</f>
        <v>2148.89448156435</v>
      </c>
    </row>
    <row r="9" spans="1:15">
      <c r="A9" s="476" t="s">
        <v>87</v>
      </c>
      <c r="B9" s="477"/>
      <c r="C9" s="479"/>
      <c r="D9" s="479"/>
      <c r="E9" s="480">
        <f ca="1">'F90-含税 '!E9</f>
        <v>0</v>
      </c>
      <c r="F9" s="480"/>
      <c r="G9" s="480">
        <f ca="1">'F90-含税 '!G9</f>
        <v>0</v>
      </c>
      <c r="H9" s="562"/>
      <c r="I9" s="476" t="s">
        <v>87</v>
      </c>
      <c r="J9" s="477"/>
      <c r="K9" s="479"/>
      <c r="L9" s="479"/>
      <c r="M9" s="480">
        <f ca="1">'F90-含税 '!M9</f>
        <v>0</v>
      </c>
      <c r="N9" s="482"/>
      <c r="O9" s="480">
        <f ca="1">'F90-含税 '!O9</f>
        <v>0</v>
      </c>
    </row>
    <row r="10" spans="1:15">
      <c r="A10" s="484" t="s">
        <v>88</v>
      </c>
      <c r="B10" s="485"/>
      <c r="C10" s="486"/>
      <c r="D10" s="486"/>
      <c r="E10" s="487" t="e">
        <f ca="1">E11+E13+E25+E31+E32+E33</f>
        <v>#DIV/0!</v>
      </c>
      <c r="F10" s="488"/>
      <c r="G10" s="487" t="e">
        <f ca="1">G11+G13+G25+G31+G33+G32</f>
        <v>#DIV/0!</v>
      </c>
      <c r="H10" s="562"/>
      <c r="I10" s="484" t="s">
        <v>88</v>
      </c>
      <c r="J10" s="485"/>
      <c r="K10" s="486"/>
      <c r="L10" s="486"/>
      <c r="M10" s="487" t="e">
        <f ca="1">M11+M13+M25+M31+M32+M33</f>
        <v>#DIV/0!</v>
      </c>
      <c r="N10" s="488"/>
      <c r="O10" s="487" t="e">
        <f ca="1">O11+O13+O25+O31+O33+O32</f>
        <v>#DIV/0!</v>
      </c>
    </row>
    <row r="11" spans="1:15">
      <c r="A11" s="489" t="s">
        <v>89</v>
      </c>
      <c r="B11" s="490" t="s">
        <v>75</v>
      </c>
      <c r="C11" s="491">
        <f ca="1" t="shared" ref="C11:G11" si="0">C12</f>
        <v>0</v>
      </c>
      <c r="D11" s="492">
        <f ca="1">IF(C11=0,0,E11/C11)</f>
        <v>0</v>
      </c>
      <c r="E11" s="491">
        <f ca="1" t="shared" si="0"/>
        <v>0</v>
      </c>
      <c r="F11" s="491">
        <f ca="1" t="shared" si="0"/>
        <v>0</v>
      </c>
      <c r="G11" s="491">
        <f ca="1" t="shared" si="0"/>
        <v>0</v>
      </c>
      <c r="H11" s="562"/>
      <c r="I11" s="489" t="s">
        <v>89</v>
      </c>
      <c r="J11" s="490" t="s">
        <v>75</v>
      </c>
      <c r="K11" s="491">
        <f ca="1">IF(N11=0,0,O11/N11)</f>
        <v>2774.87801597404</v>
      </c>
      <c r="L11" s="492">
        <f ca="1">IF(K11=0,0,M11/K11)</f>
        <v>0.81284706675317</v>
      </c>
      <c r="M11" s="491">
        <f ca="1" t="shared" ref="M11:O11" si="1">M12</f>
        <v>2255.55145588235</v>
      </c>
      <c r="N11" s="491">
        <f ca="1" t="shared" si="1"/>
        <v>29.8477442911764</v>
      </c>
      <c r="O11" s="491">
        <f ca="1" t="shared" si="1"/>
        <v>82823.84946</v>
      </c>
    </row>
    <row r="12" spans="1:15">
      <c r="A12" s="502" t="s">
        <v>90</v>
      </c>
      <c r="B12" s="503" t="s">
        <v>75</v>
      </c>
      <c r="C12" s="507">
        <f ca="1">'F90-含税 '!C12</f>
        <v>0</v>
      </c>
      <c r="D12" s="497">
        <f ca="1">'F90-含税 '!D12</f>
        <v>0</v>
      </c>
      <c r="E12" s="480">
        <f ca="1">'F90-含税 '!E12</f>
        <v>0</v>
      </c>
      <c r="F12" s="507">
        <f ca="1">'F90-含税 '!F12</f>
        <v>0</v>
      </c>
      <c r="G12" s="480">
        <f ca="1">'F90-含税 '!G12</f>
        <v>0</v>
      </c>
      <c r="H12" s="562"/>
      <c r="I12" s="502" t="s">
        <v>90</v>
      </c>
      <c r="J12" s="503" t="s">
        <v>75</v>
      </c>
      <c r="K12" s="507">
        <f ca="1">分配表!O75</f>
        <v>2774.87801597404</v>
      </c>
      <c r="L12" s="497">
        <f ca="1">'F90-含税 '!L12</f>
        <v>0.81284706675317</v>
      </c>
      <c r="M12" s="480">
        <f ca="1">K12*L12</f>
        <v>2255.55145588235</v>
      </c>
      <c r="N12" s="507">
        <f ca="1">L12*N3</f>
        <v>29.8477442911764</v>
      </c>
      <c r="O12" s="480">
        <f ca="1">K12*N12</f>
        <v>82823.84946</v>
      </c>
    </row>
    <row r="13" spans="1:15">
      <c r="A13" s="489" t="s">
        <v>130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H13" s="562"/>
      <c r="I13" s="489" t="s">
        <v>130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</row>
    <row r="14" spans="1:15">
      <c r="A14" s="502" t="s">
        <v>136</v>
      </c>
      <c r="B14" s="503" t="s">
        <v>167</v>
      </c>
      <c r="C14" s="505">
        <f ca="1">'F90-含税 '!C14</f>
        <v>0</v>
      </c>
      <c r="D14" s="505">
        <f ca="1">'F90-含税 '!D14</f>
        <v>0</v>
      </c>
      <c r="E14" s="505">
        <f ca="1">'F90-含税 '!E14</f>
        <v>0</v>
      </c>
      <c r="F14" s="507">
        <f ca="1">'F90-含税 '!F14</f>
        <v>0</v>
      </c>
      <c r="G14" s="505">
        <f ca="1">'F90-含税 '!G14</f>
        <v>0</v>
      </c>
      <c r="H14" s="562"/>
      <c r="I14" s="502" t="s">
        <v>136</v>
      </c>
      <c r="J14" s="503" t="s">
        <v>167</v>
      </c>
      <c r="K14" s="505">
        <f ca="1">分配表!O191</f>
        <v>1.16800728160139</v>
      </c>
      <c r="L14" s="505">
        <f ca="1">'F90-含税 '!L14</f>
        <v>4.30555555555556</v>
      </c>
      <c r="M14" s="505">
        <f ca="1">'F90-含税 '!M14</f>
        <v>5.02892024022821</v>
      </c>
      <c r="N14" s="507">
        <f ca="1">'F90-含税 '!N14</f>
        <v>158.1</v>
      </c>
      <c r="O14" s="507">
        <f ca="1">'F90-含税 '!O14</f>
        <v>184.66195122118</v>
      </c>
    </row>
    <row r="15" spans="1:15">
      <c r="A15" s="502" t="s">
        <v>137</v>
      </c>
      <c r="B15" s="503" t="s">
        <v>167</v>
      </c>
      <c r="C15" s="505">
        <f ca="1">'F90-含税 '!C15</f>
        <v>0</v>
      </c>
      <c r="D15" s="505">
        <f ca="1">'F90-含税 '!D15</f>
        <v>0</v>
      </c>
      <c r="E15" s="505">
        <f ca="1">'F90-含税 '!E15</f>
        <v>0</v>
      </c>
      <c r="F15" s="507">
        <f ca="1">'F90-含税 '!F15</f>
        <v>0</v>
      </c>
      <c r="G15" s="505">
        <f ca="1">'F90-含税 '!G15</f>
        <v>0</v>
      </c>
      <c r="H15" s="562"/>
      <c r="I15" s="502" t="s">
        <v>137</v>
      </c>
      <c r="J15" s="503" t="s">
        <v>167</v>
      </c>
      <c r="K15" s="505">
        <f ca="1">分配表!O192</f>
        <v>3.57679310644649</v>
      </c>
      <c r="L15" s="505">
        <f ca="1">'F90-含税 '!L15</f>
        <v>4.96732026143791</v>
      </c>
      <c r="M15" s="505">
        <f ca="1">'F90-含税 '!M15</f>
        <v>17.7670768686231</v>
      </c>
      <c r="N15" s="507">
        <f ca="1">'F90-含税 '!N15</f>
        <v>182.4</v>
      </c>
      <c r="O15" s="507">
        <f ca="1">'F90-含税 '!O15</f>
        <v>652.40706261584</v>
      </c>
    </row>
    <row r="16" spans="1:15">
      <c r="A16" s="502" t="s">
        <v>138</v>
      </c>
      <c r="B16" s="503" t="s">
        <v>167</v>
      </c>
      <c r="C16" s="505">
        <f ca="1">'F90-含税 '!C16</f>
        <v>0</v>
      </c>
      <c r="D16" s="505">
        <f ca="1">'F90-含税 '!D16</f>
        <v>0</v>
      </c>
      <c r="E16" s="505">
        <f ca="1">'F90-含税 '!E16</f>
        <v>0</v>
      </c>
      <c r="F16" s="507">
        <f ca="1">'F90-含税 '!F16</f>
        <v>0</v>
      </c>
      <c r="G16" s="505">
        <f ca="1">'F90-含税 '!G16</f>
        <v>0</v>
      </c>
      <c r="H16" s="562"/>
      <c r="I16" s="502" t="s">
        <v>138</v>
      </c>
      <c r="J16" s="503" t="s">
        <v>167</v>
      </c>
      <c r="K16" s="505">
        <f ca="1">分配表!O193</f>
        <v>2.94350314079422</v>
      </c>
      <c r="L16" s="505">
        <f ca="1">'F90-含税 '!L16</f>
        <v>0.844226579520697</v>
      </c>
      <c r="M16" s="505">
        <f ca="1">'F90-含税 '!M16</f>
        <v>2.48498358836114</v>
      </c>
      <c r="N16" s="507">
        <f ca="1">'F90-含税 '!N16</f>
        <v>31</v>
      </c>
      <c r="O16" s="507">
        <f ca="1">'F90-含税 '!O16</f>
        <v>91.2485973646209</v>
      </c>
    </row>
    <row r="17" spans="1:15">
      <c r="A17" s="502" t="s">
        <v>139</v>
      </c>
      <c r="B17" s="503" t="s">
        <v>167</v>
      </c>
      <c r="C17" s="505">
        <f ca="1">'F90-含税 '!C17</f>
        <v>0</v>
      </c>
      <c r="D17" s="505">
        <f ca="1">'F90-含税 '!D17</f>
        <v>0</v>
      </c>
      <c r="E17" s="505">
        <f ca="1">'F90-含税 '!E17</f>
        <v>0</v>
      </c>
      <c r="F17" s="507">
        <f ca="1">'F90-含税 '!F17</f>
        <v>0</v>
      </c>
      <c r="G17" s="505">
        <f ca="1">'F90-含税 '!G17</f>
        <v>0</v>
      </c>
      <c r="H17" s="562"/>
      <c r="I17" s="502" t="s">
        <v>139</v>
      </c>
      <c r="J17" s="503" t="s">
        <v>167</v>
      </c>
      <c r="K17" s="505">
        <f ca="1">分配表!O195</f>
        <v>8.00006266464471</v>
      </c>
      <c r="L17" s="505">
        <f ca="1">'F90-含税 '!L17</f>
        <v>1.77015250544662</v>
      </c>
      <c r="M17" s="505">
        <f ca="1">'F90-含税 '!M17</f>
        <v>14.1613309695508</v>
      </c>
      <c r="N17" s="507">
        <f ca="1">'F90-含税 '!N17</f>
        <v>65</v>
      </c>
      <c r="O17" s="507">
        <f ca="1">'F90-含税 '!O17</f>
        <v>520.004073201906</v>
      </c>
    </row>
    <row r="18" spans="1:15">
      <c r="A18" s="502" t="s">
        <v>207</v>
      </c>
      <c r="B18" s="503" t="s">
        <v>167</v>
      </c>
      <c r="C18" s="505">
        <f ca="1">'F90-含税 '!C18</f>
        <v>0</v>
      </c>
      <c r="D18" s="505">
        <f ca="1">'F90-含税 '!D18</f>
        <v>0</v>
      </c>
      <c r="E18" s="505">
        <f ca="1">'F90-含税 '!E18</f>
        <v>0</v>
      </c>
      <c r="F18" s="507">
        <f ca="1">'F90-含税 '!F18</f>
        <v>0</v>
      </c>
      <c r="G18" s="505">
        <f ca="1">'F90-含税 '!G18</f>
        <v>0</v>
      </c>
      <c r="H18" s="562"/>
      <c r="I18" s="502" t="s">
        <v>207</v>
      </c>
      <c r="J18" s="503" t="s">
        <v>167</v>
      </c>
      <c r="K18" s="505">
        <f ca="1">分配表!O196</f>
        <v>54.0155926492147</v>
      </c>
      <c r="L18" s="505">
        <f ca="1">'F90-含税 '!L18</f>
        <v>0.0871459694989107</v>
      </c>
      <c r="M18" s="505">
        <f ca="1">'F90-含税 '!M18</f>
        <v>4.70724118947405</v>
      </c>
      <c r="N18" s="507">
        <f ca="1">'F90-含税 '!N18</f>
        <v>3.2</v>
      </c>
      <c r="O18" s="507">
        <f ca="1">'F90-含税 '!O18</f>
        <v>172.849896477487</v>
      </c>
    </row>
    <row r="19" spans="1:15">
      <c r="A19" s="502" t="s">
        <v>141</v>
      </c>
      <c r="B19" s="503" t="s">
        <v>167</v>
      </c>
      <c r="C19" s="505">
        <f ca="1">'F90-含税 '!C19</f>
        <v>0</v>
      </c>
      <c r="D19" s="505">
        <f ca="1">'F90-含税 '!D19</f>
        <v>0</v>
      </c>
      <c r="E19" s="505">
        <f ca="1">'F90-含税 '!E19</f>
        <v>0</v>
      </c>
      <c r="F19" s="507">
        <f ca="1">'F90-含税 '!F19</f>
        <v>0</v>
      </c>
      <c r="G19" s="505">
        <f ca="1">'F90-含税 '!G19</f>
        <v>0</v>
      </c>
      <c r="H19" s="562"/>
      <c r="I19" s="502" t="s">
        <v>141</v>
      </c>
      <c r="J19" s="503" t="s">
        <v>167</v>
      </c>
      <c r="K19" s="505">
        <f ca="1">分配表!O197</f>
        <v>36.3830972699914</v>
      </c>
      <c r="L19" s="505">
        <f ca="1">'F90-含税 '!L19</f>
        <v>0.149782135076253</v>
      </c>
      <c r="M19" s="505">
        <f ca="1">'F90-含税 '!M19</f>
        <v>5.4495379897863</v>
      </c>
      <c r="N19" s="507">
        <f ca="1">'F90-含税 '!N19</f>
        <v>5.5</v>
      </c>
      <c r="O19" s="507">
        <f ca="1">'F90-含税 '!O19</f>
        <v>200.107034984953</v>
      </c>
    </row>
    <row r="20" spans="1:15">
      <c r="A20" s="502" t="s">
        <v>142</v>
      </c>
      <c r="B20" s="503" t="s">
        <v>167</v>
      </c>
      <c r="C20" s="505">
        <f ca="1">'F90-含税 '!C20</f>
        <v>0</v>
      </c>
      <c r="D20" s="505">
        <f ca="1">'F90-含税 '!D20</f>
        <v>0</v>
      </c>
      <c r="E20" s="505">
        <f ca="1">'F90-含税 '!E20</f>
        <v>0</v>
      </c>
      <c r="F20" s="507">
        <f ca="1">'F90-含税 '!F20</f>
        <v>0</v>
      </c>
      <c r="G20" s="505">
        <f ca="1">'F90-含税 '!G20</f>
        <v>0</v>
      </c>
      <c r="H20" s="562"/>
      <c r="I20" s="502" t="s">
        <v>142</v>
      </c>
      <c r="J20" s="503" t="s">
        <v>167</v>
      </c>
      <c r="K20" s="505">
        <f ca="1">分配表!O198</f>
        <v>246.992032636057</v>
      </c>
      <c r="L20" s="505">
        <f ca="1">'F90-含税 '!L20</f>
        <v>0.0898692810457516</v>
      </c>
      <c r="M20" s="505">
        <f ca="1">'F90-含税 '!M20</f>
        <v>22.1969963970313</v>
      </c>
      <c r="N20" s="507">
        <f ca="1">'F90-含税 '!N20</f>
        <v>3.3</v>
      </c>
      <c r="O20" s="507">
        <f ca="1">'F90-含税 '!O20</f>
        <v>815.073707698989</v>
      </c>
    </row>
    <row r="21" spans="1:15">
      <c r="A21" s="502" t="s">
        <v>143</v>
      </c>
      <c r="B21" s="503" t="s">
        <v>167</v>
      </c>
      <c r="C21" s="505">
        <f ca="1">'F90-含税 '!C21</f>
        <v>0</v>
      </c>
      <c r="D21" s="505">
        <f ca="1">'F90-含税 '!D21</f>
        <v>0</v>
      </c>
      <c r="E21" s="505">
        <f ca="1">'F90-含税 '!E21</f>
        <v>0</v>
      </c>
      <c r="F21" s="507">
        <f ca="1">'F90-含税 '!F21</f>
        <v>0</v>
      </c>
      <c r="G21" s="505">
        <f ca="1">'F90-含税 '!G21</f>
        <v>0</v>
      </c>
      <c r="H21" s="562"/>
      <c r="I21" s="502" t="s">
        <v>143</v>
      </c>
      <c r="J21" s="503" t="s">
        <v>167</v>
      </c>
      <c r="K21" s="505">
        <f ca="1">分配表!O199</f>
        <v>1.1068060104712</v>
      </c>
      <c r="L21" s="505">
        <f ca="1">'F90-含税 '!L21</f>
        <v>0.435729847494553</v>
      </c>
      <c r="M21" s="505">
        <f ca="1">'F90-含税 '!M21</f>
        <v>0.482268414148673</v>
      </c>
      <c r="N21" s="507">
        <f ca="1">'F90-含税 '!N21</f>
        <v>16</v>
      </c>
      <c r="O21" s="507">
        <f ca="1">'F90-含税 '!O21</f>
        <v>17.7088961675393</v>
      </c>
    </row>
    <row r="22" spans="1:15">
      <c r="A22" s="502" t="s">
        <v>144</v>
      </c>
      <c r="B22" s="503" t="s">
        <v>167</v>
      </c>
      <c r="C22" s="505">
        <f ca="1">'F90-含税 '!C22</f>
        <v>0</v>
      </c>
      <c r="D22" s="505">
        <f ca="1">'F90-含税 '!D22</f>
        <v>0</v>
      </c>
      <c r="E22" s="505">
        <f ca="1">'F90-含税 '!E22</f>
        <v>0</v>
      </c>
      <c r="F22" s="507">
        <f ca="1">'F90-含税 '!F22</f>
        <v>0</v>
      </c>
      <c r="G22" s="505">
        <f ca="1">'F90-含税 '!G22</f>
        <v>0</v>
      </c>
      <c r="H22" s="562"/>
      <c r="I22" s="502" t="s">
        <v>144</v>
      </c>
      <c r="J22" s="503" t="s">
        <v>167</v>
      </c>
      <c r="K22" s="505">
        <f ca="1">分配表!O200</f>
        <v>2.09737053412463</v>
      </c>
      <c r="L22" s="505">
        <f ca="1">'F90-含税 '!L22</f>
        <v>0.299564270152505</v>
      </c>
      <c r="M22" s="505">
        <f ca="1">'F90-含税 '!M22</f>
        <v>0.628297273294415</v>
      </c>
      <c r="N22" s="507">
        <f ca="1">'F90-含税 '!N22</f>
        <v>11</v>
      </c>
      <c r="O22" s="507">
        <f ca="1">'F90-含税 '!O22</f>
        <v>23.0710758753709</v>
      </c>
    </row>
    <row r="23" spans="1:15">
      <c r="A23" s="502" t="s">
        <v>146</v>
      </c>
      <c r="B23" s="503" t="s">
        <v>167</v>
      </c>
      <c r="C23" s="505">
        <f>'F90-含税 '!C23</f>
        <v>0</v>
      </c>
      <c r="D23" s="505">
        <f>'F90-含税 '!D23</f>
        <v>0</v>
      </c>
      <c r="E23" s="505">
        <f ca="1">'F90-含税 '!E23</f>
        <v>0</v>
      </c>
      <c r="F23" s="507">
        <f>'F90-含税 '!F23</f>
        <v>0</v>
      </c>
      <c r="G23" s="505" t="e">
        <f ca="1">'F90-含税 '!G23</f>
        <v>#DIV/0!</v>
      </c>
      <c r="H23" s="562"/>
      <c r="I23" s="502" t="s">
        <v>146</v>
      </c>
      <c r="J23" s="503" t="s">
        <v>167</v>
      </c>
      <c r="K23" s="505">
        <f>分配表!O201</f>
        <v>0</v>
      </c>
      <c r="L23" s="505">
        <f>'F90-含税 '!L23</f>
        <v>0</v>
      </c>
      <c r="M23" s="505" t="e">
        <f ca="1">'F90-含税 '!M23</f>
        <v>#DIV/0!</v>
      </c>
      <c r="N23" s="507">
        <f>'F90-含税 '!N23</f>
        <v>0</v>
      </c>
      <c r="O23" s="507" t="e">
        <f ca="1">'F90-含税 '!O23</f>
        <v>#DIV/0!</v>
      </c>
    </row>
    <row r="24" spans="1:15">
      <c r="A24" s="502" t="s">
        <v>147</v>
      </c>
      <c r="B24" s="503"/>
      <c r="C24" s="505"/>
      <c r="D24" s="505"/>
      <c r="E24" s="505">
        <f ca="1">'F90-含税 '!E24</f>
        <v>0</v>
      </c>
      <c r="F24" s="507"/>
      <c r="G24" s="480" t="e">
        <f ca="1">'F90-含税 '!G24</f>
        <v>#DIV/0!</v>
      </c>
      <c r="H24" s="562"/>
      <c r="I24" s="502" t="s">
        <v>147</v>
      </c>
      <c r="J24" s="503"/>
      <c r="K24" s="505"/>
      <c r="L24" s="505"/>
      <c r="M24" s="505" t="e">
        <f ca="1">'F90-含税 '!M24</f>
        <v>#DIV/0!</v>
      </c>
      <c r="N24" s="507"/>
      <c r="O24" s="507" t="e">
        <f ca="1">'F90-含税 '!O24</f>
        <v>#DIV/0!</v>
      </c>
    </row>
    <row r="25" spans="1:15">
      <c r="A25" s="508" t="s">
        <v>208</v>
      </c>
      <c r="B25" s="490"/>
      <c r="C25" s="501"/>
      <c r="D25" s="492"/>
      <c r="E25" s="491">
        <f ca="1">SUM(E26:E30)</f>
        <v>0</v>
      </c>
      <c r="F25" s="491"/>
      <c r="G25" s="491" t="e">
        <f ca="1">SUM(G26:G30)</f>
        <v>#DIV/0!</v>
      </c>
      <c r="H25" s="562"/>
      <c r="I25" s="508" t="s">
        <v>208</v>
      </c>
      <c r="J25" s="490"/>
      <c r="K25" s="501"/>
      <c r="L25" s="492"/>
      <c r="M25" s="491" t="e">
        <f ca="1">SUM(M26:M30)</f>
        <v>#DIV/0!</v>
      </c>
      <c r="N25" s="491"/>
      <c r="O25" s="491" t="e">
        <f ca="1">SUM(O26:O30)</f>
        <v>#DIV/0!</v>
      </c>
    </row>
    <row r="26" spans="1:15">
      <c r="A26" s="502" t="s">
        <v>95</v>
      </c>
      <c r="B26" s="503" t="s">
        <v>75</v>
      </c>
      <c r="C26" s="566">
        <f ca="1">OFFSET(分配表!C306,0,mth-1,1,1)</f>
        <v>0</v>
      </c>
      <c r="D26" s="497">
        <f ca="1">'F90-含税 '!D27</f>
        <v>0</v>
      </c>
      <c r="E26" s="507">
        <f ca="1">C26*D26</f>
        <v>0</v>
      </c>
      <c r="F26" s="507">
        <f ca="1">'F90-含税 '!F27</f>
        <v>0</v>
      </c>
      <c r="G26" s="507">
        <f ca="1">E26*F$3</f>
        <v>0</v>
      </c>
      <c r="H26" s="562"/>
      <c r="I26" s="502" t="s">
        <v>95</v>
      </c>
      <c r="J26" s="503" t="s">
        <v>75</v>
      </c>
      <c r="K26" s="567">
        <f ca="1">分配表!O306</f>
        <v>408.530937837231</v>
      </c>
      <c r="L26" s="505">
        <f ca="1">'F90-含税 '!L27</f>
        <v>0.816993464052288</v>
      </c>
      <c r="M26" s="507">
        <f ca="1">K26*L26</f>
        <v>333.767106076169</v>
      </c>
      <c r="N26" s="507">
        <f ca="1">'F90-含税 '!N27</f>
        <v>30</v>
      </c>
      <c r="O26" s="507">
        <f ca="1">M26*N$3</f>
        <v>12255.9281351169</v>
      </c>
    </row>
    <row r="27" spans="1:15">
      <c r="A27" s="502" t="s">
        <v>96</v>
      </c>
      <c r="B27" s="503" t="s">
        <v>97</v>
      </c>
      <c r="C27" s="566">
        <f ca="1">'F90-含税 '!C28</f>
        <v>0</v>
      </c>
      <c r="D27" s="505">
        <f ca="1">'F90-含税 '!D28</f>
        <v>0</v>
      </c>
      <c r="E27" s="480">
        <f ca="1">'F90-含税 '!E28</f>
        <v>0</v>
      </c>
      <c r="F27" s="507" t="e">
        <f ca="1">'F90-含税 '!F28</f>
        <v>#DIV/0!</v>
      </c>
      <c r="G27" s="480">
        <f ca="1">'F90-含税 '!G28</f>
        <v>0</v>
      </c>
      <c r="H27" s="562"/>
      <c r="I27" s="502" t="s">
        <v>96</v>
      </c>
      <c r="J27" s="503" t="s">
        <v>97</v>
      </c>
      <c r="K27" s="566">
        <f ca="1">'F90-含税 '!K28</f>
        <v>0.769119583630169</v>
      </c>
      <c r="L27" s="505" t="e">
        <f ca="1">'F90-含税 '!L28</f>
        <v>#DIV/0!</v>
      </c>
      <c r="M27" s="480" t="e">
        <f ca="1">'F90-含税 '!M28</f>
        <v>#DIV/0!</v>
      </c>
      <c r="N27" s="507" t="e">
        <f ca="1">'F90-含税 '!N28</f>
        <v>#DIV/0!</v>
      </c>
      <c r="O27" s="480" t="e">
        <f ca="1">'F90-含税 '!O28</f>
        <v>#DIV/0!</v>
      </c>
    </row>
    <row r="28" spans="1:15">
      <c r="A28" s="502" t="s">
        <v>98</v>
      </c>
      <c r="B28" s="503" t="s">
        <v>75</v>
      </c>
      <c r="C28" s="566">
        <f>3.32+0.9*2.97</f>
        <v>5.993</v>
      </c>
      <c r="D28" s="505">
        <f ca="1">'F90-含税 '!D29</f>
        <v>0</v>
      </c>
      <c r="E28" s="480">
        <f ca="1">D28*C28</f>
        <v>0</v>
      </c>
      <c r="F28" s="507" t="e">
        <f ca="1">'F90-含税 '!F29</f>
        <v>#DIV/0!</v>
      </c>
      <c r="G28" s="480">
        <f ca="1">E28*F3</f>
        <v>0</v>
      </c>
      <c r="H28" s="562"/>
      <c r="I28" s="502" t="s">
        <v>98</v>
      </c>
      <c r="J28" s="503" t="s">
        <v>75</v>
      </c>
      <c r="K28" s="566">
        <f>3.32+0.9*2.97</f>
        <v>5.993</v>
      </c>
      <c r="L28" s="505" t="e">
        <f ca="1">'F90-含税 '!L29</f>
        <v>#DIV/0!</v>
      </c>
      <c r="M28" s="480" t="e">
        <f ca="1">L28*K28</f>
        <v>#DIV/0!</v>
      </c>
      <c r="N28" s="507" t="e">
        <f ca="1">'F90-含税 '!N29</f>
        <v>#DIV/0!</v>
      </c>
      <c r="O28" s="480" t="e">
        <f ca="1">M28*N3</f>
        <v>#DIV/0!</v>
      </c>
    </row>
    <row r="29" spans="1:15">
      <c r="A29" s="502" t="s">
        <v>99</v>
      </c>
      <c r="B29" s="503" t="s">
        <v>75</v>
      </c>
      <c r="C29" s="566">
        <f ca="1">'F90-含税 '!C30*1.13</f>
        <v>0</v>
      </c>
      <c r="D29" s="505">
        <f ca="1">'F90-含税 '!D30</f>
        <v>0</v>
      </c>
      <c r="E29" s="480">
        <f ca="1">'F90-含税 '!E30</f>
        <v>0</v>
      </c>
      <c r="F29" s="507">
        <f ca="1">'F90-含税 '!F30</f>
        <v>0</v>
      </c>
      <c r="G29" s="480">
        <f ca="1">'F90-含税 '!G30</f>
        <v>0</v>
      </c>
      <c r="H29" s="562"/>
      <c r="I29" s="502" t="s">
        <v>99</v>
      </c>
      <c r="J29" s="503" t="s">
        <v>75</v>
      </c>
      <c r="K29" s="566">
        <f>'F90-含税 '!K30</f>
        <v>0</v>
      </c>
      <c r="L29" s="505">
        <f ca="1">'F90-含税 '!L30</f>
        <v>0</v>
      </c>
      <c r="M29" s="480">
        <f ca="1">'F90-含税 '!M30*1.13</f>
        <v>0</v>
      </c>
      <c r="N29" s="507">
        <f>'F90-含税 '!N30</f>
        <v>0</v>
      </c>
      <c r="O29" s="480">
        <f ca="1">'F90-含税 '!O30</f>
        <v>0</v>
      </c>
    </row>
    <row r="30" spans="1:15">
      <c r="A30" s="516" t="s">
        <v>209</v>
      </c>
      <c r="B30" s="503"/>
      <c r="C30" s="505"/>
      <c r="D30" s="497"/>
      <c r="E30" s="507">
        <f ca="1">IF(VALUE($F$3)=0,0,G30/$F$3)</f>
        <v>0</v>
      </c>
      <c r="F30" s="507"/>
      <c r="G30" s="507" t="e">
        <f ca="1">'F90-含税 '!G31</f>
        <v>#DIV/0!</v>
      </c>
      <c r="H30" s="568"/>
      <c r="I30" s="516" t="s">
        <v>209</v>
      </c>
      <c r="J30" s="503"/>
      <c r="K30" s="505">
        <f ca="1">IF(N30=0,0,O30/N30)</f>
        <v>0</v>
      </c>
      <c r="L30" s="497">
        <f ca="1">IF(K30=0,0,M30/K30)</f>
        <v>0</v>
      </c>
      <c r="M30" s="507" t="e">
        <f ca="1">IF(N$3=0,0,O30/N$3)</f>
        <v>#DIV/0!</v>
      </c>
      <c r="N30" s="505"/>
      <c r="O30" s="507" t="e">
        <f ca="1">'F90-含税 '!O31</f>
        <v>#DIV/0!</v>
      </c>
    </row>
    <row r="31" spans="1:15">
      <c r="A31" s="508" t="s">
        <v>210</v>
      </c>
      <c r="B31" s="490"/>
      <c r="C31" s="501"/>
      <c r="D31" s="492"/>
      <c r="E31" s="542">
        <f ca="1">IF(VALUE(F$3)=0,0,G31/F$3)</f>
        <v>0</v>
      </c>
      <c r="F31" s="491"/>
      <c r="G31" s="491" t="e">
        <f ca="1">'F90-含税 '!G34</f>
        <v>#DIV/0!</v>
      </c>
      <c r="H31" s="562"/>
      <c r="I31" s="508" t="s">
        <v>210</v>
      </c>
      <c r="J31" s="490"/>
      <c r="K31" s="501"/>
      <c r="L31" s="492"/>
      <c r="M31" s="491" t="e">
        <f ca="1">IF(N$3=0,0,O31/N$3)</f>
        <v>#DIV/0!</v>
      </c>
      <c r="N31" s="491"/>
      <c r="O31" s="491" t="e">
        <f ca="1">'F90-含税 '!O34</f>
        <v>#DIV/0!</v>
      </c>
    </row>
    <row r="32" spans="1:15">
      <c r="A32" s="508" t="s">
        <v>211</v>
      </c>
      <c r="B32" s="508"/>
      <c r="C32" s="508"/>
      <c r="D32" s="508"/>
      <c r="E32" s="542">
        <f ca="1">'F90-含税 '!E44</f>
        <v>0</v>
      </c>
      <c r="F32" s="542"/>
      <c r="G32" s="542" t="e">
        <f ca="1">'F90-含税 '!G44</f>
        <v>#DIV/0!</v>
      </c>
      <c r="H32" s="459"/>
      <c r="I32" s="508" t="s">
        <v>211</v>
      </c>
      <c r="J32" s="508"/>
      <c r="K32" s="508"/>
      <c r="L32" s="508"/>
      <c r="M32" s="542" t="e">
        <f ca="1">'F90-含税 '!M44</f>
        <v>#DIV/0!</v>
      </c>
      <c r="N32" s="542"/>
      <c r="O32" s="542" t="e">
        <f ca="1">'F90-含税 '!O44</f>
        <v>#DIV/0!</v>
      </c>
    </row>
    <row r="33" spans="1:15">
      <c r="A33" s="508" t="s">
        <v>212</v>
      </c>
      <c r="B33" s="508"/>
      <c r="C33" s="508"/>
      <c r="D33" s="508"/>
      <c r="E33" s="491" t="e">
        <f ca="1">G33/F3</f>
        <v>#DIV/0!</v>
      </c>
      <c r="F33" s="491"/>
      <c r="G33" s="491" t="e">
        <f ca="1">'F90-含税 '!G55</f>
        <v>#DIV/0!</v>
      </c>
      <c r="H33" s="563"/>
      <c r="I33" s="508" t="s">
        <v>212</v>
      </c>
      <c r="J33" s="508"/>
      <c r="K33" s="508"/>
      <c r="L33" s="508"/>
      <c r="M33" s="491" t="e">
        <f ca="1">O33/N3</f>
        <v>#DIV/0!</v>
      </c>
      <c r="N33" s="491"/>
      <c r="O33" s="491" t="e">
        <f ca="1">'F90-含税 '!O55</f>
        <v>#DIV/0!</v>
      </c>
    </row>
    <row r="34" spans="1:15">
      <c r="A34" s="569" t="s">
        <v>105</v>
      </c>
      <c r="B34" s="47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73"/>
      <c r="I34" s="569" t="s">
        <v>105</v>
      </c>
      <c r="J34" s="47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</row>
    <row r="35" spans="1:15">
      <c r="A35" s="513" t="s">
        <v>106</v>
      </c>
      <c r="B35" s="485"/>
      <c r="C35" s="514"/>
      <c r="D35" s="515"/>
      <c r="E35" s="487">
        <f ca="1">SUM(E36:E42)</f>
        <v>0</v>
      </c>
      <c r="F35" s="488"/>
      <c r="G35" s="487" t="e">
        <f ca="1">SUM(G36:G42)</f>
        <v>#DIV/0!</v>
      </c>
      <c r="H35" s="562"/>
      <c r="I35" s="513" t="s">
        <v>106</v>
      </c>
      <c r="J35" s="485"/>
      <c r="K35" s="514"/>
      <c r="L35" s="515"/>
      <c r="M35" s="487" t="e">
        <f ca="1">IF(N$3=0,0,O35/N$3)</f>
        <v>#DIV/0!</v>
      </c>
      <c r="N35" s="488"/>
      <c r="O35" s="487" t="e">
        <f ca="1">SUM(O36:O42)</f>
        <v>#DIV/0!</v>
      </c>
    </row>
    <row r="36" spans="1:15">
      <c r="A36" s="516" t="s">
        <v>107</v>
      </c>
      <c r="B36" s="503"/>
      <c r="C36" s="505"/>
      <c r="D36" s="497"/>
      <c r="E36" s="575">
        <f ca="1">'F90-含税 '!E37</f>
        <v>0</v>
      </c>
      <c r="F36" s="517"/>
      <c r="G36" s="480" t="e">
        <f ca="1">'F90-含税 '!G37</f>
        <v>#DIV/0!</v>
      </c>
      <c r="H36" s="483"/>
      <c r="I36" s="516" t="s">
        <v>107</v>
      </c>
      <c r="J36" s="503"/>
      <c r="K36" s="505"/>
      <c r="L36" s="497"/>
      <c r="M36" s="575" t="e">
        <f ca="1">'F90-含税 '!M37</f>
        <v>#DIV/0!</v>
      </c>
      <c r="N36" s="517"/>
      <c r="O36" s="480" t="e">
        <f ca="1">'F90-含税 '!O37</f>
        <v>#DIV/0!</v>
      </c>
    </row>
    <row r="37" spans="1:15">
      <c r="A37" s="516" t="s">
        <v>108</v>
      </c>
      <c r="B37" s="503"/>
      <c r="C37" s="505"/>
      <c r="D37" s="497"/>
      <c r="E37" s="575">
        <f ca="1">'F90-含税 '!E38</f>
        <v>0</v>
      </c>
      <c r="F37" s="517"/>
      <c r="G37" s="480" t="e">
        <f ca="1">'F90-含税 '!G38</f>
        <v>#DIV/0!</v>
      </c>
      <c r="H37" s="483"/>
      <c r="I37" s="516" t="s">
        <v>108</v>
      </c>
      <c r="J37" s="503"/>
      <c r="K37" s="505"/>
      <c r="L37" s="497"/>
      <c r="M37" s="575" t="e">
        <f ca="1">'F90-含税 '!M38</f>
        <v>#DIV/0!</v>
      </c>
      <c r="N37" s="517"/>
      <c r="O37" s="480" t="e">
        <f ca="1">'F90-含税 '!O38</f>
        <v>#DIV/0!</v>
      </c>
    </row>
    <row r="38" spans="1:15">
      <c r="A38" s="516" t="s">
        <v>109</v>
      </c>
      <c r="B38" s="503"/>
      <c r="C38" s="498"/>
      <c r="D38" s="518"/>
      <c r="E38" s="575">
        <f ca="1">'F90-含税 '!E39</f>
        <v>0</v>
      </c>
      <c r="F38" s="517"/>
      <c r="G38" s="480" t="e">
        <f ca="1">'F90-含税 '!G39</f>
        <v>#DIV/0!</v>
      </c>
      <c r="H38" s="483"/>
      <c r="I38" s="516" t="s">
        <v>109</v>
      </c>
      <c r="J38" s="503"/>
      <c r="K38" s="498"/>
      <c r="L38" s="518"/>
      <c r="M38" s="575" t="e">
        <f ca="1">'F90-含税 '!M39</f>
        <v>#DIV/0!</v>
      </c>
      <c r="N38" s="517"/>
      <c r="O38" s="480" t="e">
        <f ca="1">'F90-含税 '!O39</f>
        <v>#DIV/0!</v>
      </c>
    </row>
    <row r="39" spans="1:15">
      <c r="A39" s="516" t="s">
        <v>110</v>
      </c>
      <c r="B39" s="503"/>
      <c r="C39" s="498"/>
      <c r="D39" s="518"/>
      <c r="E39" s="575">
        <f ca="1">'F90-含税 '!E40</f>
        <v>0</v>
      </c>
      <c r="F39" s="517"/>
      <c r="G39" s="480" t="e">
        <f ca="1">'F90-含税 '!G40</f>
        <v>#DIV/0!</v>
      </c>
      <c r="H39" s="483"/>
      <c r="I39" s="516" t="s">
        <v>110</v>
      </c>
      <c r="J39" s="503"/>
      <c r="K39" s="498"/>
      <c r="L39" s="518"/>
      <c r="M39" s="575" t="e">
        <f ca="1">'F90-含税 '!M40</f>
        <v>#DIV/0!</v>
      </c>
      <c r="N39" s="517"/>
      <c r="O39" s="480" t="e">
        <f ca="1">'F90-含税 '!O40</f>
        <v>#DIV/0!</v>
      </c>
    </row>
    <row r="40" spans="1:15">
      <c r="A40" s="516" t="s">
        <v>111</v>
      </c>
      <c r="B40" s="503"/>
      <c r="C40" s="498"/>
      <c r="D40" s="518"/>
      <c r="E40" s="575">
        <f ca="1">'F90-含税 '!E41</f>
        <v>0</v>
      </c>
      <c r="F40" s="517"/>
      <c r="G40" s="575" t="e">
        <f ca="1">'F90-含税 '!G41</f>
        <v>#DIV/0!</v>
      </c>
      <c r="H40" s="483"/>
      <c r="I40" s="516" t="s">
        <v>111</v>
      </c>
      <c r="J40" s="503"/>
      <c r="K40" s="498"/>
      <c r="L40" s="518"/>
      <c r="M40" s="575" t="e">
        <f ca="1">'F90-含税 '!M41</f>
        <v>#DIV/0!</v>
      </c>
      <c r="N40" s="517"/>
      <c r="O40" s="480" t="e">
        <f ca="1">'F90-含税 '!O41</f>
        <v>#DIV/0!</v>
      </c>
    </row>
    <row r="41" spans="1:15">
      <c r="A41" s="516" t="s">
        <v>112</v>
      </c>
      <c r="B41" s="503"/>
      <c r="C41" s="498"/>
      <c r="D41" s="518"/>
      <c r="E41" s="575">
        <f ca="1">'F90-含税 '!E42</f>
        <v>0</v>
      </c>
      <c r="F41" s="517"/>
      <c r="G41" s="480" t="e">
        <f ca="1">'F90-含税 '!G42</f>
        <v>#DIV/0!</v>
      </c>
      <c r="H41" s="483"/>
      <c r="I41" s="516" t="s">
        <v>112</v>
      </c>
      <c r="J41" s="503"/>
      <c r="K41" s="498"/>
      <c r="L41" s="518"/>
      <c r="M41" s="575" t="e">
        <f ca="1">'F90-含税 '!M42</f>
        <v>#DIV/0!</v>
      </c>
      <c r="N41" s="517"/>
      <c r="O41" s="480" t="e">
        <f ca="1">'F90-含税 '!O42</f>
        <v>#DIV/0!</v>
      </c>
    </row>
    <row r="42" spans="1:15">
      <c r="A42" s="516" t="s">
        <v>113</v>
      </c>
      <c r="B42" s="503"/>
      <c r="C42" s="498"/>
      <c r="D42" s="518"/>
      <c r="E42" s="575"/>
      <c r="F42" s="517"/>
      <c r="G42" s="575"/>
      <c r="H42" s="459"/>
      <c r="I42" s="516" t="s">
        <v>114</v>
      </c>
      <c r="J42" s="503"/>
      <c r="K42" s="498"/>
      <c r="L42" s="518"/>
      <c r="M42" s="575"/>
      <c r="N42" s="517"/>
      <c r="O42" s="575"/>
    </row>
    <row r="43" hidden="1" spans="1:15">
      <c r="A43" s="516" t="s">
        <v>116</v>
      </c>
      <c r="B43" s="503"/>
      <c r="C43" s="498"/>
      <c r="D43" s="518"/>
      <c r="E43" s="576"/>
      <c r="F43" s="517"/>
      <c r="G43" s="575"/>
      <c r="H43" s="459"/>
      <c r="I43" s="516" t="s">
        <v>116</v>
      </c>
      <c r="J43" s="503"/>
      <c r="K43" s="498"/>
      <c r="L43" s="518"/>
      <c r="M43" s="576"/>
      <c r="N43" s="517"/>
      <c r="O43" s="576"/>
    </row>
    <row r="44" hidden="1" spans="1:15">
      <c r="A44" s="516" t="s">
        <v>117</v>
      </c>
      <c r="B44" s="503"/>
      <c r="C44" s="498"/>
      <c r="D44" s="518"/>
      <c r="E44" s="576">
        <f ca="1">'F90-含税 '!E46</f>
        <v>0</v>
      </c>
      <c r="F44" s="517"/>
      <c r="G44" s="575" t="e">
        <f ca="1">'F90-含税 '!G46</f>
        <v>#DIV/0!</v>
      </c>
      <c r="H44" s="459"/>
      <c r="I44" s="516" t="s">
        <v>117</v>
      </c>
      <c r="J44" s="503"/>
      <c r="K44" s="498"/>
      <c r="L44" s="518"/>
      <c r="M44" s="576" t="e">
        <f ca="1">'F90-含税 '!M46</f>
        <v>#DIV/0!</v>
      </c>
      <c r="N44" s="517"/>
      <c r="O44" s="576" t="e">
        <f ca="1">'F90-含税 '!O46</f>
        <v>#DIV/0!</v>
      </c>
    </row>
    <row r="45" hidden="1" spans="1:15">
      <c r="A45" s="516" t="s">
        <v>118</v>
      </c>
      <c r="B45" s="503"/>
      <c r="C45" s="498"/>
      <c r="D45" s="518"/>
      <c r="E45" s="576">
        <f ca="1">'F90-含税 '!E47</f>
        <v>0</v>
      </c>
      <c r="F45" s="517"/>
      <c r="G45" s="575" t="e">
        <f ca="1">'F90-含税 '!G47</f>
        <v>#DIV/0!</v>
      </c>
      <c r="H45" s="459"/>
      <c r="I45" s="516" t="s">
        <v>118</v>
      </c>
      <c r="J45" s="503"/>
      <c r="K45" s="498"/>
      <c r="L45" s="518"/>
      <c r="M45" s="576" t="e">
        <f ca="1">'F90-含税 '!M47</f>
        <v>#DIV/0!</v>
      </c>
      <c r="N45" s="517"/>
      <c r="O45" s="576" t="e">
        <f ca="1">'F90-含税 '!O47</f>
        <v>#DIV/0!</v>
      </c>
    </row>
    <row r="46" hidden="1" spans="1:15">
      <c r="A46" s="516" t="s">
        <v>119</v>
      </c>
      <c r="B46" s="503"/>
      <c r="C46" s="498"/>
      <c r="D46" s="518"/>
      <c r="E46" s="576">
        <f ca="1">'F90-含税 '!E48</f>
        <v>0</v>
      </c>
      <c r="F46" s="517"/>
      <c r="G46" s="575" t="e">
        <f ca="1">'F90-含税 '!G48</f>
        <v>#DIV/0!</v>
      </c>
      <c r="H46" s="459"/>
      <c r="I46" s="516" t="s">
        <v>119</v>
      </c>
      <c r="J46" s="503"/>
      <c r="K46" s="498"/>
      <c r="L46" s="518"/>
      <c r="M46" s="576" t="e">
        <f ca="1">'F90-含税 '!M48</f>
        <v>#DIV/0!</v>
      </c>
      <c r="N46" s="517"/>
      <c r="O46" s="576" t="e">
        <f ca="1">'F90-含税 '!O48</f>
        <v>#DIV/0!</v>
      </c>
    </row>
    <row r="47" hidden="1" spans="1:15">
      <c r="A47" s="516" t="s">
        <v>120</v>
      </c>
      <c r="B47" s="503"/>
      <c r="C47" s="498"/>
      <c r="D47" s="518"/>
      <c r="E47" s="576">
        <f ca="1">'F90-含税 '!E49</f>
        <v>0</v>
      </c>
      <c r="F47" s="517"/>
      <c r="G47" s="575" t="e">
        <f ca="1">'F90-含税 '!G49</f>
        <v>#DIV/0!</v>
      </c>
      <c r="H47" s="459"/>
      <c r="I47" s="516" t="s">
        <v>120</v>
      </c>
      <c r="J47" s="503"/>
      <c r="K47" s="498"/>
      <c r="L47" s="518"/>
      <c r="M47" s="576" t="e">
        <f ca="1">'F90-含税 '!M49</f>
        <v>#DIV/0!</v>
      </c>
      <c r="N47" s="517"/>
      <c r="O47" s="576" t="e">
        <f ca="1">'F90-含税 '!O49</f>
        <v>#DIV/0!</v>
      </c>
    </row>
    <row r="48" hidden="1" spans="1:15">
      <c r="A48" s="516" t="s">
        <v>121</v>
      </c>
      <c r="B48" s="503"/>
      <c r="C48" s="498"/>
      <c r="D48" s="518"/>
      <c r="E48" s="576">
        <f ca="1">'F90-含税 '!E50</f>
        <v>0</v>
      </c>
      <c r="F48" s="517"/>
      <c r="G48" s="575" t="e">
        <f ca="1">'F90-含税 '!G50</f>
        <v>#DIV/0!</v>
      </c>
      <c r="H48" s="459"/>
      <c r="I48" s="516" t="s">
        <v>121</v>
      </c>
      <c r="J48" s="503"/>
      <c r="K48" s="498"/>
      <c r="L48" s="518"/>
      <c r="M48" s="576" t="e">
        <f ca="1">'F90-含税 '!M50</f>
        <v>#DIV/0!</v>
      </c>
      <c r="N48" s="517"/>
      <c r="O48" s="576" t="e">
        <f ca="1">'F90-含税 '!O50</f>
        <v>#DIV/0!</v>
      </c>
    </row>
    <row r="49" spans="1:15">
      <c r="A49" s="577" t="s">
        <v>122</v>
      </c>
      <c r="B49" s="485" t="s">
        <v>123</v>
      </c>
      <c r="C49" s="514"/>
      <c r="D49" s="515"/>
      <c r="E49" s="578" t="e">
        <f ca="1">E35+E10</f>
        <v>#DIV/0!</v>
      </c>
      <c r="F49" s="579"/>
      <c r="G49" s="578" t="e">
        <f ca="1">G35+G10</f>
        <v>#DIV/0!</v>
      </c>
      <c r="H49" s="483"/>
      <c r="I49" s="577" t="s">
        <v>122</v>
      </c>
      <c r="J49" s="485" t="s">
        <v>123</v>
      </c>
      <c r="K49" s="514"/>
      <c r="L49" s="515"/>
      <c r="M49" s="578" t="e">
        <f ca="1">M35+M10</f>
        <v>#DIV/0!</v>
      </c>
      <c r="N49" s="579"/>
      <c r="O49" s="578" t="e">
        <f ca="1">O35+O10</f>
        <v>#DIV/0!</v>
      </c>
    </row>
    <row r="50" spans="1:15">
      <c r="A50" s="580" t="s">
        <v>124</v>
      </c>
      <c r="B50" s="48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48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</row>
    <row r="51" ht="16.5" spans="1:15">
      <c r="A51" s="580" t="s">
        <v>125</v>
      </c>
      <c r="B51" s="48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48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</row>
    <row r="52" ht="16.5" spans="1:15">
      <c r="A52" s="529" t="s">
        <v>126</v>
      </c>
      <c r="B52" s="530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535"/>
      <c r="I52" s="536" t="s">
        <v>126</v>
      </c>
      <c r="J52" s="537" t="s">
        <v>123</v>
      </c>
      <c r="K52" s="533"/>
      <c r="L52" s="533"/>
      <c r="M52" s="533" t="e">
        <f ca="1">M10-M11+M35</f>
        <v>#DIV/0!</v>
      </c>
      <c r="N52" s="533"/>
      <c r="O52" s="534" t="e">
        <f ca="1">O10-O11+O35</f>
        <v>#DIV/0!</v>
      </c>
    </row>
    <row r="56" spans="1:15">
      <c r="A56" s="582"/>
      <c r="B56" s="538"/>
      <c r="C56" s="459"/>
      <c r="D56" s="459"/>
      <c r="E56" s="539"/>
      <c r="F56" s="539"/>
      <c r="G56" s="539"/>
      <c r="H56" s="459"/>
      <c r="I56" s="459"/>
      <c r="J56" s="459"/>
      <c r="K56" s="459"/>
      <c r="L56" s="459"/>
      <c r="M56" s="499"/>
      <c r="N56" s="459"/>
      <c r="O56" s="539"/>
    </row>
  </sheetData>
  <mergeCells count="2">
    <mergeCell ref="A1:G1"/>
    <mergeCell ref="I1:O1"/>
  </mergeCell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105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>
    <tabColor theme="7" tint="0.399975585192419"/>
  </sheetPr>
  <dimension ref="A1:T5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Q41" sqref="Q41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4" width="9" style="40" customWidth="1"/>
    <col min="5" max="5" width="9" style="462" customWidth="1"/>
    <col min="6" max="6" width="9" style="40" customWidth="1"/>
    <col min="7" max="7" width="11.25" style="40" customWidth="1"/>
    <col min="8" max="8" width="8.875" style="40" customWidth="1"/>
    <col min="9" max="9" width="28" style="40" customWidth="1"/>
    <col min="10" max="10" width="3.625" style="40" customWidth="1"/>
    <col min="11" max="11" width="8.875" style="40" customWidth="1"/>
    <col min="12" max="12" width="9" style="40" customWidth="1"/>
    <col min="13" max="13" width="8.5" style="40" customWidth="1"/>
    <col min="14" max="14" width="9" style="40" customWidth="1"/>
    <col min="15" max="15" width="11.375" style="40" customWidth="1"/>
    <col min="16" max="16" width="10.5" style="40" customWidth="1"/>
    <col min="17" max="18" width="13" style="40" customWidth="1"/>
    <col min="19" max="16384" width="9" style="40"/>
  </cols>
  <sheetData>
    <row r="1" s="458" customFormat="1" ht="42.75" customHeight="1" spans="1:18">
      <c r="A1" s="97" t="str">
        <f>CONCATENATE("果糖小包装综合成本利润表_含税(2025年"&amp;mth&amp;"月)")</f>
        <v>果糖小包装综合成本利润表_含税(2025年8月)</v>
      </c>
      <c r="B1" s="98"/>
      <c r="C1" s="98"/>
      <c r="D1" s="98"/>
      <c r="E1" s="98"/>
      <c r="F1" s="98"/>
      <c r="G1" s="98"/>
      <c r="I1" s="463" t="str">
        <f>CONCATENATE("果糖小包装综合成本利润表_含税(2025年1-"&amp;mth&amp;"月)")</f>
        <v>果糖小包装综合成本利润表_含税(2025年1-8月)</v>
      </c>
      <c r="J1" s="463"/>
      <c r="K1" s="463"/>
      <c r="L1" s="463"/>
      <c r="M1" s="463"/>
      <c r="N1" s="463"/>
      <c r="O1" s="463"/>
    </row>
    <row r="2" s="458" customFormat="1" customHeight="1" spans="1:18">
      <c r="A2" s="464"/>
      <c r="B2" s="464"/>
      <c r="C2" s="464"/>
      <c r="D2" s="465"/>
      <c r="E2" s="44"/>
      <c r="F2" s="464"/>
      <c r="G2" s="464"/>
    </row>
    <row r="3" s="38" customFormat="1" customHeight="1" spans="1:18">
      <c r="A3" s="38" t="s">
        <v>23</v>
      </c>
      <c r="E3" s="39" t="s">
        <v>133</v>
      </c>
      <c r="F3" s="466">
        <f ca="1">'F42-含税-pt'!F3+'F60-含税-pt'!F3+'F55小包装-含税 '!F3</f>
        <v>0</v>
      </c>
      <c r="G3" s="39" t="s">
        <v>75</v>
      </c>
      <c r="M3" s="378" t="s">
        <v>134</v>
      </c>
      <c r="N3" s="466">
        <f ca="1">'F60-含税-pt'!N3+'F42-含税-pt'!N3+'F55小包装-含税 '!N3</f>
        <v>8857.893</v>
      </c>
      <c r="O3" s="39" t="s">
        <v>75</v>
      </c>
    </row>
    <row r="4" s="459" customFormat="1" ht="14.25" customHeight="1" spans="1:18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8">
      <c r="A5" s="470" t="s">
        <v>83</v>
      </c>
      <c r="B5" s="471"/>
      <c r="C5" s="472"/>
      <c r="D5" s="472"/>
      <c r="E5" s="473" t="e">
        <f ca="1">G5/$F$3</f>
        <v>#DIV/0!</v>
      </c>
      <c r="F5" s="472"/>
      <c r="G5" s="474">
        <f ca="1">'F60-含税-pt'!G5+'F42-含税-pt'!G5+'F55小包装-含税 '!G5</f>
        <v>0</v>
      </c>
      <c r="H5" s="562"/>
      <c r="I5" s="470" t="s">
        <v>83</v>
      </c>
      <c r="J5" s="471"/>
      <c r="K5" s="472"/>
      <c r="L5" s="472"/>
      <c r="M5" s="474">
        <f ca="1">O5/$N$3</f>
        <v>3457.38541151079</v>
      </c>
      <c r="N5" s="472"/>
      <c r="O5" s="474">
        <f ca="1">'F60-含税-pt'!O5+'F42-含税-pt'!O5+'F55小包装-含税 '!O5</f>
        <v>30625150.0349235</v>
      </c>
      <c r="P5" s="562"/>
    </row>
    <row r="6" s="459" customFormat="1" ht="14.25" customHeight="1" spans="1:18">
      <c r="A6" s="476" t="s">
        <v>84</v>
      </c>
      <c r="B6" s="477"/>
      <c r="C6" s="478"/>
      <c r="D6" s="479"/>
      <c r="E6" s="480" t="e">
        <f ca="1" t="shared" ref="E6:E9" si="0">G6/$F$3</f>
        <v>#DIV/0!</v>
      </c>
      <c r="F6" s="479"/>
      <c r="G6" s="480">
        <f ca="1">'F60-含税-pt'!G6+'F42-含税-pt'!G6+'F55小包装-含税 '!G6</f>
        <v>0</v>
      </c>
      <c r="H6" s="562"/>
      <c r="I6" s="481" t="s">
        <v>84</v>
      </c>
      <c r="J6" s="477"/>
      <c r="K6" s="478"/>
      <c r="L6" s="479"/>
      <c r="M6" s="480">
        <f ca="1">O6/$N$3</f>
        <v>4105.08500577741</v>
      </c>
      <c r="N6" s="482"/>
      <c r="O6" s="507">
        <f ca="1">'F60-含税-pt'!O6+'F42-含税-pt'!O6+'F55小包装-含税 '!O6</f>
        <v>36362403.7370807</v>
      </c>
      <c r="P6" s="562"/>
      <c r="Q6" s="511"/>
      <c r="R6" s="511"/>
    </row>
    <row r="7" s="459" customFormat="1" ht="14.25" customHeight="1" spans="1:18">
      <c r="A7" s="476" t="s">
        <v>85</v>
      </c>
      <c r="B7" s="477"/>
      <c r="C7" s="479"/>
      <c r="D7" s="479"/>
      <c r="E7" s="480" t="e">
        <f ca="1" t="shared" si="0"/>
        <v>#DIV/0!</v>
      </c>
      <c r="F7" s="480"/>
      <c r="G7" s="480">
        <f ca="1">'F60-含税-pt'!G7+'F42-含税-pt'!G7+'F55小包装-含税 '!G7</f>
        <v>0</v>
      </c>
      <c r="H7" s="562"/>
      <c r="I7" s="476" t="s">
        <v>85</v>
      </c>
      <c r="J7" s="477"/>
      <c r="K7" s="479"/>
      <c r="L7" s="479"/>
      <c r="M7" s="480">
        <f ca="1">O7/$N$3</f>
        <v>647.699594266623</v>
      </c>
      <c r="N7" s="482"/>
      <c r="O7" s="507">
        <f ca="1">'F60-含税-pt'!O7+'F42-含税-pt'!O7+'F55小包装-含税 '!O7</f>
        <v>5737253.70215716</v>
      </c>
      <c r="P7" s="562"/>
      <c r="Q7" s="511"/>
      <c r="R7" s="511"/>
    </row>
    <row r="8" s="459" customFormat="1" ht="14.25" customHeight="1" spans="1:18">
      <c r="A8" s="476" t="s">
        <v>86</v>
      </c>
      <c r="B8" s="477"/>
      <c r="C8" s="479"/>
      <c r="D8" s="479"/>
      <c r="E8" s="480" t="e">
        <f ca="1" t="shared" si="0"/>
        <v>#DIV/0!</v>
      </c>
      <c r="F8" s="480"/>
      <c r="G8" s="480" t="e">
        <f ca="1">'F60-含税'!G8+'F55小包装-含税 '!G8+'F42-含税'!G8</f>
        <v>#DIV/0!</v>
      </c>
      <c r="H8" s="562"/>
      <c r="I8" s="476" t="s">
        <v>86</v>
      </c>
      <c r="J8" s="477"/>
      <c r="K8" s="479"/>
      <c r="L8" s="479"/>
      <c r="M8" s="480">
        <f ca="1">O8/$N$3</f>
        <v>188.147583584472</v>
      </c>
      <c r="N8" s="482"/>
      <c r="O8" s="480">
        <f ca="1">'F60-含税'!O8+'F55小包装-含税 '!O8+'F42-含税'!O8</f>
        <v>1666591.16359981</v>
      </c>
      <c r="P8" s="562"/>
      <c r="Q8" s="511"/>
      <c r="R8" s="511"/>
    </row>
    <row r="9" s="459" customFormat="1" ht="14.25" customHeight="1" spans="1:18">
      <c r="A9" s="476" t="s">
        <v>87</v>
      </c>
      <c r="B9" s="477"/>
      <c r="C9" s="479"/>
      <c r="D9" s="479"/>
      <c r="E9" s="480" t="e">
        <f ca="1" t="shared" si="0"/>
        <v>#DIV/0!</v>
      </c>
      <c r="F9" s="480"/>
      <c r="G9" s="480" t="e">
        <f ca="1">'F42-含税'!G9+'F60-含税'!G9+'F55小包装-含税 '!G9</f>
        <v>#DIV/0!</v>
      </c>
      <c r="H9" s="562"/>
      <c r="I9" s="476" t="s">
        <v>87</v>
      </c>
      <c r="J9" s="477"/>
      <c r="K9" s="479"/>
      <c r="L9" s="479"/>
      <c r="M9" s="480">
        <f ca="1">O9/$N$3</f>
        <v>459.552010682151</v>
      </c>
      <c r="N9" s="482"/>
      <c r="O9" s="480">
        <f ca="1">'F42-含税'!O9+'F60-含税'!O9+'F55小包装-含税 '!O9</f>
        <v>4070662.53855735</v>
      </c>
      <c r="P9" s="562"/>
      <c r="Q9" s="511"/>
      <c r="R9" s="511"/>
    </row>
    <row r="10" s="459" customFormat="1" ht="14.25" customHeight="1" spans="1:18">
      <c r="A10" s="484" t="s">
        <v>88</v>
      </c>
      <c r="B10" s="485"/>
      <c r="C10" s="486"/>
      <c r="D10" s="486"/>
      <c r="E10" s="487" t="e">
        <f ca="1">E11+E13+E25+E31+E32+E33</f>
        <v>#DIV/0!</v>
      </c>
      <c r="F10" s="488"/>
      <c r="G10" s="487" t="e">
        <f ca="1">G11+G13+G25+G31+G32+G33</f>
        <v>#DIV/0!</v>
      </c>
      <c r="H10" s="562"/>
      <c r="I10" s="484" t="s">
        <v>88</v>
      </c>
      <c r="J10" s="485"/>
      <c r="K10" s="486"/>
      <c r="L10" s="486"/>
      <c r="M10" s="487" t="e">
        <f ca="1">M11+M13+M25+M31+M32+M33</f>
        <v>#DIV/0!</v>
      </c>
      <c r="N10" s="488"/>
      <c r="O10" s="487" t="e">
        <f ca="1">O11+O13+O25+O31+O32+O33</f>
        <v>#DIV/0!</v>
      </c>
      <c r="P10" s="562"/>
      <c r="Q10" s="511"/>
      <c r="R10" s="511"/>
    </row>
    <row r="11" s="459" customFormat="1" ht="14.25" customHeight="1" spans="1:18">
      <c r="A11" s="489" t="s">
        <v>89</v>
      </c>
      <c r="B11" s="490" t="s">
        <v>75</v>
      </c>
      <c r="C11" s="491"/>
      <c r="D11" s="492"/>
      <c r="E11" s="491" t="e">
        <f ca="1">E12</f>
        <v>#DIV/0!</v>
      </c>
      <c r="F11" s="491"/>
      <c r="G11" s="491">
        <f ca="1">G12</f>
        <v>0</v>
      </c>
      <c r="H11" s="562"/>
      <c r="I11" s="489" t="s">
        <v>89</v>
      </c>
      <c r="J11" s="490" t="s">
        <v>75</v>
      </c>
      <c r="K11" s="491"/>
      <c r="L11" s="492"/>
      <c r="M11" s="491">
        <f ca="1">M12</f>
        <v>2296.37898031146</v>
      </c>
      <c r="N11" s="491"/>
      <c r="O11" s="491">
        <f ca="1">O12</f>
        <v>20341079.295048</v>
      </c>
      <c r="P11" s="562"/>
      <c r="Q11" s="511"/>
    </row>
    <row r="12" s="459" customFormat="1" ht="14.25" customHeight="1" spans="1:18">
      <c r="A12" s="502" t="s">
        <v>90</v>
      </c>
      <c r="B12" s="503" t="s">
        <v>75</v>
      </c>
      <c r="C12" s="507" t="e">
        <f ca="1">('F60-含税-pt'!C12*'F60-含税-pt'!F12+'F42-含税-pt'!C12*'F42-含税-pt'!F12+'F55小包装-含税 '!C12*'F55小包装-含税 '!F12)/F12</f>
        <v>#DIV/0!</v>
      </c>
      <c r="D12" s="497" t="e">
        <f ca="1">F12/('F60-含税-pt'!F3+('F42-含税-pt'!F3/77*71)+'F55小包装-含税 '!F3)</f>
        <v>#DIV/0!</v>
      </c>
      <c r="E12" s="480" t="e">
        <f ca="1">G12/$F$3</f>
        <v>#DIV/0!</v>
      </c>
      <c r="F12" s="507">
        <f ca="1">'F60-含税-pt'!F12+'F42-含税-pt'!F12+'F55小包装-含税 '!F12</f>
        <v>0</v>
      </c>
      <c r="G12" s="480">
        <f ca="1">'F60-含税-pt'!G12+'F42-含税-pt'!G12+'F55小包装-含税 '!G12</f>
        <v>0</v>
      </c>
      <c r="H12" s="562"/>
      <c r="I12" s="502" t="s">
        <v>90</v>
      </c>
      <c r="J12" s="503" t="s">
        <v>75</v>
      </c>
      <c r="K12" s="507">
        <f ca="1">('F60-含税-pt'!K12*'F60-含税-pt'!N12+'F42-含税-pt'!K12*'F42-含税-pt'!N12+'F55小包装-含税 '!K12*'F55小包装-含税 '!N12)/N12</f>
        <v>2824.27018054899</v>
      </c>
      <c r="L12" s="497">
        <f ca="1">N12/('F60-含税-pt'!N3+'F42-含税-pt'!N3/77*71+'F55小包装-含税 '!N3)</f>
        <v>0.827083808658001</v>
      </c>
      <c r="M12" s="480">
        <f ca="1">O12/$N$3</f>
        <v>2296.37898031146</v>
      </c>
      <c r="N12" s="507">
        <f ca="1">'F60-含税-pt'!N12+'F42-含税-pt'!N12+'F55小包装-含税 '!N12</f>
        <v>7202.24270154425</v>
      </c>
      <c r="O12" s="480">
        <f ca="1">'F60-含税-pt'!O12+'F42-含税-pt'!O12+'F55小包装-含税 '!O12</f>
        <v>20341079.295048</v>
      </c>
      <c r="P12" s="562"/>
      <c r="Q12" s="511"/>
      <c r="R12" s="475"/>
    </row>
    <row r="13" s="459" customFormat="1" ht="14.25" customHeight="1" spans="1:18">
      <c r="A13" s="489" t="s">
        <v>130</v>
      </c>
      <c r="B13" s="490"/>
      <c r="C13" s="501"/>
      <c r="D13" s="492"/>
      <c r="E13" s="491" t="e">
        <f ca="1" t="shared" ref="E13" si="1">G13/$F$3</f>
        <v>#DIV/0!</v>
      </c>
      <c r="F13" s="491"/>
      <c r="G13" s="491" t="e">
        <f ca="1">'F60-含税-pt'!G13+'F42-含税-pt'!G13+'F55小包装-含税 '!G13</f>
        <v>#DIV/0!</v>
      </c>
      <c r="H13" s="562"/>
      <c r="I13" s="489" t="s">
        <v>130</v>
      </c>
      <c r="J13" s="490"/>
      <c r="K13" s="501"/>
      <c r="L13" s="492"/>
      <c r="M13" s="491" t="e">
        <f ca="1">O13/$N$3</f>
        <v>#DIV/0!</v>
      </c>
      <c r="N13" s="491"/>
      <c r="O13" s="491" t="e">
        <f ca="1">'F60-含税-pt'!O13+'F42-含税-pt'!O13+'F55小包装-含税 '!O13</f>
        <v>#DIV/0!</v>
      </c>
      <c r="P13" s="562"/>
      <c r="Q13" s="511"/>
      <c r="R13" s="565"/>
    </row>
    <row r="14" s="459" customFormat="1" ht="14.25" customHeight="1" spans="1:18">
      <c r="A14" s="502" t="s">
        <v>136</v>
      </c>
      <c r="B14" s="503" t="s">
        <v>167</v>
      </c>
      <c r="C14" s="505"/>
      <c r="D14" s="505"/>
      <c r="E14" s="505"/>
      <c r="F14" s="507"/>
      <c r="G14" s="505"/>
      <c r="H14" s="562"/>
      <c r="I14" s="502" t="s">
        <v>136</v>
      </c>
      <c r="J14" s="503" t="s">
        <v>167</v>
      </c>
      <c r="K14" s="505"/>
      <c r="L14" s="505"/>
      <c r="M14" s="505"/>
      <c r="N14" s="507"/>
      <c r="O14" s="507"/>
      <c r="P14" s="562"/>
      <c r="Q14" s="511"/>
      <c r="R14" s="475"/>
    </row>
    <row r="15" s="459" customFormat="1" ht="14.25" customHeight="1" spans="1:18">
      <c r="A15" s="502" t="s">
        <v>137</v>
      </c>
      <c r="B15" s="503" t="s">
        <v>167</v>
      </c>
      <c r="C15" s="505"/>
      <c r="D15" s="505"/>
      <c r="E15" s="505"/>
      <c r="F15" s="507"/>
      <c r="G15" s="505"/>
      <c r="H15" s="562"/>
      <c r="I15" s="502" t="s">
        <v>137</v>
      </c>
      <c r="J15" s="503" t="s">
        <v>167</v>
      </c>
      <c r="K15" s="505"/>
      <c r="L15" s="505"/>
      <c r="M15" s="505"/>
      <c r="N15" s="507"/>
      <c r="O15" s="507"/>
      <c r="P15" s="562"/>
      <c r="Q15" s="511"/>
      <c r="R15" s="475"/>
    </row>
    <row r="16" s="459" customFormat="1" ht="14.25" customHeight="1" spans="1:18">
      <c r="A16" s="502" t="s">
        <v>138</v>
      </c>
      <c r="B16" s="503" t="s">
        <v>167</v>
      </c>
      <c r="C16" s="505"/>
      <c r="D16" s="505"/>
      <c r="E16" s="505"/>
      <c r="F16" s="507"/>
      <c r="G16" s="505"/>
      <c r="H16" s="562"/>
      <c r="I16" s="502" t="s">
        <v>138</v>
      </c>
      <c r="J16" s="503" t="s">
        <v>167</v>
      </c>
      <c r="K16" s="505"/>
      <c r="L16" s="505"/>
      <c r="M16" s="505"/>
      <c r="N16" s="507"/>
      <c r="O16" s="507"/>
      <c r="P16" s="562"/>
      <c r="Q16" s="511"/>
      <c r="R16" s="475"/>
    </row>
    <row r="17" s="459" customFormat="1" ht="14.25" customHeight="1" spans="1:19">
      <c r="A17" s="502" t="s">
        <v>139</v>
      </c>
      <c r="B17" s="503" t="s">
        <v>167</v>
      </c>
      <c r="C17" s="505"/>
      <c r="D17" s="505"/>
      <c r="E17" s="505"/>
      <c r="F17" s="507"/>
      <c r="G17" s="505"/>
      <c r="H17" s="562"/>
      <c r="I17" s="502" t="s">
        <v>139</v>
      </c>
      <c r="J17" s="503" t="s">
        <v>167</v>
      </c>
      <c r="K17" s="505"/>
      <c r="L17" s="505"/>
      <c r="M17" s="505"/>
      <c r="N17" s="507"/>
      <c r="O17" s="507"/>
      <c r="P17" s="562"/>
      <c r="Q17" s="511"/>
      <c r="R17" s="475"/>
    </row>
    <row r="18" s="459" customFormat="1" ht="14.25" customHeight="1" spans="1:19">
      <c r="A18" s="502" t="s">
        <v>207</v>
      </c>
      <c r="B18" s="503" t="s">
        <v>167</v>
      </c>
      <c r="C18" s="505"/>
      <c r="D18" s="505"/>
      <c r="E18" s="505"/>
      <c r="F18" s="507"/>
      <c r="G18" s="505"/>
      <c r="H18" s="562"/>
      <c r="I18" s="502" t="s">
        <v>207</v>
      </c>
      <c r="J18" s="503" t="s">
        <v>167</v>
      </c>
      <c r="K18" s="505"/>
      <c r="L18" s="505"/>
      <c r="M18" s="505"/>
      <c r="N18" s="507"/>
      <c r="O18" s="507"/>
      <c r="P18" s="562"/>
      <c r="Q18" s="511"/>
      <c r="R18" s="475"/>
    </row>
    <row r="19" s="459" customFormat="1" ht="14.25" customHeight="1" spans="1:19">
      <c r="A19" s="502" t="s">
        <v>141</v>
      </c>
      <c r="B19" s="503" t="s">
        <v>167</v>
      </c>
      <c r="C19" s="505"/>
      <c r="D19" s="505"/>
      <c r="E19" s="505"/>
      <c r="F19" s="507"/>
      <c r="G19" s="505"/>
      <c r="H19" s="562"/>
      <c r="I19" s="502" t="s">
        <v>141</v>
      </c>
      <c r="J19" s="503" t="s">
        <v>167</v>
      </c>
      <c r="K19" s="505"/>
      <c r="L19" s="505"/>
      <c r="M19" s="505"/>
      <c r="N19" s="507"/>
      <c r="O19" s="507"/>
      <c r="P19" s="562"/>
      <c r="Q19" s="511"/>
      <c r="R19" s="475"/>
    </row>
    <row r="20" s="459" customFormat="1" ht="14.25" customHeight="1" spans="1:19">
      <c r="A20" s="502" t="s">
        <v>142</v>
      </c>
      <c r="B20" s="503" t="s">
        <v>167</v>
      </c>
      <c r="C20" s="505"/>
      <c r="D20" s="505"/>
      <c r="E20" s="505"/>
      <c r="F20" s="507"/>
      <c r="G20" s="505"/>
      <c r="H20" s="562"/>
      <c r="I20" s="502" t="s">
        <v>142</v>
      </c>
      <c r="J20" s="503" t="s">
        <v>167</v>
      </c>
      <c r="K20" s="505"/>
      <c r="L20" s="505"/>
      <c r="M20" s="505"/>
      <c r="N20" s="507"/>
      <c r="O20" s="507"/>
      <c r="P20" s="562"/>
      <c r="Q20" s="511"/>
      <c r="R20" s="475"/>
    </row>
    <row r="21" s="459" customFormat="1" ht="14.25" customHeight="1" spans="1:19">
      <c r="A21" s="502" t="s">
        <v>143</v>
      </c>
      <c r="B21" s="503" t="s">
        <v>167</v>
      </c>
      <c r="C21" s="505"/>
      <c r="D21" s="505"/>
      <c r="E21" s="505"/>
      <c r="F21" s="507"/>
      <c r="G21" s="505"/>
      <c r="H21" s="562"/>
      <c r="I21" s="502" t="s">
        <v>143</v>
      </c>
      <c r="J21" s="503" t="s">
        <v>167</v>
      </c>
      <c r="K21" s="505"/>
      <c r="L21" s="505"/>
      <c r="M21" s="505"/>
      <c r="N21" s="507"/>
      <c r="O21" s="507"/>
      <c r="P21" s="562"/>
      <c r="Q21" s="511"/>
      <c r="R21" s="475"/>
    </row>
    <row r="22" s="459" customFormat="1" ht="14.25" customHeight="1" spans="1:19">
      <c r="A22" s="502" t="s">
        <v>144</v>
      </c>
      <c r="B22" s="503" t="s">
        <v>167</v>
      </c>
      <c r="C22" s="505"/>
      <c r="D22" s="505"/>
      <c r="E22" s="505"/>
      <c r="F22" s="507"/>
      <c r="G22" s="505"/>
      <c r="H22" s="562"/>
      <c r="I22" s="502" t="s">
        <v>144</v>
      </c>
      <c r="J22" s="503" t="s">
        <v>167</v>
      </c>
      <c r="K22" s="505"/>
      <c r="L22" s="505"/>
      <c r="M22" s="505"/>
      <c r="N22" s="507"/>
      <c r="O22" s="507"/>
      <c r="P22" s="562"/>
      <c r="Q22" s="511"/>
      <c r="R22" s="475"/>
    </row>
    <row r="23" s="459" customFormat="1" ht="14.25" customHeight="1" spans="1:19">
      <c r="A23" s="502" t="s">
        <v>146</v>
      </c>
      <c r="B23" s="503" t="s">
        <v>167</v>
      </c>
      <c r="C23" s="505"/>
      <c r="D23" s="505"/>
      <c r="E23" s="505"/>
      <c r="F23" s="507"/>
      <c r="G23" s="505"/>
      <c r="H23" s="562"/>
      <c r="I23" s="502" t="s">
        <v>146</v>
      </c>
      <c r="J23" s="503" t="s">
        <v>167</v>
      </c>
      <c r="K23" s="505"/>
      <c r="L23" s="505"/>
      <c r="M23" s="505"/>
      <c r="N23" s="507"/>
      <c r="O23" s="507"/>
      <c r="P23" s="562"/>
      <c r="Q23" s="511"/>
      <c r="R23" s="475"/>
    </row>
    <row r="24" s="459" customFormat="1" ht="14.25" customHeight="1" spans="1:19">
      <c r="A24" s="502" t="s">
        <v>147</v>
      </c>
      <c r="B24" s="503"/>
      <c r="C24" s="505"/>
      <c r="D24" s="505"/>
      <c r="E24" s="505"/>
      <c r="F24" s="507"/>
      <c r="G24" s="480"/>
      <c r="H24" s="562"/>
      <c r="I24" s="502" t="s">
        <v>147</v>
      </c>
      <c r="J24" s="503"/>
      <c r="K24" s="505"/>
      <c r="L24" s="505"/>
      <c r="M24" s="505"/>
      <c r="N24" s="507"/>
      <c r="O24" s="507"/>
      <c r="P24" s="562"/>
      <c r="Q24" s="511"/>
      <c r="R24" s="475"/>
    </row>
    <row r="25" s="459" customFormat="1" ht="14.25" customHeight="1" spans="1:19">
      <c r="A25" s="508" t="s">
        <v>208</v>
      </c>
      <c r="B25" s="490"/>
      <c r="C25" s="501"/>
      <c r="D25" s="492"/>
      <c r="E25" s="491" t="e">
        <f ca="1">SUM(E26:E30)</f>
        <v>#DIV/0!</v>
      </c>
      <c r="F25" s="491"/>
      <c r="G25" s="491" t="e">
        <f ca="1">SUM(G26:G30)</f>
        <v>#DIV/0!</v>
      </c>
      <c r="H25" s="562"/>
      <c r="I25" s="508" t="s">
        <v>208</v>
      </c>
      <c r="J25" s="490"/>
      <c r="K25" s="501"/>
      <c r="L25" s="492"/>
      <c r="M25" s="491" t="e">
        <f ca="1">SUM(M26:M30)</f>
        <v>#DIV/0!</v>
      </c>
      <c r="N25" s="491"/>
      <c r="O25" s="491" t="e">
        <f ca="1">SUM(O26:O30)</f>
        <v>#DIV/0!</v>
      </c>
      <c r="P25" s="562"/>
      <c r="Q25" s="511"/>
      <c r="R25" s="475"/>
      <c r="S25" s="511"/>
    </row>
    <row r="26" s="459" customFormat="1" ht="14.25" customHeight="1" spans="1:19">
      <c r="A26" s="502" t="s">
        <v>95</v>
      </c>
      <c r="B26" s="503" t="s">
        <v>75</v>
      </c>
      <c r="C26" s="566"/>
      <c r="D26" s="497"/>
      <c r="E26" s="507" t="e">
        <f ca="1" t="shared" ref="E26:E28" si="2">G26/$F$3</f>
        <v>#DIV/0!</v>
      </c>
      <c r="F26" s="507"/>
      <c r="G26" s="507">
        <f ca="1">'F60-含税-pt'!G26+'F42-含税-pt'!G26+'F55小包装-含税 '!G27</f>
        <v>0</v>
      </c>
      <c r="H26" s="562"/>
      <c r="I26" s="502" t="s">
        <v>95</v>
      </c>
      <c r="J26" s="503" t="s">
        <v>75</v>
      </c>
      <c r="K26" s="567"/>
      <c r="L26" s="505"/>
      <c r="M26" s="507">
        <f ca="1">O26/$N$3</f>
        <v>121.559508973892</v>
      </c>
      <c r="N26" s="507"/>
      <c r="O26" s="507">
        <f ca="1">'F60-含税-pt'!O26+'F42-含税-pt'!O26+'F55小包装-含税 '!O27</f>
        <v>1076761.12362327</v>
      </c>
      <c r="P26" s="562"/>
      <c r="Q26" s="511"/>
      <c r="R26" s="475"/>
    </row>
    <row r="27" s="459" customFormat="1" ht="14.25" customHeight="1" spans="1:19">
      <c r="A27" s="502" t="s">
        <v>96</v>
      </c>
      <c r="B27" s="503" t="s">
        <v>97</v>
      </c>
      <c r="C27" s="566"/>
      <c r="D27" s="505"/>
      <c r="E27" s="480" t="e">
        <f ca="1" t="shared" si="2"/>
        <v>#DIV/0!</v>
      </c>
      <c r="F27" s="507"/>
      <c r="G27" s="480">
        <f ca="1">'F60-含税-pt'!G27+'F42-含税-pt'!G27+'F55小包装-含税 '!G28</f>
        <v>0</v>
      </c>
      <c r="H27" s="562"/>
      <c r="I27" s="502" t="s">
        <v>96</v>
      </c>
      <c r="J27" s="503" t="s">
        <v>97</v>
      </c>
      <c r="K27" s="566"/>
      <c r="L27" s="505"/>
      <c r="M27" s="480" t="e">
        <f ca="1">O27/$N$3</f>
        <v>#DIV/0!</v>
      </c>
      <c r="N27" s="507"/>
      <c r="O27" s="480" t="e">
        <f ca="1">'F60-含税-pt'!O27+'F42-含税-pt'!O27+'F55小包装-含税 '!O28</f>
        <v>#DIV/0!</v>
      </c>
      <c r="P27" s="562"/>
      <c r="Q27" s="511"/>
      <c r="R27" s="475"/>
    </row>
    <row r="28" s="459" customFormat="1" ht="14.25" customHeight="1" spans="1:19">
      <c r="A28" s="502" t="s">
        <v>98</v>
      </c>
      <c r="B28" s="503" t="s">
        <v>75</v>
      </c>
      <c r="C28" s="566"/>
      <c r="D28" s="505"/>
      <c r="E28" s="480" t="e">
        <f ca="1" t="shared" si="2"/>
        <v>#DIV/0!</v>
      </c>
      <c r="F28" s="507"/>
      <c r="G28" s="480">
        <f ca="1">'F60-含税-pt'!G28+'F42-含税-pt'!G28+'F55小包装-含税 '!G29</f>
        <v>0</v>
      </c>
      <c r="H28" s="562"/>
      <c r="I28" s="502" t="s">
        <v>98</v>
      </c>
      <c r="J28" s="503" t="s">
        <v>75</v>
      </c>
      <c r="K28" s="566"/>
      <c r="L28" s="505"/>
      <c r="M28" s="480" t="e">
        <f ca="1">O28/$N$3</f>
        <v>#DIV/0!</v>
      </c>
      <c r="N28" s="507"/>
      <c r="O28" s="480" t="e">
        <f ca="1">'F60-含税-pt'!O28+'F42-含税-pt'!O28+'F55小包装-含税 '!O29</f>
        <v>#DIV/0!</v>
      </c>
      <c r="P28" s="562"/>
      <c r="Q28" s="511"/>
      <c r="R28" s="475"/>
    </row>
    <row r="29" s="459" customFormat="1" ht="14.25" customHeight="1" spans="1:19">
      <c r="A29" s="502" t="s">
        <v>99</v>
      </c>
      <c r="B29" s="503" t="s">
        <v>75</v>
      </c>
      <c r="C29" s="566"/>
      <c r="D29" s="505"/>
      <c r="E29" s="480"/>
      <c r="F29" s="507"/>
      <c r="G29" s="480"/>
      <c r="H29" s="562"/>
      <c r="I29" s="502" t="s">
        <v>99</v>
      </c>
      <c r="J29" s="503" t="s">
        <v>75</v>
      </c>
      <c r="K29" s="566"/>
      <c r="L29" s="505"/>
      <c r="M29" s="480"/>
      <c r="N29" s="507"/>
      <c r="O29" s="480"/>
      <c r="P29" s="562"/>
      <c r="Q29" s="511"/>
      <c r="R29" s="475"/>
    </row>
    <row r="30" s="459" customFormat="1" ht="14.25" customHeight="1" spans="1:19">
      <c r="A30" s="516" t="s">
        <v>209</v>
      </c>
      <c r="B30" s="503"/>
      <c r="C30" s="505"/>
      <c r="D30" s="497"/>
      <c r="E30" s="507" t="e">
        <f ca="1">G30/$F$3</f>
        <v>#DIV/0!</v>
      </c>
      <c r="F30" s="507"/>
      <c r="G30" s="507" t="e">
        <f ca="1">'F60-含税-pt'!G30+'F42-含税-pt'!G30+'F55小包装-含税 '!G31</f>
        <v>#DIV/0!</v>
      </c>
      <c r="H30" s="568"/>
      <c r="I30" s="516" t="s">
        <v>209</v>
      </c>
      <c r="J30" s="503"/>
      <c r="K30" s="505"/>
      <c r="L30" s="497"/>
      <c r="M30" s="507" t="e">
        <f ca="1">O30/$N$3</f>
        <v>#DIV/0!</v>
      </c>
      <c r="N30" s="505"/>
      <c r="O30" s="507" t="e">
        <f ca="1">'F60-含税-pt'!O30+'F42-含税-pt'!O30+'F55小包装-含税 '!O31</f>
        <v>#DIV/0!</v>
      </c>
      <c r="P30" s="568"/>
      <c r="Q30" s="511"/>
      <c r="R30" s="565"/>
    </row>
    <row r="31" s="459" customFormat="1" ht="14.25" customHeight="1" spans="1:19">
      <c r="A31" s="508" t="s">
        <v>210</v>
      </c>
      <c r="B31" s="490"/>
      <c r="C31" s="501"/>
      <c r="D31" s="492"/>
      <c r="E31" s="542" t="e">
        <f ca="1">G31/$F$3</f>
        <v>#DIV/0!</v>
      </c>
      <c r="F31" s="491"/>
      <c r="G31" s="491" t="e">
        <f ca="1">'F60-含税-pt'!G31+'F42-含税-pt'!G31+'F55小包装-含税 '!G34</f>
        <v>#DIV/0!</v>
      </c>
      <c r="H31" s="562"/>
      <c r="I31" s="508" t="s">
        <v>210</v>
      </c>
      <c r="J31" s="490"/>
      <c r="K31" s="501"/>
      <c r="L31" s="492"/>
      <c r="M31" s="491" t="e">
        <f ca="1">O31/$N$3</f>
        <v>#DIV/0!</v>
      </c>
      <c r="N31" s="491"/>
      <c r="O31" s="491" t="e">
        <f ca="1">'F60-含税-pt'!O31+'F42-含税-pt'!O31+'F55小包装-含税 '!O34</f>
        <v>#DIV/0!</v>
      </c>
      <c r="P31" s="562"/>
      <c r="Q31" s="511"/>
    </row>
    <row r="32" s="459" customFormat="1" ht="14.25" customHeight="1" spans="1:19">
      <c r="A32" s="508" t="s">
        <v>211</v>
      </c>
      <c r="B32" s="508"/>
      <c r="C32" s="508"/>
      <c r="D32" s="508"/>
      <c r="E32" s="542" t="e">
        <f ca="1">G32/$F$3</f>
        <v>#DIV/0!</v>
      </c>
      <c r="F32" s="542"/>
      <c r="G32" s="542" t="e">
        <f ca="1">'F60-含税-pt'!G32+'F42-含税-pt'!G32+'F55小包装-含税 '!G44</f>
        <v>#DIV/0!</v>
      </c>
      <c r="I32" s="508" t="s">
        <v>211</v>
      </c>
      <c r="J32" s="508"/>
      <c r="K32" s="508"/>
      <c r="L32" s="508"/>
      <c r="M32" s="542" t="e">
        <f ca="1">O32/$N$3</f>
        <v>#DIV/0!</v>
      </c>
      <c r="N32" s="542"/>
      <c r="O32" s="542" t="e">
        <f ca="1">'F60-含税-pt'!O32+'F42-含税-pt'!O32+'F55小包装-含税 '!O44</f>
        <v>#DIV/0!</v>
      </c>
      <c r="P32" s="562"/>
      <c r="Q32" s="511"/>
    </row>
    <row r="33" s="459" customFormat="1" ht="14.25" customHeight="1" spans="1:17">
      <c r="A33" s="508" t="s">
        <v>212</v>
      </c>
      <c r="B33" s="508"/>
      <c r="C33" s="508"/>
      <c r="D33" s="508"/>
      <c r="E33" s="491" t="e">
        <f ca="1">G33/$F$3</f>
        <v>#DIV/0!</v>
      </c>
      <c r="F33" s="491"/>
      <c r="G33" s="491" t="e">
        <f ca="1">'F60-含税-pt'!G33+'F42-含税-pt'!G33+'F55小包装-含税 '!G55</f>
        <v>#DIV/0!</v>
      </c>
      <c r="I33" s="508" t="s">
        <v>212</v>
      </c>
      <c r="J33" s="508"/>
      <c r="K33" s="508"/>
      <c r="L33" s="508"/>
      <c r="M33" s="491" t="e">
        <f ca="1">O33/$N$3</f>
        <v>#DIV/0!</v>
      </c>
      <c r="N33" s="491"/>
      <c r="O33" s="491" t="e">
        <f ca="1">'F60-含税-pt'!O33+'F42-含税-pt'!O33+'F55小包装-含税 '!O55</f>
        <v>#DIV/0!</v>
      </c>
      <c r="P33" s="562"/>
      <c r="Q33" s="511"/>
    </row>
    <row r="34" s="459" customFormat="1" ht="14.25" customHeight="1" spans="1:17">
      <c r="A34" s="569" t="s">
        <v>105</v>
      </c>
      <c r="B34" s="472"/>
      <c r="C34" s="570"/>
      <c r="D34" s="571"/>
      <c r="E34" s="572" t="e">
        <f ca="1">E5-E10</f>
        <v>#DIV/0!</v>
      </c>
      <c r="F34" s="572"/>
      <c r="G34" s="572" t="e">
        <f ca="1">G5-G10</f>
        <v>#DIV/0!</v>
      </c>
      <c r="H34" s="573"/>
      <c r="I34" s="569" t="s">
        <v>105</v>
      </c>
      <c r="J34" s="472"/>
      <c r="K34" s="570"/>
      <c r="L34" s="571"/>
      <c r="M34" s="574" t="e">
        <f ca="1">M5-M10</f>
        <v>#DIV/0!</v>
      </c>
      <c r="N34" s="572"/>
      <c r="O34" s="572" t="e">
        <f ca="1">O5-O10</f>
        <v>#DIV/0!</v>
      </c>
      <c r="P34" s="562"/>
      <c r="Q34" s="539"/>
    </row>
    <row r="35" s="459" customFormat="1" ht="14.25" customHeight="1" spans="1:17">
      <c r="A35" s="513" t="s">
        <v>106</v>
      </c>
      <c r="B35" s="485"/>
      <c r="C35" s="514"/>
      <c r="D35" s="515"/>
      <c r="E35" s="487" t="e">
        <f ca="1">SUM(E36:E41)</f>
        <v>#DIV/0!</v>
      </c>
      <c r="F35" s="488"/>
      <c r="G35" s="487" t="e">
        <f ca="1">SUM(G36:G41)</f>
        <v>#DIV/0!</v>
      </c>
      <c r="H35" s="562"/>
      <c r="I35" s="513" t="s">
        <v>106</v>
      </c>
      <c r="J35" s="485"/>
      <c r="K35" s="514"/>
      <c r="L35" s="515"/>
      <c r="M35" s="487" t="e">
        <f ca="1">SUM(M36:M41)</f>
        <v>#DIV/0!</v>
      </c>
      <c r="N35" s="488"/>
      <c r="O35" s="487" t="e">
        <f ca="1">SUM(O36:O41)</f>
        <v>#DIV/0!</v>
      </c>
      <c r="P35" s="562"/>
    </row>
    <row r="36" s="459" customFormat="1" ht="14.25" customHeight="1" spans="1:17">
      <c r="A36" s="516" t="s">
        <v>107</v>
      </c>
      <c r="B36" s="503"/>
      <c r="C36" s="505"/>
      <c r="D36" s="497"/>
      <c r="E36" s="575" t="e">
        <f ca="1" t="shared" ref="E36:E41" si="3">G36/$F$3</f>
        <v>#DIV/0!</v>
      </c>
      <c r="F36" s="517"/>
      <c r="G36" s="480" t="e">
        <f ca="1">'F60-含税-pt'!G36+'F42-含税-pt'!G36+'F55小包装-含税 '!G37</f>
        <v>#DIV/0!</v>
      </c>
      <c r="H36" s="483"/>
      <c r="I36" s="516" t="s">
        <v>107</v>
      </c>
      <c r="J36" s="503"/>
      <c r="K36" s="505"/>
      <c r="L36" s="497"/>
      <c r="M36" s="575" t="e">
        <f ca="1" t="shared" ref="M36:M41" si="4">O36/$N$3</f>
        <v>#DIV/0!</v>
      </c>
      <c r="N36" s="517"/>
      <c r="O36" s="480" t="e">
        <f ca="1">'F60-含税-pt'!O36+'F42-含税-pt'!O36+'F55小包装-含税 '!O37</f>
        <v>#DIV/0!</v>
      </c>
      <c r="P36" s="562"/>
    </row>
    <row r="37" s="459" customFormat="1" ht="14.25" customHeight="1" spans="1:17">
      <c r="A37" s="516" t="s">
        <v>108</v>
      </c>
      <c r="B37" s="503"/>
      <c r="C37" s="505"/>
      <c r="D37" s="497"/>
      <c r="E37" s="575" t="e">
        <f ca="1" t="shared" si="3"/>
        <v>#DIV/0!</v>
      </c>
      <c r="F37" s="517"/>
      <c r="G37" s="480" t="e">
        <f ca="1">'F60-含税-pt'!G37+'F42-含税-pt'!G37+'F55小包装-含税 '!G38</f>
        <v>#DIV/0!</v>
      </c>
      <c r="H37" s="483"/>
      <c r="I37" s="516" t="s">
        <v>108</v>
      </c>
      <c r="J37" s="503"/>
      <c r="K37" s="505"/>
      <c r="L37" s="497"/>
      <c r="M37" s="575" t="e">
        <f ca="1" t="shared" si="4"/>
        <v>#DIV/0!</v>
      </c>
      <c r="N37" s="517"/>
      <c r="O37" s="480" t="e">
        <f ca="1">'F60-含税-pt'!O37+'F42-含税-pt'!O37+'F55小包装-含税 '!O38</f>
        <v>#DIV/0!</v>
      </c>
      <c r="P37" s="562"/>
    </row>
    <row r="38" s="459" customFormat="1" ht="14.25" customHeight="1" spans="1:17">
      <c r="A38" s="516" t="s">
        <v>109</v>
      </c>
      <c r="B38" s="503"/>
      <c r="C38" s="498"/>
      <c r="D38" s="518"/>
      <c r="E38" s="575" t="e">
        <f ca="1" t="shared" si="3"/>
        <v>#DIV/0!</v>
      </c>
      <c r="F38" s="517"/>
      <c r="G38" s="480" t="e">
        <f ca="1">'F60-含税-pt'!G38+'F42-含税-pt'!G38+'F55小包装-含税 '!G39</f>
        <v>#DIV/0!</v>
      </c>
      <c r="H38" s="483"/>
      <c r="I38" s="516" t="s">
        <v>109</v>
      </c>
      <c r="J38" s="503"/>
      <c r="K38" s="498"/>
      <c r="L38" s="518"/>
      <c r="M38" s="575" t="e">
        <f ca="1" t="shared" si="4"/>
        <v>#DIV/0!</v>
      </c>
      <c r="N38" s="517"/>
      <c r="O38" s="480" t="e">
        <f ca="1">'F60-含税-pt'!O38+'F42-含税-pt'!O38+'F55小包装-含税 '!O39</f>
        <v>#DIV/0!</v>
      </c>
      <c r="P38" s="562"/>
    </row>
    <row r="39" s="459" customFormat="1" ht="14.25" customHeight="1" spans="1:17">
      <c r="A39" s="516" t="s">
        <v>110</v>
      </c>
      <c r="B39" s="503"/>
      <c r="C39" s="498"/>
      <c r="D39" s="518"/>
      <c r="E39" s="575" t="e">
        <f ca="1" t="shared" si="3"/>
        <v>#DIV/0!</v>
      </c>
      <c r="F39" s="517"/>
      <c r="G39" s="480" t="e">
        <f ca="1">'F60-含税-pt'!G39+'F42-含税-pt'!G39+'F55小包装-含税 '!G40</f>
        <v>#DIV/0!</v>
      </c>
      <c r="H39" s="483"/>
      <c r="I39" s="516" t="s">
        <v>110</v>
      </c>
      <c r="J39" s="503"/>
      <c r="K39" s="498"/>
      <c r="L39" s="518"/>
      <c r="M39" s="575" t="e">
        <f ca="1" t="shared" si="4"/>
        <v>#DIV/0!</v>
      </c>
      <c r="N39" s="517"/>
      <c r="O39" s="480" t="e">
        <f ca="1">'F60-含税-pt'!O39+'F42-含税-pt'!O39+'F55小包装-含税 '!O40</f>
        <v>#DIV/0!</v>
      </c>
      <c r="P39" s="562"/>
    </row>
    <row r="40" s="459" customFormat="1" ht="14.25" customHeight="1" spans="1:17">
      <c r="A40" s="516" t="s">
        <v>111</v>
      </c>
      <c r="B40" s="503"/>
      <c r="C40" s="498"/>
      <c r="D40" s="518"/>
      <c r="E40" s="575" t="e">
        <f ca="1" t="shared" si="3"/>
        <v>#DIV/0!</v>
      </c>
      <c r="F40" s="517"/>
      <c r="G40" s="575" t="e">
        <f ca="1">'F60-含税-pt'!G40+'F42-含税-pt'!G40+'F55小包装-含税 '!G41</f>
        <v>#DIV/0!</v>
      </c>
      <c r="H40" s="483"/>
      <c r="I40" s="516" t="s">
        <v>111</v>
      </c>
      <c r="J40" s="503"/>
      <c r="K40" s="498"/>
      <c r="L40" s="518"/>
      <c r="M40" s="575" t="e">
        <f ca="1" t="shared" si="4"/>
        <v>#DIV/0!</v>
      </c>
      <c r="N40" s="517"/>
      <c r="O40" s="480" t="e">
        <f ca="1">'F60-含税-pt'!O40+'F42-含税-pt'!O40+'F55小包装-含税 '!O41</f>
        <v>#DIV/0!</v>
      </c>
      <c r="P40" s="562"/>
    </row>
    <row r="41" s="459" customFormat="1" ht="14.25" customHeight="1" spans="1:17">
      <c r="A41" s="516" t="s">
        <v>112</v>
      </c>
      <c r="B41" s="503"/>
      <c r="C41" s="498"/>
      <c r="D41" s="518"/>
      <c r="E41" s="575" t="e">
        <f ca="1" t="shared" si="3"/>
        <v>#DIV/0!</v>
      </c>
      <c r="F41" s="517"/>
      <c r="G41" s="480" t="e">
        <f ca="1">'F60-含税-pt'!G41+'F42-含税-pt'!G41+'F55小包装-含税 '!G42</f>
        <v>#DIV/0!</v>
      </c>
      <c r="H41" s="483"/>
      <c r="I41" s="516" t="s">
        <v>112</v>
      </c>
      <c r="J41" s="503"/>
      <c r="K41" s="498"/>
      <c r="L41" s="518"/>
      <c r="M41" s="575" t="e">
        <f ca="1" t="shared" si="4"/>
        <v>#DIV/0!</v>
      </c>
      <c r="N41" s="517"/>
      <c r="O41" s="480" t="e">
        <f ca="1">'F60-含税-pt'!O41+'F42-含税-pt'!O41+'F55小包装-含税 '!O42</f>
        <v>#DIV/0!</v>
      </c>
      <c r="P41" s="562"/>
    </row>
    <row r="42" s="459" customFormat="1" ht="14.25" hidden="1" customHeight="1" spans="1:17">
      <c r="A42" s="516" t="s">
        <v>113</v>
      </c>
      <c r="B42" s="503"/>
      <c r="C42" s="498"/>
      <c r="D42" s="518"/>
      <c r="E42" s="575"/>
      <c r="F42" s="517"/>
      <c r="G42" s="575"/>
      <c r="I42" s="516" t="s">
        <v>114</v>
      </c>
      <c r="J42" s="503"/>
      <c r="K42" s="498"/>
      <c r="L42" s="518"/>
      <c r="M42" s="575"/>
      <c r="N42" s="517"/>
      <c r="O42" s="575"/>
      <c r="P42" s="562"/>
    </row>
    <row r="43" s="459" customFormat="1" ht="14.25" hidden="1" customHeight="1" spans="1:17">
      <c r="A43" s="516" t="s">
        <v>116</v>
      </c>
      <c r="B43" s="503"/>
      <c r="C43" s="498"/>
      <c r="D43" s="518"/>
      <c r="E43" s="576"/>
      <c r="F43" s="517"/>
      <c r="G43" s="575"/>
      <c r="I43" s="516" t="s">
        <v>116</v>
      </c>
      <c r="J43" s="503"/>
      <c r="K43" s="498"/>
      <c r="L43" s="518"/>
      <c r="M43" s="576"/>
      <c r="N43" s="517"/>
      <c r="O43" s="576"/>
      <c r="P43" s="562"/>
    </row>
    <row r="44" s="459" customFormat="1" ht="14.25" hidden="1" customHeight="1" spans="1:17">
      <c r="A44" s="516" t="s">
        <v>117</v>
      </c>
      <c r="B44" s="503"/>
      <c r="C44" s="498"/>
      <c r="D44" s="518"/>
      <c r="E44" s="576">
        <f ca="1">'F60'!E46</f>
        <v>0</v>
      </c>
      <c r="F44" s="517"/>
      <c r="G44" s="575" t="e">
        <f ca="1">'F60'!G46</f>
        <v>#DIV/0!</v>
      </c>
      <c r="I44" s="516" t="s">
        <v>117</v>
      </c>
      <c r="J44" s="503"/>
      <c r="K44" s="498"/>
      <c r="L44" s="518"/>
      <c r="M44" s="576" t="e">
        <f ca="1">'F60'!M46</f>
        <v>#DIV/0!</v>
      </c>
      <c r="N44" s="517"/>
      <c r="O44" s="576" t="e">
        <f ca="1">'F60'!O46</f>
        <v>#DIV/0!</v>
      </c>
      <c r="P44" s="562"/>
    </row>
    <row r="45" s="459" customFormat="1" ht="14.25" hidden="1" customHeight="1" spans="1:17">
      <c r="A45" s="516" t="s">
        <v>118</v>
      </c>
      <c r="B45" s="503"/>
      <c r="C45" s="498"/>
      <c r="D45" s="518"/>
      <c r="E45" s="576">
        <f ca="1">'F60'!E47</f>
        <v>0</v>
      </c>
      <c r="F45" s="517"/>
      <c r="G45" s="575" t="e">
        <f ca="1">'F60'!G47</f>
        <v>#DIV/0!</v>
      </c>
      <c r="I45" s="516" t="s">
        <v>118</v>
      </c>
      <c r="J45" s="503"/>
      <c r="K45" s="498"/>
      <c r="L45" s="518"/>
      <c r="M45" s="576" t="e">
        <f ca="1">'F60'!M47</f>
        <v>#DIV/0!</v>
      </c>
      <c r="N45" s="517"/>
      <c r="O45" s="576" t="e">
        <f ca="1">'F60'!O47</f>
        <v>#DIV/0!</v>
      </c>
      <c r="P45" s="562"/>
    </row>
    <row r="46" s="459" customFormat="1" ht="14.25" hidden="1" customHeight="1" spans="1:17">
      <c r="A46" s="516" t="s">
        <v>119</v>
      </c>
      <c r="B46" s="503"/>
      <c r="C46" s="498"/>
      <c r="D46" s="518"/>
      <c r="E46" s="576">
        <f ca="1">'F60'!E48</f>
        <v>0</v>
      </c>
      <c r="F46" s="517"/>
      <c r="G46" s="575" t="e">
        <f ca="1">'F60'!G48</f>
        <v>#DIV/0!</v>
      </c>
      <c r="I46" s="516" t="s">
        <v>119</v>
      </c>
      <c r="J46" s="503"/>
      <c r="K46" s="498"/>
      <c r="L46" s="518"/>
      <c r="M46" s="576" t="e">
        <f ca="1">'F60'!M48</f>
        <v>#DIV/0!</v>
      </c>
      <c r="N46" s="517"/>
      <c r="O46" s="576" t="e">
        <f ca="1">'F60'!O48</f>
        <v>#DIV/0!</v>
      </c>
      <c r="P46" s="562"/>
    </row>
    <row r="47" s="459" customFormat="1" ht="14.25" hidden="1" customHeight="1" spans="1:17">
      <c r="A47" s="516" t="s">
        <v>120</v>
      </c>
      <c r="B47" s="503"/>
      <c r="C47" s="498"/>
      <c r="D47" s="518"/>
      <c r="E47" s="576">
        <f ca="1">'F60'!E49</f>
        <v>0</v>
      </c>
      <c r="F47" s="517"/>
      <c r="G47" s="575" t="e">
        <f ca="1">'F60'!G49</f>
        <v>#DIV/0!</v>
      </c>
      <c r="I47" s="516" t="s">
        <v>120</v>
      </c>
      <c r="J47" s="503"/>
      <c r="K47" s="498"/>
      <c r="L47" s="518"/>
      <c r="M47" s="576" t="e">
        <f ca="1">'F60'!M49</f>
        <v>#DIV/0!</v>
      </c>
      <c r="N47" s="517"/>
      <c r="O47" s="576" t="e">
        <f ca="1">'F60'!O49</f>
        <v>#DIV/0!</v>
      </c>
      <c r="P47" s="562"/>
    </row>
    <row r="48" s="459" customFormat="1" ht="14.25" hidden="1" customHeight="1" spans="1:17">
      <c r="A48" s="516" t="s">
        <v>121</v>
      </c>
      <c r="B48" s="503"/>
      <c r="C48" s="498"/>
      <c r="D48" s="518"/>
      <c r="E48" s="576">
        <f ca="1">'F60'!E50</f>
        <v>0</v>
      </c>
      <c r="F48" s="517"/>
      <c r="G48" s="575" t="e">
        <f ca="1">'F60'!G50</f>
        <v>#DIV/0!</v>
      </c>
      <c r="I48" s="516" t="s">
        <v>121</v>
      </c>
      <c r="J48" s="503"/>
      <c r="K48" s="498"/>
      <c r="L48" s="518"/>
      <c r="M48" s="576" t="e">
        <f ca="1">'F60'!M50</f>
        <v>#DIV/0!</v>
      </c>
      <c r="N48" s="517"/>
      <c r="O48" s="576" t="e">
        <f ca="1">'F60'!O50</f>
        <v>#DIV/0!</v>
      </c>
      <c r="P48" s="562"/>
    </row>
    <row r="49" s="459" customFormat="1" ht="14.25" customHeight="1" spans="1:20">
      <c r="A49" s="577" t="s">
        <v>122</v>
      </c>
      <c r="B49" s="485" t="s">
        <v>123</v>
      </c>
      <c r="C49" s="514"/>
      <c r="D49" s="515"/>
      <c r="E49" s="578" t="e">
        <f ca="1">E35+E10</f>
        <v>#DIV/0!</v>
      </c>
      <c r="F49" s="579"/>
      <c r="G49" s="578" t="e">
        <f ca="1">G35+G10</f>
        <v>#DIV/0!</v>
      </c>
      <c r="H49" s="483"/>
      <c r="I49" s="577" t="s">
        <v>122</v>
      </c>
      <c r="J49" s="485" t="s">
        <v>123</v>
      </c>
      <c r="K49" s="514"/>
      <c r="L49" s="515"/>
      <c r="M49" s="578" t="e">
        <f ca="1">M35+M10</f>
        <v>#DIV/0!</v>
      </c>
      <c r="N49" s="579"/>
      <c r="O49" s="578" t="e">
        <f ca="1">O35+O10</f>
        <v>#DIV/0!</v>
      </c>
      <c r="P49" s="562"/>
    </row>
    <row r="50" s="460" customFormat="1" ht="14.25" customHeight="1" spans="1:20">
      <c r="A50" s="580" t="s">
        <v>124</v>
      </c>
      <c r="B50" s="485" t="s">
        <v>123</v>
      </c>
      <c r="C50" s="514"/>
      <c r="D50" s="515"/>
      <c r="E50" s="578" t="e">
        <f ca="1">E34-E35</f>
        <v>#DIV/0!</v>
      </c>
      <c r="F50" s="581"/>
      <c r="G50" s="578" t="e">
        <f ca="1">G34-G35</f>
        <v>#DIV/0!</v>
      </c>
      <c r="H50" s="527"/>
      <c r="I50" s="580" t="s">
        <v>124</v>
      </c>
      <c r="J50" s="485" t="s">
        <v>123</v>
      </c>
      <c r="K50" s="514"/>
      <c r="L50" s="515"/>
      <c r="M50" s="578" t="e">
        <f ca="1">M34-M35</f>
        <v>#DIV/0!</v>
      </c>
      <c r="N50" s="581"/>
      <c r="O50" s="578" t="e">
        <f ca="1">O34-O35</f>
        <v>#DIV/0!</v>
      </c>
      <c r="P50" s="562"/>
    </row>
    <row r="51" s="459" customFormat="1" ht="14.25" customHeight="1" spans="1:20">
      <c r="A51" s="580" t="s">
        <v>125</v>
      </c>
      <c r="B51" s="485" t="s">
        <v>123</v>
      </c>
      <c r="C51" s="514"/>
      <c r="D51" s="515"/>
      <c r="E51" s="578" t="e">
        <f ca="1">E50+E36</f>
        <v>#DIV/0!</v>
      </c>
      <c r="F51" s="581"/>
      <c r="G51" s="578" t="e">
        <f ca="1">G50+G36</f>
        <v>#DIV/0!</v>
      </c>
      <c r="H51" s="527"/>
      <c r="I51" s="580" t="s">
        <v>125</v>
      </c>
      <c r="J51" s="485" t="s">
        <v>123</v>
      </c>
      <c r="K51" s="514"/>
      <c r="L51" s="515"/>
      <c r="M51" s="578" t="e">
        <f ca="1">M50+M36</f>
        <v>#DIV/0!</v>
      </c>
      <c r="N51" s="581"/>
      <c r="O51" s="578" t="e">
        <f ca="1">O50+O36</f>
        <v>#DIV/0!</v>
      </c>
      <c r="P51" s="562"/>
    </row>
    <row r="52" s="540" customFormat="1" ht="14.25" customHeight="1" spans="1:20">
      <c r="A52" s="529" t="s">
        <v>126</v>
      </c>
      <c r="B52" s="530" t="s">
        <v>123</v>
      </c>
      <c r="C52" s="531"/>
      <c r="D52" s="532"/>
      <c r="E52" s="533" t="e">
        <f ca="1">E10-E11+E35</f>
        <v>#DIV/0!</v>
      </c>
      <c r="F52" s="533"/>
      <c r="G52" s="534" t="e">
        <f ca="1">G10-G11+G35</f>
        <v>#DIV/0!</v>
      </c>
      <c r="H52" s="535"/>
      <c r="I52" s="536" t="s">
        <v>126</v>
      </c>
      <c r="J52" s="537" t="s">
        <v>123</v>
      </c>
      <c r="K52" s="533"/>
      <c r="L52" s="533"/>
      <c r="M52" s="533" t="e">
        <f ca="1">M10-M11+M35</f>
        <v>#DIV/0!</v>
      </c>
      <c r="N52" s="533"/>
      <c r="O52" s="534" t="e">
        <f ca="1">O10-O11+O35</f>
        <v>#DIV/0!</v>
      </c>
      <c r="P52" s="562"/>
      <c r="Q52" s="475"/>
      <c r="R52" s="475"/>
      <c r="S52" s="475"/>
      <c r="T52" s="475"/>
    </row>
    <row r="55" customHeight="1" spans="1:20">
      <c r="G55" s="91"/>
      <c r="O55" s="91"/>
    </row>
    <row r="56" s="459" customFormat="1" customHeight="1" spans="1:20">
      <c r="A56" s="582"/>
      <c r="B56" s="538"/>
      <c r="E56" s="539"/>
      <c r="F56" s="539"/>
      <c r="G56" s="539"/>
      <c r="M56" s="499"/>
      <c r="O56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8833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tabColor rgb="FF92D050"/>
  </sheetPr>
  <dimension ref="A1:S67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I2" sqref="I2"/>
    </sheetView>
  </sheetViews>
  <sheetFormatPr defaultColWidth="9" defaultRowHeight="15" customHeight="1"/>
  <cols>
    <col min="1" max="1" width="32.125" style="40" customWidth="1"/>
    <col min="2" max="2" width="9.75" style="461" customWidth="1"/>
    <col min="3" max="3" width="9.75" style="40" customWidth="1"/>
    <col min="4" max="4" width="10.5" style="40" customWidth="1"/>
    <col min="5" max="5" width="10.125" style="462" customWidth="1"/>
    <col min="6" max="6" width="9.5" style="40" customWidth="1"/>
    <col min="7" max="7" width="10.5" style="40" customWidth="1"/>
    <col min="8" max="8" width="8.625" style="40" customWidth="1"/>
    <col min="9" max="9" width="28" style="40" customWidth="1"/>
    <col min="10" max="10" width="8.875" style="40" customWidth="1"/>
    <col min="11" max="11" width="7.5" style="40" customWidth="1"/>
    <col min="12" max="12" width="8.25" style="40" customWidth="1"/>
    <col min="13" max="13" width="10.625" style="40" customWidth="1"/>
    <col min="14" max="14" width="10.5" style="40" customWidth="1"/>
    <col min="15" max="15" width="11.375" style="40" customWidth="1"/>
    <col min="16" max="16" width="9" style="40"/>
    <col min="17" max="18" width="9.75" style="40" customWidth="1"/>
    <col min="19" max="16384" width="9" style="40"/>
  </cols>
  <sheetData>
    <row r="1" s="458" customFormat="1" ht="42.75" customHeight="1" spans="1:19">
      <c r="A1" s="97" t="str">
        <f>CONCATENATE("果葡糖浆F55综合成本利润表_不含税(2025年"&amp;mth&amp;"月)")</f>
        <v>果葡糖浆F55综合成本利润表_不含税(2025年8月)</v>
      </c>
      <c r="B1" s="98"/>
      <c r="C1" s="98"/>
      <c r="D1" s="98"/>
      <c r="E1" s="98"/>
      <c r="F1" s="98"/>
      <c r="G1" s="98"/>
      <c r="I1" s="463" t="str">
        <f>CONCATENATE("果葡糖浆F55综合成本利润表_不含税(2025年1-"&amp;mth&amp;"月)")</f>
        <v>果葡糖浆F55综合成本利润表_不含税(2025年1-8月)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9">
      <c r="A2" s="464"/>
      <c r="B2" s="464"/>
      <c r="C2" s="464"/>
      <c r="D2" s="465"/>
      <c r="E2" s="44"/>
      <c r="F2" s="551"/>
      <c r="G2" s="39"/>
      <c r="M2" s="44"/>
      <c r="N2" s="551"/>
      <c r="O2" s="39"/>
    </row>
    <row r="3" s="38" customFormat="1" customHeight="1" spans="1:19">
      <c r="A3" s="39" t="s">
        <v>148</v>
      </c>
      <c r="E3" s="39" t="s">
        <v>149</v>
      </c>
      <c r="F3" s="466">
        <f ca="1">OFFSET(销售收入及运费!C8,0,mth-1,1,1)</f>
        <v>0</v>
      </c>
      <c r="K3" s="552"/>
      <c r="M3" s="39" t="s">
        <v>149</v>
      </c>
      <c r="N3" s="552">
        <f ca="1">销售收入及运费!O8</f>
        <v>89.175</v>
      </c>
      <c r="O3" s="39" t="s">
        <v>75</v>
      </c>
    </row>
    <row r="4" s="459" customFormat="1" ht="14.25" customHeight="1" spans="1:19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9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3689.14740678441</v>
      </c>
      <c r="N5" s="472"/>
      <c r="O5" s="474">
        <f ca="1">O6-O7</f>
        <v>328979.72</v>
      </c>
      <c r="P5" s="475"/>
      <c r="Q5" s="475"/>
      <c r="R5" s="475"/>
      <c r="S5" s="475"/>
    </row>
    <row r="6" s="459" customFormat="1" ht="14.25" customHeight="1" spans="1:19">
      <c r="A6" s="476" t="s">
        <v>84</v>
      </c>
      <c r="B6" s="477"/>
      <c r="C6" s="478"/>
      <c r="D6" s="479"/>
      <c r="E6" s="478">
        <f ca="1">OFFSET(销售收入及运费!C68,0,mth-1,1,1)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553">
        <f ca="1">销售收入及运费!O68</f>
        <v>4569.49750490608</v>
      </c>
      <c r="N6" s="482"/>
      <c r="O6" s="480">
        <f ca="1">M6*$N$3</f>
        <v>407484.94</v>
      </c>
      <c r="P6" s="475"/>
      <c r="Q6" s="475"/>
      <c r="R6" s="475"/>
      <c r="S6" s="475"/>
    </row>
    <row r="7" s="459" customFormat="1" ht="14.25" customHeight="1" spans="1:19">
      <c r="A7" s="476" t="s">
        <v>85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76" t="s">
        <v>85</v>
      </c>
      <c r="J7" s="477"/>
      <c r="K7" s="479"/>
      <c r="L7" s="479"/>
      <c r="M7" s="480">
        <f ca="1">M8+M9</f>
        <v>880.350098121671</v>
      </c>
      <c r="N7" s="482"/>
      <c r="O7" s="480">
        <f ca="1">M7*$N$3</f>
        <v>78505.22</v>
      </c>
      <c r="P7" s="475"/>
      <c r="Q7" s="475"/>
      <c r="R7" s="475"/>
      <c r="S7" s="475"/>
    </row>
    <row r="8" s="459" customFormat="1" ht="14.25" customHeight="1" spans="1:19">
      <c r="A8" s="476" t="s">
        <v>86</v>
      </c>
      <c r="B8" s="477"/>
      <c r="C8" s="479"/>
      <c r="D8" s="479"/>
      <c r="E8" s="478" t="e">
        <f ca="1">(OFFSET(销售收入及运费!C125,0,mth-1,1,1)/1.09/OFFSET(销售收入及运费!C8,0,mth-1,1,1))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销售收入及运费!O125/1.09/销售收入及运费!O8</f>
        <v>93.7343425848052</v>
      </c>
      <c r="N8" s="482"/>
      <c r="O8" s="480">
        <f ca="1">M8*$N$3</f>
        <v>8358.76</v>
      </c>
      <c r="P8" s="475"/>
      <c r="Q8" s="475"/>
      <c r="R8" s="475"/>
      <c r="S8" s="475"/>
    </row>
    <row r="9" s="459" customFormat="1" ht="14.25" customHeight="1" spans="1:19">
      <c r="A9" s="476" t="s">
        <v>87</v>
      </c>
      <c r="B9" s="477"/>
      <c r="C9" s="479"/>
      <c r="D9" s="479"/>
      <c r="E9" s="478" t="e">
        <f ca="1">(OFFSET(销售收入及运费!C145,0,mth-1,1,1)/1.13+OFFSET(销售收入及运费!C165,0,mth-1,1,1)/1.13)/OFFSET(销售收入及运费!C8,0,mth-1,1,1)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(销售收入及运费!O1457+销售收入及运费!O165)/1.13/销售收入及运费!O8</f>
        <v>786.615755536866</v>
      </c>
      <c r="N9" s="482"/>
      <c r="O9" s="480">
        <f ca="1">M9*$N$3</f>
        <v>70146.46</v>
      </c>
      <c r="P9" s="475"/>
      <c r="Q9" s="475"/>
      <c r="R9" s="475"/>
      <c r="S9" s="475"/>
    </row>
    <row r="10" s="459" customFormat="1" ht="14.25" customHeight="1" spans="1:19">
      <c r="A10" s="484" t="s">
        <v>88</v>
      </c>
      <c r="B10" s="485"/>
      <c r="C10" s="486"/>
      <c r="D10" s="486"/>
      <c r="E10" s="514" t="e">
        <f ca="1">E11+E13+E26+E31+E34+E25</f>
        <v>#DIV/0!</v>
      </c>
      <c r="F10" s="488"/>
      <c r="G10" s="487" t="e">
        <f ca="1">G11+G13+G26+G31+G25</f>
        <v>#DIV/0!</v>
      </c>
      <c r="H10" s="511"/>
      <c r="I10" s="484" t="s">
        <v>88</v>
      </c>
      <c r="J10" s="485"/>
      <c r="K10" s="486"/>
      <c r="L10" s="486"/>
      <c r="M10" s="487" t="e">
        <f ca="1">M11+M13+M26+M31+M34+M25</f>
        <v>#DIV/0!</v>
      </c>
      <c r="N10" s="488"/>
      <c r="O10" s="487" t="e">
        <f ca="1">O11+O13+O26+O31+O25</f>
        <v>#DIV/0!</v>
      </c>
      <c r="P10" s="475"/>
      <c r="Q10" s="475"/>
      <c r="R10" s="475"/>
      <c r="S10" s="475"/>
    </row>
    <row r="11" s="459" customFormat="1" ht="14.25" customHeight="1" spans="1:19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H11" s="554"/>
      <c r="I11" s="489" t="s">
        <v>89</v>
      </c>
      <c r="J11" s="490" t="s">
        <v>75</v>
      </c>
      <c r="K11" s="491">
        <f ca="1">IF(N11=0,0,O11/N11)</f>
        <v>2499.44104182405</v>
      </c>
      <c r="L11" s="492">
        <f ca="1">IF(K11=0,0,M11/K11)</f>
        <v>0.848770030048684</v>
      </c>
      <c r="M11" s="491">
        <f ca="1">M12</f>
        <v>2121.45064817391</v>
      </c>
      <c r="N11" s="491">
        <f ca="1">N12</f>
        <v>75.6890674295913</v>
      </c>
      <c r="O11" s="491">
        <f ca="1">O12</f>
        <v>189180.361550909</v>
      </c>
      <c r="P11" s="475"/>
      <c r="Q11" s="475"/>
      <c r="R11" s="475"/>
      <c r="S11" s="475"/>
    </row>
    <row r="12" s="459" customFormat="1" ht="14.25" customHeight="1" spans="1:19">
      <c r="A12" s="494" t="s">
        <v>90</v>
      </c>
      <c r="B12" s="495" t="s">
        <v>75</v>
      </c>
      <c r="C12" s="496">
        <f ca="1">OFFSET(分配表!C65,0,mth-1,1,1)</f>
        <v>0</v>
      </c>
      <c r="D12" s="497">
        <f ca="1">'F55'!D12</f>
        <v>0</v>
      </c>
      <c r="E12" s="496">
        <f ca="1">C12*D12</f>
        <v>0</v>
      </c>
      <c r="F12" s="555">
        <f ca="1">D12*F3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分配表!O65</f>
        <v>2499.44104182405</v>
      </c>
      <c r="L12" s="497">
        <f ca="1">'F55'!L12</f>
        <v>0.848770030048684</v>
      </c>
      <c r="M12" s="496">
        <f ca="1">K12*L12</f>
        <v>2121.45064817391</v>
      </c>
      <c r="N12" s="496">
        <f ca="1">L12*N3</f>
        <v>75.6890674295913</v>
      </c>
      <c r="O12" s="496">
        <f ca="1">K12*N12</f>
        <v>189180.361550909</v>
      </c>
      <c r="P12" s="475"/>
      <c r="Q12" s="475"/>
      <c r="R12" s="475"/>
      <c r="S12" s="475"/>
    </row>
    <row r="13" s="459" customFormat="1" ht="14.25" customHeight="1" spans="1:19">
      <c r="A13" s="489" t="s">
        <v>92</v>
      </c>
      <c r="B13" s="490"/>
      <c r="C13" s="501"/>
      <c r="D13" s="492"/>
      <c r="E13" s="501" t="e">
        <f ca="1">SUM(E14:E24)</f>
        <v>#DIV/0!</v>
      </c>
      <c r="F13" s="491"/>
      <c r="G13" s="491" t="e">
        <f ca="1">SUM(G14:G24)</f>
        <v>#DIV/0!</v>
      </c>
      <c r="H13" s="511"/>
      <c r="I13" s="489" t="s">
        <v>92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475"/>
      <c r="Q13" s="475"/>
      <c r="R13" s="475"/>
      <c r="S13" s="475"/>
    </row>
    <row r="14" s="459" customFormat="1" ht="14.25" customHeight="1" spans="1:19">
      <c r="A14" s="502" t="s">
        <v>136</v>
      </c>
      <c r="B14" s="503"/>
      <c r="C14" s="504">
        <f ca="1">'F55'!C14</f>
        <v>0</v>
      </c>
      <c r="D14" s="505">
        <f ca="1">'F55'!D14</f>
        <v>0</v>
      </c>
      <c r="E14" s="506">
        <f ca="1">C14*D14</f>
        <v>0</v>
      </c>
      <c r="F14" s="507">
        <f ca="1">D14*$F$3</f>
        <v>0</v>
      </c>
      <c r="G14" s="496">
        <f ca="1" t="shared" ref="G14:G22" si="0">E14*$F$3</f>
        <v>0</v>
      </c>
      <c r="H14" s="556"/>
      <c r="I14" s="502" t="s">
        <v>136</v>
      </c>
      <c r="J14" s="503"/>
      <c r="K14" s="505">
        <f ca="1">'F55'!K14</f>
        <v>1.03363476247911</v>
      </c>
      <c r="L14" s="505">
        <f ca="1">'F55'!L14</f>
        <v>4.55787434531979</v>
      </c>
      <c r="M14" s="506">
        <f ca="1">K14*L14</f>
        <v>4.71117736633423</v>
      </c>
      <c r="N14" s="507">
        <f ca="1">L14*$N$3</f>
        <v>406.448444743892</v>
      </c>
      <c r="O14" s="496">
        <f ca="1">M14*$N$3</f>
        <v>420.119241642855</v>
      </c>
      <c r="P14" s="475"/>
      <c r="Q14" s="475"/>
      <c r="R14" s="475"/>
      <c r="S14" s="475"/>
    </row>
    <row r="15" s="459" customFormat="1" ht="14.25" customHeight="1" spans="1:19">
      <c r="A15" s="502" t="s">
        <v>137</v>
      </c>
      <c r="B15" s="503"/>
      <c r="C15" s="504">
        <f ca="1">'F55'!C15</f>
        <v>0</v>
      </c>
      <c r="D15" s="505">
        <f ca="1">'F55'!D15</f>
        <v>0</v>
      </c>
      <c r="E15" s="506">
        <f ca="1" t="shared" ref="E15:E22" si="1">C15*D15</f>
        <v>0</v>
      </c>
      <c r="F15" s="507">
        <f ca="1" t="shared" ref="F15:F22" si="2">D15*$F$3</f>
        <v>0</v>
      </c>
      <c r="G15" s="496">
        <f ca="1" t="shared" si="0"/>
        <v>0</v>
      </c>
      <c r="H15" s="556"/>
      <c r="I15" s="502" t="s">
        <v>137</v>
      </c>
      <c r="J15" s="503"/>
      <c r="K15" s="505">
        <f ca="1">'F55'!K15</f>
        <v>3.16530363402344</v>
      </c>
      <c r="L15" s="505">
        <f ca="1">'F55'!L15</f>
        <v>5.06258686051769</v>
      </c>
      <c r="M15" s="506">
        <f ca="1" t="shared" ref="M15:M22" si="3">K15*L15</f>
        <v>16.024624587156</v>
      </c>
      <c r="N15" s="507">
        <f ca="1" t="shared" ref="N15:N22" si="4">L15*$N$3</f>
        <v>451.456183286665</v>
      </c>
      <c r="O15" s="496">
        <f ca="1" t="shared" ref="O15:O22" si="5">M15*$N$3</f>
        <v>1428.99589755963</v>
      </c>
      <c r="P15" s="475"/>
      <c r="Q15" s="475"/>
      <c r="R15" s="475"/>
      <c r="S15" s="475"/>
    </row>
    <row r="16" s="459" customFormat="1" ht="14.25" customHeight="1" spans="1:19">
      <c r="A16" s="502" t="s">
        <v>138</v>
      </c>
      <c r="B16" s="503"/>
      <c r="C16" s="504">
        <f ca="1">'F55'!C16</f>
        <v>0</v>
      </c>
      <c r="D16" s="505">
        <f ca="1">'F55'!D16</f>
        <v>0</v>
      </c>
      <c r="E16" s="506">
        <f ca="1" t="shared" si="1"/>
        <v>0</v>
      </c>
      <c r="F16" s="507">
        <f ca="1" t="shared" si="2"/>
        <v>0</v>
      </c>
      <c r="G16" s="496">
        <f ca="1" t="shared" si="0"/>
        <v>0</v>
      </c>
      <c r="H16" s="556"/>
      <c r="I16" s="502" t="s">
        <v>138</v>
      </c>
      <c r="J16" s="503"/>
      <c r="K16" s="505">
        <f ca="1">'F55'!K16</f>
        <v>2.60487003610108</v>
      </c>
      <c r="L16" s="505">
        <f ca="1">'F55'!L16</f>
        <v>0.766508435750828</v>
      </c>
      <c r="M16" s="506">
        <f ca="1" t="shared" si="3"/>
        <v>1.99665485670604</v>
      </c>
      <c r="N16" s="507">
        <f ca="1" t="shared" si="4"/>
        <v>68.3533897580801</v>
      </c>
      <c r="O16" s="496">
        <f ca="1" t="shared" si="5"/>
        <v>178.051696846761</v>
      </c>
      <c r="P16" s="475"/>
      <c r="Q16" s="475"/>
      <c r="R16" s="475"/>
      <c r="S16" s="475"/>
    </row>
    <row r="17" s="459" customFormat="1" ht="14.25" customHeight="1" spans="1:19">
      <c r="A17" s="502" t="s">
        <v>139</v>
      </c>
      <c r="B17" s="503"/>
      <c r="C17" s="504">
        <f ca="1">'F55'!C17</f>
        <v>0</v>
      </c>
      <c r="D17" s="505">
        <f ca="1">'F55'!D17</f>
        <v>0</v>
      </c>
      <c r="E17" s="506">
        <f ca="1" t="shared" si="1"/>
        <v>0</v>
      </c>
      <c r="F17" s="507">
        <f ca="1" t="shared" si="2"/>
        <v>0</v>
      </c>
      <c r="G17" s="496">
        <f ca="1" t="shared" si="0"/>
        <v>0</v>
      </c>
      <c r="H17" s="556"/>
      <c r="I17" s="502" t="s">
        <v>139</v>
      </c>
      <c r="J17" s="503"/>
      <c r="K17" s="505">
        <f ca="1">'F55'!K17</f>
        <v>7.07970147313692</v>
      </c>
      <c r="L17" s="505">
        <f ca="1">'F55'!L17</f>
        <v>1.59987183011964</v>
      </c>
      <c r="M17" s="506">
        <f ca="1" t="shared" si="3"/>
        <v>11.3266149525282</v>
      </c>
      <c r="N17" s="507">
        <f ca="1" t="shared" si="4"/>
        <v>142.668570450919</v>
      </c>
      <c r="O17" s="496">
        <f ca="1" t="shared" si="5"/>
        <v>1010.05088839171</v>
      </c>
      <c r="P17" s="475"/>
      <c r="Q17" s="475"/>
      <c r="R17" s="475"/>
      <c r="S17" s="475"/>
    </row>
    <row r="18" s="459" customFormat="1" ht="14.25" customHeight="1" spans="1:19">
      <c r="A18" s="502" t="s">
        <v>140</v>
      </c>
      <c r="B18" s="503"/>
      <c r="C18" s="504">
        <f ca="1">'F55'!C18</f>
        <v>0</v>
      </c>
      <c r="D18" s="505">
        <f ca="1">'F55'!D18</f>
        <v>0</v>
      </c>
      <c r="E18" s="506">
        <f ca="1" t="shared" si="1"/>
        <v>0</v>
      </c>
      <c r="F18" s="507">
        <f ca="1" t="shared" si="2"/>
        <v>0</v>
      </c>
      <c r="G18" s="496">
        <f ca="1" t="shared" si="0"/>
        <v>0</v>
      </c>
      <c r="H18" s="556"/>
      <c r="I18" s="502" t="s">
        <v>140</v>
      </c>
      <c r="J18" s="503"/>
      <c r="K18" s="505">
        <f ca="1">'F55'!K18</f>
        <v>47.8014094240838</v>
      </c>
      <c r="L18" s="505">
        <f ca="1">'F55'!L18</f>
        <v>0.0825190470672785</v>
      </c>
      <c r="M18" s="506">
        <f ca="1" t="shared" si="3"/>
        <v>3.94452675414822</v>
      </c>
      <c r="N18" s="507">
        <f ca="1" t="shared" si="4"/>
        <v>7.35863602222456</v>
      </c>
      <c r="O18" s="496">
        <f ca="1" t="shared" si="5"/>
        <v>351.753173301167</v>
      </c>
      <c r="P18" s="475"/>
      <c r="Q18" s="475"/>
      <c r="R18" s="475"/>
      <c r="S18" s="475"/>
    </row>
    <row r="19" s="459" customFormat="1" ht="14.25" customHeight="1" spans="1:19">
      <c r="A19" s="502" t="s">
        <v>141</v>
      </c>
      <c r="B19" s="503"/>
      <c r="C19" s="504">
        <f ca="1">'F55'!C19</f>
        <v>0</v>
      </c>
      <c r="D19" s="505">
        <f ca="1">'F55'!D19</f>
        <v>0</v>
      </c>
      <c r="E19" s="506">
        <f ca="1" t="shared" si="1"/>
        <v>0</v>
      </c>
      <c r="F19" s="507">
        <f ca="1" t="shared" si="2"/>
        <v>0</v>
      </c>
      <c r="G19" s="496">
        <f ca="1" t="shared" si="0"/>
        <v>0</v>
      </c>
      <c r="H19" s="556"/>
      <c r="I19" s="502" t="s">
        <v>141</v>
      </c>
      <c r="J19" s="503"/>
      <c r="K19" s="505">
        <f ca="1">'F55'!K19</f>
        <v>32.1974312123818</v>
      </c>
      <c r="L19" s="505">
        <f ca="1">'F55'!L19</f>
        <v>0.16120775745773</v>
      </c>
      <c r="M19" s="506">
        <f ca="1" t="shared" si="3"/>
        <v>5.1904756816476</v>
      </c>
      <c r="N19" s="507">
        <f ca="1" t="shared" si="4"/>
        <v>14.3757017712931</v>
      </c>
      <c r="O19" s="496">
        <f ca="1" t="shared" si="5"/>
        <v>462.860668910925</v>
      </c>
      <c r="P19" s="475"/>
      <c r="Q19" s="475"/>
      <c r="R19" s="475"/>
      <c r="S19" s="475"/>
    </row>
    <row r="20" s="459" customFormat="1" ht="14.25" customHeight="1" spans="1:19">
      <c r="A20" s="502" t="s">
        <v>142</v>
      </c>
      <c r="B20" s="503"/>
      <c r="C20" s="504">
        <f ca="1">'F55'!C20</f>
        <v>0</v>
      </c>
      <c r="D20" s="505">
        <f ca="1">'F55'!D20</f>
        <v>0</v>
      </c>
      <c r="E20" s="506">
        <f ca="1" t="shared" si="1"/>
        <v>0</v>
      </c>
      <c r="F20" s="507">
        <f ca="1" t="shared" si="2"/>
        <v>0</v>
      </c>
      <c r="G20" s="496">
        <f ca="1" t="shared" si="0"/>
        <v>0</v>
      </c>
      <c r="H20" s="556"/>
      <c r="I20" s="502" t="s">
        <v>142</v>
      </c>
      <c r="J20" s="503"/>
      <c r="K20" s="505">
        <f ca="1">'F55'!K20</f>
        <v>218.577020031909</v>
      </c>
      <c r="L20" s="505">
        <f ca="1">'F55'!L20</f>
        <v>0.0977000320036674</v>
      </c>
      <c r="M20" s="506">
        <f ca="1" t="shared" si="3"/>
        <v>21.3549818523838</v>
      </c>
      <c r="N20" s="507">
        <f ca="1" t="shared" si="4"/>
        <v>8.71240035392704</v>
      </c>
      <c r="O20" s="496">
        <f ca="1" t="shared" si="5"/>
        <v>1904.33050668632</v>
      </c>
      <c r="P20" s="475"/>
      <c r="Q20" s="475"/>
      <c r="R20" s="475"/>
      <c r="S20" s="475"/>
    </row>
    <row r="21" s="459" customFormat="1" ht="14.25" customHeight="1" spans="1:19">
      <c r="A21" s="502" t="s">
        <v>150</v>
      </c>
      <c r="B21" s="503"/>
      <c r="C21" s="504">
        <f ca="1">'F55'!C21</f>
        <v>0</v>
      </c>
      <c r="D21" s="505">
        <f ca="1">'F55'!D21</f>
        <v>0</v>
      </c>
      <c r="E21" s="506">
        <f ca="1" t="shared" si="1"/>
        <v>0</v>
      </c>
      <c r="F21" s="507">
        <f ca="1" t="shared" si="2"/>
        <v>0</v>
      </c>
      <c r="G21" s="496">
        <f ca="1" t="shared" si="0"/>
        <v>0</v>
      </c>
      <c r="H21" s="556"/>
      <c r="I21" s="502" t="s">
        <v>150</v>
      </c>
      <c r="J21" s="503"/>
      <c r="K21" s="505">
        <f ca="1">'F55'!K21</f>
        <v>0.979474345549738</v>
      </c>
      <c r="L21" s="505">
        <f ca="1">'F55'!L21</f>
        <v>0.496079591655948</v>
      </c>
      <c r="M21" s="506">
        <f ca="1" t="shared" si="3"/>
        <v>0.485897233377791</v>
      </c>
      <c r="N21" s="507">
        <f ca="1" t="shared" si="4"/>
        <v>44.2378975859192</v>
      </c>
      <c r="O21" s="496">
        <f ca="1" t="shared" si="5"/>
        <v>43.3298857864645</v>
      </c>
      <c r="P21" s="475"/>
      <c r="Q21" s="475"/>
      <c r="R21" s="475"/>
      <c r="S21" s="475"/>
    </row>
    <row r="22" s="459" customFormat="1" ht="14.25" customHeight="1" spans="1:19">
      <c r="A22" s="502" t="s">
        <v>145</v>
      </c>
      <c r="B22" s="503"/>
      <c r="C22" s="504">
        <f ca="1">'F55'!C22</f>
        <v>0</v>
      </c>
      <c r="D22" s="505">
        <f ca="1">'F55'!D22</f>
        <v>0</v>
      </c>
      <c r="E22" s="506">
        <f ca="1" t="shared" si="1"/>
        <v>0</v>
      </c>
      <c r="F22" s="507">
        <f ca="1" t="shared" si="2"/>
        <v>0</v>
      </c>
      <c r="G22" s="496">
        <f ca="1" t="shared" si="0"/>
        <v>0</v>
      </c>
      <c r="H22" s="556"/>
      <c r="I22" s="502" t="s">
        <v>145</v>
      </c>
      <c r="J22" s="503"/>
      <c r="K22" s="505">
        <f ca="1">'F55'!K22</f>
        <v>1.85608011869436</v>
      </c>
      <c r="L22" s="505">
        <f ca="1">'F55'!L22</f>
        <v>0.291815846685822</v>
      </c>
      <c r="M22" s="506">
        <f ca="1" t="shared" si="3"/>
        <v>0.541633591353516</v>
      </c>
      <c r="N22" s="507">
        <f ca="1" t="shared" si="4"/>
        <v>26.0226781282082</v>
      </c>
      <c r="O22" s="496">
        <f ca="1" t="shared" si="5"/>
        <v>48.3001755089498</v>
      </c>
      <c r="P22" s="475"/>
      <c r="Q22" s="475"/>
      <c r="R22" s="475"/>
      <c r="S22" s="475"/>
    </row>
    <row r="23" s="459" customFormat="1" ht="14.25" customHeight="1" spans="1:19">
      <c r="A23" s="502" t="s">
        <v>146</v>
      </c>
      <c r="B23" s="503"/>
      <c r="C23" s="505"/>
      <c r="D23" s="497"/>
      <c r="E23" s="507">
        <f ca="1">IF(VALUE($F$3)=0,0,G23/$F$3)</f>
        <v>0</v>
      </c>
      <c r="F23" s="507"/>
      <c r="G23" s="507" t="e">
        <f ca="1">OFFSET(分配表!C205,0,mth-1,1,1)</f>
        <v>#DIV/0!</v>
      </c>
      <c r="H23" s="556"/>
      <c r="I23" s="502" t="s">
        <v>146</v>
      </c>
      <c r="J23" s="503"/>
      <c r="K23" s="505"/>
      <c r="L23" s="497"/>
      <c r="M23" s="506" t="e">
        <f ca="1">IF($N$3=0,0,O23/$N$3)</f>
        <v>#DIV/0!</v>
      </c>
      <c r="N23" s="507"/>
      <c r="O23" s="496" t="e">
        <f ca="1">分配表!O205</f>
        <v>#DIV/0!</v>
      </c>
      <c r="P23" s="475"/>
      <c r="Q23" s="475"/>
      <c r="R23" s="475"/>
      <c r="S23" s="475"/>
    </row>
    <row r="24" s="459" customFormat="1" ht="14.25" customHeight="1" spans="1:19">
      <c r="A24" s="502" t="s">
        <v>147</v>
      </c>
      <c r="B24" s="503"/>
      <c r="C24" s="505"/>
      <c r="D24" s="497"/>
      <c r="E24" s="507" t="e">
        <f ca="1">G24/F3</f>
        <v>#DIV/0!</v>
      </c>
      <c r="F24" s="507"/>
      <c r="G24" s="507" t="e">
        <f ca="1">'F55'!G24/'F55'!F3*F55小包装!F3</f>
        <v>#DIV/0!</v>
      </c>
      <c r="I24" s="502" t="s">
        <v>147</v>
      </c>
      <c r="J24" s="503"/>
      <c r="K24" s="505"/>
      <c r="L24" s="497"/>
      <c r="M24" s="507" t="e">
        <f ca="1">O24/N3</f>
        <v>#DIV/0!</v>
      </c>
      <c r="N24" s="507"/>
      <c r="O24" s="507" t="e">
        <f ca="1">'F55'!O24/'F55'!N3*F55小包装!N3</f>
        <v>#DIV/0!</v>
      </c>
      <c r="P24" s="475"/>
      <c r="Q24" s="475"/>
      <c r="R24" s="475"/>
      <c r="S24" s="475"/>
    </row>
    <row r="25" s="459" customFormat="1" ht="14.25" customHeight="1" spans="1:19">
      <c r="A25" s="508" t="s">
        <v>93</v>
      </c>
      <c r="B25" s="490"/>
      <c r="C25" s="501"/>
      <c r="D25" s="492"/>
      <c r="E25" s="491"/>
      <c r="F25" s="491"/>
      <c r="G25" s="491"/>
      <c r="I25" s="508" t="s">
        <v>93</v>
      </c>
      <c r="J25" s="490"/>
      <c r="K25" s="501"/>
      <c r="L25" s="492"/>
      <c r="M25" s="491"/>
      <c r="N25" s="491"/>
      <c r="O25" s="491"/>
      <c r="P25" s="475"/>
      <c r="Q25" s="475"/>
      <c r="R25" s="475"/>
      <c r="S25" s="475"/>
    </row>
    <row r="26" s="459" customFormat="1" ht="14.25" customHeight="1" spans="1:19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475"/>
      <c r="Q26" s="475"/>
      <c r="R26" s="475"/>
      <c r="S26" s="475"/>
    </row>
    <row r="27" s="459" customFormat="1" ht="14.25" customHeight="1" spans="1:19">
      <c r="A27" s="494" t="s">
        <v>95</v>
      </c>
      <c r="B27" s="495" t="s">
        <v>75</v>
      </c>
      <c r="C27" s="504">
        <f ca="1">'F55'!C27</f>
        <v>0</v>
      </c>
      <c r="D27" s="504">
        <f ca="1">'F55'!D27</f>
        <v>0</v>
      </c>
      <c r="E27" s="509">
        <f ca="1">C27*D27</f>
        <v>0</v>
      </c>
      <c r="F27" s="509">
        <f ca="1">D27*$F$3</f>
        <v>0</v>
      </c>
      <c r="G27" s="509">
        <f ca="1">E27*F$3</f>
        <v>0</v>
      </c>
      <c r="I27" s="494" t="s">
        <v>95</v>
      </c>
      <c r="J27" s="495" t="s">
        <v>75</v>
      </c>
      <c r="K27" s="504">
        <f ca="1">'F55'!K27</f>
        <v>374.799025538744</v>
      </c>
      <c r="L27" s="504">
        <f ca="1">'F55'!L27</f>
        <v>0.308599320251534</v>
      </c>
      <c r="M27" s="509">
        <f ca="1">K27*L27</f>
        <v>115.662724512194</v>
      </c>
      <c r="N27" s="496">
        <f ca="1">L27*$N$3</f>
        <v>27.5193443834305</v>
      </c>
      <c r="O27" s="509">
        <f ca="1">M27*N$3</f>
        <v>10314.2234583749</v>
      </c>
      <c r="P27" s="475"/>
      <c r="Q27" s="475"/>
      <c r="R27" s="475"/>
      <c r="S27" s="475"/>
    </row>
    <row r="28" s="459" customFormat="1" ht="14.25" customHeight="1" spans="1:19">
      <c r="A28" s="494" t="s">
        <v>96</v>
      </c>
      <c r="B28" s="495" t="s">
        <v>97</v>
      </c>
      <c r="C28" s="504">
        <f ca="1">'F55'!C28</f>
        <v>0</v>
      </c>
      <c r="D28" s="504">
        <f ca="1">'F55'!D28</f>
        <v>0</v>
      </c>
      <c r="E28" s="509">
        <f ca="1">C28*D28</f>
        <v>0</v>
      </c>
      <c r="F28" s="509">
        <f ca="1" t="shared" ref="F28:F30" si="6">D28*$F$3</f>
        <v>0</v>
      </c>
      <c r="G28" s="509">
        <f ca="1">E28*F$3</f>
        <v>0</v>
      </c>
      <c r="I28" s="494" t="s">
        <v>96</v>
      </c>
      <c r="J28" s="495" t="s">
        <v>97</v>
      </c>
      <c r="K28" s="504">
        <f ca="1">'F55'!K28</f>
        <v>0.680636799672716</v>
      </c>
      <c r="L28" s="504" t="e">
        <f ca="1">'F55'!L28</f>
        <v>#DIV/0!</v>
      </c>
      <c r="M28" s="509" t="e">
        <f ca="1">K28*L28</f>
        <v>#DIV/0!</v>
      </c>
      <c r="N28" s="496" t="e">
        <f ca="1" t="shared" ref="N28:N30" si="7">L28*$N$3</f>
        <v>#DIV/0!</v>
      </c>
      <c r="O28" s="509" t="e">
        <f ca="1">M28*N$3</f>
        <v>#DIV/0!</v>
      </c>
      <c r="P28" s="475"/>
      <c r="Q28" s="475"/>
      <c r="R28" s="475"/>
      <c r="S28" s="475"/>
    </row>
    <row r="29" s="459" customFormat="1" ht="14.25" customHeight="1" spans="1:19">
      <c r="A29" s="494" t="s">
        <v>98</v>
      </c>
      <c r="B29" s="495" t="s">
        <v>75</v>
      </c>
      <c r="C29" s="504">
        <f ca="1">'F55'!C29</f>
        <v>0</v>
      </c>
      <c r="D29" s="504">
        <f ca="1">'F55'!D29</f>
        <v>0</v>
      </c>
      <c r="E29" s="509">
        <f ca="1">C29*D29</f>
        <v>0</v>
      </c>
      <c r="F29" s="509">
        <f ca="1" t="shared" si="6"/>
        <v>0</v>
      </c>
      <c r="G29" s="509">
        <f ca="1">E29*F$3</f>
        <v>0</v>
      </c>
      <c r="I29" s="494" t="s">
        <v>98</v>
      </c>
      <c r="J29" s="495" t="s">
        <v>75</v>
      </c>
      <c r="K29" s="504">
        <f ca="1">'F55'!K29</f>
        <v>5.8950402489434</v>
      </c>
      <c r="L29" s="504" t="e">
        <f ca="1">'F55'!L29</f>
        <v>#DIV/0!</v>
      </c>
      <c r="M29" s="509" t="e">
        <f ca="1">K29*L29</f>
        <v>#DIV/0!</v>
      </c>
      <c r="N29" s="496" t="e">
        <f ca="1" t="shared" si="7"/>
        <v>#DIV/0!</v>
      </c>
      <c r="O29" s="509" t="e">
        <f ca="1">M29*N$3</f>
        <v>#DIV/0!</v>
      </c>
      <c r="P29" s="475"/>
      <c r="Q29" s="475"/>
      <c r="R29" s="475"/>
      <c r="S29" s="475"/>
    </row>
    <row r="30" s="459" customFormat="1" ht="14.25" customHeight="1" spans="1:19">
      <c r="A30" s="494" t="s">
        <v>99</v>
      </c>
      <c r="B30" s="495" t="s">
        <v>75</v>
      </c>
      <c r="C30" s="504">
        <f ca="1">'F55'!C30</f>
        <v>0</v>
      </c>
      <c r="D30" s="504">
        <f ca="1">'F55'!D30</f>
        <v>0</v>
      </c>
      <c r="E30" s="509">
        <f ca="1">C30*D30</f>
        <v>0</v>
      </c>
      <c r="F30" s="509">
        <f ca="1" t="shared" si="6"/>
        <v>0</v>
      </c>
      <c r="G30" s="509">
        <f ca="1">E30*F$3</f>
        <v>0</v>
      </c>
      <c r="I30" s="494" t="s">
        <v>99</v>
      </c>
      <c r="J30" s="495" t="s">
        <v>75</v>
      </c>
      <c r="K30" s="504">
        <f>'F55'!K30</f>
        <v>0</v>
      </c>
      <c r="L30" s="504">
        <f ca="1">'F55'!L30</f>
        <v>0</v>
      </c>
      <c r="M30" s="509">
        <f ca="1">K30*L30</f>
        <v>0</v>
      </c>
      <c r="N30" s="496">
        <f ca="1" t="shared" si="7"/>
        <v>0</v>
      </c>
      <c r="O30" s="509">
        <f ca="1">M30*N$3</f>
        <v>0</v>
      </c>
      <c r="P30" s="475"/>
      <c r="Q30" s="475"/>
      <c r="R30" s="475"/>
      <c r="S30" s="475"/>
    </row>
    <row r="31" s="459" customFormat="1" ht="14.25" customHeight="1" spans="1:19">
      <c r="A31" s="508" t="s">
        <v>101</v>
      </c>
      <c r="B31" s="490"/>
      <c r="C31" s="501"/>
      <c r="D31" s="492"/>
      <c r="E31" s="501">
        <f ca="1">IF(VALUE($F$3)=0,0,G31/$F$3)</f>
        <v>0</v>
      </c>
      <c r="F31" s="501"/>
      <c r="G31" s="501" t="e">
        <f ca="1">'F55'!G31/'F55'!F3*F55小包装!F3</f>
        <v>#DIV/0!</v>
      </c>
      <c r="I31" s="508" t="s">
        <v>101</v>
      </c>
      <c r="J31" s="490"/>
      <c r="K31" s="501"/>
      <c r="L31" s="492"/>
      <c r="M31" s="501" t="e">
        <f ca="1">IF($N$3=0,,O31/$N$3)</f>
        <v>#DIV/0!</v>
      </c>
      <c r="N31" s="501"/>
      <c r="O31" s="501" t="e">
        <f ca="1">'F55'!O31/'F55'!N3*F55小包装!N3</f>
        <v>#DIV/0!</v>
      </c>
      <c r="P31" s="475"/>
      <c r="Q31" s="475"/>
      <c r="R31" s="475"/>
      <c r="S31" s="475"/>
    </row>
    <row r="32" s="459" customFormat="1" ht="14.25" customHeight="1" spans="1:19">
      <c r="A32" s="541" t="s">
        <v>102</v>
      </c>
      <c r="B32" s="490"/>
      <c r="C32" s="501"/>
      <c r="D32" s="492"/>
      <c r="E32" s="501">
        <f ca="1">E31</f>
        <v>0</v>
      </c>
      <c r="F32" s="501"/>
      <c r="G32" s="501" t="e">
        <f ca="1">G31</f>
        <v>#DIV/0!</v>
      </c>
      <c r="H32" s="483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P32" s="475"/>
      <c r="Q32" s="475"/>
      <c r="R32" s="475"/>
      <c r="S32" s="475"/>
    </row>
    <row r="33" s="459" customFormat="1" ht="14.25" customHeight="1" spans="1:19">
      <c r="A33" s="541" t="s">
        <v>103</v>
      </c>
      <c r="B33" s="490"/>
      <c r="C33" s="501"/>
      <c r="D33" s="492"/>
      <c r="E33" s="501"/>
      <c r="F33" s="491"/>
      <c r="G33" s="491"/>
      <c r="H33" s="483"/>
      <c r="I33" s="508" t="s">
        <v>103</v>
      </c>
      <c r="J33" s="490"/>
      <c r="K33" s="501"/>
      <c r="L33" s="492"/>
      <c r="M33" s="501"/>
      <c r="N33" s="491"/>
      <c r="O33" s="491"/>
      <c r="P33" s="475"/>
      <c r="Q33" s="475"/>
      <c r="R33" s="475"/>
      <c r="S33" s="475"/>
    </row>
    <row r="34" s="459" customFormat="1" ht="14.25" customHeight="1" spans="1:19">
      <c r="A34" s="508" t="s">
        <v>104</v>
      </c>
      <c r="B34" s="490"/>
      <c r="C34" s="501"/>
      <c r="D34" s="492"/>
      <c r="E34" s="501"/>
      <c r="F34" s="491"/>
      <c r="G34" s="491"/>
      <c r="I34" s="508" t="s">
        <v>104</v>
      </c>
      <c r="J34" s="490"/>
      <c r="K34" s="501"/>
      <c r="L34" s="492"/>
      <c r="M34" s="501"/>
      <c r="N34" s="491"/>
      <c r="O34" s="491"/>
      <c r="P34" s="475"/>
      <c r="Q34" s="475"/>
      <c r="R34" s="475"/>
      <c r="S34" s="475"/>
    </row>
    <row r="35" s="459" customFormat="1" ht="14.25" customHeight="1" spans="1:19">
      <c r="A35" s="508" t="s">
        <v>105</v>
      </c>
      <c r="B35" s="490"/>
      <c r="C35" s="501"/>
      <c r="D35" s="492"/>
      <c r="E35" s="491" t="e">
        <f ca="1">E5-E10</f>
        <v>#DIV/0!</v>
      </c>
      <c r="F35" s="491"/>
      <c r="G35" s="491" t="e">
        <f ca="1">G5-G10</f>
        <v>#DIV/0!</v>
      </c>
      <c r="H35" s="512"/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  <c r="P35" s="475"/>
      <c r="Q35" s="475"/>
      <c r="R35" s="475"/>
      <c r="S35" s="475"/>
    </row>
    <row r="36" s="459" customFormat="1" ht="14.25" customHeight="1" spans="1:19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  <c r="P36" s="475"/>
      <c r="Q36" s="475"/>
      <c r="R36" s="475"/>
      <c r="S36" s="475"/>
    </row>
    <row r="37" s="459" customFormat="1" ht="14.25" customHeight="1" spans="1:19">
      <c r="A37" s="516" t="s">
        <v>107</v>
      </c>
      <c r="B37" s="503"/>
      <c r="C37" s="505"/>
      <c r="D37" s="497"/>
      <c r="E37" s="507">
        <f ca="1">IF(VALUE($F$3)=0,0,G37/$F$3)</f>
        <v>0</v>
      </c>
      <c r="F37" s="517"/>
      <c r="G37" s="509" t="e">
        <f ca="1">'F55'!G37/'F55'!$F$3*F55小包装!$F$3</f>
        <v>#DIV/0!</v>
      </c>
      <c r="H37" s="483"/>
      <c r="I37" s="516" t="s">
        <v>107</v>
      </c>
      <c r="J37" s="503"/>
      <c r="K37" s="505"/>
      <c r="L37" s="497"/>
      <c r="M37" s="496" t="e">
        <f ca="1" t="shared" ref="M37:M50" si="8">IF($N$3=0,0,O37/$N$3)</f>
        <v>#DIV/0!</v>
      </c>
      <c r="N37" s="517"/>
      <c r="O37" s="509" t="e">
        <f ca="1">'F55'!O37/'F55'!$N$3*F55小包装!$N$3</f>
        <v>#DIV/0!</v>
      </c>
      <c r="P37" s="475"/>
      <c r="Q37" s="475"/>
      <c r="R37" s="475"/>
      <c r="S37" s="475"/>
    </row>
    <row r="38" s="459" customFormat="1" ht="14.25" customHeight="1" spans="1:19">
      <c r="A38" s="516" t="s">
        <v>108</v>
      </c>
      <c r="B38" s="503"/>
      <c r="C38" s="505"/>
      <c r="D38" s="497"/>
      <c r="E38" s="507">
        <f ca="1" t="shared" ref="E38:E50" si="9">IF(VALUE($F$3)=0,0,G38/$F$3)</f>
        <v>0</v>
      </c>
      <c r="F38" s="517"/>
      <c r="G38" s="509" t="e">
        <f ca="1">'F55'!G38/'F55'!$F$3*F55小包装!$F$3</f>
        <v>#DIV/0!</v>
      </c>
      <c r="H38" s="483"/>
      <c r="I38" s="516" t="s">
        <v>108</v>
      </c>
      <c r="J38" s="503"/>
      <c r="K38" s="505"/>
      <c r="L38" s="497"/>
      <c r="M38" s="496" t="e">
        <f ca="1" t="shared" si="8"/>
        <v>#DIV/0!</v>
      </c>
      <c r="N38" s="517"/>
      <c r="O38" s="509" t="e">
        <f ca="1">'F55'!O38/'F55'!$N$3*F55小包装!$N$3</f>
        <v>#DIV/0!</v>
      </c>
      <c r="P38" s="475"/>
      <c r="Q38" s="475"/>
      <c r="R38" s="475"/>
      <c r="S38" s="475"/>
    </row>
    <row r="39" s="459" customFormat="1" ht="14.25" customHeight="1" spans="1:19">
      <c r="A39" s="516" t="s">
        <v>109</v>
      </c>
      <c r="B39" s="503"/>
      <c r="C39" s="498"/>
      <c r="D39" s="518"/>
      <c r="E39" s="507">
        <f ca="1" t="shared" si="9"/>
        <v>0</v>
      </c>
      <c r="F39" s="517"/>
      <c r="G39" s="509" t="e">
        <f ca="1">'F55'!G39/'F55'!$F$3*F55小包装!$F$3</f>
        <v>#DIV/0!</v>
      </c>
      <c r="H39" s="483"/>
      <c r="I39" s="516" t="s">
        <v>109</v>
      </c>
      <c r="J39" s="503"/>
      <c r="K39" s="498"/>
      <c r="L39" s="518"/>
      <c r="M39" s="496" t="e">
        <f ca="1" t="shared" si="8"/>
        <v>#DIV/0!</v>
      </c>
      <c r="N39" s="517"/>
      <c r="O39" s="509" t="e">
        <f ca="1">'F55'!O39/'F55'!$N$3*F55小包装!$N$3</f>
        <v>#DIV/0!</v>
      </c>
      <c r="P39" s="475"/>
      <c r="Q39" s="475"/>
      <c r="R39" s="475"/>
      <c r="S39" s="475"/>
    </row>
    <row r="40" s="459" customFormat="1" ht="14.25" customHeight="1" spans="1:19">
      <c r="A40" s="516" t="s">
        <v>110</v>
      </c>
      <c r="B40" s="503"/>
      <c r="C40" s="498"/>
      <c r="D40" s="518"/>
      <c r="E40" s="507">
        <f ca="1" t="shared" si="9"/>
        <v>0</v>
      </c>
      <c r="F40" s="517"/>
      <c r="G40" s="509" t="e">
        <f ca="1">'F55'!G40/'F55'!$F$3*F55小包装!$F$3</f>
        <v>#DIV/0!</v>
      </c>
      <c r="H40" s="483"/>
      <c r="I40" s="516" t="s">
        <v>110</v>
      </c>
      <c r="J40" s="503"/>
      <c r="K40" s="498"/>
      <c r="L40" s="518"/>
      <c r="M40" s="496" t="e">
        <f ca="1" t="shared" si="8"/>
        <v>#DIV/0!</v>
      </c>
      <c r="N40" s="517"/>
      <c r="O40" s="509" t="e">
        <f ca="1">'F55'!O40/'F55'!$N$3*F55小包装!$N$3</f>
        <v>#DIV/0!</v>
      </c>
      <c r="P40" s="475"/>
      <c r="Q40" s="475"/>
      <c r="R40" s="475"/>
      <c r="S40" s="475"/>
    </row>
    <row r="41" s="459" customFormat="1" ht="14.25" customHeight="1" spans="1:19">
      <c r="A41" s="516" t="s">
        <v>111</v>
      </c>
      <c r="B41" s="503"/>
      <c r="C41" s="498"/>
      <c r="D41" s="518"/>
      <c r="E41" s="507">
        <f ca="1" t="shared" si="9"/>
        <v>0</v>
      </c>
      <c r="F41" s="517"/>
      <c r="G41" s="509" t="e">
        <f ca="1">'F55'!G41/'F55'!$F$3*F55小包装!$F$3</f>
        <v>#DIV/0!</v>
      </c>
      <c r="H41" s="483"/>
      <c r="I41" s="516" t="s">
        <v>111</v>
      </c>
      <c r="J41" s="503"/>
      <c r="K41" s="498"/>
      <c r="L41" s="518"/>
      <c r="M41" s="496" t="e">
        <f ca="1" t="shared" si="8"/>
        <v>#DIV/0!</v>
      </c>
      <c r="N41" s="517"/>
      <c r="O41" s="509" t="e">
        <f ca="1">'F55'!O41/'F55'!$N$3*F55小包装!$N$3</f>
        <v>#DIV/0!</v>
      </c>
      <c r="P41" s="475"/>
      <c r="Q41" s="475"/>
      <c r="R41" s="475"/>
      <c r="S41" s="475"/>
    </row>
    <row r="42" s="459" customFormat="1" ht="14.25" customHeight="1" spans="1:19">
      <c r="A42" s="516" t="s">
        <v>112</v>
      </c>
      <c r="B42" s="503"/>
      <c r="C42" s="498"/>
      <c r="D42" s="518"/>
      <c r="E42" s="507">
        <f ca="1" t="shared" si="9"/>
        <v>0</v>
      </c>
      <c r="F42" s="517"/>
      <c r="G42" s="509" t="e">
        <f ca="1">'F55'!G42/'F55'!$F$3*F55小包装!$F$3</f>
        <v>#DIV/0!</v>
      </c>
      <c r="H42" s="483"/>
      <c r="I42" s="516" t="s">
        <v>112</v>
      </c>
      <c r="J42" s="503"/>
      <c r="K42" s="498"/>
      <c r="L42" s="518"/>
      <c r="M42" s="496" t="e">
        <f ca="1" t="shared" si="8"/>
        <v>#DIV/0!</v>
      </c>
      <c r="N42" s="517"/>
      <c r="O42" s="509" t="e">
        <f ca="1">'F55'!O42/'F55'!$N$3*F55小包装!$N$3</f>
        <v>#DIV/0!</v>
      </c>
      <c r="P42" s="475"/>
      <c r="Q42" s="475"/>
      <c r="R42" s="475"/>
      <c r="S42" s="475"/>
    </row>
    <row r="43" s="459" customFormat="1" ht="14.25" customHeight="1" spans="1:19">
      <c r="A43" s="516" t="s">
        <v>113</v>
      </c>
      <c r="B43" s="503"/>
      <c r="C43" s="498"/>
      <c r="D43" s="518"/>
      <c r="E43" s="507">
        <f ca="1" t="shared" si="9"/>
        <v>0</v>
      </c>
      <c r="F43" s="517"/>
      <c r="G43" s="509" t="e">
        <f ca="1">'F55'!G43/'F55'!$F$3*F55小包装!$F$3</f>
        <v>#DIV/0!</v>
      </c>
      <c r="I43" s="516" t="s">
        <v>114</v>
      </c>
      <c r="J43" s="503"/>
      <c r="K43" s="498"/>
      <c r="L43" s="518"/>
      <c r="M43" s="496" t="e">
        <f ca="1" t="shared" si="8"/>
        <v>#DIV/0!</v>
      </c>
      <c r="N43" s="517"/>
      <c r="O43" s="509" t="e">
        <f ca="1">'F55'!O43/'F55'!$N$3*F55小包装!$N$3</f>
        <v>#DIV/0!</v>
      </c>
      <c r="P43" s="475"/>
      <c r="Q43" s="475"/>
      <c r="R43" s="475"/>
      <c r="S43" s="475"/>
    </row>
    <row r="44" s="459" customFormat="1" ht="14.25" customHeight="1" spans="1:19">
      <c r="A44" s="516" t="s">
        <v>115</v>
      </c>
      <c r="B44" s="503"/>
      <c r="C44" s="498"/>
      <c r="D44" s="518"/>
      <c r="E44" s="507">
        <f ca="1" t="shared" si="9"/>
        <v>0</v>
      </c>
      <c r="F44" s="517"/>
      <c r="G44" s="509" t="e">
        <f ca="1">'F55'!G44/'F55'!$F$3*F55小包装!$F$3</f>
        <v>#DIV/0!</v>
      </c>
      <c r="I44" s="516" t="s">
        <v>115</v>
      </c>
      <c r="J44" s="503"/>
      <c r="K44" s="498"/>
      <c r="L44" s="518"/>
      <c r="M44" s="496" t="e">
        <f ca="1" t="shared" si="8"/>
        <v>#DIV/0!</v>
      </c>
      <c r="N44" s="517"/>
      <c r="O44" s="509" t="e">
        <f ca="1">'F55'!O44/'F55'!$N$3*F55小包装!$N$3</f>
        <v>#DIV/0!</v>
      </c>
      <c r="P44" s="475"/>
      <c r="Q44" s="475"/>
      <c r="R44" s="475"/>
      <c r="S44" s="475"/>
    </row>
    <row r="45" s="459" customFormat="1" ht="14.25" customHeight="1" spans="1:19">
      <c r="A45" s="516" t="s">
        <v>116</v>
      </c>
      <c r="B45" s="503"/>
      <c r="C45" s="498"/>
      <c r="D45" s="518"/>
      <c r="E45" s="507">
        <f ca="1" t="shared" si="9"/>
        <v>0</v>
      </c>
      <c r="F45" s="517"/>
      <c r="G45" s="509" t="e">
        <f ca="1">'F55'!G45/'F55'!$F$3*F55小包装!$F$3</f>
        <v>#DIV/0!</v>
      </c>
      <c r="I45" s="516" t="s">
        <v>116</v>
      </c>
      <c r="J45" s="503"/>
      <c r="K45" s="498"/>
      <c r="L45" s="518"/>
      <c r="M45" s="496" t="e">
        <f ca="1" t="shared" si="8"/>
        <v>#DIV/0!</v>
      </c>
      <c r="N45" s="517"/>
      <c r="O45" s="509" t="e">
        <f ca="1">'F55'!O45/'F55'!$N$3*F55小包装!$N$3</f>
        <v>#DIV/0!</v>
      </c>
      <c r="P45" s="475"/>
      <c r="Q45" s="475"/>
      <c r="R45" s="475"/>
      <c r="S45" s="475"/>
    </row>
    <row r="46" s="459" customFormat="1" ht="14.25" customHeight="1" spans="1:19">
      <c r="A46" s="516" t="s">
        <v>117</v>
      </c>
      <c r="B46" s="503"/>
      <c r="C46" s="498"/>
      <c r="D46" s="518"/>
      <c r="E46" s="507">
        <f ca="1" t="shared" si="9"/>
        <v>0</v>
      </c>
      <c r="F46" s="517"/>
      <c r="G46" s="509" t="e">
        <f ca="1">'F55'!G46/'F55'!$F$3*F55小包装!$F$3</f>
        <v>#DIV/0!</v>
      </c>
      <c r="I46" s="516" t="s">
        <v>117</v>
      </c>
      <c r="J46" s="503"/>
      <c r="K46" s="498"/>
      <c r="L46" s="518"/>
      <c r="M46" s="496" t="e">
        <f ca="1" t="shared" si="8"/>
        <v>#DIV/0!</v>
      </c>
      <c r="N46" s="517"/>
      <c r="O46" s="509" t="e">
        <f ca="1">'F55'!O46/'F55'!$N$3*F55小包装!$N$3</f>
        <v>#DIV/0!</v>
      </c>
      <c r="P46" s="475"/>
      <c r="Q46" s="475"/>
      <c r="R46" s="475"/>
      <c r="S46" s="475"/>
    </row>
    <row r="47" s="459" customFormat="1" ht="14.25" customHeight="1" spans="1:19">
      <c r="A47" s="516" t="s">
        <v>118</v>
      </c>
      <c r="B47" s="503"/>
      <c r="C47" s="498"/>
      <c r="D47" s="518"/>
      <c r="E47" s="507">
        <f ca="1" t="shared" si="9"/>
        <v>0</v>
      </c>
      <c r="F47" s="517"/>
      <c r="G47" s="509" t="e">
        <f ca="1">'F55'!G47/'F55'!$F$3*F55小包装!$F$3</f>
        <v>#DIV/0!</v>
      </c>
      <c r="I47" s="516" t="s">
        <v>118</v>
      </c>
      <c r="J47" s="503"/>
      <c r="K47" s="498"/>
      <c r="L47" s="518"/>
      <c r="M47" s="496" t="e">
        <f ca="1" t="shared" si="8"/>
        <v>#DIV/0!</v>
      </c>
      <c r="N47" s="517"/>
      <c r="O47" s="509" t="e">
        <f ca="1">'F55'!O47/'F55'!$N$3*F55小包装!$N$3</f>
        <v>#DIV/0!</v>
      </c>
      <c r="P47" s="475"/>
      <c r="Q47" s="475"/>
      <c r="R47" s="475"/>
      <c r="S47" s="475"/>
    </row>
    <row r="48" s="459" customFormat="1" ht="14.25" customHeight="1" spans="1:19">
      <c r="A48" s="516" t="s">
        <v>119</v>
      </c>
      <c r="B48" s="503"/>
      <c r="C48" s="498"/>
      <c r="D48" s="518"/>
      <c r="E48" s="507">
        <f ca="1" t="shared" si="9"/>
        <v>0</v>
      </c>
      <c r="F48" s="517"/>
      <c r="G48" s="509" t="e">
        <f ca="1">'F55'!G48/'F55'!$F$3*F55小包装!$F$3</f>
        <v>#DIV/0!</v>
      </c>
      <c r="I48" s="516" t="s">
        <v>119</v>
      </c>
      <c r="J48" s="503"/>
      <c r="K48" s="498"/>
      <c r="L48" s="518"/>
      <c r="M48" s="496" t="e">
        <f ca="1" t="shared" si="8"/>
        <v>#DIV/0!</v>
      </c>
      <c r="N48" s="517"/>
      <c r="O48" s="509" t="e">
        <f ca="1">'F55'!O48/'F55'!$N$3*F55小包装!$N$3</f>
        <v>#DIV/0!</v>
      </c>
      <c r="P48" s="475"/>
      <c r="Q48" s="475"/>
      <c r="R48" s="475"/>
      <c r="S48" s="475"/>
    </row>
    <row r="49" s="459" customFormat="1" ht="14.25" customHeight="1" spans="1:19">
      <c r="A49" s="516" t="s">
        <v>120</v>
      </c>
      <c r="B49" s="503"/>
      <c r="C49" s="498"/>
      <c r="D49" s="518"/>
      <c r="E49" s="507">
        <f ca="1" t="shared" si="9"/>
        <v>0</v>
      </c>
      <c r="F49" s="517"/>
      <c r="G49" s="509" t="e">
        <f ca="1">'F55'!G49/'F55'!$F$3*F55小包装!$F$3</f>
        <v>#DIV/0!</v>
      </c>
      <c r="I49" s="516" t="s">
        <v>120</v>
      </c>
      <c r="J49" s="503"/>
      <c r="K49" s="498"/>
      <c r="L49" s="518"/>
      <c r="M49" s="496" t="e">
        <f ca="1" t="shared" si="8"/>
        <v>#DIV/0!</v>
      </c>
      <c r="N49" s="517"/>
      <c r="O49" s="509" t="e">
        <f ca="1">'F55'!O49/'F55'!$N$3*F55小包装!$N$3</f>
        <v>#DIV/0!</v>
      </c>
      <c r="P49" s="475"/>
      <c r="Q49" s="475"/>
      <c r="R49" s="475"/>
      <c r="S49" s="475"/>
    </row>
    <row r="50" s="459" customFormat="1" ht="14.25" customHeight="1" spans="1:19">
      <c r="A50" s="516" t="s">
        <v>121</v>
      </c>
      <c r="B50" s="503"/>
      <c r="C50" s="498"/>
      <c r="D50" s="518"/>
      <c r="E50" s="507">
        <f ca="1" t="shared" si="9"/>
        <v>0</v>
      </c>
      <c r="F50" s="517"/>
      <c r="G50" s="509" t="e">
        <f ca="1">'F55'!G50/'F55'!$F$3*F55小包装!$F$3</f>
        <v>#DIV/0!</v>
      </c>
      <c r="I50" s="516" t="s">
        <v>121</v>
      </c>
      <c r="J50" s="503"/>
      <c r="K50" s="498"/>
      <c r="L50" s="518"/>
      <c r="M50" s="496" t="e">
        <f ca="1" t="shared" si="8"/>
        <v>#DIV/0!</v>
      </c>
      <c r="N50" s="517"/>
      <c r="O50" s="509" t="e">
        <f ca="1">'F55'!O50/'F55'!$N$3*F55小包装!$N$3</f>
        <v>#DIV/0!</v>
      </c>
      <c r="P50" s="475"/>
      <c r="Q50" s="475"/>
      <c r="R50" s="475"/>
      <c r="S50" s="475"/>
    </row>
    <row r="51" s="459" customFormat="1" ht="14.25" customHeight="1" spans="1:19">
      <c r="A51" s="523" t="s">
        <v>122</v>
      </c>
      <c r="B51" s="485" t="s">
        <v>123</v>
      </c>
      <c r="C51" s="514"/>
      <c r="D51" s="515"/>
      <c r="E51" s="487" t="e">
        <f ca="1">E36+E10</f>
        <v>#DIV/0!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475"/>
      <c r="Q51" s="475"/>
      <c r="R51" s="475"/>
      <c r="S51" s="475"/>
    </row>
    <row r="52" s="460" customFormat="1" ht="14.25" customHeight="1" spans="1:19">
      <c r="A52" s="524" t="s">
        <v>124</v>
      </c>
      <c r="B52" s="525"/>
      <c r="C52" s="514"/>
      <c r="D52" s="515"/>
      <c r="E52" s="487" t="e">
        <f ca="1">E35-E36</f>
        <v>#DIV/0!</v>
      </c>
      <c r="F52" s="526"/>
      <c r="G52" s="487" t="e">
        <f ca="1">G35-G36</f>
        <v>#DIV/0!</v>
      </c>
      <c r="H52" s="527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</row>
    <row r="53" s="459" customFormat="1" ht="14.25" customHeight="1" spans="1:19">
      <c r="A53" s="524" t="s">
        <v>125</v>
      </c>
      <c r="B53" s="525"/>
      <c r="C53" s="514"/>
      <c r="D53" s="515"/>
      <c r="E53" s="487" t="e">
        <f ca="1">E52+E37</f>
        <v>#DIV/0!</v>
      </c>
      <c r="F53" s="526"/>
      <c r="G53" s="487" t="e">
        <f ca="1">G52+G37</f>
        <v>#DIV/0!</v>
      </c>
      <c r="H53" s="527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  <c r="P53" s="475"/>
      <c r="Q53" s="475"/>
      <c r="R53" s="475"/>
      <c r="S53" s="475"/>
    </row>
    <row r="54" s="540" customFormat="1" ht="14.25" customHeight="1" spans="1:19">
      <c r="A54" s="529" t="s">
        <v>126</v>
      </c>
      <c r="B54" s="530" t="s">
        <v>123</v>
      </c>
      <c r="C54" s="531"/>
      <c r="D54" s="532"/>
      <c r="E54" s="533" t="e">
        <f ca="1">E10-E11+E36-E25</f>
        <v>#DIV/0!</v>
      </c>
      <c r="F54" s="533"/>
      <c r="G54" s="534" t="e">
        <f ca="1">G10-G11+G36-G25</f>
        <v>#DIV/0!</v>
      </c>
      <c r="H54" s="535"/>
      <c r="I54" s="536" t="s">
        <v>126</v>
      </c>
      <c r="J54" s="537" t="s">
        <v>123</v>
      </c>
      <c r="K54" s="533"/>
      <c r="L54" s="533"/>
      <c r="M54" s="533" t="e">
        <f ca="1">M10-M11+M36-M25</f>
        <v>#DIV/0!</v>
      </c>
      <c r="N54" s="533"/>
      <c r="O54" s="534" t="e">
        <f ca="1">O10-O11+O36-O25</f>
        <v>#DIV/0!</v>
      </c>
      <c r="P54" s="475"/>
      <c r="Q54" s="475"/>
      <c r="R54" s="475"/>
      <c r="S54" s="475"/>
    </row>
    <row r="55" s="459" customFormat="1" customHeight="1" spans="1:19">
      <c r="A55" s="516" t="s">
        <v>127</v>
      </c>
      <c r="B55" s="503"/>
      <c r="C55" s="516"/>
      <c r="D55" s="516"/>
      <c r="E55" s="507">
        <f ca="1">IF(VALUE($F$3)=0,0,G55/$F$3)</f>
        <v>0</v>
      </c>
      <c r="F55" s="517"/>
      <c r="G55" s="509" t="e">
        <f ca="1">'F55'!G55/'F55'!$F$3*F55小包装!$F$3</f>
        <v>#DIV/0!</v>
      </c>
      <c r="I55" s="502" t="s">
        <v>127</v>
      </c>
      <c r="J55" s="516"/>
      <c r="K55" s="516"/>
      <c r="L55" s="516"/>
      <c r="M55" s="507" t="e">
        <f ca="1" t="shared" ref="M55" si="10">IF($N$3=0,0,O55/$N$3)</f>
        <v>#DIV/0!</v>
      </c>
      <c r="N55" s="517"/>
      <c r="O55" s="509" t="e">
        <f ca="1">'F55'!O55/'F55'!$N$3*F55小包装!$N$3</f>
        <v>#DIV/0!</v>
      </c>
    </row>
    <row r="56" s="459" customFormat="1" customHeight="1" spans="1:19">
      <c r="B56" s="538"/>
      <c r="C56" s="538"/>
      <c r="D56" s="538"/>
      <c r="E56" s="557"/>
      <c r="F56" s="557"/>
      <c r="G56" s="557"/>
      <c r="H56" s="558"/>
      <c r="I56" s="558"/>
      <c r="J56" s="558"/>
      <c r="K56" s="559"/>
      <c r="L56" s="559"/>
      <c r="M56" s="559"/>
      <c r="N56" s="559"/>
      <c r="O56" s="559"/>
    </row>
    <row r="57" s="459" customFormat="1" customHeight="1" spans="1:19">
      <c r="B57" s="538"/>
      <c r="E57" s="538"/>
      <c r="H57" s="538"/>
    </row>
    <row r="58" s="459" customFormat="1" customHeight="1" spans="1:19">
      <c r="B58" s="560"/>
      <c r="C58" s="561"/>
      <c r="D58" s="562"/>
      <c r="H58" s="563"/>
      <c r="I58" s="563"/>
      <c r="J58" s="563"/>
    </row>
    <row r="59" s="459" customFormat="1" customHeight="1" spans="1:19">
      <c r="B59" s="562"/>
      <c r="C59" s="561"/>
      <c r="D59" s="562"/>
      <c r="H59" s="563"/>
      <c r="I59" s="563"/>
      <c r="J59" s="563"/>
    </row>
    <row r="60" s="459" customFormat="1" customHeight="1" spans="1:19">
      <c r="B60" s="562"/>
      <c r="C60" s="561"/>
      <c r="D60" s="562"/>
      <c r="H60" s="563"/>
      <c r="I60" s="563"/>
      <c r="J60" s="563"/>
    </row>
    <row r="61" s="459" customFormat="1" customHeight="1" spans="1:19">
      <c r="B61" s="562"/>
      <c r="C61" s="561"/>
      <c r="D61" s="562"/>
      <c r="H61" s="563"/>
      <c r="I61" s="563"/>
      <c r="J61" s="563"/>
    </row>
    <row r="62" s="459" customFormat="1" customHeight="1" spans="1:19">
      <c r="B62" s="562"/>
      <c r="C62" s="561"/>
      <c r="D62" s="562"/>
      <c r="H62" s="563"/>
      <c r="I62" s="563"/>
      <c r="J62" s="563"/>
    </row>
    <row r="63" s="459" customFormat="1" customHeight="1" spans="1:19">
      <c r="B63" s="562"/>
      <c r="C63" s="561"/>
      <c r="D63" s="562"/>
      <c r="E63" s="539"/>
      <c r="H63" s="563"/>
      <c r="I63" s="563"/>
      <c r="J63" s="563"/>
    </row>
    <row r="64" s="459" customFormat="1" customHeight="1" spans="1:19">
      <c r="B64" s="562"/>
      <c r="C64" s="561"/>
      <c r="D64" s="562"/>
      <c r="E64" s="539"/>
      <c r="H64" s="563"/>
      <c r="I64" s="563"/>
      <c r="J64" s="563"/>
    </row>
    <row r="65" s="459" customFormat="1" customHeight="1" spans="1:10">
      <c r="B65" s="562"/>
      <c r="C65" s="561"/>
      <c r="D65" s="562"/>
      <c r="E65" s="539"/>
      <c r="H65" s="563"/>
      <c r="I65" s="563"/>
      <c r="J65" s="563"/>
    </row>
    <row r="66" s="459" customFormat="1" customHeight="1" spans="1:10">
      <c r="B66" s="562"/>
      <c r="C66" s="562"/>
      <c r="D66" s="562"/>
      <c r="E66" s="539"/>
      <c r="H66" s="563"/>
      <c r="I66" s="563"/>
      <c r="J66" s="563"/>
    </row>
    <row r="67" customHeight="1" spans="1:10">
      <c r="A67" s="539"/>
      <c r="B67" s="564"/>
    </row>
  </sheetData>
  <mergeCells count="5">
    <mergeCell ref="A1:G1"/>
    <mergeCell ref="I1:O1"/>
    <mergeCell ref="B56:D56"/>
    <mergeCell ref="E56:G56"/>
    <mergeCell ref="H56:J56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0881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rgb="FF92D050"/>
  </sheetPr>
  <dimension ref="A1:T56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5" customHeight="1"/>
  <cols>
    <col min="1" max="1" width="32.125" style="40" customWidth="1"/>
    <col min="2" max="2" width="5.25" style="461" customWidth="1"/>
    <col min="3" max="3" width="7.5" style="40" customWidth="1"/>
    <col min="4" max="4" width="8.5" style="40" customWidth="1"/>
    <col min="5" max="5" width="10.375" style="462" customWidth="1"/>
    <col min="6" max="6" width="7.5" style="40" customWidth="1"/>
    <col min="7" max="7" width="15.125" style="40" customWidth="1"/>
    <col min="8" max="8" width="6.75" style="40" customWidth="1"/>
    <col min="9" max="9" width="28" style="40" customWidth="1"/>
    <col min="10" max="10" width="3.625" style="40" customWidth="1"/>
    <col min="11" max="11" width="10.25" style="40" customWidth="1"/>
    <col min="12" max="12" width="6" style="40" customWidth="1"/>
    <col min="13" max="13" width="11.625" style="40" customWidth="1"/>
    <col min="14" max="14" width="9.5" style="40" customWidth="1"/>
    <col min="15" max="15" width="10.5" style="40" customWidth="1"/>
    <col min="16" max="16" width="13" style="40" customWidth="1"/>
    <col min="17" max="17" width="10.375" style="40"/>
    <col min="18" max="16384" width="9" style="40"/>
  </cols>
  <sheetData>
    <row r="1" s="458" customFormat="1" ht="21" customHeight="1" spans="1:16">
      <c r="A1" s="97" t="str">
        <f>CONCATENATE("果葡糖浆F42综合成本利润表_不含税(2025年"&amp;mth&amp;"月)")</f>
        <v>果葡糖浆F42综合成本利润表_不含税(2025年8月)</v>
      </c>
      <c r="B1" s="98"/>
      <c r="C1" s="98"/>
      <c r="D1" s="98"/>
      <c r="E1" s="98"/>
      <c r="F1" s="98"/>
      <c r="G1" s="98"/>
      <c r="I1" s="98" t="str">
        <f>CONCATENATE("果葡糖浆F42综合成本利润表_不含税(2025年1-"&amp;mth&amp;"月)")</f>
        <v>果葡糖浆F42综合成本利润表_不含税(2025年1-8月)</v>
      </c>
      <c r="J1" s="98"/>
      <c r="K1" s="98"/>
      <c r="L1" s="98"/>
      <c r="M1" s="98"/>
      <c r="N1" s="98"/>
      <c r="O1" s="98"/>
    </row>
    <row r="2" s="458" customFormat="1" customHeight="1" spans="1:16">
      <c r="A2" s="464"/>
      <c r="B2" s="464"/>
      <c r="C2" s="464"/>
      <c r="D2" s="465"/>
      <c r="E2" s="44"/>
      <c r="F2" s="464"/>
      <c r="G2" s="464"/>
    </row>
    <row r="3" s="38" customFormat="1" customHeight="1" spans="1:16">
      <c r="A3" s="38" t="s">
        <v>23</v>
      </c>
      <c r="E3" s="39" t="s">
        <v>133</v>
      </c>
      <c r="F3" s="122">
        <f ca="1">OFFSET(基础表!C9,0,mth-1,1,1)</f>
        <v>0</v>
      </c>
      <c r="G3" s="39" t="s">
        <v>75</v>
      </c>
      <c r="M3" s="378" t="s">
        <v>134</v>
      </c>
      <c r="N3" s="466">
        <f ca="1">基础表!O9</f>
        <v>1923.675</v>
      </c>
      <c r="O3" s="39" t="s">
        <v>75</v>
      </c>
    </row>
    <row r="4" s="459" customFormat="1" ht="14.25" customHeight="1" spans="1:16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ht="14.25" customHeight="1" spans="1:16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2752.32149482554</v>
      </c>
      <c r="N5" s="472"/>
      <c r="O5" s="474">
        <f ca="1">O6-O7</f>
        <v>5294572.05155853</v>
      </c>
      <c r="P5" s="511"/>
    </row>
    <row r="6" s="459" customFormat="1" ht="14.25" customHeight="1" spans="1:16">
      <c r="A6" s="476" t="s">
        <v>84</v>
      </c>
      <c r="B6" s="477"/>
      <c r="C6" s="478"/>
      <c r="D6" s="479"/>
      <c r="E6" s="478">
        <f ca="1">OFFSET(销售收入及运费!C74,0,mth-1,1,1)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480">
        <f ca="1">销售收入及运费!O74</f>
        <v>2814.31451814736</v>
      </c>
      <c r="N6" s="482"/>
      <c r="O6" s="480">
        <f ca="1">M6*$N$3</f>
        <v>5413826.48069713</v>
      </c>
      <c r="P6" s="475"/>
    </row>
    <row r="7" s="459" customFormat="1" ht="14.25" customHeight="1" spans="1:16">
      <c r="A7" s="476" t="s">
        <v>135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81" t="s">
        <v>135</v>
      </c>
      <c r="J7" s="477"/>
      <c r="K7" s="479"/>
      <c r="L7" s="479"/>
      <c r="M7" s="480">
        <f ca="1">M8+M9</f>
        <v>61.9930233218173</v>
      </c>
      <c r="N7" s="482"/>
      <c r="O7" s="480">
        <f ca="1">M7*$N$3</f>
        <v>119254.429138597</v>
      </c>
      <c r="P7" s="483"/>
    </row>
    <row r="8" s="459" customFormat="1" ht="14.25" customHeight="1" spans="1:16">
      <c r="A8" s="476" t="s">
        <v>86</v>
      </c>
      <c r="B8" s="477"/>
      <c r="C8" s="479"/>
      <c r="D8" s="479"/>
      <c r="E8" s="478" t="e">
        <f ca="1">OFFSET(销售收入及运费!C131,0,mth-1,1,1)/1.09/OFFSET(销售收入及运费!C14,0,mth-1,1,1)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销售收入及运费!O131/1.09/销售收入及运费!O14</f>
        <v>38.8074885764635</v>
      </c>
      <c r="N8" s="482"/>
      <c r="O8" s="480">
        <f ca="1">M8*$N$3</f>
        <v>74652.9955873284</v>
      </c>
      <c r="P8" s="483"/>
    </row>
    <row r="9" s="459" customFormat="1" ht="14.25" customHeight="1" spans="1:16">
      <c r="A9" s="476" t="s">
        <v>87</v>
      </c>
      <c r="B9" s="477"/>
      <c r="C9" s="479"/>
      <c r="D9" s="479"/>
      <c r="E9" s="478" t="e">
        <f ca="1">(OFFSET(销售收入及运费!C151,0,mth-1,1,1)/1.13+OFFSET(销售收入及运费!C171,0,mth-1,1,1)/1.13)/OFFSET(销售收入及运费!C14,0,mth-1,1,1)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(销售收入及运费!O151/1.13+销售收入及运费!O171/1.13)/销售收入及运费!O14</f>
        <v>23.1855347453538</v>
      </c>
      <c r="N9" s="482"/>
      <c r="O9" s="480">
        <f ca="1">M9*$N$3</f>
        <v>44601.4335512685</v>
      </c>
      <c r="P9" s="483"/>
    </row>
    <row r="10" s="459" customFormat="1" ht="14.25" customHeight="1" spans="1:16">
      <c r="A10" s="484" t="s">
        <v>88</v>
      </c>
      <c r="B10" s="485"/>
      <c r="C10" s="486"/>
      <c r="D10" s="486"/>
      <c r="E10" s="487" t="e">
        <f ca="1">E11+E13+E26+E31+E25</f>
        <v>#DIV/0!</v>
      </c>
      <c r="F10" s="488"/>
      <c r="G10" s="487" t="e">
        <f ca="1">G11+G13+G26+G31+G25</f>
        <v>#DIV/0!</v>
      </c>
      <c r="I10" s="484" t="s">
        <v>88</v>
      </c>
      <c r="J10" s="485"/>
      <c r="K10" s="486"/>
      <c r="L10" s="486"/>
      <c r="M10" s="487" t="e">
        <f ca="1">M11+M13+M26+M31+M25</f>
        <v>#DIV/0!</v>
      </c>
      <c r="N10" s="488"/>
      <c r="O10" s="487" t="e">
        <f ca="1">O11+O13+O26+O31+O25</f>
        <v>#DIV/0!</v>
      </c>
    </row>
    <row r="11" s="459" customFormat="1" ht="14.25" customHeight="1" spans="1:16">
      <c r="A11" s="489" t="s">
        <v>89</v>
      </c>
      <c r="B11" s="490" t="s">
        <v>75</v>
      </c>
      <c r="C11" s="491">
        <f ca="1">C12</f>
        <v>0</v>
      </c>
      <c r="D11" s="492">
        <f ca="1">IF(C11=0,0,E11/C11)</f>
        <v>0</v>
      </c>
      <c r="E11" s="491">
        <f ca="1">E12</f>
        <v>0</v>
      </c>
      <c r="F11" s="491">
        <f ca="1">F12</f>
        <v>0</v>
      </c>
      <c r="G11" s="491">
        <f ca="1">G12</f>
        <v>0</v>
      </c>
      <c r="I11" s="489" t="s">
        <v>89</v>
      </c>
      <c r="J11" s="490" t="s">
        <v>75</v>
      </c>
      <c r="K11" s="491">
        <f ca="1">IF(N11=0,0,O11/N11)</f>
        <v>2487.55486364177</v>
      </c>
      <c r="L11" s="492">
        <f ca="1">IF(K11=0,0,M11/K11)</f>
        <v>0.76798883427179</v>
      </c>
      <c r="M11" s="491">
        <f ca="1">M12</f>
        <v>1910.41435991537</v>
      </c>
      <c r="N11" s="491">
        <f ca="1">N12</f>
        <v>1477.36092076778</v>
      </c>
      <c r="O11" s="491">
        <f ca="1">O12</f>
        <v>3675016.34381019</v>
      </c>
      <c r="P11" s="511"/>
    </row>
    <row r="12" s="459" customFormat="1" ht="14.25" customHeight="1" spans="1:16">
      <c r="A12" s="494" t="s">
        <v>90</v>
      </c>
      <c r="B12" s="495" t="s">
        <v>75</v>
      </c>
      <c r="C12" s="496">
        <f ca="1">OFFSET(分配表!C67,0,mth-1,1,1)</f>
        <v>0</v>
      </c>
      <c r="D12" s="497">
        <f ca="1">IF(VALUE($F$3)=0,0,F12/$F$3)</f>
        <v>0</v>
      </c>
      <c r="E12" s="496">
        <f ca="1">C12*D12</f>
        <v>0</v>
      </c>
      <c r="F12" s="496">
        <f ca="1">OFFSET(分配表!C81,0,mth-1,1,1)</f>
        <v>0</v>
      </c>
      <c r="G12" s="496">
        <f ca="1">E12*F3</f>
        <v>0</v>
      </c>
      <c r="H12" s="499"/>
      <c r="I12" s="494" t="s">
        <v>90</v>
      </c>
      <c r="J12" s="495" t="s">
        <v>75</v>
      </c>
      <c r="K12" s="496">
        <f ca="1">分配表!O67</f>
        <v>2487.55486364177</v>
      </c>
      <c r="L12" s="497">
        <f ca="1">IF($N$3=0,0,N12/$N$3)</f>
        <v>0.76798883427179</v>
      </c>
      <c r="M12" s="496">
        <f ca="1">K12*L12</f>
        <v>1910.41435991537</v>
      </c>
      <c r="N12" s="496">
        <f ca="1">分配表!O81</f>
        <v>1477.36092076778</v>
      </c>
      <c r="O12" s="496">
        <f ca="1">K12*N12</f>
        <v>3675016.34381019</v>
      </c>
    </row>
    <row r="13" s="459" customFormat="1" ht="14.25" customHeight="1" spans="1:16">
      <c r="A13" s="489" t="s">
        <v>92</v>
      </c>
      <c r="B13" s="490"/>
      <c r="C13" s="501"/>
      <c r="D13" s="492"/>
      <c r="E13" s="491">
        <f ca="1">SUM(E14:E24)</f>
        <v>0</v>
      </c>
      <c r="F13" s="491"/>
      <c r="G13" s="491" t="e">
        <f ca="1">SUM(G14:G24)</f>
        <v>#DIV/0!</v>
      </c>
      <c r="I13" s="489" t="s">
        <v>92</v>
      </c>
      <c r="J13" s="490"/>
      <c r="K13" s="501"/>
      <c r="L13" s="492"/>
      <c r="M13" s="491" t="e">
        <f ca="1">SUM(M14:M24)</f>
        <v>#DIV/0!</v>
      </c>
      <c r="N13" s="491"/>
      <c r="O13" s="491" t="e">
        <f ca="1">SUM(O14:O24)</f>
        <v>#DIV/0!</v>
      </c>
      <c r="P13" s="511"/>
    </row>
    <row r="14" s="459" customFormat="1" ht="14.25" customHeight="1" spans="1:16">
      <c r="A14" s="502" t="s">
        <v>136</v>
      </c>
      <c r="B14" s="503"/>
      <c r="C14" s="505">
        <f ca="1">'F55'!C14</f>
        <v>0</v>
      </c>
      <c r="D14" s="505">
        <f ca="1" t="shared" ref="D14:D22" si="0">IF(VALUE($F$3)=0,0,F14/$F$3)</f>
        <v>0</v>
      </c>
      <c r="E14" s="506">
        <f ca="1">C14*D14</f>
        <v>0</v>
      </c>
      <c r="F14" s="507">
        <f ca="1">OFFSET(分配表!C140,0,mth-1)</f>
        <v>0</v>
      </c>
      <c r="G14" s="496">
        <f ca="1">E14*$F$3</f>
        <v>0</v>
      </c>
      <c r="I14" s="502" t="s">
        <v>136</v>
      </c>
      <c r="J14" s="503"/>
      <c r="K14" s="505">
        <f ca="1">'F55'!K14</f>
        <v>1.03363476247911</v>
      </c>
      <c r="L14" s="506">
        <f ca="1" t="shared" ref="L14:L22" si="1">IF($N$3=0,0,N14/$N$3)</f>
        <v>4.03912827102078</v>
      </c>
      <c r="M14" s="506">
        <f ca="1">K14*L14</f>
        <v>4.1749833910392</v>
      </c>
      <c r="N14" s="507">
        <f ca="1">分配表!O140</f>
        <v>7769.97007675589</v>
      </c>
      <c r="O14" s="496">
        <f ca="1" t="shared" ref="O14:O22" si="2">M14*$N$3</f>
        <v>8031.31117475734</v>
      </c>
    </row>
    <row r="15" s="459" customFormat="1" ht="14.25" customHeight="1" spans="1:16">
      <c r="A15" s="502" t="s">
        <v>137</v>
      </c>
      <c r="B15" s="503"/>
      <c r="C15" s="505">
        <f ca="1">'F55'!C15</f>
        <v>0</v>
      </c>
      <c r="D15" s="505">
        <f ca="1" t="shared" si="0"/>
        <v>0</v>
      </c>
      <c r="E15" s="506">
        <f ca="1">C15*D15</f>
        <v>0</v>
      </c>
      <c r="F15" s="507">
        <f ca="1">OFFSET(分配表!C141,0,mth-1)</f>
        <v>0</v>
      </c>
      <c r="G15" s="496">
        <f ca="1" t="shared" ref="G15:G22" si="3">E15*$F$3</f>
        <v>0</v>
      </c>
      <c r="I15" s="502" t="s">
        <v>137</v>
      </c>
      <c r="J15" s="503"/>
      <c r="K15" s="505">
        <f ca="1">'F55'!K15</f>
        <v>3.16530363402344</v>
      </c>
      <c r="L15" s="506">
        <f ca="1" t="shared" si="1"/>
        <v>4.49952746612638</v>
      </c>
      <c r="M15" s="506">
        <f ca="1" t="shared" ref="M15:M22" si="4">K15*L15</f>
        <v>14.2423706399181</v>
      </c>
      <c r="N15" s="507">
        <f ca="1">分配表!O141</f>
        <v>8655.62849840066</v>
      </c>
      <c r="O15" s="496">
        <f ca="1" t="shared" si="2"/>
        <v>27397.6923407445</v>
      </c>
    </row>
    <row r="16" s="459" customFormat="1" ht="14.25" customHeight="1" spans="1:16">
      <c r="A16" s="502" t="s">
        <v>138</v>
      </c>
      <c r="B16" s="503"/>
      <c r="C16" s="505">
        <f ca="1">'F55'!C16</f>
        <v>0</v>
      </c>
      <c r="D16" s="505">
        <f ca="1" t="shared" si="0"/>
        <v>0</v>
      </c>
      <c r="E16" s="506">
        <f ca="1" t="shared" ref="E16:E22" si="5">C16*D16</f>
        <v>0</v>
      </c>
      <c r="F16" s="507">
        <f ca="1">OFFSET(分配表!C142,0,mth-1)</f>
        <v>0</v>
      </c>
      <c r="G16" s="496">
        <f ca="1" t="shared" si="3"/>
        <v>0</v>
      </c>
      <c r="I16" s="502" t="s">
        <v>138</v>
      </c>
      <c r="J16" s="503"/>
      <c r="K16" s="505">
        <f ca="1">'F55'!K16</f>
        <v>2.60487003610108</v>
      </c>
      <c r="L16" s="506">
        <f ca="1" t="shared" si="1"/>
        <v>0.725865533790539</v>
      </c>
      <c r="M16" s="506">
        <f ca="1" t="shared" si="4"/>
        <v>1.89078537920949</v>
      </c>
      <c r="N16" s="507">
        <f ca="1">分配表!O142</f>
        <v>1396.32938071451</v>
      </c>
      <c r="O16" s="496">
        <f ca="1" t="shared" si="2"/>
        <v>3637.25656435082</v>
      </c>
    </row>
    <row r="17" s="459" customFormat="1" ht="14.25" customHeight="1" spans="1:18">
      <c r="A17" s="502" t="s">
        <v>139</v>
      </c>
      <c r="B17" s="503"/>
      <c r="C17" s="505">
        <f ca="1">'F55'!C17</f>
        <v>0</v>
      </c>
      <c r="D17" s="505">
        <f ca="1" t="shared" si="0"/>
        <v>0</v>
      </c>
      <c r="E17" s="506">
        <f ca="1" t="shared" si="5"/>
        <v>0</v>
      </c>
      <c r="F17" s="507">
        <f ca="1">OFFSET(分配表!C144,0,mth-1)</f>
        <v>0</v>
      </c>
      <c r="G17" s="496">
        <f ca="1" t="shared" si="3"/>
        <v>0</v>
      </c>
      <c r="I17" s="502" t="s">
        <v>139</v>
      </c>
      <c r="J17" s="503"/>
      <c r="K17" s="505">
        <f ca="1">'F55'!K17</f>
        <v>7.07970147313692</v>
      </c>
      <c r="L17" s="506">
        <f ca="1" t="shared" si="1"/>
        <v>1.44724791571465</v>
      </c>
      <c r="M17" s="506">
        <f ca="1" t="shared" si="4"/>
        <v>10.2460832008793</v>
      </c>
      <c r="N17" s="507">
        <f ca="1">分配表!O144</f>
        <v>2784.03463426237</v>
      </c>
      <c r="O17" s="496">
        <f ca="1" t="shared" si="2"/>
        <v>19710.1341014515</v>
      </c>
    </row>
    <row r="18" s="459" customFormat="1" ht="14.25" customHeight="1" spans="1:18">
      <c r="A18" s="502" t="s">
        <v>140</v>
      </c>
      <c r="B18" s="503"/>
      <c r="C18" s="505">
        <f ca="1">'F55'!C18</f>
        <v>0</v>
      </c>
      <c r="D18" s="505">
        <f ca="1" t="shared" si="0"/>
        <v>0</v>
      </c>
      <c r="E18" s="506">
        <f ca="1" t="shared" si="5"/>
        <v>0</v>
      </c>
      <c r="F18" s="507">
        <f ca="1">OFFSET(分配表!C145,0,mth-1)</f>
        <v>0</v>
      </c>
      <c r="G18" s="496">
        <f ca="1" t="shared" si="3"/>
        <v>0</v>
      </c>
      <c r="I18" s="502" t="s">
        <v>140</v>
      </c>
      <c r="J18" s="503"/>
      <c r="K18" s="505">
        <f ca="1">'F55'!K18</f>
        <v>47.8014094240838</v>
      </c>
      <c r="L18" s="506">
        <f ca="1" t="shared" si="1"/>
        <v>0.0796635799561935</v>
      </c>
      <c r="M18" s="506">
        <f ca="1" t="shared" si="4"/>
        <v>3.80803140167424</v>
      </c>
      <c r="N18" s="507">
        <f ca="1">分配表!O145</f>
        <v>153.24683717223</v>
      </c>
      <c r="O18" s="496">
        <f ca="1" t="shared" si="2"/>
        <v>7325.41480661569</v>
      </c>
    </row>
    <row r="19" s="459" customFormat="1" ht="14.25" customHeight="1" spans="1:18">
      <c r="A19" s="502" t="s">
        <v>141</v>
      </c>
      <c r="B19" s="503"/>
      <c r="C19" s="505">
        <f ca="1">'F55'!C19</f>
        <v>0</v>
      </c>
      <c r="D19" s="505">
        <f ca="1" t="shared" si="0"/>
        <v>0</v>
      </c>
      <c r="E19" s="506">
        <f ca="1" t="shared" si="5"/>
        <v>0</v>
      </c>
      <c r="F19" s="507">
        <f ca="1">OFFSET(分配表!C146,0,mth-1)</f>
        <v>0</v>
      </c>
      <c r="G19" s="496">
        <f ca="1" t="shared" si="3"/>
        <v>0</v>
      </c>
      <c r="I19" s="502" t="s">
        <v>141</v>
      </c>
      <c r="J19" s="503"/>
      <c r="K19" s="505">
        <f ca="1">'F55'!K19</f>
        <v>32.1974312123818</v>
      </c>
      <c r="L19" s="506">
        <f ca="1" t="shared" si="1"/>
        <v>0.146674121105557</v>
      </c>
      <c r="M19" s="506">
        <f ca="1" t="shared" si="4"/>
        <v>4.72252992493273</v>
      </c>
      <c r="N19" s="507">
        <f ca="1">分配表!O146</f>
        <v>282.153339917732</v>
      </c>
      <c r="O19" s="496">
        <f ca="1" t="shared" si="2"/>
        <v>9084.61275334496</v>
      </c>
    </row>
    <row r="20" s="459" customFormat="1" ht="14.25" customHeight="1" spans="1:18">
      <c r="A20" s="502" t="s">
        <v>142</v>
      </c>
      <c r="B20" s="503"/>
      <c r="C20" s="505">
        <f ca="1">'F55'!C20</f>
        <v>0</v>
      </c>
      <c r="D20" s="505">
        <f ca="1" t="shared" si="0"/>
        <v>0</v>
      </c>
      <c r="E20" s="506">
        <f ca="1" t="shared" si="5"/>
        <v>0</v>
      </c>
      <c r="F20" s="507">
        <f ca="1">OFFSET(分配表!C147,0,mth-1)</f>
        <v>0</v>
      </c>
      <c r="G20" s="496">
        <f ca="1" t="shared" si="3"/>
        <v>0</v>
      </c>
      <c r="I20" s="502" t="s">
        <v>142</v>
      </c>
      <c r="J20" s="503"/>
      <c r="K20" s="505">
        <f ca="1">'F55'!K20</f>
        <v>218.577020031909</v>
      </c>
      <c r="L20" s="506">
        <f ca="1" t="shared" si="1"/>
        <v>0.0880217436176268</v>
      </c>
      <c r="M20" s="506">
        <f ca="1" t="shared" si="4"/>
        <v>19.2395304179536</v>
      </c>
      <c r="N20" s="507">
        <f ca="1">分配表!O147</f>
        <v>169.325227653638</v>
      </c>
      <c r="O20" s="496">
        <f ca="1" t="shared" si="2"/>
        <v>37010.6036767569</v>
      </c>
    </row>
    <row r="21" s="459" customFormat="1" ht="14.25" customHeight="1" spans="1:18">
      <c r="A21" s="502" t="s">
        <v>143</v>
      </c>
      <c r="B21" s="503"/>
      <c r="C21" s="505">
        <f ca="1">'F55'!C21</f>
        <v>0</v>
      </c>
      <c r="D21" s="505">
        <f ca="1" t="shared" si="0"/>
        <v>0</v>
      </c>
      <c r="E21" s="506">
        <f ca="1" t="shared" si="5"/>
        <v>0</v>
      </c>
      <c r="F21" s="507">
        <f ca="1">OFFSET(分配表!C148,0,mth-1)</f>
        <v>0</v>
      </c>
      <c r="G21" s="496">
        <f ca="1" t="shared" si="3"/>
        <v>0</v>
      </c>
      <c r="I21" s="502" t="s">
        <v>143</v>
      </c>
      <c r="J21" s="503"/>
      <c r="K21" s="505">
        <f ca="1">'F55'!K21</f>
        <v>0.979474345549738</v>
      </c>
      <c r="L21" s="506">
        <f ca="1" t="shared" si="1"/>
        <v>0.456475450991857</v>
      </c>
      <c r="M21" s="506">
        <f ca="1" t="shared" si="4"/>
        <v>0.44710599361977</v>
      </c>
      <c r="N21" s="507">
        <f ca="1">分配表!O148</f>
        <v>878.11041318676</v>
      </c>
      <c r="O21" s="496">
        <f ca="1" t="shared" si="2"/>
        <v>860.086622276512</v>
      </c>
    </row>
    <row r="22" s="459" customFormat="1" ht="14.25" customHeight="1" spans="1:18">
      <c r="A22" s="502" t="s">
        <v>144</v>
      </c>
      <c r="B22" s="503"/>
      <c r="C22" s="505">
        <f ca="1">'F55'!C22</f>
        <v>0</v>
      </c>
      <c r="D22" s="505">
        <f ca="1" t="shared" si="0"/>
        <v>0</v>
      </c>
      <c r="E22" s="506">
        <f ca="1" t="shared" si="5"/>
        <v>0</v>
      </c>
      <c r="F22" s="507">
        <f ca="1">OFFSET(分配表!C149,0,mth-1)</f>
        <v>0</v>
      </c>
      <c r="G22" s="496">
        <f ca="1" t="shared" si="3"/>
        <v>0</v>
      </c>
      <c r="I22" s="502" t="s">
        <v>145</v>
      </c>
      <c r="J22" s="503"/>
      <c r="K22" s="505">
        <f ca="1">'F55'!K22</f>
        <v>1.85608011869436</v>
      </c>
      <c r="L22" s="506">
        <f ca="1" t="shared" si="1"/>
        <v>0.266294314649662</v>
      </c>
      <c r="M22" s="506">
        <f ca="1" t="shared" si="4"/>
        <v>0.494263583142579</v>
      </c>
      <c r="N22" s="507">
        <f ca="1">分配表!O149</f>
        <v>512.263715733689</v>
      </c>
      <c r="O22" s="496">
        <f ca="1" t="shared" si="2"/>
        <v>950.8024983018</v>
      </c>
    </row>
    <row r="23" s="459" customFormat="1" ht="14.25" customHeight="1" spans="1:18">
      <c r="A23" s="502" t="s">
        <v>146</v>
      </c>
      <c r="B23" s="503"/>
      <c r="C23" s="505"/>
      <c r="D23" s="497"/>
      <c r="E23" s="506">
        <f ca="1">IF(VALUE($F$3)=0,0,G23/$F$3)</f>
        <v>0</v>
      </c>
      <c r="F23" s="507"/>
      <c r="G23" s="507" t="e">
        <f ca="1">OFFSET(分配表!C208,0,mth-1)</f>
        <v>#DIV/0!</v>
      </c>
      <c r="I23" s="502" t="s">
        <v>146</v>
      </c>
      <c r="J23" s="503"/>
      <c r="K23" s="505"/>
      <c r="L23" s="497"/>
      <c r="M23" s="506" t="e">
        <f ca="1">IF($N$3=0,0,O23/$N$3)</f>
        <v>#DIV/0!</v>
      </c>
      <c r="N23" s="507"/>
      <c r="O23" s="496" t="e">
        <f ca="1">分配表!O208</f>
        <v>#DIV/0!</v>
      </c>
    </row>
    <row r="24" s="459" customFormat="1" ht="14.25" customHeight="1" spans="1:18">
      <c r="A24" s="502" t="s">
        <v>151</v>
      </c>
      <c r="B24" s="503"/>
      <c r="C24" s="505"/>
      <c r="D24" s="497"/>
      <c r="E24" s="506">
        <f ca="1">IF(VALUE($F$3)=0,0,G24/$F$3)</f>
        <v>0</v>
      </c>
      <c r="F24" s="507"/>
      <c r="G24" s="507" t="e">
        <f ca="1">OFFSET(分配表!C219,0,mth-1)</f>
        <v>#DIV/0!</v>
      </c>
      <c r="I24" s="502" t="s">
        <v>151</v>
      </c>
      <c r="J24" s="503"/>
      <c r="K24" s="505"/>
      <c r="L24" s="497"/>
      <c r="M24" s="507" t="e">
        <f ca="1">IF($N$3=0,0,O24/$N$3)</f>
        <v>#DIV/0!</v>
      </c>
      <c r="N24" s="507"/>
      <c r="O24" s="507" t="e">
        <f ca="1">分配表!O219</f>
        <v>#DIV/0!</v>
      </c>
    </row>
    <row r="25" s="459" customFormat="1" ht="14.25" customHeight="1" spans="1:18">
      <c r="A25" s="508" t="s">
        <v>93</v>
      </c>
      <c r="B25" s="490"/>
      <c r="C25" s="501"/>
      <c r="D25" s="492"/>
      <c r="E25" s="491"/>
      <c r="F25" s="491"/>
      <c r="G25" s="491"/>
      <c r="I25" s="508" t="s">
        <v>93</v>
      </c>
      <c r="J25" s="490"/>
      <c r="K25" s="501"/>
      <c r="L25" s="492"/>
      <c r="M25" s="491"/>
      <c r="N25" s="491"/>
      <c r="O25" s="491"/>
    </row>
    <row r="26" s="459" customFormat="1" ht="14.25" customHeight="1" spans="1:18">
      <c r="A26" s="508" t="s">
        <v>94</v>
      </c>
      <c r="B26" s="490"/>
      <c r="C26" s="501"/>
      <c r="D26" s="492"/>
      <c r="E26" s="491">
        <f ca="1">SUM(E27:E30)</f>
        <v>0</v>
      </c>
      <c r="F26" s="491"/>
      <c r="G26" s="491">
        <f ca="1">SUM(G27:G30)</f>
        <v>0</v>
      </c>
      <c r="I26" s="508" t="s">
        <v>94</v>
      </c>
      <c r="J26" s="490"/>
      <c r="K26" s="501"/>
      <c r="L26" s="492"/>
      <c r="M26" s="491" t="e">
        <f ca="1">SUM(M27:M30)</f>
        <v>#DIV/0!</v>
      </c>
      <c r="N26" s="491"/>
      <c r="O26" s="491" t="e">
        <f ca="1">SUM(O27:O30)</f>
        <v>#DIV/0!</v>
      </c>
      <c r="P26" s="511"/>
    </row>
    <row r="27" s="459" customFormat="1" ht="14.25" customHeight="1" spans="1:18">
      <c r="A27" s="494" t="s">
        <v>95</v>
      </c>
      <c r="B27" s="495" t="s">
        <v>75</v>
      </c>
      <c r="C27" s="505">
        <f ca="1">'F55'!C27</f>
        <v>0</v>
      </c>
      <c r="D27" s="497">
        <f ca="1">IF(VALUE($F$3)=0,0,F27/$F$3)</f>
        <v>0</v>
      </c>
      <c r="E27" s="509">
        <f ca="1">C27*D27</f>
        <v>0</v>
      </c>
      <c r="F27" s="509">
        <f ca="1">OFFSET(分配表!C311,0,mth-1,1,1)</f>
        <v>0</v>
      </c>
      <c r="G27" s="509">
        <f ca="1">E27*F$3</f>
        <v>0</v>
      </c>
      <c r="H27" s="510"/>
      <c r="I27" s="494" t="s">
        <v>95</v>
      </c>
      <c r="J27" s="495" t="s">
        <v>75</v>
      </c>
      <c r="K27" s="505">
        <f ca="1">'F55'!K27</f>
        <v>374.799025538744</v>
      </c>
      <c r="L27" s="497">
        <f ca="1">IF($N$3=0,0,N27/$N$3)</f>
        <v>0.277942575811421</v>
      </c>
      <c r="M27" s="509">
        <f ca="1">K27*L27</f>
        <v>104.172606569849</v>
      </c>
      <c r="N27" s="496">
        <f ca="1">分配表!O311</f>
        <v>534.671184524035</v>
      </c>
      <c r="O27" s="509">
        <f ca="1">M27*N$3</f>
        <v>200394.238943254</v>
      </c>
      <c r="P27" s="510"/>
      <c r="Q27" s="511"/>
      <c r="R27" s="511"/>
    </row>
    <row r="28" s="459" customFormat="1" ht="14.25" customHeight="1" spans="1:18">
      <c r="A28" s="494" t="s">
        <v>96</v>
      </c>
      <c r="B28" s="495" t="s">
        <v>97</v>
      </c>
      <c r="C28" s="505">
        <f ca="1">'F55'!C28</f>
        <v>0</v>
      </c>
      <c r="D28" s="505">
        <f ca="1">IF(VALUE($F$3)=0,0,F28/$F$3)</f>
        <v>0</v>
      </c>
      <c r="E28" s="509">
        <f ca="1">C28*D28</f>
        <v>0</v>
      </c>
      <c r="F28" s="509" t="e">
        <f ca="1">OFFSET(分配表!C330,0,mth-1,1,1)</f>
        <v>#DIV/0!</v>
      </c>
      <c r="G28" s="509">
        <f ca="1">E28*F$3</f>
        <v>0</v>
      </c>
      <c r="I28" s="494" t="s">
        <v>96</v>
      </c>
      <c r="J28" s="495" t="s">
        <v>97</v>
      </c>
      <c r="K28" s="505">
        <f ca="1">'F55'!K28</f>
        <v>0.680636799672716</v>
      </c>
      <c r="L28" s="506" t="e">
        <f ca="1">IF($N$3=0,0,N28/$N$3)</f>
        <v>#DIV/0!</v>
      </c>
      <c r="M28" s="509" t="e">
        <f ca="1">K28*L28</f>
        <v>#DIV/0!</v>
      </c>
      <c r="N28" s="496" t="e">
        <f ca="1">分配表!O330</f>
        <v>#DIV/0!</v>
      </c>
      <c r="O28" s="509" t="e">
        <f ca="1">M28*N$3</f>
        <v>#DIV/0!</v>
      </c>
      <c r="P28" s="510"/>
    </row>
    <row r="29" s="459" customFormat="1" ht="14.25" customHeight="1" spans="1:18">
      <c r="A29" s="494" t="s">
        <v>98</v>
      </c>
      <c r="B29" s="495" t="s">
        <v>75</v>
      </c>
      <c r="C29" s="505">
        <f ca="1">'F55'!C29</f>
        <v>0</v>
      </c>
      <c r="D29" s="505">
        <f ca="1">IF(VALUE($F$3)=0,0,F29/$F$3)</f>
        <v>0</v>
      </c>
      <c r="E29" s="509">
        <f ca="1">C29*D29</f>
        <v>0</v>
      </c>
      <c r="F29" s="509" t="e">
        <f ca="1">OFFSET(分配表!C348,0,mth-1,1,1)</f>
        <v>#DIV/0!</v>
      </c>
      <c r="G29" s="509">
        <f ca="1">E29*F$3</f>
        <v>0</v>
      </c>
      <c r="I29" s="494" t="s">
        <v>98</v>
      </c>
      <c r="J29" s="495" t="s">
        <v>75</v>
      </c>
      <c r="K29" s="505">
        <f ca="1">'F55'!K29</f>
        <v>5.8950402489434</v>
      </c>
      <c r="L29" s="506" t="e">
        <f ca="1">IF($N$3=0,0,N29/$N$3)</f>
        <v>#DIV/0!</v>
      </c>
      <c r="M29" s="509" t="e">
        <f ca="1">K29*L29</f>
        <v>#DIV/0!</v>
      </c>
      <c r="N29" s="496" t="e">
        <f ca="1">分配表!O348</f>
        <v>#DIV/0!</v>
      </c>
      <c r="O29" s="509" t="e">
        <f ca="1">M29*N$3</f>
        <v>#DIV/0!</v>
      </c>
      <c r="P29" s="510"/>
    </row>
    <row r="30" s="459" customFormat="1" ht="14.25" customHeight="1" spans="1:18">
      <c r="A30" s="494" t="s">
        <v>99</v>
      </c>
      <c r="B30" s="495" t="s">
        <v>75</v>
      </c>
      <c r="C30" s="505">
        <f ca="1">'F55'!C30</f>
        <v>0</v>
      </c>
      <c r="D30" s="505">
        <f ca="1">IF(VALUE($F$3)=0,0,F30/$F$3)</f>
        <v>0</v>
      </c>
      <c r="E30" s="509">
        <f ca="1">C30*D30</f>
        <v>0</v>
      </c>
      <c r="F30" s="509">
        <f ca="1">OFFSET(分配表!C364,0,mth-1,1,1)</f>
        <v>0</v>
      </c>
      <c r="G30" s="509">
        <f ca="1">E30*F$3</f>
        <v>0</v>
      </c>
      <c r="I30" s="494" t="s">
        <v>99</v>
      </c>
      <c r="J30" s="495" t="s">
        <v>75</v>
      </c>
      <c r="K30" s="505">
        <f>'F55'!K30</f>
        <v>0</v>
      </c>
      <c r="L30" s="506">
        <f ca="1">IF($N$3=0,0,N30/$N$3)</f>
        <v>0</v>
      </c>
      <c r="M30" s="509">
        <f ca="1">K30*L30</f>
        <v>0</v>
      </c>
      <c r="N30" s="496">
        <f>分配表!O364</f>
        <v>0</v>
      </c>
      <c r="O30" s="509">
        <f ca="1">M30*N$3</f>
        <v>0</v>
      </c>
      <c r="P30" s="510"/>
    </row>
    <row r="31" s="459" customFormat="1" ht="14.25" customHeight="1" spans="1:18">
      <c r="A31" s="508" t="s">
        <v>101</v>
      </c>
      <c r="B31" s="490"/>
      <c r="C31" s="501"/>
      <c r="D31" s="492"/>
      <c r="E31" s="501" t="e">
        <f ca="1">IF($N$3=0,0,G31/$F$3)</f>
        <v>#DIV/0!</v>
      </c>
      <c r="F31" s="501"/>
      <c r="G31" s="501" t="e">
        <f ca="1">OFFSET(分配表!C376,0,mth-1,1,1)</f>
        <v>#DIV/0!</v>
      </c>
      <c r="H31" s="483"/>
      <c r="I31" s="508" t="s">
        <v>101</v>
      </c>
      <c r="J31" s="490"/>
      <c r="K31" s="501"/>
      <c r="L31" s="492"/>
      <c r="M31" s="501" t="e">
        <f ca="1">IF($N$3=0,0,O31/$N$3)</f>
        <v>#DIV/0!</v>
      </c>
      <c r="N31" s="501"/>
      <c r="O31" s="501" t="e">
        <f ca="1">分配表!O376</f>
        <v>#DIV/0!</v>
      </c>
      <c r="P31" s="511"/>
    </row>
    <row r="32" s="459" customFormat="1" ht="14.25" customHeight="1" spans="1:18">
      <c r="A32" s="541" t="s">
        <v>102</v>
      </c>
      <c r="B32" s="490"/>
      <c r="C32" s="501"/>
      <c r="D32" s="492"/>
      <c r="E32" s="501" t="e">
        <f ca="1">E31</f>
        <v>#DIV/0!</v>
      </c>
      <c r="F32" s="501"/>
      <c r="G32" s="501" t="e">
        <f ca="1">G31</f>
        <v>#DIV/0!</v>
      </c>
      <c r="H32" s="483"/>
      <c r="I32" s="508" t="s">
        <v>102</v>
      </c>
      <c r="J32" s="490"/>
      <c r="K32" s="501"/>
      <c r="L32" s="492"/>
      <c r="M32" s="501" t="e">
        <f ca="1">M31</f>
        <v>#DIV/0!</v>
      </c>
      <c r="N32" s="501"/>
      <c r="O32" s="501" t="e">
        <f ca="1">O31</f>
        <v>#DIV/0!</v>
      </c>
      <c r="P32" s="511"/>
    </row>
    <row r="33" s="459" customFormat="1" ht="14.25" customHeight="1" spans="1:16">
      <c r="A33" s="541" t="s">
        <v>103</v>
      </c>
      <c r="B33" s="490"/>
      <c r="C33" s="501"/>
      <c r="D33" s="492"/>
      <c r="E33" s="501"/>
      <c r="F33" s="491"/>
      <c r="G33" s="491"/>
      <c r="H33" s="483"/>
      <c r="I33" s="508" t="s">
        <v>103</v>
      </c>
      <c r="J33" s="490"/>
      <c r="K33" s="501"/>
      <c r="L33" s="492"/>
      <c r="M33" s="501"/>
      <c r="N33" s="491"/>
      <c r="O33" s="491"/>
      <c r="P33" s="511"/>
    </row>
    <row r="34" s="459" customFormat="1" ht="14.25" customHeight="1" spans="1:16">
      <c r="A34" s="508" t="s">
        <v>104</v>
      </c>
      <c r="B34" s="490"/>
      <c r="C34" s="501"/>
      <c r="D34" s="492"/>
      <c r="E34" s="501"/>
      <c r="F34" s="491"/>
      <c r="G34" s="491"/>
      <c r="I34" s="508" t="s">
        <v>104</v>
      </c>
      <c r="J34" s="490"/>
      <c r="K34" s="501"/>
      <c r="L34" s="492"/>
      <c r="M34" s="501"/>
      <c r="N34" s="491"/>
      <c r="O34" s="491"/>
    </row>
    <row r="35" s="459" customFormat="1" ht="14.25" customHeight="1" spans="1:16">
      <c r="A35" s="508" t="s">
        <v>105</v>
      </c>
      <c r="B35" s="490"/>
      <c r="C35" s="501"/>
      <c r="D35" s="492"/>
      <c r="E35" s="491" t="e">
        <f ca="1">E5-E10</f>
        <v>#DIV/0!</v>
      </c>
      <c r="F35" s="491"/>
      <c r="G35" s="491" t="e">
        <f ca="1">G5-G10</f>
        <v>#DIV/0!</v>
      </c>
      <c r="I35" s="508" t="s">
        <v>105</v>
      </c>
      <c r="J35" s="490"/>
      <c r="K35" s="501"/>
      <c r="L35" s="492"/>
      <c r="M35" s="542" t="e">
        <f ca="1">M5-M10</f>
        <v>#DIV/0!</v>
      </c>
      <c r="N35" s="491"/>
      <c r="O35" s="491" t="e">
        <f ca="1">O5-O10</f>
        <v>#DIV/0!</v>
      </c>
    </row>
    <row r="36" s="459" customFormat="1" ht="14.25" customHeight="1" spans="1:16">
      <c r="A36" s="513" t="s">
        <v>106</v>
      </c>
      <c r="B36" s="485"/>
      <c r="C36" s="514"/>
      <c r="D36" s="515"/>
      <c r="E36" s="487">
        <f ca="1">SUM(E37:E43)</f>
        <v>0</v>
      </c>
      <c r="F36" s="488"/>
      <c r="G36" s="487" t="e">
        <f ca="1">SUM(G37:G43)</f>
        <v>#DIV/0!</v>
      </c>
      <c r="I36" s="513" t="s">
        <v>106</v>
      </c>
      <c r="J36" s="485"/>
      <c r="K36" s="514"/>
      <c r="L36" s="515"/>
      <c r="M36" s="487" t="e">
        <f ca="1">IF(N$3=0,0,O36/N$3)</f>
        <v>#DIV/0!</v>
      </c>
      <c r="N36" s="488"/>
      <c r="O36" s="487" t="e">
        <f ca="1">SUM(O37:O43)</f>
        <v>#DIV/0!</v>
      </c>
    </row>
    <row r="37" s="459" customFormat="1" ht="14.25" customHeight="1" spans="1:16">
      <c r="A37" s="516" t="s">
        <v>107</v>
      </c>
      <c r="B37" s="503"/>
      <c r="C37" s="505"/>
      <c r="D37" s="497"/>
      <c r="E37" s="507">
        <f ca="1">IF(VALUE($F$3)=0,0,G37/$F$3)</f>
        <v>0</v>
      </c>
      <c r="F37" s="517"/>
      <c r="G37" s="509" t="e">
        <f ca="1">OFFSET(分配表!C409,0,mth-1,1,1)</f>
        <v>#DIV/0!</v>
      </c>
      <c r="H37" s="483"/>
      <c r="I37" s="516" t="s">
        <v>107</v>
      </c>
      <c r="J37" s="503"/>
      <c r="K37" s="505"/>
      <c r="L37" s="497"/>
      <c r="M37" s="507" t="e">
        <f ca="1" t="shared" ref="M37:M50" si="6">IF($N$3=0,0,O37/$N$3)</f>
        <v>#DIV/0!</v>
      </c>
      <c r="N37" s="517"/>
      <c r="O37" s="509" t="e">
        <f ca="1">分配表!O409</f>
        <v>#DIV/0!</v>
      </c>
      <c r="P37" s="483"/>
    </row>
    <row r="38" s="459" customFormat="1" ht="14.25" customHeight="1" spans="1:16">
      <c r="A38" s="516" t="s">
        <v>108</v>
      </c>
      <c r="B38" s="503"/>
      <c r="C38" s="505"/>
      <c r="D38" s="497"/>
      <c r="E38" s="507">
        <f ca="1" t="shared" ref="E38:E50" si="7">IF(VALUE($F$3)=0,0,G38/$F$3)</f>
        <v>0</v>
      </c>
      <c r="F38" s="517"/>
      <c r="G38" s="509" t="e">
        <f ca="1">OFFSET(分配表!C429,0,mth-1,1,1)</f>
        <v>#DIV/0!</v>
      </c>
      <c r="H38" s="483"/>
      <c r="I38" s="516" t="s">
        <v>108</v>
      </c>
      <c r="J38" s="503"/>
      <c r="K38" s="505"/>
      <c r="L38" s="497"/>
      <c r="M38" s="507" t="e">
        <f ca="1" t="shared" si="6"/>
        <v>#DIV/0!</v>
      </c>
      <c r="N38" s="517"/>
      <c r="O38" s="509" t="e">
        <f ca="1">分配表!O429</f>
        <v>#DIV/0!</v>
      </c>
      <c r="P38" s="483"/>
    </row>
    <row r="39" s="459" customFormat="1" ht="14.25" customHeight="1" spans="1:16">
      <c r="A39" s="516" t="s">
        <v>109</v>
      </c>
      <c r="B39" s="503"/>
      <c r="C39" s="498"/>
      <c r="D39" s="518"/>
      <c r="E39" s="507">
        <f ca="1" t="shared" si="7"/>
        <v>0</v>
      </c>
      <c r="F39" s="517"/>
      <c r="G39" s="509" t="e">
        <f ca="1">OFFSET(分配表!C449,0,mth-1,1,1)</f>
        <v>#DIV/0!</v>
      </c>
      <c r="H39" s="483"/>
      <c r="I39" s="516" t="s">
        <v>109</v>
      </c>
      <c r="J39" s="503"/>
      <c r="K39" s="498"/>
      <c r="L39" s="518"/>
      <c r="M39" s="507" t="e">
        <f ca="1" t="shared" si="6"/>
        <v>#DIV/0!</v>
      </c>
      <c r="N39" s="517"/>
      <c r="O39" s="509" t="e">
        <f ca="1">分配表!O449</f>
        <v>#DIV/0!</v>
      </c>
      <c r="P39" s="483"/>
    </row>
    <row r="40" s="459" customFormat="1" ht="14.25" customHeight="1" spans="1:16">
      <c r="A40" s="516" t="s">
        <v>110</v>
      </c>
      <c r="B40" s="503"/>
      <c r="C40" s="498"/>
      <c r="D40" s="518"/>
      <c r="E40" s="507">
        <f ca="1" t="shared" si="7"/>
        <v>0</v>
      </c>
      <c r="F40" s="517"/>
      <c r="G40" s="509" t="e">
        <f ca="1">OFFSET(分配表!C469,0,mth-1,1,1)</f>
        <v>#DIV/0!</v>
      </c>
      <c r="H40" s="483"/>
      <c r="I40" s="516" t="s">
        <v>110</v>
      </c>
      <c r="J40" s="503"/>
      <c r="K40" s="498"/>
      <c r="L40" s="518"/>
      <c r="M40" s="507" t="e">
        <f ca="1" t="shared" si="6"/>
        <v>#DIV/0!</v>
      </c>
      <c r="N40" s="517"/>
      <c r="O40" s="509" t="e">
        <f ca="1">分配表!O469</f>
        <v>#DIV/0!</v>
      </c>
      <c r="P40" s="483"/>
    </row>
    <row r="41" s="459" customFormat="1" ht="14.25" customHeight="1" spans="1:16">
      <c r="A41" s="516" t="s">
        <v>111</v>
      </c>
      <c r="B41" s="503"/>
      <c r="C41" s="498"/>
      <c r="D41" s="518"/>
      <c r="E41" s="507">
        <f ca="1" t="shared" si="7"/>
        <v>0</v>
      </c>
      <c r="F41" s="517"/>
      <c r="G41" s="509" t="e">
        <f ca="1">OFFSET(分配表!C489,0,mth-1,1,1)</f>
        <v>#DIV/0!</v>
      </c>
      <c r="H41" s="483"/>
      <c r="I41" s="516" t="s">
        <v>111</v>
      </c>
      <c r="J41" s="503"/>
      <c r="K41" s="498"/>
      <c r="L41" s="518"/>
      <c r="M41" s="507" t="e">
        <f ca="1" t="shared" si="6"/>
        <v>#DIV/0!</v>
      </c>
      <c r="N41" s="517"/>
      <c r="O41" s="509" t="e">
        <f ca="1">分配表!O489</f>
        <v>#DIV/0!</v>
      </c>
      <c r="P41" s="483"/>
    </row>
    <row r="42" s="459" customFormat="1" ht="14.25" customHeight="1" spans="1:16">
      <c r="A42" s="516" t="s">
        <v>112</v>
      </c>
      <c r="B42" s="503"/>
      <c r="C42" s="498"/>
      <c r="D42" s="518"/>
      <c r="E42" s="507">
        <f ca="1" t="shared" si="7"/>
        <v>0</v>
      </c>
      <c r="F42" s="517"/>
      <c r="G42" s="509" t="e">
        <f ca="1">OFFSET(分配表!C505,0,mth-1,1,1)</f>
        <v>#DIV/0!</v>
      </c>
      <c r="H42" s="483"/>
      <c r="I42" s="516" t="s">
        <v>112</v>
      </c>
      <c r="J42" s="503"/>
      <c r="K42" s="498"/>
      <c r="L42" s="518"/>
      <c r="M42" s="507" t="e">
        <f ca="1" t="shared" si="6"/>
        <v>#DIV/0!</v>
      </c>
      <c r="N42" s="517"/>
      <c r="O42" s="509" t="e">
        <f ca="1">分配表!O505</f>
        <v>#DIV/0!</v>
      </c>
      <c r="P42" s="483"/>
    </row>
    <row r="43" s="459" customFormat="1" ht="14.25" customHeight="1" spans="1:16">
      <c r="A43" s="516" t="s">
        <v>113</v>
      </c>
      <c r="B43" s="503"/>
      <c r="C43" s="498"/>
      <c r="D43" s="518"/>
      <c r="E43" s="507">
        <f ca="1" t="shared" si="7"/>
        <v>0</v>
      </c>
      <c r="F43" s="517"/>
      <c r="G43" s="509" t="e">
        <f ca="1">OFFSET(分配表!C527,0,mth-1,1,1)</f>
        <v>#DIV/0!</v>
      </c>
      <c r="I43" s="516" t="s">
        <v>114</v>
      </c>
      <c r="J43" s="503"/>
      <c r="K43" s="498"/>
      <c r="L43" s="518"/>
      <c r="M43" s="507" t="e">
        <f ca="1" t="shared" si="6"/>
        <v>#DIV/0!</v>
      </c>
      <c r="N43" s="517"/>
      <c r="O43" s="509" t="e">
        <f ca="1">分配表!O527</f>
        <v>#DIV/0!</v>
      </c>
    </row>
    <row r="44" s="459" customFormat="1" ht="14.25" customHeight="1" spans="1:16">
      <c r="A44" s="516" t="s">
        <v>115</v>
      </c>
      <c r="B44" s="503"/>
      <c r="C44" s="498"/>
      <c r="D44" s="518"/>
      <c r="E44" s="507">
        <f ca="1" t="shared" si="7"/>
        <v>0</v>
      </c>
      <c r="F44" s="517"/>
      <c r="G44" s="509" t="e">
        <f ca="1">OFFSET(分配表!C539,0,mth-1,1,1)</f>
        <v>#DIV/0!</v>
      </c>
      <c r="I44" s="516" t="s">
        <v>115</v>
      </c>
      <c r="J44" s="503"/>
      <c r="K44" s="498"/>
      <c r="L44" s="518"/>
      <c r="M44" s="507" t="e">
        <f ca="1" t="shared" si="6"/>
        <v>#DIV/0!</v>
      </c>
      <c r="N44" s="517"/>
      <c r="O44" s="509" t="e">
        <f ca="1">分配表!O539</f>
        <v>#DIV/0!</v>
      </c>
    </row>
    <row r="45" s="459" customFormat="1" ht="14.25" customHeight="1" spans="1:16">
      <c r="A45" s="516" t="s">
        <v>116</v>
      </c>
      <c r="B45" s="503"/>
      <c r="C45" s="498"/>
      <c r="D45" s="518"/>
      <c r="E45" s="507">
        <f ca="1" t="shared" si="7"/>
        <v>0</v>
      </c>
      <c r="F45" s="517"/>
      <c r="G45" s="509" t="e">
        <f ca="1">OFFSET(分配表!C551,0,mth-1,1,1)</f>
        <v>#DIV/0!</v>
      </c>
      <c r="I45" s="516" t="s">
        <v>116</v>
      </c>
      <c r="J45" s="503"/>
      <c r="K45" s="498"/>
      <c r="L45" s="518"/>
      <c r="M45" s="507" t="e">
        <f ca="1" t="shared" si="6"/>
        <v>#DIV/0!</v>
      </c>
      <c r="N45" s="517"/>
      <c r="O45" s="509" t="e">
        <f ca="1">分配表!O551</f>
        <v>#DIV/0!</v>
      </c>
    </row>
    <row r="46" s="459" customFormat="1" ht="14.25" customHeight="1" spans="1:16">
      <c r="A46" s="516" t="s">
        <v>117</v>
      </c>
      <c r="B46" s="503"/>
      <c r="C46" s="498"/>
      <c r="D46" s="518"/>
      <c r="E46" s="507">
        <f ca="1" t="shared" si="7"/>
        <v>0</v>
      </c>
      <c r="F46" s="517"/>
      <c r="G46" s="509" t="e">
        <f ca="1">OFFSET(分配表!C599,0,mth-1,1,1)</f>
        <v>#DIV/0!</v>
      </c>
      <c r="I46" s="516" t="s">
        <v>117</v>
      </c>
      <c r="J46" s="503"/>
      <c r="K46" s="498"/>
      <c r="L46" s="518"/>
      <c r="M46" s="507" t="e">
        <f ca="1" t="shared" si="6"/>
        <v>#DIV/0!</v>
      </c>
      <c r="N46" s="517"/>
      <c r="O46" s="509" t="e">
        <f ca="1">分配表!O599</f>
        <v>#DIV/0!</v>
      </c>
    </row>
    <row r="47" s="459" customFormat="1" ht="14.25" customHeight="1" spans="1:16">
      <c r="A47" s="516" t="s">
        <v>118</v>
      </c>
      <c r="B47" s="503"/>
      <c r="C47" s="498"/>
      <c r="D47" s="518"/>
      <c r="E47" s="507">
        <f ca="1" t="shared" si="7"/>
        <v>0</v>
      </c>
      <c r="F47" s="517"/>
      <c r="G47" s="509" t="e">
        <f ca="1">OFFSET(分配表!C563,0,mth-1,1,1)</f>
        <v>#DIV/0!</v>
      </c>
      <c r="I47" s="516" t="s">
        <v>118</v>
      </c>
      <c r="J47" s="503"/>
      <c r="K47" s="498"/>
      <c r="L47" s="518"/>
      <c r="M47" s="507" t="e">
        <f ca="1" t="shared" si="6"/>
        <v>#DIV/0!</v>
      </c>
      <c r="N47" s="517"/>
      <c r="O47" s="509" t="e">
        <f ca="1">分配表!O563</f>
        <v>#DIV/0!</v>
      </c>
    </row>
    <row r="48" s="459" customFormat="1" ht="14.25" customHeight="1" spans="1:16">
      <c r="A48" s="516" t="s">
        <v>119</v>
      </c>
      <c r="B48" s="503"/>
      <c r="C48" s="498"/>
      <c r="D48" s="518"/>
      <c r="E48" s="507">
        <f ca="1" t="shared" si="7"/>
        <v>0</v>
      </c>
      <c r="F48" s="517"/>
      <c r="G48" s="509" t="e">
        <f ca="1">OFFSET(分配表!C575,0,mth-1,1,1)</f>
        <v>#DIV/0!</v>
      </c>
      <c r="I48" s="516" t="s">
        <v>119</v>
      </c>
      <c r="J48" s="503"/>
      <c r="K48" s="498"/>
      <c r="L48" s="518"/>
      <c r="M48" s="507" t="e">
        <f ca="1" t="shared" si="6"/>
        <v>#DIV/0!</v>
      </c>
      <c r="N48" s="517"/>
      <c r="O48" s="509" t="e">
        <f ca="1">分配表!O575</f>
        <v>#DIV/0!</v>
      </c>
    </row>
    <row r="49" s="459" customFormat="1" ht="14.25" customHeight="1" spans="1:20">
      <c r="A49" s="516" t="s">
        <v>120</v>
      </c>
      <c r="B49" s="503"/>
      <c r="C49" s="498"/>
      <c r="D49" s="518"/>
      <c r="E49" s="507">
        <f ca="1" t="shared" si="7"/>
        <v>0</v>
      </c>
      <c r="F49" s="517"/>
      <c r="G49" s="509" t="e">
        <f ca="1">OFFSET(分配表!C587,0,mth-1,1,1)</f>
        <v>#DIV/0!</v>
      </c>
      <c r="I49" s="516" t="s">
        <v>120</v>
      </c>
      <c r="J49" s="503"/>
      <c r="K49" s="498"/>
      <c r="L49" s="518"/>
      <c r="M49" s="507" t="e">
        <f ca="1" t="shared" si="6"/>
        <v>#DIV/0!</v>
      </c>
      <c r="N49" s="517"/>
      <c r="O49" s="509" t="e">
        <f ca="1">分配表!O587</f>
        <v>#DIV/0!</v>
      </c>
    </row>
    <row r="50" s="459" customFormat="1" ht="14.25" customHeight="1" spans="1:20">
      <c r="A50" s="516" t="s">
        <v>121</v>
      </c>
      <c r="B50" s="503"/>
      <c r="C50" s="498"/>
      <c r="D50" s="518"/>
      <c r="E50" s="507">
        <f ca="1" t="shared" si="7"/>
        <v>0</v>
      </c>
      <c r="F50" s="517"/>
      <c r="G50" s="509" t="e">
        <f ca="1">OFFSET(分配表!C611,0,mth-1,1,1)</f>
        <v>#DIV/0!</v>
      </c>
      <c r="I50" s="516" t="s">
        <v>121</v>
      </c>
      <c r="J50" s="503"/>
      <c r="K50" s="498"/>
      <c r="L50" s="518"/>
      <c r="M50" s="507" t="e">
        <f ca="1" t="shared" si="6"/>
        <v>#DIV/0!</v>
      </c>
      <c r="N50" s="517"/>
      <c r="O50" s="509" t="e">
        <f ca="1">分配表!O611</f>
        <v>#DIV/0!</v>
      </c>
    </row>
    <row r="51" s="459" customFormat="1" ht="14.25" customHeight="1" spans="1:20">
      <c r="A51" s="523" t="s">
        <v>122</v>
      </c>
      <c r="B51" s="485" t="s">
        <v>123</v>
      </c>
      <c r="C51" s="514"/>
      <c r="D51" s="515"/>
      <c r="E51" s="487" t="e">
        <f ca="1">E36+E10</f>
        <v>#DIV/0!</v>
      </c>
      <c r="F51" s="488"/>
      <c r="G51" s="487" t="e">
        <f ca="1">G36+G10</f>
        <v>#DIV/0!</v>
      </c>
      <c r="H51" s="483"/>
      <c r="I51" s="523" t="s">
        <v>122</v>
      </c>
      <c r="J51" s="485" t="s">
        <v>123</v>
      </c>
      <c r="K51" s="514"/>
      <c r="L51" s="515"/>
      <c r="M51" s="487" t="e">
        <f ca="1">M36+M10</f>
        <v>#DIV/0!</v>
      </c>
      <c r="N51" s="488"/>
      <c r="O51" s="487" t="e">
        <f ca="1">O36+O10</f>
        <v>#DIV/0!</v>
      </c>
      <c r="P51" s="483"/>
    </row>
    <row r="52" s="460" customFormat="1" ht="14.25" customHeight="1" spans="1:20">
      <c r="A52" s="524" t="s">
        <v>124</v>
      </c>
      <c r="B52" s="525"/>
      <c r="C52" s="514"/>
      <c r="D52" s="515"/>
      <c r="E52" s="487" t="e">
        <f ca="1">E35-E36</f>
        <v>#DIV/0!</v>
      </c>
      <c r="F52" s="526"/>
      <c r="G52" s="487" t="e">
        <f ca="1">G35-G36</f>
        <v>#DIV/0!</v>
      </c>
      <c r="H52" s="527"/>
      <c r="I52" s="524" t="s">
        <v>124</v>
      </c>
      <c r="J52" s="525"/>
      <c r="K52" s="514"/>
      <c r="L52" s="515"/>
      <c r="M52" s="487" t="e">
        <f ca="1">M35-M36</f>
        <v>#DIV/0!</v>
      </c>
      <c r="N52" s="526"/>
      <c r="O52" s="487" t="e">
        <f ca="1">O35-O36</f>
        <v>#DIV/0!</v>
      </c>
      <c r="P52" s="528"/>
    </row>
    <row r="53" s="459" customFormat="1" ht="14.25" customHeight="1" spans="1:20">
      <c r="A53" s="524" t="s">
        <v>125</v>
      </c>
      <c r="B53" s="525"/>
      <c r="C53" s="514"/>
      <c r="D53" s="515"/>
      <c r="E53" s="487" t="e">
        <f ca="1">E52+E37</f>
        <v>#DIV/0!</v>
      </c>
      <c r="F53" s="526"/>
      <c r="G53" s="487" t="e">
        <f ca="1">G52+G37</f>
        <v>#DIV/0!</v>
      </c>
      <c r="H53" s="527"/>
      <c r="I53" s="524" t="s">
        <v>125</v>
      </c>
      <c r="J53" s="525"/>
      <c r="K53" s="514"/>
      <c r="L53" s="515"/>
      <c r="M53" s="487" t="e">
        <f ca="1">M52+M37</f>
        <v>#DIV/0!</v>
      </c>
      <c r="N53" s="526"/>
      <c r="O53" s="487" t="e">
        <f ca="1">O52+O37</f>
        <v>#DIV/0!</v>
      </c>
    </row>
    <row r="54" s="540" customFormat="1" ht="14.25" customHeight="1" spans="1:20">
      <c r="A54" s="543" t="s">
        <v>126</v>
      </c>
      <c r="B54" s="544" t="s">
        <v>123</v>
      </c>
      <c r="C54" s="545"/>
      <c r="D54" s="546"/>
      <c r="E54" s="547" t="e">
        <f ca="1">E10-E11+E36-E25</f>
        <v>#DIV/0!</v>
      </c>
      <c r="F54" s="547"/>
      <c r="G54" s="548" t="e">
        <f ca="1">G10-G11+G36-G25</f>
        <v>#DIV/0!</v>
      </c>
      <c r="H54" s="535"/>
      <c r="I54" s="549" t="s">
        <v>126</v>
      </c>
      <c r="J54" s="550" t="s">
        <v>123</v>
      </c>
      <c r="K54" s="547"/>
      <c r="L54" s="547"/>
      <c r="M54" s="533" t="e">
        <f ca="1">M10-M11+M36-M25</f>
        <v>#DIV/0!</v>
      </c>
      <c r="N54" s="533"/>
      <c r="O54" s="534" t="e">
        <f ca="1">O10-O11+O36-O25</f>
        <v>#DIV/0!</v>
      </c>
      <c r="P54" s="475"/>
      <c r="Q54" s="475"/>
      <c r="R54" s="475"/>
      <c r="S54" s="475"/>
      <c r="T54" s="475"/>
    </row>
    <row r="55" s="459" customFormat="1" customHeight="1" spans="1:20">
      <c r="A55" s="516" t="s">
        <v>127</v>
      </c>
      <c r="B55" s="503"/>
      <c r="C55" s="516"/>
      <c r="D55" s="516"/>
      <c r="E55" s="507">
        <f ca="1">IF(VALUE($F$3)=0,0,G55/$F$3)</f>
        <v>0</v>
      </c>
      <c r="F55" s="517"/>
      <c r="G55" s="509" t="e">
        <f ca="1">OFFSET(分配表!C624,0,mth-1,1,1)</f>
        <v>#DIV/0!</v>
      </c>
      <c r="I55" s="502" t="s">
        <v>127</v>
      </c>
      <c r="J55" s="516"/>
      <c r="K55" s="516"/>
      <c r="L55" s="516"/>
      <c r="M55" s="507" t="e">
        <f ca="1" t="shared" ref="M55" si="8">IF($N$3=0,0,O55/$N$3)</f>
        <v>#DIV/0!</v>
      </c>
      <c r="N55" s="517"/>
      <c r="O55" s="509" t="e">
        <f ca="1">分配表!O624</f>
        <v>#DIV/0!</v>
      </c>
    </row>
    <row r="56" s="459" customFormat="1" customHeight="1" spans="1:20">
      <c r="B56" s="538"/>
      <c r="E56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7937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rgb="FF92D050"/>
  </sheetPr>
  <dimension ref="A1:R88"/>
  <sheetViews>
    <sheetView workbookViewId="0">
      <pane xSplit="2" ySplit="4" topLeftCell="C14" activePane="bottomRight" state="frozen"/>
      <selection/>
      <selection pane="topRight"/>
      <selection pane="bottomLeft"/>
      <selection pane="bottomRight" activeCell="G20" sqref="G20"/>
    </sheetView>
  </sheetViews>
  <sheetFormatPr defaultColWidth="9" defaultRowHeight="15" customHeight="1"/>
  <cols>
    <col min="1" max="1" width="28" style="40" customWidth="1"/>
    <col min="2" max="2" width="4.5" style="461" customWidth="1"/>
    <col min="3" max="3" width="9" style="40" customWidth="1"/>
    <col min="4" max="4" width="6.75" style="40" customWidth="1"/>
    <col min="5" max="5" width="9" style="462" customWidth="1"/>
    <col min="6" max="6" width="6.75" style="40" customWidth="1"/>
    <col min="7" max="7" width="9.75" style="40" customWidth="1"/>
    <col min="8" max="8" width="6.75" style="40" customWidth="1"/>
    <col min="9" max="9" width="28" style="40" customWidth="1"/>
    <col min="10" max="10" width="4.5" style="40" customWidth="1"/>
    <col min="11" max="11" width="8.25" style="40" customWidth="1"/>
    <col min="12" max="12" width="6.75" style="40" customWidth="1"/>
    <col min="13" max="13" width="8.5" style="40" customWidth="1"/>
    <col min="14" max="14" width="7.5" style="40" customWidth="1"/>
    <col min="15" max="15" width="9.75" style="40" customWidth="1"/>
    <col min="16" max="16" width="13" style="40" customWidth="1"/>
    <col min="17" max="18" width="9" style="40"/>
    <col min="19" max="20" width="9.625" style="40"/>
    <col min="21" max="16384" width="9" style="40"/>
  </cols>
  <sheetData>
    <row r="1" s="458" customFormat="1" ht="42.75" customHeight="1" spans="1:16">
      <c r="A1" s="97" t="str">
        <f>CONCATENATE("风味糖综合成本利润表_不含税(2025年"&amp;mth&amp;"月)")</f>
        <v>风味糖综合成本利润表_不含税(2025年8月)</v>
      </c>
      <c r="B1" s="98"/>
      <c r="C1" s="98"/>
      <c r="D1" s="98"/>
      <c r="E1" s="98"/>
      <c r="F1" s="98"/>
      <c r="G1" s="98"/>
      <c r="I1" s="463" t="str">
        <f>CONCATENATE("风味糖综合成本利润表_不含税(2025年1-"&amp;mth&amp;"月)")</f>
        <v>风味糖综合成本利润表_不含税(2025年1-8月)</v>
      </c>
      <c r="J1" s="463"/>
      <c r="K1" s="463"/>
      <c r="L1" s="463"/>
      <c r="M1" s="463"/>
      <c r="N1" s="463"/>
      <c r="O1" s="463"/>
    </row>
    <row r="2" s="458" customFormat="1" customHeight="1" spans="1:16">
      <c r="A2" s="464"/>
      <c r="B2" s="464"/>
      <c r="C2" s="464"/>
      <c r="D2" s="465"/>
      <c r="E2" s="44"/>
      <c r="F2" s="464"/>
      <c r="G2" s="464"/>
    </row>
    <row r="3" s="38" customFormat="1" customHeight="1" spans="1:16">
      <c r="A3" s="38" t="s">
        <v>23</v>
      </c>
      <c r="E3" s="39" t="s">
        <v>133</v>
      </c>
      <c r="F3" s="466">
        <f ca="1">OFFSET(基础表!C15,0,mth-1,1,1)</f>
        <v>0</v>
      </c>
      <c r="G3" s="39" t="s">
        <v>75</v>
      </c>
      <c r="M3" s="378" t="s">
        <v>134</v>
      </c>
      <c r="N3" s="466">
        <f ca="1">基础表!O15</f>
        <v>415.896777777777</v>
      </c>
      <c r="O3" s="39" t="s">
        <v>75</v>
      </c>
    </row>
    <row r="4" s="459" customFormat="1" customHeight="1" spans="1:16">
      <c r="A4" s="467"/>
      <c r="B4" s="467" t="s">
        <v>77</v>
      </c>
      <c r="C4" s="468" t="s">
        <v>78</v>
      </c>
      <c r="D4" s="468" t="s">
        <v>79</v>
      </c>
      <c r="E4" s="469" t="s">
        <v>80</v>
      </c>
      <c r="F4" s="468" t="s">
        <v>81</v>
      </c>
      <c r="G4" s="468" t="s">
        <v>82</v>
      </c>
      <c r="I4" s="467"/>
      <c r="J4" s="467" t="s">
        <v>77</v>
      </c>
      <c r="K4" s="468" t="s">
        <v>78</v>
      </c>
      <c r="L4" s="468" t="s">
        <v>79</v>
      </c>
      <c r="M4" s="468" t="s">
        <v>80</v>
      </c>
      <c r="N4" s="468" t="s">
        <v>81</v>
      </c>
      <c r="O4" s="468" t="s">
        <v>82</v>
      </c>
    </row>
    <row r="5" s="459" customFormat="1" customHeight="1" spans="1:16">
      <c r="A5" s="470" t="s">
        <v>83</v>
      </c>
      <c r="B5" s="471"/>
      <c r="C5" s="472"/>
      <c r="D5" s="472"/>
      <c r="E5" s="473" t="e">
        <f ca="1">E6-E7</f>
        <v>#DIV/0!</v>
      </c>
      <c r="F5" s="472"/>
      <c r="G5" s="474" t="e">
        <f ca="1">G6-G7</f>
        <v>#DIV/0!</v>
      </c>
      <c r="I5" s="470" t="s">
        <v>83</v>
      </c>
      <c r="J5" s="471"/>
      <c r="K5" s="472"/>
      <c r="L5" s="472"/>
      <c r="M5" s="474">
        <f ca="1">M6-M7</f>
        <v>14183.8500317155</v>
      </c>
      <c r="N5" s="472"/>
      <c r="O5" s="474">
        <f ca="1">O6-O7</f>
        <v>5899017.5246737</v>
      </c>
      <c r="P5" s="475"/>
    </row>
    <row r="6" s="459" customFormat="1" customHeight="1" spans="1:16">
      <c r="A6" s="476" t="s">
        <v>84</v>
      </c>
      <c r="B6" s="477"/>
      <c r="C6" s="478"/>
      <c r="D6" s="479"/>
      <c r="E6" s="478">
        <f ca="1">OFFSET(销售收入及运费!C82,0,mth-1,1,1)</f>
        <v>0</v>
      </c>
      <c r="F6" s="479"/>
      <c r="G6" s="480">
        <f ca="1">E6*$F$3</f>
        <v>0</v>
      </c>
      <c r="I6" s="481" t="s">
        <v>84</v>
      </c>
      <c r="J6" s="477"/>
      <c r="K6" s="478"/>
      <c r="L6" s="479"/>
      <c r="M6" s="480">
        <f ca="1">销售收入及运费!O82</f>
        <v>16613.231605009</v>
      </c>
      <c r="N6" s="482"/>
      <c r="O6" s="480">
        <f ca="1">M6*$N$3</f>
        <v>6909389.49299917</v>
      </c>
      <c r="P6" s="475"/>
    </row>
    <row r="7" s="459" customFormat="1" customHeight="1" spans="1:16">
      <c r="A7" s="476" t="s">
        <v>135</v>
      </c>
      <c r="B7" s="477"/>
      <c r="C7" s="479"/>
      <c r="D7" s="479"/>
      <c r="E7" s="478" t="e">
        <f ca="1">E8+E9</f>
        <v>#DIV/0!</v>
      </c>
      <c r="F7" s="479"/>
      <c r="G7" s="480" t="e">
        <f ca="1">E7*$F$3</f>
        <v>#DIV/0!</v>
      </c>
      <c r="H7" s="483"/>
      <c r="I7" s="481" t="s">
        <v>135</v>
      </c>
      <c r="J7" s="477"/>
      <c r="K7" s="479"/>
      <c r="L7" s="479"/>
      <c r="M7" s="480">
        <f ca="1">M8+M9</f>
        <v>2429.3815732935</v>
      </c>
      <c r="N7" s="482"/>
      <c r="O7" s="480">
        <f ca="1">M7*$N$3</f>
        <v>1010371.96832547</v>
      </c>
      <c r="P7" s="475"/>
    </row>
    <row r="8" s="459" customFormat="1" customHeight="1" spans="1:16">
      <c r="A8" s="476" t="s">
        <v>86</v>
      </c>
      <c r="B8" s="477"/>
      <c r="C8" s="479"/>
      <c r="D8" s="479"/>
      <c r="E8" s="478" t="e">
        <f ca="1">OFFSET(销售收入及运费!C139,0,mth-1,1,1)/1.09/OFFSET(销售收入及运费!C22,0,mth-1,1,1)</f>
        <v>#DIV/0!</v>
      </c>
      <c r="F8" s="479"/>
      <c r="G8" s="480" t="e">
        <f ca="1">E8*$F$3</f>
        <v>#DIV/0!</v>
      </c>
      <c r="H8" s="483"/>
      <c r="I8" s="476" t="s">
        <v>86</v>
      </c>
      <c r="J8" s="477"/>
      <c r="K8" s="479"/>
      <c r="L8" s="479"/>
      <c r="M8" s="480">
        <f ca="1">销售收入及运费!O139/1.09/销售收入及运费!O22</f>
        <v>362.844982812244</v>
      </c>
      <c r="N8" s="482"/>
      <c r="O8" s="480">
        <f ca="1">M8*$N$3</f>
        <v>150906.059184445</v>
      </c>
      <c r="P8" s="475"/>
    </row>
    <row r="9" s="459" customFormat="1" customHeight="1" spans="1:16">
      <c r="A9" s="476" t="s">
        <v>87</v>
      </c>
      <c r="B9" s="477"/>
      <c r="C9" s="479"/>
      <c r="D9" s="479"/>
      <c r="E9" s="478" t="e">
        <f ca="1">(OFFSET(销售收入及运费!C159,0,mth-1,1,1)/1.13+OFFSET(销售收入及运费!C179,0,mth-1,1,1)/1.13)/OFFSET(销售收入及运费!C22,0,mth-1,1,1)</f>
        <v>#DIV/0!</v>
      </c>
      <c r="F9" s="479"/>
      <c r="G9" s="480" t="e">
        <f ca="1">E9*$F$3</f>
        <v>#DIV/0!</v>
      </c>
      <c r="H9" s="483"/>
      <c r="I9" s="476" t="s">
        <v>87</v>
      </c>
      <c r="J9" s="477"/>
      <c r="K9" s="479"/>
      <c r="L9" s="479"/>
      <c r="M9" s="480">
        <f ca="1">(销售收入及运费!O159+销售收入及运费!O179)/1.13/销售收入及运费!O22</f>
        <v>2066.53659048126</v>
      </c>
      <c r="N9" s="482"/>
      <c r="O9" s="480">
        <f ca="1">M9*$N$3</f>
        <v>859465.909141029</v>
      </c>
      <c r="P9" s="475"/>
    </row>
    <row r="10" s="459" customFormat="1" customHeight="1" spans="1:16">
      <c r="A10" s="484" t="s">
        <v>88</v>
      </c>
      <c r="B10" s="485"/>
      <c r="C10" s="486"/>
      <c r="D10" s="486"/>
      <c r="E10" s="487" t="e">
        <f ca="1">E11+E20+E58+E63+E57</f>
        <v>#DIV/0!</v>
      </c>
      <c r="F10" s="488"/>
      <c r="G10" s="487" t="e">
        <f ca="1">G11+G20+G58+G63+G57</f>
        <v>#DIV/0!</v>
      </c>
      <c r="I10" s="484" t="s">
        <v>88</v>
      </c>
      <c r="J10" s="485"/>
      <c r="K10" s="486"/>
      <c r="L10" s="486"/>
      <c r="M10" s="487" t="e">
        <f ca="1">M11+M20+M58+M63+M57</f>
        <v>#DIV/0!</v>
      </c>
      <c r="N10" s="488"/>
      <c r="O10" s="487" t="e">
        <f ca="1">O11+O20+O58+O63+O57</f>
        <v>#DIV/0!</v>
      </c>
      <c r="P10" s="475"/>
    </row>
    <row r="11" s="459" customFormat="1" customHeight="1" spans="1:16">
      <c r="A11" s="489" t="s">
        <v>169</v>
      </c>
      <c r="B11" s="490" t="s">
        <v>75</v>
      </c>
      <c r="C11" s="491">
        <f ca="1">IFERROR(G11/F11,0)</f>
        <v>0</v>
      </c>
      <c r="D11" s="492">
        <f ca="1">IFERROR(IF(C11=0,0,E11/C11),0)</f>
        <v>0</v>
      </c>
      <c r="E11" s="491" t="e">
        <f ca="1">SUM(E12:E19)</f>
        <v>#DIV/0!</v>
      </c>
      <c r="F11" s="493">
        <f ca="1">SUM(F12:F18)</f>
        <v>0</v>
      </c>
      <c r="G11" s="491">
        <f ca="1">SUM(G12:G19)</f>
        <v>0</v>
      </c>
      <c r="I11" s="489" t="s">
        <v>169</v>
      </c>
      <c r="J11" s="490" t="s">
        <v>75</v>
      </c>
      <c r="K11" s="491">
        <f ca="1">IF(N11=0,0,O11/N11)</f>
        <v>4945.97235622301</v>
      </c>
      <c r="L11" s="492">
        <f ca="1">IF(K11=0,0,M11/K11)</f>
        <v>0.0214476294999481</v>
      </c>
      <c r="M11" s="491">
        <f ca="1">SUM(M12:M19)</f>
        <v>106.079382613256</v>
      </c>
      <c r="N11" s="491">
        <f ca="1">SUM(N12:N18)</f>
        <v>8.92</v>
      </c>
      <c r="O11" s="491">
        <f ca="1">SUM(O12:O19)</f>
        <v>44118.0734175092</v>
      </c>
      <c r="P11" s="475"/>
    </row>
    <row r="12" s="459" customFormat="1" customHeight="1" spans="1:16">
      <c r="A12" s="494" t="s">
        <v>170</v>
      </c>
      <c r="B12" s="495" t="s">
        <v>75</v>
      </c>
      <c r="C12" s="496">
        <f ca="1">OFFSET(分配表!C674,0,mth-1,1,1)</f>
        <v>0</v>
      </c>
      <c r="D12" s="497">
        <f ca="1" t="shared" ref="D12:D18" si="0">IF(VALUE($F$3)=0,0,F12/$F$3)</f>
        <v>0</v>
      </c>
      <c r="E12" s="496">
        <f ca="1" t="shared" ref="E12:E18" si="1">C12*D12</f>
        <v>0</v>
      </c>
      <c r="F12" s="498">
        <f ca="1">OFFSET(分配表!C655,0,mth-1,1,1)</f>
        <v>0</v>
      </c>
      <c r="G12" s="496">
        <f ca="1">E12*$F$3</f>
        <v>0</v>
      </c>
      <c r="H12" s="499"/>
      <c r="I12" s="494" t="s">
        <v>170</v>
      </c>
      <c r="J12" s="495" t="s">
        <v>75</v>
      </c>
      <c r="K12" s="496">
        <f ca="1">分配表!O674</f>
        <v>0</v>
      </c>
      <c r="L12" s="497">
        <f ca="1" t="shared" ref="L12:L18" si="2">IF($N$3=0,0,N12/$N$3)</f>
        <v>0</v>
      </c>
      <c r="M12" s="496">
        <f ca="1" t="shared" ref="M12:M18" si="3">K12*L12</f>
        <v>0</v>
      </c>
      <c r="N12" s="500">
        <f ca="1">分配表!O655</f>
        <v>0</v>
      </c>
      <c r="O12" s="496">
        <f ca="1" t="shared" ref="O12:O18" si="4">K12*N12</f>
        <v>0</v>
      </c>
      <c r="P12" s="475"/>
    </row>
    <row r="13" s="459" customFormat="1" customHeight="1" spans="1:16">
      <c r="A13" s="494" t="s">
        <v>171</v>
      </c>
      <c r="B13" s="495" t="s">
        <v>75</v>
      </c>
      <c r="C13" s="496">
        <f ca="1">OFFSET(分配表!C675,0,mth-1,1,1)</f>
        <v>0</v>
      </c>
      <c r="D13" s="497">
        <f ca="1" t="shared" si="0"/>
        <v>0</v>
      </c>
      <c r="E13" s="496">
        <f ca="1" t="shared" si="1"/>
        <v>0</v>
      </c>
      <c r="F13" s="498">
        <f ca="1">OFFSET(分配表!C656,0,mth-1,1,1)</f>
        <v>0</v>
      </c>
      <c r="G13" s="496">
        <f ca="1" t="shared" ref="G13:G18" si="5">E13*$F$3</f>
        <v>0</v>
      </c>
      <c r="H13" s="499"/>
      <c r="I13" s="494" t="s">
        <v>171</v>
      </c>
      <c r="J13" s="495" t="s">
        <v>75</v>
      </c>
      <c r="K13" s="496">
        <f ca="1">分配表!O675</f>
        <v>0</v>
      </c>
      <c r="L13" s="497">
        <f ca="1" t="shared" si="2"/>
        <v>0</v>
      </c>
      <c r="M13" s="496">
        <f ca="1" t="shared" si="3"/>
        <v>0</v>
      </c>
      <c r="N13" s="500">
        <f ca="1">分配表!O656</f>
        <v>0</v>
      </c>
      <c r="O13" s="496">
        <f ca="1" t="shared" si="4"/>
        <v>0</v>
      </c>
      <c r="P13" s="475"/>
    </row>
    <row r="14" s="459" customFormat="1" customHeight="1" spans="1:16">
      <c r="A14" s="494" t="s">
        <v>172</v>
      </c>
      <c r="B14" s="495" t="s">
        <v>75</v>
      </c>
      <c r="C14" s="496">
        <f ca="1">OFFSET(分配表!C676,0,mth-1,1,1)</f>
        <v>0</v>
      </c>
      <c r="D14" s="497">
        <f ca="1" t="shared" si="0"/>
        <v>0</v>
      </c>
      <c r="E14" s="496">
        <f ca="1" t="shared" si="1"/>
        <v>0</v>
      </c>
      <c r="F14" s="498">
        <f ca="1">OFFSET(分配表!C657,0,mth-1,1,1)</f>
        <v>0</v>
      </c>
      <c r="G14" s="496">
        <f ca="1" t="shared" si="5"/>
        <v>0</v>
      </c>
      <c r="H14" s="499"/>
      <c r="I14" s="494" t="s">
        <v>172</v>
      </c>
      <c r="J14" s="495" t="s">
        <v>75</v>
      </c>
      <c r="K14" s="496">
        <f ca="1">分配表!O676</f>
        <v>0</v>
      </c>
      <c r="L14" s="497">
        <f ca="1" t="shared" si="2"/>
        <v>0</v>
      </c>
      <c r="M14" s="496">
        <f ca="1" t="shared" si="3"/>
        <v>0</v>
      </c>
      <c r="N14" s="500">
        <f ca="1">分配表!O657</f>
        <v>0</v>
      </c>
      <c r="O14" s="496">
        <f ca="1" t="shared" si="4"/>
        <v>0</v>
      </c>
      <c r="P14" s="475"/>
    </row>
    <row r="15" s="459" customFormat="1" customHeight="1" spans="1:16">
      <c r="A15" s="494" t="s">
        <v>173</v>
      </c>
      <c r="B15" s="495" t="s">
        <v>75</v>
      </c>
      <c r="C15" s="496">
        <f ca="1">OFFSET(分配表!C677,0,mth-1,1,1)</f>
        <v>0</v>
      </c>
      <c r="D15" s="497">
        <f ca="1" t="shared" si="0"/>
        <v>0</v>
      </c>
      <c r="E15" s="496">
        <f ca="1" t="shared" si="1"/>
        <v>0</v>
      </c>
      <c r="F15" s="498">
        <f ca="1">OFFSET(分配表!C658,0,mth-1,1,1)</f>
        <v>0</v>
      </c>
      <c r="G15" s="496">
        <f ca="1" t="shared" si="5"/>
        <v>0</v>
      </c>
      <c r="H15" s="499"/>
      <c r="I15" s="494" t="s">
        <v>173</v>
      </c>
      <c r="J15" s="495" t="s">
        <v>75</v>
      </c>
      <c r="K15" s="496">
        <f ca="1">分配表!O677</f>
        <v>0</v>
      </c>
      <c r="L15" s="497">
        <f ca="1" t="shared" si="2"/>
        <v>0</v>
      </c>
      <c r="M15" s="496">
        <f ca="1" t="shared" si="3"/>
        <v>0</v>
      </c>
      <c r="N15" s="500">
        <f ca="1">分配表!O658</f>
        <v>0</v>
      </c>
      <c r="O15" s="496">
        <f ca="1" t="shared" si="4"/>
        <v>0</v>
      </c>
      <c r="P15" s="475"/>
    </row>
    <row r="16" s="459" customFormat="1" customHeight="1" spans="1:16">
      <c r="A16" s="494" t="s">
        <v>174</v>
      </c>
      <c r="B16" s="495" t="s">
        <v>75</v>
      </c>
      <c r="C16" s="496">
        <f ca="1">OFFSET(分配表!C678,0,mth-1,1,1)</f>
        <v>0</v>
      </c>
      <c r="D16" s="497">
        <f ca="1" t="shared" si="0"/>
        <v>0</v>
      </c>
      <c r="E16" s="496">
        <f ca="1" t="shared" si="1"/>
        <v>0</v>
      </c>
      <c r="F16" s="498">
        <f ca="1">OFFSET(分配表!C659,0,mth-1,1,1)</f>
        <v>0</v>
      </c>
      <c r="G16" s="496">
        <f ca="1" t="shared" si="5"/>
        <v>0</v>
      </c>
      <c r="H16" s="499"/>
      <c r="I16" s="494" t="s">
        <v>174</v>
      </c>
      <c r="J16" s="495" t="s">
        <v>75</v>
      </c>
      <c r="K16" s="496">
        <f ca="1">分配表!O678</f>
        <v>0</v>
      </c>
      <c r="L16" s="497">
        <f ca="1" t="shared" si="2"/>
        <v>0</v>
      </c>
      <c r="M16" s="496">
        <f ca="1" t="shared" si="3"/>
        <v>0</v>
      </c>
      <c r="N16" s="500">
        <f ca="1">分配表!O659</f>
        <v>0</v>
      </c>
      <c r="O16" s="496">
        <f ca="1" t="shared" si="4"/>
        <v>0</v>
      </c>
      <c r="P16" s="475"/>
    </row>
    <row r="17" s="459" customFormat="1" customHeight="1" spans="1:16">
      <c r="A17" s="494" t="s">
        <v>175</v>
      </c>
      <c r="B17" s="495" t="s">
        <v>75</v>
      </c>
      <c r="C17" s="496">
        <f ca="1">OFFSET(分配表!C679,0,mth-1,1,1)</f>
        <v>0</v>
      </c>
      <c r="D17" s="497">
        <f ca="1" t="shared" si="0"/>
        <v>0</v>
      </c>
      <c r="E17" s="496">
        <f ca="1" t="shared" si="1"/>
        <v>0</v>
      </c>
      <c r="F17" s="498">
        <f ca="1">OFFSET(分配表!C660,0,mth-1,1,1)</f>
        <v>0</v>
      </c>
      <c r="G17" s="496">
        <f ca="1" t="shared" si="5"/>
        <v>0</v>
      </c>
      <c r="H17" s="499"/>
      <c r="I17" s="494" t="s">
        <v>175</v>
      </c>
      <c r="J17" s="495" t="s">
        <v>75</v>
      </c>
      <c r="K17" s="496">
        <f ca="1">分配表!O679</f>
        <v>2438.92707253886</v>
      </c>
      <c r="L17" s="497">
        <f ca="1" t="shared" si="2"/>
        <v>0.0185622981770851</v>
      </c>
      <c r="M17" s="496">
        <f ca="1" t="shared" si="3"/>
        <v>45.2720915526316</v>
      </c>
      <c r="N17" s="500">
        <f ca="1">分配表!O660</f>
        <v>7.72</v>
      </c>
      <c r="O17" s="496">
        <f ca="1" t="shared" si="4"/>
        <v>18828.517</v>
      </c>
      <c r="P17" s="475"/>
    </row>
    <row r="18" s="459" customFormat="1" customHeight="1" spans="1:16">
      <c r="A18" s="494" t="s">
        <v>176</v>
      </c>
      <c r="B18" s="495" t="s">
        <v>75</v>
      </c>
      <c r="C18" s="496">
        <f ca="1">OFFSET(分配表!C680,0,mth-1,1,1)</f>
        <v>0</v>
      </c>
      <c r="D18" s="497">
        <f ca="1" t="shared" si="0"/>
        <v>0</v>
      </c>
      <c r="E18" s="496">
        <f ca="1" t="shared" si="1"/>
        <v>0</v>
      </c>
      <c r="F18" s="498">
        <f ca="1">OFFSET(分配表!C661,0,mth-1,1,1)</f>
        <v>0</v>
      </c>
      <c r="G18" s="496">
        <f ca="1" t="shared" si="5"/>
        <v>0</v>
      </c>
      <c r="H18" s="499"/>
      <c r="I18" s="494" t="s">
        <v>176</v>
      </c>
      <c r="J18" s="495" t="s">
        <v>75</v>
      </c>
      <c r="K18" s="496">
        <f ca="1">分配表!O680</f>
        <v>6033.28</v>
      </c>
      <c r="L18" s="497">
        <f ca="1" t="shared" si="2"/>
        <v>0.00288533132286297</v>
      </c>
      <c r="M18" s="496">
        <f ca="1" t="shared" si="3"/>
        <v>17.4080117636027</v>
      </c>
      <c r="N18" s="500">
        <f ca="1">分配表!O661</f>
        <v>1.2</v>
      </c>
      <c r="O18" s="496">
        <f ca="1" t="shared" si="4"/>
        <v>7239.936</v>
      </c>
      <c r="P18" s="475"/>
    </row>
    <row r="19" s="459" customFormat="1" customHeight="1" spans="1:16">
      <c r="A19" s="494" t="s">
        <v>177</v>
      </c>
      <c r="B19" s="495"/>
      <c r="C19" s="496"/>
      <c r="D19" s="497"/>
      <c r="E19" s="496" t="e">
        <f ca="1">G19/F3</f>
        <v>#DIV/0!</v>
      </c>
      <c r="F19" s="498"/>
      <c r="G19" s="496">
        <f ca="1">OFFSET('调+风灌装损耗'!B3,0,mth-1,1,1)</f>
        <v>0</v>
      </c>
      <c r="H19" s="499"/>
      <c r="I19" s="494" t="s">
        <v>177</v>
      </c>
      <c r="J19" s="495"/>
      <c r="K19" s="496"/>
      <c r="L19" s="497"/>
      <c r="M19" s="496">
        <f ca="1">O19/N3</f>
        <v>43.3992792970219</v>
      </c>
      <c r="N19" s="500"/>
      <c r="O19" s="496">
        <f ca="1">'调+风灌装损耗'!N3</f>
        <v>18049.6204175092</v>
      </c>
      <c r="P19" s="475"/>
    </row>
    <row r="20" s="459" customFormat="1" customHeight="1" spans="1:16">
      <c r="A20" s="489" t="s">
        <v>92</v>
      </c>
      <c r="B20" s="490"/>
      <c r="C20" s="501"/>
      <c r="D20" s="492"/>
      <c r="E20" s="491">
        <f ca="1">IF(VALUE($F$3)=0,0,G20/$F$3)</f>
        <v>0</v>
      </c>
      <c r="F20" s="491"/>
      <c r="G20" s="491">
        <f ca="1">OFFSET(分配表!C993,0,mth-1)</f>
        <v>0</v>
      </c>
      <c r="I20" s="489" t="s">
        <v>92</v>
      </c>
      <c r="J20" s="490"/>
      <c r="K20" s="501"/>
      <c r="L20" s="492"/>
      <c r="M20" s="491">
        <f ca="1">IF($N$3=0,0,O20/$N$3)</f>
        <v>4765.63853317237</v>
      </c>
      <c r="N20" s="491"/>
      <c r="O20" s="491">
        <f ca="1">分配表!O993</f>
        <v>1982013.71</v>
      </c>
      <c r="P20" s="475"/>
    </row>
    <row r="21" s="459" customFormat="1" customHeight="1" spans="1:16">
      <c r="A21" s="502" t="s">
        <v>178</v>
      </c>
      <c r="B21" s="503"/>
      <c r="C21" s="504">
        <f ca="1">OFFSET(分配表!C818,0,mth-1,1,1)</f>
        <v>0</v>
      </c>
      <c r="D21" s="505">
        <f ca="1">IF(VALUE($F$3)=0,0,F21/$F$3)</f>
        <v>0</v>
      </c>
      <c r="E21" s="506">
        <f ca="1">C21*D21</f>
        <v>0</v>
      </c>
      <c r="F21" s="507">
        <f ca="1">OFFSET(分配表!C747,0,mth-1,1,1)</f>
        <v>0</v>
      </c>
      <c r="G21" s="496">
        <f ca="1">E21*$F$3</f>
        <v>0</v>
      </c>
      <c r="I21" s="502" t="s">
        <v>178</v>
      </c>
      <c r="J21" s="503"/>
      <c r="K21" s="505">
        <f ca="1">分配表!O818</f>
        <v>0</v>
      </c>
      <c r="L21" s="505">
        <f ca="1">IF($N$3=0,0,N21/$N$3)</f>
        <v>0</v>
      </c>
      <c r="M21" s="506">
        <f ca="1">K21*L21</f>
        <v>0</v>
      </c>
      <c r="N21" s="507">
        <f ca="1">分配表!O747</f>
        <v>0</v>
      </c>
      <c r="O21" s="496">
        <f ca="1">K21*N21</f>
        <v>0</v>
      </c>
      <c r="P21" s="475"/>
    </row>
    <row r="22" s="459" customFormat="1" customHeight="1" spans="1:16">
      <c r="A22" s="502" t="s">
        <v>179</v>
      </c>
      <c r="B22" s="503"/>
      <c r="C22" s="504">
        <f ca="1">OFFSET(分配表!C819,0,mth-1,1,1)</f>
        <v>0</v>
      </c>
      <c r="D22" s="505">
        <f ca="1" t="shared" ref="D22:D43" si="6">IF(VALUE($F$3)=0,0,F22/$F$3)</f>
        <v>0</v>
      </c>
      <c r="E22" s="506">
        <f ca="1" t="shared" ref="E22:E43" si="7">C22*D22</f>
        <v>0</v>
      </c>
      <c r="F22" s="507">
        <f ca="1">OFFSET(分配表!C748,0,mth-1,1,1)</f>
        <v>0</v>
      </c>
      <c r="G22" s="496">
        <f ca="1">E22*$F$3</f>
        <v>0</v>
      </c>
      <c r="I22" s="502" t="s">
        <v>179</v>
      </c>
      <c r="J22" s="503"/>
      <c r="K22" s="505">
        <f ca="1">分配表!O819</f>
        <v>0</v>
      </c>
      <c r="L22" s="505">
        <f ca="1" t="shared" ref="L22:L43" si="8">IF($N$3=0,0,N22/$N$3)</f>
        <v>0</v>
      </c>
      <c r="M22" s="506">
        <f ca="1" t="shared" ref="M22:M43" si="9">K22*L22</f>
        <v>0</v>
      </c>
      <c r="N22" s="507">
        <f ca="1">分配表!O748</f>
        <v>0</v>
      </c>
      <c r="O22" s="496">
        <f ca="1" t="shared" ref="O22:O43" si="10">K22*N22</f>
        <v>0</v>
      </c>
      <c r="P22" s="475"/>
    </row>
    <row r="23" s="459" customFormat="1" customHeight="1" spans="1:16">
      <c r="A23" s="502" t="s">
        <v>180</v>
      </c>
      <c r="B23" s="503"/>
      <c r="C23" s="504">
        <f ca="1">OFFSET(分配表!C820,0,mth-1,1,1)</f>
        <v>0</v>
      </c>
      <c r="D23" s="505">
        <f ca="1" t="shared" si="6"/>
        <v>0</v>
      </c>
      <c r="E23" s="506">
        <f ca="1" t="shared" si="7"/>
        <v>0</v>
      </c>
      <c r="F23" s="507">
        <f ca="1">OFFSET(分配表!C749,0,mth-1,1,1)</f>
        <v>0</v>
      </c>
      <c r="G23" s="496">
        <f ca="1" t="shared" ref="G23:G43" si="11">E23*$F$3</f>
        <v>0</v>
      </c>
      <c r="I23" s="502" t="s">
        <v>180</v>
      </c>
      <c r="J23" s="503"/>
      <c r="K23" s="505">
        <f ca="1">分配表!O820</f>
        <v>0</v>
      </c>
      <c r="L23" s="505">
        <f ca="1" t="shared" si="8"/>
        <v>0</v>
      </c>
      <c r="M23" s="506">
        <f ca="1" t="shared" si="9"/>
        <v>0</v>
      </c>
      <c r="N23" s="507">
        <f ca="1">分配表!O749</f>
        <v>0</v>
      </c>
      <c r="O23" s="496">
        <f ca="1" t="shared" si="10"/>
        <v>0</v>
      </c>
      <c r="P23" s="475"/>
    </row>
    <row r="24" s="459" customFormat="1" customHeight="1" spans="1:16">
      <c r="A24" s="502" t="s">
        <v>181</v>
      </c>
      <c r="B24" s="503"/>
      <c r="C24" s="504">
        <f ca="1">OFFSET(分配表!C821,0,mth-1,1,1)</f>
        <v>0</v>
      </c>
      <c r="D24" s="505">
        <f ca="1" t="shared" si="6"/>
        <v>0</v>
      </c>
      <c r="E24" s="506">
        <f ca="1" t="shared" si="7"/>
        <v>0</v>
      </c>
      <c r="F24" s="507">
        <f ca="1">OFFSET(分配表!C750,0,mth-1,1,1)</f>
        <v>0</v>
      </c>
      <c r="G24" s="496">
        <f ca="1" t="shared" si="11"/>
        <v>0</v>
      </c>
      <c r="I24" s="502" t="s">
        <v>181</v>
      </c>
      <c r="J24" s="503"/>
      <c r="K24" s="505">
        <f ca="1">分配表!O821</f>
        <v>0</v>
      </c>
      <c r="L24" s="505">
        <f ca="1" t="shared" si="8"/>
        <v>0</v>
      </c>
      <c r="M24" s="506">
        <f ca="1" t="shared" si="9"/>
        <v>0</v>
      </c>
      <c r="N24" s="507">
        <f ca="1">分配表!O750</f>
        <v>0</v>
      </c>
      <c r="O24" s="496">
        <f ca="1" t="shared" si="10"/>
        <v>0</v>
      </c>
      <c r="P24" s="475"/>
    </row>
    <row r="25" s="459" customFormat="1" customHeight="1" spans="1:16">
      <c r="A25" s="502" t="s">
        <v>182</v>
      </c>
      <c r="B25" s="503"/>
      <c r="C25" s="504">
        <f ca="1">OFFSET(分配表!C822,0,mth-1,1,1)</f>
        <v>0</v>
      </c>
      <c r="D25" s="505">
        <f ca="1" t="shared" si="6"/>
        <v>0</v>
      </c>
      <c r="E25" s="506">
        <f ca="1" t="shared" si="7"/>
        <v>0</v>
      </c>
      <c r="F25" s="507">
        <f ca="1">OFFSET(分配表!C751,0,mth-1,1,1)</f>
        <v>0</v>
      </c>
      <c r="G25" s="496">
        <f ca="1" t="shared" si="11"/>
        <v>0</v>
      </c>
      <c r="I25" s="502" t="s">
        <v>182</v>
      </c>
      <c r="J25" s="503"/>
      <c r="K25" s="505">
        <f ca="1">分配表!O822</f>
        <v>6.06246806590941</v>
      </c>
      <c r="L25" s="505">
        <f ca="1" t="shared" si="8"/>
        <v>430.267089243031</v>
      </c>
      <c r="M25" s="506">
        <f ca="1" t="shared" si="9"/>
        <v>2608.48048834767</v>
      </c>
      <c r="N25" s="507">
        <f ca="1">分配表!O751</f>
        <v>178946.696</v>
      </c>
      <c r="O25" s="496">
        <f ca="1" t="shared" si="10"/>
        <v>1084858.63</v>
      </c>
      <c r="P25" s="475"/>
    </row>
    <row r="26" s="459" customFormat="1" customHeight="1" spans="1:16">
      <c r="A26" s="502" t="s">
        <v>183</v>
      </c>
      <c r="B26" s="503"/>
      <c r="C26" s="504">
        <f ca="1">OFFSET(分配表!C823,0,mth-1,1,1)</f>
        <v>0</v>
      </c>
      <c r="D26" s="505">
        <f ca="1" t="shared" si="6"/>
        <v>0</v>
      </c>
      <c r="E26" s="506">
        <f ca="1" t="shared" si="7"/>
        <v>0</v>
      </c>
      <c r="F26" s="507">
        <f ca="1">OFFSET(分配表!C752,0,mth-1,1,1)</f>
        <v>0</v>
      </c>
      <c r="G26" s="496">
        <f ca="1" t="shared" si="11"/>
        <v>0</v>
      </c>
      <c r="I26" s="502" t="s">
        <v>183</v>
      </c>
      <c r="J26" s="503"/>
      <c r="K26" s="505">
        <f ca="1">分配表!O823</f>
        <v>0</v>
      </c>
      <c r="L26" s="505">
        <f ca="1" t="shared" si="8"/>
        <v>0</v>
      </c>
      <c r="M26" s="506">
        <f ca="1" t="shared" si="9"/>
        <v>0</v>
      </c>
      <c r="N26" s="507">
        <f ca="1">分配表!O752</f>
        <v>0</v>
      </c>
      <c r="O26" s="496">
        <f ca="1" t="shared" si="10"/>
        <v>0</v>
      </c>
      <c r="P26" s="475"/>
    </row>
    <row r="27" s="459" customFormat="1" customHeight="1" spans="1:16">
      <c r="A27" s="502" t="s">
        <v>184</v>
      </c>
      <c r="B27" s="503"/>
      <c r="C27" s="504">
        <f ca="1">OFFSET(分配表!C824,0,mth-1,1,1)</f>
        <v>0</v>
      </c>
      <c r="D27" s="505">
        <f ca="1" t="shared" si="6"/>
        <v>0</v>
      </c>
      <c r="E27" s="506">
        <f ca="1" t="shared" si="7"/>
        <v>0</v>
      </c>
      <c r="F27" s="507">
        <f ca="1">OFFSET(分配表!C753,0,mth-1,1,1)</f>
        <v>0</v>
      </c>
      <c r="G27" s="496">
        <f ca="1" t="shared" si="11"/>
        <v>0</v>
      </c>
      <c r="I27" s="502" t="s">
        <v>184</v>
      </c>
      <c r="J27" s="503"/>
      <c r="K27" s="505">
        <f ca="1">分配表!O824</f>
        <v>0</v>
      </c>
      <c r="L27" s="505">
        <f ca="1" t="shared" si="8"/>
        <v>0</v>
      </c>
      <c r="M27" s="506">
        <f ca="1" t="shared" si="9"/>
        <v>0</v>
      </c>
      <c r="N27" s="507">
        <f ca="1">分配表!O753</f>
        <v>0</v>
      </c>
      <c r="O27" s="496">
        <f ca="1" t="shared" si="10"/>
        <v>0</v>
      </c>
      <c r="P27" s="475"/>
    </row>
    <row r="28" s="459" customFormat="1" customHeight="1" spans="1:16">
      <c r="A28" s="502" t="s">
        <v>185</v>
      </c>
      <c r="B28" s="503"/>
      <c r="C28" s="504">
        <f ca="1">OFFSET(分配表!C825,0,mth-1,1,1)</f>
        <v>0</v>
      </c>
      <c r="D28" s="505">
        <f ca="1" t="shared" si="6"/>
        <v>0</v>
      </c>
      <c r="E28" s="506">
        <f ca="1" t="shared" si="7"/>
        <v>0</v>
      </c>
      <c r="F28" s="507">
        <f ca="1">OFFSET(分配表!C754,0,mth-1,1,1)</f>
        <v>0</v>
      </c>
      <c r="G28" s="496">
        <f ca="1" t="shared" si="11"/>
        <v>0</v>
      </c>
      <c r="I28" s="502" t="s">
        <v>185</v>
      </c>
      <c r="J28" s="503"/>
      <c r="K28" s="505">
        <f ca="1">分配表!O825</f>
        <v>7.96392646548734</v>
      </c>
      <c r="L28" s="505">
        <f ca="1" t="shared" si="8"/>
        <v>0.00693200850317828</v>
      </c>
      <c r="M28" s="506">
        <f ca="1" t="shared" si="9"/>
        <v>0.0552060059774448</v>
      </c>
      <c r="N28" s="507">
        <f ca="1">分配表!O754</f>
        <v>2.883</v>
      </c>
      <c r="O28" s="496">
        <f ca="1" t="shared" si="10"/>
        <v>22.96</v>
      </c>
      <c r="P28" s="475"/>
    </row>
    <row r="29" s="459" customFormat="1" customHeight="1" spans="1:16">
      <c r="A29" s="502" t="s">
        <v>186</v>
      </c>
      <c r="B29" s="503"/>
      <c r="C29" s="504">
        <f ca="1">OFFSET(分配表!C826,0,mth-1,1,1)</f>
        <v>0</v>
      </c>
      <c r="D29" s="505">
        <f ca="1" t="shared" si="6"/>
        <v>0</v>
      </c>
      <c r="E29" s="506">
        <f ca="1" t="shared" si="7"/>
        <v>0</v>
      </c>
      <c r="F29" s="507">
        <f ca="1">OFFSET(分配表!C755,0,mth-1,1,1)</f>
        <v>0</v>
      </c>
      <c r="G29" s="496">
        <f ca="1" t="shared" si="11"/>
        <v>0</v>
      </c>
      <c r="I29" s="502" t="s">
        <v>186</v>
      </c>
      <c r="J29" s="503"/>
      <c r="K29" s="505">
        <f ca="1">分配表!O826</f>
        <v>19.0265941932918</v>
      </c>
      <c r="L29" s="505">
        <f ca="1" t="shared" si="8"/>
        <v>0.45341779517407</v>
      </c>
      <c r="M29" s="506">
        <f ca="1" t="shared" si="9"/>
        <v>8.62699638879413</v>
      </c>
      <c r="N29" s="507">
        <f ca="1">分配表!O755</f>
        <v>188.575</v>
      </c>
      <c r="O29" s="496">
        <f ca="1" t="shared" si="10"/>
        <v>3587.94</v>
      </c>
      <c r="P29" s="475"/>
    </row>
    <row r="30" s="459" customFormat="1" customHeight="1" spans="1:16">
      <c r="A30" s="502" t="s">
        <v>187</v>
      </c>
      <c r="B30" s="503"/>
      <c r="C30" s="504">
        <f ca="1">OFFSET(分配表!C827,0,mth-1,1,1)</f>
        <v>0</v>
      </c>
      <c r="D30" s="505">
        <f ca="1" t="shared" si="6"/>
        <v>0</v>
      </c>
      <c r="E30" s="506">
        <f ca="1" t="shared" si="7"/>
        <v>0</v>
      </c>
      <c r="F30" s="507">
        <f ca="1">OFFSET(分配表!C756,0,mth-1,1,1)</f>
        <v>0</v>
      </c>
      <c r="G30" s="496">
        <f ca="1" t="shared" si="11"/>
        <v>0</v>
      </c>
      <c r="I30" s="502" t="s">
        <v>187</v>
      </c>
      <c r="J30" s="503"/>
      <c r="K30" s="505">
        <f ca="1">分配表!O827</f>
        <v>309.735185185185</v>
      </c>
      <c r="L30" s="505">
        <f ca="1" t="shared" si="8"/>
        <v>0.0259679819057667</v>
      </c>
      <c r="M30" s="506">
        <f ca="1" t="shared" si="9"/>
        <v>8.04319768446819</v>
      </c>
      <c r="N30" s="507">
        <f ca="1">分配表!O756</f>
        <v>10.8</v>
      </c>
      <c r="O30" s="496">
        <f ca="1" t="shared" si="10"/>
        <v>3345.14</v>
      </c>
      <c r="P30" s="475"/>
    </row>
    <row r="31" s="459" customFormat="1" customHeight="1" spans="1:16">
      <c r="A31" s="502" t="s">
        <v>188</v>
      </c>
      <c r="B31" s="503"/>
      <c r="C31" s="504">
        <f ca="1">OFFSET(分配表!C828,0,mth-1,1,1)</f>
        <v>0</v>
      </c>
      <c r="D31" s="505">
        <f ca="1" t="shared" si="6"/>
        <v>0</v>
      </c>
      <c r="E31" s="506">
        <f ca="1" t="shared" si="7"/>
        <v>0</v>
      </c>
      <c r="F31" s="507">
        <f ca="1">OFFSET(分配表!C757,0,mth-1,1,1)</f>
        <v>0</v>
      </c>
      <c r="G31" s="496">
        <f ca="1" t="shared" si="11"/>
        <v>0</v>
      </c>
      <c r="I31" s="502" t="s">
        <v>188</v>
      </c>
      <c r="J31" s="503"/>
      <c r="K31" s="505">
        <f ca="1">分配表!O828</f>
        <v>0</v>
      </c>
      <c r="L31" s="505">
        <f ca="1" t="shared" si="8"/>
        <v>0</v>
      </c>
      <c r="M31" s="506">
        <f ca="1" t="shared" si="9"/>
        <v>0</v>
      </c>
      <c r="N31" s="507">
        <f ca="1">分配表!O757</f>
        <v>0</v>
      </c>
      <c r="O31" s="496">
        <f ca="1" t="shared" si="10"/>
        <v>0</v>
      </c>
      <c r="P31" s="475"/>
    </row>
    <row r="32" s="459" customFormat="1" customHeight="1" spans="1:16">
      <c r="A32" s="502" t="s">
        <v>189</v>
      </c>
      <c r="B32" s="503"/>
      <c r="C32" s="504">
        <f ca="1">OFFSET(分配表!C829,0,mth-1,1,1)</f>
        <v>0</v>
      </c>
      <c r="D32" s="505">
        <f ca="1" t="shared" si="6"/>
        <v>0</v>
      </c>
      <c r="E32" s="506">
        <f ca="1" t="shared" si="7"/>
        <v>0</v>
      </c>
      <c r="F32" s="507">
        <f ca="1">OFFSET(分配表!C758,0,mth-1,1,1)</f>
        <v>0</v>
      </c>
      <c r="G32" s="496">
        <f ca="1" t="shared" si="11"/>
        <v>0</v>
      </c>
      <c r="I32" s="502" t="s">
        <v>189</v>
      </c>
      <c r="J32" s="503"/>
      <c r="K32" s="505">
        <f ca="1">分配表!O829</f>
        <v>0</v>
      </c>
      <c r="L32" s="505">
        <f ca="1" t="shared" si="8"/>
        <v>0</v>
      </c>
      <c r="M32" s="506">
        <f ca="1" t="shared" si="9"/>
        <v>0</v>
      </c>
      <c r="N32" s="507">
        <f ca="1">分配表!O758</f>
        <v>0</v>
      </c>
      <c r="O32" s="496">
        <f ca="1" t="shared" si="10"/>
        <v>0</v>
      </c>
      <c r="P32" s="475"/>
    </row>
    <row r="33" s="459" customFormat="1" customHeight="1" spans="1:16">
      <c r="A33" s="502" t="s">
        <v>190</v>
      </c>
      <c r="B33" s="503"/>
      <c r="C33" s="504">
        <f ca="1">OFFSET(分配表!C830,0,mth-1,1,1)</f>
        <v>0</v>
      </c>
      <c r="D33" s="505">
        <f ca="1" t="shared" si="6"/>
        <v>0</v>
      </c>
      <c r="E33" s="506">
        <f ca="1" t="shared" si="7"/>
        <v>0</v>
      </c>
      <c r="F33" s="507">
        <f ca="1">OFFSET(分配表!C759,0,mth-1,1,1)</f>
        <v>0</v>
      </c>
      <c r="G33" s="496">
        <f ca="1" t="shared" si="11"/>
        <v>0</v>
      </c>
      <c r="I33" s="502" t="s">
        <v>190</v>
      </c>
      <c r="J33" s="503"/>
      <c r="K33" s="505">
        <f ca="1">分配表!O830</f>
        <v>0</v>
      </c>
      <c r="L33" s="505">
        <f ca="1" t="shared" si="8"/>
        <v>0</v>
      </c>
      <c r="M33" s="506">
        <f ca="1" t="shared" si="9"/>
        <v>0</v>
      </c>
      <c r="N33" s="507">
        <f ca="1">分配表!O759</f>
        <v>0</v>
      </c>
      <c r="O33" s="496">
        <f ca="1" t="shared" si="10"/>
        <v>0</v>
      </c>
      <c r="P33" s="475"/>
    </row>
    <row r="34" s="459" customFormat="1" customHeight="1" spans="1:16">
      <c r="A34" s="502" t="s">
        <v>191</v>
      </c>
      <c r="B34" s="503"/>
      <c r="C34" s="504">
        <f ca="1">OFFSET(分配表!C831,0,mth-1,1,1)</f>
        <v>0</v>
      </c>
      <c r="D34" s="505">
        <f ca="1" t="shared" si="6"/>
        <v>0</v>
      </c>
      <c r="E34" s="506">
        <f ca="1" t="shared" si="7"/>
        <v>0</v>
      </c>
      <c r="F34" s="507">
        <f ca="1">OFFSET(分配表!C760,0,mth-1,1,1)</f>
        <v>0</v>
      </c>
      <c r="G34" s="496">
        <f ca="1" t="shared" si="11"/>
        <v>0</v>
      </c>
      <c r="I34" s="502" t="s">
        <v>191</v>
      </c>
      <c r="J34" s="503"/>
      <c r="K34" s="505">
        <f ca="1">分配表!O831</f>
        <v>6487.36182683432</v>
      </c>
      <c r="L34" s="505">
        <f ca="1" t="shared" si="8"/>
        <v>0.268290128613644</v>
      </c>
      <c r="M34" s="506">
        <f ca="1" t="shared" si="9"/>
        <v>1740.49513888462</v>
      </c>
      <c r="N34" s="507">
        <f ca="1">分配表!O760</f>
        <v>111.581</v>
      </c>
      <c r="O34" s="496">
        <f ca="1" t="shared" si="10"/>
        <v>723866.32</v>
      </c>
      <c r="P34" s="475"/>
    </row>
    <row r="35" s="459" customFormat="1" customHeight="1" spans="1:16">
      <c r="A35" s="502" t="s">
        <v>192</v>
      </c>
      <c r="B35" s="503"/>
      <c r="C35" s="504">
        <f ca="1">OFFSET(分配表!C832,0,mth-1,1,1)</f>
        <v>0</v>
      </c>
      <c r="D35" s="505">
        <f ca="1" t="shared" si="6"/>
        <v>0</v>
      </c>
      <c r="E35" s="506">
        <f ca="1" t="shared" si="7"/>
        <v>0</v>
      </c>
      <c r="F35" s="507">
        <f ca="1">OFFSET(分配表!C761,0,mth-1,1,1)</f>
        <v>0</v>
      </c>
      <c r="G35" s="496">
        <f ca="1" t="shared" si="11"/>
        <v>0</v>
      </c>
      <c r="I35" s="502" t="s">
        <v>192</v>
      </c>
      <c r="J35" s="503"/>
      <c r="K35" s="505">
        <f ca="1">分配表!O832</f>
        <v>0</v>
      </c>
      <c r="L35" s="505">
        <f ca="1" t="shared" si="8"/>
        <v>0</v>
      </c>
      <c r="M35" s="506">
        <f ca="1" t="shared" si="9"/>
        <v>0</v>
      </c>
      <c r="N35" s="507">
        <f ca="1">分配表!O761</f>
        <v>0</v>
      </c>
      <c r="O35" s="496">
        <f ca="1" t="shared" si="10"/>
        <v>0</v>
      </c>
      <c r="P35" s="475"/>
    </row>
    <row r="36" s="459" customFormat="1" customHeight="1" spans="1:16">
      <c r="A36" s="502" t="s">
        <v>193</v>
      </c>
      <c r="B36" s="503"/>
      <c r="C36" s="504">
        <f ca="1">OFFSET(分配表!C833,0,mth-1,1,1)</f>
        <v>0</v>
      </c>
      <c r="D36" s="505">
        <f ca="1" t="shared" si="6"/>
        <v>0</v>
      </c>
      <c r="E36" s="506">
        <f ca="1" t="shared" si="7"/>
        <v>0</v>
      </c>
      <c r="F36" s="507">
        <f ca="1">OFFSET(分配表!C762,0,mth-1,1,1)</f>
        <v>0</v>
      </c>
      <c r="G36" s="496">
        <f ca="1" t="shared" si="11"/>
        <v>0</v>
      </c>
      <c r="I36" s="502" t="s">
        <v>193</v>
      </c>
      <c r="J36" s="503"/>
      <c r="K36" s="505">
        <f ca="1">分配表!O833</f>
        <v>0</v>
      </c>
      <c r="L36" s="505">
        <f ca="1" t="shared" si="8"/>
        <v>0</v>
      </c>
      <c r="M36" s="506">
        <f ca="1" t="shared" si="9"/>
        <v>0</v>
      </c>
      <c r="N36" s="507">
        <f ca="1">分配表!O762</f>
        <v>0</v>
      </c>
      <c r="O36" s="496">
        <f ca="1" t="shared" si="10"/>
        <v>0</v>
      </c>
      <c r="P36" s="475"/>
    </row>
    <row r="37" s="459" customFormat="1" customHeight="1" spans="1:16">
      <c r="A37" s="502" t="s">
        <v>194</v>
      </c>
      <c r="B37" s="503"/>
      <c r="C37" s="504">
        <f ca="1">OFFSET(分配表!C834,0,mth-1,1,1)</f>
        <v>0</v>
      </c>
      <c r="D37" s="505">
        <f ca="1" t="shared" si="6"/>
        <v>0</v>
      </c>
      <c r="E37" s="506">
        <f ca="1" t="shared" si="7"/>
        <v>0</v>
      </c>
      <c r="F37" s="507">
        <f ca="1">OFFSET(分配表!C763,0,mth-1,1,1)</f>
        <v>0</v>
      </c>
      <c r="G37" s="496">
        <f ca="1" t="shared" si="11"/>
        <v>0</v>
      </c>
      <c r="I37" s="502" t="s">
        <v>194</v>
      </c>
      <c r="J37" s="503"/>
      <c r="K37" s="505">
        <f ca="1">分配表!O834</f>
        <v>0</v>
      </c>
      <c r="L37" s="505">
        <f ca="1" t="shared" si="8"/>
        <v>0</v>
      </c>
      <c r="M37" s="506">
        <f ca="1" t="shared" si="9"/>
        <v>0</v>
      </c>
      <c r="N37" s="507">
        <f ca="1">分配表!O763</f>
        <v>0</v>
      </c>
      <c r="O37" s="496">
        <f ca="1" t="shared" si="10"/>
        <v>0</v>
      </c>
      <c r="P37" s="475"/>
    </row>
    <row r="38" s="459" customFormat="1" customHeight="1" spans="1:16">
      <c r="A38" s="502" t="s">
        <v>195</v>
      </c>
      <c r="B38" s="503"/>
      <c r="C38" s="504">
        <f ca="1">OFFSET(分配表!C835,0,mth-1,1,1)</f>
        <v>0</v>
      </c>
      <c r="D38" s="505">
        <f ca="1" t="shared" si="6"/>
        <v>0</v>
      </c>
      <c r="E38" s="506">
        <f ca="1" t="shared" si="7"/>
        <v>0</v>
      </c>
      <c r="F38" s="507">
        <f ca="1">OFFSET(分配表!C764,0,mth-1,1,1)</f>
        <v>0</v>
      </c>
      <c r="G38" s="496">
        <f ca="1" t="shared" si="11"/>
        <v>0</v>
      </c>
      <c r="I38" s="502" t="s">
        <v>195</v>
      </c>
      <c r="J38" s="503"/>
      <c r="K38" s="505">
        <f ca="1">分配表!O835</f>
        <v>0</v>
      </c>
      <c r="L38" s="505">
        <f ca="1" t="shared" si="8"/>
        <v>0</v>
      </c>
      <c r="M38" s="506">
        <f ca="1" t="shared" si="9"/>
        <v>0</v>
      </c>
      <c r="N38" s="507">
        <f ca="1">分配表!O764</f>
        <v>0</v>
      </c>
      <c r="O38" s="496">
        <f ca="1" t="shared" si="10"/>
        <v>0</v>
      </c>
      <c r="P38" s="475"/>
    </row>
    <row r="39" s="459" customFormat="1" customHeight="1" spans="1:16">
      <c r="A39" s="502" t="s">
        <v>196</v>
      </c>
      <c r="B39" s="503"/>
      <c r="C39" s="504">
        <f ca="1">OFFSET(分配表!C836,0,mth-1,1,1)</f>
        <v>0</v>
      </c>
      <c r="D39" s="505">
        <f ca="1" t="shared" si="6"/>
        <v>0</v>
      </c>
      <c r="E39" s="506">
        <f ca="1" t="shared" si="7"/>
        <v>0</v>
      </c>
      <c r="F39" s="507">
        <f ca="1">OFFSET(分配表!C765,0,mth-1,1,1)</f>
        <v>0</v>
      </c>
      <c r="G39" s="496">
        <f ca="1" t="shared" si="11"/>
        <v>0</v>
      </c>
      <c r="I39" s="502" t="s">
        <v>196</v>
      </c>
      <c r="J39" s="503"/>
      <c r="K39" s="505">
        <f ca="1">分配表!O836</f>
        <v>0</v>
      </c>
      <c r="L39" s="505">
        <f ca="1" t="shared" si="8"/>
        <v>0</v>
      </c>
      <c r="M39" s="506">
        <f ca="1" t="shared" si="9"/>
        <v>0</v>
      </c>
      <c r="N39" s="507">
        <f ca="1">分配表!O765</f>
        <v>0</v>
      </c>
      <c r="O39" s="496">
        <f ca="1" t="shared" si="10"/>
        <v>0</v>
      </c>
      <c r="P39" s="475"/>
    </row>
    <row r="40" s="459" customFormat="1" customHeight="1" spans="1:16">
      <c r="A40" s="502" t="s">
        <v>197</v>
      </c>
      <c r="B40" s="503"/>
      <c r="C40" s="504">
        <f ca="1">OFFSET(分配表!C837,0,mth-1,1,1)</f>
        <v>0</v>
      </c>
      <c r="D40" s="505">
        <f ca="1" t="shared" si="6"/>
        <v>0</v>
      </c>
      <c r="E40" s="506">
        <f ca="1" t="shared" si="7"/>
        <v>0</v>
      </c>
      <c r="F40" s="507">
        <f ca="1">OFFSET(分配表!C766,0,mth-1,1,1)</f>
        <v>0</v>
      </c>
      <c r="G40" s="496">
        <f ca="1" t="shared" si="11"/>
        <v>0</v>
      </c>
      <c r="I40" s="502" t="s">
        <v>197</v>
      </c>
      <c r="J40" s="503"/>
      <c r="K40" s="505">
        <f ca="1">分配表!O837</f>
        <v>0</v>
      </c>
      <c r="L40" s="505">
        <f ca="1" t="shared" si="8"/>
        <v>0</v>
      </c>
      <c r="M40" s="506">
        <f ca="1" t="shared" si="9"/>
        <v>0</v>
      </c>
      <c r="N40" s="507">
        <f ca="1">分配表!O766</f>
        <v>0</v>
      </c>
      <c r="O40" s="496">
        <f ca="1" t="shared" si="10"/>
        <v>0</v>
      </c>
      <c r="P40" s="475"/>
    </row>
    <row r="41" s="459" customFormat="1" customHeight="1" spans="1:16">
      <c r="A41" s="502" t="s">
        <v>198</v>
      </c>
      <c r="B41" s="503"/>
      <c r="C41" s="504">
        <f ca="1">OFFSET(分配表!C838,0,mth-1,1,1)</f>
        <v>0</v>
      </c>
      <c r="D41" s="505">
        <f ca="1" t="shared" si="6"/>
        <v>0</v>
      </c>
      <c r="E41" s="506">
        <f ca="1" t="shared" si="7"/>
        <v>0</v>
      </c>
      <c r="F41" s="507">
        <f ca="1">OFFSET(分配表!C767,0,mth-1,1,1)</f>
        <v>0</v>
      </c>
      <c r="G41" s="496">
        <f ca="1" t="shared" si="11"/>
        <v>0</v>
      </c>
      <c r="I41" s="502" t="s">
        <v>198</v>
      </c>
      <c r="J41" s="503"/>
      <c r="K41" s="505">
        <f ca="1">分配表!O838</f>
        <v>22.8461909476303</v>
      </c>
      <c r="L41" s="505">
        <f ca="1" t="shared" si="8"/>
        <v>0.0947182140012841</v>
      </c>
      <c r="M41" s="506">
        <f ca="1" t="shared" si="9"/>
        <v>2.16395040329184</v>
      </c>
      <c r="N41" s="507">
        <f ca="1">分配表!O767</f>
        <v>39.393</v>
      </c>
      <c r="O41" s="496">
        <f ca="1" t="shared" si="10"/>
        <v>899.98</v>
      </c>
      <c r="P41" s="475"/>
    </row>
    <row r="42" s="459" customFormat="1" customHeight="1" spans="1:16">
      <c r="A42" s="502" t="s">
        <v>199</v>
      </c>
      <c r="B42" s="503"/>
      <c r="C42" s="504">
        <f ca="1">OFFSET(分配表!C839,0,mth-1,1,1)</f>
        <v>0</v>
      </c>
      <c r="D42" s="505">
        <f ca="1" t="shared" si="6"/>
        <v>0</v>
      </c>
      <c r="E42" s="506">
        <f ca="1" t="shared" si="7"/>
        <v>0</v>
      </c>
      <c r="F42" s="507">
        <f ca="1">OFFSET(分配表!C768,0,mth-1,1,1)</f>
        <v>0</v>
      </c>
      <c r="G42" s="496">
        <f ca="1" t="shared" si="11"/>
        <v>0</v>
      </c>
      <c r="I42" s="502" t="s">
        <v>199</v>
      </c>
      <c r="J42" s="503"/>
      <c r="K42" s="505">
        <f ca="1">分配表!O839</f>
        <v>0</v>
      </c>
      <c r="L42" s="505">
        <f ca="1" t="shared" si="8"/>
        <v>0</v>
      </c>
      <c r="M42" s="506">
        <f ca="1" t="shared" si="9"/>
        <v>0</v>
      </c>
      <c r="N42" s="507">
        <f ca="1">分配表!O768</f>
        <v>0</v>
      </c>
      <c r="O42" s="496">
        <f ca="1" t="shared" si="10"/>
        <v>0</v>
      </c>
      <c r="P42" s="475"/>
    </row>
    <row r="43" s="459" customFormat="1" customHeight="1" spans="1:16">
      <c r="A43" s="502" t="s">
        <v>200</v>
      </c>
      <c r="B43" s="503"/>
      <c r="C43" s="504">
        <f ca="1">OFFSET(分配表!C840,0,mth-1,1,1)</f>
        <v>0</v>
      </c>
      <c r="D43" s="505">
        <f ca="1" t="shared" si="6"/>
        <v>0</v>
      </c>
      <c r="E43" s="506">
        <f ca="1" t="shared" si="7"/>
        <v>0</v>
      </c>
      <c r="F43" s="507">
        <f ca="1">OFFSET(分配表!C769,0,mth-1,1,1)</f>
        <v>0</v>
      </c>
      <c r="G43" s="496">
        <f ca="1" t="shared" si="11"/>
        <v>0</v>
      </c>
      <c r="I43" s="502" t="s">
        <v>200</v>
      </c>
      <c r="J43" s="503"/>
      <c r="K43" s="505">
        <f ca="1">分配表!O840</f>
        <v>9.71552971576227</v>
      </c>
      <c r="L43" s="505">
        <f ca="1" t="shared" si="8"/>
        <v>29.7766192519458</v>
      </c>
      <c r="M43" s="506">
        <f ca="1" t="shared" si="9"/>
        <v>289.295629177219</v>
      </c>
      <c r="N43" s="507">
        <f ca="1">分配表!O769</f>
        <v>12384</v>
      </c>
      <c r="O43" s="496">
        <f ca="1" t="shared" si="10"/>
        <v>120317.12</v>
      </c>
      <c r="P43" s="475"/>
    </row>
    <row r="44" s="459" customFormat="1" customHeight="1" spans="1:16">
      <c r="A44" s="502" t="s">
        <v>201</v>
      </c>
      <c r="B44" s="503"/>
      <c r="C44" s="504">
        <f ca="1">OFFSET(分配表!C841,0,mth-1,1,1)</f>
        <v>0</v>
      </c>
      <c r="D44" s="505">
        <f ca="1" t="shared" ref="D44:D47" si="12">IF(VALUE($F$3)=0,0,F44/$F$3)</f>
        <v>0</v>
      </c>
      <c r="E44" s="506">
        <f ca="1" t="shared" ref="E44:E47" si="13">C44*D44</f>
        <v>0</v>
      </c>
      <c r="F44" s="507">
        <f ca="1">OFFSET(分配表!C770,0,mth-1,1,1)</f>
        <v>0</v>
      </c>
      <c r="G44" s="496">
        <f ca="1" t="shared" ref="G44:G47" si="14">E44*$F$3</f>
        <v>0</v>
      </c>
      <c r="I44" s="502" t="s">
        <v>201</v>
      </c>
      <c r="J44" s="503"/>
      <c r="K44" s="505">
        <f ca="1">分配表!O841</f>
        <v>0</v>
      </c>
      <c r="L44" s="505">
        <f ca="1" t="shared" ref="L44:L47" si="15">IF($N$3=0,0,N44/$N$3)</f>
        <v>0</v>
      </c>
      <c r="M44" s="506">
        <f ca="1" t="shared" ref="M44:M47" si="16">K44*L44</f>
        <v>0</v>
      </c>
      <c r="N44" s="507">
        <f ca="1">分配表!O770</f>
        <v>0</v>
      </c>
      <c r="O44" s="496">
        <f ca="1" t="shared" ref="O44:O47" si="17">K44*N44</f>
        <v>0</v>
      </c>
      <c r="P44" s="475"/>
    </row>
    <row r="45" s="459" customFormat="1" customHeight="1" spans="1:16">
      <c r="A45" s="502" t="s">
        <v>202</v>
      </c>
      <c r="B45" s="503"/>
      <c r="C45" s="504">
        <f ca="1">OFFSET(分配表!C842,0,mth-1,1,1)</f>
        <v>0</v>
      </c>
      <c r="D45" s="505">
        <f ca="1" t="shared" si="12"/>
        <v>0</v>
      </c>
      <c r="E45" s="506">
        <f ca="1" t="shared" si="13"/>
        <v>0</v>
      </c>
      <c r="F45" s="507">
        <f ca="1">OFFSET(分配表!C771,0,mth-1,1,1)</f>
        <v>0</v>
      </c>
      <c r="G45" s="496">
        <f ca="1" t="shared" si="14"/>
        <v>0</v>
      </c>
      <c r="I45" s="502" t="s">
        <v>202</v>
      </c>
      <c r="J45" s="503"/>
      <c r="K45" s="505">
        <f ca="1">分配表!O842</f>
        <v>123.8945</v>
      </c>
      <c r="L45" s="505">
        <f ca="1" t="shared" si="15"/>
        <v>0.0480888553810495</v>
      </c>
      <c r="M45" s="506">
        <f ca="1" t="shared" si="16"/>
        <v>5.95794469300743</v>
      </c>
      <c r="N45" s="507">
        <f ca="1">分配表!O771</f>
        <v>20</v>
      </c>
      <c r="O45" s="496">
        <f ca="1" t="shared" si="17"/>
        <v>2477.89</v>
      </c>
      <c r="P45" s="475"/>
    </row>
    <row r="46" s="459" customFormat="1" customHeight="1" spans="1:16">
      <c r="A46" s="502" t="s">
        <v>203</v>
      </c>
      <c r="B46" s="503"/>
      <c r="C46" s="504">
        <f ca="1">OFFSET(分配表!C843,0,mth-1,1,1)</f>
        <v>0</v>
      </c>
      <c r="D46" s="505">
        <f ca="1" t="shared" si="12"/>
        <v>0</v>
      </c>
      <c r="E46" s="506">
        <f ca="1" t="shared" si="13"/>
        <v>0</v>
      </c>
      <c r="F46" s="507">
        <f ca="1">OFFSET(分配表!C772,0,mth-1,1,1)</f>
        <v>0</v>
      </c>
      <c r="G46" s="496">
        <f ca="1" t="shared" si="14"/>
        <v>0</v>
      </c>
      <c r="I46" s="502" t="s">
        <v>203</v>
      </c>
      <c r="J46" s="503"/>
      <c r="K46" s="505">
        <f ca="1">分配表!O843</f>
        <v>0</v>
      </c>
      <c r="L46" s="505">
        <f ca="1" t="shared" si="15"/>
        <v>0</v>
      </c>
      <c r="M46" s="506">
        <f ca="1" t="shared" si="16"/>
        <v>0</v>
      </c>
      <c r="N46" s="507">
        <f ca="1">分配表!O772</f>
        <v>0</v>
      </c>
      <c r="O46" s="496">
        <f ca="1" t="shared" si="17"/>
        <v>0</v>
      </c>
      <c r="P46" s="475"/>
    </row>
    <row r="47" s="459" customFormat="1" customHeight="1" spans="1:16">
      <c r="A47" s="502" t="s">
        <v>204</v>
      </c>
      <c r="B47" s="503"/>
      <c r="C47" s="504">
        <f ca="1">OFFSET(分配表!C844,0,mth-1,1,1)</f>
        <v>0</v>
      </c>
      <c r="D47" s="505">
        <f ca="1" t="shared" si="12"/>
        <v>0</v>
      </c>
      <c r="E47" s="506">
        <f ca="1" t="shared" si="13"/>
        <v>0</v>
      </c>
      <c r="F47" s="507">
        <f ca="1">OFFSET(分配表!C773,0,mth-1,1,1)</f>
        <v>0</v>
      </c>
      <c r="G47" s="496">
        <f ca="1" t="shared" si="14"/>
        <v>0</v>
      </c>
      <c r="I47" s="502" t="s">
        <v>204</v>
      </c>
      <c r="J47" s="503"/>
      <c r="K47" s="505">
        <f ca="1">分配表!O844</f>
        <v>103.911059739628</v>
      </c>
      <c r="L47" s="505">
        <f ca="1" t="shared" si="15"/>
        <v>0.0395242302376846</v>
      </c>
      <c r="M47" s="506">
        <f ca="1" t="shared" si="16"/>
        <v>4.10700464939084</v>
      </c>
      <c r="N47" s="507">
        <f ca="1">分配表!O773</f>
        <v>16.438</v>
      </c>
      <c r="O47" s="496">
        <f ca="1" t="shared" si="17"/>
        <v>1708.09</v>
      </c>
      <c r="P47" s="475"/>
    </row>
    <row r="48" s="459" customFormat="1" customHeight="1" spans="1:16">
      <c r="A48" s="502" t="str">
        <f>分配表!A845</f>
        <v>其它香精_通用_液体香精_SHRS0120</v>
      </c>
      <c r="B48" s="503"/>
      <c r="C48" s="504">
        <f ca="1">OFFSET(分配表!C845,0,mth-1,1,1)</f>
        <v>0</v>
      </c>
      <c r="D48" s="505">
        <f ca="1" t="shared" ref="D48:D50" si="18">IF(VALUE($F$3)=0,0,F48/$F$3)</f>
        <v>0</v>
      </c>
      <c r="E48" s="506">
        <f ca="1" t="shared" ref="E48:E50" si="19">C48*D48</f>
        <v>0</v>
      </c>
      <c r="F48" s="507">
        <f ca="1">OFFSET(分配表!C774,0,mth-1,1,1)</f>
        <v>0</v>
      </c>
      <c r="G48" s="496">
        <f ca="1" t="shared" ref="G48:G50" si="20">E48*$F$3</f>
        <v>0</v>
      </c>
      <c r="I48" s="502" t="str">
        <f>A48</f>
        <v>其它香精_通用_液体香精_SHRS0120</v>
      </c>
      <c r="J48" s="503"/>
      <c r="K48" s="505">
        <f ca="1">分配表!O845</f>
        <v>108.849578343422</v>
      </c>
      <c r="L48" s="505">
        <f ca="1" t="shared" ref="L48:L50" si="21">IF($N$3=0,0,N48/$N$3)</f>
        <v>0.715362599320185</v>
      </c>
      <c r="M48" s="506">
        <f ca="1" t="shared" ref="M48:M50" si="22">K48*L48</f>
        <v>77.8669172986568</v>
      </c>
      <c r="N48" s="507">
        <f ca="1">分配表!O774</f>
        <v>297.517</v>
      </c>
      <c r="O48" s="496">
        <f ca="1" t="shared" ref="O48:O50" si="23">K48*N48</f>
        <v>32384.6</v>
      </c>
      <c r="P48" s="475"/>
    </row>
    <row r="49" s="459" customFormat="1" customHeight="1" spans="1:18">
      <c r="A49" s="502" t="str">
        <f>分配表!A846</f>
        <v>甘蔗香精_通用_通用</v>
      </c>
      <c r="B49" s="503"/>
      <c r="C49" s="504">
        <f ca="1">OFFSET(分配表!C846,0,mth-1,1,1)</f>
        <v>0</v>
      </c>
      <c r="D49" s="505">
        <f ca="1" t="shared" si="18"/>
        <v>0</v>
      </c>
      <c r="E49" s="506">
        <f ca="1" t="shared" si="19"/>
        <v>0</v>
      </c>
      <c r="F49" s="507">
        <f ca="1">OFFSET(分配表!C775,0,mth-1,1,1)</f>
        <v>0</v>
      </c>
      <c r="G49" s="496">
        <f ca="1" t="shared" si="20"/>
        <v>0</v>
      </c>
      <c r="I49" s="502" t="str">
        <f t="shared" ref="I49:I50" si="24">A49</f>
        <v>甘蔗香精_通用_通用</v>
      </c>
      <c r="J49" s="503"/>
      <c r="K49" s="505">
        <f ca="1">分配表!O846</f>
        <v>0</v>
      </c>
      <c r="L49" s="505">
        <f ca="1" t="shared" si="21"/>
        <v>0</v>
      </c>
      <c r="M49" s="506">
        <f ca="1" t="shared" si="22"/>
        <v>0</v>
      </c>
      <c r="N49" s="507">
        <f ca="1">分配表!O775</f>
        <v>0</v>
      </c>
      <c r="O49" s="496">
        <f ca="1" t="shared" si="23"/>
        <v>0</v>
      </c>
      <c r="P49" s="475"/>
    </row>
    <row r="50" s="459" customFormat="1" customHeight="1" spans="1:18">
      <c r="A50" s="502" t="str">
        <f>分配表!A847</f>
        <v>炒板栗香精_通用_通用</v>
      </c>
      <c r="B50" s="503"/>
      <c r="C50" s="504">
        <f ca="1">OFFSET(分配表!C847,0,mth-1,1,1)</f>
        <v>0</v>
      </c>
      <c r="D50" s="505">
        <f ca="1" t="shared" si="18"/>
        <v>0</v>
      </c>
      <c r="E50" s="506">
        <f ca="1" t="shared" si="19"/>
        <v>0</v>
      </c>
      <c r="F50" s="507">
        <f ca="1">OFFSET(分配表!C776,0,mth-1,1,1)</f>
        <v>0</v>
      </c>
      <c r="G50" s="496">
        <f ca="1" t="shared" si="20"/>
        <v>0</v>
      </c>
      <c r="I50" s="502" t="str">
        <f t="shared" si="24"/>
        <v>炒板栗香精_通用_通用</v>
      </c>
      <c r="J50" s="503"/>
      <c r="K50" s="505">
        <f ca="1">分配表!O847</f>
        <v>0</v>
      </c>
      <c r="L50" s="505">
        <f ca="1" t="shared" si="21"/>
        <v>0</v>
      </c>
      <c r="M50" s="506">
        <f ca="1" t="shared" si="22"/>
        <v>0</v>
      </c>
      <c r="N50" s="507">
        <f ca="1">分配表!O776</f>
        <v>0</v>
      </c>
      <c r="O50" s="496">
        <f ca="1" t="shared" si="23"/>
        <v>0</v>
      </c>
      <c r="P50" s="475"/>
    </row>
    <row r="51" s="459" customFormat="1" customHeight="1" spans="1:18">
      <c r="A51" s="502" t="str">
        <f>分配表!A848</f>
        <v>其它香精_通用_液体香精_SHRS0160</v>
      </c>
      <c r="B51" s="503"/>
      <c r="C51" s="504">
        <f ca="1">OFFSET(分配表!C848,0,mth-1,1,1)</f>
        <v>0</v>
      </c>
      <c r="D51" s="505">
        <f ca="1" t="shared" ref="D51:D52" si="25">IF(VALUE($F$3)=0,0,F51/$F$3)</f>
        <v>0</v>
      </c>
      <c r="E51" s="506">
        <f ca="1" t="shared" ref="E51:E52" si="26">C51*D51</f>
        <v>0</v>
      </c>
      <c r="F51" s="507">
        <f ca="1">OFFSET(分配表!C777,0,mth-1,1,1)</f>
        <v>0</v>
      </c>
      <c r="G51" s="496">
        <f ca="1" t="shared" ref="G51:G52" si="27">E51*$F$3</f>
        <v>0</v>
      </c>
      <c r="I51" s="502" t="str">
        <f t="shared" ref="I51:I52" si="28">A51</f>
        <v>其它香精_通用_液体香精_SHRS0160</v>
      </c>
      <c r="J51" s="503"/>
      <c r="K51" s="505">
        <f ca="1">分配表!O848</f>
        <v>158.654873779252</v>
      </c>
      <c r="L51" s="505">
        <f ca="1" t="shared" ref="L51:L53" si="29">IF($N$3=0,0,N51/$N$3)</f>
        <v>0.0260978218152955</v>
      </c>
      <c r="M51" s="506">
        <f ca="1" t="shared" ref="M51:M53" si="30">K51*L51</f>
        <v>4.14054662601913</v>
      </c>
      <c r="N51" s="507">
        <f ca="1">分配表!O777</f>
        <v>10.854</v>
      </c>
      <c r="O51" s="496">
        <f ca="1" t="shared" ref="O51:O53" si="31">K51*N51</f>
        <v>1722.04</v>
      </c>
      <c r="P51" s="475"/>
    </row>
    <row r="52" s="459" customFormat="1" customHeight="1" spans="1:18">
      <c r="A52" s="502" t="str">
        <f>分配表!A849</f>
        <v>其它香精_通用_液体香精_SHRS0240</v>
      </c>
      <c r="B52" s="503"/>
      <c r="C52" s="504">
        <f ca="1">OFFSET(分配表!C849,0,mth-1,1,1)</f>
        <v>0</v>
      </c>
      <c r="D52" s="505">
        <f ca="1" t="shared" si="25"/>
        <v>0</v>
      </c>
      <c r="E52" s="506">
        <f ca="1" t="shared" si="26"/>
        <v>0</v>
      </c>
      <c r="F52" s="507">
        <f ca="1">OFFSET(分配表!C778,0,mth-1,1,1)</f>
        <v>0</v>
      </c>
      <c r="G52" s="496">
        <f ca="1" t="shared" si="27"/>
        <v>0</v>
      </c>
      <c r="I52" s="502" t="str">
        <f t="shared" si="28"/>
        <v>其它香精_通用_液体香精_SHRS0240</v>
      </c>
      <c r="J52" s="503"/>
      <c r="K52" s="505">
        <f ca="1">分配表!O849</f>
        <v>228.322736905843</v>
      </c>
      <c r="L52" s="505">
        <f ca="1" t="shared" si="29"/>
        <v>0.00794187446618032</v>
      </c>
      <c r="M52" s="506">
        <f ca="1" t="shared" si="30"/>
        <v>1.81331051428092</v>
      </c>
      <c r="N52" s="507">
        <f ca="1">分配表!O778</f>
        <v>3.303</v>
      </c>
      <c r="O52" s="496">
        <f ca="1" t="shared" si="31"/>
        <v>754.150000000001</v>
      </c>
      <c r="P52" s="475"/>
    </row>
    <row r="53" s="459" customFormat="1" customHeight="1" spans="1:18">
      <c r="A53" s="502" t="str">
        <f>分配表!A850</f>
        <v>其它香精_通用_液体香精_SHRS0220</v>
      </c>
      <c r="B53" s="503"/>
      <c r="C53" s="504">
        <f ca="1">OFFSET(分配表!C850,0,mth-1,1,1)</f>
        <v>0</v>
      </c>
      <c r="D53" s="505">
        <f ca="1" t="shared" ref="D53:D56" si="32">IF(VALUE($F$3)=0,0,F53/$F$3)</f>
        <v>0</v>
      </c>
      <c r="E53" s="506">
        <f ca="1" t="shared" ref="E53:E56" si="33">C53*D53</f>
        <v>0</v>
      </c>
      <c r="F53" s="507">
        <f ca="1">OFFSET(分配表!C779,0,mth-1,1,1)</f>
        <v>0</v>
      </c>
      <c r="G53" s="496">
        <f ca="1" t="shared" ref="G53:G56" si="34">E53*$F$3</f>
        <v>0</v>
      </c>
      <c r="I53" s="502" t="str">
        <f t="shared" ref="I53:I56" si="35">A53</f>
        <v>其它香精_通用_液体香精_SHRS0220</v>
      </c>
      <c r="J53" s="503"/>
      <c r="K53" s="505">
        <f ca="1">分配表!O850</f>
        <v>201.1192897253</v>
      </c>
      <c r="L53" s="505">
        <f ca="1" t="shared" si="29"/>
        <v>0.0316857468105735</v>
      </c>
      <c r="M53" s="506">
        <f ca="1" t="shared" si="30"/>
        <v>6.37261489295822</v>
      </c>
      <c r="N53" s="507">
        <f ca="1">分配表!O779</f>
        <v>13.178</v>
      </c>
      <c r="O53" s="496">
        <f ca="1" t="shared" si="31"/>
        <v>2650.35</v>
      </c>
      <c r="P53" s="475"/>
    </row>
    <row r="54" s="459" customFormat="1" customHeight="1" spans="1:18">
      <c r="A54" s="502" t="str">
        <f>分配表!A851</f>
        <v>甘蔗多酚_通用</v>
      </c>
      <c r="B54" s="503"/>
      <c r="C54" s="504">
        <f ca="1">OFFSET(分配表!C851,0,mth-1,1,1)</f>
        <v>0</v>
      </c>
      <c r="D54" s="505">
        <f ca="1" t="shared" si="32"/>
        <v>0</v>
      </c>
      <c r="E54" s="506">
        <f ca="1" t="shared" si="33"/>
        <v>0</v>
      </c>
      <c r="F54" s="507">
        <f ca="1">OFFSET(分配表!C780,0,mth-1,1,1)</f>
        <v>0</v>
      </c>
      <c r="G54" s="496">
        <f ca="1" t="shared" si="34"/>
        <v>0</v>
      </c>
      <c r="I54" s="502" t="str">
        <f t="shared" si="35"/>
        <v>甘蔗多酚_通用</v>
      </c>
      <c r="J54" s="503"/>
      <c r="K54" s="505">
        <f ca="1">分配表!O851</f>
        <v>0</v>
      </c>
      <c r="L54" s="505">
        <f ca="1" t="shared" ref="L54:L56" si="36">IF($N$3=0,0,N54/$N$3)</f>
        <v>0</v>
      </c>
      <c r="M54" s="506">
        <f ca="1" t="shared" ref="M54:M56" si="37">K54*L54</f>
        <v>0</v>
      </c>
      <c r="N54" s="507">
        <f ca="1">分配表!O780</f>
        <v>0</v>
      </c>
      <c r="O54" s="496">
        <f ca="1" t="shared" ref="O54:O56" si="38">K54*N54</f>
        <v>0</v>
      </c>
      <c r="P54" s="475"/>
    </row>
    <row r="55" s="459" customFormat="1" customHeight="1" spans="1:18">
      <c r="A55" s="502" t="str">
        <f>分配表!A852</f>
        <v>其它香精_通用_液体香精_SHRS0200</v>
      </c>
      <c r="B55" s="503"/>
      <c r="C55" s="504">
        <f ca="1">OFFSET(分配表!C852,0,mth-1,1,1)</f>
        <v>0</v>
      </c>
      <c r="D55" s="505">
        <f ca="1" t="shared" si="32"/>
        <v>0</v>
      </c>
      <c r="E55" s="506">
        <f ca="1" t="shared" si="33"/>
        <v>0</v>
      </c>
      <c r="F55" s="507">
        <f ca="1">OFFSET(分配表!C781,0,mth-1,1,1)</f>
        <v>0</v>
      </c>
      <c r="G55" s="496">
        <f ca="1" t="shared" si="34"/>
        <v>0</v>
      </c>
      <c r="I55" s="502" t="str">
        <f t="shared" si="35"/>
        <v>其它香精_通用_液体香精_SHRS0200</v>
      </c>
      <c r="J55" s="503"/>
      <c r="K55" s="505">
        <f ca="1">分配表!O852</f>
        <v>192.0356131121</v>
      </c>
      <c r="L55" s="505">
        <f ca="1" t="shared" si="36"/>
        <v>0.0118827561646573</v>
      </c>
      <c r="M55" s="506">
        <f ca="1" t="shared" si="37"/>
        <v>2.28191236554156</v>
      </c>
      <c r="N55" s="507">
        <f ca="1">分配表!O781</f>
        <v>4.942</v>
      </c>
      <c r="O55" s="496">
        <f ca="1" t="shared" si="38"/>
        <v>949.04</v>
      </c>
      <c r="P55" s="475"/>
    </row>
    <row r="56" s="459" customFormat="1" customHeight="1" spans="1:18">
      <c r="A56" s="502" t="str">
        <f>分配表!A853</f>
        <v>无水柠檬酸_细目</v>
      </c>
      <c r="B56" s="503"/>
      <c r="C56" s="504">
        <f ca="1">OFFSET(分配表!C853,0,mth-1,1,1)</f>
        <v>0</v>
      </c>
      <c r="D56" s="505">
        <f ca="1" t="shared" si="32"/>
        <v>0</v>
      </c>
      <c r="E56" s="506">
        <f ca="1" t="shared" si="33"/>
        <v>0</v>
      </c>
      <c r="F56" s="507">
        <f ca="1">OFFSET(分配表!C782,0,mth-1,1,1)</f>
        <v>0</v>
      </c>
      <c r="G56" s="496">
        <f ca="1" t="shared" si="34"/>
        <v>0</v>
      </c>
      <c r="I56" s="502" t="str">
        <f t="shared" si="35"/>
        <v>无水柠檬酸_细目</v>
      </c>
      <c r="J56" s="503"/>
      <c r="K56" s="505">
        <f ca="1">分配表!O853</f>
        <v>5442.46153846154</v>
      </c>
      <c r="L56" s="505">
        <f ca="1" t="shared" si="36"/>
        <v>0.000937732679930465</v>
      </c>
      <c r="M56" s="506">
        <f ca="1" t="shared" si="37"/>
        <v>5.10357404388002</v>
      </c>
      <c r="N56" s="507">
        <f ca="1">分配表!O782</f>
        <v>0.39</v>
      </c>
      <c r="O56" s="496">
        <f ca="1" t="shared" si="38"/>
        <v>2122.56</v>
      </c>
      <c r="P56" s="475"/>
    </row>
    <row r="57" s="459" customFormat="1" customHeight="1" spans="1:18">
      <c r="A57" s="508" t="s">
        <v>93</v>
      </c>
      <c r="B57" s="490"/>
      <c r="C57" s="501"/>
      <c r="D57" s="492"/>
      <c r="E57" s="491"/>
      <c r="F57" s="491"/>
      <c r="G57" s="491"/>
      <c r="I57" s="508" t="s">
        <v>93</v>
      </c>
      <c r="J57" s="490"/>
      <c r="K57" s="501"/>
      <c r="L57" s="492"/>
      <c r="M57" s="491"/>
      <c r="N57" s="491"/>
      <c r="O57" s="491"/>
      <c r="P57" s="475"/>
    </row>
    <row r="58" s="459" customFormat="1" customHeight="1" spans="1:18">
      <c r="A58" s="508" t="s">
        <v>94</v>
      </c>
      <c r="B58" s="490"/>
      <c r="C58" s="501"/>
      <c r="D58" s="492"/>
      <c r="E58" s="491">
        <f ca="1">SUM(E59:E62)</f>
        <v>0</v>
      </c>
      <c r="F58" s="491"/>
      <c r="G58" s="491">
        <f ca="1">SUM(G59:G62)</f>
        <v>0</v>
      </c>
      <c r="I58" s="508" t="s">
        <v>208</v>
      </c>
      <c r="J58" s="490"/>
      <c r="K58" s="501"/>
      <c r="L58" s="492"/>
      <c r="M58" s="491" t="e">
        <f ca="1">SUM(M59:M62)</f>
        <v>#DIV/0!</v>
      </c>
      <c r="N58" s="491"/>
      <c r="O58" s="491" t="e">
        <f ca="1">SUM(O59:O62)</f>
        <v>#DIV/0!</v>
      </c>
      <c r="P58" s="475"/>
    </row>
    <row r="59" s="459" customFormat="1" customHeight="1" spans="1:18">
      <c r="A59" s="494" t="s">
        <v>95</v>
      </c>
      <c r="B59" s="495" t="s">
        <v>75</v>
      </c>
      <c r="C59" s="505">
        <f ca="1">OFFSET(分配表!C305,0,mth-1,1,1)</f>
        <v>0</v>
      </c>
      <c r="D59" s="505">
        <f ca="1">IF(VALUE($F$3)=0,0,F59/$F$3)</f>
        <v>0</v>
      </c>
      <c r="E59" s="509">
        <f ca="1">C59*D59</f>
        <v>0</v>
      </c>
      <c r="F59" s="509" t="e">
        <f ca="1">OFFSET(分配表!C316,0,mth-1,1,1)</f>
        <v>#DIV/0!</v>
      </c>
      <c r="G59" s="509">
        <f ca="1">E59*F$3</f>
        <v>0</v>
      </c>
      <c r="H59" s="510"/>
      <c r="I59" s="494" t="s">
        <v>95</v>
      </c>
      <c r="J59" s="495" t="s">
        <v>75</v>
      </c>
      <c r="K59" s="505">
        <f ca="1">分配表!O305</f>
        <v>374.799025538744</v>
      </c>
      <c r="L59" s="505" t="e">
        <f ca="1">IF($N$3=0,0,N59/$N$3)</f>
        <v>#DIV/0!</v>
      </c>
      <c r="M59" s="509" t="e">
        <f ca="1">K59*L59</f>
        <v>#DIV/0!</v>
      </c>
      <c r="N59" s="496" t="e">
        <f ca="1">分配表!O316</f>
        <v>#DIV/0!</v>
      </c>
      <c r="O59" s="509" t="e">
        <f ca="1">M59*N$3</f>
        <v>#DIV/0!</v>
      </c>
      <c r="P59" s="475"/>
      <c r="Q59" s="511"/>
      <c r="R59" s="511"/>
    </row>
    <row r="60" s="459" customFormat="1" customHeight="1" spans="1:18">
      <c r="A60" s="494" t="s">
        <v>96</v>
      </c>
      <c r="B60" s="495" t="s">
        <v>97</v>
      </c>
      <c r="C60" s="505">
        <f ca="1">OFFSET(分配表!C324,0,mth-1,1,1)</f>
        <v>0</v>
      </c>
      <c r="D60" s="505">
        <f ca="1">IF(VALUE($F$3)=0,0,F60/$F$3)</f>
        <v>0</v>
      </c>
      <c r="E60" s="509">
        <f ca="1">C60*D60</f>
        <v>0</v>
      </c>
      <c r="F60" s="509" t="e">
        <f ca="1">OFFSET(分配表!C335,0,mth-1,1,1)</f>
        <v>#DIV/0!</v>
      </c>
      <c r="G60" s="509">
        <f ca="1">E60*F$3</f>
        <v>0</v>
      </c>
      <c r="I60" s="494" t="s">
        <v>96</v>
      </c>
      <c r="J60" s="495" t="s">
        <v>97</v>
      </c>
      <c r="K60" s="505">
        <f ca="1">分配表!O324</f>
        <v>0.680636799672716</v>
      </c>
      <c r="L60" s="505" t="e">
        <f ca="1">IF($N$3=0,0,N60/$N$3)</f>
        <v>#DIV/0!</v>
      </c>
      <c r="M60" s="509" t="e">
        <f ca="1">K60*L60</f>
        <v>#DIV/0!</v>
      </c>
      <c r="N60" s="496" t="e">
        <f ca="1">分配表!O335</f>
        <v>#DIV/0!</v>
      </c>
      <c r="O60" s="509" t="e">
        <f ca="1">M60*N$3</f>
        <v>#DIV/0!</v>
      </c>
      <c r="P60" s="475"/>
    </row>
    <row r="61" s="459" customFormat="1" customHeight="1" spans="1:18">
      <c r="A61" s="494" t="s">
        <v>98</v>
      </c>
      <c r="B61" s="495" t="s">
        <v>75</v>
      </c>
      <c r="C61" s="505">
        <f ca="1">OFFSET(分配表!C343,0,mth-1,1,1)</f>
        <v>0</v>
      </c>
      <c r="D61" s="505">
        <f ca="1">IF(VALUE($F$3)=0,0,F61/$F$3)</f>
        <v>0</v>
      </c>
      <c r="E61" s="509">
        <f ca="1">C61*D61</f>
        <v>0</v>
      </c>
      <c r="F61" s="509" t="e">
        <f ca="1">OFFSET(分配表!C353,0,mth-1,1,1)</f>
        <v>#DIV/0!</v>
      </c>
      <c r="G61" s="509">
        <f ca="1">E61*F$3</f>
        <v>0</v>
      </c>
      <c r="I61" s="494" t="s">
        <v>98</v>
      </c>
      <c r="J61" s="495" t="s">
        <v>75</v>
      </c>
      <c r="K61" s="505">
        <f ca="1">分配表!O343</f>
        <v>5.8950402489434</v>
      </c>
      <c r="L61" s="505" t="e">
        <f ca="1">IF($N$3=0,0,N61/$N$3)</f>
        <v>#DIV/0!</v>
      </c>
      <c r="M61" s="509" t="e">
        <f ca="1">K61*L61</f>
        <v>#DIV/0!</v>
      </c>
      <c r="N61" s="496" t="e">
        <f ca="1">分配表!O353</f>
        <v>#DIV/0!</v>
      </c>
      <c r="O61" s="509" t="e">
        <f ca="1">M61*N$3</f>
        <v>#DIV/0!</v>
      </c>
      <c r="P61" s="475"/>
    </row>
    <row r="62" s="459" customFormat="1" customHeight="1" spans="1:18">
      <c r="A62" s="494" t="s">
        <v>99</v>
      </c>
      <c r="B62" s="495" t="s">
        <v>100</v>
      </c>
      <c r="C62" s="505">
        <f ca="1">OFFSET(分配表!C360,0,mth-1,1,1)</f>
        <v>0</v>
      </c>
      <c r="D62" s="505">
        <f ca="1">IF(VALUE($F$3)=0,0,F62/$F$3)</f>
        <v>0</v>
      </c>
      <c r="E62" s="509">
        <f ca="1">C62*D62</f>
        <v>0</v>
      </c>
      <c r="F62" s="509">
        <f ca="1">OFFSET(分配表!C368,0,mth-1,1,1)</f>
        <v>0</v>
      </c>
      <c r="G62" s="509">
        <f ca="1">E62*F$3</f>
        <v>0</v>
      </c>
      <c r="I62" s="494" t="s">
        <v>99</v>
      </c>
      <c r="J62" s="495" t="s">
        <v>100</v>
      </c>
      <c r="K62" s="505">
        <f>分配表!O360</f>
        <v>0</v>
      </c>
      <c r="L62" s="505">
        <f ca="1">IF($N$3=0,0,N62/$N$3)</f>
        <v>0</v>
      </c>
      <c r="M62" s="509">
        <f ca="1">K62*L62</f>
        <v>0</v>
      </c>
      <c r="N62" s="496">
        <f>分配表!O369</f>
        <v>0</v>
      </c>
      <c r="O62" s="509">
        <f ca="1">M62*N$3</f>
        <v>0</v>
      </c>
      <c r="P62" s="475"/>
    </row>
    <row r="63" s="459" customFormat="1" customHeight="1" spans="1:18">
      <c r="A63" s="508" t="s">
        <v>213</v>
      </c>
      <c r="B63" s="490"/>
      <c r="C63" s="501"/>
      <c r="D63" s="492"/>
      <c r="E63" s="491">
        <f ca="1">IF(VALUE($F$3)=0,0,G63/$F$3)</f>
        <v>0</v>
      </c>
      <c r="F63" s="491"/>
      <c r="G63" s="491" t="e">
        <f ca="1">OFFSET(分配表!C381,0,mth-1,1,1)</f>
        <v>#DIV/0!</v>
      </c>
      <c r="H63" s="483"/>
      <c r="I63" s="508" t="s">
        <v>165</v>
      </c>
      <c r="J63" s="490"/>
      <c r="K63" s="501"/>
      <c r="L63" s="492"/>
      <c r="M63" s="491" t="e">
        <f ca="1">IF($N$3=0,,O63/$N$3)</f>
        <v>#DIV/0!</v>
      </c>
      <c r="N63" s="491"/>
      <c r="O63" s="491" t="e">
        <f ca="1">分配表!O381</f>
        <v>#DIV/0!</v>
      </c>
      <c r="P63" s="475"/>
    </row>
    <row r="64" s="459" customFormat="1" customHeight="1" spans="1:18">
      <c r="A64" s="508" t="s">
        <v>102</v>
      </c>
      <c r="B64" s="490"/>
      <c r="C64" s="501"/>
      <c r="D64" s="492"/>
      <c r="E64" s="491">
        <f ca="1">IF(VALUE($F$3)=0,0,G64/$F$3)</f>
        <v>0</v>
      </c>
      <c r="F64" s="491"/>
      <c r="G64" s="491" t="e">
        <f ca="1">G63</f>
        <v>#DIV/0!</v>
      </c>
      <c r="H64" s="483"/>
      <c r="I64" s="508" t="s">
        <v>102</v>
      </c>
      <c r="J64" s="490"/>
      <c r="K64" s="501"/>
      <c r="L64" s="492"/>
      <c r="M64" s="491" t="e">
        <f ca="1">M63</f>
        <v>#DIV/0!</v>
      </c>
      <c r="N64" s="491"/>
      <c r="O64" s="491" t="e">
        <f ca="1">O63</f>
        <v>#DIV/0!</v>
      </c>
      <c r="P64" s="475"/>
    </row>
    <row r="65" s="459" customFormat="1" customHeight="1" spans="1:16">
      <c r="A65" s="508" t="s">
        <v>103</v>
      </c>
      <c r="B65" s="490"/>
      <c r="C65" s="501"/>
      <c r="D65" s="492"/>
      <c r="E65" s="501"/>
      <c r="F65" s="491"/>
      <c r="G65" s="491"/>
      <c r="H65" s="483"/>
      <c r="I65" s="508" t="s">
        <v>103</v>
      </c>
      <c r="J65" s="490"/>
      <c r="K65" s="501"/>
      <c r="L65" s="492"/>
      <c r="M65" s="491"/>
      <c r="N65" s="491"/>
      <c r="O65" s="491"/>
      <c r="P65" s="475"/>
    </row>
    <row r="66" s="459" customFormat="1" customHeight="1" spans="1:16">
      <c r="A66" s="508" t="s">
        <v>166</v>
      </c>
      <c r="B66" s="490"/>
      <c r="C66" s="501"/>
      <c r="D66" s="492"/>
      <c r="E66" s="501"/>
      <c r="F66" s="491"/>
      <c r="G66" s="491"/>
      <c r="I66" s="508" t="s">
        <v>166</v>
      </c>
      <c r="J66" s="490"/>
      <c r="K66" s="501"/>
      <c r="L66" s="492"/>
      <c r="M66" s="491"/>
      <c r="N66" s="491"/>
      <c r="O66" s="491"/>
      <c r="P66" s="475"/>
    </row>
    <row r="67" s="459" customFormat="1" customHeight="1" spans="1:16">
      <c r="A67" s="508" t="s">
        <v>105</v>
      </c>
      <c r="B67" s="490"/>
      <c r="C67" s="501"/>
      <c r="D67" s="492"/>
      <c r="E67" s="491" t="e">
        <f ca="1">E5-E10</f>
        <v>#DIV/0!</v>
      </c>
      <c r="F67" s="491"/>
      <c r="G67" s="491" t="e">
        <f ca="1">G5-G10</f>
        <v>#DIV/0!</v>
      </c>
      <c r="H67" s="512"/>
      <c r="I67" s="508" t="s">
        <v>105</v>
      </c>
      <c r="J67" s="490"/>
      <c r="K67" s="501"/>
      <c r="L67" s="492"/>
      <c r="M67" s="491" t="e">
        <f ca="1">M5-M10</f>
        <v>#DIV/0!</v>
      </c>
      <c r="N67" s="491"/>
      <c r="O67" s="491" t="e">
        <f ca="1">O5-O10</f>
        <v>#DIV/0!</v>
      </c>
      <c r="P67" s="475"/>
    </row>
    <row r="68" s="459" customFormat="1" customHeight="1" spans="1:16">
      <c r="A68" s="513" t="s">
        <v>106</v>
      </c>
      <c r="B68" s="485"/>
      <c r="C68" s="514"/>
      <c r="D68" s="515"/>
      <c r="E68" s="487">
        <f ca="1">SUM(E69:E75)</f>
        <v>0</v>
      </c>
      <c r="F68" s="488"/>
      <c r="G68" s="487" t="e">
        <f ca="1">SUM(G69:G75)</f>
        <v>#DIV/0!</v>
      </c>
      <c r="I68" s="513" t="s">
        <v>106</v>
      </c>
      <c r="J68" s="485"/>
      <c r="K68" s="514"/>
      <c r="L68" s="515"/>
      <c r="M68" s="487" t="e">
        <f ca="1">IF(N$3=0,0,O68/N$3)</f>
        <v>#DIV/0!</v>
      </c>
      <c r="N68" s="488"/>
      <c r="O68" s="487" t="e">
        <f ca="1">SUM(O69:O75)</f>
        <v>#DIV/0!</v>
      </c>
      <c r="P68" s="475"/>
    </row>
    <row r="69" s="459" customFormat="1" customHeight="1" spans="1:16">
      <c r="A69" s="516" t="s">
        <v>107</v>
      </c>
      <c r="B69" s="503"/>
      <c r="C69" s="505"/>
      <c r="D69" s="497"/>
      <c r="E69" s="507">
        <f ca="1" t="shared" ref="E69:E82" si="39">IF(VALUE($F$3)=0,0,G69/$F$3)</f>
        <v>0</v>
      </c>
      <c r="F69" s="517"/>
      <c r="G69" s="509" t="e">
        <f ca="1">OFFSET(分配表!C414,0,mth-1,1,1)</f>
        <v>#DIV/0!</v>
      </c>
      <c r="H69" s="483"/>
      <c r="I69" s="516" t="s">
        <v>107</v>
      </c>
      <c r="J69" s="503"/>
      <c r="K69" s="505"/>
      <c r="L69" s="497"/>
      <c r="M69" s="507" t="e">
        <f ca="1">IF($N$3=0,0,O69/$N$3)</f>
        <v>#DIV/0!</v>
      </c>
      <c r="N69" s="517"/>
      <c r="O69" s="509" t="e">
        <f ca="1">分配表!O414</f>
        <v>#DIV/0!</v>
      </c>
      <c r="P69" s="475"/>
    </row>
    <row r="70" s="459" customFormat="1" customHeight="1" spans="1:16">
      <c r="A70" s="516" t="s">
        <v>108</v>
      </c>
      <c r="B70" s="503"/>
      <c r="C70" s="505"/>
      <c r="D70" s="497"/>
      <c r="E70" s="507">
        <f ca="1" t="shared" si="39"/>
        <v>0</v>
      </c>
      <c r="F70" s="517"/>
      <c r="G70" s="509" t="e">
        <f ca="1">OFFSET(分配表!C434,0,mth-1,1,1)</f>
        <v>#DIV/0!</v>
      </c>
      <c r="H70" s="483"/>
      <c r="I70" s="516" t="s">
        <v>108</v>
      </c>
      <c r="J70" s="503"/>
      <c r="K70" s="505"/>
      <c r="L70" s="497"/>
      <c r="M70" s="507" t="e">
        <f ca="1" t="shared" ref="M70:M82" si="40">IF($N$3=0,0,O70/$N$3)</f>
        <v>#DIV/0!</v>
      </c>
      <c r="N70" s="517"/>
      <c r="O70" s="509" t="e">
        <f ca="1">分配表!O434</f>
        <v>#DIV/0!</v>
      </c>
      <c r="P70" s="475"/>
    </row>
    <row r="71" s="459" customFormat="1" customHeight="1" spans="1:16">
      <c r="A71" s="516" t="s">
        <v>109</v>
      </c>
      <c r="B71" s="503"/>
      <c r="C71" s="498"/>
      <c r="D71" s="518"/>
      <c r="E71" s="507">
        <f ca="1" t="shared" si="39"/>
        <v>0</v>
      </c>
      <c r="F71" s="517"/>
      <c r="G71" s="509" t="e">
        <f ca="1">OFFSET(分配表!C454,0,mth-1,1,1)</f>
        <v>#DIV/0!</v>
      </c>
      <c r="H71" s="483"/>
      <c r="I71" s="516" t="s">
        <v>109</v>
      </c>
      <c r="J71" s="503"/>
      <c r="K71" s="498"/>
      <c r="L71" s="518"/>
      <c r="M71" s="507" t="e">
        <f ca="1" t="shared" si="40"/>
        <v>#DIV/0!</v>
      </c>
      <c r="N71" s="517"/>
      <c r="O71" s="509" t="e">
        <f ca="1">分配表!O454</f>
        <v>#DIV/0!</v>
      </c>
      <c r="P71" s="475"/>
    </row>
    <row r="72" s="459" customFormat="1" customHeight="1" spans="1:16">
      <c r="A72" s="516" t="s">
        <v>110</v>
      </c>
      <c r="B72" s="503"/>
      <c r="C72" s="498"/>
      <c r="D72" s="518"/>
      <c r="E72" s="507">
        <f ca="1" t="shared" si="39"/>
        <v>0</v>
      </c>
      <c r="F72" s="517"/>
      <c r="G72" s="509" t="e">
        <f ca="1">OFFSET(分配表!C474,0,mth-1,1,1)</f>
        <v>#DIV/0!</v>
      </c>
      <c r="H72" s="483"/>
      <c r="I72" s="516" t="s">
        <v>110</v>
      </c>
      <c r="J72" s="503"/>
      <c r="K72" s="498"/>
      <c r="L72" s="518"/>
      <c r="M72" s="507" t="e">
        <f ca="1" t="shared" si="40"/>
        <v>#DIV/0!</v>
      </c>
      <c r="N72" s="517"/>
      <c r="O72" s="509" t="e">
        <f ca="1">分配表!O474</f>
        <v>#DIV/0!</v>
      </c>
      <c r="P72" s="475"/>
    </row>
    <row r="73" s="459" customFormat="1" customHeight="1" spans="1:16">
      <c r="A73" s="516" t="s">
        <v>111</v>
      </c>
      <c r="B73" s="503"/>
      <c r="C73" s="498"/>
      <c r="D73" s="518"/>
      <c r="E73" s="519">
        <f ca="1" t="shared" si="39"/>
        <v>0</v>
      </c>
      <c r="F73" s="520"/>
      <c r="G73" s="521" t="e">
        <f ca="1">OFFSET(分配表!C494,0,mth-1,1,1)</f>
        <v>#DIV/0!</v>
      </c>
      <c r="H73" s="483"/>
      <c r="I73" s="516" t="s">
        <v>111</v>
      </c>
      <c r="J73" s="503"/>
      <c r="K73" s="498"/>
      <c r="L73" s="518"/>
      <c r="M73" s="507" t="e">
        <f ca="1" t="shared" si="40"/>
        <v>#DIV/0!</v>
      </c>
      <c r="N73" s="509"/>
      <c r="O73" s="509" t="e">
        <f ca="1">分配表!O494</f>
        <v>#DIV/0!</v>
      </c>
      <c r="P73" s="475"/>
    </row>
    <row r="74" s="459" customFormat="1" customHeight="1" spans="1:16">
      <c r="A74" s="516" t="s">
        <v>112</v>
      </c>
      <c r="B74" s="503"/>
      <c r="C74" s="498"/>
      <c r="D74" s="522"/>
      <c r="E74" s="507">
        <f ca="1" t="shared" si="39"/>
        <v>0</v>
      </c>
      <c r="F74" s="517"/>
      <c r="G74" s="509" t="e">
        <f ca="1">OFFSET(分配表!C510,0,mth-1,1,1)</f>
        <v>#DIV/0!</v>
      </c>
      <c r="H74" s="483"/>
      <c r="I74" s="516" t="s">
        <v>112</v>
      </c>
      <c r="J74" s="503"/>
      <c r="K74" s="498"/>
      <c r="L74" s="518"/>
      <c r="M74" s="507" t="e">
        <f ca="1" t="shared" si="40"/>
        <v>#DIV/0!</v>
      </c>
      <c r="N74" s="509"/>
      <c r="O74" s="509" t="e">
        <f ca="1">分配表!O510</f>
        <v>#DIV/0!</v>
      </c>
      <c r="P74" s="475"/>
    </row>
    <row r="75" s="459" customFormat="1" customHeight="1" spans="1:16">
      <c r="A75" s="516" t="s">
        <v>113</v>
      </c>
      <c r="B75" s="503"/>
      <c r="C75" s="498"/>
      <c r="D75" s="522"/>
      <c r="E75" s="507">
        <f ca="1" t="shared" si="39"/>
        <v>0</v>
      </c>
      <c r="F75" s="517"/>
      <c r="G75" s="509" t="e">
        <f ca="1">OFFSET(分配表!C532,0,mth-1,1,1)</f>
        <v>#DIV/0!</v>
      </c>
      <c r="I75" s="516" t="s">
        <v>114</v>
      </c>
      <c r="J75" s="503"/>
      <c r="K75" s="498"/>
      <c r="L75" s="518"/>
      <c r="M75" s="507" t="e">
        <f ca="1" t="shared" si="40"/>
        <v>#DIV/0!</v>
      </c>
      <c r="N75" s="509"/>
      <c r="O75" s="509" t="e">
        <f ca="1">分配表!O532</f>
        <v>#DIV/0!</v>
      </c>
      <c r="P75" s="475"/>
    </row>
    <row r="76" s="459" customFormat="1" ht="14.25" customHeight="1" spans="1:16">
      <c r="A76" s="516" t="s">
        <v>115</v>
      </c>
      <c r="B76" s="503"/>
      <c r="C76" s="498"/>
      <c r="D76" s="518"/>
      <c r="E76" s="507">
        <f ca="1" t="shared" si="39"/>
        <v>0</v>
      </c>
      <c r="F76" s="517"/>
      <c r="G76" s="509" t="e">
        <f ca="1">OFFSET(分配表!C544,0,mth-1,1,1)</f>
        <v>#DIV/0!</v>
      </c>
      <c r="I76" s="516" t="s">
        <v>115</v>
      </c>
      <c r="J76" s="503"/>
      <c r="K76" s="498"/>
      <c r="L76" s="518"/>
      <c r="M76" s="507" t="e">
        <f ca="1" t="shared" si="40"/>
        <v>#DIV/0!</v>
      </c>
      <c r="N76" s="517"/>
      <c r="O76" s="509" t="e">
        <f ca="1">分配表!O544</f>
        <v>#DIV/0!</v>
      </c>
    </row>
    <row r="77" s="459" customFormat="1" ht="14.25" customHeight="1" spans="1:16">
      <c r="A77" s="516" t="s">
        <v>116</v>
      </c>
      <c r="B77" s="503"/>
      <c r="C77" s="498"/>
      <c r="D77" s="518"/>
      <c r="E77" s="507">
        <f ca="1" t="shared" si="39"/>
        <v>0</v>
      </c>
      <c r="F77" s="517"/>
      <c r="G77" s="509" t="e">
        <f ca="1">OFFSET(分配表!C556,0,mth-1,1,1)</f>
        <v>#DIV/0!</v>
      </c>
      <c r="I77" s="516" t="s">
        <v>116</v>
      </c>
      <c r="J77" s="503"/>
      <c r="K77" s="498"/>
      <c r="L77" s="518"/>
      <c r="M77" s="507" t="e">
        <f ca="1" t="shared" si="40"/>
        <v>#DIV/0!</v>
      </c>
      <c r="N77" s="517"/>
      <c r="O77" s="509" t="e">
        <f ca="1">分配表!O556</f>
        <v>#DIV/0!</v>
      </c>
    </row>
    <row r="78" s="459" customFormat="1" ht="14.25" customHeight="1" spans="1:16">
      <c r="A78" s="516" t="s">
        <v>117</v>
      </c>
      <c r="B78" s="503"/>
      <c r="C78" s="498"/>
      <c r="D78" s="518"/>
      <c r="E78" s="507">
        <f ca="1" t="shared" si="39"/>
        <v>0</v>
      </c>
      <c r="F78" s="517"/>
      <c r="G78" s="509" t="e">
        <f ca="1">OFFSET(分配表!C604,0,mth-1,1,1)</f>
        <v>#DIV/0!</v>
      </c>
      <c r="I78" s="516" t="s">
        <v>117</v>
      </c>
      <c r="J78" s="503"/>
      <c r="K78" s="498"/>
      <c r="L78" s="518"/>
      <c r="M78" s="507" t="e">
        <f ca="1" t="shared" si="40"/>
        <v>#DIV/0!</v>
      </c>
      <c r="N78" s="517"/>
      <c r="O78" s="509" t="e">
        <f ca="1">分配表!O604</f>
        <v>#DIV/0!</v>
      </c>
    </row>
    <row r="79" s="459" customFormat="1" ht="14.25" customHeight="1" spans="1:16">
      <c r="A79" s="516" t="s">
        <v>118</v>
      </c>
      <c r="B79" s="503"/>
      <c r="C79" s="498"/>
      <c r="D79" s="518"/>
      <c r="E79" s="507">
        <f ca="1" t="shared" si="39"/>
        <v>0</v>
      </c>
      <c r="F79" s="517"/>
      <c r="G79" s="509" t="e">
        <f ca="1">OFFSET(分配表!C568,0,mth-1,1,1)</f>
        <v>#DIV/0!</v>
      </c>
      <c r="I79" s="516" t="s">
        <v>118</v>
      </c>
      <c r="J79" s="503"/>
      <c r="K79" s="498"/>
      <c r="L79" s="518"/>
      <c r="M79" s="507" t="e">
        <f ca="1" t="shared" si="40"/>
        <v>#DIV/0!</v>
      </c>
      <c r="N79" s="517"/>
      <c r="O79" s="509" t="e">
        <f ca="1">分配表!O568</f>
        <v>#DIV/0!</v>
      </c>
    </row>
    <row r="80" s="459" customFormat="1" ht="14.25" customHeight="1" spans="1:16">
      <c r="A80" s="516" t="s">
        <v>119</v>
      </c>
      <c r="B80" s="503"/>
      <c r="C80" s="498"/>
      <c r="D80" s="518"/>
      <c r="E80" s="507">
        <f ca="1" t="shared" si="39"/>
        <v>0</v>
      </c>
      <c r="F80" s="517"/>
      <c r="G80" s="509" t="e">
        <f ca="1">OFFSET(分配表!C580,0,mth-1,1,1)</f>
        <v>#DIV/0!</v>
      </c>
      <c r="I80" s="516" t="s">
        <v>119</v>
      </c>
      <c r="J80" s="503"/>
      <c r="K80" s="498"/>
      <c r="L80" s="518"/>
      <c r="M80" s="507" t="e">
        <f ca="1" t="shared" si="40"/>
        <v>#DIV/0!</v>
      </c>
      <c r="N80" s="517"/>
      <c r="O80" s="509" t="e">
        <f ca="1">分配表!O580</f>
        <v>#DIV/0!</v>
      </c>
    </row>
    <row r="81" s="459" customFormat="1" ht="14.25" customHeight="1" spans="1:16">
      <c r="A81" s="516" t="s">
        <v>120</v>
      </c>
      <c r="B81" s="503"/>
      <c r="C81" s="498"/>
      <c r="D81" s="518"/>
      <c r="E81" s="507">
        <f ca="1" t="shared" si="39"/>
        <v>0</v>
      </c>
      <c r="F81" s="517"/>
      <c r="G81" s="509" t="e">
        <f ca="1">OFFSET(分配表!C592,0,mth-1,1,1)</f>
        <v>#DIV/0!</v>
      </c>
      <c r="I81" s="516" t="s">
        <v>120</v>
      </c>
      <c r="J81" s="503"/>
      <c r="K81" s="498"/>
      <c r="L81" s="518"/>
      <c r="M81" s="507" t="e">
        <f ca="1" t="shared" si="40"/>
        <v>#DIV/0!</v>
      </c>
      <c r="N81" s="517"/>
      <c r="O81" s="509" t="e">
        <f ca="1">分配表!O592</f>
        <v>#DIV/0!</v>
      </c>
    </row>
    <row r="82" s="459" customFormat="1" ht="14.25" customHeight="1" spans="1:16">
      <c r="A82" s="516" t="s">
        <v>121</v>
      </c>
      <c r="B82" s="503"/>
      <c r="C82" s="498"/>
      <c r="D82" s="518"/>
      <c r="E82" s="507">
        <f ca="1" t="shared" si="39"/>
        <v>0</v>
      </c>
      <c r="F82" s="517"/>
      <c r="G82" s="509" t="e">
        <f ca="1">OFFSET(分配表!C616,0,mth-1,1,1)</f>
        <v>#DIV/0!</v>
      </c>
      <c r="I82" s="516" t="s">
        <v>121</v>
      </c>
      <c r="J82" s="503"/>
      <c r="K82" s="498"/>
      <c r="L82" s="518"/>
      <c r="M82" s="507" t="e">
        <f ca="1" t="shared" si="40"/>
        <v>#DIV/0!</v>
      </c>
      <c r="N82" s="517"/>
      <c r="O82" s="509" t="e">
        <f ca="1">分配表!O616</f>
        <v>#DIV/0!</v>
      </c>
    </row>
    <row r="83" s="459" customFormat="1" ht="12" spans="1:16">
      <c r="A83" s="523" t="s">
        <v>122</v>
      </c>
      <c r="B83" s="485" t="s">
        <v>123</v>
      </c>
      <c r="C83" s="514"/>
      <c r="D83" s="515"/>
      <c r="E83" s="487" t="e">
        <f ca="1">E68+E10</f>
        <v>#DIV/0!</v>
      </c>
      <c r="F83" s="488"/>
      <c r="G83" s="487" t="e">
        <f ca="1">G68+G10</f>
        <v>#DIV/0!</v>
      </c>
      <c r="H83" s="483"/>
      <c r="I83" s="523" t="s">
        <v>122</v>
      </c>
      <c r="J83" s="485" t="s">
        <v>123</v>
      </c>
      <c r="K83" s="514"/>
      <c r="L83" s="515"/>
      <c r="M83" s="487" t="e">
        <f ca="1">M68+M10</f>
        <v>#DIV/0!</v>
      </c>
      <c r="N83" s="488"/>
      <c r="O83" s="487" t="e">
        <f ca="1">O68+O10</f>
        <v>#DIV/0!</v>
      </c>
      <c r="P83" s="475"/>
    </row>
    <row r="84" s="460" customFormat="1" customHeight="1" spans="1:16">
      <c r="A84" s="524" t="s">
        <v>124</v>
      </c>
      <c r="B84" s="525"/>
      <c r="C84" s="514"/>
      <c r="D84" s="515"/>
      <c r="E84" s="487" t="e">
        <f ca="1">E67-E68</f>
        <v>#DIV/0!</v>
      </c>
      <c r="F84" s="526"/>
      <c r="G84" s="487" t="e">
        <f ca="1">G67-G68</f>
        <v>#DIV/0!</v>
      </c>
      <c r="H84" s="527"/>
      <c r="I84" s="524" t="s">
        <v>124</v>
      </c>
      <c r="J84" s="525"/>
      <c r="K84" s="514"/>
      <c r="L84" s="515"/>
      <c r="M84" s="487" t="e">
        <f ca="1">M67-M68</f>
        <v>#DIV/0!</v>
      </c>
      <c r="N84" s="526"/>
      <c r="O84" s="487" t="e">
        <f ca="1">O67-O68</f>
        <v>#DIV/0!</v>
      </c>
      <c r="P84" s="528"/>
    </row>
    <row r="85" s="460" customFormat="1" customHeight="1" spans="1:16">
      <c r="A85" s="524" t="s">
        <v>125</v>
      </c>
      <c r="B85" s="525"/>
      <c r="C85" s="514"/>
      <c r="D85" s="515"/>
      <c r="E85" s="487" t="e">
        <f ca="1">E84+E69</f>
        <v>#DIV/0!</v>
      </c>
      <c r="F85" s="526"/>
      <c r="G85" s="487" t="e">
        <f ca="1">G84+G69</f>
        <v>#DIV/0!</v>
      </c>
      <c r="H85" s="527"/>
      <c r="I85" s="524" t="s">
        <v>125</v>
      </c>
      <c r="J85" s="525"/>
      <c r="K85" s="514"/>
      <c r="L85" s="515"/>
      <c r="M85" s="487" t="e">
        <f ca="1">M84+M69</f>
        <v>#DIV/0!</v>
      </c>
      <c r="N85" s="526"/>
      <c r="O85" s="487" t="e">
        <f ca="1">O84+O69</f>
        <v>#DIV/0!</v>
      </c>
      <c r="P85" s="528"/>
    </row>
    <row r="86" s="459" customFormat="1" customHeight="1" spans="1:16">
      <c r="A86" s="529" t="s">
        <v>126</v>
      </c>
      <c r="B86" s="530" t="s">
        <v>123</v>
      </c>
      <c r="C86" s="531"/>
      <c r="D86" s="532"/>
      <c r="E86" s="533" t="e">
        <f ca="1">E10-E19-E57+E68</f>
        <v>#DIV/0!</v>
      </c>
      <c r="F86" s="533"/>
      <c r="G86" s="534" t="e">
        <f ca="1">G10-G11-G57+G68</f>
        <v>#DIV/0!</v>
      </c>
      <c r="H86" s="535"/>
      <c r="I86" s="536" t="s">
        <v>126</v>
      </c>
      <c r="J86" s="537" t="s">
        <v>123</v>
      </c>
      <c r="K86" s="533"/>
      <c r="L86" s="533"/>
      <c r="M86" s="533" t="e">
        <f ca="1">M10-M19-M57+M68</f>
        <v>#DIV/0!</v>
      </c>
      <c r="N86" s="533"/>
      <c r="O86" s="534" t="e">
        <f ca="1">O10-O11-O57+O68</f>
        <v>#DIV/0!</v>
      </c>
      <c r="P86" s="475"/>
    </row>
    <row r="87" s="459" customFormat="1" customHeight="1" spans="1:16">
      <c r="A87" s="516" t="s">
        <v>127</v>
      </c>
      <c r="B87" s="503"/>
      <c r="C87" s="516"/>
      <c r="D87" s="516"/>
      <c r="E87" s="507">
        <f ca="1">IF(VALUE($F$3)=0,0,G87/$F$3)</f>
        <v>0</v>
      </c>
      <c r="F87" s="517"/>
      <c r="G87" s="507" t="e">
        <f ca="1">OFFSET(分配表!C629,0,mth-1,1,1)</f>
        <v>#DIV/0!</v>
      </c>
      <c r="I87" s="502" t="s">
        <v>127</v>
      </c>
      <c r="J87" s="516"/>
      <c r="K87" s="516"/>
      <c r="L87" s="516"/>
      <c r="M87" s="507" t="e">
        <f ca="1">IF($N$3=0,0,O87/$N$3)</f>
        <v>#DIV/0!</v>
      </c>
      <c r="N87" s="517"/>
      <c r="O87" s="509" t="e">
        <f ca="1">分配表!O629</f>
        <v>#DIV/0!</v>
      </c>
    </row>
    <row r="88" s="459" customFormat="1" customHeight="1" spans="1:16">
      <c r="B88" s="538"/>
      <c r="E88" s="539"/>
    </row>
  </sheetData>
  <mergeCells count="2">
    <mergeCell ref="A1:G1"/>
    <mergeCell ref="I1:O1"/>
  </mergeCells>
  <printOptions horizontalCentered="1"/>
  <pageMargins left="0" right="0" top="0.984251968503937" bottom="0.393700787401575" header="0.511811023622047" footer="0.511811023622047"/>
  <pageSetup paperSize="9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1185" name="Scroll Bar 1" r:id="rId3">
              <controlPr defaultSize="0">
                <anchor moveWithCells="1">
                  <from>
                    <xdr:col>0</xdr:col>
                    <xdr:colOff>0</xdr:colOff>
                    <xdr:row>1</xdr:row>
                    <xdr:rowOff>9525</xdr:rowOff>
                  </from>
                  <to>
                    <xdr:col>0</xdr:col>
                    <xdr:colOff>904875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tabColor rgb="FFC00000"/>
  </sheetPr>
  <dimension ref="A1:T1095"/>
  <sheetViews>
    <sheetView zoomScale="90" zoomScaleNormal="90" zoomScaleSheetLayoutView="85" workbookViewId="0">
      <pane ySplit="4" topLeftCell="A5" activePane="bottomLeft" state="frozen"/>
      <selection/>
      <selection pane="bottomLeft" activeCell="C322" sqref="C322"/>
    </sheetView>
  </sheetViews>
  <sheetFormatPr defaultColWidth="9" defaultRowHeight="15.75"/>
  <cols>
    <col min="1" max="1" width="28.9666666666667" customWidth="1"/>
    <col min="2" max="2" width="7.375" customWidth="1"/>
    <col min="3" max="3" width="11.875" style="369" customWidth="1"/>
    <col min="4" max="6" width="12.25" style="369" customWidth="1"/>
    <col min="7" max="7" width="12.75" style="369" customWidth="1"/>
    <col min="8" max="8" width="12.25" style="369" customWidth="1"/>
    <col min="9" max="14" width="12.25" style="369" hidden="1" customWidth="1"/>
    <col min="15" max="15" width="13.25" style="369" customWidth="1"/>
    <col min="16" max="16" width="17.25" customWidth="1"/>
    <col min="17" max="17" width="15" customWidth="1"/>
    <col min="18" max="18" width="10.5" customWidth="1"/>
    <col min="19" max="19" width="9" customWidth="1"/>
  </cols>
  <sheetData>
    <row r="1" ht="15" customHeight="1" spans="1:20">
      <c r="Q1" s="215"/>
      <c r="R1" s="57" t="s">
        <v>214</v>
      </c>
      <c r="S1" s="370" t="s">
        <v>215</v>
      </c>
    </row>
    <row r="2" ht="15" customHeight="1" spans="1:20">
      <c r="B2" s="102" t="str">
        <f>mth&amp;"月"</f>
        <v>8月</v>
      </c>
      <c r="Q2" s="371" t="s">
        <v>216</v>
      </c>
      <c r="R2" s="372">
        <v>100000</v>
      </c>
      <c r="S2" s="373">
        <f>R2/R4</f>
        <v>0.5</v>
      </c>
    </row>
    <row r="3" ht="15" customHeight="1" spans="1:20">
      <c r="A3" s="223" t="s">
        <v>217</v>
      </c>
      <c r="Q3" s="371" t="s">
        <v>218</v>
      </c>
      <c r="R3" s="372">
        <v>100000</v>
      </c>
      <c r="S3" s="373">
        <f>R3/R4</f>
        <v>0.5</v>
      </c>
      <c r="T3" s="38"/>
    </row>
    <row r="4" s="38" customFormat="1" ht="15" customHeight="1" spans="1:20">
      <c r="A4" s="374" t="s">
        <v>219</v>
      </c>
      <c r="B4" s="106" t="s">
        <v>77</v>
      </c>
      <c r="C4" s="375" t="s">
        <v>220</v>
      </c>
      <c r="D4" s="375" t="s">
        <v>221</v>
      </c>
      <c r="E4" s="375" t="s">
        <v>222</v>
      </c>
      <c r="F4" s="376" t="s">
        <v>223</v>
      </c>
      <c r="G4" s="375" t="s">
        <v>224</v>
      </c>
      <c r="H4" s="375" t="s">
        <v>225</v>
      </c>
      <c r="I4" s="375" t="s">
        <v>226</v>
      </c>
      <c r="J4" s="375" t="s">
        <v>227</v>
      </c>
      <c r="K4" s="375" t="s">
        <v>228</v>
      </c>
      <c r="L4" s="375" t="s">
        <v>229</v>
      </c>
      <c r="M4" s="375" t="s">
        <v>230</v>
      </c>
      <c r="N4" s="375" t="s">
        <v>231</v>
      </c>
      <c r="O4" s="377" t="str">
        <f>CONCATENATE("1-"&amp;mth&amp;"月累计")</f>
        <v>1-8月累计</v>
      </c>
      <c r="P4" s="378"/>
      <c r="Q4" s="379" t="s">
        <v>232</v>
      </c>
      <c r="R4" s="372">
        <f>SUM(R2,R3)</f>
        <v>200000</v>
      </c>
      <c r="S4" s="373">
        <f>SUM(S2,S3)</f>
        <v>1</v>
      </c>
    </row>
    <row r="5" s="38" customFormat="1" ht="15" customHeight="1" spans="1:20">
      <c r="A5" s="307" t="s">
        <v>216</v>
      </c>
      <c r="B5" s="50"/>
      <c r="C5" s="380">
        <f>$S$2</f>
        <v>0.5</v>
      </c>
      <c r="D5" s="380">
        <f t="shared" ref="D5:O5" si="0">$S$2</f>
        <v>0.5</v>
      </c>
      <c r="E5" s="380">
        <f t="shared" si="0"/>
        <v>0.5</v>
      </c>
      <c r="F5" s="380">
        <f t="shared" si="0"/>
        <v>0.5</v>
      </c>
      <c r="G5" s="380">
        <f t="shared" si="0"/>
        <v>0.5</v>
      </c>
      <c r="H5" s="380">
        <f t="shared" si="0"/>
        <v>0.5</v>
      </c>
      <c r="I5" s="380">
        <f t="shared" si="0"/>
        <v>0.5</v>
      </c>
      <c r="J5" s="380">
        <f t="shared" si="0"/>
        <v>0.5</v>
      </c>
      <c r="K5" s="380">
        <f t="shared" si="0"/>
        <v>0.5</v>
      </c>
      <c r="L5" s="380">
        <f t="shared" si="0"/>
        <v>0.5</v>
      </c>
      <c r="M5" s="380">
        <f t="shared" si="0"/>
        <v>0.5</v>
      </c>
      <c r="N5" s="380">
        <f t="shared" si="0"/>
        <v>0.5</v>
      </c>
      <c r="O5" s="381">
        <f t="shared" si="0"/>
        <v>0.5</v>
      </c>
      <c r="P5" s="378"/>
    </row>
    <row r="6" s="38" customFormat="1" ht="15" customHeight="1" spans="1:20">
      <c r="A6" s="307" t="s">
        <v>218</v>
      </c>
      <c r="B6" s="50"/>
      <c r="C6" s="380">
        <f t="shared" ref="C6:O6" si="1">$S$3</f>
        <v>0.5</v>
      </c>
      <c r="D6" s="380">
        <f t="shared" si="1"/>
        <v>0.5</v>
      </c>
      <c r="E6" s="380">
        <f t="shared" si="1"/>
        <v>0.5</v>
      </c>
      <c r="F6" s="380">
        <f t="shared" si="1"/>
        <v>0.5</v>
      </c>
      <c r="G6" s="380">
        <f t="shared" si="1"/>
        <v>0.5</v>
      </c>
      <c r="H6" s="380">
        <f t="shared" si="1"/>
        <v>0.5</v>
      </c>
      <c r="I6" s="380">
        <f t="shared" si="1"/>
        <v>0.5</v>
      </c>
      <c r="J6" s="380">
        <f t="shared" si="1"/>
        <v>0.5</v>
      </c>
      <c r="K6" s="380">
        <f t="shared" si="1"/>
        <v>0.5</v>
      </c>
      <c r="L6" s="380">
        <f t="shared" si="1"/>
        <v>0.5</v>
      </c>
      <c r="M6" s="380">
        <f t="shared" si="1"/>
        <v>0.5</v>
      </c>
      <c r="N6" s="380">
        <f t="shared" si="1"/>
        <v>0.5</v>
      </c>
      <c r="O6" s="381">
        <f t="shared" si="1"/>
        <v>0.5</v>
      </c>
      <c r="P6" s="382"/>
      <c r="R6" s="71"/>
      <c r="T6"/>
    </row>
    <row r="7" s="38" customFormat="1" ht="15" customHeight="1" spans="1:20">
      <c r="A7" s="383" t="s">
        <v>232</v>
      </c>
      <c r="B7" s="202"/>
      <c r="C7" s="384">
        <f>C5+C6</f>
        <v>1</v>
      </c>
      <c r="D7" s="384">
        <f t="shared" ref="D7:O7" si="2">D5+D6</f>
        <v>1</v>
      </c>
      <c r="E7" s="384">
        <f t="shared" si="2"/>
        <v>1</v>
      </c>
      <c r="F7" s="384">
        <f t="shared" si="2"/>
        <v>1</v>
      </c>
      <c r="G7" s="384">
        <f t="shared" si="2"/>
        <v>1</v>
      </c>
      <c r="H7" s="384">
        <f t="shared" si="2"/>
        <v>1</v>
      </c>
      <c r="I7" s="384">
        <f t="shared" si="2"/>
        <v>1</v>
      </c>
      <c r="J7" s="384">
        <f t="shared" si="2"/>
        <v>1</v>
      </c>
      <c r="K7" s="384">
        <f t="shared" si="2"/>
        <v>1</v>
      </c>
      <c r="L7" s="384">
        <f t="shared" si="2"/>
        <v>1</v>
      </c>
      <c r="M7" s="384">
        <f t="shared" si="2"/>
        <v>1</v>
      </c>
      <c r="N7" s="384">
        <f t="shared" si="2"/>
        <v>1</v>
      </c>
      <c r="O7" s="385">
        <f t="shared" si="2"/>
        <v>1</v>
      </c>
      <c r="P7" s="382"/>
      <c r="R7" s="71"/>
    </row>
    <row r="8" ht="15" customHeight="1" spans="1:20">
      <c r="Q8" s="38"/>
      <c r="R8" s="71"/>
      <c r="S8" s="38"/>
      <c r="T8" s="38"/>
    </row>
    <row r="9" s="38" customFormat="1" ht="15" customHeight="1" spans="1:20">
      <c r="A9" s="374" t="s">
        <v>233</v>
      </c>
      <c r="B9" s="106" t="s">
        <v>77</v>
      </c>
      <c r="C9" s="375" t="s">
        <v>220</v>
      </c>
      <c r="D9" s="375" t="s">
        <v>221</v>
      </c>
      <c r="E9" s="375" t="s">
        <v>222</v>
      </c>
      <c r="F9" s="376" t="s">
        <v>223</v>
      </c>
      <c r="G9" s="375" t="s">
        <v>224</v>
      </c>
      <c r="H9" s="375" t="s">
        <v>225</v>
      </c>
      <c r="I9" s="375" t="s">
        <v>226</v>
      </c>
      <c r="J9" s="375" t="s">
        <v>227</v>
      </c>
      <c r="K9" s="375" t="s">
        <v>228</v>
      </c>
      <c r="L9" s="375" t="s">
        <v>229</v>
      </c>
      <c r="M9" s="375" t="s">
        <v>230</v>
      </c>
      <c r="N9" s="375" t="s">
        <v>231</v>
      </c>
      <c r="O9" s="377" t="str">
        <f>CONCATENATE("1-"&amp;mth&amp;"月累计")</f>
        <v>1-8月累计</v>
      </c>
      <c r="P9" s="378"/>
      <c r="R9" s="71"/>
    </row>
    <row r="10" s="38" customFormat="1" ht="15" customHeight="1" spans="1:20">
      <c r="A10" s="386" t="s">
        <v>216</v>
      </c>
      <c r="B10" s="387"/>
      <c r="C10" s="388">
        <f>基础表!C25/基础表!C30</f>
        <v>0.574877757065652</v>
      </c>
      <c r="D10" s="388">
        <f>基础表!D25/基础表!D30</f>
        <v>0.587292529672235</v>
      </c>
      <c r="E10" s="388">
        <f>基础表!E25/基础表!E30</f>
        <v>0.525573964072229</v>
      </c>
      <c r="F10" s="380">
        <f>基础表!F25/基础表!F30</f>
        <v>0.635038044420374</v>
      </c>
      <c r="G10" s="380">
        <f>基础表!G25/基础表!G30</f>
        <v>0.649397240990102</v>
      </c>
      <c r="H10" s="380">
        <f>基础表!H25/基础表!H30</f>
        <v>0.628256863254045</v>
      </c>
      <c r="I10" s="380">
        <f>基础表!I25/基础表!I30</f>
        <v>0.896031595305064</v>
      </c>
      <c r="J10" s="380" t="e">
        <f>基础表!J25/基础表!J30</f>
        <v>#DIV/0!</v>
      </c>
      <c r="K10" s="380" t="e">
        <f>基础表!K25/基础表!K30</f>
        <v>#DIV/0!</v>
      </c>
      <c r="L10" s="380" t="e">
        <f>基础表!L25/基础表!L30</f>
        <v>#DIV/0!</v>
      </c>
      <c r="M10" s="380" t="e">
        <f>基础表!M25/基础表!M30</f>
        <v>#DIV/0!</v>
      </c>
      <c r="N10" s="380" t="e">
        <f>基础表!N25/基础表!N30</f>
        <v>#DIV/0!</v>
      </c>
      <c r="O10" s="381">
        <f ca="1">基础表!O25/基础表!O30</f>
        <v>0.597058892374155</v>
      </c>
      <c r="P10" s="378"/>
      <c r="R10" s="71"/>
    </row>
    <row r="11" s="38" customFormat="1" ht="15" customHeight="1" spans="1:20">
      <c r="A11" s="307" t="s">
        <v>234</v>
      </c>
      <c r="B11" s="50"/>
      <c r="C11" s="388">
        <f>基础表!C19/基础表!C25</f>
        <v>0.851140360343518</v>
      </c>
      <c r="D11" s="388">
        <f>基础表!D19/基础表!D25</f>
        <v>0.865935421137738</v>
      </c>
      <c r="E11" s="388">
        <f>基础表!E19/基础表!E25</f>
        <v>0.814514628651839</v>
      </c>
      <c r="F11" s="380">
        <f>IF(基础表!F25=0,0,基础表!F19/基础表!F25)</f>
        <v>0.842565774107878</v>
      </c>
      <c r="G11" s="380">
        <f>基础表!G19/基础表!G25</f>
        <v>0.900882146757292</v>
      </c>
      <c r="H11" s="380">
        <f>基础表!H19/基础表!H25</f>
        <v>0.83854918544321</v>
      </c>
      <c r="I11" s="380">
        <f>基础表!I19/基础表!I25</f>
        <v>1</v>
      </c>
      <c r="J11" s="380" t="e">
        <f>基础表!J19/基础表!J25</f>
        <v>#DIV/0!</v>
      </c>
      <c r="K11" s="380" t="e">
        <f>基础表!K19/基础表!K25</f>
        <v>#DIV/0!</v>
      </c>
      <c r="L11" s="380" t="e">
        <f>基础表!L19/基础表!L25</f>
        <v>#DIV/0!</v>
      </c>
      <c r="M11" s="380" t="e">
        <f>基础表!M19/基础表!M25</f>
        <v>#DIV/0!</v>
      </c>
      <c r="N11" s="380" t="e">
        <f>基础表!N19/基础表!N25</f>
        <v>#DIV/0!</v>
      </c>
      <c r="O11" s="381">
        <f ca="1">基础表!O19/基础表!O25</f>
        <v>0.850614951014177</v>
      </c>
      <c r="P11" s="378"/>
      <c r="R11" s="71"/>
    </row>
    <row r="12" s="38" customFormat="1" spans="1:20">
      <c r="A12" s="307" t="s">
        <v>235</v>
      </c>
      <c r="B12" s="50"/>
      <c r="C12" s="388">
        <f>基础表!C20/基础表!C25</f>
        <v>0</v>
      </c>
      <c r="D12" s="388">
        <f>基础表!D20/基础表!D25</f>
        <v>0</v>
      </c>
      <c r="E12" s="388">
        <f>基础表!E20/基础表!E25</f>
        <v>0</v>
      </c>
      <c r="F12" s="380">
        <f>IF(基础表!F25=0,0,基础表!F20/基础表!F25)</f>
        <v>0</v>
      </c>
      <c r="G12" s="380">
        <f>基础表!G20/基础表!G25</f>
        <v>0</v>
      </c>
      <c r="H12" s="380">
        <f>基础表!H20/基础表!H25</f>
        <v>0</v>
      </c>
      <c r="I12" s="380">
        <f>基础表!I20/基础表!I25</f>
        <v>0</v>
      </c>
      <c r="J12" s="380" t="e">
        <f>基础表!J20/基础表!J25</f>
        <v>#DIV/0!</v>
      </c>
      <c r="K12" s="380" t="e">
        <f>基础表!K20/基础表!K25</f>
        <v>#DIV/0!</v>
      </c>
      <c r="L12" s="380" t="e">
        <f>基础表!L20/基础表!L25</f>
        <v>#DIV/0!</v>
      </c>
      <c r="M12" s="380" t="e">
        <f>基础表!M20/基础表!M25</f>
        <v>#DIV/0!</v>
      </c>
      <c r="N12" s="380" t="e">
        <f>基础表!N20/基础表!N25</f>
        <v>#DIV/0!</v>
      </c>
      <c r="O12" s="381">
        <f ca="1">基础表!O20/基础表!O25</f>
        <v>0</v>
      </c>
      <c r="P12" s="382"/>
      <c r="Q12"/>
      <c r="R12"/>
    </row>
    <row r="13" s="38" customFormat="1" spans="1:20">
      <c r="A13" s="123" t="s">
        <v>236</v>
      </c>
      <c r="B13" s="50"/>
      <c r="C13" s="388">
        <f>基础表!C21/基础表!C25</f>
        <v>0</v>
      </c>
      <c r="D13" s="388">
        <f>基础表!D21/基础表!D25</f>
        <v>0</v>
      </c>
      <c r="E13" s="388">
        <f>基础表!E21/基础表!E25</f>
        <v>0</v>
      </c>
      <c r="F13" s="380">
        <f>IF(基础表!F25=0,0,基础表!F21/基础表!F25)</f>
        <v>0</v>
      </c>
      <c r="G13" s="380">
        <f>基础表!G21/基础表!G25</f>
        <v>0</v>
      </c>
      <c r="H13" s="380">
        <f>基础表!H21/基础表!H25</f>
        <v>0</v>
      </c>
      <c r="I13" s="380">
        <f>基础表!I21/基础表!I25</f>
        <v>0</v>
      </c>
      <c r="J13" s="380" t="e">
        <f>基础表!J21/基础表!J25</f>
        <v>#DIV/0!</v>
      </c>
      <c r="K13" s="380" t="e">
        <f>基础表!K21/基础表!K25</f>
        <v>#DIV/0!</v>
      </c>
      <c r="L13" s="380" t="e">
        <f>基础表!L21/基础表!L25</f>
        <v>#DIV/0!</v>
      </c>
      <c r="M13" s="380" t="e">
        <f>基础表!M21/基础表!M25</f>
        <v>#DIV/0!</v>
      </c>
      <c r="N13" s="380" t="e">
        <f>基础表!N21/基础表!N25</f>
        <v>#DIV/0!</v>
      </c>
      <c r="O13" s="380">
        <f ca="1">基础表!O21/基础表!O25</f>
        <v>0</v>
      </c>
      <c r="P13" s="382"/>
      <c r="Q13"/>
      <c r="R13"/>
    </row>
    <row r="14" s="38" customFormat="1" ht="15" customHeight="1" spans="1:20">
      <c r="A14" s="307" t="s">
        <v>237</v>
      </c>
      <c r="B14" s="50"/>
      <c r="C14" s="388">
        <f>基础表!C22/基础表!C25</f>
        <v>0</v>
      </c>
      <c r="D14" s="388">
        <f>基础表!D22/基础表!D25</f>
        <v>0.0398335018251469</v>
      </c>
      <c r="E14" s="388">
        <f>基础表!E22/基础表!E25</f>
        <v>0.0543806112764288</v>
      </c>
      <c r="F14" s="380">
        <f>IF(基础表!F25=0,0,基础表!F22/基础表!F25)</f>
        <v>0.0504540105310559</v>
      </c>
      <c r="G14" s="380">
        <f>基础表!G22/基础表!G25</f>
        <v>0</v>
      </c>
      <c r="H14" s="380">
        <f>基础表!H22/基础表!H25</f>
        <v>0.0355431827805372</v>
      </c>
      <c r="I14" s="380">
        <f>基础表!I22/基础表!I25</f>
        <v>0</v>
      </c>
      <c r="J14" s="380" t="e">
        <f>基础表!J22/基础表!J25</f>
        <v>#DIV/0!</v>
      </c>
      <c r="K14" s="380" t="e">
        <f>基础表!K22/基础表!K25</f>
        <v>#DIV/0!</v>
      </c>
      <c r="L14" s="380" t="e">
        <f>基础表!L22/基础表!L25</f>
        <v>#DIV/0!</v>
      </c>
      <c r="M14" s="380" t="e">
        <f>基础表!M22/基础表!M25</f>
        <v>#DIV/0!</v>
      </c>
      <c r="N14" s="380" t="e">
        <f>基础表!N22/基础表!N25</f>
        <v>#DIV/0!</v>
      </c>
      <c r="O14" s="381">
        <f ca="1">基础表!O22/基础表!O25</f>
        <v>0.0306168203715836</v>
      </c>
      <c r="P14" s="382"/>
      <c r="Q14"/>
      <c r="R14"/>
    </row>
    <row r="15" s="38" customFormat="1" ht="15" customHeight="1" spans="1:20">
      <c r="A15" s="307" t="s">
        <v>238</v>
      </c>
      <c r="B15" s="60"/>
      <c r="C15" s="388">
        <f>基础表!C23/基础表!C25</f>
        <v>0.148859639656482</v>
      </c>
      <c r="D15" s="388">
        <f>基础表!D23/基础表!D25</f>
        <v>0.0903345765122503</v>
      </c>
      <c r="E15" s="388">
        <f>基础表!E23/基础表!E25</f>
        <v>0.131104760071732</v>
      </c>
      <c r="F15" s="380">
        <f>IF(基础表!F25=0,0,基础表!F23/基础表!F25)</f>
        <v>0.106980215361066</v>
      </c>
      <c r="G15" s="380">
        <f>基础表!G23/基础表!G25</f>
        <v>0.0991178532427077</v>
      </c>
      <c r="H15" s="380">
        <f>基础表!H23/基础表!H25</f>
        <v>0.125907631776252</v>
      </c>
      <c r="I15" s="380">
        <f>基础表!I23/基础表!I25</f>
        <v>0</v>
      </c>
      <c r="J15" s="380" t="e">
        <f>基础表!J23/基础表!J25</f>
        <v>#DIV/0!</v>
      </c>
      <c r="K15" s="380" t="e">
        <f>基础表!K23/基础表!K25</f>
        <v>#DIV/0!</v>
      </c>
      <c r="L15" s="380" t="e">
        <f>基础表!L23/基础表!L25</f>
        <v>#DIV/0!</v>
      </c>
      <c r="M15" s="380" t="e">
        <f>基础表!M23/基础表!M25</f>
        <v>#DIV/0!</v>
      </c>
      <c r="N15" s="380" t="e">
        <f>基础表!N23/基础表!N25</f>
        <v>#DIV/0!</v>
      </c>
      <c r="O15" s="381">
        <f ca="1">基础表!O23/基础表!O25</f>
        <v>0.118150875032081</v>
      </c>
      <c r="P15" s="382"/>
      <c r="Q15"/>
      <c r="R15"/>
      <c r="S15"/>
    </row>
    <row r="16" s="38" customFormat="1" ht="15" customHeight="1" spans="1:20">
      <c r="A16" s="307" t="s">
        <v>239</v>
      </c>
      <c r="B16" s="60"/>
      <c r="C16" s="388">
        <f>基础表!C24/基础表!C25</f>
        <v>0</v>
      </c>
      <c r="D16" s="388">
        <f>基础表!D24/基础表!D25</f>
        <v>0.00389650052486456</v>
      </c>
      <c r="E16" s="388">
        <f>基础表!E24/基础表!E25</f>
        <v>0</v>
      </c>
      <c r="F16" s="388">
        <f>基础表!F24/基础表!F25</f>
        <v>0</v>
      </c>
      <c r="G16" s="388">
        <f>基础表!G24/基础表!G25</f>
        <v>0</v>
      </c>
      <c r="H16" s="388">
        <f>基础表!H24/基础表!H25</f>
        <v>0</v>
      </c>
      <c r="I16" s="388">
        <f>基础表!I24/基础表!I25</f>
        <v>0</v>
      </c>
      <c r="J16" s="388" t="e">
        <f>基础表!J24/基础表!J25</f>
        <v>#DIV/0!</v>
      </c>
      <c r="K16" s="388" t="e">
        <f>基础表!K24/基础表!K25</f>
        <v>#DIV/0!</v>
      </c>
      <c r="L16" s="388" t="e">
        <f>基础表!L24/基础表!L25</f>
        <v>#DIV/0!</v>
      </c>
      <c r="M16" s="388" t="e">
        <f>基础表!M24/基础表!M25</f>
        <v>#DIV/0!</v>
      </c>
      <c r="N16" s="388" t="e">
        <f>基础表!N24/基础表!N25</f>
        <v>#DIV/0!</v>
      </c>
      <c r="O16" s="388">
        <f ca="1">基础表!O24/基础表!O25</f>
        <v>0.000617353582159011</v>
      </c>
      <c r="P16" s="382"/>
      <c r="Q16"/>
      <c r="R16"/>
      <c r="S16"/>
    </row>
    <row r="17" s="38" customFormat="1" ht="15" customHeight="1" spans="1:20">
      <c r="A17" s="386" t="s">
        <v>218</v>
      </c>
      <c r="B17" s="389"/>
      <c r="C17" s="390">
        <f>基础表!C26/基础表!C30</f>
        <v>0.418122081013471</v>
      </c>
      <c r="D17" s="390">
        <f>基础表!D26/基础表!D30</f>
        <v>0.405456506015014</v>
      </c>
      <c r="E17" s="390">
        <f>基础表!E26/基础表!E30</f>
        <v>0.468677534080052</v>
      </c>
      <c r="F17" s="391">
        <f>基础表!F26/基础表!F30</f>
        <v>0.348795128187769</v>
      </c>
      <c r="G17" s="391">
        <f>基础表!G26/基础表!G30</f>
        <v>0.33372474755935</v>
      </c>
      <c r="H17" s="391">
        <f>基础表!H26/基础表!H30</f>
        <v>0.358649726503436</v>
      </c>
      <c r="I17" s="391">
        <f>基础表!I26/基础表!I30</f>
        <v>0.103968404694936</v>
      </c>
      <c r="J17" s="391" t="e">
        <f>基础表!J26/基础表!J30</f>
        <v>#DIV/0!</v>
      </c>
      <c r="K17" s="391" t="e">
        <f>基础表!K26/基础表!K30</f>
        <v>#DIV/0!</v>
      </c>
      <c r="L17" s="391" t="e">
        <f>基础表!L26/基础表!L30</f>
        <v>#DIV/0!</v>
      </c>
      <c r="M17" s="391" t="e">
        <f>基础表!M26/基础表!M30</f>
        <v>#DIV/0!</v>
      </c>
      <c r="N17" s="391" t="e">
        <f>基础表!N26/基础表!N30</f>
        <v>#DIV/0!</v>
      </c>
      <c r="O17" s="392">
        <f ca="1">基础表!O26/基础表!O30</f>
        <v>0.391477441757577</v>
      </c>
      <c r="P17" s="382"/>
      <c r="S17"/>
      <c r="T17"/>
    </row>
    <row r="18" s="38" customFormat="1" ht="15" customHeight="1" spans="1:20">
      <c r="A18" s="393" t="s">
        <v>240</v>
      </c>
      <c r="B18" s="389"/>
      <c r="C18" s="390">
        <f>基础表!C27/基础表!C30</f>
        <v>0.00700016192087746</v>
      </c>
      <c r="D18" s="390">
        <f>基础表!D27/基础表!D30</f>
        <v>0.00725096431275041</v>
      </c>
      <c r="E18" s="390">
        <f>基础表!E27/基础表!E30</f>
        <v>0.00574850184771943</v>
      </c>
      <c r="F18" s="390">
        <f>基础表!F27/基础表!F30</f>
        <v>0.0161668273918562</v>
      </c>
      <c r="G18" s="390">
        <f>基础表!G27/基础表!G30</f>
        <v>0.0168780114505486</v>
      </c>
      <c r="H18" s="390">
        <f>基础表!H27/基础表!H30</f>
        <v>0.0130934102425187</v>
      </c>
      <c r="I18" s="390">
        <f>基础表!I27/基础表!I30</f>
        <v>0</v>
      </c>
      <c r="J18" s="390" t="e">
        <f>基础表!J27/基础表!J30</f>
        <v>#DIV/0!</v>
      </c>
      <c r="K18" s="390" t="e">
        <f>基础表!K27/基础表!K30</f>
        <v>#DIV/0!</v>
      </c>
      <c r="L18" s="390" t="e">
        <f>基础表!L27/基础表!L30</f>
        <v>#DIV/0!</v>
      </c>
      <c r="M18" s="390" t="e">
        <f>基础表!M27/基础表!M30</f>
        <v>#DIV/0!</v>
      </c>
      <c r="N18" s="390" t="e">
        <f>基础表!N27/基础表!N30</f>
        <v>#DIV/0!</v>
      </c>
      <c r="O18" s="394">
        <f ca="1">基础表!O27/基础表!O30</f>
        <v>0.0114636658682682</v>
      </c>
      <c r="P18" s="382"/>
      <c r="S18"/>
      <c r="T18"/>
    </row>
    <row r="19" s="38" customFormat="1" ht="15" customHeight="1" spans="1:20">
      <c r="A19" s="307" t="s">
        <v>241</v>
      </c>
      <c r="B19" s="389"/>
      <c r="C19" s="390">
        <f>基础表!C28/基础表!C27</f>
        <v>0.462754585541969</v>
      </c>
      <c r="D19" s="390">
        <f>基础表!D28/基础表!D27</f>
        <v>0.142695415139532</v>
      </c>
      <c r="E19" s="390">
        <f>基础表!E28/基础表!E27</f>
        <v>0.692089345959378</v>
      </c>
      <c r="F19" s="390">
        <f>基础表!F28/基础表!F27</f>
        <v>0.484297528327527</v>
      </c>
      <c r="G19" s="390">
        <f>基础表!G28/基础表!G27</f>
        <v>0.290090869792594</v>
      </c>
      <c r="H19" s="390">
        <f>基础表!H28/基础表!H27</f>
        <v>0.19274753096523</v>
      </c>
      <c r="I19" s="390" t="e">
        <f>基础表!I28/基础表!I27</f>
        <v>#DIV/0!</v>
      </c>
      <c r="J19" s="390" t="e">
        <f>基础表!J28/基础表!J27</f>
        <v>#DIV/0!</v>
      </c>
      <c r="K19" s="390" t="e">
        <f>基础表!K28/基础表!K27</f>
        <v>#DIV/0!</v>
      </c>
      <c r="L19" s="390" t="e">
        <f>基础表!L28/基础表!L27</f>
        <v>#DIV/0!</v>
      </c>
      <c r="M19" s="390" t="e">
        <f>基础表!M28/基础表!M27</f>
        <v>#DIV/0!</v>
      </c>
      <c r="N19" s="390" t="e">
        <f>基础表!N28/基础表!N27</f>
        <v>#DIV/0!</v>
      </c>
      <c r="O19" s="394">
        <f ca="1">基础表!O28/基础表!O27</f>
        <v>0.349608304622891</v>
      </c>
      <c r="P19" s="382"/>
      <c r="S19"/>
      <c r="T19"/>
    </row>
    <row r="20" s="38" customFormat="1" ht="15" customHeight="1" spans="1:20">
      <c r="A20" s="307" t="s">
        <v>242</v>
      </c>
      <c r="B20" s="389"/>
      <c r="C20" s="390">
        <f>基础表!C29/基础表!C27</f>
        <v>0.537245414458031</v>
      </c>
      <c r="D20" s="390">
        <f>基础表!D29/基础表!D27</f>
        <v>0.857304584860468</v>
      </c>
      <c r="E20" s="390">
        <f>基础表!E29/基础表!E27</f>
        <v>0.307910654040625</v>
      </c>
      <c r="F20" s="390">
        <f>基础表!F29/基础表!F27</f>
        <v>0.515702471672473</v>
      </c>
      <c r="G20" s="390">
        <f>基础表!G29/基础表!G27</f>
        <v>0.709909130207406</v>
      </c>
      <c r="H20" s="390">
        <f>基础表!H29/基础表!H27</f>
        <v>0.807252469034767</v>
      </c>
      <c r="I20" s="390" t="e">
        <f>基础表!I29/基础表!I27</f>
        <v>#DIV/0!</v>
      </c>
      <c r="J20" s="390" t="e">
        <f>基础表!J29/基础表!J27</f>
        <v>#DIV/0!</v>
      </c>
      <c r="K20" s="390" t="e">
        <f>基础表!K29/基础表!K27</f>
        <v>#DIV/0!</v>
      </c>
      <c r="L20" s="390" t="e">
        <f>基础表!L29/基础表!L27</f>
        <v>#DIV/0!</v>
      </c>
      <c r="M20" s="390" t="e">
        <f>基础表!M29/基础表!M27</f>
        <v>#DIV/0!</v>
      </c>
      <c r="N20" s="390" t="e">
        <f>基础表!N29/基础表!N27</f>
        <v>#DIV/0!</v>
      </c>
      <c r="O20" s="394">
        <f ca="1">基础表!O29/基础表!O27</f>
        <v>0.650391695377109</v>
      </c>
      <c r="P20" s="382"/>
      <c r="S20"/>
      <c r="T20"/>
    </row>
    <row r="21" s="38" customFormat="1" ht="15" customHeight="1" spans="1:20">
      <c r="A21" s="383" t="s">
        <v>232</v>
      </c>
      <c r="B21" s="202"/>
      <c r="C21" s="395">
        <f t="shared" ref="C21:O21" si="3">SUM(C10,C17,C18)</f>
        <v>1</v>
      </c>
      <c r="D21" s="395">
        <f t="shared" si="3"/>
        <v>1</v>
      </c>
      <c r="E21" s="395">
        <f t="shared" si="3"/>
        <v>1</v>
      </c>
      <c r="F21" s="395">
        <f t="shared" si="3"/>
        <v>1</v>
      </c>
      <c r="G21" s="395">
        <f t="shared" si="3"/>
        <v>1</v>
      </c>
      <c r="H21" s="395">
        <f t="shared" si="3"/>
        <v>1</v>
      </c>
      <c r="I21" s="395">
        <f t="shared" si="3"/>
        <v>1</v>
      </c>
      <c r="J21" s="395" t="e">
        <f t="shared" si="3"/>
        <v>#DIV/0!</v>
      </c>
      <c r="K21" s="395" t="e">
        <f t="shared" si="3"/>
        <v>#DIV/0!</v>
      </c>
      <c r="L21" s="395" t="e">
        <f t="shared" si="3"/>
        <v>#DIV/0!</v>
      </c>
      <c r="M21" s="395" t="e">
        <f t="shared" si="3"/>
        <v>#DIV/0!</v>
      </c>
      <c r="N21" s="395" t="e">
        <f t="shared" si="3"/>
        <v>#DIV/0!</v>
      </c>
      <c r="O21" s="396">
        <f ca="1" t="shared" si="3"/>
        <v>1</v>
      </c>
      <c r="P21" s="382"/>
      <c r="Q21"/>
      <c r="R21"/>
      <c r="T21"/>
    </row>
    <row r="22" ht="16.5" spans="1:20">
      <c r="T22" s="38"/>
    </row>
    <row r="23" s="38" customFormat="1" ht="15" customHeight="1" spans="1:20">
      <c r="A23" s="374" t="s">
        <v>243</v>
      </c>
      <c r="B23" s="106" t="s">
        <v>77</v>
      </c>
      <c r="C23" s="375" t="s">
        <v>220</v>
      </c>
      <c r="D23" s="375" t="s">
        <v>221</v>
      </c>
      <c r="E23" s="375" t="s">
        <v>222</v>
      </c>
      <c r="F23" s="376" t="s">
        <v>223</v>
      </c>
      <c r="G23" s="375" t="s">
        <v>224</v>
      </c>
      <c r="H23" s="375" t="s">
        <v>225</v>
      </c>
      <c r="I23" s="375" t="s">
        <v>226</v>
      </c>
      <c r="J23" s="375" t="s">
        <v>227</v>
      </c>
      <c r="K23" s="375" t="s">
        <v>228</v>
      </c>
      <c r="L23" s="375" t="s">
        <v>229</v>
      </c>
      <c r="M23" s="375" t="s">
        <v>230</v>
      </c>
      <c r="N23" s="375" t="s">
        <v>231</v>
      </c>
      <c r="O23" s="377" t="str">
        <f>CONCATENATE("1-"&amp;mth&amp;"月累计")</f>
        <v>1-8月累计</v>
      </c>
      <c r="P23" s="378"/>
      <c r="R23" s="71"/>
    </row>
    <row r="24" s="38" customFormat="1" ht="15" customHeight="1" spans="1:20">
      <c r="A24" s="397" t="s">
        <v>234</v>
      </c>
      <c r="B24" s="50"/>
      <c r="C24" s="380">
        <f>基础表!C19/(基础表!C25+基础表!C23*0.5)</f>
        <v>0.792178646418788</v>
      </c>
      <c r="D24" s="380">
        <f>基础表!D19/(基础表!D25+基础表!D23*0.5)</f>
        <v>0.828513703851718</v>
      </c>
      <c r="E24" s="380">
        <f>基础表!E19/(基础表!E25+基础表!E23*0.5)</f>
        <v>0.764405996281874</v>
      </c>
      <c r="F24" s="380">
        <f>基础表!F19/(基础表!F25+基础表!F23*0.5)</f>
        <v>0.799785178773965</v>
      </c>
      <c r="G24" s="380">
        <f>基础表!G19/(基础表!G25+基础表!G23*0.5)</f>
        <v>0.858343561192254</v>
      </c>
      <c r="H24" s="380">
        <f>基础表!H19/(基础表!H25+基础表!H23*0.5)</f>
        <v>0.788885813202129</v>
      </c>
      <c r="I24" s="380">
        <f>基础表!I19/(基础表!I25+基础表!I23*0.5)</f>
        <v>1</v>
      </c>
      <c r="J24" s="380" t="e">
        <f>基础表!J19/(基础表!J25+基础表!J23*0.5)</f>
        <v>#DIV/0!</v>
      </c>
      <c r="K24" s="380" t="e">
        <f>基础表!K19/(基础表!K25+基础表!K23*0.5)</f>
        <v>#DIV/0!</v>
      </c>
      <c r="L24" s="380" t="e">
        <f>基础表!L19/(基础表!L25+基础表!L23*0.5)</f>
        <v>#DIV/0!</v>
      </c>
      <c r="M24" s="380" t="e">
        <f>基础表!M19/(基础表!M25+基础表!M23*0.5)</f>
        <v>#DIV/0!</v>
      </c>
      <c r="N24" s="380" t="e">
        <f>基础表!N19/(基础表!N25+基础表!N23*0.5)</f>
        <v>#DIV/0!</v>
      </c>
      <c r="O24" s="381"/>
      <c r="P24" s="378"/>
      <c r="R24" s="71"/>
    </row>
    <row r="25" s="38" customFormat="1" spans="1:20">
      <c r="A25" s="397" t="s">
        <v>235</v>
      </c>
      <c r="B25" s="50"/>
      <c r="C25" s="380">
        <f>基础表!C20/(基础表!C25+基础表!C23*0.5)</f>
        <v>0</v>
      </c>
      <c r="D25" s="380">
        <f>基础表!D20/(基础表!D25+基础表!D23*0.5)</f>
        <v>0</v>
      </c>
      <c r="E25" s="380">
        <f>基础表!E20/(基础表!E25+基础表!E23*0.5)</f>
        <v>0</v>
      </c>
      <c r="F25" s="380">
        <f>基础表!F20/(基础表!F25+基础表!F23*0.5)</f>
        <v>0</v>
      </c>
      <c r="G25" s="380">
        <f>基础表!G20/(基础表!G25+基础表!G23*0.5)</f>
        <v>0</v>
      </c>
      <c r="H25" s="380">
        <f>基础表!H20/(基础表!H25+基础表!H23*0.5)</f>
        <v>0</v>
      </c>
      <c r="I25" s="380">
        <f>基础表!I20/(基础表!I25+基础表!I23*0.5)</f>
        <v>0</v>
      </c>
      <c r="J25" s="380" t="e">
        <f>基础表!J20/(基础表!J25+基础表!J23*0.5)</f>
        <v>#DIV/0!</v>
      </c>
      <c r="K25" s="380" t="e">
        <f>基础表!K20/(基础表!K25+基础表!K23*0.5)</f>
        <v>#DIV/0!</v>
      </c>
      <c r="L25" s="380" t="e">
        <f>基础表!L20/(基础表!L25+基础表!L23*0.5)</f>
        <v>#DIV/0!</v>
      </c>
      <c r="M25" s="380" t="e">
        <f>基础表!M20/(基础表!M25+基础表!M23*0.5)</f>
        <v>#DIV/0!</v>
      </c>
      <c r="N25" s="380" t="e">
        <f>基础表!N20/(基础表!N25+基础表!N23*0.5)</f>
        <v>#DIV/0!</v>
      </c>
      <c r="O25" s="381"/>
      <c r="P25" s="382"/>
      <c r="Q25"/>
      <c r="R25"/>
    </row>
    <row r="26" s="38" customFormat="1" spans="1:20">
      <c r="A26" s="398" t="s">
        <v>236</v>
      </c>
      <c r="B26" s="50"/>
      <c r="C26" s="380">
        <f>基础表!C21/(基础表!C25+基础表!C23*0.5)</f>
        <v>0</v>
      </c>
      <c r="D26" s="380">
        <f>基础表!D21/(基础表!D25+基础表!D23*0.5)</f>
        <v>0</v>
      </c>
      <c r="E26" s="380">
        <f>基础表!E21/(基础表!E25+基础表!E23*0.5)</f>
        <v>0</v>
      </c>
      <c r="F26" s="380">
        <f>基础表!F21/(基础表!F25+基础表!F23*0.5)</f>
        <v>0</v>
      </c>
      <c r="G26" s="380">
        <f>基础表!G21/(基础表!G25+基础表!G23*0.5)</f>
        <v>0</v>
      </c>
      <c r="H26" s="380">
        <f>基础表!H21/(基础表!H25+基础表!H23*0.5)</f>
        <v>0</v>
      </c>
      <c r="I26" s="380">
        <f>基础表!I21/(基础表!I25+基础表!I23*0.5)</f>
        <v>0</v>
      </c>
      <c r="J26" s="380" t="e">
        <f>基础表!J21/(基础表!J25+基础表!J23*0.5)</f>
        <v>#DIV/0!</v>
      </c>
      <c r="K26" s="380" t="e">
        <f>基础表!K21/(基础表!K25+基础表!K23*0.5)</f>
        <v>#DIV/0!</v>
      </c>
      <c r="L26" s="380" t="e">
        <f>基础表!L21/(基础表!L25+基础表!L23*0.5)</f>
        <v>#DIV/0!</v>
      </c>
      <c r="M26" s="380" t="e">
        <f>基础表!M21/(基础表!M25+基础表!M23*0.5)</f>
        <v>#DIV/0!</v>
      </c>
      <c r="N26" s="380" t="e">
        <f>基础表!N21/(基础表!N25+基础表!N23*0.5)</f>
        <v>#DIV/0!</v>
      </c>
      <c r="O26" s="381"/>
      <c r="P26" s="382"/>
      <c r="Q26"/>
      <c r="R26"/>
    </row>
    <row r="27" s="38" customFormat="1" ht="15" customHeight="1" spans="1:20">
      <c r="A27" s="397" t="s">
        <v>237</v>
      </c>
      <c r="B27" s="50"/>
      <c r="C27" s="380">
        <f>基础表!C22/(基础表!C25+基础表!C23*0.5)</f>
        <v>0</v>
      </c>
      <c r="D27" s="380">
        <f>基础表!D22/(基础表!D25+基础表!D23*0.5)</f>
        <v>0.0381120824127682</v>
      </c>
      <c r="E27" s="380">
        <f>基础表!E22/(基础表!E25+基础表!E23*0.5)</f>
        <v>0.0510351366064222</v>
      </c>
      <c r="F27" s="380">
        <f>基础表!F22/(基础表!F25+基础表!F23*0.5)</f>
        <v>0.0478922489762532</v>
      </c>
      <c r="G27" s="380">
        <f>基础表!G22/(基础表!G25+基础表!G23*0.5)</f>
        <v>0</v>
      </c>
      <c r="H27" s="380">
        <f>基础表!H22/(基础表!H25+基础表!H23*0.5)</f>
        <v>0.0334381252028715</v>
      </c>
      <c r="I27" s="380">
        <f>基础表!I22/(基础表!I25+基础表!I23*0.5)</f>
        <v>0</v>
      </c>
      <c r="J27" s="380" t="e">
        <f>基础表!J22/(基础表!J25+基础表!J23*0.5)</f>
        <v>#DIV/0!</v>
      </c>
      <c r="K27" s="380" t="e">
        <f>基础表!K22/(基础表!K25+基础表!K23*0.5)</f>
        <v>#DIV/0!</v>
      </c>
      <c r="L27" s="380" t="e">
        <f>基础表!L22/(基础表!L25+基础表!L23*0.5)</f>
        <v>#DIV/0!</v>
      </c>
      <c r="M27" s="380" t="e">
        <f>基础表!M22/(基础表!M25+基础表!M23*0.5)</f>
        <v>#DIV/0!</v>
      </c>
      <c r="N27" s="380" t="e">
        <f>基础表!N22/(基础表!N25+基础表!N23*0.5)</f>
        <v>#DIV/0!</v>
      </c>
      <c r="O27" s="381"/>
      <c r="P27" s="382"/>
      <c r="Q27"/>
      <c r="R27"/>
    </row>
    <row r="28" s="38" customFormat="1" ht="15" customHeight="1" spans="1:20">
      <c r="A28" s="397" t="s">
        <v>238</v>
      </c>
      <c r="B28" s="60"/>
      <c r="C28" s="380">
        <f>基础表!C23*1.5/(基础表!C25+基础表!C23*0.5)</f>
        <v>0.207821353581212</v>
      </c>
      <c r="D28" s="380">
        <f>基础表!D23*1.5/(基础表!D25+基础表!D23*0.5)</f>
        <v>0.129646101912032</v>
      </c>
      <c r="E28" s="380">
        <f>基础表!E23*1.5/(基础表!E25+基础表!E23*0.5)</f>
        <v>0.184558867111703</v>
      </c>
      <c r="F28" s="380">
        <f>基础表!F23*1.5/(基础表!F25+基础表!F23*0.5)</f>
        <v>0.152322572249782</v>
      </c>
      <c r="G28" s="380">
        <f>基础表!G23*1.5/(基础表!G25+基础表!G23*0.5)</f>
        <v>0.141656438807746</v>
      </c>
      <c r="H28" s="380">
        <f>基础表!H23*1.5/(基础表!H25+基础表!H23*0.5)</f>
        <v>0.177676061595</v>
      </c>
      <c r="I28" s="380">
        <f>基础表!I23*1.5/(基础表!I25+基础表!I23*0.5)</f>
        <v>0</v>
      </c>
      <c r="J28" s="380" t="e">
        <f>基础表!J23*1.5/(基础表!J25+基础表!J23*0.5)</f>
        <v>#DIV/0!</v>
      </c>
      <c r="K28" s="380" t="e">
        <f>基础表!K23*1.5/(基础表!K25+基础表!K23*0.5)</f>
        <v>#DIV/0!</v>
      </c>
      <c r="L28" s="380" t="e">
        <f>基础表!L23*1.5/(基础表!L25+基础表!L23*0.5)</f>
        <v>#DIV/0!</v>
      </c>
      <c r="M28" s="380" t="e">
        <f>基础表!M23*1.5/(基础表!M25+基础表!M23*0.5)</f>
        <v>#DIV/0!</v>
      </c>
      <c r="N28" s="380" t="e">
        <f>基础表!N23*1.5/(基础表!N25+基础表!N23*0.5)</f>
        <v>#DIV/0!</v>
      </c>
      <c r="O28" s="381"/>
      <c r="P28" s="382"/>
      <c r="Q28"/>
      <c r="R28"/>
      <c r="S28"/>
    </row>
    <row r="29" s="38" customFormat="1" ht="15" customHeight="1" spans="1:20">
      <c r="A29" s="397" t="s">
        <v>239</v>
      </c>
      <c r="B29" s="60"/>
      <c r="C29" s="380">
        <f>基础表!C24/(基础表!C25+基础表!C23*0.5)</f>
        <v>0</v>
      </c>
      <c r="D29" s="380">
        <f>基础表!D24/(基础表!D25+基础表!D23*0.5)</f>
        <v>0.00372811182348227</v>
      </c>
      <c r="E29" s="380">
        <f>基础表!E24/(基础表!E25+基础表!E23*0.5)</f>
        <v>0</v>
      </c>
      <c r="F29" s="380">
        <f>基础表!F24/(基础表!F25+基础表!F23*0.5)</f>
        <v>0</v>
      </c>
      <c r="G29" s="380">
        <f>基础表!G24/(基础表!G25+基础表!G23*0.5)</f>
        <v>0</v>
      </c>
      <c r="H29" s="380">
        <f>基础表!H24/(基础表!H25+基础表!H23*0.5)</f>
        <v>0</v>
      </c>
      <c r="I29" s="380">
        <f>基础表!I24/(基础表!I25+基础表!I23*0.5)</f>
        <v>0</v>
      </c>
      <c r="J29" s="380" t="e">
        <f>基础表!J24/(基础表!J25+基础表!J23*0.5)</f>
        <v>#DIV/0!</v>
      </c>
      <c r="K29" s="380" t="e">
        <f>基础表!K24/(基础表!K25+基础表!K23*0.5)</f>
        <v>#DIV/0!</v>
      </c>
      <c r="L29" s="380" t="e">
        <f>基础表!L24/(基础表!L25+基础表!L23*0.5)</f>
        <v>#DIV/0!</v>
      </c>
      <c r="M29" s="380" t="e">
        <f>基础表!M24/(基础表!M25+基础表!M23*0.5)</f>
        <v>#DIV/0!</v>
      </c>
      <c r="N29" s="380" t="e">
        <f>基础表!N24/(基础表!N25+基础表!N23*0.5)</f>
        <v>#DIV/0!</v>
      </c>
      <c r="O29" s="381"/>
      <c r="P29" s="382"/>
      <c r="Q29"/>
      <c r="R29"/>
      <c r="S29"/>
    </row>
    <row r="30" s="38" customFormat="1" ht="15" customHeight="1" spans="1:20">
      <c r="A30" s="383" t="s">
        <v>232</v>
      </c>
      <c r="B30" s="202"/>
      <c r="C30" s="384">
        <f>SUM(C24:C29)</f>
        <v>1</v>
      </c>
      <c r="D30" s="384">
        <f t="shared" ref="D30:N30" si="4">SUM(D24:D29)</f>
        <v>1</v>
      </c>
      <c r="E30" s="384">
        <f t="shared" si="4"/>
        <v>1</v>
      </c>
      <c r="F30" s="384">
        <f t="shared" si="4"/>
        <v>1</v>
      </c>
      <c r="G30" s="384">
        <f t="shared" si="4"/>
        <v>1</v>
      </c>
      <c r="H30" s="384">
        <f t="shared" si="4"/>
        <v>1</v>
      </c>
      <c r="I30" s="384">
        <f t="shared" si="4"/>
        <v>1</v>
      </c>
      <c r="J30" s="384" t="e">
        <f t="shared" si="4"/>
        <v>#DIV/0!</v>
      </c>
      <c r="K30" s="384" t="e">
        <f t="shared" si="4"/>
        <v>#DIV/0!</v>
      </c>
      <c r="L30" s="384" t="e">
        <f t="shared" si="4"/>
        <v>#DIV/0!</v>
      </c>
      <c r="M30" s="384" t="e">
        <f t="shared" si="4"/>
        <v>#DIV/0!</v>
      </c>
      <c r="N30" s="384" t="e">
        <f t="shared" si="4"/>
        <v>#DIV/0!</v>
      </c>
      <c r="O30" s="385"/>
      <c r="P30" s="382"/>
      <c r="Q30"/>
      <c r="R30"/>
      <c r="T30"/>
    </row>
    <row r="31" ht="15" customHeight="1" spans="1:20">
      <c r="Q31" s="38"/>
      <c r="R31" s="71"/>
      <c r="S31" s="38"/>
      <c r="T31" s="38"/>
    </row>
    <row r="32" s="38" customFormat="1" ht="15" customHeight="1" spans="1:20">
      <c r="A32" s="374" t="s">
        <v>244</v>
      </c>
      <c r="B32" s="106" t="s">
        <v>77</v>
      </c>
      <c r="C32" s="375" t="s">
        <v>220</v>
      </c>
      <c r="D32" s="375" t="s">
        <v>221</v>
      </c>
      <c r="E32" s="375" t="s">
        <v>222</v>
      </c>
      <c r="F32" s="376" t="s">
        <v>223</v>
      </c>
      <c r="G32" s="375" t="s">
        <v>224</v>
      </c>
      <c r="H32" s="375" t="s">
        <v>225</v>
      </c>
      <c r="I32" s="375" t="s">
        <v>226</v>
      </c>
      <c r="J32" s="375" t="s">
        <v>227</v>
      </c>
      <c r="K32" s="375" t="s">
        <v>228</v>
      </c>
      <c r="L32" s="375" t="s">
        <v>229</v>
      </c>
      <c r="M32" s="375" t="s">
        <v>230</v>
      </c>
      <c r="N32" s="375" t="s">
        <v>231</v>
      </c>
      <c r="O32" s="377" t="str">
        <f>CONCATENATE("1-"&amp;mth&amp;"月累计")</f>
        <v>1-8月累计</v>
      </c>
      <c r="P32" s="378"/>
      <c r="R32" s="71"/>
    </row>
    <row r="33" s="38" customFormat="1" spans="1:20">
      <c r="A33" s="397" t="s">
        <v>245</v>
      </c>
      <c r="B33" s="50"/>
      <c r="C33" s="380">
        <f>基础表!C26/(基础表!C26+基础表!C27)</f>
        <v>0.983533766964156</v>
      </c>
      <c r="D33" s="380">
        <f>基础表!D26/(基础表!D26+基础表!D27)</f>
        <v>0.982430741302085</v>
      </c>
      <c r="E33" s="380">
        <f>基础表!E26/(基础表!E26+基础表!E27)</f>
        <v>0.987883249627146</v>
      </c>
      <c r="F33" s="380">
        <f>基础表!F26/(基础表!F26+基础表!F27)</f>
        <v>0.955702705049954</v>
      </c>
      <c r="G33" s="380">
        <f>基础表!G26/(基础表!G26+基础表!G27)</f>
        <v>0.951860015311311</v>
      </c>
      <c r="H33" s="380">
        <f>基础表!H26/(基础表!H26+基础表!H27)</f>
        <v>0.964778340342389</v>
      </c>
      <c r="I33" s="380">
        <f>基础表!I26/(基础表!I26+基础表!I27)</f>
        <v>1</v>
      </c>
      <c r="J33" s="380" t="e">
        <f>基础表!J26/(基础表!J26+基础表!J27)</f>
        <v>#DIV/0!</v>
      </c>
      <c r="K33" s="380" t="e">
        <f>基础表!K26/(基础表!K26+基础表!K27)</f>
        <v>#DIV/0!</v>
      </c>
      <c r="L33" s="380" t="e">
        <f>基础表!L26/(基础表!L26+基础表!L27)</f>
        <v>#DIV/0!</v>
      </c>
      <c r="M33" s="380" t="e">
        <f>基础表!M26/(基础表!M26+基础表!M27)</f>
        <v>#DIV/0!</v>
      </c>
      <c r="N33" s="380" t="e">
        <f>基础表!N26/(基础表!N26+基础表!N27)</f>
        <v>#DIV/0!</v>
      </c>
      <c r="O33" s="381">
        <f ca="1">基础表!O26/(基础表!O26+基础表!O27)</f>
        <v>0.97155002145149</v>
      </c>
      <c r="P33" s="382"/>
      <c r="Q33"/>
      <c r="R33"/>
    </row>
    <row r="34" s="38" customFormat="1" spans="1:20">
      <c r="A34" s="399" t="s">
        <v>246</v>
      </c>
      <c r="B34" s="50"/>
      <c r="C34" s="380">
        <f>基础表!C28/(基础表!C26+基础表!C27)</f>
        <v>0.00761982484393925</v>
      </c>
      <c r="D34" s="380">
        <f>基础表!D28/(基础表!D26+基础表!D27)</f>
        <v>0.00250705266359275</v>
      </c>
      <c r="E34" s="380">
        <f>基础表!E28/(基础表!E26+基础表!E27)</f>
        <v>0.00838587384070152</v>
      </c>
      <c r="F34" s="380">
        <f>基础表!F28/(基础表!F26+基础表!F27)</f>
        <v>0.0214530704559026</v>
      </c>
      <c r="G34" s="380">
        <f>基础表!G28/(基础表!G26+基础表!G27)</f>
        <v>0.0139649700301439</v>
      </c>
      <c r="H34" s="380">
        <f>基础表!H28/(基础表!H26+基础表!H27)</f>
        <v>0.00678888793550217</v>
      </c>
      <c r="I34" s="380">
        <f>基础表!I28/(基础表!I26+基础表!I27)</f>
        <v>0</v>
      </c>
      <c r="J34" s="380" t="e">
        <f>基础表!J28/(基础表!J26+基础表!J27)</f>
        <v>#DIV/0!</v>
      </c>
      <c r="K34" s="380" t="e">
        <f>基础表!K28/(基础表!K26+基础表!K27)</f>
        <v>#DIV/0!</v>
      </c>
      <c r="L34" s="380" t="e">
        <f>基础表!L28/(基础表!L26+基础表!L27)</f>
        <v>#DIV/0!</v>
      </c>
      <c r="M34" s="380" t="e">
        <f>基础表!M28/(基础表!M26+基础表!M27)</f>
        <v>#DIV/0!</v>
      </c>
      <c r="N34" s="380" t="e">
        <f>基础表!N28/(基础表!N26+基础表!N27)</f>
        <v>#DIV/0!</v>
      </c>
      <c r="O34" s="381">
        <f ca="1">基础表!O28/(基础表!O26+基础表!O27)</f>
        <v>0.00994634876690229</v>
      </c>
      <c r="P34" s="382"/>
      <c r="Q34"/>
      <c r="R34"/>
    </row>
    <row r="35" s="38" customFormat="1" spans="1:20">
      <c r="A35" s="399" t="s">
        <v>247</v>
      </c>
      <c r="B35" s="400"/>
      <c r="C35" s="380">
        <f>基础表!C29/(基础表!C27+基础表!C26)</f>
        <v>0.00884640819190428</v>
      </c>
      <c r="D35" s="380">
        <f>基础表!D29/(基础表!D27+基础表!D26)</f>
        <v>0.0150622060343218</v>
      </c>
      <c r="E35" s="380">
        <f>基础表!E29/(基础表!E27+基础表!E26)</f>
        <v>0.00373087653215244</v>
      </c>
      <c r="F35" s="380">
        <f>基础表!F29/(基础表!F27+基础表!F26)</f>
        <v>0.0228442244941431</v>
      </c>
      <c r="G35" s="380">
        <f>基础表!G29/(基础表!G27+基础表!G26)</f>
        <v>0.0341750146585449</v>
      </c>
      <c r="H35" s="380">
        <f>基础表!H29/(基础表!H27+基础表!H26)</f>
        <v>0.0284327717221087</v>
      </c>
      <c r="I35" s="380">
        <f>基础表!I29/(基础表!I27+基础表!I26)</f>
        <v>0</v>
      </c>
      <c r="J35" s="380" t="e">
        <f>基础表!J29/(基础表!J27+基础表!J26)</f>
        <v>#DIV/0!</v>
      </c>
      <c r="K35" s="380" t="e">
        <f>基础表!K29/(基础表!K27+基础表!K26)</f>
        <v>#DIV/0!</v>
      </c>
      <c r="L35" s="380" t="e">
        <f>基础表!L29/(基础表!L27+基础表!L26)</f>
        <v>#DIV/0!</v>
      </c>
      <c r="M35" s="380" t="e">
        <f>基础表!M29/(基础表!M27+基础表!M26)</f>
        <v>#DIV/0!</v>
      </c>
      <c r="N35" s="380" t="e">
        <f>基础表!N29/(基础表!N27+基础表!N26)</f>
        <v>#DIV/0!</v>
      </c>
      <c r="O35" s="381">
        <f ca="1">基础表!O29/(基础表!O27+基础表!O26)</f>
        <v>0.018503629781608</v>
      </c>
      <c r="P35" s="382"/>
      <c r="Q35"/>
      <c r="R35"/>
    </row>
    <row r="36" s="38" customFormat="1" ht="15" customHeight="1" spans="1:20">
      <c r="A36" s="383" t="s">
        <v>232</v>
      </c>
      <c r="B36" s="202"/>
      <c r="C36" s="384">
        <f>SUM(C33:C35)</f>
        <v>1</v>
      </c>
      <c r="D36" s="384">
        <f t="shared" ref="D36:O36" si="5">SUM(D33:D35)</f>
        <v>1</v>
      </c>
      <c r="E36" s="384">
        <f t="shared" si="5"/>
        <v>1</v>
      </c>
      <c r="F36" s="384">
        <f t="shared" si="5"/>
        <v>1</v>
      </c>
      <c r="G36" s="384">
        <f t="shared" si="5"/>
        <v>1</v>
      </c>
      <c r="H36" s="384">
        <f t="shared" si="5"/>
        <v>1</v>
      </c>
      <c r="I36" s="384">
        <f t="shared" si="5"/>
        <v>1</v>
      </c>
      <c r="J36" s="384" t="e">
        <f t="shared" si="5"/>
        <v>#DIV/0!</v>
      </c>
      <c r="K36" s="384" t="e">
        <f t="shared" si="5"/>
        <v>#DIV/0!</v>
      </c>
      <c r="L36" s="384" t="e">
        <f t="shared" si="5"/>
        <v>#DIV/0!</v>
      </c>
      <c r="M36" s="384" t="e">
        <f t="shared" si="5"/>
        <v>#DIV/0!</v>
      </c>
      <c r="N36" s="384" t="e">
        <f t="shared" si="5"/>
        <v>#DIV/0!</v>
      </c>
      <c r="O36" s="384">
        <f ca="1" t="shared" si="5"/>
        <v>1</v>
      </c>
      <c r="P36" s="382"/>
      <c r="Q36"/>
      <c r="R36"/>
      <c r="T36"/>
    </row>
    <row r="37" ht="15" customHeight="1" spans="1:20">
      <c r="Q37" s="38"/>
      <c r="R37" s="71"/>
      <c r="S37" s="38"/>
      <c r="T37" s="38"/>
    </row>
    <row r="38" s="38" customFormat="1" ht="15" customHeight="1" spans="1:20">
      <c r="A38" s="374" t="s">
        <v>248</v>
      </c>
      <c r="B38" s="106" t="s">
        <v>77</v>
      </c>
      <c r="C38" s="375" t="s">
        <v>220</v>
      </c>
      <c r="D38" s="375" t="s">
        <v>221</v>
      </c>
      <c r="E38" s="375" t="s">
        <v>222</v>
      </c>
      <c r="F38" s="376" t="s">
        <v>223</v>
      </c>
      <c r="G38" s="375" t="s">
        <v>224</v>
      </c>
      <c r="H38" s="375" t="s">
        <v>225</v>
      </c>
      <c r="I38" s="375" t="s">
        <v>226</v>
      </c>
      <c r="J38" s="375" t="s">
        <v>227</v>
      </c>
      <c r="K38" s="375" t="s">
        <v>228</v>
      </c>
      <c r="L38" s="375" t="s">
        <v>229</v>
      </c>
      <c r="M38" s="375" t="s">
        <v>230</v>
      </c>
      <c r="N38" s="375" t="s">
        <v>231</v>
      </c>
      <c r="O38" s="377" t="str">
        <f>CONCATENATE("1-"&amp;mth&amp;"月累计")</f>
        <v>1-8月累计</v>
      </c>
      <c r="P38" s="378"/>
      <c r="R38" s="71"/>
    </row>
    <row r="39" s="38" customFormat="1" ht="15" customHeight="1" spans="1:20">
      <c r="A39" s="401" t="s">
        <v>216</v>
      </c>
      <c r="B39" s="387" t="s">
        <v>75</v>
      </c>
      <c r="C39" s="402">
        <f>基础表!C399</f>
        <v>13198</v>
      </c>
      <c r="D39" s="402">
        <f>基础表!D399</f>
        <v>20452</v>
      </c>
      <c r="E39" s="402">
        <f>基础表!E399</f>
        <v>20067</v>
      </c>
      <c r="F39" s="402">
        <f>基础表!F399</f>
        <v>21549</v>
      </c>
      <c r="G39" s="402">
        <f>基础表!G399</f>
        <v>25516</v>
      </c>
      <c r="H39" s="402">
        <f>基础表!H399</f>
        <v>23751</v>
      </c>
      <c r="I39" s="402">
        <f>基础表!I399</f>
        <v>0</v>
      </c>
      <c r="J39" s="402">
        <f>基础表!J399</f>
        <v>0</v>
      </c>
      <c r="K39" s="402">
        <f>基础表!K399</f>
        <v>0</v>
      </c>
      <c r="L39" s="402">
        <f>基础表!L399</f>
        <v>0</v>
      </c>
      <c r="M39" s="402">
        <f>基础表!M399</f>
        <v>0</v>
      </c>
      <c r="N39" s="402">
        <f>基础表!N399</f>
        <v>0</v>
      </c>
      <c r="O39" s="403"/>
      <c r="P39" s="378"/>
      <c r="R39" s="71"/>
    </row>
    <row r="40" s="38" customFormat="1" ht="15" customHeight="1" spans="1:20">
      <c r="A40" s="401" t="s">
        <v>218</v>
      </c>
      <c r="B40" s="387" t="s">
        <v>75</v>
      </c>
      <c r="C40" s="402">
        <f>基础表!C400</f>
        <v>10921</v>
      </c>
      <c r="D40" s="402">
        <f>基础表!D400</f>
        <v>17196</v>
      </c>
      <c r="E40" s="402">
        <f>基础表!E400</f>
        <v>15231</v>
      </c>
      <c r="F40" s="402">
        <f>基础表!F400</f>
        <v>11810</v>
      </c>
      <c r="G40" s="402">
        <f>基础表!G400</f>
        <v>11634</v>
      </c>
      <c r="H40" s="402">
        <f>基础表!H400</f>
        <v>11500</v>
      </c>
      <c r="I40" s="402">
        <f>基础表!I400</f>
        <v>0</v>
      </c>
      <c r="J40" s="402">
        <f>基础表!J400</f>
        <v>0</v>
      </c>
      <c r="K40" s="402">
        <f>基础表!K400</f>
        <v>0</v>
      </c>
      <c r="L40" s="402">
        <f>基础表!L400</f>
        <v>0</v>
      </c>
      <c r="M40" s="402">
        <f>基础表!M400</f>
        <v>0</v>
      </c>
      <c r="N40" s="402">
        <f>基础表!N400</f>
        <v>0</v>
      </c>
      <c r="O40" s="403"/>
      <c r="P40" s="378"/>
      <c r="R40" s="71"/>
    </row>
    <row r="41" s="38" customFormat="1" ht="15" customHeight="1" spans="1:20">
      <c r="A41" s="401" t="s">
        <v>240</v>
      </c>
      <c r="B41" s="387" t="s">
        <v>75</v>
      </c>
      <c r="C41" s="402">
        <f>基础表!C401</f>
        <v>241</v>
      </c>
      <c r="D41" s="402">
        <f>基础表!D401</f>
        <v>296</v>
      </c>
      <c r="E41" s="402">
        <f>基础表!E401</f>
        <v>265</v>
      </c>
      <c r="F41" s="402">
        <f>基础表!F401</f>
        <v>688</v>
      </c>
      <c r="G41" s="402">
        <f>基础表!G401</f>
        <v>842</v>
      </c>
      <c r="H41" s="402">
        <f>基础表!H401</f>
        <v>626</v>
      </c>
      <c r="I41" s="402">
        <f>基础表!I401</f>
        <v>0</v>
      </c>
      <c r="J41" s="402">
        <f>基础表!J401</f>
        <v>0</v>
      </c>
      <c r="K41" s="402">
        <f>基础表!K401</f>
        <v>0</v>
      </c>
      <c r="L41" s="402">
        <f>基础表!L401</f>
        <v>0</v>
      </c>
      <c r="M41" s="402">
        <f>基础表!M401</f>
        <v>0</v>
      </c>
      <c r="N41" s="402">
        <f>基础表!N401</f>
        <v>0</v>
      </c>
      <c r="O41" s="403"/>
      <c r="P41" s="378"/>
      <c r="R41" s="71"/>
    </row>
    <row r="42" s="38" customFormat="1" ht="15" customHeight="1" spans="1:20">
      <c r="A42" s="401" t="s">
        <v>241</v>
      </c>
      <c r="B42" s="387" t="s">
        <v>75</v>
      </c>
      <c r="C42" s="404">
        <f>C41*C19</f>
        <v>111.523855115615</v>
      </c>
      <c r="D42" s="404">
        <f>D41*D19</f>
        <v>42.2378428813014</v>
      </c>
      <c r="E42" s="404">
        <f t="shared" ref="E42:N42" si="6">E41*E19</f>
        <v>183.403676679235</v>
      </c>
      <c r="F42" s="404">
        <f t="shared" si="6"/>
        <v>333.196699489338</v>
      </c>
      <c r="G42" s="404">
        <f t="shared" si="6"/>
        <v>244.256512365364</v>
      </c>
      <c r="H42" s="404">
        <f t="shared" si="6"/>
        <v>120.659954384234</v>
      </c>
      <c r="I42" s="404" t="e">
        <f t="shared" si="6"/>
        <v>#DIV/0!</v>
      </c>
      <c r="J42" s="404" t="e">
        <f t="shared" si="6"/>
        <v>#DIV/0!</v>
      </c>
      <c r="K42" s="404" t="e">
        <f t="shared" si="6"/>
        <v>#DIV/0!</v>
      </c>
      <c r="L42" s="404" t="e">
        <f t="shared" si="6"/>
        <v>#DIV/0!</v>
      </c>
      <c r="M42" s="404" t="e">
        <f t="shared" si="6"/>
        <v>#DIV/0!</v>
      </c>
      <c r="N42" s="404" t="e">
        <f t="shared" si="6"/>
        <v>#DIV/0!</v>
      </c>
      <c r="O42" s="403"/>
      <c r="P42" s="378"/>
      <c r="R42" s="71"/>
    </row>
    <row r="43" s="38" customFormat="1" ht="15" customHeight="1" spans="1:20">
      <c r="A43" s="401" t="s">
        <v>242</v>
      </c>
      <c r="B43" s="387" t="s">
        <v>75</v>
      </c>
      <c r="C43" s="404">
        <f>C41*C20</f>
        <v>129.476144884385</v>
      </c>
      <c r="D43" s="404">
        <f t="shared" ref="D43:N43" si="7">D41*D20</f>
        <v>253.762157118699</v>
      </c>
      <c r="E43" s="404">
        <f t="shared" si="7"/>
        <v>81.5963233207656</v>
      </c>
      <c r="F43" s="404">
        <f t="shared" si="7"/>
        <v>354.803300510662</v>
      </c>
      <c r="G43" s="404">
        <f t="shared" si="7"/>
        <v>597.743487634636</v>
      </c>
      <c r="H43" s="404">
        <f t="shared" si="7"/>
        <v>505.340045615764</v>
      </c>
      <c r="I43" s="404" t="e">
        <f t="shared" si="7"/>
        <v>#DIV/0!</v>
      </c>
      <c r="J43" s="404" t="e">
        <f t="shared" si="7"/>
        <v>#DIV/0!</v>
      </c>
      <c r="K43" s="404" t="e">
        <f t="shared" si="7"/>
        <v>#DIV/0!</v>
      </c>
      <c r="L43" s="404" t="e">
        <f t="shared" si="7"/>
        <v>#DIV/0!</v>
      </c>
      <c r="M43" s="404" t="e">
        <f t="shared" si="7"/>
        <v>#DIV/0!</v>
      </c>
      <c r="N43" s="404" t="e">
        <f t="shared" si="7"/>
        <v>#DIV/0!</v>
      </c>
      <c r="O43" s="403"/>
      <c r="P43" s="378"/>
      <c r="R43" s="71"/>
    </row>
    <row r="44" s="38" customFormat="1" ht="15" customHeight="1" spans="1:20">
      <c r="A44" s="405" t="s">
        <v>249</v>
      </c>
      <c r="B44" s="387"/>
      <c r="C44" s="402">
        <f>SUM(C39:C41)</f>
        <v>24360</v>
      </c>
      <c r="D44" s="402">
        <f t="shared" ref="D44:N44" si="8">SUM(D39:D41)</f>
        <v>37944</v>
      </c>
      <c r="E44" s="402">
        <f t="shared" si="8"/>
        <v>35563</v>
      </c>
      <c r="F44" s="402">
        <f t="shared" si="8"/>
        <v>34047</v>
      </c>
      <c r="G44" s="402">
        <f t="shared" si="8"/>
        <v>37992</v>
      </c>
      <c r="H44" s="402">
        <f t="shared" si="8"/>
        <v>35877</v>
      </c>
      <c r="I44" s="402">
        <f t="shared" si="8"/>
        <v>0</v>
      </c>
      <c r="J44" s="402">
        <f t="shared" si="8"/>
        <v>0</v>
      </c>
      <c r="K44" s="402">
        <f t="shared" si="8"/>
        <v>0</v>
      </c>
      <c r="L44" s="402">
        <f t="shared" si="8"/>
        <v>0</v>
      </c>
      <c r="M44" s="402">
        <f t="shared" si="8"/>
        <v>0</v>
      </c>
      <c r="N44" s="402">
        <f t="shared" si="8"/>
        <v>0</v>
      </c>
      <c r="O44" s="406"/>
      <c r="P44" s="378"/>
      <c r="R44" s="71"/>
    </row>
    <row r="45" s="38" customFormat="1" ht="15" customHeight="1" spans="1:20">
      <c r="A45" s="407" t="s">
        <v>216</v>
      </c>
      <c r="B45" s="387"/>
      <c r="C45" s="388">
        <f>C39/C44</f>
        <v>0.541789819376026</v>
      </c>
      <c r="D45" s="388">
        <f t="shared" ref="D45:N45" si="9">D39/D44</f>
        <v>0.539004849251529</v>
      </c>
      <c r="E45" s="388">
        <f t="shared" si="9"/>
        <v>0.564266231757726</v>
      </c>
      <c r="F45" s="388">
        <f t="shared" si="9"/>
        <v>0.632919199929509</v>
      </c>
      <c r="G45" s="388">
        <f t="shared" si="9"/>
        <v>0.671615076858286</v>
      </c>
      <c r="H45" s="388">
        <f t="shared" si="9"/>
        <v>0.6620118739025</v>
      </c>
      <c r="I45" s="388" t="e">
        <f t="shared" si="9"/>
        <v>#DIV/0!</v>
      </c>
      <c r="J45" s="388" t="e">
        <f t="shared" si="9"/>
        <v>#DIV/0!</v>
      </c>
      <c r="K45" s="388" t="e">
        <f t="shared" si="9"/>
        <v>#DIV/0!</v>
      </c>
      <c r="L45" s="388" t="e">
        <f t="shared" si="9"/>
        <v>#DIV/0!</v>
      </c>
      <c r="M45" s="388" t="e">
        <f t="shared" si="9"/>
        <v>#DIV/0!</v>
      </c>
      <c r="N45" s="388" t="e">
        <f t="shared" si="9"/>
        <v>#DIV/0!</v>
      </c>
      <c r="O45" s="381"/>
      <c r="P45" s="378"/>
      <c r="R45" s="71"/>
    </row>
    <row r="46" s="38" customFormat="1" ht="15" customHeight="1" spans="1:20">
      <c r="A46" s="397" t="s">
        <v>234</v>
      </c>
      <c r="B46" s="50"/>
      <c r="C46" s="388">
        <f>基础表!C19/基础表!C25</f>
        <v>0.851140360343518</v>
      </c>
      <c r="D46" s="388">
        <f>基础表!D19/基础表!D25</f>
        <v>0.865935421137738</v>
      </c>
      <c r="E46" s="388">
        <f>基础表!E19/基础表!E25</f>
        <v>0.814514628651839</v>
      </c>
      <c r="F46" s="388">
        <f>IF(基础表!F25=0,0,基础表!F19/基础表!F25)</f>
        <v>0.842565774107878</v>
      </c>
      <c r="G46" s="388">
        <f>基础表!G19/基础表!G25</f>
        <v>0.900882146757292</v>
      </c>
      <c r="H46" s="388">
        <f>基础表!H19/基础表!H25</f>
        <v>0.83854918544321</v>
      </c>
      <c r="I46" s="388">
        <f>基础表!I19/基础表!I25</f>
        <v>1</v>
      </c>
      <c r="J46" s="388" t="e">
        <f>基础表!J19/基础表!J25</f>
        <v>#DIV/0!</v>
      </c>
      <c r="K46" s="388" t="e">
        <f>基础表!K19/基础表!K25</f>
        <v>#DIV/0!</v>
      </c>
      <c r="L46" s="388" t="e">
        <f>基础表!L19/基础表!L25</f>
        <v>#DIV/0!</v>
      </c>
      <c r="M46" s="388" t="e">
        <f>基础表!M19/基础表!M25</f>
        <v>#DIV/0!</v>
      </c>
      <c r="N46" s="388" t="e">
        <f>基础表!N19/基础表!N25</f>
        <v>#DIV/0!</v>
      </c>
      <c r="O46" s="381"/>
      <c r="P46" s="378"/>
      <c r="R46" s="71"/>
    </row>
    <row r="47" s="38" customFormat="1" spans="1:20">
      <c r="A47" s="397" t="s">
        <v>235</v>
      </c>
      <c r="B47" s="50"/>
      <c r="C47" s="388">
        <f>基础表!C20/基础表!C25</f>
        <v>0</v>
      </c>
      <c r="D47" s="388">
        <f>基础表!D20/基础表!D25</f>
        <v>0</v>
      </c>
      <c r="E47" s="388">
        <f>基础表!E20/基础表!E25</f>
        <v>0</v>
      </c>
      <c r="F47" s="388">
        <f>IF(基础表!F25=0,0,基础表!F20/基础表!F25)</f>
        <v>0</v>
      </c>
      <c r="G47" s="388">
        <f>基础表!G20/基础表!G25</f>
        <v>0</v>
      </c>
      <c r="H47" s="388">
        <f>基础表!H20/基础表!H25</f>
        <v>0</v>
      </c>
      <c r="I47" s="388">
        <f>基础表!I20/基础表!I25</f>
        <v>0</v>
      </c>
      <c r="J47" s="388" t="e">
        <f>基础表!J20/基础表!J25</f>
        <v>#DIV/0!</v>
      </c>
      <c r="K47" s="388" t="e">
        <f>基础表!K20/基础表!K25</f>
        <v>#DIV/0!</v>
      </c>
      <c r="L47" s="388" t="e">
        <f>基础表!L20/基础表!L25</f>
        <v>#DIV/0!</v>
      </c>
      <c r="M47" s="388" t="e">
        <f>基础表!M20/基础表!M25</f>
        <v>#DIV/0!</v>
      </c>
      <c r="N47" s="388" t="e">
        <f>基础表!N20/基础表!N25</f>
        <v>#DIV/0!</v>
      </c>
      <c r="O47" s="381"/>
      <c r="P47" s="382"/>
      <c r="Q47"/>
      <c r="R47"/>
    </row>
    <row r="48" s="38" customFormat="1" spans="1:20">
      <c r="A48" s="398" t="s">
        <v>236</v>
      </c>
      <c r="B48" s="50"/>
      <c r="C48" s="388">
        <f>基础表!C21/基础表!C25</f>
        <v>0</v>
      </c>
      <c r="D48" s="388">
        <f>基础表!D21/基础表!D25</f>
        <v>0</v>
      </c>
      <c r="E48" s="388">
        <f>基础表!E21/基础表!E25</f>
        <v>0</v>
      </c>
      <c r="F48" s="388">
        <f>IF(基础表!F25=0,0,基础表!F21/基础表!F25)</f>
        <v>0</v>
      </c>
      <c r="G48" s="388">
        <f>基础表!G21/基础表!G25</f>
        <v>0</v>
      </c>
      <c r="H48" s="388">
        <f>基础表!H21/基础表!H25</f>
        <v>0</v>
      </c>
      <c r="I48" s="388">
        <f>基础表!I21/基础表!I25</f>
        <v>0</v>
      </c>
      <c r="J48" s="388" t="e">
        <f>基础表!J21/基础表!J25</f>
        <v>#DIV/0!</v>
      </c>
      <c r="K48" s="388" t="e">
        <f>基础表!K21/基础表!K25</f>
        <v>#DIV/0!</v>
      </c>
      <c r="L48" s="388" t="e">
        <f>基础表!L21/基础表!L25</f>
        <v>#DIV/0!</v>
      </c>
      <c r="M48" s="388" t="e">
        <f>基础表!M21/基础表!M25</f>
        <v>#DIV/0!</v>
      </c>
      <c r="N48" s="388" t="e">
        <f>基础表!N21/基础表!N25</f>
        <v>#DIV/0!</v>
      </c>
      <c r="O48" s="380"/>
      <c r="P48" s="382"/>
      <c r="Q48"/>
      <c r="R48"/>
    </row>
    <row r="49" s="38" customFormat="1" ht="15" customHeight="1" spans="1:20">
      <c r="A49" s="397" t="s">
        <v>237</v>
      </c>
      <c r="B49" s="50"/>
      <c r="C49" s="388">
        <f>基础表!C22/基础表!C25</f>
        <v>0</v>
      </c>
      <c r="D49" s="388">
        <f>基础表!D22/基础表!D25</f>
        <v>0.0398335018251469</v>
      </c>
      <c r="E49" s="388">
        <f>基础表!E22/基础表!E25</f>
        <v>0.0543806112764288</v>
      </c>
      <c r="F49" s="388">
        <f>IF(基础表!F25=0,0,基础表!F22/基础表!F25)</f>
        <v>0.0504540105310559</v>
      </c>
      <c r="G49" s="388">
        <f>基础表!G22/基础表!G25</f>
        <v>0</v>
      </c>
      <c r="H49" s="388">
        <f>基础表!H22/基础表!H25</f>
        <v>0.0355431827805372</v>
      </c>
      <c r="I49" s="388">
        <f>基础表!I22/基础表!I25</f>
        <v>0</v>
      </c>
      <c r="J49" s="388" t="e">
        <f>基础表!J22/基础表!J25</f>
        <v>#DIV/0!</v>
      </c>
      <c r="K49" s="388" t="e">
        <f>基础表!K22/基础表!K25</f>
        <v>#DIV/0!</v>
      </c>
      <c r="L49" s="388" t="e">
        <f>基础表!L22/基础表!L25</f>
        <v>#DIV/0!</v>
      </c>
      <c r="M49" s="388" t="e">
        <f>基础表!M22/基础表!M25</f>
        <v>#DIV/0!</v>
      </c>
      <c r="N49" s="388" t="e">
        <f>基础表!N22/基础表!N25</f>
        <v>#DIV/0!</v>
      </c>
      <c r="O49" s="381"/>
      <c r="P49" s="382"/>
      <c r="Q49"/>
      <c r="R49"/>
    </row>
    <row r="50" s="38" customFormat="1" ht="15" customHeight="1" spans="1:20">
      <c r="A50" s="397" t="s">
        <v>238</v>
      </c>
      <c r="B50" s="60"/>
      <c r="C50" s="388">
        <f>基础表!C23/基础表!C25</f>
        <v>0.148859639656482</v>
      </c>
      <c r="D50" s="388">
        <f>基础表!D23/基础表!D25</f>
        <v>0.0903345765122503</v>
      </c>
      <c r="E50" s="388">
        <f>基础表!E23/基础表!E25</f>
        <v>0.131104760071732</v>
      </c>
      <c r="F50" s="388">
        <f>IF(基础表!F25=0,0,基础表!F23/基础表!F25)</f>
        <v>0.106980215361066</v>
      </c>
      <c r="G50" s="388">
        <f>基础表!G23/基础表!G25</f>
        <v>0.0991178532427077</v>
      </c>
      <c r="H50" s="388">
        <f>基础表!H23/基础表!H25</f>
        <v>0.125907631776252</v>
      </c>
      <c r="I50" s="388">
        <f>基础表!I23/基础表!I25</f>
        <v>0</v>
      </c>
      <c r="J50" s="388" t="e">
        <f>基础表!J23/基础表!J25</f>
        <v>#DIV/0!</v>
      </c>
      <c r="K50" s="388" t="e">
        <f>基础表!K23/基础表!K25</f>
        <v>#DIV/0!</v>
      </c>
      <c r="L50" s="388" t="e">
        <f>基础表!L23/基础表!L25</f>
        <v>#DIV/0!</v>
      </c>
      <c r="M50" s="388" t="e">
        <f>基础表!M23/基础表!M25</f>
        <v>#DIV/0!</v>
      </c>
      <c r="N50" s="388" t="e">
        <f>基础表!N23/基础表!N25</f>
        <v>#DIV/0!</v>
      </c>
      <c r="O50" s="381"/>
      <c r="P50" s="382"/>
      <c r="Q50"/>
      <c r="R50"/>
      <c r="S50"/>
    </row>
    <row r="51" s="38" customFormat="1" ht="15" customHeight="1" spans="1:20">
      <c r="A51" s="397" t="s">
        <v>239</v>
      </c>
      <c r="B51" s="60"/>
      <c r="C51" s="388">
        <f>基础表!C24/基础表!C25</f>
        <v>0</v>
      </c>
      <c r="D51" s="388">
        <f>基础表!D24/基础表!D25</f>
        <v>0.00389650052486456</v>
      </c>
      <c r="E51" s="388">
        <f>基础表!E24/基础表!E25</f>
        <v>0</v>
      </c>
      <c r="F51" s="388">
        <f>基础表!F24/基础表!F25</f>
        <v>0</v>
      </c>
      <c r="G51" s="388">
        <f>基础表!G24/基础表!G25</f>
        <v>0</v>
      </c>
      <c r="H51" s="388">
        <f>基础表!H24/基础表!H25</f>
        <v>0</v>
      </c>
      <c r="I51" s="388">
        <f>基础表!I24/基础表!I25</f>
        <v>0</v>
      </c>
      <c r="J51" s="388" t="e">
        <f>基础表!J24/基础表!J25</f>
        <v>#DIV/0!</v>
      </c>
      <c r="K51" s="388" t="e">
        <f>基础表!K24/基础表!K25</f>
        <v>#DIV/0!</v>
      </c>
      <c r="L51" s="388" t="e">
        <f>基础表!L24/基础表!L25</f>
        <v>#DIV/0!</v>
      </c>
      <c r="M51" s="388" t="e">
        <f>基础表!M24/基础表!M25</f>
        <v>#DIV/0!</v>
      </c>
      <c r="N51" s="388" t="e">
        <f>基础表!N24/基础表!N25</f>
        <v>#DIV/0!</v>
      </c>
      <c r="O51" s="381"/>
      <c r="P51" s="382"/>
      <c r="Q51"/>
      <c r="R51"/>
      <c r="S51"/>
    </row>
    <row r="52" s="38" customFormat="1" ht="15" customHeight="1" spans="1:20">
      <c r="A52" s="407" t="s">
        <v>218</v>
      </c>
      <c r="B52" s="389"/>
      <c r="C52" s="391">
        <f>C40/C44</f>
        <v>0.448316912972085</v>
      </c>
      <c r="D52" s="391">
        <f t="shared" ref="D52:N52" si="10">D40/D44</f>
        <v>0.453194180898166</v>
      </c>
      <c r="E52" s="391">
        <f t="shared" si="10"/>
        <v>0.42828220341366</v>
      </c>
      <c r="F52" s="391">
        <f t="shared" si="10"/>
        <v>0.346873439656945</v>
      </c>
      <c r="G52" s="391">
        <f t="shared" si="10"/>
        <v>0.306222362602653</v>
      </c>
      <c r="H52" s="391">
        <f t="shared" si="10"/>
        <v>0.320539621484517</v>
      </c>
      <c r="I52" s="391" t="e">
        <f t="shared" si="10"/>
        <v>#DIV/0!</v>
      </c>
      <c r="J52" s="391" t="e">
        <f t="shared" si="10"/>
        <v>#DIV/0!</v>
      </c>
      <c r="K52" s="391" t="e">
        <f t="shared" si="10"/>
        <v>#DIV/0!</v>
      </c>
      <c r="L52" s="391" t="e">
        <f t="shared" si="10"/>
        <v>#DIV/0!</v>
      </c>
      <c r="M52" s="391" t="e">
        <f t="shared" si="10"/>
        <v>#DIV/0!</v>
      </c>
      <c r="N52" s="391" t="e">
        <f t="shared" si="10"/>
        <v>#DIV/0!</v>
      </c>
      <c r="O52" s="392"/>
      <c r="P52" s="382"/>
      <c r="S52"/>
      <c r="T52"/>
    </row>
    <row r="53" s="38" customFormat="1" ht="15" customHeight="1" spans="1:20">
      <c r="A53" s="408" t="s">
        <v>240</v>
      </c>
      <c r="B53" s="389"/>
      <c r="C53" s="390">
        <f>C41/C44</f>
        <v>0.00989326765188834</v>
      </c>
      <c r="D53" s="390">
        <f t="shared" ref="D53:N53" si="11">D41/D44</f>
        <v>0.00780096985030571</v>
      </c>
      <c r="E53" s="390">
        <f t="shared" si="11"/>
        <v>0.00745156482861401</v>
      </c>
      <c r="F53" s="390">
        <f t="shared" si="11"/>
        <v>0.020207360413546</v>
      </c>
      <c r="G53" s="390">
        <f t="shared" si="11"/>
        <v>0.0221625605390609</v>
      </c>
      <c r="H53" s="390">
        <f t="shared" si="11"/>
        <v>0.0174485046129832</v>
      </c>
      <c r="I53" s="390" t="e">
        <f t="shared" si="11"/>
        <v>#DIV/0!</v>
      </c>
      <c r="J53" s="390" t="e">
        <f t="shared" si="11"/>
        <v>#DIV/0!</v>
      </c>
      <c r="K53" s="390" t="e">
        <f t="shared" si="11"/>
        <v>#DIV/0!</v>
      </c>
      <c r="L53" s="390" t="e">
        <f t="shared" si="11"/>
        <v>#DIV/0!</v>
      </c>
      <c r="M53" s="390" t="e">
        <f t="shared" si="11"/>
        <v>#DIV/0!</v>
      </c>
      <c r="N53" s="390" t="e">
        <f t="shared" si="11"/>
        <v>#DIV/0!</v>
      </c>
      <c r="O53" s="392"/>
      <c r="P53" s="382"/>
      <c r="S53"/>
      <c r="T53"/>
    </row>
    <row r="54" s="38" customFormat="1" ht="15" customHeight="1" spans="1:20">
      <c r="A54" s="408" t="s">
        <v>241</v>
      </c>
      <c r="B54" s="389"/>
      <c r="C54" s="390">
        <f>C42/C41</f>
        <v>0.462754585541969</v>
      </c>
      <c r="D54" s="390">
        <f>D42/D41</f>
        <v>0.142695415139532</v>
      </c>
      <c r="E54" s="390">
        <f t="shared" ref="E54:N54" si="12">E42/E41</f>
        <v>0.692089345959378</v>
      </c>
      <c r="F54" s="390">
        <f t="shared" si="12"/>
        <v>0.484297528327527</v>
      </c>
      <c r="G54" s="390">
        <f t="shared" si="12"/>
        <v>0.290090869792594</v>
      </c>
      <c r="H54" s="390">
        <f t="shared" si="12"/>
        <v>0.19274753096523</v>
      </c>
      <c r="I54" s="390" t="e">
        <f t="shared" si="12"/>
        <v>#DIV/0!</v>
      </c>
      <c r="J54" s="390" t="e">
        <f t="shared" si="12"/>
        <v>#DIV/0!</v>
      </c>
      <c r="K54" s="390" t="e">
        <f t="shared" si="12"/>
        <v>#DIV/0!</v>
      </c>
      <c r="L54" s="390" t="e">
        <f t="shared" si="12"/>
        <v>#DIV/0!</v>
      </c>
      <c r="M54" s="390" t="e">
        <f t="shared" si="12"/>
        <v>#DIV/0!</v>
      </c>
      <c r="N54" s="390" t="e">
        <f t="shared" si="12"/>
        <v>#DIV/0!</v>
      </c>
      <c r="O54" s="392"/>
      <c r="P54" s="382"/>
      <c r="S54"/>
      <c r="T54"/>
    </row>
    <row r="55" s="38" customFormat="1" ht="15" customHeight="1" spans="1:20">
      <c r="A55" s="408" t="s">
        <v>242</v>
      </c>
      <c r="B55" s="389"/>
      <c r="C55" s="390">
        <f>C43/C41</f>
        <v>0.537245414458031</v>
      </c>
      <c r="D55" s="390">
        <f>D43/D41</f>
        <v>0.857304584860468</v>
      </c>
      <c r="E55" s="390">
        <f t="shared" ref="E55:N55" si="13">E43/E41</f>
        <v>0.307910654040625</v>
      </c>
      <c r="F55" s="390">
        <f t="shared" si="13"/>
        <v>0.515702471672473</v>
      </c>
      <c r="G55" s="390">
        <f t="shared" si="13"/>
        <v>0.709909130207406</v>
      </c>
      <c r="H55" s="390">
        <f t="shared" si="13"/>
        <v>0.807252469034767</v>
      </c>
      <c r="I55" s="390" t="e">
        <f t="shared" si="13"/>
        <v>#DIV/0!</v>
      </c>
      <c r="J55" s="390" t="e">
        <f t="shared" si="13"/>
        <v>#DIV/0!</v>
      </c>
      <c r="K55" s="390" t="e">
        <f t="shared" si="13"/>
        <v>#DIV/0!</v>
      </c>
      <c r="L55" s="390" t="e">
        <f t="shared" si="13"/>
        <v>#DIV/0!</v>
      </c>
      <c r="M55" s="390" t="e">
        <f t="shared" si="13"/>
        <v>#DIV/0!</v>
      </c>
      <c r="N55" s="390" t="e">
        <f t="shared" si="13"/>
        <v>#DIV/0!</v>
      </c>
      <c r="O55" s="392"/>
      <c r="P55" s="382"/>
      <c r="S55"/>
      <c r="T55"/>
    </row>
    <row r="56" s="38" customFormat="1" ht="15" customHeight="1" spans="1:20">
      <c r="A56" s="383" t="s">
        <v>232</v>
      </c>
      <c r="B56" s="202"/>
      <c r="C56" s="395">
        <f>SUM(C45,C52,C53)</f>
        <v>1</v>
      </c>
      <c r="D56" s="395">
        <f t="shared" ref="D56:N56" si="14">SUM(D45,D52,D53)</f>
        <v>1</v>
      </c>
      <c r="E56" s="395">
        <f t="shared" si="14"/>
        <v>1</v>
      </c>
      <c r="F56" s="395">
        <f t="shared" si="14"/>
        <v>1</v>
      </c>
      <c r="G56" s="395">
        <f t="shared" si="14"/>
        <v>1</v>
      </c>
      <c r="H56" s="395">
        <f t="shared" si="14"/>
        <v>1</v>
      </c>
      <c r="I56" s="395" t="e">
        <f t="shared" si="14"/>
        <v>#DIV/0!</v>
      </c>
      <c r="J56" s="395" t="e">
        <f t="shared" si="14"/>
        <v>#DIV/0!</v>
      </c>
      <c r="K56" s="395" t="e">
        <f t="shared" si="14"/>
        <v>#DIV/0!</v>
      </c>
      <c r="L56" s="395" t="e">
        <f t="shared" si="14"/>
        <v>#DIV/0!</v>
      </c>
      <c r="M56" s="395" t="e">
        <f t="shared" si="14"/>
        <v>#DIV/0!</v>
      </c>
      <c r="N56" s="395" t="e">
        <f t="shared" si="14"/>
        <v>#DIV/0!</v>
      </c>
      <c r="O56" s="385">
        <f t="shared" ref="O56" si="15">SUM(O45,O52)</f>
        <v>0</v>
      </c>
      <c r="P56" s="382"/>
      <c r="Q56"/>
      <c r="R56"/>
      <c r="T56"/>
    </row>
    <row r="57" ht="16.5" spans="1:20">
      <c r="A57" s="46" t="str">
        <f>基础表!A46</f>
        <v>原料消耗与成本</v>
      </c>
      <c r="B57" s="137" t="str">
        <f>基础表!B46</f>
        <v>实际</v>
      </c>
      <c r="C57" s="409"/>
      <c r="D57" s="409"/>
      <c r="E57" s="409"/>
      <c r="F57" s="409"/>
      <c r="G57" s="409"/>
      <c r="H57" s="409"/>
      <c r="I57" s="409"/>
      <c r="J57" s="409"/>
      <c r="K57" s="325"/>
      <c r="L57" s="325"/>
      <c r="M57" s="325"/>
      <c r="N57" s="325"/>
      <c r="O57" s="325"/>
    </row>
    <row r="58" s="38" customFormat="1" ht="15" customHeight="1" spans="1:20">
      <c r="A58" s="374" t="s">
        <v>250</v>
      </c>
      <c r="B58" s="106" t="s">
        <v>77</v>
      </c>
      <c r="C58" s="375" t="s">
        <v>220</v>
      </c>
      <c r="D58" s="375" t="s">
        <v>221</v>
      </c>
      <c r="E58" s="375" t="s">
        <v>222</v>
      </c>
      <c r="F58" s="376" t="s">
        <v>223</v>
      </c>
      <c r="G58" s="375" t="s">
        <v>224</v>
      </c>
      <c r="H58" s="375" t="s">
        <v>225</v>
      </c>
      <c r="I58" s="375" t="s">
        <v>226</v>
      </c>
      <c r="J58" s="375" t="s">
        <v>227</v>
      </c>
      <c r="K58" s="375" t="s">
        <v>228</v>
      </c>
      <c r="L58" s="375" t="s">
        <v>229</v>
      </c>
      <c r="M58" s="375" t="s">
        <v>230</v>
      </c>
      <c r="N58" s="375" t="s">
        <v>231</v>
      </c>
      <c r="O58" s="377" t="str">
        <f>CONCATENATE("1-"&amp;mth&amp;"月累计")</f>
        <v>1-8月累计</v>
      </c>
      <c r="P58" s="378"/>
      <c r="Q58"/>
      <c r="R58"/>
      <c r="S58"/>
      <c r="T58"/>
    </row>
    <row r="59" spans="1:20">
      <c r="A59" s="410" t="str">
        <f>基础表!A61</f>
        <v>淀粉折标量-F55果糖</v>
      </c>
      <c r="B59" s="50">
        <f>基础表!B61</f>
        <v>0</v>
      </c>
      <c r="C59" s="51">
        <f>基础表!C61</f>
        <v>5205.34176339548</v>
      </c>
      <c r="D59" s="51">
        <f>基础表!D61</f>
        <v>6594.23414339896</v>
      </c>
      <c r="E59" s="51">
        <f>基础表!E61</f>
        <v>6075.16337897554</v>
      </c>
      <c r="F59" s="51">
        <f>基础表!F61</f>
        <v>7070.79504355832</v>
      </c>
      <c r="G59" s="51">
        <f>基础表!G61</f>
        <v>9003.63862156089</v>
      </c>
      <c r="H59" s="51">
        <f>基础表!H61</f>
        <v>7878.36351343523</v>
      </c>
      <c r="I59" s="51">
        <f>基础表!I61</f>
        <v>0</v>
      </c>
      <c r="J59" s="51">
        <f>基础表!J61</f>
        <v>0</v>
      </c>
      <c r="K59" s="51">
        <f>基础表!K61</f>
        <v>0</v>
      </c>
      <c r="L59" s="51">
        <f>基础表!L61</f>
        <v>0</v>
      </c>
      <c r="M59" s="51">
        <f>基础表!M61</f>
        <v>0</v>
      </c>
      <c r="N59" s="51">
        <f>基础表!N61</f>
        <v>0</v>
      </c>
      <c r="O59" s="411">
        <f ca="1">基础表!O61</f>
        <v>41827.5364643244</v>
      </c>
    </row>
    <row r="60" spans="1:20">
      <c r="A60" s="410" t="str">
        <f>基础表!A62</f>
        <v>淀粉折标量-F55果糖软加工</v>
      </c>
      <c r="B60" s="50">
        <f>基础表!B62</f>
        <v>0</v>
      </c>
      <c r="C60" s="51">
        <f>基础表!C62</f>
        <v>0</v>
      </c>
      <c r="D60" s="51">
        <f>基础表!D62</f>
        <v>0</v>
      </c>
      <c r="E60" s="51">
        <f>基础表!E62</f>
        <v>0</v>
      </c>
      <c r="F60" s="51">
        <f>基础表!F62</f>
        <v>0</v>
      </c>
      <c r="G60" s="51">
        <f>基础表!G62</f>
        <v>0</v>
      </c>
      <c r="H60" s="51">
        <f>基础表!H62</f>
        <v>0</v>
      </c>
      <c r="I60" s="51">
        <f>基础表!I62</f>
        <v>0</v>
      </c>
      <c r="J60" s="51">
        <f>基础表!J62</f>
        <v>0</v>
      </c>
      <c r="K60" s="51">
        <f>基础表!K62</f>
        <v>0</v>
      </c>
      <c r="L60" s="51">
        <f>基础表!L62</f>
        <v>0</v>
      </c>
      <c r="M60" s="51">
        <f>基础表!M62</f>
        <v>0</v>
      </c>
      <c r="N60" s="51">
        <f>基础表!N62</f>
        <v>0</v>
      </c>
      <c r="O60" s="411">
        <f ca="1">基础表!O62</f>
        <v>0</v>
      </c>
    </row>
    <row r="61" spans="1:20">
      <c r="A61" s="410" t="str">
        <f>基础表!A63</f>
        <v>淀粉折标量-F42果糖</v>
      </c>
      <c r="B61" s="50">
        <f>基础表!B63</f>
        <v>0</v>
      </c>
      <c r="C61" s="51">
        <f>基础表!C63</f>
        <v>0</v>
      </c>
      <c r="D61" s="51">
        <f>基础表!D63</f>
        <v>303.33836839866</v>
      </c>
      <c r="E61" s="51">
        <f>基础表!E63</f>
        <v>409.610865210512</v>
      </c>
      <c r="F61" s="51">
        <f>基础表!F63</f>
        <v>430.475265502512</v>
      </c>
      <c r="G61" s="51">
        <f>基础表!G63</f>
        <v>0</v>
      </c>
      <c r="H61" s="51">
        <f>基础表!H63</f>
        <v>333.936421656101</v>
      </c>
      <c r="I61" s="51">
        <f>基础表!I63</f>
        <v>0</v>
      </c>
      <c r="J61" s="51">
        <f>基础表!J63</f>
        <v>0</v>
      </c>
      <c r="K61" s="51">
        <f>基础表!K63</f>
        <v>0</v>
      </c>
      <c r="L61" s="51">
        <f>基础表!L63</f>
        <v>0</v>
      </c>
      <c r="M61" s="51">
        <f>基础表!M63</f>
        <v>0</v>
      </c>
      <c r="N61" s="51">
        <f>基础表!N63</f>
        <v>0</v>
      </c>
      <c r="O61" s="411">
        <f ca="1">基础表!O63</f>
        <v>1477.36092076778</v>
      </c>
    </row>
    <row r="62" spans="1:20">
      <c r="A62" s="410" t="str">
        <f>基础表!A64</f>
        <v>淀粉折标量-F60果糖</v>
      </c>
      <c r="B62" s="50">
        <f>基础表!B64</f>
        <v>0</v>
      </c>
      <c r="C62" s="51">
        <f>基础表!C64</f>
        <v>910.453379710185</v>
      </c>
      <c r="D62" s="51">
        <f>基础表!D64</f>
        <v>688.407570352049</v>
      </c>
      <c r="E62" s="51">
        <f>基础表!E64</f>
        <v>978.656976744186</v>
      </c>
      <c r="F62" s="51">
        <f>基础表!F64</f>
        <v>898.475681316996</v>
      </c>
      <c r="G62" s="51">
        <f>基础表!G64</f>
        <v>990.345947190559</v>
      </c>
      <c r="H62" s="51">
        <f>基础表!H64</f>
        <v>1182.8531580329</v>
      </c>
      <c r="I62" s="51">
        <f>基础表!I64</f>
        <v>0</v>
      </c>
      <c r="J62" s="51">
        <f>基础表!J64</f>
        <v>0</v>
      </c>
      <c r="K62" s="51">
        <f>基础表!K64</f>
        <v>0</v>
      </c>
      <c r="L62" s="51">
        <f>基础表!L64</f>
        <v>0</v>
      </c>
      <c r="M62" s="51">
        <f>基础表!M64</f>
        <v>0</v>
      </c>
      <c r="N62" s="51">
        <f>基础表!N64</f>
        <v>0</v>
      </c>
      <c r="O62" s="411">
        <f ca="1">基础表!O64</f>
        <v>5649.19271334687</v>
      </c>
    </row>
    <row r="63" customFormat="1" spans="1:20">
      <c r="A63" s="410" t="str">
        <f>基础表!A65</f>
        <v>淀粉折标量-F90果糖</v>
      </c>
      <c r="B63" s="50">
        <f>基础表!B65</f>
        <v>0</v>
      </c>
      <c r="C63" s="51">
        <f>基础表!C65</f>
        <v>0</v>
      </c>
      <c r="D63" s="51">
        <f>基础表!D65</f>
        <v>29.8477442911764</v>
      </c>
      <c r="E63" s="51">
        <f>基础表!E65</f>
        <v>0</v>
      </c>
      <c r="F63" s="51">
        <f>基础表!F65</f>
        <v>0</v>
      </c>
      <c r="G63" s="51">
        <f>基础表!G65</f>
        <v>0</v>
      </c>
      <c r="H63" s="51">
        <f>基础表!H65</f>
        <v>0</v>
      </c>
      <c r="I63" s="51">
        <f>基础表!I65</f>
        <v>0</v>
      </c>
      <c r="J63" s="51">
        <f>基础表!J65</f>
        <v>0</v>
      </c>
      <c r="K63" s="51">
        <f>基础表!K65</f>
        <v>0</v>
      </c>
      <c r="L63" s="51">
        <f>基础表!L65</f>
        <v>0</v>
      </c>
      <c r="M63" s="51">
        <f>基础表!M65</f>
        <v>0</v>
      </c>
      <c r="N63" s="51">
        <f>基础表!N65</f>
        <v>0</v>
      </c>
      <c r="O63" s="411">
        <f ca="1">基础表!O65</f>
        <v>29.8477442911764</v>
      </c>
    </row>
    <row r="64" ht="15" customHeight="1" spans="1:20">
      <c r="A64" s="410" t="str">
        <f>基础表!A66</f>
        <v>淀粉折标量-糖浆老线</v>
      </c>
      <c r="B64" s="50">
        <f>基础表!B66</f>
        <v>0</v>
      </c>
      <c r="C64" s="51">
        <f>基础表!C66</f>
        <v>4728.56635689434</v>
      </c>
      <c r="D64" s="51">
        <f>基础表!D66</f>
        <v>5512.65727617813</v>
      </c>
      <c r="E64" s="51">
        <f>基础表!E66</f>
        <v>7012.21302325581</v>
      </c>
      <c r="F64" s="51">
        <f>基础表!F66</f>
        <v>4843.04192108849</v>
      </c>
      <c r="G64" s="51">
        <f>基础表!G66</f>
        <v>5382.35318604651</v>
      </c>
      <c r="H64" s="51">
        <f>基础表!H66</f>
        <v>5641.71410684966</v>
      </c>
      <c r="I64" s="51">
        <f>基础表!I66</f>
        <v>0</v>
      </c>
      <c r="J64" s="51">
        <f>基础表!J66</f>
        <v>0</v>
      </c>
      <c r="K64" s="51">
        <f>基础表!K66</f>
        <v>0</v>
      </c>
      <c r="L64" s="51">
        <f>基础表!L66</f>
        <v>0</v>
      </c>
      <c r="M64" s="51">
        <f>基础表!M66</f>
        <v>0</v>
      </c>
      <c r="N64" s="51">
        <f>基础表!N66</f>
        <v>0</v>
      </c>
      <c r="O64" s="411">
        <f ca="1">基础表!O66</f>
        <v>33120.5458703129</v>
      </c>
    </row>
    <row r="65" spans="1:20">
      <c r="A65" s="307" t="str">
        <f>基础表!A67</f>
        <v>淀粉折标单价(F55)</v>
      </c>
      <c r="B65" s="50" t="str">
        <f>基础表!B67</f>
        <v>元/吨</v>
      </c>
      <c r="C65" s="51">
        <f>基础表!C67</f>
        <v>2549.95571305998</v>
      </c>
      <c r="D65" s="51">
        <f>基础表!D67</f>
        <v>2486.78051092061</v>
      </c>
      <c r="E65" s="51">
        <f>基础表!E67</f>
        <v>2454.62436433636</v>
      </c>
      <c r="F65" s="51">
        <f>基础表!F67</f>
        <v>2475.84539335515</v>
      </c>
      <c r="G65" s="51">
        <f>基础表!G67</f>
        <v>2490.92715530513</v>
      </c>
      <c r="H65" s="51">
        <f>基础表!H67</f>
        <v>2542.12820220963</v>
      </c>
      <c r="I65" s="51">
        <f>基础表!I67</f>
        <v>0</v>
      </c>
      <c r="J65" s="51">
        <f>基础表!J67</f>
        <v>0</v>
      </c>
      <c r="K65" s="51">
        <f>基础表!K67</f>
        <v>0</v>
      </c>
      <c r="L65" s="51">
        <f>基础表!L67</f>
        <v>0</v>
      </c>
      <c r="M65" s="51">
        <f>基础表!M67</f>
        <v>0</v>
      </c>
      <c r="N65" s="51">
        <f>基础表!N67</f>
        <v>0</v>
      </c>
      <c r="O65" s="411">
        <f ca="1">基础表!O67</f>
        <v>2499.44104182405</v>
      </c>
    </row>
    <row r="66" spans="1:20">
      <c r="A66" s="307" t="str">
        <f>基础表!A68</f>
        <v>淀粉折标单价(F55)软加工</v>
      </c>
      <c r="B66" s="50" t="str">
        <f>基础表!B68</f>
        <v>元/吨</v>
      </c>
      <c r="C66" s="51">
        <f>基础表!C68</f>
        <v>0</v>
      </c>
      <c r="D66" s="51">
        <f>基础表!D68</f>
        <v>0</v>
      </c>
      <c r="E66" s="51">
        <f>基础表!E68</f>
        <v>0</v>
      </c>
      <c r="F66" s="51">
        <f>基础表!F68</f>
        <v>0</v>
      </c>
      <c r="G66" s="51">
        <f>基础表!G68</f>
        <v>0</v>
      </c>
      <c r="H66" s="51">
        <f>基础表!H68</f>
        <v>0</v>
      </c>
      <c r="I66" s="51">
        <f>基础表!I68</f>
        <v>0</v>
      </c>
      <c r="J66" s="51">
        <f>基础表!J68</f>
        <v>0</v>
      </c>
      <c r="K66" s="51">
        <f>基础表!K68</f>
        <v>0</v>
      </c>
      <c r="L66" s="51">
        <f>基础表!L68</f>
        <v>0</v>
      </c>
      <c r="M66" s="51">
        <f>基础表!M68</f>
        <v>0</v>
      </c>
      <c r="N66" s="51">
        <f>基础表!N68</f>
        <v>0</v>
      </c>
      <c r="O66" s="411">
        <f ca="1">基础表!O68</f>
        <v>0</v>
      </c>
    </row>
    <row r="67" spans="1:20">
      <c r="A67" s="307" t="str">
        <f>基础表!A69</f>
        <v>淀粉折标单价(F42)</v>
      </c>
      <c r="B67" s="50" t="str">
        <f>基础表!B69</f>
        <v>元/吨</v>
      </c>
      <c r="C67" s="51">
        <f>基础表!C69</f>
        <v>0</v>
      </c>
      <c r="D67" s="51">
        <f>基础表!D69</f>
        <v>2486.78051092061</v>
      </c>
      <c r="E67" s="51">
        <f>基础表!E69</f>
        <v>2454.62436433636</v>
      </c>
      <c r="F67" s="51">
        <f>基础表!F69</f>
        <v>2475.84539335515</v>
      </c>
      <c r="G67" s="51">
        <f>基础表!G69</f>
        <v>0</v>
      </c>
      <c r="H67" s="51">
        <f>基础表!H69</f>
        <v>2542.12820220963</v>
      </c>
      <c r="I67" s="51">
        <f>基础表!I69</f>
        <v>0</v>
      </c>
      <c r="J67" s="51">
        <f>基础表!J69</f>
        <v>0</v>
      </c>
      <c r="K67" s="51">
        <f>基础表!K69</f>
        <v>0</v>
      </c>
      <c r="L67" s="51">
        <f>基础表!L69</f>
        <v>0</v>
      </c>
      <c r="M67" s="51">
        <f>基础表!M69</f>
        <v>0</v>
      </c>
      <c r="N67" s="51">
        <f>基础表!N69</f>
        <v>0</v>
      </c>
      <c r="O67" s="411">
        <f ca="1">基础表!O69</f>
        <v>2487.55486364177</v>
      </c>
      <c r="Q67" s="38"/>
      <c r="R67" s="71"/>
    </row>
    <row r="68" spans="1:20">
      <c r="A68" s="307" t="str">
        <f>基础表!A70</f>
        <v>淀粉折标单价(F60)</v>
      </c>
      <c r="B68" s="50" t="str">
        <f>基础表!B70</f>
        <v>元/吨</v>
      </c>
      <c r="C68" s="51">
        <f>基础表!C70</f>
        <v>2548.82665242968</v>
      </c>
      <c r="D68" s="51">
        <f>基础表!D70</f>
        <v>2490.14301095403</v>
      </c>
      <c r="E68" s="51">
        <f>基础表!E70</f>
        <v>2455.39279553731</v>
      </c>
      <c r="F68" s="51">
        <f>基础表!F70</f>
        <v>2475.64037096652</v>
      </c>
      <c r="G68" s="51">
        <f>基础表!G70</f>
        <v>2491.73844453082</v>
      </c>
      <c r="H68" s="51">
        <f>基础表!H70</f>
        <v>2542.1281023594</v>
      </c>
      <c r="I68" s="51">
        <f>基础表!I70</f>
        <v>0</v>
      </c>
      <c r="J68" s="51">
        <f>基础表!J70</f>
        <v>0</v>
      </c>
      <c r="K68" s="51">
        <f>基础表!K70</f>
        <v>0</v>
      </c>
      <c r="L68" s="51">
        <f>基础表!L70</f>
        <v>0</v>
      </c>
      <c r="M68" s="51">
        <f>基础表!M70</f>
        <v>0</v>
      </c>
      <c r="N68" s="51">
        <f>基础表!N70</f>
        <v>0</v>
      </c>
      <c r="O68" s="411">
        <f ca="1">基础表!O70</f>
        <v>2502.53268287336</v>
      </c>
      <c r="Q68" s="38"/>
      <c r="R68" s="71"/>
      <c r="S68" s="38"/>
    </row>
    <row r="69" customFormat="1" spans="1:20">
      <c r="A69" s="307" t="str">
        <f>基础表!A71</f>
        <v>淀粉折标单价(F90)</v>
      </c>
      <c r="B69" s="50" t="str">
        <f>基础表!B71</f>
        <v>元/吨</v>
      </c>
      <c r="C69" s="51">
        <f>基础表!C71</f>
        <v>0</v>
      </c>
      <c r="D69" s="51">
        <f>基础表!D71</f>
        <v>2455.64426192392</v>
      </c>
      <c r="E69" s="51">
        <f>基础表!E71</f>
        <v>0</v>
      </c>
      <c r="F69" s="51">
        <f>基础表!F71</f>
        <v>0</v>
      </c>
      <c r="G69" s="51">
        <f>基础表!G71</f>
        <v>0</v>
      </c>
      <c r="H69" s="51">
        <f>基础表!H71</f>
        <v>0</v>
      </c>
      <c r="I69" s="51">
        <f>基础表!I71</f>
        <v>0</v>
      </c>
      <c r="J69" s="51">
        <f>基础表!J71</f>
        <v>0</v>
      </c>
      <c r="K69" s="51">
        <f>基础表!K71</f>
        <v>0</v>
      </c>
      <c r="L69" s="51">
        <f>基础表!L71</f>
        <v>0</v>
      </c>
      <c r="M69" s="51">
        <f>基础表!M71</f>
        <v>0</v>
      </c>
      <c r="N69" s="51">
        <f>基础表!N71</f>
        <v>0</v>
      </c>
      <c r="O69" s="411">
        <f ca="1">基础表!O71</f>
        <v>2453.7157195875</v>
      </c>
      <c r="Q69" s="38"/>
      <c r="R69" s="71"/>
      <c r="S69" s="38"/>
    </row>
    <row r="70" spans="1:20">
      <c r="A70" s="307" t="str">
        <f>基础表!A72</f>
        <v>淀粉折标单价(糖浆老线)</v>
      </c>
      <c r="B70" s="50" t="str">
        <f>基础表!B72</f>
        <v>元/吨</v>
      </c>
      <c r="C70" s="51">
        <f>基础表!C72</f>
        <v>2552.4476029765</v>
      </c>
      <c r="D70" s="51">
        <f>基础表!D72</f>
        <v>2485.97846672251</v>
      </c>
      <c r="E70" s="51">
        <f>基础表!E72</f>
        <v>2455.45049457233</v>
      </c>
      <c r="F70" s="51">
        <f>基础表!F72</f>
        <v>2477.86845035256</v>
      </c>
      <c r="G70" s="51">
        <f>基础表!G72</f>
        <v>2492.09933004276</v>
      </c>
      <c r="H70" s="51">
        <f>基础表!H72</f>
        <v>2542.12810244803</v>
      </c>
      <c r="I70" s="51">
        <f>基础表!I72</f>
        <v>0</v>
      </c>
      <c r="J70" s="51">
        <f>基础表!J72</f>
        <v>0</v>
      </c>
      <c r="K70" s="51">
        <f>基础表!K72</f>
        <v>0</v>
      </c>
      <c r="L70" s="51">
        <f>基础表!L72</f>
        <v>0</v>
      </c>
      <c r="M70" s="51">
        <f>基础表!M72</f>
        <v>0</v>
      </c>
      <c r="N70" s="51">
        <f>基础表!N72</f>
        <v>0</v>
      </c>
      <c r="O70" s="411">
        <f ca="1">基础表!O72</f>
        <v>2498.30329653107</v>
      </c>
      <c r="Q70" s="38"/>
      <c r="R70" s="71"/>
      <c r="S70" s="38"/>
      <c r="T70" s="38"/>
    </row>
    <row r="71" spans="1:20">
      <c r="A71" s="407" t="str">
        <f>基础表!A73</f>
        <v>淀粉折标单价(F55)含税</v>
      </c>
      <c r="B71" s="170" t="str">
        <f>基础表!B73</f>
        <v>元/吨</v>
      </c>
      <c r="C71" s="59">
        <f>基础表!C73</f>
        <v>2881.44995575777</v>
      </c>
      <c r="D71" s="59">
        <f>基础表!D73</f>
        <v>2810.06197734029</v>
      </c>
      <c r="E71" s="59">
        <f>基础表!E73</f>
        <v>2773.72553170009</v>
      </c>
      <c r="F71" s="59">
        <f>基础表!F73</f>
        <v>2797.70529449132</v>
      </c>
      <c r="G71" s="59">
        <f>基础表!G73</f>
        <v>2814.74768549479</v>
      </c>
      <c r="H71" s="59">
        <f>基础表!H73</f>
        <v>2872.60486849689</v>
      </c>
      <c r="I71" s="59">
        <f>基础表!I73</f>
        <v>0</v>
      </c>
      <c r="J71" s="59">
        <f>基础表!J73</f>
        <v>0</v>
      </c>
      <c r="K71" s="59">
        <f>基础表!K73</f>
        <v>0</v>
      </c>
      <c r="L71" s="59">
        <f>基础表!L73</f>
        <v>0</v>
      </c>
      <c r="M71" s="59">
        <f>基础表!M73</f>
        <v>0</v>
      </c>
      <c r="N71" s="59">
        <f>基础表!N73</f>
        <v>0</v>
      </c>
      <c r="O71" s="412">
        <f ca="1">基础表!O73</f>
        <v>2824.36837726118</v>
      </c>
    </row>
    <row r="72" spans="1:20">
      <c r="A72" s="407" t="str">
        <f>基础表!A74</f>
        <v>淀粉折标单价(F55)软加工</v>
      </c>
      <c r="B72" s="170" t="str">
        <f>基础表!B74</f>
        <v>元/吨</v>
      </c>
      <c r="C72" s="59">
        <f>基础表!C74</f>
        <v>0</v>
      </c>
      <c r="D72" s="59">
        <f>基础表!D74</f>
        <v>0</v>
      </c>
      <c r="E72" s="59">
        <f>基础表!E74</f>
        <v>0</v>
      </c>
      <c r="F72" s="59">
        <f>基础表!F74</f>
        <v>0</v>
      </c>
      <c r="G72" s="59">
        <f>基础表!G74</f>
        <v>0</v>
      </c>
      <c r="H72" s="59">
        <f>基础表!H74</f>
        <v>0</v>
      </c>
      <c r="I72" s="59">
        <f>基础表!I74</f>
        <v>0</v>
      </c>
      <c r="J72" s="59">
        <f>基础表!J74</f>
        <v>0</v>
      </c>
      <c r="K72" s="59">
        <f>基础表!K74</f>
        <v>0</v>
      </c>
      <c r="L72" s="59">
        <f>基础表!L74</f>
        <v>0</v>
      </c>
      <c r="M72" s="59">
        <f>基础表!M74</f>
        <v>0</v>
      </c>
      <c r="N72" s="59">
        <f>基础表!N74</f>
        <v>0</v>
      </c>
      <c r="O72" s="412">
        <f ca="1">基础表!O74</f>
        <v>0</v>
      </c>
    </row>
    <row r="73" spans="1:20">
      <c r="A73" s="407" t="str">
        <f>基础表!A75</f>
        <v>淀粉折标单价(F42)含税</v>
      </c>
      <c r="B73" s="170" t="str">
        <f>基础表!B75</f>
        <v>元/吨</v>
      </c>
      <c r="C73" s="59">
        <f>基础表!C75</f>
        <v>0</v>
      </c>
      <c r="D73" s="59">
        <f>基础表!D75</f>
        <v>2810.06197734029</v>
      </c>
      <c r="E73" s="59">
        <f>基础表!E75</f>
        <v>2773.72553170009</v>
      </c>
      <c r="F73" s="59">
        <f>基础表!F75</f>
        <v>2797.70529449131</v>
      </c>
      <c r="G73" s="59">
        <f>基础表!G75</f>
        <v>0</v>
      </c>
      <c r="H73" s="59">
        <f>基础表!H75</f>
        <v>2872.60486849688</v>
      </c>
      <c r="I73" s="59">
        <f>基础表!I75</f>
        <v>0</v>
      </c>
      <c r="J73" s="59">
        <f>基础表!J75</f>
        <v>0</v>
      </c>
      <c r="K73" s="59">
        <f>基础表!K75</f>
        <v>0</v>
      </c>
      <c r="L73" s="59">
        <f>基础表!L75</f>
        <v>0</v>
      </c>
      <c r="M73" s="59">
        <f>基础表!M75</f>
        <v>0</v>
      </c>
      <c r="N73" s="59">
        <f>基础表!N75</f>
        <v>0</v>
      </c>
      <c r="O73" s="412">
        <f ca="1">基础表!O75</f>
        <v>2810.52381438753</v>
      </c>
      <c r="Q73" s="38"/>
      <c r="R73" s="71"/>
    </row>
    <row r="74" spans="1:20">
      <c r="A74" s="407" t="str">
        <f>基础表!A76</f>
        <v>淀粉折标单价(F60)含税</v>
      </c>
      <c r="B74" s="170" t="str">
        <f>基础表!B76</f>
        <v>元/吨</v>
      </c>
      <c r="C74" s="59">
        <f>基础表!C76</f>
        <v>2880.17411724554</v>
      </c>
      <c r="D74" s="59">
        <f>基础表!D76</f>
        <v>2813.86160237805</v>
      </c>
      <c r="E74" s="59">
        <f>基础表!E76</f>
        <v>2774.59385895716</v>
      </c>
      <c r="F74" s="59">
        <f>基础表!F76</f>
        <v>2797.47361919216</v>
      </c>
      <c r="G74" s="59">
        <f>基础表!G76</f>
        <v>2815.66444231982</v>
      </c>
      <c r="H74" s="59">
        <f>基础表!H76</f>
        <v>2872.60475566613</v>
      </c>
      <c r="I74" s="59">
        <f>基础表!I76</f>
        <v>0</v>
      </c>
      <c r="J74" s="59">
        <f>基础表!J76</f>
        <v>0</v>
      </c>
      <c r="K74" s="59">
        <f>基础表!K76</f>
        <v>0</v>
      </c>
      <c r="L74" s="59">
        <f>基础表!L76</f>
        <v>0</v>
      </c>
      <c r="M74" s="59">
        <f>基础表!M76</f>
        <v>0</v>
      </c>
      <c r="N74" s="59">
        <f>基础表!N76</f>
        <v>0</v>
      </c>
      <c r="O74" s="412">
        <f ca="1">基础表!O76</f>
        <v>2827.75572167122</v>
      </c>
      <c r="Q74" s="38"/>
      <c r="R74" s="71"/>
      <c r="S74" s="38"/>
    </row>
    <row r="75" customFormat="1" spans="1:20">
      <c r="A75" s="407" t="str">
        <f>基础表!A77</f>
        <v>淀粉折标单价(F90)含税</v>
      </c>
      <c r="B75" s="170" t="str">
        <f>基础表!B77</f>
        <v>元/吨</v>
      </c>
      <c r="C75" s="59">
        <f>基础表!C77</f>
        <v>0</v>
      </c>
      <c r="D75" s="59">
        <f>基础表!D77</f>
        <v>2774.87801597404</v>
      </c>
      <c r="E75" s="59">
        <f>基础表!E77</f>
        <v>0</v>
      </c>
      <c r="F75" s="59">
        <f>基础表!F77</f>
        <v>0</v>
      </c>
      <c r="G75" s="59">
        <f>基础表!G77</f>
        <v>0</v>
      </c>
      <c r="H75" s="59">
        <f>基础表!H77</f>
        <v>0</v>
      </c>
      <c r="I75" s="59">
        <f>基础表!I77</f>
        <v>0</v>
      </c>
      <c r="J75" s="59">
        <f>基础表!J77</f>
        <v>0</v>
      </c>
      <c r="K75" s="59">
        <f>基础表!K77</f>
        <v>0</v>
      </c>
      <c r="L75" s="59">
        <f>基础表!L77</f>
        <v>0</v>
      </c>
      <c r="M75" s="59">
        <f>基础表!M77</f>
        <v>0</v>
      </c>
      <c r="N75" s="59">
        <f>基础表!N77</f>
        <v>0</v>
      </c>
      <c r="O75" s="412">
        <f ca="1">基础表!O77</f>
        <v>2774.87801597404</v>
      </c>
      <c r="Q75" s="38"/>
      <c r="R75" s="71"/>
      <c r="S75" s="38"/>
    </row>
    <row r="76" spans="1:20">
      <c r="A76" s="407" t="str">
        <f>基础表!A78</f>
        <v>淀粉折标单价(糖浆老线)含税</v>
      </c>
      <c r="B76" s="170" t="str">
        <f>基础表!B78</f>
        <v>元/吨</v>
      </c>
      <c r="C76" s="59">
        <f>基础表!C78</f>
        <v>2884.26579136344</v>
      </c>
      <c r="D76" s="59">
        <f>基础表!D78</f>
        <v>2809.15566739644</v>
      </c>
      <c r="E76" s="59">
        <f>基础表!E78</f>
        <v>2774.65905886673</v>
      </c>
      <c r="F76" s="59">
        <f>基础表!F78</f>
        <v>2799.99134889839</v>
      </c>
      <c r="G76" s="59">
        <f>基础表!G78</f>
        <v>2816.07224294831</v>
      </c>
      <c r="H76" s="59">
        <f>基础表!H78</f>
        <v>2872.60475576627</v>
      </c>
      <c r="I76" s="59">
        <f>基础表!I78</f>
        <v>0</v>
      </c>
      <c r="J76" s="59">
        <f>基础表!J78</f>
        <v>0</v>
      </c>
      <c r="K76" s="59">
        <f>基础表!K78</f>
        <v>0</v>
      </c>
      <c r="L76" s="59">
        <f>基础表!L78</f>
        <v>0</v>
      </c>
      <c r="M76" s="59">
        <f>基础表!M78</f>
        <v>0</v>
      </c>
      <c r="N76" s="59">
        <f>基础表!N78</f>
        <v>0</v>
      </c>
      <c r="O76" s="412">
        <f ca="1">基础表!O78</f>
        <v>2823.16725797216</v>
      </c>
      <c r="Q76" s="38"/>
      <c r="R76" s="71"/>
      <c r="S76" s="38"/>
      <c r="T76" s="38"/>
    </row>
    <row r="77" spans="1:20">
      <c r="A77" s="312" t="s">
        <v>251</v>
      </c>
      <c r="B77" s="50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411"/>
      <c r="Q77" s="38"/>
      <c r="R77" s="71"/>
      <c r="S77" s="38"/>
      <c r="T77" s="38"/>
    </row>
    <row r="78" s="38" customFormat="1" ht="15" customHeight="1" spans="1:20">
      <c r="A78" s="307" t="s">
        <v>252</v>
      </c>
      <c r="B78" s="50"/>
      <c r="C78" s="51">
        <f>C59</f>
        <v>5205.34176339548</v>
      </c>
      <c r="D78" s="51">
        <f t="shared" ref="D78:N78" si="16">D59</f>
        <v>6594.23414339896</v>
      </c>
      <c r="E78" s="51">
        <f t="shared" si="16"/>
        <v>6075.16337897554</v>
      </c>
      <c r="F78" s="51">
        <f t="shared" si="16"/>
        <v>7070.79504355832</v>
      </c>
      <c r="G78" s="51">
        <f t="shared" si="16"/>
        <v>9003.63862156089</v>
      </c>
      <c r="H78" s="51">
        <f t="shared" si="16"/>
        <v>7878.36351343523</v>
      </c>
      <c r="I78" s="51">
        <f t="shared" si="16"/>
        <v>0</v>
      </c>
      <c r="J78" s="51">
        <f t="shared" si="16"/>
        <v>0</v>
      </c>
      <c r="K78" s="51">
        <f t="shared" si="16"/>
        <v>0</v>
      </c>
      <c r="L78" s="51">
        <f t="shared" si="16"/>
        <v>0</v>
      </c>
      <c r="M78" s="51">
        <f t="shared" si="16"/>
        <v>0</v>
      </c>
      <c r="N78" s="51">
        <f t="shared" si="16"/>
        <v>0</v>
      </c>
      <c r="O78" s="411">
        <f ca="1">SUM(OFFSET($C78,0,0,1,mth))</f>
        <v>41827.5364643244</v>
      </c>
      <c r="P78" s="378"/>
      <c r="R78" s="71"/>
    </row>
    <row r="79" s="38" customFormat="1" ht="15" customHeight="1" spans="1:20">
      <c r="A79" s="307" t="s">
        <v>253</v>
      </c>
      <c r="B79" s="50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411">
        <f ca="1">SUM(OFFSET($C79,0,0,1,mth))</f>
        <v>0</v>
      </c>
      <c r="P79" s="382"/>
      <c r="R79" s="71"/>
    </row>
    <row r="80" s="38" customFormat="1" ht="15" customHeight="1" spans="1:20">
      <c r="A80" s="123" t="s">
        <v>254</v>
      </c>
      <c r="B80" s="50"/>
      <c r="C80" s="51">
        <f>C60</f>
        <v>0</v>
      </c>
      <c r="D80" s="51">
        <f t="shared" ref="D80:N81" si="17">D60</f>
        <v>0</v>
      </c>
      <c r="E80" s="51">
        <f t="shared" si="17"/>
        <v>0</v>
      </c>
      <c r="F80" s="51">
        <f t="shared" si="17"/>
        <v>0</v>
      </c>
      <c r="G80" s="51">
        <f t="shared" si="17"/>
        <v>0</v>
      </c>
      <c r="H80" s="51">
        <f t="shared" si="17"/>
        <v>0</v>
      </c>
      <c r="I80" s="51">
        <f t="shared" si="17"/>
        <v>0</v>
      </c>
      <c r="J80" s="51">
        <f t="shared" si="17"/>
        <v>0</v>
      </c>
      <c r="K80" s="51">
        <f t="shared" si="17"/>
        <v>0</v>
      </c>
      <c r="L80" s="51">
        <f t="shared" si="17"/>
        <v>0</v>
      </c>
      <c r="M80" s="51">
        <f t="shared" si="17"/>
        <v>0</v>
      </c>
      <c r="N80" s="51">
        <f t="shared" si="17"/>
        <v>0</v>
      </c>
      <c r="O80" s="411">
        <f ca="1">SUM(OFFSET($C80,0,0,1,mth))</f>
        <v>0</v>
      </c>
      <c r="P80" s="382"/>
      <c r="R80" s="71"/>
    </row>
    <row r="81" s="38" customFormat="1" ht="15" customHeight="1" spans="1:20">
      <c r="A81" s="307" t="s">
        <v>255</v>
      </c>
      <c r="B81" s="50"/>
      <c r="C81" s="51">
        <f>C61</f>
        <v>0</v>
      </c>
      <c r="D81" s="51">
        <f t="shared" si="17"/>
        <v>303.33836839866</v>
      </c>
      <c r="E81" s="51">
        <f>E61</f>
        <v>409.610865210512</v>
      </c>
      <c r="F81" s="51">
        <f t="shared" si="17"/>
        <v>430.475265502512</v>
      </c>
      <c r="G81" s="51">
        <f t="shared" si="17"/>
        <v>0</v>
      </c>
      <c r="H81" s="51">
        <f t="shared" si="17"/>
        <v>333.936421656101</v>
      </c>
      <c r="I81" s="51">
        <f t="shared" si="17"/>
        <v>0</v>
      </c>
      <c r="J81" s="51">
        <f t="shared" si="17"/>
        <v>0</v>
      </c>
      <c r="K81" s="51">
        <f t="shared" si="17"/>
        <v>0</v>
      </c>
      <c r="L81" s="51">
        <f t="shared" si="17"/>
        <v>0</v>
      </c>
      <c r="M81" s="51">
        <f t="shared" si="17"/>
        <v>0</v>
      </c>
      <c r="N81" s="51">
        <f t="shared" si="17"/>
        <v>0</v>
      </c>
      <c r="O81" s="411">
        <f ca="1">SUM(OFFSET($C81,0,0,1,mth))</f>
        <v>1477.36092076778</v>
      </c>
      <c r="P81" s="382"/>
      <c r="Q81"/>
      <c r="R81"/>
    </row>
    <row r="82" s="38" customFormat="1" ht="15" customHeight="1" spans="1:20">
      <c r="A82" s="307" t="s">
        <v>256</v>
      </c>
      <c r="B82" s="60"/>
      <c r="C82" s="51">
        <f>基础表!C64</f>
        <v>910.453379710185</v>
      </c>
      <c r="D82" s="51">
        <f>基础表!D64</f>
        <v>688.407570352049</v>
      </c>
      <c r="E82" s="51">
        <f>基础表!E64</f>
        <v>978.656976744186</v>
      </c>
      <c r="F82" s="51">
        <f>基础表!F64</f>
        <v>898.475681316996</v>
      </c>
      <c r="G82" s="51">
        <f>基础表!G64</f>
        <v>990.345947190559</v>
      </c>
      <c r="H82" s="51">
        <f>基础表!H64</f>
        <v>1182.8531580329</v>
      </c>
      <c r="I82" s="51">
        <f>基础表!I64</f>
        <v>0</v>
      </c>
      <c r="J82" s="51">
        <f>基础表!J64</f>
        <v>0</v>
      </c>
      <c r="K82" s="51">
        <f>基础表!K64</f>
        <v>0</v>
      </c>
      <c r="L82" s="51">
        <f>基础表!L64</f>
        <v>0</v>
      </c>
      <c r="M82" s="51">
        <f>基础表!M64</f>
        <v>0</v>
      </c>
      <c r="N82" s="51">
        <f>基础表!N64</f>
        <v>0</v>
      </c>
      <c r="O82" s="411">
        <f ca="1">SUM(OFFSET($C82,0,0,1,mth))</f>
        <v>5649.19271334687</v>
      </c>
      <c r="P82" s="382"/>
      <c r="Q82"/>
      <c r="R82"/>
      <c r="S82"/>
    </row>
    <row r="83" s="38" customFormat="1" ht="15" customHeight="1" spans="1:20">
      <c r="A83" s="307" t="s">
        <v>257</v>
      </c>
      <c r="B83" s="60"/>
      <c r="C83" s="51">
        <f>基础表!C65</f>
        <v>0</v>
      </c>
      <c r="D83" s="51">
        <f>基础表!D65</f>
        <v>29.8477442911764</v>
      </c>
      <c r="E83" s="51">
        <f>基础表!E65</f>
        <v>0</v>
      </c>
      <c r="F83" s="51">
        <f>基础表!F65</f>
        <v>0</v>
      </c>
      <c r="G83" s="51">
        <f>基础表!G65</f>
        <v>0</v>
      </c>
      <c r="H83" s="51">
        <f>基础表!H65</f>
        <v>0</v>
      </c>
      <c r="I83" s="51">
        <f>基础表!I65</f>
        <v>0</v>
      </c>
      <c r="J83" s="51">
        <f>基础表!J65</f>
        <v>0</v>
      </c>
      <c r="K83" s="51">
        <f>基础表!K65</f>
        <v>0</v>
      </c>
      <c r="L83" s="51">
        <f>基础表!L65</f>
        <v>0</v>
      </c>
      <c r="M83" s="51">
        <f>基础表!M65</f>
        <v>0</v>
      </c>
      <c r="N83" s="51">
        <f>基础表!N65</f>
        <v>0</v>
      </c>
      <c r="O83" s="411">
        <f ca="1">SUM(OFFSET($C83,0,0,1,mth))</f>
        <v>29.8477442911764</v>
      </c>
      <c r="P83" s="382"/>
      <c r="Q83"/>
      <c r="R83"/>
      <c r="S83"/>
    </row>
    <row r="84" s="38" customFormat="1" ht="15" customHeight="1" spans="1:20">
      <c r="A84" s="307" t="s">
        <v>258</v>
      </c>
      <c r="B84" s="60"/>
      <c r="C84" s="51">
        <f>C64</f>
        <v>4728.56635689434</v>
      </c>
      <c r="D84" s="51">
        <f t="shared" ref="D84:N84" si="18">D64</f>
        <v>5512.65727617813</v>
      </c>
      <c r="E84" s="51">
        <f t="shared" si="18"/>
        <v>7012.21302325581</v>
      </c>
      <c r="F84" s="51">
        <f t="shared" si="18"/>
        <v>4843.04192108849</v>
      </c>
      <c r="G84" s="51">
        <f t="shared" si="18"/>
        <v>5382.35318604651</v>
      </c>
      <c r="H84" s="51">
        <f t="shared" si="18"/>
        <v>5641.71410684966</v>
      </c>
      <c r="I84" s="51">
        <f t="shared" si="18"/>
        <v>0</v>
      </c>
      <c r="J84" s="51">
        <f t="shared" si="18"/>
        <v>0</v>
      </c>
      <c r="K84" s="51">
        <f t="shared" si="18"/>
        <v>0</v>
      </c>
      <c r="L84" s="51">
        <f t="shared" si="18"/>
        <v>0</v>
      </c>
      <c r="M84" s="51">
        <f t="shared" si="18"/>
        <v>0</v>
      </c>
      <c r="N84" s="51">
        <f t="shared" si="18"/>
        <v>0</v>
      </c>
      <c r="O84" s="411">
        <f ca="1">SUM(OFFSET($C84,0,0,1,mth))</f>
        <v>33120.5458703129</v>
      </c>
      <c r="P84" s="382"/>
      <c r="Q84"/>
      <c r="R84"/>
      <c r="S84"/>
      <c r="T84"/>
    </row>
    <row r="85" s="38" customFormat="1" ht="15" customHeight="1" spans="1:20">
      <c r="A85" s="383" t="s">
        <v>232</v>
      </c>
      <c r="B85" s="202"/>
      <c r="C85" s="413">
        <f>SUM(C78:C84)</f>
        <v>10844.3615</v>
      </c>
      <c r="D85" s="413">
        <f t="shared" ref="D85:O85" si="19">SUM(D78:D84)</f>
        <v>13128.485102619</v>
      </c>
      <c r="E85" s="413">
        <f t="shared" si="19"/>
        <v>14475.6442441861</v>
      </c>
      <c r="F85" s="413">
        <f t="shared" si="19"/>
        <v>13242.7879114663</v>
      </c>
      <c r="G85" s="413">
        <f t="shared" si="19"/>
        <v>15376.337754798</v>
      </c>
      <c r="H85" s="413">
        <f t="shared" si="19"/>
        <v>15036.8671999739</v>
      </c>
      <c r="I85" s="413">
        <f t="shared" si="19"/>
        <v>0</v>
      </c>
      <c r="J85" s="413">
        <f t="shared" si="19"/>
        <v>0</v>
      </c>
      <c r="K85" s="413">
        <f t="shared" si="19"/>
        <v>0</v>
      </c>
      <c r="L85" s="413">
        <f t="shared" si="19"/>
        <v>0</v>
      </c>
      <c r="M85" s="413">
        <f t="shared" si="19"/>
        <v>0</v>
      </c>
      <c r="N85" s="413">
        <f t="shared" si="19"/>
        <v>0</v>
      </c>
      <c r="O85" s="414">
        <f ca="1" t="shared" si="19"/>
        <v>82104.4837130432</v>
      </c>
      <c r="P85" s="382"/>
      <c r="Q85"/>
      <c r="R85"/>
      <c r="S85"/>
      <c r="T85"/>
    </row>
    <row r="87" ht="16.5" spans="1:20">
      <c r="A87" s="109" t="str">
        <f>基础表!A100</f>
        <v>辅料消耗总量-果糖装置</v>
      </c>
      <c r="B87" s="9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</row>
    <row r="88" spans="1:20">
      <c r="A88" s="185" t="str">
        <f>基础表!A101</f>
        <v>项     目</v>
      </c>
      <c r="B88" s="106" t="str">
        <f>基础表!B101</f>
        <v>单位</v>
      </c>
      <c r="C88" s="375" t="str">
        <f>基础表!C101</f>
        <v>1月</v>
      </c>
      <c r="D88" s="375" t="str">
        <f>基础表!D101</f>
        <v>2月</v>
      </c>
      <c r="E88" s="375" t="str">
        <f>基础表!E101</f>
        <v>3月</v>
      </c>
      <c r="F88" s="376" t="str">
        <f>基础表!F101</f>
        <v>4月</v>
      </c>
      <c r="G88" s="375" t="str">
        <f>基础表!G101</f>
        <v>5月</v>
      </c>
      <c r="H88" s="375" t="str">
        <f>基础表!H101</f>
        <v>6月</v>
      </c>
      <c r="I88" s="375" t="str">
        <f>基础表!I101</f>
        <v>7月</v>
      </c>
      <c r="J88" s="375" t="str">
        <f>基础表!J101</f>
        <v>8月</v>
      </c>
      <c r="K88" s="375" t="str">
        <f>基础表!K101</f>
        <v>9月</v>
      </c>
      <c r="L88" s="375" t="str">
        <f>基础表!L101</f>
        <v>10月</v>
      </c>
      <c r="M88" s="375" t="str">
        <f>基础表!M101</f>
        <v>11月</v>
      </c>
      <c r="N88" s="375" t="str">
        <f>基础表!N101</f>
        <v>12月</v>
      </c>
      <c r="O88" s="377" t="str">
        <f>基础表!O101</f>
        <v>1-8月累计</v>
      </c>
    </row>
    <row r="89" spans="1:20">
      <c r="A89" s="115" t="str">
        <f>基础表!A102</f>
        <v>　　盐酸(折百)</v>
      </c>
      <c r="B89" s="50" t="str">
        <f>基础表!B102</f>
        <v>KG</v>
      </c>
      <c r="C89" s="309">
        <f>基础表!C102</f>
        <v>32559.3</v>
      </c>
      <c r="D89" s="309">
        <f>基础表!D102</f>
        <v>38821.3</v>
      </c>
      <c r="E89" s="309">
        <f>基础表!E102</f>
        <v>39850.5</v>
      </c>
      <c r="F89" s="309">
        <f>基础表!F102</f>
        <v>44289.7</v>
      </c>
      <c r="G89" s="309">
        <f>基础表!G102</f>
        <v>57718.9</v>
      </c>
      <c r="H89" s="309">
        <f>基础表!H102</f>
        <v>49751.8999999999</v>
      </c>
      <c r="I89" s="309">
        <f>基础表!I102</f>
        <v>0</v>
      </c>
      <c r="J89" s="309">
        <f>基础表!J102</f>
        <v>0</v>
      </c>
      <c r="K89" s="309">
        <f>基础表!K102</f>
        <v>0</v>
      </c>
      <c r="L89" s="309">
        <f>基础表!L102</f>
        <v>0</v>
      </c>
      <c r="M89" s="309">
        <f>基础表!M102</f>
        <v>0</v>
      </c>
      <c r="N89" s="309">
        <f>基础表!N102</f>
        <v>0</v>
      </c>
      <c r="O89" s="51">
        <f ca="1" t="shared" ref="O89:O98" si="20">SUM(OFFSET($C89,0,0,1,mth))</f>
        <v>262991.6</v>
      </c>
    </row>
    <row r="90" spans="1:20">
      <c r="A90" s="115" t="str">
        <f>基础表!A103</f>
        <v>　　氢氧化钠(折百)</v>
      </c>
      <c r="B90" s="50" t="str">
        <f>基础表!B103</f>
        <v>KG</v>
      </c>
      <c r="C90" s="309">
        <f>基础表!C103</f>
        <v>35657.6</v>
      </c>
      <c r="D90" s="309">
        <f>基础表!D103</f>
        <v>44118.3999999999</v>
      </c>
      <c r="E90" s="309">
        <f>基础表!E103</f>
        <v>43744</v>
      </c>
      <c r="F90" s="309">
        <f>基础表!F103</f>
        <v>47763.1999999999</v>
      </c>
      <c r="G90" s="309">
        <f>基础表!G103</f>
        <v>63152</v>
      </c>
      <c r="H90" s="309">
        <f>基础表!H103</f>
        <v>57692.8</v>
      </c>
      <c r="I90" s="309">
        <f>基础表!I103</f>
        <v>0</v>
      </c>
      <c r="J90" s="309">
        <f>基础表!J103</f>
        <v>0</v>
      </c>
      <c r="K90" s="309">
        <f>基础表!K103</f>
        <v>0</v>
      </c>
      <c r="L90" s="309">
        <f>基础表!L103</f>
        <v>0</v>
      </c>
      <c r="M90" s="309">
        <f>基础表!M103</f>
        <v>0</v>
      </c>
      <c r="N90" s="309">
        <f>基础表!N103</f>
        <v>0</v>
      </c>
      <c r="O90" s="51">
        <f ca="1" t="shared" si="20"/>
        <v>292128</v>
      </c>
    </row>
    <row r="91" spans="1:20">
      <c r="A91" s="115" t="str">
        <f>基础表!A104</f>
        <v>　　硅藻土</v>
      </c>
      <c r="B91" s="50" t="str">
        <f>基础表!B104</f>
        <v>KG</v>
      </c>
      <c r="C91" s="309">
        <f>基础表!C104</f>
        <v>5400</v>
      </c>
      <c r="D91" s="309">
        <f>基础表!D104</f>
        <v>7940</v>
      </c>
      <c r="E91" s="309">
        <f>基础表!E104</f>
        <v>6900</v>
      </c>
      <c r="F91" s="309">
        <f>基础表!F104</f>
        <v>8000</v>
      </c>
      <c r="G91" s="309">
        <f>基础表!G104</f>
        <v>7880</v>
      </c>
      <c r="H91" s="309">
        <f>基础表!H104</f>
        <v>8200</v>
      </c>
      <c r="I91" s="309">
        <f>基础表!I104</f>
        <v>0</v>
      </c>
      <c r="J91" s="309">
        <f>基础表!J104</f>
        <v>0</v>
      </c>
      <c r="K91" s="309">
        <f>基础表!K104</f>
        <v>0</v>
      </c>
      <c r="L91" s="309">
        <f>基础表!L104</f>
        <v>0</v>
      </c>
      <c r="M91" s="309">
        <f>基础表!M104</f>
        <v>0</v>
      </c>
      <c r="N91" s="309">
        <f>基础表!N104</f>
        <v>0</v>
      </c>
      <c r="O91" s="51">
        <f ca="1" t="shared" si="20"/>
        <v>44320</v>
      </c>
    </row>
    <row r="92" spans="1:20">
      <c r="A92" s="115" t="str">
        <f>基础表!A105</f>
        <v>　　纯碱</v>
      </c>
      <c r="B92" s="50" t="str">
        <f>基础表!B105</f>
        <v>KG</v>
      </c>
      <c r="C92" s="309">
        <f>基础表!C105</f>
        <v>0</v>
      </c>
      <c r="D92" s="309">
        <f>基础表!D105</f>
        <v>0</v>
      </c>
      <c r="E92" s="309">
        <f>基础表!E105</f>
        <v>0</v>
      </c>
      <c r="F92" s="309">
        <f>基础表!F105</f>
        <v>0</v>
      </c>
      <c r="G92" s="309">
        <f>基础表!G105</f>
        <v>0</v>
      </c>
      <c r="H92" s="309">
        <f>基础表!H105</f>
        <v>0</v>
      </c>
      <c r="I92" s="309">
        <f>基础表!I105</f>
        <v>0</v>
      </c>
      <c r="J92" s="309">
        <f>基础表!J105</f>
        <v>0</v>
      </c>
      <c r="K92" s="309">
        <f>基础表!K105</f>
        <v>0</v>
      </c>
      <c r="L92" s="309">
        <f>基础表!L105</f>
        <v>0</v>
      </c>
      <c r="M92" s="309">
        <f>基础表!M105</f>
        <v>0</v>
      </c>
      <c r="N92" s="309">
        <f>基础表!N105</f>
        <v>0</v>
      </c>
      <c r="O92" s="51">
        <f ca="1" t="shared" si="20"/>
        <v>0</v>
      </c>
    </row>
    <row r="93" spans="1:20">
      <c r="A93" s="115" t="str">
        <f>基础表!A106</f>
        <v>　　活性炭</v>
      </c>
      <c r="B93" s="50" t="str">
        <f>基础表!B106</f>
        <v>KG</v>
      </c>
      <c r="C93" s="309">
        <f>基础表!C106</f>
        <v>11940</v>
      </c>
      <c r="D93" s="309">
        <f>基础表!D106</f>
        <v>16160</v>
      </c>
      <c r="E93" s="309">
        <f>基础表!E106</f>
        <v>12000</v>
      </c>
      <c r="F93" s="309">
        <f>基础表!F106</f>
        <v>16780</v>
      </c>
      <c r="G93" s="309">
        <f>基础表!G106</f>
        <v>17940</v>
      </c>
      <c r="H93" s="309">
        <f>基础表!H106</f>
        <v>17500</v>
      </c>
      <c r="I93" s="309">
        <f>基础表!I106</f>
        <v>0</v>
      </c>
      <c r="J93" s="309">
        <f>基础表!J106</f>
        <v>0</v>
      </c>
      <c r="K93" s="309">
        <f>基础表!K106</f>
        <v>0</v>
      </c>
      <c r="L93" s="309">
        <f>基础表!L106</f>
        <v>0</v>
      </c>
      <c r="M93" s="309">
        <f>基础表!M106</f>
        <v>0</v>
      </c>
      <c r="N93" s="309">
        <f>基础表!N106</f>
        <v>0</v>
      </c>
      <c r="O93" s="51">
        <f ca="1" t="shared" si="20"/>
        <v>92320</v>
      </c>
    </row>
    <row r="94" spans="1:20">
      <c r="A94" s="115" t="str">
        <f>基础表!A107</f>
        <v>　　α耐高温淀粉酶</v>
      </c>
      <c r="B94" s="50" t="str">
        <f>基础表!B107</f>
        <v>KG</v>
      </c>
      <c r="C94" s="309">
        <f>基础表!C107</f>
        <v>562</v>
      </c>
      <c r="D94" s="309">
        <f>基础表!D107</f>
        <v>829</v>
      </c>
      <c r="E94" s="309">
        <f>基础表!E107</f>
        <v>767</v>
      </c>
      <c r="F94" s="309">
        <f>基础表!F107</f>
        <v>922.999999999999</v>
      </c>
      <c r="G94" s="309">
        <f>基础表!G107</f>
        <v>826</v>
      </c>
      <c r="H94" s="309">
        <f>基础表!H107</f>
        <v>868</v>
      </c>
      <c r="I94" s="309">
        <f>基础表!I107</f>
        <v>0</v>
      </c>
      <c r="J94" s="309">
        <f>基础表!J107</f>
        <v>0</v>
      </c>
      <c r="K94" s="309">
        <f>基础表!K107</f>
        <v>0</v>
      </c>
      <c r="L94" s="309">
        <f>基础表!L107</f>
        <v>0</v>
      </c>
      <c r="M94" s="309">
        <f>基础表!M107</f>
        <v>0</v>
      </c>
      <c r="N94" s="309">
        <f>基础表!N107</f>
        <v>0</v>
      </c>
      <c r="O94" s="51">
        <f ca="1" t="shared" si="20"/>
        <v>4775</v>
      </c>
    </row>
    <row r="95" spans="1:20">
      <c r="A95" s="115" t="str">
        <f>基础表!A108</f>
        <v>　　复合糖化酶</v>
      </c>
      <c r="B95" s="50" t="str">
        <f>基础表!B108</f>
        <v>KG</v>
      </c>
      <c r="C95" s="309">
        <f>基础表!C108</f>
        <v>985</v>
      </c>
      <c r="D95" s="309">
        <f>基础表!D108</f>
        <v>1441</v>
      </c>
      <c r="E95" s="309">
        <f>基础表!E108</f>
        <v>1343</v>
      </c>
      <c r="F95" s="309">
        <f>基础表!F108</f>
        <v>1585</v>
      </c>
      <c r="G95" s="309">
        <f>基础表!G108</f>
        <v>1985</v>
      </c>
      <c r="H95" s="309">
        <f>基础表!H108</f>
        <v>1965</v>
      </c>
      <c r="I95" s="309">
        <f>基础表!I108</f>
        <v>0</v>
      </c>
      <c r="J95" s="309">
        <f>基础表!J108</f>
        <v>0</v>
      </c>
      <c r="K95" s="309">
        <f>基础表!K108</f>
        <v>0</v>
      </c>
      <c r="L95" s="309">
        <f>基础表!L108</f>
        <v>0</v>
      </c>
      <c r="M95" s="309">
        <f>基础表!M108</f>
        <v>0</v>
      </c>
      <c r="N95" s="309">
        <f>基础表!N108</f>
        <v>0</v>
      </c>
      <c r="O95" s="51">
        <f ca="1" t="shared" si="20"/>
        <v>9304</v>
      </c>
    </row>
    <row r="96" spans="1:20">
      <c r="A96" s="115" t="str">
        <f>基础表!A109</f>
        <v>　　异构酶</v>
      </c>
      <c r="B96" s="50" t="str">
        <f>基础表!B109</f>
        <v>KG</v>
      </c>
      <c r="C96" s="309">
        <f>基础表!C109</f>
        <v>694</v>
      </c>
      <c r="D96" s="309">
        <f>基础表!D109</f>
        <v>853</v>
      </c>
      <c r="E96" s="309">
        <f>基础表!E109</f>
        <v>848</v>
      </c>
      <c r="F96" s="309">
        <f>基础表!F109</f>
        <v>976</v>
      </c>
      <c r="G96" s="309">
        <f>基础表!G109</f>
        <v>1178</v>
      </c>
      <c r="H96" s="309">
        <f>基础表!H109</f>
        <v>1092</v>
      </c>
      <c r="I96" s="309">
        <f>基础表!I109</f>
        <v>0</v>
      </c>
      <c r="J96" s="309">
        <f>基础表!J109</f>
        <v>0</v>
      </c>
      <c r="K96" s="309">
        <f>基础表!K109</f>
        <v>0</v>
      </c>
      <c r="L96" s="309">
        <f>基础表!L109</f>
        <v>0</v>
      </c>
      <c r="M96" s="309">
        <f>基础表!M109</f>
        <v>0</v>
      </c>
      <c r="N96" s="309">
        <f>基础表!N109</f>
        <v>0</v>
      </c>
      <c r="O96" s="51">
        <f ca="1" t="shared" si="20"/>
        <v>5641</v>
      </c>
    </row>
    <row r="97" spans="1:15">
      <c r="A97" s="115" t="str">
        <f>基础表!A110</f>
        <v>　　硫酸镁(食品级)</v>
      </c>
      <c r="B97" s="50" t="str">
        <f>基础表!B110</f>
        <v>KG</v>
      </c>
      <c r="C97" s="309">
        <f>基础表!C110</f>
        <v>3150</v>
      </c>
      <c r="D97" s="309">
        <f>基础表!D110</f>
        <v>4125</v>
      </c>
      <c r="E97" s="309">
        <f>基础表!E110</f>
        <v>4075</v>
      </c>
      <c r="F97" s="309">
        <f>基础表!F110</f>
        <v>5300</v>
      </c>
      <c r="G97" s="309">
        <f>基础表!G110</f>
        <v>5850</v>
      </c>
      <c r="H97" s="309">
        <f>基础表!H110</f>
        <v>6150</v>
      </c>
      <c r="I97" s="309">
        <f>基础表!I110</f>
        <v>0</v>
      </c>
      <c r="J97" s="309">
        <f>基础表!J110</f>
        <v>0</v>
      </c>
      <c r="K97" s="309">
        <f>基础表!K110</f>
        <v>0</v>
      </c>
      <c r="L97" s="309">
        <f>基础表!L110</f>
        <v>0</v>
      </c>
      <c r="M97" s="309">
        <f>基础表!M110</f>
        <v>0</v>
      </c>
      <c r="N97" s="309">
        <f>基础表!N110</f>
        <v>0</v>
      </c>
      <c r="O97" s="51">
        <f ca="1" t="shared" si="20"/>
        <v>28650</v>
      </c>
    </row>
    <row r="98" spans="1:15">
      <c r="A98" s="115" t="str">
        <f>基础表!A111</f>
        <v>　　焦亚硫酸钠</v>
      </c>
      <c r="B98" s="50" t="str">
        <f>基础表!B111</f>
        <v>KG</v>
      </c>
      <c r="C98" s="309">
        <f>基础表!C111</f>
        <v>2050</v>
      </c>
      <c r="D98" s="309">
        <f>基础表!D111</f>
        <v>2850</v>
      </c>
      <c r="E98" s="309">
        <f>基础表!E111</f>
        <v>2800</v>
      </c>
      <c r="F98" s="309">
        <f>基础表!F111</f>
        <v>2650.00000000001</v>
      </c>
      <c r="G98" s="309">
        <f>基础表!G111</f>
        <v>3425</v>
      </c>
      <c r="H98" s="309">
        <f>基础表!H111</f>
        <v>3075</v>
      </c>
      <c r="I98" s="309">
        <f>基础表!I111</f>
        <v>0</v>
      </c>
      <c r="J98" s="309">
        <f>基础表!J111</f>
        <v>0</v>
      </c>
      <c r="K98" s="309">
        <f>基础表!K111</f>
        <v>0</v>
      </c>
      <c r="L98" s="309">
        <f>基础表!L111</f>
        <v>0</v>
      </c>
      <c r="M98" s="309">
        <f>基础表!M111</f>
        <v>0</v>
      </c>
      <c r="N98" s="309">
        <f>基础表!N111</f>
        <v>0</v>
      </c>
      <c r="O98" s="51">
        <f ca="1" t="shared" si="20"/>
        <v>16850</v>
      </c>
    </row>
    <row r="99" ht="16.5" spans="1:15">
      <c r="A99" s="109" t="s">
        <v>259</v>
      </c>
      <c r="B99" s="9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</row>
    <row r="100" spans="1:15">
      <c r="A100" s="185" t="str">
        <f>基础表!A113</f>
        <v>项     目</v>
      </c>
      <c r="B100" s="106" t="str">
        <f>基础表!B113</f>
        <v>单位</v>
      </c>
      <c r="C100" s="375" t="str">
        <f>基础表!C113</f>
        <v>1月</v>
      </c>
      <c r="D100" s="375" t="str">
        <f>基础表!D113</f>
        <v>2月</v>
      </c>
      <c r="E100" s="375" t="str">
        <f>基础表!E113</f>
        <v>3月</v>
      </c>
      <c r="F100" s="415" t="str">
        <f>基础表!F113</f>
        <v>4月</v>
      </c>
      <c r="G100" s="375" t="str">
        <f>基础表!G113</f>
        <v>5月</v>
      </c>
      <c r="H100" s="375" t="str">
        <f>基础表!H113</f>
        <v>6月</v>
      </c>
      <c r="I100" s="375" t="str">
        <f>基础表!I113</f>
        <v>7月</v>
      </c>
      <c r="J100" s="375" t="str">
        <f>基础表!J113</f>
        <v>8月</v>
      </c>
      <c r="K100" s="375" t="str">
        <f>基础表!K113</f>
        <v>9月</v>
      </c>
      <c r="L100" s="375" t="str">
        <f>基础表!L113</f>
        <v>10月</v>
      </c>
      <c r="M100" s="375" t="str">
        <f>基础表!M113</f>
        <v>11月</v>
      </c>
      <c r="N100" s="375" t="str">
        <f>基础表!N113</f>
        <v>12月</v>
      </c>
      <c r="O100" s="377" t="str">
        <f>基础表!O113</f>
        <v>1-8月累计</v>
      </c>
    </row>
    <row r="101" spans="1:15">
      <c r="A101" s="191" t="str">
        <f>基础表!A114</f>
        <v>盐酸(折百)</v>
      </c>
      <c r="B101" s="50" t="str">
        <f>基础表!B114</f>
        <v>公斤</v>
      </c>
      <c r="C101" s="125">
        <f>基础表!C114</f>
        <v>27590</v>
      </c>
      <c r="D101" s="125">
        <f>基础表!D114</f>
        <v>33634.6860888869</v>
      </c>
      <c r="E101" s="125">
        <f>基础表!E114</f>
        <v>32399.4167911326</v>
      </c>
      <c r="F101" s="125">
        <f>基础表!F114</f>
        <v>37212.0713941683</v>
      </c>
      <c r="G101" s="125">
        <f>基础表!G114</f>
        <v>51952.9</v>
      </c>
      <c r="H101" s="125">
        <f>基础表!H114</f>
        <v>41823.7756490562</v>
      </c>
      <c r="I101" s="125">
        <f>基础表!I114</f>
        <v>0</v>
      </c>
      <c r="J101" s="125">
        <f>基础表!J114</f>
        <v>0</v>
      </c>
      <c r="K101" s="125">
        <f>基础表!K114</f>
        <v>0</v>
      </c>
      <c r="L101" s="125">
        <f>基础表!L114</f>
        <v>0</v>
      </c>
      <c r="M101" s="125">
        <f>基础表!M114</f>
        <v>0</v>
      </c>
      <c r="N101" s="125">
        <f>基础表!N114</f>
        <v>0</v>
      </c>
      <c r="O101" s="51">
        <f ca="1" t="shared" ref="O101:O111" si="21">SUM(OFFSET($C101,0,0,1,mth))</f>
        <v>224612.849923244</v>
      </c>
    </row>
    <row r="102" spans="1:15">
      <c r="A102" s="191" t="str">
        <f>基础表!A115</f>
        <v>氢氧化钠(折百)</v>
      </c>
      <c r="B102" s="50" t="str">
        <f>基础表!B115</f>
        <v>公斤</v>
      </c>
      <c r="C102" s="125">
        <f>基础表!C115</f>
        <v>30214.4</v>
      </c>
      <c r="D102" s="125">
        <f>基础表!D115</f>
        <v>38221.9303500797</v>
      </c>
      <c r="E102" s="125">
        <f>基础表!E115</f>
        <v>35564.9540989366</v>
      </c>
      <c r="F102" s="125">
        <f>基础表!F115</f>
        <v>40139.9311149702</v>
      </c>
      <c r="G102" s="125">
        <f>基础表!G115</f>
        <v>56844.48</v>
      </c>
      <c r="H102" s="125">
        <f>基础表!H115</f>
        <v>48499.4759376128</v>
      </c>
      <c r="I102" s="125">
        <f>基础表!I115</f>
        <v>0</v>
      </c>
      <c r="J102" s="125">
        <f>基础表!J115</f>
        <v>0</v>
      </c>
      <c r="K102" s="125">
        <f>基础表!K115</f>
        <v>0</v>
      </c>
      <c r="L102" s="125">
        <f>基础表!L115</f>
        <v>0</v>
      </c>
      <c r="M102" s="125">
        <f>基础表!M115</f>
        <v>0</v>
      </c>
      <c r="N102" s="125">
        <f>基础表!N115</f>
        <v>0</v>
      </c>
      <c r="O102" s="51">
        <f ca="1" t="shared" si="21"/>
        <v>249485.171501599</v>
      </c>
    </row>
    <row r="103" spans="1:15">
      <c r="A103" s="191" t="str">
        <f>基础表!A116</f>
        <v>硅藻土</v>
      </c>
      <c r="B103" s="50" t="str">
        <f>基础表!B116</f>
        <v>公斤</v>
      </c>
      <c r="C103" s="125">
        <f>基础表!C116</f>
        <v>4575</v>
      </c>
      <c r="D103" s="125">
        <f>基础表!D116</f>
        <v>6883.3616103731</v>
      </c>
      <c r="E103" s="125">
        <f>基础表!E116</f>
        <v>5611.64155755912</v>
      </c>
      <c r="F103" s="125">
        <f>基础表!F116</f>
        <v>6720.830817105</v>
      </c>
      <c r="G103" s="125">
        <f>基础表!G116</f>
        <v>7090</v>
      </c>
      <c r="H103" s="125">
        <f>基础表!H116</f>
        <v>6892.83663424826</v>
      </c>
      <c r="I103" s="125">
        <f>基础表!I116</f>
        <v>0</v>
      </c>
      <c r="J103" s="125">
        <f>基础表!J116</f>
        <v>0</v>
      </c>
      <c r="K103" s="125">
        <f>基础表!K116</f>
        <v>0</v>
      </c>
      <c r="L103" s="125">
        <f>基础表!L116</f>
        <v>0</v>
      </c>
      <c r="M103" s="125">
        <f>基础表!M116</f>
        <v>0</v>
      </c>
      <c r="N103" s="125">
        <f>基础表!N116</f>
        <v>0</v>
      </c>
      <c r="O103" s="51">
        <f ca="1" t="shared" si="21"/>
        <v>37773.6706192855</v>
      </c>
    </row>
    <row r="104" spans="1:15">
      <c r="A104" s="115" t="str">
        <f>基础表!A117</f>
        <v>　　纯碱</v>
      </c>
      <c r="B104" s="50" t="str">
        <f>基础表!B117</f>
        <v>公斤</v>
      </c>
      <c r="C104" s="125">
        <f>基础表!C117</f>
        <v>0</v>
      </c>
      <c r="D104" s="125">
        <f>基础表!D117</f>
        <v>0</v>
      </c>
      <c r="E104" s="125">
        <f>基础表!E117</f>
        <v>0</v>
      </c>
      <c r="F104" s="125">
        <f>基础表!F117</f>
        <v>0</v>
      </c>
      <c r="G104" s="125">
        <f>基础表!G117</f>
        <v>0</v>
      </c>
      <c r="H104" s="125">
        <f>基础表!H117</f>
        <v>0</v>
      </c>
      <c r="I104" s="125">
        <f>基础表!I117</f>
        <v>0</v>
      </c>
      <c r="J104" s="125">
        <f>基础表!J117</f>
        <v>0</v>
      </c>
      <c r="K104" s="125">
        <f>基础表!K117</f>
        <v>0</v>
      </c>
      <c r="L104" s="125">
        <f>基础表!L117</f>
        <v>0</v>
      </c>
      <c r="M104" s="125">
        <f>基础表!M117</f>
        <v>0</v>
      </c>
      <c r="N104" s="125">
        <f>基础表!N117</f>
        <v>0</v>
      </c>
      <c r="O104" s="51">
        <f ca="1" t="shared" si="21"/>
        <v>0</v>
      </c>
    </row>
    <row r="105" spans="1:15">
      <c r="A105" s="191" t="str">
        <f>基础表!A118</f>
        <v>活性炭</v>
      </c>
      <c r="B105" s="50" t="str">
        <f>基础表!B118</f>
        <v>公斤</v>
      </c>
      <c r="C105" s="125">
        <f>基础表!C118</f>
        <v>10120</v>
      </c>
      <c r="D105" s="125">
        <f>基础表!D118</f>
        <v>14001.904742434</v>
      </c>
      <c r="E105" s="125">
        <f>基础表!E118</f>
        <v>9757.13636427016</v>
      </c>
      <c r="F105" s="125">
        <f>基础表!F118</f>
        <v>14101.4907466888</v>
      </c>
      <c r="G105" s="125">
        <f>基础表!G118</f>
        <v>16150</v>
      </c>
      <c r="H105" s="125">
        <f>基础表!H118</f>
        <v>14711.4335123448</v>
      </c>
      <c r="I105" s="125">
        <f>基础表!I118</f>
        <v>0</v>
      </c>
      <c r="J105" s="125">
        <f>基础表!J118</f>
        <v>0</v>
      </c>
      <c r="K105" s="125">
        <f>基础表!K118</f>
        <v>0</v>
      </c>
      <c r="L105" s="125">
        <f>基础表!L118</f>
        <v>0</v>
      </c>
      <c r="M105" s="125">
        <f>基础表!M118</f>
        <v>0</v>
      </c>
      <c r="N105" s="125">
        <f>基础表!N118</f>
        <v>0</v>
      </c>
      <c r="O105" s="51">
        <f ca="1" t="shared" si="21"/>
        <v>78841.9653657378</v>
      </c>
    </row>
    <row r="106" spans="1:15">
      <c r="A106" s="191" t="str">
        <f>基础表!A119</f>
        <v>α耐高温淀粉酶</v>
      </c>
      <c r="B106" s="50" t="str">
        <f>基础表!B119</f>
        <v>公斤</v>
      </c>
      <c r="C106" s="125">
        <f>基础表!C119</f>
        <v>476</v>
      </c>
      <c r="D106" s="125">
        <f>基础表!D119</f>
        <v>718.737674816458</v>
      </c>
      <c r="E106" s="125">
        <f>基础表!E119</f>
        <v>623.932099721932</v>
      </c>
      <c r="F106" s="125">
        <f>基础表!F119</f>
        <v>774.82790065362</v>
      </c>
      <c r="G106" s="125">
        <f>基础表!G119</f>
        <v>743</v>
      </c>
      <c r="H106" s="125">
        <f>基础表!H119</f>
        <v>730.055487635759</v>
      </c>
      <c r="I106" s="125">
        <f>基础表!I119</f>
        <v>0</v>
      </c>
      <c r="J106" s="125">
        <f>基础表!J119</f>
        <v>0</v>
      </c>
      <c r="K106" s="125">
        <f>基础表!K119</f>
        <v>0</v>
      </c>
      <c r="L106" s="125">
        <f>基础表!L119</f>
        <v>0</v>
      </c>
      <c r="M106" s="125">
        <f>基础表!M119</f>
        <v>0</v>
      </c>
      <c r="N106" s="125">
        <f>基础表!N119</f>
        <v>0</v>
      </c>
      <c r="O106" s="51">
        <f ca="1" t="shared" si="21"/>
        <v>4066.55316282777</v>
      </c>
    </row>
    <row r="107" spans="1:15">
      <c r="A107" s="191" t="str">
        <f>基础表!A120</f>
        <v>复合糖化酶</v>
      </c>
      <c r="B107" s="50" t="str">
        <f>基础表!B120</f>
        <v>公斤</v>
      </c>
      <c r="C107" s="125">
        <f>基础表!C120</f>
        <v>835</v>
      </c>
      <c r="D107" s="125">
        <f>基础表!D120</f>
        <v>1249.04332554895</v>
      </c>
      <c r="E107" s="125">
        <f>基础表!E120</f>
        <v>1091.4127570211</v>
      </c>
      <c r="F107" s="125">
        <f>基础表!F120</f>
        <v>1331.91219418925</v>
      </c>
      <c r="G107" s="125">
        <f>基础表!G120</f>
        <v>1785</v>
      </c>
      <c r="H107" s="125">
        <f>基础表!H120</f>
        <v>1651.97838332296</v>
      </c>
      <c r="I107" s="125">
        <f>基础表!I120</f>
        <v>0</v>
      </c>
      <c r="J107" s="125">
        <f>基础表!J120</f>
        <v>0</v>
      </c>
      <c r="K107" s="125">
        <f>基础表!K120</f>
        <v>0</v>
      </c>
      <c r="L107" s="125">
        <f>基础表!L120</f>
        <v>0</v>
      </c>
      <c r="M107" s="125">
        <f>基础表!M120</f>
        <v>0</v>
      </c>
      <c r="N107" s="125">
        <f>基础表!N120</f>
        <v>0</v>
      </c>
      <c r="O107" s="51">
        <f ca="1" t="shared" si="21"/>
        <v>7944.34666008226</v>
      </c>
    </row>
    <row r="108" spans="1:15">
      <c r="A108" s="191" t="str">
        <f>基础表!A121</f>
        <v>异构酶</v>
      </c>
      <c r="B108" s="50" t="str">
        <f>基础表!B121</f>
        <v>公斤</v>
      </c>
      <c r="C108" s="125">
        <f>基础表!C121</f>
        <v>588</v>
      </c>
      <c r="D108" s="125">
        <f>基础表!D121</f>
        <v>739.005350669223</v>
      </c>
      <c r="E108" s="125">
        <f>基础表!E121</f>
        <v>689.510548641655</v>
      </c>
      <c r="F108" s="125">
        <f>基础表!F121</f>
        <v>820.073325509306</v>
      </c>
      <c r="G108" s="125">
        <f>基础表!G121</f>
        <v>1060</v>
      </c>
      <c r="H108" s="125">
        <f>基础表!H121</f>
        <v>918.085547526177</v>
      </c>
      <c r="I108" s="125">
        <f>基础表!I121</f>
        <v>0</v>
      </c>
      <c r="J108" s="125">
        <f>基础表!J121</f>
        <v>0</v>
      </c>
      <c r="K108" s="125">
        <f>基础表!K121</f>
        <v>0</v>
      </c>
      <c r="L108" s="125">
        <f>基础表!L121</f>
        <v>0</v>
      </c>
      <c r="M108" s="125">
        <f>基础表!M121</f>
        <v>0</v>
      </c>
      <c r="N108" s="125">
        <f>基础表!N121</f>
        <v>0</v>
      </c>
      <c r="O108" s="51">
        <f ca="1" t="shared" si="21"/>
        <v>4814.67477234636</v>
      </c>
    </row>
    <row r="109" spans="1:15">
      <c r="A109" s="191" t="str">
        <f>基础表!A122</f>
        <v>硫酸镁(食品级)</v>
      </c>
      <c r="B109" s="50" t="str">
        <f>基础表!B122</f>
        <v>公斤</v>
      </c>
      <c r="C109" s="125">
        <f>基础表!C122</f>
        <v>2670</v>
      </c>
      <c r="D109" s="125">
        <f>基础表!D122</f>
        <v>3574.56792516459</v>
      </c>
      <c r="E109" s="125">
        <f>基础表!E122</f>
        <v>3312.64850543056</v>
      </c>
      <c r="F109" s="125">
        <f>基础表!F122</f>
        <v>4453.84650923158</v>
      </c>
      <c r="G109" s="125">
        <f>基础表!G122</f>
        <v>5265</v>
      </c>
      <c r="H109" s="125">
        <f>基础表!H122</f>
        <v>5170.82664698652</v>
      </c>
      <c r="I109" s="125">
        <f>基础表!I122</f>
        <v>0</v>
      </c>
      <c r="J109" s="125">
        <f>基础表!J122</f>
        <v>0</v>
      </c>
      <c r="K109" s="125">
        <f>基础表!K122</f>
        <v>0</v>
      </c>
      <c r="L109" s="125">
        <f>基础表!L122</f>
        <v>0</v>
      </c>
      <c r="M109" s="125">
        <f>基础表!M122</f>
        <v>0</v>
      </c>
      <c r="N109" s="125">
        <f>基础表!N122</f>
        <v>0</v>
      </c>
      <c r="O109" s="51">
        <f ca="1" t="shared" si="21"/>
        <v>24446.8895868132</v>
      </c>
    </row>
    <row r="110" spans="1:15">
      <c r="A110" s="191" t="str">
        <f>基础表!A123</f>
        <v>焦亚硫酸钠(食品级)</v>
      </c>
      <c r="B110" s="50" t="str">
        <f>基础表!B123</f>
        <v>公斤</v>
      </c>
      <c r="C110" s="125">
        <f>基础表!C123</f>
        <v>1737</v>
      </c>
      <c r="D110" s="125">
        <f>基础表!D123</f>
        <v>2470.36200016724</v>
      </c>
      <c r="E110" s="125">
        <f>基础表!E123</f>
        <v>2276.50901249894</v>
      </c>
      <c r="F110" s="125">
        <f>基础表!F123</f>
        <v>2226.45194810688</v>
      </c>
      <c r="G110" s="125">
        <f>基础表!G123</f>
        <v>3085</v>
      </c>
      <c r="H110" s="125">
        <f>基础表!H123</f>
        <v>2585.41332349326</v>
      </c>
      <c r="I110" s="125">
        <f>基础表!I123</f>
        <v>0</v>
      </c>
      <c r="J110" s="125">
        <f>基础表!J123</f>
        <v>0</v>
      </c>
      <c r="K110" s="125">
        <f>基础表!K123</f>
        <v>0</v>
      </c>
      <c r="L110" s="125">
        <f>基础表!L123</f>
        <v>0</v>
      </c>
      <c r="M110" s="125">
        <f>基础表!M123</f>
        <v>0</v>
      </c>
      <c r="N110" s="125">
        <f>基础表!N123</f>
        <v>0</v>
      </c>
      <c r="O110" s="51">
        <f ca="1" t="shared" si="21"/>
        <v>14380.7362842663</v>
      </c>
    </row>
    <row r="111" ht="16.5" spans="1:15">
      <c r="A111" s="201" t="str">
        <f>基础表!A124</f>
        <v>树脂</v>
      </c>
      <c r="B111" s="202" t="str">
        <f>基础表!B124</f>
        <v>公斤</v>
      </c>
      <c r="C111" s="125">
        <f>基础表!C124</f>
        <v>0</v>
      </c>
      <c r="D111" s="125">
        <f>基础表!D124</f>
        <v>0</v>
      </c>
      <c r="E111" s="125">
        <f>基础表!E124</f>
        <v>0</v>
      </c>
      <c r="F111" s="125">
        <f>基础表!F124</f>
        <v>0</v>
      </c>
      <c r="G111" s="125">
        <f>基础表!G124</f>
        <v>0</v>
      </c>
      <c r="H111" s="125">
        <f>基础表!H124</f>
        <v>0</v>
      </c>
      <c r="I111" s="125">
        <f>基础表!I124</f>
        <v>0</v>
      </c>
      <c r="J111" s="125">
        <f>基础表!J124</f>
        <v>0</v>
      </c>
      <c r="K111" s="125">
        <f>基础表!K124</f>
        <v>0</v>
      </c>
      <c r="L111" s="125">
        <f>基础表!L124</f>
        <v>0</v>
      </c>
      <c r="M111" s="125">
        <f>基础表!M124</f>
        <v>0</v>
      </c>
      <c r="N111" s="125">
        <f>基础表!N124</f>
        <v>0</v>
      </c>
      <c r="O111" s="51">
        <f ca="1" t="shared" si="21"/>
        <v>0</v>
      </c>
    </row>
    <row r="112" ht="16.5" spans="1:15">
      <c r="A112" s="109" t="s">
        <v>260</v>
      </c>
      <c r="B112" s="9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</row>
    <row r="113" spans="1:15">
      <c r="A113" s="185" t="str">
        <f>基础表!A152</f>
        <v>项     目</v>
      </c>
      <c r="B113" s="106" t="str">
        <f>基础表!B152</f>
        <v>单位</v>
      </c>
      <c r="C113" s="375" t="str">
        <f>基础表!C152</f>
        <v>1月</v>
      </c>
      <c r="D113" s="375" t="str">
        <f>基础表!D152</f>
        <v>2月</v>
      </c>
      <c r="E113" s="375" t="str">
        <f>基础表!E152</f>
        <v>3月</v>
      </c>
      <c r="F113" s="415" t="str">
        <f>基础表!F152</f>
        <v>4月</v>
      </c>
      <c r="G113" s="375" t="str">
        <f>基础表!G152</f>
        <v>5月</v>
      </c>
      <c r="H113" s="375" t="str">
        <f>基础表!H152</f>
        <v>6月</v>
      </c>
      <c r="I113" s="375" t="str">
        <f>基础表!I152</f>
        <v>7月</v>
      </c>
      <c r="J113" s="375" t="str">
        <f>基础表!J152</f>
        <v>8月</v>
      </c>
      <c r="K113" s="375" t="str">
        <f>基础表!K152</f>
        <v>9月</v>
      </c>
      <c r="L113" s="375" t="str">
        <f>基础表!L152</f>
        <v>10月</v>
      </c>
      <c r="M113" s="375" t="str">
        <f>基础表!M152</f>
        <v>11月</v>
      </c>
      <c r="N113" s="375" t="str">
        <f>基础表!N152</f>
        <v>12月</v>
      </c>
      <c r="O113" s="377" t="str">
        <f>基础表!O152</f>
        <v>1-8月累计</v>
      </c>
    </row>
    <row r="114" spans="1:15">
      <c r="A114" s="191" t="str">
        <f>基础表!A153</f>
        <v>盐酸(折百)</v>
      </c>
      <c r="B114" s="50" t="str">
        <f>基础表!B153</f>
        <v>公斤</v>
      </c>
      <c r="C114" s="125">
        <f>基础表!C127</f>
        <v>0</v>
      </c>
      <c r="D114" s="125">
        <f>基础表!D127</f>
        <v>0</v>
      </c>
      <c r="E114" s="125">
        <f>基础表!E127</f>
        <v>0</v>
      </c>
      <c r="F114" s="125">
        <f>基础表!F127</f>
        <v>0</v>
      </c>
      <c r="G114" s="125">
        <f>基础表!G127</f>
        <v>0</v>
      </c>
      <c r="H114" s="125">
        <f>基础表!H127</f>
        <v>0</v>
      </c>
      <c r="I114" s="125">
        <f>基础表!I127</f>
        <v>0</v>
      </c>
      <c r="J114" s="125">
        <f>基础表!J127</f>
        <v>0</v>
      </c>
      <c r="K114" s="125">
        <f>基础表!K127</f>
        <v>0</v>
      </c>
      <c r="L114" s="125">
        <f>基础表!L127</f>
        <v>0</v>
      </c>
      <c r="M114" s="125">
        <f>基础表!M127</f>
        <v>0</v>
      </c>
      <c r="N114" s="125">
        <f>基础表!N127</f>
        <v>0</v>
      </c>
      <c r="O114" s="51">
        <f ca="1" t="shared" ref="O114:O124" si="22">SUM(OFFSET($C114,0,0,1,mth))</f>
        <v>0</v>
      </c>
    </row>
    <row r="115" spans="1:15">
      <c r="A115" s="191" t="str">
        <f>基础表!A154</f>
        <v>氢氧化钠(折百)</v>
      </c>
      <c r="B115" s="50" t="str">
        <f>基础表!B154</f>
        <v>公斤</v>
      </c>
      <c r="C115" s="125">
        <f>基础表!C128</f>
        <v>0</v>
      </c>
      <c r="D115" s="125">
        <f>基础表!D128</f>
        <v>0</v>
      </c>
      <c r="E115" s="125">
        <f>基础表!E128</f>
        <v>0</v>
      </c>
      <c r="F115" s="125">
        <f>基础表!F128</f>
        <v>0</v>
      </c>
      <c r="G115" s="125">
        <f>基础表!G128</f>
        <v>0</v>
      </c>
      <c r="H115" s="125">
        <f>基础表!H128</f>
        <v>0</v>
      </c>
      <c r="I115" s="125">
        <f>基础表!I128</f>
        <v>0</v>
      </c>
      <c r="J115" s="125">
        <f>基础表!J128</f>
        <v>0</v>
      </c>
      <c r="K115" s="125">
        <f>基础表!K128</f>
        <v>0</v>
      </c>
      <c r="L115" s="125">
        <f>基础表!L128</f>
        <v>0</v>
      </c>
      <c r="M115" s="125">
        <f>基础表!M128</f>
        <v>0</v>
      </c>
      <c r="N115" s="125">
        <f>基础表!N128</f>
        <v>0</v>
      </c>
      <c r="O115" s="51">
        <f ca="1" t="shared" si="22"/>
        <v>0</v>
      </c>
    </row>
    <row r="116" spans="1:15">
      <c r="A116" s="191" t="str">
        <f>基础表!A155</f>
        <v>硅藻土</v>
      </c>
      <c r="B116" s="50" t="str">
        <f>基础表!B155</f>
        <v>公斤</v>
      </c>
      <c r="C116" s="125">
        <f>基础表!C129</f>
        <v>0</v>
      </c>
      <c r="D116" s="125">
        <f>基础表!D129</f>
        <v>0</v>
      </c>
      <c r="E116" s="125">
        <f>基础表!E129</f>
        <v>0</v>
      </c>
      <c r="F116" s="125">
        <f>基础表!F129</f>
        <v>0</v>
      </c>
      <c r="G116" s="125">
        <f>基础表!G129</f>
        <v>0</v>
      </c>
      <c r="H116" s="125">
        <f>基础表!H129</f>
        <v>0</v>
      </c>
      <c r="I116" s="125">
        <f>基础表!I129</f>
        <v>0</v>
      </c>
      <c r="J116" s="125">
        <f>基础表!J129</f>
        <v>0</v>
      </c>
      <c r="K116" s="125">
        <f>基础表!K129</f>
        <v>0</v>
      </c>
      <c r="L116" s="125">
        <f>基础表!L129</f>
        <v>0</v>
      </c>
      <c r="M116" s="125">
        <f>基础表!M129</f>
        <v>0</v>
      </c>
      <c r="N116" s="125">
        <f>基础表!N129</f>
        <v>0</v>
      </c>
      <c r="O116" s="51">
        <f ca="1" t="shared" si="22"/>
        <v>0</v>
      </c>
    </row>
    <row r="117" spans="1:15">
      <c r="A117" s="307" t="s">
        <v>261</v>
      </c>
      <c r="B117" s="50"/>
      <c r="C117" s="125">
        <f>基础表!C130</f>
        <v>0</v>
      </c>
      <c r="D117" s="125">
        <f>基础表!D130</f>
        <v>0</v>
      </c>
      <c r="E117" s="125">
        <f>基础表!E130</f>
        <v>0</v>
      </c>
      <c r="F117" s="125">
        <f>基础表!F130</f>
        <v>0</v>
      </c>
      <c r="G117" s="125">
        <f>基础表!G130</f>
        <v>0</v>
      </c>
      <c r="H117" s="125">
        <f>基础表!H130</f>
        <v>0</v>
      </c>
      <c r="I117" s="125">
        <f>基础表!I130</f>
        <v>0</v>
      </c>
      <c r="J117" s="125">
        <f>基础表!J130</f>
        <v>0</v>
      </c>
      <c r="K117" s="125">
        <f>基础表!K130</f>
        <v>0</v>
      </c>
      <c r="L117" s="125">
        <f>基础表!L130</f>
        <v>0</v>
      </c>
      <c r="M117" s="125">
        <f>基础表!M130</f>
        <v>0</v>
      </c>
      <c r="N117" s="125">
        <f>基础表!N130</f>
        <v>0</v>
      </c>
      <c r="O117" s="51">
        <f ca="1" t="shared" si="22"/>
        <v>0</v>
      </c>
    </row>
    <row r="118" spans="1:15">
      <c r="A118" s="191" t="str">
        <f>基础表!A157</f>
        <v>活性炭</v>
      </c>
      <c r="B118" s="50" t="str">
        <f>基础表!B157</f>
        <v>公斤</v>
      </c>
      <c r="C118" s="125">
        <f>基础表!C131</f>
        <v>0</v>
      </c>
      <c r="D118" s="125">
        <f>基础表!D131</f>
        <v>0</v>
      </c>
      <c r="E118" s="125">
        <f>基础表!E131</f>
        <v>0</v>
      </c>
      <c r="F118" s="125">
        <f>基础表!F131</f>
        <v>0</v>
      </c>
      <c r="G118" s="125">
        <f>基础表!G131</f>
        <v>0</v>
      </c>
      <c r="H118" s="125">
        <f>基础表!H131</f>
        <v>0</v>
      </c>
      <c r="I118" s="125">
        <f>基础表!I131</f>
        <v>0</v>
      </c>
      <c r="J118" s="125">
        <f>基础表!J131</f>
        <v>0</v>
      </c>
      <c r="K118" s="125">
        <f>基础表!K131</f>
        <v>0</v>
      </c>
      <c r="L118" s="125">
        <f>基础表!L131</f>
        <v>0</v>
      </c>
      <c r="M118" s="125">
        <f>基础表!M131</f>
        <v>0</v>
      </c>
      <c r="N118" s="125">
        <f>基础表!N131</f>
        <v>0</v>
      </c>
      <c r="O118" s="51">
        <f ca="1" t="shared" si="22"/>
        <v>0</v>
      </c>
    </row>
    <row r="119" spans="1:15">
      <c r="A119" s="191" t="str">
        <f>基础表!A158</f>
        <v>α耐高温淀粉酶</v>
      </c>
      <c r="B119" s="50" t="str">
        <f>基础表!B158</f>
        <v>公斤</v>
      </c>
      <c r="C119" s="125">
        <f>基础表!C132</f>
        <v>0</v>
      </c>
      <c r="D119" s="125">
        <f>基础表!D132</f>
        <v>0</v>
      </c>
      <c r="E119" s="125">
        <f>基础表!E132</f>
        <v>0</v>
      </c>
      <c r="F119" s="125">
        <f>基础表!F132</f>
        <v>0</v>
      </c>
      <c r="G119" s="125">
        <f>基础表!G132</f>
        <v>0</v>
      </c>
      <c r="H119" s="125">
        <f>基础表!H132</f>
        <v>0</v>
      </c>
      <c r="I119" s="125">
        <f>基础表!I132</f>
        <v>0</v>
      </c>
      <c r="J119" s="125">
        <f>基础表!J132</f>
        <v>0</v>
      </c>
      <c r="K119" s="125">
        <f>基础表!K132</f>
        <v>0</v>
      </c>
      <c r="L119" s="125">
        <f>基础表!L132</f>
        <v>0</v>
      </c>
      <c r="M119" s="125">
        <f>基础表!M132</f>
        <v>0</v>
      </c>
      <c r="N119" s="125">
        <f>基础表!N132</f>
        <v>0</v>
      </c>
      <c r="O119" s="51">
        <f ca="1" t="shared" si="22"/>
        <v>0</v>
      </c>
    </row>
    <row r="120" spans="1:15">
      <c r="A120" s="191" t="str">
        <f>基础表!A159</f>
        <v>复合糖化酶</v>
      </c>
      <c r="B120" s="50" t="str">
        <f>基础表!B159</f>
        <v>公斤</v>
      </c>
      <c r="C120" s="125">
        <f>基础表!C133</f>
        <v>0</v>
      </c>
      <c r="D120" s="125">
        <f>基础表!D133</f>
        <v>0</v>
      </c>
      <c r="E120" s="125">
        <f>基础表!E133</f>
        <v>0</v>
      </c>
      <c r="F120" s="125">
        <f>基础表!F133</f>
        <v>0</v>
      </c>
      <c r="G120" s="125">
        <f>基础表!G133</f>
        <v>0</v>
      </c>
      <c r="H120" s="125">
        <f>基础表!H133</f>
        <v>0</v>
      </c>
      <c r="I120" s="125">
        <f>基础表!I133</f>
        <v>0</v>
      </c>
      <c r="J120" s="125">
        <f>基础表!J133</f>
        <v>0</v>
      </c>
      <c r="K120" s="125">
        <f>基础表!K133</f>
        <v>0</v>
      </c>
      <c r="L120" s="125">
        <f>基础表!L133</f>
        <v>0</v>
      </c>
      <c r="M120" s="125">
        <f>基础表!M133</f>
        <v>0</v>
      </c>
      <c r="N120" s="125">
        <f>基础表!N133</f>
        <v>0</v>
      </c>
      <c r="O120" s="51">
        <f ca="1" t="shared" si="22"/>
        <v>0</v>
      </c>
    </row>
    <row r="121" spans="1:15">
      <c r="A121" s="191" t="str">
        <f>基础表!A160</f>
        <v>异构酶</v>
      </c>
      <c r="B121" s="50" t="str">
        <f>基础表!B160</f>
        <v>公斤</v>
      </c>
      <c r="C121" s="125">
        <f>基础表!C134</f>
        <v>0</v>
      </c>
      <c r="D121" s="125">
        <f>基础表!D134</f>
        <v>0</v>
      </c>
      <c r="E121" s="125">
        <f>基础表!E134</f>
        <v>0</v>
      </c>
      <c r="F121" s="125">
        <f>基础表!F134</f>
        <v>0</v>
      </c>
      <c r="G121" s="125">
        <f>基础表!G134</f>
        <v>0</v>
      </c>
      <c r="H121" s="125">
        <f>基础表!H134</f>
        <v>0</v>
      </c>
      <c r="I121" s="125">
        <f>基础表!I134</f>
        <v>0</v>
      </c>
      <c r="J121" s="125">
        <f>基础表!J134</f>
        <v>0</v>
      </c>
      <c r="K121" s="125">
        <f>基础表!K134</f>
        <v>0</v>
      </c>
      <c r="L121" s="125">
        <f>基础表!L134</f>
        <v>0</v>
      </c>
      <c r="M121" s="125">
        <f>基础表!M134</f>
        <v>0</v>
      </c>
      <c r="N121" s="125">
        <f>基础表!N134</f>
        <v>0</v>
      </c>
      <c r="O121" s="51">
        <f ca="1" t="shared" si="22"/>
        <v>0</v>
      </c>
    </row>
    <row r="122" spans="1:15">
      <c r="A122" s="191" t="str">
        <f>基础表!A161</f>
        <v>硫酸镁(食品级)</v>
      </c>
      <c r="B122" s="50" t="str">
        <f>基础表!B161</f>
        <v>公斤</v>
      </c>
      <c r="C122" s="125">
        <f>基础表!C135</f>
        <v>0</v>
      </c>
      <c r="D122" s="125">
        <f>基础表!D135</f>
        <v>0</v>
      </c>
      <c r="E122" s="125">
        <f>基础表!E135</f>
        <v>0</v>
      </c>
      <c r="F122" s="125">
        <f>基础表!F135</f>
        <v>0</v>
      </c>
      <c r="G122" s="125">
        <f>基础表!G135</f>
        <v>0</v>
      </c>
      <c r="H122" s="125">
        <f>基础表!H135</f>
        <v>0</v>
      </c>
      <c r="I122" s="125">
        <f>基础表!I135</f>
        <v>0</v>
      </c>
      <c r="J122" s="125">
        <f>基础表!J135</f>
        <v>0</v>
      </c>
      <c r="K122" s="125">
        <f>基础表!K135</f>
        <v>0</v>
      </c>
      <c r="L122" s="125">
        <f>基础表!L135</f>
        <v>0</v>
      </c>
      <c r="M122" s="125">
        <f>基础表!M135</f>
        <v>0</v>
      </c>
      <c r="N122" s="125">
        <f>基础表!N135</f>
        <v>0</v>
      </c>
      <c r="O122" s="51">
        <f ca="1" t="shared" si="22"/>
        <v>0</v>
      </c>
    </row>
    <row r="123" spans="1:15">
      <c r="A123" s="191" t="str">
        <f>基础表!A162</f>
        <v>焦亚硫酸钠(食品级)</v>
      </c>
      <c r="B123" s="50" t="str">
        <f>基础表!B162</f>
        <v>公斤</v>
      </c>
      <c r="C123" s="125">
        <f>基础表!C136</f>
        <v>0</v>
      </c>
      <c r="D123" s="125">
        <f>基础表!D136</f>
        <v>0</v>
      </c>
      <c r="E123" s="125">
        <f>基础表!E136</f>
        <v>0</v>
      </c>
      <c r="F123" s="125">
        <f>基础表!F136</f>
        <v>0</v>
      </c>
      <c r="G123" s="125">
        <f>基础表!G136</f>
        <v>0</v>
      </c>
      <c r="H123" s="125">
        <f>基础表!H136</f>
        <v>0</v>
      </c>
      <c r="I123" s="125">
        <f>基础表!I136</f>
        <v>0</v>
      </c>
      <c r="J123" s="125">
        <f>基础表!J136</f>
        <v>0</v>
      </c>
      <c r="K123" s="125">
        <f>基础表!K136</f>
        <v>0</v>
      </c>
      <c r="L123" s="125">
        <f>基础表!L136</f>
        <v>0</v>
      </c>
      <c r="M123" s="125">
        <f>基础表!M136</f>
        <v>0</v>
      </c>
      <c r="N123" s="125">
        <f>基础表!N136</f>
        <v>0</v>
      </c>
      <c r="O123" s="51">
        <f ca="1" t="shared" si="22"/>
        <v>0</v>
      </c>
    </row>
    <row r="124" ht="16.5" spans="1:15">
      <c r="A124" s="201" t="str">
        <f>基础表!A163</f>
        <v>树脂</v>
      </c>
      <c r="B124" s="202" t="str">
        <f>基础表!B163</f>
        <v>公斤</v>
      </c>
      <c r="C124" s="125">
        <f>基础表!C137</f>
        <v>0</v>
      </c>
      <c r="D124" s="125">
        <f>基础表!D137</f>
        <v>0</v>
      </c>
      <c r="E124" s="125">
        <f>基础表!E137</f>
        <v>0</v>
      </c>
      <c r="F124" s="125">
        <f>基础表!F137</f>
        <v>0</v>
      </c>
      <c r="G124" s="125">
        <f>基础表!G137</f>
        <v>0</v>
      </c>
      <c r="H124" s="125">
        <f>基础表!H137</f>
        <v>0</v>
      </c>
      <c r="I124" s="125">
        <f>基础表!I137</f>
        <v>0</v>
      </c>
      <c r="J124" s="125">
        <f>基础表!J137</f>
        <v>0</v>
      </c>
      <c r="K124" s="125">
        <f>基础表!K137</f>
        <v>0</v>
      </c>
      <c r="L124" s="125">
        <f>基础表!L137</f>
        <v>0</v>
      </c>
      <c r="M124" s="125">
        <f>基础表!M137</f>
        <v>0</v>
      </c>
      <c r="N124" s="125">
        <f>基础表!N137</f>
        <v>0</v>
      </c>
      <c r="O124" s="51">
        <f ca="1" t="shared" si="22"/>
        <v>0</v>
      </c>
    </row>
    <row r="125" ht="16.5" spans="1:15">
      <c r="A125" s="109" t="s">
        <v>262</v>
      </c>
      <c r="B125" s="9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</row>
    <row r="126" spans="1:15">
      <c r="A126" s="185" t="str">
        <f>基础表!A165</f>
        <v>项     目</v>
      </c>
      <c r="B126" s="106" t="str">
        <f>基础表!B165</f>
        <v>单位</v>
      </c>
      <c r="C126" s="375" t="str">
        <f>基础表!C165</f>
        <v>1月</v>
      </c>
      <c r="D126" s="375" t="str">
        <f>基础表!D165</f>
        <v>2月</v>
      </c>
      <c r="E126" s="375" t="str">
        <f>基础表!E165</f>
        <v>3月</v>
      </c>
      <c r="F126" s="415" t="str">
        <f>基础表!F165</f>
        <v>4月</v>
      </c>
      <c r="G126" s="375" t="str">
        <f>基础表!G165</f>
        <v>5月</v>
      </c>
      <c r="H126" s="375" t="str">
        <f>基础表!H165</f>
        <v>6月</v>
      </c>
      <c r="I126" s="375" t="str">
        <f>基础表!I165</f>
        <v>7月</v>
      </c>
      <c r="J126" s="375" t="str">
        <f>基础表!J165</f>
        <v>8月</v>
      </c>
      <c r="K126" s="375" t="str">
        <f>基础表!K165</f>
        <v>9月</v>
      </c>
      <c r="L126" s="375" t="str">
        <f>基础表!L165</f>
        <v>10月</v>
      </c>
      <c r="M126" s="375" t="str">
        <f>基础表!M165</f>
        <v>11月</v>
      </c>
      <c r="N126" s="375" t="str">
        <f>基础表!N165</f>
        <v>12月</v>
      </c>
      <c r="O126" s="377" t="str">
        <f>基础表!O165</f>
        <v>1-8月累计</v>
      </c>
    </row>
    <row r="127" spans="1:15">
      <c r="A127" s="191" t="str">
        <f>基础表!A166</f>
        <v>盐酸(折百)</v>
      </c>
      <c r="B127" s="50" t="str">
        <f>基础表!B166</f>
        <v>公斤</v>
      </c>
      <c r="C127" s="125">
        <f>基础表!C140</f>
        <v>0</v>
      </c>
      <c r="D127" s="125">
        <f>基础表!D140</f>
        <v>0</v>
      </c>
      <c r="E127" s="125">
        <f>基础表!E140</f>
        <v>0</v>
      </c>
      <c r="F127" s="125">
        <f>基础表!F140</f>
        <v>0</v>
      </c>
      <c r="G127" s="125">
        <f>基础表!G140</f>
        <v>0</v>
      </c>
      <c r="H127" s="125">
        <f>基础表!H140</f>
        <v>0</v>
      </c>
      <c r="I127" s="125">
        <f>基础表!I140</f>
        <v>0</v>
      </c>
      <c r="J127" s="125">
        <f>基础表!J140</f>
        <v>0</v>
      </c>
      <c r="K127" s="125">
        <f>基础表!K140</f>
        <v>0</v>
      </c>
      <c r="L127" s="125">
        <f>基础表!L140</f>
        <v>0</v>
      </c>
      <c r="M127" s="125">
        <f>基础表!M140</f>
        <v>0</v>
      </c>
      <c r="N127" s="125">
        <f>基础表!N140</f>
        <v>0</v>
      </c>
      <c r="O127" s="51">
        <f ca="1" t="shared" ref="O127:O137" si="23">SUM(OFFSET($C127,0,0,1,mth))</f>
        <v>0</v>
      </c>
    </row>
    <row r="128" spans="1:15">
      <c r="A128" s="191" t="str">
        <f>基础表!A167</f>
        <v>氢氧化钠(折百)</v>
      </c>
      <c r="B128" s="50" t="str">
        <f>基础表!B167</f>
        <v>公斤</v>
      </c>
      <c r="C128" s="125">
        <f>基础表!C141</f>
        <v>0</v>
      </c>
      <c r="D128" s="125">
        <f>基础表!D141</f>
        <v>0</v>
      </c>
      <c r="E128" s="125">
        <f>基础表!E141</f>
        <v>0</v>
      </c>
      <c r="F128" s="125">
        <f>基础表!F141</f>
        <v>0</v>
      </c>
      <c r="G128" s="125">
        <f>基础表!G141</f>
        <v>0</v>
      </c>
      <c r="H128" s="125">
        <f>基础表!H141</f>
        <v>0</v>
      </c>
      <c r="I128" s="125">
        <f>基础表!I141</f>
        <v>0</v>
      </c>
      <c r="J128" s="125">
        <f>基础表!J141</f>
        <v>0</v>
      </c>
      <c r="K128" s="125">
        <f>基础表!K141</f>
        <v>0</v>
      </c>
      <c r="L128" s="125">
        <f>基础表!L141</f>
        <v>0</v>
      </c>
      <c r="M128" s="125">
        <f>基础表!M141</f>
        <v>0</v>
      </c>
      <c r="N128" s="125">
        <f>基础表!N141</f>
        <v>0</v>
      </c>
      <c r="O128" s="51">
        <f ca="1" t="shared" si="23"/>
        <v>0</v>
      </c>
    </row>
    <row r="129" spans="1:15">
      <c r="A129" s="191" t="str">
        <f>基础表!A168</f>
        <v>硅藻土</v>
      </c>
      <c r="B129" s="50" t="str">
        <f>基础表!B168</f>
        <v>公斤</v>
      </c>
      <c r="C129" s="125">
        <f>基础表!C142</f>
        <v>0</v>
      </c>
      <c r="D129" s="125">
        <f>基础表!D142</f>
        <v>0</v>
      </c>
      <c r="E129" s="125">
        <f>基础表!E142</f>
        <v>0</v>
      </c>
      <c r="F129" s="125">
        <f>基础表!F142</f>
        <v>0</v>
      </c>
      <c r="G129" s="125">
        <f>基础表!G142</f>
        <v>0</v>
      </c>
      <c r="H129" s="125">
        <f>基础表!H142</f>
        <v>0</v>
      </c>
      <c r="I129" s="125">
        <f>基础表!I142</f>
        <v>0</v>
      </c>
      <c r="J129" s="125">
        <f>基础表!J142</f>
        <v>0</v>
      </c>
      <c r="K129" s="125">
        <f>基础表!K142</f>
        <v>0</v>
      </c>
      <c r="L129" s="125">
        <f>基础表!L142</f>
        <v>0</v>
      </c>
      <c r="M129" s="125">
        <f>基础表!M142</f>
        <v>0</v>
      </c>
      <c r="N129" s="125">
        <f>基础表!N142</f>
        <v>0</v>
      </c>
      <c r="O129" s="51">
        <f ca="1" t="shared" si="23"/>
        <v>0</v>
      </c>
    </row>
    <row r="130" spans="1:15">
      <c r="A130" s="307" t="s">
        <v>261</v>
      </c>
      <c r="B130" s="50"/>
      <c r="C130" s="125">
        <f>基础表!C143</f>
        <v>0</v>
      </c>
      <c r="D130" s="125">
        <f>基础表!D143</f>
        <v>0</v>
      </c>
      <c r="E130" s="125">
        <f>基础表!E143</f>
        <v>0</v>
      </c>
      <c r="F130" s="125">
        <f>基础表!F143</f>
        <v>0</v>
      </c>
      <c r="G130" s="125">
        <f>基础表!G143</f>
        <v>0</v>
      </c>
      <c r="H130" s="125">
        <f>基础表!H143</f>
        <v>0</v>
      </c>
      <c r="I130" s="125">
        <f>基础表!I143</f>
        <v>0</v>
      </c>
      <c r="J130" s="125">
        <f>基础表!J143</f>
        <v>0</v>
      </c>
      <c r="K130" s="125">
        <f>基础表!K143</f>
        <v>0</v>
      </c>
      <c r="L130" s="125">
        <f>基础表!L143</f>
        <v>0</v>
      </c>
      <c r="M130" s="125">
        <f>基础表!M143</f>
        <v>0</v>
      </c>
      <c r="N130" s="125">
        <f>基础表!N143</f>
        <v>0</v>
      </c>
      <c r="O130" s="51">
        <f ca="1" t="shared" si="23"/>
        <v>0</v>
      </c>
    </row>
    <row r="131" spans="1:15">
      <c r="A131" s="191" t="str">
        <f>基础表!A170</f>
        <v>活性炭</v>
      </c>
      <c r="B131" s="50" t="str">
        <f>基础表!B170</f>
        <v>公斤</v>
      </c>
      <c r="C131" s="125">
        <f>基础表!C144</f>
        <v>0</v>
      </c>
      <c r="D131" s="125">
        <f>基础表!D144</f>
        <v>0</v>
      </c>
      <c r="E131" s="125">
        <f>基础表!E144</f>
        <v>0</v>
      </c>
      <c r="F131" s="125">
        <f>基础表!F144</f>
        <v>0</v>
      </c>
      <c r="G131" s="125">
        <f>基础表!G144</f>
        <v>0</v>
      </c>
      <c r="H131" s="125">
        <f>基础表!H144</f>
        <v>0</v>
      </c>
      <c r="I131" s="125">
        <f>基础表!I144</f>
        <v>0</v>
      </c>
      <c r="J131" s="125">
        <f>基础表!J144</f>
        <v>0</v>
      </c>
      <c r="K131" s="125">
        <f>基础表!K144</f>
        <v>0</v>
      </c>
      <c r="L131" s="125">
        <f>基础表!L144</f>
        <v>0</v>
      </c>
      <c r="M131" s="125">
        <f>基础表!M144</f>
        <v>0</v>
      </c>
      <c r="N131" s="125">
        <f>基础表!N144</f>
        <v>0</v>
      </c>
      <c r="O131" s="51">
        <f ca="1" t="shared" si="23"/>
        <v>0</v>
      </c>
    </row>
    <row r="132" spans="1:15">
      <c r="A132" s="191" t="str">
        <f>基础表!A171</f>
        <v>α耐高温淀粉酶</v>
      </c>
      <c r="B132" s="50" t="str">
        <f>基础表!B171</f>
        <v>公斤</v>
      </c>
      <c r="C132" s="125">
        <f>基础表!C145</f>
        <v>0</v>
      </c>
      <c r="D132" s="125">
        <f>基础表!D145</f>
        <v>0</v>
      </c>
      <c r="E132" s="125">
        <f>基础表!E145</f>
        <v>0</v>
      </c>
      <c r="F132" s="125">
        <f>基础表!F145</f>
        <v>0</v>
      </c>
      <c r="G132" s="125">
        <f>基础表!G145</f>
        <v>0</v>
      </c>
      <c r="H132" s="125">
        <f>基础表!H145</f>
        <v>0</v>
      </c>
      <c r="I132" s="125">
        <f>基础表!I145</f>
        <v>0</v>
      </c>
      <c r="J132" s="125">
        <f>基础表!J145</f>
        <v>0</v>
      </c>
      <c r="K132" s="125">
        <f>基础表!K145</f>
        <v>0</v>
      </c>
      <c r="L132" s="125">
        <f>基础表!L145</f>
        <v>0</v>
      </c>
      <c r="M132" s="125">
        <f>基础表!M145</f>
        <v>0</v>
      </c>
      <c r="N132" s="125">
        <f>基础表!N145</f>
        <v>0</v>
      </c>
      <c r="O132" s="51">
        <f ca="1" t="shared" si="23"/>
        <v>0</v>
      </c>
    </row>
    <row r="133" spans="1:15">
      <c r="A133" s="191" t="str">
        <f>基础表!A172</f>
        <v>复合糖化酶</v>
      </c>
      <c r="B133" s="50" t="str">
        <f>基础表!B172</f>
        <v>公斤</v>
      </c>
      <c r="C133" s="125">
        <f>基础表!C146</f>
        <v>0</v>
      </c>
      <c r="D133" s="125">
        <f>基础表!D146</f>
        <v>0</v>
      </c>
      <c r="E133" s="125">
        <f>基础表!E146</f>
        <v>0</v>
      </c>
      <c r="F133" s="125">
        <f>基础表!F146</f>
        <v>0</v>
      </c>
      <c r="G133" s="125">
        <f>基础表!G146</f>
        <v>0</v>
      </c>
      <c r="H133" s="125">
        <f>基础表!H146</f>
        <v>0</v>
      </c>
      <c r="I133" s="125">
        <f>基础表!I146</f>
        <v>0</v>
      </c>
      <c r="J133" s="125">
        <f>基础表!J146</f>
        <v>0</v>
      </c>
      <c r="K133" s="125">
        <f>基础表!K146</f>
        <v>0</v>
      </c>
      <c r="L133" s="125">
        <f>基础表!L146</f>
        <v>0</v>
      </c>
      <c r="M133" s="125">
        <f>基础表!M146</f>
        <v>0</v>
      </c>
      <c r="N133" s="125">
        <f>基础表!N146</f>
        <v>0</v>
      </c>
      <c r="O133" s="51">
        <f ca="1" t="shared" si="23"/>
        <v>0</v>
      </c>
    </row>
    <row r="134" spans="1:15">
      <c r="A134" s="191" t="str">
        <f>基础表!A173</f>
        <v>异构酶</v>
      </c>
      <c r="B134" s="50" t="str">
        <f>基础表!B173</f>
        <v>公斤</v>
      </c>
      <c r="C134" s="125">
        <f>基础表!C147</f>
        <v>0</v>
      </c>
      <c r="D134" s="125">
        <f>基础表!D147</f>
        <v>0</v>
      </c>
      <c r="E134" s="125">
        <f>基础表!E147</f>
        <v>0</v>
      </c>
      <c r="F134" s="125">
        <f>基础表!F147</f>
        <v>0</v>
      </c>
      <c r="G134" s="125">
        <f>基础表!G147</f>
        <v>0</v>
      </c>
      <c r="H134" s="125">
        <f>基础表!H147</f>
        <v>0</v>
      </c>
      <c r="I134" s="125">
        <f>基础表!I147</f>
        <v>0</v>
      </c>
      <c r="J134" s="125">
        <f>基础表!J147</f>
        <v>0</v>
      </c>
      <c r="K134" s="125">
        <f>基础表!K147</f>
        <v>0</v>
      </c>
      <c r="L134" s="125">
        <f>基础表!L147</f>
        <v>0</v>
      </c>
      <c r="M134" s="125">
        <f>基础表!M147</f>
        <v>0</v>
      </c>
      <c r="N134" s="125">
        <f>基础表!N147</f>
        <v>0</v>
      </c>
      <c r="O134" s="51">
        <f ca="1" t="shared" si="23"/>
        <v>0</v>
      </c>
    </row>
    <row r="135" spans="1:15">
      <c r="A135" s="191" t="str">
        <f>基础表!A174</f>
        <v>硫酸镁(食品级)</v>
      </c>
      <c r="B135" s="50" t="str">
        <f>基础表!B174</f>
        <v>公斤</v>
      </c>
      <c r="C135" s="125">
        <f>基础表!C148</f>
        <v>0</v>
      </c>
      <c r="D135" s="125">
        <f>基础表!D148</f>
        <v>0</v>
      </c>
      <c r="E135" s="125">
        <f>基础表!E148</f>
        <v>0</v>
      </c>
      <c r="F135" s="125">
        <f>基础表!F148</f>
        <v>0</v>
      </c>
      <c r="G135" s="125">
        <f>基础表!G148</f>
        <v>0</v>
      </c>
      <c r="H135" s="125">
        <f>基础表!H148</f>
        <v>0</v>
      </c>
      <c r="I135" s="125">
        <f>基础表!I148</f>
        <v>0</v>
      </c>
      <c r="J135" s="125">
        <f>基础表!J148</f>
        <v>0</v>
      </c>
      <c r="K135" s="125">
        <f>基础表!K148</f>
        <v>0</v>
      </c>
      <c r="L135" s="125">
        <f>基础表!L148</f>
        <v>0</v>
      </c>
      <c r="M135" s="125">
        <f>基础表!M148</f>
        <v>0</v>
      </c>
      <c r="N135" s="125">
        <f>基础表!N148</f>
        <v>0</v>
      </c>
      <c r="O135" s="51">
        <f ca="1" t="shared" si="23"/>
        <v>0</v>
      </c>
    </row>
    <row r="136" spans="1:15">
      <c r="A136" s="191" t="str">
        <f>基础表!A175</f>
        <v>焦亚硫酸钠(食品级)</v>
      </c>
      <c r="B136" s="50" t="str">
        <f>基础表!B175</f>
        <v>公斤</v>
      </c>
      <c r="C136" s="125">
        <f>基础表!C149</f>
        <v>0</v>
      </c>
      <c r="D136" s="125">
        <f>基础表!D149</f>
        <v>0</v>
      </c>
      <c r="E136" s="125">
        <f>基础表!E149</f>
        <v>0</v>
      </c>
      <c r="F136" s="125">
        <f>基础表!F149</f>
        <v>0</v>
      </c>
      <c r="G136" s="125">
        <f>基础表!G149</f>
        <v>0</v>
      </c>
      <c r="H136" s="125">
        <f>基础表!H149</f>
        <v>0</v>
      </c>
      <c r="I136" s="125">
        <f>基础表!I149</f>
        <v>0</v>
      </c>
      <c r="J136" s="125">
        <f>基础表!J149</f>
        <v>0</v>
      </c>
      <c r="K136" s="125">
        <f>基础表!K149</f>
        <v>0</v>
      </c>
      <c r="L136" s="125">
        <f>基础表!L149</f>
        <v>0</v>
      </c>
      <c r="M136" s="125">
        <f>基础表!M149</f>
        <v>0</v>
      </c>
      <c r="N136" s="125">
        <f>基础表!N149</f>
        <v>0</v>
      </c>
      <c r="O136" s="51">
        <f ca="1" t="shared" si="23"/>
        <v>0</v>
      </c>
    </row>
    <row r="137" ht="16.5" spans="1:15">
      <c r="A137" s="201" t="str">
        <f>基础表!A176</f>
        <v>树脂</v>
      </c>
      <c r="B137" s="202" t="str">
        <f>基础表!B176</f>
        <v>公斤</v>
      </c>
      <c r="C137" s="125">
        <f>基础表!C150</f>
        <v>0</v>
      </c>
      <c r="D137" s="125">
        <f>基础表!D150</f>
        <v>0</v>
      </c>
      <c r="E137" s="125">
        <f>基础表!E150</f>
        <v>0</v>
      </c>
      <c r="F137" s="125">
        <f>基础表!F150</f>
        <v>0</v>
      </c>
      <c r="G137" s="125">
        <f>基础表!G150</f>
        <v>0</v>
      </c>
      <c r="H137" s="125">
        <f>基础表!H150</f>
        <v>0</v>
      </c>
      <c r="I137" s="125">
        <f>基础表!I150</f>
        <v>0</v>
      </c>
      <c r="J137" s="125">
        <f>基础表!J150</f>
        <v>0</v>
      </c>
      <c r="K137" s="125">
        <f>基础表!K150</f>
        <v>0</v>
      </c>
      <c r="L137" s="125">
        <f>基础表!L150</f>
        <v>0</v>
      </c>
      <c r="M137" s="125">
        <f>基础表!M150</f>
        <v>0</v>
      </c>
      <c r="N137" s="125">
        <f>基础表!N150</f>
        <v>0</v>
      </c>
      <c r="O137" s="51">
        <f ca="1" t="shared" si="23"/>
        <v>0</v>
      </c>
    </row>
    <row r="138" ht="13.5" customHeight="1" spans="1:15">
      <c r="A138" s="109" t="s">
        <v>263</v>
      </c>
      <c r="B138" s="9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</row>
    <row r="139" spans="1:15">
      <c r="A139" s="185" t="str">
        <f>基础表!A152</f>
        <v>项     目</v>
      </c>
      <c r="B139" s="106" t="str">
        <f>基础表!B152</f>
        <v>单位</v>
      </c>
      <c r="C139" s="375" t="str">
        <f>基础表!C152</f>
        <v>1月</v>
      </c>
      <c r="D139" s="375" t="str">
        <f>基础表!D152</f>
        <v>2月</v>
      </c>
      <c r="E139" s="375" t="str">
        <f>基础表!E152</f>
        <v>3月</v>
      </c>
      <c r="F139" s="415" t="str">
        <f>基础表!F152</f>
        <v>4月</v>
      </c>
      <c r="G139" s="375" t="str">
        <f>基础表!G152</f>
        <v>5月</v>
      </c>
      <c r="H139" s="375" t="str">
        <f>基础表!H152</f>
        <v>6月</v>
      </c>
      <c r="I139" s="375" t="str">
        <f>基础表!I152</f>
        <v>7月</v>
      </c>
      <c r="J139" s="375" t="str">
        <f>基础表!J152</f>
        <v>8月</v>
      </c>
      <c r="K139" s="375" t="str">
        <f>基础表!K152</f>
        <v>9月</v>
      </c>
      <c r="L139" s="375" t="str">
        <f>基础表!L152</f>
        <v>10月</v>
      </c>
      <c r="M139" s="375" t="str">
        <f>基础表!M152</f>
        <v>11月</v>
      </c>
      <c r="N139" s="375" t="str">
        <f>基础表!N152</f>
        <v>12月</v>
      </c>
      <c r="O139" s="377" t="str">
        <f>基础表!O152</f>
        <v>1-8月累计</v>
      </c>
    </row>
    <row r="140" spans="1:15">
      <c r="A140" s="191" t="str">
        <f>基础表!A153</f>
        <v>盐酸(折百)</v>
      </c>
      <c r="B140" s="50" t="str">
        <f>基础表!B153</f>
        <v>公斤</v>
      </c>
      <c r="C140" s="125">
        <f>基础表!C153</f>
        <v>0</v>
      </c>
      <c r="D140" s="125">
        <f>基础表!D153</f>
        <v>1547.21391111313</v>
      </c>
      <c r="E140" s="125">
        <f>基础表!E153</f>
        <v>2184.49320886737</v>
      </c>
      <c r="F140" s="125">
        <f>基础表!F153</f>
        <v>2265.4986058317</v>
      </c>
      <c r="G140" s="125">
        <f>基础表!G153</f>
        <v>0</v>
      </c>
      <c r="H140" s="125">
        <f>基础表!H153</f>
        <v>1772.76435094369</v>
      </c>
      <c r="I140" s="125">
        <f>基础表!I153</f>
        <v>0</v>
      </c>
      <c r="J140" s="125">
        <f>基础表!J153</f>
        <v>0</v>
      </c>
      <c r="K140" s="125">
        <f>基础表!K153</f>
        <v>0</v>
      </c>
      <c r="L140" s="125">
        <f>基础表!L153</f>
        <v>0</v>
      </c>
      <c r="M140" s="125">
        <f>基础表!M153</f>
        <v>0</v>
      </c>
      <c r="N140" s="125">
        <f>基础表!N153</f>
        <v>0</v>
      </c>
      <c r="O140" s="51">
        <f ca="1" t="shared" ref="O140:O150" si="24">SUM(OFFSET($C140,0,0,1,mth))</f>
        <v>7769.97007675589</v>
      </c>
    </row>
    <row r="141" spans="1:15">
      <c r="A141" s="191" t="str">
        <f>基础表!A154</f>
        <v>氢氧化钠(折百)</v>
      </c>
      <c r="B141" s="50" t="str">
        <f>基础表!B154</f>
        <v>公斤</v>
      </c>
      <c r="C141" s="125">
        <f>基础表!C154</f>
        <v>0</v>
      </c>
      <c r="D141" s="125">
        <f>基础表!D154</f>
        <v>1758.22964992024</v>
      </c>
      <c r="E141" s="125">
        <f>基础表!E154</f>
        <v>2397.92590106344</v>
      </c>
      <c r="F141" s="125">
        <f>基础表!F154</f>
        <v>2443.74888502973</v>
      </c>
      <c r="G141" s="125">
        <f>基础表!G154</f>
        <v>0</v>
      </c>
      <c r="H141" s="125">
        <f>基础表!H154</f>
        <v>2055.72406238725</v>
      </c>
      <c r="I141" s="125">
        <f>基础表!I154</f>
        <v>0</v>
      </c>
      <c r="J141" s="125">
        <f>基础表!J154</f>
        <v>0</v>
      </c>
      <c r="K141" s="125">
        <f>基础表!K154</f>
        <v>0</v>
      </c>
      <c r="L141" s="125">
        <f>基础表!L154</f>
        <v>0</v>
      </c>
      <c r="M141" s="125">
        <f>基础表!M154</f>
        <v>0</v>
      </c>
      <c r="N141" s="125">
        <f>基础表!N154</f>
        <v>0</v>
      </c>
      <c r="O141" s="51">
        <f ca="1" t="shared" si="24"/>
        <v>8655.62849840066</v>
      </c>
    </row>
    <row r="142" spans="1:15">
      <c r="A142" s="191" t="str">
        <f>基础表!A155</f>
        <v>硅藻土</v>
      </c>
      <c r="B142" s="50" t="str">
        <f>基础表!B155</f>
        <v>公斤</v>
      </c>
      <c r="C142" s="125">
        <f>基础表!C155</f>
        <v>0</v>
      </c>
      <c r="D142" s="125">
        <f>基础表!D155</f>
        <v>316.638389626898</v>
      </c>
      <c r="E142" s="125">
        <f>基础表!E155</f>
        <v>378.35844244088</v>
      </c>
      <c r="F142" s="125">
        <f>基础表!F155</f>
        <v>409.169182894995</v>
      </c>
      <c r="G142" s="125">
        <f>基础表!G155</f>
        <v>0</v>
      </c>
      <c r="H142" s="125">
        <f>基础表!H155</f>
        <v>292.163365751741</v>
      </c>
      <c r="I142" s="125">
        <f>基础表!I155</f>
        <v>0</v>
      </c>
      <c r="J142" s="125">
        <f>基础表!J155</f>
        <v>0</v>
      </c>
      <c r="K142" s="125">
        <f>基础表!K155</f>
        <v>0</v>
      </c>
      <c r="L142" s="125">
        <f>基础表!L155</f>
        <v>0</v>
      </c>
      <c r="M142" s="125">
        <f>基础表!M155</f>
        <v>0</v>
      </c>
      <c r="N142" s="125">
        <f>基础表!N155</f>
        <v>0</v>
      </c>
      <c r="O142" s="51">
        <f ca="1" t="shared" si="24"/>
        <v>1396.32938071451</v>
      </c>
    </row>
    <row r="143" spans="1:15">
      <c r="A143" s="115" t="str">
        <f>基础表!A156</f>
        <v>　　纯碱</v>
      </c>
      <c r="B143" s="50" t="str">
        <f>基础表!B156</f>
        <v>公斤</v>
      </c>
      <c r="C143" s="125">
        <f>基础表!C156</f>
        <v>0</v>
      </c>
      <c r="D143" s="125">
        <f>基础表!D156</f>
        <v>0</v>
      </c>
      <c r="E143" s="125">
        <f>基础表!E156</f>
        <v>0</v>
      </c>
      <c r="F143" s="125">
        <f>基础表!F156</f>
        <v>0</v>
      </c>
      <c r="G143" s="125">
        <f>基础表!G156</f>
        <v>0</v>
      </c>
      <c r="H143" s="125">
        <f>基础表!H156</f>
        <v>0</v>
      </c>
      <c r="I143" s="125">
        <f>基础表!I156</f>
        <v>0</v>
      </c>
      <c r="J143" s="125">
        <f>基础表!J156</f>
        <v>0</v>
      </c>
      <c r="K143" s="125">
        <f>基础表!K156</f>
        <v>0</v>
      </c>
      <c r="L143" s="125">
        <f>基础表!L156</f>
        <v>0</v>
      </c>
      <c r="M143" s="125">
        <f>基础表!M156</f>
        <v>0</v>
      </c>
      <c r="N143" s="125">
        <f>基础表!N156</f>
        <v>0</v>
      </c>
      <c r="O143" s="51">
        <f ca="1" t="shared" si="24"/>
        <v>0</v>
      </c>
    </row>
    <row r="144" spans="1:15">
      <c r="A144" s="191" t="str">
        <f>基础表!A157</f>
        <v>活性炭</v>
      </c>
      <c r="B144" s="50" t="str">
        <f>基础表!B157</f>
        <v>公斤</v>
      </c>
      <c r="C144" s="125">
        <f>基础表!C157</f>
        <v>0</v>
      </c>
      <c r="D144" s="125">
        <f>基础表!D157</f>
        <v>644.095257566048</v>
      </c>
      <c r="E144" s="125">
        <f>基础表!E157</f>
        <v>657.863635729843</v>
      </c>
      <c r="F144" s="125">
        <f>基础表!F157</f>
        <v>858.509253311238</v>
      </c>
      <c r="G144" s="125">
        <f>基础表!G157</f>
        <v>0</v>
      </c>
      <c r="H144" s="125">
        <f>基础表!H157</f>
        <v>623.566487655246</v>
      </c>
      <c r="I144" s="125">
        <f>基础表!I157</f>
        <v>0</v>
      </c>
      <c r="J144" s="125">
        <f>基础表!J157</f>
        <v>0</v>
      </c>
      <c r="K144" s="125">
        <f>基础表!K157</f>
        <v>0</v>
      </c>
      <c r="L144" s="125">
        <f>基础表!L157</f>
        <v>0</v>
      </c>
      <c r="M144" s="125">
        <f>基础表!M157</f>
        <v>0</v>
      </c>
      <c r="N144" s="125">
        <f>基础表!N157</f>
        <v>0</v>
      </c>
      <c r="O144" s="51">
        <f ca="1" t="shared" si="24"/>
        <v>2784.03463426237</v>
      </c>
    </row>
    <row r="145" spans="1:15">
      <c r="A145" s="191" t="str">
        <f>基础表!A158</f>
        <v>α耐高温淀粉酶</v>
      </c>
      <c r="B145" s="50" t="str">
        <f>基础表!B158</f>
        <v>公斤</v>
      </c>
      <c r="C145" s="125">
        <f>基础表!C158</f>
        <v>0</v>
      </c>
      <c r="D145" s="125">
        <f>基础表!D158</f>
        <v>33.0623251835419</v>
      </c>
      <c r="E145" s="125">
        <f>基础表!E158</f>
        <v>42.0679002780677</v>
      </c>
      <c r="F145" s="125">
        <f>基础表!F158</f>
        <v>47.1720993463795</v>
      </c>
      <c r="G145" s="125">
        <f>基础表!G158</f>
        <v>0</v>
      </c>
      <c r="H145" s="125">
        <f>基础表!H158</f>
        <v>30.9445123642414</v>
      </c>
      <c r="I145" s="125">
        <f>基础表!I158</f>
        <v>0</v>
      </c>
      <c r="J145" s="125">
        <f>基础表!J158</f>
        <v>0</v>
      </c>
      <c r="K145" s="125">
        <f>基础表!K158</f>
        <v>0</v>
      </c>
      <c r="L145" s="125">
        <f>基础表!L158</f>
        <v>0</v>
      </c>
      <c r="M145" s="125">
        <f>基础表!M158</f>
        <v>0</v>
      </c>
      <c r="N145" s="125">
        <f>基础表!N158</f>
        <v>0</v>
      </c>
      <c r="O145" s="51">
        <f ca="1" t="shared" si="24"/>
        <v>153.24683717223</v>
      </c>
    </row>
    <row r="146" spans="1:15">
      <c r="A146" s="191" t="str">
        <f>基础表!A159</f>
        <v>复合糖化酶</v>
      </c>
      <c r="B146" s="50" t="str">
        <f>基础表!B159</f>
        <v>公斤</v>
      </c>
      <c r="C146" s="125">
        <f>基础表!C159</f>
        <v>0</v>
      </c>
      <c r="D146" s="125">
        <f>基础表!D159</f>
        <v>57.4566744510475</v>
      </c>
      <c r="E146" s="125">
        <f>基础表!E159</f>
        <v>73.5872429789023</v>
      </c>
      <c r="F146" s="125">
        <f>基础表!F159</f>
        <v>81.0878058107473</v>
      </c>
      <c r="G146" s="125">
        <f>基础表!G159</f>
        <v>0</v>
      </c>
      <c r="H146" s="125">
        <f>基础表!H159</f>
        <v>70.0216166770351</v>
      </c>
      <c r="I146" s="125">
        <f>基础表!I159</f>
        <v>0</v>
      </c>
      <c r="J146" s="125">
        <f>基础表!J159</f>
        <v>0</v>
      </c>
      <c r="K146" s="125">
        <f>基础表!K159</f>
        <v>0</v>
      </c>
      <c r="L146" s="125">
        <f>基础表!L159</f>
        <v>0</v>
      </c>
      <c r="M146" s="125">
        <f>基础表!M159</f>
        <v>0</v>
      </c>
      <c r="N146" s="125">
        <f>基础表!N159</f>
        <v>0</v>
      </c>
      <c r="O146" s="51">
        <f ca="1" t="shared" si="24"/>
        <v>282.153339917732</v>
      </c>
    </row>
    <row r="147" spans="1:15">
      <c r="A147" s="191" t="str">
        <f>基础表!A160</f>
        <v>异构酶</v>
      </c>
      <c r="B147" s="50" t="str">
        <f>基础表!B160</f>
        <v>公斤</v>
      </c>
      <c r="C147" s="125">
        <f>基础表!C160</f>
        <v>0</v>
      </c>
      <c r="D147" s="125">
        <f>基础表!D160</f>
        <v>33.9946493307767</v>
      </c>
      <c r="E147" s="125">
        <f>基础表!E160</f>
        <v>46.4894513583451</v>
      </c>
      <c r="F147" s="125">
        <f>基础表!F160</f>
        <v>49.9266744906937</v>
      </c>
      <c r="G147" s="125">
        <f>基础表!G160</f>
        <v>0</v>
      </c>
      <c r="H147" s="125">
        <f>基础表!H160</f>
        <v>38.9144524738227</v>
      </c>
      <c r="I147" s="125">
        <f>基础表!I160</f>
        <v>0</v>
      </c>
      <c r="J147" s="125">
        <f>基础表!J160</f>
        <v>0</v>
      </c>
      <c r="K147" s="125">
        <f>基础表!K160</f>
        <v>0</v>
      </c>
      <c r="L147" s="125">
        <f>基础表!L160</f>
        <v>0</v>
      </c>
      <c r="M147" s="125">
        <f>基础表!M160</f>
        <v>0</v>
      </c>
      <c r="N147" s="125">
        <f>基础表!N160</f>
        <v>0</v>
      </c>
      <c r="O147" s="51">
        <f ca="1" t="shared" si="24"/>
        <v>169.325227653638</v>
      </c>
    </row>
    <row r="148" spans="1:15">
      <c r="A148" s="191" t="str">
        <f>基础表!A161</f>
        <v>硫酸镁(食品级)</v>
      </c>
      <c r="B148" s="50" t="str">
        <f>基础表!B161</f>
        <v>公斤</v>
      </c>
      <c r="C148" s="125">
        <f>基础表!C161</f>
        <v>0</v>
      </c>
      <c r="D148" s="125">
        <f>基础表!D161</f>
        <v>164.432074835413</v>
      </c>
      <c r="E148" s="125">
        <f>基础表!E161</f>
        <v>223.351494569441</v>
      </c>
      <c r="F148" s="125">
        <f>基础表!F161</f>
        <v>271.153490768422</v>
      </c>
      <c r="G148" s="125">
        <f>基础表!G161</f>
        <v>0</v>
      </c>
      <c r="H148" s="125">
        <f>基础表!H161</f>
        <v>219.173353013484</v>
      </c>
      <c r="I148" s="125">
        <f>基础表!I161</f>
        <v>0</v>
      </c>
      <c r="J148" s="125">
        <f>基础表!J161</f>
        <v>0</v>
      </c>
      <c r="K148" s="125">
        <f>基础表!K161</f>
        <v>0</v>
      </c>
      <c r="L148" s="125">
        <f>基础表!L161</f>
        <v>0</v>
      </c>
      <c r="M148" s="125">
        <f>基础表!M161</f>
        <v>0</v>
      </c>
      <c r="N148" s="125">
        <f>基础表!N161</f>
        <v>0</v>
      </c>
      <c r="O148" s="51">
        <f ca="1" t="shared" si="24"/>
        <v>878.11041318676</v>
      </c>
    </row>
    <row r="149" spans="1:15">
      <c r="A149" s="191" t="str">
        <f>基础表!A162</f>
        <v>焦亚硫酸钠(食品级)</v>
      </c>
      <c r="B149" s="50" t="str">
        <f>基础表!B162</f>
        <v>公斤</v>
      </c>
      <c r="C149" s="125">
        <f>基础表!C162</f>
        <v>0</v>
      </c>
      <c r="D149" s="125">
        <f>基础表!D162</f>
        <v>113.637999832764</v>
      </c>
      <c r="E149" s="125">
        <f>基础表!E162</f>
        <v>153.490987501058</v>
      </c>
      <c r="F149" s="125">
        <f>基础表!F162</f>
        <v>135.548051893125</v>
      </c>
      <c r="G149" s="125">
        <f>基础表!G162</f>
        <v>0</v>
      </c>
      <c r="H149" s="125">
        <f>基础表!H162</f>
        <v>109.586676506742</v>
      </c>
      <c r="I149" s="125">
        <f>基础表!I162</f>
        <v>0</v>
      </c>
      <c r="J149" s="125">
        <f>基础表!J162</f>
        <v>0</v>
      </c>
      <c r="K149" s="125">
        <f>基础表!K162</f>
        <v>0</v>
      </c>
      <c r="L149" s="125">
        <f>基础表!L162</f>
        <v>0</v>
      </c>
      <c r="M149" s="125">
        <f>基础表!M162</f>
        <v>0</v>
      </c>
      <c r="N149" s="125">
        <f>基础表!N162</f>
        <v>0</v>
      </c>
      <c r="O149" s="51">
        <f ca="1" t="shared" si="24"/>
        <v>512.263715733689</v>
      </c>
    </row>
    <row r="150" ht="16.5" spans="1:15">
      <c r="A150" s="201" t="str">
        <f>基础表!A163</f>
        <v>树脂</v>
      </c>
      <c r="B150" s="202" t="str">
        <f>基础表!B163</f>
        <v>公斤</v>
      </c>
      <c r="C150" s="125">
        <f>基础表!C163</f>
        <v>0</v>
      </c>
      <c r="D150" s="125">
        <f>基础表!D163</f>
        <v>0</v>
      </c>
      <c r="E150" s="125">
        <f>基础表!E163</f>
        <v>0</v>
      </c>
      <c r="F150" s="125">
        <f>基础表!F163</f>
        <v>0</v>
      </c>
      <c r="G150" s="125">
        <f>基础表!G163</f>
        <v>0</v>
      </c>
      <c r="H150" s="125">
        <f>基础表!H163</f>
        <v>0</v>
      </c>
      <c r="I150" s="125">
        <f>基础表!I163</f>
        <v>0</v>
      </c>
      <c r="J150" s="125">
        <f>基础表!J163</f>
        <v>0</v>
      </c>
      <c r="K150" s="125">
        <f>基础表!K163</f>
        <v>0</v>
      </c>
      <c r="L150" s="125">
        <f>基础表!L163</f>
        <v>0</v>
      </c>
      <c r="M150" s="125">
        <f>基础表!M163</f>
        <v>0</v>
      </c>
      <c r="N150" s="125">
        <f>基础表!N163</f>
        <v>0</v>
      </c>
      <c r="O150" s="51">
        <f ca="1" t="shared" si="24"/>
        <v>0</v>
      </c>
    </row>
    <row r="151" ht="16.5" spans="1:15">
      <c r="A151" s="109" t="s">
        <v>264</v>
      </c>
      <c r="B151" s="9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</row>
    <row r="152" spans="1:15">
      <c r="A152" s="185" t="str">
        <f>基础表!A165</f>
        <v>项     目</v>
      </c>
      <c r="B152" s="106" t="str">
        <f>基础表!B165</f>
        <v>单位</v>
      </c>
      <c r="C152" s="375" t="str">
        <f>基础表!C165</f>
        <v>1月</v>
      </c>
      <c r="D152" s="375" t="str">
        <f>基础表!D165</f>
        <v>2月</v>
      </c>
      <c r="E152" s="375" t="str">
        <f>基础表!E165</f>
        <v>3月</v>
      </c>
      <c r="F152" s="415" t="str">
        <f>基础表!F165</f>
        <v>4月</v>
      </c>
      <c r="G152" s="375" t="str">
        <f>基础表!G165</f>
        <v>5月</v>
      </c>
      <c r="H152" s="375" t="str">
        <f>基础表!H165</f>
        <v>6月</v>
      </c>
      <c r="I152" s="375" t="str">
        <f>基础表!I165</f>
        <v>7月</v>
      </c>
      <c r="J152" s="375" t="str">
        <f>基础表!J165</f>
        <v>8月</v>
      </c>
      <c r="K152" s="375" t="str">
        <f>基础表!K165</f>
        <v>9月</v>
      </c>
      <c r="L152" s="375" t="str">
        <f>基础表!L165</f>
        <v>10月</v>
      </c>
      <c r="M152" s="375" t="str">
        <f>基础表!M165</f>
        <v>11月</v>
      </c>
      <c r="N152" s="375" t="str">
        <f>基础表!N165</f>
        <v>12月</v>
      </c>
      <c r="O152" s="377" t="str">
        <f>基础表!O165</f>
        <v>1-8月累计</v>
      </c>
    </row>
    <row r="153" spans="1:15">
      <c r="A153" s="191" t="str">
        <f>基础表!A166</f>
        <v>盐酸(折百)</v>
      </c>
      <c r="B153" s="50" t="str">
        <f>基础表!B166</f>
        <v>公斤</v>
      </c>
      <c r="C153" s="125">
        <f>基础表!C166</f>
        <v>4969.3</v>
      </c>
      <c r="D153" s="125">
        <f>基础表!D166</f>
        <v>3481.3</v>
      </c>
      <c r="E153" s="125">
        <f>基础表!E166</f>
        <v>5266.59</v>
      </c>
      <c r="F153" s="125">
        <f>基础表!F166</f>
        <v>4812.13</v>
      </c>
      <c r="G153" s="125">
        <f>基础表!G166</f>
        <v>5766</v>
      </c>
      <c r="H153" s="125">
        <f>基础表!H166</f>
        <v>6155.36</v>
      </c>
      <c r="I153" s="125">
        <f>基础表!I166</f>
        <v>0</v>
      </c>
      <c r="J153" s="125">
        <f>基础表!J166</f>
        <v>0</v>
      </c>
      <c r="K153" s="125">
        <f>基础表!K166</f>
        <v>0</v>
      </c>
      <c r="L153" s="125">
        <f>基础表!L166</f>
        <v>0</v>
      </c>
      <c r="M153" s="125">
        <f>基础表!M166</f>
        <v>0</v>
      </c>
      <c r="N153" s="125">
        <f>基础表!N166</f>
        <v>0</v>
      </c>
      <c r="O153" s="51">
        <f ca="1" t="shared" ref="O153:O163" si="25">SUM(OFFSET($C153,0,0,1,mth))</f>
        <v>30450.68</v>
      </c>
    </row>
    <row r="154" spans="1:15">
      <c r="A154" s="191" t="str">
        <f>基础表!A167</f>
        <v>氢氧化钠(折百)</v>
      </c>
      <c r="B154" s="50" t="str">
        <f>基础表!B167</f>
        <v>公斤</v>
      </c>
      <c r="C154" s="125">
        <f>基础表!C167</f>
        <v>5443.2</v>
      </c>
      <c r="D154" s="125">
        <f>基础表!D167</f>
        <v>3955.84</v>
      </c>
      <c r="E154" s="125">
        <f>基础表!E167</f>
        <v>5781.12</v>
      </c>
      <c r="F154" s="125">
        <f>基础表!F167</f>
        <v>5179.52</v>
      </c>
      <c r="G154" s="125">
        <f>基础表!G167</f>
        <v>6307.52</v>
      </c>
      <c r="H154" s="125">
        <f>基础表!H167</f>
        <v>7137.6</v>
      </c>
      <c r="I154" s="125">
        <f>基础表!I167</f>
        <v>0</v>
      </c>
      <c r="J154" s="125">
        <f>基础表!J167</f>
        <v>0</v>
      </c>
      <c r="K154" s="125">
        <f>基础表!K167</f>
        <v>0</v>
      </c>
      <c r="L154" s="125">
        <f>基础表!L167</f>
        <v>0</v>
      </c>
      <c r="M154" s="125">
        <f>基础表!M167</f>
        <v>0</v>
      </c>
      <c r="N154" s="125">
        <f>基础表!N167</f>
        <v>0</v>
      </c>
      <c r="O154" s="51">
        <f ca="1" t="shared" si="25"/>
        <v>33804.8</v>
      </c>
    </row>
    <row r="155" spans="1:15">
      <c r="A155" s="191" t="str">
        <f>基础表!A168</f>
        <v>硅藻土</v>
      </c>
      <c r="B155" s="50" t="str">
        <f>基础表!B168</f>
        <v>公斤</v>
      </c>
      <c r="C155" s="125">
        <f>基础表!C168</f>
        <v>825</v>
      </c>
      <c r="D155" s="125">
        <f>基础表!D168</f>
        <v>709</v>
      </c>
      <c r="E155" s="125">
        <f>基础表!E168</f>
        <v>910</v>
      </c>
      <c r="F155" s="125">
        <f>基础表!F168</f>
        <v>870</v>
      </c>
      <c r="G155" s="125">
        <f>基础表!G168</f>
        <v>790</v>
      </c>
      <c r="H155" s="125">
        <f>基础表!H168</f>
        <v>1015</v>
      </c>
      <c r="I155" s="125">
        <f>基础表!I168</f>
        <v>0</v>
      </c>
      <c r="J155" s="125">
        <f>基础表!J168</f>
        <v>0</v>
      </c>
      <c r="K155" s="125">
        <f>基础表!K168</f>
        <v>0</v>
      </c>
      <c r="L155" s="125">
        <f>基础表!L168</f>
        <v>0</v>
      </c>
      <c r="M155" s="125">
        <f>基础表!M168</f>
        <v>0</v>
      </c>
      <c r="N155" s="125">
        <f>基础表!N168</f>
        <v>0</v>
      </c>
      <c r="O155" s="51">
        <f ca="1" t="shared" si="25"/>
        <v>5119</v>
      </c>
    </row>
    <row r="156" spans="1:15">
      <c r="A156" s="115" t="str">
        <f>基础表!A169</f>
        <v>　　纯碱</v>
      </c>
      <c r="B156" s="50" t="str">
        <f>基础表!B169</f>
        <v>公斤</v>
      </c>
      <c r="C156" s="125">
        <f>基础表!C169</f>
        <v>0</v>
      </c>
      <c r="D156" s="125">
        <f>基础表!D169</f>
        <v>0</v>
      </c>
      <c r="E156" s="125">
        <f>基础表!E169</f>
        <v>0</v>
      </c>
      <c r="F156" s="125">
        <f>基础表!F169</f>
        <v>0</v>
      </c>
      <c r="G156" s="125">
        <f>基础表!G169</f>
        <v>0</v>
      </c>
      <c r="H156" s="125">
        <f>基础表!H169</f>
        <v>0</v>
      </c>
      <c r="I156" s="125">
        <f>基础表!I169</f>
        <v>0</v>
      </c>
      <c r="J156" s="125">
        <f>基础表!J169</f>
        <v>0</v>
      </c>
      <c r="K156" s="125">
        <f>基础表!K169</f>
        <v>0</v>
      </c>
      <c r="L156" s="125">
        <f>基础表!L169</f>
        <v>0</v>
      </c>
      <c r="M156" s="125">
        <f>基础表!M169</f>
        <v>0</v>
      </c>
      <c r="N156" s="125">
        <f>基础表!N169</f>
        <v>0</v>
      </c>
      <c r="O156" s="51">
        <f ca="1" t="shared" si="25"/>
        <v>0</v>
      </c>
    </row>
    <row r="157" spans="1:15">
      <c r="A157" s="191" t="str">
        <f>基础表!A170</f>
        <v>活性炭</v>
      </c>
      <c r="B157" s="50" t="str">
        <f>基础表!B170</f>
        <v>公斤</v>
      </c>
      <c r="C157" s="125">
        <f>基础表!C170</f>
        <v>1820</v>
      </c>
      <c r="D157" s="125">
        <f>基础表!D170</f>
        <v>1449</v>
      </c>
      <c r="E157" s="125">
        <f>基础表!E170</f>
        <v>1585</v>
      </c>
      <c r="F157" s="125">
        <f>基础表!F170</f>
        <v>1820</v>
      </c>
      <c r="G157" s="125">
        <f>基础表!G170</f>
        <v>1790</v>
      </c>
      <c r="H157" s="125">
        <f>基础表!H170</f>
        <v>2165</v>
      </c>
      <c r="I157" s="125">
        <f>基础表!I170</f>
        <v>0</v>
      </c>
      <c r="J157" s="125">
        <f>基础表!J170</f>
        <v>0</v>
      </c>
      <c r="K157" s="125">
        <f>基础表!K170</f>
        <v>0</v>
      </c>
      <c r="L157" s="125">
        <f>基础表!L170</f>
        <v>0</v>
      </c>
      <c r="M157" s="125">
        <f>基础表!M170</f>
        <v>0</v>
      </c>
      <c r="N157" s="125">
        <f>基础表!N170</f>
        <v>0</v>
      </c>
      <c r="O157" s="51">
        <f ca="1" t="shared" si="25"/>
        <v>10629</v>
      </c>
    </row>
    <row r="158" spans="1:15">
      <c r="A158" s="191" t="str">
        <f>基础表!A171</f>
        <v>α耐高温淀粉酶</v>
      </c>
      <c r="B158" s="50" t="str">
        <f>基础表!B171</f>
        <v>公斤</v>
      </c>
      <c r="C158" s="125">
        <f>基础表!C171</f>
        <v>86</v>
      </c>
      <c r="D158" s="125">
        <f>基础表!D171</f>
        <v>74</v>
      </c>
      <c r="E158" s="125">
        <f>基础表!E171</f>
        <v>101</v>
      </c>
      <c r="F158" s="125">
        <f>基础表!F171</f>
        <v>101</v>
      </c>
      <c r="G158" s="125">
        <f>基础表!G171</f>
        <v>83</v>
      </c>
      <c r="H158" s="125">
        <f>基础表!H171</f>
        <v>107</v>
      </c>
      <c r="I158" s="125">
        <f>基础表!I171</f>
        <v>0</v>
      </c>
      <c r="J158" s="125">
        <f>基础表!J171</f>
        <v>0</v>
      </c>
      <c r="K158" s="125">
        <f>基础表!K171</f>
        <v>0</v>
      </c>
      <c r="L158" s="125">
        <f>基础表!L171</f>
        <v>0</v>
      </c>
      <c r="M158" s="125">
        <f>基础表!M171</f>
        <v>0</v>
      </c>
      <c r="N158" s="125">
        <f>基础表!N171</f>
        <v>0</v>
      </c>
      <c r="O158" s="51">
        <f ca="1" t="shared" si="25"/>
        <v>552</v>
      </c>
    </row>
    <row r="159" spans="1:15">
      <c r="A159" s="191" t="str">
        <f>基础表!A172</f>
        <v>复合糖化酶</v>
      </c>
      <c r="B159" s="50" t="str">
        <f>基础表!B172</f>
        <v>公斤</v>
      </c>
      <c r="C159" s="125">
        <f>基础表!C172</f>
        <v>150</v>
      </c>
      <c r="D159" s="125">
        <f>基础表!D172</f>
        <v>129</v>
      </c>
      <c r="E159" s="125">
        <f>基础表!E172</f>
        <v>178</v>
      </c>
      <c r="F159" s="125">
        <f>基础表!F172</f>
        <v>172</v>
      </c>
      <c r="G159" s="125">
        <f>基础表!G172</f>
        <v>200</v>
      </c>
      <c r="H159" s="125">
        <f>基础表!H172</f>
        <v>243</v>
      </c>
      <c r="I159" s="125">
        <f>基础表!I172</f>
        <v>0</v>
      </c>
      <c r="J159" s="125">
        <f>基础表!J172</f>
        <v>0</v>
      </c>
      <c r="K159" s="125">
        <f>基础表!K172</f>
        <v>0</v>
      </c>
      <c r="L159" s="125">
        <f>基础表!L172</f>
        <v>0</v>
      </c>
      <c r="M159" s="125">
        <f>基础表!M172</f>
        <v>0</v>
      </c>
      <c r="N159" s="125">
        <f>基础表!N172</f>
        <v>0</v>
      </c>
      <c r="O159" s="51">
        <f ca="1" t="shared" si="25"/>
        <v>1072</v>
      </c>
    </row>
    <row r="160" spans="1:15">
      <c r="A160" s="191" t="str">
        <f>基础表!A173</f>
        <v>异构酶</v>
      </c>
      <c r="B160" s="50" t="str">
        <f>基础表!B173</f>
        <v>公斤</v>
      </c>
      <c r="C160" s="125">
        <f>基础表!C173</f>
        <v>106</v>
      </c>
      <c r="D160" s="125">
        <f>基础表!D173</f>
        <v>76.7</v>
      </c>
      <c r="E160" s="125">
        <f>基础表!E173</f>
        <v>112</v>
      </c>
      <c r="F160" s="125">
        <f>基础表!F173</f>
        <v>106</v>
      </c>
      <c r="G160" s="125">
        <f>基础表!G173</f>
        <v>118</v>
      </c>
      <c r="H160" s="125">
        <f>基础表!H173</f>
        <v>135</v>
      </c>
      <c r="I160" s="125">
        <f>基础表!I173</f>
        <v>0</v>
      </c>
      <c r="J160" s="125">
        <f>基础表!J173</f>
        <v>0</v>
      </c>
      <c r="K160" s="125">
        <f>基础表!K173</f>
        <v>0</v>
      </c>
      <c r="L160" s="125">
        <f>基础表!L173</f>
        <v>0</v>
      </c>
      <c r="M160" s="125">
        <f>基础表!M173</f>
        <v>0</v>
      </c>
      <c r="N160" s="125">
        <f>基础表!N173</f>
        <v>0</v>
      </c>
      <c r="O160" s="51">
        <f ca="1" t="shared" si="25"/>
        <v>653.7</v>
      </c>
    </row>
    <row r="161" spans="1:15">
      <c r="A161" s="191" t="str">
        <f>基础表!A174</f>
        <v>硫酸镁(食品级)</v>
      </c>
      <c r="B161" s="50" t="str">
        <f>基础表!B174</f>
        <v>公斤</v>
      </c>
      <c r="C161" s="125">
        <f>基础表!C174</f>
        <v>480</v>
      </c>
      <c r="D161" s="125">
        <f>基础表!D174</f>
        <v>370</v>
      </c>
      <c r="E161" s="125">
        <f>基础表!E174</f>
        <v>539</v>
      </c>
      <c r="F161" s="125">
        <f>基础表!F174</f>
        <v>575</v>
      </c>
      <c r="G161" s="125">
        <f>基础表!G174</f>
        <v>585</v>
      </c>
      <c r="H161" s="125">
        <f>基础表!H174</f>
        <v>760</v>
      </c>
      <c r="I161" s="125">
        <f>基础表!I174</f>
        <v>0</v>
      </c>
      <c r="J161" s="125">
        <f>基础表!J174</f>
        <v>0</v>
      </c>
      <c r="K161" s="125">
        <f>基础表!K174</f>
        <v>0</v>
      </c>
      <c r="L161" s="125">
        <f>基础表!L174</f>
        <v>0</v>
      </c>
      <c r="M161" s="125">
        <f>基础表!M174</f>
        <v>0</v>
      </c>
      <c r="N161" s="125">
        <f>基础表!N174</f>
        <v>0</v>
      </c>
      <c r="O161" s="51">
        <f ca="1" t="shared" si="25"/>
        <v>3309</v>
      </c>
    </row>
    <row r="162" spans="1:15">
      <c r="A162" s="191" t="str">
        <f>基础表!A175</f>
        <v>焦亚硫酸钠(食品级)</v>
      </c>
      <c r="B162" s="50" t="str">
        <f>基础表!B175</f>
        <v>公斤</v>
      </c>
      <c r="C162" s="125">
        <f>基础表!C175</f>
        <v>313</v>
      </c>
      <c r="D162" s="125">
        <f>基础表!D175</f>
        <v>255</v>
      </c>
      <c r="E162" s="125">
        <f>基础表!E175</f>
        <v>370</v>
      </c>
      <c r="F162" s="125">
        <f>基础表!F175</f>
        <v>288</v>
      </c>
      <c r="G162" s="125">
        <f>基础表!G175</f>
        <v>340</v>
      </c>
      <c r="H162" s="125">
        <f>基础表!H175</f>
        <v>380</v>
      </c>
      <c r="I162" s="125">
        <f>基础表!I175</f>
        <v>0</v>
      </c>
      <c r="J162" s="125">
        <f>基础表!J175</f>
        <v>0</v>
      </c>
      <c r="K162" s="125">
        <f>基础表!K175</f>
        <v>0</v>
      </c>
      <c r="L162" s="125">
        <f>基础表!L175</f>
        <v>0</v>
      </c>
      <c r="M162" s="125">
        <f>基础表!M175</f>
        <v>0</v>
      </c>
      <c r="N162" s="125">
        <f>基础表!N175</f>
        <v>0</v>
      </c>
      <c r="O162" s="51">
        <f ca="1" t="shared" si="25"/>
        <v>1946</v>
      </c>
    </row>
    <row r="163" ht="16.5" spans="1:15">
      <c r="A163" s="201" t="str">
        <f>基础表!A176</f>
        <v>树脂</v>
      </c>
      <c r="B163" s="202" t="str">
        <f>基础表!B176</f>
        <v>公斤</v>
      </c>
      <c r="C163" s="125">
        <f>基础表!C176</f>
        <v>0</v>
      </c>
      <c r="D163" s="125">
        <f>基础表!D176</f>
        <v>0</v>
      </c>
      <c r="E163" s="125">
        <f>基础表!E176</f>
        <v>0</v>
      </c>
      <c r="F163" s="125">
        <f>基础表!F176</f>
        <v>0</v>
      </c>
      <c r="G163" s="125">
        <f>基础表!G176</f>
        <v>0</v>
      </c>
      <c r="H163" s="125">
        <f>基础表!H176</f>
        <v>0</v>
      </c>
      <c r="I163" s="125">
        <f>基础表!I176</f>
        <v>0</v>
      </c>
      <c r="J163" s="125">
        <f>基础表!J176</f>
        <v>0</v>
      </c>
      <c r="K163" s="125">
        <f>基础表!K176</f>
        <v>0</v>
      </c>
      <c r="L163" s="125">
        <f>基础表!L176</f>
        <v>0</v>
      </c>
      <c r="M163" s="125">
        <f>基础表!M176</f>
        <v>0</v>
      </c>
      <c r="N163" s="125">
        <f>基础表!N176</f>
        <v>0</v>
      </c>
      <c r="O163" s="51">
        <f ca="1" t="shared" si="25"/>
        <v>0</v>
      </c>
    </row>
    <row r="164" customFormat="1" ht="16.5" spans="1:15">
      <c r="A164" s="109" t="s">
        <v>265</v>
      </c>
      <c r="B164" s="9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</row>
    <row r="165" customFormat="1" spans="1:15">
      <c r="A165" s="185" t="str">
        <f>基础表!A178</f>
        <v>项     目</v>
      </c>
      <c r="B165" s="106" t="str">
        <f>基础表!B178</f>
        <v>单位</v>
      </c>
      <c r="C165" s="375" t="str">
        <f>基础表!C178</f>
        <v>1月</v>
      </c>
      <c r="D165" s="375" t="str">
        <f>基础表!D178</f>
        <v>2月</v>
      </c>
      <c r="E165" s="375" t="str">
        <f>基础表!E178</f>
        <v>3月</v>
      </c>
      <c r="F165" s="415" t="str">
        <f>基础表!F178</f>
        <v>4月</v>
      </c>
      <c r="G165" s="375" t="str">
        <f>基础表!G178</f>
        <v>5月</v>
      </c>
      <c r="H165" s="375" t="str">
        <f>基础表!H178</f>
        <v>6月</v>
      </c>
      <c r="I165" s="375" t="str">
        <f>基础表!I178</f>
        <v>7月</v>
      </c>
      <c r="J165" s="375" t="str">
        <f>基础表!J178</f>
        <v>8月</v>
      </c>
      <c r="K165" s="375" t="str">
        <f>基础表!K178</f>
        <v>9月</v>
      </c>
      <c r="L165" s="375" t="str">
        <f>基础表!L178</f>
        <v>10月</v>
      </c>
      <c r="M165" s="375" t="str">
        <f>基础表!M178</f>
        <v>11月</v>
      </c>
      <c r="N165" s="375" t="str">
        <f>基础表!N178</f>
        <v>12月</v>
      </c>
      <c r="O165" s="377" t="str">
        <f>基础表!O178</f>
        <v>1-8月累计</v>
      </c>
    </row>
    <row r="166" customFormat="1" spans="1:15">
      <c r="A166" s="191" t="str">
        <f>基础表!A179</f>
        <v>盐酸(折百)</v>
      </c>
      <c r="B166" s="50" t="str">
        <f>基础表!B179</f>
        <v>公斤</v>
      </c>
      <c r="C166" s="125">
        <f>基础表!C179</f>
        <v>0</v>
      </c>
      <c r="D166" s="125">
        <f>基础表!D179</f>
        <v>158.1</v>
      </c>
      <c r="E166" s="125">
        <f>基础表!E179</f>
        <v>0</v>
      </c>
      <c r="F166" s="125">
        <f>基础表!F179</f>
        <v>0</v>
      </c>
      <c r="G166" s="125">
        <f>基础表!G179</f>
        <v>0</v>
      </c>
      <c r="H166" s="125">
        <f>基础表!H179</f>
        <v>0</v>
      </c>
      <c r="I166" s="125">
        <f>基础表!I179</f>
        <v>0</v>
      </c>
      <c r="J166" s="125">
        <f>基础表!J179</f>
        <v>0</v>
      </c>
      <c r="K166" s="125">
        <f>基础表!K179</f>
        <v>0</v>
      </c>
      <c r="L166" s="125">
        <f>基础表!L179</f>
        <v>0</v>
      </c>
      <c r="M166" s="125">
        <f>基础表!M179</f>
        <v>0</v>
      </c>
      <c r="N166" s="125">
        <f>基础表!N179</f>
        <v>0</v>
      </c>
      <c r="O166" s="51">
        <f ca="1">SUM(OFFSET($C166,0,0,1,mth))</f>
        <v>158.1</v>
      </c>
    </row>
    <row r="167" customFormat="1" spans="1:15">
      <c r="A167" s="191" t="str">
        <f>基础表!A180</f>
        <v>氢氧化钠(折百)</v>
      </c>
      <c r="B167" s="50" t="str">
        <f>基础表!B180</f>
        <v>公斤</v>
      </c>
      <c r="C167" s="125">
        <f>基础表!C180</f>
        <v>0</v>
      </c>
      <c r="D167" s="125">
        <f>基础表!D180</f>
        <v>182.4</v>
      </c>
      <c r="E167" s="125">
        <f>基础表!E180</f>
        <v>0</v>
      </c>
      <c r="F167" s="125">
        <f>基础表!F180</f>
        <v>0</v>
      </c>
      <c r="G167" s="125">
        <f>基础表!G180</f>
        <v>0</v>
      </c>
      <c r="H167" s="125">
        <f>基础表!H180</f>
        <v>0</v>
      </c>
      <c r="I167" s="125">
        <f>基础表!I180</f>
        <v>0</v>
      </c>
      <c r="J167" s="125">
        <f>基础表!J180</f>
        <v>0</v>
      </c>
      <c r="K167" s="125">
        <f>基础表!K180</f>
        <v>0</v>
      </c>
      <c r="L167" s="125">
        <f>基础表!L180</f>
        <v>0</v>
      </c>
      <c r="M167" s="125">
        <f>基础表!M180</f>
        <v>0</v>
      </c>
      <c r="N167" s="125">
        <f>基础表!N180</f>
        <v>0</v>
      </c>
      <c r="O167" s="51">
        <f ca="1">SUM(OFFSET($C167,0,0,1,mth))</f>
        <v>182.4</v>
      </c>
    </row>
    <row r="168" customFormat="1" spans="1:15">
      <c r="A168" s="191" t="str">
        <f>基础表!A181</f>
        <v>硅藻土</v>
      </c>
      <c r="B168" s="50" t="str">
        <f>基础表!B181</f>
        <v>公斤</v>
      </c>
      <c r="C168" s="125">
        <f>基础表!C181</f>
        <v>0</v>
      </c>
      <c r="D168" s="125">
        <f>基础表!D181</f>
        <v>31</v>
      </c>
      <c r="E168" s="125">
        <f>基础表!E181</f>
        <v>0</v>
      </c>
      <c r="F168" s="125">
        <f>基础表!F181</f>
        <v>0</v>
      </c>
      <c r="G168" s="125">
        <f>基础表!G181</f>
        <v>0</v>
      </c>
      <c r="H168" s="125">
        <f>基础表!H181</f>
        <v>0</v>
      </c>
      <c r="I168" s="125">
        <f>基础表!I181</f>
        <v>0</v>
      </c>
      <c r="J168" s="125">
        <f>基础表!J181</f>
        <v>0</v>
      </c>
      <c r="K168" s="125">
        <f>基础表!K181</f>
        <v>0</v>
      </c>
      <c r="L168" s="125">
        <f>基础表!L181</f>
        <v>0</v>
      </c>
      <c r="M168" s="125">
        <f>基础表!M181</f>
        <v>0</v>
      </c>
      <c r="N168" s="125">
        <f>基础表!N181</f>
        <v>0</v>
      </c>
      <c r="O168" s="51">
        <f ca="1">SUM(OFFSET($C168,0,0,1,mth))</f>
        <v>31</v>
      </c>
    </row>
    <row r="169" customFormat="1" spans="1:15">
      <c r="A169" s="115" t="str">
        <f>基础表!A182</f>
        <v>　　纯碱</v>
      </c>
      <c r="B169" s="50" t="str">
        <f>基础表!B182</f>
        <v>公斤</v>
      </c>
      <c r="C169" s="125">
        <f>基础表!C182</f>
        <v>0</v>
      </c>
      <c r="D169" s="125">
        <f>基础表!D182</f>
        <v>0</v>
      </c>
      <c r="E169" s="125">
        <f>基础表!E182</f>
        <v>0</v>
      </c>
      <c r="F169" s="125">
        <f>基础表!F182</f>
        <v>0</v>
      </c>
      <c r="G169" s="125">
        <f>基础表!G182</f>
        <v>0</v>
      </c>
      <c r="H169" s="125">
        <f>基础表!H182</f>
        <v>0</v>
      </c>
      <c r="I169" s="125">
        <f>基础表!I182</f>
        <v>0</v>
      </c>
      <c r="J169" s="125">
        <f>基础表!J182</f>
        <v>0</v>
      </c>
      <c r="K169" s="125">
        <f>基础表!K182</f>
        <v>0</v>
      </c>
      <c r="L169" s="125">
        <f>基础表!L182</f>
        <v>0</v>
      </c>
      <c r="M169" s="125">
        <f>基础表!M182</f>
        <v>0</v>
      </c>
      <c r="N169" s="125">
        <f>基础表!N182</f>
        <v>0</v>
      </c>
      <c r="O169" s="51">
        <f ca="1">SUM(OFFSET($C169,0,0,1,mth))</f>
        <v>0</v>
      </c>
    </row>
    <row r="170" customFormat="1" spans="1:15">
      <c r="A170" s="191" t="str">
        <f>基础表!A183</f>
        <v>活性炭</v>
      </c>
      <c r="B170" s="50" t="str">
        <f>基础表!B183</f>
        <v>公斤</v>
      </c>
      <c r="C170" s="125">
        <f>基础表!C183</f>
        <v>0</v>
      </c>
      <c r="D170" s="125">
        <f>基础表!D183</f>
        <v>65</v>
      </c>
      <c r="E170" s="125">
        <f>基础表!E183</f>
        <v>0</v>
      </c>
      <c r="F170" s="125">
        <f>基础表!F183</f>
        <v>0</v>
      </c>
      <c r="G170" s="125">
        <f>基础表!G183</f>
        <v>0</v>
      </c>
      <c r="H170" s="125">
        <f>基础表!H183</f>
        <v>0</v>
      </c>
      <c r="I170" s="125">
        <f>基础表!I183</f>
        <v>0</v>
      </c>
      <c r="J170" s="125">
        <f>基础表!J183</f>
        <v>0</v>
      </c>
      <c r="K170" s="125">
        <f>基础表!K183</f>
        <v>0</v>
      </c>
      <c r="L170" s="125">
        <f>基础表!L183</f>
        <v>0</v>
      </c>
      <c r="M170" s="125">
        <f>基础表!M183</f>
        <v>0</v>
      </c>
      <c r="N170" s="125">
        <f>基础表!N183</f>
        <v>0</v>
      </c>
      <c r="O170" s="51">
        <f ca="1">SUM(OFFSET($C170,0,0,1,mth))</f>
        <v>65</v>
      </c>
    </row>
    <row r="171" customFormat="1" spans="1:15">
      <c r="A171" s="191" t="str">
        <f>基础表!A184</f>
        <v>α耐高温淀粉酶</v>
      </c>
      <c r="B171" s="50" t="str">
        <f>基础表!B184</f>
        <v>公斤</v>
      </c>
      <c r="C171" s="125">
        <f>基础表!C184</f>
        <v>0</v>
      </c>
      <c r="D171" s="125">
        <f>基础表!D184</f>
        <v>3.2</v>
      </c>
      <c r="E171" s="125">
        <f>基础表!E184</f>
        <v>0</v>
      </c>
      <c r="F171" s="125">
        <f>基础表!F184</f>
        <v>0</v>
      </c>
      <c r="G171" s="125">
        <f>基础表!G184</f>
        <v>0</v>
      </c>
      <c r="H171" s="125">
        <f>基础表!H184</f>
        <v>0</v>
      </c>
      <c r="I171" s="125">
        <f>基础表!I184</f>
        <v>0</v>
      </c>
      <c r="J171" s="125">
        <f>基础表!J184</f>
        <v>0</v>
      </c>
      <c r="K171" s="125">
        <f>基础表!K184</f>
        <v>0</v>
      </c>
      <c r="L171" s="125">
        <f>基础表!L184</f>
        <v>0</v>
      </c>
      <c r="M171" s="125">
        <f>基础表!M184</f>
        <v>0</v>
      </c>
      <c r="N171" s="125">
        <f>基础表!N184</f>
        <v>0</v>
      </c>
      <c r="O171" s="51">
        <f ca="1">SUM(OFFSET($C171,0,0,1,mth))</f>
        <v>3.2</v>
      </c>
    </row>
    <row r="172" customFormat="1" spans="1:15">
      <c r="A172" s="191" t="str">
        <f>基础表!A185</f>
        <v>复合糖化酶</v>
      </c>
      <c r="B172" s="50" t="str">
        <f>基础表!B185</f>
        <v>公斤</v>
      </c>
      <c r="C172" s="125">
        <f>基础表!C185</f>
        <v>0</v>
      </c>
      <c r="D172" s="125">
        <f>基础表!D185</f>
        <v>5.5</v>
      </c>
      <c r="E172" s="125">
        <f>基础表!E185</f>
        <v>0</v>
      </c>
      <c r="F172" s="125">
        <f>基础表!F185</f>
        <v>0</v>
      </c>
      <c r="G172" s="125">
        <f>基础表!G185</f>
        <v>0</v>
      </c>
      <c r="H172" s="125">
        <f>基础表!H185</f>
        <v>0</v>
      </c>
      <c r="I172" s="125">
        <f>基础表!I185</f>
        <v>0</v>
      </c>
      <c r="J172" s="125">
        <f>基础表!J185</f>
        <v>0</v>
      </c>
      <c r="K172" s="125">
        <f>基础表!K185</f>
        <v>0</v>
      </c>
      <c r="L172" s="125">
        <f>基础表!L185</f>
        <v>0</v>
      </c>
      <c r="M172" s="125">
        <f>基础表!M185</f>
        <v>0</v>
      </c>
      <c r="N172" s="125">
        <f>基础表!N185</f>
        <v>0</v>
      </c>
      <c r="O172" s="51">
        <f ca="1">SUM(OFFSET($C172,0,0,1,mth))</f>
        <v>5.5</v>
      </c>
    </row>
    <row r="173" customFormat="1" spans="1:15">
      <c r="A173" s="191" t="str">
        <f>基础表!A186</f>
        <v>异构酶</v>
      </c>
      <c r="B173" s="50" t="str">
        <f>基础表!B186</f>
        <v>公斤</v>
      </c>
      <c r="C173" s="125">
        <f>基础表!C186</f>
        <v>0</v>
      </c>
      <c r="D173" s="125">
        <f>基础表!D186</f>
        <v>3.3</v>
      </c>
      <c r="E173" s="125">
        <f>基础表!E186</f>
        <v>0</v>
      </c>
      <c r="F173" s="125">
        <f>基础表!F186</f>
        <v>0</v>
      </c>
      <c r="G173" s="125">
        <f>基础表!G186</f>
        <v>0</v>
      </c>
      <c r="H173" s="125">
        <f>基础表!H186</f>
        <v>0</v>
      </c>
      <c r="I173" s="125">
        <f>基础表!I186</f>
        <v>0</v>
      </c>
      <c r="J173" s="125">
        <f>基础表!J186</f>
        <v>0</v>
      </c>
      <c r="K173" s="125">
        <f>基础表!K186</f>
        <v>0</v>
      </c>
      <c r="L173" s="125">
        <f>基础表!L186</f>
        <v>0</v>
      </c>
      <c r="M173" s="125">
        <f>基础表!M186</f>
        <v>0</v>
      </c>
      <c r="N173" s="125">
        <f>基础表!N186</f>
        <v>0</v>
      </c>
      <c r="O173" s="51">
        <f ca="1">SUM(OFFSET($C173,0,0,1,mth))</f>
        <v>3.3</v>
      </c>
    </row>
    <row r="174" customFormat="1" spans="1:15">
      <c r="A174" s="191" t="str">
        <f>基础表!A187</f>
        <v>硫酸镁(食品级)</v>
      </c>
      <c r="B174" s="50" t="str">
        <f>基础表!B187</f>
        <v>公斤</v>
      </c>
      <c r="C174" s="125">
        <f>基础表!C187</f>
        <v>0</v>
      </c>
      <c r="D174" s="125">
        <f>基础表!D187</f>
        <v>16</v>
      </c>
      <c r="E174" s="125">
        <f>基础表!E187</f>
        <v>0</v>
      </c>
      <c r="F174" s="125">
        <f>基础表!F187</f>
        <v>0</v>
      </c>
      <c r="G174" s="125">
        <f>基础表!G187</f>
        <v>0</v>
      </c>
      <c r="H174" s="125">
        <f>基础表!H187</f>
        <v>0</v>
      </c>
      <c r="I174" s="125">
        <f>基础表!I187</f>
        <v>0</v>
      </c>
      <c r="J174" s="125">
        <f>基础表!J187</f>
        <v>0</v>
      </c>
      <c r="K174" s="125">
        <f>基础表!K187</f>
        <v>0</v>
      </c>
      <c r="L174" s="125">
        <f>基础表!L187</f>
        <v>0</v>
      </c>
      <c r="M174" s="125">
        <f>基础表!M187</f>
        <v>0</v>
      </c>
      <c r="N174" s="125">
        <f>基础表!N187</f>
        <v>0</v>
      </c>
      <c r="O174" s="51">
        <f ca="1">SUM(OFFSET($C174,0,0,1,mth))</f>
        <v>16</v>
      </c>
    </row>
    <row r="175" customFormat="1" spans="1:15">
      <c r="A175" s="191" t="str">
        <f>基础表!A188</f>
        <v>焦亚硫酸钠(食品级)</v>
      </c>
      <c r="B175" s="50" t="str">
        <f>基础表!B188</f>
        <v>公斤</v>
      </c>
      <c r="C175" s="125">
        <f>基础表!C188</f>
        <v>0</v>
      </c>
      <c r="D175" s="125">
        <f>基础表!D188</f>
        <v>11</v>
      </c>
      <c r="E175" s="125">
        <f>基础表!E188</f>
        <v>0</v>
      </c>
      <c r="F175" s="125">
        <f>基础表!F188</f>
        <v>0</v>
      </c>
      <c r="G175" s="125">
        <f>基础表!G188</f>
        <v>0</v>
      </c>
      <c r="H175" s="125">
        <f>基础表!H188</f>
        <v>0</v>
      </c>
      <c r="I175" s="125">
        <f>基础表!I188</f>
        <v>0</v>
      </c>
      <c r="J175" s="125">
        <f>基础表!J188</f>
        <v>0</v>
      </c>
      <c r="K175" s="125">
        <f>基础表!K188</f>
        <v>0</v>
      </c>
      <c r="L175" s="125">
        <f>基础表!L188</f>
        <v>0</v>
      </c>
      <c r="M175" s="125">
        <f>基础表!M188</f>
        <v>0</v>
      </c>
      <c r="N175" s="125">
        <f>基础表!N188</f>
        <v>0</v>
      </c>
      <c r="O175" s="51">
        <f ca="1">SUM(OFFSET($C175,0,0,1,mth))</f>
        <v>11</v>
      </c>
    </row>
    <row r="176" customFormat="1" ht="16.5" spans="1:15">
      <c r="A176" s="201" t="str">
        <f>基础表!A189</f>
        <v>树脂</v>
      </c>
      <c r="B176" s="202" t="str">
        <f>基础表!B189</f>
        <v>公斤</v>
      </c>
      <c r="C176" s="125">
        <f>基础表!C189</f>
        <v>0</v>
      </c>
      <c r="D176" s="125">
        <f>基础表!D189</f>
        <v>0</v>
      </c>
      <c r="E176" s="125">
        <f>基础表!E189</f>
        <v>0</v>
      </c>
      <c r="F176" s="125">
        <f>基础表!F189</f>
        <v>0</v>
      </c>
      <c r="G176" s="125">
        <f>基础表!G189</f>
        <v>0</v>
      </c>
      <c r="H176" s="125">
        <f>基础表!H189</f>
        <v>0</v>
      </c>
      <c r="I176" s="125">
        <f>基础表!I189</f>
        <v>0</v>
      </c>
      <c r="J176" s="125">
        <f>基础表!J189</f>
        <v>0</v>
      </c>
      <c r="K176" s="125">
        <f>基础表!K189</f>
        <v>0</v>
      </c>
      <c r="L176" s="125">
        <f>基础表!L189</f>
        <v>0</v>
      </c>
      <c r="M176" s="125">
        <f>基础表!M189</f>
        <v>0</v>
      </c>
      <c r="N176" s="125">
        <f>基础表!N189</f>
        <v>0</v>
      </c>
      <c r="O176" s="51">
        <f ca="1">SUM(OFFSET($C176,0,0,1,mth))</f>
        <v>0</v>
      </c>
    </row>
    <row r="177" spans="1:16">
      <c r="A177" s="227" t="str">
        <f>基础表!A190</f>
        <v>辅料单价(不含税）</v>
      </c>
      <c r="O177" s="325"/>
    </row>
    <row r="178" spans="1:16">
      <c r="A178" s="229" t="str">
        <f>基础表!A191</f>
        <v>项     目</v>
      </c>
      <c r="B178" s="230" t="str">
        <f>基础表!B191</f>
        <v>单位</v>
      </c>
      <c r="C178" s="416" t="str">
        <f>基础表!C191</f>
        <v>1月</v>
      </c>
      <c r="D178" s="416" t="str">
        <f>基础表!D191</f>
        <v>2月</v>
      </c>
      <c r="E178" s="416" t="str">
        <f>基础表!E191</f>
        <v>3月</v>
      </c>
      <c r="F178" s="417" t="str">
        <f>基础表!F191</f>
        <v>4月</v>
      </c>
      <c r="G178" s="416" t="str">
        <f>基础表!G191</f>
        <v>5月</v>
      </c>
      <c r="H178" s="416" t="str">
        <f>基础表!H191</f>
        <v>6月</v>
      </c>
      <c r="I178" s="416" t="str">
        <f>基础表!I191</f>
        <v>7月</v>
      </c>
      <c r="J178" s="416" t="str">
        <f>基础表!J191</f>
        <v>8月</v>
      </c>
      <c r="K178" s="416" t="str">
        <f>基础表!K191</f>
        <v>9月</v>
      </c>
      <c r="L178" s="416" t="str">
        <f>基础表!L191</f>
        <v>10月</v>
      </c>
      <c r="M178" s="416" t="str">
        <f>基础表!M191</f>
        <v>11月</v>
      </c>
      <c r="N178" s="416" t="str">
        <f>基础表!N191</f>
        <v>12月</v>
      </c>
      <c r="O178" s="416" t="str">
        <f>基础表!O191</f>
        <v>1-8月累计</v>
      </c>
    </row>
    <row r="179" spans="1:16">
      <c r="A179" s="115" t="str">
        <f>基础表!A192</f>
        <v>　　盐酸(折百)</v>
      </c>
      <c r="B179" s="50" t="str">
        <f>基础表!B192</f>
        <v>元</v>
      </c>
      <c r="C179" s="418">
        <f>基础表!C192</f>
        <v>1.03307994950751</v>
      </c>
      <c r="D179" s="418">
        <f>基础表!D192</f>
        <v>1.02174424864701</v>
      </c>
      <c r="E179" s="418">
        <f>基础表!E192</f>
        <v>1.02185493281138</v>
      </c>
      <c r="F179" s="418">
        <f>基础表!F192</f>
        <v>1.03485347609038</v>
      </c>
      <c r="G179" s="418">
        <f>基础表!G192</f>
        <v>1.04196389744087</v>
      </c>
      <c r="H179" s="418">
        <f>基础表!H192</f>
        <v>1.04196362349981</v>
      </c>
      <c r="I179" s="418">
        <f>基础表!I192</f>
        <v>0</v>
      </c>
      <c r="J179" s="418">
        <f>基础表!J192</f>
        <v>0</v>
      </c>
      <c r="K179" s="418">
        <f>基础表!K192</f>
        <v>0</v>
      </c>
      <c r="L179" s="418">
        <f>基础表!L192</f>
        <v>0</v>
      </c>
      <c r="M179" s="418">
        <f>基础表!M192</f>
        <v>0</v>
      </c>
      <c r="N179" s="418">
        <f>基础表!N192</f>
        <v>0</v>
      </c>
      <c r="O179" s="419">
        <f ca="1">基础表!O192</f>
        <v>1.03363476247911</v>
      </c>
      <c r="P179" s="222"/>
    </row>
    <row r="180" spans="1:16">
      <c r="A180" s="115" t="str">
        <f>基础表!A193</f>
        <v>　　氢氧化钠(折百)</v>
      </c>
      <c r="B180" s="50" t="str">
        <f>基础表!B193</f>
        <v>元</v>
      </c>
      <c r="C180" s="418">
        <f>基础表!C193</f>
        <v>3.0138063133806</v>
      </c>
      <c r="D180" s="418">
        <f>基础表!D193</f>
        <v>3.11904579495177</v>
      </c>
      <c r="E180" s="418">
        <f>基础表!E193</f>
        <v>3.11821758412582</v>
      </c>
      <c r="F180" s="418">
        <f>基础表!F193</f>
        <v>3.19048849323329</v>
      </c>
      <c r="G180" s="418">
        <f>基础表!G193</f>
        <v>3.23523372181404</v>
      </c>
      <c r="H180" s="418">
        <f>基础表!H193</f>
        <v>3.23261620167508</v>
      </c>
      <c r="I180" s="418">
        <f>基础表!I193</f>
        <v>0</v>
      </c>
      <c r="J180" s="418">
        <f>基础表!J193</f>
        <v>0</v>
      </c>
      <c r="K180" s="418">
        <f>基础表!K193</f>
        <v>0</v>
      </c>
      <c r="L180" s="418">
        <f>基础表!L193</f>
        <v>0</v>
      </c>
      <c r="M180" s="418">
        <f>基础表!M193</f>
        <v>0</v>
      </c>
      <c r="N180" s="418">
        <f>基础表!N193</f>
        <v>0</v>
      </c>
      <c r="O180" s="419">
        <f ca="1">基础表!O193</f>
        <v>3.16530363402344</v>
      </c>
      <c r="P180" s="222"/>
    </row>
    <row r="181" spans="1:16">
      <c r="A181" s="115" t="str">
        <f>基础表!A194</f>
        <v>　　硅藻土</v>
      </c>
      <c r="B181" s="50" t="str">
        <f>基础表!B194</f>
        <v>元</v>
      </c>
      <c r="C181" s="418">
        <f>基础表!C194</f>
        <v>2.61488518518518</v>
      </c>
      <c r="D181" s="418">
        <f>基础表!D194</f>
        <v>2.60649370277078</v>
      </c>
      <c r="E181" s="418">
        <f>基础表!E194</f>
        <v>2.60411739130435</v>
      </c>
      <c r="F181" s="418">
        <f>基础表!F194</f>
        <v>2.6025525</v>
      </c>
      <c r="G181" s="418">
        <f>基础表!G194</f>
        <v>2.60244796954315</v>
      </c>
      <c r="H181" s="418">
        <f>基础表!H194</f>
        <v>2.6019243902439</v>
      </c>
      <c r="I181" s="418">
        <f>基础表!I194</f>
        <v>0</v>
      </c>
      <c r="J181" s="418">
        <f>基础表!J194</f>
        <v>0</v>
      </c>
      <c r="K181" s="418">
        <f>基础表!K194</f>
        <v>0</v>
      </c>
      <c r="L181" s="418">
        <f>基础表!L194</f>
        <v>0</v>
      </c>
      <c r="M181" s="418">
        <f>基础表!M194</f>
        <v>0</v>
      </c>
      <c r="N181" s="418">
        <f>基础表!N194</f>
        <v>0</v>
      </c>
      <c r="O181" s="419">
        <f ca="1">基础表!O194</f>
        <v>2.60487003610108</v>
      </c>
      <c r="P181" s="222"/>
    </row>
    <row r="182" spans="1:16">
      <c r="A182" s="115" t="str">
        <f>基础表!A195</f>
        <v>　　纯碱</v>
      </c>
      <c r="B182" s="50" t="str">
        <f>基础表!B195</f>
        <v>元</v>
      </c>
      <c r="C182" s="418">
        <f>基础表!C195</f>
        <v>0</v>
      </c>
      <c r="D182" s="418">
        <f>基础表!D195</f>
        <v>0</v>
      </c>
      <c r="E182" s="418">
        <f>基础表!E195</f>
        <v>0</v>
      </c>
      <c r="F182" s="418">
        <f>基础表!F195</f>
        <v>0</v>
      </c>
      <c r="G182" s="418">
        <f>基础表!G195</f>
        <v>0</v>
      </c>
      <c r="H182" s="418">
        <f>基础表!H195</f>
        <v>0</v>
      </c>
      <c r="I182" s="418">
        <f>基础表!I195</f>
        <v>0</v>
      </c>
      <c r="J182" s="418">
        <f>基础表!J195</f>
        <v>0</v>
      </c>
      <c r="K182" s="418">
        <f>基础表!K195</f>
        <v>0</v>
      </c>
      <c r="L182" s="418">
        <f>基础表!L195</f>
        <v>0</v>
      </c>
      <c r="M182" s="418">
        <f>基础表!M195</f>
        <v>0</v>
      </c>
      <c r="N182" s="418">
        <f>基础表!N195</f>
        <v>0</v>
      </c>
      <c r="O182" s="419">
        <f ca="1">基础表!O195</f>
        <v>0</v>
      </c>
      <c r="P182" s="222"/>
    </row>
    <row r="183" spans="1:16">
      <c r="A183" s="115" t="str">
        <f>基础表!A196</f>
        <v>　　活性炭</v>
      </c>
      <c r="B183" s="50" t="str">
        <f>基础表!B196</f>
        <v>元</v>
      </c>
      <c r="C183" s="418">
        <f>基础表!C196</f>
        <v>7.07994472361809</v>
      </c>
      <c r="D183" s="418">
        <f>基础表!D196</f>
        <v>7.07972153465344</v>
      </c>
      <c r="E183" s="418">
        <f>基础表!E196</f>
        <v>7.07966916666667</v>
      </c>
      <c r="F183" s="418">
        <f>基础表!F196</f>
        <v>7.07964898688914</v>
      </c>
      <c r="G183" s="418">
        <f>基础表!G196</f>
        <v>7.07964548494983</v>
      </c>
      <c r="H183" s="418">
        <f>基础表!H196</f>
        <v>7.07964685714284</v>
      </c>
      <c r="I183" s="418">
        <f>基础表!I196</f>
        <v>0</v>
      </c>
      <c r="J183" s="418">
        <f>基础表!J196</f>
        <v>0</v>
      </c>
      <c r="K183" s="418">
        <f>基础表!K196</f>
        <v>0</v>
      </c>
      <c r="L183" s="418">
        <f>基础表!L196</f>
        <v>0</v>
      </c>
      <c r="M183" s="418">
        <f>基础表!M196</f>
        <v>0</v>
      </c>
      <c r="N183" s="418">
        <f>基础表!N196</f>
        <v>0</v>
      </c>
      <c r="O183" s="419">
        <f ca="1">基础表!O196</f>
        <v>7.07970147313692</v>
      </c>
      <c r="P183" s="222"/>
    </row>
    <row r="184" spans="1:16">
      <c r="A184" s="115" t="str">
        <f>基础表!A197</f>
        <v>　　α耐高温淀粉酶</v>
      </c>
      <c r="B184" s="50" t="str">
        <f>基础表!B197</f>
        <v>元</v>
      </c>
      <c r="C184" s="418">
        <f>基础表!C197</f>
        <v>47.8290035587189</v>
      </c>
      <c r="D184" s="418">
        <f>基础表!D197</f>
        <v>47.8165500603136</v>
      </c>
      <c r="E184" s="418">
        <f>基础表!E197</f>
        <v>47.8033507170795</v>
      </c>
      <c r="F184" s="418">
        <f>基础表!F197</f>
        <v>47.7935644637053</v>
      </c>
      <c r="G184" s="418">
        <f>基础表!G197</f>
        <v>47.7885230024213</v>
      </c>
      <c r="H184" s="418">
        <f>基础表!H197</f>
        <v>47.7879723502304</v>
      </c>
      <c r="I184" s="418">
        <f>基础表!I197</f>
        <v>0</v>
      </c>
      <c r="J184" s="418">
        <f>基础表!J197</f>
        <v>0</v>
      </c>
      <c r="K184" s="418">
        <f>基础表!K197</f>
        <v>0</v>
      </c>
      <c r="L184" s="418">
        <f>基础表!L197</f>
        <v>0</v>
      </c>
      <c r="M184" s="418">
        <f>基础表!M197</f>
        <v>0</v>
      </c>
      <c r="N184" s="418">
        <f>基础表!N197</f>
        <v>0</v>
      </c>
      <c r="O184" s="419">
        <f ca="1">基础表!O197</f>
        <v>47.8014094240838</v>
      </c>
      <c r="P184" s="222"/>
    </row>
    <row r="185" spans="1:16">
      <c r="A185" s="115" t="str">
        <f>基础表!A198</f>
        <v>　　复合糖化酶</v>
      </c>
      <c r="B185" s="50" t="str">
        <f>基础表!B198</f>
        <v>元</v>
      </c>
      <c r="C185" s="418">
        <f>基础表!C198</f>
        <v>30.5088020304569</v>
      </c>
      <c r="D185" s="418">
        <f>基础表!D198</f>
        <v>30.9202567661347</v>
      </c>
      <c r="E185" s="418">
        <f>基础表!E198</f>
        <v>31.8437379002234</v>
      </c>
      <c r="F185" s="418">
        <f>基础表!F198</f>
        <v>32.5177034700316</v>
      </c>
      <c r="G185" s="418">
        <f>基础表!G198</f>
        <v>33.0390075566751</v>
      </c>
      <c r="H185" s="418">
        <f>基础表!H198</f>
        <v>33.1137455470739</v>
      </c>
      <c r="I185" s="418">
        <f>基础表!I198</f>
        <v>0</v>
      </c>
      <c r="J185" s="418">
        <f>基础表!J198</f>
        <v>0</v>
      </c>
      <c r="K185" s="418">
        <f>基础表!K198</f>
        <v>0</v>
      </c>
      <c r="L185" s="418">
        <f>基础表!L198</f>
        <v>0</v>
      </c>
      <c r="M185" s="418">
        <f>基础表!M198</f>
        <v>0</v>
      </c>
      <c r="N185" s="418">
        <f>基础表!N198</f>
        <v>0</v>
      </c>
      <c r="O185" s="419">
        <f ca="1">基础表!O198</f>
        <v>32.1974312123818</v>
      </c>
      <c r="P185" s="222"/>
    </row>
    <row r="186" spans="1:16">
      <c r="A186" s="115" t="str">
        <f>基础表!A199</f>
        <v>　　异构酶</v>
      </c>
      <c r="B186" s="50" t="str">
        <f>基础表!B199</f>
        <v>元</v>
      </c>
      <c r="C186" s="418">
        <f>基础表!C199</f>
        <v>216.589149855908</v>
      </c>
      <c r="D186" s="418">
        <f>基础表!D199</f>
        <v>214.750644783118</v>
      </c>
      <c r="E186" s="418">
        <f>基础表!E199</f>
        <v>222.213113207547</v>
      </c>
      <c r="F186" s="418">
        <f>基础表!F199</f>
        <v>218.134415983607</v>
      </c>
      <c r="G186" s="418">
        <f>基础表!G199</f>
        <v>219.491392190153</v>
      </c>
      <c r="H186" s="418">
        <f>基础表!H199</f>
        <v>219.414862637363</v>
      </c>
      <c r="I186" s="418">
        <f>基础表!I199</f>
        <v>0</v>
      </c>
      <c r="J186" s="418">
        <f>基础表!J199</f>
        <v>0</v>
      </c>
      <c r="K186" s="418">
        <f>基础表!K199</f>
        <v>0</v>
      </c>
      <c r="L186" s="418">
        <f>基础表!L199</f>
        <v>0</v>
      </c>
      <c r="M186" s="418">
        <f>基础表!M199</f>
        <v>0</v>
      </c>
      <c r="N186" s="418">
        <f>基础表!N199</f>
        <v>0</v>
      </c>
      <c r="O186" s="419">
        <f ca="1">基础表!O199</f>
        <v>218.577020031909</v>
      </c>
      <c r="P186" s="222"/>
    </row>
    <row r="187" spans="1:16">
      <c r="A187" s="115" t="str">
        <f>基础表!A200</f>
        <v>　　硫酸镁(食品级)</v>
      </c>
      <c r="B187" s="50" t="str">
        <f>基础表!B200</f>
        <v>元</v>
      </c>
      <c r="C187" s="418">
        <f>基础表!C200</f>
        <v>1.15109206349206</v>
      </c>
      <c r="D187" s="418">
        <f>基础表!D200</f>
        <v>1.01496484848485</v>
      </c>
      <c r="E187" s="418">
        <f>基础表!E200</f>
        <v>0.974775460122699</v>
      </c>
      <c r="F187" s="418">
        <f>基础表!F200</f>
        <v>0.972650943396226</v>
      </c>
      <c r="G187" s="418">
        <f>基础表!G200</f>
        <v>0.9272</v>
      </c>
      <c r="H187" s="418">
        <f>基础表!H200</f>
        <v>0.926486178861788</v>
      </c>
      <c r="I187" s="418">
        <f>基础表!I200</f>
        <v>0</v>
      </c>
      <c r="J187" s="418">
        <f>基础表!J200</f>
        <v>0</v>
      </c>
      <c r="K187" s="418">
        <f>基础表!K200</f>
        <v>0</v>
      </c>
      <c r="L187" s="418">
        <f>基础表!L200</f>
        <v>0</v>
      </c>
      <c r="M187" s="418">
        <f>基础表!M200</f>
        <v>0</v>
      </c>
      <c r="N187" s="418">
        <f>基础表!N200</f>
        <v>0</v>
      </c>
      <c r="O187" s="419">
        <f ca="1">基础表!O200</f>
        <v>0.979474345549738</v>
      </c>
      <c r="P187" s="222"/>
    </row>
    <row r="188" spans="1:16">
      <c r="A188" s="115" t="str">
        <f>基础表!A201</f>
        <v>　　焦亚硫酸钠</v>
      </c>
      <c r="B188" s="50" t="str">
        <f>基础表!B201</f>
        <v>元</v>
      </c>
      <c r="C188" s="418">
        <f>基础表!C201</f>
        <v>1.93289268292683</v>
      </c>
      <c r="D188" s="418">
        <f>基础表!D201</f>
        <v>1.86924912280702</v>
      </c>
      <c r="E188" s="418">
        <f>基础表!E201</f>
        <v>1.85775714285714</v>
      </c>
      <c r="F188" s="418">
        <f>基础表!F201</f>
        <v>1.8362716981132</v>
      </c>
      <c r="G188" s="418">
        <f>基础表!G201</f>
        <v>1.83390656934307</v>
      </c>
      <c r="H188" s="418">
        <f>基础表!H201</f>
        <v>1.83290731707317</v>
      </c>
      <c r="I188" s="418">
        <f>基础表!I201</f>
        <v>0</v>
      </c>
      <c r="J188" s="418">
        <f>基础表!J201</f>
        <v>0</v>
      </c>
      <c r="K188" s="418">
        <f>基础表!K201</f>
        <v>0</v>
      </c>
      <c r="L188" s="418">
        <f>基础表!L201</f>
        <v>0</v>
      </c>
      <c r="M188" s="418">
        <f>基础表!M201</f>
        <v>0</v>
      </c>
      <c r="N188" s="418">
        <f>基础表!N201</f>
        <v>0</v>
      </c>
      <c r="O188" s="419">
        <f ca="1">基础表!O201</f>
        <v>1.85608011869436</v>
      </c>
      <c r="P188" s="222"/>
    </row>
    <row r="189" spans="1:16">
      <c r="A189" s="420" t="str">
        <f>基础表!A202</f>
        <v>辅料单价(含税）</v>
      </c>
      <c r="O189" s="325"/>
    </row>
    <row r="190" spans="1:16">
      <c r="A190" s="229" t="str">
        <f>基础表!A203</f>
        <v>项     目</v>
      </c>
      <c r="B190" s="230" t="str">
        <f>基础表!B203</f>
        <v>单位</v>
      </c>
      <c r="C190" s="416" t="str">
        <f>基础表!C203</f>
        <v>1月</v>
      </c>
      <c r="D190" s="416" t="str">
        <f>基础表!D203</f>
        <v>2月</v>
      </c>
      <c r="E190" s="416" t="str">
        <f>基础表!E203</f>
        <v>3月</v>
      </c>
      <c r="F190" s="417" t="str">
        <f>基础表!F203</f>
        <v>4月</v>
      </c>
      <c r="G190" s="416" t="str">
        <f>基础表!G203</f>
        <v>5月</v>
      </c>
      <c r="H190" s="416" t="str">
        <f>基础表!H203</f>
        <v>6月</v>
      </c>
      <c r="I190" s="416" t="str">
        <f>基础表!I203</f>
        <v>7月</v>
      </c>
      <c r="J190" s="416" t="str">
        <f>基础表!J203</f>
        <v>8月</v>
      </c>
      <c r="K190" s="416" t="str">
        <f>基础表!K203</f>
        <v>9月</v>
      </c>
      <c r="L190" s="416" t="str">
        <f>基础表!L203</f>
        <v>10月</v>
      </c>
      <c r="M190" s="416" t="str">
        <f>基础表!M203</f>
        <v>11月</v>
      </c>
      <c r="N190" s="416" t="str">
        <f>基础表!N203</f>
        <v>12月</v>
      </c>
      <c r="O190" s="416" t="str">
        <f>基础表!O203</f>
        <v>1-8月累计</v>
      </c>
    </row>
    <row r="191" spans="1:16">
      <c r="A191" s="115" t="str">
        <f>基础表!A204</f>
        <v>　　盐酸(折百)</v>
      </c>
      <c r="B191" s="50" t="str">
        <f>基础表!B204</f>
        <v>元</v>
      </c>
      <c r="C191" s="421">
        <f>基础表!C204</f>
        <v>1.16738034294349</v>
      </c>
      <c r="D191" s="421">
        <f>基础表!D204</f>
        <v>1.15457100097112</v>
      </c>
      <c r="E191" s="421">
        <f>基础表!E204</f>
        <v>1.15469607407686</v>
      </c>
      <c r="F191" s="421">
        <f>基础表!F204</f>
        <v>1.16938442798213</v>
      </c>
      <c r="G191" s="421">
        <f>基础表!G204</f>
        <v>1.17741920410818</v>
      </c>
      <c r="H191" s="421">
        <f>基础表!H204</f>
        <v>1.17741889455478</v>
      </c>
      <c r="I191" s="421">
        <f>基础表!I204</f>
        <v>0</v>
      </c>
      <c r="J191" s="421">
        <f>基础表!J204</f>
        <v>0</v>
      </c>
      <c r="K191" s="421">
        <f>基础表!K204</f>
        <v>0</v>
      </c>
      <c r="L191" s="421">
        <f>基础表!L204</f>
        <v>0</v>
      </c>
      <c r="M191" s="421">
        <f>基础表!M204</f>
        <v>0</v>
      </c>
      <c r="N191" s="421">
        <f>基础表!N204</f>
        <v>0</v>
      </c>
      <c r="O191" s="419">
        <f ca="1">基础表!O204</f>
        <v>1.16800728160139</v>
      </c>
      <c r="P191" s="222"/>
    </row>
    <row r="192" spans="1:16">
      <c r="A192" s="115" t="str">
        <f>基础表!A205</f>
        <v>　　氢氧化钠(折百)</v>
      </c>
      <c r="B192" s="50" t="str">
        <f>基础表!B205</f>
        <v>元</v>
      </c>
      <c r="C192" s="421">
        <f>基础表!C205</f>
        <v>3.40560113412008</v>
      </c>
      <c r="D192" s="421">
        <f>基础表!D205</f>
        <v>3.5245217482955</v>
      </c>
      <c r="E192" s="421">
        <f>基础表!E205</f>
        <v>3.52358587006218</v>
      </c>
      <c r="F192" s="421">
        <f>基础表!F205</f>
        <v>3.60525199735362</v>
      </c>
      <c r="G192" s="421">
        <f>基础表!G205</f>
        <v>3.65581410564986</v>
      </c>
      <c r="H192" s="421">
        <f>基础表!H205</f>
        <v>3.65285630789284</v>
      </c>
      <c r="I192" s="421">
        <f>基础表!I205</f>
        <v>0</v>
      </c>
      <c r="J192" s="421">
        <f>基础表!J205</f>
        <v>0</v>
      </c>
      <c r="K192" s="421">
        <f>基础表!K205</f>
        <v>0</v>
      </c>
      <c r="L192" s="421">
        <f>基础表!L205</f>
        <v>0</v>
      </c>
      <c r="M192" s="421">
        <f>基础表!M205</f>
        <v>0</v>
      </c>
      <c r="N192" s="421">
        <f>基础表!N205</f>
        <v>0</v>
      </c>
      <c r="O192" s="419">
        <f ca="1">基础表!O205</f>
        <v>3.57679310644649</v>
      </c>
      <c r="P192" s="222"/>
    </row>
    <row r="193" spans="1:20">
      <c r="A193" s="115" t="str">
        <f>基础表!A206</f>
        <v>　　硅藻土</v>
      </c>
      <c r="B193" s="50" t="str">
        <f>基础表!B206</f>
        <v>元</v>
      </c>
      <c r="C193" s="421">
        <f>基础表!C206</f>
        <v>2.95482025925926</v>
      </c>
      <c r="D193" s="421">
        <f>基础表!D206</f>
        <v>2.94533788413098</v>
      </c>
      <c r="E193" s="421">
        <f>基础表!E206</f>
        <v>2.94265265217391</v>
      </c>
      <c r="F193" s="421">
        <f>基础表!F206</f>
        <v>2.940884325</v>
      </c>
      <c r="G193" s="421">
        <f>基础表!G206</f>
        <v>2.94076620558376</v>
      </c>
      <c r="H193" s="421">
        <f>基础表!H206</f>
        <v>2.94017456097561</v>
      </c>
      <c r="I193" s="421">
        <f>基础表!I206</f>
        <v>0</v>
      </c>
      <c r="J193" s="421">
        <f>基础表!J206</f>
        <v>0</v>
      </c>
      <c r="K193" s="421">
        <f>基础表!K206</f>
        <v>0</v>
      </c>
      <c r="L193" s="421">
        <f>基础表!L206</f>
        <v>0</v>
      </c>
      <c r="M193" s="421">
        <f>基础表!M206</f>
        <v>0</v>
      </c>
      <c r="N193" s="421">
        <f>基础表!N206</f>
        <v>0</v>
      </c>
      <c r="O193" s="419">
        <f ca="1">基础表!O206</f>
        <v>2.94350314079422</v>
      </c>
      <c r="P193" s="222"/>
    </row>
    <row r="194" spans="1:20">
      <c r="A194" s="115" t="str">
        <f>基础表!A207</f>
        <v>　　纯碱</v>
      </c>
      <c r="B194" s="50" t="str">
        <f>基础表!B207</f>
        <v>元</v>
      </c>
      <c r="C194" s="421">
        <f>基础表!C207</f>
        <v>0</v>
      </c>
      <c r="D194" s="421">
        <f>基础表!D207</f>
        <v>0</v>
      </c>
      <c r="E194" s="421">
        <f>基础表!E207</f>
        <v>0</v>
      </c>
      <c r="F194" s="421">
        <f>基础表!F207</f>
        <v>0</v>
      </c>
      <c r="G194" s="421">
        <f>基础表!G207</f>
        <v>0</v>
      </c>
      <c r="H194" s="421">
        <f>基础表!H207</f>
        <v>0</v>
      </c>
      <c r="I194" s="421">
        <f>基础表!I207</f>
        <v>0</v>
      </c>
      <c r="J194" s="421">
        <f>基础表!J207</f>
        <v>0</v>
      </c>
      <c r="K194" s="421">
        <f>基础表!K207</f>
        <v>0</v>
      </c>
      <c r="L194" s="421">
        <f>基础表!L207</f>
        <v>0</v>
      </c>
      <c r="M194" s="421">
        <f>基础表!M207</f>
        <v>0</v>
      </c>
      <c r="N194" s="421">
        <f>基础表!N207</f>
        <v>0</v>
      </c>
      <c r="O194" s="419">
        <f ca="1">基础表!O207</f>
        <v>0</v>
      </c>
      <c r="P194" s="222"/>
    </row>
    <row r="195" spans="1:20">
      <c r="A195" s="115" t="str">
        <f>基础表!A208</f>
        <v>　　活性炭</v>
      </c>
      <c r="B195" s="50" t="str">
        <f>基础表!B208</f>
        <v>元</v>
      </c>
      <c r="C195" s="421">
        <f>基础表!C208</f>
        <v>8.00033753768844</v>
      </c>
      <c r="D195" s="421">
        <f>基础表!D208</f>
        <v>8.00008533415839</v>
      </c>
      <c r="E195" s="421">
        <f>基础表!E208</f>
        <v>8.00002615833334</v>
      </c>
      <c r="F195" s="421">
        <f>基础表!F208</f>
        <v>8.00000335518473</v>
      </c>
      <c r="G195" s="421">
        <f>基础表!G208</f>
        <v>7.99999939799331</v>
      </c>
      <c r="H195" s="421">
        <f>基础表!H208</f>
        <v>8.00000094857141</v>
      </c>
      <c r="I195" s="421">
        <f>基础表!I208</f>
        <v>0</v>
      </c>
      <c r="J195" s="421">
        <f>基础表!J208</f>
        <v>0</v>
      </c>
      <c r="K195" s="421">
        <f>基础表!K208</f>
        <v>0</v>
      </c>
      <c r="L195" s="421">
        <f>基础表!L208</f>
        <v>0</v>
      </c>
      <c r="M195" s="421">
        <f>基础表!M208</f>
        <v>0</v>
      </c>
      <c r="N195" s="421">
        <f>基础表!N208</f>
        <v>0</v>
      </c>
      <c r="O195" s="419">
        <f ca="1">基础表!O208</f>
        <v>8.00006266464471</v>
      </c>
      <c r="P195" s="222"/>
    </row>
    <row r="196" spans="1:20">
      <c r="A196" s="115" t="str">
        <f>基础表!A209</f>
        <v>　　α耐高温淀粉酶</v>
      </c>
      <c r="B196" s="50" t="str">
        <f>基础表!B209</f>
        <v>元</v>
      </c>
      <c r="C196" s="421">
        <f>基础表!C209</f>
        <v>54.0467740213523</v>
      </c>
      <c r="D196" s="421">
        <f>基础表!D209</f>
        <v>54.0327015681544</v>
      </c>
      <c r="E196" s="421">
        <f>基础表!E209</f>
        <v>54.0177863102998</v>
      </c>
      <c r="F196" s="421">
        <f>基础表!F209</f>
        <v>54.006727843987</v>
      </c>
      <c r="G196" s="421">
        <f>基础表!G209</f>
        <v>54.0010309927361</v>
      </c>
      <c r="H196" s="421">
        <f>基础表!H209</f>
        <v>54.0004087557603</v>
      </c>
      <c r="I196" s="421">
        <f>基础表!I209</f>
        <v>0</v>
      </c>
      <c r="J196" s="421">
        <f>基础表!J209</f>
        <v>0</v>
      </c>
      <c r="K196" s="421">
        <f>基础表!K209</f>
        <v>0</v>
      </c>
      <c r="L196" s="421">
        <f>基础表!L209</f>
        <v>0</v>
      </c>
      <c r="M196" s="421">
        <f>基础表!M209</f>
        <v>0</v>
      </c>
      <c r="N196" s="421">
        <f>基础表!N209</f>
        <v>0</v>
      </c>
      <c r="O196" s="419">
        <f ca="1">基础表!O209</f>
        <v>54.0155926492147</v>
      </c>
      <c r="P196" s="222"/>
    </row>
    <row r="197" spans="1:20">
      <c r="A197" s="115" t="str">
        <f>基础表!A210</f>
        <v>　　复合糖化酶</v>
      </c>
      <c r="B197" s="50" t="str">
        <f>基础表!B210</f>
        <v>元</v>
      </c>
      <c r="C197" s="421">
        <f>基础表!C210</f>
        <v>34.4749462944162</v>
      </c>
      <c r="D197" s="421">
        <f>基础表!D210</f>
        <v>34.9398901457322</v>
      </c>
      <c r="E197" s="421">
        <f>基础表!E210</f>
        <v>35.9834238272524</v>
      </c>
      <c r="F197" s="421">
        <f>基础表!F210</f>
        <v>36.7450049211357</v>
      </c>
      <c r="G197" s="421">
        <f>基础表!G210</f>
        <v>37.3340785390429</v>
      </c>
      <c r="H197" s="421">
        <f>基础表!H210</f>
        <v>37.4185324681935</v>
      </c>
      <c r="I197" s="421">
        <f>基础表!I210</f>
        <v>0</v>
      </c>
      <c r="J197" s="421">
        <f>基础表!J210</f>
        <v>0</v>
      </c>
      <c r="K197" s="421">
        <f>基础表!K210</f>
        <v>0</v>
      </c>
      <c r="L197" s="421">
        <f>基础表!L210</f>
        <v>0</v>
      </c>
      <c r="M197" s="421">
        <f>基础表!M210</f>
        <v>0</v>
      </c>
      <c r="N197" s="421">
        <f>基础表!N210</f>
        <v>0</v>
      </c>
      <c r="O197" s="419">
        <f ca="1">基础表!O210</f>
        <v>36.3830972699914</v>
      </c>
      <c r="P197" s="222"/>
    </row>
    <row r="198" spans="1:20">
      <c r="A198" s="115" t="str">
        <f>基础表!A211</f>
        <v>　　异构酶</v>
      </c>
      <c r="B198" s="50" t="str">
        <f>基础表!B211</f>
        <v>元</v>
      </c>
      <c r="C198" s="421">
        <f>基础表!C211</f>
        <v>244.745739337176</v>
      </c>
      <c r="D198" s="421">
        <f>基础表!D211</f>
        <v>242.668228604923</v>
      </c>
      <c r="E198" s="421">
        <f>基础表!E211</f>
        <v>251.100817924528</v>
      </c>
      <c r="F198" s="421">
        <f>基础表!F211</f>
        <v>246.491890061476</v>
      </c>
      <c r="G198" s="421">
        <f>基础表!G211</f>
        <v>248.025273174873</v>
      </c>
      <c r="H198" s="421">
        <f>基础表!H211</f>
        <v>247.93879478022</v>
      </c>
      <c r="I198" s="421">
        <f>基础表!I211</f>
        <v>0</v>
      </c>
      <c r="J198" s="421">
        <f>基础表!J211</f>
        <v>0</v>
      </c>
      <c r="K198" s="421">
        <f>基础表!K211</f>
        <v>0</v>
      </c>
      <c r="L198" s="421">
        <f>基础表!L211</f>
        <v>0</v>
      </c>
      <c r="M198" s="421">
        <f>基础表!M211</f>
        <v>0</v>
      </c>
      <c r="N198" s="421">
        <f>基础表!N211</f>
        <v>0</v>
      </c>
      <c r="O198" s="419">
        <f ca="1">基础表!O211</f>
        <v>246.992032636057</v>
      </c>
      <c r="P198" s="222"/>
    </row>
    <row r="199" spans="1:20">
      <c r="A199" s="115" t="str">
        <f>基础表!A212</f>
        <v>　　硫酸镁(食品级)</v>
      </c>
      <c r="B199" s="50" t="str">
        <f>基础表!B212</f>
        <v>元</v>
      </c>
      <c r="C199" s="421">
        <f>基础表!C212</f>
        <v>1.30073403174603</v>
      </c>
      <c r="D199" s="421">
        <f>基础表!D212</f>
        <v>1.14691027878788</v>
      </c>
      <c r="E199" s="421">
        <f>基础表!E212</f>
        <v>1.10149626993865</v>
      </c>
      <c r="F199" s="421">
        <f>基础表!F212</f>
        <v>1.09909556603774</v>
      </c>
      <c r="G199" s="421">
        <f>基础表!G212</f>
        <v>1.047736</v>
      </c>
      <c r="H199" s="421">
        <f>基础表!H212</f>
        <v>1.04692938211382</v>
      </c>
      <c r="I199" s="421">
        <f>基础表!I212</f>
        <v>0</v>
      </c>
      <c r="J199" s="421">
        <f>基础表!J212</f>
        <v>0</v>
      </c>
      <c r="K199" s="421">
        <f>基础表!K212</f>
        <v>0</v>
      </c>
      <c r="L199" s="421">
        <f>基础表!L212</f>
        <v>0</v>
      </c>
      <c r="M199" s="421">
        <f>基础表!M212</f>
        <v>0</v>
      </c>
      <c r="N199" s="421">
        <f>基础表!N212</f>
        <v>0</v>
      </c>
      <c r="O199" s="419">
        <f ca="1">基础表!O212</f>
        <v>1.1068060104712</v>
      </c>
      <c r="P199" s="222"/>
    </row>
    <row r="200" spans="1:20">
      <c r="A200" s="115" t="str">
        <f>基础表!A213</f>
        <v>　　焦亚硫酸钠</v>
      </c>
      <c r="B200" s="50" t="str">
        <f>基础表!B213</f>
        <v>元</v>
      </c>
      <c r="C200" s="421">
        <f>基础表!C213</f>
        <v>2.18416873170732</v>
      </c>
      <c r="D200" s="421">
        <f>基础表!D213</f>
        <v>2.11225150877193</v>
      </c>
      <c r="E200" s="421">
        <f>基础表!E213</f>
        <v>2.09926557142857</v>
      </c>
      <c r="F200" s="421">
        <f>基础表!F213</f>
        <v>2.07498701886792</v>
      </c>
      <c r="G200" s="421">
        <f>基础表!G213</f>
        <v>2.07231442335767</v>
      </c>
      <c r="H200" s="421">
        <f>基础表!H213</f>
        <v>2.07118526829268</v>
      </c>
      <c r="I200" s="421">
        <f>基础表!I213</f>
        <v>0</v>
      </c>
      <c r="J200" s="421">
        <f>基础表!J213</f>
        <v>0</v>
      </c>
      <c r="K200" s="421">
        <f>基础表!K213</f>
        <v>0</v>
      </c>
      <c r="L200" s="421">
        <f>基础表!L213</f>
        <v>0</v>
      </c>
      <c r="M200" s="421">
        <f>基础表!M213</f>
        <v>0</v>
      </c>
      <c r="N200" s="421">
        <f>基础表!N213</f>
        <v>0</v>
      </c>
      <c r="O200" s="419">
        <f ca="1">基础表!O213</f>
        <v>2.09737053412463</v>
      </c>
      <c r="P200" s="222"/>
    </row>
    <row r="201" spans="1:20">
      <c r="A201" s="38"/>
      <c r="B201" s="95"/>
      <c r="C201" s="325"/>
      <c r="D201" s="325"/>
      <c r="E201" s="325"/>
      <c r="F201" s="422"/>
      <c r="G201" s="325"/>
      <c r="H201" s="325"/>
      <c r="I201" s="325"/>
      <c r="J201" s="325"/>
      <c r="K201" s="325"/>
      <c r="L201" s="325"/>
      <c r="M201" s="325"/>
      <c r="N201" s="325"/>
      <c r="O201" s="325"/>
      <c r="Q201" s="38"/>
      <c r="R201" s="71"/>
    </row>
    <row r="202" spans="1:20">
      <c r="A202" s="46" t="s">
        <v>266</v>
      </c>
      <c r="B202" s="137" t="str">
        <f>基础表!B334</f>
        <v>元</v>
      </c>
      <c r="C202" s="325"/>
      <c r="D202" s="325"/>
      <c r="E202" s="325"/>
      <c r="F202" s="423"/>
      <c r="G202" s="325"/>
      <c r="H202" s="325"/>
      <c r="I202" s="325"/>
      <c r="J202" s="325"/>
      <c r="K202" s="325"/>
      <c r="L202" s="325"/>
      <c r="M202" s="325"/>
      <c r="N202" s="325"/>
      <c r="O202" s="424"/>
      <c r="Q202" s="38"/>
      <c r="R202" s="71"/>
      <c r="S202" s="38"/>
    </row>
    <row r="203" spans="1:20">
      <c r="A203" s="115" t="str">
        <f>基础表!A226</f>
        <v>    树脂</v>
      </c>
      <c r="B203" s="50" t="str">
        <f>基础表!B226</f>
        <v>元</v>
      </c>
      <c r="C203" s="125">
        <f>基础表!C226</f>
        <v>0</v>
      </c>
      <c r="D203" s="125">
        <f>基础表!D226</f>
        <v>0</v>
      </c>
      <c r="E203" s="125">
        <f>基础表!E226</f>
        <v>0</v>
      </c>
      <c r="F203" s="125">
        <f>基础表!F226</f>
        <v>0</v>
      </c>
      <c r="G203" s="125">
        <f>基础表!G226</f>
        <v>0</v>
      </c>
      <c r="H203" s="125">
        <f>基础表!H226</f>
        <v>0</v>
      </c>
      <c r="I203" s="125">
        <f>基础表!I226</f>
        <v>0</v>
      </c>
      <c r="J203" s="125">
        <f>基础表!J226</f>
        <v>0</v>
      </c>
      <c r="K203" s="125">
        <f>基础表!K226</f>
        <v>0</v>
      </c>
      <c r="L203" s="125">
        <f>基础表!L226</f>
        <v>0</v>
      </c>
      <c r="M203" s="125">
        <f>基础表!M226</f>
        <v>0</v>
      </c>
      <c r="N203" s="125">
        <f>基础表!N226</f>
        <v>0</v>
      </c>
      <c r="O203" s="51">
        <f ca="1">SUM(OFFSET($C203,0,0,1,mth))</f>
        <v>0</v>
      </c>
      <c r="Q203" s="38"/>
      <c r="R203" s="71"/>
      <c r="S203" s="38"/>
      <c r="T203" s="38"/>
    </row>
    <row r="204" spans="1:20">
      <c r="A204" s="229" t="s">
        <v>267</v>
      </c>
      <c r="B204" s="50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Q204" s="38"/>
      <c r="R204" s="71"/>
      <c r="S204" s="38"/>
      <c r="T204" s="38"/>
    </row>
    <row r="205" s="38" customFormat="1" ht="12.75" spans="1:20">
      <c r="A205" s="115" t="s">
        <v>252</v>
      </c>
      <c r="B205" s="50"/>
      <c r="C205" s="51">
        <f t="shared" ref="C205:N205" si="26">C$203*C11</f>
        <v>0</v>
      </c>
      <c r="D205" s="51">
        <f t="shared" si="26"/>
        <v>0</v>
      </c>
      <c r="E205" s="51">
        <f t="shared" si="26"/>
        <v>0</v>
      </c>
      <c r="F205" s="51">
        <f t="shared" si="26"/>
        <v>0</v>
      </c>
      <c r="G205" s="51">
        <f t="shared" si="26"/>
        <v>0</v>
      </c>
      <c r="H205" s="51">
        <f t="shared" si="26"/>
        <v>0</v>
      </c>
      <c r="I205" s="51">
        <f t="shared" si="26"/>
        <v>0</v>
      </c>
      <c r="J205" s="51" t="e">
        <f t="shared" si="26"/>
        <v>#DIV/0!</v>
      </c>
      <c r="K205" s="51" t="e">
        <f t="shared" si="26"/>
        <v>#DIV/0!</v>
      </c>
      <c r="L205" s="51" t="e">
        <f t="shared" si="26"/>
        <v>#DIV/0!</v>
      </c>
      <c r="M205" s="51" t="e">
        <f t="shared" si="26"/>
        <v>#DIV/0!</v>
      </c>
      <c r="N205" s="51" t="e">
        <f t="shared" si="26"/>
        <v>#DIV/0!</v>
      </c>
      <c r="O205" s="51" t="e">
        <f ca="1">SUM(OFFSET($C205,0,0,1,mth))</f>
        <v>#DIV/0!</v>
      </c>
      <c r="P205" s="425"/>
      <c r="R205" s="71"/>
    </row>
    <row r="206" s="38" customFormat="1" ht="12.75" spans="1:20">
      <c r="A206" s="115" t="s">
        <v>253</v>
      </c>
      <c r="B206" s="50"/>
      <c r="C206" s="51">
        <f t="shared" ref="C206:N206" si="27">C$203*C12</f>
        <v>0</v>
      </c>
      <c r="D206" s="51">
        <f t="shared" si="27"/>
        <v>0</v>
      </c>
      <c r="E206" s="51">
        <f t="shared" si="27"/>
        <v>0</v>
      </c>
      <c r="F206" s="51">
        <f t="shared" si="27"/>
        <v>0</v>
      </c>
      <c r="G206" s="51">
        <f t="shared" si="27"/>
        <v>0</v>
      </c>
      <c r="H206" s="51">
        <f t="shared" si="27"/>
        <v>0</v>
      </c>
      <c r="I206" s="51">
        <f t="shared" si="27"/>
        <v>0</v>
      </c>
      <c r="J206" s="51" t="e">
        <f t="shared" si="27"/>
        <v>#DIV/0!</v>
      </c>
      <c r="K206" s="51" t="e">
        <f t="shared" si="27"/>
        <v>#DIV/0!</v>
      </c>
      <c r="L206" s="51" t="e">
        <f t="shared" si="27"/>
        <v>#DIV/0!</v>
      </c>
      <c r="M206" s="51" t="e">
        <f t="shared" si="27"/>
        <v>#DIV/0!</v>
      </c>
      <c r="N206" s="51" t="e">
        <f t="shared" si="27"/>
        <v>#DIV/0!</v>
      </c>
      <c r="O206" s="51" t="e">
        <f ca="1">SUM(OFFSET($C206,0,0,1,mth))</f>
        <v>#DIV/0!</v>
      </c>
      <c r="P206" s="425"/>
    </row>
    <row r="207" s="38" customFormat="1" ht="12.75" spans="1:20">
      <c r="A207" s="115" t="s">
        <v>268</v>
      </c>
      <c r="B207" s="50"/>
      <c r="C207" s="51">
        <f t="shared" ref="C207:N207" si="28">C$203*C13</f>
        <v>0</v>
      </c>
      <c r="D207" s="51">
        <f t="shared" si="28"/>
        <v>0</v>
      </c>
      <c r="E207" s="51">
        <f t="shared" si="28"/>
        <v>0</v>
      </c>
      <c r="F207" s="51">
        <f t="shared" si="28"/>
        <v>0</v>
      </c>
      <c r="G207" s="51">
        <f t="shared" si="28"/>
        <v>0</v>
      </c>
      <c r="H207" s="51">
        <f t="shared" si="28"/>
        <v>0</v>
      </c>
      <c r="I207" s="51">
        <f t="shared" si="28"/>
        <v>0</v>
      </c>
      <c r="J207" s="51" t="e">
        <f t="shared" si="28"/>
        <v>#DIV/0!</v>
      </c>
      <c r="K207" s="51" t="e">
        <f t="shared" si="28"/>
        <v>#DIV/0!</v>
      </c>
      <c r="L207" s="51" t="e">
        <f t="shared" si="28"/>
        <v>#DIV/0!</v>
      </c>
      <c r="M207" s="51" t="e">
        <f t="shared" si="28"/>
        <v>#DIV/0!</v>
      </c>
      <c r="N207" s="51" t="e">
        <f t="shared" si="28"/>
        <v>#DIV/0!</v>
      </c>
      <c r="O207" s="51" t="e">
        <f ca="1">SUM(OFFSET($C207,0,0,1,mth))</f>
        <v>#DIV/0!</v>
      </c>
      <c r="P207" s="425"/>
    </row>
    <row r="208" s="38" customFormat="1" ht="15" customHeight="1" spans="1:20">
      <c r="A208" s="115" t="s">
        <v>255</v>
      </c>
      <c r="B208" s="50"/>
      <c r="C208" s="51">
        <f t="shared" ref="C208:N208" si="29">C$203*C14</f>
        <v>0</v>
      </c>
      <c r="D208" s="51">
        <f t="shared" si="29"/>
        <v>0</v>
      </c>
      <c r="E208" s="51">
        <f t="shared" si="29"/>
        <v>0</v>
      </c>
      <c r="F208" s="51">
        <f t="shared" si="29"/>
        <v>0</v>
      </c>
      <c r="G208" s="51">
        <f t="shared" si="29"/>
        <v>0</v>
      </c>
      <c r="H208" s="51">
        <f t="shared" si="29"/>
        <v>0</v>
      </c>
      <c r="I208" s="51">
        <f t="shared" si="29"/>
        <v>0</v>
      </c>
      <c r="J208" s="51" t="e">
        <f t="shared" si="29"/>
        <v>#DIV/0!</v>
      </c>
      <c r="K208" s="51" t="e">
        <f t="shared" si="29"/>
        <v>#DIV/0!</v>
      </c>
      <c r="L208" s="51" t="e">
        <f t="shared" si="29"/>
        <v>#DIV/0!</v>
      </c>
      <c r="M208" s="51" t="e">
        <f t="shared" si="29"/>
        <v>#DIV/0!</v>
      </c>
      <c r="N208" s="51" t="e">
        <f t="shared" si="29"/>
        <v>#DIV/0!</v>
      </c>
      <c r="O208" s="51" t="e">
        <f ca="1">SUM(OFFSET($C208,0,0,1,mth))</f>
        <v>#DIV/0!</v>
      </c>
      <c r="P208" s="425"/>
    </row>
    <row r="209" s="38" customFormat="1" ht="15" customHeight="1" spans="1:20">
      <c r="A209" s="115" t="s">
        <v>256</v>
      </c>
      <c r="B209" s="60"/>
      <c r="C209" s="51">
        <f t="shared" ref="C209:N209" si="30">C$203*C15</f>
        <v>0</v>
      </c>
      <c r="D209" s="51">
        <f t="shared" si="30"/>
        <v>0</v>
      </c>
      <c r="E209" s="51">
        <f t="shared" si="30"/>
        <v>0</v>
      </c>
      <c r="F209" s="51">
        <f t="shared" si="30"/>
        <v>0</v>
      </c>
      <c r="G209" s="51">
        <f t="shared" si="30"/>
        <v>0</v>
      </c>
      <c r="H209" s="51">
        <f t="shared" si="30"/>
        <v>0</v>
      </c>
      <c r="I209" s="51">
        <f t="shared" si="30"/>
        <v>0</v>
      </c>
      <c r="J209" s="51" t="e">
        <f t="shared" si="30"/>
        <v>#DIV/0!</v>
      </c>
      <c r="K209" s="51" t="e">
        <f t="shared" si="30"/>
        <v>#DIV/0!</v>
      </c>
      <c r="L209" s="51" t="e">
        <f t="shared" si="30"/>
        <v>#DIV/0!</v>
      </c>
      <c r="M209" s="51" t="e">
        <f t="shared" si="30"/>
        <v>#DIV/0!</v>
      </c>
      <c r="N209" s="51" t="e">
        <f t="shared" si="30"/>
        <v>#DIV/0!</v>
      </c>
      <c r="O209" s="51" t="e">
        <f ca="1">SUM(OFFSET($C209,0,0,1,mth))</f>
        <v>#DIV/0!</v>
      </c>
      <c r="P209" s="425"/>
      <c r="Q209"/>
      <c r="R209"/>
      <c r="S209"/>
    </row>
    <row r="210" s="38" customFormat="1" ht="15" customHeight="1" spans="1:20">
      <c r="A210" s="115" t="s">
        <v>257</v>
      </c>
      <c r="B210" s="60"/>
      <c r="C210" s="51">
        <f t="shared" ref="C210:N210" si="31">C$203*C16</f>
        <v>0</v>
      </c>
      <c r="D210" s="51">
        <f t="shared" si="31"/>
        <v>0</v>
      </c>
      <c r="E210" s="51">
        <f t="shared" si="31"/>
        <v>0</v>
      </c>
      <c r="F210" s="51">
        <f t="shared" si="31"/>
        <v>0</v>
      </c>
      <c r="G210" s="51">
        <f t="shared" si="31"/>
        <v>0</v>
      </c>
      <c r="H210" s="51">
        <f t="shared" si="31"/>
        <v>0</v>
      </c>
      <c r="I210" s="51">
        <f t="shared" si="31"/>
        <v>0</v>
      </c>
      <c r="J210" s="51" t="e">
        <f t="shared" si="31"/>
        <v>#DIV/0!</v>
      </c>
      <c r="K210" s="51" t="e">
        <f t="shared" si="31"/>
        <v>#DIV/0!</v>
      </c>
      <c r="L210" s="51" t="e">
        <f t="shared" si="31"/>
        <v>#DIV/0!</v>
      </c>
      <c r="M210" s="51" t="e">
        <f t="shared" si="31"/>
        <v>#DIV/0!</v>
      </c>
      <c r="N210" s="51" t="e">
        <f t="shared" si="31"/>
        <v>#DIV/0!</v>
      </c>
      <c r="O210" s="51" t="e">
        <f ca="1">SUM(OFFSET($C210,0,0,1,mth))</f>
        <v>#DIV/0!</v>
      </c>
      <c r="P210" s="425"/>
      <c r="Q210"/>
      <c r="R210"/>
      <c r="S210"/>
    </row>
    <row r="211" s="38" customFormat="1" ht="15" customHeight="1" spans="1:20">
      <c r="A211" s="57" t="s">
        <v>232</v>
      </c>
      <c r="B211" s="50"/>
      <c r="C211" s="51">
        <f>SUM(C205:C210)</f>
        <v>0</v>
      </c>
      <c r="D211" s="51">
        <f t="shared" ref="D211:O211" si="32">SUM(D205:D210)</f>
        <v>0</v>
      </c>
      <c r="E211" s="51">
        <f t="shared" si="32"/>
        <v>0</v>
      </c>
      <c r="F211" s="51">
        <f t="shared" si="32"/>
        <v>0</v>
      </c>
      <c r="G211" s="51">
        <f t="shared" si="32"/>
        <v>0</v>
      </c>
      <c r="H211" s="51">
        <f t="shared" si="32"/>
        <v>0</v>
      </c>
      <c r="I211" s="51">
        <f t="shared" si="32"/>
        <v>0</v>
      </c>
      <c r="J211" s="51" t="e">
        <f t="shared" si="32"/>
        <v>#DIV/0!</v>
      </c>
      <c r="K211" s="51" t="e">
        <f t="shared" si="32"/>
        <v>#DIV/0!</v>
      </c>
      <c r="L211" s="51" t="e">
        <f t="shared" si="32"/>
        <v>#DIV/0!</v>
      </c>
      <c r="M211" s="51" t="e">
        <f t="shared" si="32"/>
        <v>#DIV/0!</v>
      </c>
      <c r="N211" s="51" t="e">
        <f t="shared" si="32"/>
        <v>#DIV/0!</v>
      </c>
      <c r="O211" s="51" t="e">
        <f ca="1">SUM(OFFSET($C211,0,0,1,mth))</f>
        <v>#DIV/0!</v>
      </c>
      <c r="P211" s="425"/>
      <c r="Q211"/>
      <c r="R211"/>
      <c r="S211"/>
      <c r="T211"/>
    </row>
    <row r="212" s="38" customFormat="1" ht="15" customHeight="1" spans="1:20">
      <c r="A212" s="104"/>
      <c r="B212" s="277"/>
      <c r="C212" s="424"/>
      <c r="D212" s="424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382"/>
      <c r="R212" s="71"/>
      <c r="S212"/>
      <c r="T212"/>
    </row>
    <row r="213" spans="1:20">
      <c r="A213" s="46" t="s">
        <v>269</v>
      </c>
      <c r="B213" s="137">
        <f>基础表!B343</f>
        <v>0</v>
      </c>
      <c r="C213" s="325"/>
      <c r="D213" s="325"/>
      <c r="E213" s="325"/>
      <c r="F213" s="423"/>
      <c r="G213" s="325"/>
      <c r="H213" s="325"/>
      <c r="I213" s="325"/>
      <c r="J213" s="325"/>
      <c r="K213" s="325"/>
      <c r="L213" s="325"/>
      <c r="M213" s="325"/>
      <c r="N213" s="325"/>
      <c r="O213" s="424"/>
      <c r="Q213" s="38"/>
      <c r="R213" s="71"/>
      <c r="S213" s="38"/>
    </row>
    <row r="214" spans="1:20">
      <c r="A214" s="115" t="s">
        <v>270</v>
      </c>
      <c r="B214" s="50">
        <f>基础表!B320</f>
        <v>0</v>
      </c>
      <c r="C214" s="125">
        <f>基础表!C227</f>
        <v>0</v>
      </c>
      <c r="D214" s="125">
        <f>基础表!D227</f>
        <v>86.07</v>
      </c>
      <c r="E214" s="125">
        <f>基础表!E227</f>
        <v>0</v>
      </c>
      <c r="F214" s="125">
        <f>基础表!F227</f>
        <v>0</v>
      </c>
      <c r="G214" s="125">
        <f>基础表!G227</f>
        <v>0</v>
      </c>
      <c r="H214" s="125">
        <f>基础表!H227</f>
        <v>0</v>
      </c>
      <c r="I214" s="125">
        <f>基础表!I227</f>
        <v>0</v>
      </c>
      <c r="J214" s="125">
        <f>基础表!J227</f>
        <v>0</v>
      </c>
      <c r="K214" s="125">
        <f>基础表!K227</f>
        <v>0</v>
      </c>
      <c r="L214" s="125">
        <f>基础表!L227</f>
        <v>0</v>
      </c>
      <c r="M214" s="125">
        <f>基础表!M227</f>
        <v>0</v>
      </c>
      <c r="N214" s="125">
        <f>基础表!N227</f>
        <v>0</v>
      </c>
      <c r="O214" s="51">
        <f ca="1">SUM(OFFSET($C214,0,0,1,mth))</f>
        <v>86.07</v>
      </c>
      <c r="Q214" s="38"/>
      <c r="R214" s="71"/>
      <c r="S214" s="38"/>
      <c r="T214" s="38"/>
    </row>
    <row r="215" spans="1:20">
      <c r="A215" s="229" t="s">
        <v>267</v>
      </c>
      <c r="B215" s="50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Q215" s="38"/>
      <c r="R215" s="71"/>
      <c r="S215" s="38"/>
      <c r="T215" s="38"/>
    </row>
    <row r="216" s="38" customFormat="1" ht="12.75" spans="1:20">
      <c r="A216" s="115" t="s">
        <v>252</v>
      </c>
      <c r="B216" s="50"/>
      <c r="C216" s="51">
        <f t="shared" ref="C216:N216" si="33">C$214*C11</f>
        <v>0</v>
      </c>
      <c r="D216" s="51">
        <f t="shared" si="33"/>
        <v>74.5310616973251</v>
      </c>
      <c r="E216" s="51">
        <f t="shared" si="33"/>
        <v>0</v>
      </c>
      <c r="F216" s="51">
        <f>IF(F214=0,0,F$214*F11)</f>
        <v>0</v>
      </c>
      <c r="G216" s="51">
        <f t="shared" si="33"/>
        <v>0</v>
      </c>
      <c r="H216" s="51">
        <f t="shared" si="33"/>
        <v>0</v>
      </c>
      <c r="I216" s="51">
        <f t="shared" si="33"/>
        <v>0</v>
      </c>
      <c r="J216" s="51" t="e">
        <f t="shared" si="33"/>
        <v>#DIV/0!</v>
      </c>
      <c r="K216" s="51" t="e">
        <f t="shared" si="33"/>
        <v>#DIV/0!</v>
      </c>
      <c r="L216" s="51" t="e">
        <f t="shared" si="33"/>
        <v>#DIV/0!</v>
      </c>
      <c r="M216" s="51" t="e">
        <f t="shared" si="33"/>
        <v>#DIV/0!</v>
      </c>
      <c r="N216" s="51" t="e">
        <f t="shared" si="33"/>
        <v>#DIV/0!</v>
      </c>
      <c r="O216" s="51" t="e">
        <f ca="1">SUM(OFFSET($C216,0,0,1,mth))</f>
        <v>#DIV/0!</v>
      </c>
      <c r="P216" s="378"/>
      <c r="R216" s="71"/>
    </row>
    <row r="217" s="38" customFormat="1" ht="12.75" spans="1:20">
      <c r="A217" s="115" t="s">
        <v>253</v>
      </c>
      <c r="B217" s="50"/>
      <c r="C217" s="51">
        <f t="shared" ref="C217:N217" si="34">C$214*C12</f>
        <v>0</v>
      </c>
      <c r="D217" s="51">
        <f t="shared" si="34"/>
        <v>0</v>
      </c>
      <c r="E217" s="51">
        <f t="shared" si="34"/>
        <v>0</v>
      </c>
      <c r="F217" s="51">
        <f t="shared" si="34"/>
        <v>0</v>
      </c>
      <c r="G217" s="51">
        <f t="shared" si="34"/>
        <v>0</v>
      </c>
      <c r="H217" s="51">
        <f t="shared" si="34"/>
        <v>0</v>
      </c>
      <c r="I217" s="51">
        <f t="shared" si="34"/>
        <v>0</v>
      </c>
      <c r="J217" s="51" t="e">
        <f t="shared" si="34"/>
        <v>#DIV/0!</v>
      </c>
      <c r="K217" s="51" t="e">
        <f t="shared" si="34"/>
        <v>#DIV/0!</v>
      </c>
      <c r="L217" s="51" t="e">
        <f t="shared" si="34"/>
        <v>#DIV/0!</v>
      </c>
      <c r="M217" s="51" t="e">
        <f t="shared" si="34"/>
        <v>#DIV/0!</v>
      </c>
      <c r="N217" s="51" t="e">
        <f t="shared" si="34"/>
        <v>#DIV/0!</v>
      </c>
      <c r="O217" s="51" t="e">
        <f ca="1">SUM(OFFSET($C217,0,0,1,mth))</f>
        <v>#DIV/0!</v>
      </c>
      <c r="P217" s="382"/>
    </row>
    <row r="218" s="38" customFormat="1" ht="12.75" spans="1:20">
      <c r="A218" s="115" t="s">
        <v>268</v>
      </c>
      <c r="B218" s="50"/>
      <c r="C218" s="51">
        <f t="shared" ref="C218:N218" si="35">C$214*C13</f>
        <v>0</v>
      </c>
      <c r="D218" s="51">
        <f t="shared" si="35"/>
        <v>0</v>
      </c>
      <c r="E218" s="51">
        <f t="shared" si="35"/>
        <v>0</v>
      </c>
      <c r="F218" s="51">
        <f t="shared" si="35"/>
        <v>0</v>
      </c>
      <c r="G218" s="51">
        <f t="shared" si="35"/>
        <v>0</v>
      </c>
      <c r="H218" s="51">
        <f t="shared" si="35"/>
        <v>0</v>
      </c>
      <c r="I218" s="51">
        <f t="shared" si="35"/>
        <v>0</v>
      </c>
      <c r="J218" s="51" t="e">
        <f t="shared" si="35"/>
        <v>#DIV/0!</v>
      </c>
      <c r="K218" s="51" t="e">
        <f t="shared" si="35"/>
        <v>#DIV/0!</v>
      </c>
      <c r="L218" s="51" t="e">
        <f t="shared" si="35"/>
        <v>#DIV/0!</v>
      </c>
      <c r="M218" s="51" t="e">
        <f t="shared" si="35"/>
        <v>#DIV/0!</v>
      </c>
      <c r="N218" s="51" t="e">
        <f t="shared" si="35"/>
        <v>#DIV/0!</v>
      </c>
      <c r="O218" s="51" t="e">
        <f ca="1">SUM(OFFSET($C218,0,0,1,mth))</f>
        <v>#DIV/0!</v>
      </c>
      <c r="P218" s="382"/>
    </row>
    <row r="219" s="38" customFormat="1" ht="15" customHeight="1" spans="1:20">
      <c r="A219" s="115" t="s">
        <v>255</v>
      </c>
      <c r="B219" s="50"/>
      <c r="C219" s="51">
        <f t="shared" ref="C219:N219" si="36">C$214*C14</f>
        <v>0</v>
      </c>
      <c r="D219" s="51">
        <f t="shared" si="36"/>
        <v>3.42846950209039</v>
      </c>
      <c r="E219" s="51">
        <f t="shared" si="36"/>
        <v>0</v>
      </c>
      <c r="F219" s="51">
        <f t="shared" si="36"/>
        <v>0</v>
      </c>
      <c r="G219" s="51">
        <f t="shared" si="36"/>
        <v>0</v>
      </c>
      <c r="H219" s="51">
        <f t="shared" si="36"/>
        <v>0</v>
      </c>
      <c r="I219" s="51">
        <f t="shared" si="36"/>
        <v>0</v>
      </c>
      <c r="J219" s="51" t="e">
        <f t="shared" si="36"/>
        <v>#DIV/0!</v>
      </c>
      <c r="K219" s="51" t="e">
        <f t="shared" si="36"/>
        <v>#DIV/0!</v>
      </c>
      <c r="L219" s="51" t="e">
        <f t="shared" si="36"/>
        <v>#DIV/0!</v>
      </c>
      <c r="M219" s="51" t="e">
        <f t="shared" si="36"/>
        <v>#DIV/0!</v>
      </c>
      <c r="N219" s="51" t="e">
        <f t="shared" si="36"/>
        <v>#DIV/0!</v>
      </c>
      <c r="O219" s="51" t="e">
        <f ca="1">SUM(OFFSET($C219,0,0,1,mth))</f>
        <v>#DIV/0!</v>
      </c>
      <c r="P219" s="382"/>
    </row>
    <row r="220" s="38" customFormat="1" ht="15" customHeight="1" spans="1:20">
      <c r="A220" s="115" t="s">
        <v>256</v>
      </c>
      <c r="B220" s="60"/>
      <c r="C220" s="51">
        <f t="shared" ref="C220:N220" si="37">C$214*C15</f>
        <v>0</v>
      </c>
      <c r="D220" s="51">
        <f t="shared" si="37"/>
        <v>7.77509700040938</v>
      </c>
      <c r="E220" s="51">
        <f t="shared" si="37"/>
        <v>0</v>
      </c>
      <c r="F220" s="51">
        <f t="shared" si="37"/>
        <v>0</v>
      </c>
      <c r="G220" s="51">
        <f t="shared" si="37"/>
        <v>0</v>
      </c>
      <c r="H220" s="51">
        <f t="shared" si="37"/>
        <v>0</v>
      </c>
      <c r="I220" s="51">
        <f t="shared" si="37"/>
        <v>0</v>
      </c>
      <c r="J220" s="51" t="e">
        <f t="shared" si="37"/>
        <v>#DIV/0!</v>
      </c>
      <c r="K220" s="51" t="e">
        <f t="shared" si="37"/>
        <v>#DIV/0!</v>
      </c>
      <c r="L220" s="51" t="e">
        <f t="shared" si="37"/>
        <v>#DIV/0!</v>
      </c>
      <c r="M220" s="51" t="e">
        <f t="shared" si="37"/>
        <v>#DIV/0!</v>
      </c>
      <c r="N220" s="51" t="e">
        <f t="shared" si="37"/>
        <v>#DIV/0!</v>
      </c>
      <c r="O220" s="51" t="e">
        <f ca="1">SUM(OFFSET($C220,0,0,1,mth))</f>
        <v>#DIV/0!</v>
      </c>
      <c r="P220" s="382"/>
      <c r="Q220" s="382"/>
      <c r="R220" s="382"/>
    </row>
    <row r="221" s="38" customFormat="1" ht="15" customHeight="1" spans="1:20">
      <c r="A221" s="115" t="s">
        <v>257</v>
      </c>
      <c r="B221" s="60"/>
      <c r="C221" s="51">
        <f t="shared" ref="C221:N221" si="38">C$214*C16</f>
        <v>0</v>
      </c>
      <c r="D221" s="51">
        <f t="shared" si="38"/>
        <v>0.335371800175093</v>
      </c>
      <c r="E221" s="51">
        <f t="shared" si="38"/>
        <v>0</v>
      </c>
      <c r="F221" s="51">
        <f t="shared" si="38"/>
        <v>0</v>
      </c>
      <c r="G221" s="51">
        <f t="shared" si="38"/>
        <v>0</v>
      </c>
      <c r="H221" s="51">
        <f t="shared" si="38"/>
        <v>0</v>
      </c>
      <c r="I221" s="51">
        <f t="shared" si="38"/>
        <v>0</v>
      </c>
      <c r="J221" s="51" t="e">
        <f t="shared" si="38"/>
        <v>#DIV/0!</v>
      </c>
      <c r="K221" s="51" t="e">
        <f t="shared" si="38"/>
        <v>#DIV/0!</v>
      </c>
      <c r="L221" s="51" t="e">
        <f t="shared" si="38"/>
        <v>#DIV/0!</v>
      </c>
      <c r="M221" s="51" t="e">
        <f t="shared" si="38"/>
        <v>#DIV/0!</v>
      </c>
      <c r="N221" s="51" t="e">
        <f t="shared" si="38"/>
        <v>#DIV/0!</v>
      </c>
      <c r="O221" s="51" t="e">
        <f ca="1">SUM(OFFSET($C221,0,0,1,mth))</f>
        <v>#DIV/0!</v>
      </c>
      <c r="P221" s="382"/>
      <c r="Q221" s="382"/>
      <c r="R221" s="382"/>
    </row>
    <row r="222" s="38" customFormat="1" ht="15" customHeight="1" spans="1:20">
      <c r="A222" s="57" t="s">
        <v>232</v>
      </c>
      <c r="B222" s="50"/>
      <c r="C222" s="51">
        <f>SUM(C216:C221)</f>
        <v>0</v>
      </c>
      <c r="D222" s="51">
        <f>SUM(D216:D221)</f>
        <v>86.07</v>
      </c>
      <c r="E222" s="51">
        <f t="shared" ref="E222:O222" si="39">SUM(E216:E221)</f>
        <v>0</v>
      </c>
      <c r="F222" s="51">
        <f t="shared" si="39"/>
        <v>0</v>
      </c>
      <c r="G222" s="51">
        <f t="shared" si="39"/>
        <v>0</v>
      </c>
      <c r="H222" s="51">
        <f t="shared" si="39"/>
        <v>0</v>
      </c>
      <c r="I222" s="51">
        <f t="shared" si="39"/>
        <v>0</v>
      </c>
      <c r="J222" s="51" t="e">
        <f t="shared" si="39"/>
        <v>#DIV/0!</v>
      </c>
      <c r="K222" s="51" t="e">
        <f t="shared" si="39"/>
        <v>#DIV/0!</v>
      </c>
      <c r="L222" s="51" t="e">
        <f t="shared" si="39"/>
        <v>#DIV/0!</v>
      </c>
      <c r="M222" s="51" t="e">
        <f t="shared" si="39"/>
        <v>#DIV/0!</v>
      </c>
      <c r="N222" s="51" t="e">
        <f t="shared" si="39"/>
        <v>#DIV/0!</v>
      </c>
      <c r="O222" s="51" t="e">
        <f ca="1" t="shared" si="39"/>
        <v>#DIV/0!</v>
      </c>
      <c r="P222" s="382"/>
      <c r="Q222" s="278"/>
      <c r="R222" s="278"/>
      <c r="S222" s="426"/>
    </row>
    <row r="223" s="38" customFormat="1" ht="15" customHeight="1" spans="1:20">
      <c r="A223" s="104"/>
      <c r="B223" s="277"/>
      <c r="C223" s="424"/>
      <c r="D223" s="424"/>
      <c r="E223" s="424"/>
      <c r="F223" s="424"/>
      <c r="G223" s="424"/>
      <c r="H223" s="424"/>
      <c r="I223" s="424"/>
      <c r="J223" s="424"/>
      <c r="K223" s="424"/>
      <c r="L223" s="424"/>
      <c r="M223" s="424"/>
      <c r="N223" s="424"/>
      <c r="O223" s="424"/>
      <c r="P223" s="382"/>
      <c r="Q223"/>
      <c r="R223"/>
    </row>
    <row r="224" s="38" customFormat="1" ht="15" customHeight="1" spans="1:20">
      <c r="A224" s="239" t="s">
        <v>271</v>
      </c>
      <c r="B224" s="239"/>
      <c r="C224" s="427"/>
      <c r="D224" s="428"/>
      <c r="E224" s="325"/>
      <c r="F224" s="325"/>
      <c r="G224" s="423"/>
      <c r="H224" s="325"/>
      <c r="I224" s="325"/>
      <c r="J224" s="325"/>
      <c r="K224" s="325"/>
      <c r="L224" s="325"/>
      <c r="M224" s="325"/>
      <c r="N224" s="325"/>
      <c r="O224" s="325"/>
      <c r="Q224"/>
      <c r="R224"/>
      <c r="S224"/>
    </row>
    <row r="225" spans="1:16">
      <c r="A225" s="185" t="s">
        <v>250</v>
      </c>
      <c r="B225" s="106" t="s">
        <v>77</v>
      </c>
      <c r="C225" s="107" t="s">
        <v>220</v>
      </c>
      <c r="D225" s="107" t="s">
        <v>221</v>
      </c>
      <c r="E225" s="107" t="s">
        <v>222</v>
      </c>
      <c r="F225" s="107" t="s">
        <v>223</v>
      </c>
      <c r="G225" s="107" t="s">
        <v>224</v>
      </c>
      <c r="H225" s="107" t="s">
        <v>225</v>
      </c>
      <c r="I225" s="107" t="s">
        <v>226</v>
      </c>
      <c r="J225" s="107" t="s">
        <v>227</v>
      </c>
      <c r="K225" s="107" t="s">
        <v>228</v>
      </c>
      <c r="L225" s="107" t="s">
        <v>229</v>
      </c>
      <c r="M225" s="107" t="s">
        <v>230</v>
      </c>
      <c r="N225" s="107" t="s">
        <v>231</v>
      </c>
      <c r="O225" s="107" t="str">
        <f>CONCATENATE("1-"&amp;mth&amp;"月累计")</f>
        <v>1-8月累计</v>
      </c>
      <c r="P225" s="429"/>
    </row>
    <row r="226" spans="1:16">
      <c r="A226" s="191" t="s">
        <v>152</v>
      </c>
      <c r="B226" s="50" t="s">
        <v>167</v>
      </c>
      <c r="C226" s="192">
        <f>基础表!C246</f>
        <v>26360</v>
      </c>
      <c r="D226" s="192">
        <f>基础表!D246</f>
        <v>33800</v>
      </c>
      <c r="E226" s="192">
        <f>基础表!E246</f>
        <v>33420</v>
      </c>
      <c r="F226" s="192">
        <f>基础表!F246</f>
        <v>19140</v>
      </c>
      <c r="G226" s="192">
        <f>基础表!G246</f>
        <v>15440</v>
      </c>
      <c r="H226" s="192">
        <f>基础表!H246</f>
        <v>19100</v>
      </c>
      <c r="I226" s="192">
        <f>基础表!I246</f>
        <v>0</v>
      </c>
      <c r="J226" s="192">
        <f>基础表!J246</f>
        <v>0</v>
      </c>
      <c r="K226" s="192">
        <f>基础表!K246</f>
        <v>0</v>
      </c>
      <c r="L226" s="192">
        <f>基础表!L246</f>
        <v>0</v>
      </c>
      <c r="M226" s="192">
        <f>基础表!M246</f>
        <v>0</v>
      </c>
      <c r="N226" s="192">
        <f>基础表!N246</f>
        <v>0</v>
      </c>
      <c r="O226" s="192">
        <f ca="1" t="shared" ref="O226:O237" si="40">SUM(OFFSET($C226,0,0,1,mth))</f>
        <v>147260</v>
      </c>
      <c r="P226" s="221"/>
    </row>
    <row r="227" spans="1:16">
      <c r="A227" s="191" t="s">
        <v>153</v>
      </c>
      <c r="B227" s="50" t="s">
        <v>167</v>
      </c>
      <c r="C227" s="192">
        <f>基础表!C247</f>
        <v>18894.5</v>
      </c>
      <c r="D227" s="192">
        <f>基础表!D247</f>
        <v>30541.2</v>
      </c>
      <c r="E227" s="192">
        <f>基础表!E247</f>
        <v>25156.5</v>
      </c>
      <c r="F227" s="192">
        <f>基础表!F247</f>
        <v>20450.7</v>
      </c>
      <c r="G227" s="192">
        <f>基础表!G247</f>
        <v>21061.4</v>
      </c>
      <c r="H227" s="192">
        <f>基础表!H247</f>
        <v>26015.2</v>
      </c>
      <c r="I227" s="192">
        <f>基础表!I247</f>
        <v>0</v>
      </c>
      <c r="J227" s="192">
        <f>基础表!J247</f>
        <v>0</v>
      </c>
      <c r="K227" s="192">
        <f>基础表!K247</f>
        <v>0</v>
      </c>
      <c r="L227" s="192">
        <f>基础表!L247</f>
        <v>0</v>
      </c>
      <c r="M227" s="192">
        <f>基础表!M247</f>
        <v>0</v>
      </c>
      <c r="N227" s="192">
        <f>基础表!N247</f>
        <v>0</v>
      </c>
      <c r="O227" s="192">
        <f ca="1" t="shared" si="40"/>
        <v>142119.5</v>
      </c>
      <c r="P227" s="221"/>
    </row>
    <row r="228" spans="1:16">
      <c r="A228" s="191" t="s">
        <v>154</v>
      </c>
      <c r="B228" s="50" t="s">
        <v>167</v>
      </c>
      <c r="C228" s="192">
        <f>基础表!C248</f>
        <v>22774.4</v>
      </c>
      <c r="D228" s="192">
        <f>基础表!D248</f>
        <v>40544</v>
      </c>
      <c r="E228" s="192">
        <f>基础表!E248</f>
        <v>30723.2</v>
      </c>
      <c r="F228" s="192">
        <f>基础表!F248</f>
        <v>24960</v>
      </c>
      <c r="G228" s="192">
        <f>基础表!G248</f>
        <v>26188.8</v>
      </c>
      <c r="H228" s="192">
        <f>基础表!H248</f>
        <v>29843.2</v>
      </c>
      <c r="I228" s="192">
        <f>基础表!I248</f>
        <v>0</v>
      </c>
      <c r="J228" s="192">
        <f>基础表!J248</f>
        <v>0</v>
      </c>
      <c r="K228" s="192">
        <f>基础表!K248</f>
        <v>0</v>
      </c>
      <c r="L228" s="192">
        <f>基础表!L248</f>
        <v>0</v>
      </c>
      <c r="M228" s="192">
        <f>基础表!M248</f>
        <v>0</v>
      </c>
      <c r="N228" s="192">
        <f>基础表!N248</f>
        <v>0</v>
      </c>
      <c r="O228" s="192">
        <f ca="1" t="shared" si="40"/>
        <v>175033.6</v>
      </c>
      <c r="P228" s="221"/>
    </row>
    <row r="229" spans="1:16">
      <c r="A229" s="123" t="s">
        <v>272</v>
      </c>
      <c r="B229" s="50" t="s">
        <v>167</v>
      </c>
      <c r="C229" s="192">
        <f>基础表!C249</f>
        <v>400</v>
      </c>
      <c r="D229" s="192">
        <f>基础表!D249</f>
        <v>600</v>
      </c>
      <c r="E229" s="192">
        <f>基础表!E249</f>
        <v>720</v>
      </c>
      <c r="F229" s="192">
        <f>基础表!F249</f>
        <v>400</v>
      </c>
      <c r="G229" s="192">
        <f>基础表!G249</f>
        <v>440</v>
      </c>
      <c r="H229" s="192">
        <f>基础表!H249</f>
        <v>440</v>
      </c>
      <c r="I229" s="192">
        <f>基础表!I249</f>
        <v>0</v>
      </c>
      <c r="J229" s="192">
        <f>基础表!J249</f>
        <v>0</v>
      </c>
      <c r="K229" s="192">
        <f>基础表!K249</f>
        <v>0</v>
      </c>
      <c r="L229" s="192">
        <f>基础表!L249</f>
        <v>0</v>
      </c>
      <c r="M229" s="192">
        <f>基础表!M249</f>
        <v>0</v>
      </c>
      <c r="N229" s="192">
        <f>基础表!N249</f>
        <v>0</v>
      </c>
      <c r="O229" s="192">
        <f ca="1">SUM(OFFSET($C229,0,0,1,mth))</f>
        <v>3000</v>
      </c>
      <c r="P229" s="221"/>
    </row>
    <row r="230" spans="1:16">
      <c r="A230" s="191" t="s">
        <v>156</v>
      </c>
      <c r="B230" s="50" t="s">
        <v>167</v>
      </c>
      <c r="C230" s="192">
        <f>基础表!C250</f>
        <v>342.8</v>
      </c>
      <c r="D230" s="192">
        <f>基础表!D250</f>
        <v>213.2</v>
      </c>
      <c r="E230" s="192">
        <f>基础表!E250</f>
        <v>231.4</v>
      </c>
      <c r="F230" s="192">
        <f>基础表!F250</f>
        <v>207.4</v>
      </c>
      <c r="G230" s="192">
        <f>基础表!G250</f>
        <v>221.1</v>
      </c>
      <c r="H230" s="192">
        <f>基础表!H250</f>
        <v>161.1</v>
      </c>
      <c r="I230" s="192">
        <f>基础表!I250</f>
        <v>0</v>
      </c>
      <c r="J230" s="192">
        <f>基础表!J250</f>
        <v>0</v>
      </c>
      <c r="K230" s="192">
        <f>基础表!K250</f>
        <v>0</v>
      </c>
      <c r="L230" s="192">
        <f>基础表!L250</f>
        <v>0</v>
      </c>
      <c r="M230" s="192">
        <f>基础表!M250</f>
        <v>0</v>
      </c>
      <c r="N230" s="192">
        <f>基础表!N250</f>
        <v>0</v>
      </c>
      <c r="O230" s="192">
        <f ca="1" t="shared" si="40"/>
        <v>1377</v>
      </c>
      <c r="P230" s="221"/>
    </row>
    <row r="231" spans="1:16">
      <c r="A231" s="191" t="s">
        <v>157</v>
      </c>
      <c r="B231" s="50" t="s">
        <v>167</v>
      </c>
      <c r="C231" s="192">
        <f>基础表!C251</f>
        <v>780</v>
      </c>
      <c r="D231" s="192">
        <f>基础表!D251</f>
        <v>822</v>
      </c>
      <c r="E231" s="192">
        <f>基础表!E251</f>
        <v>1097</v>
      </c>
      <c r="F231" s="192">
        <f>基础表!F251</f>
        <v>806</v>
      </c>
      <c r="G231" s="192">
        <f>基础表!G251</f>
        <v>887</v>
      </c>
      <c r="H231" s="192">
        <f>基础表!H251</f>
        <v>1015</v>
      </c>
      <c r="I231" s="192">
        <f>基础表!I251</f>
        <v>0</v>
      </c>
      <c r="J231" s="192">
        <f>基础表!J251</f>
        <v>0</v>
      </c>
      <c r="K231" s="192">
        <f>基础表!K251</f>
        <v>0</v>
      </c>
      <c r="L231" s="192">
        <f>基础表!L251</f>
        <v>0</v>
      </c>
      <c r="M231" s="192">
        <f>基础表!M251</f>
        <v>0</v>
      </c>
      <c r="N231" s="192">
        <f>基础表!N251</f>
        <v>0</v>
      </c>
      <c r="O231" s="192">
        <f ca="1" t="shared" si="40"/>
        <v>5407</v>
      </c>
      <c r="P231" s="221"/>
    </row>
    <row r="232" spans="1:16">
      <c r="A232" s="191" t="s">
        <v>158</v>
      </c>
      <c r="B232" s="50" t="s">
        <v>167</v>
      </c>
      <c r="C232" s="192">
        <f>基础表!C252</f>
        <v>51.4</v>
      </c>
      <c r="D232" s="192">
        <f>基础表!D252</f>
        <v>59.6</v>
      </c>
      <c r="E232" s="192">
        <f>基础表!E252</f>
        <v>141.9</v>
      </c>
      <c r="F232" s="192">
        <f>基础表!F252</f>
        <v>140.6</v>
      </c>
      <c r="G232" s="192">
        <f>基础表!G252</f>
        <v>97.8</v>
      </c>
      <c r="H232" s="192">
        <f>基础表!H252</f>
        <v>168.2</v>
      </c>
      <c r="I232" s="192">
        <f>基础表!I252</f>
        <v>0</v>
      </c>
      <c r="J232" s="192">
        <f>基础表!J252</f>
        <v>0</v>
      </c>
      <c r="K232" s="192">
        <f>基础表!K252</f>
        <v>0</v>
      </c>
      <c r="L232" s="192">
        <f>基础表!L252</f>
        <v>0</v>
      </c>
      <c r="M232" s="192">
        <f>基础表!M252</f>
        <v>0</v>
      </c>
      <c r="N232" s="192">
        <f>基础表!N252</f>
        <v>0</v>
      </c>
      <c r="O232" s="192">
        <f ca="1" t="shared" si="40"/>
        <v>659.5</v>
      </c>
      <c r="P232" s="221"/>
    </row>
    <row r="233" spans="1:16">
      <c r="A233" s="191" t="s">
        <v>159</v>
      </c>
      <c r="B233" s="50" t="s">
        <v>167</v>
      </c>
      <c r="C233" s="192">
        <f>基础表!C253</f>
        <v>16.5</v>
      </c>
      <c r="D233" s="192">
        <f>基础表!D253</f>
        <v>223</v>
      </c>
      <c r="E233" s="192">
        <f>基础表!E253</f>
        <v>761.1</v>
      </c>
      <c r="F233" s="192">
        <f>基础表!F253</f>
        <v>735.7</v>
      </c>
      <c r="G233" s="192">
        <f>基础表!G253</f>
        <v>658.7</v>
      </c>
      <c r="H233" s="192">
        <f>基础表!H253</f>
        <v>845.5</v>
      </c>
      <c r="I233" s="192">
        <f>基础表!I253</f>
        <v>0</v>
      </c>
      <c r="J233" s="192">
        <f>基础表!J253</f>
        <v>0</v>
      </c>
      <c r="K233" s="192">
        <f>基础表!K253</f>
        <v>0</v>
      </c>
      <c r="L233" s="192">
        <f>基础表!L253</f>
        <v>0</v>
      </c>
      <c r="M233" s="192">
        <f>基础表!M253</f>
        <v>0</v>
      </c>
      <c r="N233" s="192">
        <f>基础表!N253</f>
        <v>0</v>
      </c>
      <c r="O233" s="192">
        <f ca="1" t="shared" si="40"/>
        <v>3240.5</v>
      </c>
      <c r="P233" s="221"/>
    </row>
    <row r="234" spans="1:16">
      <c r="A234" s="191" t="s">
        <v>160</v>
      </c>
      <c r="B234" s="50" t="s">
        <v>167</v>
      </c>
      <c r="C234" s="192">
        <f>基础表!C254</f>
        <v>300</v>
      </c>
      <c r="D234" s="192">
        <f>基础表!D254</f>
        <v>234.6</v>
      </c>
      <c r="E234" s="192">
        <f>基础表!E254</f>
        <v>201.1</v>
      </c>
      <c r="F234" s="192">
        <f>基础表!F254</f>
        <v>177.3</v>
      </c>
      <c r="G234" s="192">
        <f>基础表!G254</f>
        <v>127.8</v>
      </c>
      <c r="H234" s="192">
        <f>基础表!H254</f>
        <v>255.2</v>
      </c>
      <c r="I234" s="192">
        <f>基础表!I254</f>
        <v>0</v>
      </c>
      <c r="J234" s="192">
        <f>基础表!J254</f>
        <v>0</v>
      </c>
      <c r="K234" s="192">
        <f>基础表!K254</f>
        <v>0</v>
      </c>
      <c r="L234" s="192">
        <f>基础表!L254</f>
        <v>0</v>
      </c>
      <c r="M234" s="192">
        <f>基础表!M254</f>
        <v>0</v>
      </c>
      <c r="N234" s="192">
        <f>基础表!N254</f>
        <v>0</v>
      </c>
      <c r="O234" s="192">
        <f ca="1" t="shared" si="40"/>
        <v>1296</v>
      </c>
      <c r="P234" s="221"/>
    </row>
    <row r="235" spans="1:16">
      <c r="A235" s="191" t="s">
        <v>161</v>
      </c>
      <c r="B235" s="50" t="s">
        <v>167</v>
      </c>
      <c r="C235" s="192">
        <f>基础表!C255</f>
        <v>0</v>
      </c>
      <c r="D235" s="192">
        <f>基础表!D255</f>
        <v>0</v>
      </c>
      <c r="E235" s="192">
        <f>基础表!E255</f>
        <v>0</v>
      </c>
      <c r="F235" s="192">
        <f>基础表!F255</f>
        <v>0</v>
      </c>
      <c r="G235" s="192">
        <f>基础表!G255</f>
        <v>50</v>
      </c>
      <c r="H235" s="192">
        <f>基础表!H255</f>
        <v>100</v>
      </c>
      <c r="I235" s="192">
        <f>基础表!I255</f>
        <v>0</v>
      </c>
      <c r="J235" s="192">
        <f>基础表!J255</f>
        <v>0</v>
      </c>
      <c r="K235" s="192">
        <f>基础表!K255</f>
        <v>0</v>
      </c>
      <c r="L235" s="192">
        <f>基础表!L255</f>
        <v>0</v>
      </c>
      <c r="M235" s="192">
        <f>基础表!M255</f>
        <v>0</v>
      </c>
      <c r="N235" s="192">
        <f>基础表!N255</f>
        <v>0</v>
      </c>
      <c r="O235" s="192">
        <f ca="1" t="shared" si="40"/>
        <v>150</v>
      </c>
      <c r="P235" s="221"/>
    </row>
    <row r="236" spans="1:16">
      <c r="A236" s="191" t="s">
        <v>162</v>
      </c>
      <c r="B236" s="50" t="s">
        <v>167</v>
      </c>
      <c r="C236" s="192">
        <f>基础表!C256</f>
        <v>0</v>
      </c>
      <c r="D236" s="192">
        <f>基础表!D256</f>
        <v>0</v>
      </c>
      <c r="E236" s="192">
        <f>基础表!E256</f>
        <v>0</v>
      </c>
      <c r="F236" s="192">
        <f>基础表!F256</f>
        <v>0</v>
      </c>
      <c r="G236" s="192">
        <f>基础表!G256</f>
        <v>0</v>
      </c>
      <c r="H236" s="192">
        <f>基础表!H256</f>
        <v>0</v>
      </c>
      <c r="I236" s="192">
        <f>基础表!I256</f>
        <v>0</v>
      </c>
      <c r="J236" s="192">
        <f>基础表!J256</f>
        <v>0</v>
      </c>
      <c r="K236" s="192">
        <f>基础表!K256</f>
        <v>0</v>
      </c>
      <c r="L236" s="192">
        <f>基础表!L256</f>
        <v>0</v>
      </c>
      <c r="M236" s="192">
        <f>基础表!M256</f>
        <v>0</v>
      </c>
      <c r="N236" s="192">
        <f>基础表!N256</f>
        <v>0</v>
      </c>
      <c r="O236" s="192">
        <f ca="1" t="shared" si="40"/>
        <v>0</v>
      </c>
      <c r="P236" s="221"/>
    </row>
    <row r="237" spans="1:16">
      <c r="A237" s="246" t="s">
        <v>163</v>
      </c>
      <c r="B237" s="50" t="s">
        <v>167</v>
      </c>
      <c r="C237" s="192">
        <f>基础表!C257</f>
        <v>0</v>
      </c>
      <c r="D237" s="192">
        <f>基础表!D257</f>
        <v>0</v>
      </c>
      <c r="E237" s="192">
        <f>基础表!E257</f>
        <v>0</v>
      </c>
      <c r="F237" s="192">
        <f>基础表!F257</f>
        <v>0</v>
      </c>
      <c r="G237" s="192">
        <f>基础表!G257</f>
        <v>0</v>
      </c>
      <c r="H237" s="192">
        <f>基础表!H257</f>
        <v>0</v>
      </c>
      <c r="I237" s="192">
        <f>基础表!I257</f>
        <v>0</v>
      </c>
      <c r="J237" s="192">
        <f>基础表!J257</f>
        <v>0</v>
      </c>
      <c r="K237" s="192">
        <f>基础表!K257</f>
        <v>0</v>
      </c>
      <c r="L237" s="192">
        <f>基础表!L257</f>
        <v>0</v>
      </c>
      <c r="M237" s="192">
        <f>基础表!M257</f>
        <v>0</v>
      </c>
      <c r="N237" s="192">
        <f>基础表!N257</f>
        <v>0</v>
      </c>
      <c r="O237" s="192">
        <f ca="1" t="shared" si="40"/>
        <v>0</v>
      </c>
      <c r="P237" s="429"/>
    </row>
    <row r="238" s="38" customFormat="1" ht="15" customHeight="1" spans="1:16">
      <c r="A238" s="227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="38" customFormat="1" ht="15" customHeight="1" spans="1:16">
      <c r="A239" s="229" t="s">
        <v>250</v>
      </c>
      <c r="B239" s="230" t="s">
        <v>77</v>
      </c>
      <c r="C239" s="48" t="s">
        <v>220</v>
      </c>
      <c r="D239" s="107" t="s">
        <v>221</v>
      </c>
      <c r="E239" s="107" t="s">
        <v>222</v>
      </c>
      <c r="F239" s="107" t="s">
        <v>223</v>
      </c>
      <c r="G239" s="107" t="s">
        <v>224</v>
      </c>
      <c r="H239" s="107" t="s">
        <v>225</v>
      </c>
      <c r="I239" s="107" t="s">
        <v>226</v>
      </c>
      <c r="J239" s="107" t="s">
        <v>227</v>
      </c>
      <c r="K239" s="107" t="s">
        <v>228</v>
      </c>
      <c r="L239" s="107" t="s">
        <v>229</v>
      </c>
      <c r="M239" s="107" t="s">
        <v>230</v>
      </c>
      <c r="N239" s="107" t="s">
        <v>231</v>
      </c>
      <c r="O239" s="48" t="str">
        <f>CONCATENATE("1-"&amp;mth&amp;"月累计")</f>
        <v>1-8月累计</v>
      </c>
    </row>
    <row r="240" s="38" customFormat="1" ht="15" customHeight="1" spans="1:16">
      <c r="A240" s="115" t="s">
        <v>152</v>
      </c>
      <c r="B240" s="50" t="s">
        <v>123</v>
      </c>
      <c r="C240" s="231">
        <f>基础表!C260</f>
        <v>3.58407018209408</v>
      </c>
      <c r="D240" s="231">
        <f>基础表!D260</f>
        <v>3.58407071005917</v>
      </c>
      <c r="E240" s="231">
        <f>基础表!E260</f>
        <v>3.58407121484141</v>
      </c>
      <c r="F240" s="231">
        <f>基础表!F260</f>
        <v>3.57148328108673</v>
      </c>
      <c r="G240" s="231">
        <f>基础表!G260</f>
        <v>3.53983678756477</v>
      </c>
      <c r="H240" s="231">
        <f>基础表!H260</f>
        <v>3.53982356020942</v>
      </c>
      <c r="I240" s="231">
        <f>基础表!I260</f>
        <v>0</v>
      </c>
      <c r="J240" s="231">
        <f>基础表!J260</f>
        <v>0</v>
      </c>
      <c r="K240" s="231">
        <f>基础表!K260</f>
        <v>0</v>
      </c>
      <c r="L240" s="231">
        <f>基础表!L260</f>
        <v>0</v>
      </c>
      <c r="M240" s="231">
        <f>基础表!M260</f>
        <v>0</v>
      </c>
      <c r="N240" s="231">
        <f>基础表!N260</f>
        <v>0</v>
      </c>
      <c r="O240" s="231">
        <f ca="1">IF(O226=0,,O268/O226)</f>
        <v>3.57205785685183</v>
      </c>
    </row>
    <row r="241" s="38" customFormat="1" ht="15" customHeight="1" spans="1:18">
      <c r="A241" s="115" t="s">
        <v>153</v>
      </c>
      <c r="B241" s="50" t="s">
        <v>123</v>
      </c>
      <c r="C241" s="231">
        <f>基础表!C261</f>
        <v>1.04118923496256</v>
      </c>
      <c r="D241" s="231">
        <f>基础表!D261</f>
        <v>1.02156889709638</v>
      </c>
      <c r="E241" s="231">
        <f>基础表!E261</f>
        <v>1.02147079283684</v>
      </c>
      <c r="F241" s="231">
        <f>基础表!F261</f>
        <v>1.03185905616923</v>
      </c>
      <c r="G241" s="231">
        <f>基础表!G261</f>
        <v>1.04196397200566</v>
      </c>
      <c r="H241" s="231">
        <f>基础表!H261</f>
        <v>1.04196469756143</v>
      </c>
      <c r="I241" s="231">
        <f>基础表!I261</f>
        <v>0</v>
      </c>
      <c r="J241" s="231">
        <f>基础表!J261</f>
        <v>0</v>
      </c>
      <c r="K241" s="231">
        <f>基础表!K261</f>
        <v>0</v>
      </c>
      <c r="L241" s="231">
        <f>基础表!L261</f>
        <v>0</v>
      </c>
      <c r="M241" s="231">
        <f>基础表!M261</f>
        <v>0</v>
      </c>
      <c r="N241" s="231">
        <f>基础表!N261</f>
        <v>0</v>
      </c>
      <c r="O241" s="231">
        <f ca="1" t="shared" ref="O240:O251" si="41">IF(O227=0,,O269/O227)</f>
        <v>1.03239668025852</v>
      </c>
    </row>
    <row r="242" s="38" customFormat="1" ht="15" customHeight="1" spans="1:18">
      <c r="A242" s="115" t="s">
        <v>154</v>
      </c>
      <c r="B242" s="50" t="s">
        <v>123</v>
      </c>
      <c r="C242" s="231">
        <f>基础表!C262</f>
        <v>3.02022446255445</v>
      </c>
      <c r="D242" s="231">
        <f>基础表!D262</f>
        <v>3.11802387529597</v>
      </c>
      <c r="E242" s="231">
        <f>基础表!E262</f>
        <v>3.11628834236017</v>
      </c>
      <c r="F242" s="231">
        <f>基础表!F262</f>
        <v>3.20016626602564</v>
      </c>
      <c r="G242" s="231">
        <f>基础表!G262</f>
        <v>3.23548425281036</v>
      </c>
      <c r="H242" s="231">
        <f>基础表!H262</f>
        <v>3.23228172582029</v>
      </c>
      <c r="I242" s="231">
        <f>基础表!I262</f>
        <v>0</v>
      </c>
      <c r="J242" s="231">
        <f>基础表!J262</f>
        <v>0</v>
      </c>
      <c r="K242" s="231">
        <f>基础表!K262</f>
        <v>0</v>
      </c>
      <c r="L242" s="231">
        <f>基础表!L262</f>
        <v>0</v>
      </c>
      <c r="M242" s="231">
        <f>基础表!M262</f>
        <v>0</v>
      </c>
      <c r="N242" s="231">
        <f>基础表!N262</f>
        <v>0</v>
      </c>
      <c r="O242" s="231">
        <f ca="1" t="shared" si="41"/>
        <v>3.15376327745073</v>
      </c>
    </row>
    <row r="243" s="38" customFormat="1" ht="15" customHeight="1" spans="1:18">
      <c r="A243" s="115" t="s">
        <v>272</v>
      </c>
      <c r="B243" s="50" t="s">
        <v>123</v>
      </c>
      <c r="C243" s="231">
        <f>基础表!C263</f>
        <v>2.151775</v>
      </c>
      <c r="D243" s="231">
        <f>基础表!D263</f>
        <v>2.15181666666667</v>
      </c>
      <c r="E243" s="231">
        <f>基础表!E263</f>
        <v>2.15186111111111</v>
      </c>
      <c r="F243" s="231">
        <f>基础表!F263</f>
        <v>2.1518</v>
      </c>
      <c r="G243" s="231">
        <f>基础表!G263</f>
        <v>2.12852272727273</v>
      </c>
      <c r="H243" s="231">
        <f>基础表!H263</f>
        <v>2.12597727272727</v>
      </c>
      <c r="I243" s="231">
        <f>基础表!I263</f>
        <v>0</v>
      </c>
      <c r="J243" s="231">
        <f>基础表!J263</f>
        <v>0</v>
      </c>
      <c r="K243" s="231">
        <f>基础表!K263</f>
        <v>0</v>
      </c>
      <c r="L243" s="231">
        <f>基础表!L263</f>
        <v>0</v>
      </c>
      <c r="M243" s="231">
        <f>基础表!M263</f>
        <v>0</v>
      </c>
      <c r="N243" s="231">
        <f>基础表!N263</f>
        <v>0</v>
      </c>
      <c r="O243" s="231">
        <f ca="1" t="shared" si="41"/>
        <v>2.14461333333333</v>
      </c>
      <c r="Q243" s="71"/>
      <c r="R243" s="71"/>
    </row>
    <row r="244" s="38" customFormat="1" ht="15" customHeight="1" spans="1:18">
      <c r="A244" s="115" t="s">
        <v>156</v>
      </c>
      <c r="B244" s="50" t="s">
        <v>123</v>
      </c>
      <c r="C244" s="231">
        <f>基础表!C264</f>
        <v>35.3982497082847</v>
      </c>
      <c r="D244" s="231">
        <f>基础表!D264</f>
        <v>35.3982645403377</v>
      </c>
      <c r="E244" s="231">
        <f>基础表!E264</f>
        <v>35.3982713915298</v>
      </c>
      <c r="F244" s="231">
        <f>基础表!F264</f>
        <v>35.3981195756991</v>
      </c>
      <c r="G244" s="231">
        <f>基础表!G264</f>
        <v>35.3982813206694</v>
      </c>
      <c r="H244" s="231">
        <f>基础表!H264</f>
        <v>35.3982619490999</v>
      </c>
      <c r="I244" s="231">
        <f>基础表!I264</f>
        <v>0</v>
      </c>
      <c r="J244" s="231">
        <f>基础表!J264</f>
        <v>0</v>
      </c>
      <c r="K244" s="231">
        <f>基础表!K264</f>
        <v>0</v>
      </c>
      <c r="L244" s="231">
        <f>基础表!L264</f>
        <v>0</v>
      </c>
      <c r="M244" s="231">
        <f>基础表!M264</f>
        <v>0</v>
      </c>
      <c r="N244" s="231">
        <f>基础表!N264</f>
        <v>0</v>
      </c>
      <c r="O244" s="231">
        <f ca="1" t="shared" si="41"/>
        <v>35.3982425562818</v>
      </c>
      <c r="Q244" s="71"/>
      <c r="R244" s="71"/>
    </row>
    <row r="245" s="38" customFormat="1" ht="15" customHeight="1" spans="1:18">
      <c r="A245" s="115" t="s">
        <v>157</v>
      </c>
      <c r="B245" s="50" t="s">
        <v>123</v>
      </c>
      <c r="C245" s="231">
        <f>基础表!C265</f>
        <v>18.3902435897436</v>
      </c>
      <c r="D245" s="231">
        <f>基础表!D265</f>
        <v>18.5731508515815</v>
      </c>
      <c r="E245" s="231">
        <f>基础表!E265</f>
        <v>18.5718413855971</v>
      </c>
      <c r="F245" s="231">
        <f>基础表!F265</f>
        <v>18.5794913151365</v>
      </c>
      <c r="G245" s="231">
        <f>基础表!G265</f>
        <v>18.5816459977452</v>
      </c>
      <c r="H245" s="231">
        <f>基础表!H265</f>
        <v>18.584157635468</v>
      </c>
      <c r="I245" s="231">
        <f>基础表!I265</f>
        <v>0</v>
      </c>
      <c r="J245" s="231">
        <f>基础表!J265</f>
        <v>0</v>
      </c>
      <c r="K245" s="231">
        <f>基础表!K265</f>
        <v>0</v>
      </c>
      <c r="L245" s="231">
        <f>基础表!L265</f>
        <v>0</v>
      </c>
      <c r="M245" s="231">
        <f>基础表!M265</f>
        <v>0</v>
      </c>
      <c r="N245" s="231">
        <f>基础表!N265</f>
        <v>0</v>
      </c>
      <c r="O245" s="231">
        <f ca="1" t="shared" si="41"/>
        <v>18.550904383207</v>
      </c>
      <c r="Q245" s="68"/>
      <c r="R245" s="68"/>
    </row>
    <row r="246" s="38" customFormat="1" ht="15" customHeight="1" spans="1:18">
      <c r="A246" s="115" t="s">
        <v>158</v>
      </c>
      <c r="B246" s="50" t="s">
        <v>123</v>
      </c>
      <c r="C246" s="231">
        <f>基础表!C266</f>
        <v>35.3982490272373</v>
      </c>
      <c r="D246" s="231">
        <f>基础表!D266</f>
        <v>35.3981543624161</v>
      </c>
      <c r="E246" s="231">
        <f>基础表!E266</f>
        <v>35.3982381959126</v>
      </c>
      <c r="F246" s="231">
        <f>基础表!F266</f>
        <v>35.3982219061166</v>
      </c>
      <c r="G246" s="231">
        <f>基础表!G266</f>
        <v>35.39836400818</v>
      </c>
      <c r="H246" s="231">
        <f>基础表!H266</f>
        <v>35.3980975029727</v>
      </c>
      <c r="I246" s="231">
        <f>基础表!I266</f>
        <v>0</v>
      </c>
      <c r="J246" s="231">
        <f>基础表!J266</f>
        <v>0</v>
      </c>
      <c r="K246" s="231">
        <f>基础表!K266</f>
        <v>0</v>
      </c>
      <c r="L246" s="231">
        <f>基础表!L266</f>
        <v>0</v>
      </c>
      <c r="M246" s="231">
        <f>基础表!M266</f>
        <v>0</v>
      </c>
      <c r="N246" s="231">
        <f>基础表!N266</f>
        <v>0</v>
      </c>
      <c r="O246" s="231">
        <f ca="1" t="shared" si="41"/>
        <v>35.3982107657316</v>
      </c>
    </row>
    <row r="247" s="38" customFormat="1" ht="15" customHeight="1" spans="1:18">
      <c r="A247" s="115" t="s">
        <v>159</v>
      </c>
      <c r="B247" s="50" t="s">
        <v>123</v>
      </c>
      <c r="C247" s="231">
        <f>基础表!C267</f>
        <v>221.238181818182</v>
      </c>
      <c r="D247" s="231">
        <f>基础表!D267</f>
        <v>61.8430941704036</v>
      </c>
      <c r="E247" s="231">
        <f>基础表!E267</f>
        <v>61.383405597162</v>
      </c>
      <c r="F247" s="231">
        <f>基础表!F267</f>
        <v>61.129604458339</v>
      </c>
      <c r="G247" s="231">
        <f>基础表!G267</f>
        <v>61.0619705480492</v>
      </c>
      <c r="H247" s="231">
        <f>基础表!H267</f>
        <v>61.0619396806623</v>
      </c>
      <c r="I247" s="231">
        <f>基础表!I267</f>
        <v>0</v>
      </c>
      <c r="J247" s="231">
        <f>基础表!J267</f>
        <v>0</v>
      </c>
      <c r="K247" s="231">
        <f>基础表!K267</f>
        <v>0</v>
      </c>
      <c r="L247" s="231">
        <f>基础表!L267</f>
        <v>0</v>
      </c>
      <c r="M247" s="231">
        <f>基础表!M267</f>
        <v>0</v>
      </c>
      <c r="N247" s="231">
        <f>基础表!N267</f>
        <v>0</v>
      </c>
      <c r="O247" s="231">
        <f ca="1" t="shared" si="41"/>
        <v>62.022153988582</v>
      </c>
    </row>
    <row r="248" s="38" customFormat="1" ht="15" customHeight="1" spans="1:18">
      <c r="A248" s="115" t="s">
        <v>160</v>
      </c>
      <c r="B248" s="50" t="s">
        <v>123</v>
      </c>
      <c r="C248" s="231">
        <f>基础表!C268</f>
        <v>26.1946333333333</v>
      </c>
      <c r="D248" s="231">
        <f>基础表!D268</f>
        <v>26.1947570332481</v>
      </c>
      <c r="E248" s="231">
        <f>基础表!E268</f>
        <v>25.3024863252113</v>
      </c>
      <c r="F248" s="231">
        <f>基础表!F268</f>
        <v>24.5596728708404</v>
      </c>
      <c r="G248" s="231">
        <f>基础表!G268</f>
        <v>24.4024256651017</v>
      </c>
      <c r="H248" s="231">
        <f>基础表!H268</f>
        <v>24.3494905956113</v>
      </c>
      <c r="I248" s="231">
        <f>基础表!I268</f>
        <v>0</v>
      </c>
      <c r="J248" s="231">
        <f>基础表!J268</f>
        <v>0</v>
      </c>
      <c r="K248" s="231">
        <f>基础表!K268</f>
        <v>0</v>
      </c>
      <c r="L248" s="231">
        <f>基础表!L268</f>
        <v>0</v>
      </c>
      <c r="M248" s="231">
        <f>基础表!M268</f>
        <v>0</v>
      </c>
      <c r="N248" s="231">
        <f>基础表!N268</f>
        <v>0</v>
      </c>
      <c r="O248" s="231">
        <f ca="1" t="shared" si="41"/>
        <v>25.2924845679012</v>
      </c>
    </row>
    <row r="249" s="38" customFormat="1" ht="15" customHeight="1" spans="1:18">
      <c r="A249" s="115" t="s">
        <v>161</v>
      </c>
      <c r="B249" s="50" t="s">
        <v>123</v>
      </c>
      <c r="C249" s="231">
        <f>基础表!C269</f>
        <v>0</v>
      </c>
      <c r="D249" s="231">
        <f>基础表!D269</f>
        <v>0</v>
      </c>
      <c r="E249" s="231">
        <f>基础表!E269</f>
        <v>0</v>
      </c>
      <c r="F249" s="231">
        <f>基础表!F269</f>
        <v>0</v>
      </c>
      <c r="G249" s="231">
        <f>基础表!G269</f>
        <v>529.2036</v>
      </c>
      <c r="H249" s="231">
        <f>基础表!H269</f>
        <v>529.2035</v>
      </c>
      <c r="I249" s="231">
        <f>基础表!I269</f>
        <v>0</v>
      </c>
      <c r="J249" s="231">
        <f>基础表!J269</f>
        <v>0</v>
      </c>
      <c r="K249" s="231">
        <f>基础表!K269</f>
        <v>0</v>
      </c>
      <c r="L249" s="231">
        <f>基础表!L269</f>
        <v>0</v>
      </c>
      <c r="M249" s="231">
        <f>基础表!M269</f>
        <v>0</v>
      </c>
      <c r="N249" s="231">
        <f>基础表!N269</f>
        <v>0</v>
      </c>
      <c r="O249" s="231">
        <f ca="1" t="shared" si="41"/>
        <v>529.203533333333</v>
      </c>
    </row>
    <row r="250" s="38" customFormat="1" ht="15" customHeight="1" spans="1:18">
      <c r="A250" s="115" t="s">
        <v>162</v>
      </c>
      <c r="B250" s="50" t="s">
        <v>123</v>
      </c>
      <c r="C250" s="231">
        <f>基础表!C270</f>
        <v>0</v>
      </c>
      <c r="D250" s="231">
        <f>基础表!D270</f>
        <v>0</v>
      </c>
      <c r="E250" s="231">
        <f>基础表!E270</f>
        <v>0</v>
      </c>
      <c r="F250" s="231">
        <f>基础表!F270</f>
        <v>0</v>
      </c>
      <c r="G250" s="231">
        <f>基础表!G270</f>
        <v>0</v>
      </c>
      <c r="H250" s="231">
        <f>基础表!H270</f>
        <v>0</v>
      </c>
      <c r="I250" s="231">
        <f>基础表!I270</f>
        <v>0</v>
      </c>
      <c r="J250" s="231">
        <f>基础表!J270</f>
        <v>0</v>
      </c>
      <c r="K250" s="231">
        <f>基础表!K270</f>
        <v>0</v>
      </c>
      <c r="L250" s="231">
        <f>基础表!L270</f>
        <v>0</v>
      </c>
      <c r="M250" s="231">
        <f>基础表!M270</f>
        <v>0</v>
      </c>
      <c r="N250" s="231">
        <f>基础表!N270</f>
        <v>0</v>
      </c>
      <c r="O250" s="231">
        <f ca="1" t="shared" si="41"/>
        <v>0</v>
      </c>
    </row>
    <row r="251" s="38" customFormat="1" ht="15" customHeight="1" spans="1:18">
      <c r="A251" s="115" t="s">
        <v>163</v>
      </c>
      <c r="B251" s="50" t="s">
        <v>123</v>
      </c>
      <c r="C251" s="231">
        <f>基础表!C271</f>
        <v>0</v>
      </c>
      <c r="D251" s="231">
        <f>基础表!D271</f>
        <v>0</v>
      </c>
      <c r="E251" s="231">
        <f>基础表!E271</f>
        <v>0</v>
      </c>
      <c r="F251" s="231">
        <f>基础表!F271</f>
        <v>0</v>
      </c>
      <c r="G251" s="231">
        <f>基础表!G271</f>
        <v>0</v>
      </c>
      <c r="H251" s="231">
        <f>基础表!H271</f>
        <v>0</v>
      </c>
      <c r="I251" s="231">
        <f>基础表!I271</f>
        <v>0</v>
      </c>
      <c r="J251" s="231">
        <f>基础表!J271</f>
        <v>0</v>
      </c>
      <c r="K251" s="231">
        <f>基础表!K271</f>
        <v>0</v>
      </c>
      <c r="L251" s="231">
        <f>基础表!L271</f>
        <v>0</v>
      </c>
      <c r="M251" s="231">
        <f>基础表!M271</f>
        <v>0</v>
      </c>
      <c r="N251" s="231">
        <f>基础表!N271</f>
        <v>0</v>
      </c>
      <c r="O251" s="231">
        <f ca="1" t="shared" si="41"/>
        <v>0</v>
      </c>
    </row>
    <row r="252" s="38" customFormat="1" ht="15" customHeight="1" spans="1:18">
      <c r="A252" s="232" t="s">
        <v>274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="38" customFormat="1" ht="15" customHeight="1" spans="1:18">
      <c r="A253" s="229" t="s">
        <v>250</v>
      </c>
      <c r="B253" s="230" t="s">
        <v>77</v>
      </c>
      <c r="C253" s="48" t="s">
        <v>220</v>
      </c>
      <c r="D253" s="107" t="s">
        <v>221</v>
      </c>
      <c r="E253" s="107" t="s">
        <v>222</v>
      </c>
      <c r="F253" s="107" t="s">
        <v>223</v>
      </c>
      <c r="G253" s="107" t="s">
        <v>224</v>
      </c>
      <c r="H253" s="107" t="s">
        <v>225</v>
      </c>
      <c r="I253" s="107" t="s">
        <v>226</v>
      </c>
      <c r="J253" s="107" t="s">
        <v>227</v>
      </c>
      <c r="K253" s="107" t="s">
        <v>228</v>
      </c>
      <c r="L253" s="107" t="s">
        <v>229</v>
      </c>
      <c r="M253" s="107" t="s">
        <v>230</v>
      </c>
      <c r="N253" s="107" t="s">
        <v>231</v>
      </c>
      <c r="O253" s="48" t="str">
        <f>CONCATENATE("1-"&amp;mth&amp;"月累计")</f>
        <v>1-8月累计</v>
      </c>
    </row>
    <row r="254" s="38" customFormat="1" ht="15" customHeight="1" spans="1:18">
      <c r="A254" s="115" t="s">
        <v>152</v>
      </c>
      <c r="B254" s="50" t="s">
        <v>123</v>
      </c>
      <c r="C254" s="231">
        <f>基础表!C274</f>
        <v>4.04999930576631</v>
      </c>
      <c r="D254" s="231">
        <f>基础表!D274</f>
        <v>4.04999990236686</v>
      </c>
      <c r="E254" s="231">
        <f>基础表!E274</f>
        <v>4.05000047277079</v>
      </c>
      <c r="F254" s="231">
        <f>基础表!F274</f>
        <v>4.035776107628</v>
      </c>
      <c r="G254" s="231">
        <f>基础表!G274</f>
        <v>4.00001556994819</v>
      </c>
      <c r="H254" s="231">
        <f>基础表!H274</f>
        <v>4.00000062303665</v>
      </c>
      <c r="I254" s="231">
        <f>基础表!I274</f>
        <v>0</v>
      </c>
      <c r="J254" s="231">
        <f>基础表!J274</f>
        <v>0</v>
      </c>
      <c r="K254" s="231">
        <f>基础表!K274</f>
        <v>0</v>
      </c>
      <c r="L254" s="231">
        <f>基础表!L274</f>
        <v>0</v>
      </c>
      <c r="M254" s="231">
        <f>基础表!M274</f>
        <v>0</v>
      </c>
      <c r="N254" s="231">
        <f>基础表!N274</f>
        <v>0</v>
      </c>
      <c r="O254" s="231">
        <f ca="1">IF(O226=0,,O284/O226)</f>
        <v>4.03642537824256</v>
      </c>
      <c r="P254" s="96"/>
    </row>
    <row r="255" s="38" customFormat="1" ht="15" customHeight="1" spans="1:18">
      <c r="A255" s="115" t="s">
        <v>153</v>
      </c>
      <c r="B255" s="50" t="s">
        <v>123</v>
      </c>
      <c r="C255" s="231">
        <f>基础表!C275</f>
        <v>1.17654383550769</v>
      </c>
      <c r="D255" s="231">
        <f>基础表!D275</f>
        <v>1.15437285371891</v>
      </c>
      <c r="E255" s="231">
        <f>基础表!E275</f>
        <v>1.15426199590563</v>
      </c>
      <c r="F255" s="231">
        <f>基础表!F275</f>
        <v>1.16600073347123</v>
      </c>
      <c r="G255" s="231">
        <f>基础表!G275</f>
        <v>1.1774192883664</v>
      </c>
      <c r="H255" s="231">
        <f>基础表!H275</f>
        <v>1.17742010824441</v>
      </c>
      <c r="I255" s="231">
        <f>基础表!I275</f>
        <v>0</v>
      </c>
      <c r="J255" s="231">
        <f>基础表!J275</f>
        <v>0</v>
      </c>
      <c r="K255" s="231">
        <f>基础表!K275</f>
        <v>0</v>
      </c>
      <c r="L255" s="231">
        <f>基础表!L275</f>
        <v>0</v>
      </c>
      <c r="M255" s="231">
        <f>基础表!M275</f>
        <v>0</v>
      </c>
      <c r="N255" s="231">
        <f>基础表!N275</f>
        <v>0</v>
      </c>
      <c r="O255" s="231">
        <f ca="1" t="shared" ref="O255:O265" si="42">IF(O227=0,,O285/O227)</f>
        <v>1.16660824869212</v>
      </c>
      <c r="P255" s="96"/>
    </row>
    <row r="256" s="38" customFormat="1" ht="15" customHeight="1" spans="1:18">
      <c r="A256" s="115" t="s">
        <v>154</v>
      </c>
      <c r="B256" s="50" t="s">
        <v>123</v>
      </c>
      <c r="C256" s="231">
        <f>基础表!C276</f>
        <v>3.41285364268653</v>
      </c>
      <c r="D256" s="231">
        <f>基础表!D276</f>
        <v>3.52336697908445</v>
      </c>
      <c r="E256" s="231">
        <f>基础表!E276</f>
        <v>3.52140582686699</v>
      </c>
      <c r="F256" s="231">
        <f>基础表!F276</f>
        <v>3.61618788060897</v>
      </c>
      <c r="G256" s="231">
        <f>基础表!G276</f>
        <v>3.65609720567571</v>
      </c>
      <c r="H256" s="231">
        <f>基础表!H276</f>
        <v>3.65247835017692</v>
      </c>
      <c r="I256" s="231">
        <f>基础表!I276</f>
        <v>0</v>
      </c>
      <c r="J256" s="231">
        <f>基础表!J276</f>
        <v>0</v>
      </c>
      <c r="K256" s="231">
        <f>基础表!K276</f>
        <v>0</v>
      </c>
      <c r="L256" s="231">
        <f>基础表!L276</f>
        <v>0</v>
      </c>
      <c r="M256" s="231">
        <f>基础表!M276</f>
        <v>0</v>
      </c>
      <c r="N256" s="231">
        <f>基础表!N276</f>
        <v>0</v>
      </c>
      <c r="O256" s="231">
        <f ca="1" t="shared" si="42"/>
        <v>3.56375250351933</v>
      </c>
      <c r="P256" s="96"/>
    </row>
    <row r="257" s="38" customFormat="1" ht="15" customHeight="1" spans="1:18">
      <c r="A257" s="115" t="s">
        <v>272</v>
      </c>
      <c r="B257" s="50" t="s">
        <v>123</v>
      </c>
      <c r="C257" s="231">
        <f>基础表!C277</f>
        <v>2.43150575</v>
      </c>
      <c r="D257" s="231">
        <f>基础表!D277</f>
        <v>2.43155283333334</v>
      </c>
      <c r="E257" s="231">
        <f>基础表!E277</f>
        <v>2.43160305555555</v>
      </c>
      <c r="F257" s="231">
        <f>基础表!F277</f>
        <v>2.431534</v>
      </c>
      <c r="G257" s="231">
        <f>基础表!G277</f>
        <v>2.40523068181818</v>
      </c>
      <c r="H257" s="231">
        <f>基础表!H277</f>
        <v>2.40235431818182</v>
      </c>
      <c r="I257" s="231">
        <f>基础表!I277</f>
        <v>0</v>
      </c>
      <c r="J257" s="231">
        <f>基础表!J277</f>
        <v>0</v>
      </c>
      <c r="K257" s="231">
        <f>基础表!K277</f>
        <v>0</v>
      </c>
      <c r="L257" s="231">
        <f>基础表!L277</f>
        <v>0</v>
      </c>
      <c r="M257" s="231">
        <f>基础表!M277</f>
        <v>0</v>
      </c>
      <c r="N257" s="231">
        <f>基础表!N277</f>
        <v>0</v>
      </c>
      <c r="O257" s="231">
        <f ca="1" t="shared" si="42"/>
        <v>2.42341306666667</v>
      </c>
      <c r="P257" s="96"/>
      <c r="Q257" s="71"/>
      <c r="R257" s="71"/>
    </row>
    <row r="258" s="38" customFormat="1" ht="15" customHeight="1" spans="1:18">
      <c r="A258" s="115" t="s">
        <v>156</v>
      </c>
      <c r="B258" s="50" t="s">
        <v>123</v>
      </c>
      <c r="C258" s="231">
        <f>基础表!C278</f>
        <v>40.0000221703617</v>
      </c>
      <c r="D258" s="231">
        <f>基础表!D278</f>
        <v>40.0000389305816</v>
      </c>
      <c r="E258" s="231">
        <f>基础表!E278</f>
        <v>40.0000466724287</v>
      </c>
      <c r="F258" s="231">
        <f>基础表!F278</f>
        <v>39.99987512054</v>
      </c>
      <c r="G258" s="231">
        <f>基础表!G278</f>
        <v>40.0000578923564</v>
      </c>
      <c r="H258" s="231">
        <f>基础表!H278</f>
        <v>40.0000360024829</v>
      </c>
      <c r="I258" s="231">
        <f>基础表!I278</f>
        <v>0</v>
      </c>
      <c r="J258" s="231">
        <f>基础表!J278</f>
        <v>0</v>
      </c>
      <c r="K258" s="231">
        <f>基础表!K278</f>
        <v>0</v>
      </c>
      <c r="L258" s="231">
        <f>基础表!L278</f>
        <v>0</v>
      </c>
      <c r="M258" s="231">
        <f>基础表!M278</f>
        <v>0</v>
      </c>
      <c r="N258" s="231">
        <f>基础表!N278</f>
        <v>0</v>
      </c>
      <c r="O258" s="231">
        <f ca="1" t="shared" si="42"/>
        <v>40.0000140885984</v>
      </c>
      <c r="P258" s="96"/>
      <c r="Q258" s="71"/>
      <c r="R258" s="71"/>
    </row>
    <row r="259" s="38" customFormat="1" ht="15" customHeight="1" spans="1:18">
      <c r="A259" s="115" t="s">
        <v>157</v>
      </c>
      <c r="B259" s="50" t="s">
        <v>123</v>
      </c>
      <c r="C259" s="231">
        <f>基础表!C279</f>
        <v>20.7809752564103</v>
      </c>
      <c r="D259" s="231">
        <f>基础表!D279</f>
        <v>20.9876604622871</v>
      </c>
      <c r="E259" s="231">
        <f>基础表!E279</f>
        <v>20.9861807657247</v>
      </c>
      <c r="F259" s="231">
        <f>基础表!F279</f>
        <v>20.9948251861042</v>
      </c>
      <c r="G259" s="231">
        <f>基础表!G279</f>
        <v>20.9972599774521</v>
      </c>
      <c r="H259" s="231">
        <f>基础表!H279</f>
        <v>21.0000981280788</v>
      </c>
      <c r="I259" s="231">
        <f>基础表!I279</f>
        <v>0</v>
      </c>
      <c r="J259" s="231">
        <f>基础表!J279</f>
        <v>0</v>
      </c>
      <c r="K259" s="231">
        <f>基础表!K279</f>
        <v>0</v>
      </c>
      <c r="L259" s="231">
        <f>基础表!L279</f>
        <v>0</v>
      </c>
      <c r="M259" s="231">
        <f>基础表!M279</f>
        <v>0</v>
      </c>
      <c r="N259" s="231">
        <f>基础表!N279</f>
        <v>0</v>
      </c>
      <c r="O259" s="231">
        <f ca="1" t="shared" si="42"/>
        <v>20.9625219530239</v>
      </c>
      <c r="P259" s="96"/>
      <c r="Q259" s="68"/>
      <c r="R259" s="68"/>
    </row>
    <row r="260" s="38" customFormat="1" ht="15" customHeight="1" spans="1:18">
      <c r="A260" s="115" t="s">
        <v>158</v>
      </c>
      <c r="B260" s="50" t="s">
        <v>123</v>
      </c>
      <c r="C260" s="231">
        <f>基础表!C280</f>
        <v>40.0000214007781</v>
      </c>
      <c r="D260" s="231">
        <f>基础表!D280</f>
        <v>39.9999144295302</v>
      </c>
      <c r="E260" s="231">
        <f>基础表!E280</f>
        <v>40.0000091613813</v>
      </c>
      <c r="F260" s="231">
        <f>基础表!F280</f>
        <v>39.9999907539118</v>
      </c>
      <c r="G260" s="231">
        <f>基础表!G280</f>
        <v>40.0001513292434</v>
      </c>
      <c r="H260" s="231">
        <f>基础表!H280</f>
        <v>39.9998501783591</v>
      </c>
      <c r="I260" s="231">
        <f>基础表!I280</f>
        <v>0</v>
      </c>
      <c r="J260" s="231">
        <f>基础表!J280</f>
        <v>0</v>
      </c>
      <c r="K260" s="231">
        <f>基础表!K280</f>
        <v>0</v>
      </c>
      <c r="L260" s="231">
        <f>基础表!L280</f>
        <v>0</v>
      </c>
      <c r="M260" s="231">
        <f>基础表!M280</f>
        <v>0</v>
      </c>
      <c r="N260" s="231">
        <f>基础表!N280</f>
        <v>0</v>
      </c>
      <c r="O260" s="231">
        <f ca="1" t="shared" si="42"/>
        <v>39.9999781652767</v>
      </c>
      <c r="P260" s="96"/>
    </row>
    <row r="261" s="38" customFormat="1" ht="15" customHeight="1" spans="1:18">
      <c r="A261" s="115" t="s">
        <v>159</v>
      </c>
      <c r="B261" s="50" t="s">
        <v>123</v>
      </c>
      <c r="C261" s="231">
        <f>基础表!C281</f>
        <v>249.999145454546</v>
      </c>
      <c r="D261" s="231">
        <f>基础表!D281</f>
        <v>69.8826964125561</v>
      </c>
      <c r="E261" s="231">
        <f>基础表!E281</f>
        <v>69.3632483247931</v>
      </c>
      <c r="F261" s="231">
        <f>基础表!F281</f>
        <v>69.0764530379231</v>
      </c>
      <c r="G261" s="231">
        <f>基础表!G281</f>
        <v>69.0000267192956</v>
      </c>
      <c r="H261" s="231">
        <f>基础表!H281</f>
        <v>68.9999918391484</v>
      </c>
      <c r="I261" s="231">
        <f>基础表!I281</f>
        <v>0</v>
      </c>
      <c r="J261" s="231">
        <f>基础表!J281</f>
        <v>0</v>
      </c>
      <c r="K261" s="231">
        <f>基础表!K281</f>
        <v>0</v>
      </c>
      <c r="L261" s="231">
        <f>基础表!L281</f>
        <v>0</v>
      </c>
      <c r="M261" s="231">
        <f>基础表!M281</f>
        <v>0</v>
      </c>
      <c r="N261" s="231">
        <f>基础表!N281</f>
        <v>0</v>
      </c>
      <c r="O261" s="231">
        <f ca="1" t="shared" si="42"/>
        <v>70.0850340070977</v>
      </c>
      <c r="P261" s="96"/>
    </row>
    <row r="262" s="38" customFormat="1" ht="15" customHeight="1" spans="1:18">
      <c r="A262" s="115" t="s">
        <v>160</v>
      </c>
      <c r="B262" s="50" t="s">
        <v>123</v>
      </c>
      <c r="C262" s="231">
        <f>基础表!C282</f>
        <v>29.5999356666666</v>
      </c>
      <c r="D262" s="231">
        <f>基础表!D282</f>
        <v>29.6000754475703</v>
      </c>
      <c r="E262" s="231">
        <f>基础表!E282</f>
        <v>28.5918095474888</v>
      </c>
      <c r="F262" s="231">
        <f>基础表!F282</f>
        <v>27.7524303440496</v>
      </c>
      <c r="G262" s="231">
        <f>基础表!G282</f>
        <v>27.5747410015649</v>
      </c>
      <c r="H262" s="231">
        <f>基础表!H282</f>
        <v>27.5149243730407</v>
      </c>
      <c r="I262" s="231">
        <f>基础表!I282</f>
        <v>0</v>
      </c>
      <c r="J262" s="231">
        <f>基础表!J282</f>
        <v>0</v>
      </c>
      <c r="K262" s="231">
        <f>基础表!K282</f>
        <v>0</v>
      </c>
      <c r="L262" s="231">
        <f>基础表!L282</f>
        <v>0</v>
      </c>
      <c r="M262" s="231">
        <f>基础表!M282</f>
        <v>0</v>
      </c>
      <c r="N262" s="231">
        <f>基础表!N282</f>
        <v>0</v>
      </c>
      <c r="O262" s="231">
        <f ca="1" t="shared" si="42"/>
        <v>28.5805075617284</v>
      </c>
      <c r="P262" s="96"/>
    </row>
    <row r="263" s="38" customFormat="1" ht="15" customHeight="1" spans="1:18">
      <c r="A263" s="115" t="s">
        <v>161</v>
      </c>
      <c r="B263" s="50" t="s">
        <v>123</v>
      </c>
      <c r="C263" s="231">
        <f>基础表!C283</f>
        <v>0</v>
      </c>
      <c r="D263" s="231">
        <f>基础表!D283</f>
        <v>0</v>
      </c>
      <c r="E263" s="231">
        <f>基础表!E283</f>
        <v>0</v>
      </c>
      <c r="F263" s="231">
        <f>基础表!F283</f>
        <v>0</v>
      </c>
      <c r="G263" s="231">
        <f>基础表!G283</f>
        <v>598.000068</v>
      </c>
      <c r="H263" s="231">
        <f>基础表!H283</f>
        <v>597.999955</v>
      </c>
      <c r="I263" s="231">
        <f>基础表!I283</f>
        <v>0</v>
      </c>
      <c r="J263" s="231">
        <f>基础表!J283</f>
        <v>0</v>
      </c>
      <c r="K263" s="231">
        <f>基础表!K283</f>
        <v>0</v>
      </c>
      <c r="L263" s="231">
        <f>基础表!L283</f>
        <v>0</v>
      </c>
      <c r="M263" s="231">
        <f>基础表!M283</f>
        <v>0</v>
      </c>
      <c r="N263" s="231">
        <f>基础表!N283</f>
        <v>0</v>
      </c>
      <c r="O263" s="231">
        <f ca="1" t="shared" si="42"/>
        <v>597.999992666667</v>
      </c>
      <c r="P263" s="96"/>
    </row>
    <row r="264" s="38" customFormat="1" ht="15" customHeight="1" spans="1:18">
      <c r="A264" s="115" t="s">
        <v>162</v>
      </c>
      <c r="B264" s="50" t="s">
        <v>123</v>
      </c>
      <c r="C264" s="231">
        <f>基础表!C284</f>
        <v>0</v>
      </c>
      <c r="D264" s="231">
        <f>基础表!D284</f>
        <v>0</v>
      </c>
      <c r="E264" s="231">
        <f>基础表!E284</f>
        <v>0</v>
      </c>
      <c r="F264" s="231">
        <f>基础表!F284</f>
        <v>0</v>
      </c>
      <c r="G264" s="231">
        <f>基础表!G284</f>
        <v>0</v>
      </c>
      <c r="H264" s="231">
        <f>基础表!H284</f>
        <v>0</v>
      </c>
      <c r="I264" s="231">
        <f>基础表!I284</f>
        <v>0</v>
      </c>
      <c r="J264" s="231">
        <f>基础表!J284</f>
        <v>0</v>
      </c>
      <c r="K264" s="231">
        <f>基础表!K284</f>
        <v>0</v>
      </c>
      <c r="L264" s="231">
        <f>基础表!L284</f>
        <v>0</v>
      </c>
      <c r="M264" s="231">
        <f>基础表!M284</f>
        <v>0</v>
      </c>
      <c r="N264" s="231">
        <f>基础表!N284</f>
        <v>0</v>
      </c>
      <c r="O264" s="231">
        <f ca="1" t="shared" si="42"/>
        <v>0</v>
      </c>
      <c r="P264" s="96"/>
    </row>
    <row r="265" s="38" customFormat="1" ht="15" customHeight="1" spans="1:18">
      <c r="A265" s="115" t="s">
        <v>163</v>
      </c>
      <c r="B265" s="50" t="s">
        <v>123</v>
      </c>
      <c r="C265" s="231">
        <f>基础表!C285</f>
        <v>0</v>
      </c>
      <c r="D265" s="231">
        <f>基础表!D285</f>
        <v>0</v>
      </c>
      <c r="E265" s="231">
        <f>基础表!E285</f>
        <v>0</v>
      </c>
      <c r="F265" s="231">
        <f>基础表!F285</f>
        <v>0</v>
      </c>
      <c r="G265" s="231">
        <f>基础表!G285</f>
        <v>0</v>
      </c>
      <c r="H265" s="231">
        <f>基础表!H285</f>
        <v>0</v>
      </c>
      <c r="I265" s="231">
        <f>基础表!I285</f>
        <v>0</v>
      </c>
      <c r="J265" s="231">
        <f>基础表!J285</f>
        <v>0</v>
      </c>
      <c r="K265" s="231">
        <f>基础表!K285</f>
        <v>0</v>
      </c>
      <c r="L265" s="231">
        <f>基础表!L285</f>
        <v>0</v>
      </c>
      <c r="M265" s="231">
        <f>基础表!M285</f>
        <v>0</v>
      </c>
      <c r="N265" s="231">
        <f>基础表!N285</f>
        <v>0</v>
      </c>
      <c r="O265" s="231">
        <f ca="1" t="shared" si="42"/>
        <v>0</v>
      </c>
    </row>
    <row r="266" s="38" customFormat="1" ht="15" customHeight="1" spans="1:18">
      <c r="A266" s="227" t="s">
        <v>275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="38" customFormat="1" ht="15" customHeight="1" spans="1:18">
      <c r="A267" s="48" t="s">
        <v>276</v>
      </c>
      <c r="B267" s="230" t="s">
        <v>77</v>
      </c>
      <c r="C267" s="48" t="s">
        <v>220</v>
      </c>
      <c r="D267" s="107" t="s">
        <v>221</v>
      </c>
      <c r="E267" s="107" t="s">
        <v>222</v>
      </c>
      <c r="F267" s="107" t="s">
        <v>223</v>
      </c>
      <c r="G267" s="107" t="s">
        <v>224</v>
      </c>
      <c r="H267" s="107" t="s">
        <v>225</v>
      </c>
      <c r="I267" s="107" t="s">
        <v>226</v>
      </c>
      <c r="J267" s="107" t="s">
        <v>227</v>
      </c>
      <c r="K267" s="107" t="s">
        <v>228</v>
      </c>
      <c r="L267" s="107" t="s">
        <v>229</v>
      </c>
      <c r="M267" s="107" t="s">
        <v>230</v>
      </c>
      <c r="N267" s="107" t="s">
        <v>231</v>
      </c>
      <c r="O267" s="48" t="str">
        <f>CONCATENATE("1-"&amp;mth&amp;"月累计")</f>
        <v>1-8月累计</v>
      </c>
    </row>
    <row r="268" s="38" customFormat="1" ht="15" customHeight="1" spans="1:18">
      <c r="A268" s="115" t="s">
        <v>152</v>
      </c>
      <c r="B268" s="50" t="s">
        <v>123</v>
      </c>
      <c r="C268" s="52">
        <f t="shared" ref="C268:H279" si="43">C226*C240</f>
        <v>94476.09</v>
      </c>
      <c r="D268" s="52">
        <f t="shared" ref="D268:K268" si="44">D226*D240</f>
        <v>121141.59</v>
      </c>
      <c r="E268" s="52">
        <f t="shared" si="44"/>
        <v>119779.66</v>
      </c>
      <c r="F268" s="52">
        <f t="shared" si="44"/>
        <v>68358.19</v>
      </c>
      <c r="G268" s="52">
        <f t="shared" si="44"/>
        <v>54655.08</v>
      </c>
      <c r="H268" s="52">
        <f t="shared" si="44"/>
        <v>67610.63</v>
      </c>
      <c r="I268" s="52">
        <f t="shared" si="44"/>
        <v>0</v>
      </c>
      <c r="J268" s="52">
        <f t="shared" si="44"/>
        <v>0</v>
      </c>
      <c r="K268" s="52">
        <f t="shared" si="44"/>
        <v>0</v>
      </c>
      <c r="L268" s="52">
        <f t="shared" ref="L268:N268" si="45">L226*L240</f>
        <v>0</v>
      </c>
      <c r="M268" s="52">
        <f t="shared" si="45"/>
        <v>0</v>
      </c>
      <c r="N268" s="52">
        <f t="shared" si="45"/>
        <v>0</v>
      </c>
      <c r="O268" s="52">
        <f ca="1" t="shared" ref="O268:O280" si="46">SUM(OFFSET($C268,0,0,1,mth))</f>
        <v>526021.24</v>
      </c>
    </row>
    <row r="269" s="38" customFormat="1" ht="15" customHeight="1" spans="1:18">
      <c r="A269" s="115" t="s">
        <v>153</v>
      </c>
      <c r="B269" s="50" t="s">
        <v>123</v>
      </c>
      <c r="C269" s="52">
        <f t="shared" si="43"/>
        <v>19672.7500000001</v>
      </c>
      <c r="D269" s="52">
        <f t="shared" ref="D269:K269" si="47">D227*D241</f>
        <v>31199.94</v>
      </c>
      <c r="E269" s="52">
        <f t="shared" si="47"/>
        <v>25696.63</v>
      </c>
      <c r="F269" s="52">
        <f t="shared" si="47"/>
        <v>21102.2400000001</v>
      </c>
      <c r="G269" s="52">
        <f t="shared" si="47"/>
        <v>21945.22</v>
      </c>
      <c r="H269" s="52">
        <f t="shared" si="47"/>
        <v>27106.92</v>
      </c>
      <c r="I269" s="52">
        <f t="shared" si="47"/>
        <v>0</v>
      </c>
      <c r="J269" s="52">
        <f t="shared" si="47"/>
        <v>0</v>
      </c>
      <c r="K269" s="52">
        <f t="shared" si="47"/>
        <v>0</v>
      </c>
      <c r="L269" s="52">
        <f t="shared" ref="L269:N269" si="48">L227*L241</f>
        <v>0</v>
      </c>
      <c r="M269" s="52">
        <f t="shared" si="48"/>
        <v>0</v>
      </c>
      <c r="N269" s="52">
        <f t="shared" si="48"/>
        <v>0</v>
      </c>
      <c r="O269" s="52">
        <f ca="1" t="shared" si="46"/>
        <v>146723.7</v>
      </c>
    </row>
    <row r="270" s="38" customFormat="1" ht="15" customHeight="1" spans="1:18">
      <c r="A270" s="115" t="s">
        <v>154</v>
      </c>
      <c r="B270" s="50" t="s">
        <v>123</v>
      </c>
      <c r="C270" s="52">
        <f t="shared" si="43"/>
        <v>68783.8000000001</v>
      </c>
      <c r="D270" s="52">
        <f t="shared" ref="D270:K270" si="49">D228*D242</f>
        <v>126417.16</v>
      </c>
      <c r="E270" s="52">
        <f t="shared" si="49"/>
        <v>95742.35</v>
      </c>
      <c r="F270" s="52">
        <f t="shared" si="49"/>
        <v>79876.15</v>
      </c>
      <c r="G270" s="52">
        <f t="shared" si="49"/>
        <v>84733.45</v>
      </c>
      <c r="H270" s="52">
        <f t="shared" si="49"/>
        <v>96461.63</v>
      </c>
      <c r="I270" s="52">
        <f t="shared" si="49"/>
        <v>0</v>
      </c>
      <c r="J270" s="52">
        <f t="shared" si="49"/>
        <v>0</v>
      </c>
      <c r="K270" s="52">
        <f t="shared" si="49"/>
        <v>0</v>
      </c>
      <c r="L270" s="52">
        <f t="shared" ref="L270:N270" si="50">L228*L242</f>
        <v>0</v>
      </c>
      <c r="M270" s="52">
        <f t="shared" si="50"/>
        <v>0</v>
      </c>
      <c r="N270" s="52">
        <f t="shared" si="50"/>
        <v>0</v>
      </c>
      <c r="O270" s="52">
        <f ca="1" t="shared" si="46"/>
        <v>552014.54</v>
      </c>
    </row>
    <row r="271" s="38" customFormat="1" ht="15" customHeight="1" spans="1:18">
      <c r="A271" s="115" t="s">
        <v>155</v>
      </c>
      <c r="B271" s="50" t="s">
        <v>123</v>
      </c>
      <c r="C271" s="52">
        <f t="shared" si="43"/>
        <v>860.71</v>
      </c>
      <c r="D271" s="52">
        <f t="shared" ref="D271:K271" si="51">D229*D243</f>
        <v>1291.09</v>
      </c>
      <c r="E271" s="52">
        <f t="shared" si="51"/>
        <v>1549.34</v>
      </c>
      <c r="F271" s="52">
        <f t="shared" si="51"/>
        <v>860.72</v>
      </c>
      <c r="G271" s="52">
        <f t="shared" si="51"/>
        <v>936.55</v>
      </c>
      <c r="H271" s="52">
        <f t="shared" si="51"/>
        <v>935.43</v>
      </c>
      <c r="I271" s="52">
        <f t="shared" si="51"/>
        <v>0</v>
      </c>
      <c r="J271" s="52">
        <f t="shared" si="51"/>
        <v>0</v>
      </c>
      <c r="K271" s="52">
        <f t="shared" si="51"/>
        <v>0</v>
      </c>
      <c r="L271" s="52">
        <f t="shared" ref="L271:N271" si="52">L229*L243</f>
        <v>0</v>
      </c>
      <c r="M271" s="52">
        <f t="shared" si="52"/>
        <v>0</v>
      </c>
      <c r="N271" s="52">
        <f t="shared" si="52"/>
        <v>0</v>
      </c>
      <c r="O271" s="52">
        <f ca="1">SUM(OFFSET($C271,0,0,1,mth))</f>
        <v>6433.84</v>
      </c>
    </row>
    <row r="272" s="38" customFormat="1" ht="15" customHeight="1" spans="1:18">
      <c r="A272" s="115" t="s">
        <v>156</v>
      </c>
      <c r="B272" s="50" t="s">
        <v>123</v>
      </c>
      <c r="C272" s="52">
        <f t="shared" si="43"/>
        <v>12134.52</v>
      </c>
      <c r="D272" s="52">
        <f t="shared" ref="D272:K272" si="53">D230*D244</f>
        <v>7546.91</v>
      </c>
      <c r="E272" s="52">
        <f t="shared" si="53"/>
        <v>8191.16</v>
      </c>
      <c r="F272" s="52">
        <f t="shared" si="53"/>
        <v>7341.56999999999</v>
      </c>
      <c r="G272" s="52">
        <f t="shared" si="53"/>
        <v>7826.56</v>
      </c>
      <c r="H272" s="52">
        <f t="shared" si="53"/>
        <v>5702.66</v>
      </c>
      <c r="I272" s="52">
        <f t="shared" si="53"/>
        <v>0</v>
      </c>
      <c r="J272" s="52">
        <f t="shared" si="53"/>
        <v>0</v>
      </c>
      <c r="K272" s="52">
        <f t="shared" si="53"/>
        <v>0</v>
      </c>
      <c r="L272" s="52">
        <f t="shared" ref="L272:N272" si="54">L230*L244</f>
        <v>0</v>
      </c>
      <c r="M272" s="52">
        <f t="shared" si="54"/>
        <v>0</v>
      </c>
      <c r="N272" s="52">
        <f t="shared" si="54"/>
        <v>0</v>
      </c>
      <c r="O272" s="52">
        <f ca="1" t="shared" si="46"/>
        <v>48743.38</v>
      </c>
    </row>
    <row r="273" s="38" customFormat="1" ht="15" customHeight="1" spans="1:20">
      <c r="A273" s="115" t="s">
        <v>157</v>
      </c>
      <c r="B273" s="50" t="s">
        <v>123</v>
      </c>
      <c r="C273" s="52">
        <f t="shared" si="43"/>
        <v>14344.39</v>
      </c>
      <c r="D273" s="52">
        <f t="shared" ref="D273:K273" si="55">D231*D245</f>
        <v>15267.13</v>
      </c>
      <c r="E273" s="52">
        <f t="shared" si="55"/>
        <v>20373.31</v>
      </c>
      <c r="F273" s="52">
        <f t="shared" si="55"/>
        <v>14975.07</v>
      </c>
      <c r="G273" s="52">
        <f t="shared" si="55"/>
        <v>16481.92</v>
      </c>
      <c r="H273" s="52">
        <f t="shared" si="55"/>
        <v>18862.92</v>
      </c>
      <c r="I273" s="52">
        <f t="shared" si="55"/>
        <v>0</v>
      </c>
      <c r="J273" s="52">
        <f t="shared" si="55"/>
        <v>0</v>
      </c>
      <c r="K273" s="52">
        <f t="shared" si="55"/>
        <v>0</v>
      </c>
      <c r="L273" s="52">
        <f t="shared" ref="L273:N273" si="56">L231*L245</f>
        <v>0</v>
      </c>
      <c r="M273" s="52">
        <f t="shared" si="56"/>
        <v>0</v>
      </c>
      <c r="N273" s="52">
        <f t="shared" si="56"/>
        <v>0</v>
      </c>
      <c r="O273" s="52">
        <f ca="1" t="shared" si="46"/>
        <v>100304.74</v>
      </c>
    </row>
    <row r="274" s="38" customFormat="1" ht="15" customHeight="1" spans="1:20">
      <c r="A274" s="115" t="s">
        <v>158</v>
      </c>
      <c r="B274" s="50" t="s">
        <v>123</v>
      </c>
      <c r="C274" s="52">
        <f t="shared" si="43"/>
        <v>1819.47</v>
      </c>
      <c r="D274" s="52">
        <f t="shared" ref="D274:K274" si="57">D232*D246</f>
        <v>2109.73</v>
      </c>
      <c r="E274" s="52">
        <f t="shared" si="57"/>
        <v>5023.01</v>
      </c>
      <c r="F274" s="52">
        <f t="shared" si="57"/>
        <v>4976.98999999999</v>
      </c>
      <c r="G274" s="52">
        <f t="shared" si="57"/>
        <v>3461.96</v>
      </c>
      <c r="H274" s="52">
        <f t="shared" si="57"/>
        <v>5953.96</v>
      </c>
      <c r="I274" s="52">
        <f t="shared" si="57"/>
        <v>0</v>
      </c>
      <c r="J274" s="52">
        <f t="shared" si="57"/>
        <v>0</v>
      </c>
      <c r="K274" s="52">
        <f t="shared" si="57"/>
        <v>0</v>
      </c>
      <c r="L274" s="52">
        <f t="shared" ref="L274:N274" si="58">L232*L246</f>
        <v>0</v>
      </c>
      <c r="M274" s="52">
        <f t="shared" si="58"/>
        <v>0</v>
      </c>
      <c r="N274" s="52">
        <f t="shared" si="58"/>
        <v>0</v>
      </c>
      <c r="O274" s="52">
        <f ca="1" t="shared" si="46"/>
        <v>23345.12</v>
      </c>
    </row>
    <row r="275" s="38" customFormat="1" ht="15" customHeight="1" spans="1:20">
      <c r="A275" s="115" t="s">
        <v>159</v>
      </c>
      <c r="B275" s="50" t="s">
        <v>123</v>
      </c>
      <c r="C275" s="52">
        <f t="shared" si="43"/>
        <v>3650.43</v>
      </c>
      <c r="D275" s="52">
        <f t="shared" ref="D275:K275" si="59">D233*D247</f>
        <v>13791.01</v>
      </c>
      <c r="E275" s="52">
        <f t="shared" si="59"/>
        <v>46718.91</v>
      </c>
      <c r="F275" s="52">
        <f t="shared" si="59"/>
        <v>44973.05</v>
      </c>
      <c r="G275" s="52">
        <f t="shared" si="59"/>
        <v>40221.52</v>
      </c>
      <c r="H275" s="52">
        <f t="shared" si="59"/>
        <v>51627.87</v>
      </c>
      <c r="I275" s="52">
        <f t="shared" si="59"/>
        <v>0</v>
      </c>
      <c r="J275" s="52">
        <f t="shared" si="59"/>
        <v>0</v>
      </c>
      <c r="K275" s="52">
        <f t="shared" si="59"/>
        <v>0</v>
      </c>
      <c r="L275" s="52">
        <f t="shared" ref="L275:N275" si="60">L233*L247</f>
        <v>0</v>
      </c>
      <c r="M275" s="52">
        <f t="shared" si="60"/>
        <v>0</v>
      </c>
      <c r="N275" s="52">
        <f t="shared" si="60"/>
        <v>0</v>
      </c>
      <c r="O275" s="52">
        <f ca="1" t="shared" si="46"/>
        <v>200982.79</v>
      </c>
    </row>
    <row r="276" s="38" customFormat="1" ht="15" customHeight="1" spans="1:20">
      <c r="A276" s="115" t="s">
        <v>160</v>
      </c>
      <c r="B276" s="50" t="s">
        <v>123</v>
      </c>
      <c r="C276" s="52">
        <f t="shared" si="43"/>
        <v>7858.38999999999</v>
      </c>
      <c r="D276" s="52">
        <f t="shared" ref="D276:K276" si="61">D234*D248</f>
        <v>6145.29</v>
      </c>
      <c r="E276" s="52">
        <f t="shared" si="61"/>
        <v>5088.32999999999</v>
      </c>
      <c r="F276" s="52">
        <f t="shared" si="61"/>
        <v>4354.43</v>
      </c>
      <c r="G276" s="52">
        <f t="shared" si="61"/>
        <v>3118.63</v>
      </c>
      <c r="H276" s="52">
        <f t="shared" si="61"/>
        <v>6213.99</v>
      </c>
      <c r="I276" s="52">
        <f t="shared" si="61"/>
        <v>0</v>
      </c>
      <c r="J276" s="52">
        <f t="shared" si="61"/>
        <v>0</v>
      </c>
      <c r="K276" s="52">
        <f t="shared" si="61"/>
        <v>0</v>
      </c>
      <c r="L276" s="52">
        <f t="shared" ref="L276:N276" si="62">L234*L248</f>
        <v>0</v>
      </c>
      <c r="M276" s="52">
        <f t="shared" si="62"/>
        <v>0</v>
      </c>
      <c r="N276" s="52">
        <f t="shared" si="62"/>
        <v>0</v>
      </c>
      <c r="O276" s="52">
        <f ca="1" t="shared" si="46"/>
        <v>32779.06</v>
      </c>
    </row>
    <row r="277" s="38" customFormat="1" ht="15" customHeight="1" spans="1:20">
      <c r="A277" s="115" t="s">
        <v>161</v>
      </c>
      <c r="B277" s="50" t="s">
        <v>123</v>
      </c>
      <c r="C277" s="52">
        <f t="shared" si="43"/>
        <v>0</v>
      </c>
      <c r="D277" s="52">
        <f t="shared" ref="D277:K277" si="63">D235*D249</f>
        <v>0</v>
      </c>
      <c r="E277" s="52">
        <f t="shared" si="63"/>
        <v>0</v>
      </c>
      <c r="F277" s="52">
        <f t="shared" si="63"/>
        <v>0</v>
      </c>
      <c r="G277" s="52">
        <f t="shared" si="63"/>
        <v>26460.18</v>
      </c>
      <c r="H277" s="52">
        <f t="shared" si="63"/>
        <v>52920.35</v>
      </c>
      <c r="I277" s="52">
        <f t="shared" si="63"/>
        <v>0</v>
      </c>
      <c r="J277" s="52">
        <f t="shared" si="63"/>
        <v>0</v>
      </c>
      <c r="K277" s="52">
        <f t="shared" si="63"/>
        <v>0</v>
      </c>
      <c r="L277" s="52">
        <f t="shared" ref="L277:N277" si="64">L235*L249</f>
        <v>0</v>
      </c>
      <c r="M277" s="52">
        <f t="shared" si="64"/>
        <v>0</v>
      </c>
      <c r="N277" s="52">
        <f t="shared" si="64"/>
        <v>0</v>
      </c>
      <c r="O277" s="52">
        <f ca="1" t="shared" si="46"/>
        <v>79380.53</v>
      </c>
    </row>
    <row r="278" s="38" customFormat="1" ht="15" customHeight="1" spans="1:20">
      <c r="A278" s="115" t="s">
        <v>162</v>
      </c>
      <c r="B278" s="50" t="s">
        <v>123</v>
      </c>
      <c r="C278" s="52">
        <f t="shared" si="43"/>
        <v>0</v>
      </c>
      <c r="D278" s="52">
        <f t="shared" ref="D278:K279" si="65">D236*D250</f>
        <v>0</v>
      </c>
      <c r="E278" s="52">
        <f t="shared" si="65"/>
        <v>0</v>
      </c>
      <c r="F278" s="52">
        <f t="shared" si="65"/>
        <v>0</v>
      </c>
      <c r="G278" s="52">
        <f t="shared" si="65"/>
        <v>0</v>
      </c>
      <c r="H278" s="52">
        <f t="shared" si="65"/>
        <v>0</v>
      </c>
      <c r="I278" s="52">
        <f t="shared" si="65"/>
        <v>0</v>
      </c>
      <c r="J278" s="52">
        <f t="shared" si="65"/>
        <v>0</v>
      </c>
      <c r="K278" s="52">
        <f t="shared" si="65"/>
        <v>0</v>
      </c>
      <c r="L278" s="52">
        <f t="shared" ref="L278:N278" si="66">L236*L250</f>
        <v>0</v>
      </c>
      <c r="M278" s="52">
        <f t="shared" si="66"/>
        <v>0</v>
      </c>
      <c r="N278" s="52">
        <f t="shared" si="66"/>
        <v>0</v>
      </c>
      <c r="O278" s="52">
        <f ca="1" t="shared" si="46"/>
        <v>0</v>
      </c>
    </row>
    <row r="279" s="38" customFormat="1" ht="15" customHeight="1" spans="1:20">
      <c r="A279" s="115" t="s">
        <v>163</v>
      </c>
      <c r="B279" s="50" t="s">
        <v>123</v>
      </c>
      <c r="C279" s="52">
        <f t="shared" si="43"/>
        <v>0</v>
      </c>
      <c r="D279" s="52">
        <f t="shared" si="43"/>
        <v>0</v>
      </c>
      <c r="E279" s="52">
        <f t="shared" si="43"/>
        <v>0</v>
      </c>
      <c r="F279" s="52">
        <f t="shared" si="43"/>
        <v>0</v>
      </c>
      <c r="G279" s="52">
        <f t="shared" si="43"/>
        <v>0</v>
      </c>
      <c r="H279" s="52">
        <f t="shared" si="43"/>
        <v>0</v>
      </c>
      <c r="I279" s="52">
        <f t="shared" si="65"/>
        <v>0</v>
      </c>
      <c r="J279" s="52">
        <f t="shared" si="65"/>
        <v>0</v>
      </c>
      <c r="K279" s="52">
        <f t="shared" si="65"/>
        <v>0</v>
      </c>
      <c r="L279" s="52">
        <f t="shared" ref="L279:N279" si="67">L237*L251</f>
        <v>0</v>
      </c>
      <c r="M279" s="52">
        <f t="shared" si="67"/>
        <v>0</v>
      </c>
      <c r="N279" s="52">
        <f t="shared" si="67"/>
        <v>0</v>
      </c>
      <c r="O279" s="52">
        <f ca="1" t="shared" si="46"/>
        <v>0</v>
      </c>
      <c r="P279" s="430"/>
    </row>
    <row r="280" s="38" customFormat="1" ht="15" customHeight="1" spans="1:20">
      <c r="A280" s="115" t="s">
        <v>49</v>
      </c>
      <c r="B280" s="50" t="s">
        <v>123</v>
      </c>
      <c r="C280" s="52">
        <f>基础表!C300</f>
        <v>3111.79</v>
      </c>
      <c r="D280" s="52">
        <f>基础表!D300</f>
        <v>6802.43</v>
      </c>
      <c r="E280" s="52">
        <f>基础表!E300</f>
        <v>9403.96999999997</v>
      </c>
      <c r="F280" s="52">
        <f>基础表!F300</f>
        <v>6984.72</v>
      </c>
      <c r="G280" s="52">
        <f>基础表!G300</f>
        <v>8022.82000000007</v>
      </c>
      <c r="H280" s="52">
        <f>基础表!H300</f>
        <v>7679.35999999999</v>
      </c>
      <c r="I280" s="52">
        <f>基础表!I300</f>
        <v>0</v>
      </c>
      <c r="J280" s="52">
        <f>基础表!J300</f>
        <v>0</v>
      </c>
      <c r="K280" s="52">
        <f>基础表!K300</f>
        <v>0</v>
      </c>
      <c r="L280" s="52">
        <f>基础表!L300</f>
        <v>0</v>
      </c>
      <c r="M280" s="52">
        <f>基础表!M300</f>
        <v>0</v>
      </c>
      <c r="N280" s="52">
        <f>基础表!N300</f>
        <v>0</v>
      </c>
      <c r="O280" s="52">
        <f ca="1" t="shared" si="46"/>
        <v>42005.09</v>
      </c>
    </row>
    <row r="281" s="38" customFormat="1" ht="15" customHeight="1" spans="1:20">
      <c r="A281" s="431" t="s">
        <v>277</v>
      </c>
      <c r="B281" s="50" t="s">
        <v>123</v>
      </c>
      <c r="C281" s="309">
        <f>基础表!C301</f>
        <v>226712.34</v>
      </c>
      <c r="D281" s="309">
        <f>基础表!D301</f>
        <v>331712.28</v>
      </c>
      <c r="E281" s="309">
        <f>基础表!E301</f>
        <v>337566.67</v>
      </c>
      <c r="F281" s="309">
        <f>基础表!F301</f>
        <v>253803.13</v>
      </c>
      <c r="G281" s="309">
        <f>基础表!G301</f>
        <v>267863.89</v>
      </c>
      <c r="H281" s="309">
        <f>基础表!H301</f>
        <v>341075.72</v>
      </c>
      <c r="I281" s="309">
        <f>基础表!I301</f>
        <v>0</v>
      </c>
      <c r="J281" s="309">
        <f>基础表!J301</f>
        <v>0</v>
      </c>
      <c r="K281" s="309">
        <f>基础表!K301</f>
        <v>0</v>
      </c>
      <c r="L281" s="309">
        <f>基础表!L301</f>
        <v>0</v>
      </c>
      <c r="M281" s="309">
        <f>基础表!M301</f>
        <v>0</v>
      </c>
      <c r="N281" s="309">
        <f>基础表!N301</f>
        <v>0</v>
      </c>
      <c r="O281" s="51">
        <f ca="1">SUM(OFFSET($C281,0,0,1,mth))</f>
        <v>1758734.03</v>
      </c>
      <c r="P281" s="382"/>
      <c r="Q281"/>
      <c r="R281"/>
      <c r="S281"/>
      <c r="T281"/>
    </row>
    <row r="282" s="38" customFormat="1" ht="15" customHeight="1" spans="1:20">
      <c r="A282" s="227" t="s">
        <v>278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="38" customFormat="1" ht="15" customHeight="1" spans="1:20">
      <c r="A283" s="48" t="s">
        <v>276</v>
      </c>
      <c r="B283" s="230" t="s">
        <v>77</v>
      </c>
      <c r="C283" s="48" t="s">
        <v>220</v>
      </c>
      <c r="D283" s="107" t="s">
        <v>221</v>
      </c>
      <c r="E283" s="107" t="s">
        <v>222</v>
      </c>
      <c r="F283" s="107" t="s">
        <v>223</v>
      </c>
      <c r="G283" s="107" t="s">
        <v>224</v>
      </c>
      <c r="H283" s="107" t="s">
        <v>225</v>
      </c>
      <c r="I283" s="107" t="s">
        <v>226</v>
      </c>
      <c r="J283" s="107" t="s">
        <v>227</v>
      </c>
      <c r="K283" s="107" t="s">
        <v>228</v>
      </c>
      <c r="L283" s="107" t="s">
        <v>229</v>
      </c>
      <c r="M283" s="107" t="s">
        <v>230</v>
      </c>
      <c r="N283" s="107" t="s">
        <v>231</v>
      </c>
      <c r="O283" s="48" t="str">
        <f>CONCATENATE("1-"&amp;mth&amp;"月累计")</f>
        <v>1-8月累计</v>
      </c>
    </row>
    <row r="284" s="38" customFormat="1" ht="15" customHeight="1" spans="1:20">
      <c r="A284" s="115" t="s">
        <v>152</v>
      </c>
      <c r="B284" s="50" t="s">
        <v>123</v>
      </c>
      <c r="C284" s="52">
        <f>C226*C240*1.13</f>
        <v>106757.9817</v>
      </c>
      <c r="D284" s="52">
        <f t="shared" ref="D284:N284" si="68">D226*D240*1.13</f>
        <v>136889.9967</v>
      </c>
      <c r="E284" s="52">
        <f t="shared" si="68"/>
        <v>135351.0158</v>
      </c>
      <c r="F284" s="52">
        <f t="shared" si="68"/>
        <v>77244.7547</v>
      </c>
      <c r="G284" s="52">
        <f t="shared" si="68"/>
        <v>61760.2404</v>
      </c>
      <c r="H284" s="52">
        <f t="shared" si="68"/>
        <v>76400.0119</v>
      </c>
      <c r="I284" s="52">
        <f t="shared" si="68"/>
        <v>0</v>
      </c>
      <c r="J284" s="52">
        <f t="shared" si="68"/>
        <v>0</v>
      </c>
      <c r="K284" s="52">
        <f t="shared" si="68"/>
        <v>0</v>
      </c>
      <c r="L284" s="52">
        <f t="shared" si="68"/>
        <v>0</v>
      </c>
      <c r="M284" s="52">
        <f t="shared" si="68"/>
        <v>0</v>
      </c>
      <c r="N284" s="52">
        <f t="shared" si="68"/>
        <v>0</v>
      </c>
      <c r="O284" s="52">
        <f ca="1" t="shared" ref="O284:O296" si="69">SUM(OFFSET($C284,0,0,1,mth))</f>
        <v>594404.0012</v>
      </c>
    </row>
    <row r="285" s="38" customFormat="1" ht="15" customHeight="1" spans="1:20">
      <c r="A285" s="115" t="s">
        <v>153</v>
      </c>
      <c r="B285" s="50" t="s">
        <v>123</v>
      </c>
      <c r="C285" s="52">
        <f t="shared" ref="C285:N295" si="70">C227*C241*1.13</f>
        <v>22230.2075000001</v>
      </c>
      <c r="D285" s="52">
        <f t="shared" si="70"/>
        <v>35255.9322</v>
      </c>
      <c r="E285" s="52">
        <f t="shared" si="70"/>
        <v>29037.1919</v>
      </c>
      <c r="F285" s="52">
        <f t="shared" si="70"/>
        <v>23845.5312000001</v>
      </c>
      <c r="G285" s="52">
        <f t="shared" si="70"/>
        <v>24798.0986</v>
      </c>
      <c r="H285" s="52">
        <f t="shared" si="70"/>
        <v>30630.8196</v>
      </c>
      <c r="I285" s="52">
        <f t="shared" si="70"/>
        <v>0</v>
      </c>
      <c r="J285" s="52">
        <f t="shared" si="70"/>
        <v>0</v>
      </c>
      <c r="K285" s="52">
        <f t="shared" si="70"/>
        <v>0</v>
      </c>
      <c r="L285" s="52">
        <f t="shared" si="70"/>
        <v>0</v>
      </c>
      <c r="M285" s="52">
        <f t="shared" si="70"/>
        <v>0</v>
      </c>
      <c r="N285" s="52">
        <f t="shared" si="70"/>
        <v>0</v>
      </c>
      <c r="O285" s="52">
        <f ca="1" t="shared" si="69"/>
        <v>165797.781</v>
      </c>
    </row>
    <row r="286" s="38" customFormat="1" ht="15" customHeight="1" spans="1:20">
      <c r="A286" s="115" t="s">
        <v>154</v>
      </c>
      <c r="B286" s="50" t="s">
        <v>123</v>
      </c>
      <c r="C286" s="52">
        <f t="shared" si="70"/>
        <v>77725.6940000001</v>
      </c>
      <c r="D286" s="52">
        <f t="shared" si="70"/>
        <v>142851.3908</v>
      </c>
      <c r="E286" s="52">
        <f t="shared" si="70"/>
        <v>108188.8555</v>
      </c>
      <c r="F286" s="52">
        <f t="shared" si="70"/>
        <v>90260.0495</v>
      </c>
      <c r="G286" s="52">
        <f>G228*G242*1.13</f>
        <v>95748.7985</v>
      </c>
      <c r="H286" s="52">
        <f t="shared" si="70"/>
        <v>109001.6419</v>
      </c>
      <c r="I286" s="52">
        <f t="shared" si="70"/>
        <v>0</v>
      </c>
      <c r="J286" s="52">
        <f t="shared" si="70"/>
        <v>0</v>
      </c>
      <c r="K286" s="52">
        <f t="shared" si="70"/>
        <v>0</v>
      </c>
      <c r="L286" s="52">
        <f t="shared" si="70"/>
        <v>0</v>
      </c>
      <c r="M286" s="52">
        <f t="shared" si="70"/>
        <v>0</v>
      </c>
      <c r="N286" s="52">
        <f t="shared" si="70"/>
        <v>0</v>
      </c>
      <c r="O286" s="52">
        <f ca="1" t="shared" si="69"/>
        <v>623776.4302</v>
      </c>
    </row>
    <row r="287" s="38" customFormat="1" ht="15" customHeight="1" spans="1:20">
      <c r="A287" s="115" t="s">
        <v>155</v>
      </c>
      <c r="B287" s="50" t="s">
        <v>123</v>
      </c>
      <c r="C287" s="52">
        <f t="shared" si="70"/>
        <v>972.6023</v>
      </c>
      <c r="D287" s="52">
        <f t="shared" si="70"/>
        <v>1458.9317</v>
      </c>
      <c r="E287" s="52">
        <f t="shared" si="70"/>
        <v>1750.7542</v>
      </c>
      <c r="F287" s="52">
        <f t="shared" si="70"/>
        <v>972.6136</v>
      </c>
      <c r="G287" s="52">
        <f t="shared" si="70"/>
        <v>1058.3015</v>
      </c>
      <c r="H287" s="52">
        <f t="shared" si="70"/>
        <v>1057.0359</v>
      </c>
      <c r="I287" s="52">
        <f t="shared" si="70"/>
        <v>0</v>
      </c>
      <c r="J287" s="52">
        <f t="shared" si="70"/>
        <v>0</v>
      </c>
      <c r="K287" s="52">
        <f t="shared" si="70"/>
        <v>0</v>
      </c>
      <c r="L287" s="52">
        <f t="shared" si="70"/>
        <v>0</v>
      </c>
      <c r="M287" s="52">
        <f t="shared" si="70"/>
        <v>0</v>
      </c>
      <c r="N287" s="52">
        <f t="shared" si="70"/>
        <v>0</v>
      </c>
      <c r="O287" s="52">
        <f ca="1">SUM(OFFSET($C287,0,0,1,mth))</f>
        <v>7270.2392</v>
      </c>
    </row>
    <row r="288" s="38" customFormat="1" ht="15" customHeight="1" spans="1:20">
      <c r="A288" s="115" t="s">
        <v>156</v>
      </c>
      <c r="B288" s="50" t="s">
        <v>123</v>
      </c>
      <c r="C288" s="52">
        <f t="shared" si="70"/>
        <v>13712.0076</v>
      </c>
      <c r="D288" s="52">
        <f t="shared" si="70"/>
        <v>8528.0083</v>
      </c>
      <c r="E288" s="52">
        <f t="shared" si="70"/>
        <v>9256.0108</v>
      </c>
      <c r="F288" s="52">
        <f t="shared" si="70"/>
        <v>8295.97409999999</v>
      </c>
      <c r="G288" s="52">
        <f t="shared" si="70"/>
        <v>8844.0128</v>
      </c>
      <c r="H288" s="52">
        <f t="shared" si="70"/>
        <v>6444.0058</v>
      </c>
      <c r="I288" s="52">
        <f t="shared" si="70"/>
        <v>0</v>
      </c>
      <c r="J288" s="52">
        <f t="shared" si="70"/>
        <v>0</v>
      </c>
      <c r="K288" s="52">
        <f t="shared" si="70"/>
        <v>0</v>
      </c>
      <c r="L288" s="52">
        <f t="shared" si="70"/>
        <v>0</v>
      </c>
      <c r="M288" s="52">
        <f t="shared" si="70"/>
        <v>0</v>
      </c>
      <c r="N288" s="52">
        <f t="shared" si="70"/>
        <v>0</v>
      </c>
      <c r="O288" s="52">
        <f ca="1" t="shared" si="69"/>
        <v>55080.0194</v>
      </c>
    </row>
    <row r="289" s="38" customFormat="1" ht="15" customHeight="1" spans="1:20">
      <c r="A289" s="115" t="s">
        <v>157</v>
      </c>
      <c r="B289" s="50" t="s">
        <v>123</v>
      </c>
      <c r="C289" s="52">
        <f t="shared" si="70"/>
        <v>16209.1607</v>
      </c>
      <c r="D289" s="52">
        <f t="shared" si="70"/>
        <v>17251.8569</v>
      </c>
      <c r="E289" s="52">
        <f t="shared" si="70"/>
        <v>23021.8403</v>
      </c>
      <c r="F289" s="52">
        <f t="shared" si="70"/>
        <v>16921.8291</v>
      </c>
      <c r="G289" s="52">
        <f t="shared" si="70"/>
        <v>18624.5696</v>
      </c>
      <c r="H289" s="52">
        <f t="shared" si="70"/>
        <v>21315.0996</v>
      </c>
      <c r="I289" s="52">
        <f t="shared" si="70"/>
        <v>0</v>
      </c>
      <c r="J289" s="52">
        <f t="shared" si="70"/>
        <v>0</v>
      </c>
      <c r="K289" s="52">
        <f t="shared" si="70"/>
        <v>0</v>
      </c>
      <c r="L289" s="52">
        <f t="shared" si="70"/>
        <v>0</v>
      </c>
      <c r="M289" s="52">
        <f t="shared" si="70"/>
        <v>0</v>
      </c>
      <c r="N289" s="52">
        <f t="shared" si="70"/>
        <v>0</v>
      </c>
      <c r="O289" s="52">
        <f ca="1" t="shared" si="69"/>
        <v>113344.3562</v>
      </c>
    </row>
    <row r="290" s="38" customFormat="1" ht="15" customHeight="1" spans="1:20">
      <c r="A290" s="115" t="s">
        <v>158</v>
      </c>
      <c r="B290" s="50" t="s">
        <v>123</v>
      </c>
      <c r="C290" s="52">
        <f t="shared" si="70"/>
        <v>2056.0011</v>
      </c>
      <c r="D290" s="52">
        <f t="shared" si="70"/>
        <v>2383.9949</v>
      </c>
      <c r="E290" s="52">
        <f t="shared" si="70"/>
        <v>5676.0013</v>
      </c>
      <c r="F290" s="52">
        <f t="shared" si="70"/>
        <v>5623.99869999999</v>
      </c>
      <c r="G290" s="52">
        <f t="shared" si="70"/>
        <v>3912.0148</v>
      </c>
      <c r="H290" s="52">
        <f t="shared" si="70"/>
        <v>6727.9748</v>
      </c>
      <c r="I290" s="52">
        <f t="shared" si="70"/>
        <v>0</v>
      </c>
      <c r="J290" s="52">
        <f t="shared" si="70"/>
        <v>0</v>
      </c>
      <c r="K290" s="52">
        <f t="shared" si="70"/>
        <v>0</v>
      </c>
      <c r="L290" s="52">
        <f t="shared" si="70"/>
        <v>0</v>
      </c>
      <c r="M290" s="52">
        <f t="shared" si="70"/>
        <v>0</v>
      </c>
      <c r="N290" s="52">
        <f t="shared" si="70"/>
        <v>0</v>
      </c>
      <c r="O290" s="52">
        <f ca="1" t="shared" si="69"/>
        <v>26379.9856</v>
      </c>
    </row>
    <row r="291" s="38" customFormat="1" ht="15" customHeight="1" spans="1:20">
      <c r="A291" s="115" t="s">
        <v>159</v>
      </c>
      <c r="B291" s="50" t="s">
        <v>123</v>
      </c>
      <c r="C291" s="52">
        <f t="shared" si="70"/>
        <v>4124.9859</v>
      </c>
      <c r="D291" s="52">
        <f t="shared" si="70"/>
        <v>15583.8413</v>
      </c>
      <c r="E291" s="52">
        <f t="shared" si="70"/>
        <v>52792.3683</v>
      </c>
      <c r="F291" s="52">
        <f t="shared" si="70"/>
        <v>50819.5465</v>
      </c>
      <c r="G291" s="52">
        <f t="shared" si="70"/>
        <v>45450.3176</v>
      </c>
      <c r="H291" s="52">
        <f t="shared" si="70"/>
        <v>58339.4931</v>
      </c>
      <c r="I291" s="52">
        <f t="shared" si="70"/>
        <v>0</v>
      </c>
      <c r="J291" s="52">
        <f t="shared" si="70"/>
        <v>0</v>
      </c>
      <c r="K291" s="52">
        <f t="shared" si="70"/>
        <v>0</v>
      </c>
      <c r="L291" s="52">
        <f t="shared" si="70"/>
        <v>0</v>
      </c>
      <c r="M291" s="52">
        <f t="shared" si="70"/>
        <v>0</v>
      </c>
      <c r="N291" s="52">
        <f t="shared" si="70"/>
        <v>0</v>
      </c>
      <c r="O291" s="52">
        <f ca="1" t="shared" si="69"/>
        <v>227110.5527</v>
      </c>
    </row>
    <row r="292" s="38" customFormat="1" ht="15" customHeight="1" spans="1:20">
      <c r="A292" s="115" t="s">
        <v>160</v>
      </c>
      <c r="B292" s="50" t="s">
        <v>123</v>
      </c>
      <c r="C292" s="52">
        <f t="shared" si="70"/>
        <v>8879.98069999999</v>
      </c>
      <c r="D292" s="52">
        <f t="shared" si="70"/>
        <v>6944.1777</v>
      </c>
      <c r="E292" s="52">
        <f t="shared" si="70"/>
        <v>5749.81289999999</v>
      </c>
      <c r="F292" s="52">
        <f t="shared" si="70"/>
        <v>4920.5059</v>
      </c>
      <c r="G292" s="52">
        <f t="shared" si="70"/>
        <v>3524.0519</v>
      </c>
      <c r="H292" s="52">
        <f t="shared" si="70"/>
        <v>7021.8087</v>
      </c>
      <c r="I292" s="52">
        <f t="shared" si="70"/>
        <v>0</v>
      </c>
      <c r="J292" s="52">
        <f t="shared" si="70"/>
        <v>0</v>
      </c>
      <c r="K292" s="52">
        <f t="shared" si="70"/>
        <v>0</v>
      </c>
      <c r="L292" s="52">
        <f t="shared" si="70"/>
        <v>0</v>
      </c>
      <c r="M292" s="52">
        <f t="shared" si="70"/>
        <v>0</v>
      </c>
      <c r="N292" s="52">
        <f t="shared" si="70"/>
        <v>0</v>
      </c>
      <c r="O292" s="52">
        <f ca="1" t="shared" si="69"/>
        <v>37040.3378</v>
      </c>
    </row>
    <row r="293" s="38" customFormat="1" ht="15" customHeight="1" spans="1:20">
      <c r="A293" s="115" t="s">
        <v>161</v>
      </c>
      <c r="B293" s="50" t="s">
        <v>123</v>
      </c>
      <c r="C293" s="52">
        <f t="shared" si="70"/>
        <v>0</v>
      </c>
      <c r="D293" s="52">
        <f t="shared" si="70"/>
        <v>0</v>
      </c>
      <c r="E293" s="52">
        <f t="shared" si="70"/>
        <v>0</v>
      </c>
      <c r="F293" s="52">
        <f t="shared" si="70"/>
        <v>0</v>
      </c>
      <c r="G293" s="52">
        <f t="shared" si="70"/>
        <v>29900.0034</v>
      </c>
      <c r="H293" s="52">
        <f t="shared" si="70"/>
        <v>59799.9955</v>
      </c>
      <c r="I293" s="52">
        <f t="shared" si="70"/>
        <v>0</v>
      </c>
      <c r="J293" s="52">
        <f t="shared" si="70"/>
        <v>0</v>
      </c>
      <c r="K293" s="52">
        <f t="shared" si="70"/>
        <v>0</v>
      </c>
      <c r="L293" s="52">
        <f t="shared" si="70"/>
        <v>0</v>
      </c>
      <c r="M293" s="52">
        <f t="shared" si="70"/>
        <v>0</v>
      </c>
      <c r="N293" s="52">
        <f t="shared" si="70"/>
        <v>0</v>
      </c>
      <c r="O293" s="52">
        <f ca="1" t="shared" si="69"/>
        <v>89699.9989</v>
      </c>
    </row>
    <row r="294" s="38" customFormat="1" ht="15" customHeight="1" spans="1:20">
      <c r="A294" s="115" t="s">
        <v>162</v>
      </c>
      <c r="B294" s="50" t="s">
        <v>123</v>
      </c>
      <c r="C294" s="52">
        <f t="shared" si="70"/>
        <v>0</v>
      </c>
      <c r="D294" s="52">
        <f t="shared" si="70"/>
        <v>0</v>
      </c>
      <c r="E294" s="52">
        <f t="shared" si="70"/>
        <v>0</v>
      </c>
      <c r="F294" s="52">
        <f t="shared" si="70"/>
        <v>0</v>
      </c>
      <c r="G294" s="52">
        <f t="shared" si="70"/>
        <v>0</v>
      </c>
      <c r="H294" s="52">
        <f t="shared" si="70"/>
        <v>0</v>
      </c>
      <c r="I294" s="52">
        <f t="shared" si="70"/>
        <v>0</v>
      </c>
      <c r="J294" s="52">
        <f t="shared" si="70"/>
        <v>0</v>
      </c>
      <c r="K294" s="52">
        <f t="shared" si="70"/>
        <v>0</v>
      </c>
      <c r="L294" s="52">
        <f t="shared" si="70"/>
        <v>0</v>
      </c>
      <c r="M294" s="52">
        <f t="shared" si="70"/>
        <v>0</v>
      </c>
      <c r="N294" s="52">
        <f t="shared" si="70"/>
        <v>0</v>
      </c>
      <c r="O294" s="52">
        <f ca="1" t="shared" si="69"/>
        <v>0</v>
      </c>
    </row>
    <row r="295" s="38" customFormat="1" ht="15" customHeight="1" spans="1:20">
      <c r="A295" s="115" t="s">
        <v>163</v>
      </c>
      <c r="B295" s="50" t="s">
        <v>123</v>
      </c>
      <c r="C295" s="52">
        <f t="shared" si="70"/>
        <v>0</v>
      </c>
      <c r="D295" s="52">
        <f t="shared" si="70"/>
        <v>0</v>
      </c>
      <c r="E295" s="52">
        <f t="shared" si="70"/>
        <v>0</v>
      </c>
      <c r="F295" s="52">
        <f t="shared" si="70"/>
        <v>0</v>
      </c>
      <c r="G295" s="52">
        <f t="shared" si="70"/>
        <v>0</v>
      </c>
      <c r="H295" s="52">
        <f t="shared" si="70"/>
        <v>0</v>
      </c>
      <c r="I295" s="52">
        <f t="shared" si="70"/>
        <v>0</v>
      </c>
      <c r="J295" s="52">
        <f t="shared" si="70"/>
        <v>0</v>
      </c>
      <c r="K295" s="52">
        <f t="shared" si="70"/>
        <v>0</v>
      </c>
      <c r="L295" s="52">
        <f t="shared" si="70"/>
        <v>0</v>
      </c>
      <c r="M295" s="52">
        <f t="shared" si="70"/>
        <v>0</v>
      </c>
      <c r="N295" s="52">
        <f t="shared" si="70"/>
        <v>0</v>
      </c>
      <c r="O295" s="52">
        <f ca="1" t="shared" si="69"/>
        <v>0</v>
      </c>
    </row>
    <row r="296" s="38" customFormat="1" ht="15" customHeight="1" spans="1:20">
      <c r="A296" s="115" t="s">
        <v>49</v>
      </c>
      <c r="B296" s="50" t="s">
        <v>123</v>
      </c>
      <c r="C296" s="52">
        <f>基础表!C316</f>
        <v>3516.3227</v>
      </c>
      <c r="D296" s="52">
        <f>基础表!D316</f>
        <v>7686.7459</v>
      </c>
      <c r="E296" s="52">
        <f>基础表!E316</f>
        <v>10626.4861</v>
      </c>
      <c r="F296" s="52">
        <f>基础表!F316</f>
        <v>7892.7336</v>
      </c>
      <c r="G296" s="52">
        <f>基础表!G316</f>
        <v>9065.78660000008</v>
      </c>
      <c r="H296" s="52">
        <f>基础表!H316</f>
        <v>8677.67679999998</v>
      </c>
      <c r="I296" s="52">
        <f>基础表!I316</f>
        <v>0</v>
      </c>
      <c r="J296" s="52">
        <f>基础表!J316</f>
        <v>0</v>
      </c>
      <c r="K296" s="52">
        <f>基础表!K316</f>
        <v>0</v>
      </c>
      <c r="L296" s="52">
        <f>基础表!L316</f>
        <v>0</v>
      </c>
      <c r="M296" s="52">
        <f>基础表!M316</f>
        <v>0</v>
      </c>
      <c r="N296" s="52">
        <f>基础表!N316</f>
        <v>0</v>
      </c>
      <c r="O296" s="52">
        <f ca="1" t="shared" si="69"/>
        <v>47465.7517000001</v>
      </c>
    </row>
    <row r="297" s="38" customFormat="1" ht="15" customHeight="1" spans="1:20">
      <c r="A297" s="431" t="s">
        <v>277</v>
      </c>
      <c r="B297" s="50" t="s">
        <v>123</v>
      </c>
      <c r="C297" s="309">
        <f>基础表!C317</f>
        <v>256184.9442</v>
      </c>
      <c r="D297" s="309">
        <f>基础表!D317</f>
        <v>374834.8764</v>
      </c>
      <c r="E297" s="309">
        <f>基础表!E317</f>
        <v>381450.3371</v>
      </c>
      <c r="F297" s="309">
        <f>基础表!F317</f>
        <v>286797.5369</v>
      </c>
      <c r="G297" s="309">
        <f>基础表!G317</f>
        <v>302686.1957</v>
      </c>
      <c r="H297" s="309">
        <f>基础表!H317</f>
        <v>385415.5636</v>
      </c>
      <c r="I297" s="309">
        <f>基础表!I317</f>
        <v>0</v>
      </c>
      <c r="J297" s="309">
        <f>基础表!J317</f>
        <v>0</v>
      </c>
      <c r="K297" s="309">
        <f>基础表!K317</f>
        <v>0</v>
      </c>
      <c r="L297" s="309">
        <f>基础表!L317</f>
        <v>0</v>
      </c>
      <c r="M297" s="309">
        <f>基础表!M317</f>
        <v>0</v>
      </c>
      <c r="N297" s="309">
        <f>基础表!N317</f>
        <v>0</v>
      </c>
      <c r="O297" s="51">
        <f ca="1">SUM(OFFSET($C297,0,0,1,mth))</f>
        <v>1987369.4539</v>
      </c>
      <c r="P297" s="382"/>
      <c r="Q297"/>
      <c r="R297"/>
      <c r="S297"/>
      <c r="T297"/>
    </row>
    <row r="298" spans="1:20">
      <c r="A298" s="253" t="str">
        <f>基础表!A318</f>
        <v>动力能源</v>
      </c>
      <c r="B298" s="95"/>
      <c r="C298" s="325"/>
      <c r="D298" s="325"/>
      <c r="E298" s="325"/>
      <c r="F298" s="423"/>
      <c r="G298" s="325"/>
      <c r="H298" s="325"/>
      <c r="I298" s="325"/>
      <c r="J298" s="325"/>
      <c r="K298" s="325"/>
      <c r="L298" s="325"/>
      <c r="M298" s="325"/>
      <c r="N298" s="325"/>
      <c r="O298" s="325"/>
    </row>
    <row r="299" spans="1:20">
      <c r="A299" s="46" t="str">
        <f>基础表!A319</f>
        <v>蒸汽</v>
      </c>
      <c r="B299" s="9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</row>
    <row r="300" spans="1:20">
      <c r="A300" s="115" t="str">
        <f>基础表!A350</f>
        <v>其中：生产消耗-果糖装置</v>
      </c>
      <c r="B300" s="50" t="s">
        <v>75</v>
      </c>
      <c r="C300" s="309">
        <f>基础表!C350</f>
        <v>2421</v>
      </c>
      <c r="D300" s="309">
        <f>基础表!D350</f>
        <v>2803</v>
      </c>
      <c r="E300" s="309">
        <f>基础表!E350</f>
        <v>2758</v>
      </c>
      <c r="F300" s="309">
        <f>基础表!F350</f>
        <v>3098</v>
      </c>
      <c r="G300" s="309">
        <f>基础表!G350</f>
        <v>3564</v>
      </c>
      <c r="H300" s="309">
        <f>基础表!H350</f>
        <v>3202</v>
      </c>
      <c r="I300" s="309">
        <f>基础表!I350</f>
        <v>0</v>
      </c>
      <c r="J300" s="309">
        <f>基础表!J350</f>
        <v>0</v>
      </c>
      <c r="K300" s="309">
        <f>基础表!K350</f>
        <v>0</v>
      </c>
      <c r="L300" s="309">
        <f>基础表!L350</f>
        <v>0</v>
      </c>
      <c r="M300" s="309">
        <f>基础表!M350</f>
        <v>0</v>
      </c>
      <c r="N300" s="309">
        <f>基础表!N350</f>
        <v>0</v>
      </c>
      <c r="O300" s="51">
        <f ca="1">SUM(OFFSET($C300,0,0,1,mth))</f>
        <v>17846</v>
      </c>
      <c r="Q300" s="38"/>
      <c r="R300" s="71"/>
    </row>
    <row r="301" spans="1:20">
      <c r="A301" s="115" t="str">
        <f>基础表!A355</f>
        <v>      生产消耗-糖浆装置</v>
      </c>
      <c r="B301" s="50" t="s">
        <v>75</v>
      </c>
      <c r="C301" s="309">
        <f>基础表!C355</f>
        <v>2433</v>
      </c>
      <c r="D301" s="309">
        <f>基础表!D355</f>
        <v>2951</v>
      </c>
      <c r="E301" s="309">
        <f>基础表!E355</f>
        <v>3719</v>
      </c>
      <c r="F301" s="309">
        <f>基础表!F355</f>
        <v>2609</v>
      </c>
      <c r="G301" s="309">
        <f>基础表!G355</f>
        <v>2513</v>
      </c>
      <c r="H301" s="309">
        <f>基础表!H355</f>
        <v>2713</v>
      </c>
      <c r="I301" s="309">
        <f>基础表!I355</f>
        <v>0</v>
      </c>
      <c r="J301" s="309">
        <f>基础表!J355</f>
        <v>0</v>
      </c>
      <c r="K301" s="309">
        <f>基础表!K355</f>
        <v>0</v>
      </c>
      <c r="L301" s="309">
        <f>基础表!L355</f>
        <v>0</v>
      </c>
      <c r="M301" s="309">
        <f>基础表!M355</f>
        <v>0</v>
      </c>
      <c r="N301" s="309">
        <f>基础表!N355</f>
        <v>0</v>
      </c>
      <c r="O301" s="51">
        <f ca="1">SUM(OFFSET($C301,0,0,1,mth))</f>
        <v>16938</v>
      </c>
      <c r="Q301" s="38"/>
      <c r="R301" s="71"/>
      <c r="S301" s="38"/>
    </row>
    <row r="302" spans="1:20">
      <c r="A302" s="371" t="s">
        <v>279</v>
      </c>
      <c r="B302" s="50" t="s">
        <v>75</v>
      </c>
      <c r="C302" s="309">
        <f>基础表!C356</f>
        <v>31.5</v>
      </c>
      <c r="D302" s="309">
        <f>基础表!D356</f>
        <v>42</v>
      </c>
      <c r="E302" s="309">
        <f>基础表!E356</f>
        <v>35</v>
      </c>
      <c r="F302" s="309">
        <f>基础表!F356</f>
        <v>96</v>
      </c>
      <c r="G302" s="309">
        <f>基础表!G356</f>
        <v>132</v>
      </c>
      <c r="H302" s="309">
        <f>基础表!H356</f>
        <v>97</v>
      </c>
      <c r="I302" s="309">
        <f>基础表!I356</f>
        <v>0</v>
      </c>
      <c r="J302" s="309">
        <f>基础表!J356</f>
        <v>0</v>
      </c>
      <c r="K302" s="309">
        <f>基础表!K356</f>
        <v>0</v>
      </c>
      <c r="L302" s="309">
        <f>基础表!L356</f>
        <v>0</v>
      </c>
      <c r="M302" s="309">
        <f>基础表!M356</f>
        <v>0</v>
      </c>
      <c r="N302" s="309">
        <f>基础表!N356</f>
        <v>0</v>
      </c>
      <c r="O302" s="51">
        <f ca="1">SUM(OFFSET($C302,0,0,1,mth))</f>
        <v>433.5</v>
      </c>
      <c r="Q302" s="38"/>
      <c r="R302" s="71"/>
      <c r="S302" s="38"/>
    </row>
    <row r="303" spans="1:20">
      <c r="A303" s="252" t="s">
        <v>280</v>
      </c>
      <c r="B303" s="50"/>
      <c r="C303" s="309">
        <f>基础表!C346</f>
        <v>1945471.8099</v>
      </c>
      <c r="D303" s="309">
        <f>基础表!D346</f>
        <v>2337438.53</v>
      </c>
      <c r="E303" s="309">
        <f>基础表!E346</f>
        <v>2553266.06</v>
      </c>
      <c r="F303" s="309">
        <f>基础表!F346</f>
        <v>2315137.61</v>
      </c>
      <c r="G303" s="309">
        <f>基础表!G346</f>
        <v>2403903.58</v>
      </c>
      <c r="H303" s="309">
        <f>基础表!H346</f>
        <v>2341205.88</v>
      </c>
      <c r="I303" s="309">
        <f>基础表!I346</f>
        <v>0</v>
      </c>
      <c r="J303" s="309">
        <f>基础表!J346</f>
        <v>0</v>
      </c>
      <c r="K303" s="309">
        <f>基础表!K346</f>
        <v>0</v>
      </c>
      <c r="L303" s="309">
        <f>基础表!L346</f>
        <v>0</v>
      </c>
      <c r="M303" s="309">
        <f>基础表!M346</f>
        <v>0</v>
      </c>
      <c r="N303" s="309">
        <f>基础表!N346</f>
        <v>0</v>
      </c>
      <c r="O303" s="51">
        <f ca="1">SUM(OFFSET($C303,0,0,1,mth))</f>
        <v>13896423.4699</v>
      </c>
      <c r="Q303" s="38"/>
      <c r="R303" s="71"/>
      <c r="S303" s="38"/>
    </row>
    <row r="304" spans="1:20">
      <c r="A304" s="252" t="s">
        <v>281</v>
      </c>
      <c r="B304" s="50"/>
      <c r="C304" s="309">
        <f>基础表!C347</f>
        <v>2120564.272791</v>
      </c>
      <c r="D304" s="309">
        <f>基础表!D347</f>
        <v>2547807.9977</v>
      </c>
      <c r="E304" s="309">
        <f>基础表!E347</f>
        <v>2783060.0054</v>
      </c>
      <c r="F304" s="309">
        <f>基础表!F347</f>
        <v>2523499.9949</v>
      </c>
      <c r="G304" s="309">
        <f>基础表!G347</f>
        <v>2620254.9022</v>
      </c>
      <c r="H304" s="309">
        <f>基础表!H347</f>
        <v>2551914.4092</v>
      </c>
      <c r="I304" s="309">
        <f>基础表!I347</f>
        <v>0</v>
      </c>
      <c r="J304" s="309">
        <f>基础表!J347</f>
        <v>0</v>
      </c>
      <c r="K304" s="309">
        <f>基础表!K347</f>
        <v>0</v>
      </c>
      <c r="L304" s="309">
        <f>基础表!L347</f>
        <v>0</v>
      </c>
      <c r="M304" s="309">
        <f>基础表!M347</f>
        <v>0</v>
      </c>
      <c r="N304" s="309">
        <f>基础表!N347</f>
        <v>0</v>
      </c>
      <c r="O304" s="51">
        <f ca="1">SUM(OFFSET($C304,0,0,1,mth))</f>
        <v>15147101.582191</v>
      </c>
      <c r="Q304" s="38"/>
      <c r="R304" s="71"/>
      <c r="S304" s="38"/>
    </row>
    <row r="305" ht="25.5" spans="1:20">
      <c r="A305" s="172" t="str">
        <f>基础表!A359</f>
        <v>蒸汽单位成本
(综合成本表口径）</v>
      </c>
      <c r="B305" s="50">
        <f>基础表!B359</f>
        <v>0</v>
      </c>
      <c r="C305" s="51">
        <f>基础表!C359</f>
        <v>377.9817</v>
      </c>
      <c r="D305" s="51">
        <f>基础表!D359</f>
        <v>377.981651034929</v>
      </c>
      <c r="E305" s="51">
        <f>基础表!E359</f>
        <v>377.981652109548</v>
      </c>
      <c r="F305" s="51">
        <f>基础表!F359</f>
        <v>377.981650612245</v>
      </c>
      <c r="G305" s="51">
        <f>基础表!G359</f>
        <v>368.81</v>
      </c>
      <c r="H305" s="51">
        <f>基础表!H359</f>
        <v>368.81</v>
      </c>
      <c r="I305" s="51">
        <f>基础表!I359</f>
        <v>0</v>
      </c>
      <c r="J305" s="51">
        <f>基础表!J359</f>
        <v>0</v>
      </c>
      <c r="K305" s="419">
        <f>基础表!K359</f>
        <v>0</v>
      </c>
      <c r="L305" s="51">
        <f>基础表!L359</f>
        <v>0</v>
      </c>
      <c r="M305" s="51">
        <f>基础表!M359</f>
        <v>0</v>
      </c>
      <c r="N305" s="51">
        <f>基础表!N359</f>
        <v>0</v>
      </c>
      <c r="O305" s="419">
        <f ca="1">基础表!O359</f>
        <v>374.799025538744</v>
      </c>
      <c r="Q305" s="38"/>
      <c r="R305" s="71"/>
      <c r="S305" s="38"/>
      <c r="T305" s="38"/>
    </row>
    <row r="306" spans="1:20">
      <c r="A306" s="360" t="s">
        <v>282</v>
      </c>
      <c r="B306" s="170">
        <f>基础表!B360</f>
        <v>0</v>
      </c>
      <c r="C306" s="432">
        <f>基础表!C360</f>
        <v>412.000053</v>
      </c>
      <c r="D306" s="432">
        <f>基础表!D360</f>
        <v>411.999999628073</v>
      </c>
      <c r="E306" s="432">
        <f>基础表!E360</f>
        <v>412.000000799407</v>
      </c>
      <c r="F306" s="432">
        <f>基础表!F360</f>
        <v>411.999999167347</v>
      </c>
      <c r="G306" s="432">
        <f>基础表!G360</f>
        <v>402.0029</v>
      </c>
      <c r="H306" s="432">
        <f>基础表!H360</f>
        <v>402.0029</v>
      </c>
      <c r="I306" s="432">
        <f>基础表!I360</f>
        <v>0</v>
      </c>
      <c r="J306" s="432">
        <f>基础表!J360</f>
        <v>0</v>
      </c>
      <c r="K306" s="432">
        <f>基础表!K360</f>
        <v>0</v>
      </c>
      <c r="L306" s="432">
        <f>基础表!L360</f>
        <v>0</v>
      </c>
      <c r="M306" s="432">
        <f>基础表!M360</f>
        <v>0</v>
      </c>
      <c r="N306" s="432">
        <f>基础表!N360</f>
        <v>0</v>
      </c>
      <c r="O306" s="432">
        <f ca="1">基础表!O360</f>
        <v>408.530937837231</v>
      </c>
      <c r="Q306" s="38"/>
      <c r="R306" s="71"/>
      <c r="S306" s="38"/>
      <c r="T306" s="38"/>
    </row>
    <row r="307" spans="1:20">
      <c r="A307" s="433" t="s">
        <v>283</v>
      </c>
      <c r="B307" s="434"/>
      <c r="C307" s="435"/>
      <c r="D307" s="436"/>
      <c r="E307" s="436"/>
      <c r="F307" s="436"/>
      <c r="G307" s="436"/>
      <c r="H307" s="436"/>
      <c r="I307" s="436"/>
      <c r="J307" s="436"/>
      <c r="K307" s="436"/>
      <c r="L307" s="436"/>
      <c r="M307" s="436"/>
      <c r="N307" s="436"/>
      <c r="O307" s="436"/>
      <c r="P307" s="188"/>
      <c r="Q307" s="38"/>
      <c r="R307" s="71"/>
      <c r="S307" s="38"/>
      <c r="T307" s="38"/>
    </row>
    <row r="308" s="38" customFormat="1" ht="15" customHeight="1" spans="1:20">
      <c r="A308" s="115" t="s">
        <v>252</v>
      </c>
      <c r="B308" s="50"/>
      <c r="C308" s="51">
        <f>基础表!C352</f>
        <v>2051</v>
      </c>
      <c r="D308" s="51">
        <f>基础表!D352</f>
        <v>2412.52264219118</v>
      </c>
      <c r="E308" s="51">
        <f>基础表!E352</f>
        <v>2240.90928308538</v>
      </c>
      <c r="F308" s="51">
        <f>基础表!F352</f>
        <v>2603.49715523759</v>
      </c>
      <c r="G308" s="51">
        <f>基础表!G352</f>
        <v>3208</v>
      </c>
      <c r="H308" s="51">
        <f>基础表!H352</f>
        <v>2691.89973496181</v>
      </c>
      <c r="I308" s="51">
        <f>基础表!I352</f>
        <v>0</v>
      </c>
      <c r="J308" s="51">
        <f>基础表!J352</f>
        <v>0</v>
      </c>
      <c r="K308" s="51">
        <f>基础表!K352</f>
        <v>0</v>
      </c>
      <c r="L308" s="51">
        <f>基础表!L352</f>
        <v>0</v>
      </c>
      <c r="M308" s="51">
        <f>基础表!M352</f>
        <v>0</v>
      </c>
      <c r="N308" s="51">
        <f>基础表!N352</f>
        <v>0</v>
      </c>
      <c r="O308" s="51">
        <f ca="1">SUM(OFFSET($C308,0,0,1,mth))</f>
        <v>15207.828815476</v>
      </c>
      <c r="P308" s="378"/>
      <c r="R308" s="71"/>
    </row>
    <row r="309" s="38" customFormat="1" ht="15" customHeight="1" spans="1:20">
      <c r="A309" s="115" t="s">
        <v>253</v>
      </c>
      <c r="B309" s="50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>
        <f ca="1">SUM(OFFSET($C309,0,0,1,mth))</f>
        <v>0</v>
      </c>
      <c r="P309" s="382"/>
      <c r="R309" s="71"/>
    </row>
    <row r="310" s="38" customFormat="1" ht="15" customHeight="1" spans="1:20">
      <c r="A310" s="115" t="s">
        <v>268</v>
      </c>
      <c r="B310" s="50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>
        <f ca="1">SUM(OFFSET($C310,0,0,1,mth))</f>
        <v>0</v>
      </c>
      <c r="P310" s="382"/>
      <c r="R310" s="71"/>
    </row>
    <row r="311" s="38" customFormat="1" ht="15" customHeight="1" spans="1:20">
      <c r="A311" s="115" t="s">
        <v>255</v>
      </c>
      <c r="B311" s="50"/>
      <c r="C311" s="51">
        <f>基础表!C351</f>
        <v>0</v>
      </c>
      <c r="D311" s="51">
        <f>基础表!D351</f>
        <v>110.977357808816</v>
      </c>
      <c r="E311" s="51">
        <f>基础表!E351</f>
        <v>151.090716914622</v>
      </c>
      <c r="F311" s="51">
        <f>基础表!F351</f>
        <v>158.502844762409</v>
      </c>
      <c r="G311" s="51">
        <f>基础表!G351</f>
        <v>0</v>
      </c>
      <c r="H311" s="51">
        <f>基础表!H351</f>
        <v>114.100265038188</v>
      </c>
      <c r="I311" s="51">
        <f>基础表!I351</f>
        <v>0</v>
      </c>
      <c r="J311" s="51">
        <f>基础表!J351</f>
        <v>0</v>
      </c>
      <c r="K311" s="51">
        <f>基础表!K351</f>
        <v>0</v>
      </c>
      <c r="L311" s="51">
        <f>基础表!L351</f>
        <v>0</v>
      </c>
      <c r="M311" s="51">
        <f>基础表!M351</f>
        <v>0</v>
      </c>
      <c r="N311" s="51">
        <f>基础表!N351</f>
        <v>0</v>
      </c>
      <c r="O311" s="51">
        <f ca="1">SUM(OFFSET($C311,0,0,1,mth))</f>
        <v>534.671184524035</v>
      </c>
      <c r="P311" s="382"/>
      <c r="Q311"/>
      <c r="R311"/>
    </row>
    <row r="312" s="38" customFormat="1" ht="15" customHeight="1" spans="1:20">
      <c r="A312" s="115" t="s">
        <v>256</v>
      </c>
      <c r="B312" s="60"/>
      <c r="C312" s="51">
        <f>基础表!C353</f>
        <v>370</v>
      </c>
      <c r="D312" s="51">
        <f>基础表!D353</f>
        <v>249.5</v>
      </c>
      <c r="E312" s="51">
        <f>基础表!E353</f>
        <v>366</v>
      </c>
      <c r="F312" s="51">
        <f>基础表!F353</f>
        <v>336</v>
      </c>
      <c r="G312" s="51">
        <f>基础表!G353</f>
        <v>356</v>
      </c>
      <c r="H312" s="51">
        <f>基础表!H353</f>
        <v>396</v>
      </c>
      <c r="I312" s="51">
        <f>基础表!I353</f>
        <v>0</v>
      </c>
      <c r="J312" s="51">
        <f>基础表!J353</f>
        <v>0</v>
      </c>
      <c r="K312" s="51">
        <f>基础表!K353</f>
        <v>0</v>
      </c>
      <c r="L312" s="51">
        <f>基础表!L353</f>
        <v>0</v>
      </c>
      <c r="M312" s="51">
        <f>基础表!M353</f>
        <v>0</v>
      </c>
      <c r="N312" s="51">
        <f>基础表!N353</f>
        <v>0</v>
      </c>
      <c r="O312" s="51">
        <f ca="1">SUM(OFFSET($C312,0,0,1,mth))</f>
        <v>2073.5</v>
      </c>
      <c r="P312" s="382"/>
      <c r="Q312"/>
      <c r="R312"/>
      <c r="S312"/>
    </row>
    <row r="313" s="38" customFormat="1" ht="15" customHeight="1" spans="1:20">
      <c r="A313" s="115" t="s">
        <v>257</v>
      </c>
      <c r="B313" s="60"/>
      <c r="C313" s="51">
        <f>基础表!C354</f>
        <v>0</v>
      </c>
      <c r="D313" s="51">
        <f>基础表!D354</f>
        <v>30</v>
      </c>
      <c r="E313" s="51">
        <f>基础表!E354</f>
        <v>0</v>
      </c>
      <c r="F313" s="51">
        <f>基础表!F354</f>
        <v>0</v>
      </c>
      <c r="G313" s="51">
        <f>基础表!G354</f>
        <v>0</v>
      </c>
      <c r="H313" s="51">
        <f>基础表!H354</f>
        <v>0</v>
      </c>
      <c r="I313" s="51">
        <f>基础表!I354</f>
        <v>0</v>
      </c>
      <c r="J313" s="51">
        <f>基础表!J354</f>
        <v>0</v>
      </c>
      <c r="K313" s="51">
        <f>基础表!K354</f>
        <v>0</v>
      </c>
      <c r="L313" s="51">
        <f>基础表!L354</f>
        <v>0</v>
      </c>
      <c r="M313" s="51">
        <f>基础表!M354</f>
        <v>0</v>
      </c>
      <c r="N313" s="51">
        <f>基础表!N354</f>
        <v>0</v>
      </c>
      <c r="O313" s="51">
        <f ca="1">SUM(OFFSET($C313,0,0,1,mth))</f>
        <v>30</v>
      </c>
      <c r="P313" s="382"/>
      <c r="Q313"/>
      <c r="R313"/>
      <c r="S313"/>
    </row>
    <row r="314" s="38" customFormat="1" ht="15" customHeight="1" spans="1:20">
      <c r="A314" s="115" t="s">
        <v>258</v>
      </c>
      <c r="B314" s="60"/>
      <c r="C314" s="51">
        <f>基础表!C355</f>
        <v>2433</v>
      </c>
      <c r="D314" s="51">
        <f>基础表!D355</f>
        <v>2951</v>
      </c>
      <c r="E314" s="51">
        <f>基础表!E355</f>
        <v>3719</v>
      </c>
      <c r="F314" s="51">
        <f>基础表!F355</f>
        <v>2609</v>
      </c>
      <c r="G314" s="51">
        <f>基础表!G355</f>
        <v>2513</v>
      </c>
      <c r="H314" s="51">
        <f>基础表!H355</f>
        <v>2713</v>
      </c>
      <c r="I314" s="51">
        <f>基础表!I355</f>
        <v>0</v>
      </c>
      <c r="J314" s="51">
        <f>基础表!J355</f>
        <v>0</v>
      </c>
      <c r="K314" s="51">
        <f>基础表!K355</f>
        <v>0</v>
      </c>
      <c r="L314" s="51">
        <f>基础表!L355</f>
        <v>0</v>
      </c>
      <c r="M314" s="51">
        <f>基础表!M355</f>
        <v>0</v>
      </c>
      <c r="N314" s="51">
        <f>基础表!N355</f>
        <v>0</v>
      </c>
      <c r="O314" s="51">
        <f ca="1">SUM(OFFSET($C314,0,0,1,mth))</f>
        <v>16938</v>
      </c>
      <c r="P314" s="382"/>
      <c r="Q314"/>
      <c r="R314"/>
      <c r="S314"/>
      <c r="T314"/>
    </row>
    <row r="315" s="38" customFormat="1" ht="15" customHeight="1" spans="1:20">
      <c r="A315" s="371" t="s">
        <v>284</v>
      </c>
      <c r="B315" s="60"/>
      <c r="C315" s="51">
        <f>C302</f>
        <v>31.5</v>
      </c>
      <c r="D315" s="51">
        <f t="shared" ref="D315:M315" si="71">D302</f>
        <v>42</v>
      </c>
      <c r="E315" s="51">
        <f t="shared" si="71"/>
        <v>35</v>
      </c>
      <c r="F315" s="51">
        <f t="shared" si="71"/>
        <v>96</v>
      </c>
      <c r="G315" s="51">
        <f t="shared" si="71"/>
        <v>132</v>
      </c>
      <c r="H315" s="51">
        <f t="shared" si="71"/>
        <v>97</v>
      </c>
      <c r="I315" s="51">
        <f t="shared" si="71"/>
        <v>0</v>
      </c>
      <c r="J315" s="51">
        <f t="shared" si="71"/>
        <v>0</v>
      </c>
      <c r="K315" s="51">
        <f t="shared" si="71"/>
        <v>0</v>
      </c>
      <c r="L315" s="51">
        <f t="shared" si="71"/>
        <v>0</v>
      </c>
      <c r="M315" s="51">
        <f t="shared" si="71"/>
        <v>0</v>
      </c>
      <c r="N315" s="51">
        <f t="shared" ref="N315" si="72">N302</f>
        <v>0</v>
      </c>
      <c r="O315" s="51">
        <f ca="1">SUM(OFFSET($C315,0,0,1,mth))</f>
        <v>433.5</v>
      </c>
      <c r="P315" s="382"/>
      <c r="Q315"/>
      <c r="R315"/>
      <c r="S315"/>
      <c r="T315"/>
    </row>
    <row r="316" s="38" customFormat="1" ht="15" customHeight="1" spans="1:20">
      <c r="A316" s="371" t="s">
        <v>241</v>
      </c>
      <c r="B316" s="60"/>
      <c r="C316" s="51">
        <f>C302*C19</f>
        <v>14.576769444572</v>
      </c>
      <c r="D316" s="51">
        <f t="shared" ref="D316:N316" si="73">D302*D19</f>
        <v>5.99320743586034</v>
      </c>
      <c r="E316" s="51">
        <f t="shared" si="73"/>
        <v>24.2231271085782</v>
      </c>
      <c r="F316" s="51">
        <f t="shared" si="73"/>
        <v>46.4925627194426</v>
      </c>
      <c r="G316" s="51">
        <f t="shared" si="73"/>
        <v>38.2919948126224</v>
      </c>
      <c r="H316" s="51">
        <f t="shared" si="73"/>
        <v>18.6965105036273</v>
      </c>
      <c r="I316" s="51" t="e">
        <f t="shared" si="73"/>
        <v>#DIV/0!</v>
      </c>
      <c r="J316" s="51" t="e">
        <f t="shared" si="73"/>
        <v>#DIV/0!</v>
      </c>
      <c r="K316" s="51" t="e">
        <f t="shared" si="73"/>
        <v>#DIV/0!</v>
      </c>
      <c r="L316" s="51" t="e">
        <f t="shared" si="73"/>
        <v>#DIV/0!</v>
      </c>
      <c r="M316" s="51" t="e">
        <f t="shared" si="73"/>
        <v>#DIV/0!</v>
      </c>
      <c r="N316" s="51" t="e">
        <f t="shared" si="73"/>
        <v>#DIV/0!</v>
      </c>
      <c r="O316" s="51" t="e">
        <f ca="1">SUM(OFFSET($C316,0,0,1,mth))</f>
        <v>#DIV/0!</v>
      </c>
      <c r="P316" s="382"/>
      <c r="Q316"/>
      <c r="R316"/>
      <c r="S316"/>
      <c r="T316"/>
    </row>
    <row r="317" s="38" customFormat="1" ht="15" customHeight="1" spans="1:20">
      <c r="A317" s="371" t="s">
        <v>242</v>
      </c>
      <c r="B317" s="60"/>
      <c r="C317" s="437">
        <f>C302*C20</f>
        <v>16.923230555428</v>
      </c>
      <c r="D317" s="51">
        <f t="shared" ref="D317:N317" si="74">D302*D20</f>
        <v>36.0067925641397</v>
      </c>
      <c r="E317" s="51">
        <f t="shared" si="74"/>
        <v>10.7768728914219</v>
      </c>
      <c r="F317" s="51">
        <f t="shared" si="74"/>
        <v>49.5074372805574</v>
      </c>
      <c r="G317" s="51">
        <f t="shared" si="74"/>
        <v>93.7080051873776</v>
      </c>
      <c r="H317" s="51">
        <f t="shared" si="74"/>
        <v>78.3034894963724</v>
      </c>
      <c r="I317" s="51" t="e">
        <f t="shared" si="74"/>
        <v>#DIV/0!</v>
      </c>
      <c r="J317" s="51" t="e">
        <f t="shared" si="74"/>
        <v>#DIV/0!</v>
      </c>
      <c r="K317" s="51" t="e">
        <f t="shared" si="74"/>
        <v>#DIV/0!</v>
      </c>
      <c r="L317" s="51" t="e">
        <f t="shared" si="74"/>
        <v>#DIV/0!</v>
      </c>
      <c r="M317" s="51" t="e">
        <f t="shared" si="74"/>
        <v>#DIV/0!</v>
      </c>
      <c r="N317" s="51" t="e">
        <f t="shared" si="74"/>
        <v>#DIV/0!</v>
      </c>
      <c r="O317" s="51" t="e">
        <f ca="1">SUM(OFFSET($C317,0,0,1,mth))</f>
        <v>#DIV/0!</v>
      </c>
      <c r="P317" s="382"/>
      <c r="Q317"/>
      <c r="R317"/>
      <c r="S317"/>
      <c r="T317"/>
    </row>
    <row r="318" s="38" customFormat="1" ht="15" customHeight="1" spans="1:20">
      <c r="A318" s="57" t="s">
        <v>232</v>
      </c>
      <c r="B318" s="50"/>
      <c r="C318" s="51">
        <f>SUM(C308:C315)</f>
        <v>4885.5</v>
      </c>
      <c r="D318" s="51">
        <f t="shared" ref="D318:O318" si="75">SUM(D308:D315)</f>
        <v>5796</v>
      </c>
      <c r="E318" s="51">
        <f t="shared" si="75"/>
        <v>6512</v>
      </c>
      <c r="F318" s="51">
        <f t="shared" si="75"/>
        <v>5803</v>
      </c>
      <c r="G318" s="51">
        <f t="shared" si="75"/>
        <v>6209</v>
      </c>
      <c r="H318" s="51">
        <f t="shared" si="75"/>
        <v>6012</v>
      </c>
      <c r="I318" s="51">
        <f t="shared" si="75"/>
        <v>0</v>
      </c>
      <c r="J318" s="51">
        <f t="shared" si="75"/>
        <v>0</v>
      </c>
      <c r="K318" s="51">
        <f t="shared" si="75"/>
        <v>0</v>
      </c>
      <c r="L318" s="51">
        <f t="shared" si="75"/>
        <v>0</v>
      </c>
      <c r="M318" s="51">
        <f t="shared" si="75"/>
        <v>0</v>
      </c>
      <c r="N318" s="51">
        <f t="shared" si="75"/>
        <v>0</v>
      </c>
      <c r="O318" s="51">
        <f ca="1" t="shared" si="75"/>
        <v>35217.5</v>
      </c>
      <c r="P318" s="382"/>
      <c r="Q318"/>
      <c r="R318"/>
      <c r="S318"/>
      <c r="T318"/>
    </row>
    <row r="319" spans="1:20">
      <c r="A319" s="38"/>
      <c r="B319" s="95"/>
      <c r="C319" s="438"/>
      <c r="D319" s="438"/>
      <c r="E319" s="438"/>
      <c r="F319" s="438"/>
      <c r="G319" s="438"/>
      <c r="H319" s="325"/>
      <c r="I319" s="325"/>
      <c r="J319" s="325"/>
      <c r="K319" s="325"/>
      <c r="L319" s="325"/>
      <c r="M319" s="325"/>
      <c r="N319" s="325"/>
      <c r="O319" s="325"/>
    </row>
    <row r="320" spans="1:20">
      <c r="A320" s="46" t="str">
        <f>基础表!A361</f>
        <v>电</v>
      </c>
      <c r="B320" s="137" t="str">
        <f>基础表!B361</f>
        <v>实际</v>
      </c>
      <c r="C320" s="325"/>
      <c r="D320" s="325"/>
      <c r="E320" s="325"/>
      <c r="F320" s="423"/>
      <c r="G320" s="325"/>
      <c r="H320" s="325"/>
      <c r="I320" s="325"/>
      <c r="J320" s="325"/>
      <c r="K320" s="325"/>
      <c r="L320" s="325"/>
      <c r="M320" s="325"/>
      <c r="N320" s="325"/>
      <c r="O320" s="424"/>
    </row>
    <row r="321" spans="1:20">
      <c r="A321" s="115" t="str">
        <f>基础表!A362</f>
        <v>果糖装置</v>
      </c>
      <c r="B321" s="57" t="str">
        <f>基础表!B362</f>
        <v>度</v>
      </c>
      <c r="C321" s="125">
        <f>基础表!C362</f>
        <v>601077</v>
      </c>
      <c r="D321" s="125">
        <f>基础表!D362</f>
        <v>810312</v>
      </c>
      <c r="E321" s="125">
        <f>基础表!E362</f>
        <v>845375</v>
      </c>
      <c r="F321" s="125">
        <f>基础表!F362</f>
        <v>944691</v>
      </c>
      <c r="G321" s="125">
        <f>基础表!G362</f>
        <v>1193109</v>
      </c>
      <c r="H321" s="125">
        <f>基础表!H362</f>
        <v>1050591</v>
      </c>
      <c r="I321" s="125">
        <f>基础表!I362</f>
        <v>0</v>
      </c>
      <c r="J321" s="125">
        <f>基础表!J362</f>
        <v>0</v>
      </c>
      <c r="K321" s="125">
        <f>基础表!K362</f>
        <v>0</v>
      </c>
      <c r="L321" s="125">
        <f>基础表!L362</f>
        <v>0</v>
      </c>
      <c r="M321" s="125">
        <f>基础表!M362</f>
        <v>0</v>
      </c>
      <c r="N321" s="125">
        <f>基础表!N362</f>
        <v>0</v>
      </c>
      <c r="O321" s="51">
        <f ca="1">基础表!O362</f>
        <v>5445155</v>
      </c>
      <c r="Q321" s="38"/>
      <c r="R321" s="71"/>
    </row>
    <row r="322" spans="1:20">
      <c r="A322" s="115" t="str">
        <f>基础表!A363</f>
        <v>糖浆装置</v>
      </c>
      <c r="B322" s="57" t="str">
        <f>基础表!B363</f>
        <v>度</v>
      </c>
      <c r="C322" s="125">
        <f>基础表!C363</f>
        <v>348453</v>
      </c>
      <c r="D322" s="125">
        <f>基础表!D363</f>
        <v>367228</v>
      </c>
      <c r="E322" s="125">
        <f>基础表!E363</f>
        <v>489136</v>
      </c>
      <c r="F322" s="125">
        <f>基础表!F363</f>
        <v>388413</v>
      </c>
      <c r="G322" s="125">
        <f>基础表!G363</f>
        <v>402992</v>
      </c>
      <c r="H322" s="125">
        <f>基础表!H363</f>
        <v>392833</v>
      </c>
      <c r="I322" s="125">
        <f>基础表!I363</f>
        <v>0</v>
      </c>
      <c r="J322" s="125">
        <f>基础表!J363</f>
        <v>0</v>
      </c>
      <c r="K322" s="125">
        <f>基础表!K363</f>
        <v>0</v>
      </c>
      <c r="L322" s="125">
        <f>基础表!L363</f>
        <v>0</v>
      </c>
      <c r="M322" s="125">
        <f>基础表!M363</f>
        <v>0</v>
      </c>
      <c r="N322" s="125">
        <f>基础表!N363</f>
        <v>0</v>
      </c>
      <c r="O322" s="51">
        <f ca="1">基础表!O363</f>
        <v>2389055</v>
      </c>
      <c r="Q322" s="38"/>
      <c r="R322" s="71"/>
      <c r="S322" s="38"/>
    </row>
    <row r="323" spans="1:20">
      <c r="A323" s="371" t="s">
        <v>284</v>
      </c>
      <c r="B323" s="57" t="str">
        <f>基础表!B364</f>
        <v>度</v>
      </c>
      <c r="C323" s="125">
        <f>基础表!C364</f>
        <v>8264</v>
      </c>
      <c r="D323" s="125">
        <f>基础表!D364</f>
        <v>9943</v>
      </c>
      <c r="E323" s="125">
        <f>基础表!E364</f>
        <v>8469</v>
      </c>
      <c r="F323" s="125">
        <f>基础表!F364</f>
        <v>22608</v>
      </c>
      <c r="G323" s="125">
        <f>基础表!G364</f>
        <v>29830</v>
      </c>
      <c r="H323" s="125">
        <f>基础表!H364</f>
        <v>22034</v>
      </c>
      <c r="I323" s="125">
        <f>基础表!I364</f>
        <v>0</v>
      </c>
      <c r="J323" s="125">
        <f>基础表!J364</f>
        <v>0</v>
      </c>
      <c r="K323" s="125">
        <f>基础表!K364</f>
        <v>0</v>
      </c>
      <c r="L323" s="125">
        <f>基础表!L364</f>
        <v>0</v>
      </c>
      <c r="M323" s="125">
        <f>基础表!M364</f>
        <v>0</v>
      </c>
      <c r="N323" s="125">
        <f>基础表!N364</f>
        <v>0</v>
      </c>
      <c r="O323" s="51">
        <f ca="1">基础表!O364</f>
        <v>101148</v>
      </c>
      <c r="Q323" s="38"/>
      <c r="R323" s="71"/>
      <c r="S323" s="38"/>
    </row>
    <row r="324" spans="1:20">
      <c r="A324" s="115" t="str">
        <f>基础表!A369</f>
        <v>电单位成本（不含税）</v>
      </c>
      <c r="B324" s="50" t="str">
        <f>基础表!B369</f>
        <v>元</v>
      </c>
      <c r="C324" s="419">
        <f>基础表!C369</f>
        <v>0.767217268202837</v>
      </c>
      <c r="D324" s="419">
        <f>基础表!D369</f>
        <v>0.734506023399424</v>
      </c>
      <c r="E324" s="419">
        <f>基础表!E369</f>
        <v>0.615930131311003</v>
      </c>
      <c r="F324" s="419">
        <f>基础表!F369</f>
        <v>0.654200009808867</v>
      </c>
      <c r="G324" s="419">
        <f>基础表!G369</f>
        <v>0.68</v>
      </c>
      <c r="H324" s="419">
        <f>基础表!H369</f>
        <v>0.66</v>
      </c>
      <c r="I324" s="419">
        <f>基础表!I369</f>
        <v>0</v>
      </c>
      <c r="J324" s="419">
        <f>基础表!J369</f>
        <v>0</v>
      </c>
      <c r="K324" s="419">
        <f>基础表!K369</f>
        <v>0</v>
      </c>
      <c r="L324" s="419">
        <f>基础表!L369</f>
        <v>0</v>
      </c>
      <c r="M324" s="419">
        <f>基础表!M369</f>
        <v>0</v>
      </c>
      <c r="N324" s="419">
        <f>基础表!N369</f>
        <v>0</v>
      </c>
      <c r="O324" s="419">
        <f ca="1">基础表!O369</f>
        <v>0.680636799672716</v>
      </c>
      <c r="Q324" s="38"/>
      <c r="R324" s="71"/>
      <c r="S324" s="38"/>
      <c r="T324" s="38"/>
    </row>
    <row r="325" spans="1:20">
      <c r="A325" s="252" t="str">
        <f>基础表!A370</f>
        <v>电单位成本（含税）</v>
      </c>
      <c r="B325" s="170" t="str">
        <f>基础表!B370</f>
        <v>元</v>
      </c>
      <c r="C325" s="432">
        <f>基础表!C370</f>
        <v>0.866955513069206</v>
      </c>
      <c r="D325" s="432">
        <f>基础表!D370</f>
        <v>0.82999180644135</v>
      </c>
      <c r="E325" s="432">
        <f>基础表!E370</f>
        <v>0.696001048381434</v>
      </c>
      <c r="F325" s="432">
        <f>基础表!F370</f>
        <v>0.73924601108402</v>
      </c>
      <c r="G325" s="432">
        <f>基础表!G370</f>
        <v>0.7684</v>
      </c>
      <c r="H325" s="432">
        <f>基础表!H370</f>
        <v>0.7458</v>
      </c>
      <c r="I325" s="432">
        <f>基础表!I370</f>
        <v>0</v>
      </c>
      <c r="J325" s="432">
        <f>基础表!J370</f>
        <v>0</v>
      </c>
      <c r="K325" s="432">
        <f>基础表!K370</f>
        <v>0</v>
      </c>
      <c r="L325" s="432">
        <f>基础表!L370</f>
        <v>0</v>
      </c>
      <c r="M325" s="432">
        <f>基础表!M370</f>
        <v>0</v>
      </c>
      <c r="N325" s="432">
        <f>基础表!N370</f>
        <v>0</v>
      </c>
      <c r="O325" s="432">
        <f ca="1">基础表!O370</f>
        <v>0.769119583630169</v>
      </c>
      <c r="Q325" s="38"/>
      <c r="R325" s="71"/>
      <c r="S325" s="38"/>
      <c r="T325" s="38"/>
    </row>
    <row r="326" spans="1:20">
      <c r="A326" s="433" t="s">
        <v>285</v>
      </c>
      <c r="B326" s="434"/>
      <c r="C326" s="51"/>
      <c r="D326" s="436"/>
      <c r="E326" s="436"/>
      <c r="F326" s="436"/>
      <c r="G326" s="436"/>
      <c r="H326" s="436"/>
      <c r="I326" s="436"/>
      <c r="J326" s="436"/>
      <c r="K326" s="436"/>
      <c r="L326" s="436"/>
      <c r="M326" s="436"/>
      <c r="N326" s="436"/>
      <c r="O326" s="436"/>
      <c r="Q326" s="38"/>
      <c r="R326" s="71"/>
      <c r="S326" s="38"/>
      <c r="T326" s="38"/>
    </row>
    <row r="327" s="38" customFormat="1" ht="15" customHeight="1" spans="1:20">
      <c r="A327" s="115" t="s">
        <v>252</v>
      </c>
      <c r="B327" s="50"/>
      <c r="C327" s="51">
        <f>C$321*C24</f>
        <v>476160.364253466</v>
      </c>
      <c r="D327" s="51">
        <f t="shared" ref="C327:N327" si="76">D$321*D24</f>
        <v>671354.596395493</v>
      </c>
      <c r="E327" s="51">
        <f t="shared" si="76"/>
        <v>646209.71910679</v>
      </c>
      <c r="F327" s="51">
        <f t="shared" si="76"/>
        <v>755549.860321156</v>
      </c>
      <c r="G327" s="51">
        <f t="shared" si="76"/>
        <v>1024097.42795053</v>
      </c>
      <c r="H327" s="51">
        <f t="shared" si="76"/>
        <v>828796.335377838</v>
      </c>
      <c r="I327" s="51">
        <f t="shared" si="76"/>
        <v>0</v>
      </c>
      <c r="J327" s="51" t="e">
        <f t="shared" si="76"/>
        <v>#DIV/0!</v>
      </c>
      <c r="K327" s="51" t="e">
        <f t="shared" si="76"/>
        <v>#DIV/0!</v>
      </c>
      <c r="L327" s="51" t="e">
        <f t="shared" si="76"/>
        <v>#DIV/0!</v>
      </c>
      <c r="M327" s="51" t="e">
        <f t="shared" si="76"/>
        <v>#DIV/0!</v>
      </c>
      <c r="N327" s="51" t="e">
        <f t="shared" si="76"/>
        <v>#DIV/0!</v>
      </c>
      <c r="O327" s="51" t="e">
        <f ca="1">SUM(OFFSET($C327,0,0,1,mth))</f>
        <v>#DIV/0!</v>
      </c>
      <c r="P327" s="439"/>
      <c r="R327" s="71"/>
    </row>
    <row r="328" s="38" customFormat="1" ht="15" customHeight="1" spans="1:20">
      <c r="A328" s="115" t="s">
        <v>253</v>
      </c>
      <c r="B328" s="50"/>
      <c r="C328" s="51">
        <f t="shared" ref="C328:N328" si="77">C$321*C25</f>
        <v>0</v>
      </c>
      <c r="D328" s="51">
        <f t="shared" si="77"/>
        <v>0</v>
      </c>
      <c r="E328" s="51">
        <f t="shared" si="77"/>
        <v>0</v>
      </c>
      <c r="F328" s="51">
        <f t="shared" si="77"/>
        <v>0</v>
      </c>
      <c r="G328" s="51">
        <f t="shared" si="77"/>
        <v>0</v>
      </c>
      <c r="H328" s="51">
        <f t="shared" si="77"/>
        <v>0</v>
      </c>
      <c r="I328" s="51">
        <f t="shared" si="77"/>
        <v>0</v>
      </c>
      <c r="J328" s="51" t="e">
        <f t="shared" si="77"/>
        <v>#DIV/0!</v>
      </c>
      <c r="K328" s="51" t="e">
        <f t="shared" si="77"/>
        <v>#DIV/0!</v>
      </c>
      <c r="L328" s="51" t="e">
        <f t="shared" si="77"/>
        <v>#DIV/0!</v>
      </c>
      <c r="M328" s="51" t="e">
        <f t="shared" si="77"/>
        <v>#DIV/0!</v>
      </c>
      <c r="N328" s="51" t="e">
        <f t="shared" si="77"/>
        <v>#DIV/0!</v>
      </c>
      <c r="O328" s="51" t="e">
        <f ca="1">SUM(OFFSET($C328,0,0,1,mth))</f>
        <v>#DIV/0!</v>
      </c>
      <c r="P328" s="382"/>
      <c r="R328" s="71"/>
    </row>
    <row r="329" s="38" customFormat="1" ht="15" customHeight="1" spans="1:20">
      <c r="A329" s="115" t="s">
        <v>268</v>
      </c>
      <c r="B329" s="50"/>
      <c r="C329" s="51">
        <f t="shared" ref="C329:N329" si="78">C$321*C26</f>
        <v>0</v>
      </c>
      <c r="D329" s="51">
        <f t="shared" si="78"/>
        <v>0</v>
      </c>
      <c r="E329" s="51">
        <f t="shared" si="78"/>
        <v>0</v>
      </c>
      <c r="F329" s="51">
        <f t="shared" si="78"/>
        <v>0</v>
      </c>
      <c r="G329" s="51">
        <f t="shared" si="78"/>
        <v>0</v>
      </c>
      <c r="H329" s="51">
        <f t="shared" si="78"/>
        <v>0</v>
      </c>
      <c r="I329" s="51">
        <f t="shared" si="78"/>
        <v>0</v>
      </c>
      <c r="J329" s="51" t="e">
        <f t="shared" si="78"/>
        <v>#DIV/0!</v>
      </c>
      <c r="K329" s="51" t="e">
        <f t="shared" si="78"/>
        <v>#DIV/0!</v>
      </c>
      <c r="L329" s="51" t="e">
        <f t="shared" si="78"/>
        <v>#DIV/0!</v>
      </c>
      <c r="M329" s="51" t="e">
        <f t="shared" si="78"/>
        <v>#DIV/0!</v>
      </c>
      <c r="N329" s="51" t="e">
        <f t="shared" si="78"/>
        <v>#DIV/0!</v>
      </c>
      <c r="O329" s="51" t="e">
        <f ca="1">SUM(OFFSET($C329,0,0,1,mth))</f>
        <v>#DIV/0!</v>
      </c>
      <c r="P329" s="382"/>
      <c r="R329" s="71"/>
    </row>
    <row r="330" s="38" customFormat="1" ht="15" customHeight="1" spans="1:20">
      <c r="A330" s="115" t="s">
        <v>255</v>
      </c>
      <c r="B330" s="50"/>
      <c r="C330" s="51">
        <f t="shared" ref="C330:N330" si="79">C$321*C27</f>
        <v>0</v>
      </c>
      <c r="D330" s="51">
        <f t="shared" si="79"/>
        <v>30882.677724055</v>
      </c>
      <c r="E330" s="51">
        <f t="shared" si="79"/>
        <v>43143.8286086542</v>
      </c>
      <c r="F330" s="51">
        <f t="shared" si="79"/>
        <v>45243.3765776256</v>
      </c>
      <c r="G330" s="51">
        <f t="shared" si="79"/>
        <v>0</v>
      </c>
      <c r="H330" s="51">
        <f t="shared" si="79"/>
        <v>35129.79339501</v>
      </c>
      <c r="I330" s="51">
        <f t="shared" si="79"/>
        <v>0</v>
      </c>
      <c r="J330" s="51" t="e">
        <f t="shared" si="79"/>
        <v>#DIV/0!</v>
      </c>
      <c r="K330" s="51" t="e">
        <f t="shared" si="79"/>
        <v>#DIV/0!</v>
      </c>
      <c r="L330" s="51" t="e">
        <f t="shared" si="79"/>
        <v>#DIV/0!</v>
      </c>
      <c r="M330" s="51" t="e">
        <f t="shared" si="79"/>
        <v>#DIV/0!</v>
      </c>
      <c r="N330" s="51" t="e">
        <f t="shared" si="79"/>
        <v>#DIV/0!</v>
      </c>
      <c r="O330" s="51" t="e">
        <f ca="1">SUM(OFFSET($C330,0,0,1,mth))</f>
        <v>#DIV/0!</v>
      </c>
      <c r="P330" s="278"/>
      <c r="Q330"/>
      <c r="R330"/>
    </row>
    <row r="331" s="38" customFormat="1" ht="15" customHeight="1" spans="1:20">
      <c r="A331" s="115" t="s">
        <v>256</v>
      </c>
      <c r="B331" s="50"/>
      <c r="C331" s="51">
        <f>C$321*C28</f>
        <v>124916.635746534</v>
      </c>
      <c r="D331" s="51">
        <f t="shared" ref="D331:N331" si="80">D$321*D28</f>
        <v>105053.792132542</v>
      </c>
      <c r="E331" s="51">
        <f t="shared" si="80"/>
        <v>156021.452284556</v>
      </c>
      <c r="F331" s="51">
        <f t="shared" si="80"/>
        <v>143897.763101219</v>
      </c>
      <c r="G331" s="51">
        <f t="shared" si="80"/>
        <v>169011.572049471</v>
      </c>
      <c r="H331" s="51">
        <f t="shared" si="80"/>
        <v>186664.871227152</v>
      </c>
      <c r="I331" s="51">
        <f t="shared" si="80"/>
        <v>0</v>
      </c>
      <c r="J331" s="51" t="e">
        <f t="shared" si="80"/>
        <v>#DIV/0!</v>
      </c>
      <c r="K331" s="51" t="e">
        <f t="shared" si="80"/>
        <v>#DIV/0!</v>
      </c>
      <c r="L331" s="51" t="e">
        <f t="shared" si="80"/>
        <v>#DIV/0!</v>
      </c>
      <c r="M331" s="51" t="e">
        <f t="shared" si="80"/>
        <v>#DIV/0!</v>
      </c>
      <c r="N331" s="51" t="e">
        <f t="shared" si="80"/>
        <v>#DIV/0!</v>
      </c>
      <c r="O331" s="51" t="e">
        <f ca="1">SUM(OFFSET($C331,0,0,1,mth))</f>
        <v>#DIV/0!</v>
      </c>
      <c r="P331" s="382"/>
      <c r="Q331"/>
      <c r="R331"/>
      <c r="S331"/>
    </row>
    <row r="332" s="38" customFormat="1" ht="15" customHeight="1" spans="1:20">
      <c r="A332" s="115" t="s">
        <v>257</v>
      </c>
      <c r="B332" s="50"/>
      <c r="C332" s="51">
        <f t="shared" ref="C332:N332" si="81">C$321*C29</f>
        <v>0</v>
      </c>
      <c r="D332" s="51">
        <f t="shared" si="81"/>
        <v>3020.93374790957</v>
      </c>
      <c r="E332" s="51">
        <f t="shared" si="81"/>
        <v>0</v>
      </c>
      <c r="F332" s="51">
        <f t="shared" si="81"/>
        <v>0</v>
      </c>
      <c r="G332" s="51">
        <f t="shared" si="81"/>
        <v>0</v>
      </c>
      <c r="H332" s="51">
        <f t="shared" si="81"/>
        <v>0</v>
      </c>
      <c r="I332" s="51">
        <f t="shared" si="81"/>
        <v>0</v>
      </c>
      <c r="J332" s="51" t="e">
        <f t="shared" si="81"/>
        <v>#DIV/0!</v>
      </c>
      <c r="K332" s="51" t="e">
        <f t="shared" si="81"/>
        <v>#DIV/0!</v>
      </c>
      <c r="L332" s="51" t="e">
        <f t="shared" si="81"/>
        <v>#DIV/0!</v>
      </c>
      <c r="M332" s="51" t="e">
        <f t="shared" si="81"/>
        <v>#DIV/0!</v>
      </c>
      <c r="N332" s="51" t="e">
        <f t="shared" si="81"/>
        <v>#DIV/0!</v>
      </c>
      <c r="O332" s="51" t="e">
        <f ca="1">SUM(OFFSET($C332,0,0,1,mth))</f>
        <v>#DIV/0!</v>
      </c>
      <c r="P332" s="382"/>
      <c r="Q332"/>
      <c r="R332"/>
      <c r="S332"/>
    </row>
    <row r="333" s="38" customFormat="1" ht="15" customHeight="1" spans="1:20">
      <c r="A333" s="115" t="s">
        <v>258</v>
      </c>
      <c r="B333" s="50"/>
      <c r="C333" s="51">
        <f>C322</f>
        <v>348453</v>
      </c>
      <c r="D333" s="51">
        <f t="shared" ref="D333:M333" si="82">D322</f>
        <v>367228</v>
      </c>
      <c r="E333" s="51">
        <f t="shared" si="82"/>
        <v>489136</v>
      </c>
      <c r="F333" s="51">
        <f t="shared" si="82"/>
        <v>388413</v>
      </c>
      <c r="G333" s="51">
        <f t="shared" si="82"/>
        <v>402992</v>
      </c>
      <c r="H333" s="51">
        <f t="shared" si="82"/>
        <v>392833</v>
      </c>
      <c r="I333" s="51">
        <f t="shared" si="82"/>
        <v>0</v>
      </c>
      <c r="J333" s="51">
        <f t="shared" si="82"/>
        <v>0</v>
      </c>
      <c r="K333" s="51">
        <f t="shared" si="82"/>
        <v>0</v>
      </c>
      <c r="L333" s="51">
        <f t="shared" si="82"/>
        <v>0</v>
      </c>
      <c r="M333" s="51">
        <f t="shared" si="82"/>
        <v>0</v>
      </c>
      <c r="N333" s="51">
        <f t="shared" ref="N333:N334" si="83">N322</f>
        <v>0</v>
      </c>
      <c r="O333" s="51">
        <f ca="1">SUM(OFFSET($C333,0,0,1,mth))</f>
        <v>2389055</v>
      </c>
      <c r="P333" s="382"/>
      <c r="Q333"/>
      <c r="R333"/>
      <c r="S333"/>
      <c r="T333"/>
    </row>
    <row r="334" s="38" customFormat="1" ht="15" customHeight="1" spans="1:20">
      <c r="A334" s="371" t="s">
        <v>284</v>
      </c>
      <c r="B334" s="50"/>
      <c r="C334" s="51">
        <f>C323</f>
        <v>8264</v>
      </c>
      <c r="D334" s="51">
        <f>D323</f>
        <v>9943</v>
      </c>
      <c r="E334" s="51">
        <f>E323</f>
        <v>8469</v>
      </c>
      <c r="F334" s="51">
        <f t="shared" ref="F334:M334" si="84">F323</f>
        <v>22608</v>
      </c>
      <c r="G334" s="51">
        <f t="shared" si="84"/>
        <v>29830</v>
      </c>
      <c r="H334" s="51">
        <f t="shared" si="84"/>
        <v>22034</v>
      </c>
      <c r="I334" s="51">
        <f t="shared" si="84"/>
        <v>0</v>
      </c>
      <c r="J334" s="51">
        <f t="shared" si="84"/>
        <v>0</v>
      </c>
      <c r="K334" s="51">
        <f t="shared" si="84"/>
        <v>0</v>
      </c>
      <c r="L334" s="51">
        <f t="shared" si="84"/>
        <v>0</v>
      </c>
      <c r="M334" s="51">
        <f t="shared" si="84"/>
        <v>0</v>
      </c>
      <c r="N334" s="51">
        <f t="shared" si="83"/>
        <v>0</v>
      </c>
      <c r="O334" s="51">
        <f ca="1">SUM(OFFSET($C334,0,0,1,mth))</f>
        <v>101148</v>
      </c>
      <c r="P334" s="382"/>
      <c r="Q334"/>
      <c r="R334"/>
      <c r="S334"/>
      <c r="T334"/>
    </row>
    <row r="335" s="38" customFormat="1" ht="15" customHeight="1" spans="1:20">
      <c r="A335" s="371" t="s">
        <v>241</v>
      </c>
      <c r="B335" s="50"/>
      <c r="C335" s="51">
        <f>C323*C19</f>
        <v>3824.20389491883</v>
      </c>
      <c r="D335" s="51">
        <f t="shared" ref="D335:N335" si="85">D323*D19</f>
        <v>1418.82051273237</v>
      </c>
      <c r="E335" s="51">
        <f t="shared" si="85"/>
        <v>5861.30467092997</v>
      </c>
      <c r="F335" s="51">
        <f t="shared" si="85"/>
        <v>10948.9985204287</v>
      </c>
      <c r="G335" s="51">
        <f t="shared" si="85"/>
        <v>8653.41064591308</v>
      </c>
      <c r="H335" s="51">
        <f t="shared" si="85"/>
        <v>4246.99909728788</v>
      </c>
      <c r="I335" s="51" t="e">
        <f t="shared" si="85"/>
        <v>#DIV/0!</v>
      </c>
      <c r="J335" s="51" t="e">
        <f t="shared" si="85"/>
        <v>#DIV/0!</v>
      </c>
      <c r="K335" s="51" t="e">
        <f t="shared" si="85"/>
        <v>#DIV/0!</v>
      </c>
      <c r="L335" s="51" t="e">
        <f t="shared" si="85"/>
        <v>#DIV/0!</v>
      </c>
      <c r="M335" s="51" t="e">
        <f t="shared" si="85"/>
        <v>#DIV/0!</v>
      </c>
      <c r="N335" s="51" t="e">
        <f t="shared" si="85"/>
        <v>#DIV/0!</v>
      </c>
      <c r="O335" s="51" t="e">
        <f ca="1">SUM(OFFSET($C335,0,0,1,mth))</f>
        <v>#DIV/0!</v>
      </c>
      <c r="P335" s="382"/>
      <c r="Q335"/>
      <c r="R335"/>
      <c r="S335"/>
      <c r="T335"/>
    </row>
    <row r="336" s="38" customFormat="1" ht="15" customHeight="1" spans="1:20">
      <c r="A336" s="371" t="s">
        <v>242</v>
      </c>
      <c r="B336" s="50"/>
      <c r="C336" s="51">
        <f>C323*C20</f>
        <v>4439.79610508117</v>
      </c>
      <c r="D336" s="51">
        <f t="shared" ref="D336:N336" si="86">D323*D20</f>
        <v>8524.17948726763</v>
      </c>
      <c r="E336" s="51">
        <f t="shared" si="86"/>
        <v>2607.69532907005</v>
      </c>
      <c r="F336" s="51">
        <f t="shared" si="86"/>
        <v>11659.0014795713</v>
      </c>
      <c r="G336" s="51">
        <f t="shared" si="86"/>
        <v>21176.5893540869</v>
      </c>
      <c r="H336" s="51">
        <f t="shared" si="86"/>
        <v>17787.0009027121</v>
      </c>
      <c r="I336" s="51" t="e">
        <f t="shared" si="86"/>
        <v>#DIV/0!</v>
      </c>
      <c r="J336" s="51" t="e">
        <f t="shared" si="86"/>
        <v>#DIV/0!</v>
      </c>
      <c r="K336" s="51" t="e">
        <f t="shared" si="86"/>
        <v>#DIV/0!</v>
      </c>
      <c r="L336" s="51" t="e">
        <f t="shared" si="86"/>
        <v>#DIV/0!</v>
      </c>
      <c r="M336" s="51" t="e">
        <f t="shared" si="86"/>
        <v>#DIV/0!</v>
      </c>
      <c r="N336" s="51" t="e">
        <f t="shared" si="86"/>
        <v>#DIV/0!</v>
      </c>
      <c r="O336" s="51" t="e">
        <f ca="1">SUM(OFFSET($C336,0,0,1,mth))</f>
        <v>#DIV/0!</v>
      </c>
      <c r="P336" s="382"/>
      <c r="Q336"/>
      <c r="R336"/>
      <c r="S336"/>
      <c r="T336"/>
    </row>
    <row r="337" s="38" customFormat="1" ht="15" customHeight="1" spans="1:20">
      <c r="A337" s="57" t="s">
        <v>232</v>
      </c>
      <c r="B337" s="50"/>
      <c r="C337" s="51">
        <f>SUM(C327:C334)</f>
        <v>957794</v>
      </c>
      <c r="D337" s="51">
        <f t="shared" ref="D337:O337" si="87">SUM(D327:D334)</f>
        <v>1187483</v>
      </c>
      <c r="E337" s="51">
        <f t="shared" si="87"/>
        <v>1342980</v>
      </c>
      <c r="F337" s="51">
        <f t="shared" si="87"/>
        <v>1355712</v>
      </c>
      <c r="G337" s="51">
        <f t="shared" si="87"/>
        <v>1625931</v>
      </c>
      <c r="H337" s="51">
        <f t="shared" si="87"/>
        <v>1465458</v>
      </c>
      <c r="I337" s="51">
        <f t="shared" si="87"/>
        <v>0</v>
      </c>
      <c r="J337" s="51" t="e">
        <f t="shared" si="87"/>
        <v>#DIV/0!</v>
      </c>
      <c r="K337" s="51" t="e">
        <f t="shared" si="87"/>
        <v>#DIV/0!</v>
      </c>
      <c r="L337" s="51" t="e">
        <f t="shared" si="87"/>
        <v>#DIV/0!</v>
      </c>
      <c r="M337" s="51" t="e">
        <f t="shared" si="87"/>
        <v>#DIV/0!</v>
      </c>
      <c r="N337" s="51" t="e">
        <f t="shared" si="87"/>
        <v>#DIV/0!</v>
      </c>
      <c r="O337" s="51" t="e">
        <f ca="1" t="shared" si="87"/>
        <v>#DIV/0!</v>
      </c>
      <c r="P337" s="382"/>
      <c r="Q337"/>
      <c r="R337"/>
      <c r="S337"/>
      <c r="T337"/>
    </row>
    <row r="338" spans="1:20">
      <c r="A338" s="38"/>
      <c r="B338" s="94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</row>
    <row r="339" spans="1:20">
      <c r="A339" s="46" t="str">
        <f>基础表!A371</f>
        <v>水</v>
      </c>
      <c r="B339" s="137"/>
      <c r="C339" s="325"/>
      <c r="D339" s="325"/>
      <c r="E339" s="325"/>
      <c r="F339" s="423"/>
      <c r="G339" s="325"/>
      <c r="H339" s="325"/>
      <c r="I339" s="325"/>
      <c r="J339" s="325"/>
      <c r="K339" s="325"/>
      <c r="L339" s="325"/>
      <c r="M339" s="325"/>
      <c r="N339" s="325"/>
      <c r="O339" s="325"/>
    </row>
    <row r="340" spans="1:20">
      <c r="A340" s="115" t="str">
        <f>基础表!A372</f>
        <v>果糖装置耗水量</v>
      </c>
      <c r="B340" s="50" t="str">
        <f>基础表!B372</f>
        <v>吨</v>
      </c>
      <c r="C340" s="309">
        <f>基础表!C372</f>
        <v>15019</v>
      </c>
      <c r="D340" s="309">
        <f>基础表!D372</f>
        <v>25462</v>
      </c>
      <c r="E340" s="309">
        <f>基础表!E372</f>
        <v>26166</v>
      </c>
      <c r="F340" s="309">
        <f>基础表!F372</f>
        <v>27121</v>
      </c>
      <c r="G340" s="309">
        <f>基础表!G372</f>
        <v>30156</v>
      </c>
      <c r="H340" s="309">
        <f>基础表!H372</f>
        <v>32212</v>
      </c>
      <c r="I340" s="309">
        <f>基础表!I372</f>
        <v>0</v>
      </c>
      <c r="J340" s="309">
        <f>基础表!J372</f>
        <v>0</v>
      </c>
      <c r="K340" s="309">
        <f>基础表!K372</f>
        <v>0</v>
      </c>
      <c r="L340" s="309">
        <f>基础表!L372</f>
        <v>0</v>
      </c>
      <c r="M340" s="309">
        <f>基础表!M372</f>
        <v>0</v>
      </c>
      <c r="N340" s="309">
        <f>基础表!N372</f>
        <v>0</v>
      </c>
      <c r="O340" s="51">
        <f ca="1">基础表!O372</f>
        <v>156136</v>
      </c>
      <c r="Q340" s="38"/>
      <c r="R340" s="71"/>
    </row>
    <row r="341" spans="1:20">
      <c r="A341" s="115" t="str">
        <f>基础表!A373</f>
        <v>糖浆装置</v>
      </c>
      <c r="B341" s="50" t="str">
        <f>基础表!B373</f>
        <v>吨</v>
      </c>
      <c r="C341" s="309">
        <f>基础表!C373</f>
        <v>8352</v>
      </c>
      <c r="D341" s="309">
        <f>基础表!D373</f>
        <v>13823</v>
      </c>
      <c r="E341" s="309">
        <f>基础表!E373</f>
        <v>13672</v>
      </c>
      <c r="F341" s="309">
        <f>基础表!F373</f>
        <v>10408</v>
      </c>
      <c r="G341" s="309">
        <f>基础表!G373</f>
        <v>11500</v>
      </c>
      <c r="H341" s="309">
        <f>基础表!H373</f>
        <v>12232</v>
      </c>
      <c r="I341" s="309">
        <f>基础表!I373</f>
        <v>0</v>
      </c>
      <c r="J341" s="309">
        <f>基础表!J373</f>
        <v>0</v>
      </c>
      <c r="K341" s="309">
        <f>基础表!K373</f>
        <v>0</v>
      </c>
      <c r="L341" s="309">
        <f>基础表!L373</f>
        <v>0</v>
      </c>
      <c r="M341" s="309">
        <f>基础表!M373</f>
        <v>0</v>
      </c>
      <c r="N341" s="309">
        <f>基础表!N373</f>
        <v>0</v>
      </c>
      <c r="O341" s="51">
        <f ca="1">基础表!O373</f>
        <v>69987</v>
      </c>
      <c r="Q341" s="38"/>
      <c r="R341" s="71"/>
      <c r="S341" s="38"/>
    </row>
    <row r="342" spans="1:20">
      <c r="A342" s="371" t="s">
        <v>284</v>
      </c>
      <c r="B342" s="50" t="str">
        <f>基础表!B374</f>
        <v>吨</v>
      </c>
      <c r="C342" s="309">
        <f>基础表!C374</f>
        <v>293</v>
      </c>
      <c r="D342" s="309">
        <f>基础表!D374</f>
        <v>364</v>
      </c>
      <c r="E342" s="309">
        <f>基础表!E374</f>
        <v>321</v>
      </c>
      <c r="F342" s="309">
        <f>基础表!F374</f>
        <v>830</v>
      </c>
      <c r="G342" s="309">
        <f>基础表!G374</f>
        <v>1011</v>
      </c>
      <c r="H342" s="309">
        <f>基础表!H374</f>
        <v>758</v>
      </c>
      <c r="I342" s="309">
        <f>基础表!I374</f>
        <v>0</v>
      </c>
      <c r="J342" s="309">
        <f>基础表!J374</f>
        <v>0</v>
      </c>
      <c r="K342" s="309">
        <f>基础表!K374</f>
        <v>0</v>
      </c>
      <c r="L342" s="309">
        <f>基础表!L374</f>
        <v>0</v>
      </c>
      <c r="M342" s="309">
        <f>基础表!M374</f>
        <v>0</v>
      </c>
      <c r="N342" s="309">
        <f>基础表!N374</f>
        <v>0</v>
      </c>
      <c r="O342" s="51">
        <f ca="1">基础表!O374</f>
        <v>3577</v>
      </c>
      <c r="Q342" s="38"/>
      <c r="R342" s="71"/>
      <c r="S342" s="38"/>
    </row>
    <row r="343" spans="1:20">
      <c r="A343" s="148" t="str">
        <f>基础表!A378</f>
        <v>水单位成本（不含税）</v>
      </c>
      <c r="B343" s="50" t="str">
        <f>基础表!B378</f>
        <v>元/吨</v>
      </c>
      <c r="C343" s="419">
        <f>基础表!C378</f>
        <v>5.89630078715115</v>
      </c>
      <c r="D343" s="419">
        <f>基础表!D378</f>
        <v>5.89630094792388</v>
      </c>
      <c r="E343" s="419">
        <f>基础表!E378</f>
        <v>5.89630097087379</v>
      </c>
      <c r="F343" s="419">
        <f>基础表!F378</f>
        <v>5.89630097087379</v>
      </c>
      <c r="G343" s="419">
        <f>基础表!G378</f>
        <v>5.893</v>
      </c>
      <c r="H343" s="419">
        <f>基础表!H378</f>
        <v>5.89299997890607</v>
      </c>
      <c r="I343" s="419">
        <f>基础表!I378</f>
        <v>0</v>
      </c>
      <c r="J343" s="419">
        <f>基础表!J378</f>
        <v>0</v>
      </c>
      <c r="K343" s="419">
        <f>基础表!K378</f>
        <v>0</v>
      </c>
      <c r="L343" s="419">
        <f>基础表!L378</f>
        <v>0</v>
      </c>
      <c r="M343" s="419">
        <f>基础表!M378</f>
        <v>0</v>
      </c>
      <c r="N343" s="419">
        <f>基础表!N378</f>
        <v>0</v>
      </c>
      <c r="O343" s="419">
        <f ca="1">基础表!O378</f>
        <v>5.8950402489434</v>
      </c>
      <c r="Q343" s="38"/>
      <c r="R343" s="71"/>
      <c r="S343" s="38"/>
      <c r="T343" s="38"/>
    </row>
    <row r="344" spans="1:20">
      <c r="A344" s="433" t="s">
        <v>286</v>
      </c>
      <c r="B344" s="434"/>
      <c r="C344" s="51"/>
      <c r="D344" s="436"/>
      <c r="E344" s="436"/>
      <c r="F344" s="436"/>
      <c r="G344" s="436"/>
      <c r="H344" s="436"/>
      <c r="I344" s="436"/>
      <c r="J344" s="436"/>
      <c r="K344" s="436"/>
      <c r="L344" s="436"/>
      <c r="M344" s="436"/>
      <c r="N344" s="436"/>
      <c r="O344" s="436"/>
      <c r="Q344" s="38"/>
      <c r="R344" s="71"/>
      <c r="S344" s="38"/>
      <c r="T344" s="38"/>
    </row>
    <row r="345" s="38" customFormat="1" ht="15" customHeight="1" spans="1:20">
      <c r="A345" s="115" t="s">
        <v>252</v>
      </c>
      <c r="B345" s="50"/>
      <c r="C345" s="51">
        <f t="shared" ref="C345:N345" si="88">C$340*C24</f>
        <v>11897.7310905638</v>
      </c>
      <c r="D345" s="51">
        <f t="shared" si="88"/>
        <v>21095.6159274724</v>
      </c>
      <c r="E345" s="51">
        <f t="shared" si="88"/>
        <v>20001.4472987115</v>
      </c>
      <c r="F345" s="51">
        <f t="shared" si="88"/>
        <v>21690.9738335287</v>
      </c>
      <c r="G345" s="51">
        <f t="shared" si="88"/>
        <v>25884.2084313136</v>
      </c>
      <c r="H345" s="51">
        <f t="shared" si="88"/>
        <v>25411.589814867</v>
      </c>
      <c r="I345" s="51">
        <f t="shared" si="88"/>
        <v>0</v>
      </c>
      <c r="J345" s="51" t="e">
        <f t="shared" si="88"/>
        <v>#DIV/0!</v>
      </c>
      <c r="K345" s="51" t="e">
        <f t="shared" si="88"/>
        <v>#DIV/0!</v>
      </c>
      <c r="L345" s="51" t="e">
        <f t="shared" si="88"/>
        <v>#DIV/0!</v>
      </c>
      <c r="M345" s="51" t="e">
        <f t="shared" si="88"/>
        <v>#DIV/0!</v>
      </c>
      <c r="N345" s="51" t="e">
        <f t="shared" si="88"/>
        <v>#DIV/0!</v>
      </c>
      <c r="O345" s="51" t="e">
        <f ca="1">SUM(OFFSET($C345,0,0,1,mth))</f>
        <v>#DIV/0!</v>
      </c>
      <c r="P345" s="439"/>
      <c r="R345" s="71"/>
    </row>
    <row r="346" s="38" customFormat="1" ht="15" customHeight="1" spans="1:20">
      <c r="A346" s="115" t="s">
        <v>253</v>
      </c>
      <c r="B346" s="50"/>
      <c r="C346" s="51">
        <f t="shared" ref="C346:N346" si="89">C$340*C25</f>
        <v>0</v>
      </c>
      <c r="D346" s="51">
        <f t="shared" si="89"/>
        <v>0</v>
      </c>
      <c r="E346" s="51">
        <f t="shared" si="89"/>
        <v>0</v>
      </c>
      <c r="F346" s="51">
        <f t="shared" si="89"/>
        <v>0</v>
      </c>
      <c r="G346" s="51">
        <f t="shared" si="89"/>
        <v>0</v>
      </c>
      <c r="H346" s="51">
        <f t="shared" si="89"/>
        <v>0</v>
      </c>
      <c r="I346" s="51">
        <f t="shared" si="89"/>
        <v>0</v>
      </c>
      <c r="J346" s="51" t="e">
        <f t="shared" si="89"/>
        <v>#DIV/0!</v>
      </c>
      <c r="K346" s="51" t="e">
        <f t="shared" si="89"/>
        <v>#DIV/0!</v>
      </c>
      <c r="L346" s="51" t="e">
        <f t="shared" si="89"/>
        <v>#DIV/0!</v>
      </c>
      <c r="M346" s="51" t="e">
        <f t="shared" si="89"/>
        <v>#DIV/0!</v>
      </c>
      <c r="N346" s="51" t="e">
        <f t="shared" si="89"/>
        <v>#DIV/0!</v>
      </c>
      <c r="O346" s="51" t="e">
        <f ca="1">SUM(OFFSET($C346,0,0,1,mth))</f>
        <v>#DIV/0!</v>
      </c>
      <c r="P346" s="382"/>
      <c r="R346" s="71"/>
    </row>
    <row r="347" s="38" customFormat="1" ht="15" customHeight="1" spans="1:20">
      <c r="A347" s="115" t="s">
        <v>268</v>
      </c>
      <c r="B347" s="400"/>
      <c r="C347" s="51">
        <f t="shared" ref="C347:N347" si="90">C$340*C26</f>
        <v>0</v>
      </c>
      <c r="D347" s="51">
        <f t="shared" si="90"/>
        <v>0</v>
      </c>
      <c r="E347" s="51">
        <f t="shared" si="90"/>
        <v>0</v>
      </c>
      <c r="F347" s="51">
        <f t="shared" si="90"/>
        <v>0</v>
      </c>
      <c r="G347" s="51">
        <f t="shared" si="90"/>
        <v>0</v>
      </c>
      <c r="H347" s="51">
        <f t="shared" si="90"/>
        <v>0</v>
      </c>
      <c r="I347" s="51">
        <f t="shared" si="90"/>
        <v>0</v>
      </c>
      <c r="J347" s="51" t="e">
        <f t="shared" si="90"/>
        <v>#DIV/0!</v>
      </c>
      <c r="K347" s="51" t="e">
        <f t="shared" si="90"/>
        <v>#DIV/0!</v>
      </c>
      <c r="L347" s="51" t="e">
        <f t="shared" si="90"/>
        <v>#DIV/0!</v>
      </c>
      <c r="M347" s="51" t="e">
        <f t="shared" si="90"/>
        <v>#DIV/0!</v>
      </c>
      <c r="N347" s="51" t="e">
        <f t="shared" si="90"/>
        <v>#DIV/0!</v>
      </c>
      <c r="O347" s="51" t="e">
        <f ca="1">SUM(OFFSET($C347,0,0,1,mth))</f>
        <v>#DIV/0!</v>
      </c>
      <c r="P347" s="382"/>
      <c r="R347" s="71"/>
    </row>
    <row r="348" s="38" customFormat="1" ht="15" customHeight="1" spans="1:20">
      <c r="A348" s="115" t="s">
        <v>255</v>
      </c>
      <c r="B348" s="400"/>
      <c r="C348" s="51">
        <f t="shared" ref="C348:N348" si="91">C$340*C27</f>
        <v>0</v>
      </c>
      <c r="D348" s="51">
        <f t="shared" si="91"/>
        <v>970.409842393903</v>
      </c>
      <c r="E348" s="51">
        <f t="shared" si="91"/>
        <v>1335.38538444364</v>
      </c>
      <c r="F348" s="51">
        <f t="shared" si="91"/>
        <v>1298.88568448496</v>
      </c>
      <c r="G348" s="51">
        <f t="shared" si="91"/>
        <v>0</v>
      </c>
      <c r="H348" s="51">
        <f t="shared" si="91"/>
        <v>1077.1088890349</v>
      </c>
      <c r="I348" s="51">
        <f t="shared" si="91"/>
        <v>0</v>
      </c>
      <c r="J348" s="51" t="e">
        <f t="shared" si="91"/>
        <v>#DIV/0!</v>
      </c>
      <c r="K348" s="51" t="e">
        <f t="shared" si="91"/>
        <v>#DIV/0!</v>
      </c>
      <c r="L348" s="51" t="e">
        <f t="shared" si="91"/>
        <v>#DIV/0!</v>
      </c>
      <c r="M348" s="51" t="e">
        <f t="shared" si="91"/>
        <v>#DIV/0!</v>
      </c>
      <c r="N348" s="51" t="e">
        <f t="shared" si="91"/>
        <v>#DIV/0!</v>
      </c>
      <c r="O348" s="51" t="e">
        <f ca="1">SUM(OFFSET($C348,0,0,1,mth))</f>
        <v>#DIV/0!</v>
      </c>
      <c r="P348" s="382"/>
      <c r="Q348"/>
      <c r="R348"/>
    </row>
    <row r="349" s="38" customFormat="1" ht="15" customHeight="1" spans="1:20">
      <c r="A349" s="115" t="s">
        <v>256</v>
      </c>
      <c r="B349" s="60"/>
      <c r="C349" s="51">
        <f t="shared" ref="C349:N349" si="92">C$340*C28</f>
        <v>3121.26890943622</v>
      </c>
      <c r="D349" s="51">
        <f t="shared" si="92"/>
        <v>3301.04904688415</v>
      </c>
      <c r="E349" s="51">
        <f t="shared" si="92"/>
        <v>4829.16731684483</v>
      </c>
      <c r="F349" s="51">
        <f t="shared" si="92"/>
        <v>4131.14048198634</v>
      </c>
      <c r="G349" s="51">
        <f t="shared" si="92"/>
        <v>4271.79156868639</v>
      </c>
      <c r="H349" s="51">
        <f t="shared" si="92"/>
        <v>5723.30129609813</v>
      </c>
      <c r="I349" s="51">
        <f t="shared" si="92"/>
        <v>0</v>
      </c>
      <c r="J349" s="51" t="e">
        <f t="shared" si="92"/>
        <v>#DIV/0!</v>
      </c>
      <c r="K349" s="51" t="e">
        <f t="shared" si="92"/>
        <v>#DIV/0!</v>
      </c>
      <c r="L349" s="51" t="e">
        <f t="shared" si="92"/>
        <v>#DIV/0!</v>
      </c>
      <c r="M349" s="51" t="e">
        <f t="shared" si="92"/>
        <v>#DIV/0!</v>
      </c>
      <c r="N349" s="51" t="e">
        <f t="shared" si="92"/>
        <v>#DIV/0!</v>
      </c>
      <c r="O349" s="51" t="e">
        <f ca="1">SUM(OFFSET($C349,0,0,1,mth))</f>
        <v>#DIV/0!</v>
      </c>
      <c r="P349" s="278"/>
      <c r="Q349"/>
      <c r="R349"/>
      <c r="S349"/>
    </row>
    <row r="350" s="38" customFormat="1" ht="15" customHeight="1" spans="1:20">
      <c r="A350" s="115" t="s">
        <v>257</v>
      </c>
      <c r="B350" s="60"/>
      <c r="C350" s="51">
        <f t="shared" ref="C350:N350" si="93">C$340*C29</f>
        <v>0</v>
      </c>
      <c r="D350" s="51">
        <f t="shared" si="93"/>
        <v>94.9251832495056</v>
      </c>
      <c r="E350" s="51">
        <f t="shared" si="93"/>
        <v>0</v>
      </c>
      <c r="F350" s="51">
        <f t="shared" si="93"/>
        <v>0</v>
      </c>
      <c r="G350" s="51">
        <f t="shared" si="93"/>
        <v>0</v>
      </c>
      <c r="H350" s="51">
        <f t="shared" si="93"/>
        <v>0</v>
      </c>
      <c r="I350" s="51">
        <f t="shared" si="93"/>
        <v>0</v>
      </c>
      <c r="J350" s="51" t="e">
        <f t="shared" si="93"/>
        <v>#DIV/0!</v>
      </c>
      <c r="K350" s="51" t="e">
        <f t="shared" si="93"/>
        <v>#DIV/0!</v>
      </c>
      <c r="L350" s="51" t="e">
        <f t="shared" si="93"/>
        <v>#DIV/0!</v>
      </c>
      <c r="M350" s="51" t="e">
        <f t="shared" si="93"/>
        <v>#DIV/0!</v>
      </c>
      <c r="N350" s="51" t="e">
        <f t="shared" si="93"/>
        <v>#DIV/0!</v>
      </c>
      <c r="O350" s="51" t="e">
        <f ca="1">SUM(OFFSET($C350,0,0,1,mth))</f>
        <v>#DIV/0!</v>
      </c>
      <c r="P350" s="278"/>
      <c r="Q350"/>
      <c r="R350"/>
      <c r="S350"/>
    </row>
    <row r="351" s="38" customFormat="1" ht="15" customHeight="1" spans="1:20">
      <c r="A351" s="115" t="s">
        <v>258</v>
      </c>
      <c r="B351" s="50"/>
      <c r="C351" s="51">
        <f>C341</f>
        <v>8352</v>
      </c>
      <c r="D351" s="51">
        <f t="shared" ref="D351:L351" si="94">D341</f>
        <v>13823</v>
      </c>
      <c r="E351" s="51">
        <f t="shared" si="94"/>
        <v>13672</v>
      </c>
      <c r="F351" s="51">
        <f t="shared" si="94"/>
        <v>10408</v>
      </c>
      <c r="G351" s="51">
        <f t="shared" si="94"/>
        <v>11500</v>
      </c>
      <c r="H351" s="51">
        <f t="shared" si="94"/>
        <v>12232</v>
      </c>
      <c r="I351" s="51">
        <f t="shared" si="94"/>
        <v>0</v>
      </c>
      <c r="J351" s="51">
        <f t="shared" si="94"/>
        <v>0</v>
      </c>
      <c r="K351" s="51">
        <f t="shared" si="94"/>
        <v>0</v>
      </c>
      <c r="L351" s="51">
        <f t="shared" si="94"/>
        <v>0</v>
      </c>
      <c r="M351" s="51">
        <f t="shared" ref="M351:N351" si="95">M341</f>
        <v>0</v>
      </c>
      <c r="N351" s="51">
        <f t="shared" si="95"/>
        <v>0</v>
      </c>
      <c r="O351" s="51">
        <f ca="1">SUM(OFFSET($C351,0,0,1,mth))</f>
        <v>69987</v>
      </c>
      <c r="P351" s="382"/>
      <c r="Q351"/>
      <c r="R351"/>
      <c r="S351"/>
      <c r="T351"/>
    </row>
    <row r="352" s="38" customFormat="1" ht="15" customHeight="1" spans="1:20">
      <c r="A352" s="371" t="s">
        <v>240</v>
      </c>
      <c r="B352" s="50"/>
      <c r="C352" s="51">
        <f>C342</f>
        <v>293</v>
      </c>
      <c r="D352" s="51">
        <f>D342</f>
        <v>364</v>
      </c>
      <c r="E352" s="51">
        <f>E342</f>
        <v>321</v>
      </c>
      <c r="F352" s="51">
        <f t="shared" ref="F352:N352" si="96">F342</f>
        <v>830</v>
      </c>
      <c r="G352" s="51">
        <f t="shared" si="96"/>
        <v>1011</v>
      </c>
      <c r="H352" s="51">
        <f t="shared" si="96"/>
        <v>758</v>
      </c>
      <c r="I352" s="51">
        <f t="shared" si="96"/>
        <v>0</v>
      </c>
      <c r="J352" s="51">
        <f t="shared" si="96"/>
        <v>0</v>
      </c>
      <c r="K352" s="51">
        <f t="shared" si="96"/>
        <v>0</v>
      </c>
      <c r="L352" s="51">
        <f t="shared" si="96"/>
        <v>0</v>
      </c>
      <c r="M352" s="51">
        <f t="shared" si="96"/>
        <v>0</v>
      </c>
      <c r="N352" s="51">
        <f t="shared" si="96"/>
        <v>0</v>
      </c>
      <c r="O352" s="51">
        <f ca="1">SUM(OFFSET($C352,0,0,1,mth))</f>
        <v>3577</v>
      </c>
      <c r="P352" s="382"/>
      <c r="Q352"/>
      <c r="R352"/>
      <c r="S352"/>
      <c r="T352"/>
    </row>
    <row r="353" s="38" customFormat="1" ht="15" customHeight="1" spans="1:20">
      <c r="A353" s="371" t="s">
        <v>241</v>
      </c>
      <c r="B353" s="50"/>
      <c r="C353" s="51">
        <f>C342*C19</f>
        <v>135.587093563797</v>
      </c>
      <c r="D353" s="51">
        <f t="shared" ref="D353:N353" si="97">D342*D19</f>
        <v>51.9411311107896</v>
      </c>
      <c r="E353" s="51">
        <f t="shared" si="97"/>
        <v>222.16068005296</v>
      </c>
      <c r="F353" s="51">
        <f t="shared" si="97"/>
        <v>401.966948511847</v>
      </c>
      <c r="G353" s="51">
        <f t="shared" si="97"/>
        <v>293.281869360313</v>
      </c>
      <c r="H353" s="51">
        <f t="shared" si="97"/>
        <v>146.102628471644</v>
      </c>
      <c r="I353" s="51" t="e">
        <f t="shared" si="97"/>
        <v>#DIV/0!</v>
      </c>
      <c r="J353" s="51" t="e">
        <f t="shared" si="97"/>
        <v>#DIV/0!</v>
      </c>
      <c r="K353" s="51" t="e">
        <f t="shared" si="97"/>
        <v>#DIV/0!</v>
      </c>
      <c r="L353" s="51" t="e">
        <f t="shared" si="97"/>
        <v>#DIV/0!</v>
      </c>
      <c r="M353" s="51" t="e">
        <f t="shared" si="97"/>
        <v>#DIV/0!</v>
      </c>
      <c r="N353" s="51" t="e">
        <f t="shared" si="97"/>
        <v>#DIV/0!</v>
      </c>
      <c r="O353" s="51" t="e">
        <f ca="1">SUM(OFFSET($C353,0,0,1,mth))</f>
        <v>#DIV/0!</v>
      </c>
      <c r="P353" s="382"/>
      <c r="Q353"/>
      <c r="R353"/>
      <c r="S353"/>
      <c r="T353"/>
    </row>
    <row r="354" s="38" customFormat="1" ht="15" customHeight="1" spans="1:20">
      <c r="A354" s="371" t="s">
        <v>242</v>
      </c>
      <c r="B354" s="50"/>
      <c r="C354" s="51">
        <f>C342*C20</f>
        <v>157.412906436203</v>
      </c>
      <c r="D354" s="51">
        <f t="shared" ref="D354:N354" si="98">D342*D20</f>
        <v>312.05886888921</v>
      </c>
      <c r="E354" s="51">
        <f t="shared" si="98"/>
        <v>98.8393199470406</v>
      </c>
      <c r="F354" s="51">
        <f t="shared" si="98"/>
        <v>428.033051488153</v>
      </c>
      <c r="G354" s="51">
        <f t="shared" si="98"/>
        <v>717.718130639688</v>
      </c>
      <c r="H354" s="51">
        <f t="shared" si="98"/>
        <v>611.897371528353</v>
      </c>
      <c r="I354" s="51" t="e">
        <f t="shared" si="98"/>
        <v>#DIV/0!</v>
      </c>
      <c r="J354" s="51" t="e">
        <f t="shared" si="98"/>
        <v>#DIV/0!</v>
      </c>
      <c r="K354" s="51" t="e">
        <f t="shared" si="98"/>
        <v>#DIV/0!</v>
      </c>
      <c r="L354" s="51" t="e">
        <f t="shared" si="98"/>
        <v>#DIV/0!</v>
      </c>
      <c r="M354" s="51" t="e">
        <f t="shared" si="98"/>
        <v>#DIV/0!</v>
      </c>
      <c r="N354" s="51" t="e">
        <f t="shared" si="98"/>
        <v>#DIV/0!</v>
      </c>
      <c r="O354" s="51" t="e">
        <f ca="1">SUM(OFFSET($C354,0,0,1,mth))</f>
        <v>#DIV/0!</v>
      </c>
      <c r="P354" s="382"/>
      <c r="Q354"/>
      <c r="R354"/>
      <c r="S354"/>
      <c r="T354"/>
    </row>
    <row r="355" s="38" customFormat="1" ht="15" customHeight="1" spans="1:20">
      <c r="A355" s="57" t="s">
        <v>232</v>
      </c>
      <c r="B355" s="50"/>
      <c r="C355" s="51">
        <f>SUM(C345:C352)</f>
        <v>23664</v>
      </c>
      <c r="D355" s="51">
        <f t="shared" ref="D355:O355" si="99">SUM(D345:D352)</f>
        <v>39649</v>
      </c>
      <c r="E355" s="51">
        <f t="shared" si="99"/>
        <v>40159</v>
      </c>
      <c r="F355" s="51">
        <f t="shared" si="99"/>
        <v>38359</v>
      </c>
      <c r="G355" s="51">
        <f t="shared" si="99"/>
        <v>42667</v>
      </c>
      <c r="H355" s="51">
        <f t="shared" si="99"/>
        <v>45202</v>
      </c>
      <c r="I355" s="51">
        <f t="shared" si="99"/>
        <v>0</v>
      </c>
      <c r="J355" s="51" t="e">
        <f t="shared" si="99"/>
        <v>#DIV/0!</v>
      </c>
      <c r="K355" s="51" t="e">
        <f t="shared" si="99"/>
        <v>#DIV/0!</v>
      </c>
      <c r="L355" s="51" t="e">
        <f t="shared" si="99"/>
        <v>#DIV/0!</v>
      </c>
      <c r="M355" s="51" t="e">
        <f t="shared" si="99"/>
        <v>#DIV/0!</v>
      </c>
      <c r="N355" s="51" t="e">
        <f t="shared" si="99"/>
        <v>#DIV/0!</v>
      </c>
      <c r="O355" s="51" t="e">
        <f ca="1" t="shared" si="99"/>
        <v>#DIV/0!</v>
      </c>
      <c r="P355" s="382"/>
      <c r="Q355"/>
      <c r="R355"/>
      <c r="S355"/>
      <c r="T355"/>
    </row>
    <row r="356" spans="1:20">
      <c r="A356" s="38" t="str">
        <f>基础表!A379</f>
        <v>水单位成本（含税）</v>
      </c>
      <c r="B356" s="277"/>
      <c r="C356" s="440"/>
      <c r="D356" s="440"/>
      <c r="E356" s="440"/>
      <c r="F356" s="440"/>
      <c r="G356" s="440"/>
      <c r="H356" s="440"/>
      <c r="I356" s="440"/>
      <c r="J356" s="440"/>
      <c r="K356" s="440"/>
      <c r="L356" s="440"/>
      <c r="M356" s="440"/>
      <c r="N356" s="440"/>
      <c r="O356" s="440"/>
    </row>
    <row r="357" hidden="1" spans="1:20">
      <c r="A357" s="46" t="str">
        <f>基础表!A381</f>
        <v>天然气</v>
      </c>
      <c r="B357" s="137"/>
      <c r="C357" s="325"/>
      <c r="D357" s="325"/>
      <c r="E357" s="325"/>
      <c r="F357" s="423"/>
      <c r="G357" s="325"/>
      <c r="H357" s="325"/>
      <c r="I357" s="325"/>
      <c r="J357" s="325"/>
      <c r="K357" s="325"/>
      <c r="L357" s="325"/>
      <c r="M357" s="325"/>
      <c r="N357" s="325"/>
      <c r="O357" s="325"/>
    </row>
    <row r="358" hidden="1" spans="1:20">
      <c r="A358" s="115" t="str">
        <f>基础表!A382</f>
        <v>果糖装置</v>
      </c>
      <c r="B358" s="50"/>
      <c r="C358" s="441"/>
      <c r="D358" s="441"/>
      <c r="E358" s="441"/>
      <c r="F358" s="441"/>
      <c r="G358" s="441"/>
      <c r="H358" s="441"/>
      <c r="I358" s="441"/>
      <c r="J358" s="441"/>
      <c r="K358" s="441"/>
      <c r="L358" s="441"/>
      <c r="M358" s="441"/>
      <c r="N358" s="441"/>
      <c r="O358" s="51"/>
      <c r="Q358" s="38"/>
      <c r="R358" s="71"/>
    </row>
    <row r="359" hidden="1" spans="1:20">
      <c r="A359" s="115" t="str">
        <f>基础表!A383</f>
        <v>糖浆装置</v>
      </c>
      <c r="B359" s="50"/>
      <c r="C359" s="441"/>
      <c r="D359" s="441"/>
      <c r="E359" s="441"/>
      <c r="F359" s="441"/>
      <c r="G359" s="441"/>
      <c r="H359" s="441"/>
      <c r="I359" s="441"/>
      <c r="J359" s="441"/>
      <c r="K359" s="441"/>
      <c r="L359" s="441"/>
      <c r="M359" s="441"/>
      <c r="N359" s="441"/>
      <c r="O359" s="51"/>
      <c r="Q359" s="38"/>
      <c r="R359" s="71"/>
      <c r="S359" s="38"/>
    </row>
    <row r="360" hidden="1" spans="1:20">
      <c r="A360" s="148" t="str">
        <f>基础表!A388</f>
        <v>天然气单位成本</v>
      </c>
      <c r="B360" s="50"/>
      <c r="C360" s="419"/>
      <c r="D360" s="419"/>
      <c r="E360" s="419"/>
      <c r="F360" s="419"/>
      <c r="G360" s="419"/>
      <c r="H360" s="419"/>
      <c r="I360" s="419"/>
      <c r="J360" s="419"/>
      <c r="K360" s="419"/>
      <c r="L360" s="419"/>
      <c r="M360" s="419"/>
      <c r="N360" s="419"/>
      <c r="O360" s="419"/>
      <c r="Q360" s="38"/>
      <c r="R360" s="71"/>
      <c r="S360" s="38"/>
      <c r="T360" s="38"/>
    </row>
    <row r="361" hidden="1" spans="1:20">
      <c r="A361" s="39" t="s">
        <v>251</v>
      </c>
      <c r="B361" s="277"/>
      <c r="C361" s="440"/>
      <c r="D361" s="440"/>
      <c r="E361" s="440"/>
      <c r="F361" s="440"/>
      <c r="G361" s="440"/>
      <c r="H361" s="440"/>
      <c r="I361" s="440"/>
      <c r="J361" s="440"/>
      <c r="K361" s="440"/>
      <c r="L361" s="440"/>
      <c r="M361" s="440"/>
      <c r="N361" s="440"/>
      <c r="O361" s="440"/>
      <c r="Q361" s="38"/>
      <c r="R361" s="71"/>
      <c r="S361" s="38"/>
      <c r="T361" s="38"/>
    </row>
    <row r="362" s="38" customFormat="1" ht="15" hidden="1" customHeight="1" spans="1:20">
      <c r="A362" s="115" t="s">
        <v>252</v>
      </c>
      <c r="B362" s="50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378"/>
      <c r="R362" s="71"/>
    </row>
    <row r="363" s="38" customFormat="1" ht="15" hidden="1" customHeight="1" spans="1:20">
      <c r="A363" s="115" t="s">
        <v>253</v>
      </c>
      <c r="B363" s="50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382"/>
      <c r="R363" s="71"/>
    </row>
    <row r="364" s="38" customFormat="1" ht="15" hidden="1" customHeight="1" spans="1:20">
      <c r="A364" s="115" t="s">
        <v>255</v>
      </c>
      <c r="B364" s="50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382"/>
      <c r="Q364"/>
      <c r="R364"/>
    </row>
    <row r="365" s="38" customFormat="1" ht="15" hidden="1" customHeight="1" spans="1:20">
      <c r="A365" s="115" t="s">
        <v>256</v>
      </c>
      <c r="B365" s="60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382"/>
      <c r="Q365"/>
      <c r="R365"/>
      <c r="S365"/>
    </row>
    <row r="366" s="38" customFormat="1" ht="15" hidden="1" customHeight="1" spans="1:20">
      <c r="A366" s="115" t="s">
        <v>257</v>
      </c>
      <c r="B366" s="60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382"/>
      <c r="Q366"/>
      <c r="R366"/>
      <c r="S366"/>
    </row>
    <row r="367" s="38" customFormat="1" ht="15" hidden="1" customHeight="1" spans="1:20">
      <c r="A367" s="115" t="s">
        <v>258</v>
      </c>
      <c r="B367" s="50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382"/>
      <c r="Q367"/>
      <c r="R367"/>
      <c r="S367"/>
      <c r="T367"/>
    </row>
    <row r="368" s="38" customFormat="1" ht="15" hidden="1" customHeight="1" spans="1:20">
      <c r="A368" s="57" t="s">
        <v>232</v>
      </c>
      <c r="B368" s="50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382"/>
      <c r="Q368"/>
      <c r="R368"/>
      <c r="S368"/>
      <c r="T368"/>
    </row>
    <row r="369" hidden="1" spans="1:20">
      <c r="A369" s="38"/>
      <c r="B369" s="277"/>
      <c r="C369" s="440"/>
      <c r="D369" s="440"/>
      <c r="E369" s="440"/>
      <c r="F369" s="440"/>
      <c r="G369" s="440"/>
      <c r="H369" s="440"/>
      <c r="I369" s="440"/>
      <c r="J369" s="440"/>
      <c r="K369" s="440"/>
      <c r="L369" s="440"/>
      <c r="M369" s="440"/>
      <c r="N369" s="440"/>
      <c r="O369" s="440"/>
      <c r="Q369" s="38"/>
      <c r="R369" s="71"/>
    </row>
    <row r="370" spans="1:20">
      <c r="A370" s="46" t="s">
        <v>287</v>
      </c>
      <c r="B370" s="137"/>
      <c r="C370" s="325"/>
      <c r="D370" s="325"/>
      <c r="E370" s="325"/>
      <c r="F370" s="423"/>
      <c r="G370" s="325"/>
      <c r="H370" s="325"/>
      <c r="I370" s="325"/>
      <c r="J370" s="325"/>
      <c r="K370" s="325"/>
      <c r="L370" s="325"/>
      <c r="M370" s="325"/>
      <c r="N370" s="325"/>
      <c r="O370" s="325"/>
      <c r="Q370" s="38"/>
      <c r="R370" s="71"/>
      <c r="S370" s="38"/>
    </row>
    <row r="371" spans="1:20">
      <c r="A371" s="50"/>
      <c r="B371" s="50" t="str">
        <f>基础表!B398</f>
        <v>元</v>
      </c>
      <c r="C371" s="51">
        <f>基础表!C398</f>
        <v>93760.42</v>
      </c>
      <c r="D371" s="51">
        <f>基础表!D398</f>
        <v>136244.89</v>
      </c>
      <c r="E371" s="51">
        <f>基础表!E398</f>
        <v>155715.18</v>
      </c>
      <c r="F371" s="51">
        <f>基础表!F398</f>
        <v>152781.27</v>
      </c>
      <c r="G371" s="51">
        <f>基础表!G398</f>
        <v>158649.57</v>
      </c>
      <c r="H371" s="51">
        <f>基础表!H398</f>
        <v>225406.81</v>
      </c>
      <c r="I371" s="51">
        <f>基础表!I398</f>
        <v>0</v>
      </c>
      <c r="J371" s="51">
        <f>基础表!J398</f>
        <v>0</v>
      </c>
      <c r="K371" s="51">
        <f>基础表!K398</f>
        <v>0</v>
      </c>
      <c r="L371" s="51">
        <f>基础表!L398</f>
        <v>0</v>
      </c>
      <c r="M371" s="51">
        <f>基础表!M398</f>
        <v>0</v>
      </c>
      <c r="N371" s="51">
        <f>基础表!N398</f>
        <v>0</v>
      </c>
      <c r="O371" s="51">
        <f ca="1">基础表!O398</f>
        <v>922558.14</v>
      </c>
      <c r="Q371" s="38"/>
      <c r="R371" s="71"/>
      <c r="S371" s="38"/>
      <c r="T371" s="38"/>
    </row>
    <row r="372" spans="1:20">
      <c r="A372" s="38" t="s">
        <v>288</v>
      </c>
      <c r="B372" s="277"/>
      <c r="C372" s="440"/>
      <c r="D372" s="440"/>
      <c r="E372" s="440"/>
      <c r="F372" s="440"/>
      <c r="G372" s="440"/>
      <c r="H372" s="440"/>
      <c r="I372" s="440"/>
      <c r="J372" s="440"/>
      <c r="K372" s="440"/>
      <c r="L372" s="440"/>
      <c r="M372" s="440"/>
      <c r="N372" s="440"/>
      <c r="O372" s="440"/>
      <c r="Q372" s="38"/>
      <c r="R372" s="71"/>
      <c r="S372" s="38"/>
      <c r="T372" s="38"/>
    </row>
    <row r="373" s="38" customFormat="1" ht="15" customHeight="1" spans="1:20">
      <c r="A373" s="115" t="s">
        <v>252</v>
      </c>
      <c r="B373" s="50"/>
      <c r="C373" s="51">
        <f>C$371*C$45*C46</f>
        <v>43236.603391605</v>
      </c>
      <c r="D373" s="51">
        <f t="shared" ref="D373:N373" si="100">D$371*D$45*D46</f>
        <v>63591.4019829935</v>
      </c>
      <c r="E373" s="51">
        <f t="shared" si="100"/>
        <v>71567.1794794581</v>
      </c>
      <c r="F373" s="51">
        <f t="shared" si="100"/>
        <v>81474.5930407115</v>
      </c>
      <c r="G373" s="51">
        <f t="shared" si="100"/>
        <v>95990.2928442344</v>
      </c>
      <c r="H373" s="51">
        <f t="shared" si="100"/>
        <v>125129.973702363</v>
      </c>
      <c r="I373" s="51" t="e">
        <f t="shared" si="100"/>
        <v>#DIV/0!</v>
      </c>
      <c r="J373" s="51" t="e">
        <f t="shared" si="100"/>
        <v>#DIV/0!</v>
      </c>
      <c r="K373" s="51" t="e">
        <f t="shared" si="100"/>
        <v>#DIV/0!</v>
      </c>
      <c r="L373" s="51" t="e">
        <f t="shared" si="100"/>
        <v>#DIV/0!</v>
      </c>
      <c r="M373" s="51" t="e">
        <f t="shared" si="100"/>
        <v>#DIV/0!</v>
      </c>
      <c r="N373" s="51" t="e">
        <f t="shared" si="100"/>
        <v>#DIV/0!</v>
      </c>
      <c r="O373" s="51" t="e">
        <f ca="1">SUM(OFFSET($C373,0,0,1,mth))</f>
        <v>#DIV/0!</v>
      </c>
      <c r="P373" s="442"/>
      <c r="R373" s="71"/>
    </row>
    <row r="374" s="38" customFormat="1" ht="12.75" spans="1:20">
      <c r="A374" s="115" t="s">
        <v>253</v>
      </c>
      <c r="B374" s="50"/>
      <c r="C374" s="51">
        <f t="shared" ref="C373:C378" si="101">C$371*C$45*C47</f>
        <v>0</v>
      </c>
      <c r="D374" s="51">
        <f t="shared" ref="D374:N374" si="102">D$371*D$45*D47</f>
        <v>0</v>
      </c>
      <c r="E374" s="51">
        <f t="shared" si="102"/>
        <v>0</v>
      </c>
      <c r="F374" s="51">
        <f t="shared" si="102"/>
        <v>0</v>
      </c>
      <c r="G374" s="51">
        <f t="shared" si="102"/>
        <v>0</v>
      </c>
      <c r="H374" s="51">
        <f t="shared" si="102"/>
        <v>0</v>
      </c>
      <c r="I374" s="51" t="e">
        <f t="shared" si="102"/>
        <v>#DIV/0!</v>
      </c>
      <c r="J374" s="51" t="e">
        <f t="shared" si="102"/>
        <v>#DIV/0!</v>
      </c>
      <c r="K374" s="51" t="e">
        <f t="shared" si="102"/>
        <v>#DIV/0!</v>
      </c>
      <c r="L374" s="51" t="e">
        <f t="shared" si="102"/>
        <v>#DIV/0!</v>
      </c>
      <c r="M374" s="51" t="e">
        <f t="shared" si="102"/>
        <v>#DIV/0!</v>
      </c>
      <c r="N374" s="51" t="e">
        <f t="shared" si="102"/>
        <v>#DIV/0!</v>
      </c>
      <c r="O374" s="51" t="e">
        <f ca="1">SUM(OFFSET($C374,0,0,1,mth))</f>
        <v>#DIV/0!</v>
      </c>
      <c r="P374" s="442"/>
      <c r="R374" s="71"/>
    </row>
    <row r="375" s="38" customFormat="1" ht="12.75" spans="1:20">
      <c r="A375" s="115" t="s">
        <v>268</v>
      </c>
      <c r="B375" s="400"/>
      <c r="C375" s="51">
        <f t="shared" si="101"/>
        <v>0</v>
      </c>
      <c r="D375" s="51">
        <f t="shared" ref="D375:N375" si="103">D$371*D$45*D48</f>
        <v>0</v>
      </c>
      <c r="E375" s="51">
        <f t="shared" si="103"/>
        <v>0</v>
      </c>
      <c r="F375" s="51">
        <f t="shared" si="103"/>
        <v>0</v>
      </c>
      <c r="G375" s="51">
        <f t="shared" si="103"/>
        <v>0</v>
      </c>
      <c r="H375" s="51">
        <f t="shared" si="103"/>
        <v>0</v>
      </c>
      <c r="I375" s="51" t="e">
        <f t="shared" si="103"/>
        <v>#DIV/0!</v>
      </c>
      <c r="J375" s="51" t="e">
        <f t="shared" si="103"/>
        <v>#DIV/0!</v>
      </c>
      <c r="K375" s="51" t="e">
        <f t="shared" si="103"/>
        <v>#DIV/0!</v>
      </c>
      <c r="L375" s="51" t="e">
        <f t="shared" si="103"/>
        <v>#DIV/0!</v>
      </c>
      <c r="M375" s="51" t="e">
        <f t="shared" si="103"/>
        <v>#DIV/0!</v>
      </c>
      <c r="N375" s="51" t="e">
        <f t="shared" si="103"/>
        <v>#DIV/0!</v>
      </c>
      <c r="O375" s="51" t="e">
        <f ca="1">SUM(OFFSET($C375,0,0,1,mth))</f>
        <v>#DIV/0!</v>
      </c>
      <c r="P375" s="442"/>
      <c r="R375" s="71"/>
    </row>
    <row r="376" s="38" customFormat="1" ht="15" customHeight="1" spans="1:20">
      <c r="A376" s="115" t="s">
        <v>255</v>
      </c>
      <c r="B376" s="400"/>
      <c r="C376" s="51">
        <f t="shared" si="101"/>
        <v>0</v>
      </c>
      <c r="D376" s="51">
        <f t="shared" ref="D376:N376" si="104">D$371*D$45*D49</f>
        <v>2925.23918657244</v>
      </c>
      <c r="E376" s="51">
        <f t="shared" si="104"/>
        <v>4778.14250416168</v>
      </c>
      <c r="F376" s="51">
        <f t="shared" si="104"/>
        <v>4878.81195938922</v>
      </c>
      <c r="G376" s="51">
        <f t="shared" si="104"/>
        <v>0</v>
      </c>
      <c r="H376" s="51">
        <f t="shared" si="104"/>
        <v>5303.82427630191</v>
      </c>
      <c r="I376" s="51" t="e">
        <f t="shared" si="104"/>
        <v>#DIV/0!</v>
      </c>
      <c r="J376" s="51" t="e">
        <f t="shared" si="104"/>
        <v>#DIV/0!</v>
      </c>
      <c r="K376" s="51" t="e">
        <f t="shared" si="104"/>
        <v>#DIV/0!</v>
      </c>
      <c r="L376" s="51" t="e">
        <f t="shared" si="104"/>
        <v>#DIV/0!</v>
      </c>
      <c r="M376" s="51" t="e">
        <f t="shared" si="104"/>
        <v>#DIV/0!</v>
      </c>
      <c r="N376" s="51" t="e">
        <f t="shared" si="104"/>
        <v>#DIV/0!</v>
      </c>
      <c r="O376" s="51" t="e">
        <f ca="1">SUM(OFFSET($C376,0,0,1,mth))</f>
        <v>#DIV/0!</v>
      </c>
      <c r="P376" s="442"/>
      <c r="Q376"/>
      <c r="R376"/>
    </row>
    <row r="377" s="38" customFormat="1" ht="15" customHeight="1" spans="1:20">
      <c r="A377" s="115" t="s">
        <v>256</v>
      </c>
      <c r="B377" s="60"/>
      <c r="C377" s="51">
        <f t="shared" si="101"/>
        <v>7561.83762481538</v>
      </c>
      <c r="D377" s="51">
        <f t="shared" ref="D377:N377" si="105">D$371*D$45*D50</f>
        <v>6633.86925598491</v>
      </c>
      <c r="E377" s="51">
        <f t="shared" si="105"/>
        <v>11519.4958624563</v>
      </c>
      <c r="F377" s="51">
        <f t="shared" si="105"/>
        <v>10344.7941725135</v>
      </c>
      <c r="G377" s="51">
        <f t="shared" si="105"/>
        <v>10561.1503048496</v>
      </c>
      <c r="H377" s="51">
        <f t="shared" si="105"/>
        <v>18788.1866998203</v>
      </c>
      <c r="I377" s="51" t="e">
        <f t="shared" si="105"/>
        <v>#DIV/0!</v>
      </c>
      <c r="J377" s="51" t="e">
        <f t="shared" si="105"/>
        <v>#DIV/0!</v>
      </c>
      <c r="K377" s="51" t="e">
        <f t="shared" si="105"/>
        <v>#DIV/0!</v>
      </c>
      <c r="L377" s="51" t="e">
        <f t="shared" si="105"/>
        <v>#DIV/0!</v>
      </c>
      <c r="M377" s="51" t="e">
        <f t="shared" si="105"/>
        <v>#DIV/0!</v>
      </c>
      <c r="N377" s="51" t="e">
        <f t="shared" si="105"/>
        <v>#DIV/0!</v>
      </c>
      <c r="O377" s="51" t="e">
        <f ca="1">SUM(OFFSET($C377,0,0,1,mth))</f>
        <v>#DIV/0!</v>
      </c>
      <c r="P377" s="442"/>
      <c r="Q377"/>
      <c r="R377"/>
      <c r="S377"/>
    </row>
    <row r="378" s="38" customFormat="1" ht="15" customHeight="1" spans="1:20">
      <c r="A378" s="115" t="s">
        <v>257</v>
      </c>
      <c r="B378" s="60"/>
      <c r="C378" s="51">
        <f t="shared" si="101"/>
        <v>0</v>
      </c>
      <c r="D378" s="51">
        <f>D$371*D$45*D51</f>
        <v>286.145970190304</v>
      </c>
      <c r="E378" s="51">
        <f t="shared" ref="D378:N378" si="106">E$371*E$45*E51</f>
        <v>0</v>
      </c>
      <c r="F378" s="51">
        <f t="shared" si="106"/>
        <v>0</v>
      </c>
      <c r="G378" s="51">
        <f t="shared" si="106"/>
        <v>0</v>
      </c>
      <c r="H378" s="51">
        <f t="shared" si="106"/>
        <v>0</v>
      </c>
      <c r="I378" s="51" t="e">
        <f t="shared" si="106"/>
        <v>#DIV/0!</v>
      </c>
      <c r="J378" s="51" t="e">
        <f t="shared" si="106"/>
        <v>#DIV/0!</v>
      </c>
      <c r="K378" s="51" t="e">
        <f t="shared" si="106"/>
        <v>#DIV/0!</v>
      </c>
      <c r="L378" s="51" t="e">
        <f t="shared" si="106"/>
        <v>#DIV/0!</v>
      </c>
      <c r="M378" s="51" t="e">
        <f t="shared" si="106"/>
        <v>#DIV/0!</v>
      </c>
      <c r="N378" s="51" t="e">
        <f t="shared" si="106"/>
        <v>#DIV/0!</v>
      </c>
      <c r="O378" s="51" t="e">
        <f ca="1">SUM(OFFSET($C378,0,0,1,mth))</f>
        <v>#DIV/0!</v>
      </c>
      <c r="P378" s="442"/>
      <c r="Q378"/>
      <c r="R378"/>
      <c r="S378"/>
    </row>
    <row r="379" s="38" customFormat="1" ht="15" customHeight="1" spans="1:20">
      <c r="A379" s="115" t="s">
        <v>258</v>
      </c>
      <c r="B379" s="60"/>
      <c r="C379" s="51">
        <f>C$371*C52</f>
        <v>42034.3820533662</v>
      </c>
      <c r="D379" s="51">
        <f t="shared" ref="D379:N379" si="107">D$371*D52</f>
        <v>61745.3913251107</v>
      </c>
      <c r="E379" s="51">
        <f t="shared" si="107"/>
        <v>66690.0403953547</v>
      </c>
      <c r="F379" s="51">
        <f t="shared" si="107"/>
        <v>52995.7646400564</v>
      </c>
      <c r="G379" s="51">
        <f t="shared" si="107"/>
        <v>48582.046151295</v>
      </c>
      <c r="H379" s="51">
        <f t="shared" si="107"/>
        <v>72251.8135574323</v>
      </c>
      <c r="I379" s="51" t="e">
        <f t="shared" si="107"/>
        <v>#DIV/0!</v>
      </c>
      <c r="J379" s="51" t="e">
        <f t="shared" si="107"/>
        <v>#DIV/0!</v>
      </c>
      <c r="K379" s="51" t="e">
        <f t="shared" si="107"/>
        <v>#DIV/0!</v>
      </c>
      <c r="L379" s="51" t="e">
        <f t="shared" si="107"/>
        <v>#DIV/0!</v>
      </c>
      <c r="M379" s="51" t="e">
        <f t="shared" si="107"/>
        <v>#DIV/0!</v>
      </c>
      <c r="N379" s="51" t="e">
        <f t="shared" si="107"/>
        <v>#DIV/0!</v>
      </c>
      <c r="O379" s="51" t="e">
        <f ca="1">SUM(OFFSET($C379,0,0,1,mth))</f>
        <v>#DIV/0!</v>
      </c>
      <c r="P379" s="442"/>
      <c r="Q379"/>
      <c r="R379"/>
      <c r="S379"/>
      <c r="T379"/>
    </row>
    <row r="380" s="38" customFormat="1" ht="15" customHeight="1" spans="1:20">
      <c r="A380" s="371" t="s">
        <v>240</v>
      </c>
      <c r="B380" s="60"/>
      <c r="C380" s="51">
        <f>C$371*C53</f>
        <v>927.596930213464</v>
      </c>
      <c r="D380" s="51">
        <f t="shared" ref="D380:N380" si="108">D$371*D53</f>
        <v>1062.84227914822</v>
      </c>
      <c r="E380" s="51">
        <f t="shared" si="108"/>
        <v>1160.3217585693</v>
      </c>
      <c r="F380" s="51">
        <f t="shared" si="108"/>
        <v>3087.30618732928</v>
      </c>
      <c r="G380" s="51">
        <f t="shared" si="108"/>
        <v>3516.08069962098</v>
      </c>
      <c r="H380" s="51">
        <f t="shared" si="108"/>
        <v>3933.01176408284</v>
      </c>
      <c r="I380" s="51" t="e">
        <f t="shared" si="108"/>
        <v>#DIV/0!</v>
      </c>
      <c r="J380" s="51" t="e">
        <f t="shared" si="108"/>
        <v>#DIV/0!</v>
      </c>
      <c r="K380" s="51" t="e">
        <f t="shared" si="108"/>
        <v>#DIV/0!</v>
      </c>
      <c r="L380" s="51" t="e">
        <f t="shared" si="108"/>
        <v>#DIV/0!</v>
      </c>
      <c r="M380" s="51" t="e">
        <f t="shared" si="108"/>
        <v>#DIV/0!</v>
      </c>
      <c r="N380" s="51" t="e">
        <f t="shared" si="108"/>
        <v>#DIV/0!</v>
      </c>
      <c r="O380" s="51" t="e">
        <f ca="1">SUM(OFFSET($C380,0,0,1,mth))</f>
        <v>#DIV/0!</v>
      </c>
      <c r="P380" s="442"/>
      <c r="Q380"/>
      <c r="R380"/>
      <c r="S380"/>
      <c r="T380"/>
    </row>
    <row r="381" s="38" customFormat="1" ht="15" customHeight="1" spans="1:20">
      <c r="A381" s="371" t="s">
        <v>241</v>
      </c>
      <c r="B381" s="60"/>
      <c r="C381" s="51">
        <f>C380*C19</f>
        <v>429.249732990934</v>
      </c>
      <c r="D381" s="51">
        <f t="shared" ref="D381:N381" si="109">D380*D19</f>
        <v>151.662720250901</v>
      </c>
      <c r="E381" s="51">
        <f t="shared" si="109"/>
        <v>803.046326990662</v>
      </c>
      <c r="F381" s="51">
        <f t="shared" si="109"/>
        <v>1495.17475571385</v>
      </c>
      <c r="G381" s="51">
        <f t="shared" si="109"/>
        <v>1019.982908414</v>
      </c>
      <c r="H381" s="51">
        <f t="shared" si="109"/>
        <v>758.078306784172</v>
      </c>
      <c r="I381" s="51" t="e">
        <f t="shared" si="109"/>
        <v>#DIV/0!</v>
      </c>
      <c r="J381" s="51" t="e">
        <f t="shared" si="109"/>
        <v>#DIV/0!</v>
      </c>
      <c r="K381" s="51" t="e">
        <f t="shared" si="109"/>
        <v>#DIV/0!</v>
      </c>
      <c r="L381" s="51" t="e">
        <f t="shared" si="109"/>
        <v>#DIV/0!</v>
      </c>
      <c r="M381" s="51" t="e">
        <f t="shared" si="109"/>
        <v>#DIV/0!</v>
      </c>
      <c r="N381" s="51" t="e">
        <f t="shared" si="109"/>
        <v>#DIV/0!</v>
      </c>
      <c r="O381" s="51" t="e">
        <f ca="1">SUM(OFFSET($C381,0,0,1,mth))</f>
        <v>#DIV/0!</v>
      </c>
      <c r="P381" s="442"/>
      <c r="Q381"/>
      <c r="R381"/>
      <c r="S381"/>
      <c r="T381"/>
    </row>
    <row r="382" s="38" customFormat="1" ht="15" customHeight="1" spans="1:20">
      <c r="A382" s="371" t="s">
        <v>242</v>
      </c>
      <c r="B382" s="60"/>
      <c r="C382" s="51">
        <f>C380*C20</f>
        <v>498.34719722253</v>
      </c>
      <c r="D382" s="51">
        <f t="shared" ref="D382:N382" si="110">D380*D20</f>
        <v>911.179558897317</v>
      </c>
      <c r="E382" s="51">
        <f t="shared" si="110"/>
        <v>357.275431578641</v>
      </c>
      <c r="F382" s="51">
        <f t="shared" si="110"/>
        <v>1592.13143161543</v>
      </c>
      <c r="G382" s="51">
        <f t="shared" si="110"/>
        <v>2496.09779120698</v>
      </c>
      <c r="H382" s="51">
        <f t="shared" si="110"/>
        <v>3174.93345729866</v>
      </c>
      <c r="I382" s="51" t="e">
        <f t="shared" si="110"/>
        <v>#DIV/0!</v>
      </c>
      <c r="J382" s="51" t="e">
        <f t="shared" si="110"/>
        <v>#DIV/0!</v>
      </c>
      <c r="K382" s="51" t="e">
        <f t="shared" si="110"/>
        <v>#DIV/0!</v>
      </c>
      <c r="L382" s="51" t="e">
        <f t="shared" si="110"/>
        <v>#DIV/0!</v>
      </c>
      <c r="M382" s="51" t="e">
        <f t="shared" si="110"/>
        <v>#DIV/0!</v>
      </c>
      <c r="N382" s="51" t="e">
        <f t="shared" si="110"/>
        <v>#DIV/0!</v>
      </c>
      <c r="O382" s="51" t="e">
        <f ca="1">SUM(OFFSET($C382,0,0,1,mth))</f>
        <v>#DIV/0!</v>
      </c>
      <c r="P382" s="442"/>
      <c r="Q382"/>
      <c r="R382"/>
      <c r="S382"/>
      <c r="T382"/>
    </row>
    <row r="383" s="38" customFormat="1" ht="15" customHeight="1" spans="1:20">
      <c r="A383" s="57" t="s">
        <v>232</v>
      </c>
      <c r="B383" s="50"/>
      <c r="C383" s="51">
        <f>SUM(C373:C380)</f>
        <v>93760.42</v>
      </c>
      <c r="D383" s="51">
        <f t="shared" ref="D383:O383" si="111">SUM(D373:D380)</f>
        <v>136244.89</v>
      </c>
      <c r="E383" s="51">
        <f t="shared" si="111"/>
        <v>155715.18</v>
      </c>
      <c r="F383" s="51">
        <f t="shared" si="111"/>
        <v>152781.27</v>
      </c>
      <c r="G383" s="51">
        <f t="shared" si="111"/>
        <v>158649.57</v>
      </c>
      <c r="H383" s="51">
        <f t="shared" si="111"/>
        <v>225406.81</v>
      </c>
      <c r="I383" s="51" t="e">
        <f t="shared" si="111"/>
        <v>#DIV/0!</v>
      </c>
      <c r="J383" s="51" t="e">
        <f t="shared" si="111"/>
        <v>#DIV/0!</v>
      </c>
      <c r="K383" s="51" t="e">
        <f t="shared" si="111"/>
        <v>#DIV/0!</v>
      </c>
      <c r="L383" s="51" t="e">
        <f t="shared" si="111"/>
        <v>#DIV/0!</v>
      </c>
      <c r="M383" s="51" t="e">
        <f t="shared" si="111"/>
        <v>#DIV/0!</v>
      </c>
      <c r="N383" s="51" t="e">
        <f t="shared" si="111"/>
        <v>#DIV/0!</v>
      </c>
      <c r="O383" s="51" t="e">
        <f ca="1" t="shared" si="111"/>
        <v>#DIV/0!</v>
      </c>
      <c r="P383" s="443"/>
      <c r="Q383"/>
      <c r="R383"/>
      <c r="S383"/>
      <c r="T383"/>
    </row>
    <row r="384" ht="21.75" customHeight="1" spans="1:20">
      <c r="A384" s="444" t="s">
        <v>289</v>
      </c>
      <c r="B384" s="277"/>
      <c r="C384" s="440"/>
      <c r="D384" s="440"/>
      <c r="E384" s="440"/>
      <c r="F384" s="440"/>
      <c r="G384" s="440"/>
      <c r="H384" s="440"/>
      <c r="I384" s="440"/>
      <c r="J384" s="440"/>
      <c r="K384" s="440"/>
      <c r="L384" s="440"/>
      <c r="M384" s="440"/>
      <c r="N384" s="440"/>
      <c r="O384" s="440"/>
      <c r="Q384" s="38"/>
      <c r="R384" s="71"/>
      <c r="S384" s="38"/>
      <c r="T384" s="38"/>
    </row>
    <row r="385" s="38" customFormat="1" ht="15" customHeight="1" spans="1:20">
      <c r="A385" s="115" t="s">
        <v>252</v>
      </c>
      <c r="B385" s="50"/>
      <c r="C385" s="51">
        <f t="shared" ref="C385:C390" si="112">C$371*C46*C$45*1.13</f>
        <v>48857.3618325136</v>
      </c>
      <c r="D385" s="51">
        <f t="shared" ref="D385:N385" si="113">D$371*D46*D$45*1.13</f>
        <v>71858.2842407827</v>
      </c>
      <c r="E385" s="51">
        <f t="shared" si="113"/>
        <v>80870.9128117876</v>
      </c>
      <c r="F385" s="51">
        <f t="shared" si="113"/>
        <v>92066.290136004</v>
      </c>
      <c r="G385" s="51">
        <f t="shared" si="113"/>
        <v>108469.030913985</v>
      </c>
      <c r="H385" s="51">
        <f t="shared" si="113"/>
        <v>141396.87028367</v>
      </c>
      <c r="I385" s="51" t="e">
        <f t="shared" si="113"/>
        <v>#DIV/0!</v>
      </c>
      <c r="J385" s="51" t="e">
        <f t="shared" si="113"/>
        <v>#DIV/0!</v>
      </c>
      <c r="K385" s="51" t="e">
        <f t="shared" si="113"/>
        <v>#DIV/0!</v>
      </c>
      <c r="L385" s="51" t="e">
        <f t="shared" si="113"/>
        <v>#DIV/0!</v>
      </c>
      <c r="M385" s="51" t="e">
        <f t="shared" si="113"/>
        <v>#DIV/0!</v>
      </c>
      <c r="N385" s="51" t="e">
        <f t="shared" si="113"/>
        <v>#DIV/0!</v>
      </c>
      <c r="O385" s="51" t="e">
        <f ca="1">SUM(OFFSET($C385,0,0,1,mth))</f>
        <v>#DIV/0!</v>
      </c>
      <c r="P385" s="443"/>
      <c r="R385" s="71"/>
    </row>
    <row r="386" s="38" customFormat="1" ht="12.75" spans="1:20">
      <c r="A386" s="115" t="s">
        <v>253</v>
      </c>
      <c r="B386" s="50"/>
      <c r="C386" s="51">
        <f t="shared" si="112"/>
        <v>0</v>
      </c>
      <c r="D386" s="51">
        <f t="shared" ref="D386:N386" si="114">D$371*D47*D$45*1.13</f>
        <v>0</v>
      </c>
      <c r="E386" s="51">
        <f t="shared" si="114"/>
        <v>0</v>
      </c>
      <c r="F386" s="51">
        <f t="shared" si="114"/>
        <v>0</v>
      </c>
      <c r="G386" s="51">
        <f t="shared" si="114"/>
        <v>0</v>
      </c>
      <c r="H386" s="51">
        <f t="shared" si="114"/>
        <v>0</v>
      </c>
      <c r="I386" s="51" t="e">
        <f t="shared" si="114"/>
        <v>#DIV/0!</v>
      </c>
      <c r="J386" s="51" t="e">
        <f t="shared" si="114"/>
        <v>#DIV/0!</v>
      </c>
      <c r="K386" s="51" t="e">
        <f t="shared" si="114"/>
        <v>#DIV/0!</v>
      </c>
      <c r="L386" s="51" t="e">
        <f t="shared" si="114"/>
        <v>#DIV/0!</v>
      </c>
      <c r="M386" s="51" t="e">
        <f t="shared" si="114"/>
        <v>#DIV/0!</v>
      </c>
      <c r="N386" s="51" t="e">
        <f t="shared" si="114"/>
        <v>#DIV/0!</v>
      </c>
      <c r="O386" s="51" t="e">
        <f ca="1">SUM(OFFSET($C386,0,0,1,mth))</f>
        <v>#DIV/0!</v>
      </c>
      <c r="P386" s="443"/>
      <c r="R386" s="71"/>
    </row>
    <row r="387" s="38" customFormat="1" ht="12.75" spans="1:20">
      <c r="A387" s="115" t="s">
        <v>268</v>
      </c>
      <c r="B387" s="400"/>
      <c r="C387" s="51">
        <f t="shared" si="112"/>
        <v>0</v>
      </c>
      <c r="D387" s="51">
        <f t="shared" ref="D387:N387" si="115">D$371*D48*D$45*1.13</f>
        <v>0</v>
      </c>
      <c r="E387" s="51">
        <f t="shared" si="115"/>
        <v>0</v>
      </c>
      <c r="F387" s="51">
        <f t="shared" si="115"/>
        <v>0</v>
      </c>
      <c r="G387" s="51">
        <f t="shared" si="115"/>
        <v>0</v>
      </c>
      <c r="H387" s="51">
        <f t="shared" si="115"/>
        <v>0</v>
      </c>
      <c r="I387" s="51" t="e">
        <f t="shared" si="115"/>
        <v>#DIV/0!</v>
      </c>
      <c r="J387" s="51" t="e">
        <f t="shared" si="115"/>
        <v>#DIV/0!</v>
      </c>
      <c r="K387" s="51" t="e">
        <f t="shared" si="115"/>
        <v>#DIV/0!</v>
      </c>
      <c r="L387" s="51" t="e">
        <f t="shared" si="115"/>
        <v>#DIV/0!</v>
      </c>
      <c r="M387" s="51" t="e">
        <f t="shared" si="115"/>
        <v>#DIV/0!</v>
      </c>
      <c r="N387" s="51" t="e">
        <f t="shared" si="115"/>
        <v>#DIV/0!</v>
      </c>
      <c r="O387" s="51" t="e">
        <f ca="1">SUM(OFFSET($C387,0,0,1,mth))</f>
        <v>#DIV/0!</v>
      </c>
      <c r="P387" s="443"/>
      <c r="R387" s="71"/>
    </row>
    <row r="388" s="38" customFormat="1" ht="15" customHeight="1" spans="1:20">
      <c r="A388" s="115" t="s">
        <v>255</v>
      </c>
      <c r="B388" s="400"/>
      <c r="C388" s="51">
        <f t="shared" si="112"/>
        <v>0</v>
      </c>
      <c r="D388" s="51">
        <f t="shared" ref="D388:N388" si="116">D$371*D49*D$45*1.13</f>
        <v>3305.52028082686</v>
      </c>
      <c r="E388" s="51">
        <f t="shared" si="116"/>
        <v>5399.3010297027</v>
      </c>
      <c r="F388" s="51">
        <f t="shared" si="116"/>
        <v>5513.05751410982</v>
      </c>
      <c r="G388" s="51">
        <f t="shared" si="116"/>
        <v>0</v>
      </c>
      <c r="H388" s="51">
        <f t="shared" si="116"/>
        <v>5993.32143222115</v>
      </c>
      <c r="I388" s="51" t="e">
        <f t="shared" si="116"/>
        <v>#DIV/0!</v>
      </c>
      <c r="J388" s="51" t="e">
        <f t="shared" si="116"/>
        <v>#DIV/0!</v>
      </c>
      <c r="K388" s="51" t="e">
        <f t="shared" si="116"/>
        <v>#DIV/0!</v>
      </c>
      <c r="L388" s="51" t="e">
        <f t="shared" si="116"/>
        <v>#DIV/0!</v>
      </c>
      <c r="M388" s="51" t="e">
        <f t="shared" si="116"/>
        <v>#DIV/0!</v>
      </c>
      <c r="N388" s="51" t="e">
        <f t="shared" si="116"/>
        <v>#DIV/0!</v>
      </c>
      <c r="O388" s="51" t="e">
        <f ca="1">SUM(OFFSET($C388,0,0,1,mth))</f>
        <v>#DIV/0!</v>
      </c>
      <c r="P388" s="443"/>
      <c r="Q388"/>
      <c r="R388"/>
    </row>
    <row r="389" s="38" customFormat="1" ht="15" customHeight="1" spans="1:20">
      <c r="A389" s="115" t="s">
        <v>256</v>
      </c>
      <c r="B389" s="60"/>
      <c r="C389" s="51">
        <f t="shared" si="112"/>
        <v>8544.87651604137</v>
      </c>
      <c r="D389" s="51">
        <f t="shared" ref="D389:N389" si="117">D$371*D50*D$45*1.13</f>
        <v>7496.27225926295</v>
      </c>
      <c r="E389" s="51">
        <f t="shared" si="117"/>
        <v>13017.0303245756</v>
      </c>
      <c r="F389" s="51">
        <f t="shared" si="117"/>
        <v>11689.6174149403</v>
      </c>
      <c r="G389" s="51">
        <f t="shared" si="117"/>
        <v>11934.0998444801</v>
      </c>
      <c r="H389" s="51">
        <f t="shared" si="117"/>
        <v>21230.6509707969</v>
      </c>
      <c r="I389" s="51" t="e">
        <f t="shared" si="117"/>
        <v>#DIV/0!</v>
      </c>
      <c r="J389" s="51" t="e">
        <f t="shared" si="117"/>
        <v>#DIV/0!</v>
      </c>
      <c r="K389" s="51" t="e">
        <f t="shared" si="117"/>
        <v>#DIV/0!</v>
      </c>
      <c r="L389" s="51" t="e">
        <f t="shared" si="117"/>
        <v>#DIV/0!</v>
      </c>
      <c r="M389" s="51" t="e">
        <f t="shared" si="117"/>
        <v>#DIV/0!</v>
      </c>
      <c r="N389" s="51" t="e">
        <f t="shared" si="117"/>
        <v>#DIV/0!</v>
      </c>
      <c r="O389" s="51" t="e">
        <f ca="1">SUM(OFFSET($C389,0,0,1,mth))</f>
        <v>#DIV/0!</v>
      </c>
      <c r="P389" s="443"/>
      <c r="Q389"/>
      <c r="R389"/>
      <c r="S389"/>
    </row>
    <row r="390" s="38" customFormat="1" ht="15" customHeight="1" spans="1:20">
      <c r="A390" s="115" t="s">
        <v>257</v>
      </c>
      <c r="B390" s="60"/>
      <c r="C390" s="51">
        <f t="shared" si="112"/>
        <v>0</v>
      </c>
      <c r="D390" s="51">
        <f t="shared" ref="D390:N390" si="118">D$371*D51*D$45*1.13</f>
        <v>323.344946315043</v>
      </c>
      <c r="E390" s="51">
        <f t="shared" si="118"/>
        <v>0</v>
      </c>
      <c r="F390" s="51">
        <f t="shared" si="118"/>
        <v>0</v>
      </c>
      <c r="G390" s="51">
        <f t="shared" si="118"/>
        <v>0</v>
      </c>
      <c r="H390" s="51">
        <f t="shared" si="118"/>
        <v>0</v>
      </c>
      <c r="I390" s="51" t="e">
        <f t="shared" si="118"/>
        <v>#DIV/0!</v>
      </c>
      <c r="J390" s="51" t="e">
        <f t="shared" si="118"/>
        <v>#DIV/0!</v>
      </c>
      <c r="K390" s="51" t="e">
        <f t="shared" si="118"/>
        <v>#DIV/0!</v>
      </c>
      <c r="L390" s="51" t="e">
        <f t="shared" si="118"/>
        <v>#DIV/0!</v>
      </c>
      <c r="M390" s="51" t="e">
        <f t="shared" si="118"/>
        <v>#DIV/0!</v>
      </c>
      <c r="N390" s="51" t="e">
        <f t="shared" si="118"/>
        <v>#DIV/0!</v>
      </c>
      <c r="O390" s="51" t="e">
        <f ca="1">SUM(OFFSET($C390,0,0,1,mth))</f>
        <v>#DIV/0!</v>
      </c>
      <c r="P390" s="443"/>
      <c r="Q390"/>
      <c r="R390"/>
      <c r="S390"/>
    </row>
    <row r="391" s="38" customFormat="1" ht="15" customHeight="1" spans="1:20">
      <c r="A391" s="115" t="s">
        <v>258</v>
      </c>
      <c r="B391" s="60"/>
      <c r="C391" s="51">
        <f>C$371*C52*1.13</f>
        <v>47498.8517203038</v>
      </c>
      <c r="D391" s="51">
        <f t="shared" ref="D391:N391" si="119">D$371*D52*1.13</f>
        <v>69772.2921973751</v>
      </c>
      <c r="E391" s="51">
        <f t="shared" si="119"/>
        <v>75359.7456467508</v>
      </c>
      <c r="F391" s="51">
        <f t="shared" si="119"/>
        <v>59885.2140432637</v>
      </c>
      <c r="G391" s="51">
        <f t="shared" si="119"/>
        <v>54897.7121509633</v>
      </c>
      <c r="H391" s="51">
        <f t="shared" si="119"/>
        <v>81644.5493198985</v>
      </c>
      <c r="I391" s="51" t="e">
        <f t="shared" si="119"/>
        <v>#DIV/0!</v>
      </c>
      <c r="J391" s="51" t="e">
        <f t="shared" si="119"/>
        <v>#DIV/0!</v>
      </c>
      <c r="K391" s="51" t="e">
        <f t="shared" si="119"/>
        <v>#DIV/0!</v>
      </c>
      <c r="L391" s="51" t="e">
        <f t="shared" si="119"/>
        <v>#DIV/0!</v>
      </c>
      <c r="M391" s="51" t="e">
        <f t="shared" si="119"/>
        <v>#DIV/0!</v>
      </c>
      <c r="N391" s="51" t="e">
        <f t="shared" si="119"/>
        <v>#DIV/0!</v>
      </c>
      <c r="O391" s="51" t="e">
        <f ca="1">SUM(OFFSET($C391,0,0,1,mth))</f>
        <v>#DIV/0!</v>
      </c>
      <c r="P391" s="443"/>
      <c r="Q391"/>
      <c r="R391"/>
      <c r="S391"/>
      <c r="T391"/>
    </row>
    <row r="392" s="38" customFormat="1" ht="15" customHeight="1" spans="1:20">
      <c r="A392" s="371" t="s">
        <v>240</v>
      </c>
      <c r="B392" s="60"/>
      <c r="C392" s="51">
        <f>C$371*C53*1.13</f>
        <v>1048.18453114121</v>
      </c>
      <c r="D392" s="51">
        <f t="shared" ref="D392:N392" si="120">D$371*D53*1.13</f>
        <v>1201.01177543749</v>
      </c>
      <c r="E392" s="51">
        <f t="shared" si="120"/>
        <v>1311.16358718331</v>
      </c>
      <c r="F392" s="51">
        <f t="shared" si="120"/>
        <v>3488.65599168209</v>
      </c>
      <c r="G392" s="51">
        <f t="shared" si="120"/>
        <v>3973.17119057171</v>
      </c>
      <c r="H392" s="51">
        <f t="shared" si="120"/>
        <v>4444.30329341361</v>
      </c>
      <c r="I392" s="51" t="e">
        <f t="shared" si="120"/>
        <v>#DIV/0!</v>
      </c>
      <c r="J392" s="51" t="e">
        <f t="shared" si="120"/>
        <v>#DIV/0!</v>
      </c>
      <c r="K392" s="51" t="e">
        <f t="shared" si="120"/>
        <v>#DIV/0!</v>
      </c>
      <c r="L392" s="51" t="e">
        <f t="shared" si="120"/>
        <v>#DIV/0!</v>
      </c>
      <c r="M392" s="51" t="e">
        <f t="shared" si="120"/>
        <v>#DIV/0!</v>
      </c>
      <c r="N392" s="51" t="e">
        <f t="shared" si="120"/>
        <v>#DIV/0!</v>
      </c>
      <c r="O392" s="51" t="e">
        <f ca="1">SUM(OFFSET($C392,0,0,1,mth))</f>
        <v>#DIV/0!</v>
      </c>
      <c r="P392" s="443"/>
      <c r="Q392"/>
      <c r="R392"/>
      <c r="S392"/>
      <c r="T392" s="51"/>
    </row>
    <row r="393" s="38" customFormat="1" ht="15" customHeight="1" spans="1:20">
      <c r="A393" s="371" t="s">
        <v>241</v>
      </c>
      <c r="B393" s="60"/>
      <c r="C393" s="51">
        <f>C392*C19</f>
        <v>485.052198279754</v>
      </c>
      <c r="D393" s="51">
        <f t="shared" ref="D393:N393" si="121">D392*D19</f>
        <v>171.378873883518</v>
      </c>
      <c r="E393" s="51">
        <f t="shared" si="121"/>
        <v>907.442349499448</v>
      </c>
      <c r="F393" s="51">
        <f t="shared" si="121"/>
        <v>1689.54747395665</v>
      </c>
      <c r="G393" s="51">
        <f t="shared" si="121"/>
        <v>1152.58068650782</v>
      </c>
      <c r="H393" s="51">
        <f t="shared" si="121"/>
        <v>856.628486666114</v>
      </c>
      <c r="I393" s="51" t="e">
        <f t="shared" si="121"/>
        <v>#DIV/0!</v>
      </c>
      <c r="J393" s="51" t="e">
        <f t="shared" si="121"/>
        <v>#DIV/0!</v>
      </c>
      <c r="K393" s="51" t="e">
        <f t="shared" si="121"/>
        <v>#DIV/0!</v>
      </c>
      <c r="L393" s="51" t="e">
        <f t="shared" si="121"/>
        <v>#DIV/0!</v>
      </c>
      <c r="M393" s="51" t="e">
        <f t="shared" si="121"/>
        <v>#DIV/0!</v>
      </c>
      <c r="N393" s="51" t="e">
        <f t="shared" si="121"/>
        <v>#DIV/0!</v>
      </c>
      <c r="O393" s="51" t="e">
        <f ca="1">SUM(OFFSET($C393,0,0,1,mth))</f>
        <v>#DIV/0!</v>
      </c>
      <c r="P393" s="443"/>
      <c r="Q393"/>
      <c r="R393"/>
      <c r="S393"/>
      <c r="T393"/>
    </row>
    <row r="394" s="38" customFormat="1" ht="15" customHeight="1" spans="1:20">
      <c r="A394" s="371" t="s">
        <v>242</v>
      </c>
      <c r="B394" s="60"/>
      <c r="C394" s="51">
        <f>C392*C20</f>
        <v>563.132332861456</v>
      </c>
      <c r="D394" s="51">
        <f t="shared" ref="D394:N394" si="122">D392*D20</f>
        <v>1029.63290155397</v>
      </c>
      <c r="E394" s="51">
        <f t="shared" si="122"/>
        <v>403.721237683864</v>
      </c>
      <c r="F394" s="51">
        <f t="shared" si="122"/>
        <v>1799.10851772544</v>
      </c>
      <c r="G394" s="51">
        <f t="shared" si="122"/>
        <v>2820.59050406388</v>
      </c>
      <c r="H394" s="51">
        <f t="shared" si="122"/>
        <v>3587.67480674748</v>
      </c>
      <c r="I394" s="51" t="e">
        <f t="shared" si="122"/>
        <v>#DIV/0!</v>
      </c>
      <c r="J394" s="51" t="e">
        <f t="shared" si="122"/>
        <v>#DIV/0!</v>
      </c>
      <c r="K394" s="51" t="e">
        <f t="shared" si="122"/>
        <v>#DIV/0!</v>
      </c>
      <c r="L394" s="51" t="e">
        <f t="shared" si="122"/>
        <v>#DIV/0!</v>
      </c>
      <c r="M394" s="51" t="e">
        <f t="shared" si="122"/>
        <v>#DIV/0!</v>
      </c>
      <c r="N394" s="51" t="e">
        <f t="shared" si="122"/>
        <v>#DIV/0!</v>
      </c>
      <c r="O394" s="51" t="e">
        <f ca="1">SUM(OFFSET($C394,0,0,1,mth))</f>
        <v>#DIV/0!</v>
      </c>
      <c r="P394" s="443"/>
      <c r="Q394"/>
      <c r="R394"/>
      <c r="S394"/>
      <c r="T394"/>
    </row>
    <row r="395" s="38" customFormat="1" ht="15" customHeight="1" spans="1:20">
      <c r="A395" s="57" t="s">
        <v>232</v>
      </c>
      <c r="B395" s="50"/>
      <c r="C395" s="51">
        <f>SUM(C385:C392)</f>
        <v>105949.2746</v>
      </c>
      <c r="D395" s="51">
        <f t="shared" ref="D395:O395" si="123">SUM(D385:D392)</f>
        <v>153956.7257</v>
      </c>
      <c r="E395" s="51">
        <f t="shared" si="123"/>
        <v>175958.1534</v>
      </c>
      <c r="F395" s="51">
        <f t="shared" si="123"/>
        <v>172642.8351</v>
      </c>
      <c r="G395" s="51">
        <f t="shared" si="123"/>
        <v>179274.0141</v>
      </c>
      <c r="H395" s="51">
        <f t="shared" si="123"/>
        <v>254709.6953</v>
      </c>
      <c r="I395" s="51" t="e">
        <f t="shared" si="123"/>
        <v>#DIV/0!</v>
      </c>
      <c r="J395" s="51" t="e">
        <f t="shared" si="123"/>
        <v>#DIV/0!</v>
      </c>
      <c r="K395" s="51" t="e">
        <f t="shared" si="123"/>
        <v>#DIV/0!</v>
      </c>
      <c r="L395" s="51" t="e">
        <f t="shared" si="123"/>
        <v>#DIV/0!</v>
      </c>
      <c r="M395" s="51" t="e">
        <f t="shared" si="123"/>
        <v>#DIV/0!</v>
      </c>
      <c r="N395" s="51" t="e">
        <f t="shared" si="123"/>
        <v>#DIV/0!</v>
      </c>
      <c r="O395" s="51" t="e">
        <f ca="1" t="shared" si="123"/>
        <v>#DIV/0!</v>
      </c>
      <c r="P395" s="443"/>
      <c r="Q395"/>
      <c r="R395"/>
      <c r="S395"/>
      <c r="T395"/>
    </row>
    <row r="396" customHeight="1" spans="1:20">
      <c r="B396" s="283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409"/>
      <c r="P396" s="443"/>
    </row>
    <row r="397" customHeight="1" spans="1:20">
      <c r="A397" s="46" t="str">
        <f>基础表!A404</f>
        <v>折旧与摊销</v>
      </c>
      <c r="B397" s="283"/>
      <c r="C397" s="325"/>
      <c r="D397" s="325"/>
      <c r="E397" s="409"/>
      <c r="F397" s="325"/>
      <c r="G397" s="325"/>
      <c r="H397" s="325"/>
      <c r="I397" s="325"/>
      <c r="J397" s="325"/>
      <c r="K397" s="325"/>
      <c r="L397" s="325"/>
      <c r="M397" s="325"/>
      <c r="N397" s="325"/>
      <c r="O397" s="409"/>
    </row>
    <row r="398" spans="1:20">
      <c r="A398" s="293"/>
      <c r="B398" s="57" t="str">
        <f>基础表!B414</f>
        <v>元</v>
      </c>
      <c r="C398" s="51">
        <f>基础表!C414</f>
        <v>1019758.96</v>
      </c>
      <c r="D398" s="51">
        <f>基础表!D414</f>
        <v>1020375.77</v>
      </c>
      <c r="E398" s="51">
        <f>基础表!E414</f>
        <v>995552.2</v>
      </c>
      <c r="F398" s="51">
        <f>基础表!F414</f>
        <v>1048403.38</v>
      </c>
      <c r="G398" s="51">
        <f>基础表!G414</f>
        <v>997703.18</v>
      </c>
      <c r="H398" s="51">
        <f>基础表!H414</f>
        <v>997150.9</v>
      </c>
      <c r="I398" s="51">
        <f>基础表!I414</f>
        <v>0</v>
      </c>
      <c r="J398" s="51">
        <f>基础表!J414</f>
        <v>0</v>
      </c>
      <c r="K398" s="51">
        <f>基础表!K414</f>
        <v>0</v>
      </c>
      <c r="L398" s="51">
        <f>基础表!L414</f>
        <v>0</v>
      </c>
      <c r="M398" s="51">
        <f>基础表!M414</f>
        <v>0</v>
      </c>
      <c r="N398" s="51">
        <f>基础表!N414</f>
        <v>0</v>
      </c>
      <c r="O398" s="411">
        <f ca="1">基础表!O414</f>
        <v>6078944.39</v>
      </c>
    </row>
    <row r="399" spans="1:20">
      <c r="A399" s="293" t="s">
        <v>290</v>
      </c>
      <c r="B399" s="57"/>
      <c r="C399" s="51">
        <f>基础表!C406</f>
        <v>554806.59</v>
      </c>
      <c r="D399" s="51">
        <f>基础表!D406</f>
        <v>554807.08</v>
      </c>
      <c r="E399" s="51">
        <f>基础表!E406</f>
        <v>530053.82</v>
      </c>
      <c r="F399" s="51">
        <f>基础表!F406</f>
        <v>531402.12</v>
      </c>
      <c r="G399" s="51">
        <f>基础表!G406</f>
        <v>531434.09</v>
      </c>
      <c r="H399" s="51">
        <f>基础表!H406</f>
        <v>531377.99</v>
      </c>
      <c r="I399" s="51">
        <f>基础表!I406</f>
        <v>0</v>
      </c>
      <c r="J399" s="51">
        <f>基础表!J406</f>
        <v>0</v>
      </c>
      <c r="K399" s="51">
        <f>基础表!K406</f>
        <v>0</v>
      </c>
      <c r="L399" s="51">
        <f>基础表!L406</f>
        <v>0</v>
      </c>
      <c r="M399" s="51">
        <f>基础表!M406</f>
        <v>0</v>
      </c>
      <c r="N399" s="51">
        <f>基础表!N406</f>
        <v>0</v>
      </c>
      <c r="O399" s="411">
        <f ca="1">基础表!O406</f>
        <v>3233881.69</v>
      </c>
      <c r="Q399" s="71"/>
      <c r="R399" s="71"/>
    </row>
    <row r="400" spans="1:20">
      <c r="A400" s="293" t="s">
        <v>291</v>
      </c>
      <c r="B400" s="57"/>
      <c r="C400" s="51">
        <f>基础表!C407</f>
        <v>160646.37</v>
      </c>
      <c r="D400" s="51">
        <f>基础表!D407</f>
        <v>160646.35</v>
      </c>
      <c r="E400" s="51">
        <f>基础表!E407</f>
        <v>160772.74</v>
      </c>
      <c r="F400" s="51">
        <f>基础表!F407</f>
        <v>166696.72</v>
      </c>
      <c r="G400" s="51">
        <f>基础表!G407</f>
        <v>161593.97</v>
      </c>
      <c r="H400" s="51">
        <f>基础表!H407</f>
        <v>161407</v>
      </c>
      <c r="I400" s="51">
        <f>基础表!I407</f>
        <v>0</v>
      </c>
      <c r="J400" s="51">
        <f>基础表!J407</f>
        <v>0</v>
      </c>
      <c r="K400" s="51">
        <f>基础表!K407</f>
        <v>0</v>
      </c>
      <c r="L400" s="51">
        <f>基础表!L407</f>
        <v>0</v>
      </c>
      <c r="M400" s="51">
        <f>基础表!M407</f>
        <v>0</v>
      </c>
      <c r="N400" s="51">
        <f>基础表!N407</f>
        <v>0</v>
      </c>
      <c r="O400" s="411">
        <f ca="1">基础表!O407</f>
        <v>971763.15</v>
      </c>
      <c r="Q400" s="71"/>
      <c r="R400" s="71"/>
      <c r="S400" s="38"/>
    </row>
    <row r="401" spans="1:20">
      <c r="A401" s="379" t="s">
        <v>240</v>
      </c>
      <c r="B401" s="57"/>
      <c r="C401" s="51">
        <f>基础表!C408</f>
        <v>28075.8</v>
      </c>
      <c r="D401" s="51">
        <f>基础表!D408</f>
        <v>28896.41</v>
      </c>
      <c r="E401" s="51">
        <f>基础表!E408</f>
        <v>28486</v>
      </c>
      <c r="F401" s="51">
        <f>基础表!F408</f>
        <v>28061.55</v>
      </c>
      <c r="G401" s="51">
        <f>基础表!G408</f>
        <v>28061.29</v>
      </c>
      <c r="H401" s="51">
        <f>基础表!H408</f>
        <v>28061.21</v>
      </c>
      <c r="I401" s="51">
        <f>基础表!I408</f>
        <v>0</v>
      </c>
      <c r="J401" s="51">
        <f>基础表!J408</f>
        <v>0</v>
      </c>
      <c r="K401" s="51">
        <f>基础表!K408</f>
        <v>0</v>
      </c>
      <c r="L401" s="51">
        <f>基础表!L408</f>
        <v>0</v>
      </c>
      <c r="M401" s="51">
        <f>基础表!M408</f>
        <v>0</v>
      </c>
      <c r="N401" s="51">
        <f>基础表!N408</f>
        <v>0</v>
      </c>
      <c r="O401" s="411">
        <f ca="1">基础表!O408</f>
        <v>169642.26</v>
      </c>
      <c r="Q401" s="71"/>
      <c r="R401" s="71"/>
      <c r="S401" s="38"/>
    </row>
    <row r="402" spans="1:20">
      <c r="A402" s="445" t="s">
        <v>241</v>
      </c>
      <c r="B402" s="57"/>
      <c r="C402" s="51">
        <f>IFERROR(C401*C19,0)</f>
        <v>12992.2051927592</v>
      </c>
      <c r="D402" s="51">
        <f t="shared" ref="D402:N402" si="124">IFERROR(D401*D19,0)</f>
        <v>4123.38522099212</v>
      </c>
      <c r="E402" s="51">
        <f t="shared" si="124"/>
        <v>19714.8571089988</v>
      </c>
      <c r="F402" s="51">
        <f t="shared" si="124"/>
        <v>13590.1393060393</v>
      </c>
      <c r="G402" s="51">
        <f t="shared" si="124"/>
        <v>8140.32402360222</v>
      </c>
      <c r="H402" s="51">
        <f t="shared" si="124"/>
        <v>5408.72894339683</v>
      </c>
      <c r="I402" s="51">
        <f t="shared" si="124"/>
        <v>0</v>
      </c>
      <c r="J402" s="51">
        <f t="shared" si="124"/>
        <v>0</v>
      </c>
      <c r="K402" s="51">
        <f t="shared" si="124"/>
        <v>0</v>
      </c>
      <c r="L402" s="51">
        <f t="shared" si="124"/>
        <v>0</v>
      </c>
      <c r="M402" s="51">
        <f t="shared" si="124"/>
        <v>0</v>
      </c>
      <c r="N402" s="51">
        <f t="shared" si="124"/>
        <v>0</v>
      </c>
      <c r="O402" s="51">
        <f ca="1">SUM(OFFSET($C402,0,0,1,mth))</f>
        <v>63969.6397957885</v>
      </c>
      <c r="Q402" s="71"/>
      <c r="R402" s="71"/>
      <c r="S402" s="38"/>
    </row>
    <row r="403" spans="1:20">
      <c r="A403" s="445" t="s">
        <v>242</v>
      </c>
      <c r="B403" s="57"/>
      <c r="C403" s="51">
        <f>IFERROR(C20*C401,0)</f>
        <v>15083.5948072408</v>
      </c>
      <c r="D403" s="51">
        <f t="shared" ref="D403:N403" si="125">IFERROR(D20*D401,0)</f>
        <v>24773.0247790079</v>
      </c>
      <c r="E403" s="51">
        <f t="shared" si="125"/>
        <v>8771.14289100124</v>
      </c>
      <c r="F403" s="51">
        <f t="shared" si="125"/>
        <v>14471.4106939607</v>
      </c>
      <c r="G403" s="51">
        <f t="shared" si="125"/>
        <v>19920.9659763978</v>
      </c>
      <c r="H403" s="51">
        <f t="shared" si="125"/>
        <v>22652.4810566031</v>
      </c>
      <c r="I403" s="51">
        <f t="shared" si="125"/>
        <v>0</v>
      </c>
      <c r="J403" s="51">
        <f t="shared" si="125"/>
        <v>0</v>
      </c>
      <c r="K403" s="51">
        <f t="shared" si="125"/>
        <v>0</v>
      </c>
      <c r="L403" s="51">
        <f t="shared" si="125"/>
        <v>0</v>
      </c>
      <c r="M403" s="51">
        <f t="shared" si="125"/>
        <v>0</v>
      </c>
      <c r="N403" s="51">
        <f t="shared" si="125"/>
        <v>0</v>
      </c>
      <c r="O403" s="51">
        <f ca="1">SUM(OFFSET($C403,0,0,1,mth))</f>
        <v>105672.620204212</v>
      </c>
      <c r="Q403" s="71"/>
      <c r="R403" s="71"/>
      <c r="S403" s="38"/>
    </row>
    <row r="404" spans="1:20">
      <c r="A404" s="293" t="s">
        <v>292</v>
      </c>
      <c r="B404" s="57"/>
      <c r="C404" s="51">
        <f>C398-C399-C400-C401</f>
        <v>276230.2</v>
      </c>
      <c r="D404" s="51">
        <f t="shared" ref="D404:O404" si="126">D398-D399-D400-D401</f>
        <v>276025.93</v>
      </c>
      <c r="E404" s="51">
        <f t="shared" si="126"/>
        <v>276239.64</v>
      </c>
      <c r="F404" s="51">
        <f t="shared" si="126"/>
        <v>322242.99</v>
      </c>
      <c r="G404" s="51">
        <f t="shared" si="126"/>
        <v>276613.83</v>
      </c>
      <c r="H404" s="51">
        <f t="shared" si="126"/>
        <v>276304.7</v>
      </c>
      <c r="I404" s="51">
        <f t="shared" si="126"/>
        <v>0</v>
      </c>
      <c r="J404" s="51">
        <f t="shared" si="126"/>
        <v>0</v>
      </c>
      <c r="K404" s="51">
        <f t="shared" si="126"/>
        <v>0</v>
      </c>
      <c r="L404" s="51">
        <f t="shared" si="126"/>
        <v>0</v>
      </c>
      <c r="M404" s="51">
        <f t="shared" si="126"/>
        <v>0</v>
      </c>
      <c r="N404" s="51">
        <f t="shared" si="126"/>
        <v>0</v>
      </c>
      <c r="O404" s="51">
        <f ca="1" t="shared" si="126"/>
        <v>1703657.29</v>
      </c>
      <c r="Q404" s="71"/>
      <c r="R404" s="71"/>
      <c r="S404" s="38"/>
      <c r="T404" s="38"/>
    </row>
    <row r="405" spans="1:20">
      <c r="A405" s="38" t="s">
        <v>293</v>
      </c>
      <c r="B405" s="277"/>
      <c r="C405" s="440"/>
      <c r="D405" s="440"/>
      <c r="E405" s="440"/>
      <c r="F405" s="440"/>
      <c r="G405" s="440"/>
      <c r="H405" s="440"/>
      <c r="I405" s="440"/>
      <c r="J405" s="440"/>
      <c r="K405" s="440"/>
      <c r="L405" s="440"/>
      <c r="M405" s="440"/>
      <c r="N405" s="440"/>
      <c r="Q405" s="71"/>
      <c r="R405" s="71"/>
      <c r="S405" s="38"/>
      <c r="T405" s="38"/>
    </row>
    <row r="406" s="38" customFormat="1" ht="15" customHeight="1" spans="1:20">
      <c r="A406" s="115" t="s">
        <v>252</v>
      </c>
      <c r="B406" s="50"/>
      <c r="C406" s="51">
        <f t="shared" ref="C406:N406" si="127">C$399*C11+C$404*C$5*C11</f>
        <v>589773.61691644</v>
      </c>
      <c r="D406" s="51">
        <f t="shared" si="127"/>
        <v>599937.417439742</v>
      </c>
      <c r="E406" s="51">
        <f t="shared" si="127"/>
        <v>544237.204259547</v>
      </c>
      <c r="F406" s="51">
        <f t="shared" si="127"/>
        <v>583496.695760461</v>
      </c>
      <c r="G406" s="51">
        <f t="shared" si="127"/>
        <v>603357.714355787</v>
      </c>
      <c r="H406" s="51">
        <f t="shared" si="127"/>
        <v>561434.121236516</v>
      </c>
      <c r="I406" s="51">
        <f t="shared" si="127"/>
        <v>0</v>
      </c>
      <c r="J406" s="51" t="e">
        <f t="shared" si="127"/>
        <v>#DIV/0!</v>
      </c>
      <c r="K406" s="51" t="e">
        <f t="shared" si="127"/>
        <v>#DIV/0!</v>
      </c>
      <c r="L406" s="51" t="e">
        <f t="shared" si="127"/>
        <v>#DIV/0!</v>
      </c>
      <c r="M406" s="51" t="e">
        <f t="shared" si="127"/>
        <v>#DIV/0!</v>
      </c>
      <c r="N406" s="51" t="e">
        <f t="shared" si="127"/>
        <v>#DIV/0!</v>
      </c>
      <c r="O406" s="51" t="e">
        <f ca="1">SUM(OFFSET($C406,0,0,1,mth))</f>
        <v>#DIV/0!</v>
      </c>
      <c r="P406" s="378"/>
      <c r="Q406" s="71"/>
      <c r="R406" s="71"/>
    </row>
    <row r="407" s="38" customFormat="1" ht="15" customHeight="1" spans="1:20">
      <c r="A407" s="115" t="s">
        <v>253</v>
      </c>
      <c r="B407" s="50"/>
      <c r="C407" s="51">
        <f t="shared" ref="C407:N407" si="128">C$399*C12+C$404*C$5*C12</f>
        <v>0</v>
      </c>
      <c r="D407" s="51">
        <f t="shared" si="128"/>
        <v>0</v>
      </c>
      <c r="E407" s="51">
        <f t="shared" si="128"/>
        <v>0</v>
      </c>
      <c r="F407" s="51">
        <f t="shared" si="128"/>
        <v>0</v>
      </c>
      <c r="G407" s="51">
        <f t="shared" si="128"/>
        <v>0</v>
      </c>
      <c r="H407" s="51">
        <f t="shared" si="128"/>
        <v>0</v>
      </c>
      <c r="I407" s="51">
        <f t="shared" si="128"/>
        <v>0</v>
      </c>
      <c r="J407" s="51" t="e">
        <f t="shared" si="128"/>
        <v>#DIV/0!</v>
      </c>
      <c r="K407" s="51" t="e">
        <f t="shared" si="128"/>
        <v>#DIV/0!</v>
      </c>
      <c r="L407" s="51" t="e">
        <f t="shared" si="128"/>
        <v>#DIV/0!</v>
      </c>
      <c r="M407" s="51" t="e">
        <f t="shared" si="128"/>
        <v>#DIV/0!</v>
      </c>
      <c r="N407" s="51" t="e">
        <f t="shared" si="128"/>
        <v>#DIV/0!</v>
      </c>
      <c r="O407" s="51" t="e">
        <f ca="1">SUM(OFFSET($C407,0,0,1,mth))</f>
        <v>#DIV/0!</v>
      </c>
      <c r="P407" s="382"/>
      <c r="Q407" s="71"/>
      <c r="R407" s="71"/>
    </row>
    <row r="408" s="38" customFormat="1" ht="15" customHeight="1" spans="1:20">
      <c r="A408" s="115" t="s">
        <v>268</v>
      </c>
      <c r="B408" s="400"/>
      <c r="C408" s="51">
        <f t="shared" ref="C408:N408" si="129">C$399*C13+C$404*C$5*C13</f>
        <v>0</v>
      </c>
      <c r="D408" s="51">
        <f t="shared" si="129"/>
        <v>0</v>
      </c>
      <c r="E408" s="51">
        <f t="shared" si="129"/>
        <v>0</v>
      </c>
      <c r="F408" s="51">
        <f t="shared" si="129"/>
        <v>0</v>
      </c>
      <c r="G408" s="51">
        <f t="shared" si="129"/>
        <v>0</v>
      </c>
      <c r="H408" s="51">
        <f t="shared" si="129"/>
        <v>0</v>
      </c>
      <c r="I408" s="51">
        <f t="shared" si="129"/>
        <v>0</v>
      </c>
      <c r="J408" s="51" t="e">
        <f t="shared" si="129"/>
        <v>#DIV/0!</v>
      </c>
      <c r="K408" s="51" t="e">
        <f t="shared" si="129"/>
        <v>#DIV/0!</v>
      </c>
      <c r="L408" s="51" t="e">
        <f t="shared" si="129"/>
        <v>#DIV/0!</v>
      </c>
      <c r="M408" s="51" t="e">
        <f t="shared" si="129"/>
        <v>#DIV/0!</v>
      </c>
      <c r="N408" s="51" t="e">
        <f t="shared" si="129"/>
        <v>#DIV/0!</v>
      </c>
      <c r="O408" s="51" t="e">
        <f ca="1">SUM(OFFSET($C408,0,0,1,mth))</f>
        <v>#DIV/0!</v>
      </c>
      <c r="P408" s="382"/>
      <c r="Q408" s="71"/>
      <c r="R408" s="71"/>
    </row>
    <row r="409" s="38" customFormat="1" ht="15" customHeight="1" spans="1:20">
      <c r="A409" s="115" t="s">
        <v>255</v>
      </c>
      <c r="B409" s="400"/>
      <c r="C409" s="51">
        <f t="shared" ref="C409:N409" si="130">C$399*C14+C$404*C$5*C14</f>
        <v>0</v>
      </c>
      <c r="D409" s="51">
        <f t="shared" si="130"/>
        <v>27597.4485270058</v>
      </c>
      <c r="E409" s="51">
        <f t="shared" si="130"/>
        <v>36335.6909819964</v>
      </c>
      <c r="F409" s="51">
        <f t="shared" si="130"/>
        <v>34940.5937642149</v>
      </c>
      <c r="G409" s="51">
        <f t="shared" si="130"/>
        <v>0</v>
      </c>
      <c r="H409" s="51">
        <f t="shared" si="130"/>
        <v>23797.2392517352</v>
      </c>
      <c r="I409" s="51">
        <f t="shared" si="130"/>
        <v>0</v>
      </c>
      <c r="J409" s="51" t="e">
        <f t="shared" si="130"/>
        <v>#DIV/0!</v>
      </c>
      <c r="K409" s="51" t="e">
        <f t="shared" si="130"/>
        <v>#DIV/0!</v>
      </c>
      <c r="L409" s="51" t="e">
        <f t="shared" si="130"/>
        <v>#DIV/0!</v>
      </c>
      <c r="M409" s="51" t="e">
        <f t="shared" si="130"/>
        <v>#DIV/0!</v>
      </c>
      <c r="N409" s="51" t="e">
        <f t="shared" si="130"/>
        <v>#DIV/0!</v>
      </c>
      <c r="O409" s="51" t="e">
        <f ca="1">SUM(OFFSET($C409,0,0,1,mth))</f>
        <v>#DIV/0!</v>
      </c>
      <c r="P409" s="382"/>
      <c r="Q409"/>
      <c r="R409"/>
    </row>
    <row r="410" s="38" customFormat="1" ht="15" customHeight="1" spans="1:20">
      <c r="A410" s="115" t="s">
        <v>256</v>
      </c>
      <c r="B410" s="60"/>
      <c r="C410" s="51">
        <f t="shared" ref="C410:N410" si="131">C$399*C15+C$404*C$5*C15</f>
        <v>103148.07308356</v>
      </c>
      <c r="D410" s="51">
        <f t="shared" si="131"/>
        <v>62585.6053642732</v>
      </c>
      <c r="E410" s="51">
        <f t="shared" si="131"/>
        <v>87600.7447584561</v>
      </c>
      <c r="F410" s="51">
        <f t="shared" si="131"/>
        <v>74086.325475324</v>
      </c>
      <c r="G410" s="51">
        <f t="shared" si="131"/>
        <v>66383.2906442135</v>
      </c>
      <c r="H410" s="51">
        <f t="shared" si="131"/>
        <v>84298.9795117491</v>
      </c>
      <c r="I410" s="51">
        <f t="shared" si="131"/>
        <v>0</v>
      </c>
      <c r="J410" s="51" t="e">
        <f t="shared" si="131"/>
        <v>#DIV/0!</v>
      </c>
      <c r="K410" s="51" t="e">
        <f t="shared" si="131"/>
        <v>#DIV/0!</v>
      </c>
      <c r="L410" s="51" t="e">
        <f t="shared" si="131"/>
        <v>#DIV/0!</v>
      </c>
      <c r="M410" s="51" t="e">
        <f t="shared" si="131"/>
        <v>#DIV/0!</v>
      </c>
      <c r="N410" s="51" t="e">
        <f t="shared" si="131"/>
        <v>#DIV/0!</v>
      </c>
      <c r="O410" s="51" t="e">
        <f ca="1">SUM(OFFSET($C410,0,0,1,mth))</f>
        <v>#DIV/0!</v>
      </c>
      <c r="P410" s="382"/>
      <c r="Q410"/>
      <c r="R410"/>
      <c r="S410"/>
    </row>
    <row r="411" s="38" customFormat="1" ht="15" customHeight="1" spans="1:20">
      <c r="A411" s="115" t="s">
        <v>257</v>
      </c>
      <c r="B411" s="60"/>
      <c r="C411" s="51">
        <f t="shared" ref="C411:N411" si="132">C$399*C16+C$404*C$5*C16</f>
        <v>0</v>
      </c>
      <c r="D411" s="51">
        <f t="shared" si="132"/>
        <v>2699.57366897919</v>
      </c>
      <c r="E411" s="51">
        <f t="shared" si="132"/>
        <v>0</v>
      </c>
      <c r="F411" s="51">
        <f t="shared" si="132"/>
        <v>0</v>
      </c>
      <c r="G411" s="51">
        <f t="shared" si="132"/>
        <v>0</v>
      </c>
      <c r="H411" s="51">
        <f t="shared" si="132"/>
        <v>0</v>
      </c>
      <c r="I411" s="51">
        <f t="shared" si="132"/>
        <v>0</v>
      </c>
      <c r="J411" s="51" t="e">
        <f t="shared" si="132"/>
        <v>#DIV/0!</v>
      </c>
      <c r="K411" s="51" t="e">
        <f t="shared" si="132"/>
        <v>#DIV/0!</v>
      </c>
      <c r="L411" s="51" t="e">
        <f t="shared" si="132"/>
        <v>#DIV/0!</v>
      </c>
      <c r="M411" s="51" t="e">
        <f t="shared" si="132"/>
        <v>#DIV/0!</v>
      </c>
      <c r="N411" s="51" t="e">
        <f t="shared" si="132"/>
        <v>#DIV/0!</v>
      </c>
      <c r="O411" s="51" t="e">
        <f ca="1">SUM(OFFSET($C411,0,0,1,mth))</f>
        <v>#DIV/0!</v>
      </c>
      <c r="P411" s="382"/>
      <c r="Q411"/>
      <c r="R411"/>
      <c r="S411"/>
    </row>
    <row r="412" s="38" customFormat="1" ht="15" customHeight="1" spans="1:20">
      <c r="A412" s="115" t="s">
        <v>258</v>
      </c>
      <c r="B412" s="60"/>
      <c r="C412" s="51">
        <f>C$400+C$404*C$6*C33</f>
        <v>296487.234577631</v>
      </c>
      <c r="D412" s="51">
        <f t="shared" ref="D412:N412" si="133">D$400+D$404*D$6*D33</f>
        <v>296234.529514249</v>
      </c>
      <c r="E412" s="51">
        <f t="shared" si="133"/>
        <v>297218.996619517</v>
      </c>
      <c r="F412" s="51">
        <f t="shared" si="133"/>
        <v>320680.968613193</v>
      </c>
      <c r="G412" s="51">
        <f t="shared" si="133"/>
        <v>293242.79222956</v>
      </c>
      <c r="H412" s="51">
        <f t="shared" si="133"/>
        <v>294693.394947401</v>
      </c>
      <c r="I412" s="51">
        <f t="shared" si="133"/>
        <v>0</v>
      </c>
      <c r="J412" s="51" t="e">
        <f t="shared" si="133"/>
        <v>#DIV/0!</v>
      </c>
      <c r="K412" s="51" t="e">
        <f t="shared" si="133"/>
        <v>#DIV/0!</v>
      </c>
      <c r="L412" s="51" t="e">
        <f t="shared" si="133"/>
        <v>#DIV/0!</v>
      </c>
      <c r="M412" s="51" t="e">
        <f t="shared" si="133"/>
        <v>#DIV/0!</v>
      </c>
      <c r="N412" s="51" t="e">
        <f t="shared" si="133"/>
        <v>#DIV/0!</v>
      </c>
      <c r="O412" s="51" t="e">
        <f ca="1">SUM(OFFSET($C412,0,0,1,mth))</f>
        <v>#DIV/0!</v>
      </c>
      <c r="P412" s="382"/>
      <c r="Q412"/>
      <c r="R412"/>
      <c r="S412"/>
      <c r="T412"/>
    </row>
    <row r="413" s="38" customFormat="1" ht="15" customHeight="1" spans="1:20">
      <c r="A413" s="379" t="s">
        <v>240</v>
      </c>
      <c r="B413" s="60"/>
      <c r="C413" s="51">
        <f>C$401+C$404*C$6*(C34+C35)</f>
        <v>30350.0354223688</v>
      </c>
      <c r="D413" s="51">
        <f t="shared" ref="D413:N413" si="134">D$401+D$404*D$6*(D34+D35)</f>
        <v>31321.1954857512</v>
      </c>
      <c r="E413" s="51">
        <f t="shared" si="134"/>
        <v>30159.5633804835</v>
      </c>
      <c r="F413" s="51">
        <f t="shared" si="134"/>
        <v>35198.7963868073</v>
      </c>
      <c r="G413" s="51">
        <f t="shared" si="134"/>
        <v>34719.3827704398</v>
      </c>
      <c r="H413" s="51">
        <f t="shared" si="134"/>
        <v>32927.1650525991</v>
      </c>
      <c r="I413" s="51">
        <f t="shared" si="134"/>
        <v>0</v>
      </c>
      <c r="J413" s="51" t="e">
        <f t="shared" si="134"/>
        <v>#DIV/0!</v>
      </c>
      <c r="K413" s="51" t="e">
        <f t="shared" si="134"/>
        <v>#DIV/0!</v>
      </c>
      <c r="L413" s="51" t="e">
        <f t="shared" si="134"/>
        <v>#DIV/0!</v>
      </c>
      <c r="M413" s="51" t="e">
        <f t="shared" si="134"/>
        <v>#DIV/0!</v>
      </c>
      <c r="N413" s="51" t="e">
        <f t="shared" si="134"/>
        <v>#DIV/0!</v>
      </c>
      <c r="O413" s="51" t="e">
        <f ca="1">SUM(OFFSET($C413,0,0,1,mth))</f>
        <v>#DIV/0!</v>
      </c>
      <c r="P413" s="382"/>
      <c r="Q413" s="446"/>
      <c r="R413"/>
      <c r="S413"/>
      <c r="T413"/>
    </row>
    <row r="414" s="38" customFormat="1" ht="15" customHeight="1" spans="1:20">
      <c r="A414" s="379" t="s">
        <v>241</v>
      </c>
      <c r="B414" s="60"/>
      <c r="C414" s="51">
        <f>C413*C19</f>
        <v>14044.6180630624</v>
      </c>
      <c r="D414" s="51">
        <f t="shared" ref="D414:N414" si="135">D413*D19</f>
        <v>4469.39099250571</v>
      </c>
      <c r="E414" s="51">
        <f t="shared" si="135"/>
        <v>20873.1124944192</v>
      </c>
      <c r="F414" s="51">
        <f t="shared" si="135"/>
        <v>17046.6900902347</v>
      </c>
      <c r="G414" s="51">
        <f t="shared" si="135"/>
        <v>10071.7759465389</v>
      </c>
      <c r="H414" s="51">
        <f t="shared" si="135"/>
        <v>6346.6297655731</v>
      </c>
      <c r="I414" s="51" t="e">
        <f t="shared" si="135"/>
        <v>#DIV/0!</v>
      </c>
      <c r="J414" s="51" t="e">
        <f t="shared" si="135"/>
        <v>#DIV/0!</v>
      </c>
      <c r="K414" s="51" t="e">
        <f t="shared" si="135"/>
        <v>#DIV/0!</v>
      </c>
      <c r="L414" s="51" t="e">
        <f t="shared" si="135"/>
        <v>#DIV/0!</v>
      </c>
      <c r="M414" s="51" t="e">
        <f t="shared" si="135"/>
        <v>#DIV/0!</v>
      </c>
      <c r="N414" s="51" t="e">
        <f t="shared" si="135"/>
        <v>#DIV/0!</v>
      </c>
      <c r="O414" s="51" t="e">
        <f ca="1">SUM(OFFSET($C414,0,0,1,mth))</f>
        <v>#DIV/0!</v>
      </c>
      <c r="P414" s="382"/>
      <c r="Q414" s="446"/>
      <c r="R414"/>
      <c r="S414"/>
      <c r="T414"/>
    </row>
    <row r="415" s="38" customFormat="1" ht="15" customHeight="1" spans="1:20">
      <c r="A415" s="379" t="s">
        <v>242</v>
      </c>
      <c r="B415" s="60"/>
      <c r="C415" s="51">
        <f>C413*C20</f>
        <v>16305.4173593065</v>
      </c>
      <c r="D415" s="51">
        <f t="shared" ref="D415:N415" si="136">D413*D20</f>
        <v>26851.8044932455</v>
      </c>
      <c r="E415" s="51">
        <f t="shared" si="136"/>
        <v>9286.45088606436</v>
      </c>
      <c r="F415" s="51">
        <f t="shared" si="136"/>
        <v>18152.1062965727</v>
      </c>
      <c r="G415" s="51">
        <f t="shared" si="136"/>
        <v>24647.6068239009</v>
      </c>
      <c r="H415" s="51">
        <f t="shared" si="136"/>
        <v>26580.5352870259</v>
      </c>
      <c r="I415" s="51" t="e">
        <f t="shared" si="136"/>
        <v>#DIV/0!</v>
      </c>
      <c r="J415" s="51" t="e">
        <f t="shared" si="136"/>
        <v>#DIV/0!</v>
      </c>
      <c r="K415" s="51" t="e">
        <f t="shared" si="136"/>
        <v>#DIV/0!</v>
      </c>
      <c r="L415" s="51" t="e">
        <f t="shared" si="136"/>
        <v>#DIV/0!</v>
      </c>
      <c r="M415" s="51" t="e">
        <f t="shared" si="136"/>
        <v>#DIV/0!</v>
      </c>
      <c r="N415" s="51" t="e">
        <f t="shared" si="136"/>
        <v>#DIV/0!</v>
      </c>
      <c r="O415" s="51" t="e">
        <f ca="1">SUM(OFFSET($C415,0,0,1,mth))</f>
        <v>#DIV/0!</v>
      </c>
      <c r="P415" s="382"/>
      <c r="Q415" s="446"/>
      <c r="R415"/>
      <c r="S415"/>
      <c r="T415"/>
    </row>
    <row r="416" s="38" customFormat="1" ht="15" customHeight="1" spans="1:20">
      <c r="A416" s="57" t="s">
        <v>232</v>
      </c>
      <c r="B416" s="50"/>
      <c r="C416" s="51">
        <f>SUM(C406:C413)</f>
        <v>1019758.96</v>
      </c>
      <c r="D416" s="51">
        <f t="shared" ref="D416:O416" si="137">SUM(D406:D413)</f>
        <v>1020375.77</v>
      </c>
      <c r="E416" s="51">
        <f t="shared" si="137"/>
        <v>995552.2</v>
      </c>
      <c r="F416" s="51">
        <f t="shared" si="137"/>
        <v>1048403.38</v>
      </c>
      <c r="G416" s="51">
        <f t="shared" si="137"/>
        <v>997703.18</v>
      </c>
      <c r="H416" s="51">
        <f t="shared" si="137"/>
        <v>997150.9</v>
      </c>
      <c r="I416" s="51">
        <f t="shared" si="137"/>
        <v>0</v>
      </c>
      <c r="J416" s="51" t="e">
        <f t="shared" si="137"/>
        <v>#DIV/0!</v>
      </c>
      <c r="K416" s="51" t="e">
        <f t="shared" si="137"/>
        <v>#DIV/0!</v>
      </c>
      <c r="L416" s="51" t="e">
        <f t="shared" si="137"/>
        <v>#DIV/0!</v>
      </c>
      <c r="M416" s="51" t="e">
        <f t="shared" si="137"/>
        <v>#DIV/0!</v>
      </c>
      <c r="N416" s="51" t="e">
        <f t="shared" si="137"/>
        <v>#DIV/0!</v>
      </c>
      <c r="O416" s="51" t="e">
        <f ca="1" t="shared" si="137"/>
        <v>#DIV/0!</v>
      </c>
      <c r="P416" s="382"/>
      <c r="Q416"/>
      <c r="R416"/>
      <c r="S416"/>
      <c r="T416"/>
    </row>
    <row r="417" spans="1:20">
      <c r="A417" s="46" t="str">
        <f>基础表!A415</f>
        <v>人工成本（不含劳务外包）</v>
      </c>
      <c r="B417" s="283"/>
      <c r="C417" s="300"/>
      <c r="D417" s="300"/>
      <c r="E417" s="300"/>
      <c r="F417" s="325"/>
      <c r="G417" s="325"/>
      <c r="H417" s="325"/>
      <c r="I417" s="325"/>
      <c r="J417" s="325"/>
      <c r="K417" s="325"/>
      <c r="L417" s="325"/>
      <c r="M417" s="325"/>
      <c r="N417" s="325"/>
      <c r="O417" s="423"/>
    </row>
    <row r="418" spans="1:20">
      <c r="A418" s="293"/>
      <c r="B418" s="57" t="str">
        <f>基础表!B431</f>
        <v>元</v>
      </c>
      <c r="C418" s="51">
        <f>基础表!C431</f>
        <v>2231084.12</v>
      </c>
      <c r="D418" s="51">
        <f>基础表!D431</f>
        <v>2968174.78</v>
      </c>
      <c r="E418" s="51">
        <f>基础表!E431</f>
        <v>2691970.83</v>
      </c>
      <c r="F418" s="51">
        <f>基础表!F431</f>
        <v>2771411.66</v>
      </c>
      <c r="G418" s="51">
        <f>基础表!G431</f>
        <v>2748250.12</v>
      </c>
      <c r="H418" s="51">
        <f>基础表!H431</f>
        <v>3284900.37</v>
      </c>
      <c r="I418" s="51">
        <f>基础表!I431</f>
        <v>0</v>
      </c>
      <c r="J418" s="51">
        <f>基础表!J431</f>
        <v>0</v>
      </c>
      <c r="K418" s="51">
        <f>基础表!K431</f>
        <v>0</v>
      </c>
      <c r="L418" s="51">
        <f>基础表!L431</f>
        <v>0</v>
      </c>
      <c r="M418" s="51">
        <f>基础表!M431</f>
        <v>0</v>
      </c>
      <c r="N418" s="51">
        <f>基础表!N431</f>
        <v>0</v>
      </c>
      <c r="O418" s="411">
        <f ca="1">基础表!O431</f>
        <v>16695791.88</v>
      </c>
    </row>
    <row r="419" spans="1:20">
      <c r="A419" s="293" t="s">
        <v>290</v>
      </c>
      <c r="B419" s="57"/>
      <c r="C419" s="51">
        <f>基础表!C417+基础表!C418+基础表!C419</f>
        <v>279349.24</v>
      </c>
      <c r="D419" s="51">
        <f>基础表!D417+基础表!D418+基础表!D419</f>
        <v>415670.62</v>
      </c>
      <c r="E419" s="51">
        <f>基础表!E417+基础表!E418+基础表!E419</f>
        <v>351505.84</v>
      </c>
      <c r="F419" s="51">
        <f>基础表!F417+基础表!F418+基础表!F419</f>
        <v>230634.92</v>
      </c>
      <c r="G419" s="51">
        <f>基础表!G417+基础表!G418+基础表!G419</f>
        <v>242433.13</v>
      </c>
      <c r="H419" s="51">
        <f>基础表!H417+基础表!H418+基础表!H419</f>
        <v>241578.87</v>
      </c>
      <c r="I419" s="51">
        <f>基础表!I417+基础表!I418+基础表!I419</f>
        <v>0</v>
      </c>
      <c r="J419" s="51">
        <f>基础表!J417+基础表!J418+基础表!J419</f>
        <v>0</v>
      </c>
      <c r="K419" s="51">
        <f>基础表!K417+基础表!K418+基础表!K419</f>
        <v>0</v>
      </c>
      <c r="L419" s="51">
        <f>基础表!L417+基础表!L418+基础表!L419</f>
        <v>0</v>
      </c>
      <c r="M419" s="51">
        <f>基础表!M417+基础表!M418+基础表!M419</f>
        <v>0</v>
      </c>
      <c r="N419" s="51">
        <f>基础表!N417+基础表!N418+基础表!N419</f>
        <v>0</v>
      </c>
      <c r="O419" s="51">
        <f ca="1">基础表!O417</f>
        <v>924037.11</v>
      </c>
      <c r="Q419" s="71"/>
      <c r="R419" s="71"/>
    </row>
    <row r="420" spans="1:20">
      <c r="A420" s="293" t="s">
        <v>291</v>
      </c>
      <c r="B420" s="57"/>
      <c r="C420" s="51">
        <f>基础表!C420+基础表!C421+基础表!C422</f>
        <v>404091.19</v>
      </c>
      <c r="D420" s="51">
        <f>基础表!D420+基础表!D421+基础表!D422</f>
        <v>570860.04</v>
      </c>
      <c r="E420" s="51">
        <f>基础表!E420+基础表!E421+基础表!E422</f>
        <v>491309.62</v>
      </c>
      <c r="F420" s="51">
        <f>基础表!F420+基础表!F421+基础表!F422</f>
        <v>430450.87</v>
      </c>
      <c r="G420" s="51">
        <f>基础表!G420+基础表!G421+基础表!G422</f>
        <v>430599.64</v>
      </c>
      <c r="H420" s="51">
        <f>基础表!H420+基础表!H421+基础表!H422</f>
        <v>441748.35</v>
      </c>
      <c r="I420" s="51">
        <f>基础表!I420+基础表!I421+基础表!I422</f>
        <v>0</v>
      </c>
      <c r="J420" s="51">
        <f>基础表!J420+基础表!J421+基础表!J422</f>
        <v>0</v>
      </c>
      <c r="K420" s="51">
        <f>基础表!K420+基础表!K421+基础表!K422</f>
        <v>0</v>
      </c>
      <c r="L420" s="51">
        <f>基础表!L420+基础表!L421+基础表!L422</f>
        <v>0</v>
      </c>
      <c r="M420" s="51">
        <f>基础表!M420+基础表!M421+基础表!M422</f>
        <v>0</v>
      </c>
      <c r="N420" s="51">
        <f>基础表!N420+基础表!N421+基础表!N422</f>
        <v>0</v>
      </c>
      <c r="O420" s="51">
        <f ca="1">基础表!O420</f>
        <v>2173719.05</v>
      </c>
      <c r="Q420" s="71"/>
      <c r="R420" s="71"/>
      <c r="S420" s="38"/>
    </row>
    <row r="421" spans="1:20">
      <c r="A421" s="379" t="s">
        <v>240</v>
      </c>
      <c r="B421" s="57"/>
      <c r="C421" s="51">
        <f>基础表!C423+基础表!C424</f>
        <v>53579.09</v>
      </c>
      <c r="D421" s="51">
        <f>基础表!D423+基础表!D424</f>
        <v>83769.76</v>
      </c>
      <c r="E421" s="51">
        <f>基础表!E423+基础表!E424</f>
        <v>70387.99</v>
      </c>
      <c r="F421" s="51">
        <f>基础表!F423+基础表!F424</f>
        <v>106972.87</v>
      </c>
      <c r="G421" s="51">
        <f>基础表!G423+基础表!G424</f>
        <v>121845.75</v>
      </c>
      <c r="H421" s="51">
        <f>基础表!H423+基础表!H424</f>
        <v>91858.53</v>
      </c>
      <c r="I421" s="51">
        <f>基础表!I423+基础表!I424</f>
        <v>0</v>
      </c>
      <c r="J421" s="51">
        <f>基础表!J423+基础表!J424</f>
        <v>0</v>
      </c>
      <c r="K421" s="51">
        <f>基础表!K423+基础表!K424</f>
        <v>0</v>
      </c>
      <c r="L421" s="51">
        <f>基础表!L423+基础表!L424</f>
        <v>0</v>
      </c>
      <c r="M421" s="51">
        <f>基础表!M423+基础表!M424</f>
        <v>0</v>
      </c>
      <c r="N421" s="51">
        <f>基础表!N423+基础表!N424</f>
        <v>0</v>
      </c>
      <c r="O421" s="51">
        <f ca="1">基础表!O423</f>
        <v>240086</v>
      </c>
      <c r="Q421" s="71"/>
      <c r="R421" s="71"/>
      <c r="S421" s="38"/>
    </row>
    <row r="422" spans="1:20">
      <c r="A422" s="445" t="s">
        <v>241</v>
      </c>
      <c r="B422" s="57"/>
      <c r="C422" s="51">
        <f>IFERROR(C421*C19,0)</f>
        <v>24793.9695866659</v>
      </c>
      <c r="D422" s="51">
        <f t="shared" ref="D422:N422" si="138">IFERROR(D421*D19,0)</f>
        <v>11953.560679339</v>
      </c>
      <c r="E422" s="51">
        <f t="shared" si="138"/>
        <v>48714.7779624952</v>
      </c>
      <c r="F422" s="51">
        <f t="shared" si="138"/>
        <v>51806.6965391018</v>
      </c>
      <c r="G422" s="51">
        <f t="shared" si="138"/>
        <v>35346.339598031</v>
      </c>
      <c r="H422" s="51">
        <f t="shared" si="138"/>
        <v>17705.5048555955</v>
      </c>
      <c r="I422" s="51">
        <f t="shared" si="138"/>
        <v>0</v>
      </c>
      <c r="J422" s="51">
        <f t="shared" si="138"/>
        <v>0</v>
      </c>
      <c r="K422" s="51">
        <f t="shared" si="138"/>
        <v>0</v>
      </c>
      <c r="L422" s="51">
        <f t="shared" si="138"/>
        <v>0</v>
      </c>
      <c r="M422" s="51">
        <f t="shared" si="138"/>
        <v>0</v>
      </c>
      <c r="N422" s="51">
        <f t="shared" si="138"/>
        <v>0</v>
      </c>
      <c r="O422" s="51">
        <f>SUM(C422:N422)</f>
        <v>190320.849221228</v>
      </c>
      <c r="Q422" s="71"/>
      <c r="R422" s="71"/>
      <c r="S422" s="38"/>
    </row>
    <row r="423" spans="1:20">
      <c r="A423" s="445" t="s">
        <v>242</v>
      </c>
      <c r="B423" s="57"/>
      <c r="C423" s="51">
        <f>IFERROR(C421*C20,0)</f>
        <v>28785.1204133341</v>
      </c>
      <c r="D423" s="51">
        <f t="shared" ref="D423:N423" si="139">IFERROR(D421*D20,0)</f>
        <v>71816.199320661</v>
      </c>
      <c r="E423" s="51">
        <f t="shared" si="139"/>
        <v>21673.212037505</v>
      </c>
      <c r="F423" s="51">
        <f t="shared" si="139"/>
        <v>55166.1734608982</v>
      </c>
      <c r="G423" s="51">
        <f t="shared" si="139"/>
        <v>86499.4104019691</v>
      </c>
      <c r="H423" s="51">
        <f t="shared" si="139"/>
        <v>74153.0251444042</v>
      </c>
      <c r="I423" s="51">
        <f t="shared" si="139"/>
        <v>0</v>
      </c>
      <c r="J423" s="51">
        <f t="shared" si="139"/>
        <v>0</v>
      </c>
      <c r="K423" s="51">
        <f t="shared" si="139"/>
        <v>0</v>
      </c>
      <c r="L423" s="51">
        <f t="shared" si="139"/>
        <v>0</v>
      </c>
      <c r="M423" s="51">
        <f t="shared" si="139"/>
        <v>0</v>
      </c>
      <c r="N423" s="51">
        <f t="shared" si="139"/>
        <v>0</v>
      </c>
      <c r="O423" s="51">
        <f>SUM(C423:N423)</f>
        <v>338093.140778772</v>
      </c>
      <c r="Q423" s="71"/>
      <c r="R423" s="71"/>
      <c r="S423" s="38"/>
    </row>
    <row r="424" spans="1:20">
      <c r="A424" s="293" t="s">
        <v>292</v>
      </c>
      <c r="B424" s="57"/>
      <c r="C424" s="51">
        <f>C418-C419-C420-C421</f>
        <v>1494064.6</v>
      </c>
      <c r="D424" s="51">
        <f t="shared" ref="D424:O424" si="140">D418-D419-D420-D421</f>
        <v>1897874.36</v>
      </c>
      <c r="E424" s="51">
        <f t="shared" si="140"/>
        <v>1778767.38</v>
      </c>
      <c r="F424" s="51">
        <f t="shared" si="140"/>
        <v>2003353</v>
      </c>
      <c r="G424" s="51">
        <f t="shared" si="140"/>
        <v>1953371.6</v>
      </c>
      <c r="H424" s="51">
        <f t="shared" si="140"/>
        <v>2509714.62</v>
      </c>
      <c r="I424" s="51">
        <f t="shared" si="140"/>
        <v>0</v>
      </c>
      <c r="J424" s="51">
        <f t="shared" si="140"/>
        <v>0</v>
      </c>
      <c r="K424" s="51">
        <f t="shared" si="140"/>
        <v>0</v>
      </c>
      <c r="L424" s="51">
        <f t="shared" si="140"/>
        <v>0</v>
      </c>
      <c r="M424" s="51">
        <f t="shared" si="140"/>
        <v>0</v>
      </c>
      <c r="N424" s="51">
        <f t="shared" si="140"/>
        <v>0</v>
      </c>
      <c r="O424" s="51">
        <f ca="1" t="shared" si="140"/>
        <v>13357949.72</v>
      </c>
      <c r="Q424" s="71"/>
      <c r="R424" s="71"/>
      <c r="S424" s="38"/>
      <c r="T424" s="38"/>
    </row>
    <row r="425" spans="1:20">
      <c r="A425" s="38" t="s">
        <v>294</v>
      </c>
      <c r="B425" s="277"/>
      <c r="C425" s="440"/>
      <c r="D425" s="440"/>
      <c r="E425" s="440"/>
      <c r="F425" s="440"/>
      <c r="G425" s="440"/>
      <c r="H425" s="440"/>
      <c r="I425" s="440"/>
      <c r="J425" s="440"/>
      <c r="K425" s="440"/>
      <c r="L425" s="440"/>
      <c r="M425" s="440"/>
      <c r="N425" s="440"/>
      <c r="O425" s="440"/>
      <c r="Q425" s="71"/>
      <c r="R425" s="71"/>
      <c r="S425" s="38"/>
      <c r="T425" s="38"/>
    </row>
    <row r="426" s="38" customFormat="1" ht="15" customHeight="1" spans="1:20">
      <c r="A426" s="115" t="s">
        <v>252</v>
      </c>
      <c r="B426" s="50"/>
      <c r="C426" s="51">
        <f t="shared" ref="C426:N426" si="141">C$419*C11+C$424*C$5*C11</f>
        <v>873594.753805535</v>
      </c>
      <c r="D426" s="51">
        <f t="shared" si="141"/>
        <v>1181662.22998084</v>
      </c>
      <c r="E426" s="51">
        <f t="shared" si="141"/>
        <v>1010722.6747259</v>
      </c>
      <c r="F426" s="51">
        <f t="shared" si="141"/>
        <v>1038303.42553428</v>
      </c>
      <c r="G426" s="51">
        <f t="shared" si="141"/>
        <v>1098282.47881085</v>
      </c>
      <c r="H426" s="51">
        <f t="shared" si="141"/>
        <v>1254835.33980675</v>
      </c>
      <c r="I426" s="51">
        <f t="shared" si="141"/>
        <v>0</v>
      </c>
      <c r="J426" s="51" t="e">
        <f t="shared" si="141"/>
        <v>#DIV/0!</v>
      </c>
      <c r="K426" s="51" t="e">
        <f t="shared" si="141"/>
        <v>#DIV/0!</v>
      </c>
      <c r="L426" s="51" t="e">
        <f t="shared" si="141"/>
        <v>#DIV/0!</v>
      </c>
      <c r="M426" s="51" t="e">
        <f t="shared" si="141"/>
        <v>#DIV/0!</v>
      </c>
      <c r="N426" s="51" t="e">
        <f t="shared" si="141"/>
        <v>#DIV/0!</v>
      </c>
      <c r="O426" s="51" t="e">
        <f ca="1">SUM(OFFSET($C426,0,0,1,mth))</f>
        <v>#DIV/0!</v>
      </c>
      <c r="P426" s="378"/>
      <c r="Q426" s="71"/>
      <c r="R426" s="71"/>
    </row>
    <row r="427" s="38" customFormat="1" ht="15" customHeight="1" spans="1:20">
      <c r="A427" s="115" t="s">
        <v>253</v>
      </c>
      <c r="B427" s="50"/>
      <c r="C427" s="51">
        <f t="shared" ref="C427:N427" si="142">C$419*C12+C$424*C$5*C12</f>
        <v>0</v>
      </c>
      <c r="D427" s="51">
        <f t="shared" si="142"/>
        <v>0</v>
      </c>
      <c r="E427" s="51">
        <f t="shared" si="142"/>
        <v>0</v>
      </c>
      <c r="F427" s="51">
        <f t="shared" si="142"/>
        <v>0</v>
      </c>
      <c r="G427" s="51">
        <f t="shared" si="142"/>
        <v>0</v>
      </c>
      <c r="H427" s="51">
        <f t="shared" si="142"/>
        <v>0</v>
      </c>
      <c r="I427" s="51">
        <f t="shared" si="142"/>
        <v>0</v>
      </c>
      <c r="J427" s="51" t="e">
        <f t="shared" si="142"/>
        <v>#DIV/0!</v>
      </c>
      <c r="K427" s="51" t="e">
        <f t="shared" si="142"/>
        <v>#DIV/0!</v>
      </c>
      <c r="L427" s="51" t="e">
        <f t="shared" si="142"/>
        <v>#DIV/0!</v>
      </c>
      <c r="M427" s="51" t="e">
        <f t="shared" si="142"/>
        <v>#DIV/0!</v>
      </c>
      <c r="N427" s="51" t="e">
        <f t="shared" si="142"/>
        <v>#DIV/0!</v>
      </c>
      <c r="O427" s="51" t="e">
        <f ca="1">SUM(OFFSET($C427,0,0,1,mth))</f>
        <v>#DIV/0!</v>
      </c>
      <c r="P427" s="382"/>
      <c r="R427" s="71"/>
    </row>
    <row r="428" s="38" customFormat="1" ht="15" customHeight="1" spans="1:20">
      <c r="A428" s="115" t="s">
        <v>268</v>
      </c>
      <c r="B428" s="50"/>
      <c r="C428" s="51">
        <f t="shared" ref="C428:N428" si="143">C$419*C13+C$424*C$5*C13</f>
        <v>0</v>
      </c>
      <c r="D428" s="51">
        <f t="shared" si="143"/>
        <v>0</v>
      </c>
      <c r="E428" s="51">
        <f t="shared" si="143"/>
        <v>0</v>
      </c>
      <c r="F428" s="51">
        <f t="shared" si="143"/>
        <v>0</v>
      </c>
      <c r="G428" s="51">
        <f t="shared" si="143"/>
        <v>0</v>
      </c>
      <c r="H428" s="51">
        <f t="shared" si="143"/>
        <v>0</v>
      </c>
      <c r="I428" s="51">
        <f t="shared" si="143"/>
        <v>0</v>
      </c>
      <c r="J428" s="51" t="e">
        <f t="shared" si="143"/>
        <v>#DIV/0!</v>
      </c>
      <c r="K428" s="51" t="e">
        <f t="shared" si="143"/>
        <v>#DIV/0!</v>
      </c>
      <c r="L428" s="51" t="e">
        <f t="shared" si="143"/>
        <v>#DIV/0!</v>
      </c>
      <c r="M428" s="51" t="e">
        <f t="shared" si="143"/>
        <v>#DIV/0!</v>
      </c>
      <c r="N428" s="51" t="e">
        <f t="shared" si="143"/>
        <v>#DIV/0!</v>
      </c>
      <c r="O428" s="51" t="e">
        <f ca="1">SUM(OFFSET($C428,0,0,1,mth))</f>
        <v>#DIV/0!</v>
      </c>
      <c r="P428" s="382"/>
      <c r="R428" s="71"/>
    </row>
    <row r="429" s="38" customFormat="1" ht="15" customHeight="1" spans="1:20">
      <c r="A429" s="115" t="s">
        <v>255</v>
      </c>
      <c r="B429" s="50"/>
      <c r="C429" s="51">
        <f t="shared" ref="C429:N429" si="144">C$419*C14+C$424*C$5*C14</f>
        <v>0</v>
      </c>
      <c r="D429" s="51">
        <f t="shared" si="144"/>
        <v>54357.1072919097</v>
      </c>
      <c r="E429" s="51">
        <f t="shared" si="144"/>
        <v>67480.3311679204</v>
      </c>
      <c r="F429" s="51">
        <f t="shared" si="144"/>
        <v>62175.0533622205</v>
      </c>
      <c r="G429" s="51">
        <f t="shared" si="144"/>
        <v>0</v>
      </c>
      <c r="H429" s="51">
        <f t="shared" si="144"/>
        <v>53188.1046651489</v>
      </c>
      <c r="I429" s="51">
        <f t="shared" si="144"/>
        <v>0</v>
      </c>
      <c r="J429" s="51" t="e">
        <f t="shared" si="144"/>
        <v>#DIV/0!</v>
      </c>
      <c r="K429" s="51" t="e">
        <f t="shared" si="144"/>
        <v>#DIV/0!</v>
      </c>
      <c r="L429" s="51" t="e">
        <f t="shared" si="144"/>
        <v>#DIV/0!</v>
      </c>
      <c r="M429" s="51" t="e">
        <f t="shared" si="144"/>
        <v>#DIV/0!</v>
      </c>
      <c r="N429" s="51" t="e">
        <f t="shared" si="144"/>
        <v>#DIV/0!</v>
      </c>
      <c r="O429" s="51" t="e">
        <f ca="1">SUM(OFFSET($C429,0,0,1,mth))</f>
        <v>#DIV/0!</v>
      </c>
      <c r="P429" s="382"/>
      <c r="Q429"/>
      <c r="R429"/>
    </row>
    <row r="430" s="38" customFormat="1" ht="15" customHeight="1" spans="1:20">
      <c r="A430" s="115" t="s">
        <v>256</v>
      </c>
      <c r="B430" s="60"/>
      <c r="C430" s="51">
        <f t="shared" ref="C430:N430" si="145">C$419*C15+C$424*C$5*C15</f>
        <v>152786.786194465</v>
      </c>
      <c r="D430" s="51">
        <f t="shared" si="145"/>
        <v>123271.267718313</v>
      </c>
      <c r="E430" s="51">
        <f t="shared" si="145"/>
        <v>162686.524106175</v>
      </c>
      <c r="F430" s="51">
        <f t="shared" si="145"/>
        <v>131832.941103501</v>
      </c>
      <c r="G430" s="51">
        <f t="shared" si="145"/>
        <v>120836.451189147</v>
      </c>
      <c r="H430" s="51">
        <f t="shared" si="145"/>
        <v>188412.735528102</v>
      </c>
      <c r="I430" s="51">
        <f t="shared" si="145"/>
        <v>0</v>
      </c>
      <c r="J430" s="51" t="e">
        <f t="shared" si="145"/>
        <v>#DIV/0!</v>
      </c>
      <c r="K430" s="51" t="e">
        <f t="shared" si="145"/>
        <v>#DIV/0!</v>
      </c>
      <c r="L430" s="51" t="e">
        <f t="shared" si="145"/>
        <v>#DIV/0!</v>
      </c>
      <c r="M430" s="51" t="e">
        <f t="shared" si="145"/>
        <v>#DIV/0!</v>
      </c>
      <c r="N430" s="51" t="e">
        <f t="shared" si="145"/>
        <v>#DIV/0!</v>
      </c>
      <c r="O430" s="51" t="e">
        <f ca="1">SUM(OFFSET($C430,0,0,1,mth))</f>
        <v>#DIV/0!</v>
      </c>
      <c r="P430" s="382"/>
      <c r="Q430"/>
      <c r="R430"/>
      <c r="S430"/>
    </row>
    <row r="431" s="38" customFormat="1" ht="15" customHeight="1" spans="1:20">
      <c r="A431" s="115" t="s">
        <v>257</v>
      </c>
      <c r="B431" s="60"/>
      <c r="C431" s="51">
        <f t="shared" ref="C431:N431" si="146">C$419*C16+C$424*C$5*C16</f>
        <v>0</v>
      </c>
      <c r="D431" s="51">
        <f t="shared" si="146"/>
        <v>5317.19500893428</v>
      </c>
      <c r="E431" s="51">
        <f t="shared" si="146"/>
        <v>0</v>
      </c>
      <c r="F431" s="51">
        <f t="shared" si="146"/>
        <v>0</v>
      </c>
      <c r="G431" s="51">
        <f t="shared" si="146"/>
        <v>0</v>
      </c>
      <c r="H431" s="51">
        <f t="shared" si="146"/>
        <v>0</v>
      </c>
      <c r="I431" s="51">
        <f t="shared" si="146"/>
        <v>0</v>
      </c>
      <c r="J431" s="51" t="e">
        <f t="shared" si="146"/>
        <v>#DIV/0!</v>
      </c>
      <c r="K431" s="51" t="e">
        <f t="shared" si="146"/>
        <v>#DIV/0!</v>
      </c>
      <c r="L431" s="51" t="e">
        <f t="shared" si="146"/>
        <v>#DIV/0!</v>
      </c>
      <c r="M431" s="51" t="e">
        <f t="shared" si="146"/>
        <v>#DIV/0!</v>
      </c>
      <c r="N431" s="51" t="e">
        <f t="shared" si="146"/>
        <v>#DIV/0!</v>
      </c>
      <c r="O431" s="51" t="e">
        <f ca="1">SUM(OFFSET($C431,0,0,1,mth))</f>
        <v>#DIV/0!</v>
      </c>
      <c r="P431" s="382"/>
      <c r="Q431"/>
      <c r="R431"/>
      <c r="S431"/>
    </row>
    <row r="432" s="38" customFormat="1" ht="15" customHeight="1" spans="1:20">
      <c r="A432" s="115" t="s">
        <v>258</v>
      </c>
      <c r="B432" s="60"/>
      <c r="C432" s="51">
        <f>C$420+C$424*C$6*C33</f>
        <v>1138822.6820629</v>
      </c>
      <c r="D432" s="51">
        <f t="shared" ref="D432:N432" si="147">D$420+D$424*D$6*D33</f>
        <v>1503125.09719651</v>
      </c>
      <c r="E432" s="51">
        <f t="shared" si="147"/>
        <v>1369916.86984258</v>
      </c>
      <c r="F432" s="51">
        <f t="shared" si="147"/>
        <v>1387755.81063497</v>
      </c>
      <c r="G432" s="51">
        <f t="shared" si="147"/>
        <v>1360267.80054234</v>
      </c>
      <c r="H432" s="51">
        <f t="shared" si="147"/>
        <v>1652407.50290831</v>
      </c>
      <c r="I432" s="51">
        <f t="shared" si="147"/>
        <v>0</v>
      </c>
      <c r="J432" s="51" t="e">
        <f t="shared" si="147"/>
        <v>#DIV/0!</v>
      </c>
      <c r="K432" s="51" t="e">
        <f t="shared" si="147"/>
        <v>#DIV/0!</v>
      </c>
      <c r="L432" s="51" t="e">
        <f t="shared" si="147"/>
        <v>#DIV/0!</v>
      </c>
      <c r="M432" s="51" t="e">
        <f t="shared" si="147"/>
        <v>#DIV/0!</v>
      </c>
      <c r="N432" s="51" t="e">
        <f t="shared" si="147"/>
        <v>#DIV/0!</v>
      </c>
      <c r="O432" s="51" t="e">
        <f ca="1">SUM(OFFSET($C432,0,0,1,mth))</f>
        <v>#DIV/0!</v>
      </c>
      <c r="P432" s="382"/>
      <c r="Q432"/>
      <c r="R432"/>
      <c r="S432"/>
      <c r="T432"/>
    </row>
    <row r="433" s="38" customFormat="1" ht="15" customHeight="1" spans="1:20">
      <c r="A433" s="379" t="s">
        <v>240</v>
      </c>
      <c r="B433" s="60"/>
      <c r="C433" s="419">
        <f>C$421+C$424*C$6*(C34+C35)</f>
        <v>65879.8979371022</v>
      </c>
      <c r="D433" s="419">
        <f t="shared" ref="D433:N433" si="148">D$421+D$424*D$6*(D34+D35)</f>
        <v>100441.88280349</v>
      </c>
      <c r="E433" s="419">
        <f t="shared" si="148"/>
        <v>81164.4301574177</v>
      </c>
      <c r="F433" s="419">
        <f t="shared" si="148"/>
        <v>151344.429365029</v>
      </c>
      <c r="G433" s="419">
        <f t="shared" si="148"/>
        <v>168863.38945766</v>
      </c>
      <c r="H433" s="419">
        <f t="shared" si="148"/>
        <v>136056.687091685</v>
      </c>
      <c r="I433" s="419">
        <f t="shared" si="148"/>
        <v>0</v>
      </c>
      <c r="J433" s="419" t="e">
        <f t="shared" si="148"/>
        <v>#DIV/0!</v>
      </c>
      <c r="K433" s="419" t="e">
        <f t="shared" si="148"/>
        <v>#DIV/0!</v>
      </c>
      <c r="L433" s="419" t="e">
        <f t="shared" si="148"/>
        <v>#DIV/0!</v>
      </c>
      <c r="M433" s="419" t="e">
        <f t="shared" si="148"/>
        <v>#DIV/0!</v>
      </c>
      <c r="N433" s="419" t="e">
        <f t="shared" si="148"/>
        <v>#DIV/0!</v>
      </c>
      <c r="O433" s="51" t="e">
        <f ca="1">SUM(OFFSET($C433,0,0,1,mth))</f>
        <v>#DIV/0!</v>
      </c>
      <c r="P433" s="382"/>
      <c r="Q433" s="446"/>
      <c r="R433"/>
      <c r="S433"/>
      <c r="T433"/>
    </row>
    <row r="434" s="38" customFormat="1" ht="15" customHeight="1" spans="1:20">
      <c r="A434" s="379" t="s">
        <v>241</v>
      </c>
      <c r="B434" s="60"/>
      <c r="C434" s="419">
        <f>C433*C19</f>
        <v>30486.2248654309</v>
      </c>
      <c r="D434" s="419">
        <f t="shared" ref="D434:N434" si="149">D433*D19</f>
        <v>14332.5961640402</v>
      </c>
      <c r="E434" s="419">
        <f t="shared" si="149"/>
        <v>56173.0373828128</v>
      </c>
      <c r="F434" s="419">
        <f t="shared" si="149"/>
        <v>73295.7330676237</v>
      </c>
      <c r="G434" s="419">
        <f t="shared" si="149"/>
        <v>48985.7275238981</v>
      </c>
      <c r="H434" s="419">
        <f t="shared" si="149"/>
        <v>26224.5905082312</v>
      </c>
      <c r="I434" s="419" t="e">
        <f t="shared" si="149"/>
        <v>#DIV/0!</v>
      </c>
      <c r="J434" s="419" t="e">
        <f t="shared" si="149"/>
        <v>#DIV/0!</v>
      </c>
      <c r="K434" s="419" t="e">
        <f t="shared" si="149"/>
        <v>#DIV/0!</v>
      </c>
      <c r="L434" s="419" t="e">
        <f t="shared" si="149"/>
        <v>#DIV/0!</v>
      </c>
      <c r="M434" s="419" t="e">
        <f t="shared" si="149"/>
        <v>#DIV/0!</v>
      </c>
      <c r="N434" s="419" t="e">
        <f t="shared" si="149"/>
        <v>#DIV/0!</v>
      </c>
      <c r="O434" s="51" t="e">
        <f ca="1">SUM(OFFSET($C434,0,0,1,mth))</f>
        <v>#DIV/0!</v>
      </c>
      <c r="P434" s="382"/>
      <c r="Q434" s="446"/>
      <c r="R434"/>
      <c r="S434"/>
      <c r="T434"/>
    </row>
    <row r="435" s="38" customFormat="1" ht="15" customHeight="1" spans="1:20">
      <c r="A435" s="379" t="s">
        <v>242</v>
      </c>
      <c r="B435" s="60"/>
      <c r="C435" s="419">
        <f>C433*C20</f>
        <v>35393.6730716712</v>
      </c>
      <c r="D435" s="419">
        <f t="shared" ref="D435:N435" si="150">D433*D20</f>
        <v>86109.2866394494</v>
      </c>
      <c r="E435" s="419">
        <f t="shared" si="150"/>
        <v>24991.3927746051</v>
      </c>
      <c r="F435" s="419">
        <f t="shared" si="150"/>
        <v>78048.6962974058</v>
      </c>
      <c r="G435" s="419">
        <f t="shared" si="150"/>
        <v>119877.661933762</v>
      </c>
      <c r="H435" s="419">
        <f t="shared" si="150"/>
        <v>109832.096583453</v>
      </c>
      <c r="I435" s="419" t="e">
        <f t="shared" si="150"/>
        <v>#DIV/0!</v>
      </c>
      <c r="J435" s="419" t="e">
        <f t="shared" si="150"/>
        <v>#DIV/0!</v>
      </c>
      <c r="K435" s="419" t="e">
        <f t="shared" si="150"/>
        <v>#DIV/0!</v>
      </c>
      <c r="L435" s="419" t="e">
        <f t="shared" si="150"/>
        <v>#DIV/0!</v>
      </c>
      <c r="M435" s="419" t="e">
        <f t="shared" si="150"/>
        <v>#DIV/0!</v>
      </c>
      <c r="N435" s="419" t="e">
        <f t="shared" si="150"/>
        <v>#DIV/0!</v>
      </c>
      <c r="O435" s="51" t="e">
        <f ca="1">SUM(OFFSET($C435,0,0,1,mth))</f>
        <v>#DIV/0!</v>
      </c>
      <c r="P435" s="382"/>
      <c r="Q435" s="446"/>
      <c r="R435"/>
      <c r="S435"/>
      <c r="T435"/>
    </row>
    <row r="436" s="38" customFormat="1" ht="15" customHeight="1" spans="1:20">
      <c r="A436" s="57" t="s">
        <v>232</v>
      </c>
      <c r="B436" s="50"/>
      <c r="C436" s="51">
        <f>SUM(C426:C433)</f>
        <v>2231084.12</v>
      </c>
      <c r="D436" s="51">
        <f t="shared" ref="D436:O436" si="151">SUM(D426:D433)</f>
        <v>2968174.78</v>
      </c>
      <c r="E436" s="51">
        <f t="shared" si="151"/>
        <v>2691970.83</v>
      </c>
      <c r="F436" s="51">
        <f t="shared" si="151"/>
        <v>2771411.66</v>
      </c>
      <c r="G436" s="51">
        <f t="shared" si="151"/>
        <v>2748250.12</v>
      </c>
      <c r="H436" s="51">
        <f t="shared" si="151"/>
        <v>3284900.37</v>
      </c>
      <c r="I436" s="51">
        <f t="shared" si="151"/>
        <v>0</v>
      </c>
      <c r="J436" s="51" t="e">
        <f t="shared" si="151"/>
        <v>#DIV/0!</v>
      </c>
      <c r="K436" s="51" t="e">
        <f t="shared" si="151"/>
        <v>#DIV/0!</v>
      </c>
      <c r="L436" s="51" t="e">
        <f t="shared" si="151"/>
        <v>#DIV/0!</v>
      </c>
      <c r="M436" s="51" t="e">
        <f t="shared" si="151"/>
        <v>#DIV/0!</v>
      </c>
      <c r="N436" s="51" t="e">
        <f t="shared" si="151"/>
        <v>#DIV/0!</v>
      </c>
      <c r="O436" s="51" t="e">
        <f ca="1" t="shared" si="151"/>
        <v>#DIV/0!</v>
      </c>
      <c r="P436" s="382"/>
      <c r="Q436"/>
      <c r="R436"/>
      <c r="S436"/>
      <c r="T436"/>
    </row>
    <row r="437" spans="1:20">
      <c r="A437" s="46" t="str">
        <f>基础表!A432</f>
        <v>制造费用</v>
      </c>
      <c r="B437" s="46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423"/>
    </row>
    <row r="438" spans="1:20">
      <c r="A438" s="284" t="str">
        <f>基础表!A437</f>
        <v>    其余制造费用</v>
      </c>
      <c r="B438" s="57">
        <f>基础表!B437</f>
        <v>0</v>
      </c>
      <c r="C438" s="51">
        <f>基础表!C437</f>
        <v>13513.8099999999</v>
      </c>
      <c r="D438" s="51">
        <f>基础表!D437</f>
        <v>158098.72</v>
      </c>
      <c r="E438" s="51">
        <f>基础表!E437</f>
        <v>127222.5</v>
      </c>
      <c r="F438" s="51">
        <f>基础表!F437</f>
        <v>228227.6</v>
      </c>
      <c r="G438" s="51">
        <f>基础表!G437</f>
        <v>146301.42</v>
      </c>
      <c r="H438" s="51">
        <f>基础表!H437</f>
        <v>721338.56</v>
      </c>
      <c r="I438" s="51">
        <f>基础表!I437</f>
        <v>0</v>
      </c>
      <c r="J438" s="51">
        <f>基础表!J437</f>
        <v>0</v>
      </c>
      <c r="K438" s="51">
        <f>基础表!K437</f>
        <v>0</v>
      </c>
      <c r="L438" s="51">
        <f>基础表!L437</f>
        <v>0</v>
      </c>
      <c r="M438" s="51">
        <f>基础表!M437</f>
        <v>0</v>
      </c>
      <c r="N438" s="51">
        <f>基础表!N437</f>
        <v>0</v>
      </c>
      <c r="O438" s="411">
        <f ca="1">基础表!O437</f>
        <v>1394702.61</v>
      </c>
    </row>
    <row r="439" spans="1:20">
      <c r="A439" s="293" t="s">
        <v>290</v>
      </c>
      <c r="B439" s="57"/>
      <c r="C439" s="51">
        <f>基础表!C438</f>
        <v>-4595.4</v>
      </c>
      <c r="D439" s="51">
        <f>基础表!D438</f>
        <v>84139.31</v>
      </c>
      <c r="E439" s="51">
        <f>基础表!E438</f>
        <v>72962.45</v>
      </c>
      <c r="F439" s="51">
        <f>基础表!F438</f>
        <v>180709.87</v>
      </c>
      <c r="G439" s="51">
        <f>基础表!G438</f>
        <v>96622.9</v>
      </c>
      <c r="H439" s="51">
        <f>基础表!H438</f>
        <v>364095.43</v>
      </c>
      <c r="I439" s="51">
        <f>基础表!I438</f>
        <v>0</v>
      </c>
      <c r="J439" s="51">
        <f>基础表!J438</f>
        <v>0</v>
      </c>
      <c r="K439" s="51">
        <f>基础表!K438</f>
        <v>0</v>
      </c>
      <c r="L439" s="51">
        <f>基础表!L438</f>
        <v>0</v>
      </c>
      <c r="M439" s="51">
        <f>基础表!M438</f>
        <v>0</v>
      </c>
      <c r="N439" s="51">
        <f>基础表!N438</f>
        <v>0</v>
      </c>
      <c r="O439" s="411">
        <f ca="1">基础表!O438</f>
        <v>793934.56</v>
      </c>
      <c r="Q439" s="71"/>
      <c r="R439" s="71"/>
    </row>
    <row r="440" spans="1:20">
      <c r="A440" s="293" t="s">
        <v>291</v>
      </c>
      <c r="B440" s="57"/>
      <c r="C440" s="51">
        <f>基础表!C439</f>
        <v>10646</v>
      </c>
      <c r="D440" s="51">
        <f>基础表!D439</f>
        <v>60924.47</v>
      </c>
      <c r="E440" s="51">
        <f>基础表!E439</f>
        <v>25871.98</v>
      </c>
      <c r="F440" s="51">
        <f>基础表!F439</f>
        <v>28402.66</v>
      </c>
      <c r="G440" s="51">
        <f>基础表!G439</f>
        <v>36157.23</v>
      </c>
      <c r="H440" s="51">
        <f>基础表!H439</f>
        <v>171896.55</v>
      </c>
      <c r="I440" s="51">
        <f>基础表!I439</f>
        <v>0</v>
      </c>
      <c r="J440" s="51">
        <f>基础表!J439</f>
        <v>0</v>
      </c>
      <c r="K440" s="51">
        <f>基础表!K439</f>
        <v>0</v>
      </c>
      <c r="L440" s="51">
        <f>基础表!L439</f>
        <v>0</v>
      </c>
      <c r="M440" s="51">
        <f>基础表!M439</f>
        <v>0</v>
      </c>
      <c r="N440" s="51">
        <f>基础表!N439</f>
        <v>0</v>
      </c>
      <c r="O440" s="411">
        <f ca="1">基础表!O439</f>
        <v>333898.89</v>
      </c>
      <c r="Q440" s="71"/>
      <c r="R440" s="71"/>
      <c r="S440" s="38"/>
    </row>
    <row r="441" spans="1:20">
      <c r="A441" s="293" t="s">
        <v>240</v>
      </c>
      <c r="B441" s="57"/>
      <c r="C441" s="51">
        <f>基础表!C440</f>
        <v>381.78</v>
      </c>
      <c r="D441" s="51">
        <f>基础表!D440</f>
        <v>-0.01</v>
      </c>
      <c r="E441" s="51">
        <f>基础表!E440</f>
        <v>0.01</v>
      </c>
      <c r="F441" s="51">
        <f>基础表!F440</f>
        <v>-0.02</v>
      </c>
      <c r="G441" s="51">
        <f>基础表!G440</f>
        <v>0</v>
      </c>
      <c r="H441" s="51">
        <f>基础表!H440</f>
        <v>264.18</v>
      </c>
      <c r="I441" s="51">
        <f>基础表!I440</f>
        <v>0</v>
      </c>
      <c r="J441" s="51">
        <f>基础表!J440</f>
        <v>0</v>
      </c>
      <c r="K441" s="51">
        <f>基础表!K440</f>
        <v>0</v>
      </c>
      <c r="L441" s="51">
        <f>基础表!L440</f>
        <v>0</v>
      </c>
      <c r="M441" s="51">
        <f>基础表!M440</f>
        <v>0</v>
      </c>
      <c r="N441" s="51">
        <f>基础表!N440</f>
        <v>0</v>
      </c>
      <c r="O441" s="411">
        <f ca="1">基础表!O440</f>
        <v>645.94</v>
      </c>
      <c r="Q441" s="71"/>
      <c r="R441" s="71"/>
      <c r="S441" s="38"/>
    </row>
    <row r="442" spans="1:20">
      <c r="A442" s="293" t="s">
        <v>241</v>
      </c>
      <c r="B442" s="57"/>
      <c r="C442" s="51">
        <f>IFERROR(C441*C19,0)</f>
        <v>176.670445668213</v>
      </c>
      <c r="D442" s="51">
        <f t="shared" ref="D442:N442" si="152">IFERROR(D441*D19,0)</f>
        <v>-0.00142695415139532</v>
      </c>
      <c r="E442" s="51">
        <f t="shared" si="152"/>
        <v>0.00692089345959378</v>
      </c>
      <c r="F442" s="51">
        <f t="shared" si="152"/>
        <v>-0.00968595056655053</v>
      </c>
      <c r="G442" s="51">
        <f t="shared" si="152"/>
        <v>0</v>
      </c>
      <c r="H442" s="51">
        <f t="shared" si="152"/>
        <v>50.9200427303945</v>
      </c>
      <c r="I442" s="51">
        <f t="shared" si="152"/>
        <v>0</v>
      </c>
      <c r="J442" s="51">
        <f t="shared" si="152"/>
        <v>0</v>
      </c>
      <c r="K442" s="51">
        <f t="shared" si="152"/>
        <v>0</v>
      </c>
      <c r="L442" s="51">
        <f t="shared" si="152"/>
        <v>0</v>
      </c>
      <c r="M442" s="51">
        <f t="shared" si="152"/>
        <v>0</v>
      </c>
      <c r="N442" s="51">
        <f t="shared" si="152"/>
        <v>0</v>
      </c>
      <c r="O442" s="51">
        <f ca="1">SUM(OFFSET($C442,0,0,1,mth))</f>
        <v>227.586296387349</v>
      </c>
      <c r="Q442" s="71"/>
      <c r="R442" s="71"/>
      <c r="S442" s="38"/>
    </row>
    <row r="443" spans="1:20">
      <c r="A443" s="293" t="s">
        <v>242</v>
      </c>
      <c r="B443" s="57"/>
      <c r="C443" s="51">
        <f>IFERROR(C441*C20,0)</f>
        <v>205.109554331787</v>
      </c>
      <c r="D443" s="51">
        <f t="shared" ref="D443:N443" si="153">IFERROR(D441*D20,0)</f>
        <v>-0.00857304584860468</v>
      </c>
      <c r="E443" s="51">
        <f t="shared" si="153"/>
        <v>0.00307910654040625</v>
      </c>
      <c r="F443" s="51">
        <f t="shared" si="153"/>
        <v>-0.0103140494334495</v>
      </c>
      <c r="G443" s="51">
        <f t="shared" si="153"/>
        <v>0</v>
      </c>
      <c r="H443" s="51">
        <f t="shared" si="153"/>
        <v>213.259957269605</v>
      </c>
      <c r="I443" s="51">
        <f t="shared" si="153"/>
        <v>0</v>
      </c>
      <c r="J443" s="51">
        <f t="shared" si="153"/>
        <v>0</v>
      </c>
      <c r="K443" s="51">
        <f t="shared" si="153"/>
        <v>0</v>
      </c>
      <c r="L443" s="51">
        <f t="shared" si="153"/>
        <v>0</v>
      </c>
      <c r="M443" s="51">
        <f t="shared" si="153"/>
        <v>0</v>
      </c>
      <c r="N443" s="51">
        <f t="shared" si="153"/>
        <v>0</v>
      </c>
      <c r="O443" s="51">
        <f ca="1">SUM(OFFSET($C443,0,0,1,mth))</f>
        <v>418.35370361265</v>
      </c>
      <c r="Q443" s="71"/>
      <c r="R443" s="71"/>
      <c r="S443" s="38"/>
    </row>
    <row r="444" spans="1:20">
      <c r="A444" s="293" t="s">
        <v>292</v>
      </c>
      <c r="B444" s="57"/>
      <c r="C444" s="51">
        <f>C438-C439-C440-C441</f>
        <v>7081.42999999994</v>
      </c>
      <c r="D444" s="51">
        <f t="shared" ref="D444:O444" si="154">D438-D439-D440-D441</f>
        <v>13034.9499999999</v>
      </c>
      <c r="E444" s="51">
        <f t="shared" si="154"/>
        <v>28388.06</v>
      </c>
      <c r="F444" s="51">
        <f t="shared" si="154"/>
        <v>19115.0899999999</v>
      </c>
      <c r="G444" s="51">
        <f t="shared" si="154"/>
        <v>13521.2899999999</v>
      </c>
      <c r="H444" s="51">
        <f t="shared" si="154"/>
        <v>185082.4</v>
      </c>
      <c r="I444" s="51">
        <f t="shared" si="154"/>
        <v>0</v>
      </c>
      <c r="J444" s="51">
        <f t="shared" si="154"/>
        <v>0</v>
      </c>
      <c r="K444" s="51">
        <f t="shared" si="154"/>
        <v>0</v>
      </c>
      <c r="L444" s="51">
        <f t="shared" si="154"/>
        <v>0</v>
      </c>
      <c r="M444" s="51">
        <f t="shared" si="154"/>
        <v>0</v>
      </c>
      <c r="N444" s="51">
        <f t="shared" si="154"/>
        <v>0</v>
      </c>
      <c r="O444" s="51">
        <f ca="1">SUM(OFFSET($C444,0,0,1,mth))</f>
        <v>266223.22</v>
      </c>
      <c r="Q444" s="71"/>
      <c r="R444" s="71"/>
      <c r="S444" s="38"/>
      <c r="T444" s="38"/>
    </row>
    <row r="445" spans="1:20">
      <c r="A445" s="38" t="s">
        <v>267</v>
      </c>
      <c r="B445" s="277"/>
      <c r="C445" s="440"/>
      <c r="D445" s="440"/>
      <c r="E445" s="440"/>
      <c r="F445" s="440"/>
      <c r="G445" s="440"/>
      <c r="H445" s="440"/>
      <c r="I445" s="440"/>
      <c r="J445" s="440"/>
      <c r="K445" s="440"/>
      <c r="L445" s="440"/>
      <c r="M445" s="440"/>
      <c r="N445" s="440"/>
      <c r="O445" s="440"/>
      <c r="Q445" s="71"/>
      <c r="R445" s="71"/>
      <c r="S445" s="38"/>
      <c r="T445" s="38"/>
    </row>
    <row r="446" s="38" customFormat="1" ht="15" customHeight="1" spans="1:20">
      <c r="A446" s="115" t="s">
        <v>252</v>
      </c>
      <c r="B446" s="50"/>
      <c r="C446" s="51">
        <f>C$439*C11+C$444*C$5*C11</f>
        <v>-897.684970948929</v>
      </c>
      <c r="D446" s="51">
        <f t="shared" ref="C446:N446" si="155">D$439*D11+D$444*D$5*D11</f>
        <v>78502.9212979684</v>
      </c>
      <c r="E446" s="51">
        <f t="shared" si="155"/>
        <v>70990.2279418014</v>
      </c>
      <c r="F446" s="51">
        <f t="shared" si="155"/>
        <v>160312.81180698</v>
      </c>
      <c r="G446" s="51">
        <f t="shared" si="155"/>
        <v>93136.3899589791</v>
      </c>
      <c r="H446" s="51">
        <f t="shared" si="155"/>
        <v>382912.274130033</v>
      </c>
      <c r="I446" s="51">
        <f t="shared" si="155"/>
        <v>0</v>
      </c>
      <c r="J446" s="51" t="e">
        <f t="shared" si="155"/>
        <v>#DIV/0!</v>
      </c>
      <c r="K446" s="51" t="e">
        <f t="shared" si="155"/>
        <v>#DIV/0!</v>
      </c>
      <c r="L446" s="51" t="e">
        <f t="shared" si="155"/>
        <v>#DIV/0!</v>
      </c>
      <c r="M446" s="51" t="e">
        <f t="shared" si="155"/>
        <v>#DIV/0!</v>
      </c>
      <c r="N446" s="51" t="e">
        <f t="shared" si="155"/>
        <v>#DIV/0!</v>
      </c>
      <c r="O446" s="51" t="e">
        <f ca="1">SUM(OFFSET($C446,0,0,1,mth))</f>
        <v>#DIV/0!</v>
      </c>
      <c r="P446" s="378"/>
      <c r="Q446" s="71"/>
      <c r="R446" s="71"/>
    </row>
    <row r="447" s="38" customFormat="1" customHeight="1" spans="1:20">
      <c r="A447" s="115" t="s">
        <v>253</v>
      </c>
      <c r="B447" s="50"/>
      <c r="C447" s="51">
        <f t="shared" ref="C447:N447" si="156">C$439*C12+C$444*C$5*C12</f>
        <v>0</v>
      </c>
      <c r="D447" s="51">
        <f t="shared" si="156"/>
        <v>0</v>
      </c>
      <c r="E447" s="51">
        <f t="shared" si="156"/>
        <v>0</v>
      </c>
      <c r="F447" s="51">
        <f t="shared" si="156"/>
        <v>0</v>
      </c>
      <c r="G447" s="51">
        <f t="shared" si="156"/>
        <v>0</v>
      </c>
      <c r="H447" s="51">
        <f t="shared" si="156"/>
        <v>0</v>
      </c>
      <c r="I447" s="51">
        <f t="shared" si="156"/>
        <v>0</v>
      </c>
      <c r="J447" s="51" t="e">
        <f t="shared" si="156"/>
        <v>#DIV/0!</v>
      </c>
      <c r="K447" s="51" t="e">
        <f t="shared" si="156"/>
        <v>#DIV/0!</v>
      </c>
      <c r="L447" s="51" t="e">
        <f t="shared" si="156"/>
        <v>#DIV/0!</v>
      </c>
      <c r="M447" s="51" t="e">
        <f t="shared" si="156"/>
        <v>#DIV/0!</v>
      </c>
      <c r="N447" s="51" t="e">
        <f t="shared" si="156"/>
        <v>#DIV/0!</v>
      </c>
      <c r="O447" s="51" t="e">
        <f ca="1">SUM(OFFSET($C447,0,0,1,mth))</f>
        <v>#DIV/0!</v>
      </c>
      <c r="P447" s="382"/>
      <c r="R447" s="71"/>
    </row>
    <row r="448" s="38" customFormat="1" customHeight="1" spans="1:20">
      <c r="A448" s="115" t="s">
        <v>268</v>
      </c>
      <c r="B448" s="50"/>
      <c r="C448" s="51">
        <f t="shared" ref="C448:N448" si="157">C$439*C13+C$444*C$5*C13</f>
        <v>0</v>
      </c>
      <c r="D448" s="51">
        <f t="shared" si="157"/>
        <v>0</v>
      </c>
      <c r="E448" s="51">
        <f t="shared" si="157"/>
        <v>0</v>
      </c>
      <c r="F448" s="51">
        <f t="shared" si="157"/>
        <v>0</v>
      </c>
      <c r="G448" s="51">
        <f t="shared" si="157"/>
        <v>0</v>
      </c>
      <c r="H448" s="51">
        <f t="shared" si="157"/>
        <v>0</v>
      </c>
      <c r="I448" s="51">
        <f t="shared" si="157"/>
        <v>0</v>
      </c>
      <c r="J448" s="51" t="e">
        <f t="shared" si="157"/>
        <v>#DIV/0!</v>
      </c>
      <c r="K448" s="51" t="e">
        <f t="shared" si="157"/>
        <v>#DIV/0!</v>
      </c>
      <c r="L448" s="51" t="e">
        <f t="shared" si="157"/>
        <v>#DIV/0!</v>
      </c>
      <c r="M448" s="51" t="e">
        <f t="shared" si="157"/>
        <v>#DIV/0!</v>
      </c>
      <c r="N448" s="51" t="e">
        <f t="shared" si="157"/>
        <v>#DIV/0!</v>
      </c>
      <c r="O448" s="51" t="e">
        <f ca="1">SUM(OFFSET($C448,0,0,1,mth))</f>
        <v>#DIV/0!</v>
      </c>
      <c r="P448" s="382"/>
      <c r="R448" s="71"/>
    </row>
    <row r="449" s="38" customFormat="1" ht="15" customHeight="1" spans="1:20">
      <c r="A449" s="115" t="s">
        <v>255</v>
      </c>
      <c r="B449" s="50"/>
      <c r="C449" s="51">
        <f t="shared" ref="C449:N449" si="158">C$439*C14+C$444*C$5*C14</f>
        <v>0</v>
      </c>
      <c r="D449" s="51">
        <f t="shared" si="158"/>
        <v>3611.17721075945</v>
      </c>
      <c r="E449" s="51">
        <f t="shared" si="158"/>
        <v>4739.62265910184</v>
      </c>
      <c r="F449" s="51">
        <f t="shared" si="158"/>
        <v>9599.75416012678</v>
      </c>
      <c r="G449" s="51">
        <f t="shared" si="158"/>
        <v>0</v>
      </c>
      <c r="H449" s="51">
        <f t="shared" si="158"/>
        <v>16230.3192043785</v>
      </c>
      <c r="I449" s="51">
        <f t="shared" si="158"/>
        <v>0</v>
      </c>
      <c r="J449" s="51" t="e">
        <f t="shared" si="158"/>
        <v>#DIV/0!</v>
      </c>
      <c r="K449" s="51" t="e">
        <f t="shared" si="158"/>
        <v>#DIV/0!</v>
      </c>
      <c r="L449" s="51" t="e">
        <f t="shared" si="158"/>
        <v>#DIV/0!</v>
      </c>
      <c r="M449" s="51" t="e">
        <f t="shared" si="158"/>
        <v>#DIV/0!</v>
      </c>
      <c r="N449" s="51" t="e">
        <f t="shared" si="158"/>
        <v>#DIV/0!</v>
      </c>
      <c r="O449" s="51" t="e">
        <f ca="1">SUM(OFFSET($C449,0,0,1,mth))</f>
        <v>#DIV/0!</v>
      </c>
      <c r="P449" s="382"/>
      <c r="Q449"/>
      <c r="R449"/>
    </row>
    <row r="450" s="38" customFormat="1" ht="15" customHeight="1" spans="1:20">
      <c r="A450" s="115" t="s">
        <v>256</v>
      </c>
      <c r="B450" s="60"/>
      <c r="C450" s="51">
        <f t="shared" ref="C450:N450" si="159">C$439*C15+C$444*C$5*C15</f>
        <v>-157.000029051101</v>
      </c>
      <c r="D450" s="51">
        <f t="shared" si="159"/>
        <v>8189.44228093712</v>
      </c>
      <c r="E450" s="51">
        <f t="shared" si="159"/>
        <v>11426.6293990967</v>
      </c>
      <c r="F450" s="51">
        <f t="shared" si="159"/>
        <v>20354.8490328933</v>
      </c>
      <c r="G450" s="51">
        <f t="shared" si="159"/>
        <v>10247.1550410209</v>
      </c>
      <c r="H450" s="51">
        <f t="shared" si="159"/>
        <v>57494.0366655889</v>
      </c>
      <c r="I450" s="51">
        <f t="shared" si="159"/>
        <v>0</v>
      </c>
      <c r="J450" s="51" t="e">
        <f t="shared" si="159"/>
        <v>#DIV/0!</v>
      </c>
      <c r="K450" s="51" t="e">
        <f t="shared" si="159"/>
        <v>#DIV/0!</v>
      </c>
      <c r="L450" s="51" t="e">
        <f t="shared" si="159"/>
        <v>#DIV/0!</v>
      </c>
      <c r="M450" s="51" t="e">
        <f t="shared" si="159"/>
        <v>#DIV/0!</v>
      </c>
      <c r="N450" s="51" t="e">
        <f t="shared" si="159"/>
        <v>#DIV/0!</v>
      </c>
      <c r="O450" s="51" t="e">
        <f ca="1">SUM(OFFSET($C450,0,0,1,mth))</f>
        <v>#DIV/0!</v>
      </c>
      <c r="P450" s="382"/>
      <c r="Q450"/>
      <c r="R450"/>
      <c r="S450"/>
    </row>
    <row r="451" s="38" customFormat="1" ht="15" customHeight="1" spans="1:20">
      <c r="A451" s="115" t="s">
        <v>257</v>
      </c>
      <c r="B451" s="60"/>
      <c r="C451" s="51">
        <f t="shared" ref="C451:N451" si="160">C$439*C16+C$444*C$5*C16</f>
        <v>0</v>
      </c>
      <c r="D451" s="51">
        <f t="shared" si="160"/>
        <v>353.244210335034</v>
      </c>
      <c r="E451" s="51">
        <f t="shared" si="160"/>
        <v>0</v>
      </c>
      <c r="F451" s="51">
        <f t="shared" si="160"/>
        <v>0</v>
      </c>
      <c r="G451" s="51">
        <f t="shared" si="160"/>
        <v>0</v>
      </c>
      <c r="H451" s="51">
        <f t="shared" si="160"/>
        <v>0</v>
      </c>
      <c r="I451" s="51">
        <f t="shared" si="160"/>
        <v>0</v>
      </c>
      <c r="J451" s="51" t="e">
        <f t="shared" si="160"/>
        <v>#DIV/0!</v>
      </c>
      <c r="K451" s="51" t="e">
        <f t="shared" si="160"/>
        <v>#DIV/0!</v>
      </c>
      <c r="L451" s="51" t="e">
        <f t="shared" si="160"/>
        <v>#DIV/0!</v>
      </c>
      <c r="M451" s="51" t="e">
        <f t="shared" si="160"/>
        <v>#DIV/0!</v>
      </c>
      <c r="N451" s="51" t="e">
        <f t="shared" si="160"/>
        <v>#DIV/0!</v>
      </c>
      <c r="O451" s="51" t="e">
        <f ca="1">SUM(OFFSET($C451,0,0,1,mth))</f>
        <v>#DIV/0!</v>
      </c>
      <c r="P451" s="382"/>
      <c r="Q451"/>
      <c r="R451"/>
      <c r="S451"/>
    </row>
    <row r="452" s="38" customFormat="1" ht="15" customHeight="1" spans="1:20">
      <c r="A452" s="115" t="s">
        <v>258</v>
      </c>
      <c r="B452" s="60"/>
      <c r="C452" s="51">
        <f>C440+C444*C$6*C$33</f>
        <v>14128.4127616965</v>
      </c>
      <c r="D452" s="51">
        <f t="shared" ref="D452:N452" si="161">D440+D444*D$6*D$33</f>
        <v>67327.4377956678</v>
      </c>
      <c r="E452" s="51">
        <f t="shared" si="161"/>
        <v>39894.0244817052</v>
      </c>
      <c r="F452" s="51">
        <f t="shared" si="161"/>
        <v>37536.8316101366</v>
      </c>
      <c r="G452" s="419">
        <f t="shared" si="161"/>
        <v>42592.4176532143</v>
      </c>
      <c r="H452" s="51">
        <f t="shared" si="161"/>
        <v>261178.295349293</v>
      </c>
      <c r="I452" s="51">
        <f t="shared" si="161"/>
        <v>0</v>
      </c>
      <c r="J452" s="51" t="e">
        <f t="shared" si="161"/>
        <v>#DIV/0!</v>
      </c>
      <c r="K452" s="51" t="e">
        <f t="shared" si="161"/>
        <v>#DIV/0!</v>
      </c>
      <c r="L452" s="51" t="e">
        <f t="shared" si="161"/>
        <v>#DIV/0!</v>
      </c>
      <c r="M452" s="51" t="e">
        <f t="shared" si="161"/>
        <v>#DIV/0!</v>
      </c>
      <c r="N452" s="51" t="e">
        <f t="shared" si="161"/>
        <v>#DIV/0!</v>
      </c>
      <c r="O452" s="51" t="e">
        <f ca="1">SUM(OFFSET($C452,0,0,1,mth))</f>
        <v>#DIV/0!</v>
      </c>
      <c r="P452" s="382"/>
      <c r="Q452"/>
      <c r="R452"/>
      <c r="S452"/>
      <c r="T452"/>
    </row>
    <row r="453" s="38" customFormat="1" ht="15" customHeight="1" spans="1:20">
      <c r="A453" s="115" t="s">
        <v>240</v>
      </c>
      <c r="B453" s="60"/>
      <c r="C453" s="419">
        <f>C441+C444*C$6*(C$34+C$35)</f>
        <v>440.082238303506</v>
      </c>
      <c r="D453" s="419">
        <f>D441+D444*D$6*(D$34+D$35)</f>
        <v>114.49720433219</v>
      </c>
      <c r="E453" s="419">
        <f>E441+E444*E$6*(E$34+E$35)</f>
        <v>171.9955182948</v>
      </c>
      <c r="F453" s="419">
        <f t="shared" ref="F453:N453" si="162">F441+F444*F$6*(F$34+F$35)</f>
        <v>423.353389863332</v>
      </c>
      <c r="G453" s="419">
        <f t="shared" si="162"/>
        <v>325.457346785659</v>
      </c>
      <c r="H453" s="419">
        <f t="shared" si="162"/>
        <v>3523.6346507069</v>
      </c>
      <c r="I453" s="419">
        <f t="shared" si="162"/>
        <v>0</v>
      </c>
      <c r="J453" s="419" t="e">
        <f t="shared" si="162"/>
        <v>#DIV/0!</v>
      </c>
      <c r="K453" s="419" t="e">
        <f t="shared" si="162"/>
        <v>#DIV/0!</v>
      </c>
      <c r="L453" s="419" t="e">
        <f t="shared" si="162"/>
        <v>#DIV/0!</v>
      </c>
      <c r="M453" s="419" t="e">
        <f t="shared" si="162"/>
        <v>#DIV/0!</v>
      </c>
      <c r="N453" s="419" t="e">
        <f t="shared" si="162"/>
        <v>#DIV/0!</v>
      </c>
      <c r="O453" s="51" t="e">
        <f ca="1">SUM(OFFSET($C453,0,0,1,mth))</f>
        <v>#DIV/0!</v>
      </c>
      <c r="P453" s="382"/>
      <c r="Q453" s="446"/>
      <c r="R453"/>
      <c r="S453"/>
      <c r="T453"/>
    </row>
    <row r="454" s="38" customFormat="1" ht="15" customHeight="1" spans="1:20">
      <c r="A454" s="115" t="s">
        <v>241</v>
      </c>
      <c r="B454" s="60"/>
      <c r="C454" s="419">
        <f>C453*C19</f>
        <v>203.650073790521</v>
      </c>
      <c r="D454" s="419">
        <f t="shared" ref="D454:N454" si="163">D453*D19</f>
        <v>16.3382261044977</v>
      </c>
      <c r="E454" s="419">
        <f t="shared" si="163"/>
        <v>119.036265764593</v>
      </c>
      <c r="F454" s="419">
        <f t="shared" si="163"/>
        <v>205.029000319891</v>
      </c>
      <c r="G454" s="419">
        <f t="shared" si="163"/>
        <v>94.4122048094417</v>
      </c>
      <c r="H454" s="419">
        <f t="shared" si="163"/>
        <v>679.171878947286</v>
      </c>
      <c r="I454" s="419" t="e">
        <f t="shared" si="163"/>
        <v>#DIV/0!</v>
      </c>
      <c r="J454" s="419" t="e">
        <f t="shared" si="163"/>
        <v>#DIV/0!</v>
      </c>
      <c r="K454" s="419" t="e">
        <f t="shared" si="163"/>
        <v>#DIV/0!</v>
      </c>
      <c r="L454" s="419" t="e">
        <f t="shared" si="163"/>
        <v>#DIV/0!</v>
      </c>
      <c r="M454" s="419" t="e">
        <f t="shared" si="163"/>
        <v>#DIV/0!</v>
      </c>
      <c r="N454" s="419" t="e">
        <f t="shared" si="163"/>
        <v>#DIV/0!</v>
      </c>
      <c r="O454" s="51" t="e">
        <f ca="1">SUM(OFFSET($C454,0,0,1,mth))</f>
        <v>#DIV/0!</v>
      </c>
      <c r="P454" s="382"/>
      <c r="Q454" s="446"/>
      <c r="R454"/>
      <c r="S454"/>
      <c r="T454"/>
    </row>
    <row r="455" s="38" customFormat="1" ht="15" customHeight="1" spans="1:20">
      <c r="A455" s="115" t="s">
        <v>242</v>
      </c>
      <c r="B455" s="60"/>
      <c r="C455" s="419">
        <f>C453*C20</f>
        <v>236.432164512985</v>
      </c>
      <c r="D455" s="419">
        <f t="shared" ref="D455:N455" si="164">D453*D20</f>
        <v>98.1589782276923</v>
      </c>
      <c r="E455" s="419">
        <f t="shared" si="164"/>
        <v>52.9592525302082</v>
      </c>
      <c r="F455" s="419">
        <f t="shared" si="164"/>
        <v>218.32438954344</v>
      </c>
      <c r="G455" s="419">
        <f t="shared" si="164"/>
        <v>231.045141976217</v>
      </c>
      <c r="H455" s="419">
        <f t="shared" si="164"/>
        <v>2844.4627717596</v>
      </c>
      <c r="I455" s="419" t="e">
        <f t="shared" si="164"/>
        <v>#DIV/0!</v>
      </c>
      <c r="J455" s="419" t="e">
        <f t="shared" si="164"/>
        <v>#DIV/0!</v>
      </c>
      <c r="K455" s="419" t="e">
        <f t="shared" si="164"/>
        <v>#DIV/0!</v>
      </c>
      <c r="L455" s="419" t="e">
        <f t="shared" si="164"/>
        <v>#DIV/0!</v>
      </c>
      <c r="M455" s="419" t="e">
        <f t="shared" si="164"/>
        <v>#DIV/0!</v>
      </c>
      <c r="N455" s="419" t="e">
        <f t="shared" si="164"/>
        <v>#DIV/0!</v>
      </c>
      <c r="O455" s="51" t="e">
        <f ca="1">SUM(OFFSET($C455,0,0,1,mth))</f>
        <v>#DIV/0!</v>
      </c>
      <c r="P455" s="382"/>
      <c r="Q455" s="446"/>
      <c r="R455"/>
      <c r="S455"/>
      <c r="T455"/>
    </row>
    <row r="456" s="38" customFormat="1" ht="15" customHeight="1" spans="1:20">
      <c r="A456" s="57" t="s">
        <v>232</v>
      </c>
      <c r="B456" s="50"/>
      <c r="C456" s="51">
        <f>SUM(C446:C453)</f>
        <v>13513.8099999999</v>
      </c>
      <c r="D456" s="51">
        <f t="shared" ref="D456:O456" si="165">SUM(D446:D453)</f>
        <v>158098.72</v>
      </c>
      <c r="E456" s="51">
        <f t="shared" si="165"/>
        <v>127222.5</v>
      </c>
      <c r="F456" s="51">
        <f t="shared" si="165"/>
        <v>228227.6</v>
      </c>
      <c r="G456" s="51">
        <f t="shared" si="165"/>
        <v>146301.42</v>
      </c>
      <c r="H456" s="51">
        <f t="shared" si="165"/>
        <v>721338.56</v>
      </c>
      <c r="I456" s="51">
        <f t="shared" si="165"/>
        <v>0</v>
      </c>
      <c r="J456" s="51" t="e">
        <f t="shared" si="165"/>
        <v>#DIV/0!</v>
      </c>
      <c r="K456" s="51" t="e">
        <f t="shared" si="165"/>
        <v>#DIV/0!</v>
      </c>
      <c r="L456" s="51" t="e">
        <f t="shared" si="165"/>
        <v>#DIV/0!</v>
      </c>
      <c r="M456" s="51" t="e">
        <f t="shared" si="165"/>
        <v>#DIV/0!</v>
      </c>
      <c r="N456" s="51" t="e">
        <f t="shared" si="165"/>
        <v>#DIV/0!</v>
      </c>
      <c r="O456" s="51" t="e">
        <f ca="1" t="shared" si="165"/>
        <v>#DIV/0!</v>
      </c>
      <c r="P456" s="382"/>
      <c r="R456" s="71"/>
      <c r="S456"/>
      <c r="T456"/>
    </row>
    <row r="457" spans="1:20">
      <c r="A457" s="46" t="str">
        <f>基础表!A442</f>
        <v>销售费用</v>
      </c>
      <c r="B457" s="46"/>
      <c r="C457" s="325"/>
      <c r="D457" s="325"/>
      <c r="E457" s="325"/>
      <c r="F457" s="302"/>
      <c r="G457" s="302"/>
      <c r="H457" s="302"/>
      <c r="I457" s="302"/>
      <c r="J457" s="302"/>
      <c r="K457" s="302"/>
      <c r="L457" s="302"/>
      <c r="M457" s="325"/>
      <c r="N457" s="325"/>
      <c r="O457" s="325"/>
      <c r="Q457" s="38"/>
      <c r="R457" s="71"/>
    </row>
    <row r="458" spans="1:20">
      <c r="A458" s="308" t="str">
        <f>基础表!A448</f>
        <v>     其余销售费用</v>
      </c>
      <c r="B458" s="57" t="str">
        <f>基础表!B448</f>
        <v>元</v>
      </c>
      <c r="C458" s="51">
        <f>基础表!C448</f>
        <v>417129.46</v>
      </c>
      <c r="D458" s="51">
        <f>基础表!D448</f>
        <v>638071.8</v>
      </c>
      <c r="E458" s="51">
        <f>基础表!E448</f>
        <v>632148</v>
      </c>
      <c r="F458" s="51">
        <f>基础表!F448</f>
        <v>506033.46</v>
      </c>
      <c r="G458" s="51">
        <f>基础表!G448</f>
        <v>579668.74</v>
      </c>
      <c r="H458" s="51">
        <f>基础表!H448</f>
        <v>972166.36</v>
      </c>
      <c r="I458" s="51">
        <f>基础表!I448</f>
        <v>0</v>
      </c>
      <c r="J458" s="51">
        <f>基础表!J448</f>
        <v>0</v>
      </c>
      <c r="K458" s="51">
        <f>基础表!K448</f>
        <v>0</v>
      </c>
      <c r="L458" s="51">
        <f>基础表!L448</f>
        <v>0</v>
      </c>
      <c r="M458" s="51">
        <f>基础表!M448</f>
        <v>0</v>
      </c>
      <c r="N458" s="51">
        <f>基础表!N448</f>
        <v>0</v>
      </c>
      <c r="O458" s="411">
        <f ca="1">基础表!O448</f>
        <v>3745217.82</v>
      </c>
      <c r="Q458" s="38"/>
      <c r="R458" s="71"/>
    </row>
    <row r="459" spans="1:20">
      <c r="A459" s="293" t="s">
        <v>290</v>
      </c>
      <c r="B459" s="57"/>
      <c r="C459" s="51">
        <f>基础表!C449</f>
        <v>61727.45</v>
      </c>
      <c r="D459" s="51">
        <f>基础表!D449</f>
        <v>122546.86</v>
      </c>
      <c r="E459" s="51">
        <f>基础表!E449</f>
        <v>62486.68</v>
      </c>
      <c r="F459" s="51">
        <f>基础表!F449</f>
        <v>70861.38</v>
      </c>
      <c r="G459" s="51">
        <f>基础表!G449</f>
        <v>93072.37</v>
      </c>
      <c r="H459" s="51">
        <f>基础表!H449</f>
        <v>143846.34</v>
      </c>
      <c r="I459" s="51">
        <f>基础表!I449</f>
        <v>0</v>
      </c>
      <c r="J459" s="51">
        <f>基础表!J449</f>
        <v>0</v>
      </c>
      <c r="K459" s="51">
        <f>基础表!K449</f>
        <v>0</v>
      </c>
      <c r="L459" s="51">
        <f>基础表!L449</f>
        <v>0</v>
      </c>
      <c r="M459" s="51">
        <f>基础表!M449</f>
        <v>0</v>
      </c>
      <c r="N459" s="51">
        <f>基础表!N449</f>
        <v>0</v>
      </c>
      <c r="O459" s="411">
        <f ca="1">基础表!O449</f>
        <v>554541.08</v>
      </c>
      <c r="Q459" s="38"/>
      <c r="R459" s="71"/>
    </row>
    <row r="460" spans="1:20">
      <c r="A460" s="293" t="s">
        <v>291</v>
      </c>
      <c r="B460" s="57"/>
      <c r="C460" s="51">
        <f>基础表!C450</f>
        <v>70277.48</v>
      </c>
      <c r="D460" s="51">
        <f>基础表!D450</f>
        <v>105882.32</v>
      </c>
      <c r="E460" s="51">
        <f>基础表!E450</f>
        <v>107111.89</v>
      </c>
      <c r="F460" s="51">
        <f>基础表!F450</f>
        <v>82735.82</v>
      </c>
      <c r="G460" s="51">
        <f>基础表!G450</f>
        <v>109190.13</v>
      </c>
      <c r="H460" s="51">
        <f>基础表!H450</f>
        <v>252119.39</v>
      </c>
      <c r="I460" s="51">
        <f>基础表!I450</f>
        <v>0</v>
      </c>
      <c r="J460" s="51">
        <f>基础表!J450</f>
        <v>0</v>
      </c>
      <c r="K460" s="51">
        <f>基础表!K450</f>
        <v>0</v>
      </c>
      <c r="L460" s="51">
        <f>基础表!L450</f>
        <v>0</v>
      </c>
      <c r="M460" s="51">
        <f>基础表!M450</f>
        <v>0</v>
      </c>
      <c r="N460" s="51">
        <f>基础表!N450</f>
        <v>0</v>
      </c>
      <c r="O460" s="411">
        <f ca="1">基础表!O450</f>
        <v>727317.03</v>
      </c>
      <c r="Q460" s="38"/>
      <c r="R460" s="71"/>
      <c r="S460" s="38"/>
    </row>
    <row r="461" spans="1:20">
      <c r="A461" s="293" t="s">
        <v>240</v>
      </c>
      <c r="B461" s="57"/>
      <c r="C461" s="51">
        <f>基础表!C451</f>
        <v>2975.94</v>
      </c>
      <c r="D461" s="51">
        <f>基础表!D451</f>
        <v>2750.75</v>
      </c>
      <c r="E461" s="51">
        <f>基础表!E451</f>
        <v>1260.13</v>
      </c>
      <c r="F461" s="51">
        <f>基础表!F451</f>
        <v>6935.75</v>
      </c>
      <c r="G461" s="51">
        <f>基础表!G451</f>
        <v>4275.38</v>
      </c>
      <c r="H461" s="51">
        <f>基础表!H451</f>
        <v>38416.26</v>
      </c>
      <c r="I461" s="51">
        <f>基础表!I451</f>
        <v>0</v>
      </c>
      <c r="J461" s="51">
        <f>基础表!J451</f>
        <v>0</v>
      </c>
      <c r="K461" s="51">
        <f>基础表!K451</f>
        <v>0</v>
      </c>
      <c r="L461" s="51">
        <f>基础表!L451</f>
        <v>0</v>
      </c>
      <c r="M461" s="51">
        <f>基础表!M451</f>
        <v>0</v>
      </c>
      <c r="N461" s="51">
        <f>基础表!N451</f>
        <v>0</v>
      </c>
      <c r="O461" s="411">
        <f ca="1">基础表!O451</f>
        <v>56614.21</v>
      </c>
      <c r="Q461" s="38"/>
      <c r="R461" s="71"/>
      <c r="S461" s="38"/>
    </row>
    <row r="462" spans="1:20">
      <c r="A462" s="293" t="s">
        <v>241</v>
      </c>
      <c r="B462" s="57"/>
      <c r="C462" s="51">
        <f>IFERROR($C$461*C19,0)</f>
        <v>1377.12988129777</v>
      </c>
      <c r="D462" s="51">
        <f t="shared" ref="D462:N462" si="166">IFERROR($C$461*D19,0)</f>
        <v>424.652993730339</v>
      </c>
      <c r="E462" s="51">
        <f t="shared" si="166"/>
        <v>2059.61636821435</v>
      </c>
      <c r="F462" s="51">
        <f t="shared" si="166"/>
        <v>1441.24038645102</v>
      </c>
      <c r="G462" s="51">
        <f t="shared" si="166"/>
        <v>863.293023050572</v>
      </c>
      <c r="H462" s="51">
        <f t="shared" si="166"/>
        <v>573.605087300667</v>
      </c>
      <c r="I462" s="51">
        <f t="shared" si="166"/>
        <v>0</v>
      </c>
      <c r="J462" s="51">
        <f t="shared" si="166"/>
        <v>0</v>
      </c>
      <c r="K462" s="51">
        <f t="shared" si="166"/>
        <v>0</v>
      </c>
      <c r="L462" s="51">
        <f t="shared" si="166"/>
        <v>0</v>
      </c>
      <c r="M462" s="51">
        <f t="shared" si="166"/>
        <v>0</v>
      </c>
      <c r="N462" s="51">
        <f t="shared" si="166"/>
        <v>0</v>
      </c>
      <c r="O462" s="51">
        <f ca="1">SUM(OFFSET($C462,0,0,1,mth))</f>
        <v>6739.53774004472</v>
      </c>
      <c r="Q462" s="38"/>
      <c r="R462" s="71"/>
      <c r="S462" s="38"/>
    </row>
    <row r="463" spans="1:20">
      <c r="A463" s="293" t="s">
        <v>242</v>
      </c>
      <c r="B463" s="57"/>
      <c r="C463" s="51">
        <f>IFERROR($C$461*C20,0)</f>
        <v>1598.81011870223</v>
      </c>
      <c r="D463" s="51">
        <f t="shared" ref="D463:N463" si="167">IFERROR($C$461*D20,0)</f>
        <v>2551.28700626966</v>
      </c>
      <c r="E463" s="51">
        <f t="shared" si="167"/>
        <v>916.323631785657</v>
      </c>
      <c r="F463" s="51">
        <f t="shared" si="167"/>
        <v>1534.69961354898</v>
      </c>
      <c r="G463" s="51">
        <f t="shared" si="167"/>
        <v>2112.64697694943</v>
      </c>
      <c r="H463" s="51">
        <f t="shared" si="167"/>
        <v>2402.33491269932</v>
      </c>
      <c r="I463" s="51">
        <f t="shared" si="167"/>
        <v>0</v>
      </c>
      <c r="J463" s="51">
        <f t="shared" si="167"/>
        <v>0</v>
      </c>
      <c r="K463" s="51">
        <f t="shared" si="167"/>
        <v>0</v>
      </c>
      <c r="L463" s="51">
        <f t="shared" si="167"/>
        <v>0</v>
      </c>
      <c r="M463" s="51">
        <f t="shared" si="167"/>
        <v>0</v>
      </c>
      <c r="N463" s="51">
        <f t="shared" si="167"/>
        <v>0</v>
      </c>
      <c r="O463" s="51">
        <f ca="1">SUM(OFFSET($C463,0,0,1,mth))</f>
        <v>11116.1022599553</v>
      </c>
      <c r="Q463" s="38"/>
      <c r="R463" s="71"/>
      <c r="S463" s="38"/>
    </row>
    <row r="464" spans="1:20">
      <c r="A464" s="293" t="s">
        <v>292</v>
      </c>
      <c r="B464" s="57"/>
      <c r="C464" s="51">
        <f>基础表!C452</f>
        <v>282148.59</v>
      </c>
      <c r="D464" s="51">
        <f>基础表!D452</f>
        <v>406891.87</v>
      </c>
      <c r="E464" s="51">
        <f>基础表!E452</f>
        <v>461289.3</v>
      </c>
      <c r="F464" s="51">
        <f>基础表!F452</f>
        <v>345500.51</v>
      </c>
      <c r="G464" s="51">
        <f>基础表!G452</f>
        <v>373130.86</v>
      </c>
      <c r="H464" s="51">
        <f>基础表!H452</f>
        <v>537784.37</v>
      </c>
      <c r="I464" s="51">
        <f>基础表!I452</f>
        <v>0</v>
      </c>
      <c r="J464" s="51">
        <f>基础表!J452</f>
        <v>0</v>
      </c>
      <c r="K464" s="51">
        <f>基础表!K452</f>
        <v>0</v>
      </c>
      <c r="L464" s="51">
        <f>基础表!L452</f>
        <v>0</v>
      </c>
      <c r="M464" s="51">
        <f>基础表!M452</f>
        <v>0</v>
      </c>
      <c r="N464" s="51">
        <f>基础表!N452</f>
        <v>0</v>
      </c>
      <c r="O464" s="411">
        <f ca="1">基础表!O452</f>
        <v>2406745.5</v>
      </c>
      <c r="Q464" s="38"/>
      <c r="R464" s="71"/>
      <c r="S464" s="38"/>
      <c r="T464" s="38"/>
    </row>
    <row r="465" spans="1:20">
      <c r="A465" s="38" t="s">
        <v>267</v>
      </c>
      <c r="B465" s="277"/>
      <c r="C465" s="440"/>
      <c r="D465" s="440"/>
      <c r="E465" s="440"/>
      <c r="F465" s="440"/>
      <c r="G465" s="440"/>
      <c r="H465" s="440"/>
      <c r="I465" s="440"/>
      <c r="J465" s="440"/>
      <c r="K465" s="440"/>
      <c r="L465" s="440"/>
      <c r="M465" s="440"/>
      <c r="N465" s="440"/>
      <c r="O465" s="440"/>
      <c r="Q465" s="38"/>
      <c r="R465" s="71"/>
      <c r="S465" s="38"/>
      <c r="T465" s="38"/>
    </row>
    <row r="466" s="38" customFormat="1" ht="15" customHeight="1" spans="1:20">
      <c r="A466" s="115" t="s">
        <v>252</v>
      </c>
      <c r="B466" s="50"/>
      <c r="C466" s="51">
        <f>C$459*C11+C$464*C$5*C11</f>
        <v>172612.750317594</v>
      </c>
      <c r="D466" s="51">
        <f t="shared" ref="C466:N466" si="168">D$459*D11+D$464*D$5*D11</f>
        <v>282288.708226193</v>
      </c>
      <c r="E466" s="51">
        <f t="shared" si="168"/>
        <v>238759.75640117</v>
      </c>
      <c r="F466" s="51">
        <f t="shared" si="168"/>
        <v>205258.825825461</v>
      </c>
      <c r="G466" s="51">
        <f t="shared" si="168"/>
        <v>251920.701578486</v>
      </c>
      <c r="H466" s="51">
        <f t="shared" si="168"/>
        <v>346101.553939782</v>
      </c>
      <c r="I466" s="51">
        <f t="shared" si="168"/>
        <v>0</v>
      </c>
      <c r="J466" s="51" t="e">
        <f t="shared" si="168"/>
        <v>#DIV/0!</v>
      </c>
      <c r="K466" s="51" t="e">
        <f t="shared" si="168"/>
        <v>#DIV/0!</v>
      </c>
      <c r="L466" s="51" t="e">
        <f t="shared" si="168"/>
        <v>#DIV/0!</v>
      </c>
      <c r="M466" s="51" t="e">
        <f t="shared" si="168"/>
        <v>#DIV/0!</v>
      </c>
      <c r="N466" s="51" t="e">
        <f t="shared" si="168"/>
        <v>#DIV/0!</v>
      </c>
      <c r="O466" s="51" t="e">
        <f ca="1">SUM(OFFSET($C466,0,0,1,mth))</f>
        <v>#DIV/0!</v>
      </c>
      <c r="P466" s="378"/>
      <c r="R466" s="71"/>
    </row>
    <row r="467" s="38" customFormat="1" ht="15" customHeight="1" spans="1:20">
      <c r="A467" s="115" t="s">
        <v>253</v>
      </c>
      <c r="B467" s="50"/>
      <c r="C467" s="51">
        <f>C$459*C12+C$464*C$5*C12</f>
        <v>0</v>
      </c>
      <c r="D467" s="51">
        <f t="shared" ref="C467:N467" si="169">D$459*D12+D$464*D$5*D12</f>
        <v>0</v>
      </c>
      <c r="E467" s="51">
        <f t="shared" si="169"/>
        <v>0</v>
      </c>
      <c r="F467" s="51">
        <f t="shared" si="169"/>
        <v>0</v>
      </c>
      <c r="G467" s="51">
        <f t="shared" si="169"/>
        <v>0</v>
      </c>
      <c r="H467" s="51">
        <f t="shared" si="169"/>
        <v>0</v>
      </c>
      <c r="I467" s="51">
        <f t="shared" si="169"/>
        <v>0</v>
      </c>
      <c r="J467" s="51" t="e">
        <f t="shared" si="169"/>
        <v>#DIV/0!</v>
      </c>
      <c r="K467" s="51" t="e">
        <f t="shared" si="169"/>
        <v>#DIV/0!</v>
      </c>
      <c r="L467" s="51" t="e">
        <f t="shared" si="169"/>
        <v>#DIV/0!</v>
      </c>
      <c r="M467" s="51" t="e">
        <f t="shared" si="169"/>
        <v>#DIV/0!</v>
      </c>
      <c r="N467" s="51" t="e">
        <f t="shared" si="169"/>
        <v>#DIV/0!</v>
      </c>
      <c r="O467" s="51" t="e">
        <f ca="1">SUM(OFFSET($C467,0,0,1,mth))</f>
        <v>#DIV/0!</v>
      </c>
      <c r="P467" s="382"/>
      <c r="R467" s="71"/>
    </row>
    <row r="468" s="38" customFormat="1" ht="15" customHeight="1" spans="1:20">
      <c r="A468" s="115" t="s">
        <v>268</v>
      </c>
      <c r="B468" s="400"/>
      <c r="C468" s="51">
        <f>C$459*C13+C$464*C$5*C13</f>
        <v>0</v>
      </c>
      <c r="D468" s="51">
        <f t="shared" ref="C468:N468" si="170">D$459*D13+D$464*D$5*D13</f>
        <v>0</v>
      </c>
      <c r="E468" s="51">
        <f t="shared" si="170"/>
        <v>0</v>
      </c>
      <c r="F468" s="51">
        <f t="shared" si="170"/>
        <v>0</v>
      </c>
      <c r="G468" s="51">
        <f t="shared" si="170"/>
        <v>0</v>
      </c>
      <c r="H468" s="51">
        <f t="shared" si="170"/>
        <v>0</v>
      </c>
      <c r="I468" s="51">
        <f t="shared" si="170"/>
        <v>0</v>
      </c>
      <c r="J468" s="51" t="e">
        <f t="shared" si="170"/>
        <v>#DIV/0!</v>
      </c>
      <c r="K468" s="51" t="e">
        <f t="shared" si="170"/>
        <v>#DIV/0!</v>
      </c>
      <c r="L468" s="51" t="e">
        <f t="shared" si="170"/>
        <v>#DIV/0!</v>
      </c>
      <c r="M468" s="51" t="e">
        <f t="shared" si="170"/>
        <v>#DIV/0!</v>
      </c>
      <c r="N468" s="51" t="e">
        <f t="shared" si="170"/>
        <v>#DIV/0!</v>
      </c>
      <c r="O468" s="51" t="e">
        <f ca="1">SUM(OFFSET($C468,0,0,1,mth))</f>
        <v>#DIV/0!</v>
      </c>
      <c r="P468" s="382"/>
      <c r="R468" s="71"/>
    </row>
    <row r="469" s="38" customFormat="1" ht="15" customHeight="1" spans="1:20">
      <c r="A469" s="115" t="s">
        <v>255</v>
      </c>
      <c r="B469" s="400"/>
      <c r="C469" s="51">
        <f>C$459*C14+C$464*C$5*C14</f>
        <v>0</v>
      </c>
      <c r="D469" s="51">
        <f t="shared" ref="C469:N469" si="171">D$459*D14+D$464*D$5*D14</f>
        <v>12985.4345946172</v>
      </c>
      <c r="E469" s="51">
        <f t="shared" si="171"/>
        <v>15940.6609096726</v>
      </c>
      <c r="F469" s="51">
        <f t="shared" si="171"/>
        <v>12291.1839977777</v>
      </c>
      <c r="G469" s="51">
        <f t="shared" si="171"/>
        <v>0</v>
      </c>
      <c r="H469" s="51">
        <f t="shared" si="171"/>
        <v>14670.0408346443</v>
      </c>
      <c r="I469" s="51">
        <f t="shared" si="171"/>
        <v>0</v>
      </c>
      <c r="J469" s="51" t="e">
        <f t="shared" si="171"/>
        <v>#DIV/0!</v>
      </c>
      <c r="K469" s="51" t="e">
        <f t="shared" si="171"/>
        <v>#DIV/0!</v>
      </c>
      <c r="L469" s="51" t="e">
        <f t="shared" si="171"/>
        <v>#DIV/0!</v>
      </c>
      <c r="M469" s="51" t="e">
        <f t="shared" si="171"/>
        <v>#DIV/0!</v>
      </c>
      <c r="N469" s="51" t="e">
        <f t="shared" si="171"/>
        <v>#DIV/0!</v>
      </c>
      <c r="O469" s="51" t="e">
        <f ca="1">SUM(OFFSET($C469,0,0,1,mth))</f>
        <v>#DIV/0!</v>
      </c>
      <c r="P469" s="382"/>
      <c r="Q469"/>
      <c r="R469"/>
    </row>
    <row r="470" s="38" customFormat="1" ht="15" customHeight="1" spans="1:20">
      <c r="A470" s="115" t="s">
        <v>256</v>
      </c>
      <c r="B470" s="60"/>
      <c r="C470" s="51">
        <f t="shared" ref="C470:N470" si="172">C$459*C15+C$464*C$5*C15</f>
        <v>30188.9946824057</v>
      </c>
      <c r="D470" s="51">
        <f t="shared" si="172"/>
        <v>29448.4210823698</v>
      </c>
      <c r="E470" s="51">
        <f t="shared" si="172"/>
        <v>38430.9126891578</v>
      </c>
      <c r="F470" s="51">
        <f t="shared" si="172"/>
        <v>26061.6251767614</v>
      </c>
      <c r="G470" s="51">
        <f t="shared" si="172"/>
        <v>27717.0984215136</v>
      </c>
      <c r="H470" s="51">
        <f t="shared" si="172"/>
        <v>51966.9302255736</v>
      </c>
      <c r="I470" s="51">
        <f t="shared" si="172"/>
        <v>0</v>
      </c>
      <c r="J470" s="51" t="e">
        <f t="shared" si="172"/>
        <v>#DIV/0!</v>
      </c>
      <c r="K470" s="51" t="e">
        <f t="shared" si="172"/>
        <v>#DIV/0!</v>
      </c>
      <c r="L470" s="51" t="e">
        <f t="shared" si="172"/>
        <v>#DIV/0!</v>
      </c>
      <c r="M470" s="51" t="e">
        <f t="shared" si="172"/>
        <v>#DIV/0!</v>
      </c>
      <c r="N470" s="51" t="e">
        <f t="shared" si="172"/>
        <v>#DIV/0!</v>
      </c>
      <c r="O470" s="51" t="e">
        <f ca="1">SUM(OFFSET($C470,0,0,1,mth))</f>
        <v>#DIV/0!</v>
      </c>
      <c r="P470" s="382"/>
      <c r="Q470"/>
      <c r="R470"/>
      <c r="S470"/>
    </row>
    <row r="471" s="38" customFormat="1" ht="15" customHeight="1" spans="1:20">
      <c r="A471" s="115" t="s">
        <v>257</v>
      </c>
      <c r="B471" s="60"/>
      <c r="C471" s="51">
        <f t="shared" ref="C471:N471" si="173">C$459*C16+C$464*C$5*C16</f>
        <v>0</v>
      </c>
      <c r="D471" s="51">
        <f t="shared" si="173"/>
        <v>1270.23109681957</v>
      </c>
      <c r="E471" s="51">
        <f t="shared" si="173"/>
        <v>0</v>
      </c>
      <c r="F471" s="51">
        <f t="shared" si="173"/>
        <v>0</v>
      </c>
      <c r="G471" s="51">
        <f t="shared" si="173"/>
        <v>0</v>
      </c>
      <c r="H471" s="51">
        <f t="shared" si="173"/>
        <v>0</v>
      </c>
      <c r="I471" s="51">
        <f t="shared" si="173"/>
        <v>0</v>
      </c>
      <c r="J471" s="51" t="e">
        <f t="shared" si="173"/>
        <v>#DIV/0!</v>
      </c>
      <c r="K471" s="51" t="e">
        <f t="shared" si="173"/>
        <v>#DIV/0!</v>
      </c>
      <c r="L471" s="51" t="e">
        <f t="shared" si="173"/>
        <v>#DIV/0!</v>
      </c>
      <c r="M471" s="51" t="e">
        <f t="shared" si="173"/>
        <v>#DIV/0!</v>
      </c>
      <c r="N471" s="51" t="e">
        <f t="shared" si="173"/>
        <v>#DIV/0!</v>
      </c>
      <c r="O471" s="51" t="e">
        <f ca="1">SUM(OFFSET($C471,0,0,1,mth))</f>
        <v>#DIV/0!</v>
      </c>
      <c r="P471" s="382"/>
      <c r="Q471"/>
      <c r="R471"/>
      <c r="S471"/>
    </row>
    <row r="472" s="38" customFormat="1" ht="15" customHeight="1" spans="1:20">
      <c r="A472" s="115" t="s">
        <v>258</v>
      </c>
      <c r="B472" s="60"/>
      <c r="C472" s="51">
        <f>C460+C464*C$6*C$33</f>
        <v>209028.812783163</v>
      </c>
      <c r="D472" s="51">
        <f>D460+D464*D$6*D$33</f>
        <v>305753.860736946</v>
      </c>
      <c r="E472" s="51">
        <f>E460+E464*E$6*E$33</f>
        <v>334961.876351116</v>
      </c>
      <c r="F472" s="51">
        <f t="shared" ref="D472:N472" si="174">F460+F464*F$6*F$33</f>
        <v>247833.706001569</v>
      </c>
      <c r="G472" s="51">
        <f t="shared" si="174"/>
        <v>286774.303056361</v>
      </c>
      <c r="H472" s="51">
        <f t="shared" si="174"/>
        <v>511540.745975339</v>
      </c>
      <c r="I472" s="51">
        <f t="shared" si="174"/>
        <v>0</v>
      </c>
      <c r="J472" s="51" t="e">
        <f t="shared" si="174"/>
        <v>#DIV/0!</v>
      </c>
      <c r="K472" s="51" t="e">
        <f t="shared" si="174"/>
        <v>#DIV/0!</v>
      </c>
      <c r="L472" s="51" t="e">
        <f t="shared" si="174"/>
        <v>#DIV/0!</v>
      </c>
      <c r="M472" s="51" t="e">
        <f t="shared" si="174"/>
        <v>#DIV/0!</v>
      </c>
      <c r="N472" s="51" t="e">
        <f t="shared" si="174"/>
        <v>#DIV/0!</v>
      </c>
      <c r="O472" s="51" t="e">
        <f ca="1">SUM(OFFSET($C472,0,0,1,mth))</f>
        <v>#DIV/0!</v>
      </c>
      <c r="P472" s="382"/>
      <c r="Q472"/>
      <c r="R472"/>
      <c r="S472"/>
      <c r="T472"/>
    </row>
    <row r="473" s="38" customFormat="1" ht="15" customHeight="1" spans="1:20">
      <c r="A473" s="115" t="s">
        <v>240</v>
      </c>
      <c r="B473" s="60"/>
      <c r="C473" s="51">
        <f>C461+C464*C$6*(C$34+C$35)</f>
        <v>5298.90221683734</v>
      </c>
      <c r="D473" s="51">
        <f t="shared" ref="D473:N473" si="175">D461+D464*D$6*(D$34+D$35)</f>
        <v>6325.14426305412</v>
      </c>
      <c r="E473" s="51">
        <f t="shared" si="175"/>
        <v>4054.79364888427</v>
      </c>
      <c r="F473" s="51">
        <f t="shared" si="175"/>
        <v>14588.1189984306</v>
      </c>
      <c r="G473" s="51">
        <f t="shared" si="175"/>
        <v>13256.6369436386</v>
      </c>
      <c r="H473" s="51">
        <f t="shared" si="175"/>
        <v>47887.0890246613</v>
      </c>
      <c r="I473" s="51">
        <f t="shared" si="175"/>
        <v>0</v>
      </c>
      <c r="J473" s="51" t="e">
        <f t="shared" si="175"/>
        <v>#DIV/0!</v>
      </c>
      <c r="K473" s="51" t="e">
        <f t="shared" si="175"/>
        <v>#DIV/0!</v>
      </c>
      <c r="L473" s="51" t="e">
        <f t="shared" si="175"/>
        <v>#DIV/0!</v>
      </c>
      <c r="M473" s="51" t="e">
        <f t="shared" si="175"/>
        <v>#DIV/0!</v>
      </c>
      <c r="N473" s="51" t="e">
        <f t="shared" si="175"/>
        <v>#DIV/0!</v>
      </c>
      <c r="O473" s="51">
        <f ca="1">SUM(OFFSET($C4726,0,0,1,mth))</f>
        <v>0</v>
      </c>
      <c r="P473" s="382"/>
      <c r="Q473" s="446"/>
      <c r="R473"/>
      <c r="S473"/>
      <c r="T473"/>
    </row>
    <row r="474" s="38" customFormat="1" ht="15" customHeight="1" spans="1:20">
      <c r="A474" s="115" t="s">
        <v>241</v>
      </c>
      <c r="B474" s="60"/>
      <c r="C474" s="51">
        <f>C473*C19</f>
        <v>2452.09129917998</v>
      </c>
      <c r="D474" s="51">
        <f t="shared" ref="D474:N474" si="176">D473*D19</f>
        <v>902.569086433936</v>
      </c>
      <c r="E474" s="51">
        <f t="shared" si="176"/>
        <v>2806.27948445655</v>
      </c>
      <c r="F474" s="51">
        <f t="shared" si="176"/>
        <v>7064.98997388778</v>
      </c>
      <c r="G474" s="51">
        <f t="shared" si="176"/>
        <v>3845.62934150477</v>
      </c>
      <c r="H474" s="51">
        <f t="shared" si="176"/>
        <v>9230.11817461565</v>
      </c>
      <c r="I474" s="51" t="e">
        <f t="shared" si="176"/>
        <v>#DIV/0!</v>
      </c>
      <c r="J474" s="51" t="e">
        <f t="shared" si="176"/>
        <v>#DIV/0!</v>
      </c>
      <c r="K474" s="51" t="e">
        <f t="shared" si="176"/>
        <v>#DIV/0!</v>
      </c>
      <c r="L474" s="51" t="e">
        <f t="shared" si="176"/>
        <v>#DIV/0!</v>
      </c>
      <c r="M474" s="51" t="e">
        <f t="shared" si="176"/>
        <v>#DIV/0!</v>
      </c>
      <c r="N474" s="51" t="e">
        <f t="shared" si="176"/>
        <v>#DIV/0!</v>
      </c>
      <c r="O474" s="51" t="e">
        <f ca="1">SUM(OFFSET($C474,0,0,1,mth))</f>
        <v>#DIV/0!</v>
      </c>
      <c r="P474" s="382"/>
      <c r="Q474" s="446"/>
      <c r="R474"/>
      <c r="S474"/>
      <c r="T474"/>
    </row>
    <row r="475" s="38" customFormat="1" ht="15" customHeight="1" spans="1:20">
      <c r="A475" s="115" t="s">
        <v>242</v>
      </c>
      <c r="B475" s="60"/>
      <c r="C475" s="51">
        <f>C473*C20</f>
        <v>2846.81091765735</v>
      </c>
      <c r="D475" s="51">
        <f t="shared" ref="D475:N475" si="177">D473*D20</f>
        <v>5422.57517662018</v>
      </c>
      <c r="E475" s="51">
        <f t="shared" si="177"/>
        <v>1248.51416442773</v>
      </c>
      <c r="F475" s="51">
        <f t="shared" si="177"/>
        <v>7523.12902454283</v>
      </c>
      <c r="G475" s="51">
        <f t="shared" si="177"/>
        <v>9411.00760213388</v>
      </c>
      <c r="H475" s="51">
        <f t="shared" si="177"/>
        <v>38656.9708500456</v>
      </c>
      <c r="I475" s="51" t="e">
        <f t="shared" si="177"/>
        <v>#DIV/0!</v>
      </c>
      <c r="J475" s="51" t="e">
        <f t="shared" si="177"/>
        <v>#DIV/0!</v>
      </c>
      <c r="K475" s="51" t="e">
        <f t="shared" si="177"/>
        <v>#DIV/0!</v>
      </c>
      <c r="L475" s="51" t="e">
        <f t="shared" si="177"/>
        <v>#DIV/0!</v>
      </c>
      <c r="M475" s="51" t="e">
        <f t="shared" si="177"/>
        <v>#DIV/0!</v>
      </c>
      <c r="N475" s="51" t="e">
        <f t="shared" si="177"/>
        <v>#DIV/0!</v>
      </c>
      <c r="O475" s="51" t="e">
        <f ca="1">SUM(OFFSET($C475,0,0,1,mth))</f>
        <v>#DIV/0!</v>
      </c>
      <c r="P475" s="382"/>
      <c r="Q475" s="446"/>
      <c r="R475"/>
      <c r="S475"/>
      <c r="T475"/>
    </row>
    <row r="476" s="38" customFormat="1" ht="15" customHeight="1" spans="1:20">
      <c r="A476" s="57" t="s">
        <v>232</v>
      </c>
      <c r="B476" s="50"/>
      <c r="C476" s="51">
        <f>SUM(C466:C473)</f>
        <v>417129.46</v>
      </c>
      <c r="D476" s="51">
        <f t="shared" ref="D476:O476" si="178">SUM(D466:D473)</f>
        <v>638071.8</v>
      </c>
      <c r="E476" s="51">
        <f t="shared" si="178"/>
        <v>632148</v>
      </c>
      <c r="F476" s="51">
        <f t="shared" si="178"/>
        <v>506033.46</v>
      </c>
      <c r="G476" s="51">
        <f t="shared" si="178"/>
        <v>579668.74</v>
      </c>
      <c r="H476" s="51">
        <f t="shared" si="178"/>
        <v>972166.36</v>
      </c>
      <c r="I476" s="51">
        <f t="shared" si="178"/>
        <v>0</v>
      </c>
      <c r="J476" s="51" t="e">
        <f t="shared" si="178"/>
        <v>#DIV/0!</v>
      </c>
      <c r="K476" s="51" t="e">
        <f t="shared" si="178"/>
        <v>#DIV/0!</v>
      </c>
      <c r="L476" s="51" t="e">
        <f t="shared" si="178"/>
        <v>#DIV/0!</v>
      </c>
      <c r="M476" s="51" t="e">
        <f t="shared" si="178"/>
        <v>#DIV/0!</v>
      </c>
      <c r="N476" s="51" t="e">
        <f t="shared" si="178"/>
        <v>#DIV/0!</v>
      </c>
      <c r="O476" s="51" t="e">
        <f ca="1" t="shared" si="178"/>
        <v>#DIV/0!</v>
      </c>
      <c r="P476" s="382"/>
      <c r="R476" s="71"/>
      <c r="S476"/>
      <c r="T476"/>
    </row>
    <row r="477" spans="1:20">
      <c r="A477" s="46" t="str">
        <f>基础表!A453</f>
        <v>管理费用</v>
      </c>
      <c r="B477" s="46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423"/>
      <c r="Q477" s="38"/>
      <c r="R477" s="71"/>
    </row>
    <row r="478" spans="1:20">
      <c r="A478" s="308" t="str">
        <f>基础表!A458</f>
        <v>     其余管理费用</v>
      </c>
      <c r="B478" s="57">
        <f>基础表!B458</f>
        <v>0</v>
      </c>
      <c r="C478" s="51">
        <f>基础表!C458</f>
        <v>351799.58</v>
      </c>
      <c r="D478" s="51">
        <f>基础表!D458</f>
        <v>198286</v>
      </c>
      <c r="E478" s="51">
        <f>基础表!E458</f>
        <v>343821.82</v>
      </c>
      <c r="F478" s="51">
        <f>基础表!F458</f>
        <v>384690.6</v>
      </c>
      <c r="G478" s="51">
        <f>基础表!G458</f>
        <v>361556.82</v>
      </c>
      <c r="H478" s="51">
        <f>基础表!H458</f>
        <v>343153.88</v>
      </c>
      <c r="I478" s="51">
        <f>基础表!I458</f>
        <v>0</v>
      </c>
      <c r="J478" s="51">
        <f>基础表!J458</f>
        <v>0</v>
      </c>
      <c r="K478" s="51">
        <f>基础表!K458</f>
        <v>0</v>
      </c>
      <c r="L478" s="51">
        <f>基础表!L458</f>
        <v>0</v>
      </c>
      <c r="M478" s="51">
        <f>基础表!M458</f>
        <v>0</v>
      </c>
      <c r="N478" s="51">
        <f>基础表!N458</f>
        <v>0</v>
      </c>
      <c r="O478" s="51">
        <f ca="1">基础表!O458</f>
        <v>1983308.7</v>
      </c>
      <c r="Q478" s="38"/>
      <c r="R478" s="71"/>
    </row>
    <row r="479" spans="1:20">
      <c r="A479" s="293" t="s">
        <v>290</v>
      </c>
      <c r="B479" s="57"/>
      <c r="C479" s="51">
        <f>基础表!C459</f>
        <v>0</v>
      </c>
      <c r="D479" s="51">
        <f>基础表!D459</f>
        <v>0</v>
      </c>
      <c r="E479" s="51">
        <f>基础表!E459</f>
        <v>0</v>
      </c>
      <c r="F479" s="51">
        <f>基础表!F459</f>
        <v>0</v>
      </c>
      <c r="G479" s="51">
        <f>基础表!G459</f>
        <v>0</v>
      </c>
      <c r="H479" s="51">
        <f>基础表!H459</f>
        <v>0</v>
      </c>
      <c r="I479" s="51">
        <f>基础表!I459</f>
        <v>0</v>
      </c>
      <c r="J479" s="51">
        <f>基础表!J459</f>
        <v>0</v>
      </c>
      <c r="K479" s="51">
        <f>基础表!K459</f>
        <v>0</v>
      </c>
      <c r="L479" s="51">
        <f>基础表!L459</f>
        <v>0</v>
      </c>
      <c r="M479" s="51">
        <f>基础表!M459</f>
        <v>0</v>
      </c>
      <c r="N479" s="51">
        <f>基础表!N459</f>
        <v>0</v>
      </c>
      <c r="O479" s="51">
        <f ca="1">基础表!O459</f>
        <v>0</v>
      </c>
      <c r="Q479" s="38"/>
      <c r="R479" s="71"/>
    </row>
    <row r="480" spans="1:20">
      <c r="A480" s="293" t="s">
        <v>291</v>
      </c>
      <c r="B480" s="57"/>
      <c r="C480" s="51">
        <f>基础表!C460</f>
        <v>0</v>
      </c>
      <c r="D480" s="51">
        <f>基础表!D460</f>
        <v>0</v>
      </c>
      <c r="E480" s="51">
        <f>基础表!E460</f>
        <v>0</v>
      </c>
      <c r="F480" s="51">
        <f>基础表!F460</f>
        <v>0</v>
      </c>
      <c r="G480" s="51">
        <f>基础表!G460</f>
        <v>0</v>
      </c>
      <c r="H480" s="51">
        <f>基础表!H460</f>
        <v>0</v>
      </c>
      <c r="I480" s="51">
        <f>基础表!I460</f>
        <v>0</v>
      </c>
      <c r="J480" s="51">
        <f>基础表!J460</f>
        <v>0</v>
      </c>
      <c r="K480" s="51">
        <f>基础表!K460</f>
        <v>0</v>
      </c>
      <c r="L480" s="51">
        <f>基础表!L460</f>
        <v>0</v>
      </c>
      <c r="M480" s="51">
        <f>基础表!M460</f>
        <v>0</v>
      </c>
      <c r="N480" s="51">
        <f>基础表!N460</f>
        <v>0</v>
      </c>
      <c r="O480" s="51">
        <f ca="1">基础表!O460</f>
        <v>0</v>
      </c>
      <c r="Q480" s="38"/>
      <c r="R480" s="71"/>
      <c r="S480" s="38"/>
    </row>
    <row r="481" spans="1:20">
      <c r="A481" s="293" t="s">
        <v>240</v>
      </c>
      <c r="B481" s="57"/>
      <c r="C481" s="51">
        <f>基础表!C461</f>
        <v>0</v>
      </c>
      <c r="D481" s="51">
        <f>基础表!D461</f>
        <v>0</v>
      </c>
      <c r="E481" s="51">
        <f>基础表!E461</f>
        <v>0</v>
      </c>
      <c r="F481" s="51">
        <f>基础表!F461</f>
        <v>0</v>
      </c>
      <c r="G481" s="51">
        <f>基础表!G461</f>
        <v>0</v>
      </c>
      <c r="H481" s="51">
        <f>基础表!H461</f>
        <v>0</v>
      </c>
      <c r="I481" s="51">
        <f>基础表!I461</f>
        <v>0</v>
      </c>
      <c r="J481" s="51">
        <f>基础表!J461</f>
        <v>0</v>
      </c>
      <c r="K481" s="51">
        <f>基础表!K461</f>
        <v>0</v>
      </c>
      <c r="L481" s="51">
        <f>基础表!L461</f>
        <v>0</v>
      </c>
      <c r="M481" s="51">
        <f>基础表!M461</f>
        <v>0</v>
      </c>
      <c r="N481" s="51">
        <f>基础表!N461</f>
        <v>0</v>
      </c>
      <c r="O481" s="51">
        <f ca="1">基础表!O461</f>
        <v>0</v>
      </c>
      <c r="Q481" s="38"/>
      <c r="R481" s="71"/>
      <c r="S481" s="38"/>
    </row>
    <row r="482" spans="1:20">
      <c r="A482" s="293" t="s">
        <v>241</v>
      </c>
      <c r="B482" s="57"/>
      <c r="C482" s="51">
        <f>IFERROR(C481*C19,0)</f>
        <v>0</v>
      </c>
      <c r="D482" s="51">
        <f t="shared" ref="D482:N482" si="179">IFERROR(D481*D19,0)</f>
        <v>0</v>
      </c>
      <c r="E482" s="51">
        <f t="shared" si="179"/>
        <v>0</v>
      </c>
      <c r="F482" s="51">
        <f t="shared" si="179"/>
        <v>0</v>
      </c>
      <c r="G482" s="51">
        <f t="shared" si="179"/>
        <v>0</v>
      </c>
      <c r="H482" s="51">
        <f t="shared" si="179"/>
        <v>0</v>
      </c>
      <c r="I482" s="51">
        <f t="shared" si="179"/>
        <v>0</v>
      </c>
      <c r="J482" s="51">
        <f t="shared" si="179"/>
        <v>0</v>
      </c>
      <c r="K482" s="51">
        <f t="shared" si="179"/>
        <v>0</v>
      </c>
      <c r="L482" s="51">
        <f t="shared" si="179"/>
        <v>0</v>
      </c>
      <c r="M482" s="51">
        <f t="shared" si="179"/>
        <v>0</v>
      </c>
      <c r="N482" s="51">
        <f t="shared" si="179"/>
        <v>0</v>
      </c>
      <c r="O482" s="51">
        <f>SUM(C482:N482)</f>
        <v>0</v>
      </c>
      <c r="Q482" s="38"/>
      <c r="R482" s="71"/>
      <c r="S482" s="38"/>
    </row>
    <row r="483" spans="1:20">
      <c r="A483" s="293" t="s">
        <v>242</v>
      </c>
      <c r="B483" s="57"/>
      <c r="C483" s="51">
        <f>IFERROR(C482*C20,0)</f>
        <v>0</v>
      </c>
      <c r="D483" s="51">
        <f t="shared" ref="D483:N483" si="180">IFERROR(D482*D20,0)</f>
        <v>0</v>
      </c>
      <c r="E483" s="51">
        <f t="shared" si="180"/>
        <v>0</v>
      </c>
      <c r="F483" s="51">
        <f t="shared" si="180"/>
        <v>0</v>
      </c>
      <c r="G483" s="51">
        <f t="shared" si="180"/>
        <v>0</v>
      </c>
      <c r="H483" s="51">
        <f t="shared" si="180"/>
        <v>0</v>
      </c>
      <c r="I483" s="51">
        <f t="shared" si="180"/>
        <v>0</v>
      </c>
      <c r="J483" s="51">
        <f t="shared" si="180"/>
        <v>0</v>
      </c>
      <c r="K483" s="51">
        <f t="shared" si="180"/>
        <v>0</v>
      </c>
      <c r="L483" s="51">
        <f t="shared" si="180"/>
        <v>0</v>
      </c>
      <c r="M483" s="51">
        <f t="shared" si="180"/>
        <v>0</v>
      </c>
      <c r="N483" s="51">
        <f t="shared" si="180"/>
        <v>0</v>
      </c>
      <c r="O483" s="51">
        <f>SUM(C483:N483)</f>
        <v>0</v>
      </c>
      <c r="Q483" s="38"/>
      <c r="R483" s="71"/>
      <c r="S483" s="38"/>
    </row>
    <row r="484" spans="1:20">
      <c r="A484" s="293" t="s">
        <v>292</v>
      </c>
      <c r="B484" s="57"/>
      <c r="C484" s="51">
        <f>基础表!C462</f>
        <v>351799.58</v>
      </c>
      <c r="D484" s="51">
        <f>基础表!D462</f>
        <v>198286</v>
      </c>
      <c r="E484" s="51">
        <f>基础表!E462</f>
        <v>343821.82</v>
      </c>
      <c r="F484" s="51">
        <f>基础表!F462</f>
        <v>384690.6</v>
      </c>
      <c r="G484" s="51">
        <f>基础表!G462</f>
        <v>361556.82</v>
      </c>
      <c r="H484" s="51">
        <f>基础表!H462</f>
        <v>343153.88</v>
      </c>
      <c r="I484" s="51">
        <f>基础表!I462</f>
        <v>0</v>
      </c>
      <c r="J484" s="51">
        <f>基础表!J462</f>
        <v>0</v>
      </c>
      <c r="K484" s="51">
        <f>基础表!K462</f>
        <v>0</v>
      </c>
      <c r="L484" s="51">
        <f>基础表!L462</f>
        <v>0</v>
      </c>
      <c r="M484" s="51">
        <f>基础表!M462</f>
        <v>0</v>
      </c>
      <c r="N484" s="51">
        <f>基础表!N462</f>
        <v>0</v>
      </c>
      <c r="O484" s="51">
        <f ca="1">基础表!O462</f>
        <v>1983308.7</v>
      </c>
      <c r="Q484" s="38"/>
      <c r="R484" s="71"/>
      <c r="S484" s="38"/>
      <c r="T484" s="38"/>
    </row>
    <row r="485" spans="1:20">
      <c r="A485" s="38" t="s">
        <v>267</v>
      </c>
      <c r="B485" s="277"/>
      <c r="C485" s="440"/>
      <c r="D485" s="440"/>
      <c r="E485" s="440"/>
      <c r="F485" s="440"/>
      <c r="G485" s="440"/>
      <c r="H485" s="440"/>
      <c r="I485" s="440"/>
      <c r="J485" s="440"/>
      <c r="K485" s="440"/>
      <c r="L485" s="440"/>
      <c r="M485" s="440"/>
      <c r="N485" s="440"/>
      <c r="O485" s="440"/>
      <c r="Q485" s="38"/>
      <c r="R485" s="71"/>
      <c r="S485" s="38"/>
      <c r="T485" s="38"/>
    </row>
    <row r="486" s="38" customFormat="1" ht="15" customHeight="1" spans="1:20">
      <c r="A486" s="115" t="s">
        <v>252</v>
      </c>
      <c r="B486" s="50"/>
      <c r="C486" s="51">
        <f t="shared" ref="C486:N486" si="181">C$479*C11+C$484*C$5*C11</f>
        <v>149715.410644949</v>
      </c>
      <c r="D486" s="51">
        <f t="shared" si="181"/>
        <v>85851.4354578588</v>
      </c>
      <c r="E486" s="51">
        <f t="shared" si="181"/>
        <v>140023.95101985</v>
      </c>
      <c r="F486" s="51">
        <f t="shared" si="181"/>
        <v>162063.566590512</v>
      </c>
      <c r="G486" s="51">
        <f t="shared" si="181"/>
        <v>162860.04208817</v>
      </c>
      <c r="H486" s="51">
        <f t="shared" si="181"/>
        <v>143875.703277838</v>
      </c>
      <c r="I486" s="51">
        <f t="shared" si="181"/>
        <v>0</v>
      </c>
      <c r="J486" s="51" t="e">
        <f t="shared" si="181"/>
        <v>#DIV/0!</v>
      </c>
      <c r="K486" s="51" t="e">
        <f t="shared" si="181"/>
        <v>#DIV/0!</v>
      </c>
      <c r="L486" s="51" t="e">
        <f t="shared" si="181"/>
        <v>#DIV/0!</v>
      </c>
      <c r="M486" s="51" t="e">
        <f t="shared" si="181"/>
        <v>#DIV/0!</v>
      </c>
      <c r="N486" s="51" t="e">
        <f t="shared" si="181"/>
        <v>#DIV/0!</v>
      </c>
      <c r="O486" s="51" t="e">
        <f ca="1">SUM(OFFSET($C486,0,0,1,mth))</f>
        <v>#DIV/0!</v>
      </c>
      <c r="P486" s="378"/>
      <c r="R486" s="71"/>
    </row>
    <row r="487" s="38" customFormat="1" ht="15" customHeight="1" spans="1:20">
      <c r="A487" s="115" t="s">
        <v>253</v>
      </c>
      <c r="B487" s="50"/>
      <c r="C487" s="51">
        <f t="shared" ref="C487:N487" si="182">C$479*C12+C$484*C$5*C12</f>
        <v>0</v>
      </c>
      <c r="D487" s="51">
        <f t="shared" si="182"/>
        <v>0</v>
      </c>
      <c r="E487" s="51">
        <f t="shared" si="182"/>
        <v>0</v>
      </c>
      <c r="F487" s="51">
        <f t="shared" si="182"/>
        <v>0</v>
      </c>
      <c r="G487" s="51">
        <f t="shared" si="182"/>
        <v>0</v>
      </c>
      <c r="H487" s="51">
        <f t="shared" si="182"/>
        <v>0</v>
      </c>
      <c r="I487" s="51">
        <f t="shared" si="182"/>
        <v>0</v>
      </c>
      <c r="J487" s="51" t="e">
        <f t="shared" si="182"/>
        <v>#DIV/0!</v>
      </c>
      <c r="K487" s="51" t="e">
        <f t="shared" si="182"/>
        <v>#DIV/0!</v>
      </c>
      <c r="L487" s="51" t="e">
        <f t="shared" si="182"/>
        <v>#DIV/0!</v>
      </c>
      <c r="M487" s="51" t="e">
        <f t="shared" si="182"/>
        <v>#DIV/0!</v>
      </c>
      <c r="N487" s="51" t="e">
        <f t="shared" si="182"/>
        <v>#DIV/0!</v>
      </c>
      <c r="O487" s="51" t="e">
        <f ca="1">SUM(OFFSET($C487,0,0,1,mth))</f>
        <v>#DIV/0!</v>
      </c>
      <c r="P487" s="382"/>
      <c r="R487" s="71"/>
    </row>
    <row r="488" s="38" customFormat="1" ht="15" customHeight="1" spans="1:20">
      <c r="A488" s="115" t="s">
        <v>268</v>
      </c>
      <c r="B488" s="400"/>
      <c r="C488" s="51">
        <f t="shared" ref="C488:N488" si="183">C$479*C13+C$484*C$5*C13</f>
        <v>0</v>
      </c>
      <c r="D488" s="51">
        <f t="shared" si="183"/>
        <v>0</v>
      </c>
      <c r="E488" s="51">
        <f t="shared" si="183"/>
        <v>0</v>
      </c>
      <c r="F488" s="51">
        <f t="shared" si="183"/>
        <v>0</v>
      </c>
      <c r="G488" s="51">
        <f t="shared" si="183"/>
        <v>0</v>
      </c>
      <c r="H488" s="51">
        <f t="shared" si="183"/>
        <v>0</v>
      </c>
      <c r="I488" s="51">
        <f t="shared" si="183"/>
        <v>0</v>
      </c>
      <c r="J488" s="51" t="e">
        <f t="shared" si="183"/>
        <v>#DIV/0!</v>
      </c>
      <c r="K488" s="51" t="e">
        <f t="shared" si="183"/>
        <v>#DIV/0!</v>
      </c>
      <c r="L488" s="51" t="e">
        <f t="shared" si="183"/>
        <v>#DIV/0!</v>
      </c>
      <c r="M488" s="51" t="e">
        <f t="shared" si="183"/>
        <v>#DIV/0!</v>
      </c>
      <c r="N488" s="51" t="e">
        <f t="shared" si="183"/>
        <v>#DIV/0!</v>
      </c>
      <c r="O488" s="51" t="e">
        <f ca="1">SUM(OFFSET($C488,0,0,1,mth))</f>
        <v>#DIV/0!</v>
      </c>
      <c r="P488" s="382"/>
      <c r="R488" s="71"/>
    </row>
    <row r="489" s="38" customFormat="1" ht="15" customHeight="1" spans="1:20">
      <c r="A489" s="115" t="s">
        <v>255</v>
      </c>
      <c r="B489" s="400"/>
      <c r="C489" s="51">
        <f t="shared" ref="C489:N489" si="184">C$479*C14+C$484*C$5*C14</f>
        <v>0</v>
      </c>
      <c r="D489" s="51">
        <f t="shared" si="184"/>
        <v>3949.21287145054</v>
      </c>
      <c r="E489" s="51">
        <f t="shared" si="184"/>
        <v>9348.62037088713</v>
      </c>
      <c r="F489" s="51">
        <f t="shared" si="184"/>
        <v>9704.5917917991</v>
      </c>
      <c r="G489" s="51">
        <f t="shared" si="184"/>
        <v>0</v>
      </c>
      <c r="H489" s="51">
        <f t="shared" si="184"/>
        <v>6098.39053934526</v>
      </c>
      <c r="I489" s="51">
        <f t="shared" si="184"/>
        <v>0</v>
      </c>
      <c r="J489" s="51" t="e">
        <f t="shared" si="184"/>
        <v>#DIV/0!</v>
      </c>
      <c r="K489" s="51" t="e">
        <f t="shared" si="184"/>
        <v>#DIV/0!</v>
      </c>
      <c r="L489" s="51" t="e">
        <f t="shared" si="184"/>
        <v>#DIV/0!</v>
      </c>
      <c r="M489" s="51" t="e">
        <f t="shared" si="184"/>
        <v>#DIV/0!</v>
      </c>
      <c r="N489" s="51" t="e">
        <f t="shared" si="184"/>
        <v>#DIV/0!</v>
      </c>
      <c r="O489" s="51" t="e">
        <f ca="1">SUM(OFFSET($C489,0,0,1,mth))</f>
        <v>#DIV/0!</v>
      </c>
      <c r="P489" s="382"/>
      <c r="Q489"/>
      <c r="R489"/>
    </row>
    <row r="490" s="38" customFormat="1" ht="15" customHeight="1" spans="1:20">
      <c r="A490" s="115" t="s">
        <v>256</v>
      </c>
      <c r="B490" s="60"/>
      <c r="C490" s="51">
        <f t="shared" ref="C490:N490" si="185">C$479*C15+C$484*C$5*C15</f>
        <v>26184.3793550508</v>
      </c>
      <c r="D490" s="51">
        <f t="shared" si="185"/>
        <v>8956.04091915403</v>
      </c>
      <c r="E490" s="51">
        <f t="shared" si="185"/>
        <v>22538.3386092632</v>
      </c>
      <c r="F490" s="51">
        <f t="shared" si="185"/>
        <v>20577.1416176888</v>
      </c>
      <c r="G490" s="51">
        <f t="shared" si="185"/>
        <v>17918.36791183</v>
      </c>
      <c r="H490" s="51">
        <f t="shared" si="185"/>
        <v>21602.8461828161</v>
      </c>
      <c r="I490" s="51">
        <f t="shared" si="185"/>
        <v>0</v>
      </c>
      <c r="J490" s="51" t="e">
        <f t="shared" si="185"/>
        <v>#DIV/0!</v>
      </c>
      <c r="K490" s="51" t="e">
        <f t="shared" si="185"/>
        <v>#DIV/0!</v>
      </c>
      <c r="L490" s="51" t="e">
        <f t="shared" si="185"/>
        <v>#DIV/0!</v>
      </c>
      <c r="M490" s="51" t="e">
        <f t="shared" si="185"/>
        <v>#DIV/0!</v>
      </c>
      <c r="N490" s="51" t="e">
        <f t="shared" si="185"/>
        <v>#DIV/0!</v>
      </c>
      <c r="O490" s="51" t="e">
        <f ca="1">SUM(OFFSET($C490,0,0,1,mth))</f>
        <v>#DIV/0!</v>
      </c>
      <c r="P490" s="382"/>
      <c r="Q490"/>
      <c r="R490"/>
      <c r="S490"/>
    </row>
    <row r="491" s="38" customFormat="1" ht="15" customHeight="1" spans="1:20">
      <c r="A491" s="115" t="s">
        <v>257</v>
      </c>
      <c r="B491" s="60"/>
      <c r="C491" s="51">
        <f t="shared" ref="C491:N491" si="186">C$479*C16+C$484*C$5*C16</f>
        <v>0</v>
      </c>
      <c r="D491" s="51">
        <f t="shared" si="186"/>
        <v>386.310751536647</v>
      </c>
      <c r="E491" s="51">
        <f t="shared" si="186"/>
        <v>0</v>
      </c>
      <c r="F491" s="51">
        <f t="shared" si="186"/>
        <v>0</v>
      </c>
      <c r="G491" s="51">
        <f t="shared" si="186"/>
        <v>0</v>
      </c>
      <c r="H491" s="51">
        <f t="shared" si="186"/>
        <v>0</v>
      </c>
      <c r="I491" s="51">
        <f t="shared" si="186"/>
        <v>0</v>
      </c>
      <c r="J491" s="51" t="e">
        <f t="shared" si="186"/>
        <v>#DIV/0!</v>
      </c>
      <c r="K491" s="51" t="e">
        <f t="shared" si="186"/>
        <v>#DIV/0!</v>
      </c>
      <c r="L491" s="51" t="e">
        <f t="shared" si="186"/>
        <v>#DIV/0!</v>
      </c>
      <c r="M491" s="51" t="e">
        <f t="shared" si="186"/>
        <v>#DIV/0!</v>
      </c>
      <c r="N491" s="51" t="e">
        <f t="shared" si="186"/>
        <v>#DIV/0!</v>
      </c>
      <c r="O491" s="51" t="e">
        <f ca="1">SUM(OFFSET($C491,0,0,1,mth))</f>
        <v>#DIV/0!</v>
      </c>
      <c r="P491" s="382"/>
      <c r="Q491"/>
      <c r="R491"/>
      <c r="S491"/>
    </row>
    <row r="492" s="38" customFormat="1" ht="15" customHeight="1" spans="1:20">
      <c r="A492" s="115" t="s">
        <v>258</v>
      </c>
      <c r="B492" s="60"/>
      <c r="C492" s="51">
        <f>C480+C484*C$6*C$33</f>
        <v>173003.383066904</v>
      </c>
      <c r="D492" s="51">
        <f t="shared" ref="D492:N492" si="187">D480+D484*D$6*D$33</f>
        <v>97401.1309849127</v>
      </c>
      <c r="E492" s="51">
        <f t="shared" si="187"/>
        <v>169827.90841716</v>
      </c>
      <c r="F492" s="51">
        <f t="shared" si="187"/>
        <v>183824.923513645</v>
      </c>
      <c r="G492" s="51">
        <f t="shared" si="187"/>
        <v>172075.740110555</v>
      </c>
      <c r="H492" s="51">
        <f t="shared" si="187"/>
        <v>165533.715414225</v>
      </c>
      <c r="I492" s="51">
        <f t="shared" si="187"/>
        <v>0</v>
      </c>
      <c r="J492" s="51" t="e">
        <f t="shared" si="187"/>
        <v>#DIV/0!</v>
      </c>
      <c r="K492" s="51" t="e">
        <f t="shared" si="187"/>
        <v>#DIV/0!</v>
      </c>
      <c r="L492" s="51" t="e">
        <f t="shared" si="187"/>
        <v>#DIV/0!</v>
      </c>
      <c r="M492" s="51" t="e">
        <f t="shared" si="187"/>
        <v>#DIV/0!</v>
      </c>
      <c r="N492" s="51" t="e">
        <f t="shared" si="187"/>
        <v>#DIV/0!</v>
      </c>
      <c r="O492" s="51" t="e">
        <f ca="1">SUM(OFFSET($C492,0,0,1,mth))</f>
        <v>#DIV/0!</v>
      </c>
      <c r="P492" s="382"/>
      <c r="Q492"/>
      <c r="R492"/>
      <c r="S492"/>
      <c r="T492"/>
    </row>
    <row r="493" s="38" customFormat="1" ht="15" customHeight="1" spans="1:20">
      <c r="A493" s="115" t="s">
        <v>240</v>
      </c>
      <c r="B493" s="60"/>
      <c r="C493" s="51">
        <f>C481+C484*C$6*(C$34+C$35)</f>
        <v>2896.40693309594</v>
      </c>
      <c r="D493" s="51">
        <f>D481+D484*D$6*(D$34+D$35)</f>
        <v>1741.86901508735</v>
      </c>
      <c r="E493" s="51">
        <f>E481+E484*E$6*(E$34+E$35)</f>
        <v>2083.00158284016</v>
      </c>
      <c r="F493" s="51">
        <f t="shared" ref="F493:N493" si="188">F481+F484*F$6*(F$34+F$35)</f>
        <v>8520.37648635503</v>
      </c>
      <c r="G493" s="51">
        <f t="shared" si="188"/>
        <v>8702.66988944551</v>
      </c>
      <c r="H493" s="51">
        <f t="shared" si="188"/>
        <v>6043.22458577431</v>
      </c>
      <c r="I493" s="51">
        <f t="shared" si="188"/>
        <v>0</v>
      </c>
      <c r="J493" s="51" t="e">
        <f t="shared" si="188"/>
        <v>#DIV/0!</v>
      </c>
      <c r="K493" s="51" t="e">
        <f t="shared" si="188"/>
        <v>#DIV/0!</v>
      </c>
      <c r="L493" s="51" t="e">
        <f t="shared" si="188"/>
        <v>#DIV/0!</v>
      </c>
      <c r="M493" s="51" t="e">
        <f t="shared" si="188"/>
        <v>#DIV/0!</v>
      </c>
      <c r="N493" s="51" t="e">
        <f t="shared" si="188"/>
        <v>#DIV/0!</v>
      </c>
      <c r="O493" s="51" t="e">
        <f ca="1">SUM(OFFSET($C493,0,0,1,mth))</f>
        <v>#DIV/0!</v>
      </c>
      <c r="P493" s="382"/>
      <c r="Q493" s="446"/>
      <c r="R493"/>
      <c r="S493"/>
      <c r="T493"/>
    </row>
    <row r="494" s="38" customFormat="1" ht="15" customHeight="1" spans="1:20">
      <c r="A494" s="115" t="s">
        <v>241</v>
      </c>
      <c r="B494" s="60"/>
      <c r="C494" s="51">
        <f>C493*C19</f>
        <v>1340.3255898857</v>
      </c>
      <c r="D494" s="51">
        <f t="shared" ref="D494:N494" si="189">D493*D19</f>
        <v>248.556722226576</v>
      </c>
      <c r="E494" s="51">
        <f t="shared" si="189"/>
        <v>1441.6232031002</v>
      </c>
      <c r="F494" s="51">
        <f t="shared" si="189"/>
        <v>4126.39727276171</v>
      </c>
      <c r="G494" s="51">
        <f t="shared" si="189"/>
        <v>2524.56507774707</v>
      </c>
      <c r="H494" s="51">
        <f t="shared" si="189"/>
        <v>1164.81661797638</v>
      </c>
      <c r="I494" s="51" t="e">
        <f t="shared" si="189"/>
        <v>#DIV/0!</v>
      </c>
      <c r="J494" s="51" t="e">
        <f t="shared" si="189"/>
        <v>#DIV/0!</v>
      </c>
      <c r="K494" s="51" t="e">
        <f t="shared" si="189"/>
        <v>#DIV/0!</v>
      </c>
      <c r="L494" s="51" t="e">
        <f t="shared" si="189"/>
        <v>#DIV/0!</v>
      </c>
      <c r="M494" s="51" t="e">
        <f t="shared" si="189"/>
        <v>#DIV/0!</v>
      </c>
      <c r="N494" s="51" t="e">
        <f t="shared" si="189"/>
        <v>#DIV/0!</v>
      </c>
      <c r="O494" s="51" t="e">
        <f ca="1">SUM(OFFSET($C494,0,0,1,mth))</f>
        <v>#DIV/0!</v>
      </c>
      <c r="P494" s="382"/>
      <c r="Q494" s="446"/>
      <c r="R494"/>
      <c r="S494"/>
      <c r="T494"/>
    </row>
    <row r="495" s="38" customFormat="1" ht="15" customHeight="1" spans="1:20">
      <c r="A495" s="115" t="s">
        <v>242</v>
      </c>
      <c r="B495" s="60"/>
      <c r="C495" s="51">
        <f>C493*C20</f>
        <v>1556.08134321024</v>
      </c>
      <c r="D495" s="51">
        <f t="shared" ref="D495:N495" si="190">D493*D20</f>
        <v>1493.31229286077</v>
      </c>
      <c r="E495" s="51">
        <f t="shared" si="190"/>
        <v>641.378379739972</v>
      </c>
      <c r="F495" s="51">
        <f t="shared" si="190"/>
        <v>4393.97921359331</v>
      </c>
      <c r="G495" s="51">
        <f t="shared" si="190"/>
        <v>6178.10481169844</v>
      </c>
      <c r="H495" s="51">
        <f t="shared" si="190"/>
        <v>4878.40796779792</v>
      </c>
      <c r="I495" s="51" t="e">
        <f t="shared" si="190"/>
        <v>#DIV/0!</v>
      </c>
      <c r="J495" s="51" t="e">
        <f t="shared" si="190"/>
        <v>#DIV/0!</v>
      </c>
      <c r="K495" s="51" t="e">
        <f t="shared" si="190"/>
        <v>#DIV/0!</v>
      </c>
      <c r="L495" s="51" t="e">
        <f t="shared" si="190"/>
        <v>#DIV/0!</v>
      </c>
      <c r="M495" s="51" t="e">
        <f t="shared" si="190"/>
        <v>#DIV/0!</v>
      </c>
      <c r="N495" s="51" t="e">
        <f t="shared" si="190"/>
        <v>#DIV/0!</v>
      </c>
      <c r="O495" s="51" t="e">
        <f ca="1">SUM(OFFSET($C495,0,0,1,mth))</f>
        <v>#DIV/0!</v>
      </c>
      <c r="P495" s="382"/>
      <c r="Q495" s="446"/>
      <c r="R495"/>
      <c r="S495"/>
      <c r="T495"/>
    </row>
    <row r="496" s="38" customFormat="1" ht="15" customHeight="1" spans="1:20">
      <c r="A496" s="57" t="s">
        <v>232</v>
      </c>
      <c r="B496" s="50"/>
      <c r="C496" s="51">
        <f>SUM(C486:C493)</f>
        <v>351799.58</v>
      </c>
      <c r="D496" s="51">
        <f t="shared" ref="D496:O496" si="191">SUM(D486:D493)</f>
        <v>198286</v>
      </c>
      <c r="E496" s="51">
        <f t="shared" si="191"/>
        <v>343821.82</v>
      </c>
      <c r="F496" s="51">
        <f t="shared" si="191"/>
        <v>384690.6</v>
      </c>
      <c r="G496" s="51">
        <f t="shared" si="191"/>
        <v>361556.82</v>
      </c>
      <c r="H496" s="51">
        <f t="shared" si="191"/>
        <v>343153.88</v>
      </c>
      <c r="I496" s="51">
        <f t="shared" si="191"/>
        <v>0</v>
      </c>
      <c r="J496" s="51" t="e">
        <f t="shared" si="191"/>
        <v>#DIV/0!</v>
      </c>
      <c r="K496" s="51" t="e">
        <f t="shared" si="191"/>
        <v>#DIV/0!</v>
      </c>
      <c r="L496" s="51" t="e">
        <f t="shared" si="191"/>
        <v>#DIV/0!</v>
      </c>
      <c r="M496" s="51" t="e">
        <f t="shared" si="191"/>
        <v>#DIV/0!</v>
      </c>
      <c r="N496" s="51" t="e">
        <f t="shared" si="191"/>
        <v>#DIV/0!</v>
      </c>
      <c r="O496" s="51" t="e">
        <f ca="1" t="shared" si="191"/>
        <v>#DIV/0!</v>
      </c>
      <c r="P496" s="382"/>
      <c r="Q496"/>
      <c r="R496"/>
      <c r="S496"/>
      <c r="T496"/>
    </row>
    <row r="497" spans="1:20">
      <c r="A497" s="46" t="str">
        <f>基础表!A463</f>
        <v>财务费用</v>
      </c>
      <c r="B497" s="46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</row>
    <row r="498" spans="1:20">
      <c r="A498" s="229" t="str">
        <f>基础表!A464</f>
        <v>财务费用（不含汇兑损益）</v>
      </c>
      <c r="B498" s="57" t="str">
        <f>基础表!B464</f>
        <v>元</v>
      </c>
      <c r="C498" s="125">
        <f>基础表!C464</f>
        <v>156200.01</v>
      </c>
      <c r="D498" s="125">
        <f>基础表!D464</f>
        <v>142479.35</v>
      </c>
      <c r="E498" s="125">
        <f>基础表!E464</f>
        <v>108421.1</v>
      </c>
      <c r="F498" s="125">
        <f>基础表!F464</f>
        <v>100747.37</v>
      </c>
      <c r="G498" s="125">
        <f>基础表!G464</f>
        <v>91630.17</v>
      </c>
      <c r="H498" s="125">
        <f>基础表!H464</f>
        <v>113968.28</v>
      </c>
      <c r="I498" s="125">
        <f>基础表!I464</f>
        <v>0</v>
      </c>
      <c r="J498" s="125">
        <f>基础表!J464</f>
        <v>0</v>
      </c>
      <c r="K498" s="125">
        <f>基础表!K464</f>
        <v>0</v>
      </c>
      <c r="L498" s="125">
        <f>基础表!L464</f>
        <v>0</v>
      </c>
      <c r="M498" s="125">
        <f>基础表!M464</f>
        <v>0</v>
      </c>
      <c r="N498" s="125">
        <f>基础表!N464</f>
        <v>0</v>
      </c>
      <c r="O498" s="51">
        <f ca="1">基础表!O464</f>
        <v>713446.28</v>
      </c>
      <c r="Q498" s="38"/>
      <c r="R498" s="71"/>
    </row>
    <row r="499" spans="1:20">
      <c r="A499" s="229" t="s">
        <v>290</v>
      </c>
      <c r="B499" s="57" t="s">
        <v>123</v>
      </c>
      <c r="C499" s="125">
        <v>0</v>
      </c>
      <c r="D499" s="125">
        <v>0</v>
      </c>
      <c r="E499" s="125">
        <v>0</v>
      </c>
      <c r="F499" s="125">
        <v>0</v>
      </c>
      <c r="G499" s="125">
        <v>0</v>
      </c>
      <c r="H499" s="125">
        <v>0</v>
      </c>
      <c r="I499" s="125">
        <v>0</v>
      </c>
      <c r="J499" s="125">
        <v>0</v>
      </c>
      <c r="K499" s="125">
        <v>0</v>
      </c>
      <c r="L499" s="125">
        <v>0</v>
      </c>
      <c r="M499" s="125"/>
      <c r="N499" s="125"/>
      <c r="O499" s="51">
        <f ca="1">SUM(OFFSET($C499,0,0,1,mth))</f>
        <v>0</v>
      </c>
      <c r="Q499" s="38"/>
      <c r="R499" s="71"/>
      <c r="S499" s="38"/>
    </row>
    <row r="500" spans="1:20">
      <c r="A500" s="433" t="s">
        <v>295</v>
      </c>
      <c r="B500" s="57" t="s">
        <v>123</v>
      </c>
      <c r="C500" s="125">
        <f>C498-C499</f>
        <v>156200.01</v>
      </c>
      <c r="D500" s="125">
        <f t="shared" ref="D500:N500" si="192">D498-D499</f>
        <v>142479.35</v>
      </c>
      <c r="E500" s="125">
        <f t="shared" si="192"/>
        <v>108421.1</v>
      </c>
      <c r="F500" s="125">
        <f t="shared" si="192"/>
        <v>100747.37</v>
      </c>
      <c r="G500" s="125">
        <f t="shared" si="192"/>
        <v>91630.17</v>
      </c>
      <c r="H500" s="125">
        <f t="shared" si="192"/>
        <v>113968.28</v>
      </c>
      <c r="I500" s="125">
        <f t="shared" si="192"/>
        <v>0</v>
      </c>
      <c r="J500" s="125">
        <f t="shared" si="192"/>
        <v>0</v>
      </c>
      <c r="K500" s="125">
        <f t="shared" si="192"/>
        <v>0</v>
      </c>
      <c r="L500" s="125">
        <f t="shared" si="192"/>
        <v>0</v>
      </c>
      <c r="M500" s="125">
        <f t="shared" si="192"/>
        <v>0</v>
      </c>
      <c r="N500" s="125">
        <f t="shared" si="192"/>
        <v>0</v>
      </c>
      <c r="O500" s="51">
        <f ca="1">SUM(OFFSET($C500,0,0,1,mth))</f>
        <v>713446.28</v>
      </c>
      <c r="Q500" s="38"/>
      <c r="R500" s="71"/>
      <c r="S500" s="38"/>
      <c r="T500" s="38"/>
    </row>
    <row r="501" spans="1:20">
      <c r="A501" s="38" t="s">
        <v>267</v>
      </c>
      <c r="B501" s="277"/>
      <c r="C501" s="440"/>
      <c r="D501" s="440"/>
      <c r="E501" s="440"/>
      <c r="F501" s="440"/>
      <c r="G501" s="440"/>
      <c r="H501" s="440"/>
      <c r="I501" s="440"/>
      <c r="J501" s="440"/>
      <c r="K501" s="440"/>
      <c r="L501" s="440"/>
      <c r="M501" s="440"/>
      <c r="N501" s="440"/>
      <c r="O501" s="440"/>
      <c r="Q501" s="38"/>
      <c r="R501" s="71"/>
      <c r="S501" s="38"/>
      <c r="T501" s="38"/>
    </row>
    <row r="502" s="38" customFormat="1" ht="15" customHeight="1" spans="1:20">
      <c r="A502" s="115" t="s">
        <v>252</v>
      </c>
      <c r="B502" s="50"/>
      <c r="C502" s="51">
        <f t="shared" ref="C502:N502" si="193">C$499*C11+C$500*C$5*C11</f>
        <v>66474.0663985306</v>
      </c>
      <c r="D502" s="51">
        <f t="shared" si="193"/>
        <v>61688.9579728406</v>
      </c>
      <c r="E502" s="51">
        <f t="shared" si="193"/>
        <v>44155.2860022619</v>
      </c>
      <c r="F502" s="51">
        <f t="shared" si="193"/>
        <v>42443.1428966914</v>
      </c>
      <c r="G502" s="51">
        <f t="shared" si="193"/>
        <v>41273.9921286678</v>
      </c>
      <c r="H502" s="51">
        <f t="shared" si="193"/>
        <v>47784.0041801819</v>
      </c>
      <c r="I502" s="51">
        <f t="shared" si="193"/>
        <v>0</v>
      </c>
      <c r="J502" s="51" t="e">
        <f t="shared" si="193"/>
        <v>#DIV/0!</v>
      </c>
      <c r="K502" s="51" t="e">
        <f t="shared" si="193"/>
        <v>#DIV/0!</v>
      </c>
      <c r="L502" s="51" t="e">
        <f t="shared" si="193"/>
        <v>#DIV/0!</v>
      </c>
      <c r="M502" s="51" t="e">
        <f t="shared" si="193"/>
        <v>#DIV/0!</v>
      </c>
      <c r="N502" s="51" t="e">
        <f t="shared" si="193"/>
        <v>#DIV/0!</v>
      </c>
      <c r="O502" s="51" t="e">
        <f ca="1">SUM(OFFSET($C502,0,0,1,mth))</f>
        <v>#DIV/0!</v>
      </c>
      <c r="P502" s="378"/>
      <c r="R502" s="71"/>
    </row>
    <row r="503" s="38" customFormat="1" ht="15" customHeight="1" spans="1:20">
      <c r="A503" s="115" t="s">
        <v>253</v>
      </c>
      <c r="B503" s="50"/>
      <c r="C503" s="51">
        <f t="shared" ref="C503:N503" si="194">C$499*C12+C$500*C$5*C12</f>
        <v>0</v>
      </c>
      <c r="D503" s="51">
        <f t="shared" si="194"/>
        <v>0</v>
      </c>
      <c r="E503" s="51">
        <f t="shared" si="194"/>
        <v>0</v>
      </c>
      <c r="F503" s="51">
        <f t="shared" si="194"/>
        <v>0</v>
      </c>
      <c r="G503" s="51">
        <f t="shared" si="194"/>
        <v>0</v>
      </c>
      <c r="H503" s="51">
        <f t="shared" si="194"/>
        <v>0</v>
      </c>
      <c r="I503" s="51">
        <f t="shared" si="194"/>
        <v>0</v>
      </c>
      <c r="J503" s="51" t="e">
        <f t="shared" si="194"/>
        <v>#DIV/0!</v>
      </c>
      <c r="K503" s="51" t="e">
        <f t="shared" si="194"/>
        <v>#DIV/0!</v>
      </c>
      <c r="L503" s="51" t="e">
        <f t="shared" si="194"/>
        <v>#DIV/0!</v>
      </c>
      <c r="M503" s="51" t="e">
        <f t="shared" si="194"/>
        <v>#DIV/0!</v>
      </c>
      <c r="N503" s="51" t="e">
        <f t="shared" si="194"/>
        <v>#DIV/0!</v>
      </c>
      <c r="O503" s="51" t="e">
        <f ca="1">SUM(OFFSET($C503,0,0,1,mth))</f>
        <v>#DIV/0!</v>
      </c>
      <c r="P503" s="382"/>
      <c r="R503" s="71"/>
    </row>
    <row r="504" s="38" customFormat="1" ht="15" customHeight="1" spans="1:20">
      <c r="A504" s="115" t="s">
        <v>268</v>
      </c>
      <c r="B504" s="400"/>
      <c r="C504" s="51">
        <f t="shared" ref="C504:N504" si="195">C$499*C13+C$500*C$5*C13</f>
        <v>0</v>
      </c>
      <c r="D504" s="51">
        <f t="shared" si="195"/>
        <v>0</v>
      </c>
      <c r="E504" s="51">
        <f t="shared" si="195"/>
        <v>0</v>
      </c>
      <c r="F504" s="51">
        <f t="shared" si="195"/>
        <v>0</v>
      </c>
      <c r="G504" s="51">
        <f t="shared" si="195"/>
        <v>0</v>
      </c>
      <c r="H504" s="51">
        <f t="shared" si="195"/>
        <v>0</v>
      </c>
      <c r="I504" s="51">
        <f t="shared" si="195"/>
        <v>0</v>
      </c>
      <c r="J504" s="51" t="e">
        <f t="shared" si="195"/>
        <v>#DIV/0!</v>
      </c>
      <c r="K504" s="51" t="e">
        <f t="shared" si="195"/>
        <v>#DIV/0!</v>
      </c>
      <c r="L504" s="51" t="e">
        <f t="shared" si="195"/>
        <v>#DIV/0!</v>
      </c>
      <c r="M504" s="51" t="e">
        <f t="shared" si="195"/>
        <v>#DIV/0!</v>
      </c>
      <c r="N504" s="51" t="e">
        <f t="shared" si="195"/>
        <v>#DIV/0!</v>
      </c>
      <c r="O504" s="51" t="e">
        <f ca="1">SUM(OFFSET($C504,0,0,1,mth))</f>
        <v>#DIV/0!</v>
      </c>
      <c r="P504" s="382"/>
      <c r="R504" s="71"/>
    </row>
    <row r="505" s="38" customFormat="1" ht="15" customHeight="1" spans="1:20">
      <c r="A505" s="115" t="s">
        <v>255</v>
      </c>
      <c r="B505" s="400"/>
      <c r="C505" s="51">
        <f t="shared" ref="C505:N505" si="196">C$499*C14+C$500*C$5*C14</f>
        <v>0</v>
      </c>
      <c r="D505" s="51">
        <f t="shared" si="196"/>
        <v>2837.72572413537</v>
      </c>
      <c r="E505" s="51">
        <f t="shared" si="196"/>
        <v>2948.00284663141</v>
      </c>
      <c r="F505" s="51">
        <f t="shared" si="196"/>
        <v>2541.55443347809</v>
      </c>
      <c r="G505" s="51">
        <f t="shared" si="196"/>
        <v>0</v>
      </c>
      <c r="H505" s="51">
        <f t="shared" si="196"/>
        <v>2025.39770361172</v>
      </c>
      <c r="I505" s="51">
        <f t="shared" si="196"/>
        <v>0</v>
      </c>
      <c r="J505" s="51" t="e">
        <f t="shared" si="196"/>
        <v>#DIV/0!</v>
      </c>
      <c r="K505" s="51" t="e">
        <f t="shared" si="196"/>
        <v>#DIV/0!</v>
      </c>
      <c r="L505" s="51" t="e">
        <f t="shared" si="196"/>
        <v>#DIV/0!</v>
      </c>
      <c r="M505" s="51" t="e">
        <f t="shared" si="196"/>
        <v>#DIV/0!</v>
      </c>
      <c r="N505" s="51" t="e">
        <f t="shared" si="196"/>
        <v>#DIV/0!</v>
      </c>
      <c r="O505" s="51" t="e">
        <f ca="1">SUM(OFFSET($C505,0,0,1,mth))</f>
        <v>#DIV/0!</v>
      </c>
      <c r="P505" s="382"/>
      <c r="Q505"/>
      <c r="R505"/>
    </row>
    <row r="506" s="38" customFormat="1" ht="15" customHeight="1" spans="1:20">
      <c r="A506" s="115" t="s">
        <v>256</v>
      </c>
      <c r="B506" s="60"/>
      <c r="C506" s="51">
        <f t="shared" ref="C506:N506" si="197">C$499*C15+C$500*C$5*C15</f>
        <v>11625.9386014694</v>
      </c>
      <c r="D506" s="51">
        <f t="shared" si="197"/>
        <v>6435.40587199534</v>
      </c>
      <c r="E506" s="51">
        <f t="shared" si="197"/>
        <v>7107.26115110666</v>
      </c>
      <c r="F506" s="51">
        <f t="shared" si="197"/>
        <v>5388.98766983049</v>
      </c>
      <c r="G506" s="51">
        <f t="shared" si="197"/>
        <v>4541.09287133218</v>
      </c>
      <c r="H506" s="51">
        <f t="shared" si="197"/>
        <v>7174.73811620642</v>
      </c>
      <c r="I506" s="51">
        <f t="shared" si="197"/>
        <v>0</v>
      </c>
      <c r="J506" s="51" t="e">
        <f t="shared" si="197"/>
        <v>#DIV/0!</v>
      </c>
      <c r="K506" s="51" t="e">
        <f t="shared" si="197"/>
        <v>#DIV/0!</v>
      </c>
      <c r="L506" s="51" t="e">
        <f t="shared" si="197"/>
        <v>#DIV/0!</v>
      </c>
      <c r="M506" s="51" t="e">
        <f t="shared" si="197"/>
        <v>#DIV/0!</v>
      </c>
      <c r="N506" s="51" t="e">
        <f t="shared" si="197"/>
        <v>#DIV/0!</v>
      </c>
      <c r="O506" s="51" t="e">
        <f ca="1">SUM(OFFSET($C506,0,0,1,mth))</f>
        <v>#DIV/0!</v>
      </c>
      <c r="P506" s="382"/>
      <c r="Q506"/>
      <c r="R506" s="223"/>
      <c r="S506"/>
    </row>
    <row r="507" s="38" customFormat="1" ht="15" customHeight="1" spans="1:20">
      <c r="A507" s="115" t="s">
        <v>257</v>
      </c>
      <c r="B507" s="60"/>
      <c r="C507" s="51">
        <f t="shared" ref="C507:N507" si="198">C$499*C16+C$500*C$5*C16</f>
        <v>0</v>
      </c>
      <c r="D507" s="51">
        <f t="shared" si="198"/>
        <v>277.585431028681</v>
      </c>
      <c r="E507" s="51">
        <f t="shared" si="198"/>
        <v>0</v>
      </c>
      <c r="F507" s="51">
        <f t="shared" si="198"/>
        <v>0</v>
      </c>
      <c r="G507" s="51">
        <f t="shared" si="198"/>
        <v>0</v>
      </c>
      <c r="H507" s="51">
        <f t="shared" si="198"/>
        <v>0</v>
      </c>
      <c r="I507" s="51">
        <f t="shared" si="198"/>
        <v>0</v>
      </c>
      <c r="J507" s="51" t="e">
        <f t="shared" si="198"/>
        <v>#DIV/0!</v>
      </c>
      <c r="K507" s="51" t="e">
        <f t="shared" si="198"/>
        <v>#DIV/0!</v>
      </c>
      <c r="L507" s="51" t="e">
        <f t="shared" si="198"/>
        <v>#DIV/0!</v>
      </c>
      <c r="M507" s="51" t="e">
        <f t="shared" si="198"/>
        <v>#DIV/0!</v>
      </c>
      <c r="N507" s="51" t="e">
        <f t="shared" si="198"/>
        <v>#DIV/0!</v>
      </c>
      <c r="O507" s="51" t="e">
        <f ca="1">SUM(OFFSET($C507,0,0,1,mth))</f>
        <v>#DIV/0!</v>
      </c>
      <c r="P507" s="382"/>
      <c r="Q507"/>
      <c r="R507" s="223"/>
      <c r="S507"/>
    </row>
    <row r="508" s="38" customFormat="1" ht="15" customHeight="1" spans="1:20">
      <c r="A508" s="115" t="s">
        <v>258</v>
      </c>
      <c r="B508" s="60"/>
      <c r="C508" s="51">
        <f t="shared" ref="C508:N508" si="199">C500*C$6*C$33</f>
        <v>76813.9921175694</v>
      </c>
      <c r="D508" s="51">
        <f t="shared" si="199"/>
        <v>69988.0467203696</v>
      </c>
      <c r="E508" s="51">
        <f t="shared" si="199"/>
        <v>53553.6942980749</v>
      </c>
      <c r="F508" s="51">
        <f t="shared" si="199"/>
        <v>48142.2670178343</v>
      </c>
      <c r="G508" s="51">
        <f t="shared" si="199"/>
        <v>43609.547509589</v>
      </c>
      <c r="H508" s="51">
        <f t="shared" si="199"/>
        <v>54977.0640150383</v>
      </c>
      <c r="I508" s="51">
        <f t="shared" si="199"/>
        <v>0</v>
      </c>
      <c r="J508" s="51" t="e">
        <f t="shared" si="199"/>
        <v>#DIV/0!</v>
      </c>
      <c r="K508" s="51" t="e">
        <f t="shared" si="199"/>
        <v>#DIV/0!</v>
      </c>
      <c r="L508" s="51" t="e">
        <f t="shared" si="199"/>
        <v>#DIV/0!</v>
      </c>
      <c r="M508" s="51" t="e">
        <f t="shared" si="199"/>
        <v>#DIV/0!</v>
      </c>
      <c r="N508" s="51" t="e">
        <f t="shared" si="199"/>
        <v>#DIV/0!</v>
      </c>
      <c r="O508" s="51" t="e">
        <f ca="1">SUM(OFFSET($C508,0,0,1,mth))</f>
        <v>#DIV/0!</v>
      </c>
      <c r="P508" s="382"/>
      <c r="Q508"/>
      <c r="R508" s="223"/>
      <c r="S508" s="223"/>
      <c r="T508"/>
    </row>
    <row r="509" s="38" customFormat="1" ht="15" customHeight="1" spans="1:20">
      <c r="A509" s="115" t="s">
        <v>240</v>
      </c>
      <c r="B509" s="60"/>
      <c r="C509" s="419">
        <f>C500*C$6*(C$34+C$35)</f>
        <v>1286.01288243054</v>
      </c>
      <c r="D509" s="419">
        <f t="shared" ref="D509:N509" si="200">D500*D$6*(D$34+D$35)</f>
        <v>1251.62827963036</v>
      </c>
      <c r="E509" s="419">
        <f t="shared" si="200"/>
        <v>656.855701925119</v>
      </c>
      <c r="F509" s="419">
        <f t="shared" si="200"/>
        <v>2231.41798216569</v>
      </c>
      <c r="G509" s="419">
        <f t="shared" si="200"/>
        <v>2205.53749041098</v>
      </c>
      <c r="H509" s="419">
        <f t="shared" si="200"/>
        <v>2007.07598496165</v>
      </c>
      <c r="I509" s="419">
        <f t="shared" si="200"/>
        <v>0</v>
      </c>
      <c r="J509" s="419" t="e">
        <f t="shared" si="200"/>
        <v>#DIV/0!</v>
      </c>
      <c r="K509" s="419" t="e">
        <f t="shared" si="200"/>
        <v>#DIV/0!</v>
      </c>
      <c r="L509" s="419" t="e">
        <f t="shared" si="200"/>
        <v>#DIV/0!</v>
      </c>
      <c r="M509" s="419" t="e">
        <f t="shared" si="200"/>
        <v>#DIV/0!</v>
      </c>
      <c r="N509" s="419" t="e">
        <f t="shared" si="200"/>
        <v>#DIV/0!</v>
      </c>
      <c r="O509" s="51" t="e">
        <f ca="1">SUM(OFFSET($C509,0,0,1,mth))</f>
        <v>#DIV/0!</v>
      </c>
      <c r="P509" s="382"/>
      <c r="Q509" s="446"/>
      <c r="R509" s="223"/>
      <c r="S509" s="223"/>
      <c r="T509"/>
    </row>
    <row r="510" s="38" customFormat="1" ht="15" customHeight="1" spans="1:20">
      <c r="A510" s="115" t="s">
        <v>241</v>
      </c>
      <c r="B510" s="60"/>
      <c r="C510" s="419">
        <f>C509*C19</f>
        <v>595.108358410779</v>
      </c>
      <c r="D510" s="419">
        <f t="shared" ref="D510:N510" si="201">D509*D19</f>
        <v>178.601616962232</v>
      </c>
      <c r="E510" s="419">
        <f t="shared" si="201"/>
        <v>454.602833135043</v>
      </c>
      <c r="F510" s="419">
        <f t="shared" si="201"/>
        <v>1080.67021342844</v>
      </c>
      <c r="G510" s="419">
        <f t="shared" si="201"/>
        <v>639.806288953495</v>
      </c>
      <c r="H510" s="419">
        <f t="shared" si="201"/>
        <v>386.858940560965</v>
      </c>
      <c r="I510" s="419" t="e">
        <f t="shared" si="201"/>
        <v>#DIV/0!</v>
      </c>
      <c r="J510" s="419" t="e">
        <f t="shared" si="201"/>
        <v>#DIV/0!</v>
      </c>
      <c r="K510" s="419" t="e">
        <f t="shared" si="201"/>
        <v>#DIV/0!</v>
      </c>
      <c r="L510" s="419" t="e">
        <f t="shared" si="201"/>
        <v>#DIV/0!</v>
      </c>
      <c r="M510" s="419" t="e">
        <f t="shared" si="201"/>
        <v>#DIV/0!</v>
      </c>
      <c r="N510" s="419" t="e">
        <f t="shared" si="201"/>
        <v>#DIV/0!</v>
      </c>
      <c r="O510" s="51" t="e">
        <f ca="1">SUM(OFFSET($C510,0,0,1,mth))</f>
        <v>#DIV/0!</v>
      </c>
      <c r="P510" s="382"/>
      <c r="Q510" s="446"/>
      <c r="R510" s="223"/>
      <c r="S510" s="223"/>
      <c r="T510"/>
    </row>
    <row r="511" s="38" customFormat="1" ht="15" customHeight="1" spans="1:20">
      <c r="A511" s="115" t="s">
        <v>242</v>
      </c>
      <c r="B511" s="60"/>
      <c r="C511" s="419">
        <f>C509*C20</f>
        <v>690.904524019765</v>
      </c>
      <c r="D511" s="419">
        <f t="shared" ref="D511:N511" si="202">D509*D20</f>
        <v>1073.02666266813</v>
      </c>
      <c r="E511" s="419">
        <f t="shared" si="202"/>
        <v>202.252868790077</v>
      </c>
      <c r="F511" s="419">
        <f t="shared" si="202"/>
        <v>1150.74776873725</v>
      </c>
      <c r="G511" s="419">
        <f t="shared" si="202"/>
        <v>1565.73120145748</v>
      </c>
      <c r="H511" s="419">
        <f t="shared" si="202"/>
        <v>1620.21704440068</v>
      </c>
      <c r="I511" s="419" t="e">
        <f t="shared" si="202"/>
        <v>#DIV/0!</v>
      </c>
      <c r="J511" s="419" t="e">
        <f t="shared" si="202"/>
        <v>#DIV/0!</v>
      </c>
      <c r="K511" s="419" t="e">
        <f t="shared" si="202"/>
        <v>#DIV/0!</v>
      </c>
      <c r="L511" s="419" t="e">
        <f t="shared" si="202"/>
        <v>#DIV/0!</v>
      </c>
      <c r="M511" s="419" t="e">
        <f t="shared" si="202"/>
        <v>#DIV/0!</v>
      </c>
      <c r="N511" s="419" t="e">
        <f t="shared" si="202"/>
        <v>#DIV/0!</v>
      </c>
      <c r="O511" s="51" t="e">
        <f ca="1">SUM(OFFSET($C511,0,0,1,mth))</f>
        <v>#DIV/0!</v>
      </c>
      <c r="P511" s="382"/>
      <c r="Q511" s="446"/>
      <c r="R511" s="223"/>
      <c r="S511" s="223"/>
      <c r="T511"/>
    </row>
    <row r="512" s="38" customFormat="1" ht="15" customHeight="1" spans="1:20">
      <c r="A512" s="57" t="s">
        <v>232</v>
      </c>
      <c r="B512" s="50"/>
      <c r="C512" s="51">
        <f>SUM(C502:C509)</f>
        <v>156200.01</v>
      </c>
      <c r="D512" s="51">
        <f t="shared" ref="D512:O512" si="203">SUM(D502:D509)</f>
        <v>142479.35</v>
      </c>
      <c r="E512" s="51">
        <f t="shared" si="203"/>
        <v>108421.1</v>
      </c>
      <c r="F512" s="51">
        <f t="shared" si="203"/>
        <v>100747.37</v>
      </c>
      <c r="G512" s="51">
        <f t="shared" si="203"/>
        <v>91630.17</v>
      </c>
      <c r="H512" s="51">
        <f t="shared" si="203"/>
        <v>113968.28</v>
      </c>
      <c r="I512" s="51">
        <f t="shared" si="203"/>
        <v>0</v>
      </c>
      <c r="J512" s="51" t="e">
        <f t="shared" si="203"/>
        <v>#DIV/0!</v>
      </c>
      <c r="K512" s="51" t="e">
        <f t="shared" si="203"/>
        <v>#DIV/0!</v>
      </c>
      <c r="L512" s="51" t="e">
        <f t="shared" si="203"/>
        <v>#DIV/0!</v>
      </c>
      <c r="M512" s="51" t="e">
        <f t="shared" si="203"/>
        <v>#DIV/0!</v>
      </c>
      <c r="N512" s="51" t="e">
        <f t="shared" si="203"/>
        <v>#DIV/0!</v>
      </c>
      <c r="O512" s="51" t="e">
        <f ca="1" t="shared" si="203"/>
        <v>#DIV/0!</v>
      </c>
      <c r="P512" s="382"/>
      <c r="Q512" s="223"/>
      <c r="R512" s="223"/>
      <c r="S512" s="223"/>
      <c r="T512" s="223"/>
    </row>
    <row r="513" spans="1:20">
      <c r="A513" s="46" t="str">
        <f>基础表!A467</f>
        <v>其他固定成本（成本冲减项）</v>
      </c>
      <c r="B513" s="38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Q513" s="223"/>
      <c r="R513" s="223"/>
      <c r="S513" s="223"/>
      <c r="T513" s="223"/>
    </row>
    <row r="514" s="223" customFormat="1" spans="1:20">
      <c r="A514" s="321" t="str">
        <f>基础表!A468</f>
        <v>营业外收支净额（不含大额补贴）</v>
      </c>
      <c r="B514" s="57" t="str">
        <f>基础表!B468</f>
        <v>元</v>
      </c>
      <c r="C514" s="447">
        <f>基础表!C468</f>
        <v>-15078.47</v>
      </c>
      <c r="D514" s="447">
        <f>基础表!D468</f>
        <v>1000.13</v>
      </c>
      <c r="E514" s="447">
        <f>基础表!E468</f>
        <v>1000</v>
      </c>
      <c r="F514" s="447">
        <f>基础表!F468</f>
        <v>0.24</v>
      </c>
      <c r="G514" s="447">
        <f>基础表!G468</f>
        <v>0</v>
      </c>
      <c r="H514" s="447">
        <f>基础表!H468</f>
        <v>1324564.26</v>
      </c>
      <c r="I514" s="447">
        <f>基础表!I468</f>
        <v>0</v>
      </c>
      <c r="J514" s="447">
        <f>基础表!J468</f>
        <v>0</v>
      </c>
      <c r="K514" s="447">
        <f>基础表!K468</f>
        <v>0</v>
      </c>
      <c r="L514" s="447">
        <f>基础表!L468</f>
        <v>0</v>
      </c>
      <c r="M514" s="447">
        <f>基础表!M468</f>
        <v>0</v>
      </c>
      <c r="N514" s="447">
        <f>基础表!N468</f>
        <v>0</v>
      </c>
      <c r="O514" s="448">
        <f ca="1">基础表!O468</f>
        <v>1311486.16</v>
      </c>
    </row>
    <row r="515" s="223" customFormat="1" spans="1:20">
      <c r="A515" s="321" t="str">
        <f>基础表!A469</f>
        <v>其他业务利润</v>
      </c>
      <c r="B515" s="57" t="str">
        <f>基础表!B469</f>
        <v>元</v>
      </c>
      <c r="C515" s="447">
        <f>基础表!C469</f>
        <v>490934.91</v>
      </c>
      <c r="D515" s="447">
        <f>基础表!D469</f>
        <v>311374.97</v>
      </c>
      <c r="E515" s="447">
        <f>基础表!E469</f>
        <v>527995.39</v>
      </c>
      <c r="F515" s="447">
        <f>基础表!F469</f>
        <v>400536.28</v>
      </c>
      <c r="G515" s="447">
        <f>基础表!G469</f>
        <v>384212.68</v>
      </c>
      <c r="H515" s="447">
        <f>基础表!H469</f>
        <v>341701.21</v>
      </c>
      <c r="I515" s="447">
        <f>基础表!I469</f>
        <v>0</v>
      </c>
      <c r="J515" s="447">
        <f>基础表!J469</f>
        <v>0</v>
      </c>
      <c r="K515" s="447">
        <f>基础表!K469</f>
        <v>0</v>
      </c>
      <c r="L515" s="447">
        <f>基础表!L469</f>
        <v>0</v>
      </c>
      <c r="M515" s="447">
        <f>基础表!M469</f>
        <v>0</v>
      </c>
      <c r="N515" s="447">
        <f>基础表!N469</f>
        <v>0</v>
      </c>
      <c r="O515" s="448">
        <f ca="1">基础表!O469</f>
        <v>2456755.44</v>
      </c>
    </row>
    <row r="516" s="223" customFormat="1" spans="1:20">
      <c r="A516" s="321" t="str">
        <f>基础表!A470</f>
        <v>其他</v>
      </c>
      <c r="B516" s="57" t="str">
        <f>基础表!B470</f>
        <v>元</v>
      </c>
      <c r="C516" s="447">
        <f>基础表!C470</f>
        <v>0</v>
      </c>
      <c r="D516" s="447">
        <f>基础表!D470</f>
        <v>0</v>
      </c>
      <c r="E516" s="447">
        <f>基础表!E470</f>
        <v>0</v>
      </c>
      <c r="F516" s="447">
        <f>基础表!F470</f>
        <v>0</v>
      </c>
      <c r="G516" s="447">
        <f>基础表!G470</f>
        <v>0</v>
      </c>
      <c r="H516" s="447">
        <f>基础表!H470</f>
        <v>0</v>
      </c>
      <c r="I516" s="447">
        <f>基础表!I470</f>
        <v>0</v>
      </c>
      <c r="J516" s="447">
        <f>基础表!J470</f>
        <v>0</v>
      </c>
      <c r="K516" s="447">
        <f>基础表!K470</f>
        <v>0</v>
      </c>
      <c r="L516" s="447">
        <f>基础表!L470</f>
        <v>0</v>
      </c>
      <c r="M516" s="447">
        <f>基础表!M470</f>
        <v>0</v>
      </c>
      <c r="N516" s="447">
        <f>基础表!N470</f>
        <v>0</v>
      </c>
      <c r="O516" s="448">
        <f ca="1">基础表!O470</f>
        <v>0</v>
      </c>
      <c r="Q516"/>
      <c r="R516"/>
    </row>
    <row r="517" s="223" customFormat="1" spans="1:20">
      <c r="A517" s="321" t="str">
        <f>基础表!A471</f>
        <v>资产减值损失/信用减值损失</v>
      </c>
      <c r="B517" s="57" t="str">
        <f>基础表!B471</f>
        <v>元</v>
      </c>
      <c r="C517" s="447">
        <f>基础表!C471</f>
        <v>3040.11</v>
      </c>
      <c r="D517" s="447">
        <f>基础表!D471</f>
        <v>-49713.27</v>
      </c>
      <c r="E517" s="447">
        <f>基础表!E471</f>
        <v>-5758.13</v>
      </c>
      <c r="F517" s="447">
        <f>基础表!F471</f>
        <v>12160.62</v>
      </c>
      <c r="G517" s="447">
        <f>基础表!G471</f>
        <v>-818.39</v>
      </c>
      <c r="H517" s="447">
        <f>基础表!H471</f>
        <v>16517.48</v>
      </c>
      <c r="I517" s="447">
        <f>基础表!I471</f>
        <v>0</v>
      </c>
      <c r="J517" s="447">
        <f>基础表!J471</f>
        <v>0</v>
      </c>
      <c r="K517" s="447">
        <f>基础表!K471</f>
        <v>0</v>
      </c>
      <c r="L517" s="447">
        <f>基础表!L471</f>
        <v>0</v>
      </c>
      <c r="M517" s="447">
        <f>基础表!M471</f>
        <v>0</v>
      </c>
      <c r="N517" s="447">
        <f>基础表!N471</f>
        <v>0</v>
      </c>
      <c r="O517" s="448">
        <f ca="1">基础表!O471</f>
        <v>-24571.58</v>
      </c>
      <c r="Q517"/>
      <c r="R517"/>
      <c r="S517"/>
    </row>
    <row r="518" s="223" customFormat="1" spans="1:20">
      <c r="A518" s="321" t="str">
        <f>基础表!A472</f>
        <v>税金及附加</v>
      </c>
      <c r="B518" s="57" t="str">
        <f>基础表!B472</f>
        <v>元</v>
      </c>
      <c r="C518" s="447">
        <f>基础表!C472</f>
        <v>134505.2</v>
      </c>
      <c r="D518" s="447">
        <f>基础表!D472</f>
        <v>115664.62</v>
      </c>
      <c r="E518" s="447">
        <f>基础表!E472</f>
        <v>195951.71</v>
      </c>
      <c r="F518" s="447">
        <f>基础表!F472</f>
        <v>274308.59</v>
      </c>
      <c r="G518" s="447">
        <f>基础表!G472</f>
        <v>111973.14</v>
      </c>
      <c r="H518" s="447">
        <f>基础表!H472</f>
        <v>190407.37</v>
      </c>
      <c r="I518" s="447">
        <f>基础表!I472</f>
        <v>0</v>
      </c>
      <c r="J518" s="447">
        <f>基础表!J472</f>
        <v>0</v>
      </c>
      <c r="K518" s="447">
        <f>基础表!K472</f>
        <v>0</v>
      </c>
      <c r="L518" s="447">
        <f>基础表!L472</f>
        <v>0</v>
      </c>
      <c r="M518" s="447">
        <f>基础表!M472</f>
        <v>0</v>
      </c>
      <c r="N518" s="447">
        <f>基础表!N472</f>
        <v>0</v>
      </c>
      <c r="O518" s="448">
        <f ca="1">基础表!O472</f>
        <v>1022810.63</v>
      </c>
      <c r="Q518" s="38"/>
      <c r="R518" s="71"/>
      <c r="S518"/>
      <c r="T518"/>
    </row>
    <row r="519" s="223" customFormat="1" spans="1:20">
      <c r="A519" s="321" t="str">
        <f>基础表!A473</f>
        <v>其他收益</v>
      </c>
      <c r="B519" s="57" t="str">
        <f>基础表!B473</f>
        <v>元</v>
      </c>
      <c r="C519" s="447">
        <f>基础表!C473</f>
        <v>256192.46</v>
      </c>
      <c r="D519" s="447">
        <f>基础表!D473</f>
        <v>252415.96</v>
      </c>
      <c r="E519" s="447">
        <f>基础表!E473</f>
        <v>10347.58</v>
      </c>
      <c r="F519" s="447">
        <f>基础表!F473</f>
        <v>497564.25</v>
      </c>
      <c r="G519" s="447">
        <f>基础表!G473</f>
        <v>0</v>
      </c>
      <c r="H519" s="447">
        <f>基础表!H473</f>
        <v>-23.01</v>
      </c>
      <c r="I519" s="447">
        <f>基础表!I473</f>
        <v>0</v>
      </c>
      <c r="J519" s="447">
        <f>基础表!J473</f>
        <v>0</v>
      </c>
      <c r="K519" s="447">
        <f>基础表!K473</f>
        <v>0</v>
      </c>
      <c r="L519" s="447">
        <f>基础表!L473</f>
        <v>0</v>
      </c>
      <c r="M519" s="447">
        <f>基础表!M473</f>
        <v>0</v>
      </c>
      <c r="N519" s="447">
        <f>基础表!N473</f>
        <v>0</v>
      </c>
      <c r="O519" s="448">
        <f ca="1">基础表!O473</f>
        <v>1016497.24</v>
      </c>
      <c r="Q519" s="38"/>
      <c r="R519" s="71"/>
      <c r="S519" s="38"/>
      <c r="T519"/>
    </row>
    <row r="520" s="223" customFormat="1" spans="1:20">
      <c r="A520" s="321" t="s">
        <v>296</v>
      </c>
      <c r="B520" s="57" t="str">
        <f>基础表!B474</f>
        <v>元</v>
      </c>
      <c r="C520" s="447">
        <f>基础表!C474</f>
        <v>6041.39999999999</v>
      </c>
      <c r="D520" s="447">
        <f>基础表!D474</f>
        <v>-13269.8</v>
      </c>
      <c r="E520" s="447">
        <f>基础表!E474</f>
        <v>-13674.41</v>
      </c>
      <c r="F520" s="447">
        <f>基础表!F474</f>
        <v>-44946.64</v>
      </c>
      <c r="G520" s="447">
        <f>基础表!G474</f>
        <v>92939.13</v>
      </c>
      <c r="H520" s="447">
        <f>基础表!H474</f>
        <v>11236.34</v>
      </c>
      <c r="I520" s="447">
        <f>基础表!I474</f>
        <v>0</v>
      </c>
      <c r="J520" s="447">
        <f>基础表!J474</f>
        <v>0</v>
      </c>
      <c r="K520" s="447">
        <f>基础表!K474</f>
        <v>0</v>
      </c>
      <c r="L520" s="447">
        <f>基础表!L474</f>
        <v>0</v>
      </c>
      <c r="M520" s="447">
        <f>基础表!M474</f>
        <v>0</v>
      </c>
      <c r="N520" s="447">
        <f>基础表!N474</f>
        <v>0</v>
      </c>
      <c r="O520" s="447">
        <f ca="1">基础表!O474</f>
        <v>38326.02</v>
      </c>
      <c r="Q520" s="38"/>
      <c r="R520" s="71"/>
      <c r="S520" s="38"/>
      <c r="T520"/>
    </row>
    <row r="521" spans="1:20">
      <c r="A521" s="449" t="str">
        <f>基础表!A475</f>
        <v>合计</v>
      </c>
      <c r="B521" s="57" t="str">
        <f>基础表!B475</f>
        <v>元</v>
      </c>
      <c r="C521" s="447">
        <f>基础表!C475</f>
        <v>-600544.99</v>
      </c>
      <c r="D521" s="447">
        <f>基础表!D475</f>
        <v>-485569.91</v>
      </c>
      <c r="E521" s="447">
        <f>基础表!E475</f>
        <v>-335474.98</v>
      </c>
      <c r="F521" s="447">
        <f>基础表!F475</f>
        <v>-566684.92</v>
      </c>
      <c r="G521" s="447">
        <f>基础表!G475</f>
        <v>-365997.06</v>
      </c>
      <c r="H521" s="447">
        <f>基础表!H475</f>
        <v>-1470553.95</v>
      </c>
      <c r="I521" s="447">
        <f>基础表!I475</f>
        <v>0</v>
      </c>
      <c r="J521" s="447">
        <f>基础表!J475</f>
        <v>0</v>
      </c>
      <c r="K521" s="447">
        <f>基础表!K475</f>
        <v>0</v>
      </c>
      <c r="L521" s="447">
        <f>基础表!L475</f>
        <v>0</v>
      </c>
      <c r="M521" s="447">
        <f>基础表!M475</f>
        <v>0</v>
      </c>
      <c r="N521" s="447">
        <f>基础表!N475</f>
        <v>0</v>
      </c>
      <c r="O521" s="448">
        <f ca="1">基础表!O475</f>
        <v>-3824825.81</v>
      </c>
      <c r="Q521" s="38"/>
      <c r="R521" s="71"/>
      <c r="S521" s="38"/>
      <c r="T521" s="38"/>
    </row>
    <row r="522" spans="1:20">
      <c r="A522" s="450" t="s">
        <v>297</v>
      </c>
      <c r="B522" s="57" t="str">
        <f>基础表!B476</f>
        <v>元</v>
      </c>
      <c r="C522" s="447">
        <f>基础表!C476</f>
        <v>227908.81</v>
      </c>
      <c r="D522" s="447">
        <f>基础表!D476</f>
        <v>267653.73</v>
      </c>
      <c r="E522" s="447">
        <f>基础表!E476</f>
        <v>358299.39</v>
      </c>
      <c r="F522" s="447">
        <f>基础表!F476</f>
        <v>308792.92</v>
      </c>
      <c r="G522" s="447">
        <f>基础表!G476</f>
        <v>324265.77</v>
      </c>
      <c r="H522" s="447">
        <f>基础表!H476</f>
        <v>329312.71</v>
      </c>
      <c r="I522" s="447">
        <f>基础表!I476</f>
        <v>0</v>
      </c>
      <c r="J522" s="447">
        <f>基础表!J476</f>
        <v>0</v>
      </c>
      <c r="K522" s="447">
        <f>基础表!K476</f>
        <v>0</v>
      </c>
      <c r="L522" s="447">
        <f>基础表!L476</f>
        <v>0</v>
      </c>
      <c r="M522" s="447">
        <f>基础表!M476</f>
        <v>0</v>
      </c>
      <c r="N522" s="447">
        <f>基础表!N476</f>
        <v>0</v>
      </c>
      <c r="O522" s="448">
        <f ca="1">基础表!O476</f>
        <v>1816233.33</v>
      </c>
      <c r="Q522" s="38"/>
      <c r="R522" s="71"/>
      <c r="S522" s="38"/>
      <c r="T522" s="38"/>
    </row>
    <row r="523" spans="1:20">
      <c r="A523" s="38" t="s">
        <v>298</v>
      </c>
      <c r="B523" s="277"/>
      <c r="C523" s="440"/>
      <c r="D523" s="440"/>
      <c r="E523" s="440"/>
      <c r="F523" s="440"/>
      <c r="G523" s="440"/>
      <c r="H523" s="440"/>
      <c r="I523" s="440"/>
      <c r="J523" s="440"/>
      <c r="K523" s="440"/>
      <c r="L523" s="440"/>
      <c r="M523" s="440"/>
      <c r="N523" s="440"/>
      <c r="O523" s="440"/>
      <c r="Q523" s="38"/>
      <c r="R523" s="71"/>
      <c r="S523" s="38"/>
      <c r="T523" s="38"/>
    </row>
    <row r="524" s="38" customFormat="1" ht="15" customHeight="1" spans="1:20">
      <c r="A524" s="115" t="s">
        <v>252</v>
      </c>
      <c r="B524" s="50"/>
      <c r="C524" s="51">
        <f>C$521*C$5*C11</f>
        <v>-255574.039595547</v>
      </c>
      <c r="D524" s="51">
        <f t="shared" ref="C524:N524" si="204">D$521*D$5*D11</f>
        <v>-210236.092253832</v>
      </c>
      <c r="E524" s="51">
        <f t="shared" si="204"/>
        <v>-136624.639378342</v>
      </c>
      <c r="F524" s="51">
        <f t="shared" si="204"/>
        <v>-238734.65914753</v>
      </c>
      <c r="G524" s="51">
        <f t="shared" si="204"/>
        <v>-164860.108559829</v>
      </c>
      <c r="H524" s="51">
        <f t="shared" si="204"/>
        <v>-616565.908461398</v>
      </c>
      <c r="I524" s="51">
        <f t="shared" si="204"/>
        <v>0</v>
      </c>
      <c r="J524" s="51" t="e">
        <f t="shared" si="204"/>
        <v>#DIV/0!</v>
      </c>
      <c r="K524" s="51" t="e">
        <f t="shared" si="204"/>
        <v>#DIV/0!</v>
      </c>
      <c r="L524" s="51" t="e">
        <f t="shared" si="204"/>
        <v>#DIV/0!</v>
      </c>
      <c r="M524" s="51" t="e">
        <f t="shared" si="204"/>
        <v>#DIV/0!</v>
      </c>
      <c r="N524" s="51" t="e">
        <f t="shared" si="204"/>
        <v>#DIV/0!</v>
      </c>
      <c r="O524" s="51" t="e">
        <f ca="1">SUM(OFFSET($C524,0,0,1,mth))</f>
        <v>#DIV/0!</v>
      </c>
      <c r="P524" s="378"/>
      <c r="R524" s="71"/>
    </row>
    <row r="525" s="38" customFormat="1" ht="15" customHeight="1" spans="1:20">
      <c r="A525" s="115" t="s">
        <v>253</v>
      </c>
      <c r="B525" s="50"/>
      <c r="C525" s="51">
        <f t="shared" ref="C525:N525" si="205">C$521*C$5*C12</f>
        <v>0</v>
      </c>
      <c r="D525" s="51">
        <f t="shared" si="205"/>
        <v>0</v>
      </c>
      <c r="E525" s="51">
        <f t="shared" si="205"/>
        <v>0</v>
      </c>
      <c r="F525" s="51">
        <f t="shared" si="205"/>
        <v>0</v>
      </c>
      <c r="G525" s="51">
        <f t="shared" si="205"/>
        <v>0</v>
      </c>
      <c r="H525" s="51">
        <f t="shared" si="205"/>
        <v>0</v>
      </c>
      <c r="I525" s="51">
        <f t="shared" si="205"/>
        <v>0</v>
      </c>
      <c r="J525" s="51" t="e">
        <f t="shared" si="205"/>
        <v>#DIV/0!</v>
      </c>
      <c r="K525" s="51" t="e">
        <f t="shared" si="205"/>
        <v>#DIV/0!</v>
      </c>
      <c r="L525" s="51" t="e">
        <f t="shared" si="205"/>
        <v>#DIV/0!</v>
      </c>
      <c r="M525" s="51" t="e">
        <f t="shared" si="205"/>
        <v>#DIV/0!</v>
      </c>
      <c r="N525" s="51" t="e">
        <f t="shared" si="205"/>
        <v>#DIV/0!</v>
      </c>
      <c r="O525" s="51" t="e">
        <f ca="1">SUM(OFFSET($C525,0,0,1,mth))</f>
        <v>#DIV/0!</v>
      </c>
      <c r="P525" s="382"/>
      <c r="R525" s="71"/>
    </row>
    <row r="526" s="38" customFormat="1" ht="15" customHeight="1" spans="1:20">
      <c r="A526" s="115" t="s">
        <v>268</v>
      </c>
      <c r="B526" s="400"/>
      <c r="C526" s="51">
        <f t="shared" ref="C526:N526" si="206">C$521*C$5*C13</f>
        <v>0</v>
      </c>
      <c r="D526" s="51">
        <f t="shared" si="206"/>
        <v>0</v>
      </c>
      <c r="E526" s="51">
        <f t="shared" si="206"/>
        <v>0</v>
      </c>
      <c r="F526" s="51">
        <f t="shared" si="206"/>
        <v>0</v>
      </c>
      <c r="G526" s="51">
        <f t="shared" si="206"/>
        <v>0</v>
      </c>
      <c r="H526" s="51">
        <f t="shared" si="206"/>
        <v>0</v>
      </c>
      <c r="I526" s="51">
        <f t="shared" si="206"/>
        <v>0</v>
      </c>
      <c r="J526" s="51" t="e">
        <f t="shared" si="206"/>
        <v>#DIV/0!</v>
      </c>
      <c r="K526" s="51" t="e">
        <f t="shared" si="206"/>
        <v>#DIV/0!</v>
      </c>
      <c r="L526" s="51" t="e">
        <f t="shared" si="206"/>
        <v>#DIV/0!</v>
      </c>
      <c r="M526" s="51" t="e">
        <f t="shared" si="206"/>
        <v>#DIV/0!</v>
      </c>
      <c r="N526" s="51" t="e">
        <f t="shared" si="206"/>
        <v>#DIV/0!</v>
      </c>
      <c r="O526" s="51" t="e">
        <f ca="1">SUM(OFFSET($C526,0,0,1,mth))</f>
        <v>#DIV/0!</v>
      </c>
      <c r="P526" s="382"/>
      <c r="R526" s="71"/>
    </row>
    <row r="527" s="38" customFormat="1" ht="15" customHeight="1" spans="1:20">
      <c r="A527" s="115" t="s">
        <v>255</v>
      </c>
      <c r="B527" s="400"/>
      <c r="C527" s="51">
        <f t="shared" ref="C527:N527" si="207">C$521*C$5*C14</f>
        <v>0</v>
      </c>
      <c r="D527" s="51">
        <f t="shared" si="207"/>
        <v>-9670.9749481107</v>
      </c>
      <c r="E527" s="51">
        <f t="shared" si="207"/>
        <v>-9121.66724017386</v>
      </c>
      <c r="F527" s="51">
        <f t="shared" si="207"/>
        <v>-14295.7634607353</v>
      </c>
      <c r="G527" s="51">
        <f t="shared" si="207"/>
        <v>0</v>
      </c>
      <c r="H527" s="51">
        <f t="shared" si="207"/>
        <v>-26134.0839167455</v>
      </c>
      <c r="I527" s="51">
        <f t="shared" si="207"/>
        <v>0</v>
      </c>
      <c r="J527" s="51" t="e">
        <f t="shared" si="207"/>
        <v>#DIV/0!</v>
      </c>
      <c r="K527" s="51" t="e">
        <f t="shared" si="207"/>
        <v>#DIV/0!</v>
      </c>
      <c r="L527" s="51" t="e">
        <f t="shared" si="207"/>
        <v>#DIV/0!</v>
      </c>
      <c r="M527" s="51" t="e">
        <f t="shared" si="207"/>
        <v>#DIV/0!</v>
      </c>
      <c r="N527" s="51" t="e">
        <f t="shared" si="207"/>
        <v>#DIV/0!</v>
      </c>
      <c r="O527" s="51" t="e">
        <f ca="1">SUM(OFFSET($C527,0,0,1,mth))</f>
        <v>#DIV/0!</v>
      </c>
      <c r="P527" s="382"/>
      <c r="Q527"/>
      <c r="R527"/>
    </row>
    <row r="528" s="38" customFormat="1" ht="15" customHeight="1" spans="1:20">
      <c r="A528" s="115" t="s">
        <v>256</v>
      </c>
      <c r="B528" s="60"/>
      <c r="C528" s="51">
        <f t="shared" ref="C528:N528" si="208">C$521*C$5*C15</f>
        <v>-44698.4554044527</v>
      </c>
      <c r="D528" s="51">
        <f t="shared" si="208"/>
        <v>-21931.8760934707</v>
      </c>
      <c r="E528" s="51">
        <f t="shared" si="208"/>
        <v>-21991.1833814846</v>
      </c>
      <c r="F528" s="51">
        <f t="shared" si="208"/>
        <v>-30312.0373917342</v>
      </c>
      <c r="G528" s="51">
        <f t="shared" si="208"/>
        <v>-18138.4214401712</v>
      </c>
      <c r="H528" s="51">
        <f t="shared" si="208"/>
        <v>-92576.9826218568</v>
      </c>
      <c r="I528" s="51">
        <f t="shared" si="208"/>
        <v>0</v>
      </c>
      <c r="J528" s="51" t="e">
        <f t="shared" si="208"/>
        <v>#DIV/0!</v>
      </c>
      <c r="K528" s="51" t="e">
        <f t="shared" si="208"/>
        <v>#DIV/0!</v>
      </c>
      <c r="L528" s="51" t="e">
        <f t="shared" si="208"/>
        <v>#DIV/0!</v>
      </c>
      <c r="M528" s="51" t="e">
        <f t="shared" si="208"/>
        <v>#DIV/0!</v>
      </c>
      <c r="N528" s="51" t="e">
        <f t="shared" si="208"/>
        <v>#DIV/0!</v>
      </c>
      <c r="O528" s="51" t="e">
        <f ca="1">SUM(OFFSET($C528,0,0,1,mth))</f>
        <v>#DIV/0!</v>
      </c>
      <c r="P528" s="382"/>
      <c r="Q528"/>
      <c r="R528"/>
      <c r="S528"/>
    </row>
    <row r="529" s="38" customFormat="1" ht="15" customHeight="1" spans="1:20">
      <c r="A529" s="115" t="s">
        <v>257</v>
      </c>
      <c r="B529" s="60"/>
      <c r="C529" s="51">
        <f t="shared" ref="C529:N529" si="209">C$521*C$5*C16</f>
        <v>0</v>
      </c>
      <c r="D529" s="51">
        <f t="shared" si="209"/>
        <v>-946.011704586719</v>
      </c>
      <c r="E529" s="51">
        <f t="shared" si="209"/>
        <v>0</v>
      </c>
      <c r="F529" s="51">
        <f t="shared" si="209"/>
        <v>0</v>
      </c>
      <c r="G529" s="51">
        <f t="shared" si="209"/>
        <v>0</v>
      </c>
      <c r="H529" s="51">
        <f t="shared" si="209"/>
        <v>0</v>
      </c>
      <c r="I529" s="51">
        <f t="shared" si="209"/>
        <v>0</v>
      </c>
      <c r="J529" s="51" t="e">
        <f t="shared" si="209"/>
        <v>#DIV/0!</v>
      </c>
      <c r="K529" s="51" t="e">
        <f t="shared" si="209"/>
        <v>#DIV/0!</v>
      </c>
      <c r="L529" s="51" t="e">
        <f t="shared" si="209"/>
        <v>#DIV/0!</v>
      </c>
      <c r="M529" s="51" t="e">
        <f t="shared" si="209"/>
        <v>#DIV/0!</v>
      </c>
      <c r="N529" s="51" t="e">
        <f t="shared" si="209"/>
        <v>#DIV/0!</v>
      </c>
      <c r="O529" s="51" t="e">
        <f ca="1">SUM(OFFSET($C529,0,0,1,mth))</f>
        <v>#DIV/0!</v>
      </c>
      <c r="P529" s="382"/>
      <c r="Q529"/>
      <c r="R529"/>
      <c r="S529"/>
    </row>
    <row r="530" s="38" customFormat="1" ht="15" customHeight="1" spans="1:20">
      <c r="A530" s="115" t="s">
        <v>258</v>
      </c>
      <c r="B530" s="60"/>
      <c r="C530" s="51">
        <f>C521*C$6*C$33</f>
        <v>-295328.138123076</v>
      </c>
      <c r="D530" s="51">
        <f t="shared" ref="D530:N530" si="210">D521*D$6*D$33</f>
        <v>-238519.403317643</v>
      </c>
      <c r="E530" s="51">
        <f t="shared" si="210"/>
        <v>-165705.056705501</v>
      </c>
      <c r="F530" s="51">
        <f t="shared" si="210"/>
        <v>-270791.155477508</v>
      </c>
      <c r="G530" s="51">
        <f t="shared" si="210"/>
        <v>-174188.983567747</v>
      </c>
      <c r="H530" s="51">
        <f t="shared" si="210"/>
        <v>-709379.299632472</v>
      </c>
      <c r="I530" s="51">
        <f t="shared" si="210"/>
        <v>0</v>
      </c>
      <c r="J530" s="51" t="e">
        <f t="shared" si="210"/>
        <v>#DIV/0!</v>
      </c>
      <c r="K530" s="51" t="e">
        <f t="shared" si="210"/>
        <v>#DIV/0!</v>
      </c>
      <c r="L530" s="51" t="e">
        <f t="shared" si="210"/>
        <v>#DIV/0!</v>
      </c>
      <c r="M530" s="51" t="e">
        <f t="shared" si="210"/>
        <v>#DIV/0!</v>
      </c>
      <c r="N530" s="51" t="e">
        <f t="shared" si="210"/>
        <v>#DIV/0!</v>
      </c>
      <c r="O530" s="51" t="e">
        <f ca="1">SUM(OFFSET($C530,0,0,1,mth))</f>
        <v>#DIV/0!</v>
      </c>
      <c r="P530" s="382"/>
      <c r="Q530"/>
      <c r="R530"/>
      <c r="S530"/>
      <c r="T530"/>
    </row>
    <row r="531" s="38" customFormat="1" ht="15" customHeight="1" spans="1:20">
      <c r="A531" s="451" t="s">
        <v>240</v>
      </c>
      <c r="B531" s="60"/>
      <c r="C531" s="51">
        <f>C521*C$6*(C$34+C$35)</f>
        <v>-4944.35687692416</v>
      </c>
      <c r="D531" s="51">
        <f t="shared" ref="D531:N531" si="211">D521*D$6*(D$34+D$35)</f>
        <v>-4265.55168235655</v>
      </c>
      <c r="E531" s="51">
        <f t="shared" si="211"/>
        <v>-2032.43329449909</v>
      </c>
      <c r="F531" s="51">
        <f t="shared" si="211"/>
        <v>-12551.3045224915</v>
      </c>
      <c r="G531" s="51">
        <f t="shared" si="211"/>
        <v>-8809.54643225256</v>
      </c>
      <c r="H531" s="51">
        <f t="shared" si="211"/>
        <v>-25897.6753675277</v>
      </c>
      <c r="I531" s="51">
        <f t="shared" si="211"/>
        <v>0</v>
      </c>
      <c r="J531" s="51" t="e">
        <f t="shared" si="211"/>
        <v>#DIV/0!</v>
      </c>
      <c r="K531" s="51" t="e">
        <f t="shared" si="211"/>
        <v>#DIV/0!</v>
      </c>
      <c r="L531" s="51" t="e">
        <f t="shared" si="211"/>
        <v>#DIV/0!</v>
      </c>
      <c r="M531" s="51" t="e">
        <f t="shared" si="211"/>
        <v>#DIV/0!</v>
      </c>
      <c r="N531" s="51" t="e">
        <f t="shared" si="211"/>
        <v>#DIV/0!</v>
      </c>
      <c r="O531" s="51" t="e">
        <f ca="1">SUM(OFFSET($C531,0,0,1,mth))</f>
        <v>#DIV/0!</v>
      </c>
      <c r="P531" s="382"/>
      <c r="Q531" s="446"/>
      <c r="R531"/>
      <c r="S531"/>
      <c r="T531"/>
    </row>
    <row r="532" s="38" customFormat="1" ht="15" customHeight="1" spans="1:20">
      <c r="A532" s="452" t="s">
        <v>241</v>
      </c>
      <c r="B532" s="60"/>
      <c r="C532" s="51">
        <f>C531*C19</f>
        <v>-2288.02381735262</v>
      </c>
      <c r="D532" s="51">
        <f t="shared" ref="D532:N532" si="212">D531*D19</f>
        <v>-608.674668112997</v>
      </c>
      <c r="E532" s="51">
        <f t="shared" si="212"/>
        <v>-1406.62542949594</v>
      </c>
      <c r="F532" s="51">
        <f t="shared" si="212"/>
        <v>-6078.56575752876</v>
      </c>
      <c r="G532" s="51">
        <f t="shared" si="212"/>
        <v>-2555.56898701039</v>
      </c>
      <c r="H532" s="51">
        <f t="shared" si="212"/>
        <v>-4991.71298483002</v>
      </c>
      <c r="I532" s="51" t="e">
        <f t="shared" si="212"/>
        <v>#DIV/0!</v>
      </c>
      <c r="J532" s="51" t="e">
        <f t="shared" si="212"/>
        <v>#DIV/0!</v>
      </c>
      <c r="K532" s="51" t="e">
        <f t="shared" si="212"/>
        <v>#DIV/0!</v>
      </c>
      <c r="L532" s="51" t="e">
        <f t="shared" si="212"/>
        <v>#DIV/0!</v>
      </c>
      <c r="M532" s="51" t="e">
        <f t="shared" si="212"/>
        <v>#DIV/0!</v>
      </c>
      <c r="N532" s="51" t="e">
        <f t="shared" si="212"/>
        <v>#DIV/0!</v>
      </c>
      <c r="O532" s="51" t="e">
        <f ca="1">SUM(OFFSET($C532,0,0,1,mth))</f>
        <v>#DIV/0!</v>
      </c>
      <c r="P532" s="382"/>
      <c r="Q532" s="446"/>
      <c r="R532"/>
      <c r="S532"/>
      <c r="T532"/>
    </row>
    <row r="533" s="38" customFormat="1" ht="15" customHeight="1" spans="1:20">
      <c r="A533" s="452" t="s">
        <v>242</v>
      </c>
      <c r="B533" s="60"/>
      <c r="C533" s="51">
        <f>C531*C20</f>
        <v>-2656.33305957154</v>
      </c>
      <c r="D533" s="51">
        <f t="shared" ref="D533:N533" si="213">D531*D20</f>
        <v>-3656.87701424355</v>
      </c>
      <c r="E533" s="51">
        <f t="shared" si="213"/>
        <v>-625.807865003156</v>
      </c>
      <c r="F533" s="51">
        <f t="shared" si="213"/>
        <v>-6472.73876496278</v>
      </c>
      <c r="G533" s="51">
        <f t="shared" si="213"/>
        <v>-6253.97744524217</v>
      </c>
      <c r="H533" s="51">
        <f t="shared" si="213"/>
        <v>-20905.9623826976</v>
      </c>
      <c r="I533" s="51" t="e">
        <f t="shared" si="213"/>
        <v>#DIV/0!</v>
      </c>
      <c r="J533" s="51" t="e">
        <f t="shared" si="213"/>
        <v>#DIV/0!</v>
      </c>
      <c r="K533" s="51" t="e">
        <f t="shared" si="213"/>
        <v>#DIV/0!</v>
      </c>
      <c r="L533" s="51" t="e">
        <f t="shared" si="213"/>
        <v>#DIV/0!</v>
      </c>
      <c r="M533" s="51" t="e">
        <f t="shared" si="213"/>
        <v>#DIV/0!</v>
      </c>
      <c r="N533" s="51" t="e">
        <f t="shared" si="213"/>
        <v>#DIV/0!</v>
      </c>
      <c r="O533" s="51" t="e">
        <f ca="1">SUM(OFFSET($C533,0,0,1,mth))</f>
        <v>#DIV/0!</v>
      </c>
      <c r="P533" s="382"/>
      <c r="Q533" s="446"/>
      <c r="R533"/>
      <c r="S533"/>
      <c r="T533"/>
    </row>
    <row r="534" s="38" customFormat="1" ht="15" customHeight="1" spans="1:20">
      <c r="A534" s="57" t="s">
        <v>232</v>
      </c>
      <c r="B534" s="50"/>
      <c r="C534" s="51">
        <f>SUM(C524:C531)</f>
        <v>-600544.99</v>
      </c>
      <c r="D534" s="51">
        <f t="shared" ref="D534:O534" si="214">SUM(D524:D531)</f>
        <v>-485569.91</v>
      </c>
      <c r="E534" s="51">
        <f t="shared" si="214"/>
        <v>-335474.98</v>
      </c>
      <c r="F534" s="51">
        <f t="shared" si="214"/>
        <v>-566684.92</v>
      </c>
      <c r="G534" s="51">
        <f t="shared" si="214"/>
        <v>-365997.06</v>
      </c>
      <c r="H534" s="51">
        <f t="shared" si="214"/>
        <v>-1470553.95</v>
      </c>
      <c r="I534" s="51">
        <f t="shared" si="214"/>
        <v>0</v>
      </c>
      <c r="J534" s="51" t="e">
        <f t="shared" si="214"/>
        <v>#DIV/0!</v>
      </c>
      <c r="K534" s="51" t="e">
        <f t="shared" si="214"/>
        <v>#DIV/0!</v>
      </c>
      <c r="L534" s="51" t="e">
        <f t="shared" si="214"/>
        <v>#DIV/0!</v>
      </c>
      <c r="M534" s="51" t="e">
        <f t="shared" si="214"/>
        <v>#DIV/0!</v>
      </c>
      <c r="N534" s="51" t="e">
        <f t="shared" si="214"/>
        <v>#DIV/0!</v>
      </c>
      <c r="O534" s="51" t="e">
        <f ca="1" t="shared" si="214"/>
        <v>#DIV/0!</v>
      </c>
      <c r="P534" s="382"/>
      <c r="Q534"/>
      <c r="R534"/>
      <c r="S534"/>
      <c r="T534"/>
    </row>
    <row r="535" spans="1:20">
      <c r="A535" s="38" t="s">
        <v>299</v>
      </c>
      <c r="B535" s="277"/>
      <c r="C535" s="440"/>
      <c r="D535" s="440"/>
      <c r="E535" s="440"/>
      <c r="F535" s="440"/>
      <c r="G535" s="440"/>
      <c r="H535" s="440"/>
      <c r="I535" s="440"/>
      <c r="J535" s="440"/>
      <c r="K535" s="440"/>
      <c r="L535" s="440"/>
      <c r="M535" s="440"/>
      <c r="N535" s="440"/>
      <c r="O535" s="440"/>
      <c r="Q535" s="38"/>
      <c r="R535" s="71"/>
      <c r="S535" s="38"/>
      <c r="T535" s="38"/>
    </row>
    <row r="536" s="38" customFormat="1" ht="15" customHeight="1" spans="1:20">
      <c r="A536" s="115" t="s">
        <v>252</v>
      </c>
      <c r="B536" s="50"/>
      <c r="C536" s="51">
        <f t="shared" ref="C536:N536" si="215">C518*C$5*C11</f>
        <v>57241.4021980385</v>
      </c>
      <c r="D536" s="51">
        <f t="shared" si="215"/>
        <v>50079.0457152182</v>
      </c>
      <c r="E536" s="51">
        <f t="shared" si="215"/>
        <v>79802.7671521714</v>
      </c>
      <c r="F536" s="51">
        <f t="shared" si="215"/>
        <v>115561.514738895</v>
      </c>
      <c r="G536" s="51">
        <f t="shared" si="215"/>
        <v>50437.3013711774</v>
      </c>
      <c r="H536" s="51">
        <f t="shared" si="215"/>
        <v>79832.972507942</v>
      </c>
      <c r="I536" s="51">
        <f t="shared" si="215"/>
        <v>0</v>
      </c>
      <c r="J536" s="51" t="e">
        <f t="shared" si="215"/>
        <v>#DIV/0!</v>
      </c>
      <c r="K536" s="51" t="e">
        <f t="shared" si="215"/>
        <v>#DIV/0!</v>
      </c>
      <c r="L536" s="51" t="e">
        <f t="shared" si="215"/>
        <v>#DIV/0!</v>
      </c>
      <c r="M536" s="51" t="e">
        <f t="shared" si="215"/>
        <v>#DIV/0!</v>
      </c>
      <c r="N536" s="51" t="e">
        <f t="shared" si="215"/>
        <v>#DIV/0!</v>
      </c>
      <c r="O536" s="51" t="e">
        <f ca="1">SUM(OFFSET($C536,0,0,1,mth))</f>
        <v>#DIV/0!</v>
      </c>
      <c r="P536" s="378"/>
      <c r="R536" s="71"/>
    </row>
    <row r="537" s="38" customFormat="1" ht="15" customHeight="1" spans="1:20">
      <c r="A537" s="115" t="s">
        <v>253</v>
      </c>
      <c r="B537" s="50"/>
      <c r="C537" s="51">
        <f t="shared" ref="C537:N537" si="216">C$518*C$5*C12</f>
        <v>0</v>
      </c>
      <c r="D537" s="51">
        <f t="shared" si="216"/>
        <v>0</v>
      </c>
      <c r="E537" s="51">
        <f t="shared" si="216"/>
        <v>0</v>
      </c>
      <c r="F537" s="51">
        <f t="shared" si="216"/>
        <v>0</v>
      </c>
      <c r="G537" s="51">
        <f t="shared" si="216"/>
        <v>0</v>
      </c>
      <c r="H537" s="51">
        <f t="shared" si="216"/>
        <v>0</v>
      </c>
      <c r="I537" s="51">
        <f t="shared" si="216"/>
        <v>0</v>
      </c>
      <c r="J537" s="51" t="e">
        <f t="shared" si="216"/>
        <v>#DIV/0!</v>
      </c>
      <c r="K537" s="51" t="e">
        <f t="shared" si="216"/>
        <v>#DIV/0!</v>
      </c>
      <c r="L537" s="51" t="e">
        <f t="shared" si="216"/>
        <v>#DIV/0!</v>
      </c>
      <c r="M537" s="51" t="e">
        <f t="shared" si="216"/>
        <v>#DIV/0!</v>
      </c>
      <c r="N537" s="51" t="e">
        <f t="shared" si="216"/>
        <v>#DIV/0!</v>
      </c>
      <c r="O537" s="51" t="e">
        <f ca="1">SUM(OFFSET($C537,0,0,1,mth))</f>
        <v>#DIV/0!</v>
      </c>
      <c r="P537" s="382"/>
      <c r="R537" s="71"/>
    </row>
    <row r="538" s="38" customFormat="1" ht="15" customHeight="1" spans="1:20">
      <c r="A538" s="115" t="s">
        <v>268</v>
      </c>
      <c r="B538" s="400"/>
      <c r="C538" s="51">
        <f t="shared" ref="C538:N538" si="217">C$518*C$5*C13</f>
        <v>0</v>
      </c>
      <c r="D538" s="51">
        <f t="shared" si="217"/>
        <v>0</v>
      </c>
      <c r="E538" s="51">
        <f t="shared" si="217"/>
        <v>0</v>
      </c>
      <c r="F538" s="51">
        <f t="shared" si="217"/>
        <v>0</v>
      </c>
      <c r="G538" s="51">
        <f t="shared" si="217"/>
        <v>0</v>
      </c>
      <c r="H538" s="51">
        <f t="shared" si="217"/>
        <v>0</v>
      </c>
      <c r="I538" s="51">
        <f t="shared" si="217"/>
        <v>0</v>
      </c>
      <c r="J538" s="51" t="e">
        <f t="shared" si="217"/>
        <v>#DIV/0!</v>
      </c>
      <c r="K538" s="51" t="e">
        <f t="shared" si="217"/>
        <v>#DIV/0!</v>
      </c>
      <c r="L538" s="51" t="e">
        <f t="shared" si="217"/>
        <v>#DIV/0!</v>
      </c>
      <c r="M538" s="51" t="e">
        <f t="shared" si="217"/>
        <v>#DIV/0!</v>
      </c>
      <c r="N538" s="51" t="e">
        <f t="shared" si="217"/>
        <v>#DIV/0!</v>
      </c>
      <c r="O538" s="51" t="e">
        <f ca="1">SUM(OFFSET($C538,0,0,1,mth))</f>
        <v>#DIV/0!</v>
      </c>
      <c r="P538" s="382"/>
      <c r="R538" s="71"/>
    </row>
    <row r="539" s="38" customFormat="1" ht="15" customHeight="1" spans="1:20">
      <c r="A539" s="115" t="s">
        <v>255</v>
      </c>
      <c r="B539" s="400"/>
      <c r="C539" s="51">
        <f t="shared" ref="C539:N539" si="218">C$518*C$5*C14</f>
        <v>0</v>
      </c>
      <c r="D539" s="51">
        <f t="shared" si="218"/>
        <v>2303.66342593746</v>
      </c>
      <c r="E539" s="51">
        <f t="shared" si="218"/>
        <v>5327.98688523075</v>
      </c>
      <c r="F539" s="51">
        <f t="shared" si="218"/>
        <v>6919.98424430955</v>
      </c>
      <c r="G539" s="51">
        <f t="shared" si="218"/>
        <v>0</v>
      </c>
      <c r="H539" s="51">
        <f t="shared" si="218"/>
        <v>3383.84197733569</v>
      </c>
      <c r="I539" s="51">
        <f t="shared" si="218"/>
        <v>0</v>
      </c>
      <c r="J539" s="51" t="e">
        <f t="shared" si="218"/>
        <v>#DIV/0!</v>
      </c>
      <c r="K539" s="51" t="e">
        <f t="shared" si="218"/>
        <v>#DIV/0!</v>
      </c>
      <c r="L539" s="51" t="e">
        <f t="shared" si="218"/>
        <v>#DIV/0!</v>
      </c>
      <c r="M539" s="51" t="e">
        <f t="shared" si="218"/>
        <v>#DIV/0!</v>
      </c>
      <c r="N539" s="51" t="e">
        <f t="shared" si="218"/>
        <v>#DIV/0!</v>
      </c>
      <c r="O539" s="51" t="e">
        <f ca="1">SUM(OFFSET($C539,0,0,1,mth))</f>
        <v>#DIV/0!</v>
      </c>
      <c r="P539" s="382"/>
      <c r="Q539"/>
      <c r="R539"/>
    </row>
    <row r="540" s="38" customFormat="1" ht="15" customHeight="1" spans="1:20">
      <c r="A540" s="115" t="s">
        <v>256</v>
      </c>
      <c r="B540" s="60"/>
      <c r="C540" s="51">
        <f t="shared" ref="C540:N540" si="219">C$518*C$5*C15</f>
        <v>10011.1978019615</v>
      </c>
      <c r="D540" s="51">
        <f t="shared" si="219"/>
        <v>5224.25723257518</v>
      </c>
      <c r="E540" s="51">
        <f t="shared" si="219"/>
        <v>12845.1009625978</v>
      </c>
      <c r="F540" s="51">
        <f t="shared" si="219"/>
        <v>14672.7960167951</v>
      </c>
      <c r="G540" s="51">
        <f t="shared" si="219"/>
        <v>5549.26862882258</v>
      </c>
      <c r="H540" s="51">
        <f t="shared" si="219"/>
        <v>11986.8705147223</v>
      </c>
      <c r="I540" s="51">
        <f t="shared" si="219"/>
        <v>0</v>
      </c>
      <c r="J540" s="51" t="e">
        <f t="shared" si="219"/>
        <v>#DIV/0!</v>
      </c>
      <c r="K540" s="51" t="e">
        <f t="shared" si="219"/>
        <v>#DIV/0!</v>
      </c>
      <c r="L540" s="51" t="e">
        <f t="shared" si="219"/>
        <v>#DIV/0!</v>
      </c>
      <c r="M540" s="51" t="e">
        <f t="shared" si="219"/>
        <v>#DIV/0!</v>
      </c>
      <c r="N540" s="51" t="e">
        <f t="shared" si="219"/>
        <v>#DIV/0!</v>
      </c>
      <c r="O540" s="51" t="e">
        <f ca="1">SUM(OFFSET($C540,0,0,1,mth))</f>
        <v>#DIV/0!</v>
      </c>
      <c r="P540" s="382"/>
      <c r="Q540"/>
      <c r="R540"/>
      <c r="S540"/>
    </row>
    <row r="541" s="38" customFormat="1" ht="15" customHeight="1" spans="1:20">
      <c r="A541" s="115" t="s">
        <v>257</v>
      </c>
      <c r="B541" s="60"/>
      <c r="C541" s="51">
        <f t="shared" ref="C541:N541" si="220">C$518*C$5*C16</f>
        <v>0</v>
      </c>
      <c r="D541" s="51">
        <f t="shared" si="220"/>
        <v>225.34362626913</v>
      </c>
      <c r="E541" s="51">
        <f t="shared" si="220"/>
        <v>0</v>
      </c>
      <c r="F541" s="51">
        <f t="shared" si="220"/>
        <v>0</v>
      </c>
      <c r="G541" s="51">
        <f t="shared" si="220"/>
        <v>0</v>
      </c>
      <c r="H541" s="51">
        <f t="shared" si="220"/>
        <v>0</v>
      </c>
      <c r="I541" s="51">
        <f t="shared" si="220"/>
        <v>0</v>
      </c>
      <c r="J541" s="51" t="e">
        <f t="shared" si="220"/>
        <v>#DIV/0!</v>
      </c>
      <c r="K541" s="51" t="e">
        <f t="shared" si="220"/>
        <v>#DIV/0!</v>
      </c>
      <c r="L541" s="51" t="e">
        <f t="shared" si="220"/>
        <v>#DIV/0!</v>
      </c>
      <c r="M541" s="51" t="e">
        <f t="shared" si="220"/>
        <v>#DIV/0!</v>
      </c>
      <c r="N541" s="51" t="e">
        <f t="shared" si="220"/>
        <v>#DIV/0!</v>
      </c>
      <c r="O541" s="51" t="e">
        <f ca="1">SUM(OFFSET($C541,0,0,1,mth))</f>
        <v>#DIV/0!</v>
      </c>
      <c r="P541" s="382"/>
      <c r="Q541"/>
      <c r="R541"/>
      <c r="S541"/>
    </row>
    <row r="542" s="38" customFormat="1" ht="15" customHeight="1" spans="1:20">
      <c r="A542" s="115" t="s">
        <v>258</v>
      </c>
      <c r="B542" s="60"/>
      <c r="C542" s="51">
        <f t="shared" ref="C542:N542" si="221">C$518*C$5*C33</f>
        <v>66145.2030161336</v>
      </c>
      <c r="D542" s="51">
        <f t="shared" si="221"/>
        <v>56816.239184512</v>
      </c>
      <c r="E542" s="51">
        <f t="shared" si="221"/>
        <v>96788.7060223981</v>
      </c>
      <c r="F542" s="51">
        <f t="shared" si="221"/>
        <v>131078.730740719</v>
      </c>
      <c r="G542" s="51">
        <f t="shared" si="221"/>
        <v>53291.3773774278</v>
      </c>
      <c r="H542" s="51">
        <f t="shared" si="221"/>
        <v>91850.4532087796</v>
      </c>
      <c r="I542" s="51">
        <f t="shared" si="221"/>
        <v>0</v>
      </c>
      <c r="J542" s="51" t="e">
        <f t="shared" si="221"/>
        <v>#DIV/0!</v>
      </c>
      <c r="K542" s="51" t="e">
        <f t="shared" si="221"/>
        <v>#DIV/0!</v>
      </c>
      <c r="L542" s="51" t="e">
        <f t="shared" si="221"/>
        <v>#DIV/0!</v>
      </c>
      <c r="M542" s="51" t="e">
        <f t="shared" si="221"/>
        <v>#DIV/0!</v>
      </c>
      <c r="N542" s="51" t="e">
        <f t="shared" si="221"/>
        <v>#DIV/0!</v>
      </c>
      <c r="O542" s="51" t="e">
        <f ca="1">SUM(OFFSET($C542,0,0,1,mth))</f>
        <v>#DIV/0!</v>
      </c>
      <c r="P542" s="382"/>
      <c r="Q542"/>
      <c r="R542"/>
      <c r="S542"/>
      <c r="T542"/>
    </row>
    <row r="543" s="38" customFormat="1" ht="15" customHeight="1" spans="1:20">
      <c r="A543" s="451" t="s">
        <v>240</v>
      </c>
      <c r="B543" s="60"/>
      <c r="C543" s="51">
        <f>C$518*C$5*(C34+C35)</f>
        <v>1107.39698386637</v>
      </c>
      <c r="D543" s="51">
        <f t="shared" ref="D543:N543" si="222">D$518*D$5*(D34+D35)</f>
        <v>1016.07081548799</v>
      </c>
      <c r="E543" s="51">
        <f t="shared" si="222"/>
        <v>1187.14897760194</v>
      </c>
      <c r="F543" s="51">
        <f t="shared" si="222"/>
        <v>6075.56425928058</v>
      </c>
      <c r="G543" s="51">
        <f t="shared" si="222"/>
        <v>2695.1926225722</v>
      </c>
      <c r="H543" s="51">
        <f t="shared" si="222"/>
        <v>3353.23179122039</v>
      </c>
      <c r="I543" s="51">
        <f t="shared" si="222"/>
        <v>0</v>
      </c>
      <c r="J543" s="51" t="e">
        <f t="shared" si="222"/>
        <v>#DIV/0!</v>
      </c>
      <c r="K543" s="51" t="e">
        <f t="shared" si="222"/>
        <v>#DIV/0!</v>
      </c>
      <c r="L543" s="51" t="e">
        <f t="shared" si="222"/>
        <v>#DIV/0!</v>
      </c>
      <c r="M543" s="51" t="e">
        <f t="shared" si="222"/>
        <v>#DIV/0!</v>
      </c>
      <c r="N543" s="51" t="e">
        <f t="shared" si="222"/>
        <v>#DIV/0!</v>
      </c>
      <c r="O543" s="51" t="e">
        <f ca="1">SUM(OFFSET($C543,0,0,1,mth))</f>
        <v>#DIV/0!</v>
      </c>
      <c r="P543" s="382"/>
      <c r="Q543" s="446"/>
      <c r="R543"/>
      <c r="S543"/>
      <c r="T543"/>
    </row>
    <row r="544" s="38" customFormat="1" ht="15" customHeight="1" spans="1:20">
      <c r="A544" s="452" t="s">
        <v>241</v>
      </c>
      <c r="B544" s="60"/>
      <c r="C544" s="51">
        <f>C543*C19</f>
        <v>512.453032299509</v>
      </c>
      <c r="D544" s="51">
        <f t="shared" ref="D544:N544" si="223">D543*D19</f>
        <v>144.988646827222</v>
      </c>
      <c r="E544" s="51">
        <f t="shared" si="223"/>
        <v>821.613159464868</v>
      </c>
      <c r="F544" s="51">
        <f t="shared" si="223"/>
        <v>2942.38075396465</v>
      </c>
      <c r="G544" s="51">
        <f t="shared" si="223"/>
        <v>781.850772140553</v>
      </c>
      <c r="H544" s="51">
        <f t="shared" si="223"/>
        <v>646.327148511847</v>
      </c>
      <c r="I544" s="51" t="e">
        <f t="shared" si="223"/>
        <v>#DIV/0!</v>
      </c>
      <c r="J544" s="51" t="e">
        <f t="shared" si="223"/>
        <v>#DIV/0!</v>
      </c>
      <c r="K544" s="51" t="e">
        <f t="shared" si="223"/>
        <v>#DIV/0!</v>
      </c>
      <c r="L544" s="51" t="e">
        <f t="shared" si="223"/>
        <v>#DIV/0!</v>
      </c>
      <c r="M544" s="51" t="e">
        <f t="shared" si="223"/>
        <v>#DIV/0!</v>
      </c>
      <c r="N544" s="51" t="e">
        <f t="shared" si="223"/>
        <v>#DIV/0!</v>
      </c>
      <c r="O544" s="51" t="e">
        <f ca="1">SUM(OFFSET($C544,0,0,1,mth))</f>
        <v>#DIV/0!</v>
      </c>
      <c r="P544" s="382"/>
      <c r="Q544" s="446"/>
      <c r="R544"/>
      <c r="S544"/>
      <c r="T544"/>
    </row>
    <row r="545" s="38" customFormat="1" ht="15" customHeight="1" spans="1:20">
      <c r="A545" s="452" t="s">
        <v>242</v>
      </c>
      <c r="B545" s="60"/>
      <c r="C545" s="51">
        <f>C543*C20</f>
        <v>594.943951566862</v>
      </c>
      <c r="D545" s="51">
        <f t="shared" ref="D545:N545" si="224">D543*D20</f>
        <v>871.082168660771</v>
      </c>
      <c r="E545" s="51">
        <f t="shared" si="224"/>
        <v>365.535818137071</v>
      </c>
      <c r="F545" s="51">
        <f t="shared" si="224"/>
        <v>3133.18350531594</v>
      </c>
      <c r="G545" s="51">
        <f t="shared" si="224"/>
        <v>1913.34185043165</v>
      </c>
      <c r="H545" s="51">
        <f t="shared" si="224"/>
        <v>2706.90464270854</v>
      </c>
      <c r="I545" s="51" t="e">
        <f t="shared" si="224"/>
        <v>#DIV/0!</v>
      </c>
      <c r="J545" s="51" t="e">
        <f t="shared" si="224"/>
        <v>#DIV/0!</v>
      </c>
      <c r="K545" s="51" t="e">
        <f t="shared" si="224"/>
        <v>#DIV/0!</v>
      </c>
      <c r="L545" s="51" t="e">
        <f t="shared" si="224"/>
        <v>#DIV/0!</v>
      </c>
      <c r="M545" s="51" t="e">
        <f t="shared" si="224"/>
        <v>#DIV/0!</v>
      </c>
      <c r="N545" s="51" t="e">
        <f t="shared" si="224"/>
        <v>#DIV/0!</v>
      </c>
      <c r="O545" s="51" t="e">
        <f ca="1">SUM(OFFSET($C545,0,0,1,mth))</f>
        <v>#DIV/0!</v>
      </c>
      <c r="P545" s="382"/>
      <c r="Q545" s="446"/>
      <c r="R545"/>
      <c r="S545"/>
      <c r="T545"/>
    </row>
    <row r="546" s="38" customFormat="1" ht="15" customHeight="1" spans="1:20">
      <c r="A546" s="57" t="s">
        <v>232</v>
      </c>
      <c r="B546" s="50"/>
      <c r="C546" s="51">
        <f>SUM(C536:C543)</f>
        <v>134505.2</v>
      </c>
      <c r="D546" s="51">
        <f t="shared" ref="D546:O546" si="225">SUM(D536:D543)</f>
        <v>115664.62</v>
      </c>
      <c r="E546" s="51">
        <f t="shared" si="225"/>
        <v>195951.71</v>
      </c>
      <c r="F546" s="51">
        <f t="shared" si="225"/>
        <v>274308.59</v>
      </c>
      <c r="G546" s="51">
        <f t="shared" si="225"/>
        <v>111973.14</v>
      </c>
      <c r="H546" s="51">
        <f t="shared" si="225"/>
        <v>190407.37</v>
      </c>
      <c r="I546" s="51">
        <f t="shared" si="225"/>
        <v>0</v>
      </c>
      <c r="J546" s="51" t="e">
        <f t="shared" si="225"/>
        <v>#DIV/0!</v>
      </c>
      <c r="K546" s="51" t="e">
        <f t="shared" si="225"/>
        <v>#DIV/0!</v>
      </c>
      <c r="L546" s="51" t="e">
        <f t="shared" si="225"/>
        <v>#DIV/0!</v>
      </c>
      <c r="M546" s="51" t="e">
        <f t="shared" si="225"/>
        <v>#DIV/0!</v>
      </c>
      <c r="N546" s="51" t="e">
        <f t="shared" si="225"/>
        <v>#DIV/0!</v>
      </c>
      <c r="O546" s="51" t="e">
        <f ca="1" t="shared" si="225"/>
        <v>#DIV/0!</v>
      </c>
      <c r="P546" s="382"/>
      <c r="Q546"/>
      <c r="R546"/>
      <c r="S546"/>
      <c r="T546"/>
    </row>
    <row r="547" spans="1:20">
      <c r="A547" s="38" t="s">
        <v>300</v>
      </c>
      <c r="B547" s="277"/>
      <c r="C547" s="440"/>
      <c r="D547" s="440"/>
      <c r="E547" s="440"/>
      <c r="F547" s="440"/>
      <c r="G547" s="440"/>
      <c r="H547" s="440"/>
      <c r="I547" s="440"/>
      <c r="J547" s="440"/>
      <c r="K547" s="440"/>
      <c r="L547" s="440"/>
      <c r="M547" s="440"/>
      <c r="N547" s="440"/>
      <c r="O547" s="440"/>
      <c r="Q547" s="38"/>
      <c r="R547" s="71"/>
      <c r="S547" s="38"/>
      <c r="T547" s="38"/>
    </row>
    <row r="548" s="38" customFormat="1" ht="15" customHeight="1" spans="1:20">
      <c r="A548" s="115" t="s">
        <v>252</v>
      </c>
      <c r="B548" s="50"/>
      <c r="C548" s="51">
        <f t="shared" ref="C548:N548" si="226">-C$515*C$5*C11</f>
        <v>-208927.258101306</v>
      </c>
      <c r="D548" s="51">
        <f t="shared" si="226"/>
        <v>-134815.30788935</v>
      </c>
      <c r="E548" s="51">
        <f t="shared" si="226"/>
        <v>-215029.984507866</v>
      </c>
      <c r="F548" s="51">
        <f t="shared" si="226"/>
        <v>-168739.080408245</v>
      </c>
      <c r="G548" s="51">
        <f t="shared" si="226"/>
        <v>-173065.171984886</v>
      </c>
      <c r="H548" s="51">
        <f t="shared" si="226"/>
        <v>-143266.63565523</v>
      </c>
      <c r="I548" s="51">
        <f t="shared" si="226"/>
        <v>0</v>
      </c>
      <c r="J548" s="51" t="e">
        <f t="shared" si="226"/>
        <v>#DIV/0!</v>
      </c>
      <c r="K548" s="51" t="e">
        <f t="shared" si="226"/>
        <v>#DIV/0!</v>
      </c>
      <c r="L548" s="51" t="e">
        <f t="shared" si="226"/>
        <v>#DIV/0!</v>
      </c>
      <c r="M548" s="51" t="e">
        <f t="shared" si="226"/>
        <v>#DIV/0!</v>
      </c>
      <c r="N548" s="51" t="e">
        <f t="shared" si="226"/>
        <v>#DIV/0!</v>
      </c>
      <c r="O548" s="51" t="e">
        <f ca="1">SUM(OFFSET($C548,0,0,1,mth))</f>
        <v>#DIV/0!</v>
      </c>
      <c r="P548" s="378"/>
      <c r="R548" s="71"/>
    </row>
    <row r="549" s="38" customFormat="1" ht="15" customHeight="1" spans="1:20">
      <c r="A549" s="115" t="s">
        <v>253</v>
      </c>
      <c r="B549" s="50"/>
      <c r="C549" s="51">
        <f t="shared" ref="C549:N549" si="227">-C$515*C$5*C12</f>
        <v>0</v>
      </c>
      <c r="D549" s="51">
        <f t="shared" si="227"/>
        <v>0</v>
      </c>
      <c r="E549" s="51">
        <f t="shared" si="227"/>
        <v>0</v>
      </c>
      <c r="F549" s="51">
        <f t="shared" si="227"/>
        <v>0</v>
      </c>
      <c r="G549" s="51">
        <f t="shared" si="227"/>
        <v>0</v>
      </c>
      <c r="H549" s="51">
        <f t="shared" si="227"/>
        <v>0</v>
      </c>
      <c r="I549" s="51">
        <f t="shared" si="227"/>
        <v>0</v>
      </c>
      <c r="J549" s="51" t="e">
        <f t="shared" si="227"/>
        <v>#DIV/0!</v>
      </c>
      <c r="K549" s="51" t="e">
        <f t="shared" si="227"/>
        <v>#DIV/0!</v>
      </c>
      <c r="L549" s="51" t="e">
        <f t="shared" si="227"/>
        <v>#DIV/0!</v>
      </c>
      <c r="M549" s="51" t="e">
        <f t="shared" si="227"/>
        <v>#DIV/0!</v>
      </c>
      <c r="N549" s="51" t="e">
        <f t="shared" si="227"/>
        <v>#DIV/0!</v>
      </c>
      <c r="O549" s="51" t="e">
        <f ca="1">SUM(OFFSET($C549,0,0,1,mth))</f>
        <v>#DIV/0!</v>
      </c>
      <c r="P549" s="382"/>
      <c r="R549" s="71"/>
    </row>
    <row r="550" s="38" customFormat="1" ht="15" customHeight="1" spans="1:20">
      <c r="A550" s="115" t="s">
        <v>268</v>
      </c>
      <c r="B550" s="400"/>
      <c r="C550" s="51">
        <f t="shared" ref="C550:N550" si="228">-C$515*C$5*C13</f>
        <v>0</v>
      </c>
      <c r="D550" s="51">
        <f t="shared" si="228"/>
        <v>0</v>
      </c>
      <c r="E550" s="51">
        <f t="shared" si="228"/>
        <v>0</v>
      </c>
      <c r="F550" s="51">
        <f t="shared" si="228"/>
        <v>0</v>
      </c>
      <c r="G550" s="51">
        <f t="shared" si="228"/>
        <v>0</v>
      </c>
      <c r="H550" s="51">
        <f t="shared" si="228"/>
        <v>0</v>
      </c>
      <c r="I550" s="51">
        <f t="shared" si="228"/>
        <v>0</v>
      </c>
      <c r="J550" s="51" t="e">
        <f t="shared" si="228"/>
        <v>#DIV/0!</v>
      </c>
      <c r="K550" s="51" t="e">
        <f t="shared" si="228"/>
        <v>#DIV/0!</v>
      </c>
      <c r="L550" s="51" t="e">
        <f t="shared" si="228"/>
        <v>#DIV/0!</v>
      </c>
      <c r="M550" s="51" t="e">
        <f t="shared" si="228"/>
        <v>#DIV/0!</v>
      </c>
      <c r="N550" s="51" t="e">
        <f t="shared" si="228"/>
        <v>#DIV/0!</v>
      </c>
      <c r="O550" s="51" t="e">
        <f ca="1">SUM(OFFSET($C550,0,0,1,mth))</f>
        <v>#DIV/0!</v>
      </c>
      <c r="P550" s="382"/>
      <c r="R550" s="71"/>
    </row>
    <row r="551" s="38" customFormat="1" ht="15" customHeight="1" spans="1:20">
      <c r="A551" s="115" t="s">
        <v>255</v>
      </c>
      <c r="B551" s="400"/>
      <c r="C551" s="51">
        <f t="shared" ref="C551:N551" si="229">-C$515*C$5*C14</f>
        <v>0</v>
      </c>
      <c r="D551" s="51">
        <f t="shared" si="229"/>
        <v>-6201.57771790003</v>
      </c>
      <c r="E551" s="51">
        <f t="shared" si="229"/>
        <v>-14356.3560296682</v>
      </c>
      <c r="F551" s="51">
        <f t="shared" si="229"/>
        <v>-10104.330844595</v>
      </c>
      <c r="G551" s="51">
        <f t="shared" si="229"/>
        <v>0</v>
      </c>
      <c r="H551" s="51">
        <f t="shared" si="229"/>
        <v>-6072.57428168036</v>
      </c>
      <c r="I551" s="51">
        <f t="shared" si="229"/>
        <v>0</v>
      </c>
      <c r="J551" s="51" t="e">
        <f t="shared" si="229"/>
        <v>#DIV/0!</v>
      </c>
      <c r="K551" s="51" t="e">
        <f t="shared" si="229"/>
        <v>#DIV/0!</v>
      </c>
      <c r="L551" s="51" t="e">
        <f t="shared" si="229"/>
        <v>#DIV/0!</v>
      </c>
      <c r="M551" s="51" t="e">
        <f t="shared" si="229"/>
        <v>#DIV/0!</v>
      </c>
      <c r="N551" s="51" t="e">
        <f t="shared" si="229"/>
        <v>#DIV/0!</v>
      </c>
      <c r="O551" s="51" t="e">
        <f ca="1">SUM(OFFSET($C551,0,0,1,mth))</f>
        <v>#DIV/0!</v>
      </c>
      <c r="P551" s="382"/>
      <c r="Q551"/>
      <c r="R551"/>
    </row>
    <row r="552" s="38" customFormat="1" ht="15" customHeight="1" spans="1:20">
      <c r="A552" s="115" t="s">
        <v>256</v>
      </c>
      <c r="B552" s="60"/>
      <c r="C552" s="51">
        <f t="shared" ref="C552:N552" si="230">-C$515*C$5*C15</f>
        <v>-36540.1968986937</v>
      </c>
      <c r="D552" s="51">
        <f t="shared" si="230"/>
        <v>-14063.9630257323</v>
      </c>
      <c r="E552" s="51">
        <f t="shared" si="230"/>
        <v>-34611.3544624654</v>
      </c>
      <c r="F552" s="51">
        <f t="shared" si="230"/>
        <v>-21424.7287471601</v>
      </c>
      <c r="G552" s="51">
        <f t="shared" si="230"/>
        <v>-19041.1680151137</v>
      </c>
      <c r="H552" s="51">
        <f t="shared" si="230"/>
        <v>-21511.39506309</v>
      </c>
      <c r="I552" s="51">
        <f t="shared" si="230"/>
        <v>0</v>
      </c>
      <c r="J552" s="51" t="e">
        <f t="shared" si="230"/>
        <v>#DIV/0!</v>
      </c>
      <c r="K552" s="51" t="e">
        <f t="shared" si="230"/>
        <v>#DIV/0!</v>
      </c>
      <c r="L552" s="51" t="e">
        <f t="shared" si="230"/>
        <v>#DIV/0!</v>
      </c>
      <c r="M552" s="51" t="e">
        <f t="shared" si="230"/>
        <v>#DIV/0!</v>
      </c>
      <c r="N552" s="51" t="e">
        <f t="shared" si="230"/>
        <v>#DIV/0!</v>
      </c>
      <c r="O552" s="51" t="e">
        <f ca="1">SUM(OFFSET($C552,0,0,1,mth))</f>
        <v>#DIV/0!</v>
      </c>
      <c r="P552" s="382"/>
      <c r="Q552"/>
      <c r="R552"/>
      <c r="S552"/>
    </row>
    <row r="553" s="38" customFormat="1" ht="15" customHeight="1" spans="1:20">
      <c r="A553" s="115" t="s">
        <v>257</v>
      </c>
      <c r="B553" s="60"/>
      <c r="C553" s="51">
        <f t="shared" ref="C553:N553" si="231">-C$515*C$5*C16</f>
        <v>0</v>
      </c>
      <c r="D553" s="51">
        <f t="shared" si="231"/>
        <v>-606.636367017344</v>
      </c>
      <c r="E553" s="51">
        <f t="shared" si="231"/>
        <v>0</v>
      </c>
      <c r="F553" s="51">
        <f t="shared" si="231"/>
        <v>0</v>
      </c>
      <c r="G553" s="51">
        <f t="shared" si="231"/>
        <v>0</v>
      </c>
      <c r="H553" s="51">
        <f t="shared" si="231"/>
        <v>0</v>
      </c>
      <c r="I553" s="51">
        <f t="shared" si="231"/>
        <v>0</v>
      </c>
      <c r="J553" s="51" t="e">
        <f t="shared" si="231"/>
        <v>#DIV/0!</v>
      </c>
      <c r="K553" s="51" t="e">
        <f t="shared" si="231"/>
        <v>#DIV/0!</v>
      </c>
      <c r="L553" s="51" t="e">
        <f t="shared" si="231"/>
        <v>#DIV/0!</v>
      </c>
      <c r="M553" s="51" t="e">
        <f t="shared" si="231"/>
        <v>#DIV/0!</v>
      </c>
      <c r="N553" s="51" t="e">
        <f t="shared" si="231"/>
        <v>#DIV/0!</v>
      </c>
      <c r="O553" s="51" t="e">
        <f ca="1">SUM(OFFSET($C553,0,0,1,mth))</f>
        <v>#DIV/0!</v>
      </c>
      <c r="P553" s="382"/>
      <c r="Q553"/>
      <c r="R553"/>
      <c r="S553"/>
    </row>
    <row r="554" s="38" customFormat="1" ht="15" customHeight="1" spans="1:20">
      <c r="A554" s="115" t="s">
        <v>258</v>
      </c>
      <c r="B554" s="60"/>
      <c r="C554" s="51">
        <f t="shared" ref="C554:N554" si="232">-C$515*C$5*C33</f>
        <v>-241425.530683255</v>
      </c>
      <c r="D554" s="51">
        <f t="shared" si="232"/>
        <v>-152952.171300007</v>
      </c>
      <c r="E554" s="51">
        <f t="shared" si="232"/>
        <v>-260798.900830676</v>
      </c>
      <c r="F554" s="51">
        <f t="shared" si="232"/>
        <v>-191396.803133323</v>
      </c>
      <c r="G554" s="51">
        <f t="shared" si="232"/>
        <v>-182858.3437338</v>
      </c>
      <c r="H554" s="51">
        <f t="shared" si="232"/>
        <v>-164832.963138393</v>
      </c>
      <c r="I554" s="51">
        <f t="shared" si="232"/>
        <v>0</v>
      </c>
      <c r="J554" s="51" t="e">
        <f t="shared" si="232"/>
        <v>#DIV/0!</v>
      </c>
      <c r="K554" s="51" t="e">
        <f t="shared" si="232"/>
        <v>#DIV/0!</v>
      </c>
      <c r="L554" s="51" t="e">
        <f t="shared" si="232"/>
        <v>#DIV/0!</v>
      </c>
      <c r="M554" s="51" t="e">
        <f t="shared" si="232"/>
        <v>#DIV/0!</v>
      </c>
      <c r="N554" s="51" t="e">
        <f t="shared" si="232"/>
        <v>#DIV/0!</v>
      </c>
      <c r="O554" s="51" t="e">
        <f ca="1">SUM(OFFSET($C554,0,0,1,mth))</f>
        <v>#DIV/0!</v>
      </c>
      <c r="P554" s="382"/>
      <c r="Q554"/>
      <c r="R554"/>
      <c r="S554"/>
      <c r="T554"/>
    </row>
    <row r="555" s="38" customFormat="1" ht="15" customHeight="1" spans="1:20">
      <c r="A555" s="451" t="s">
        <v>240</v>
      </c>
      <c r="B555" s="60"/>
      <c r="C555" s="51">
        <f>-C$515*C$5*(C34+C35)</f>
        <v>-4041.92431674543</v>
      </c>
      <c r="D555" s="51">
        <f t="shared" ref="D555:N555" si="233">-D$515*D$5*(D34+D35)</f>
        <v>-2735.3136999927</v>
      </c>
      <c r="E555" s="51">
        <f t="shared" si="233"/>
        <v>-3198.79416932384</v>
      </c>
      <c r="F555" s="51">
        <f t="shared" si="233"/>
        <v>-8871.33686667705</v>
      </c>
      <c r="G555" s="51">
        <f t="shared" si="233"/>
        <v>-9247.99626620005</v>
      </c>
      <c r="H555" s="51">
        <f t="shared" si="233"/>
        <v>-6017.64186160691</v>
      </c>
      <c r="I555" s="51">
        <f t="shared" si="233"/>
        <v>0</v>
      </c>
      <c r="J555" s="51" t="e">
        <f t="shared" si="233"/>
        <v>#DIV/0!</v>
      </c>
      <c r="K555" s="51" t="e">
        <f t="shared" si="233"/>
        <v>#DIV/0!</v>
      </c>
      <c r="L555" s="51" t="e">
        <f t="shared" si="233"/>
        <v>#DIV/0!</v>
      </c>
      <c r="M555" s="51" t="e">
        <f t="shared" si="233"/>
        <v>#DIV/0!</v>
      </c>
      <c r="N555" s="51" t="e">
        <f t="shared" si="233"/>
        <v>#DIV/0!</v>
      </c>
      <c r="O555" s="51" t="e">
        <f ca="1">SUM(OFFSET($C555,0,0,1,mth))</f>
        <v>#DIV/0!</v>
      </c>
      <c r="P555" s="382"/>
      <c r="Q555" s="446"/>
      <c r="R555"/>
      <c r="S555"/>
      <c r="T555"/>
    </row>
    <row r="556" s="38" customFormat="1" ht="15" customHeight="1" spans="1:20">
      <c r="A556" s="452" t="s">
        <v>241</v>
      </c>
      <c r="B556" s="60"/>
      <c r="C556" s="51">
        <f>C555*C19</f>
        <v>-1870.41901198754</v>
      </c>
      <c r="D556" s="51">
        <f t="shared" ref="D556:N556" si="234">D555*D19</f>
        <v>-390.316723957307</v>
      </c>
      <c r="E556" s="51">
        <f t="shared" si="234"/>
        <v>-2213.85136450601</v>
      </c>
      <c r="F556" s="51">
        <f t="shared" si="234"/>
        <v>-4296.36651749256</v>
      </c>
      <c r="G556" s="51">
        <f t="shared" si="234"/>
        <v>-2682.75928070063</v>
      </c>
      <c r="H556" s="51">
        <f t="shared" si="234"/>
        <v>-1159.88561105774</v>
      </c>
      <c r="I556" s="51" t="e">
        <f t="shared" si="234"/>
        <v>#DIV/0!</v>
      </c>
      <c r="J556" s="51" t="e">
        <f t="shared" si="234"/>
        <v>#DIV/0!</v>
      </c>
      <c r="K556" s="51" t="e">
        <f t="shared" si="234"/>
        <v>#DIV/0!</v>
      </c>
      <c r="L556" s="51" t="e">
        <f t="shared" si="234"/>
        <v>#DIV/0!</v>
      </c>
      <c r="M556" s="51" t="e">
        <f t="shared" si="234"/>
        <v>#DIV/0!</v>
      </c>
      <c r="N556" s="51" t="e">
        <f t="shared" si="234"/>
        <v>#DIV/0!</v>
      </c>
      <c r="O556" s="51" t="e">
        <f ca="1">SUM(OFFSET($C556,0,0,1,mth))</f>
        <v>#DIV/0!</v>
      </c>
      <c r="P556" s="382"/>
      <c r="Q556" s="446"/>
      <c r="R556"/>
      <c r="S556"/>
      <c r="T556"/>
    </row>
    <row r="557" s="38" customFormat="1" ht="15" customHeight="1" spans="1:20">
      <c r="A557" s="452" t="s">
        <v>242</v>
      </c>
      <c r="B557" s="60"/>
      <c r="C557" s="51">
        <f>C555*C20</f>
        <v>-2171.50530475789</v>
      </c>
      <c r="D557" s="51">
        <f t="shared" ref="D557:N557" si="235">D555*D20</f>
        <v>-2344.99697603539</v>
      </c>
      <c r="E557" s="51">
        <f t="shared" si="235"/>
        <v>-984.94280481784</v>
      </c>
      <c r="F557" s="51">
        <f t="shared" si="235"/>
        <v>-4574.97034918449</v>
      </c>
      <c r="G557" s="51">
        <f t="shared" si="235"/>
        <v>-6565.23698549941</v>
      </c>
      <c r="H557" s="51">
        <f t="shared" si="235"/>
        <v>-4857.75625054915</v>
      </c>
      <c r="I557" s="51" t="e">
        <f t="shared" si="235"/>
        <v>#DIV/0!</v>
      </c>
      <c r="J557" s="51" t="e">
        <f t="shared" si="235"/>
        <v>#DIV/0!</v>
      </c>
      <c r="K557" s="51" t="e">
        <f t="shared" si="235"/>
        <v>#DIV/0!</v>
      </c>
      <c r="L557" s="51" t="e">
        <f t="shared" si="235"/>
        <v>#DIV/0!</v>
      </c>
      <c r="M557" s="51" t="e">
        <f t="shared" si="235"/>
        <v>#DIV/0!</v>
      </c>
      <c r="N557" s="51" t="e">
        <f t="shared" si="235"/>
        <v>#DIV/0!</v>
      </c>
      <c r="O557" s="51" t="e">
        <f ca="1">SUM(OFFSET($C557,0,0,1,mth))</f>
        <v>#DIV/0!</v>
      </c>
      <c r="P557" s="382"/>
      <c r="Q557" s="446"/>
      <c r="R557"/>
      <c r="S557"/>
      <c r="T557"/>
    </row>
    <row r="558" s="38" customFormat="1" ht="15" customHeight="1" spans="1:20">
      <c r="A558" s="57" t="s">
        <v>232</v>
      </c>
      <c r="B558" s="50"/>
      <c r="C558" s="51">
        <f>SUM(C548:C555)</f>
        <v>-490934.91</v>
      </c>
      <c r="D558" s="51">
        <f t="shared" ref="D558:O558" si="236">SUM(D548:D555)</f>
        <v>-311374.97</v>
      </c>
      <c r="E558" s="51">
        <f t="shared" si="236"/>
        <v>-527995.39</v>
      </c>
      <c r="F558" s="51">
        <f t="shared" si="236"/>
        <v>-400536.28</v>
      </c>
      <c r="G558" s="51">
        <f t="shared" si="236"/>
        <v>-384212.68</v>
      </c>
      <c r="H558" s="51">
        <f t="shared" si="236"/>
        <v>-341701.21</v>
      </c>
      <c r="I558" s="51">
        <f t="shared" si="236"/>
        <v>0</v>
      </c>
      <c r="J558" s="51" t="e">
        <f t="shared" si="236"/>
        <v>#DIV/0!</v>
      </c>
      <c r="K558" s="51" t="e">
        <f t="shared" si="236"/>
        <v>#DIV/0!</v>
      </c>
      <c r="L558" s="51" t="e">
        <f t="shared" si="236"/>
        <v>#DIV/0!</v>
      </c>
      <c r="M558" s="51" t="e">
        <f t="shared" si="236"/>
        <v>#DIV/0!</v>
      </c>
      <c r="N558" s="51" t="e">
        <f t="shared" si="236"/>
        <v>#DIV/0!</v>
      </c>
      <c r="O558" s="51" t="e">
        <f ca="1" t="shared" si="236"/>
        <v>#DIV/0!</v>
      </c>
      <c r="P558" s="382"/>
      <c r="Q558"/>
      <c r="R558"/>
      <c r="S558"/>
      <c r="T558"/>
    </row>
    <row r="559" spans="1:20">
      <c r="A559" s="38" t="s">
        <v>301</v>
      </c>
      <c r="B559" s="277"/>
      <c r="C559" s="440"/>
      <c r="D559" s="440"/>
      <c r="E559" s="440"/>
      <c r="F559" s="440"/>
      <c r="G559" s="440"/>
      <c r="H559" s="440"/>
      <c r="I559" s="440"/>
      <c r="J559" s="440"/>
      <c r="K559" s="440"/>
      <c r="L559" s="440"/>
      <c r="M559" s="440"/>
      <c r="N559" s="440"/>
      <c r="O559" s="440"/>
      <c r="Q559" s="38"/>
      <c r="R559" s="71"/>
      <c r="S559" s="38"/>
      <c r="T559" s="38"/>
    </row>
    <row r="560" s="38" customFormat="1" ht="15" customHeight="1" spans="1:20">
      <c r="A560" s="115" t="s">
        <v>252</v>
      </c>
      <c r="B560" s="50"/>
      <c r="C560" s="51">
        <f t="shared" ref="C560:N560" si="237">-C$520*C$5*C11</f>
        <v>-2571.03968648966</v>
      </c>
      <c r="D560" s="51">
        <f t="shared" si="237"/>
        <v>5745.39492570678</v>
      </c>
      <c r="E560" s="51">
        <f t="shared" si="237"/>
        <v>5569.00349159149</v>
      </c>
      <c r="F560" s="51">
        <f t="shared" si="237"/>
        <v>18935.2502625741</v>
      </c>
      <c r="G560" s="51">
        <f t="shared" si="237"/>
        <v>-41863.6014760775</v>
      </c>
      <c r="H560" s="51">
        <f t="shared" si="237"/>
        <v>-4711.11187718148</v>
      </c>
      <c r="I560" s="51">
        <f t="shared" si="237"/>
        <v>0</v>
      </c>
      <c r="J560" s="51" t="e">
        <f t="shared" si="237"/>
        <v>#DIV/0!</v>
      </c>
      <c r="K560" s="51" t="e">
        <f t="shared" si="237"/>
        <v>#DIV/0!</v>
      </c>
      <c r="L560" s="51" t="e">
        <f t="shared" si="237"/>
        <v>#DIV/0!</v>
      </c>
      <c r="M560" s="51" t="e">
        <f t="shared" si="237"/>
        <v>#DIV/0!</v>
      </c>
      <c r="N560" s="51" t="e">
        <f t="shared" si="237"/>
        <v>#DIV/0!</v>
      </c>
      <c r="O560" s="51" t="e">
        <f ca="1">SUM(OFFSET($C560,0,0,1,mth))</f>
        <v>#DIV/0!</v>
      </c>
      <c r="P560" s="378"/>
      <c r="R560" s="71"/>
    </row>
    <row r="561" s="38" customFormat="1" ht="15" customHeight="1" spans="1:20">
      <c r="A561" s="115" t="s">
        <v>253</v>
      </c>
      <c r="B561" s="50"/>
      <c r="C561" s="51">
        <f t="shared" ref="C561:N561" si="238">-C$520*C$5*C12</f>
        <v>0</v>
      </c>
      <c r="D561" s="51">
        <f t="shared" si="238"/>
        <v>0</v>
      </c>
      <c r="E561" s="51">
        <f t="shared" si="238"/>
        <v>0</v>
      </c>
      <c r="F561" s="51">
        <f t="shared" si="238"/>
        <v>0</v>
      </c>
      <c r="G561" s="51">
        <f t="shared" si="238"/>
        <v>0</v>
      </c>
      <c r="H561" s="51">
        <f t="shared" si="238"/>
        <v>0</v>
      </c>
      <c r="I561" s="51">
        <f t="shared" si="238"/>
        <v>0</v>
      </c>
      <c r="J561" s="51" t="e">
        <f t="shared" si="238"/>
        <v>#DIV/0!</v>
      </c>
      <c r="K561" s="51" t="e">
        <f t="shared" si="238"/>
        <v>#DIV/0!</v>
      </c>
      <c r="L561" s="51" t="e">
        <f t="shared" si="238"/>
        <v>#DIV/0!</v>
      </c>
      <c r="M561" s="51" t="e">
        <f t="shared" si="238"/>
        <v>#DIV/0!</v>
      </c>
      <c r="N561" s="51" t="e">
        <f t="shared" si="238"/>
        <v>#DIV/0!</v>
      </c>
      <c r="O561" s="51" t="e">
        <f ca="1">SUM(OFFSET($C561,0,0,1,mth))</f>
        <v>#DIV/0!</v>
      </c>
      <c r="P561" s="382"/>
      <c r="R561" s="71"/>
    </row>
    <row r="562" s="38" customFormat="1" ht="15" customHeight="1" spans="1:20">
      <c r="A562" s="115" t="s">
        <v>268</v>
      </c>
      <c r="B562" s="400"/>
      <c r="C562" s="51">
        <f t="shared" ref="C562:N562" si="239">-C$520*C$5*C13</f>
        <v>0</v>
      </c>
      <c r="D562" s="51">
        <f t="shared" si="239"/>
        <v>0</v>
      </c>
      <c r="E562" s="51">
        <f t="shared" si="239"/>
        <v>0</v>
      </c>
      <c r="F562" s="51">
        <f t="shared" si="239"/>
        <v>0</v>
      </c>
      <c r="G562" s="51">
        <f t="shared" si="239"/>
        <v>0</v>
      </c>
      <c r="H562" s="51">
        <f t="shared" si="239"/>
        <v>0</v>
      </c>
      <c r="I562" s="51">
        <f t="shared" si="239"/>
        <v>0</v>
      </c>
      <c r="J562" s="51" t="e">
        <f t="shared" si="239"/>
        <v>#DIV/0!</v>
      </c>
      <c r="K562" s="51" t="e">
        <f t="shared" si="239"/>
        <v>#DIV/0!</v>
      </c>
      <c r="L562" s="51" t="e">
        <f t="shared" si="239"/>
        <v>#DIV/0!</v>
      </c>
      <c r="M562" s="51" t="e">
        <f t="shared" si="239"/>
        <v>#DIV/0!</v>
      </c>
      <c r="N562" s="51" t="e">
        <f t="shared" si="239"/>
        <v>#DIV/0!</v>
      </c>
      <c r="O562" s="51" t="e">
        <f ca="1">SUM(OFFSET($C562,0,0,1,mth))</f>
        <v>#DIV/0!</v>
      </c>
      <c r="P562" s="382"/>
      <c r="R562" s="71"/>
    </row>
    <row r="563" s="38" customFormat="1" ht="15" customHeight="1" spans="1:20">
      <c r="A563" s="115" t="s">
        <v>255</v>
      </c>
      <c r="B563" s="400"/>
      <c r="C563" s="51">
        <f t="shared" ref="C563:N563" si="240">-C$520*C$5*C14</f>
        <v>0</v>
      </c>
      <c r="D563" s="51">
        <f t="shared" si="240"/>
        <v>264.291301259667</v>
      </c>
      <c r="E563" s="51">
        <f t="shared" si="240"/>
        <v>371.811387322255</v>
      </c>
      <c r="F563" s="51">
        <f t="shared" si="240"/>
        <v>1133.86912394779</v>
      </c>
      <c r="G563" s="51">
        <f t="shared" si="240"/>
        <v>0</v>
      </c>
      <c r="H563" s="51">
        <f t="shared" si="240"/>
        <v>-199.687643202131</v>
      </c>
      <c r="I563" s="51">
        <f t="shared" si="240"/>
        <v>0</v>
      </c>
      <c r="J563" s="51" t="e">
        <f t="shared" si="240"/>
        <v>#DIV/0!</v>
      </c>
      <c r="K563" s="51" t="e">
        <f t="shared" si="240"/>
        <v>#DIV/0!</v>
      </c>
      <c r="L563" s="51" t="e">
        <f t="shared" si="240"/>
        <v>#DIV/0!</v>
      </c>
      <c r="M563" s="51" t="e">
        <f t="shared" si="240"/>
        <v>#DIV/0!</v>
      </c>
      <c r="N563" s="51" t="e">
        <f t="shared" si="240"/>
        <v>#DIV/0!</v>
      </c>
      <c r="O563" s="51" t="e">
        <f ca="1">SUM(OFFSET($C563,0,0,1,mth))</f>
        <v>#DIV/0!</v>
      </c>
      <c r="P563" s="382"/>
      <c r="Q563"/>
      <c r="R563"/>
    </row>
    <row r="564" s="38" customFormat="1" ht="15" customHeight="1" spans="1:20">
      <c r="A564" s="115" t="s">
        <v>256</v>
      </c>
      <c r="B564" s="60"/>
      <c r="C564" s="51">
        <f t="shared" ref="C564:N564" si="241">-C$520*C$5*C15</f>
        <v>-449.660313510334</v>
      </c>
      <c r="D564" s="51">
        <f t="shared" si="241"/>
        <v>599.360881701129</v>
      </c>
      <c r="E564" s="51">
        <f t="shared" si="241"/>
        <v>896.39012108625</v>
      </c>
      <c r="F564" s="51">
        <f t="shared" si="241"/>
        <v>2404.20061347815</v>
      </c>
      <c r="G564" s="51">
        <f t="shared" si="241"/>
        <v>-4605.96352392246</v>
      </c>
      <c r="H564" s="51">
        <f t="shared" si="241"/>
        <v>-707.370479616388</v>
      </c>
      <c r="I564" s="51">
        <f t="shared" si="241"/>
        <v>0</v>
      </c>
      <c r="J564" s="51" t="e">
        <f t="shared" si="241"/>
        <v>#DIV/0!</v>
      </c>
      <c r="K564" s="51" t="e">
        <f t="shared" si="241"/>
        <v>#DIV/0!</v>
      </c>
      <c r="L564" s="51" t="e">
        <f t="shared" si="241"/>
        <v>#DIV/0!</v>
      </c>
      <c r="M564" s="51" t="e">
        <f t="shared" si="241"/>
        <v>#DIV/0!</v>
      </c>
      <c r="N564" s="51" t="e">
        <f t="shared" si="241"/>
        <v>#DIV/0!</v>
      </c>
      <c r="O564" s="51" t="e">
        <f ca="1">SUM(OFFSET($C564,0,0,1,mth))</f>
        <v>#DIV/0!</v>
      </c>
      <c r="P564" s="382"/>
      <c r="Q564"/>
      <c r="R564"/>
      <c r="S564"/>
    </row>
    <row r="565" s="38" customFormat="1" ht="15" customHeight="1" spans="1:20">
      <c r="A565" s="115" t="s">
        <v>257</v>
      </c>
      <c r="B565" s="60"/>
      <c r="C565" s="51">
        <f t="shared" ref="C565:N565" si="242">-C$520*C$5*C16</f>
        <v>0</v>
      </c>
      <c r="D565" s="51">
        <f t="shared" si="242"/>
        <v>25.8528913324239</v>
      </c>
      <c r="E565" s="51">
        <f t="shared" si="242"/>
        <v>0</v>
      </c>
      <c r="F565" s="51">
        <f t="shared" si="242"/>
        <v>0</v>
      </c>
      <c r="G565" s="51">
        <f t="shared" si="242"/>
        <v>0</v>
      </c>
      <c r="H565" s="51">
        <f t="shared" si="242"/>
        <v>0</v>
      </c>
      <c r="I565" s="51">
        <f t="shared" si="242"/>
        <v>0</v>
      </c>
      <c r="J565" s="51" t="e">
        <f t="shared" si="242"/>
        <v>#DIV/0!</v>
      </c>
      <c r="K565" s="51" t="e">
        <f t="shared" si="242"/>
        <v>#DIV/0!</v>
      </c>
      <c r="L565" s="51" t="e">
        <f t="shared" si="242"/>
        <v>#DIV/0!</v>
      </c>
      <c r="M565" s="51" t="e">
        <f t="shared" si="242"/>
        <v>#DIV/0!</v>
      </c>
      <c r="N565" s="51" t="e">
        <f t="shared" si="242"/>
        <v>#DIV/0!</v>
      </c>
      <c r="O565" s="51" t="e">
        <f ca="1">SUM(OFFSET($C565,0,0,1,mth))</f>
        <v>#DIV/0!</v>
      </c>
      <c r="P565" s="382"/>
      <c r="Q565"/>
      <c r="R565"/>
      <c r="S565"/>
    </row>
    <row r="566" s="38" customFormat="1" ht="15" customHeight="1" spans="1:20">
      <c r="A566" s="115" t="s">
        <v>258</v>
      </c>
      <c r="B566" s="60"/>
      <c r="C566" s="51">
        <f t="shared" ref="C566:N566" si="243">-C$520*C$5*C33</f>
        <v>-2970.96044986862</v>
      </c>
      <c r="D566" s="51">
        <f t="shared" si="243"/>
        <v>6518.32972546521</v>
      </c>
      <c r="E566" s="51">
        <f t="shared" si="243"/>
        <v>6754.36029376697</v>
      </c>
      <c r="F566" s="51">
        <f t="shared" si="243"/>
        <v>21477.8127154532</v>
      </c>
      <c r="G566" s="51">
        <f t="shared" si="243"/>
        <v>-44232.52085241</v>
      </c>
      <c r="H566" s="51">
        <f t="shared" si="243"/>
        <v>-5420.2887283614</v>
      </c>
      <c r="I566" s="51">
        <f t="shared" si="243"/>
        <v>0</v>
      </c>
      <c r="J566" s="51" t="e">
        <f t="shared" si="243"/>
        <v>#DIV/0!</v>
      </c>
      <c r="K566" s="51" t="e">
        <f t="shared" si="243"/>
        <v>#DIV/0!</v>
      </c>
      <c r="L566" s="51" t="e">
        <f t="shared" si="243"/>
        <v>#DIV/0!</v>
      </c>
      <c r="M566" s="51" t="e">
        <f t="shared" si="243"/>
        <v>#DIV/0!</v>
      </c>
      <c r="N566" s="51" t="e">
        <f t="shared" si="243"/>
        <v>#DIV/0!</v>
      </c>
      <c r="O566" s="51" t="e">
        <f ca="1">SUM(OFFSET($C566,0,0,1,mth))</f>
        <v>#DIV/0!</v>
      </c>
      <c r="P566" s="382"/>
      <c r="Q566"/>
      <c r="R566"/>
      <c r="S566"/>
      <c r="T566"/>
    </row>
    <row r="567" s="38" customFormat="1" ht="15" customHeight="1" spans="1:20">
      <c r="A567" s="451" t="s">
        <v>240</v>
      </c>
      <c r="B567" s="60"/>
      <c r="C567" s="51">
        <f>-C$520*C$5*(C34+C35)</f>
        <v>-49.7395501313725</v>
      </c>
      <c r="D567" s="51">
        <f t="shared" ref="D567:N567" si="244">-D$520*D$5*(D34+D35)</f>
        <v>116.570274534793</v>
      </c>
      <c r="E567" s="51">
        <f t="shared" si="244"/>
        <v>82.844706233029</v>
      </c>
      <c r="F567" s="51">
        <f t="shared" si="244"/>
        <v>995.507284546762</v>
      </c>
      <c r="G567" s="51">
        <f t="shared" si="244"/>
        <v>-2237.04414759003</v>
      </c>
      <c r="H567" s="51">
        <f t="shared" si="244"/>
        <v>-197.8812716386</v>
      </c>
      <c r="I567" s="51">
        <f t="shared" si="244"/>
        <v>0</v>
      </c>
      <c r="J567" s="51" t="e">
        <f t="shared" si="244"/>
        <v>#DIV/0!</v>
      </c>
      <c r="K567" s="51" t="e">
        <f t="shared" si="244"/>
        <v>#DIV/0!</v>
      </c>
      <c r="L567" s="51" t="e">
        <f t="shared" si="244"/>
        <v>#DIV/0!</v>
      </c>
      <c r="M567" s="51" t="e">
        <f t="shared" si="244"/>
        <v>#DIV/0!</v>
      </c>
      <c r="N567" s="51" t="e">
        <f t="shared" si="244"/>
        <v>#DIV/0!</v>
      </c>
      <c r="O567" s="51" t="e">
        <f ca="1">SUM(OFFSET($C567,0,0,1,mth))</f>
        <v>#DIV/0!</v>
      </c>
      <c r="P567" s="382"/>
      <c r="Q567" s="446"/>
      <c r="R567"/>
      <c r="S567"/>
      <c r="T567"/>
    </row>
    <row r="568" s="38" customFormat="1" ht="15" customHeight="1" spans="1:20">
      <c r="A568" s="452" t="s">
        <v>241</v>
      </c>
      <c r="B568" s="60"/>
      <c r="C568" s="51">
        <f>C567*C19</f>
        <v>-23.0172049060872</v>
      </c>
      <c r="D568" s="51">
        <f t="shared" ref="D568:N568" si="245">D567*D19</f>
        <v>16.6340437176716</v>
      </c>
      <c r="E568" s="51">
        <f t="shared" si="245"/>
        <v>57.3359385530138</v>
      </c>
      <c r="F568" s="51">
        <f t="shared" si="245"/>
        <v>482.121717338044</v>
      </c>
      <c r="G568" s="51">
        <f t="shared" si="245"/>
        <v>-648.946082538824</v>
      </c>
      <c r="H568" s="51">
        <f t="shared" si="245"/>
        <v>-38.1411265326001</v>
      </c>
      <c r="I568" s="51" t="e">
        <f t="shared" si="245"/>
        <v>#DIV/0!</v>
      </c>
      <c r="J568" s="51" t="e">
        <f t="shared" si="245"/>
        <v>#DIV/0!</v>
      </c>
      <c r="K568" s="51" t="e">
        <f t="shared" si="245"/>
        <v>#DIV/0!</v>
      </c>
      <c r="L568" s="51" t="e">
        <f t="shared" si="245"/>
        <v>#DIV/0!</v>
      </c>
      <c r="M568" s="51" t="e">
        <f t="shared" si="245"/>
        <v>#DIV/0!</v>
      </c>
      <c r="N568" s="51" t="e">
        <f t="shared" si="245"/>
        <v>#DIV/0!</v>
      </c>
      <c r="O568" s="51" t="e">
        <f ca="1">SUM(OFFSET($C568,0,0,1,mth))</f>
        <v>#DIV/0!</v>
      </c>
      <c r="P568" s="382"/>
      <c r="Q568" s="446"/>
      <c r="R568"/>
      <c r="S568"/>
      <c r="T568"/>
    </row>
    <row r="569" s="38" customFormat="1" ht="15" customHeight="1" spans="1:20">
      <c r="A569" s="452" t="s">
        <v>242</v>
      </c>
      <c r="B569" s="60"/>
      <c r="C569" s="51">
        <f>C567*C20</f>
        <v>-26.7223452252852</v>
      </c>
      <c r="D569" s="51">
        <f t="shared" ref="D569:N569" si="246">D567*D20</f>
        <v>99.9362308171219</v>
      </c>
      <c r="E569" s="51">
        <f t="shared" si="246"/>
        <v>25.5087676800154</v>
      </c>
      <c r="F569" s="51">
        <f t="shared" si="246"/>
        <v>513.385567208717</v>
      </c>
      <c r="G569" s="51">
        <f t="shared" si="246"/>
        <v>-1588.09806505121</v>
      </c>
      <c r="H569" s="51">
        <f t="shared" si="246"/>
        <v>-159.740145105999</v>
      </c>
      <c r="I569" s="51" t="e">
        <f t="shared" si="246"/>
        <v>#DIV/0!</v>
      </c>
      <c r="J569" s="51" t="e">
        <f t="shared" si="246"/>
        <v>#DIV/0!</v>
      </c>
      <c r="K569" s="51" t="e">
        <f t="shared" si="246"/>
        <v>#DIV/0!</v>
      </c>
      <c r="L569" s="51" t="e">
        <f t="shared" si="246"/>
        <v>#DIV/0!</v>
      </c>
      <c r="M569" s="51" t="e">
        <f t="shared" si="246"/>
        <v>#DIV/0!</v>
      </c>
      <c r="N569" s="51" t="e">
        <f t="shared" si="246"/>
        <v>#DIV/0!</v>
      </c>
      <c r="O569" s="51" t="e">
        <f ca="1">SUM(OFFSET($C569,0,0,1,mth))</f>
        <v>#DIV/0!</v>
      </c>
      <c r="P569" s="382"/>
      <c r="Q569" s="446"/>
      <c r="R569"/>
      <c r="S569"/>
      <c r="T569"/>
    </row>
    <row r="570" s="38" customFormat="1" ht="15" customHeight="1" spans="1:20">
      <c r="A570" s="57" t="s">
        <v>232</v>
      </c>
      <c r="B570" s="50"/>
      <c r="C570" s="51">
        <f>SUM(C560:C567)</f>
        <v>-6041.39999999999</v>
      </c>
      <c r="D570" s="51">
        <f t="shared" ref="D570:O570" si="247">SUM(D560:D567)</f>
        <v>13269.8</v>
      </c>
      <c r="E570" s="51">
        <f t="shared" si="247"/>
        <v>13674.41</v>
      </c>
      <c r="F570" s="51">
        <f t="shared" si="247"/>
        <v>44946.64</v>
      </c>
      <c r="G570" s="51">
        <f t="shared" si="247"/>
        <v>-92939.13</v>
      </c>
      <c r="H570" s="51">
        <f t="shared" si="247"/>
        <v>-11236.34</v>
      </c>
      <c r="I570" s="51">
        <f t="shared" si="247"/>
        <v>0</v>
      </c>
      <c r="J570" s="51" t="e">
        <f t="shared" si="247"/>
        <v>#DIV/0!</v>
      </c>
      <c r="K570" s="51" t="e">
        <f t="shared" si="247"/>
        <v>#DIV/0!</v>
      </c>
      <c r="L570" s="51" t="e">
        <f t="shared" si="247"/>
        <v>#DIV/0!</v>
      </c>
      <c r="M570" s="51" t="e">
        <f t="shared" si="247"/>
        <v>#DIV/0!</v>
      </c>
      <c r="N570" s="51" t="e">
        <f t="shared" si="247"/>
        <v>#DIV/0!</v>
      </c>
      <c r="O570" s="51" t="e">
        <f ca="1" t="shared" si="247"/>
        <v>#DIV/0!</v>
      </c>
      <c r="P570" s="382"/>
      <c r="Q570"/>
      <c r="R570"/>
      <c r="S570"/>
      <c r="T570"/>
    </row>
    <row r="571" spans="1:20">
      <c r="A571" s="38" t="s">
        <v>302</v>
      </c>
      <c r="B571" s="277"/>
      <c r="C571" s="440"/>
      <c r="D571" s="440"/>
      <c r="E571" s="440"/>
      <c r="F571" s="440"/>
      <c r="G571" s="440"/>
      <c r="H571" s="440"/>
      <c r="I571" s="440"/>
      <c r="J571" s="440"/>
      <c r="K571" s="440"/>
      <c r="L571" s="440"/>
      <c r="M571" s="440"/>
      <c r="N571" s="440"/>
      <c r="O571" s="440"/>
      <c r="Q571" s="38"/>
      <c r="R571" s="71"/>
      <c r="S571" s="38"/>
      <c r="T571" s="38"/>
    </row>
    <row r="572" s="38" customFormat="1" ht="15" customHeight="1" spans="1:20">
      <c r="A572" s="115" t="s">
        <v>252</v>
      </c>
      <c r="B572" s="50"/>
      <c r="C572" s="51">
        <f t="shared" ref="C572:N572" si="248">-C$519*C$5*C11</f>
        <v>-109027.871360846</v>
      </c>
      <c r="D572" s="51">
        <f t="shared" si="248"/>
        <v>-109287.960312243</v>
      </c>
      <c r="E572" s="51">
        <f t="shared" si="248"/>
        <v>-4214.1276405726</v>
      </c>
      <c r="F572" s="51">
        <f t="shared" si="248"/>
        <v>-209615.303734828</v>
      </c>
      <c r="G572" s="51">
        <f t="shared" si="248"/>
        <v>0</v>
      </c>
      <c r="H572" s="51">
        <f t="shared" si="248"/>
        <v>9.64750837852413</v>
      </c>
      <c r="I572" s="51">
        <f t="shared" si="248"/>
        <v>0</v>
      </c>
      <c r="J572" s="51" t="e">
        <f t="shared" si="248"/>
        <v>#DIV/0!</v>
      </c>
      <c r="K572" s="51" t="e">
        <f t="shared" si="248"/>
        <v>#DIV/0!</v>
      </c>
      <c r="L572" s="51" t="e">
        <f t="shared" si="248"/>
        <v>#DIV/0!</v>
      </c>
      <c r="M572" s="51" t="e">
        <f t="shared" si="248"/>
        <v>#DIV/0!</v>
      </c>
      <c r="N572" s="51" t="e">
        <f t="shared" si="248"/>
        <v>#DIV/0!</v>
      </c>
      <c r="O572" s="51" t="e">
        <f ca="1">SUM(OFFSET($C572,0,0,1,mth))</f>
        <v>#DIV/0!</v>
      </c>
      <c r="P572" s="378"/>
      <c r="R572" s="71"/>
    </row>
    <row r="573" s="38" customFormat="1" ht="15" customHeight="1" spans="1:20">
      <c r="A573" s="115" t="s">
        <v>253</v>
      </c>
      <c r="B573" s="50"/>
      <c r="C573" s="51">
        <f t="shared" ref="C573:N573" si="249">-C$519*C$5*C12</f>
        <v>0</v>
      </c>
      <c r="D573" s="51">
        <f t="shared" si="249"/>
        <v>0</v>
      </c>
      <c r="E573" s="51">
        <f t="shared" si="249"/>
        <v>0</v>
      </c>
      <c r="F573" s="51">
        <f t="shared" si="249"/>
        <v>0</v>
      </c>
      <c r="G573" s="51">
        <f t="shared" si="249"/>
        <v>0</v>
      </c>
      <c r="H573" s="51">
        <f t="shared" si="249"/>
        <v>0</v>
      </c>
      <c r="I573" s="51">
        <f t="shared" si="249"/>
        <v>0</v>
      </c>
      <c r="J573" s="51" t="e">
        <f t="shared" si="249"/>
        <v>#DIV/0!</v>
      </c>
      <c r="K573" s="51" t="e">
        <f t="shared" si="249"/>
        <v>#DIV/0!</v>
      </c>
      <c r="L573" s="51" t="e">
        <f t="shared" si="249"/>
        <v>#DIV/0!</v>
      </c>
      <c r="M573" s="51" t="e">
        <f t="shared" si="249"/>
        <v>#DIV/0!</v>
      </c>
      <c r="N573" s="51" t="e">
        <f t="shared" si="249"/>
        <v>#DIV/0!</v>
      </c>
      <c r="O573" s="51" t="e">
        <f ca="1">SUM(OFFSET($C573,0,0,1,mth))</f>
        <v>#DIV/0!</v>
      </c>
      <c r="P573" s="382"/>
      <c r="R573" s="71"/>
    </row>
    <row r="574" s="38" customFormat="1" ht="15" customHeight="1" spans="1:20">
      <c r="A574" s="115" t="s">
        <v>268</v>
      </c>
      <c r="B574" s="400"/>
      <c r="C574" s="51">
        <f t="shared" ref="C574:N574" si="250">-C$519*C$5*C13</f>
        <v>0</v>
      </c>
      <c r="D574" s="51">
        <f t="shared" si="250"/>
        <v>0</v>
      </c>
      <c r="E574" s="51">
        <f t="shared" si="250"/>
        <v>0</v>
      </c>
      <c r="F574" s="51">
        <f t="shared" si="250"/>
        <v>0</v>
      </c>
      <c r="G574" s="51">
        <f t="shared" si="250"/>
        <v>0</v>
      </c>
      <c r="H574" s="51">
        <f t="shared" si="250"/>
        <v>0</v>
      </c>
      <c r="I574" s="51">
        <f t="shared" si="250"/>
        <v>0</v>
      </c>
      <c r="J574" s="51" t="e">
        <f t="shared" si="250"/>
        <v>#DIV/0!</v>
      </c>
      <c r="K574" s="51" t="e">
        <f t="shared" si="250"/>
        <v>#DIV/0!</v>
      </c>
      <c r="L574" s="51" t="e">
        <f t="shared" si="250"/>
        <v>#DIV/0!</v>
      </c>
      <c r="M574" s="51" t="e">
        <f t="shared" si="250"/>
        <v>#DIV/0!</v>
      </c>
      <c r="N574" s="51" t="e">
        <f t="shared" si="250"/>
        <v>#DIV/0!</v>
      </c>
      <c r="O574" s="51" t="e">
        <f ca="1">SUM(OFFSET($C574,0,0,1,mth))</f>
        <v>#DIV/0!</v>
      </c>
      <c r="P574" s="382"/>
      <c r="R574" s="71"/>
    </row>
    <row r="575" s="38" customFormat="1" ht="15" customHeight="1" spans="1:20">
      <c r="A575" s="115" t="s">
        <v>255</v>
      </c>
      <c r="B575" s="400"/>
      <c r="C575" s="51">
        <f t="shared" ref="C575:N575" si="251">-C$519*C$5*C14</f>
        <v>0</v>
      </c>
      <c r="D575" s="51">
        <f t="shared" si="251"/>
        <v>-5027.3058016781</v>
      </c>
      <c r="E575" s="51">
        <f t="shared" si="251"/>
        <v>-281.353862815874</v>
      </c>
      <c r="F575" s="51">
        <f t="shared" si="251"/>
        <v>-12552.0559546885</v>
      </c>
      <c r="G575" s="51">
        <f t="shared" si="251"/>
        <v>0</v>
      </c>
      <c r="H575" s="51">
        <f t="shared" si="251"/>
        <v>0.40892431789008</v>
      </c>
      <c r="I575" s="51">
        <f t="shared" si="251"/>
        <v>0</v>
      </c>
      <c r="J575" s="51" t="e">
        <f t="shared" si="251"/>
        <v>#DIV/0!</v>
      </c>
      <c r="K575" s="51" t="e">
        <f t="shared" si="251"/>
        <v>#DIV/0!</v>
      </c>
      <c r="L575" s="51" t="e">
        <f t="shared" si="251"/>
        <v>#DIV/0!</v>
      </c>
      <c r="M575" s="51" t="e">
        <f t="shared" si="251"/>
        <v>#DIV/0!</v>
      </c>
      <c r="N575" s="51" t="e">
        <f t="shared" si="251"/>
        <v>#DIV/0!</v>
      </c>
      <c r="O575" s="51" t="e">
        <f ca="1">SUM(OFFSET($C575,0,0,1,mth))</f>
        <v>#DIV/0!</v>
      </c>
      <c r="P575" s="382"/>
      <c r="Q575"/>
      <c r="R575"/>
    </row>
    <row r="576" s="38" customFormat="1" ht="15" customHeight="1" spans="1:20">
      <c r="A576" s="115" t="s">
        <v>256</v>
      </c>
      <c r="B576" s="60"/>
      <c r="C576" s="51">
        <f t="shared" ref="C576:N576" si="252">-C$519*C$5*C15</f>
        <v>-19068.3586391538</v>
      </c>
      <c r="D576" s="51">
        <f t="shared" si="252"/>
        <v>-11400.9444257665</v>
      </c>
      <c r="E576" s="51">
        <f t="shared" si="252"/>
        <v>-678.308496611529</v>
      </c>
      <c r="F576" s="51">
        <f t="shared" si="252"/>
        <v>-26614.7653104836</v>
      </c>
      <c r="G576" s="51">
        <f t="shared" si="252"/>
        <v>0</v>
      </c>
      <c r="H576" s="51">
        <f t="shared" si="252"/>
        <v>1.44856730358578</v>
      </c>
      <c r="I576" s="51">
        <f t="shared" si="252"/>
        <v>0</v>
      </c>
      <c r="J576" s="51" t="e">
        <f t="shared" si="252"/>
        <v>#DIV/0!</v>
      </c>
      <c r="K576" s="51" t="e">
        <f t="shared" si="252"/>
        <v>#DIV/0!</v>
      </c>
      <c r="L576" s="51" t="e">
        <f t="shared" si="252"/>
        <v>#DIV/0!</v>
      </c>
      <c r="M576" s="51" t="e">
        <f t="shared" si="252"/>
        <v>#DIV/0!</v>
      </c>
      <c r="N576" s="51" t="e">
        <f t="shared" si="252"/>
        <v>#DIV/0!</v>
      </c>
      <c r="O576" s="51" t="e">
        <f ca="1">SUM(OFFSET($C576,0,0,1,mth))</f>
        <v>#DIV/0!</v>
      </c>
      <c r="P576" s="382"/>
      <c r="Q576"/>
      <c r="R576"/>
      <c r="S576"/>
    </row>
    <row r="577" s="38" customFormat="1" ht="15" customHeight="1" spans="1:20">
      <c r="A577" s="115" t="s">
        <v>257</v>
      </c>
      <c r="B577" s="60"/>
      <c r="C577" s="51">
        <f t="shared" ref="C577:N577" si="253">-C$519*C$5*C16</f>
        <v>0</v>
      </c>
      <c r="D577" s="51">
        <f t="shared" si="253"/>
        <v>-491.769460312096</v>
      </c>
      <c r="E577" s="51">
        <f t="shared" si="253"/>
        <v>0</v>
      </c>
      <c r="F577" s="51">
        <f t="shared" si="253"/>
        <v>0</v>
      </c>
      <c r="G577" s="51">
        <f t="shared" si="253"/>
        <v>0</v>
      </c>
      <c r="H577" s="51">
        <f t="shared" si="253"/>
        <v>0</v>
      </c>
      <c r="I577" s="51">
        <f t="shared" si="253"/>
        <v>0</v>
      </c>
      <c r="J577" s="51" t="e">
        <f t="shared" si="253"/>
        <v>#DIV/0!</v>
      </c>
      <c r="K577" s="51" t="e">
        <f t="shared" si="253"/>
        <v>#DIV/0!</v>
      </c>
      <c r="L577" s="51" t="e">
        <f t="shared" si="253"/>
        <v>#DIV/0!</v>
      </c>
      <c r="M577" s="51" t="e">
        <f t="shared" si="253"/>
        <v>#DIV/0!</v>
      </c>
      <c r="N577" s="51" t="e">
        <f t="shared" si="253"/>
        <v>#DIV/0!</v>
      </c>
      <c r="O577" s="51" t="e">
        <f ca="1">SUM(OFFSET($C577,0,0,1,mth))</f>
        <v>#DIV/0!</v>
      </c>
      <c r="P577" s="382"/>
      <c r="Q577"/>
      <c r="R577"/>
      <c r="S577"/>
    </row>
    <row r="578" s="38" customFormat="1" ht="15" customHeight="1" spans="1:20">
      <c r="A578" s="115" t="s">
        <v>258</v>
      </c>
      <c r="B578" s="60"/>
      <c r="C578" s="51">
        <f t="shared" ref="C578:N578" si="254">-C$519*C$5*C33</f>
        <v>-125986.967625807</v>
      </c>
      <c r="D578" s="51">
        <f t="shared" si="254"/>
        <v>-123990.599349639</v>
      </c>
      <c r="E578" s="51">
        <f t="shared" si="254"/>
        <v>-5111.10047808843</v>
      </c>
      <c r="F578" s="51">
        <f t="shared" si="254"/>
        <v>-237761.749830576</v>
      </c>
      <c r="G578" s="51">
        <f t="shared" si="254"/>
        <v>0</v>
      </c>
      <c r="H578" s="51">
        <f t="shared" si="254"/>
        <v>11.0997748056392</v>
      </c>
      <c r="I578" s="51">
        <f t="shared" si="254"/>
        <v>0</v>
      </c>
      <c r="J578" s="51" t="e">
        <f t="shared" si="254"/>
        <v>#DIV/0!</v>
      </c>
      <c r="K578" s="51" t="e">
        <f t="shared" si="254"/>
        <v>#DIV/0!</v>
      </c>
      <c r="L578" s="51" t="e">
        <f t="shared" si="254"/>
        <v>#DIV/0!</v>
      </c>
      <c r="M578" s="51" t="e">
        <f t="shared" si="254"/>
        <v>#DIV/0!</v>
      </c>
      <c r="N578" s="51" t="e">
        <f t="shared" si="254"/>
        <v>#DIV/0!</v>
      </c>
      <c r="O578" s="51" t="e">
        <f ca="1">SUM(OFFSET($C578,0,0,1,mth))</f>
        <v>#DIV/0!</v>
      </c>
      <c r="P578" s="382"/>
      <c r="Q578"/>
      <c r="R578"/>
      <c r="S578"/>
      <c r="T578"/>
    </row>
    <row r="579" s="38" customFormat="1" ht="15" customHeight="1" spans="1:20">
      <c r="A579" s="451" t="s">
        <v>240</v>
      </c>
      <c r="B579" s="60"/>
      <c r="C579" s="51">
        <f>-C$519*C$5*(C34+C35)</f>
        <v>-2109.26237419301</v>
      </c>
      <c r="D579" s="51">
        <f t="shared" ref="D579:N579" si="255">-D$519*D$5*(D34+D35)</f>
        <v>-2217.38065036123</v>
      </c>
      <c r="E579" s="51">
        <f t="shared" si="255"/>
        <v>-62.6895219115681</v>
      </c>
      <c r="F579" s="51">
        <f t="shared" si="255"/>
        <v>-11020.3751694241</v>
      </c>
      <c r="G579" s="51">
        <f t="shared" si="255"/>
        <v>0</v>
      </c>
      <c r="H579" s="51">
        <f t="shared" si="255"/>
        <v>0.405225194360813</v>
      </c>
      <c r="I579" s="51">
        <f t="shared" si="255"/>
        <v>0</v>
      </c>
      <c r="J579" s="51" t="e">
        <f t="shared" si="255"/>
        <v>#DIV/0!</v>
      </c>
      <c r="K579" s="51" t="e">
        <f t="shared" si="255"/>
        <v>#DIV/0!</v>
      </c>
      <c r="L579" s="51" t="e">
        <f t="shared" si="255"/>
        <v>#DIV/0!</v>
      </c>
      <c r="M579" s="51" t="e">
        <f t="shared" si="255"/>
        <v>#DIV/0!</v>
      </c>
      <c r="N579" s="51" t="e">
        <f t="shared" si="255"/>
        <v>#DIV/0!</v>
      </c>
      <c r="O579" s="51" t="e">
        <f ca="1">SUM(OFFSET($C579,0,0,1,mth))</f>
        <v>#DIV/0!</v>
      </c>
      <c r="P579" s="382"/>
      <c r="Q579" s="446"/>
      <c r="R579"/>
      <c r="S579"/>
      <c r="T579"/>
    </row>
    <row r="580" s="38" customFormat="1" ht="15" customHeight="1" spans="1:20">
      <c r="A580" s="452" t="s">
        <v>241</v>
      </c>
      <c r="B580" s="60"/>
      <c r="C580" s="51">
        <f>C579*C19</f>
        <v>-976.070835768956</v>
      </c>
      <c r="D580" s="51">
        <f t="shared" ref="D580:N580" si="256">D579*D19</f>
        <v>-316.410052425661</v>
      </c>
      <c r="E580" s="51">
        <f t="shared" si="256"/>
        <v>-43.3867502182833</v>
      </c>
      <c r="F580" s="51">
        <f t="shared" si="256"/>
        <v>-5337.14045579416</v>
      </c>
      <c r="G580" s="51">
        <f t="shared" si="256"/>
        <v>0</v>
      </c>
      <c r="H580" s="51">
        <f t="shared" si="256"/>
        <v>0.0781061556979522</v>
      </c>
      <c r="I580" s="51" t="e">
        <f t="shared" si="256"/>
        <v>#DIV/0!</v>
      </c>
      <c r="J580" s="51" t="e">
        <f t="shared" si="256"/>
        <v>#DIV/0!</v>
      </c>
      <c r="K580" s="51" t="e">
        <f t="shared" si="256"/>
        <v>#DIV/0!</v>
      </c>
      <c r="L580" s="51" t="e">
        <f t="shared" si="256"/>
        <v>#DIV/0!</v>
      </c>
      <c r="M580" s="51" t="e">
        <f t="shared" si="256"/>
        <v>#DIV/0!</v>
      </c>
      <c r="N580" s="51" t="e">
        <f t="shared" si="256"/>
        <v>#DIV/0!</v>
      </c>
      <c r="O580" s="51" t="e">
        <f ca="1">SUM(OFFSET($C580,0,0,1,mth))</f>
        <v>#DIV/0!</v>
      </c>
      <c r="P580" s="382"/>
      <c r="Q580" s="446"/>
      <c r="R580"/>
      <c r="S580"/>
      <c r="T580"/>
    </row>
    <row r="581" s="38" customFormat="1" ht="15" customHeight="1" spans="1:20">
      <c r="A581" s="452" t="s">
        <v>242</v>
      </c>
      <c r="B581" s="60"/>
      <c r="C581" s="51">
        <f>C579*C20</f>
        <v>-1133.19153842405</v>
      </c>
      <c r="D581" s="51">
        <f t="shared" ref="D581:N581" si="257">D579*D20</f>
        <v>-1900.97059793557</v>
      </c>
      <c r="E581" s="51">
        <f t="shared" si="257"/>
        <v>-19.302771693285</v>
      </c>
      <c r="F581" s="51">
        <f t="shared" si="257"/>
        <v>-5683.23471362998</v>
      </c>
      <c r="G581" s="51">
        <f t="shared" si="257"/>
        <v>0</v>
      </c>
      <c r="H581" s="51">
        <f t="shared" si="257"/>
        <v>0.32711903866286</v>
      </c>
      <c r="I581" s="51" t="e">
        <f t="shared" si="257"/>
        <v>#DIV/0!</v>
      </c>
      <c r="J581" s="51" t="e">
        <f t="shared" si="257"/>
        <v>#DIV/0!</v>
      </c>
      <c r="K581" s="51" t="e">
        <f t="shared" si="257"/>
        <v>#DIV/0!</v>
      </c>
      <c r="L581" s="51" t="e">
        <f t="shared" si="257"/>
        <v>#DIV/0!</v>
      </c>
      <c r="M581" s="51" t="e">
        <f t="shared" si="257"/>
        <v>#DIV/0!</v>
      </c>
      <c r="N581" s="51" t="e">
        <f t="shared" si="257"/>
        <v>#DIV/0!</v>
      </c>
      <c r="O581" s="51" t="e">
        <f ca="1">SUM(OFFSET($C581,0,0,1,mth))</f>
        <v>#DIV/0!</v>
      </c>
      <c r="P581" s="382"/>
      <c r="Q581" s="446"/>
      <c r="R581"/>
      <c r="S581"/>
      <c r="T581"/>
    </row>
    <row r="582" s="38" customFormat="1" ht="15" customHeight="1" spans="1:20">
      <c r="A582" s="57" t="s">
        <v>232</v>
      </c>
      <c r="B582" s="50"/>
      <c r="C582" s="51">
        <f>SUM(C572:C579)</f>
        <v>-256192.46</v>
      </c>
      <c r="D582" s="51">
        <f t="shared" ref="D582:O582" si="258">SUM(D572:D579)</f>
        <v>-252415.96</v>
      </c>
      <c r="E582" s="51">
        <f t="shared" si="258"/>
        <v>-10347.58</v>
      </c>
      <c r="F582" s="51">
        <f t="shared" si="258"/>
        <v>-497564.25</v>
      </c>
      <c r="G582" s="51">
        <f t="shared" si="258"/>
        <v>0</v>
      </c>
      <c r="H582" s="51">
        <f t="shared" si="258"/>
        <v>23.01</v>
      </c>
      <c r="I582" s="51">
        <f t="shared" si="258"/>
        <v>0</v>
      </c>
      <c r="J582" s="51" t="e">
        <f t="shared" si="258"/>
        <v>#DIV/0!</v>
      </c>
      <c r="K582" s="51" t="e">
        <f t="shared" si="258"/>
        <v>#DIV/0!</v>
      </c>
      <c r="L582" s="51" t="e">
        <f t="shared" si="258"/>
        <v>#DIV/0!</v>
      </c>
      <c r="M582" s="51" t="e">
        <f t="shared" si="258"/>
        <v>#DIV/0!</v>
      </c>
      <c r="N582" s="51" t="e">
        <f t="shared" si="258"/>
        <v>#DIV/0!</v>
      </c>
      <c r="O582" s="51" t="e">
        <f ca="1" t="shared" si="258"/>
        <v>#DIV/0!</v>
      </c>
      <c r="P582" s="382"/>
      <c r="Q582"/>
      <c r="R582"/>
      <c r="S582"/>
      <c r="T582"/>
    </row>
    <row r="583" spans="1:20">
      <c r="A583" s="38" t="s">
        <v>303</v>
      </c>
      <c r="B583" s="277"/>
      <c r="C583" s="440"/>
      <c r="D583" s="440"/>
      <c r="E583" s="440"/>
      <c r="F583" s="440"/>
      <c r="G583" s="440"/>
      <c r="H583" s="440"/>
      <c r="I583" s="440"/>
      <c r="J583" s="440"/>
      <c r="K583" s="440"/>
      <c r="L583" s="440"/>
      <c r="M583" s="440"/>
      <c r="N583" s="440"/>
      <c r="O583" s="440"/>
      <c r="Q583" s="38"/>
      <c r="R583" s="71"/>
      <c r="S583" s="38"/>
      <c r="T583" s="38"/>
    </row>
    <row r="584" s="38" customFormat="1" ht="15" customHeight="1" spans="1:20">
      <c r="A584" s="115" t="s">
        <v>252</v>
      </c>
      <c r="B584" s="50"/>
      <c r="C584" s="51">
        <f t="shared" ref="C584:N584" si="259">C$517*C$5*C11</f>
        <v>1293.78016044197</v>
      </c>
      <c r="D584" s="51">
        <f t="shared" si="259"/>
        <v>-21524.240696792</v>
      </c>
      <c r="E584" s="51">
        <f t="shared" si="259"/>
        <v>-2345.04055933951</v>
      </c>
      <c r="F584" s="51">
        <f t="shared" si="259"/>
        <v>5123.06110196587</v>
      </c>
      <c r="G584" s="51">
        <f t="shared" si="259"/>
        <v>-368.63647004235</v>
      </c>
      <c r="H584" s="51">
        <f t="shared" si="259"/>
        <v>6925.35969978726</v>
      </c>
      <c r="I584" s="51">
        <f t="shared" si="259"/>
        <v>0</v>
      </c>
      <c r="J584" s="51" t="e">
        <f t="shared" si="259"/>
        <v>#DIV/0!</v>
      </c>
      <c r="K584" s="51" t="e">
        <f t="shared" si="259"/>
        <v>#DIV/0!</v>
      </c>
      <c r="L584" s="51" t="e">
        <f t="shared" si="259"/>
        <v>#DIV/0!</v>
      </c>
      <c r="M584" s="51" t="e">
        <f t="shared" si="259"/>
        <v>#DIV/0!</v>
      </c>
      <c r="N584" s="51" t="e">
        <f t="shared" si="259"/>
        <v>#DIV/0!</v>
      </c>
      <c r="O584" s="51" t="e">
        <f ca="1">SUM(OFFSET($C584,0,0,1,mth))</f>
        <v>#DIV/0!</v>
      </c>
      <c r="P584" s="378"/>
      <c r="R584" s="71"/>
    </row>
    <row r="585" s="38" customFormat="1" ht="15" customHeight="1" spans="1:20">
      <c r="A585" s="115" t="s">
        <v>253</v>
      </c>
      <c r="B585" s="50"/>
      <c r="C585" s="51">
        <f t="shared" ref="C585:N585" si="260">C$517*C$5*C12</f>
        <v>0</v>
      </c>
      <c r="D585" s="51">
        <f t="shared" si="260"/>
        <v>0</v>
      </c>
      <c r="E585" s="51">
        <f t="shared" si="260"/>
        <v>0</v>
      </c>
      <c r="F585" s="51">
        <f t="shared" si="260"/>
        <v>0</v>
      </c>
      <c r="G585" s="51">
        <f t="shared" si="260"/>
        <v>0</v>
      </c>
      <c r="H585" s="51">
        <f t="shared" si="260"/>
        <v>0</v>
      </c>
      <c r="I585" s="51">
        <f t="shared" si="260"/>
        <v>0</v>
      </c>
      <c r="J585" s="51" t="e">
        <f t="shared" si="260"/>
        <v>#DIV/0!</v>
      </c>
      <c r="K585" s="51" t="e">
        <f t="shared" si="260"/>
        <v>#DIV/0!</v>
      </c>
      <c r="L585" s="51" t="e">
        <f t="shared" si="260"/>
        <v>#DIV/0!</v>
      </c>
      <c r="M585" s="51" t="e">
        <f t="shared" si="260"/>
        <v>#DIV/0!</v>
      </c>
      <c r="N585" s="51" t="e">
        <f t="shared" si="260"/>
        <v>#DIV/0!</v>
      </c>
      <c r="O585" s="51" t="e">
        <f ca="1">SUM(OFFSET($C585,0,0,1,mth))</f>
        <v>#DIV/0!</v>
      </c>
      <c r="P585" s="382"/>
      <c r="R585" s="71"/>
    </row>
    <row r="586" s="38" customFormat="1" ht="15" customHeight="1" spans="1:20">
      <c r="A586" s="115" t="s">
        <v>268</v>
      </c>
      <c r="B586" s="400"/>
      <c r="C586" s="51">
        <f t="shared" ref="C586:N586" si="261">C$517*C$5*C13</f>
        <v>0</v>
      </c>
      <c r="D586" s="51">
        <f t="shared" si="261"/>
        <v>0</v>
      </c>
      <c r="E586" s="51">
        <f t="shared" si="261"/>
        <v>0</v>
      </c>
      <c r="F586" s="51">
        <f t="shared" si="261"/>
        <v>0</v>
      </c>
      <c r="G586" s="51">
        <f t="shared" si="261"/>
        <v>0</v>
      </c>
      <c r="H586" s="51">
        <f t="shared" si="261"/>
        <v>0</v>
      </c>
      <c r="I586" s="51">
        <f t="shared" si="261"/>
        <v>0</v>
      </c>
      <c r="J586" s="51" t="e">
        <f t="shared" si="261"/>
        <v>#DIV/0!</v>
      </c>
      <c r="K586" s="51" t="e">
        <f t="shared" si="261"/>
        <v>#DIV/0!</v>
      </c>
      <c r="L586" s="51" t="e">
        <f t="shared" si="261"/>
        <v>#DIV/0!</v>
      </c>
      <c r="M586" s="51" t="e">
        <f t="shared" si="261"/>
        <v>#DIV/0!</v>
      </c>
      <c r="N586" s="51" t="e">
        <f t="shared" si="261"/>
        <v>#DIV/0!</v>
      </c>
      <c r="O586" s="51" t="e">
        <f ca="1">SUM(OFFSET($C586,0,0,1,mth))</f>
        <v>#DIV/0!</v>
      </c>
      <c r="P586" s="382"/>
      <c r="R586" s="71"/>
    </row>
    <row r="587" s="38" customFormat="1" ht="15" customHeight="1" spans="1:20">
      <c r="A587" s="115" t="s">
        <v>255</v>
      </c>
      <c r="B587" s="400"/>
      <c r="C587" s="51">
        <f t="shared" ref="C587:N587" si="262">C$517*C$5*C14</f>
        <v>0</v>
      </c>
      <c r="D587" s="51">
        <f t="shared" si="262"/>
        <v>-990.12681563951</v>
      </c>
      <c r="E587" s="51">
        <f t="shared" si="262"/>
        <v>-156.565314604571</v>
      </c>
      <c r="F587" s="51">
        <f t="shared" si="262"/>
        <v>306.776024772085</v>
      </c>
      <c r="G587" s="51">
        <f t="shared" si="262"/>
        <v>0</v>
      </c>
      <c r="H587" s="51">
        <f t="shared" si="262"/>
        <v>293.541905356934</v>
      </c>
      <c r="I587" s="51">
        <f t="shared" si="262"/>
        <v>0</v>
      </c>
      <c r="J587" s="51" t="e">
        <f t="shared" si="262"/>
        <v>#DIV/0!</v>
      </c>
      <c r="K587" s="51" t="e">
        <f t="shared" si="262"/>
        <v>#DIV/0!</v>
      </c>
      <c r="L587" s="51" t="e">
        <f t="shared" si="262"/>
        <v>#DIV/0!</v>
      </c>
      <c r="M587" s="51" t="e">
        <f t="shared" si="262"/>
        <v>#DIV/0!</v>
      </c>
      <c r="N587" s="51" t="e">
        <f t="shared" si="262"/>
        <v>#DIV/0!</v>
      </c>
      <c r="O587" s="51" t="e">
        <f ca="1">SUM(OFFSET($C587,0,0,1,mth))</f>
        <v>#DIV/0!</v>
      </c>
      <c r="P587" s="382"/>
      <c r="Q587"/>
      <c r="R587"/>
    </row>
    <row r="588" s="38" customFormat="1" ht="15" customHeight="1" spans="1:20">
      <c r="A588" s="115" t="s">
        <v>256</v>
      </c>
      <c r="B588" s="60"/>
      <c r="C588" s="51">
        <f t="shared" ref="C588:N588" si="263">C$517*C$5*C15</f>
        <v>226.274839558033</v>
      </c>
      <c r="D588" s="51">
        <f t="shared" si="263"/>
        <v>-2245.41359624458</v>
      </c>
      <c r="E588" s="51">
        <f t="shared" si="263"/>
        <v>-377.459126055922</v>
      </c>
      <c r="F588" s="51">
        <f t="shared" si="263"/>
        <v>650.472873262042</v>
      </c>
      <c r="G588" s="51">
        <f t="shared" si="263"/>
        <v>-40.5585299576498</v>
      </c>
      <c r="H588" s="51">
        <f t="shared" si="263"/>
        <v>1039.83839485581</v>
      </c>
      <c r="I588" s="51">
        <f t="shared" si="263"/>
        <v>0</v>
      </c>
      <c r="J588" s="51" t="e">
        <f t="shared" si="263"/>
        <v>#DIV/0!</v>
      </c>
      <c r="K588" s="51" t="e">
        <f t="shared" si="263"/>
        <v>#DIV/0!</v>
      </c>
      <c r="L588" s="51" t="e">
        <f t="shared" si="263"/>
        <v>#DIV/0!</v>
      </c>
      <c r="M588" s="51" t="e">
        <f t="shared" si="263"/>
        <v>#DIV/0!</v>
      </c>
      <c r="N588" s="51" t="e">
        <f t="shared" si="263"/>
        <v>#DIV/0!</v>
      </c>
      <c r="O588" s="51" t="e">
        <f ca="1">SUM(OFFSET($C588,0,0,1,mth))</f>
        <v>#DIV/0!</v>
      </c>
      <c r="P588" s="382"/>
      <c r="Q588"/>
      <c r="R588"/>
      <c r="S588"/>
    </row>
    <row r="589" s="38" customFormat="1" ht="15" customHeight="1" spans="1:20">
      <c r="A589" s="115" t="s">
        <v>257</v>
      </c>
      <c r="B589" s="60"/>
      <c r="C589" s="51">
        <f t="shared" ref="C589:N589" si="264">C$517*C$5*C16</f>
        <v>0</v>
      </c>
      <c r="D589" s="51">
        <f t="shared" si="264"/>
        <v>-96.8538913238669</v>
      </c>
      <c r="E589" s="51">
        <f t="shared" si="264"/>
        <v>0</v>
      </c>
      <c r="F589" s="51">
        <f t="shared" si="264"/>
        <v>0</v>
      </c>
      <c r="G589" s="51">
        <f t="shared" si="264"/>
        <v>0</v>
      </c>
      <c r="H589" s="51">
        <f t="shared" si="264"/>
        <v>0</v>
      </c>
      <c r="I589" s="51">
        <f t="shared" si="264"/>
        <v>0</v>
      </c>
      <c r="J589" s="51" t="e">
        <f t="shared" si="264"/>
        <v>#DIV/0!</v>
      </c>
      <c r="K589" s="51" t="e">
        <f t="shared" si="264"/>
        <v>#DIV/0!</v>
      </c>
      <c r="L589" s="51" t="e">
        <f t="shared" si="264"/>
        <v>#DIV/0!</v>
      </c>
      <c r="M589" s="51" t="e">
        <f t="shared" si="264"/>
        <v>#DIV/0!</v>
      </c>
      <c r="N589" s="51" t="e">
        <f t="shared" si="264"/>
        <v>#DIV/0!</v>
      </c>
      <c r="O589" s="51" t="e">
        <f ca="1">SUM(OFFSET($C589,0,0,1,mth))</f>
        <v>#DIV/0!</v>
      </c>
      <c r="P589" s="382"/>
      <c r="Q589"/>
      <c r="R589"/>
      <c r="S589"/>
    </row>
    <row r="590" s="38" customFormat="1" ht="15" customHeight="1" spans="1:20">
      <c r="A590" s="115" t="s">
        <v>258</v>
      </c>
      <c r="B590" s="60"/>
      <c r="C590" s="51">
        <f t="shared" ref="C590:N590" si="265">C$517*C$5*C33</f>
        <v>1495.0254201427</v>
      </c>
      <c r="D590" s="51">
        <f t="shared" si="265"/>
        <v>-24419.9223493254</v>
      </c>
      <c r="E590" s="51">
        <f t="shared" si="265"/>
        <v>-2844.18008808778</v>
      </c>
      <c r="F590" s="51">
        <f t="shared" si="265"/>
        <v>5810.96871454229</v>
      </c>
      <c r="G590" s="51">
        <f t="shared" si="265"/>
        <v>-389.496358965312</v>
      </c>
      <c r="H590" s="51">
        <f t="shared" si="265"/>
        <v>7967.8534705193</v>
      </c>
      <c r="I590" s="51">
        <f t="shared" si="265"/>
        <v>0</v>
      </c>
      <c r="J590" s="51" t="e">
        <f t="shared" si="265"/>
        <v>#DIV/0!</v>
      </c>
      <c r="K590" s="51" t="e">
        <f t="shared" si="265"/>
        <v>#DIV/0!</v>
      </c>
      <c r="L590" s="51" t="e">
        <f t="shared" si="265"/>
        <v>#DIV/0!</v>
      </c>
      <c r="M590" s="51" t="e">
        <f t="shared" si="265"/>
        <v>#DIV/0!</v>
      </c>
      <c r="N590" s="51" t="e">
        <f t="shared" si="265"/>
        <v>#DIV/0!</v>
      </c>
      <c r="O590" s="51" t="e">
        <f ca="1">SUM(OFFSET($C590,0,0,1,mth))</f>
        <v>#DIV/0!</v>
      </c>
      <c r="P590" s="382"/>
      <c r="Q590"/>
      <c r="R590"/>
      <c r="S590"/>
      <c r="T590"/>
    </row>
    <row r="591" s="38" customFormat="1" ht="15" customHeight="1" spans="1:20">
      <c r="A591" s="451" t="s">
        <v>240</v>
      </c>
      <c r="B591" s="60"/>
      <c r="C591" s="51">
        <f>C$517*C$5*(C34+C35)</f>
        <v>25.0295798572991</v>
      </c>
      <c r="D591" s="51">
        <f t="shared" ref="D591:N591" si="266">D$517*D$5*(D34+D35)</f>
        <v>-436.712650674638</v>
      </c>
      <c r="E591" s="51">
        <f t="shared" si="266"/>
        <v>-34.8849119122208</v>
      </c>
      <c r="F591" s="51">
        <f t="shared" si="266"/>
        <v>269.341285457713</v>
      </c>
      <c r="G591" s="51">
        <f t="shared" si="266"/>
        <v>-19.698641034688</v>
      </c>
      <c r="H591" s="51">
        <f t="shared" si="266"/>
        <v>290.886529480697</v>
      </c>
      <c r="I591" s="51">
        <f t="shared" si="266"/>
        <v>0</v>
      </c>
      <c r="J591" s="51" t="e">
        <f t="shared" si="266"/>
        <v>#DIV/0!</v>
      </c>
      <c r="K591" s="51" t="e">
        <f t="shared" si="266"/>
        <v>#DIV/0!</v>
      </c>
      <c r="L591" s="51" t="e">
        <f t="shared" si="266"/>
        <v>#DIV/0!</v>
      </c>
      <c r="M591" s="51" t="e">
        <f t="shared" si="266"/>
        <v>#DIV/0!</v>
      </c>
      <c r="N591" s="51" t="e">
        <f t="shared" si="266"/>
        <v>#DIV/0!</v>
      </c>
      <c r="O591" s="51" t="e">
        <f ca="1">SUM(OFFSET($C591,0,0,1,mth))</f>
        <v>#DIV/0!</v>
      </c>
      <c r="P591" s="382"/>
      <c r="Q591" s="446"/>
      <c r="R591"/>
      <c r="S591"/>
      <c r="T591"/>
    </row>
    <row r="592" s="38" customFormat="1" ht="15" customHeight="1" spans="1:20">
      <c r="A592" s="452" t="s">
        <v>241</v>
      </c>
      <c r="B592" s="60"/>
      <c r="C592" s="51">
        <f>C591*C19</f>
        <v>11.5825528531541</v>
      </c>
      <c r="D592" s="51">
        <f t="shared" ref="D592:N592" si="267">D591*D19</f>
        <v>-62.3168929847029</v>
      </c>
      <c r="E592" s="51">
        <f t="shared" si="267"/>
        <v>-24.1434758691794</v>
      </c>
      <c r="F592" s="51">
        <f t="shared" si="267"/>
        <v>130.441318823729</v>
      </c>
      <c r="G592" s="51">
        <f t="shared" si="267"/>
        <v>-5.71439591148473</v>
      </c>
      <c r="H592" s="51">
        <f t="shared" si="267"/>
        <v>56.067660348449</v>
      </c>
      <c r="I592" s="51" t="e">
        <f t="shared" si="267"/>
        <v>#DIV/0!</v>
      </c>
      <c r="J592" s="51" t="e">
        <f t="shared" si="267"/>
        <v>#DIV/0!</v>
      </c>
      <c r="K592" s="51" t="e">
        <f t="shared" si="267"/>
        <v>#DIV/0!</v>
      </c>
      <c r="L592" s="51" t="e">
        <f t="shared" si="267"/>
        <v>#DIV/0!</v>
      </c>
      <c r="M592" s="51" t="e">
        <f t="shared" si="267"/>
        <v>#DIV/0!</v>
      </c>
      <c r="N592" s="51" t="e">
        <f t="shared" si="267"/>
        <v>#DIV/0!</v>
      </c>
      <c r="O592" s="51" t="e">
        <f ca="1">SUM(OFFSET($C592,0,0,1,mth))</f>
        <v>#DIV/0!</v>
      </c>
      <c r="P592" s="382"/>
      <c r="Q592" s="446"/>
      <c r="R592"/>
      <c r="S592"/>
      <c r="T592"/>
    </row>
    <row r="593" s="38" customFormat="1" ht="15" customHeight="1" spans="1:20">
      <c r="A593" s="452" t="s">
        <v>242</v>
      </c>
      <c r="B593" s="60"/>
      <c r="C593" s="51">
        <f>C20*C591</f>
        <v>13.4470270041451</v>
      </c>
      <c r="D593" s="51">
        <f t="shared" ref="D593:N593" si="268">D20*D591</f>
        <v>-374.395757689935</v>
      </c>
      <c r="E593" s="51">
        <f t="shared" si="268"/>
        <v>-10.7414360430415</v>
      </c>
      <c r="F593" s="51">
        <f t="shared" si="268"/>
        <v>138.899966633984</v>
      </c>
      <c r="G593" s="51">
        <f t="shared" si="268"/>
        <v>-13.9842451232033</v>
      </c>
      <c r="H593" s="51">
        <f t="shared" si="268"/>
        <v>234.818869132247</v>
      </c>
      <c r="I593" s="51" t="e">
        <f t="shared" si="268"/>
        <v>#DIV/0!</v>
      </c>
      <c r="J593" s="51" t="e">
        <f t="shared" si="268"/>
        <v>#DIV/0!</v>
      </c>
      <c r="K593" s="51" t="e">
        <f t="shared" si="268"/>
        <v>#DIV/0!</v>
      </c>
      <c r="L593" s="51" t="e">
        <f t="shared" si="268"/>
        <v>#DIV/0!</v>
      </c>
      <c r="M593" s="51" t="e">
        <f t="shared" si="268"/>
        <v>#DIV/0!</v>
      </c>
      <c r="N593" s="51" t="e">
        <f t="shared" si="268"/>
        <v>#DIV/0!</v>
      </c>
      <c r="O593" s="51" t="e">
        <f ca="1">SUM(OFFSET($C593,0,0,1,mth))</f>
        <v>#DIV/0!</v>
      </c>
      <c r="P593" s="382"/>
      <c r="Q593" s="446"/>
      <c r="R593"/>
      <c r="S593"/>
      <c r="T593"/>
    </row>
    <row r="594" s="38" customFormat="1" ht="15" customHeight="1" spans="1:20">
      <c r="A594" s="57" t="s">
        <v>232</v>
      </c>
      <c r="B594" s="50"/>
      <c r="C594" s="51">
        <f>SUM(C584:C591)</f>
        <v>3040.11</v>
      </c>
      <c r="D594" s="51">
        <f t="shared" ref="D594:O594" si="269">SUM(D584:D591)</f>
        <v>-49713.27</v>
      </c>
      <c r="E594" s="51">
        <f t="shared" si="269"/>
        <v>-5758.13</v>
      </c>
      <c r="F594" s="51">
        <f t="shared" si="269"/>
        <v>12160.62</v>
      </c>
      <c r="G594" s="51">
        <f t="shared" si="269"/>
        <v>-818.39</v>
      </c>
      <c r="H594" s="51">
        <f t="shared" si="269"/>
        <v>16517.48</v>
      </c>
      <c r="I594" s="51">
        <f t="shared" si="269"/>
        <v>0</v>
      </c>
      <c r="J594" s="51" t="e">
        <f t="shared" si="269"/>
        <v>#DIV/0!</v>
      </c>
      <c r="K594" s="51" t="e">
        <f t="shared" si="269"/>
        <v>#DIV/0!</v>
      </c>
      <c r="L594" s="51" t="e">
        <f t="shared" si="269"/>
        <v>#DIV/0!</v>
      </c>
      <c r="M594" s="51" t="e">
        <f t="shared" si="269"/>
        <v>#DIV/0!</v>
      </c>
      <c r="N594" s="51" t="e">
        <f t="shared" si="269"/>
        <v>#DIV/0!</v>
      </c>
      <c r="O594" s="51" t="e">
        <f ca="1" t="shared" si="269"/>
        <v>#DIV/0!</v>
      </c>
      <c r="P594" s="382"/>
      <c r="Q594"/>
      <c r="R594"/>
      <c r="S594"/>
      <c r="T594"/>
    </row>
    <row r="595" spans="1:20">
      <c r="A595" s="38" t="s">
        <v>304</v>
      </c>
      <c r="B595" s="277"/>
      <c r="C595" s="440"/>
      <c r="D595" s="440"/>
      <c r="E595" s="440"/>
      <c r="F595" s="440"/>
      <c r="G595" s="440"/>
      <c r="H595" s="440"/>
      <c r="I595" s="440"/>
      <c r="J595" s="440"/>
      <c r="K595" s="440"/>
      <c r="L595" s="440"/>
      <c r="M595" s="440"/>
      <c r="N595" s="440"/>
      <c r="O595" s="440"/>
      <c r="Q595" s="38"/>
      <c r="R595" s="71"/>
      <c r="S595" s="38"/>
      <c r="T595" s="38"/>
    </row>
    <row r="596" s="38" customFormat="1" ht="15" customHeight="1" spans="1:20">
      <c r="A596" s="115" t="s">
        <v>252</v>
      </c>
      <c r="B596" s="50"/>
      <c r="C596" s="51">
        <f t="shared" ref="C596:N596" si="270">-C$514*C$5*C11</f>
        <v>6416.94719461446</v>
      </c>
      <c r="D596" s="51">
        <f t="shared" si="270"/>
        <v>-433.023996371243</v>
      </c>
      <c r="E596" s="51">
        <f t="shared" si="270"/>
        <v>-407.257314325919</v>
      </c>
      <c r="F596" s="51">
        <f t="shared" si="270"/>
        <v>-0.101107892892945</v>
      </c>
      <c r="G596" s="51">
        <f t="shared" si="270"/>
        <v>0</v>
      </c>
      <c r="H596" s="51">
        <f t="shared" si="270"/>
        <v>-555356.140645094</v>
      </c>
      <c r="I596" s="51">
        <f t="shared" si="270"/>
        <v>0</v>
      </c>
      <c r="J596" s="51" t="e">
        <f t="shared" si="270"/>
        <v>#DIV/0!</v>
      </c>
      <c r="K596" s="51" t="e">
        <f t="shared" si="270"/>
        <v>#DIV/0!</v>
      </c>
      <c r="L596" s="51" t="e">
        <f t="shared" si="270"/>
        <v>#DIV/0!</v>
      </c>
      <c r="M596" s="51" t="e">
        <f t="shared" si="270"/>
        <v>#DIV/0!</v>
      </c>
      <c r="N596" s="51" t="e">
        <f t="shared" si="270"/>
        <v>#DIV/0!</v>
      </c>
      <c r="O596" s="51" t="e">
        <f ca="1">SUM(OFFSET($C596,0,0,1,mth))</f>
        <v>#DIV/0!</v>
      </c>
      <c r="P596" s="378"/>
      <c r="R596" s="71"/>
    </row>
    <row r="597" s="38" customFormat="1" ht="15" customHeight="1" spans="1:20">
      <c r="A597" s="115" t="s">
        <v>253</v>
      </c>
      <c r="B597" s="50"/>
      <c r="C597" s="51">
        <f t="shared" ref="C597:N597" si="271">-C$514*C$5*C12</f>
        <v>0</v>
      </c>
      <c r="D597" s="51">
        <f t="shared" si="271"/>
        <v>0</v>
      </c>
      <c r="E597" s="51">
        <f t="shared" si="271"/>
        <v>0</v>
      </c>
      <c r="F597" s="51">
        <f t="shared" si="271"/>
        <v>0</v>
      </c>
      <c r="G597" s="51">
        <f t="shared" si="271"/>
        <v>0</v>
      </c>
      <c r="H597" s="51">
        <f t="shared" si="271"/>
        <v>0</v>
      </c>
      <c r="I597" s="51">
        <f t="shared" si="271"/>
        <v>0</v>
      </c>
      <c r="J597" s="51" t="e">
        <f t="shared" si="271"/>
        <v>#DIV/0!</v>
      </c>
      <c r="K597" s="51" t="e">
        <f t="shared" si="271"/>
        <v>#DIV/0!</v>
      </c>
      <c r="L597" s="51" t="e">
        <f t="shared" si="271"/>
        <v>#DIV/0!</v>
      </c>
      <c r="M597" s="51" t="e">
        <f t="shared" si="271"/>
        <v>#DIV/0!</v>
      </c>
      <c r="N597" s="51" t="e">
        <f t="shared" si="271"/>
        <v>#DIV/0!</v>
      </c>
      <c r="O597" s="51" t="e">
        <f ca="1">SUM(OFFSET($C597,0,0,1,mth))</f>
        <v>#DIV/0!</v>
      </c>
      <c r="P597" s="382"/>
      <c r="R597" s="71"/>
    </row>
    <row r="598" s="38" customFormat="1" ht="15" customHeight="1" spans="1:20">
      <c r="A598" s="115" t="s">
        <v>268</v>
      </c>
      <c r="B598" s="400"/>
      <c r="C598" s="51">
        <f t="shared" ref="C598:N598" si="272">-C$514*C$5*C13</f>
        <v>0</v>
      </c>
      <c r="D598" s="51">
        <f t="shared" si="272"/>
        <v>0</v>
      </c>
      <c r="E598" s="51">
        <f t="shared" si="272"/>
        <v>0</v>
      </c>
      <c r="F598" s="51">
        <f t="shared" si="272"/>
        <v>0</v>
      </c>
      <c r="G598" s="51">
        <f t="shared" si="272"/>
        <v>0</v>
      </c>
      <c r="H598" s="51">
        <f t="shared" si="272"/>
        <v>0</v>
      </c>
      <c r="I598" s="51">
        <f t="shared" si="272"/>
        <v>0</v>
      </c>
      <c r="J598" s="51" t="e">
        <f t="shared" si="272"/>
        <v>#DIV/0!</v>
      </c>
      <c r="K598" s="51" t="e">
        <f t="shared" si="272"/>
        <v>#DIV/0!</v>
      </c>
      <c r="L598" s="51" t="e">
        <f t="shared" si="272"/>
        <v>#DIV/0!</v>
      </c>
      <c r="M598" s="51" t="e">
        <f t="shared" si="272"/>
        <v>#DIV/0!</v>
      </c>
      <c r="N598" s="51" t="e">
        <f t="shared" si="272"/>
        <v>#DIV/0!</v>
      </c>
      <c r="O598" s="51" t="e">
        <f ca="1">SUM(OFFSET($C598,0,0,1,mth))</f>
        <v>#DIV/0!</v>
      </c>
      <c r="P598" s="382"/>
      <c r="R598" s="71"/>
    </row>
    <row r="599" s="38" customFormat="1" ht="15" customHeight="1" spans="1:20">
      <c r="A599" s="115" t="s">
        <v>255</v>
      </c>
      <c r="B599" s="400"/>
      <c r="C599" s="51">
        <f t="shared" ref="C599:N599" si="273">-C$514*C$5*C14</f>
        <v>0</v>
      </c>
      <c r="D599" s="51">
        <f t="shared" si="273"/>
        <v>-19.9193400901921</v>
      </c>
      <c r="E599" s="51">
        <f t="shared" si="273"/>
        <v>-27.1903056382144</v>
      </c>
      <c r="F599" s="51">
        <f t="shared" si="273"/>
        <v>-0.00605448126372671</v>
      </c>
      <c r="G599" s="51">
        <f t="shared" si="273"/>
        <v>0</v>
      </c>
      <c r="H599" s="51">
        <f t="shared" si="273"/>
        <v>-23539.6147988735</v>
      </c>
      <c r="I599" s="51">
        <f t="shared" si="273"/>
        <v>0</v>
      </c>
      <c r="J599" s="51" t="e">
        <f t="shared" si="273"/>
        <v>#DIV/0!</v>
      </c>
      <c r="K599" s="51" t="e">
        <f t="shared" si="273"/>
        <v>#DIV/0!</v>
      </c>
      <c r="L599" s="51" t="e">
        <f t="shared" si="273"/>
        <v>#DIV/0!</v>
      </c>
      <c r="M599" s="51" t="e">
        <f t="shared" si="273"/>
        <v>#DIV/0!</v>
      </c>
      <c r="N599" s="51" t="e">
        <f t="shared" si="273"/>
        <v>#DIV/0!</v>
      </c>
      <c r="O599" s="51" t="e">
        <f ca="1">SUM(OFFSET($C599,0,0,1,mth))</f>
        <v>#DIV/0!</v>
      </c>
      <c r="P599" s="382"/>
      <c r="Q599"/>
      <c r="R599"/>
    </row>
    <row r="600" s="38" customFormat="1" ht="15" customHeight="1" spans="1:20">
      <c r="A600" s="115" t="s">
        <v>256</v>
      </c>
      <c r="B600" s="60"/>
      <c r="C600" s="51">
        <f t="shared" ref="C600:N600" si="274">-C$514*C$5*C15</f>
        <v>1122.28780538554</v>
      </c>
      <c r="D600" s="51">
        <f t="shared" si="274"/>
        <v>-45.1731600035984</v>
      </c>
      <c r="E600" s="51">
        <f t="shared" si="274"/>
        <v>-65.5523800358662</v>
      </c>
      <c r="F600" s="51">
        <f t="shared" si="274"/>
        <v>-0.0128376258433279</v>
      </c>
      <c r="G600" s="51">
        <f t="shared" si="274"/>
        <v>0</v>
      </c>
      <c r="H600" s="51">
        <f t="shared" si="274"/>
        <v>-83386.3745560322</v>
      </c>
      <c r="I600" s="51">
        <f t="shared" si="274"/>
        <v>0</v>
      </c>
      <c r="J600" s="51" t="e">
        <f t="shared" si="274"/>
        <v>#DIV/0!</v>
      </c>
      <c r="K600" s="51" t="e">
        <f t="shared" si="274"/>
        <v>#DIV/0!</v>
      </c>
      <c r="L600" s="51" t="e">
        <f t="shared" si="274"/>
        <v>#DIV/0!</v>
      </c>
      <c r="M600" s="51" t="e">
        <f t="shared" si="274"/>
        <v>#DIV/0!</v>
      </c>
      <c r="N600" s="51" t="e">
        <f t="shared" si="274"/>
        <v>#DIV/0!</v>
      </c>
      <c r="O600" s="51" t="e">
        <f ca="1">SUM(OFFSET($C600,0,0,1,mth))</f>
        <v>#DIV/0!</v>
      </c>
      <c r="P600" s="382"/>
      <c r="Q600"/>
      <c r="R600"/>
      <c r="S600"/>
    </row>
    <row r="601" s="38" customFormat="1" ht="15" customHeight="1" spans="1:20">
      <c r="A601" s="115" t="s">
        <v>257</v>
      </c>
      <c r="B601" s="60"/>
      <c r="C601" s="51">
        <f t="shared" ref="C601:N601" si="275">-C$514*C$5*C16</f>
        <v>0</v>
      </c>
      <c r="D601" s="51">
        <f t="shared" si="275"/>
        <v>-1.9485035349664</v>
      </c>
      <c r="E601" s="51">
        <f t="shared" si="275"/>
        <v>0</v>
      </c>
      <c r="F601" s="51">
        <f t="shared" si="275"/>
        <v>0</v>
      </c>
      <c r="G601" s="51">
        <f t="shared" si="275"/>
        <v>0</v>
      </c>
      <c r="H601" s="51">
        <f t="shared" si="275"/>
        <v>0</v>
      </c>
      <c r="I601" s="51">
        <f t="shared" si="275"/>
        <v>0</v>
      </c>
      <c r="J601" s="51" t="e">
        <f t="shared" si="275"/>
        <v>#DIV/0!</v>
      </c>
      <c r="K601" s="51" t="e">
        <f t="shared" si="275"/>
        <v>#DIV/0!</v>
      </c>
      <c r="L601" s="51" t="e">
        <f t="shared" si="275"/>
        <v>#DIV/0!</v>
      </c>
      <c r="M601" s="51" t="e">
        <f t="shared" si="275"/>
        <v>#DIV/0!</v>
      </c>
      <c r="N601" s="51" t="e">
        <f t="shared" si="275"/>
        <v>#DIV/0!</v>
      </c>
      <c r="O601" s="51" t="e">
        <f ca="1">SUM(OFFSET($C601,0,0,1,mth))</f>
        <v>#DIV/0!</v>
      </c>
      <c r="P601" s="382"/>
      <c r="Q601"/>
      <c r="R601"/>
      <c r="S601"/>
    </row>
    <row r="602" s="38" customFormat="1" ht="15" customHeight="1" spans="1:20">
      <c r="A602" s="115" t="s">
        <v>258</v>
      </c>
      <c r="B602" s="60"/>
      <c r="C602" s="51">
        <f t="shared" ref="C602:N602" si="276">-C$514*C$5*C33</f>
        <v>7415.09219957801</v>
      </c>
      <c r="D602" s="51">
        <f t="shared" si="276"/>
        <v>-491.279228649227</v>
      </c>
      <c r="E602" s="51">
        <f t="shared" si="276"/>
        <v>-493.941624813573</v>
      </c>
      <c r="F602" s="51">
        <f t="shared" si="276"/>
        <v>-0.114684324605995</v>
      </c>
      <c r="G602" s="51">
        <f t="shared" si="276"/>
        <v>0</v>
      </c>
      <c r="H602" s="51">
        <f t="shared" si="276"/>
        <v>-638955.454219822</v>
      </c>
      <c r="I602" s="51">
        <f t="shared" si="276"/>
        <v>0</v>
      </c>
      <c r="J602" s="51" t="e">
        <f t="shared" si="276"/>
        <v>#DIV/0!</v>
      </c>
      <c r="K602" s="51" t="e">
        <f t="shared" si="276"/>
        <v>#DIV/0!</v>
      </c>
      <c r="L602" s="51" t="e">
        <f t="shared" si="276"/>
        <v>#DIV/0!</v>
      </c>
      <c r="M602" s="51" t="e">
        <f t="shared" si="276"/>
        <v>#DIV/0!</v>
      </c>
      <c r="N602" s="51" t="e">
        <f t="shared" si="276"/>
        <v>#DIV/0!</v>
      </c>
      <c r="O602" s="51" t="e">
        <f ca="1">SUM(OFFSET($C602,0,0,1,mth))</f>
        <v>#DIV/0!</v>
      </c>
      <c r="P602" s="382"/>
      <c r="Q602"/>
      <c r="R602"/>
      <c r="S602"/>
      <c r="T602"/>
    </row>
    <row r="603" s="38" customFormat="1" ht="15" customHeight="1" spans="1:20">
      <c r="A603" s="451" t="s">
        <v>240</v>
      </c>
      <c r="B603" s="60"/>
      <c r="C603" s="51">
        <f>-C$514*C$5*(C34+C35)</f>
        <v>124.142800421988</v>
      </c>
      <c r="D603" s="51">
        <f t="shared" ref="D603:N603" si="277">-D$514*D$5*(D34+D35)</f>
        <v>-8.78577135077266</v>
      </c>
      <c r="E603" s="51">
        <f t="shared" si="277"/>
        <v>-6.05837518642698</v>
      </c>
      <c r="F603" s="51">
        <f t="shared" si="277"/>
        <v>-0.00531567539400549</v>
      </c>
      <c r="G603" s="51">
        <f t="shared" si="277"/>
        <v>0</v>
      </c>
      <c r="H603" s="51">
        <f t="shared" si="277"/>
        <v>-23326.6757801776</v>
      </c>
      <c r="I603" s="51">
        <f t="shared" si="277"/>
        <v>0</v>
      </c>
      <c r="J603" s="51" t="e">
        <f t="shared" si="277"/>
        <v>#DIV/0!</v>
      </c>
      <c r="K603" s="51" t="e">
        <f t="shared" si="277"/>
        <v>#DIV/0!</v>
      </c>
      <c r="L603" s="51" t="e">
        <f t="shared" si="277"/>
        <v>#DIV/0!</v>
      </c>
      <c r="M603" s="51" t="e">
        <f t="shared" si="277"/>
        <v>#DIV/0!</v>
      </c>
      <c r="N603" s="51" t="e">
        <f t="shared" si="277"/>
        <v>#DIV/0!</v>
      </c>
      <c r="O603" s="51" t="e">
        <f ca="1">SUM(OFFSET($C603,0,0,1,mth))</f>
        <v>#DIV/0!</v>
      </c>
      <c r="P603" s="382"/>
      <c r="Q603" s="446"/>
      <c r="R603"/>
      <c r="S603"/>
      <c r="T603"/>
    </row>
    <row r="604" s="38" customFormat="1" ht="15" customHeight="1" spans="1:20">
      <c r="A604" s="452" t="s">
        <v>241</v>
      </c>
      <c r="B604" s="60"/>
      <c r="C604" s="51">
        <f>C603*C19</f>
        <v>57.4476501572963</v>
      </c>
      <c r="D604" s="51">
        <f t="shared" ref="D604:N604" si="278">D603*D19</f>
        <v>-1.25368929021951</v>
      </c>
      <c r="E604" s="51">
        <f t="shared" si="278"/>
        <v>-4.19293692035077</v>
      </c>
      <c r="F604" s="51">
        <f t="shared" si="278"/>
        <v>-0.00257436845470831</v>
      </c>
      <c r="G604" s="51">
        <f t="shared" si="278"/>
        <v>0</v>
      </c>
      <c r="H604" s="51">
        <f t="shared" si="278"/>
        <v>-4496.15916225567</v>
      </c>
      <c r="I604" s="51" t="e">
        <f t="shared" si="278"/>
        <v>#DIV/0!</v>
      </c>
      <c r="J604" s="51" t="e">
        <f t="shared" si="278"/>
        <v>#DIV/0!</v>
      </c>
      <c r="K604" s="51" t="e">
        <f t="shared" si="278"/>
        <v>#DIV/0!</v>
      </c>
      <c r="L604" s="51" t="e">
        <f t="shared" si="278"/>
        <v>#DIV/0!</v>
      </c>
      <c r="M604" s="51" t="e">
        <f t="shared" si="278"/>
        <v>#DIV/0!</v>
      </c>
      <c r="N604" s="51" t="e">
        <f t="shared" si="278"/>
        <v>#DIV/0!</v>
      </c>
      <c r="O604" s="51" t="e">
        <f ca="1">SUM(OFFSET($C604,0,0,1,mth))</f>
        <v>#DIV/0!</v>
      </c>
      <c r="P604" s="382"/>
      <c r="Q604" s="446"/>
      <c r="R604"/>
      <c r="S604"/>
      <c r="T604"/>
    </row>
    <row r="605" s="38" customFormat="1" ht="15" customHeight="1" spans="1:20">
      <c r="A605" s="452" t="s">
        <v>242</v>
      </c>
      <c r="B605" s="60"/>
      <c r="C605" s="51">
        <f>C603*C20</f>
        <v>66.6951502646914</v>
      </c>
      <c r="D605" s="51">
        <f t="shared" ref="D605:N605" si="279">D603*D20</f>
        <v>-7.53208206055315</v>
      </c>
      <c r="E605" s="51">
        <f t="shared" si="279"/>
        <v>-1.86543826607622</v>
      </c>
      <c r="F605" s="51">
        <f t="shared" si="279"/>
        <v>-0.00274130693929718</v>
      </c>
      <c r="G605" s="51">
        <f t="shared" si="279"/>
        <v>0</v>
      </c>
      <c r="H605" s="51">
        <f t="shared" si="279"/>
        <v>-18830.5166179219</v>
      </c>
      <c r="I605" s="51" t="e">
        <f t="shared" si="279"/>
        <v>#DIV/0!</v>
      </c>
      <c r="J605" s="51" t="e">
        <f t="shared" si="279"/>
        <v>#DIV/0!</v>
      </c>
      <c r="K605" s="51" t="e">
        <f t="shared" si="279"/>
        <v>#DIV/0!</v>
      </c>
      <c r="L605" s="51" t="e">
        <f t="shared" si="279"/>
        <v>#DIV/0!</v>
      </c>
      <c r="M605" s="51" t="e">
        <f t="shared" si="279"/>
        <v>#DIV/0!</v>
      </c>
      <c r="N605" s="51" t="e">
        <f t="shared" si="279"/>
        <v>#DIV/0!</v>
      </c>
      <c r="O605" s="51" t="e">
        <f ca="1">SUM(OFFSET($C605,0,0,1,mth))</f>
        <v>#DIV/0!</v>
      </c>
      <c r="P605" s="382"/>
      <c r="Q605" s="446"/>
      <c r="R605"/>
      <c r="S605"/>
      <c r="T605"/>
    </row>
    <row r="606" s="38" customFormat="1" ht="15" customHeight="1" spans="1:20">
      <c r="A606" s="57" t="s">
        <v>232</v>
      </c>
      <c r="B606" s="50"/>
      <c r="C606" s="51">
        <f>SUM(C596:C603)</f>
        <v>15078.47</v>
      </c>
      <c r="D606" s="51">
        <f t="shared" ref="D606:O606" si="280">SUM(D596:D603)</f>
        <v>-1000.13</v>
      </c>
      <c r="E606" s="51">
        <f t="shared" si="280"/>
        <v>-1000</v>
      </c>
      <c r="F606" s="51">
        <f t="shared" si="280"/>
        <v>-0.24</v>
      </c>
      <c r="G606" s="51">
        <f t="shared" si="280"/>
        <v>0</v>
      </c>
      <c r="H606" s="51">
        <f t="shared" si="280"/>
        <v>-1324564.26</v>
      </c>
      <c r="I606" s="51">
        <f t="shared" si="280"/>
        <v>0</v>
      </c>
      <c r="J606" s="51" t="e">
        <f t="shared" si="280"/>
        <v>#DIV/0!</v>
      </c>
      <c r="K606" s="51" t="e">
        <f t="shared" si="280"/>
        <v>#DIV/0!</v>
      </c>
      <c r="L606" s="51" t="e">
        <f t="shared" si="280"/>
        <v>#DIV/0!</v>
      </c>
      <c r="M606" s="51" t="e">
        <f t="shared" si="280"/>
        <v>#DIV/0!</v>
      </c>
      <c r="N606" s="51" t="e">
        <f t="shared" si="280"/>
        <v>#DIV/0!</v>
      </c>
      <c r="O606" s="51" t="e">
        <f ca="1" t="shared" si="280"/>
        <v>#DIV/0!</v>
      </c>
      <c r="P606" s="382"/>
      <c r="Q606"/>
      <c r="R606"/>
      <c r="S606"/>
      <c r="T606"/>
    </row>
    <row r="607" spans="1:20">
      <c r="A607" s="38" t="s">
        <v>305</v>
      </c>
      <c r="B607" s="277"/>
      <c r="C607" s="440"/>
      <c r="D607" s="440"/>
      <c r="E607" s="440"/>
      <c r="F607" s="440"/>
      <c r="G607" s="440"/>
      <c r="H607" s="440"/>
      <c r="I607" s="440"/>
      <c r="J607" s="440"/>
      <c r="K607" s="440"/>
      <c r="L607" s="440"/>
      <c r="M607" s="440"/>
      <c r="N607" s="440"/>
      <c r="O607" s="440"/>
      <c r="Q607" s="38"/>
      <c r="R607" s="71"/>
      <c r="S607" s="38"/>
      <c r="T607" s="38"/>
    </row>
    <row r="608" s="38" customFormat="1" ht="15" customHeight="1" spans="1:20">
      <c r="A608" s="115" t="s">
        <v>252</v>
      </c>
      <c r="B608" s="50"/>
      <c r="C608" s="51">
        <f t="shared" ref="C608:N608" si="281">C$516*C$5*C11</f>
        <v>0</v>
      </c>
      <c r="D608" s="51">
        <f t="shared" si="281"/>
        <v>0</v>
      </c>
      <c r="E608" s="51">
        <f t="shared" si="281"/>
        <v>0</v>
      </c>
      <c r="F608" s="51">
        <f t="shared" si="281"/>
        <v>0</v>
      </c>
      <c r="G608" s="51">
        <f t="shared" si="281"/>
        <v>0</v>
      </c>
      <c r="H608" s="51">
        <f t="shared" si="281"/>
        <v>0</v>
      </c>
      <c r="I608" s="51">
        <f t="shared" si="281"/>
        <v>0</v>
      </c>
      <c r="J608" s="51" t="e">
        <f t="shared" si="281"/>
        <v>#DIV/0!</v>
      </c>
      <c r="K608" s="51" t="e">
        <f t="shared" si="281"/>
        <v>#DIV/0!</v>
      </c>
      <c r="L608" s="51" t="e">
        <f t="shared" si="281"/>
        <v>#DIV/0!</v>
      </c>
      <c r="M608" s="51" t="e">
        <f t="shared" si="281"/>
        <v>#DIV/0!</v>
      </c>
      <c r="N608" s="51" t="e">
        <f t="shared" si="281"/>
        <v>#DIV/0!</v>
      </c>
      <c r="O608" s="51" t="e">
        <f ca="1">SUM(OFFSET($C608,0,0,1,mth))</f>
        <v>#DIV/0!</v>
      </c>
      <c r="P608" s="378"/>
      <c r="R608" s="71"/>
    </row>
    <row r="609" s="38" customFormat="1" ht="15" customHeight="1" spans="1:20">
      <c r="A609" s="115" t="s">
        <v>253</v>
      </c>
      <c r="B609" s="50"/>
      <c r="C609" s="51">
        <f t="shared" ref="C609:N609" si="282">C$516*C$5*C12</f>
        <v>0</v>
      </c>
      <c r="D609" s="51">
        <f t="shared" si="282"/>
        <v>0</v>
      </c>
      <c r="E609" s="51">
        <f t="shared" si="282"/>
        <v>0</v>
      </c>
      <c r="F609" s="51">
        <f t="shared" si="282"/>
        <v>0</v>
      </c>
      <c r="G609" s="51">
        <f t="shared" si="282"/>
        <v>0</v>
      </c>
      <c r="H609" s="51">
        <f t="shared" si="282"/>
        <v>0</v>
      </c>
      <c r="I609" s="51">
        <f t="shared" si="282"/>
        <v>0</v>
      </c>
      <c r="J609" s="51" t="e">
        <f t="shared" si="282"/>
        <v>#DIV/0!</v>
      </c>
      <c r="K609" s="51" t="e">
        <f t="shared" si="282"/>
        <v>#DIV/0!</v>
      </c>
      <c r="L609" s="51" t="e">
        <f t="shared" si="282"/>
        <v>#DIV/0!</v>
      </c>
      <c r="M609" s="51" t="e">
        <f t="shared" si="282"/>
        <v>#DIV/0!</v>
      </c>
      <c r="N609" s="51" t="e">
        <f t="shared" si="282"/>
        <v>#DIV/0!</v>
      </c>
      <c r="O609" s="51" t="e">
        <f ca="1">SUM(OFFSET($C609,0,0,1,mth))</f>
        <v>#DIV/0!</v>
      </c>
      <c r="P609" s="382"/>
      <c r="R609" s="71"/>
    </row>
    <row r="610" s="38" customFormat="1" ht="15" customHeight="1" spans="1:20">
      <c r="A610" s="115" t="s">
        <v>268</v>
      </c>
      <c r="B610" s="400"/>
      <c r="C610" s="51">
        <f t="shared" ref="C610:N610" si="283">C$516*C$5*C13</f>
        <v>0</v>
      </c>
      <c r="D610" s="51">
        <f t="shared" si="283"/>
        <v>0</v>
      </c>
      <c r="E610" s="51">
        <f t="shared" si="283"/>
        <v>0</v>
      </c>
      <c r="F610" s="51">
        <f t="shared" si="283"/>
        <v>0</v>
      </c>
      <c r="G610" s="51">
        <f t="shared" si="283"/>
        <v>0</v>
      </c>
      <c r="H610" s="51">
        <f t="shared" si="283"/>
        <v>0</v>
      </c>
      <c r="I610" s="51">
        <f t="shared" si="283"/>
        <v>0</v>
      </c>
      <c r="J610" s="51" t="e">
        <f t="shared" si="283"/>
        <v>#DIV/0!</v>
      </c>
      <c r="K610" s="51" t="e">
        <f t="shared" si="283"/>
        <v>#DIV/0!</v>
      </c>
      <c r="L610" s="51" t="e">
        <f t="shared" si="283"/>
        <v>#DIV/0!</v>
      </c>
      <c r="M610" s="51" t="e">
        <f t="shared" si="283"/>
        <v>#DIV/0!</v>
      </c>
      <c r="N610" s="51" t="e">
        <f t="shared" si="283"/>
        <v>#DIV/0!</v>
      </c>
      <c r="O610" s="51" t="e">
        <f ca="1">SUM(OFFSET($C610,0,0,1,mth))</f>
        <v>#DIV/0!</v>
      </c>
      <c r="P610" s="382"/>
      <c r="R610" s="71"/>
    </row>
    <row r="611" s="38" customFormat="1" ht="15" customHeight="1" spans="1:20">
      <c r="A611" s="115" t="s">
        <v>255</v>
      </c>
      <c r="B611" s="400"/>
      <c r="C611" s="51">
        <f t="shared" ref="C611:N611" si="284">C$516*C$5*C14</f>
        <v>0</v>
      </c>
      <c r="D611" s="51">
        <f t="shared" si="284"/>
        <v>0</v>
      </c>
      <c r="E611" s="51">
        <f t="shared" si="284"/>
        <v>0</v>
      </c>
      <c r="F611" s="51">
        <f t="shared" si="284"/>
        <v>0</v>
      </c>
      <c r="G611" s="51">
        <f t="shared" si="284"/>
        <v>0</v>
      </c>
      <c r="H611" s="51">
        <f t="shared" si="284"/>
        <v>0</v>
      </c>
      <c r="I611" s="51">
        <f t="shared" si="284"/>
        <v>0</v>
      </c>
      <c r="J611" s="51" t="e">
        <f t="shared" si="284"/>
        <v>#DIV/0!</v>
      </c>
      <c r="K611" s="51" t="e">
        <f t="shared" si="284"/>
        <v>#DIV/0!</v>
      </c>
      <c r="L611" s="51" t="e">
        <f t="shared" si="284"/>
        <v>#DIV/0!</v>
      </c>
      <c r="M611" s="51" t="e">
        <f t="shared" si="284"/>
        <v>#DIV/0!</v>
      </c>
      <c r="N611" s="51" t="e">
        <f t="shared" si="284"/>
        <v>#DIV/0!</v>
      </c>
      <c r="O611" s="51" t="e">
        <f ca="1">SUM(OFFSET($C611,0,0,1,mth))</f>
        <v>#DIV/0!</v>
      </c>
      <c r="P611" s="382"/>
      <c r="Q611"/>
      <c r="R611"/>
    </row>
    <row r="612" s="38" customFormat="1" ht="15" customHeight="1" spans="1:20">
      <c r="A612" s="115" t="s">
        <v>256</v>
      </c>
      <c r="B612" s="60"/>
      <c r="C612" s="51">
        <f t="shared" ref="C612:N612" si="285">C$516*C$5*C15</f>
        <v>0</v>
      </c>
      <c r="D612" s="51">
        <f t="shared" si="285"/>
        <v>0</v>
      </c>
      <c r="E612" s="51">
        <f t="shared" si="285"/>
        <v>0</v>
      </c>
      <c r="F612" s="51">
        <f t="shared" si="285"/>
        <v>0</v>
      </c>
      <c r="G612" s="51">
        <f t="shared" si="285"/>
        <v>0</v>
      </c>
      <c r="H612" s="51">
        <f t="shared" si="285"/>
        <v>0</v>
      </c>
      <c r="I612" s="51">
        <f t="shared" si="285"/>
        <v>0</v>
      </c>
      <c r="J612" s="51" t="e">
        <f t="shared" si="285"/>
        <v>#DIV/0!</v>
      </c>
      <c r="K612" s="51" t="e">
        <f t="shared" si="285"/>
        <v>#DIV/0!</v>
      </c>
      <c r="L612" s="51" t="e">
        <f t="shared" si="285"/>
        <v>#DIV/0!</v>
      </c>
      <c r="M612" s="51" t="e">
        <f t="shared" si="285"/>
        <v>#DIV/0!</v>
      </c>
      <c r="N612" s="51" t="e">
        <f t="shared" si="285"/>
        <v>#DIV/0!</v>
      </c>
      <c r="O612" s="51" t="e">
        <f ca="1">SUM(OFFSET($C612,0,0,1,mth))</f>
        <v>#DIV/0!</v>
      </c>
      <c r="P612" s="382"/>
      <c r="Q612"/>
      <c r="R612"/>
      <c r="S612"/>
    </row>
    <row r="613" s="38" customFormat="1" ht="15" customHeight="1" spans="1:20">
      <c r="A613" s="115" t="s">
        <v>257</v>
      </c>
      <c r="B613" s="60"/>
      <c r="C613" s="51">
        <f t="shared" ref="C613:N613" si="286">C$516*C$5*C16</f>
        <v>0</v>
      </c>
      <c r="D613" s="51">
        <f t="shared" si="286"/>
        <v>0</v>
      </c>
      <c r="E613" s="51">
        <f t="shared" si="286"/>
        <v>0</v>
      </c>
      <c r="F613" s="51">
        <f t="shared" si="286"/>
        <v>0</v>
      </c>
      <c r="G613" s="51">
        <f t="shared" si="286"/>
        <v>0</v>
      </c>
      <c r="H613" s="51">
        <f t="shared" si="286"/>
        <v>0</v>
      </c>
      <c r="I613" s="51">
        <f t="shared" si="286"/>
        <v>0</v>
      </c>
      <c r="J613" s="51" t="e">
        <f t="shared" si="286"/>
        <v>#DIV/0!</v>
      </c>
      <c r="K613" s="51" t="e">
        <f t="shared" si="286"/>
        <v>#DIV/0!</v>
      </c>
      <c r="L613" s="51" t="e">
        <f t="shared" si="286"/>
        <v>#DIV/0!</v>
      </c>
      <c r="M613" s="51" t="e">
        <f t="shared" si="286"/>
        <v>#DIV/0!</v>
      </c>
      <c r="N613" s="51" t="e">
        <f t="shared" si="286"/>
        <v>#DIV/0!</v>
      </c>
      <c r="O613" s="51" t="e">
        <f ca="1">SUM(OFFSET($C613,0,0,1,mth))</f>
        <v>#DIV/0!</v>
      </c>
      <c r="P613" s="382"/>
      <c r="Q613"/>
      <c r="R613"/>
      <c r="S613"/>
    </row>
    <row r="614" s="38" customFormat="1" ht="15" customHeight="1" spans="1:20">
      <c r="A614" s="115" t="s">
        <v>258</v>
      </c>
      <c r="B614" s="60"/>
      <c r="C614" s="51">
        <f t="shared" ref="C614:N614" si="287">C$516*C$5*C33</f>
        <v>0</v>
      </c>
      <c r="D614" s="51">
        <f t="shared" si="287"/>
        <v>0</v>
      </c>
      <c r="E614" s="51">
        <f t="shared" si="287"/>
        <v>0</v>
      </c>
      <c r="F614" s="51">
        <f t="shared" si="287"/>
        <v>0</v>
      </c>
      <c r="G614" s="51">
        <f t="shared" si="287"/>
        <v>0</v>
      </c>
      <c r="H614" s="51">
        <f t="shared" si="287"/>
        <v>0</v>
      </c>
      <c r="I614" s="51">
        <f t="shared" si="287"/>
        <v>0</v>
      </c>
      <c r="J614" s="51" t="e">
        <f t="shared" si="287"/>
        <v>#DIV/0!</v>
      </c>
      <c r="K614" s="51" t="e">
        <f t="shared" si="287"/>
        <v>#DIV/0!</v>
      </c>
      <c r="L614" s="51" t="e">
        <f t="shared" si="287"/>
        <v>#DIV/0!</v>
      </c>
      <c r="M614" s="51" t="e">
        <f t="shared" si="287"/>
        <v>#DIV/0!</v>
      </c>
      <c r="N614" s="51" t="e">
        <f t="shared" si="287"/>
        <v>#DIV/0!</v>
      </c>
      <c r="O614" s="51" t="e">
        <f ca="1">SUM(OFFSET($C614,0,0,1,mth))</f>
        <v>#DIV/0!</v>
      </c>
      <c r="P614" s="382"/>
      <c r="Q614"/>
      <c r="R614"/>
      <c r="S614"/>
      <c r="T614"/>
    </row>
    <row r="615" s="38" customFormat="1" ht="15" customHeight="1" spans="1:20">
      <c r="A615" s="451" t="s">
        <v>240</v>
      </c>
      <c r="B615" s="60"/>
      <c r="C615" s="51">
        <f t="shared" ref="C615:N615" si="288">C$516*C$5*C34</f>
        <v>0</v>
      </c>
      <c r="D615" s="51">
        <f t="shared" si="288"/>
        <v>0</v>
      </c>
      <c r="E615" s="51">
        <f t="shared" si="288"/>
        <v>0</v>
      </c>
      <c r="F615" s="51">
        <f t="shared" si="288"/>
        <v>0</v>
      </c>
      <c r="G615" s="51">
        <f t="shared" si="288"/>
        <v>0</v>
      </c>
      <c r="H615" s="51">
        <f t="shared" si="288"/>
        <v>0</v>
      </c>
      <c r="I615" s="51">
        <f t="shared" si="288"/>
        <v>0</v>
      </c>
      <c r="J615" s="51" t="e">
        <f t="shared" si="288"/>
        <v>#DIV/0!</v>
      </c>
      <c r="K615" s="51" t="e">
        <f t="shared" si="288"/>
        <v>#DIV/0!</v>
      </c>
      <c r="L615" s="51" t="e">
        <f t="shared" si="288"/>
        <v>#DIV/0!</v>
      </c>
      <c r="M615" s="51" t="e">
        <f t="shared" si="288"/>
        <v>#DIV/0!</v>
      </c>
      <c r="N615" s="51" t="e">
        <f t="shared" si="288"/>
        <v>#DIV/0!</v>
      </c>
      <c r="O615" s="51" t="e">
        <f ca="1">SUM(OFFSET($C615,0,0,1,mth))</f>
        <v>#DIV/0!</v>
      </c>
      <c r="P615" s="382"/>
      <c r="Q615" s="446"/>
      <c r="R615"/>
      <c r="S615"/>
      <c r="T615"/>
    </row>
    <row r="616" s="38" customFormat="1" ht="15" customHeight="1" spans="1:20">
      <c r="A616" s="452" t="s">
        <v>241</v>
      </c>
      <c r="B616" s="60"/>
      <c r="C616" s="51">
        <f>C615*C19</f>
        <v>0</v>
      </c>
      <c r="D616" s="51">
        <f t="shared" ref="D616:N616" si="289">D615*D19</f>
        <v>0</v>
      </c>
      <c r="E616" s="51">
        <f t="shared" si="289"/>
        <v>0</v>
      </c>
      <c r="F616" s="51">
        <f t="shared" si="289"/>
        <v>0</v>
      </c>
      <c r="G616" s="51">
        <f t="shared" si="289"/>
        <v>0</v>
      </c>
      <c r="H616" s="51">
        <f t="shared" si="289"/>
        <v>0</v>
      </c>
      <c r="I616" s="51" t="e">
        <f t="shared" si="289"/>
        <v>#DIV/0!</v>
      </c>
      <c r="J616" s="51" t="e">
        <f t="shared" si="289"/>
        <v>#DIV/0!</v>
      </c>
      <c r="K616" s="51" t="e">
        <f t="shared" si="289"/>
        <v>#DIV/0!</v>
      </c>
      <c r="L616" s="51" t="e">
        <f t="shared" si="289"/>
        <v>#DIV/0!</v>
      </c>
      <c r="M616" s="51" t="e">
        <f t="shared" si="289"/>
        <v>#DIV/0!</v>
      </c>
      <c r="N616" s="51" t="e">
        <f t="shared" si="289"/>
        <v>#DIV/0!</v>
      </c>
      <c r="O616" s="51" t="e">
        <f ca="1">SUM(OFFSET($C616,0,0,1,mth))</f>
        <v>#DIV/0!</v>
      </c>
      <c r="P616" s="382"/>
      <c r="Q616" s="446"/>
      <c r="R616"/>
      <c r="S616"/>
      <c r="T616"/>
    </row>
    <row r="617" s="38" customFormat="1" ht="15" customHeight="1" spans="1:20">
      <c r="A617" s="452" t="s">
        <v>242</v>
      </c>
      <c r="B617" s="60"/>
      <c r="C617" s="51">
        <f>C615*C20</f>
        <v>0</v>
      </c>
      <c r="D617" s="51">
        <f t="shared" ref="D617:N617" si="290">D615*D20</f>
        <v>0</v>
      </c>
      <c r="E617" s="51">
        <f t="shared" si="290"/>
        <v>0</v>
      </c>
      <c r="F617" s="51">
        <f t="shared" si="290"/>
        <v>0</v>
      </c>
      <c r="G617" s="51">
        <f t="shared" si="290"/>
        <v>0</v>
      </c>
      <c r="H617" s="51">
        <f t="shared" si="290"/>
        <v>0</v>
      </c>
      <c r="I617" s="51" t="e">
        <f t="shared" si="290"/>
        <v>#DIV/0!</v>
      </c>
      <c r="J617" s="51" t="e">
        <f t="shared" si="290"/>
        <v>#DIV/0!</v>
      </c>
      <c r="K617" s="51" t="e">
        <f t="shared" si="290"/>
        <v>#DIV/0!</v>
      </c>
      <c r="L617" s="51" t="e">
        <f t="shared" si="290"/>
        <v>#DIV/0!</v>
      </c>
      <c r="M617" s="51" t="e">
        <f t="shared" si="290"/>
        <v>#DIV/0!</v>
      </c>
      <c r="N617" s="51" t="e">
        <f t="shared" si="290"/>
        <v>#DIV/0!</v>
      </c>
      <c r="O617" s="51" t="e">
        <f ca="1">SUM(OFFSET($C617,0,0,1,mth))</f>
        <v>#DIV/0!</v>
      </c>
      <c r="P617" s="382"/>
      <c r="Q617" s="446"/>
      <c r="R617"/>
      <c r="S617"/>
      <c r="T617"/>
    </row>
    <row r="618" s="38" customFormat="1" ht="15" customHeight="1" spans="1:20">
      <c r="A618" s="57" t="s">
        <v>232</v>
      </c>
      <c r="B618" s="50"/>
      <c r="C618" s="51">
        <f>SUM(C608:C615)</f>
        <v>0</v>
      </c>
      <c r="D618" s="51">
        <f t="shared" ref="D618:O618" si="291">SUM(D608:D615)</f>
        <v>0</v>
      </c>
      <c r="E618" s="51">
        <f t="shared" si="291"/>
        <v>0</v>
      </c>
      <c r="F618" s="51">
        <f t="shared" si="291"/>
        <v>0</v>
      </c>
      <c r="G618" s="51">
        <f t="shared" si="291"/>
        <v>0</v>
      </c>
      <c r="H618" s="51">
        <f t="shared" si="291"/>
        <v>0</v>
      </c>
      <c r="I618" s="51">
        <f t="shared" si="291"/>
        <v>0</v>
      </c>
      <c r="J618" s="51" t="e">
        <f t="shared" si="291"/>
        <v>#DIV/0!</v>
      </c>
      <c r="K618" s="51" t="e">
        <f t="shared" si="291"/>
        <v>#DIV/0!</v>
      </c>
      <c r="L618" s="51" t="e">
        <f t="shared" si="291"/>
        <v>#DIV/0!</v>
      </c>
      <c r="M618" s="51" t="e">
        <f t="shared" si="291"/>
        <v>#DIV/0!</v>
      </c>
      <c r="N618" s="51" t="e">
        <f t="shared" si="291"/>
        <v>#DIV/0!</v>
      </c>
      <c r="O618" s="51" t="e">
        <f ca="1" t="shared" si="291"/>
        <v>#DIV/0!</v>
      </c>
      <c r="P618" s="382"/>
      <c r="Q618"/>
      <c r="R618"/>
      <c r="S618"/>
      <c r="T618"/>
    </row>
    <row r="619" spans="1:20">
      <c r="A619" s="38"/>
      <c r="B619" s="38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</row>
    <row r="620" spans="1:20">
      <c r="A620" s="38" t="s">
        <v>306</v>
      </c>
      <c r="B620" s="277"/>
      <c r="C620" s="440"/>
      <c r="D620" s="440"/>
      <c r="E620" s="440"/>
      <c r="F620" s="440"/>
      <c r="G620" s="440"/>
      <c r="H620" s="440"/>
      <c r="I620" s="440"/>
      <c r="J620" s="440"/>
      <c r="K620" s="440"/>
      <c r="L620" s="440"/>
      <c r="M620" s="440"/>
      <c r="N620" s="440"/>
      <c r="O620" s="440"/>
      <c r="Q620" s="38"/>
      <c r="R620" s="71"/>
      <c r="S620" s="38"/>
      <c r="T620" s="38"/>
    </row>
    <row r="621" s="38" customFormat="1" ht="15" customHeight="1" spans="1:20">
      <c r="A621" s="115" t="s">
        <v>252</v>
      </c>
      <c r="B621" s="50"/>
      <c r="C621" s="51">
        <f t="shared" ref="C621:C626" si="292">-C$522*C$5*C24</f>
        <v>-90272.2463063584</v>
      </c>
      <c r="D621" s="51">
        <f t="shared" ref="D621:N621" si="293">-D$522*D$5*D24</f>
        <v>-110877.391596014</v>
      </c>
      <c r="E621" s="51">
        <f t="shared" si="293"/>
        <v>-136943.101090069</v>
      </c>
      <c r="F621" s="51">
        <f t="shared" si="293"/>
        <v>-123484.000363167</v>
      </c>
      <c r="G621" s="51">
        <f t="shared" si="293"/>
        <v>-139165.717897274</v>
      </c>
      <c r="H621" s="51">
        <f t="shared" si="293"/>
        <v>-129895.062513073</v>
      </c>
      <c r="I621" s="51">
        <f t="shared" si="293"/>
        <v>0</v>
      </c>
      <c r="J621" s="51" t="e">
        <f t="shared" si="293"/>
        <v>#DIV/0!</v>
      </c>
      <c r="K621" s="51" t="e">
        <f t="shared" si="293"/>
        <v>#DIV/0!</v>
      </c>
      <c r="L621" s="51" t="e">
        <f t="shared" si="293"/>
        <v>#DIV/0!</v>
      </c>
      <c r="M621" s="51" t="e">
        <f t="shared" si="293"/>
        <v>#DIV/0!</v>
      </c>
      <c r="N621" s="51" t="e">
        <f t="shared" si="293"/>
        <v>#DIV/0!</v>
      </c>
      <c r="O621" s="51" t="e">
        <f ca="1">SUM(OFFSET($C621,0,0,1,mth))</f>
        <v>#DIV/0!</v>
      </c>
      <c r="P621" s="378"/>
      <c r="R621" s="71"/>
    </row>
    <row r="622" s="38" customFormat="1" ht="15" customHeight="1" spans="1:20">
      <c r="A622" s="115" t="s">
        <v>253</v>
      </c>
      <c r="B622" s="50"/>
      <c r="C622" s="51">
        <f t="shared" si="292"/>
        <v>0</v>
      </c>
      <c r="D622" s="51">
        <f t="shared" ref="D622:N622" si="294">-D$522*D$5*D25</f>
        <v>0</v>
      </c>
      <c r="E622" s="51">
        <f t="shared" si="294"/>
        <v>0</v>
      </c>
      <c r="F622" s="51">
        <f t="shared" si="294"/>
        <v>0</v>
      </c>
      <c r="G622" s="51">
        <f t="shared" si="294"/>
        <v>0</v>
      </c>
      <c r="H622" s="51">
        <f t="shared" si="294"/>
        <v>0</v>
      </c>
      <c r="I622" s="51">
        <f t="shared" si="294"/>
        <v>0</v>
      </c>
      <c r="J622" s="51" t="e">
        <f t="shared" si="294"/>
        <v>#DIV/0!</v>
      </c>
      <c r="K622" s="51" t="e">
        <f t="shared" si="294"/>
        <v>#DIV/0!</v>
      </c>
      <c r="L622" s="51" t="e">
        <f t="shared" si="294"/>
        <v>#DIV/0!</v>
      </c>
      <c r="M622" s="51" t="e">
        <f t="shared" si="294"/>
        <v>#DIV/0!</v>
      </c>
      <c r="N622" s="51" t="e">
        <f t="shared" si="294"/>
        <v>#DIV/0!</v>
      </c>
      <c r="O622" s="51" t="e">
        <f ca="1">SUM(OFFSET($C622,0,0,1,mth))</f>
        <v>#DIV/0!</v>
      </c>
      <c r="P622" s="382"/>
      <c r="R622" s="71"/>
    </row>
    <row r="623" s="38" customFormat="1" ht="15" customHeight="1" spans="1:20">
      <c r="A623" s="115" t="s">
        <v>268</v>
      </c>
      <c r="B623" s="400"/>
      <c r="C623" s="51">
        <f t="shared" si="292"/>
        <v>0</v>
      </c>
      <c r="D623" s="51">
        <f t="shared" ref="D623:N623" si="295">-D$522*D$5*D26</f>
        <v>0</v>
      </c>
      <c r="E623" s="51">
        <f t="shared" si="295"/>
        <v>0</v>
      </c>
      <c r="F623" s="51">
        <f t="shared" si="295"/>
        <v>0</v>
      </c>
      <c r="G623" s="51">
        <f t="shared" si="295"/>
        <v>0</v>
      </c>
      <c r="H623" s="51">
        <f t="shared" si="295"/>
        <v>0</v>
      </c>
      <c r="I623" s="51">
        <f t="shared" si="295"/>
        <v>0</v>
      </c>
      <c r="J623" s="51" t="e">
        <f t="shared" si="295"/>
        <v>#DIV/0!</v>
      </c>
      <c r="K623" s="51" t="e">
        <f t="shared" si="295"/>
        <v>#DIV/0!</v>
      </c>
      <c r="L623" s="51" t="e">
        <f t="shared" si="295"/>
        <v>#DIV/0!</v>
      </c>
      <c r="M623" s="51" t="e">
        <f t="shared" si="295"/>
        <v>#DIV/0!</v>
      </c>
      <c r="N623" s="51" t="e">
        <f t="shared" si="295"/>
        <v>#DIV/0!</v>
      </c>
      <c r="O623" s="51" t="e">
        <f ca="1">SUM(OFFSET($C623,0,0,1,mth))</f>
        <v>#DIV/0!</v>
      </c>
      <c r="P623" s="382"/>
      <c r="R623" s="71"/>
    </row>
    <row r="624" s="38" customFormat="1" ht="15" customHeight="1" spans="1:20">
      <c r="A624" s="115" t="s">
        <v>255</v>
      </c>
      <c r="B624" s="400"/>
      <c r="C624" s="51">
        <f t="shared" si="292"/>
        <v>0</v>
      </c>
      <c r="D624" s="51">
        <f t="shared" ref="D624:N624" si="296">-D$522*D$5*D27</f>
        <v>-5100.4205079224</v>
      </c>
      <c r="E624" s="51">
        <f t="shared" si="296"/>
        <v>-9142.92915732388</v>
      </c>
      <c r="F624" s="51">
        <f t="shared" si="296"/>
        <v>-7394.39370337212</v>
      </c>
      <c r="G624" s="51">
        <f t="shared" si="296"/>
        <v>0</v>
      </c>
      <c r="H624" s="51">
        <f t="shared" si="296"/>
        <v>-5505.79981393846</v>
      </c>
      <c r="I624" s="51">
        <f t="shared" si="296"/>
        <v>0</v>
      </c>
      <c r="J624" s="51" t="e">
        <f t="shared" si="296"/>
        <v>#DIV/0!</v>
      </c>
      <c r="K624" s="51" t="e">
        <f t="shared" si="296"/>
        <v>#DIV/0!</v>
      </c>
      <c r="L624" s="51" t="e">
        <f t="shared" si="296"/>
        <v>#DIV/0!</v>
      </c>
      <c r="M624" s="51" t="e">
        <f t="shared" si="296"/>
        <v>#DIV/0!</v>
      </c>
      <c r="N624" s="51" t="e">
        <f t="shared" si="296"/>
        <v>#DIV/0!</v>
      </c>
      <c r="O624" s="51" t="e">
        <f ca="1">SUM(OFFSET($C624,0,0,1,mth))</f>
        <v>#DIV/0!</v>
      </c>
      <c r="P624" s="382"/>
      <c r="Q624"/>
      <c r="R624"/>
    </row>
    <row r="625" s="38" customFormat="1" ht="15" customHeight="1" spans="1:20">
      <c r="A625" s="115" t="s">
        <v>256</v>
      </c>
      <c r="B625" s="60"/>
      <c r="C625" s="51">
        <f t="shared" si="292"/>
        <v>-23682.1586936416</v>
      </c>
      <c r="D625" s="51">
        <f t="shared" ref="D625:N625" si="297">-D$522*D$5*D28</f>
        <v>-17350.1313783577</v>
      </c>
      <c r="E625" s="51">
        <f t="shared" si="297"/>
        <v>-33063.6647526072</v>
      </c>
      <c r="F625" s="51">
        <f t="shared" si="297"/>
        <v>-23518.0659334606</v>
      </c>
      <c r="G625" s="51">
        <f t="shared" si="297"/>
        <v>-22967.1671027258</v>
      </c>
      <c r="H625" s="51">
        <f t="shared" si="297"/>
        <v>-29255.4926729881</v>
      </c>
      <c r="I625" s="51">
        <f t="shared" si="297"/>
        <v>0</v>
      </c>
      <c r="J625" s="51" t="e">
        <f t="shared" si="297"/>
        <v>#DIV/0!</v>
      </c>
      <c r="K625" s="51" t="e">
        <f t="shared" si="297"/>
        <v>#DIV/0!</v>
      </c>
      <c r="L625" s="51" t="e">
        <f t="shared" si="297"/>
        <v>#DIV/0!</v>
      </c>
      <c r="M625" s="51" t="e">
        <f t="shared" si="297"/>
        <v>#DIV/0!</v>
      </c>
      <c r="N625" s="51" t="e">
        <f t="shared" si="297"/>
        <v>#DIV/0!</v>
      </c>
      <c r="O625" s="51" t="e">
        <f ca="1">SUM(OFFSET($C625,0,0,1,mth))</f>
        <v>#DIV/0!</v>
      </c>
      <c r="P625" s="382"/>
      <c r="Q625"/>
      <c r="R625"/>
      <c r="S625"/>
    </row>
    <row r="626" s="38" customFormat="1" ht="15" customHeight="1" spans="1:20">
      <c r="A626" s="115" t="s">
        <v>257</v>
      </c>
      <c r="B626" s="60"/>
      <c r="C626" s="51">
        <f t="shared" si="292"/>
        <v>0</v>
      </c>
      <c r="D626" s="51">
        <f t="shared" ref="D626:N626" si="298">-D$522*D$5*D29</f>
        <v>-498.921517706066</v>
      </c>
      <c r="E626" s="51">
        <f t="shared" si="298"/>
        <v>0</v>
      </c>
      <c r="F626" s="51">
        <f t="shared" si="298"/>
        <v>0</v>
      </c>
      <c r="G626" s="51">
        <f t="shared" si="298"/>
        <v>0</v>
      </c>
      <c r="H626" s="51">
        <f t="shared" si="298"/>
        <v>0</v>
      </c>
      <c r="I626" s="51">
        <f t="shared" si="298"/>
        <v>0</v>
      </c>
      <c r="J626" s="51" t="e">
        <f t="shared" si="298"/>
        <v>#DIV/0!</v>
      </c>
      <c r="K626" s="51" t="e">
        <f t="shared" si="298"/>
        <v>#DIV/0!</v>
      </c>
      <c r="L626" s="51" t="e">
        <f t="shared" si="298"/>
        <v>#DIV/0!</v>
      </c>
      <c r="M626" s="51" t="e">
        <f t="shared" si="298"/>
        <v>#DIV/0!</v>
      </c>
      <c r="N626" s="51" t="e">
        <f t="shared" si="298"/>
        <v>#DIV/0!</v>
      </c>
      <c r="O626" s="51" t="e">
        <f ca="1">SUM(OFFSET($C626,0,0,1,mth))</f>
        <v>#DIV/0!</v>
      </c>
      <c r="P626" s="382"/>
      <c r="Q626"/>
      <c r="R626"/>
      <c r="S626"/>
    </row>
    <row r="627" s="38" customFormat="1" ht="15" customHeight="1" spans="1:20">
      <c r="A627" s="115" t="s">
        <v>258</v>
      </c>
      <c r="B627" s="60"/>
      <c r="C627" s="51">
        <f>-C$522*C$5*C33</f>
        <v>-112078.005211809</v>
      </c>
      <c r="D627" s="51">
        <f t="shared" ref="D627:N627" si="299">-D$522*D$5*D33</f>
        <v>-131475.626188084</v>
      </c>
      <c r="E627" s="51">
        <f t="shared" si="299"/>
        <v>-176978.982866312</v>
      </c>
      <c r="F627" s="51">
        <f t="shared" si="299"/>
        <v>-147557.114472137</v>
      </c>
      <c r="G627" s="51">
        <f t="shared" si="299"/>
        <v>-154327.810398567</v>
      </c>
      <c r="H627" s="51">
        <f t="shared" si="299"/>
        <v>-158856.884903727</v>
      </c>
      <c r="I627" s="51">
        <f t="shared" si="299"/>
        <v>0</v>
      </c>
      <c r="J627" s="51" t="e">
        <f t="shared" si="299"/>
        <v>#DIV/0!</v>
      </c>
      <c r="K627" s="51" t="e">
        <f t="shared" si="299"/>
        <v>#DIV/0!</v>
      </c>
      <c r="L627" s="51" t="e">
        <f t="shared" si="299"/>
        <v>#DIV/0!</v>
      </c>
      <c r="M627" s="51" t="e">
        <f t="shared" si="299"/>
        <v>#DIV/0!</v>
      </c>
      <c r="N627" s="51" t="e">
        <f t="shared" si="299"/>
        <v>#DIV/0!</v>
      </c>
      <c r="O627" s="51" t="e">
        <f ca="1">SUM(OFFSET($C627,0,0,1,mth))</f>
        <v>#DIV/0!</v>
      </c>
      <c r="P627" s="382"/>
      <c r="Q627"/>
      <c r="R627"/>
      <c r="S627"/>
      <c r="T627"/>
    </row>
    <row r="628" s="38" customFormat="1" ht="15" customHeight="1" spans="1:20">
      <c r="A628" s="451" t="s">
        <v>240</v>
      </c>
      <c r="B628" s="60"/>
      <c r="C628" s="51">
        <f>-C$522*C$5*(C34+C35)</f>
        <v>-1876.39978819089</v>
      </c>
      <c r="D628" s="51">
        <f t="shared" ref="D628:N628" si="300">-D$522*D$5*(D34+D35)</f>
        <v>-2351.23881191589</v>
      </c>
      <c r="E628" s="51">
        <f t="shared" si="300"/>
        <v>-2170.71213368792</v>
      </c>
      <c r="F628" s="51">
        <f t="shared" si="300"/>
        <v>-6839.34552786294</v>
      </c>
      <c r="G628" s="51">
        <f t="shared" si="300"/>
        <v>-7805.07460143294</v>
      </c>
      <c r="H628" s="51">
        <f t="shared" si="300"/>
        <v>-5799.47009627275</v>
      </c>
      <c r="I628" s="51">
        <f t="shared" si="300"/>
        <v>0</v>
      </c>
      <c r="J628" s="51" t="e">
        <f t="shared" si="300"/>
        <v>#DIV/0!</v>
      </c>
      <c r="K628" s="51" t="e">
        <f t="shared" si="300"/>
        <v>#DIV/0!</v>
      </c>
      <c r="L628" s="51" t="e">
        <f t="shared" si="300"/>
        <v>#DIV/0!</v>
      </c>
      <c r="M628" s="51" t="e">
        <f t="shared" si="300"/>
        <v>#DIV/0!</v>
      </c>
      <c r="N628" s="51" t="e">
        <f t="shared" si="300"/>
        <v>#DIV/0!</v>
      </c>
      <c r="O628" s="51" t="e">
        <f ca="1">SUM(OFFSET($C628,0,0,1,mth))</f>
        <v>#DIV/0!</v>
      </c>
      <c r="P628" s="382"/>
      <c r="Q628" s="446"/>
      <c r="R628"/>
      <c r="S628"/>
      <c r="T628"/>
    </row>
    <row r="629" s="38" customFormat="1" ht="15" customHeight="1" spans="1:20">
      <c r="A629" s="452" t="s">
        <v>241</v>
      </c>
      <c r="B629" s="60"/>
      <c r="C629" s="51">
        <f>C628*C19</f>
        <v>-868.312606295315</v>
      </c>
      <c r="D629" s="51">
        <f t="shared" ref="D629:N629" si="301">D628*D19</f>
        <v>-335.510998358518</v>
      </c>
      <c r="E629" s="51">
        <f t="shared" si="301"/>
        <v>-1502.32674087016</v>
      </c>
      <c r="F629" s="51">
        <f t="shared" si="301"/>
        <v>-3312.27813452194</v>
      </c>
      <c r="G629" s="51">
        <f t="shared" si="301"/>
        <v>-2264.18087992577</v>
      </c>
      <c r="H629" s="51">
        <f t="shared" si="301"/>
        <v>-1117.83354196326</v>
      </c>
      <c r="I629" s="51" t="e">
        <f t="shared" si="301"/>
        <v>#DIV/0!</v>
      </c>
      <c r="J629" s="51" t="e">
        <f t="shared" si="301"/>
        <v>#DIV/0!</v>
      </c>
      <c r="K629" s="51" t="e">
        <f t="shared" si="301"/>
        <v>#DIV/0!</v>
      </c>
      <c r="L629" s="51" t="e">
        <f t="shared" si="301"/>
        <v>#DIV/0!</v>
      </c>
      <c r="M629" s="51" t="e">
        <f t="shared" si="301"/>
        <v>#DIV/0!</v>
      </c>
      <c r="N629" s="51" t="e">
        <f t="shared" si="301"/>
        <v>#DIV/0!</v>
      </c>
      <c r="O629" s="51" t="e">
        <f ca="1">SUM(OFFSET($C629,0,0,1,mth))</f>
        <v>#DIV/0!</v>
      </c>
      <c r="P629" s="382"/>
      <c r="Q629" s="446"/>
      <c r="R629"/>
      <c r="S629"/>
      <c r="T629"/>
    </row>
    <row r="630" s="38" customFormat="1" ht="15" customHeight="1" spans="1:20">
      <c r="A630" s="452" t="s">
        <v>242</v>
      </c>
      <c r="B630" s="60"/>
      <c r="C630" s="51">
        <f>C628*C20</f>
        <v>-1008.08718189558</v>
      </c>
      <c r="D630" s="51">
        <f t="shared" ref="D630:N630" si="302">D628*D20</f>
        <v>-2015.72781355737</v>
      </c>
      <c r="E630" s="51">
        <f t="shared" si="302"/>
        <v>-668.385392817769</v>
      </c>
      <c r="F630" s="51">
        <f t="shared" si="302"/>
        <v>-3527.06739334099</v>
      </c>
      <c r="G630" s="51">
        <f t="shared" si="302"/>
        <v>-5540.89372150718</v>
      </c>
      <c r="H630" s="51">
        <f t="shared" si="302"/>
        <v>-4681.63655430948</v>
      </c>
      <c r="I630" s="51" t="e">
        <f t="shared" si="302"/>
        <v>#DIV/0!</v>
      </c>
      <c r="J630" s="51" t="e">
        <f t="shared" si="302"/>
        <v>#DIV/0!</v>
      </c>
      <c r="K630" s="51" t="e">
        <f t="shared" si="302"/>
        <v>#DIV/0!</v>
      </c>
      <c r="L630" s="51" t="e">
        <f t="shared" si="302"/>
        <v>#DIV/0!</v>
      </c>
      <c r="M630" s="51" t="e">
        <f t="shared" si="302"/>
        <v>#DIV/0!</v>
      </c>
      <c r="N630" s="51" t="e">
        <f t="shared" si="302"/>
        <v>#DIV/0!</v>
      </c>
      <c r="O630" s="51" t="e">
        <f ca="1">SUM(OFFSET($C630,0,0,1,mth))</f>
        <v>#DIV/0!</v>
      </c>
      <c r="P630" s="382"/>
      <c r="Q630" s="446"/>
      <c r="R630"/>
      <c r="S630"/>
      <c r="T630"/>
    </row>
    <row r="631" s="38" customFormat="1" ht="15" customHeight="1" spans="1:20">
      <c r="A631" s="57" t="s">
        <v>232</v>
      </c>
      <c r="B631" s="50"/>
      <c r="C631" s="51">
        <f>SUM(C621:C628)</f>
        <v>-227908.81</v>
      </c>
      <c r="D631" s="51">
        <f t="shared" ref="D631:O631" si="303">SUM(D621:D628)</f>
        <v>-267653.73</v>
      </c>
      <c r="E631" s="51">
        <f t="shared" si="303"/>
        <v>-358299.39</v>
      </c>
      <c r="F631" s="51">
        <f t="shared" si="303"/>
        <v>-308792.92</v>
      </c>
      <c r="G631" s="51">
        <f t="shared" si="303"/>
        <v>-324265.77</v>
      </c>
      <c r="H631" s="51">
        <f t="shared" si="303"/>
        <v>-329312.71</v>
      </c>
      <c r="I631" s="51">
        <f t="shared" si="303"/>
        <v>0</v>
      </c>
      <c r="J631" s="51" t="e">
        <f t="shared" si="303"/>
        <v>#DIV/0!</v>
      </c>
      <c r="K631" s="51" t="e">
        <f t="shared" si="303"/>
        <v>#DIV/0!</v>
      </c>
      <c r="L631" s="51" t="e">
        <f t="shared" si="303"/>
        <v>#DIV/0!</v>
      </c>
      <c r="M631" s="51" t="e">
        <f t="shared" si="303"/>
        <v>#DIV/0!</v>
      </c>
      <c r="N631" s="51" t="e">
        <f t="shared" si="303"/>
        <v>#DIV/0!</v>
      </c>
      <c r="O631" s="51" t="e">
        <f ca="1" t="shared" si="303"/>
        <v>#DIV/0!</v>
      </c>
      <c r="P631" s="382"/>
      <c r="Q631"/>
      <c r="R631"/>
      <c r="S631"/>
      <c r="T631"/>
    </row>
    <row r="632" spans="1:20">
      <c r="A632" s="46" t="str">
        <f>基础表!A477</f>
        <v>政府补贴</v>
      </c>
      <c r="B632" s="38"/>
      <c r="C632" s="325">
        <f>C631+C522</f>
        <v>0</v>
      </c>
      <c r="D632" s="325">
        <f t="shared" ref="D632:O632" si="304">D631+D522</f>
        <v>0</v>
      </c>
      <c r="E632" s="325">
        <f t="shared" si="304"/>
        <v>0</v>
      </c>
      <c r="F632" s="325">
        <f t="shared" si="304"/>
        <v>0</v>
      </c>
      <c r="G632" s="325">
        <f t="shared" si="304"/>
        <v>0</v>
      </c>
      <c r="H632" s="325">
        <f t="shared" si="304"/>
        <v>0</v>
      </c>
      <c r="I632" s="325">
        <f t="shared" si="304"/>
        <v>0</v>
      </c>
      <c r="J632" s="325" t="e">
        <f t="shared" si="304"/>
        <v>#DIV/0!</v>
      </c>
      <c r="K632" s="325" t="e">
        <f t="shared" si="304"/>
        <v>#DIV/0!</v>
      </c>
      <c r="L632" s="325" t="e">
        <f t="shared" si="304"/>
        <v>#DIV/0!</v>
      </c>
      <c r="M632" s="325" t="e">
        <f t="shared" si="304"/>
        <v>#DIV/0!</v>
      </c>
      <c r="N632" s="325" t="e">
        <f t="shared" si="304"/>
        <v>#DIV/0!</v>
      </c>
      <c r="O632" s="325" t="e">
        <f ca="1" t="shared" si="304"/>
        <v>#DIV/0!</v>
      </c>
    </row>
    <row r="633" spans="1:20">
      <c r="A633" s="321" t="str">
        <f>基础表!A478</f>
        <v>大额政府补贴（百万以上）</v>
      </c>
      <c r="B633" s="50">
        <f>基础表!B478</f>
        <v>0</v>
      </c>
      <c r="C633" s="125">
        <f>基础表!C478</f>
        <v>0</v>
      </c>
      <c r="D633" s="125">
        <f>基础表!D478</f>
        <v>0</v>
      </c>
      <c r="E633" s="125">
        <f>基础表!E478</f>
        <v>0</v>
      </c>
      <c r="F633" s="125">
        <f>基础表!F478</f>
        <v>0</v>
      </c>
      <c r="G633" s="125">
        <f>基础表!G478</f>
        <v>0</v>
      </c>
      <c r="H633" s="125">
        <f>基础表!H478</f>
        <v>0</v>
      </c>
      <c r="I633" s="125">
        <f>基础表!I478</f>
        <v>0</v>
      </c>
      <c r="J633" s="125">
        <f>基础表!J478</f>
        <v>0</v>
      </c>
      <c r="K633" s="125">
        <f>基础表!K478</f>
        <v>0</v>
      </c>
      <c r="L633" s="125">
        <f>基础表!L478</f>
        <v>0</v>
      </c>
      <c r="M633" s="125">
        <f>基础表!M478</f>
        <v>0</v>
      </c>
      <c r="N633" s="125">
        <f>基础表!N478</f>
        <v>0</v>
      </c>
      <c r="O633" s="411">
        <f ca="1">基础表!O478</f>
        <v>0</v>
      </c>
    </row>
    <row r="634" s="38" customFormat="1" ht="15" customHeight="1" spans="1:20">
      <c r="A634" s="115" t="s">
        <v>252</v>
      </c>
      <c r="B634" s="50"/>
      <c r="C634" s="51">
        <f t="shared" ref="C634:N634" si="305">C$633*C$5*C11</f>
        <v>0</v>
      </c>
      <c r="D634" s="51">
        <f t="shared" si="305"/>
        <v>0</v>
      </c>
      <c r="E634" s="51">
        <f t="shared" si="305"/>
        <v>0</v>
      </c>
      <c r="F634" s="51">
        <f t="shared" si="305"/>
        <v>0</v>
      </c>
      <c r="G634" s="51">
        <f t="shared" si="305"/>
        <v>0</v>
      </c>
      <c r="H634" s="51">
        <f t="shared" si="305"/>
        <v>0</v>
      </c>
      <c r="I634" s="51">
        <f t="shared" si="305"/>
        <v>0</v>
      </c>
      <c r="J634" s="51" t="e">
        <f t="shared" si="305"/>
        <v>#DIV/0!</v>
      </c>
      <c r="K634" s="51" t="e">
        <f t="shared" si="305"/>
        <v>#DIV/0!</v>
      </c>
      <c r="L634" s="51" t="e">
        <f t="shared" si="305"/>
        <v>#DIV/0!</v>
      </c>
      <c r="M634" s="51" t="e">
        <f t="shared" si="305"/>
        <v>#DIV/0!</v>
      </c>
      <c r="N634" s="51" t="e">
        <f t="shared" si="305"/>
        <v>#DIV/0!</v>
      </c>
      <c r="O634" s="51" t="e">
        <f ca="1">SUM(OFFSET($C634,0,0,1,mth))</f>
        <v>#DIV/0!</v>
      </c>
      <c r="P634" s="378"/>
      <c r="R634" s="71"/>
    </row>
    <row r="635" s="38" customFormat="1" ht="15" customHeight="1" spans="1:20">
      <c r="A635" s="115" t="s">
        <v>253</v>
      </c>
      <c r="B635" s="50"/>
      <c r="C635" s="51">
        <f t="shared" ref="C635:N635" si="306">C$633*C$5*C12</f>
        <v>0</v>
      </c>
      <c r="D635" s="51">
        <f t="shared" si="306"/>
        <v>0</v>
      </c>
      <c r="E635" s="51">
        <f t="shared" si="306"/>
        <v>0</v>
      </c>
      <c r="F635" s="51">
        <f t="shared" si="306"/>
        <v>0</v>
      </c>
      <c r="G635" s="51">
        <f t="shared" si="306"/>
        <v>0</v>
      </c>
      <c r="H635" s="51">
        <f t="shared" si="306"/>
        <v>0</v>
      </c>
      <c r="I635" s="51">
        <f t="shared" si="306"/>
        <v>0</v>
      </c>
      <c r="J635" s="51" t="e">
        <f t="shared" si="306"/>
        <v>#DIV/0!</v>
      </c>
      <c r="K635" s="51" t="e">
        <f t="shared" si="306"/>
        <v>#DIV/0!</v>
      </c>
      <c r="L635" s="51" t="e">
        <f t="shared" si="306"/>
        <v>#DIV/0!</v>
      </c>
      <c r="M635" s="51" t="e">
        <f t="shared" si="306"/>
        <v>#DIV/0!</v>
      </c>
      <c r="N635" s="51" t="e">
        <f t="shared" si="306"/>
        <v>#DIV/0!</v>
      </c>
      <c r="O635" s="51" t="e">
        <f ca="1">SUM(OFFSET($C635,0,0,1,mth))</f>
        <v>#DIV/0!</v>
      </c>
      <c r="P635" s="382"/>
      <c r="R635" s="71"/>
    </row>
    <row r="636" s="38" customFormat="1" ht="15" customHeight="1" spans="1:20">
      <c r="A636" s="115" t="s">
        <v>255</v>
      </c>
      <c r="B636" s="400"/>
      <c r="C636" s="51">
        <f t="shared" ref="C636:N636" si="307">C$633*C$5*C14</f>
        <v>0</v>
      </c>
      <c r="D636" s="51">
        <f t="shared" si="307"/>
        <v>0</v>
      </c>
      <c r="E636" s="51">
        <f t="shared" si="307"/>
        <v>0</v>
      </c>
      <c r="F636" s="51">
        <f t="shared" si="307"/>
        <v>0</v>
      </c>
      <c r="G636" s="51">
        <f t="shared" si="307"/>
        <v>0</v>
      </c>
      <c r="H636" s="51">
        <f t="shared" si="307"/>
        <v>0</v>
      </c>
      <c r="I636" s="51">
        <f t="shared" si="307"/>
        <v>0</v>
      </c>
      <c r="J636" s="51" t="e">
        <f t="shared" si="307"/>
        <v>#DIV/0!</v>
      </c>
      <c r="K636" s="51" t="e">
        <f t="shared" si="307"/>
        <v>#DIV/0!</v>
      </c>
      <c r="L636" s="51" t="e">
        <f t="shared" si="307"/>
        <v>#DIV/0!</v>
      </c>
      <c r="M636" s="51" t="e">
        <f t="shared" si="307"/>
        <v>#DIV/0!</v>
      </c>
      <c r="N636" s="51" t="e">
        <f t="shared" si="307"/>
        <v>#DIV/0!</v>
      </c>
      <c r="O636" s="51" t="e">
        <f ca="1">SUM(OFFSET($C636,0,0,1,mth))</f>
        <v>#DIV/0!</v>
      </c>
      <c r="P636" s="382"/>
      <c r="Q636"/>
      <c r="R636"/>
    </row>
    <row r="637" s="38" customFormat="1" ht="15" customHeight="1" spans="1:20">
      <c r="A637" s="115" t="s">
        <v>256</v>
      </c>
      <c r="B637" s="60"/>
      <c r="C637" s="51">
        <f t="shared" ref="C637:N637" si="308">C$633*C$5*C15</f>
        <v>0</v>
      </c>
      <c r="D637" s="51">
        <f t="shared" si="308"/>
        <v>0</v>
      </c>
      <c r="E637" s="51">
        <f t="shared" si="308"/>
        <v>0</v>
      </c>
      <c r="F637" s="51">
        <f t="shared" si="308"/>
        <v>0</v>
      </c>
      <c r="G637" s="51">
        <f t="shared" si="308"/>
        <v>0</v>
      </c>
      <c r="H637" s="51">
        <f t="shared" si="308"/>
        <v>0</v>
      </c>
      <c r="I637" s="51">
        <f t="shared" si="308"/>
        <v>0</v>
      </c>
      <c r="J637" s="51" t="e">
        <f t="shared" si="308"/>
        <v>#DIV/0!</v>
      </c>
      <c r="K637" s="51" t="e">
        <f t="shared" si="308"/>
        <v>#DIV/0!</v>
      </c>
      <c r="L637" s="51" t="e">
        <f t="shared" si="308"/>
        <v>#DIV/0!</v>
      </c>
      <c r="M637" s="51" t="e">
        <f t="shared" si="308"/>
        <v>#DIV/0!</v>
      </c>
      <c r="N637" s="51" t="e">
        <f t="shared" si="308"/>
        <v>#DIV/0!</v>
      </c>
      <c r="O637" s="51" t="e">
        <f ca="1">SUM(OFFSET($C637,0,0,1,mth))</f>
        <v>#DIV/0!</v>
      </c>
      <c r="P637" s="382"/>
      <c r="Q637"/>
      <c r="R637"/>
      <c r="S637"/>
    </row>
    <row r="638" s="38" customFormat="1" ht="15" customHeight="1" spans="1:20">
      <c r="A638" s="115" t="s">
        <v>257</v>
      </c>
      <c r="B638" s="60"/>
      <c r="C638" s="51">
        <f t="shared" ref="C638:N638" si="309">C$633*C$5*C16</f>
        <v>0</v>
      </c>
      <c r="D638" s="51">
        <f t="shared" si="309"/>
        <v>0</v>
      </c>
      <c r="E638" s="51">
        <f t="shared" si="309"/>
        <v>0</v>
      </c>
      <c r="F638" s="51">
        <f t="shared" si="309"/>
        <v>0</v>
      </c>
      <c r="G638" s="51">
        <f t="shared" si="309"/>
        <v>0</v>
      </c>
      <c r="H638" s="51">
        <f t="shared" si="309"/>
        <v>0</v>
      </c>
      <c r="I638" s="51">
        <f t="shared" si="309"/>
        <v>0</v>
      </c>
      <c r="J638" s="51" t="e">
        <f t="shared" si="309"/>
        <v>#DIV/0!</v>
      </c>
      <c r="K638" s="51" t="e">
        <f t="shared" si="309"/>
        <v>#DIV/0!</v>
      </c>
      <c r="L638" s="51" t="e">
        <f t="shared" si="309"/>
        <v>#DIV/0!</v>
      </c>
      <c r="M638" s="51" t="e">
        <f t="shared" si="309"/>
        <v>#DIV/0!</v>
      </c>
      <c r="N638" s="51" t="e">
        <f t="shared" si="309"/>
        <v>#DIV/0!</v>
      </c>
      <c r="O638" s="51" t="e">
        <f ca="1">SUM(OFFSET($C638,0,0,1,mth))</f>
        <v>#DIV/0!</v>
      </c>
      <c r="P638" s="382"/>
      <c r="Q638"/>
      <c r="R638"/>
      <c r="S638"/>
    </row>
    <row r="639" s="38" customFormat="1" ht="15" customHeight="1" spans="1:20">
      <c r="A639" s="115" t="s">
        <v>258</v>
      </c>
      <c r="B639" s="60"/>
      <c r="C639" s="51">
        <f t="shared" ref="C639:N639" si="310">C633*C6</f>
        <v>0</v>
      </c>
      <c r="D639" s="51">
        <f t="shared" si="310"/>
        <v>0</v>
      </c>
      <c r="E639" s="51">
        <f t="shared" si="310"/>
        <v>0</v>
      </c>
      <c r="F639" s="51">
        <f t="shared" si="310"/>
        <v>0</v>
      </c>
      <c r="G639" s="51">
        <f t="shared" si="310"/>
        <v>0</v>
      </c>
      <c r="H639" s="51">
        <f t="shared" si="310"/>
        <v>0</v>
      </c>
      <c r="I639" s="51">
        <f t="shared" si="310"/>
        <v>0</v>
      </c>
      <c r="J639" s="51">
        <f t="shared" si="310"/>
        <v>0</v>
      </c>
      <c r="K639" s="51">
        <f t="shared" si="310"/>
        <v>0</v>
      </c>
      <c r="L639" s="51">
        <f t="shared" si="310"/>
        <v>0</v>
      </c>
      <c r="M639" s="51">
        <f t="shared" si="310"/>
        <v>0</v>
      </c>
      <c r="N639" s="51">
        <f t="shared" si="310"/>
        <v>0</v>
      </c>
      <c r="O639" s="51">
        <f ca="1">SUM(OFFSET($C639,0,0,1,mth))</f>
        <v>0</v>
      </c>
      <c r="P639" s="382"/>
      <c r="Q639"/>
      <c r="R639"/>
      <c r="S639"/>
      <c r="T639"/>
    </row>
    <row r="640" s="38" customFormat="1" ht="15" customHeight="1" spans="1:20">
      <c r="A640" s="57" t="s">
        <v>232</v>
      </c>
      <c r="B640" s="50"/>
      <c r="C640" s="51">
        <f>SUM(C634:C639)</f>
        <v>0</v>
      </c>
      <c r="D640" s="51">
        <f>SUM(D634:D639)</f>
        <v>0</v>
      </c>
      <c r="E640" s="51">
        <f>SUM(E634:E639)</f>
        <v>0</v>
      </c>
      <c r="F640" s="51">
        <f>SUM(F634:F639)</f>
        <v>0</v>
      </c>
      <c r="G640" s="51">
        <f t="shared" ref="G640:O640" si="311">SUM(G634:G639)</f>
        <v>0</v>
      </c>
      <c r="H640" s="51">
        <f t="shared" si="311"/>
        <v>0</v>
      </c>
      <c r="I640" s="51">
        <f t="shared" si="311"/>
        <v>0</v>
      </c>
      <c r="J640" s="51" t="e">
        <f t="shared" si="311"/>
        <v>#DIV/0!</v>
      </c>
      <c r="K640" s="51" t="e">
        <f t="shared" si="311"/>
        <v>#DIV/0!</v>
      </c>
      <c r="L640" s="51" t="e">
        <f t="shared" si="311"/>
        <v>#DIV/0!</v>
      </c>
      <c r="M640" s="51" t="e">
        <f t="shared" si="311"/>
        <v>#DIV/0!</v>
      </c>
      <c r="N640" s="51" t="e">
        <f t="shared" si="311"/>
        <v>#DIV/0!</v>
      </c>
      <c r="O640" s="51" t="e">
        <f ca="1" t="shared" si="311"/>
        <v>#DIV/0!</v>
      </c>
      <c r="P640" s="382"/>
      <c r="Q640"/>
      <c r="R640"/>
      <c r="S640"/>
      <c r="T640"/>
    </row>
    <row r="641" spans="1:19">
      <c r="A641" s="38"/>
      <c r="B641" s="95"/>
      <c r="C641" s="325"/>
      <c r="D641" s="325"/>
      <c r="E641" s="325"/>
      <c r="F641" s="423"/>
      <c r="G641" s="325"/>
      <c r="H641" s="325"/>
      <c r="I641" s="325"/>
      <c r="J641" s="325"/>
      <c r="K641" s="325"/>
      <c r="L641" s="325"/>
      <c r="M641" s="325"/>
      <c r="N641" s="325"/>
      <c r="O641" s="325"/>
    </row>
    <row r="642" spans="1:19">
      <c r="A642" s="38"/>
      <c r="B642" s="95"/>
      <c r="C642" s="325"/>
      <c r="D642" s="325"/>
      <c r="E642" s="325"/>
      <c r="F642" s="423"/>
      <c r="G642" s="325"/>
      <c r="H642" s="325"/>
      <c r="I642" s="325"/>
      <c r="J642" s="325"/>
      <c r="K642" s="325"/>
      <c r="L642" s="325"/>
      <c r="M642" s="325"/>
      <c r="N642" s="325"/>
      <c r="O642" s="325"/>
    </row>
    <row r="643" spans="1:19">
      <c r="A643" s="109" t="str">
        <f>基础表!A493</f>
        <v>生产成本</v>
      </c>
      <c r="B643" s="277"/>
      <c r="C643" s="440"/>
      <c r="D643" s="440"/>
      <c r="E643" s="440"/>
      <c r="F643" s="440"/>
      <c r="G643" s="440"/>
      <c r="H643" s="440"/>
      <c r="I643" s="440"/>
      <c r="J643" s="440"/>
      <c r="K643" s="440"/>
      <c r="L643" s="440"/>
      <c r="M643" s="440"/>
      <c r="N643" s="440"/>
      <c r="O643" s="440"/>
    </row>
    <row r="644" spans="1:19">
      <c r="A644" s="257" t="str">
        <f>基础表!A494</f>
        <v>F55</v>
      </c>
      <c r="B644" s="50" t="str">
        <f>基础表!B494</f>
        <v>元</v>
      </c>
      <c r="C644" s="309">
        <f>基础表!C494</f>
        <v>0</v>
      </c>
      <c r="D644" s="309">
        <f>基础表!D494</f>
        <v>0</v>
      </c>
      <c r="E644" s="309">
        <f>基础表!E494</f>
        <v>0</v>
      </c>
      <c r="F644" s="309">
        <f>基础表!F494</f>
        <v>0</v>
      </c>
      <c r="G644" s="309">
        <f>基础表!G494</f>
        <v>0</v>
      </c>
      <c r="H644" s="309">
        <f>基础表!H494</f>
        <v>0</v>
      </c>
      <c r="I644" s="309">
        <f>基础表!I494</f>
        <v>0</v>
      </c>
      <c r="J644" s="309">
        <f>基础表!J494</f>
        <v>0</v>
      </c>
      <c r="K644" s="309">
        <f>基础表!K494</f>
        <v>0</v>
      </c>
      <c r="L644" s="309">
        <f>基础表!L494</f>
        <v>0</v>
      </c>
      <c r="M644" s="309">
        <f>基础表!M494</f>
        <v>0</v>
      </c>
      <c r="N644" s="309">
        <f>基础表!N494</f>
        <v>0</v>
      </c>
      <c r="O644" s="51">
        <f ca="1">基础表!O494</f>
        <v>0</v>
      </c>
    </row>
    <row r="645" spans="1:19">
      <c r="A645" s="115" t="str">
        <f>基础表!A495</f>
        <v>F55软加工</v>
      </c>
      <c r="B645" s="50" t="str">
        <f>基础表!B495</f>
        <v>元</v>
      </c>
      <c r="C645" s="309">
        <f>基础表!C495</f>
        <v>0</v>
      </c>
      <c r="D645" s="309">
        <f>基础表!D495</f>
        <v>0</v>
      </c>
      <c r="E645" s="309">
        <f>基础表!E495</f>
        <v>0</v>
      </c>
      <c r="F645" s="309">
        <f>基础表!F495</f>
        <v>0</v>
      </c>
      <c r="G645" s="309">
        <f>基础表!G495</f>
        <v>0</v>
      </c>
      <c r="H645" s="309">
        <f>基础表!H495</f>
        <v>0</v>
      </c>
      <c r="I645" s="309">
        <f>基础表!I495</f>
        <v>0</v>
      </c>
      <c r="J645" s="309">
        <f>基础表!J495</f>
        <v>0</v>
      </c>
      <c r="K645" s="309">
        <f>基础表!K495</f>
        <v>0</v>
      </c>
      <c r="L645" s="309">
        <f>基础表!L495</f>
        <v>0</v>
      </c>
      <c r="M645" s="309">
        <f>基础表!M495</f>
        <v>0</v>
      </c>
      <c r="N645" s="309">
        <f>基础表!N495</f>
        <v>0</v>
      </c>
      <c r="O645" s="51">
        <f ca="1">基础表!O495</f>
        <v>0</v>
      </c>
    </row>
    <row r="646" spans="1:19">
      <c r="A646" s="115" t="str">
        <f>基础表!A496</f>
        <v>F42</v>
      </c>
      <c r="B646" s="50" t="str">
        <f>基础表!B496</f>
        <v>元</v>
      </c>
      <c r="C646" s="309">
        <f>基础表!C496</f>
        <v>0</v>
      </c>
      <c r="D646" s="309">
        <f>基础表!D496</f>
        <v>0</v>
      </c>
      <c r="E646" s="309">
        <f>基础表!E496</f>
        <v>0</v>
      </c>
      <c r="F646" s="309">
        <f>基础表!F496</f>
        <v>0</v>
      </c>
      <c r="G646" s="309">
        <f>基础表!G496</f>
        <v>0</v>
      </c>
      <c r="H646" s="309">
        <f>基础表!H496</f>
        <v>0</v>
      </c>
      <c r="I646" s="309">
        <f>基础表!I496</f>
        <v>0</v>
      </c>
      <c r="J646" s="309">
        <f>基础表!J496</f>
        <v>0</v>
      </c>
      <c r="K646" s="309">
        <f>基础表!K496</f>
        <v>0</v>
      </c>
      <c r="L646" s="309">
        <f>基础表!L496</f>
        <v>0</v>
      </c>
      <c r="M646" s="309">
        <f>基础表!M496</f>
        <v>0</v>
      </c>
      <c r="N646" s="309">
        <f>基础表!N496</f>
        <v>0</v>
      </c>
      <c r="O646" s="51">
        <f ca="1">基础表!O496</f>
        <v>0</v>
      </c>
    </row>
    <row r="647" spans="1:19">
      <c r="A647" s="257" t="s">
        <v>307</v>
      </c>
      <c r="B647" s="50" t="str">
        <f>基础表!B497</f>
        <v>元</v>
      </c>
      <c r="C647" s="309">
        <f>基础表!C497</f>
        <v>0</v>
      </c>
      <c r="D647" s="309">
        <f>基础表!D497</f>
        <v>0</v>
      </c>
      <c r="E647" s="309">
        <f>基础表!E497</f>
        <v>0</v>
      </c>
      <c r="F647" s="309">
        <f>基础表!F497</f>
        <v>0</v>
      </c>
      <c r="G647" s="309">
        <f>基础表!G497</f>
        <v>0</v>
      </c>
      <c r="H647" s="309">
        <f>基础表!H497</f>
        <v>0</v>
      </c>
      <c r="I647" s="309">
        <f>基础表!I497</f>
        <v>0</v>
      </c>
      <c r="J647" s="309">
        <f>基础表!J497</f>
        <v>0</v>
      </c>
      <c r="K647" s="309">
        <f>基础表!K497</f>
        <v>0</v>
      </c>
      <c r="L647" s="309">
        <f>基础表!L497</f>
        <v>0</v>
      </c>
      <c r="M647" s="309">
        <f>基础表!M497</f>
        <v>0</v>
      </c>
      <c r="N647" s="309">
        <f>基础表!N497</f>
        <v>0</v>
      </c>
      <c r="O647" s="51">
        <f ca="1">基础表!O497</f>
        <v>0</v>
      </c>
    </row>
    <row r="648" spans="1:19">
      <c r="A648" s="257" t="s">
        <v>256</v>
      </c>
      <c r="B648" s="50" t="s">
        <v>123</v>
      </c>
      <c r="C648" s="309">
        <f>基础表!C498</f>
        <v>0</v>
      </c>
      <c r="D648" s="309">
        <f>基础表!D498</f>
        <v>0</v>
      </c>
      <c r="E648" s="309">
        <f>基础表!E498</f>
        <v>0</v>
      </c>
      <c r="F648" s="309">
        <f>基础表!F498</f>
        <v>0</v>
      </c>
      <c r="G648" s="309">
        <f>基础表!G498</f>
        <v>0</v>
      </c>
      <c r="H648" s="309">
        <f>基础表!H498</f>
        <v>0</v>
      </c>
      <c r="I648" s="309">
        <f>基础表!I498</f>
        <v>0</v>
      </c>
      <c r="J648" s="309">
        <f>基础表!J498</f>
        <v>0</v>
      </c>
      <c r="K648" s="309">
        <f>基础表!K498</f>
        <v>0</v>
      </c>
      <c r="L648" s="309">
        <f>基础表!L498</f>
        <v>0</v>
      </c>
      <c r="M648" s="309">
        <f>基础表!M498</f>
        <v>0</v>
      </c>
      <c r="N648" s="309">
        <f>基础表!N498</f>
        <v>0</v>
      </c>
      <c r="O648" s="51">
        <f ca="1">基础表!O498</f>
        <v>0</v>
      </c>
    </row>
    <row r="649" customFormat="1" spans="1:19">
      <c r="A649" s="257" t="s">
        <v>257</v>
      </c>
      <c r="B649" s="50" t="s">
        <v>123</v>
      </c>
      <c r="C649" s="309">
        <f>基础表!C500</f>
        <v>0</v>
      </c>
      <c r="D649" s="309">
        <f>基础表!D500</f>
        <v>0</v>
      </c>
      <c r="E649" s="309">
        <f>基础表!E500</f>
        <v>0</v>
      </c>
      <c r="F649" s="309">
        <f>基础表!F500</f>
        <v>0</v>
      </c>
      <c r="G649" s="309">
        <f>基础表!G500</f>
        <v>0</v>
      </c>
      <c r="H649" s="309">
        <f>基础表!H500</f>
        <v>0</v>
      </c>
      <c r="I649" s="309">
        <f>基础表!I500</f>
        <v>0</v>
      </c>
      <c r="J649" s="309">
        <f>基础表!J500</f>
        <v>0</v>
      </c>
      <c r="K649" s="309">
        <f>基础表!K500</f>
        <v>0</v>
      </c>
      <c r="L649" s="309">
        <f>基础表!L500</f>
        <v>0</v>
      </c>
      <c r="M649" s="309">
        <f>基础表!M500</f>
        <v>0</v>
      </c>
      <c r="N649" s="309">
        <f>基础表!N500</f>
        <v>0</v>
      </c>
      <c r="O649" s="51">
        <f ca="1">基础表!O499</f>
        <v>0</v>
      </c>
    </row>
    <row r="650" spans="1:19">
      <c r="A650" s="257" t="s">
        <v>308</v>
      </c>
      <c r="B650" s="50" t="s">
        <v>123</v>
      </c>
      <c r="C650" s="309">
        <f>基础表!C500</f>
        <v>0</v>
      </c>
      <c r="D650" s="309">
        <f>基础表!D500</f>
        <v>0</v>
      </c>
      <c r="E650" s="309">
        <f>基础表!E500</f>
        <v>0</v>
      </c>
      <c r="F650" s="309">
        <f>基础表!F500</f>
        <v>0</v>
      </c>
      <c r="G650" s="309">
        <f>基础表!G500</f>
        <v>0</v>
      </c>
      <c r="H650" s="309">
        <f>基础表!H500</f>
        <v>0</v>
      </c>
      <c r="I650" s="309">
        <f>基础表!I500</f>
        <v>0</v>
      </c>
      <c r="J650" s="309">
        <f>基础表!J500</f>
        <v>0</v>
      </c>
      <c r="K650" s="309">
        <f>基础表!K500</f>
        <v>0</v>
      </c>
      <c r="L650" s="309">
        <f>基础表!L500</f>
        <v>0</v>
      </c>
      <c r="M650" s="309">
        <f>基础表!M500</f>
        <v>0</v>
      </c>
      <c r="N650" s="309">
        <f>基础表!N500</f>
        <v>0</v>
      </c>
      <c r="O650" s="51">
        <f ca="1">基础表!O500</f>
        <v>0</v>
      </c>
    </row>
    <row r="651" spans="1:19">
      <c r="A651" s="324" t="str">
        <f>基础表!A501</f>
        <v>合计</v>
      </c>
      <c r="B651" s="50">
        <f>基础表!B501</f>
        <v>0</v>
      </c>
      <c r="C651" s="51">
        <f>基础表!C501</f>
        <v>0</v>
      </c>
      <c r="D651" s="51">
        <f>基础表!D501</f>
        <v>0</v>
      </c>
      <c r="E651" s="51">
        <f>基础表!E501</f>
        <v>0</v>
      </c>
      <c r="F651" s="51">
        <f>基础表!F501</f>
        <v>0</v>
      </c>
      <c r="G651" s="51">
        <f>基础表!G501</f>
        <v>0</v>
      </c>
      <c r="H651" s="51">
        <f>基础表!H501</f>
        <v>0</v>
      </c>
      <c r="I651" s="51">
        <f>基础表!I501</f>
        <v>0</v>
      </c>
      <c r="J651" s="51">
        <f>基础表!J501</f>
        <v>0</v>
      </c>
      <c r="K651" s="51">
        <f>基础表!K501</f>
        <v>0</v>
      </c>
      <c r="L651" s="51">
        <f>基础表!L501</f>
        <v>0</v>
      </c>
      <c r="M651" s="51">
        <f>基础表!M501</f>
        <v>0</v>
      </c>
      <c r="N651" s="51">
        <f>基础表!N501</f>
        <v>0</v>
      </c>
      <c r="O651" s="51">
        <f ca="1">基础表!O501</f>
        <v>0</v>
      </c>
    </row>
    <row r="653" spans="1:19">
      <c r="A653" s="453" t="s">
        <v>309</v>
      </c>
      <c r="B653" s="454"/>
      <c r="C653" s="455"/>
      <c r="D653" s="455"/>
      <c r="E653" s="455"/>
      <c r="F653" s="455"/>
      <c r="G653" s="455"/>
      <c r="H653" s="455"/>
      <c r="I653" s="455"/>
      <c r="J653" s="455"/>
      <c r="K653" s="456"/>
      <c r="L653" s="456"/>
      <c r="M653" s="456"/>
      <c r="N653" s="456"/>
      <c r="O653" s="456"/>
    </row>
    <row r="654" s="38" customFormat="1" ht="15" customHeight="1" spans="1:19">
      <c r="A654" s="349" t="s">
        <v>310</v>
      </c>
      <c r="B654" s="50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46"/>
      <c r="P654" s="114"/>
      <c r="Q654" s="68"/>
      <c r="R654" s="141"/>
    </row>
    <row r="655" s="38" customFormat="1" ht="15" customHeight="1" spans="1:19">
      <c r="A655" s="138" t="s">
        <v>170</v>
      </c>
      <c r="B655" s="50" t="s">
        <v>75</v>
      </c>
      <c r="C655" s="146">
        <f>基础表!C563</f>
        <v>0</v>
      </c>
      <c r="D655" s="146">
        <f>基础表!D563</f>
        <v>0</v>
      </c>
      <c r="E655" s="146">
        <f>基础表!E563</f>
        <v>0</v>
      </c>
      <c r="F655" s="146">
        <f>基础表!F563</f>
        <v>0</v>
      </c>
      <c r="G655" s="146">
        <f>基础表!G563</f>
        <v>0</v>
      </c>
      <c r="H655" s="146">
        <f>基础表!H563</f>
        <v>0</v>
      </c>
      <c r="I655" s="146">
        <f>基础表!I563</f>
        <v>0</v>
      </c>
      <c r="J655" s="146">
        <f>基础表!J563</f>
        <v>0</v>
      </c>
      <c r="K655" s="146">
        <f>基础表!K563</f>
        <v>0</v>
      </c>
      <c r="L655" s="146">
        <f>基础表!L563</f>
        <v>0</v>
      </c>
      <c r="M655" s="146">
        <f>基础表!M563</f>
        <v>0</v>
      </c>
      <c r="N655" s="146">
        <f>基础表!N563</f>
        <v>0</v>
      </c>
      <c r="O655" s="263">
        <f ca="1" t="shared" ref="O655:O662" si="312">SUM(OFFSET($C655,0,0,1,mth))</f>
        <v>0</v>
      </c>
      <c r="P655" s="38">
        <v>204638</v>
      </c>
      <c r="R655" s="141"/>
      <c r="S655" s="141"/>
    </row>
    <row r="656" s="38" customFormat="1" ht="15" customHeight="1" spans="1:19">
      <c r="A656" s="138" t="s">
        <v>171</v>
      </c>
      <c r="B656" s="50" t="s">
        <v>75</v>
      </c>
      <c r="C656" s="146">
        <f>基础表!C564</f>
        <v>0</v>
      </c>
      <c r="D656" s="146">
        <f>基础表!D564</f>
        <v>0</v>
      </c>
      <c r="E656" s="146">
        <f>基础表!E564</f>
        <v>0</v>
      </c>
      <c r="F656" s="146">
        <f>基础表!F564</f>
        <v>0</v>
      </c>
      <c r="G656" s="146">
        <f>基础表!G564</f>
        <v>0</v>
      </c>
      <c r="H656" s="146">
        <f>基础表!H564</f>
        <v>0</v>
      </c>
      <c r="I656" s="146">
        <f>基础表!I564</f>
        <v>0</v>
      </c>
      <c r="J656" s="146">
        <f>基础表!J564</f>
        <v>0</v>
      </c>
      <c r="K656" s="146">
        <f>基础表!K564</f>
        <v>0</v>
      </c>
      <c r="L656" s="146">
        <f>基础表!L564</f>
        <v>0</v>
      </c>
      <c r="M656" s="146">
        <f>基础表!M564</f>
        <v>0</v>
      </c>
      <c r="N656" s="146">
        <f>基础表!N564</f>
        <v>0</v>
      </c>
      <c r="O656" s="263">
        <f ca="1" t="shared" si="312"/>
        <v>0</v>
      </c>
      <c r="P656" s="350">
        <v>204582</v>
      </c>
      <c r="Q656" s="71"/>
      <c r="R656" s="141"/>
    </row>
    <row r="657" s="38" customFormat="1" ht="15" customHeight="1" spans="1:19">
      <c r="A657" s="138" t="s">
        <v>172</v>
      </c>
      <c r="B657" s="50" t="s">
        <v>75</v>
      </c>
      <c r="C657" s="146">
        <f>基础表!C565</f>
        <v>0</v>
      </c>
      <c r="D657" s="146">
        <f>基础表!D565</f>
        <v>0</v>
      </c>
      <c r="E657" s="146">
        <f>基础表!E565</f>
        <v>0</v>
      </c>
      <c r="F657" s="146">
        <f>基础表!F565</f>
        <v>0</v>
      </c>
      <c r="G657" s="146">
        <f>基础表!G565</f>
        <v>0</v>
      </c>
      <c r="H657" s="146">
        <f>基础表!H565</f>
        <v>0</v>
      </c>
      <c r="I657" s="146">
        <f>基础表!I565</f>
        <v>0</v>
      </c>
      <c r="J657" s="146">
        <f>基础表!J565</f>
        <v>0</v>
      </c>
      <c r="K657" s="146">
        <f>基础表!K565</f>
        <v>0</v>
      </c>
      <c r="L657" s="146">
        <f>基础表!L565</f>
        <v>0</v>
      </c>
      <c r="M657" s="146">
        <f>基础表!M565</f>
        <v>0</v>
      </c>
      <c r="N657" s="146">
        <f>基础表!N565</f>
        <v>0</v>
      </c>
      <c r="O657" s="263">
        <f ca="1" t="shared" si="312"/>
        <v>0</v>
      </c>
      <c r="P657" s="38">
        <v>204564</v>
      </c>
      <c r="Q657" s="71"/>
      <c r="R657" s="141"/>
    </row>
    <row r="658" s="38" customFormat="1" ht="15" customHeight="1" spans="1:19">
      <c r="A658" s="138" t="s">
        <v>173</v>
      </c>
      <c r="B658" s="50" t="s">
        <v>75</v>
      </c>
      <c r="C658" s="146">
        <f>基础表!C566</f>
        <v>0</v>
      </c>
      <c r="D658" s="146">
        <f>基础表!D566</f>
        <v>0</v>
      </c>
      <c r="E658" s="146">
        <f>基础表!E566</f>
        <v>0</v>
      </c>
      <c r="F658" s="146">
        <f>基础表!F566</f>
        <v>0</v>
      </c>
      <c r="G658" s="146">
        <f>基础表!G566</f>
        <v>0</v>
      </c>
      <c r="H658" s="146">
        <f>基础表!H566</f>
        <v>0</v>
      </c>
      <c r="I658" s="146">
        <f>基础表!I566</f>
        <v>0</v>
      </c>
      <c r="J658" s="146">
        <f>基础表!J566</f>
        <v>0</v>
      </c>
      <c r="K658" s="146">
        <f>基础表!K566</f>
        <v>0</v>
      </c>
      <c r="L658" s="146">
        <f>基础表!L566</f>
        <v>0</v>
      </c>
      <c r="M658" s="146">
        <f>基础表!M566</f>
        <v>0</v>
      </c>
      <c r="N658" s="146">
        <f>基础表!N566</f>
        <v>0</v>
      </c>
      <c r="O658" s="263">
        <f ca="1" t="shared" si="312"/>
        <v>0</v>
      </c>
      <c r="P658" s="38">
        <v>204520</v>
      </c>
      <c r="Q658" s="71"/>
      <c r="R658" s="141"/>
    </row>
    <row r="659" s="38" customFormat="1" ht="15" customHeight="1" spans="1:19">
      <c r="A659" s="138" t="s">
        <v>174</v>
      </c>
      <c r="B659" s="50" t="s">
        <v>75</v>
      </c>
      <c r="C659" s="146">
        <f>基础表!C567</f>
        <v>0</v>
      </c>
      <c r="D659" s="146">
        <f>基础表!D567</f>
        <v>0</v>
      </c>
      <c r="E659" s="146">
        <f>基础表!E567</f>
        <v>0</v>
      </c>
      <c r="F659" s="146">
        <f>基础表!F567</f>
        <v>0</v>
      </c>
      <c r="G659" s="146">
        <f>基础表!G567</f>
        <v>0</v>
      </c>
      <c r="H659" s="146">
        <f>基础表!H567</f>
        <v>0</v>
      </c>
      <c r="I659" s="146">
        <f>基础表!I567</f>
        <v>0</v>
      </c>
      <c r="J659" s="146">
        <f>基础表!J567</f>
        <v>0</v>
      </c>
      <c r="K659" s="146">
        <f>基础表!K567</f>
        <v>0</v>
      </c>
      <c r="L659" s="146">
        <f>基础表!L567</f>
        <v>0</v>
      </c>
      <c r="M659" s="146">
        <f>基础表!M567</f>
        <v>0</v>
      </c>
      <c r="N659" s="146">
        <f>基础表!N567</f>
        <v>0</v>
      </c>
      <c r="O659" s="263">
        <f ca="1" t="shared" si="312"/>
        <v>0</v>
      </c>
      <c r="P659" s="38">
        <v>204522</v>
      </c>
      <c r="R659" s="141"/>
      <c r="S659" s="141"/>
    </row>
    <row r="660" s="38" customFormat="1" ht="15" customHeight="1" spans="1:19">
      <c r="A660" s="138" t="s">
        <v>175</v>
      </c>
      <c r="B660" s="50" t="s">
        <v>75</v>
      </c>
      <c r="C660" s="146">
        <f>基础表!C568</f>
        <v>1.154</v>
      </c>
      <c r="D660" s="146">
        <f>基础表!D568</f>
        <v>0</v>
      </c>
      <c r="E660" s="146">
        <f>基础表!E568</f>
        <v>1.451</v>
      </c>
      <c r="F660" s="146">
        <f>基础表!F568</f>
        <v>2.772</v>
      </c>
      <c r="G660" s="146">
        <f>基础表!G568</f>
        <v>0</v>
      </c>
      <c r="H660" s="146">
        <f>基础表!H568</f>
        <v>2.343</v>
      </c>
      <c r="I660" s="146">
        <f>基础表!I568</f>
        <v>0</v>
      </c>
      <c r="J660" s="146">
        <f>基础表!J568</f>
        <v>0</v>
      </c>
      <c r="K660" s="146">
        <f>基础表!K568</f>
        <v>0</v>
      </c>
      <c r="L660" s="146">
        <f>基础表!L568</f>
        <v>0</v>
      </c>
      <c r="M660" s="146">
        <f>基础表!M568</f>
        <v>0</v>
      </c>
      <c r="N660" s="146">
        <f>基础表!N568</f>
        <v>0</v>
      </c>
      <c r="O660" s="263">
        <f ca="1" t="shared" si="312"/>
        <v>7.72</v>
      </c>
      <c r="P660" s="38">
        <v>231968</v>
      </c>
      <c r="R660" s="141"/>
      <c r="S660" s="141"/>
    </row>
    <row r="661" s="38" customFormat="1" ht="15" customHeight="1" spans="1:19">
      <c r="A661" s="138" t="s">
        <v>176</v>
      </c>
      <c r="B661" s="50" t="s">
        <v>75</v>
      </c>
      <c r="C661" s="146">
        <f>基础表!C569</f>
        <v>1.2</v>
      </c>
      <c r="D661" s="146">
        <f>基础表!D569</f>
        <v>0</v>
      </c>
      <c r="E661" s="146">
        <f>基础表!E569</f>
        <v>0</v>
      </c>
      <c r="F661" s="146">
        <f>基础表!F569</f>
        <v>0</v>
      </c>
      <c r="G661" s="146">
        <f>基础表!G569</f>
        <v>0</v>
      </c>
      <c r="H661" s="146">
        <f>基础表!H569</f>
        <v>0</v>
      </c>
      <c r="I661" s="146">
        <f>基础表!I569</f>
        <v>0</v>
      </c>
      <c r="J661" s="146">
        <f>基础表!J569</f>
        <v>0</v>
      </c>
      <c r="K661" s="146">
        <f>基础表!K569</f>
        <v>0</v>
      </c>
      <c r="L661" s="146">
        <f>基础表!L569</f>
        <v>0</v>
      </c>
      <c r="M661" s="146">
        <f>基础表!M569</f>
        <v>0</v>
      </c>
      <c r="N661" s="146">
        <f>基础表!N569</f>
        <v>0</v>
      </c>
      <c r="O661" s="263">
        <f ca="1">SUM(OFFSET($C661,0,0,1,mth))</f>
        <v>1.2</v>
      </c>
      <c r="Q661" s="68"/>
      <c r="R661" s="141"/>
    </row>
    <row r="662" s="38" customFormat="1" ht="15" customHeight="1" spans="1:19">
      <c r="A662" s="353" t="s">
        <v>311</v>
      </c>
      <c r="B662" s="60" t="s">
        <v>75</v>
      </c>
      <c r="C662" s="353">
        <f>SUM(C655:C661)</f>
        <v>2.354</v>
      </c>
      <c r="D662" s="353">
        <f t="shared" ref="D662:N662" si="313">SUM(D655:D661)</f>
        <v>0</v>
      </c>
      <c r="E662" s="353">
        <f t="shared" si="313"/>
        <v>1.451</v>
      </c>
      <c r="F662" s="353">
        <f t="shared" si="313"/>
        <v>2.772</v>
      </c>
      <c r="G662" s="353">
        <f t="shared" si="313"/>
        <v>0</v>
      </c>
      <c r="H662" s="353">
        <f t="shared" si="313"/>
        <v>2.343</v>
      </c>
      <c r="I662" s="353">
        <f t="shared" si="313"/>
        <v>0</v>
      </c>
      <c r="J662" s="353">
        <f t="shared" si="313"/>
        <v>0</v>
      </c>
      <c r="K662" s="353">
        <f t="shared" si="313"/>
        <v>0</v>
      </c>
      <c r="L662" s="353">
        <f t="shared" si="313"/>
        <v>0</v>
      </c>
      <c r="M662" s="353">
        <f t="shared" si="313"/>
        <v>0</v>
      </c>
      <c r="N662" s="353">
        <f t="shared" si="313"/>
        <v>0</v>
      </c>
      <c r="O662" s="353">
        <f ca="1" t="shared" si="312"/>
        <v>8.92</v>
      </c>
      <c r="Q662" s="68"/>
      <c r="R662" s="141"/>
    </row>
    <row r="663" s="38" customFormat="1" ht="15" customHeight="1" spans="1:19">
      <c r="A663" s="349" t="s">
        <v>312</v>
      </c>
      <c r="B663" s="50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46"/>
      <c r="P663" s="114"/>
      <c r="Q663" s="68"/>
      <c r="R663" s="141"/>
    </row>
    <row r="664" s="38" customFormat="1" ht="15" customHeight="1" spans="1:19">
      <c r="A664" s="138" t="s">
        <v>170</v>
      </c>
      <c r="B664" s="50" t="s">
        <v>75</v>
      </c>
      <c r="C664" s="146">
        <f>基础表!C572</f>
        <v>0</v>
      </c>
      <c r="D664" s="116">
        <f>基础表!D572</f>
        <v>3.653</v>
      </c>
      <c r="E664" s="117">
        <f>基础表!E572</f>
        <v>11.14</v>
      </c>
      <c r="F664" s="117">
        <f>基础表!F572</f>
        <v>11.215</v>
      </c>
      <c r="G664" s="311">
        <f>基础表!G572</f>
        <v>0</v>
      </c>
      <c r="H664" s="116">
        <f>基础表!H572</f>
        <v>35.072</v>
      </c>
      <c r="I664" s="116">
        <f>基础表!I572</f>
        <v>0</v>
      </c>
      <c r="J664" s="116">
        <f>基础表!J572</f>
        <v>0</v>
      </c>
      <c r="K664" s="116">
        <f>基础表!K572</f>
        <v>0</v>
      </c>
      <c r="L664" s="116">
        <f>基础表!L572</f>
        <v>0</v>
      </c>
      <c r="M664" s="116">
        <f>基础表!M572</f>
        <v>0</v>
      </c>
      <c r="N664" s="116">
        <f>基础表!N572</f>
        <v>0</v>
      </c>
      <c r="O664" s="263">
        <f ca="1" t="shared" ref="O664:O672" si="314">SUM(OFFSET($C664,0,0,1,mth))</f>
        <v>61.08</v>
      </c>
      <c r="P664" s="38">
        <v>204638</v>
      </c>
      <c r="R664" s="141"/>
      <c r="S664" s="141"/>
    </row>
    <row r="665" s="38" customFormat="1" ht="15" customHeight="1" spans="1:19">
      <c r="A665" s="138" t="s">
        <v>171</v>
      </c>
      <c r="B665" s="50" t="s">
        <v>75</v>
      </c>
      <c r="C665" s="117">
        <f>基础表!C573</f>
        <v>9.755</v>
      </c>
      <c r="D665" s="116">
        <f>基础表!D573</f>
        <v>29.368</v>
      </c>
      <c r="E665" s="117">
        <f>基础表!E573</f>
        <v>4.888</v>
      </c>
      <c r="F665" s="117">
        <f>基础表!F573</f>
        <v>49.728</v>
      </c>
      <c r="G665" s="311">
        <f>基础表!G573</f>
        <v>99.256</v>
      </c>
      <c r="H665" s="311">
        <f>基础表!H573</f>
        <v>67.032</v>
      </c>
      <c r="I665" s="116">
        <f>基础表!I573</f>
        <v>0</v>
      </c>
      <c r="J665" s="116">
        <f>基础表!J573</f>
        <v>0</v>
      </c>
      <c r="K665" s="116">
        <f>基础表!K573</f>
        <v>0</v>
      </c>
      <c r="L665" s="116">
        <f>基础表!L573</f>
        <v>0</v>
      </c>
      <c r="M665" s="116">
        <f>基础表!M573</f>
        <v>0</v>
      </c>
      <c r="N665" s="116">
        <f>基础表!N573</f>
        <v>0</v>
      </c>
      <c r="O665" s="263">
        <f ca="1" t="shared" si="314"/>
        <v>260.027</v>
      </c>
      <c r="P665" s="350">
        <v>204582</v>
      </c>
      <c r="Q665" s="71"/>
      <c r="R665" s="141"/>
    </row>
    <row r="666" s="38" customFormat="1" ht="15" customHeight="1" spans="1:19">
      <c r="A666" s="138" t="s">
        <v>172</v>
      </c>
      <c r="B666" s="50" t="s">
        <v>75</v>
      </c>
      <c r="C666" s="351">
        <f>基础表!C574</f>
        <v>3.422</v>
      </c>
      <c r="D666" s="116">
        <f>基础表!D574</f>
        <v>0</v>
      </c>
      <c r="E666" s="117">
        <f>基础表!E574</f>
        <v>0</v>
      </c>
      <c r="F666" s="117">
        <f>基础表!F574</f>
        <v>0</v>
      </c>
      <c r="G666" s="311">
        <f>基础表!G574</f>
        <v>3.722</v>
      </c>
      <c r="H666" s="311">
        <f>基础表!H574</f>
        <v>0</v>
      </c>
      <c r="I666" s="116">
        <f>基础表!I574</f>
        <v>0</v>
      </c>
      <c r="J666" s="116">
        <f>基础表!J574</f>
        <v>0</v>
      </c>
      <c r="K666" s="116">
        <f>基础表!K574</f>
        <v>0</v>
      </c>
      <c r="L666" s="116">
        <f>基础表!L574</f>
        <v>0</v>
      </c>
      <c r="M666" s="116">
        <f>基础表!M574</f>
        <v>0</v>
      </c>
      <c r="N666" s="116">
        <f>基础表!N574</f>
        <v>0</v>
      </c>
      <c r="O666" s="263">
        <f ca="1" t="shared" si="314"/>
        <v>7.144</v>
      </c>
      <c r="P666" s="38">
        <v>204564</v>
      </c>
      <c r="Q666" s="71"/>
      <c r="R666" s="141"/>
    </row>
    <row r="667" s="38" customFormat="1" ht="15" customHeight="1" spans="1:19">
      <c r="A667" s="138" t="s">
        <v>173</v>
      </c>
      <c r="B667" s="50" t="s">
        <v>75</v>
      </c>
      <c r="C667" s="263">
        <f>基础表!C575</f>
        <v>0.281</v>
      </c>
      <c r="D667" s="116">
        <f>基础表!D575</f>
        <v>0.268</v>
      </c>
      <c r="E667" s="117">
        <f>基础表!E575</f>
        <v>0</v>
      </c>
      <c r="F667" s="117">
        <f>基础表!F575</f>
        <v>0</v>
      </c>
      <c r="G667" s="311">
        <f>基础表!G575</f>
        <v>0.272</v>
      </c>
      <c r="H667" s="311">
        <f>基础表!H575</f>
        <v>0.411</v>
      </c>
      <c r="I667" s="117">
        <f>基础表!I575</f>
        <v>0</v>
      </c>
      <c r="J667" s="116">
        <f>基础表!J575</f>
        <v>0</v>
      </c>
      <c r="K667" s="116">
        <f>基础表!K575</f>
        <v>0</v>
      </c>
      <c r="L667" s="116">
        <f>基础表!L575</f>
        <v>0</v>
      </c>
      <c r="M667" s="116">
        <f>基础表!M575</f>
        <v>0</v>
      </c>
      <c r="N667" s="116">
        <f>基础表!N575</f>
        <v>0</v>
      </c>
      <c r="O667" s="263">
        <f ca="1" t="shared" si="314"/>
        <v>1.232</v>
      </c>
      <c r="P667" s="38">
        <v>204520</v>
      </c>
      <c r="Q667" s="71"/>
      <c r="R667" s="141"/>
    </row>
    <row r="668" s="38" customFormat="1" ht="15" customHeight="1" spans="1:19">
      <c r="A668" s="138" t="s">
        <v>174</v>
      </c>
      <c r="B668" s="50" t="s">
        <v>75</v>
      </c>
      <c r="C668" s="146">
        <f>基础表!C576</f>
        <v>14.465</v>
      </c>
      <c r="D668" s="116">
        <f>基础表!D576</f>
        <v>35.328</v>
      </c>
      <c r="E668" s="117">
        <f>基础表!E576</f>
        <v>1.484</v>
      </c>
      <c r="F668" s="117">
        <f>基础表!F576</f>
        <v>2.22</v>
      </c>
      <c r="G668" s="311">
        <f>基础表!G576</f>
        <v>10.723</v>
      </c>
      <c r="H668" s="311">
        <f>基础表!H576</f>
        <v>11.506</v>
      </c>
      <c r="I668" s="116">
        <f>基础表!I576</f>
        <v>0</v>
      </c>
      <c r="J668" s="116">
        <f>基础表!J576</f>
        <v>0</v>
      </c>
      <c r="K668" s="116">
        <f>基础表!K576</f>
        <v>0</v>
      </c>
      <c r="L668" s="116">
        <f>基础表!L576</f>
        <v>0</v>
      </c>
      <c r="M668" s="116">
        <f>基础表!M576</f>
        <v>0</v>
      </c>
      <c r="N668" s="116">
        <f>基础表!N576</f>
        <v>0</v>
      </c>
      <c r="O668" s="263">
        <f ca="1" t="shared" si="314"/>
        <v>75.726</v>
      </c>
      <c r="P668" s="38">
        <v>204522</v>
      </c>
      <c r="R668" s="141"/>
      <c r="S668" s="141"/>
    </row>
    <row r="669" s="38" customFormat="1" ht="15" customHeight="1" spans="1:19">
      <c r="A669" s="138" t="s">
        <v>175</v>
      </c>
      <c r="B669" s="50" t="s">
        <v>75</v>
      </c>
      <c r="C669" s="146">
        <f>基础表!C577</f>
        <v>0</v>
      </c>
      <c r="D669" s="116">
        <f>基础表!D577</f>
        <v>0</v>
      </c>
      <c r="E669" s="117">
        <f>基础表!E577</f>
        <v>0</v>
      </c>
      <c r="F669" s="117">
        <f>基础表!F577</f>
        <v>0</v>
      </c>
      <c r="G669" s="311">
        <f>基础表!G577</f>
        <v>0</v>
      </c>
      <c r="H669" s="116">
        <f>基础表!H577</f>
        <v>0</v>
      </c>
      <c r="I669" s="116">
        <f>基础表!I577</f>
        <v>0</v>
      </c>
      <c r="J669" s="116">
        <f>基础表!J577</f>
        <v>0</v>
      </c>
      <c r="K669" s="116">
        <f>基础表!K577</f>
        <v>0</v>
      </c>
      <c r="L669" s="116">
        <f>基础表!L577</f>
        <v>0</v>
      </c>
      <c r="M669" s="116">
        <f>基础表!M577</f>
        <v>0</v>
      </c>
      <c r="N669" s="116">
        <f>基础表!N577</f>
        <v>0</v>
      </c>
      <c r="O669" s="263">
        <f ca="1" t="shared" si="314"/>
        <v>0</v>
      </c>
      <c r="P669" s="38">
        <v>231968</v>
      </c>
      <c r="R669" s="141"/>
      <c r="S669" s="141"/>
    </row>
    <row r="670" s="38" customFormat="1" ht="15" customHeight="1" spans="1:19">
      <c r="A670" s="138" t="s">
        <v>176</v>
      </c>
      <c r="B670" s="50" t="s">
        <v>75</v>
      </c>
      <c r="C670" s="117">
        <f>基础表!C578</f>
        <v>0</v>
      </c>
      <c r="D670" s="116">
        <f>基础表!D578</f>
        <v>0</v>
      </c>
      <c r="E670" s="116">
        <f>基础表!E578</f>
        <v>0.715</v>
      </c>
      <c r="F670" s="124">
        <f>基础表!F578</f>
        <v>0</v>
      </c>
      <c r="G670" s="116">
        <f>基础表!G578</f>
        <v>0</v>
      </c>
      <c r="H670" s="116">
        <f>基础表!H578</f>
        <v>0</v>
      </c>
      <c r="I670" s="124">
        <f>基础表!I578</f>
        <v>0</v>
      </c>
      <c r="J670" s="124">
        <f>基础表!J578</f>
        <v>0</v>
      </c>
      <c r="K670" s="117">
        <f>基础表!K578</f>
        <v>0</v>
      </c>
      <c r="L670" s="124">
        <f>基础表!L578</f>
        <v>0</v>
      </c>
      <c r="M670" s="116">
        <f>基础表!M578</f>
        <v>0</v>
      </c>
      <c r="N670" s="116">
        <f>基础表!N578</f>
        <v>0</v>
      </c>
      <c r="O670" s="263">
        <f ca="1" t="shared" si="314"/>
        <v>0.715</v>
      </c>
      <c r="Q670" s="68"/>
      <c r="R670" s="141"/>
    </row>
    <row r="671" s="38" customFormat="1" ht="15" customHeight="1" spans="1:19">
      <c r="A671" s="353" t="s">
        <v>313</v>
      </c>
      <c r="B671" s="50"/>
      <c r="C671" s="353">
        <f>SUM(C664:C670)</f>
        <v>27.923</v>
      </c>
      <c r="D671" s="353">
        <f t="shared" ref="D671:N671" si="315">SUM(D664:D670)</f>
        <v>68.617</v>
      </c>
      <c r="E671" s="353">
        <f t="shared" si="315"/>
        <v>18.227</v>
      </c>
      <c r="F671" s="353">
        <f t="shared" si="315"/>
        <v>63.163</v>
      </c>
      <c r="G671" s="353">
        <f t="shared" si="315"/>
        <v>113.973</v>
      </c>
      <c r="H671" s="353">
        <f t="shared" si="315"/>
        <v>114.021</v>
      </c>
      <c r="I671" s="353">
        <f t="shared" si="315"/>
        <v>0</v>
      </c>
      <c r="J671" s="353">
        <f t="shared" si="315"/>
        <v>0</v>
      </c>
      <c r="K671" s="353">
        <f t="shared" si="315"/>
        <v>0</v>
      </c>
      <c r="L671" s="353">
        <f t="shared" si="315"/>
        <v>0</v>
      </c>
      <c r="M671" s="353">
        <f t="shared" si="315"/>
        <v>0</v>
      </c>
      <c r="N671" s="353">
        <f t="shared" si="315"/>
        <v>0</v>
      </c>
      <c r="O671" s="353">
        <f ca="1" t="shared" si="314"/>
        <v>405.924</v>
      </c>
      <c r="Q671" s="68"/>
      <c r="R671" s="141"/>
    </row>
    <row r="672" s="38" customFormat="1" ht="15" customHeight="1" spans="1:19">
      <c r="A672" s="61" t="s">
        <v>314</v>
      </c>
      <c r="B672" s="285" t="s">
        <v>75</v>
      </c>
      <c r="C672" s="355">
        <f>SUM(C662,C671)</f>
        <v>30.277</v>
      </c>
      <c r="D672" s="355">
        <f t="shared" ref="D672:N672" si="316">SUM(D662,D671)</f>
        <v>68.617</v>
      </c>
      <c r="E672" s="355">
        <f t="shared" si="316"/>
        <v>19.678</v>
      </c>
      <c r="F672" s="355">
        <f t="shared" si="316"/>
        <v>65.935</v>
      </c>
      <c r="G672" s="355">
        <f t="shared" si="316"/>
        <v>113.973</v>
      </c>
      <c r="H672" s="355">
        <f t="shared" si="316"/>
        <v>116.364</v>
      </c>
      <c r="I672" s="355">
        <f t="shared" si="316"/>
        <v>0</v>
      </c>
      <c r="J672" s="355">
        <f t="shared" si="316"/>
        <v>0</v>
      </c>
      <c r="K672" s="355">
        <f t="shared" si="316"/>
        <v>0</v>
      </c>
      <c r="L672" s="355">
        <f t="shared" si="316"/>
        <v>0</v>
      </c>
      <c r="M672" s="355">
        <f t="shared" si="316"/>
        <v>0</v>
      </c>
      <c r="N672" s="355">
        <f t="shared" si="316"/>
        <v>0</v>
      </c>
      <c r="O672" s="235">
        <f ca="1" t="shared" si="314"/>
        <v>414.844</v>
      </c>
    </row>
    <row r="673" s="38" customFormat="1" ht="15" customHeight="1" spans="1:19">
      <c r="A673" s="356" t="s">
        <v>315</v>
      </c>
      <c r="B673" s="50"/>
      <c r="C673" s="149"/>
      <c r="D673" s="149"/>
      <c r="E673" s="357"/>
      <c r="F673" s="116"/>
      <c r="G673" s="116"/>
      <c r="H673" s="116"/>
      <c r="I673" s="116"/>
      <c r="J673" s="116"/>
      <c r="K673" s="116"/>
      <c r="L673" s="116"/>
      <c r="M673" s="117"/>
      <c r="N673" s="116"/>
      <c r="O673" s="146"/>
      <c r="Q673" s="151"/>
    </row>
    <row r="674" s="38" customFormat="1" ht="15" customHeight="1" spans="1:19">
      <c r="A674" s="148" t="s">
        <v>316</v>
      </c>
      <c r="B674" s="50"/>
      <c r="C674" s="149">
        <f>基础表!C582</f>
        <v>0</v>
      </c>
      <c r="D674" s="149">
        <f>基础表!D582</f>
        <v>0</v>
      </c>
      <c r="E674" s="116">
        <f>基础表!E582</f>
        <v>0</v>
      </c>
      <c r="F674" s="116">
        <f>基础表!F582</f>
        <v>0</v>
      </c>
      <c r="G674" s="116">
        <f>基础表!G582</f>
        <v>0</v>
      </c>
      <c r="H674" s="116">
        <f>基础表!H582</f>
        <v>0</v>
      </c>
      <c r="I674" s="116">
        <f>基础表!I582</f>
        <v>0</v>
      </c>
      <c r="J674" s="116">
        <f>基础表!J582</f>
        <v>0</v>
      </c>
      <c r="K674" s="116">
        <f>基础表!K582</f>
        <v>0</v>
      </c>
      <c r="L674" s="357">
        <f>基础表!L582</f>
        <v>0</v>
      </c>
      <c r="M674" s="117">
        <f>基础表!M582</f>
        <v>0</v>
      </c>
      <c r="N674" s="116">
        <f>基础表!N582</f>
        <v>0</v>
      </c>
      <c r="O674" s="116">
        <f ca="1">基础表!O582</f>
        <v>0</v>
      </c>
      <c r="P674" s="38">
        <v>204638</v>
      </c>
    </row>
    <row r="675" s="38" customFormat="1" ht="15" customHeight="1" spans="1:19">
      <c r="A675" s="148" t="s">
        <v>317</v>
      </c>
      <c r="B675" s="50"/>
      <c r="C675" s="149">
        <f>基础表!C583</f>
        <v>0</v>
      </c>
      <c r="D675" s="149">
        <f>基础表!D583</f>
        <v>0</v>
      </c>
      <c r="E675" s="116">
        <f>基础表!E583</f>
        <v>0</v>
      </c>
      <c r="F675" s="116">
        <f>基础表!F583</f>
        <v>0</v>
      </c>
      <c r="G675" s="116">
        <f>基础表!G583</f>
        <v>0</v>
      </c>
      <c r="H675" s="149">
        <f>基础表!H583</f>
        <v>0</v>
      </c>
      <c r="I675" s="149">
        <f>基础表!I583</f>
        <v>0</v>
      </c>
      <c r="J675" s="149">
        <f>基础表!J583</f>
        <v>0</v>
      </c>
      <c r="K675" s="149">
        <f>基础表!K583</f>
        <v>0</v>
      </c>
      <c r="L675" s="125">
        <f>基础表!L583</f>
        <v>0</v>
      </c>
      <c r="M675" s="149">
        <f>基础表!M583</f>
        <v>0</v>
      </c>
      <c r="N675" s="116">
        <f>基础表!N583</f>
        <v>0</v>
      </c>
      <c r="O675" s="116">
        <f ca="1">基础表!O583</f>
        <v>0</v>
      </c>
      <c r="P675" s="350">
        <v>204582</v>
      </c>
      <c r="Q675" s="64"/>
    </row>
    <row r="676" s="38" customFormat="1" ht="15" customHeight="1" spans="1:19">
      <c r="A676" s="148" t="s">
        <v>318</v>
      </c>
      <c r="B676" s="50"/>
      <c r="C676" s="149">
        <f>基础表!C584</f>
        <v>0</v>
      </c>
      <c r="D676" s="149">
        <f>基础表!D584</f>
        <v>0</v>
      </c>
      <c r="E676" s="116">
        <f>基础表!E584</f>
        <v>0</v>
      </c>
      <c r="F676" s="116">
        <f>基础表!F584</f>
        <v>0</v>
      </c>
      <c r="G676" s="116">
        <f>基础表!G584</f>
        <v>0</v>
      </c>
      <c r="H676" s="116">
        <f>基础表!H584</f>
        <v>0</v>
      </c>
      <c r="I676" s="116">
        <f>基础表!I584</f>
        <v>0</v>
      </c>
      <c r="J676" s="149">
        <f>基础表!J584</f>
        <v>0</v>
      </c>
      <c r="K676" s="116">
        <f>基础表!K584</f>
        <v>0</v>
      </c>
      <c r="L676" s="125">
        <f>基础表!L584</f>
        <v>0</v>
      </c>
      <c r="M676" s="125">
        <f>基础表!M584</f>
        <v>0</v>
      </c>
      <c r="N676" s="116">
        <f>基础表!N584</f>
        <v>0</v>
      </c>
      <c r="O676" s="116">
        <f ca="1">基础表!O584</f>
        <v>0</v>
      </c>
      <c r="P676" s="38">
        <v>204564</v>
      </c>
      <c r="Q676" s="64"/>
    </row>
    <row r="677" s="38" customFormat="1" ht="15" customHeight="1" spans="1:19">
      <c r="A677" s="138" t="s">
        <v>319</v>
      </c>
      <c r="B677" s="50"/>
      <c r="C677" s="149">
        <f>基础表!C585</f>
        <v>0</v>
      </c>
      <c r="D677" s="149">
        <f>基础表!D585</f>
        <v>0</v>
      </c>
      <c r="E677" s="116">
        <f>基础表!E585</f>
        <v>0</v>
      </c>
      <c r="F677" s="116">
        <f>基础表!F585</f>
        <v>0</v>
      </c>
      <c r="G677" s="116">
        <f>基础表!G585</f>
        <v>0</v>
      </c>
      <c r="H677" s="116">
        <f>基础表!H585</f>
        <v>0</v>
      </c>
      <c r="I677" s="116">
        <f>基础表!I585</f>
        <v>0</v>
      </c>
      <c r="J677" s="149">
        <f>基础表!J585</f>
        <v>0</v>
      </c>
      <c r="K677" s="116">
        <f>基础表!K585</f>
        <v>0</v>
      </c>
      <c r="L677" s="125">
        <f>基础表!L585</f>
        <v>0</v>
      </c>
      <c r="M677" s="125">
        <f>基础表!M585</f>
        <v>0</v>
      </c>
      <c r="N677" s="116">
        <f>基础表!N585</f>
        <v>0</v>
      </c>
      <c r="O677" s="116">
        <f ca="1">基础表!O585</f>
        <v>0</v>
      </c>
      <c r="P677" s="38">
        <v>204520</v>
      </c>
      <c r="Q677" s="64"/>
    </row>
    <row r="678" s="38" customFormat="1" ht="15" customHeight="1" spans="1:19">
      <c r="A678" s="148" t="s">
        <v>320</v>
      </c>
      <c r="B678" s="50"/>
      <c r="C678" s="149">
        <f>基础表!C586</f>
        <v>0</v>
      </c>
      <c r="D678" s="149">
        <f>基础表!D586</f>
        <v>0</v>
      </c>
      <c r="E678" s="116">
        <f>基础表!E586</f>
        <v>0</v>
      </c>
      <c r="F678" s="116">
        <f>基础表!F586</f>
        <v>0</v>
      </c>
      <c r="G678" s="116">
        <f>基础表!G586</f>
        <v>0</v>
      </c>
      <c r="H678" s="116">
        <f>基础表!H586</f>
        <v>0</v>
      </c>
      <c r="I678" s="116">
        <f>基础表!I586</f>
        <v>0</v>
      </c>
      <c r="J678" s="149">
        <f>基础表!J586</f>
        <v>0</v>
      </c>
      <c r="K678" s="116">
        <f>基础表!K586</f>
        <v>0</v>
      </c>
      <c r="L678" s="125">
        <f>基础表!L586</f>
        <v>0</v>
      </c>
      <c r="M678" s="125">
        <f>基础表!M586</f>
        <v>0</v>
      </c>
      <c r="N678" s="116">
        <f>基础表!N586</f>
        <v>0</v>
      </c>
      <c r="O678" s="116">
        <f ca="1">基础表!O586</f>
        <v>0</v>
      </c>
      <c r="P678" s="38">
        <v>204522</v>
      </c>
      <c r="Q678" s="64"/>
    </row>
    <row r="679" s="38" customFormat="1" ht="15" customHeight="1" spans="1:19">
      <c r="A679" s="138" t="s">
        <v>321</v>
      </c>
      <c r="B679" s="50"/>
      <c r="C679" s="146">
        <f>基础表!C587</f>
        <v>2524.09012131716</v>
      </c>
      <c r="D679" s="116">
        <f>基础表!D587</f>
        <v>0</v>
      </c>
      <c r="E679" s="117">
        <f>基础表!E587</f>
        <v>2375.31977946244</v>
      </c>
      <c r="F679" s="117">
        <f>基础表!F587</f>
        <v>2381.19985569986</v>
      </c>
      <c r="G679" s="311">
        <f>基础表!G587</f>
        <v>0</v>
      </c>
      <c r="H679" s="116">
        <f>基础表!H587</f>
        <v>2504.67008109262</v>
      </c>
      <c r="I679" s="116">
        <f>基础表!I587</f>
        <v>2504.67008109262</v>
      </c>
      <c r="J679" s="116">
        <f>基础表!J587</f>
        <v>0</v>
      </c>
      <c r="K679" s="116">
        <f>基础表!K587</f>
        <v>0</v>
      </c>
      <c r="L679" s="116">
        <f>基础表!L587</f>
        <v>0</v>
      </c>
      <c r="M679" s="116">
        <f>基础表!M587</f>
        <v>0</v>
      </c>
      <c r="N679" s="116">
        <f>基础表!N587</f>
        <v>0</v>
      </c>
      <c r="O679" s="116">
        <f ca="1">基础表!O587</f>
        <v>2438.92707253886</v>
      </c>
      <c r="P679" s="38">
        <v>231968</v>
      </c>
      <c r="R679" s="141"/>
      <c r="S679" s="141"/>
    </row>
    <row r="680" s="38" customFormat="1" ht="15" customHeight="1" spans="1:19">
      <c r="A680" s="148" t="s">
        <v>322</v>
      </c>
      <c r="B680" s="50"/>
      <c r="C680" s="149">
        <f>基础表!C588</f>
        <v>6033.28</v>
      </c>
      <c r="D680" s="149">
        <f>基础表!D588</f>
        <v>0</v>
      </c>
      <c r="E680" s="282">
        <f>基础表!E588</f>
        <v>0</v>
      </c>
      <c r="F680" s="116">
        <f>基础表!F588</f>
        <v>0</v>
      </c>
      <c r="G680" s="116">
        <f>基础表!G588</f>
        <v>0</v>
      </c>
      <c r="H680" s="116">
        <f>基础表!H588</f>
        <v>0</v>
      </c>
      <c r="I680" s="116">
        <f>基础表!I588</f>
        <v>0</v>
      </c>
      <c r="J680" s="116">
        <f>基础表!J588</f>
        <v>0</v>
      </c>
      <c r="K680" s="116">
        <f>基础表!K588</f>
        <v>0</v>
      </c>
      <c r="L680" s="116">
        <f>基础表!L588</f>
        <v>0</v>
      </c>
      <c r="M680" s="116">
        <f>基础表!M588</f>
        <v>0</v>
      </c>
      <c r="N680" s="116">
        <f>基础表!N588</f>
        <v>0</v>
      </c>
      <c r="O680" s="116">
        <f ca="1">基础表!O588</f>
        <v>6033.28</v>
      </c>
      <c r="Q680" s="64"/>
    </row>
    <row r="681" s="38" customFormat="1" ht="15" customHeight="1" spans="1:19">
      <c r="A681" s="356" t="s">
        <v>323</v>
      </c>
      <c r="B681" s="50"/>
      <c r="C681" s="149">
        <f>基础表!C589</f>
        <v>0</v>
      </c>
      <c r="D681" s="149">
        <f>基础表!D589</f>
        <v>0</v>
      </c>
      <c r="E681" s="282">
        <f>基础表!E589</f>
        <v>0</v>
      </c>
      <c r="F681" s="116">
        <f>基础表!F589</f>
        <v>0</v>
      </c>
      <c r="G681" s="116">
        <f>基础表!G589</f>
        <v>0</v>
      </c>
      <c r="H681" s="116">
        <f>基础表!H589</f>
        <v>0</v>
      </c>
      <c r="I681" s="116">
        <f>基础表!I589</f>
        <v>0</v>
      </c>
      <c r="J681" s="116">
        <f>基础表!J589</f>
        <v>0</v>
      </c>
      <c r="K681" s="116">
        <f>基础表!K589</f>
        <v>0</v>
      </c>
      <c r="L681" s="116">
        <f>基础表!L589</f>
        <v>0</v>
      </c>
      <c r="M681" s="116">
        <f>基础表!M589</f>
        <v>0</v>
      </c>
      <c r="N681" s="116">
        <f>基础表!N589</f>
        <v>0</v>
      </c>
      <c r="O681" s="116">
        <f>基础表!O589</f>
        <v>0</v>
      </c>
      <c r="Q681" s="64"/>
    </row>
    <row r="682" s="38" customFormat="1" ht="15" customHeight="1" spans="1:19">
      <c r="A682" s="148" t="s">
        <v>316</v>
      </c>
      <c r="B682" s="50"/>
      <c r="C682" s="149">
        <f>基础表!C590</f>
        <v>0</v>
      </c>
      <c r="D682" s="149">
        <f>基础表!D590</f>
        <v>2219.98987133863</v>
      </c>
      <c r="E682" s="116">
        <f>基础表!E590</f>
        <v>2054.35</v>
      </c>
      <c r="F682" s="116">
        <f>基础表!F590</f>
        <v>2124.21997325011</v>
      </c>
      <c r="G682" s="116">
        <f>基础表!G590</f>
        <v>0</v>
      </c>
      <c r="H682" s="116">
        <f>基础表!H590</f>
        <v>2179.16999315693</v>
      </c>
      <c r="I682" s="116">
        <f>基础表!I590</f>
        <v>0</v>
      </c>
      <c r="J682" s="116">
        <f>基础表!J590</f>
        <v>0</v>
      </c>
      <c r="K682" s="116">
        <f>基础表!K590</f>
        <v>0</v>
      </c>
      <c r="L682" s="357">
        <f>基础表!L590</f>
        <v>0</v>
      </c>
      <c r="M682" s="117">
        <f>基础表!M590</f>
        <v>0</v>
      </c>
      <c r="N682" s="116">
        <f>基础表!N590</f>
        <v>0</v>
      </c>
      <c r="O682" s="116">
        <f ca="1">基础表!O590</f>
        <v>2148.75669613621</v>
      </c>
      <c r="P682" s="38">
        <v>204638</v>
      </c>
    </row>
    <row r="683" s="38" customFormat="1" ht="15" customHeight="1" spans="1:19">
      <c r="A683" s="148" t="s">
        <v>317</v>
      </c>
      <c r="B683" s="50"/>
      <c r="C683" s="149">
        <f>基础表!C591</f>
        <v>2425.29000512558</v>
      </c>
      <c r="D683" s="149">
        <f>基础表!D591</f>
        <v>2408.22997820757</v>
      </c>
      <c r="E683" s="116">
        <f>基础表!E591</f>
        <v>2227.96992635025</v>
      </c>
      <c r="F683" s="116">
        <f>基础表!F591</f>
        <v>2303.7800032175</v>
      </c>
      <c r="G683" s="116">
        <f>基础表!G591</f>
        <v>2314.30999637302</v>
      </c>
      <c r="H683" s="149">
        <f>基础表!H591</f>
        <v>2363.06999641962</v>
      </c>
      <c r="I683" s="149">
        <f>基础表!I591</f>
        <v>0</v>
      </c>
      <c r="J683" s="149">
        <f>基础表!J591</f>
        <v>0</v>
      </c>
      <c r="K683" s="149">
        <f>基础表!K591</f>
        <v>0</v>
      </c>
      <c r="L683" s="125">
        <f>基础表!L591</f>
        <v>0</v>
      </c>
      <c r="M683" s="149">
        <f>基础表!M591</f>
        <v>0</v>
      </c>
      <c r="N683" s="116">
        <f>基础表!N591</f>
        <v>0</v>
      </c>
      <c r="O683" s="116">
        <f ca="1">基础表!O591</f>
        <v>2338.01394470574</v>
      </c>
      <c r="P683" s="350">
        <v>204582</v>
      </c>
      <c r="Q683" s="64"/>
    </row>
    <row r="684" s="38" customFormat="1" ht="15" customHeight="1" spans="1:19">
      <c r="A684" s="148" t="s">
        <v>318</v>
      </c>
      <c r="B684" s="50"/>
      <c r="C684" s="149">
        <f>基础表!C592</f>
        <v>2487.42986557569</v>
      </c>
      <c r="D684" s="149">
        <f>基础表!D592</f>
        <v>0</v>
      </c>
      <c r="E684" s="116">
        <f>基础表!E592</f>
        <v>0</v>
      </c>
      <c r="F684" s="116">
        <f>基础表!F592</f>
        <v>0</v>
      </c>
      <c r="G684" s="116">
        <f>基础表!G592</f>
        <v>2640.95996775927</v>
      </c>
      <c r="H684" s="116">
        <f>基础表!H592</f>
        <v>0</v>
      </c>
      <c r="I684" s="116">
        <f>基础表!I592</f>
        <v>0</v>
      </c>
      <c r="J684" s="149">
        <f>基础表!J592</f>
        <v>0</v>
      </c>
      <c r="K684" s="116">
        <f>基础表!K592</f>
        <v>0</v>
      </c>
      <c r="L684" s="125">
        <f>基础表!L592</f>
        <v>0</v>
      </c>
      <c r="M684" s="125">
        <f>基础表!M592</f>
        <v>0</v>
      </c>
      <c r="N684" s="116">
        <f>基础表!N592</f>
        <v>0</v>
      </c>
      <c r="O684" s="116">
        <f ca="1">基础表!O592</f>
        <v>2567.41853303472</v>
      </c>
      <c r="P684" s="38">
        <v>204564</v>
      </c>
      <c r="Q684" s="64"/>
    </row>
    <row r="685" s="38" customFormat="1" ht="15" customHeight="1" spans="1:19">
      <c r="A685" s="138" t="s">
        <v>319</v>
      </c>
      <c r="B685" s="50"/>
      <c r="C685" s="149">
        <f>基础表!C593</f>
        <v>2601.86832740214</v>
      </c>
      <c r="D685" s="149">
        <f>基础表!D593</f>
        <v>2516.08955223881</v>
      </c>
      <c r="E685" s="116">
        <f>基础表!E593</f>
        <v>0</v>
      </c>
      <c r="F685" s="116">
        <f>基础表!F593</f>
        <v>0</v>
      </c>
      <c r="G685" s="116">
        <f>基础表!G593</f>
        <v>2762.55882352941</v>
      </c>
      <c r="H685" s="116">
        <f>基础表!H593</f>
        <v>2629.83941605839</v>
      </c>
      <c r="I685" s="116">
        <f>基础表!I593</f>
        <v>0</v>
      </c>
      <c r="J685" s="149">
        <f>基础表!J593</f>
        <v>0</v>
      </c>
      <c r="K685" s="116">
        <f>基础表!K593</f>
        <v>0</v>
      </c>
      <c r="L685" s="125">
        <f>基础表!L593</f>
        <v>0</v>
      </c>
      <c r="M685" s="125">
        <f>基础表!M593</f>
        <v>0</v>
      </c>
      <c r="N685" s="116">
        <f>基础表!N593</f>
        <v>0</v>
      </c>
      <c r="O685" s="116">
        <f ca="1">基础表!O593</f>
        <v>2628.01704545455</v>
      </c>
      <c r="P685" s="38">
        <v>204520</v>
      </c>
      <c r="Q685" s="64"/>
    </row>
    <row r="686" s="38" customFormat="1" ht="15" customHeight="1" spans="1:19">
      <c r="A686" s="148" t="s">
        <v>320</v>
      </c>
      <c r="B686" s="50"/>
      <c r="C686" s="149">
        <f>基础表!C594</f>
        <v>2749.18997580366</v>
      </c>
      <c r="D686" s="149">
        <f>基础表!D594</f>
        <v>2862.88001019022</v>
      </c>
      <c r="E686" s="116">
        <f>基础表!E594</f>
        <v>2588.55053908356</v>
      </c>
      <c r="F686" s="116">
        <f>基础表!F594</f>
        <v>2883.75990990991</v>
      </c>
      <c r="G686" s="116">
        <f>基础表!G594</f>
        <v>2660.05996456216</v>
      </c>
      <c r="H686" s="116">
        <f>基础表!H594</f>
        <v>2738.40005214671</v>
      </c>
      <c r="I686" s="116">
        <f>基础表!I594</f>
        <v>0</v>
      </c>
      <c r="J686" s="149">
        <f>基础表!J594</f>
        <v>0</v>
      </c>
      <c r="K686" s="116">
        <f>基础表!K594</f>
        <v>0</v>
      </c>
      <c r="L686" s="125">
        <f>基础表!L594</f>
        <v>0</v>
      </c>
      <c r="M686" s="125">
        <f>基础表!M594</f>
        <v>0</v>
      </c>
      <c r="N686" s="116">
        <f>基础表!N594</f>
        <v>0</v>
      </c>
      <c r="O686" s="116">
        <f ca="1">基础表!O594</f>
        <v>2788.76565512505</v>
      </c>
      <c r="P686" s="38">
        <v>204522</v>
      </c>
      <c r="Q686" s="64"/>
    </row>
    <row r="687" s="38" customFormat="1" ht="15" customHeight="1" spans="1:19">
      <c r="A687" s="138" t="s">
        <v>321</v>
      </c>
      <c r="B687" s="50"/>
      <c r="C687" s="146">
        <f>基础表!C595</f>
        <v>0</v>
      </c>
      <c r="D687" s="116">
        <f>基础表!D595</f>
        <v>0</v>
      </c>
      <c r="E687" s="117">
        <f>基础表!E595</f>
        <v>0</v>
      </c>
      <c r="F687" s="117">
        <f>基础表!F595</f>
        <v>0</v>
      </c>
      <c r="G687" s="311">
        <f>基础表!G595</f>
        <v>0</v>
      </c>
      <c r="H687" s="116">
        <f>基础表!H595</f>
        <v>0</v>
      </c>
      <c r="I687" s="116">
        <f>基础表!I595</f>
        <v>0</v>
      </c>
      <c r="J687" s="116">
        <f>基础表!J595</f>
        <v>0</v>
      </c>
      <c r="K687" s="116">
        <f>基础表!K595</f>
        <v>0</v>
      </c>
      <c r="L687" s="116">
        <f>基础表!L595</f>
        <v>0</v>
      </c>
      <c r="M687" s="116">
        <f>基础表!M595</f>
        <v>0</v>
      </c>
      <c r="N687" s="116">
        <f>基础表!N595</f>
        <v>0</v>
      </c>
      <c r="O687" s="116">
        <f ca="1">基础表!O595</f>
        <v>0</v>
      </c>
      <c r="P687" s="38">
        <v>231968</v>
      </c>
      <c r="R687" s="141"/>
      <c r="S687" s="141"/>
    </row>
    <row r="688" s="38" customFormat="1" ht="15" customHeight="1" spans="1:19">
      <c r="A688" s="148" t="s">
        <v>322</v>
      </c>
      <c r="B688" s="50"/>
      <c r="C688" s="149">
        <f>基础表!C596</f>
        <v>0</v>
      </c>
      <c r="D688" s="149">
        <f>基础表!D596</f>
        <v>0</v>
      </c>
      <c r="E688" s="282">
        <f>基础表!E596</f>
        <v>4127.96083916084</v>
      </c>
      <c r="F688" s="116">
        <f>基础表!F596</f>
        <v>0</v>
      </c>
      <c r="G688" s="116">
        <f>基础表!G596</f>
        <v>0</v>
      </c>
      <c r="H688" s="116">
        <f>基础表!H596</f>
        <v>0</v>
      </c>
      <c r="I688" s="116">
        <f>基础表!I596</f>
        <v>0</v>
      </c>
      <c r="J688" s="116">
        <f>基础表!J596</f>
        <v>0</v>
      </c>
      <c r="K688" s="116">
        <f>基础表!K596</f>
        <v>0</v>
      </c>
      <c r="L688" s="116">
        <f>基础表!L596</f>
        <v>0</v>
      </c>
      <c r="M688" s="116">
        <f>基础表!M596</f>
        <v>0</v>
      </c>
      <c r="N688" s="116">
        <f>基础表!N596</f>
        <v>0</v>
      </c>
      <c r="O688" s="116">
        <f ca="1">基础表!O596</f>
        <v>4127.96083916084</v>
      </c>
      <c r="Q688" s="64"/>
    </row>
    <row r="689" s="38" customFormat="1" ht="15" customHeight="1" spans="1:16">
      <c r="A689" s="356" t="s">
        <v>324</v>
      </c>
      <c r="B689" s="50"/>
      <c r="C689" s="149">
        <f>基础表!C597</f>
        <v>0</v>
      </c>
      <c r="D689" s="149">
        <f>基础表!D597</f>
        <v>0</v>
      </c>
      <c r="E689" s="149">
        <f>基础表!E597</f>
        <v>0</v>
      </c>
      <c r="F689" s="149">
        <f>基础表!F597</f>
        <v>0</v>
      </c>
      <c r="G689" s="149">
        <f>基础表!G597</f>
        <v>0</v>
      </c>
      <c r="H689" s="149">
        <f>基础表!H597</f>
        <v>0</v>
      </c>
      <c r="I689" s="149">
        <f>基础表!I597</f>
        <v>0</v>
      </c>
      <c r="J689" s="149">
        <f>基础表!J597</f>
        <v>0</v>
      </c>
      <c r="K689" s="149">
        <f>基础表!K597</f>
        <v>0</v>
      </c>
      <c r="L689" s="149">
        <f>基础表!L597</f>
        <v>0</v>
      </c>
      <c r="M689" s="149">
        <f>基础表!M597</f>
        <v>0</v>
      </c>
      <c r="N689" s="116">
        <f>基础表!N597</f>
        <v>0</v>
      </c>
      <c r="O689" s="116">
        <f>基础表!O597</f>
        <v>0</v>
      </c>
      <c r="P689" s="68"/>
    </row>
    <row r="690" s="38" customFormat="1" ht="15" customHeight="1" spans="1:16">
      <c r="A690" s="148" t="s">
        <v>170</v>
      </c>
      <c r="B690" s="50"/>
      <c r="C690" s="149">
        <f>基础表!C598</f>
        <v>0</v>
      </c>
      <c r="D690" s="149">
        <f>基础表!D598</f>
        <v>0</v>
      </c>
      <c r="E690" s="149">
        <f>基础表!E598</f>
        <v>0</v>
      </c>
      <c r="F690" s="149">
        <f>基础表!F598</f>
        <v>0</v>
      </c>
      <c r="G690" s="149">
        <f>基础表!G598</f>
        <v>0</v>
      </c>
      <c r="H690" s="149">
        <f>基础表!H598</f>
        <v>0</v>
      </c>
      <c r="I690" s="149">
        <f>基础表!I598</f>
        <v>0</v>
      </c>
      <c r="J690" s="149">
        <f>基础表!J598</f>
        <v>0</v>
      </c>
      <c r="K690" s="149">
        <f>基础表!K598</f>
        <v>0</v>
      </c>
      <c r="L690" s="149">
        <f>基础表!L598</f>
        <v>0</v>
      </c>
      <c r="M690" s="149">
        <f>基础表!M598</f>
        <v>0</v>
      </c>
      <c r="N690" s="116">
        <f>基础表!N598</f>
        <v>0</v>
      </c>
      <c r="O690" s="116">
        <f ca="1">基础表!O598</f>
        <v>0</v>
      </c>
    </row>
    <row r="691" s="38" customFormat="1" ht="15" customHeight="1" spans="1:16">
      <c r="A691" s="148" t="s">
        <v>171</v>
      </c>
      <c r="B691" s="50"/>
      <c r="C691" s="149">
        <f>基础表!C599</f>
        <v>0</v>
      </c>
      <c r="D691" s="149">
        <f>基础表!D599</f>
        <v>0</v>
      </c>
      <c r="E691" s="149">
        <f>基础表!E599</f>
        <v>0</v>
      </c>
      <c r="F691" s="149">
        <f>基础表!F599</f>
        <v>0</v>
      </c>
      <c r="G691" s="149">
        <f>基础表!G599</f>
        <v>0</v>
      </c>
      <c r="H691" s="149">
        <f>基础表!H599</f>
        <v>0</v>
      </c>
      <c r="I691" s="149">
        <f>基础表!I599</f>
        <v>0</v>
      </c>
      <c r="J691" s="149">
        <f>基础表!J599</f>
        <v>0</v>
      </c>
      <c r="K691" s="149">
        <f>基础表!K599</f>
        <v>0</v>
      </c>
      <c r="L691" s="149">
        <f>基础表!L599</f>
        <v>0</v>
      </c>
      <c r="M691" s="149">
        <f>基础表!M599</f>
        <v>0</v>
      </c>
      <c r="N691" s="116">
        <f>基础表!N599</f>
        <v>0</v>
      </c>
      <c r="O691" s="116">
        <f ca="1">基础表!O599</f>
        <v>0</v>
      </c>
      <c r="P691" s="68"/>
    </row>
    <row r="692" s="38" customFormat="1" ht="15" customHeight="1" spans="1:16">
      <c r="A692" s="148" t="s">
        <v>172</v>
      </c>
      <c r="B692" s="50"/>
      <c r="C692" s="149">
        <f>基础表!C600</f>
        <v>0</v>
      </c>
      <c r="D692" s="149">
        <f>基础表!D600</f>
        <v>0</v>
      </c>
      <c r="E692" s="149">
        <f>基础表!E600</f>
        <v>0</v>
      </c>
      <c r="F692" s="149">
        <f>基础表!F600</f>
        <v>0</v>
      </c>
      <c r="G692" s="149">
        <f>基础表!G600</f>
        <v>0</v>
      </c>
      <c r="H692" s="149">
        <f>基础表!H600</f>
        <v>0</v>
      </c>
      <c r="I692" s="149">
        <f>基础表!I600</f>
        <v>0</v>
      </c>
      <c r="J692" s="149">
        <f>基础表!J600</f>
        <v>0</v>
      </c>
      <c r="K692" s="149">
        <f>基础表!K600</f>
        <v>0</v>
      </c>
      <c r="L692" s="149">
        <f>基础表!L600</f>
        <v>0</v>
      </c>
      <c r="M692" s="149">
        <f>基础表!M600</f>
        <v>0</v>
      </c>
      <c r="N692" s="116">
        <f>基础表!N600</f>
        <v>0</v>
      </c>
      <c r="O692" s="116">
        <f ca="1">基础表!O600</f>
        <v>0</v>
      </c>
    </row>
    <row r="693" s="38" customFormat="1" ht="15" customHeight="1" spans="1:16">
      <c r="A693" s="148" t="s">
        <v>173</v>
      </c>
      <c r="B693" s="50"/>
      <c r="C693" s="149">
        <f>基础表!C601</f>
        <v>0</v>
      </c>
      <c r="D693" s="149">
        <f>基础表!D601</f>
        <v>0</v>
      </c>
      <c r="E693" s="149">
        <f>基础表!E601</f>
        <v>0</v>
      </c>
      <c r="F693" s="149">
        <f>基础表!F601</f>
        <v>0</v>
      </c>
      <c r="G693" s="149">
        <f>基础表!G601</f>
        <v>0</v>
      </c>
      <c r="H693" s="149">
        <f>基础表!H601</f>
        <v>0</v>
      </c>
      <c r="I693" s="149">
        <f>基础表!I601</f>
        <v>0</v>
      </c>
      <c r="J693" s="149">
        <f>基础表!J601</f>
        <v>0</v>
      </c>
      <c r="K693" s="149">
        <f>基础表!K601</f>
        <v>0</v>
      </c>
      <c r="L693" s="149">
        <f>基础表!L601</f>
        <v>0</v>
      </c>
      <c r="M693" s="149">
        <f>基础表!M601</f>
        <v>0</v>
      </c>
      <c r="N693" s="116">
        <f>基础表!N601</f>
        <v>0</v>
      </c>
      <c r="O693" s="116">
        <f ca="1">基础表!O601</f>
        <v>0</v>
      </c>
    </row>
    <row r="694" s="38" customFormat="1" ht="15" customHeight="1" spans="1:16">
      <c r="A694" s="148" t="s">
        <v>174</v>
      </c>
      <c r="B694" s="50"/>
      <c r="C694" s="149">
        <f>基础表!C602</f>
        <v>0</v>
      </c>
      <c r="D694" s="149">
        <f>基础表!D602</f>
        <v>0</v>
      </c>
      <c r="E694" s="149">
        <f>基础表!E602</f>
        <v>0</v>
      </c>
      <c r="F694" s="149">
        <f>基础表!F602</f>
        <v>0</v>
      </c>
      <c r="G694" s="149">
        <f>基础表!G602</f>
        <v>0</v>
      </c>
      <c r="H694" s="149">
        <f>基础表!H602</f>
        <v>0</v>
      </c>
      <c r="I694" s="149">
        <f>基础表!I602</f>
        <v>0</v>
      </c>
      <c r="J694" s="149">
        <f>基础表!J602</f>
        <v>0</v>
      </c>
      <c r="K694" s="149">
        <f>基础表!K602</f>
        <v>0</v>
      </c>
      <c r="L694" s="149">
        <f>基础表!L602</f>
        <v>0</v>
      </c>
      <c r="M694" s="149">
        <f>基础表!M602</f>
        <v>0</v>
      </c>
      <c r="N694" s="116">
        <f>基础表!N602</f>
        <v>0</v>
      </c>
      <c r="O694" s="116">
        <f ca="1">基础表!O602</f>
        <v>0</v>
      </c>
    </row>
    <row r="695" s="38" customFormat="1" ht="15" customHeight="1" spans="1:16">
      <c r="A695" s="148" t="s">
        <v>175</v>
      </c>
      <c r="B695" s="50"/>
      <c r="C695" s="149">
        <f>基础表!C603</f>
        <v>2852.22183708839</v>
      </c>
      <c r="D695" s="149">
        <f>基础表!D603</f>
        <v>0</v>
      </c>
      <c r="E695" s="149">
        <f>基础表!E603</f>
        <v>2684.11135079256</v>
      </c>
      <c r="F695" s="149">
        <f>基础表!F603</f>
        <v>2690.75583694084</v>
      </c>
      <c r="G695" s="149">
        <f>基础表!G603</f>
        <v>0</v>
      </c>
      <c r="H695" s="149">
        <f>基础表!H603</f>
        <v>2830.27719163466</v>
      </c>
      <c r="I695" s="149">
        <f>基础表!I603</f>
        <v>2830.27719163466</v>
      </c>
      <c r="J695" s="149">
        <f>基础表!J603</f>
        <v>0</v>
      </c>
      <c r="K695" s="149">
        <f>基础表!K603</f>
        <v>0</v>
      </c>
      <c r="L695" s="149">
        <f>基础表!L603</f>
        <v>0</v>
      </c>
      <c r="M695" s="149">
        <f>基础表!M603</f>
        <v>0</v>
      </c>
      <c r="N695" s="116">
        <f>基础表!N603</f>
        <v>0</v>
      </c>
      <c r="O695" s="116">
        <f ca="1">基础表!O603</f>
        <v>2755.98759196891</v>
      </c>
    </row>
    <row r="696" s="38" customFormat="1" ht="15" customHeight="1" spans="1:16">
      <c r="A696" s="148" t="s">
        <v>176</v>
      </c>
      <c r="B696" s="50"/>
      <c r="C696" s="149">
        <f>基础表!C604</f>
        <v>6817.6064</v>
      </c>
      <c r="D696" s="149">
        <f>基础表!D604</f>
        <v>0</v>
      </c>
      <c r="E696" s="149">
        <f>基础表!E604</f>
        <v>0</v>
      </c>
      <c r="F696" s="149">
        <f>基础表!F604</f>
        <v>0</v>
      </c>
      <c r="G696" s="149">
        <f>基础表!G604</f>
        <v>0</v>
      </c>
      <c r="H696" s="149">
        <f>基础表!H604</f>
        <v>0</v>
      </c>
      <c r="I696" s="149">
        <f>基础表!I604</f>
        <v>0</v>
      </c>
      <c r="J696" s="149">
        <f>基础表!J604</f>
        <v>0</v>
      </c>
      <c r="K696" s="149">
        <f>基础表!K604</f>
        <v>0</v>
      </c>
      <c r="L696" s="149">
        <f>基础表!L604</f>
        <v>0</v>
      </c>
      <c r="M696" s="149">
        <f>基础表!M604</f>
        <v>0</v>
      </c>
      <c r="N696" s="116">
        <f>基础表!N604</f>
        <v>0</v>
      </c>
      <c r="O696" s="116">
        <f ca="1">基础表!O604</f>
        <v>6817.6064</v>
      </c>
    </row>
    <row r="697" s="38" customFormat="1" ht="15" customHeight="1" spans="1:16">
      <c r="A697" s="356" t="s">
        <v>325</v>
      </c>
      <c r="B697" s="50"/>
      <c r="C697" s="149">
        <f>基础表!C605</f>
        <v>0</v>
      </c>
      <c r="D697" s="149">
        <f>基础表!D605</f>
        <v>0</v>
      </c>
      <c r="E697" s="149">
        <f>基础表!E605</f>
        <v>0</v>
      </c>
      <c r="F697" s="149">
        <f>基础表!F605</f>
        <v>0</v>
      </c>
      <c r="G697" s="149">
        <f>基础表!G605</f>
        <v>0</v>
      </c>
      <c r="H697" s="149">
        <f>基础表!H605</f>
        <v>0</v>
      </c>
      <c r="I697" s="149">
        <f>基础表!I605</f>
        <v>0</v>
      </c>
      <c r="J697" s="149">
        <f>基础表!J605</f>
        <v>0</v>
      </c>
      <c r="K697" s="149">
        <f>基础表!K605</f>
        <v>0</v>
      </c>
      <c r="L697" s="149">
        <f>基础表!L605</f>
        <v>0</v>
      </c>
      <c r="M697" s="149">
        <f>基础表!M605</f>
        <v>0</v>
      </c>
      <c r="N697" s="116">
        <f>基础表!N605</f>
        <v>0</v>
      </c>
      <c r="O697" s="116">
        <f>基础表!O605</f>
        <v>0</v>
      </c>
      <c r="P697" s="68"/>
    </row>
    <row r="698" s="38" customFormat="1" ht="15" customHeight="1" spans="1:16">
      <c r="A698" s="148" t="s">
        <v>170</v>
      </c>
      <c r="B698" s="50"/>
      <c r="C698" s="149">
        <f>基础表!C606</f>
        <v>0</v>
      </c>
      <c r="D698" s="149">
        <f>基础表!D606</f>
        <v>2508.58855461265</v>
      </c>
      <c r="E698" s="149">
        <f>基础表!E606</f>
        <v>2321.4155</v>
      </c>
      <c r="F698" s="149">
        <f>基础表!F606</f>
        <v>2400.36856977262</v>
      </c>
      <c r="G698" s="149">
        <f>基础表!G606</f>
        <v>0</v>
      </c>
      <c r="H698" s="149">
        <f>基础表!H606</f>
        <v>2462.46209226734</v>
      </c>
      <c r="I698" s="149">
        <f>基础表!I606</f>
        <v>0</v>
      </c>
      <c r="J698" s="149">
        <f>基础表!J606</f>
        <v>0</v>
      </c>
      <c r="K698" s="149">
        <f>基础表!K606</f>
        <v>0</v>
      </c>
      <c r="L698" s="149">
        <f>基础表!L606</f>
        <v>0</v>
      </c>
      <c r="M698" s="149">
        <f>基础表!M606</f>
        <v>0</v>
      </c>
      <c r="N698" s="116">
        <f>基础表!N606</f>
        <v>0</v>
      </c>
      <c r="O698" s="116">
        <f ca="1">基础表!O606</f>
        <v>2428.09506663392</v>
      </c>
    </row>
    <row r="699" s="38" customFormat="1" ht="15" customHeight="1" spans="1:16">
      <c r="A699" s="148" t="s">
        <v>171</v>
      </c>
      <c r="B699" s="50"/>
      <c r="C699" s="149">
        <f>基础表!C607</f>
        <v>2740.5777057919</v>
      </c>
      <c r="D699" s="149">
        <f>基础表!D607</f>
        <v>2721.29987537455</v>
      </c>
      <c r="E699" s="149">
        <f>基础表!E607</f>
        <v>2517.60601677578</v>
      </c>
      <c r="F699" s="149">
        <f>基础表!F607</f>
        <v>2603.27140363577</v>
      </c>
      <c r="G699" s="149">
        <f>基础表!G607</f>
        <v>2615.17029590151</v>
      </c>
      <c r="H699" s="149">
        <f>基础表!H607</f>
        <v>2670.26909595417</v>
      </c>
      <c r="I699" s="149">
        <f>基础表!I607</f>
        <v>0</v>
      </c>
      <c r="J699" s="149">
        <f>基础表!J607</f>
        <v>0</v>
      </c>
      <c r="K699" s="149">
        <f>基础表!K607</f>
        <v>0</v>
      </c>
      <c r="L699" s="149">
        <f>基础表!L607</f>
        <v>0</v>
      </c>
      <c r="M699" s="149">
        <f>基础表!M607</f>
        <v>0</v>
      </c>
      <c r="N699" s="116">
        <f>基础表!N607</f>
        <v>0</v>
      </c>
      <c r="O699" s="116">
        <f ca="1">基础表!O607</f>
        <v>2641.95575751749</v>
      </c>
      <c r="P699" s="68"/>
    </row>
    <row r="700" s="38" customFormat="1" ht="15" customHeight="1" spans="1:16">
      <c r="A700" s="148" t="s">
        <v>172</v>
      </c>
      <c r="B700" s="50"/>
      <c r="C700" s="149">
        <f>基础表!C608</f>
        <v>2810.79574810053</v>
      </c>
      <c r="D700" s="149">
        <f>基础表!D608</f>
        <v>0</v>
      </c>
      <c r="E700" s="149">
        <f>基础表!E608</f>
        <v>0</v>
      </c>
      <c r="F700" s="149">
        <f>基础表!F608</f>
        <v>0</v>
      </c>
      <c r="G700" s="149">
        <f>基础表!G608</f>
        <v>2984.28476356797</v>
      </c>
      <c r="H700" s="149">
        <f>基础表!H608</f>
        <v>0</v>
      </c>
      <c r="I700" s="149">
        <f>基础表!I608</f>
        <v>0</v>
      </c>
      <c r="J700" s="149">
        <f>基础表!J608</f>
        <v>0</v>
      </c>
      <c r="K700" s="149">
        <f>基础表!K608</f>
        <v>0</v>
      </c>
      <c r="L700" s="149">
        <f>基础表!L608</f>
        <v>0</v>
      </c>
      <c r="M700" s="149">
        <f>基础表!M608</f>
        <v>0</v>
      </c>
      <c r="N700" s="116">
        <f>基础表!N608</f>
        <v>0</v>
      </c>
      <c r="O700" s="116">
        <f ca="1">基础表!O608</f>
        <v>2901.18294232923</v>
      </c>
    </row>
    <row r="701" s="38" customFormat="1" ht="15" customHeight="1" spans="1:16">
      <c r="A701" s="148" t="s">
        <v>173</v>
      </c>
      <c r="B701" s="50"/>
      <c r="C701" s="149">
        <f>基础表!C609</f>
        <v>2940.11120996441</v>
      </c>
      <c r="D701" s="149">
        <f>基础表!D609</f>
        <v>2843.18119402985</v>
      </c>
      <c r="E701" s="149">
        <f>基础表!E609</f>
        <v>0</v>
      </c>
      <c r="F701" s="149">
        <f>基础表!F609</f>
        <v>0</v>
      </c>
      <c r="G701" s="149">
        <f>基础表!G609</f>
        <v>3121.69147058823</v>
      </c>
      <c r="H701" s="149">
        <f>基础表!H609</f>
        <v>2971.71854014599</v>
      </c>
      <c r="I701" s="149">
        <f>基础表!I609</f>
        <v>0</v>
      </c>
      <c r="J701" s="149">
        <f>基础表!J609</f>
        <v>0</v>
      </c>
      <c r="K701" s="149">
        <f>基础表!K609</f>
        <v>0</v>
      </c>
      <c r="L701" s="149">
        <f>基础表!L609</f>
        <v>0</v>
      </c>
      <c r="M701" s="149">
        <f>基础表!M609</f>
        <v>0</v>
      </c>
      <c r="N701" s="116">
        <f>基础表!N609</f>
        <v>0</v>
      </c>
      <c r="O701" s="116">
        <f ca="1">基础表!O609</f>
        <v>2969.65926136364</v>
      </c>
    </row>
    <row r="702" s="38" customFormat="1" ht="15" customHeight="1" spans="1:16">
      <c r="A702" s="148" t="s">
        <v>174</v>
      </c>
      <c r="B702" s="50"/>
      <c r="C702" s="149">
        <f>基础表!C610</f>
        <v>3106.58467265814</v>
      </c>
      <c r="D702" s="149">
        <f>基础表!D610</f>
        <v>3235.05441151495</v>
      </c>
      <c r="E702" s="149">
        <f>基础表!E610</f>
        <v>2925.06210916442</v>
      </c>
      <c r="F702" s="149">
        <f>基础表!F610</f>
        <v>3258.6486981982</v>
      </c>
      <c r="G702" s="149">
        <f>基础表!G610</f>
        <v>3005.86775995524</v>
      </c>
      <c r="H702" s="149">
        <f>基础表!H610</f>
        <v>3094.39205892578</v>
      </c>
      <c r="I702" s="149">
        <f>基础表!I610</f>
        <v>0</v>
      </c>
      <c r="J702" s="149">
        <f>基础表!J610</f>
        <v>0</v>
      </c>
      <c r="K702" s="149">
        <f>基础表!K610</f>
        <v>0</v>
      </c>
      <c r="L702" s="149">
        <f>基础表!L610</f>
        <v>0</v>
      </c>
      <c r="M702" s="149">
        <f>基础表!M610</f>
        <v>0</v>
      </c>
      <c r="N702" s="116">
        <f>基础表!N610</f>
        <v>0</v>
      </c>
      <c r="O702" s="116">
        <f ca="1">基础表!O610</f>
        <v>3151.30519029131</v>
      </c>
    </row>
    <row r="703" s="38" customFormat="1" ht="15" customHeight="1" spans="1:16">
      <c r="A703" s="148" t="s">
        <v>175</v>
      </c>
      <c r="B703" s="50"/>
      <c r="C703" s="149">
        <f>基础表!C611</f>
        <v>0</v>
      </c>
      <c r="D703" s="149">
        <f>基础表!D611</f>
        <v>0</v>
      </c>
      <c r="E703" s="149">
        <f>基础表!E611</f>
        <v>0</v>
      </c>
      <c r="F703" s="149">
        <f>基础表!F611</f>
        <v>0</v>
      </c>
      <c r="G703" s="149">
        <f>基础表!G611</f>
        <v>0</v>
      </c>
      <c r="H703" s="149">
        <f>基础表!H611</f>
        <v>0</v>
      </c>
      <c r="I703" s="149">
        <f>基础表!I611</f>
        <v>0</v>
      </c>
      <c r="J703" s="149">
        <f>基础表!J611</f>
        <v>0</v>
      </c>
      <c r="K703" s="149">
        <f>基础表!K611</f>
        <v>0</v>
      </c>
      <c r="L703" s="149">
        <f>基础表!L611</f>
        <v>0</v>
      </c>
      <c r="M703" s="149">
        <f>基础表!M611</f>
        <v>0</v>
      </c>
      <c r="N703" s="116">
        <f>基础表!N611</f>
        <v>0</v>
      </c>
      <c r="O703" s="116">
        <f ca="1">基础表!O611</f>
        <v>0</v>
      </c>
    </row>
    <row r="704" s="38" customFormat="1" ht="15" customHeight="1" spans="1:16">
      <c r="A704" s="148" t="s">
        <v>176</v>
      </c>
      <c r="B704" s="50"/>
      <c r="C704" s="149">
        <f>基础表!C612</f>
        <v>0</v>
      </c>
      <c r="D704" s="149">
        <f>基础表!D612</f>
        <v>0</v>
      </c>
      <c r="E704" s="149">
        <f>基础表!E612</f>
        <v>4664.59574825175</v>
      </c>
      <c r="F704" s="149">
        <f>基础表!F612</f>
        <v>0</v>
      </c>
      <c r="G704" s="149">
        <f>基础表!G612</f>
        <v>0</v>
      </c>
      <c r="H704" s="149">
        <f>基础表!H612</f>
        <v>0</v>
      </c>
      <c r="I704" s="149">
        <f>基础表!I612</f>
        <v>0</v>
      </c>
      <c r="J704" s="149">
        <f>基础表!J612</f>
        <v>0</v>
      </c>
      <c r="K704" s="149">
        <f>基础表!K612</f>
        <v>0</v>
      </c>
      <c r="L704" s="149">
        <f>基础表!L612</f>
        <v>0</v>
      </c>
      <c r="M704" s="149">
        <f>基础表!M612</f>
        <v>0</v>
      </c>
      <c r="N704" s="116">
        <f>基础表!N612</f>
        <v>0</v>
      </c>
      <c r="O704" s="116">
        <f ca="1">基础表!O612</f>
        <v>4664.59574825175</v>
      </c>
    </row>
    <row r="705" s="38" customFormat="1" ht="15" customHeight="1" spans="1:15">
      <c r="A705" s="358" t="s">
        <v>326</v>
      </c>
      <c r="B705" s="50" t="s">
        <v>327</v>
      </c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</row>
    <row r="706" s="38" customFormat="1" ht="15" customHeight="1" spans="1:15">
      <c r="A706" s="160" t="s">
        <v>170</v>
      </c>
      <c r="B706" s="50" t="s">
        <v>327</v>
      </c>
      <c r="C706" s="52">
        <f>基础表!C614</f>
        <v>0</v>
      </c>
      <c r="D706" s="52">
        <f>基础表!D614</f>
        <v>0</v>
      </c>
      <c r="E706" s="52">
        <f>基础表!E614</f>
        <v>0</v>
      </c>
      <c r="F706" s="52">
        <f>基础表!F614</f>
        <v>0</v>
      </c>
      <c r="G706" s="52">
        <f>基础表!G614</f>
        <v>0</v>
      </c>
      <c r="H706" s="52">
        <f>基础表!H614</f>
        <v>0</v>
      </c>
      <c r="I706" s="52">
        <f>基础表!I614</f>
        <v>0</v>
      </c>
      <c r="J706" s="52">
        <f>基础表!J614</f>
        <v>0</v>
      </c>
      <c r="K706" s="52">
        <f>基础表!K614</f>
        <v>0</v>
      </c>
      <c r="L706" s="52">
        <f>基础表!L614</f>
        <v>0</v>
      </c>
      <c r="M706" s="52">
        <f>基础表!M614</f>
        <v>0</v>
      </c>
      <c r="N706" s="52">
        <f>基础表!N614</f>
        <v>0</v>
      </c>
      <c r="O706" s="52">
        <f ca="1">SUM(OFFSET($C706,0,0,1,mth))</f>
        <v>0</v>
      </c>
    </row>
    <row r="707" s="38" customFormat="1" ht="15" customHeight="1" spans="1:15">
      <c r="A707" s="160" t="s">
        <v>171</v>
      </c>
      <c r="B707" s="50" t="s">
        <v>327</v>
      </c>
      <c r="C707" s="52">
        <f>基础表!C615</f>
        <v>0</v>
      </c>
      <c r="D707" s="52">
        <f>基础表!D615</f>
        <v>0</v>
      </c>
      <c r="E707" s="52">
        <f>基础表!E615</f>
        <v>0</v>
      </c>
      <c r="F707" s="52">
        <f>基础表!F615</f>
        <v>0</v>
      </c>
      <c r="G707" s="52">
        <f>基础表!G615</f>
        <v>0</v>
      </c>
      <c r="H707" s="52">
        <f>基础表!H615</f>
        <v>0</v>
      </c>
      <c r="I707" s="52">
        <f>基础表!I615</f>
        <v>0</v>
      </c>
      <c r="J707" s="52">
        <f>基础表!J615</f>
        <v>0</v>
      </c>
      <c r="K707" s="52">
        <f>基础表!K615</f>
        <v>0</v>
      </c>
      <c r="L707" s="52">
        <f>基础表!L615</f>
        <v>0</v>
      </c>
      <c r="M707" s="52">
        <f>基础表!M615</f>
        <v>0</v>
      </c>
      <c r="N707" s="52">
        <f>基础表!N615</f>
        <v>0</v>
      </c>
      <c r="O707" s="52">
        <f ca="1" t="shared" ref="O707:O731" si="317">SUM(OFFSET($C707,0,0,1,mth))</f>
        <v>0</v>
      </c>
    </row>
    <row r="708" s="38" customFormat="1" ht="15" customHeight="1" spans="1:15">
      <c r="A708" s="160" t="s">
        <v>172</v>
      </c>
      <c r="B708" s="50" t="s">
        <v>327</v>
      </c>
      <c r="C708" s="52">
        <f>基础表!C616</f>
        <v>0</v>
      </c>
      <c r="D708" s="52">
        <f>基础表!D616</f>
        <v>0</v>
      </c>
      <c r="E708" s="52">
        <f>基础表!E616</f>
        <v>0</v>
      </c>
      <c r="F708" s="52">
        <f>基础表!F616</f>
        <v>0</v>
      </c>
      <c r="G708" s="52">
        <f>基础表!G616</f>
        <v>0</v>
      </c>
      <c r="H708" s="52">
        <f>基础表!H616</f>
        <v>0</v>
      </c>
      <c r="I708" s="52">
        <f>基础表!I616</f>
        <v>0</v>
      </c>
      <c r="J708" s="52">
        <f>基础表!J616</f>
        <v>0</v>
      </c>
      <c r="K708" s="52">
        <f>基础表!K616</f>
        <v>0</v>
      </c>
      <c r="L708" s="52">
        <f>基础表!L616</f>
        <v>0</v>
      </c>
      <c r="M708" s="52">
        <f>基础表!M616</f>
        <v>0</v>
      </c>
      <c r="N708" s="52">
        <f>基础表!N616</f>
        <v>0</v>
      </c>
      <c r="O708" s="52">
        <f ca="1" t="shared" si="317"/>
        <v>0</v>
      </c>
    </row>
    <row r="709" s="38" customFormat="1" ht="15" customHeight="1" spans="1:15">
      <c r="A709" s="160" t="s">
        <v>173</v>
      </c>
      <c r="B709" s="50" t="s">
        <v>327</v>
      </c>
      <c r="C709" s="52">
        <f>基础表!C617</f>
        <v>0</v>
      </c>
      <c r="D709" s="52">
        <f>基础表!D617</f>
        <v>0</v>
      </c>
      <c r="E709" s="52">
        <f>基础表!E617</f>
        <v>0</v>
      </c>
      <c r="F709" s="52">
        <f>基础表!F617</f>
        <v>0</v>
      </c>
      <c r="G709" s="52">
        <f>基础表!G617</f>
        <v>0</v>
      </c>
      <c r="H709" s="52">
        <f>基础表!H617</f>
        <v>0</v>
      </c>
      <c r="I709" s="52">
        <f>基础表!I617</f>
        <v>0</v>
      </c>
      <c r="J709" s="52">
        <f>基础表!J617</f>
        <v>0</v>
      </c>
      <c r="K709" s="52">
        <f>基础表!K617</f>
        <v>0</v>
      </c>
      <c r="L709" s="52">
        <f>基础表!L617</f>
        <v>0</v>
      </c>
      <c r="M709" s="52">
        <f>基础表!M617</f>
        <v>0</v>
      </c>
      <c r="N709" s="52">
        <f>基础表!N617</f>
        <v>0</v>
      </c>
      <c r="O709" s="52">
        <f ca="1" t="shared" si="317"/>
        <v>0</v>
      </c>
    </row>
    <row r="710" s="38" customFormat="1" ht="15" customHeight="1" spans="1:15">
      <c r="A710" s="160" t="s">
        <v>174</v>
      </c>
      <c r="B710" s="50" t="s">
        <v>327</v>
      </c>
      <c r="C710" s="52">
        <f>基础表!C618</f>
        <v>0</v>
      </c>
      <c r="D710" s="52">
        <f>基础表!D618</f>
        <v>0</v>
      </c>
      <c r="E710" s="52">
        <f>基础表!E618</f>
        <v>0</v>
      </c>
      <c r="F710" s="52">
        <f>基础表!F618</f>
        <v>0</v>
      </c>
      <c r="G710" s="52">
        <f>基础表!G618</f>
        <v>0</v>
      </c>
      <c r="H710" s="52">
        <f>基础表!H618</f>
        <v>0</v>
      </c>
      <c r="I710" s="52">
        <f>基础表!I618</f>
        <v>0</v>
      </c>
      <c r="J710" s="52">
        <f>基础表!J618</f>
        <v>0</v>
      </c>
      <c r="K710" s="52">
        <f>基础表!K618</f>
        <v>0</v>
      </c>
      <c r="L710" s="52">
        <f>基础表!L618</f>
        <v>0</v>
      </c>
      <c r="M710" s="52">
        <f>基础表!M618</f>
        <v>0</v>
      </c>
      <c r="N710" s="52">
        <f>基础表!N618</f>
        <v>0</v>
      </c>
      <c r="O710" s="52">
        <f ca="1" t="shared" si="317"/>
        <v>0</v>
      </c>
    </row>
    <row r="711" s="38" customFormat="1" ht="15" customHeight="1" spans="1:15">
      <c r="A711" s="160" t="s">
        <v>175</v>
      </c>
      <c r="B711" s="50" t="s">
        <v>327</v>
      </c>
      <c r="C711" s="52">
        <f>基础表!C619</f>
        <v>2912.8</v>
      </c>
      <c r="D711" s="52">
        <f>基础表!D619</f>
        <v>0</v>
      </c>
      <c r="E711" s="52">
        <f>基础表!E619</f>
        <v>3446.589</v>
      </c>
      <c r="F711" s="52">
        <f>基础表!F619</f>
        <v>6600.68600000001</v>
      </c>
      <c r="G711" s="52">
        <f>基础表!G619</f>
        <v>0</v>
      </c>
      <c r="H711" s="52">
        <f>基础表!H619</f>
        <v>5868.442</v>
      </c>
      <c r="I711" s="52">
        <f>基础表!I619</f>
        <v>0</v>
      </c>
      <c r="J711" s="52">
        <f>基础表!J619</f>
        <v>0</v>
      </c>
      <c r="K711" s="52">
        <f>基础表!K619</f>
        <v>0</v>
      </c>
      <c r="L711" s="52">
        <f>基础表!L619</f>
        <v>0</v>
      </c>
      <c r="M711" s="52">
        <f>基础表!M619</f>
        <v>0</v>
      </c>
      <c r="N711" s="52">
        <f>基础表!N619</f>
        <v>0</v>
      </c>
      <c r="O711" s="52">
        <f ca="1" t="shared" si="317"/>
        <v>18828.517</v>
      </c>
    </row>
    <row r="712" s="38" customFormat="1" ht="15" customHeight="1" spans="1:15">
      <c r="A712" s="160" t="s">
        <v>176</v>
      </c>
      <c r="B712" s="50" t="s">
        <v>327</v>
      </c>
      <c r="C712" s="52">
        <f>基础表!C620</f>
        <v>7239.936</v>
      </c>
      <c r="D712" s="52">
        <f>基础表!D620</f>
        <v>0</v>
      </c>
      <c r="E712" s="52">
        <f>基础表!E620</f>
        <v>0</v>
      </c>
      <c r="F712" s="52">
        <f>基础表!F620</f>
        <v>0</v>
      </c>
      <c r="G712" s="52">
        <f>基础表!G620</f>
        <v>0</v>
      </c>
      <c r="H712" s="52">
        <f>基础表!H620</f>
        <v>0</v>
      </c>
      <c r="I712" s="52">
        <f>基础表!I620</f>
        <v>0</v>
      </c>
      <c r="J712" s="52">
        <f>基础表!J620</f>
        <v>0</v>
      </c>
      <c r="K712" s="52">
        <f>基础表!K620</f>
        <v>0</v>
      </c>
      <c r="L712" s="52">
        <f>基础表!L620</f>
        <v>0</v>
      </c>
      <c r="M712" s="52">
        <f>基础表!M620</f>
        <v>0</v>
      </c>
      <c r="N712" s="52">
        <f>基础表!N620</f>
        <v>0</v>
      </c>
      <c r="O712" s="52">
        <f ca="1" t="shared" si="317"/>
        <v>7239.936</v>
      </c>
    </row>
    <row r="713" s="38" customFormat="1" ht="15" customHeight="1" spans="1:15">
      <c r="A713" s="164" t="s">
        <v>328</v>
      </c>
      <c r="B713" s="50"/>
      <c r="C713" s="52">
        <f>基础表!C621</f>
        <v>10152.736</v>
      </c>
      <c r="D713" s="52">
        <f>基础表!D621</f>
        <v>0</v>
      </c>
      <c r="E713" s="52">
        <f>基础表!E621</f>
        <v>3446.589</v>
      </c>
      <c r="F713" s="52">
        <f>基础表!F621</f>
        <v>6600.68600000001</v>
      </c>
      <c r="G713" s="52">
        <f>基础表!G621</f>
        <v>0</v>
      </c>
      <c r="H713" s="52">
        <f>基础表!H621</f>
        <v>5868.442</v>
      </c>
      <c r="I713" s="52">
        <f>基础表!I621</f>
        <v>0</v>
      </c>
      <c r="J713" s="52">
        <f>基础表!J621</f>
        <v>0</v>
      </c>
      <c r="K713" s="52">
        <f>基础表!K621</f>
        <v>0</v>
      </c>
      <c r="L713" s="52">
        <f>基础表!L621</f>
        <v>0</v>
      </c>
      <c r="M713" s="52">
        <f>基础表!M621</f>
        <v>0</v>
      </c>
      <c r="N713" s="52">
        <f>基础表!N621</f>
        <v>0</v>
      </c>
      <c r="O713" s="52">
        <f ca="1" t="shared" si="317"/>
        <v>26068.453</v>
      </c>
    </row>
    <row r="714" s="38" customFormat="1" ht="15" customHeight="1" spans="1:15">
      <c r="A714" s="358" t="s">
        <v>329</v>
      </c>
      <c r="B714" s="50" t="s">
        <v>327</v>
      </c>
      <c r="C714" s="52">
        <f>基础表!C622</f>
        <v>0</v>
      </c>
      <c r="D714" s="52">
        <f>基础表!D622</f>
        <v>0</v>
      </c>
      <c r="E714" s="52">
        <f>基础表!E622</f>
        <v>0</v>
      </c>
      <c r="F714" s="52">
        <f>基础表!F622</f>
        <v>0</v>
      </c>
      <c r="G714" s="52">
        <f>基础表!G622</f>
        <v>0</v>
      </c>
      <c r="H714" s="52">
        <f>基础表!H622</f>
        <v>0</v>
      </c>
      <c r="I714" s="52">
        <f>基础表!I622</f>
        <v>0</v>
      </c>
      <c r="J714" s="52">
        <f>基础表!J622</f>
        <v>0</v>
      </c>
      <c r="K714" s="52">
        <f>基础表!K622</f>
        <v>0</v>
      </c>
      <c r="L714" s="52">
        <f>基础表!L622</f>
        <v>0</v>
      </c>
      <c r="M714" s="52">
        <f>基础表!M622</f>
        <v>0</v>
      </c>
      <c r="N714" s="52">
        <f>基础表!N622</f>
        <v>0</v>
      </c>
      <c r="O714" s="52"/>
    </row>
    <row r="715" s="38" customFormat="1" ht="15" customHeight="1" spans="1:15">
      <c r="A715" s="160" t="s">
        <v>170</v>
      </c>
      <c r="B715" s="50" t="s">
        <v>327</v>
      </c>
      <c r="C715" s="52">
        <f>基础表!C623</f>
        <v>0</v>
      </c>
      <c r="D715" s="52">
        <f>基础表!D623</f>
        <v>8109.62300000002</v>
      </c>
      <c r="E715" s="52">
        <f>基础表!E623</f>
        <v>22885.459</v>
      </c>
      <c r="F715" s="52">
        <f>基础表!F623</f>
        <v>23823.127</v>
      </c>
      <c r="G715" s="52">
        <f>基础表!G623</f>
        <v>0</v>
      </c>
      <c r="H715" s="52">
        <f>基础表!H623</f>
        <v>76427.85</v>
      </c>
      <c r="I715" s="52">
        <f>基础表!I623</f>
        <v>0</v>
      </c>
      <c r="J715" s="52">
        <f>基础表!J623</f>
        <v>0</v>
      </c>
      <c r="K715" s="52">
        <f>基础表!K623</f>
        <v>0</v>
      </c>
      <c r="L715" s="52">
        <f>基础表!L623</f>
        <v>0</v>
      </c>
      <c r="M715" s="52">
        <f>基础表!M623</f>
        <v>0</v>
      </c>
      <c r="N715" s="52">
        <f>基础表!N623</f>
        <v>0</v>
      </c>
      <c r="O715" s="52">
        <f ca="1">SUM(OFFSET($C715,0,0,1,mth))</f>
        <v>131246.059</v>
      </c>
    </row>
    <row r="716" s="38" customFormat="1" ht="15" customHeight="1" spans="1:15">
      <c r="A716" s="160" t="s">
        <v>171</v>
      </c>
      <c r="B716" s="50" t="s">
        <v>327</v>
      </c>
      <c r="C716" s="52">
        <f>基础表!C624</f>
        <v>23658.704</v>
      </c>
      <c r="D716" s="52">
        <f>基础表!D624</f>
        <v>70724.8979999999</v>
      </c>
      <c r="E716" s="52">
        <f>基础表!E624</f>
        <v>10890.317</v>
      </c>
      <c r="F716" s="52">
        <f>基础表!F624</f>
        <v>114562.372</v>
      </c>
      <c r="G716" s="52">
        <f>基础表!G624</f>
        <v>229709.153</v>
      </c>
      <c r="H716" s="52">
        <f>基础表!H624</f>
        <v>158401.308</v>
      </c>
      <c r="I716" s="52">
        <f>基础表!I624</f>
        <v>0</v>
      </c>
      <c r="J716" s="52">
        <f>基础表!J624</f>
        <v>0</v>
      </c>
      <c r="K716" s="52">
        <f>基础表!K624</f>
        <v>0</v>
      </c>
      <c r="L716" s="52">
        <f>基础表!L624</f>
        <v>0</v>
      </c>
      <c r="M716" s="52">
        <f>基础表!M624</f>
        <v>0</v>
      </c>
      <c r="N716" s="52">
        <f>基础表!N624</f>
        <v>0</v>
      </c>
      <c r="O716" s="52">
        <f ca="1" t="shared" si="317"/>
        <v>607946.752</v>
      </c>
    </row>
    <row r="717" s="38" customFormat="1" ht="15" customHeight="1" spans="1:15">
      <c r="A717" s="160" t="s">
        <v>172</v>
      </c>
      <c r="B717" s="50" t="s">
        <v>327</v>
      </c>
      <c r="C717" s="52">
        <f>基础表!C625</f>
        <v>8511.98500000001</v>
      </c>
      <c r="D717" s="52">
        <f>基础表!D625</f>
        <v>0</v>
      </c>
      <c r="E717" s="52">
        <f>基础表!E625</f>
        <v>0</v>
      </c>
      <c r="F717" s="52">
        <f>基础表!F625</f>
        <v>0</v>
      </c>
      <c r="G717" s="52">
        <f>基础表!G625</f>
        <v>9829.653</v>
      </c>
      <c r="H717" s="52">
        <f>基础表!H625</f>
        <v>0</v>
      </c>
      <c r="I717" s="52">
        <f>基础表!I625</f>
        <v>0</v>
      </c>
      <c r="J717" s="52">
        <f>基础表!J625</f>
        <v>0</v>
      </c>
      <c r="K717" s="52">
        <f>基础表!K625</f>
        <v>0</v>
      </c>
      <c r="L717" s="52">
        <f>基础表!L625</f>
        <v>0</v>
      </c>
      <c r="M717" s="52">
        <f>基础表!M625</f>
        <v>0</v>
      </c>
      <c r="N717" s="52">
        <f>基础表!N625</f>
        <v>0</v>
      </c>
      <c r="O717" s="52">
        <f ca="1" t="shared" si="317"/>
        <v>18341.638</v>
      </c>
    </row>
    <row r="718" s="38" customFormat="1" ht="15" customHeight="1" spans="1:15">
      <c r="A718" s="160" t="s">
        <v>173</v>
      </c>
      <c r="B718" s="50" t="s">
        <v>327</v>
      </c>
      <c r="C718" s="52">
        <f>基础表!C626</f>
        <v>731.125000000001</v>
      </c>
      <c r="D718" s="52">
        <f>基础表!D626</f>
        <v>674.312000000001</v>
      </c>
      <c r="E718" s="52">
        <f>基础表!E626</f>
        <v>0</v>
      </c>
      <c r="F718" s="52">
        <f>基础表!F626</f>
        <v>0</v>
      </c>
      <c r="G718" s="52">
        <f>基础表!G626</f>
        <v>751.416</v>
      </c>
      <c r="H718" s="52">
        <f>基础表!H626</f>
        <v>1080.864</v>
      </c>
      <c r="I718" s="52">
        <f>基础表!I626</f>
        <v>0</v>
      </c>
      <c r="J718" s="52">
        <f>基础表!J626</f>
        <v>0</v>
      </c>
      <c r="K718" s="52">
        <f>基础表!K626</f>
        <v>0</v>
      </c>
      <c r="L718" s="52">
        <f>基础表!L626</f>
        <v>0</v>
      </c>
      <c r="M718" s="52">
        <f>基础表!M626</f>
        <v>0</v>
      </c>
      <c r="N718" s="52">
        <f>基础表!N626</f>
        <v>0</v>
      </c>
      <c r="O718" s="52">
        <f ca="1" t="shared" si="317"/>
        <v>3237.717</v>
      </c>
    </row>
    <row r="719" s="38" customFormat="1" ht="15" customHeight="1" spans="1:15">
      <c r="A719" s="160" t="s">
        <v>174</v>
      </c>
      <c r="B719" s="50" t="s">
        <v>327</v>
      </c>
      <c r="C719" s="52">
        <f>基础表!C627</f>
        <v>39767.0329999999</v>
      </c>
      <c r="D719" s="52">
        <f>基础表!D627</f>
        <v>101139.825</v>
      </c>
      <c r="E719" s="52">
        <f>基础表!E627</f>
        <v>3841.409</v>
      </c>
      <c r="F719" s="52">
        <f>基础表!F627</f>
        <v>6401.947</v>
      </c>
      <c r="G719" s="52">
        <f>基础表!G627</f>
        <v>28523.823</v>
      </c>
      <c r="H719" s="52">
        <f>基础表!H627</f>
        <v>31508.031</v>
      </c>
      <c r="I719" s="52">
        <f>基础表!I627</f>
        <v>0</v>
      </c>
      <c r="J719" s="52">
        <f>基础表!J627</f>
        <v>0</v>
      </c>
      <c r="K719" s="52">
        <f>基础表!K627</f>
        <v>0</v>
      </c>
      <c r="L719" s="52">
        <f>基础表!L627</f>
        <v>0</v>
      </c>
      <c r="M719" s="52">
        <f>基础表!M627</f>
        <v>0</v>
      </c>
      <c r="N719" s="52">
        <f>基础表!N627</f>
        <v>0</v>
      </c>
      <c r="O719" s="52">
        <f ca="1" t="shared" si="317"/>
        <v>211182.068</v>
      </c>
    </row>
    <row r="720" s="38" customFormat="1" ht="15" customHeight="1" spans="1:15">
      <c r="A720" s="160" t="s">
        <v>175</v>
      </c>
      <c r="B720" s="50" t="s">
        <v>327</v>
      </c>
      <c r="C720" s="52">
        <f>基础表!C628</f>
        <v>0</v>
      </c>
      <c r="D720" s="52">
        <f>基础表!D628</f>
        <v>0</v>
      </c>
      <c r="E720" s="52">
        <f>基础表!E628</f>
        <v>0</v>
      </c>
      <c r="F720" s="52">
        <f>基础表!F628</f>
        <v>0</v>
      </c>
      <c r="G720" s="52">
        <f>基础表!G628</f>
        <v>0</v>
      </c>
      <c r="H720" s="52">
        <f>基础表!H628</f>
        <v>0</v>
      </c>
      <c r="I720" s="52">
        <f>基础表!I628</f>
        <v>0</v>
      </c>
      <c r="J720" s="52">
        <f>基础表!J628</f>
        <v>0</v>
      </c>
      <c r="K720" s="52">
        <f>基础表!K628</f>
        <v>0</v>
      </c>
      <c r="L720" s="52">
        <f>基础表!L628</f>
        <v>0</v>
      </c>
      <c r="M720" s="52">
        <f>基础表!M628</f>
        <v>0</v>
      </c>
      <c r="N720" s="52">
        <f>基础表!N628</f>
        <v>0</v>
      </c>
      <c r="O720" s="52">
        <f ca="1" t="shared" si="317"/>
        <v>0</v>
      </c>
    </row>
    <row r="721" s="38" customFormat="1" ht="15" customHeight="1" spans="1:17">
      <c r="A721" s="160" t="s">
        <v>176</v>
      </c>
      <c r="B721" s="50" t="s">
        <v>327</v>
      </c>
      <c r="C721" s="52">
        <f>基础表!C629</f>
        <v>0</v>
      </c>
      <c r="D721" s="52">
        <f>基础表!D629</f>
        <v>0</v>
      </c>
      <c r="E721" s="52">
        <f>基础表!E629</f>
        <v>2951.492</v>
      </c>
      <c r="F721" s="52">
        <f>基础表!F629</f>
        <v>0</v>
      </c>
      <c r="G721" s="52">
        <f>基础表!G629</f>
        <v>0</v>
      </c>
      <c r="H721" s="52">
        <f>基础表!H629</f>
        <v>0</v>
      </c>
      <c r="I721" s="52">
        <f>基础表!I629</f>
        <v>0</v>
      </c>
      <c r="J721" s="52">
        <f>基础表!J629</f>
        <v>0</v>
      </c>
      <c r="K721" s="52">
        <f>基础表!K629</f>
        <v>0</v>
      </c>
      <c r="L721" s="52">
        <f>基础表!L629</f>
        <v>0</v>
      </c>
      <c r="M721" s="52">
        <f>基础表!M629</f>
        <v>0</v>
      </c>
      <c r="N721" s="52">
        <f>基础表!N629</f>
        <v>0</v>
      </c>
      <c r="O721" s="52">
        <f ca="1" t="shared" si="317"/>
        <v>2951.492</v>
      </c>
    </row>
    <row r="722" s="38" customFormat="1" ht="15" customHeight="1" spans="1:17">
      <c r="A722" s="164" t="s">
        <v>330</v>
      </c>
      <c r="B722" s="50" t="s">
        <v>327</v>
      </c>
      <c r="C722" s="52">
        <f>基础表!C630</f>
        <v>72668.847</v>
      </c>
      <c r="D722" s="52">
        <f>基础表!D630</f>
        <v>180648.658</v>
      </c>
      <c r="E722" s="52">
        <f>基础表!E630</f>
        <v>40568.677</v>
      </c>
      <c r="F722" s="52">
        <f>基础表!F630</f>
        <v>144787.446</v>
      </c>
      <c r="G722" s="52">
        <f>基础表!G630</f>
        <v>268814.045000001</v>
      </c>
      <c r="H722" s="52">
        <f>基础表!H630</f>
        <v>267418.053</v>
      </c>
      <c r="I722" s="52">
        <f>基础表!I630</f>
        <v>0</v>
      </c>
      <c r="J722" s="52">
        <f>基础表!J630</f>
        <v>0</v>
      </c>
      <c r="K722" s="52">
        <f>基础表!K630</f>
        <v>0</v>
      </c>
      <c r="L722" s="52">
        <f>基础表!L630</f>
        <v>0</v>
      </c>
      <c r="M722" s="52">
        <f>基础表!M630</f>
        <v>0</v>
      </c>
      <c r="N722" s="52">
        <f>基础表!N630</f>
        <v>0</v>
      </c>
      <c r="O722" s="52">
        <f ca="1" t="shared" si="317"/>
        <v>974905.726000001</v>
      </c>
    </row>
    <row r="723" s="38" customFormat="1" ht="15" customHeight="1" spans="1:17">
      <c r="A723" s="164" t="s">
        <v>331</v>
      </c>
      <c r="B723" s="60" t="s">
        <v>327</v>
      </c>
      <c r="C723" s="61">
        <f>基础表!C631</f>
        <v>82821.583</v>
      </c>
      <c r="D723" s="61">
        <f>基础表!D631</f>
        <v>180648.658</v>
      </c>
      <c r="E723" s="61">
        <f>基础表!E631</f>
        <v>44015.266</v>
      </c>
      <c r="F723" s="61">
        <f>基础表!F631</f>
        <v>151388.132</v>
      </c>
      <c r="G723" s="61">
        <f>基础表!G631</f>
        <v>268814.045000001</v>
      </c>
      <c r="H723" s="61">
        <f>基础表!H631</f>
        <v>273286.495</v>
      </c>
      <c r="I723" s="61">
        <f>基础表!I631</f>
        <v>0</v>
      </c>
      <c r="J723" s="61">
        <f>基础表!J631</f>
        <v>0</v>
      </c>
      <c r="K723" s="61">
        <f>基础表!K631</f>
        <v>0</v>
      </c>
      <c r="L723" s="61">
        <f>基础表!L631</f>
        <v>0</v>
      </c>
      <c r="M723" s="61">
        <f>基础表!M631</f>
        <v>0</v>
      </c>
      <c r="N723" s="61">
        <f>基础表!N631</f>
        <v>0</v>
      </c>
      <c r="O723" s="52">
        <f ca="1">SUM(OFFSET($C723,0,0,1,mth))</f>
        <v>1000974.179</v>
      </c>
      <c r="P723" s="68"/>
      <c r="Q723" s="68"/>
    </row>
    <row r="724" s="38" customFormat="1" ht="15" customHeight="1" spans="1:17">
      <c r="A724" s="359" t="s">
        <v>332</v>
      </c>
      <c r="B724" s="50"/>
      <c r="C724" s="162">
        <f>基础表!C632</f>
        <v>0</v>
      </c>
      <c r="D724" s="162">
        <f>基础表!D632</f>
        <v>0</v>
      </c>
      <c r="E724" s="162">
        <f>基础表!E632</f>
        <v>0</v>
      </c>
      <c r="F724" s="162">
        <f>基础表!F632</f>
        <v>0</v>
      </c>
      <c r="G724" s="162">
        <f>基础表!G632</f>
        <v>0</v>
      </c>
      <c r="H724" s="162">
        <f>基础表!H632</f>
        <v>0</v>
      </c>
      <c r="I724" s="162">
        <f>基础表!I632</f>
        <v>0</v>
      </c>
      <c r="J724" s="162">
        <f>基础表!J632</f>
        <v>0</v>
      </c>
      <c r="K724" s="162">
        <f>基础表!K632</f>
        <v>0</v>
      </c>
      <c r="L724" s="162">
        <f>基础表!L632</f>
        <v>0</v>
      </c>
      <c r="M724" s="162">
        <f>基础表!M632</f>
        <v>0</v>
      </c>
      <c r="N724" s="162">
        <f>基础表!N632</f>
        <v>0</v>
      </c>
      <c r="O724" s="162"/>
    </row>
    <row r="725" s="38" customFormat="1" ht="15" customHeight="1" spans="1:17">
      <c r="A725" s="161" t="s">
        <v>170</v>
      </c>
      <c r="B725" s="50"/>
      <c r="C725" s="162">
        <f>基础表!C633</f>
        <v>0</v>
      </c>
      <c r="D725" s="162">
        <f>基础表!D633</f>
        <v>0</v>
      </c>
      <c r="E725" s="162">
        <f>基础表!E633</f>
        <v>0</v>
      </c>
      <c r="F725" s="162">
        <f>基础表!F633</f>
        <v>0</v>
      </c>
      <c r="G725" s="162">
        <f>基础表!G633</f>
        <v>0</v>
      </c>
      <c r="H725" s="162">
        <f>基础表!H633</f>
        <v>0</v>
      </c>
      <c r="I725" s="162">
        <f>基础表!I633</f>
        <v>0</v>
      </c>
      <c r="J725" s="162">
        <f>基础表!J633</f>
        <v>0</v>
      </c>
      <c r="K725" s="162">
        <f>基础表!K633</f>
        <v>0</v>
      </c>
      <c r="L725" s="162">
        <f>基础表!L633</f>
        <v>0</v>
      </c>
      <c r="M725" s="162">
        <f>基础表!M633</f>
        <v>0</v>
      </c>
      <c r="N725" s="162">
        <f>基础表!N633</f>
        <v>0</v>
      </c>
      <c r="O725" s="162">
        <f ca="1">SUM(OFFSET($C725,0,0,1,mth))</f>
        <v>0</v>
      </c>
    </row>
    <row r="726" s="38" customFormat="1" ht="15" customHeight="1" spans="1:17">
      <c r="A726" s="161" t="s">
        <v>171</v>
      </c>
      <c r="B726" s="50"/>
      <c r="C726" s="162">
        <f>基础表!C634</f>
        <v>0</v>
      </c>
      <c r="D726" s="162">
        <f>基础表!D634</f>
        <v>0</v>
      </c>
      <c r="E726" s="162">
        <f>基础表!E634</f>
        <v>0</v>
      </c>
      <c r="F726" s="162">
        <f>基础表!F634</f>
        <v>0</v>
      </c>
      <c r="G726" s="162">
        <f>基础表!G634</f>
        <v>0</v>
      </c>
      <c r="H726" s="162">
        <f>基础表!H634</f>
        <v>0</v>
      </c>
      <c r="I726" s="162">
        <f>基础表!I634</f>
        <v>0</v>
      </c>
      <c r="J726" s="162">
        <f>基础表!J634</f>
        <v>0</v>
      </c>
      <c r="K726" s="162">
        <f>基础表!K634</f>
        <v>0</v>
      </c>
      <c r="L726" s="162">
        <f>基础表!L634</f>
        <v>0</v>
      </c>
      <c r="M726" s="162">
        <f>基础表!M634</f>
        <v>0</v>
      </c>
      <c r="N726" s="162">
        <f>基础表!N634</f>
        <v>0</v>
      </c>
      <c r="O726" s="162">
        <f ca="1" t="shared" si="317"/>
        <v>0</v>
      </c>
    </row>
    <row r="727" s="38" customFormat="1" ht="15" customHeight="1" spans="1:17">
      <c r="A727" s="161" t="s">
        <v>172</v>
      </c>
      <c r="B727" s="50"/>
      <c r="C727" s="162">
        <f>基础表!C635</f>
        <v>0</v>
      </c>
      <c r="D727" s="162">
        <f>基础表!D635</f>
        <v>0</v>
      </c>
      <c r="E727" s="162">
        <f>基础表!E635</f>
        <v>0</v>
      </c>
      <c r="F727" s="162">
        <f>基础表!F635</f>
        <v>0</v>
      </c>
      <c r="G727" s="162">
        <f>基础表!G635</f>
        <v>0</v>
      </c>
      <c r="H727" s="162">
        <f>基础表!H635</f>
        <v>0</v>
      </c>
      <c r="I727" s="162">
        <f>基础表!I635</f>
        <v>0</v>
      </c>
      <c r="J727" s="162">
        <f>基础表!J635</f>
        <v>0</v>
      </c>
      <c r="K727" s="162">
        <f>基础表!K635</f>
        <v>0</v>
      </c>
      <c r="L727" s="162">
        <f>基础表!L635</f>
        <v>0</v>
      </c>
      <c r="M727" s="162">
        <f>基础表!M635</f>
        <v>0</v>
      </c>
      <c r="N727" s="162">
        <f>基础表!N635</f>
        <v>0</v>
      </c>
      <c r="O727" s="162">
        <f ca="1" t="shared" si="317"/>
        <v>0</v>
      </c>
    </row>
    <row r="728" s="38" customFormat="1" ht="15" customHeight="1" spans="1:17">
      <c r="A728" s="161" t="s">
        <v>173</v>
      </c>
      <c r="B728" s="50"/>
      <c r="C728" s="162">
        <f>基础表!C636</f>
        <v>0</v>
      </c>
      <c r="D728" s="162">
        <f>基础表!D636</f>
        <v>0</v>
      </c>
      <c r="E728" s="162">
        <f>基础表!E636</f>
        <v>0</v>
      </c>
      <c r="F728" s="162">
        <f>基础表!F636</f>
        <v>0</v>
      </c>
      <c r="G728" s="162">
        <f>基础表!G636</f>
        <v>0</v>
      </c>
      <c r="H728" s="162">
        <f>基础表!H636</f>
        <v>0</v>
      </c>
      <c r="I728" s="162">
        <f>基础表!I636</f>
        <v>0</v>
      </c>
      <c r="J728" s="162">
        <f>基础表!J636</f>
        <v>0</v>
      </c>
      <c r="K728" s="162">
        <f>基础表!K636</f>
        <v>0</v>
      </c>
      <c r="L728" s="162">
        <f>基础表!L636</f>
        <v>0</v>
      </c>
      <c r="M728" s="162">
        <f>基础表!M636</f>
        <v>0</v>
      </c>
      <c r="N728" s="162">
        <f>基础表!N636</f>
        <v>0</v>
      </c>
      <c r="O728" s="162">
        <f ca="1" t="shared" si="317"/>
        <v>0</v>
      </c>
    </row>
    <row r="729" s="38" customFormat="1" ht="15" customHeight="1" spans="1:17">
      <c r="A729" s="161" t="s">
        <v>174</v>
      </c>
      <c r="B729" s="50"/>
      <c r="C729" s="162">
        <f>基础表!C637</f>
        <v>0</v>
      </c>
      <c r="D729" s="162">
        <f>基础表!D637</f>
        <v>0</v>
      </c>
      <c r="E729" s="162">
        <f>基础表!E637</f>
        <v>0</v>
      </c>
      <c r="F729" s="162">
        <f>基础表!F637</f>
        <v>0</v>
      </c>
      <c r="G729" s="162">
        <f>基础表!G637</f>
        <v>0</v>
      </c>
      <c r="H729" s="162">
        <f>基础表!H637</f>
        <v>0</v>
      </c>
      <c r="I729" s="162">
        <f>基础表!I637</f>
        <v>0</v>
      </c>
      <c r="J729" s="162">
        <f>基础表!J637</f>
        <v>0</v>
      </c>
      <c r="K729" s="162">
        <f>基础表!K637</f>
        <v>0</v>
      </c>
      <c r="L729" s="162">
        <f>基础表!L637</f>
        <v>0</v>
      </c>
      <c r="M729" s="162">
        <f>基础表!M637</f>
        <v>0</v>
      </c>
      <c r="N729" s="162">
        <f>基础表!N637</f>
        <v>0</v>
      </c>
      <c r="O729" s="162">
        <f ca="1" t="shared" si="317"/>
        <v>0</v>
      </c>
    </row>
    <row r="730" s="38" customFormat="1" ht="15" customHeight="1" spans="1:17">
      <c r="A730" s="161" t="s">
        <v>175</v>
      </c>
      <c r="B730" s="50"/>
      <c r="C730" s="162">
        <f>基础表!C638</f>
        <v>3291.464</v>
      </c>
      <c r="D730" s="162">
        <f>基础表!D638</f>
        <v>0</v>
      </c>
      <c r="E730" s="162">
        <f>基础表!E638</f>
        <v>3894.64557</v>
      </c>
      <c r="F730" s="162">
        <f>基础表!F638</f>
        <v>7458.77518000001</v>
      </c>
      <c r="G730" s="162">
        <f>基础表!G638</f>
        <v>0</v>
      </c>
      <c r="H730" s="162">
        <f>基础表!H638</f>
        <v>6631.33946</v>
      </c>
      <c r="I730" s="162">
        <f>基础表!I638</f>
        <v>0</v>
      </c>
      <c r="J730" s="162">
        <f>基础表!J638</f>
        <v>0</v>
      </c>
      <c r="K730" s="162">
        <f>基础表!K638</f>
        <v>0</v>
      </c>
      <c r="L730" s="162">
        <f>基础表!L638</f>
        <v>0</v>
      </c>
      <c r="M730" s="162">
        <f>基础表!M638</f>
        <v>0</v>
      </c>
      <c r="N730" s="162">
        <f>基础表!N638</f>
        <v>0</v>
      </c>
      <c r="O730" s="162">
        <f ca="1" t="shared" si="317"/>
        <v>21276.22421</v>
      </c>
    </row>
    <row r="731" s="38" customFormat="1" ht="15" customHeight="1" spans="1:17">
      <c r="A731" s="161" t="s">
        <v>176</v>
      </c>
      <c r="B731" s="50"/>
      <c r="C731" s="162">
        <f>基础表!C639</f>
        <v>8181.12768</v>
      </c>
      <c r="D731" s="162">
        <f>基础表!D639</f>
        <v>0</v>
      </c>
      <c r="E731" s="162">
        <f>基础表!E639</f>
        <v>0</v>
      </c>
      <c r="F731" s="162">
        <f>基础表!F639</f>
        <v>0</v>
      </c>
      <c r="G731" s="162">
        <f>基础表!G639</f>
        <v>0</v>
      </c>
      <c r="H731" s="162">
        <f>基础表!H639</f>
        <v>0</v>
      </c>
      <c r="I731" s="162">
        <f>基础表!I639</f>
        <v>0</v>
      </c>
      <c r="J731" s="162">
        <f>基础表!J639</f>
        <v>0</v>
      </c>
      <c r="K731" s="162">
        <f>基础表!K639</f>
        <v>0</v>
      </c>
      <c r="L731" s="162">
        <f>基础表!L639</f>
        <v>0</v>
      </c>
      <c r="M731" s="162">
        <f>基础表!M639</f>
        <v>0</v>
      </c>
      <c r="N731" s="162">
        <f>基础表!N639</f>
        <v>0</v>
      </c>
      <c r="O731" s="162">
        <f ca="1" t="shared" si="317"/>
        <v>8181.12768</v>
      </c>
    </row>
    <row r="732" s="38" customFormat="1" ht="15" customHeight="1" spans="1:17">
      <c r="A732" s="166" t="s">
        <v>333</v>
      </c>
      <c r="B732" s="50"/>
      <c r="C732" s="162">
        <f>基础表!C640</f>
        <v>11472.59168</v>
      </c>
      <c r="D732" s="162">
        <f>基础表!D640</f>
        <v>0</v>
      </c>
      <c r="E732" s="162">
        <f>基础表!E640</f>
        <v>3894.64557</v>
      </c>
      <c r="F732" s="162">
        <f>基础表!F640</f>
        <v>7458.77518000001</v>
      </c>
      <c r="G732" s="162">
        <f>基础表!G640</f>
        <v>0</v>
      </c>
      <c r="H732" s="162">
        <f>基础表!H640</f>
        <v>6631.33946</v>
      </c>
      <c r="I732" s="162">
        <f>基础表!I640</f>
        <v>0</v>
      </c>
      <c r="J732" s="162">
        <f>基础表!J640</f>
        <v>0</v>
      </c>
      <c r="K732" s="162">
        <f>基础表!K640</f>
        <v>0</v>
      </c>
      <c r="L732" s="162">
        <f>基础表!L640</f>
        <v>0</v>
      </c>
      <c r="M732" s="162">
        <f>基础表!M640</f>
        <v>0</v>
      </c>
      <c r="N732" s="162">
        <f>基础表!N640</f>
        <v>0</v>
      </c>
      <c r="O732" s="162">
        <f ca="1">SUM(OFFSET($C732,0,0,1,mth))</f>
        <v>29457.35189</v>
      </c>
    </row>
    <row r="733" s="38" customFormat="1" ht="15" customHeight="1" spans="1:17">
      <c r="A733" s="359" t="s">
        <v>334</v>
      </c>
      <c r="B733" s="50"/>
      <c r="C733" s="162">
        <f>基础表!C641</f>
        <v>0</v>
      </c>
      <c r="D733" s="162">
        <f>基础表!D641</f>
        <v>0</v>
      </c>
      <c r="E733" s="162">
        <f>基础表!E641</f>
        <v>0</v>
      </c>
      <c r="F733" s="162">
        <f>基础表!F641</f>
        <v>0</v>
      </c>
      <c r="G733" s="162">
        <f>基础表!G641</f>
        <v>0</v>
      </c>
      <c r="H733" s="162">
        <f>基础表!H641</f>
        <v>0</v>
      </c>
      <c r="I733" s="162">
        <f>基础表!I641</f>
        <v>0</v>
      </c>
      <c r="J733" s="162">
        <f>基础表!J641</f>
        <v>0</v>
      </c>
      <c r="K733" s="162">
        <f>基础表!K641</f>
        <v>0</v>
      </c>
      <c r="L733" s="162">
        <f>基础表!L641</f>
        <v>0</v>
      </c>
      <c r="M733" s="162">
        <f>基础表!M641</f>
        <v>0</v>
      </c>
      <c r="N733" s="162">
        <f>基础表!N641</f>
        <v>0</v>
      </c>
      <c r="O733" s="162"/>
    </row>
    <row r="734" s="38" customFormat="1" ht="15" customHeight="1" spans="1:17">
      <c r="A734" s="161" t="s">
        <v>170</v>
      </c>
      <c r="B734" s="50"/>
      <c r="C734" s="162">
        <f>基础表!C642</f>
        <v>0</v>
      </c>
      <c r="D734" s="162">
        <f>基础表!D642</f>
        <v>9163.87399000002</v>
      </c>
      <c r="E734" s="162">
        <f>基础表!E642</f>
        <v>25860.56867</v>
      </c>
      <c r="F734" s="162">
        <f>基础表!F642</f>
        <v>26920.13351</v>
      </c>
      <c r="G734" s="162">
        <f>基础表!G642</f>
        <v>0</v>
      </c>
      <c r="H734" s="162">
        <f>基础表!H642</f>
        <v>86363.4705</v>
      </c>
      <c r="I734" s="162">
        <f>基础表!I642</f>
        <v>0</v>
      </c>
      <c r="J734" s="162">
        <f>基础表!J642</f>
        <v>0</v>
      </c>
      <c r="K734" s="162">
        <f>基础表!K642</f>
        <v>0</v>
      </c>
      <c r="L734" s="162">
        <f>基础表!L642</f>
        <v>0</v>
      </c>
      <c r="M734" s="162">
        <f>基础表!M642</f>
        <v>0</v>
      </c>
      <c r="N734" s="162">
        <f>基础表!N642</f>
        <v>0</v>
      </c>
      <c r="O734" s="162">
        <f ca="1">SUM(OFFSET($C734,0,0,1,mth))</f>
        <v>148308.04667</v>
      </c>
    </row>
    <row r="735" s="38" customFormat="1" ht="15" customHeight="1" spans="1:17">
      <c r="A735" s="161" t="s">
        <v>171</v>
      </c>
      <c r="B735" s="50"/>
      <c r="C735" s="162">
        <f>基础表!C643</f>
        <v>26734.33552</v>
      </c>
      <c r="D735" s="162">
        <f>基础表!D643</f>
        <v>79919.1347399999</v>
      </c>
      <c r="E735" s="162">
        <f>基础表!E643</f>
        <v>12306.05821</v>
      </c>
      <c r="F735" s="162">
        <f>基础表!F643</f>
        <v>129455.48036</v>
      </c>
      <c r="G735" s="162">
        <f>基础表!G643</f>
        <v>259571.342890001</v>
      </c>
      <c r="H735" s="162">
        <f>基础表!H643</f>
        <v>178993.47804</v>
      </c>
      <c r="I735" s="162">
        <f>基础表!I643</f>
        <v>0</v>
      </c>
      <c r="J735" s="162">
        <f>基础表!J643</f>
        <v>0</v>
      </c>
      <c r="K735" s="162">
        <f>基础表!K643</f>
        <v>0</v>
      </c>
      <c r="L735" s="162">
        <f>基础表!L643</f>
        <v>0</v>
      </c>
      <c r="M735" s="162">
        <f>基础表!M643</f>
        <v>0</v>
      </c>
      <c r="N735" s="162">
        <f>基础表!N643</f>
        <v>0</v>
      </c>
      <c r="O735" s="162">
        <f ca="1" t="shared" ref="O735:O742" si="318">SUM(OFFSET($C735,0,0,1,mth))</f>
        <v>686979.829760001</v>
      </c>
    </row>
    <row r="736" s="38" customFormat="1" ht="15" customHeight="1" spans="1:17">
      <c r="A736" s="161" t="s">
        <v>172</v>
      </c>
      <c r="B736" s="50"/>
      <c r="C736" s="162">
        <f>基础表!C644</f>
        <v>9618.54305000001</v>
      </c>
      <c r="D736" s="162">
        <f>基础表!D644</f>
        <v>0</v>
      </c>
      <c r="E736" s="162">
        <f>基础表!E644</f>
        <v>0</v>
      </c>
      <c r="F736" s="162">
        <f>基础表!F644</f>
        <v>0</v>
      </c>
      <c r="G736" s="162">
        <f>基础表!G644</f>
        <v>11107.50789</v>
      </c>
      <c r="H736" s="162">
        <f>基础表!H644</f>
        <v>0</v>
      </c>
      <c r="I736" s="162">
        <f>基础表!I644</f>
        <v>0</v>
      </c>
      <c r="J736" s="162">
        <f>基础表!J644</f>
        <v>0</v>
      </c>
      <c r="K736" s="162">
        <f>基础表!K644</f>
        <v>0</v>
      </c>
      <c r="L736" s="162">
        <f>基础表!L644</f>
        <v>0</v>
      </c>
      <c r="M736" s="162">
        <f>基础表!M644</f>
        <v>0</v>
      </c>
      <c r="N736" s="162">
        <f>基础表!N644</f>
        <v>0</v>
      </c>
      <c r="O736" s="162">
        <f ca="1" t="shared" si="318"/>
        <v>20726.05094</v>
      </c>
    </row>
    <row r="737" s="38" customFormat="1" ht="15" customHeight="1" spans="1:16">
      <c r="A737" s="161" t="s">
        <v>173</v>
      </c>
      <c r="B737" s="50"/>
      <c r="C737" s="162">
        <f>基础表!C645</f>
        <v>826.171250000002</v>
      </c>
      <c r="D737" s="162">
        <f>基础表!D645</f>
        <v>761.972560000001</v>
      </c>
      <c r="E737" s="162">
        <f>基础表!E645</f>
        <v>0</v>
      </c>
      <c r="F737" s="162">
        <f>基础表!F645</f>
        <v>0</v>
      </c>
      <c r="G737" s="162">
        <f>基础表!G645</f>
        <v>849.100079999999</v>
      </c>
      <c r="H737" s="162">
        <f>基础表!H645</f>
        <v>1221.37632</v>
      </c>
      <c r="I737" s="162">
        <f>基础表!I645</f>
        <v>0</v>
      </c>
      <c r="J737" s="162">
        <f>基础表!J645</f>
        <v>0</v>
      </c>
      <c r="K737" s="162">
        <f>基础表!K645</f>
        <v>0</v>
      </c>
      <c r="L737" s="162">
        <f>基础表!L645</f>
        <v>0</v>
      </c>
      <c r="M737" s="162">
        <f>基础表!M645</f>
        <v>0</v>
      </c>
      <c r="N737" s="162">
        <f>基础表!N645</f>
        <v>0</v>
      </c>
      <c r="O737" s="162">
        <f ca="1" t="shared" si="318"/>
        <v>3658.62021</v>
      </c>
    </row>
    <row r="738" s="38" customFormat="1" ht="15" customHeight="1" spans="1:16">
      <c r="A738" s="161" t="s">
        <v>174</v>
      </c>
      <c r="B738" s="50"/>
      <c r="C738" s="162">
        <f>基础表!C646</f>
        <v>44936.7472899999</v>
      </c>
      <c r="D738" s="162">
        <f>基础表!D646</f>
        <v>114288.00225</v>
      </c>
      <c r="E738" s="162">
        <f>基础表!E646</f>
        <v>4340.79217</v>
      </c>
      <c r="F738" s="162">
        <f>基础表!F646</f>
        <v>7234.20011</v>
      </c>
      <c r="G738" s="162">
        <f>基础表!G646</f>
        <v>32231.91999</v>
      </c>
      <c r="H738" s="162">
        <f>基础表!H646</f>
        <v>35604.07503</v>
      </c>
      <c r="I738" s="162">
        <f>基础表!I646</f>
        <v>0</v>
      </c>
      <c r="J738" s="162">
        <f>基础表!J646</f>
        <v>0</v>
      </c>
      <c r="K738" s="162">
        <f>基础表!K646</f>
        <v>0</v>
      </c>
      <c r="L738" s="162">
        <f>基础表!L646</f>
        <v>0</v>
      </c>
      <c r="M738" s="162">
        <f>基础表!M646</f>
        <v>0</v>
      </c>
      <c r="N738" s="162">
        <f>基础表!N646</f>
        <v>0</v>
      </c>
      <c r="O738" s="162">
        <f ca="1" t="shared" si="318"/>
        <v>238635.73684</v>
      </c>
    </row>
    <row r="739" s="38" customFormat="1" ht="15" customHeight="1" spans="1:16">
      <c r="A739" s="161" t="s">
        <v>175</v>
      </c>
      <c r="B739" s="50"/>
      <c r="C739" s="162">
        <f>基础表!C647</f>
        <v>0</v>
      </c>
      <c r="D739" s="162">
        <f>基础表!D647</f>
        <v>0</v>
      </c>
      <c r="E739" s="162">
        <f>基础表!E647</f>
        <v>0</v>
      </c>
      <c r="F739" s="162">
        <f>基础表!F647</f>
        <v>0</v>
      </c>
      <c r="G739" s="162">
        <f>基础表!G647</f>
        <v>0</v>
      </c>
      <c r="H739" s="162">
        <f>基础表!H647</f>
        <v>0</v>
      </c>
      <c r="I739" s="162">
        <f>基础表!I647</f>
        <v>0</v>
      </c>
      <c r="J739" s="162">
        <f>基础表!J647</f>
        <v>0</v>
      </c>
      <c r="K739" s="162">
        <f>基础表!K647</f>
        <v>0</v>
      </c>
      <c r="L739" s="162">
        <f>基础表!L647</f>
        <v>0</v>
      </c>
      <c r="M739" s="162">
        <f>基础表!M647</f>
        <v>0</v>
      </c>
      <c r="N739" s="162">
        <f>基础表!N647</f>
        <v>0</v>
      </c>
      <c r="O739" s="162">
        <f ca="1" t="shared" si="318"/>
        <v>0</v>
      </c>
    </row>
    <row r="740" s="38" customFormat="1" ht="15" customHeight="1" spans="1:16">
      <c r="A740" s="161" t="s">
        <v>176</v>
      </c>
      <c r="B740" s="50"/>
      <c r="C740" s="162">
        <f>基础表!C648</f>
        <v>0</v>
      </c>
      <c r="D740" s="162">
        <f>基础表!D648</f>
        <v>0</v>
      </c>
      <c r="E740" s="162">
        <f>基础表!E648</f>
        <v>3335.18596</v>
      </c>
      <c r="F740" s="162">
        <f>基础表!F648</f>
        <v>0</v>
      </c>
      <c r="G740" s="162">
        <f>基础表!G648</f>
        <v>0</v>
      </c>
      <c r="H740" s="162">
        <f>基础表!H648</f>
        <v>0</v>
      </c>
      <c r="I740" s="162">
        <f>基础表!I648</f>
        <v>0</v>
      </c>
      <c r="J740" s="162">
        <f>基础表!J648</f>
        <v>0</v>
      </c>
      <c r="K740" s="162">
        <f>基础表!K648</f>
        <v>0</v>
      </c>
      <c r="L740" s="162">
        <f>基础表!L648</f>
        <v>0</v>
      </c>
      <c r="M740" s="162">
        <f>基础表!M648</f>
        <v>0</v>
      </c>
      <c r="N740" s="162">
        <f>基础表!N648</f>
        <v>0</v>
      </c>
      <c r="O740" s="162">
        <f ca="1" t="shared" si="318"/>
        <v>3335.18596</v>
      </c>
    </row>
    <row r="741" s="38" customFormat="1" ht="15" customHeight="1" spans="1:16">
      <c r="A741" s="166" t="s">
        <v>335</v>
      </c>
      <c r="B741" s="50"/>
      <c r="C741" s="162">
        <f>基础表!C649</f>
        <v>82115.79711</v>
      </c>
      <c r="D741" s="162">
        <f>基础表!D649</f>
        <v>204132.98354</v>
      </c>
      <c r="E741" s="162">
        <f>基础表!E649</f>
        <v>45842.60501</v>
      </c>
      <c r="F741" s="162">
        <f>基础表!F649</f>
        <v>163609.81398</v>
      </c>
      <c r="G741" s="162">
        <f>基础表!G649</f>
        <v>303759.870850001</v>
      </c>
      <c r="H741" s="162">
        <f>基础表!H649</f>
        <v>302182.39989</v>
      </c>
      <c r="I741" s="162">
        <f>基础表!I649</f>
        <v>0</v>
      </c>
      <c r="J741" s="162">
        <f>基础表!J649</f>
        <v>0</v>
      </c>
      <c r="K741" s="162">
        <f>基础表!K649</f>
        <v>0</v>
      </c>
      <c r="L741" s="162">
        <f>基础表!L649</f>
        <v>0</v>
      </c>
      <c r="M741" s="162">
        <f>基础表!M649</f>
        <v>0</v>
      </c>
      <c r="N741" s="162">
        <f>基础表!N649</f>
        <v>0</v>
      </c>
      <c r="O741" s="162">
        <f ca="1">SUM(OFFSET($C741,0,0,1,mth))</f>
        <v>1101643.47038</v>
      </c>
    </row>
    <row r="742" s="38" customFormat="1" ht="15" customHeight="1" spans="1:16">
      <c r="A742" s="166" t="s">
        <v>336</v>
      </c>
      <c r="B742" s="60"/>
      <c r="C742" s="167">
        <f>基础表!C650</f>
        <v>93588.38879</v>
      </c>
      <c r="D742" s="167">
        <f>基础表!D650</f>
        <v>204132.98354</v>
      </c>
      <c r="E742" s="167">
        <f>基础表!E650</f>
        <v>49737.25058</v>
      </c>
      <c r="F742" s="167">
        <f>基础表!F650</f>
        <v>171068.58916</v>
      </c>
      <c r="G742" s="167">
        <f>基础表!G650</f>
        <v>303759.870850001</v>
      </c>
      <c r="H742" s="167">
        <f>基础表!H650</f>
        <v>308813.73935</v>
      </c>
      <c r="I742" s="167">
        <f>基础表!I650</f>
        <v>0</v>
      </c>
      <c r="J742" s="167">
        <f>基础表!J650</f>
        <v>0</v>
      </c>
      <c r="K742" s="167">
        <f>基础表!K650</f>
        <v>0</v>
      </c>
      <c r="L742" s="167">
        <f>基础表!L650</f>
        <v>0</v>
      </c>
      <c r="M742" s="167">
        <f>基础表!M650</f>
        <v>0</v>
      </c>
      <c r="N742" s="167">
        <f>基础表!N650</f>
        <v>0</v>
      </c>
      <c r="O742" s="162">
        <f ca="1" t="shared" si="318"/>
        <v>1131100.82227</v>
      </c>
      <c r="P742" s="68"/>
    </row>
    <row r="743" s="38" customFormat="1" ht="15" customHeight="1" spans="1:16">
      <c r="A743" s="360" t="s">
        <v>337</v>
      </c>
      <c r="B743" s="170"/>
      <c r="C743" s="162">
        <f>基础表!C651</f>
        <v>3091.07206097037</v>
      </c>
      <c r="D743" s="162">
        <f>基础表!D651</f>
        <v>2974.96223297434</v>
      </c>
      <c r="E743" s="162">
        <f>基础表!E651</f>
        <v>2527.55618355524</v>
      </c>
      <c r="F743" s="162">
        <f>基础表!F651</f>
        <v>2594.50351346022</v>
      </c>
      <c r="G743" s="162">
        <f>基础表!G651</f>
        <v>2665.19150017987</v>
      </c>
      <c r="H743" s="162">
        <f>基础表!H651</f>
        <v>2653.85977922725</v>
      </c>
      <c r="I743" s="162">
        <f>基础表!I651</f>
        <v>0</v>
      </c>
      <c r="J743" s="162">
        <f>基础表!J651</f>
        <v>0</v>
      </c>
      <c r="K743" s="162">
        <f>基础表!K651</f>
        <v>0</v>
      </c>
      <c r="L743" s="162">
        <f>基础表!L651</f>
        <v>0</v>
      </c>
      <c r="M743" s="162">
        <f>基础表!M651</f>
        <v>0</v>
      </c>
      <c r="N743" s="162">
        <f>基础表!N651</f>
        <v>0</v>
      </c>
      <c r="O743" s="162">
        <f ca="1" t="shared" ref="O743" si="319">IFERROR(O742/O672,0)</f>
        <v>2726.56907721939</v>
      </c>
    </row>
    <row r="744" s="38" customFormat="1" ht="15" customHeight="1" spans="1:16">
      <c r="B744" s="95"/>
      <c r="F744" s="96"/>
    </row>
    <row r="745" s="38" customFormat="1" ht="15" customHeight="1" spans="1:16">
      <c r="A745" s="239" t="s">
        <v>338</v>
      </c>
      <c r="B745" s="239"/>
      <c r="C745" s="137" t="s">
        <v>339</v>
      </c>
      <c r="D745" s="240"/>
      <c r="G745" s="96"/>
      <c r="N745" s="71"/>
      <c r="O745" s="71"/>
      <c r="P745" s="71"/>
    </row>
    <row r="746" spans="1:16">
      <c r="A746" s="185" t="s">
        <v>250</v>
      </c>
      <c r="B746" s="106" t="s">
        <v>77</v>
      </c>
      <c r="C746" s="107" t="s">
        <v>220</v>
      </c>
      <c r="D746" s="107" t="s">
        <v>221</v>
      </c>
      <c r="E746" s="107" t="s">
        <v>222</v>
      </c>
      <c r="F746" s="107" t="s">
        <v>223</v>
      </c>
      <c r="G746" s="107" t="s">
        <v>224</v>
      </c>
      <c r="H746" s="107" t="s">
        <v>225</v>
      </c>
      <c r="I746" s="107" t="s">
        <v>226</v>
      </c>
      <c r="J746" s="107" t="s">
        <v>227</v>
      </c>
      <c r="K746" s="107" t="s">
        <v>228</v>
      </c>
      <c r="L746" s="107" t="s">
        <v>229</v>
      </c>
      <c r="M746" s="107" t="s">
        <v>230</v>
      </c>
      <c r="N746" s="107" t="s">
        <v>231</v>
      </c>
      <c r="O746" s="107" t="str">
        <f>CONCATENATE("1-"&amp;mth&amp;"月累计")</f>
        <v>1-8月累计</v>
      </c>
      <c r="P746" s="71"/>
    </row>
    <row r="747" spans="1:16">
      <c r="A747" s="307" t="s">
        <v>178</v>
      </c>
      <c r="B747" s="50" t="s">
        <v>167</v>
      </c>
      <c r="C747" s="192">
        <f>基础表!C655</f>
        <v>0</v>
      </c>
      <c r="D747" s="192">
        <f>基础表!D655</f>
        <v>0</v>
      </c>
      <c r="E747" s="192">
        <f>基础表!E655</f>
        <v>0</v>
      </c>
      <c r="F747" s="192">
        <f>基础表!F655</f>
        <v>0</v>
      </c>
      <c r="G747" s="192">
        <f>基础表!G655</f>
        <v>0</v>
      </c>
      <c r="H747" s="192">
        <f>基础表!H655</f>
        <v>0</v>
      </c>
      <c r="I747" s="192">
        <f>基础表!I655</f>
        <v>0</v>
      </c>
      <c r="J747" s="192">
        <f>基础表!J655</f>
        <v>0</v>
      </c>
      <c r="K747" s="192">
        <f>基础表!K655</f>
        <v>0</v>
      </c>
      <c r="L747" s="192">
        <f>基础表!L655</f>
        <v>0</v>
      </c>
      <c r="M747" s="192">
        <f>基础表!M655</f>
        <v>0</v>
      </c>
      <c r="N747" s="192">
        <f>基础表!N655</f>
        <v>0</v>
      </c>
      <c r="O747" s="192">
        <f ca="1" t="shared" ref="O747:O782" si="320">SUM(OFFSET($C747,0,0,1,mth))</f>
        <v>0</v>
      </c>
      <c r="P747" s="104">
        <v>213243</v>
      </c>
    </row>
    <row r="748" spans="1:16">
      <c r="A748" s="307" t="s">
        <v>179</v>
      </c>
      <c r="B748" s="50" t="s">
        <v>167</v>
      </c>
      <c r="C748" s="192">
        <f>基础表!C656</f>
        <v>0</v>
      </c>
      <c r="D748" s="192">
        <f>基础表!D656</f>
        <v>0</v>
      </c>
      <c r="E748" s="192">
        <f>基础表!E656</f>
        <v>0</v>
      </c>
      <c r="F748" s="192">
        <f>基础表!F656</f>
        <v>0</v>
      </c>
      <c r="G748" s="192">
        <f>基础表!G656</f>
        <v>0</v>
      </c>
      <c r="H748" s="192">
        <f>基础表!H656</f>
        <v>0</v>
      </c>
      <c r="I748" s="192">
        <f>基础表!I656</f>
        <v>0</v>
      </c>
      <c r="J748" s="192">
        <f>基础表!J656</f>
        <v>0</v>
      </c>
      <c r="K748" s="192">
        <f>基础表!K656</f>
        <v>0</v>
      </c>
      <c r="L748" s="192">
        <f>基础表!L656</f>
        <v>0</v>
      </c>
      <c r="M748" s="192">
        <f>基础表!M656</f>
        <v>0</v>
      </c>
      <c r="N748" s="192">
        <f>基础表!N656</f>
        <v>0</v>
      </c>
      <c r="O748" s="192">
        <f ca="1" t="shared" si="320"/>
        <v>0</v>
      </c>
      <c r="P748" s="104">
        <v>235372</v>
      </c>
    </row>
    <row r="749" spans="1:16">
      <c r="A749" s="307" t="s">
        <v>180</v>
      </c>
      <c r="B749" s="50" t="s">
        <v>167</v>
      </c>
      <c r="C749" s="192">
        <f>基础表!C657</f>
        <v>0</v>
      </c>
      <c r="D749" s="192">
        <f>基础表!D657</f>
        <v>0</v>
      </c>
      <c r="E749" s="192">
        <f>基础表!E657</f>
        <v>0</v>
      </c>
      <c r="F749" s="192">
        <f>基础表!F657</f>
        <v>0</v>
      </c>
      <c r="G749" s="192">
        <f>基础表!G657</f>
        <v>0</v>
      </c>
      <c r="H749" s="192">
        <f>基础表!H657</f>
        <v>0</v>
      </c>
      <c r="I749" s="192">
        <f>基础表!I657</f>
        <v>0</v>
      </c>
      <c r="J749" s="192">
        <f>基础表!J657</f>
        <v>0</v>
      </c>
      <c r="K749" s="192">
        <f>基础表!K657</f>
        <v>0</v>
      </c>
      <c r="L749" s="192">
        <f>基础表!L657</f>
        <v>0</v>
      </c>
      <c r="M749" s="192">
        <f>基础表!M657</f>
        <v>0</v>
      </c>
      <c r="N749" s="192">
        <f>基础表!N657</f>
        <v>0</v>
      </c>
      <c r="O749" s="192">
        <f ca="1" t="shared" si="320"/>
        <v>0</v>
      </c>
      <c r="P749" s="104">
        <v>244192</v>
      </c>
    </row>
    <row r="750" spans="1:16">
      <c r="A750" s="307" t="s">
        <v>181</v>
      </c>
      <c r="B750" s="50" t="s">
        <v>167</v>
      </c>
      <c r="C750" s="192">
        <f>基础表!C658</f>
        <v>0</v>
      </c>
      <c r="D750" s="192">
        <f>基础表!D658</f>
        <v>0</v>
      </c>
      <c r="E750" s="192">
        <f>基础表!E658</f>
        <v>0</v>
      </c>
      <c r="F750" s="192">
        <f>基础表!F658</f>
        <v>0</v>
      </c>
      <c r="G750" s="192">
        <f>基础表!G658</f>
        <v>0</v>
      </c>
      <c r="H750" s="192">
        <f>基础表!H658</f>
        <v>0</v>
      </c>
      <c r="I750" s="192">
        <f>基础表!I658</f>
        <v>0</v>
      </c>
      <c r="J750" s="192">
        <f>基础表!J658</f>
        <v>0</v>
      </c>
      <c r="K750" s="192">
        <f>基础表!K658</f>
        <v>0</v>
      </c>
      <c r="L750" s="192">
        <f>基础表!L658</f>
        <v>0</v>
      </c>
      <c r="M750" s="192">
        <f>基础表!M658</f>
        <v>0</v>
      </c>
      <c r="N750" s="192">
        <f>基础表!N658</f>
        <v>0</v>
      </c>
      <c r="O750" s="192">
        <f ca="1" t="shared" si="320"/>
        <v>0</v>
      </c>
      <c r="P750" s="104">
        <v>244193</v>
      </c>
    </row>
    <row r="751" spans="1:16">
      <c r="A751" s="307" t="s">
        <v>182</v>
      </c>
      <c r="B751" s="50" t="s">
        <v>167</v>
      </c>
      <c r="C751" s="192">
        <f>基础表!C659</f>
        <v>18776.745</v>
      </c>
      <c r="D751" s="192">
        <f>基础表!D659</f>
        <v>7791.12</v>
      </c>
      <c r="E751" s="192">
        <f>基础表!E659</f>
        <v>34015</v>
      </c>
      <c r="F751" s="192">
        <f>基础表!F659</f>
        <v>53212.695</v>
      </c>
      <c r="G751" s="192">
        <f>基础表!G659</f>
        <v>48599.755</v>
      </c>
      <c r="H751" s="192">
        <f>基础表!H659</f>
        <v>16551.381</v>
      </c>
      <c r="I751" s="192">
        <f>基础表!I659</f>
        <v>0</v>
      </c>
      <c r="J751" s="192">
        <f>基础表!J659</f>
        <v>0</v>
      </c>
      <c r="K751" s="192">
        <f>基础表!K659</f>
        <v>0</v>
      </c>
      <c r="L751" s="192">
        <f>基础表!L659</f>
        <v>0</v>
      </c>
      <c r="M751" s="192">
        <f>基础表!M659</f>
        <v>0</v>
      </c>
      <c r="N751" s="192">
        <f>基础表!N659</f>
        <v>0</v>
      </c>
      <c r="O751" s="192">
        <f ca="1" t="shared" si="320"/>
        <v>178946.696</v>
      </c>
      <c r="P751" s="104">
        <v>244194</v>
      </c>
    </row>
    <row r="752" spans="1:16">
      <c r="A752" s="307" t="s">
        <v>183</v>
      </c>
      <c r="B752" s="50" t="s">
        <v>167</v>
      </c>
      <c r="C752" s="192">
        <f>基础表!C660</f>
        <v>0</v>
      </c>
      <c r="D752" s="192">
        <f>基础表!D660</f>
        <v>0</v>
      </c>
      <c r="E752" s="192">
        <f>基础表!E660</f>
        <v>0</v>
      </c>
      <c r="F752" s="192">
        <f>基础表!F660</f>
        <v>0</v>
      </c>
      <c r="G752" s="192">
        <f>基础表!G660</f>
        <v>0</v>
      </c>
      <c r="H752" s="192">
        <f>基础表!H660</f>
        <v>0</v>
      </c>
      <c r="I752" s="192">
        <f>基础表!I660</f>
        <v>0</v>
      </c>
      <c r="J752" s="192">
        <f>基础表!J660</f>
        <v>0</v>
      </c>
      <c r="K752" s="192">
        <f>基础表!K660</f>
        <v>0</v>
      </c>
      <c r="L752" s="192">
        <f>基础表!L660</f>
        <v>0</v>
      </c>
      <c r="M752" s="192">
        <f>基础表!M660</f>
        <v>0</v>
      </c>
      <c r="N752" s="192">
        <f>基础表!N660</f>
        <v>0</v>
      </c>
      <c r="O752" s="192">
        <f ca="1">SUM(OFFSET($C752,0,0,1,mth))</f>
        <v>0</v>
      </c>
      <c r="P752" s="104">
        <v>246164</v>
      </c>
    </row>
    <row r="753" spans="1:20">
      <c r="A753" s="307" t="s">
        <v>184</v>
      </c>
      <c r="B753" s="50" t="s">
        <v>167</v>
      </c>
      <c r="C753" s="192">
        <f>基础表!C661</f>
        <v>0</v>
      </c>
      <c r="D753" s="192">
        <f>基础表!D661</f>
        <v>0</v>
      </c>
      <c r="E753" s="192">
        <f>基础表!E661</f>
        <v>0</v>
      </c>
      <c r="F753" s="192">
        <f>基础表!F661</f>
        <v>0</v>
      </c>
      <c r="G753" s="192">
        <f>基础表!G661</f>
        <v>0</v>
      </c>
      <c r="H753" s="192">
        <f>基础表!H661</f>
        <v>0</v>
      </c>
      <c r="I753" s="192">
        <f>基础表!I661</f>
        <v>0</v>
      </c>
      <c r="J753" s="192">
        <f>基础表!J661</f>
        <v>0</v>
      </c>
      <c r="K753" s="192">
        <f>基础表!K661</f>
        <v>0</v>
      </c>
      <c r="L753" s="192">
        <f>基础表!L661</f>
        <v>0</v>
      </c>
      <c r="M753" s="192">
        <f>基础表!M661</f>
        <v>0</v>
      </c>
      <c r="N753" s="192">
        <f>基础表!N661</f>
        <v>0</v>
      </c>
      <c r="O753" s="192">
        <f ca="1">SUM(OFFSET($C753,0,0,1,mth))</f>
        <v>0</v>
      </c>
      <c r="P753" s="104">
        <v>247994</v>
      </c>
    </row>
    <row r="754" s="38" customFormat="1" ht="15" customHeight="1" spans="1:20">
      <c r="A754" s="307" t="s">
        <v>185</v>
      </c>
      <c r="B754" s="50" t="s">
        <v>167</v>
      </c>
      <c r="C754" s="192">
        <f>基础表!C662</f>
        <v>0</v>
      </c>
      <c r="D754" s="192">
        <f>基础表!D662</f>
        <v>1.092</v>
      </c>
      <c r="E754" s="192">
        <f>基础表!E662</f>
        <v>0</v>
      </c>
      <c r="F754" s="192">
        <f>基础表!F662</f>
        <v>0</v>
      </c>
      <c r="G754" s="192">
        <f>基础表!G662</f>
        <v>1.791</v>
      </c>
      <c r="H754" s="192">
        <f>基础表!H662</f>
        <v>0</v>
      </c>
      <c r="I754" s="192">
        <f>基础表!I662</f>
        <v>0</v>
      </c>
      <c r="J754" s="192">
        <f>基础表!J662</f>
        <v>0</v>
      </c>
      <c r="K754" s="192">
        <f>基础表!K662</f>
        <v>0</v>
      </c>
      <c r="L754" s="192">
        <f>基础表!L662</f>
        <v>0</v>
      </c>
      <c r="M754" s="192">
        <f>基础表!M662</f>
        <v>0</v>
      </c>
      <c r="N754" s="192">
        <f>基础表!N662</f>
        <v>0</v>
      </c>
      <c r="O754" s="192">
        <f ca="1" t="shared" si="320"/>
        <v>2.883</v>
      </c>
      <c r="P754" s="104">
        <v>247995</v>
      </c>
    </row>
    <row r="755" s="38" customFormat="1" ht="15" customHeight="1" spans="1:20">
      <c r="A755" s="307" t="s">
        <v>186</v>
      </c>
      <c r="B755" s="50" t="s">
        <v>167</v>
      </c>
      <c r="C755" s="192">
        <f>基础表!C663</f>
        <v>-11.952</v>
      </c>
      <c r="D755" s="192">
        <f>基础表!D663</f>
        <v>16.668</v>
      </c>
      <c r="E755" s="192">
        <f>基础表!E663</f>
        <v>24.952</v>
      </c>
      <c r="F755" s="192">
        <f>基础表!F663</f>
        <v>72.995</v>
      </c>
      <c r="G755" s="192">
        <f>基础表!G663</f>
        <v>33.686</v>
      </c>
      <c r="H755" s="192">
        <f>基础表!H663</f>
        <v>52.226</v>
      </c>
      <c r="I755" s="192">
        <f>基础表!I663</f>
        <v>0</v>
      </c>
      <c r="J755" s="192">
        <f>基础表!J663</f>
        <v>0</v>
      </c>
      <c r="K755" s="192">
        <f>基础表!K663</f>
        <v>0</v>
      </c>
      <c r="L755" s="192">
        <f>基础表!L663</f>
        <v>0</v>
      </c>
      <c r="M755" s="192">
        <f>基础表!M663</f>
        <v>0</v>
      </c>
      <c r="N755" s="192">
        <f>基础表!N663</f>
        <v>0</v>
      </c>
      <c r="O755" s="192">
        <f ca="1" t="shared" si="320"/>
        <v>188.575</v>
      </c>
      <c r="P755" s="104">
        <v>262531</v>
      </c>
    </row>
    <row r="756" s="38" customFormat="1" ht="15" customHeight="1" spans="1:20">
      <c r="A756" s="307" t="s">
        <v>187</v>
      </c>
      <c r="B756" s="50" t="s">
        <v>167</v>
      </c>
      <c r="C756" s="192">
        <f>基础表!C664</f>
        <v>0</v>
      </c>
      <c r="D756" s="192">
        <f>基础表!D664</f>
        <v>0</v>
      </c>
      <c r="E756" s="192">
        <f>基础表!E664</f>
        <v>1.8</v>
      </c>
      <c r="F756" s="192">
        <f>基础表!F664</f>
        <v>0</v>
      </c>
      <c r="G756" s="192">
        <f>基础表!G664</f>
        <v>0</v>
      </c>
      <c r="H756" s="192">
        <f>基础表!H664</f>
        <v>9</v>
      </c>
      <c r="I756" s="192">
        <f>基础表!I664</f>
        <v>0</v>
      </c>
      <c r="J756" s="192">
        <f>基础表!J664</f>
        <v>0</v>
      </c>
      <c r="K756" s="192">
        <f>基础表!K664</f>
        <v>0</v>
      </c>
      <c r="L756" s="192">
        <f>基础表!L664</f>
        <v>0</v>
      </c>
      <c r="M756" s="192">
        <f>基础表!M664</f>
        <v>0</v>
      </c>
      <c r="N756" s="192">
        <f>基础表!N664</f>
        <v>0</v>
      </c>
      <c r="O756" s="192">
        <f ca="1" t="shared" si="320"/>
        <v>10.8</v>
      </c>
      <c r="P756" s="104">
        <v>262532</v>
      </c>
    </row>
    <row r="757" s="38" customFormat="1" ht="15" customHeight="1" spans="1:20">
      <c r="A757" s="307" t="s">
        <v>188</v>
      </c>
      <c r="B757" s="50" t="s">
        <v>75</v>
      </c>
      <c r="C757" s="192">
        <f>基础表!C665</f>
        <v>0</v>
      </c>
      <c r="D757" s="192">
        <f>基础表!D665</f>
        <v>0</v>
      </c>
      <c r="E757" s="192">
        <f>基础表!E665</f>
        <v>0</v>
      </c>
      <c r="F757" s="192">
        <f>基础表!F665</f>
        <v>0</v>
      </c>
      <c r="G757" s="192">
        <f>基础表!G665</f>
        <v>0</v>
      </c>
      <c r="H757" s="192">
        <f>基础表!H665</f>
        <v>0</v>
      </c>
      <c r="I757" s="192">
        <f>基础表!I665</f>
        <v>0</v>
      </c>
      <c r="J757" s="192">
        <f>基础表!J665</f>
        <v>0</v>
      </c>
      <c r="K757" s="192">
        <f>基础表!K665</f>
        <v>0</v>
      </c>
      <c r="L757" s="192">
        <f>基础表!L665</f>
        <v>0</v>
      </c>
      <c r="M757" s="192">
        <f>基础表!M665</f>
        <v>0</v>
      </c>
      <c r="N757" s="192">
        <f>基础表!N665</f>
        <v>0</v>
      </c>
      <c r="O757" s="192">
        <f ca="1" t="shared" si="320"/>
        <v>0</v>
      </c>
      <c r="P757" s="104">
        <v>263449</v>
      </c>
    </row>
    <row r="758" s="38" customFormat="1" ht="15" customHeight="1" spans="1:20">
      <c r="A758" s="307" t="s">
        <v>189</v>
      </c>
      <c r="B758" s="50" t="s">
        <v>167</v>
      </c>
      <c r="C758" s="192">
        <f>基础表!C666</f>
        <v>0</v>
      </c>
      <c r="D758" s="192">
        <f>基础表!D666</f>
        <v>0</v>
      </c>
      <c r="E758" s="192">
        <f>基础表!E666</f>
        <v>0</v>
      </c>
      <c r="F758" s="192">
        <f>基础表!F666</f>
        <v>0</v>
      </c>
      <c r="G758" s="192">
        <f>基础表!G666</f>
        <v>0</v>
      </c>
      <c r="H758" s="192">
        <f>基础表!H666</f>
        <v>0</v>
      </c>
      <c r="I758" s="192">
        <f>基础表!I666</f>
        <v>0</v>
      </c>
      <c r="J758" s="192">
        <f>基础表!J666</f>
        <v>0</v>
      </c>
      <c r="K758" s="192">
        <f>基础表!K666</f>
        <v>0</v>
      </c>
      <c r="L758" s="192">
        <f>基础表!L666</f>
        <v>0</v>
      </c>
      <c r="M758" s="192">
        <f>基础表!M666</f>
        <v>0</v>
      </c>
      <c r="N758" s="192">
        <f>基础表!N666</f>
        <v>0</v>
      </c>
      <c r="O758" s="192">
        <f ca="1" t="shared" si="320"/>
        <v>0</v>
      </c>
      <c r="P758" s="104">
        <v>266799</v>
      </c>
    </row>
    <row r="759" s="38" customFormat="1" ht="15" customHeight="1" spans="1:20">
      <c r="A759" s="307" t="s">
        <v>190</v>
      </c>
      <c r="B759" s="50" t="s">
        <v>167</v>
      </c>
      <c r="C759" s="192">
        <f>基础表!C667</f>
        <v>0</v>
      </c>
      <c r="D759" s="192">
        <f>基础表!D667</f>
        <v>0</v>
      </c>
      <c r="E759" s="192">
        <f>基础表!E667</f>
        <v>0</v>
      </c>
      <c r="F759" s="192">
        <f>基础表!F667</f>
        <v>0</v>
      </c>
      <c r="G759" s="192">
        <f>基础表!G667</f>
        <v>0</v>
      </c>
      <c r="H759" s="192">
        <f>基础表!H667</f>
        <v>0</v>
      </c>
      <c r="I759" s="192">
        <f>基础表!I667</f>
        <v>0</v>
      </c>
      <c r="J759" s="192">
        <f>基础表!J667</f>
        <v>0</v>
      </c>
      <c r="K759" s="192">
        <f>基础表!K667</f>
        <v>0</v>
      </c>
      <c r="L759" s="192">
        <f>基础表!L667</f>
        <v>0</v>
      </c>
      <c r="M759" s="192">
        <f>基础表!M667</f>
        <v>0</v>
      </c>
      <c r="N759" s="192">
        <f>基础表!N667</f>
        <v>0</v>
      </c>
      <c r="O759" s="192">
        <f ca="1" t="shared" si="320"/>
        <v>0</v>
      </c>
      <c r="P759" s="104">
        <v>266801</v>
      </c>
      <c r="T759" s="361"/>
    </row>
    <row r="760" s="38" customFormat="1" ht="15" customHeight="1" spans="1:20">
      <c r="A760" s="307" t="s">
        <v>191</v>
      </c>
      <c r="B760" s="50"/>
      <c r="C760" s="192">
        <f>基础表!C668</f>
        <v>11.519</v>
      </c>
      <c r="D760" s="192">
        <f>基础表!D668</f>
        <v>3.69</v>
      </c>
      <c r="E760" s="192">
        <f>基础表!E668</f>
        <v>17.593</v>
      </c>
      <c r="F760" s="192">
        <f>基础表!F668</f>
        <v>45.224</v>
      </c>
      <c r="G760" s="192">
        <f>基础表!G668</f>
        <v>19.37</v>
      </c>
      <c r="H760" s="192">
        <f>基础表!H668</f>
        <v>14.185</v>
      </c>
      <c r="I760" s="192">
        <f>基础表!I668</f>
        <v>0</v>
      </c>
      <c r="J760" s="192">
        <f>基础表!J668</f>
        <v>0</v>
      </c>
      <c r="K760" s="192">
        <f>基础表!K668</f>
        <v>0</v>
      </c>
      <c r="L760" s="192">
        <f>基础表!L668</f>
        <v>0</v>
      </c>
      <c r="M760" s="192">
        <f>基础表!M668</f>
        <v>0</v>
      </c>
      <c r="N760" s="192">
        <f>基础表!N668</f>
        <v>0</v>
      </c>
      <c r="O760" s="192">
        <f ca="1" t="shared" si="320"/>
        <v>111.581</v>
      </c>
      <c r="P760" s="104">
        <v>270837</v>
      </c>
    </row>
    <row r="761" spans="1:20">
      <c r="A761" s="307" t="s">
        <v>192</v>
      </c>
      <c r="B761" s="50" t="s">
        <v>167</v>
      </c>
      <c r="C761" s="192">
        <f>基础表!C669</f>
        <v>0</v>
      </c>
      <c r="D761" s="192">
        <f>基础表!D669</f>
        <v>0</v>
      </c>
      <c r="E761" s="192">
        <f>基础表!E669</f>
        <v>0</v>
      </c>
      <c r="F761" s="192">
        <f>基础表!F669</f>
        <v>0</v>
      </c>
      <c r="G761" s="192">
        <f>基础表!G669</f>
        <v>0</v>
      </c>
      <c r="H761" s="192">
        <f>基础表!H669</f>
        <v>0</v>
      </c>
      <c r="I761" s="192">
        <f>基础表!I669</f>
        <v>0</v>
      </c>
      <c r="J761" s="192">
        <f>基础表!J669</f>
        <v>0</v>
      </c>
      <c r="K761" s="192">
        <f>基础表!K669</f>
        <v>0</v>
      </c>
      <c r="L761" s="192">
        <f>基础表!L669</f>
        <v>0</v>
      </c>
      <c r="M761" s="192">
        <f>基础表!M669</f>
        <v>0</v>
      </c>
      <c r="N761" s="192">
        <f>基础表!N669</f>
        <v>0</v>
      </c>
      <c r="O761" s="192">
        <f ca="1" t="shared" si="320"/>
        <v>0</v>
      </c>
      <c r="P761" s="104">
        <v>278432</v>
      </c>
    </row>
    <row r="762" spans="1:20">
      <c r="A762" s="307" t="s">
        <v>193</v>
      </c>
      <c r="B762" s="50" t="s">
        <v>167</v>
      </c>
      <c r="C762" s="192">
        <f>基础表!C670</f>
        <v>0</v>
      </c>
      <c r="D762" s="192">
        <f>基础表!D670</f>
        <v>0</v>
      </c>
      <c r="E762" s="192">
        <f>基础表!E670</f>
        <v>0</v>
      </c>
      <c r="F762" s="192">
        <f>基础表!F670</f>
        <v>0</v>
      </c>
      <c r="G762" s="192">
        <f>基础表!G670</f>
        <v>0</v>
      </c>
      <c r="H762" s="192">
        <f>基础表!H670</f>
        <v>0</v>
      </c>
      <c r="I762" s="192">
        <f>基础表!I670</f>
        <v>0</v>
      </c>
      <c r="J762" s="192">
        <f>基础表!J670</f>
        <v>0</v>
      </c>
      <c r="K762" s="192">
        <f>基础表!K670</f>
        <v>0</v>
      </c>
      <c r="L762" s="192">
        <f>基础表!L670</f>
        <v>0</v>
      </c>
      <c r="M762" s="192">
        <f>基础表!M670</f>
        <v>0</v>
      </c>
      <c r="N762" s="192">
        <f>基础表!N670</f>
        <v>0</v>
      </c>
      <c r="O762" s="192">
        <f ca="1" t="shared" si="320"/>
        <v>0</v>
      </c>
      <c r="P762" s="104">
        <v>278905</v>
      </c>
    </row>
    <row r="763" spans="1:20">
      <c r="A763" s="307" t="s">
        <v>194</v>
      </c>
      <c r="B763" s="50" t="s">
        <v>167</v>
      </c>
      <c r="C763" s="192">
        <f>基础表!C671</f>
        <v>0</v>
      </c>
      <c r="D763" s="192">
        <f>基础表!D671</f>
        <v>0</v>
      </c>
      <c r="E763" s="192">
        <f>基础表!E671</f>
        <v>0</v>
      </c>
      <c r="F763" s="192">
        <f>基础表!F671</f>
        <v>0</v>
      </c>
      <c r="G763" s="192">
        <f>基础表!G671</f>
        <v>0</v>
      </c>
      <c r="H763" s="192">
        <f>基础表!H671</f>
        <v>0</v>
      </c>
      <c r="I763" s="192">
        <f>基础表!I671</f>
        <v>0</v>
      </c>
      <c r="J763" s="192">
        <f>基础表!J671</f>
        <v>0</v>
      </c>
      <c r="K763" s="192">
        <f>基础表!K671</f>
        <v>0</v>
      </c>
      <c r="L763" s="192">
        <f>基础表!L671</f>
        <v>0</v>
      </c>
      <c r="M763" s="192">
        <f>基础表!M671</f>
        <v>0</v>
      </c>
      <c r="N763" s="192">
        <f>基础表!N671</f>
        <v>0</v>
      </c>
      <c r="O763" s="192">
        <f ca="1" t="shared" si="320"/>
        <v>0</v>
      </c>
      <c r="P763" s="104">
        <v>279501</v>
      </c>
    </row>
    <row r="764" spans="1:20">
      <c r="A764" s="307" t="s">
        <v>195</v>
      </c>
      <c r="B764" s="50" t="s">
        <v>167</v>
      </c>
      <c r="C764" s="192">
        <f>基础表!C672</f>
        <v>0</v>
      </c>
      <c r="D764" s="192">
        <f>基础表!D672</f>
        <v>0</v>
      </c>
      <c r="E764" s="192">
        <f>基础表!E672</f>
        <v>0</v>
      </c>
      <c r="F764" s="192">
        <f>基础表!F672</f>
        <v>0</v>
      </c>
      <c r="G764" s="192">
        <f>基础表!G672</f>
        <v>0</v>
      </c>
      <c r="H764" s="192">
        <f>基础表!H672</f>
        <v>0</v>
      </c>
      <c r="I764" s="192">
        <f>基础表!I672</f>
        <v>0</v>
      </c>
      <c r="J764" s="192">
        <f>基础表!J672</f>
        <v>0</v>
      </c>
      <c r="K764" s="192">
        <f>基础表!K672</f>
        <v>0</v>
      </c>
      <c r="L764" s="192">
        <f>基础表!L672</f>
        <v>0</v>
      </c>
      <c r="M764" s="192">
        <f>基础表!M672</f>
        <v>0</v>
      </c>
      <c r="N764" s="192">
        <f>基础表!N672</f>
        <v>0</v>
      </c>
      <c r="O764" s="192">
        <f ca="1" t="shared" si="320"/>
        <v>0</v>
      </c>
      <c r="P764" s="104">
        <v>284316</v>
      </c>
    </row>
    <row r="765" spans="1:20">
      <c r="A765" s="307" t="s">
        <v>196</v>
      </c>
      <c r="B765" s="50" t="s">
        <v>167</v>
      </c>
      <c r="C765" s="192">
        <f>基础表!C673</f>
        <v>0</v>
      </c>
      <c r="D765" s="192">
        <f>基础表!D673</f>
        <v>0</v>
      </c>
      <c r="E765" s="192">
        <f>基础表!E673</f>
        <v>0</v>
      </c>
      <c r="F765" s="192">
        <f>基础表!F673</f>
        <v>0</v>
      </c>
      <c r="G765" s="192">
        <f>基础表!G673</f>
        <v>0</v>
      </c>
      <c r="H765" s="192">
        <f>基础表!H673</f>
        <v>0</v>
      </c>
      <c r="I765" s="192">
        <f>基础表!I673</f>
        <v>0</v>
      </c>
      <c r="J765" s="192">
        <f>基础表!J673</f>
        <v>0</v>
      </c>
      <c r="K765" s="192">
        <f>基础表!K673</f>
        <v>0</v>
      </c>
      <c r="L765" s="192">
        <f>基础表!L673</f>
        <v>0</v>
      </c>
      <c r="M765" s="192">
        <f>基础表!M673</f>
        <v>0</v>
      </c>
      <c r="N765" s="192">
        <f>基础表!N673</f>
        <v>0</v>
      </c>
      <c r="O765" s="192">
        <f ca="1" t="shared" si="320"/>
        <v>0</v>
      </c>
      <c r="P765" s="104">
        <v>291564</v>
      </c>
    </row>
    <row r="766" spans="1:20">
      <c r="A766" s="307" t="s">
        <v>197</v>
      </c>
      <c r="B766" s="50" t="s">
        <v>167</v>
      </c>
      <c r="C766" s="192">
        <f>基础表!C674</f>
        <v>0</v>
      </c>
      <c r="D766" s="192">
        <f>基础表!D674</f>
        <v>0</v>
      </c>
      <c r="E766" s="192">
        <f>基础表!E674</f>
        <v>0</v>
      </c>
      <c r="F766" s="192">
        <f>基础表!F674</f>
        <v>0</v>
      </c>
      <c r="G766" s="192">
        <f>基础表!G674</f>
        <v>0</v>
      </c>
      <c r="H766" s="192">
        <f>基础表!H674</f>
        <v>0</v>
      </c>
      <c r="I766" s="192">
        <f>基础表!I674</f>
        <v>0</v>
      </c>
      <c r="J766" s="192">
        <f>基础表!J674</f>
        <v>0</v>
      </c>
      <c r="K766" s="192">
        <f>基础表!K674</f>
        <v>0</v>
      </c>
      <c r="L766" s="192">
        <f>基础表!L674</f>
        <v>0</v>
      </c>
      <c r="M766" s="192">
        <f>基础表!M674</f>
        <v>0</v>
      </c>
      <c r="N766" s="192">
        <f>基础表!N674</f>
        <v>0</v>
      </c>
      <c r="O766" s="192">
        <f ca="1">SUM(OFFSET($C766,0,0,1,mth))</f>
        <v>0</v>
      </c>
      <c r="P766" s="104">
        <v>292651</v>
      </c>
    </row>
    <row r="767" spans="1:20">
      <c r="A767" s="115" t="s">
        <v>198</v>
      </c>
      <c r="B767" s="50" t="s">
        <v>167</v>
      </c>
      <c r="C767" s="192">
        <f>基础表!C675</f>
        <v>0</v>
      </c>
      <c r="D767" s="192">
        <f>基础表!D675</f>
        <v>0</v>
      </c>
      <c r="E767" s="192">
        <f>基础表!E675</f>
        <v>7.803</v>
      </c>
      <c r="F767" s="192">
        <f>基础表!F675</f>
        <v>7.692</v>
      </c>
      <c r="G767" s="192">
        <f>基础表!G675</f>
        <v>15.592</v>
      </c>
      <c r="H767" s="192">
        <f>基础表!H675</f>
        <v>8.306</v>
      </c>
      <c r="I767" s="192">
        <f>基础表!I675</f>
        <v>0</v>
      </c>
      <c r="J767" s="192">
        <f>基础表!J675</f>
        <v>0</v>
      </c>
      <c r="K767" s="192">
        <f>基础表!K675</f>
        <v>0</v>
      </c>
      <c r="L767" s="192">
        <f>基础表!L675</f>
        <v>0</v>
      </c>
      <c r="M767" s="192">
        <f>基础表!M675</f>
        <v>0</v>
      </c>
      <c r="N767" s="192">
        <f>基础表!N675</f>
        <v>0</v>
      </c>
      <c r="O767" s="192">
        <f ca="1">SUM(OFFSET($C767,0,0,1,mth))</f>
        <v>39.393</v>
      </c>
      <c r="P767" s="104">
        <v>299669</v>
      </c>
    </row>
    <row r="768" s="38" customFormat="1" ht="15" customHeight="1" spans="1:20">
      <c r="A768" s="307" t="s">
        <v>199</v>
      </c>
      <c r="B768" s="50" t="s">
        <v>167</v>
      </c>
      <c r="C768" s="192">
        <f>基础表!C676</f>
        <v>0</v>
      </c>
      <c r="D768" s="192">
        <f>基础表!D676</f>
        <v>0</v>
      </c>
      <c r="E768" s="192">
        <f>基础表!E676</f>
        <v>0</v>
      </c>
      <c r="F768" s="192">
        <f>基础表!F676</f>
        <v>0</v>
      </c>
      <c r="G768" s="192">
        <f>基础表!G676</f>
        <v>0</v>
      </c>
      <c r="H768" s="192">
        <f>基础表!H676</f>
        <v>0</v>
      </c>
      <c r="I768" s="192">
        <f>基础表!I676</f>
        <v>0</v>
      </c>
      <c r="J768" s="192">
        <f>基础表!J676</f>
        <v>0</v>
      </c>
      <c r="K768" s="192">
        <f>基础表!K676</f>
        <v>0</v>
      </c>
      <c r="L768" s="192">
        <f>基础表!L676</f>
        <v>0</v>
      </c>
      <c r="M768" s="192">
        <f>基础表!M676</f>
        <v>0</v>
      </c>
      <c r="N768" s="192">
        <f>基础表!N676</f>
        <v>0</v>
      </c>
      <c r="O768" s="192">
        <f ca="1" t="shared" si="320"/>
        <v>0</v>
      </c>
      <c r="P768" s="104">
        <v>300312</v>
      </c>
    </row>
    <row r="769" s="38" customFormat="1" ht="15" customHeight="1" spans="1:20">
      <c r="A769" s="115" t="s">
        <v>200</v>
      </c>
      <c r="B769" s="50" t="s">
        <v>167</v>
      </c>
      <c r="C769" s="192">
        <f>基础表!C677</f>
        <v>1305.6</v>
      </c>
      <c r="D769" s="192">
        <f>基础表!D677</f>
        <v>-31.1</v>
      </c>
      <c r="E769" s="192">
        <f>基础表!E677</f>
        <v>2373.5</v>
      </c>
      <c r="F769" s="192">
        <f>基础表!F677</f>
        <v>4888</v>
      </c>
      <c r="G769" s="192">
        <f>基础表!G677</f>
        <v>2245.8</v>
      </c>
      <c r="H769" s="192">
        <f>基础表!H677</f>
        <v>1602.2</v>
      </c>
      <c r="I769" s="192">
        <f>基础表!I677</f>
        <v>0</v>
      </c>
      <c r="J769" s="192">
        <f>基础表!J677</f>
        <v>0</v>
      </c>
      <c r="K769" s="192">
        <f>基础表!K677</f>
        <v>0</v>
      </c>
      <c r="L769" s="192">
        <f>基础表!L677</f>
        <v>0</v>
      </c>
      <c r="M769" s="192">
        <f>基础表!M677</f>
        <v>0</v>
      </c>
      <c r="N769" s="192">
        <f>基础表!N677</f>
        <v>0</v>
      </c>
      <c r="O769" s="192">
        <f ca="1" t="shared" si="320"/>
        <v>12384</v>
      </c>
      <c r="P769" s="104">
        <v>302197</v>
      </c>
    </row>
    <row r="770" s="38" customFormat="1" ht="15" customHeight="1" spans="1:20">
      <c r="A770" s="115" t="str">
        <f>基础表!A678</f>
        <v>食用香精_通用_液体香精_GB30616-2020</v>
      </c>
      <c r="B770" s="50" t="s">
        <v>167</v>
      </c>
      <c r="C770" s="192">
        <f>基础表!C678</f>
        <v>0</v>
      </c>
      <c r="D770" s="192">
        <f>基础表!D678</f>
        <v>0</v>
      </c>
      <c r="E770" s="192">
        <f>基础表!E678</f>
        <v>0</v>
      </c>
      <c r="F770" s="192">
        <f>基础表!F678</f>
        <v>0</v>
      </c>
      <c r="G770" s="192">
        <f>基础表!G678</f>
        <v>-0.545</v>
      </c>
      <c r="H770" s="192">
        <f>基础表!H678</f>
        <v>0.545</v>
      </c>
      <c r="I770" s="192">
        <f>基础表!I678</f>
        <v>0</v>
      </c>
      <c r="J770" s="192">
        <f>基础表!J678</f>
        <v>0</v>
      </c>
      <c r="K770" s="192">
        <f>基础表!K678</f>
        <v>0</v>
      </c>
      <c r="L770" s="192">
        <f>基础表!L678</f>
        <v>0</v>
      </c>
      <c r="M770" s="192">
        <f>基础表!M678</f>
        <v>0</v>
      </c>
      <c r="N770" s="192">
        <f>基础表!N678</f>
        <v>0</v>
      </c>
      <c r="O770" s="192">
        <f ca="1" t="shared" si="320"/>
        <v>0</v>
      </c>
      <c r="P770" s="104">
        <v>282435</v>
      </c>
    </row>
    <row r="771" s="38" customFormat="1" ht="15" customHeight="1" spans="1:20">
      <c r="A771" s="115" t="str">
        <f>基础表!A679</f>
        <v>其它香精_通用_液体香精_SHRS0140</v>
      </c>
      <c r="B771" s="50" t="s">
        <v>167</v>
      </c>
      <c r="C771" s="192">
        <f>基础表!C679</f>
        <v>0</v>
      </c>
      <c r="D771" s="192">
        <f>基础表!D679</f>
        <v>0</v>
      </c>
      <c r="E771" s="192">
        <f>基础表!E679</f>
        <v>2.323</v>
      </c>
      <c r="F771" s="192">
        <f>基础表!F679</f>
        <v>11.8</v>
      </c>
      <c r="G771" s="192">
        <f>基础表!G679</f>
        <v>5.446</v>
      </c>
      <c r="H771" s="192">
        <f>基础表!H679</f>
        <v>0.431</v>
      </c>
      <c r="I771" s="192">
        <f>基础表!I679</f>
        <v>0</v>
      </c>
      <c r="J771" s="192">
        <f>基础表!J679</f>
        <v>0</v>
      </c>
      <c r="K771" s="192">
        <f>基础表!K679</f>
        <v>0</v>
      </c>
      <c r="L771" s="192">
        <f>基础表!L679</f>
        <v>0</v>
      </c>
      <c r="M771" s="192">
        <f>基础表!M679</f>
        <v>0</v>
      </c>
      <c r="N771" s="192">
        <f>基础表!N679</f>
        <v>0</v>
      </c>
      <c r="O771" s="192">
        <f ca="1" t="shared" si="320"/>
        <v>20</v>
      </c>
      <c r="P771" s="104">
        <v>304682</v>
      </c>
    </row>
    <row r="772" s="38" customFormat="1" ht="15" customHeight="1" spans="1:20">
      <c r="A772" s="115" t="str">
        <f>基础表!A680</f>
        <v>苯甲酸钠_通用_通用_通用</v>
      </c>
      <c r="B772" s="50" t="s">
        <v>167</v>
      </c>
      <c r="C772" s="192">
        <f>基础表!C680</f>
        <v>0</v>
      </c>
      <c r="D772" s="192">
        <f>基础表!D680</f>
        <v>0</v>
      </c>
      <c r="E772" s="192">
        <f>基础表!E680</f>
        <v>0</v>
      </c>
      <c r="F772" s="192">
        <f>基础表!F680</f>
        <v>0</v>
      </c>
      <c r="G772" s="192">
        <f>基础表!G680</f>
        <v>0</v>
      </c>
      <c r="H772" s="192">
        <f>基础表!H680</f>
        <v>0</v>
      </c>
      <c r="I772" s="192">
        <f>基础表!I680</f>
        <v>0</v>
      </c>
      <c r="J772" s="192">
        <f>基础表!J680</f>
        <v>0</v>
      </c>
      <c r="K772" s="192">
        <f>基础表!K680</f>
        <v>0</v>
      </c>
      <c r="L772" s="192">
        <f>基础表!L680</f>
        <v>0</v>
      </c>
      <c r="M772" s="192">
        <f>基础表!M680</f>
        <v>0</v>
      </c>
      <c r="N772" s="192">
        <f>基础表!N680</f>
        <v>0</v>
      </c>
      <c r="O772" s="192">
        <f ca="1" t="shared" si="320"/>
        <v>0</v>
      </c>
      <c r="P772" s="104">
        <v>280314</v>
      </c>
    </row>
    <row r="773" s="38" customFormat="1" ht="15" customHeight="1" spans="1:20">
      <c r="A773" s="115" t="str">
        <f>基础表!A681</f>
        <v>其它香精_通用_液体香精_SHRS0100</v>
      </c>
      <c r="B773" s="50" t="s">
        <v>167</v>
      </c>
      <c r="C773" s="192">
        <f>基础表!C681</f>
        <v>0</v>
      </c>
      <c r="D773" s="192">
        <f>基础表!D681</f>
        <v>0</v>
      </c>
      <c r="E773" s="192">
        <f>基础表!E681</f>
        <v>0</v>
      </c>
      <c r="F773" s="192">
        <f>基础表!F681</f>
        <v>5.48</v>
      </c>
      <c r="G773" s="192">
        <f>基础表!G681</f>
        <v>5.198</v>
      </c>
      <c r="H773" s="192">
        <f>基础表!H681</f>
        <v>5.76</v>
      </c>
      <c r="I773" s="192">
        <f>基础表!I681</f>
        <v>0</v>
      </c>
      <c r="J773" s="192">
        <f>基础表!J681</f>
        <v>0</v>
      </c>
      <c r="K773" s="192">
        <f>基础表!K681</f>
        <v>0</v>
      </c>
      <c r="L773" s="192">
        <f>基础表!L681</f>
        <v>0</v>
      </c>
      <c r="M773" s="192">
        <f>基础表!M681</f>
        <v>0</v>
      </c>
      <c r="N773" s="192">
        <f>基础表!N681</f>
        <v>0</v>
      </c>
      <c r="O773" s="192">
        <f ca="1" t="shared" si="320"/>
        <v>16.438</v>
      </c>
      <c r="P773" s="104">
        <v>304680</v>
      </c>
      <c r="T773" s="361"/>
    </row>
    <row r="774" s="38" customFormat="1" ht="15" customHeight="1" spans="1:20">
      <c r="A774" s="115" t="str">
        <f>基础表!A682</f>
        <v>其它香精_通用_液体香精_SHRS0120</v>
      </c>
      <c r="B774" s="50" t="s">
        <v>167</v>
      </c>
      <c r="C774" s="192">
        <f>基础表!C682</f>
        <v>24.458</v>
      </c>
      <c r="D774" s="192">
        <f>基础表!D682</f>
        <v>24.879</v>
      </c>
      <c r="E774" s="192">
        <f>基础表!E682</f>
        <v>49.346</v>
      </c>
      <c r="F774" s="192">
        <f>基础表!F682</f>
        <v>49.458</v>
      </c>
      <c r="G774" s="192">
        <f>基础表!G682</f>
        <v>149.376</v>
      </c>
      <c r="H774" s="192">
        <f>基础表!H682</f>
        <v>0</v>
      </c>
      <c r="I774" s="192">
        <f>基础表!I682</f>
        <v>0</v>
      </c>
      <c r="J774" s="192">
        <f>基础表!J682</f>
        <v>0</v>
      </c>
      <c r="K774" s="192">
        <f>基础表!K682</f>
        <v>0</v>
      </c>
      <c r="L774" s="192">
        <f>基础表!L682</f>
        <v>0</v>
      </c>
      <c r="M774" s="192">
        <f>基础表!M682</f>
        <v>0</v>
      </c>
      <c r="N774" s="192">
        <f>基础表!N682</f>
        <v>0</v>
      </c>
      <c r="O774" s="192">
        <f ca="1" t="shared" si="320"/>
        <v>297.517</v>
      </c>
      <c r="P774" s="104">
        <v>304681</v>
      </c>
      <c r="T774" s="361"/>
    </row>
    <row r="775" s="38" customFormat="1" ht="15" customHeight="1" spans="1:20">
      <c r="A775" s="115" t="str">
        <f>基础表!A683</f>
        <v>甘蔗香精_通用_通用</v>
      </c>
      <c r="B775" s="50" t="s">
        <v>167</v>
      </c>
      <c r="C775" s="192">
        <f>基础表!C683</f>
        <v>0</v>
      </c>
      <c r="D775" s="192">
        <f>基础表!D683</f>
        <v>0</v>
      </c>
      <c r="E775" s="192">
        <f>基础表!E683</f>
        <v>0</v>
      </c>
      <c r="F775" s="192">
        <f>基础表!F683</f>
        <v>0</v>
      </c>
      <c r="G775" s="192">
        <f>基础表!G683</f>
        <v>0</v>
      </c>
      <c r="H775" s="192">
        <f>基础表!H683</f>
        <v>0</v>
      </c>
      <c r="I775" s="192">
        <f>基础表!I683</f>
        <v>0</v>
      </c>
      <c r="J775" s="192">
        <f>基础表!J683</f>
        <v>0</v>
      </c>
      <c r="K775" s="192">
        <f>基础表!K683</f>
        <v>0</v>
      </c>
      <c r="L775" s="192">
        <f>基础表!L683</f>
        <v>0</v>
      </c>
      <c r="M775" s="192">
        <f>基础表!M683</f>
        <v>0</v>
      </c>
      <c r="N775" s="192">
        <f>基础表!N683</f>
        <v>0</v>
      </c>
      <c r="O775" s="192">
        <f ca="1" t="shared" si="320"/>
        <v>0</v>
      </c>
      <c r="P775" s="104">
        <v>245231</v>
      </c>
      <c r="T775" s="361"/>
    </row>
    <row r="776" s="38" customFormat="1" ht="15" customHeight="1" spans="1:20">
      <c r="A776" s="115" t="str">
        <f>基础表!A684</f>
        <v>炒板栗香精_通用_通用</v>
      </c>
      <c r="B776" s="50" t="s">
        <v>167</v>
      </c>
      <c r="C776" s="192">
        <f>基础表!C684</f>
        <v>0</v>
      </c>
      <c r="D776" s="192">
        <f>基础表!D684</f>
        <v>0</v>
      </c>
      <c r="E776" s="192">
        <f>基础表!E684</f>
        <v>0</v>
      </c>
      <c r="F776" s="192">
        <f>基础表!F684</f>
        <v>0</v>
      </c>
      <c r="G776" s="192">
        <f>基础表!G684</f>
        <v>0</v>
      </c>
      <c r="H776" s="192">
        <f>基础表!H684</f>
        <v>0</v>
      </c>
      <c r="I776" s="192">
        <f>基础表!I684</f>
        <v>0</v>
      </c>
      <c r="J776" s="192">
        <f>基础表!J684</f>
        <v>0</v>
      </c>
      <c r="K776" s="192">
        <f>基础表!K684</f>
        <v>0</v>
      </c>
      <c r="L776" s="192">
        <f>基础表!L684</f>
        <v>0</v>
      </c>
      <c r="M776" s="192">
        <f>基础表!M684</f>
        <v>0</v>
      </c>
      <c r="N776" s="192">
        <f>基础表!N684</f>
        <v>0</v>
      </c>
      <c r="O776" s="192">
        <f ca="1" t="shared" si="320"/>
        <v>0</v>
      </c>
      <c r="P776" s="104">
        <v>247996</v>
      </c>
      <c r="T776" s="361"/>
    </row>
    <row r="777" s="38" customFormat="1" ht="15" customHeight="1" spans="1:20">
      <c r="A777" s="115" t="str">
        <f>基础表!A685</f>
        <v>其它香精_通用_液体香精_SHRS0160</v>
      </c>
      <c r="B777" s="50" t="s">
        <v>167</v>
      </c>
      <c r="C777" s="192">
        <f>基础表!C685</f>
        <v>3.172</v>
      </c>
      <c r="D777" s="192">
        <f>基础表!D685</f>
        <v>1.56</v>
      </c>
      <c r="E777" s="192">
        <f>基础表!E685</f>
        <v>0</v>
      </c>
      <c r="F777" s="192">
        <f>基础表!F685</f>
        <v>3.564</v>
      </c>
      <c r="G777" s="192">
        <f>基础表!G685</f>
        <v>2.558</v>
      </c>
      <c r="H777" s="192">
        <f>基础表!H685</f>
        <v>0</v>
      </c>
      <c r="I777" s="192">
        <f>基础表!I685</f>
        <v>0</v>
      </c>
      <c r="J777" s="192">
        <f>基础表!J685</f>
        <v>0</v>
      </c>
      <c r="K777" s="192">
        <f>基础表!K685</f>
        <v>0</v>
      </c>
      <c r="L777" s="192">
        <f>基础表!L685</f>
        <v>0</v>
      </c>
      <c r="M777" s="192">
        <f>基础表!M685</f>
        <v>0</v>
      </c>
      <c r="N777" s="192">
        <f>基础表!N685</f>
        <v>0</v>
      </c>
      <c r="O777" s="192">
        <f ca="1" t="shared" si="320"/>
        <v>10.854</v>
      </c>
      <c r="P777" s="104">
        <v>262532</v>
      </c>
      <c r="T777" s="361"/>
    </row>
    <row r="778" s="38" customFormat="1" ht="15" customHeight="1" spans="1:20">
      <c r="A778" s="115" t="str">
        <f>基础表!A686</f>
        <v>其它香精_通用_液体香精_SHRS0240</v>
      </c>
      <c r="B778" s="50" t="s">
        <v>167</v>
      </c>
      <c r="C778" s="192">
        <f>基础表!C686</f>
        <v>1.442</v>
      </c>
      <c r="D778" s="192">
        <f>基础表!D686</f>
        <v>0</v>
      </c>
      <c r="E778" s="192">
        <f>基础表!E686</f>
        <v>0</v>
      </c>
      <c r="F778" s="192">
        <f>基础表!F686</f>
        <v>1.62</v>
      </c>
      <c r="G778" s="192">
        <f>基础表!G686</f>
        <v>0</v>
      </c>
      <c r="H778" s="192">
        <f>基础表!H686</f>
        <v>0.241</v>
      </c>
      <c r="I778" s="192">
        <f>基础表!I686</f>
        <v>0</v>
      </c>
      <c r="J778" s="192">
        <f>基础表!J686</f>
        <v>0</v>
      </c>
      <c r="K778" s="192">
        <f>基础表!K686</f>
        <v>0</v>
      </c>
      <c r="L778" s="192">
        <f>基础表!L686</f>
        <v>0</v>
      </c>
      <c r="M778" s="192">
        <f>基础表!M686</f>
        <v>0</v>
      </c>
      <c r="N778" s="192">
        <f>基础表!N686</f>
        <v>0</v>
      </c>
      <c r="O778" s="192">
        <f ca="1" t="shared" si="320"/>
        <v>3.303</v>
      </c>
      <c r="P778" s="104"/>
      <c r="T778" s="361"/>
    </row>
    <row r="779" s="38" customFormat="1" ht="15" customHeight="1" spans="1:20">
      <c r="A779" s="115" t="str">
        <f>基础表!A687</f>
        <v>其它香精_通用_液体香精_SHRS0220</v>
      </c>
      <c r="B779" s="50" t="s">
        <v>167</v>
      </c>
      <c r="C779" s="192">
        <f>基础表!C687</f>
        <v>0</v>
      </c>
      <c r="D779" s="192">
        <f>基础表!D687</f>
        <v>4.992</v>
      </c>
      <c r="E779" s="192">
        <f>基础表!E687</f>
        <v>0</v>
      </c>
      <c r="F779" s="192">
        <f>基础表!F687</f>
        <v>0</v>
      </c>
      <c r="G779" s="192">
        <f>基础表!G687</f>
        <v>8.186</v>
      </c>
      <c r="H779" s="192">
        <f>基础表!H687</f>
        <v>0</v>
      </c>
      <c r="I779" s="192">
        <f>基础表!I687</f>
        <v>0</v>
      </c>
      <c r="J779" s="192">
        <f>基础表!J687</f>
        <v>0</v>
      </c>
      <c r="K779" s="192">
        <f>基础表!K687</f>
        <v>0</v>
      </c>
      <c r="L779" s="192">
        <f>基础表!L687</f>
        <v>0</v>
      </c>
      <c r="M779" s="192">
        <f>基础表!M687</f>
        <v>0</v>
      </c>
      <c r="N779" s="192">
        <f>基础表!N687</f>
        <v>0</v>
      </c>
      <c r="O779" s="192">
        <f ca="1" t="shared" si="320"/>
        <v>13.178</v>
      </c>
      <c r="P779" s="104"/>
      <c r="T779" s="361"/>
    </row>
    <row r="780" s="38" customFormat="1" ht="15" customHeight="1" spans="1:20">
      <c r="A780" s="115" t="str">
        <f>基础表!A688</f>
        <v>甘蔗多酚_通用</v>
      </c>
      <c r="B780" s="50" t="s">
        <v>167</v>
      </c>
      <c r="C780" s="192">
        <f>基础表!C688</f>
        <v>0</v>
      </c>
      <c r="D780" s="192">
        <f>基础表!D688</f>
        <v>0</v>
      </c>
      <c r="E780" s="192">
        <f>基础表!E688</f>
        <v>0</v>
      </c>
      <c r="F780" s="192">
        <f>基础表!F688</f>
        <v>0</v>
      </c>
      <c r="G780" s="192">
        <f>基础表!G688</f>
        <v>0</v>
      </c>
      <c r="H780" s="192">
        <f>基础表!H688</f>
        <v>0</v>
      </c>
      <c r="I780" s="192">
        <f>基础表!I688</f>
        <v>0</v>
      </c>
      <c r="J780" s="192">
        <f>基础表!J688</f>
        <v>0</v>
      </c>
      <c r="K780" s="192">
        <f>基础表!K688</f>
        <v>0</v>
      </c>
      <c r="L780" s="192">
        <f>基础表!L688</f>
        <v>0</v>
      </c>
      <c r="M780" s="192">
        <f>基础表!M688</f>
        <v>0</v>
      </c>
      <c r="N780" s="192">
        <f>基础表!N688</f>
        <v>0</v>
      </c>
      <c r="O780" s="192">
        <f ca="1" t="shared" si="320"/>
        <v>0</v>
      </c>
      <c r="P780" s="104"/>
      <c r="T780" s="361"/>
    </row>
    <row r="781" s="38" customFormat="1" ht="15" customHeight="1" spans="1:20">
      <c r="A781" s="115" t="str">
        <f>基础表!A689</f>
        <v>其它香精_通用_液体香精_SHRS0200</v>
      </c>
      <c r="B781" s="50" t="s">
        <v>167</v>
      </c>
      <c r="C781" s="192">
        <f>基础表!C689</f>
        <v>0</v>
      </c>
      <c r="D781" s="192">
        <f>基础表!D689</f>
        <v>1.872</v>
      </c>
      <c r="E781" s="192">
        <f>基础表!E689</f>
        <v>0</v>
      </c>
      <c r="F781" s="192">
        <f>基础表!F689</f>
        <v>0</v>
      </c>
      <c r="G781" s="192">
        <f>基础表!G689</f>
        <v>3.07</v>
      </c>
      <c r="H781" s="192">
        <f>基础表!H689</f>
        <v>0</v>
      </c>
      <c r="I781" s="192">
        <f>基础表!I689</f>
        <v>0</v>
      </c>
      <c r="J781" s="192">
        <f>基础表!J689</f>
        <v>0</v>
      </c>
      <c r="K781" s="192">
        <f>基础表!K689</f>
        <v>0</v>
      </c>
      <c r="L781" s="192">
        <f>基础表!L689</f>
        <v>0</v>
      </c>
      <c r="M781" s="192">
        <f>基础表!M689</f>
        <v>0</v>
      </c>
      <c r="N781" s="192">
        <f>基础表!N689</f>
        <v>0</v>
      </c>
      <c r="O781" s="192">
        <f ca="1" t="shared" si="320"/>
        <v>4.942</v>
      </c>
      <c r="P781" s="104"/>
      <c r="T781" s="361"/>
    </row>
    <row r="782" s="38" customFormat="1" ht="15" customHeight="1" spans="1:20">
      <c r="A782" s="115" t="str">
        <f>基础表!A690</f>
        <v>无水柠檬酸_细目</v>
      </c>
      <c r="B782" s="50" t="s">
        <v>167</v>
      </c>
      <c r="C782" s="192">
        <f>基础表!C690</f>
        <v>0.049</v>
      </c>
      <c r="D782" s="192">
        <f>基础表!D690</f>
        <v>0.02</v>
      </c>
      <c r="E782" s="192">
        <f>基础表!E690</f>
        <v>0.091</v>
      </c>
      <c r="F782" s="192">
        <f>基础表!F690</f>
        <v>0.052</v>
      </c>
      <c r="G782" s="192">
        <f>基础表!G690</f>
        <v>0.115</v>
      </c>
      <c r="H782" s="192">
        <f>基础表!H690</f>
        <v>0.063</v>
      </c>
      <c r="I782" s="192">
        <f>基础表!I690</f>
        <v>0</v>
      </c>
      <c r="J782" s="192">
        <f>基础表!J690</f>
        <v>0</v>
      </c>
      <c r="K782" s="192">
        <f>基础表!K690</f>
        <v>0</v>
      </c>
      <c r="L782" s="192">
        <f>基础表!L690</f>
        <v>0</v>
      </c>
      <c r="M782" s="192">
        <f>基础表!M690</f>
        <v>0</v>
      </c>
      <c r="N782" s="192">
        <f>基础表!N690</f>
        <v>0</v>
      </c>
      <c r="O782" s="192">
        <f ca="1" t="shared" si="320"/>
        <v>0.39</v>
      </c>
      <c r="P782" s="104"/>
      <c r="T782" s="361"/>
    </row>
    <row r="783" s="38" customFormat="1" ht="15" customHeight="1" spans="1:20">
      <c r="A783" s="115" t="s">
        <v>340</v>
      </c>
      <c r="B783" s="50"/>
      <c r="C783" s="192">
        <f>基础表!C691</f>
        <v>0</v>
      </c>
      <c r="D783" s="192">
        <f>基础表!D691</f>
        <v>0</v>
      </c>
      <c r="E783" s="192">
        <f>基础表!E691</f>
        <v>0</v>
      </c>
      <c r="F783" s="192">
        <f>基础表!F691</f>
        <v>0.423</v>
      </c>
      <c r="G783" s="192">
        <f>基础表!G691</f>
        <v>1.271</v>
      </c>
      <c r="H783" s="192">
        <f>基础表!H691</f>
        <v>0.306</v>
      </c>
      <c r="I783" s="192">
        <f>基础表!I691</f>
        <v>0</v>
      </c>
      <c r="J783" s="192">
        <f>基础表!J691</f>
        <v>0</v>
      </c>
      <c r="K783" s="192">
        <f>基础表!K691</f>
        <v>0</v>
      </c>
      <c r="L783" s="192">
        <f>基础表!L691</f>
        <v>0</v>
      </c>
      <c r="M783" s="192">
        <f>基础表!M691</f>
        <v>0</v>
      </c>
      <c r="N783" s="192">
        <f>基础表!N691</f>
        <v>0</v>
      </c>
      <c r="O783" s="192">
        <f ca="1">SUM(OFFSET($C783,0,0,1,mth))</f>
        <v>2</v>
      </c>
      <c r="P783" s="104"/>
      <c r="T783" s="361"/>
    </row>
    <row r="784" s="38" customFormat="1" ht="15" customHeight="1" spans="1:20">
      <c r="A784" s="229" t="s">
        <v>341</v>
      </c>
      <c r="B784" s="229"/>
      <c r="C784" s="363">
        <f>基础表!C692</f>
        <v>20111.033</v>
      </c>
      <c r="D784" s="363">
        <f>基础表!D692</f>
        <v>7814.793</v>
      </c>
      <c r="E784" s="363">
        <f>基础表!E692</f>
        <v>36492.408</v>
      </c>
      <c r="F784" s="363">
        <f>基础表!F692</f>
        <v>58299.003</v>
      </c>
      <c r="G784" s="363">
        <f>基础表!G692</f>
        <v>51090.669</v>
      </c>
      <c r="H784" s="363">
        <f>基础表!H692</f>
        <v>18244.644</v>
      </c>
      <c r="I784" s="363">
        <f>基础表!I692</f>
        <v>0</v>
      </c>
      <c r="J784" s="363">
        <f>基础表!J692</f>
        <v>0</v>
      </c>
      <c r="K784" s="363">
        <f>基础表!K692</f>
        <v>0</v>
      </c>
      <c r="L784" s="363">
        <f>基础表!L692</f>
        <v>0</v>
      </c>
      <c r="M784" s="363">
        <f>基础表!M692</f>
        <v>0</v>
      </c>
      <c r="N784" s="363">
        <f>基础表!N692</f>
        <v>0</v>
      </c>
      <c r="O784" s="192">
        <f ca="1">SUM(OFFSET($C784,0,0,1,mth))</f>
        <v>192052.55</v>
      </c>
      <c r="P784" s="104"/>
    </row>
    <row r="785" s="38" customFormat="1" ht="15" customHeight="1" spans="1:20">
      <c r="A785" s="239" t="s">
        <v>342</v>
      </c>
      <c r="B785" s="239"/>
      <c r="C785" s="137" t="s">
        <v>339</v>
      </c>
      <c r="D785" s="240"/>
      <c r="G785" s="96"/>
      <c r="N785" s="71"/>
      <c r="O785" s="71"/>
      <c r="P785" s="71"/>
    </row>
    <row r="786" spans="1:20">
      <c r="A786" s="185" t="s">
        <v>250</v>
      </c>
      <c r="B786" s="106" t="s">
        <v>77</v>
      </c>
      <c r="C786" s="107" t="s">
        <v>220</v>
      </c>
      <c r="D786" s="107" t="s">
        <v>221</v>
      </c>
      <c r="E786" s="107" t="s">
        <v>222</v>
      </c>
      <c r="F786" s="107" t="s">
        <v>223</v>
      </c>
      <c r="G786" s="107" t="s">
        <v>224</v>
      </c>
      <c r="H786" s="107" t="s">
        <v>225</v>
      </c>
      <c r="I786" s="107" t="s">
        <v>226</v>
      </c>
      <c r="J786" s="107" t="s">
        <v>227</v>
      </c>
      <c r="K786" s="107" t="s">
        <v>228</v>
      </c>
      <c r="L786" s="107" t="s">
        <v>229</v>
      </c>
      <c r="M786" s="107" t="s">
        <v>230</v>
      </c>
      <c r="N786" s="107" t="s">
        <v>231</v>
      </c>
      <c r="O786" s="107" t="str">
        <f>CONCATENATE("1-"&amp;mth&amp;"月累计")</f>
        <v>1-8月累计</v>
      </c>
      <c r="P786" s="71"/>
    </row>
    <row r="787" spans="1:20">
      <c r="A787" s="307" t="s">
        <v>178</v>
      </c>
      <c r="B787" s="50" t="s">
        <v>167</v>
      </c>
      <c r="C787" s="192">
        <f>基础表!C695</f>
        <v>0</v>
      </c>
      <c r="D787" s="192">
        <f>基础表!D695</f>
        <v>0</v>
      </c>
      <c r="E787" s="192">
        <f>基础表!E695</f>
        <v>0</v>
      </c>
      <c r="F787" s="192">
        <f>基础表!F695</f>
        <v>0</v>
      </c>
      <c r="G787" s="192">
        <f>基础表!G695</f>
        <v>0</v>
      </c>
      <c r="H787" s="192">
        <f>基础表!H695</f>
        <v>0</v>
      </c>
      <c r="I787" s="192">
        <f>基础表!I695</f>
        <v>0</v>
      </c>
      <c r="J787" s="192">
        <f>基础表!J695</f>
        <v>0</v>
      </c>
      <c r="K787" s="192">
        <f>基础表!K695</f>
        <v>0</v>
      </c>
      <c r="L787" s="192">
        <f>基础表!L695</f>
        <v>0</v>
      </c>
      <c r="M787" s="192">
        <f>基础表!M695</f>
        <v>0</v>
      </c>
      <c r="N787" s="192">
        <f>基础表!N695</f>
        <v>0</v>
      </c>
      <c r="O787" s="192">
        <f ca="1" t="shared" ref="O787:O815" si="321">SUM(OFFSET($C787,0,0,1,mth))</f>
        <v>0</v>
      </c>
      <c r="P787" s="104">
        <v>213243</v>
      </c>
    </row>
    <row r="788" spans="1:20">
      <c r="A788" s="307" t="s">
        <v>179</v>
      </c>
      <c r="B788" s="50" t="s">
        <v>167</v>
      </c>
      <c r="C788" s="192">
        <f>基础表!C696</f>
        <v>0</v>
      </c>
      <c r="D788" s="192">
        <f>基础表!D696</f>
        <v>65</v>
      </c>
      <c r="E788" s="192">
        <f>基础表!E696</f>
        <v>25.5</v>
      </c>
      <c r="F788" s="192">
        <f>基础表!F696</f>
        <v>209.5</v>
      </c>
      <c r="G788" s="192">
        <f>基础表!G696</f>
        <v>360</v>
      </c>
      <c r="H788" s="192">
        <f>基础表!H696</f>
        <v>120.3</v>
      </c>
      <c r="I788" s="192">
        <f>基础表!I696</f>
        <v>0</v>
      </c>
      <c r="J788" s="192">
        <f>基础表!J696</f>
        <v>0</v>
      </c>
      <c r="K788" s="192">
        <f>基础表!K696</f>
        <v>0</v>
      </c>
      <c r="L788" s="192">
        <f>基础表!L696</f>
        <v>0</v>
      </c>
      <c r="M788" s="192">
        <f>基础表!M696</f>
        <v>0</v>
      </c>
      <c r="N788" s="192">
        <f>基础表!N696</f>
        <v>0</v>
      </c>
      <c r="O788" s="192">
        <f ca="1" t="shared" si="321"/>
        <v>780.3</v>
      </c>
      <c r="P788" s="104">
        <v>235372</v>
      </c>
    </row>
    <row r="789" spans="1:20">
      <c r="A789" s="307" t="s">
        <v>180</v>
      </c>
      <c r="B789" s="50" t="s">
        <v>167</v>
      </c>
      <c r="C789" s="192">
        <f>基础表!C697</f>
        <v>0</v>
      </c>
      <c r="D789" s="192">
        <f>基础表!D697</f>
        <v>0</v>
      </c>
      <c r="E789" s="192">
        <f>基础表!E697</f>
        <v>0</v>
      </c>
      <c r="F789" s="192">
        <f>基础表!F697</f>
        <v>0</v>
      </c>
      <c r="G789" s="192">
        <f>基础表!G697</f>
        <v>0</v>
      </c>
      <c r="H789" s="192">
        <f>基础表!H697</f>
        <v>0</v>
      </c>
      <c r="I789" s="192">
        <f>基础表!I697</f>
        <v>0</v>
      </c>
      <c r="J789" s="192">
        <f>基础表!J697</f>
        <v>0</v>
      </c>
      <c r="K789" s="192">
        <f>基础表!K697</f>
        <v>0</v>
      </c>
      <c r="L789" s="192">
        <f>基础表!L697</f>
        <v>0</v>
      </c>
      <c r="M789" s="192">
        <f>基础表!M697</f>
        <v>0</v>
      </c>
      <c r="N789" s="192">
        <f>基础表!N697</f>
        <v>0</v>
      </c>
      <c r="O789" s="192">
        <f ca="1" t="shared" si="321"/>
        <v>0</v>
      </c>
      <c r="P789" s="104">
        <v>244192</v>
      </c>
    </row>
    <row r="790" spans="1:20">
      <c r="A790" s="307" t="s">
        <v>181</v>
      </c>
      <c r="B790" s="50" t="s">
        <v>167</v>
      </c>
      <c r="C790" s="192">
        <f>基础表!C698</f>
        <v>0</v>
      </c>
      <c r="D790" s="192">
        <f>基础表!D698</f>
        <v>4200</v>
      </c>
      <c r="E790" s="192">
        <f>基础表!E698</f>
        <v>0</v>
      </c>
      <c r="F790" s="192">
        <f>基础表!F698</f>
        <v>4200</v>
      </c>
      <c r="G790" s="192">
        <f>基础表!G698</f>
        <v>8605</v>
      </c>
      <c r="H790" s="192">
        <f>基础表!H698</f>
        <v>3375</v>
      </c>
      <c r="I790" s="192">
        <f>基础表!I698</f>
        <v>0</v>
      </c>
      <c r="J790" s="192">
        <f>基础表!J698</f>
        <v>0</v>
      </c>
      <c r="K790" s="192">
        <f>基础表!K698</f>
        <v>0</v>
      </c>
      <c r="L790" s="192">
        <f>基础表!L698</f>
        <v>0</v>
      </c>
      <c r="M790" s="192">
        <f>基础表!M698</f>
        <v>0</v>
      </c>
      <c r="N790" s="192">
        <f>基础表!N698</f>
        <v>0</v>
      </c>
      <c r="O790" s="192">
        <f ca="1" t="shared" si="321"/>
        <v>20380</v>
      </c>
      <c r="P790" s="104">
        <v>244193</v>
      </c>
    </row>
    <row r="791" spans="1:20">
      <c r="A791" s="307" t="s">
        <v>182</v>
      </c>
      <c r="B791" s="50" t="s">
        <v>167</v>
      </c>
      <c r="C791" s="192">
        <f>基础表!C699</f>
        <v>4601.015</v>
      </c>
      <c r="D791" s="192">
        <f>基础表!D699</f>
        <v>6748.88</v>
      </c>
      <c r="E791" s="192">
        <f>基础表!E699</f>
        <v>720</v>
      </c>
      <c r="F791" s="192">
        <f>基础表!F699</f>
        <v>9737.305</v>
      </c>
      <c r="G791" s="192">
        <f>基础表!G699</f>
        <v>19525.245</v>
      </c>
      <c r="H791" s="192">
        <f>基础表!H699</f>
        <v>11098.619</v>
      </c>
      <c r="I791" s="192">
        <f>基础表!I699</f>
        <v>0</v>
      </c>
      <c r="J791" s="192">
        <f>基础表!J699</f>
        <v>0</v>
      </c>
      <c r="K791" s="192">
        <f>基础表!K699</f>
        <v>0</v>
      </c>
      <c r="L791" s="192">
        <f>基础表!L699</f>
        <v>0</v>
      </c>
      <c r="M791" s="192">
        <f>基础表!M699</f>
        <v>0</v>
      </c>
      <c r="N791" s="192">
        <f>基础表!N699</f>
        <v>0</v>
      </c>
      <c r="O791" s="192">
        <f ca="1" t="shared" si="321"/>
        <v>52431.064</v>
      </c>
      <c r="P791" s="104">
        <v>244194</v>
      </c>
    </row>
    <row r="792" spans="1:20">
      <c r="A792" s="307" t="s">
        <v>183</v>
      </c>
      <c r="B792" s="50" t="s">
        <v>167</v>
      </c>
      <c r="C792" s="192">
        <f>基础表!C700</f>
        <v>5500</v>
      </c>
      <c r="D792" s="192">
        <f>基础表!D700</f>
        <v>3000</v>
      </c>
      <c r="E792" s="192">
        <f>基础表!E700</f>
        <v>0</v>
      </c>
      <c r="F792" s="192">
        <f>基础表!F700</f>
        <v>5000</v>
      </c>
      <c r="G792" s="192">
        <f>基础表!G700</f>
        <v>5125</v>
      </c>
      <c r="H792" s="192">
        <f>基础表!H700</f>
        <v>6955</v>
      </c>
      <c r="I792" s="192">
        <f>基础表!I700</f>
        <v>0</v>
      </c>
      <c r="J792" s="192">
        <f>基础表!J700</f>
        <v>0</v>
      </c>
      <c r="K792" s="192">
        <f>基础表!K700</f>
        <v>0</v>
      </c>
      <c r="L792" s="192">
        <f>基础表!L700</f>
        <v>0</v>
      </c>
      <c r="M792" s="192">
        <f>基础表!M700</f>
        <v>0</v>
      </c>
      <c r="N792" s="192">
        <f>基础表!N700</f>
        <v>0</v>
      </c>
      <c r="O792" s="192">
        <f ca="1">SUM(OFFSET($C792,0,0,1,mth))</f>
        <v>25580</v>
      </c>
      <c r="P792" s="104">
        <v>246164</v>
      </c>
    </row>
    <row r="793" spans="1:20">
      <c r="A793" s="307" t="s">
        <v>184</v>
      </c>
      <c r="B793" s="50" t="s">
        <v>167</v>
      </c>
      <c r="C793" s="192">
        <f>基础表!C701</f>
        <v>207.2</v>
      </c>
      <c r="D793" s="192">
        <f>基础表!D701</f>
        <v>124.3</v>
      </c>
      <c r="E793" s="192">
        <f>基础表!E701</f>
        <v>0</v>
      </c>
      <c r="F793" s="192">
        <f>基础表!F701</f>
        <v>192</v>
      </c>
      <c r="G793" s="192">
        <f>基础表!G701</f>
        <v>210</v>
      </c>
      <c r="H793" s="192">
        <f>基础表!H701</f>
        <v>293</v>
      </c>
      <c r="I793" s="192">
        <f>基础表!I701</f>
        <v>0</v>
      </c>
      <c r="J793" s="192">
        <f>基础表!J701</f>
        <v>0</v>
      </c>
      <c r="K793" s="192">
        <f>基础表!K701</f>
        <v>0</v>
      </c>
      <c r="L793" s="192">
        <f>基础表!L701</f>
        <v>0</v>
      </c>
      <c r="M793" s="192">
        <f>基础表!M701</f>
        <v>0</v>
      </c>
      <c r="N793" s="192">
        <f>基础表!N701</f>
        <v>0</v>
      </c>
      <c r="O793" s="192">
        <f ca="1">SUM(OFFSET($C793,0,0,1,mth))</f>
        <v>1026.5</v>
      </c>
      <c r="P793" s="104">
        <v>247994</v>
      </c>
    </row>
    <row r="794" s="38" customFormat="1" ht="15" customHeight="1" spans="1:20">
      <c r="A794" s="307" t="s">
        <v>185</v>
      </c>
      <c r="B794" s="50" t="s">
        <v>167</v>
      </c>
      <c r="C794" s="192">
        <f>基础表!C702</f>
        <v>43.2</v>
      </c>
      <c r="D794" s="192">
        <f>基础表!D702</f>
        <v>41.708</v>
      </c>
      <c r="E794" s="192">
        <f>基础表!E702</f>
        <v>0</v>
      </c>
      <c r="F794" s="192">
        <f>基础表!F702</f>
        <v>64.5</v>
      </c>
      <c r="G794" s="192">
        <f>基础表!G702</f>
        <v>70.709</v>
      </c>
      <c r="H794" s="192">
        <f>基础表!H702</f>
        <v>77.5</v>
      </c>
      <c r="I794" s="192">
        <f>基础表!I702</f>
        <v>0</v>
      </c>
      <c r="J794" s="192">
        <f>基础表!J702</f>
        <v>0</v>
      </c>
      <c r="K794" s="192">
        <f>基础表!K702</f>
        <v>0</v>
      </c>
      <c r="L794" s="192">
        <f>基础表!L702</f>
        <v>0</v>
      </c>
      <c r="M794" s="192">
        <f>基础表!M702</f>
        <v>0</v>
      </c>
      <c r="N794" s="192">
        <f>基础表!N702</f>
        <v>0</v>
      </c>
      <c r="O794" s="192">
        <f ca="1" t="shared" si="321"/>
        <v>297.617</v>
      </c>
      <c r="P794" s="104">
        <v>247995</v>
      </c>
    </row>
    <row r="795" s="38" customFormat="1" ht="15" customHeight="1" spans="1:20">
      <c r="A795" s="307" t="s">
        <v>186</v>
      </c>
      <c r="B795" s="50" t="s">
        <v>167</v>
      </c>
      <c r="C795" s="192">
        <f>基础表!C703</f>
        <v>11.952</v>
      </c>
      <c r="D795" s="192">
        <f>基础表!D703</f>
        <v>41.83</v>
      </c>
      <c r="E795" s="192">
        <f>基础表!E703</f>
        <v>18.089</v>
      </c>
      <c r="F795" s="192">
        <f>基础表!F703</f>
        <v>37.16</v>
      </c>
      <c r="G795" s="192">
        <f>基础表!G703</f>
        <v>102.345</v>
      </c>
      <c r="H795" s="192">
        <f>基础表!H703</f>
        <v>82.588</v>
      </c>
      <c r="I795" s="192">
        <f>基础表!I703</f>
        <v>0</v>
      </c>
      <c r="J795" s="192">
        <f>基础表!J703</f>
        <v>0</v>
      </c>
      <c r="K795" s="192">
        <f>基础表!K703</f>
        <v>0</v>
      </c>
      <c r="L795" s="192">
        <f>基础表!L703</f>
        <v>0</v>
      </c>
      <c r="M795" s="192">
        <f>基础表!M703</f>
        <v>0</v>
      </c>
      <c r="N795" s="192">
        <f>基础表!N703</f>
        <v>0</v>
      </c>
      <c r="O795" s="192">
        <f ca="1" t="shared" si="321"/>
        <v>293.964</v>
      </c>
      <c r="P795" s="104">
        <v>262531</v>
      </c>
    </row>
    <row r="796" s="38" customFormat="1" ht="15" customHeight="1" spans="1:20">
      <c r="A796" s="307" t="s">
        <v>187</v>
      </c>
      <c r="B796" s="50" t="s">
        <v>167</v>
      </c>
      <c r="C796" s="192">
        <f>基础表!C704</f>
        <v>0</v>
      </c>
      <c r="D796" s="192">
        <f>基础表!D704</f>
        <v>0</v>
      </c>
      <c r="E796" s="192">
        <f>基础表!E704</f>
        <v>0</v>
      </c>
      <c r="F796" s="192">
        <f>基础表!F704</f>
        <v>0</v>
      </c>
      <c r="G796" s="192">
        <f>基础表!G704</f>
        <v>0</v>
      </c>
      <c r="H796" s="192">
        <f>基础表!H704</f>
        <v>0</v>
      </c>
      <c r="I796" s="192">
        <f>基础表!I704</f>
        <v>0</v>
      </c>
      <c r="J796" s="192">
        <f>基础表!J704</f>
        <v>0</v>
      </c>
      <c r="K796" s="192">
        <f>基础表!K704</f>
        <v>0</v>
      </c>
      <c r="L796" s="192">
        <f>基础表!L704</f>
        <v>0</v>
      </c>
      <c r="M796" s="192">
        <f>基础表!M704</f>
        <v>0</v>
      </c>
      <c r="N796" s="192">
        <f>基础表!N704</f>
        <v>0</v>
      </c>
      <c r="O796" s="192">
        <f ca="1" t="shared" si="321"/>
        <v>0</v>
      </c>
      <c r="P796" s="104">
        <v>262532</v>
      </c>
    </row>
    <row r="797" s="38" customFormat="1" ht="15" customHeight="1" spans="1:20">
      <c r="A797" s="307" t="s">
        <v>188</v>
      </c>
      <c r="B797" s="50" t="s">
        <v>75</v>
      </c>
      <c r="C797" s="192">
        <f>基础表!C705</f>
        <v>236</v>
      </c>
      <c r="D797" s="192">
        <f>基础表!D705</f>
        <v>274</v>
      </c>
      <c r="E797" s="192">
        <f>基础表!E705</f>
        <v>3</v>
      </c>
      <c r="F797" s="192">
        <f>基础表!F705</f>
        <v>23</v>
      </c>
      <c r="G797" s="192">
        <f>基础表!G705</f>
        <v>80</v>
      </c>
      <c r="H797" s="192">
        <f>基础表!H705</f>
        <v>72</v>
      </c>
      <c r="I797" s="192">
        <f>基础表!I705</f>
        <v>0</v>
      </c>
      <c r="J797" s="192">
        <f>基础表!J705</f>
        <v>0</v>
      </c>
      <c r="K797" s="192">
        <f>基础表!K705</f>
        <v>0</v>
      </c>
      <c r="L797" s="192">
        <f>基础表!L705</f>
        <v>0</v>
      </c>
      <c r="M797" s="192">
        <f>基础表!M705</f>
        <v>0</v>
      </c>
      <c r="N797" s="192">
        <f>基础表!N705</f>
        <v>0</v>
      </c>
      <c r="O797" s="192">
        <f ca="1" t="shared" si="321"/>
        <v>688</v>
      </c>
      <c r="P797" s="104">
        <v>263449</v>
      </c>
    </row>
    <row r="798" s="38" customFormat="1" ht="15" customHeight="1" spans="1:20">
      <c r="A798" s="307" t="s">
        <v>189</v>
      </c>
      <c r="B798" s="50" t="s">
        <v>167</v>
      </c>
      <c r="C798" s="192">
        <f>基础表!C706</f>
        <v>0</v>
      </c>
      <c r="D798" s="192">
        <f>基础表!D706</f>
        <v>0</v>
      </c>
      <c r="E798" s="192">
        <f>基础表!E706</f>
        <v>0</v>
      </c>
      <c r="F798" s="192">
        <f>基础表!F706</f>
        <v>14.744</v>
      </c>
      <c r="G798" s="192">
        <f>基础表!G706</f>
        <v>44.201</v>
      </c>
      <c r="H798" s="192">
        <f>基础表!H706</f>
        <v>13.055</v>
      </c>
      <c r="I798" s="192">
        <f>基础表!I706</f>
        <v>0</v>
      </c>
      <c r="J798" s="192">
        <f>基础表!J706</f>
        <v>0</v>
      </c>
      <c r="K798" s="192">
        <f>基础表!K706</f>
        <v>0</v>
      </c>
      <c r="L798" s="192">
        <f>基础表!L706</f>
        <v>0</v>
      </c>
      <c r="M798" s="192">
        <f>基础表!M706</f>
        <v>0</v>
      </c>
      <c r="N798" s="192">
        <f>基础表!N706</f>
        <v>0</v>
      </c>
      <c r="O798" s="192">
        <f ca="1" t="shared" si="321"/>
        <v>72</v>
      </c>
      <c r="P798" s="104">
        <v>266799</v>
      </c>
    </row>
    <row r="799" s="38" customFormat="1" ht="15" customHeight="1" spans="1:20">
      <c r="A799" s="307" t="s">
        <v>190</v>
      </c>
      <c r="B799" s="50" t="s">
        <v>167</v>
      </c>
      <c r="C799" s="192">
        <f>基础表!C707</f>
        <v>0</v>
      </c>
      <c r="D799" s="192">
        <f>基础表!D707</f>
        <v>0</v>
      </c>
      <c r="E799" s="192">
        <f>基础表!E707</f>
        <v>0</v>
      </c>
      <c r="F799" s="192">
        <f>基础表!F707</f>
        <v>0</v>
      </c>
      <c r="G799" s="192">
        <f>基础表!G707</f>
        <v>17.001</v>
      </c>
      <c r="H799" s="192">
        <f>基础表!H707</f>
        <v>8.999</v>
      </c>
      <c r="I799" s="192">
        <f>基础表!I707</f>
        <v>0</v>
      </c>
      <c r="J799" s="192">
        <f>基础表!J707</f>
        <v>0</v>
      </c>
      <c r="K799" s="192">
        <f>基础表!K707</f>
        <v>0</v>
      </c>
      <c r="L799" s="192">
        <f>基础表!L707</f>
        <v>0</v>
      </c>
      <c r="M799" s="192">
        <f>基础表!M707</f>
        <v>0</v>
      </c>
      <c r="N799" s="192">
        <f>基础表!N707</f>
        <v>0</v>
      </c>
      <c r="O799" s="192">
        <f ca="1" t="shared" si="321"/>
        <v>26</v>
      </c>
      <c r="P799" s="104">
        <v>266801</v>
      </c>
      <c r="T799" s="361"/>
    </row>
    <row r="800" s="38" customFormat="1" ht="15" customHeight="1" spans="1:20">
      <c r="A800" s="307" t="s">
        <v>191</v>
      </c>
      <c r="B800" s="50"/>
      <c r="C800" s="192">
        <f>基础表!C708</f>
        <v>0</v>
      </c>
      <c r="D800" s="192">
        <f>基础表!D708</f>
        <v>6.686</v>
      </c>
      <c r="E800" s="192">
        <f>基础表!E708</f>
        <v>9.956</v>
      </c>
      <c r="F800" s="192">
        <f>基础表!F708</f>
        <v>19.901</v>
      </c>
      <c r="G800" s="192">
        <f>基础表!G708</f>
        <v>28.805</v>
      </c>
      <c r="H800" s="192">
        <f>基础表!H708</f>
        <v>36.978</v>
      </c>
      <c r="I800" s="192">
        <f>基础表!I708</f>
        <v>0</v>
      </c>
      <c r="J800" s="192">
        <f>基础表!J708</f>
        <v>0</v>
      </c>
      <c r="K800" s="192">
        <f>基础表!K708</f>
        <v>0</v>
      </c>
      <c r="L800" s="192">
        <f>基础表!L708</f>
        <v>0</v>
      </c>
      <c r="M800" s="192">
        <f>基础表!M708</f>
        <v>0</v>
      </c>
      <c r="N800" s="192">
        <f>基础表!N708</f>
        <v>0</v>
      </c>
      <c r="O800" s="192">
        <f ca="1" t="shared" si="321"/>
        <v>102.326</v>
      </c>
      <c r="P800" s="104">
        <v>270837</v>
      </c>
    </row>
    <row r="801" spans="1:20">
      <c r="A801" s="307" t="s">
        <v>192</v>
      </c>
      <c r="B801" s="50" t="s">
        <v>167</v>
      </c>
      <c r="C801" s="192">
        <f>基础表!C709</f>
        <v>0</v>
      </c>
      <c r="D801" s="192">
        <f>基础表!D709</f>
        <v>925</v>
      </c>
      <c r="E801" s="192">
        <f>基础表!E709</f>
        <v>0</v>
      </c>
      <c r="F801" s="192">
        <f>基础表!F709</f>
        <v>1200</v>
      </c>
      <c r="G801" s="192">
        <f>基础表!G709</f>
        <v>2024</v>
      </c>
      <c r="H801" s="192">
        <f>基础表!H709</f>
        <v>1126</v>
      </c>
      <c r="I801" s="192">
        <f>基础表!I709</f>
        <v>0</v>
      </c>
      <c r="J801" s="192">
        <f>基础表!J709</f>
        <v>0</v>
      </c>
      <c r="K801" s="192">
        <f>基础表!K709</f>
        <v>0</v>
      </c>
      <c r="L801" s="192">
        <f>基础表!L709</f>
        <v>0</v>
      </c>
      <c r="M801" s="192">
        <f>基础表!M709</f>
        <v>0</v>
      </c>
      <c r="N801" s="192">
        <f>基础表!N709</f>
        <v>0</v>
      </c>
      <c r="O801" s="192">
        <f ca="1">SUM(OFFSET($C801,0,0,1,mth))</f>
        <v>5275</v>
      </c>
      <c r="P801" s="104">
        <v>278432</v>
      </c>
    </row>
    <row r="802" spans="1:20">
      <c r="A802" s="307" t="s">
        <v>193</v>
      </c>
      <c r="B802" s="50" t="s">
        <v>167</v>
      </c>
      <c r="C802" s="192">
        <f>基础表!C710</f>
        <v>0</v>
      </c>
      <c r="D802" s="192">
        <f>基础表!D710</f>
        <v>0</v>
      </c>
      <c r="E802" s="192">
        <f>基础表!E710</f>
        <v>0</v>
      </c>
      <c r="F802" s="192">
        <f>基础表!F710</f>
        <v>0</v>
      </c>
      <c r="G802" s="192">
        <f>基础表!G710</f>
        <v>0</v>
      </c>
      <c r="H802" s="192">
        <f>基础表!H710</f>
        <v>0</v>
      </c>
      <c r="I802" s="192">
        <f>基础表!I710</f>
        <v>0</v>
      </c>
      <c r="J802" s="192">
        <f>基础表!J710</f>
        <v>0</v>
      </c>
      <c r="K802" s="192">
        <f>基础表!K710</f>
        <v>0</v>
      </c>
      <c r="L802" s="192">
        <f>基础表!L710</f>
        <v>0</v>
      </c>
      <c r="M802" s="192">
        <f>基础表!M710</f>
        <v>0</v>
      </c>
      <c r="N802" s="192">
        <f>基础表!N710</f>
        <v>0</v>
      </c>
      <c r="O802" s="192">
        <f ca="1" t="shared" si="321"/>
        <v>0</v>
      </c>
      <c r="P802" s="104">
        <v>278905</v>
      </c>
    </row>
    <row r="803" spans="1:20">
      <c r="A803" s="307" t="s">
        <v>194</v>
      </c>
      <c r="B803" s="50" t="s">
        <v>167</v>
      </c>
      <c r="C803" s="192">
        <f>基础表!C711</f>
        <v>57</v>
      </c>
      <c r="D803" s="192">
        <f>基础表!D711</f>
        <v>0</v>
      </c>
      <c r="E803" s="192">
        <f>基础表!E711</f>
        <v>0</v>
      </c>
      <c r="F803" s="192">
        <f>基础表!F711</f>
        <v>0</v>
      </c>
      <c r="G803" s="192">
        <f>基础表!G711</f>
        <v>0</v>
      </c>
      <c r="H803" s="192">
        <f>基础表!H711</f>
        <v>0</v>
      </c>
      <c r="I803" s="192">
        <f>基础表!I711</f>
        <v>0</v>
      </c>
      <c r="J803" s="192">
        <f>基础表!J711</f>
        <v>0</v>
      </c>
      <c r="K803" s="192">
        <f>基础表!K711</f>
        <v>0</v>
      </c>
      <c r="L803" s="192">
        <f>基础表!L711</f>
        <v>0</v>
      </c>
      <c r="M803" s="192">
        <f>基础表!M711</f>
        <v>0</v>
      </c>
      <c r="N803" s="192">
        <f>基础表!N711</f>
        <v>0</v>
      </c>
      <c r="O803" s="192">
        <f ca="1" t="shared" si="321"/>
        <v>57</v>
      </c>
      <c r="P803" s="104">
        <v>279501</v>
      </c>
    </row>
    <row r="804" spans="1:20">
      <c r="A804" s="307" t="s">
        <v>195</v>
      </c>
      <c r="B804" s="50" t="s">
        <v>167</v>
      </c>
      <c r="C804" s="192">
        <f>基础表!C712</f>
        <v>0</v>
      </c>
      <c r="D804" s="192">
        <f>基础表!D712</f>
        <v>0</v>
      </c>
      <c r="E804" s="192">
        <f>基础表!E712</f>
        <v>0</v>
      </c>
      <c r="F804" s="192">
        <f>基础表!F712</f>
        <v>11.342</v>
      </c>
      <c r="G804" s="192">
        <f>基础表!G712</f>
        <v>34.001</v>
      </c>
      <c r="H804" s="192">
        <f>基础表!H712</f>
        <v>2.657</v>
      </c>
      <c r="I804" s="192">
        <f>基础表!I712</f>
        <v>0</v>
      </c>
      <c r="J804" s="192">
        <f>基础表!J712</f>
        <v>0</v>
      </c>
      <c r="K804" s="192">
        <f>基础表!K712</f>
        <v>0</v>
      </c>
      <c r="L804" s="192">
        <f>基础表!L712</f>
        <v>0</v>
      </c>
      <c r="M804" s="192">
        <f>基础表!M712</f>
        <v>0</v>
      </c>
      <c r="N804" s="192">
        <f>基础表!N712</f>
        <v>0</v>
      </c>
      <c r="O804" s="192">
        <f ca="1" t="shared" si="321"/>
        <v>48</v>
      </c>
      <c r="P804" s="104">
        <v>284316</v>
      </c>
    </row>
    <row r="805" spans="1:20">
      <c r="A805" s="307" t="s">
        <v>196</v>
      </c>
      <c r="B805" s="50" t="s">
        <v>167</v>
      </c>
      <c r="C805" s="192">
        <f>基础表!C713</f>
        <v>0</v>
      </c>
      <c r="D805" s="192">
        <f>基础表!D713</f>
        <v>0</v>
      </c>
      <c r="E805" s="192">
        <f>基础表!E713</f>
        <v>0</v>
      </c>
      <c r="F805" s="192">
        <f>基础表!F713</f>
        <v>0</v>
      </c>
      <c r="G805" s="192">
        <f>基础表!G713</f>
        <v>0</v>
      </c>
      <c r="H805" s="192">
        <f>基础表!H713</f>
        <v>0</v>
      </c>
      <c r="I805" s="192">
        <f>基础表!I713</f>
        <v>0</v>
      </c>
      <c r="J805" s="192">
        <f>基础表!J713</f>
        <v>0</v>
      </c>
      <c r="K805" s="192">
        <f>基础表!K713</f>
        <v>0</v>
      </c>
      <c r="L805" s="192">
        <f>基础表!L713</f>
        <v>0</v>
      </c>
      <c r="M805" s="192">
        <f>基础表!M713</f>
        <v>0</v>
      </c>
      <c r="N805" s="192">
        <f>基础表!N713</f>
        <v>0</v>
      </c>
      <c r="O805" s="192">
        <f ca="1">SUM(OFFSET($C805,0,0,1,mth))</f>
        <v>0</v>
      </c>
      <c r="P805" s="104">
        <v>291564</v>
      </c>
    </row>
    <row r="806" spans="1:20">
      <c r="A806" s="307" t="s">
        <v>197</v>
      </c>
      <c r="B806" s="50" t="s">
        <v>167</v>
      </c>
      <c r="C806" s="192">
        <f>基础表!C714</f>
        <v>0</v>
      </c>
      <c r="D806" s="192">
        <f>基础表!D714</f>
        <v>0</v>
      </c>
      <c r="E806" s="192">
        <f>基础表!E714</f>
        <v>0</v>
      </c>
      <c r="F806" s="192">
        <f>基础表!F714</f>
        <v>0</v>
      </c>
      <c r="G806" s="192">
        <f>基础表!G714</f>
        <v>0</v>
      </c>
      <c r="H806" s="192">
        <f>基础表!H714</f>
        <v>0</v>
      </c>
      <c r="I806" s="192">
        <f>基础表!I714</f>
        <v>0</v>
      </c>
      <c r="J806" s="192">
        <f>基础表!J714</f>
        <v>0</v>
      </c>
      <c r="K806" s="192">
        <f>基础表!K714</f>
        <v>0</v>
      </c>
      <c r="L806" s="192">
        <f>基础表!L714</f>
        <v>0</v>
      </c>
      <c r="M806" s="192">
        <f>基础表!M714</f>
        <v>0</v>
      </c>
      <c r="N806" s="192">
        <f>基础表!N714</f>
        <v>0</v>
      </c>
      <c r="O806" s="192">
        <f ca="1">SUM(OFFSET($C806,0,0,1,mth))</f>
        <v>0</v>
      </c>
      <c r="P806" s="104">
        <v>292651</v>
      </c>
    </row>
    <row r="807" spans="1:20">
      <c r="A807" s="115" t="s">
        <v>198</v>
      </c>
      <c r="B807" s="50" t="s">
        <v>167</v>
      </c>
      <c r="C807" s="192">
        <f>基础表!C715</f>
        <v>0</v>
      </c>
      <c r="D807" s="192">
        <f>基础表!D715</f>
        <v>75</v>
      </c>
      <c r="E807" s="192">
        <f>基础表!E715</f>
        <v>117.197</v>
      </c>
      <c r="F807" s="192">
        <f>基础表!F715</f>
        <v>182.51</v>
      </c>
      <c r="G807" s="192">
        <f>基础表!G715</f>
        <v>680.01</v>
      </c>
      <c r="H807" s="192">
        <f>基础表!H715</f>
        <v>230.89</v>
      </c>
      <c r="I807" s="192">
        <f>基础表!I715</f>
        <v>0</v>
      </c>
      <c r="J807" s="192">
        <f>基础表!J715</f>
        <v>0</v>
      </c>
      <c r="K807" s="192">
        <f>基础表!K715</f>
        <v>0</v>
      </c>
      <c r="L807" s="192">
        <f>基础表!L715</f>
        <v>0</v>
      </c>
      <c r="M807" s="192">
        <f>基础表!M715</f>
        <v>0</v>
      </c>
      <c r="N807" s="192">
        <f>基础表!N715</f>
        <v>0</v>
      </c>
      <c r="O807" s="192">
        <f ca="1">SUM(OFFSET($C807,0,0,1,mth))</f>
        <v>1285.607</v>
      </c>
      <c r="P807" s="104">
        <v>299669</v>
      </c>
    </row>
    <row r="808" s="38" customFormat="1" ht="15" customHeight="1" spans="1:20">
      <c r="A808" s="307" t="s">
        <v>199</v>
      </c>
      <c r="B808" s="50" t="s">
        <v>167</v>
      </c>
      <c r="C808" s="192">
        <f>基础表!C716</f>
        <v>0</v>
      </c>
      <c r="D808" s="192">
        <f>基础表!D716</f>
        <v>0</v>
      </c>
      <c r="E808" s="192">
        <f>基础表!E716</f>
        <v>0</v>
      </c>
      <c r="F808" s="192">
        <f>基础表!F716</f>
        <v>0</v>
      </c>
      <c r="G808" s="192">
        <f>基础表!G716</f>
        <v>0</v>
      </c>
      <c r="H808" s="192">
        <f>基础表!H716</f>
        <v>0</v>
      </c>
      <c r="I808" s="192">
        <f>基础表!I716</f>
        <v>0</v>
      </c>
      <c r="J808" s="192">
        <f>基础表!J716</f>
        <v>0</v>
      </c>
      <c r="K808" s="192">
        <f>基础表!K716</f>
        <v>0</v>
      </c>
      <c r="L808" s="192">
        <f>基础表!L716</f>
        <v>0</v>
      </c>
      <c r="M808" s="192">
        <f>基础表!M716</f>
        <v>0</v>
      </c>
      <c r="N808" s="192">
        <f>基础表!N716</f>
        <v>0</v>
      </c>
      <c r="O808" s="192">
        <f ca="1" t="shared" si="321"/>
        <v>0</v>
      </c>
      <c r="P808" s="104">
        <v>300312</v>
      </c>
    </row>
    <row r="809" s="38" customFormat="1" ht="15" customHeight="1" spans="1:20">
      <c r="A809" s="115" t="s">
        <v>200</v>
      </c>
      <c r="B809" s="50" t="s">
        <v>167</v>
      </c>
      <c r="C809" s="192">
        <f>基础表!C717</f>
        <v>0</v>
      </c>
      <c r="D809" s="192">
        <f>基础表!D717</f>
        <v>0</v>
      </c>
      <c r="E809" s="192">
        <f>基础表!E717</f>
        <v>0</v>
      </c>
      <c r="F809" s="192">
        <f>基础表!F717</f>
        <v>0</v>
      </c>
      <c r="G809" s="192">
        <f>基础表!G717</f>
        <v>0</v>
      </c>
      <c r="H809" s="192">
        <f>基础表!H717</f>
        <v>0</v>
      </c>
      <c r="I809" s="192">
        <f>基础表!I717</f>
        <v>0</v>
      </c>
      <c r="J809" s="192">
        <f>基础表!J717</f>
        <v>0</v>
      </c>
      <c r="K809" s="192">
        <f>基础表!K717</f>
        <v>0</v>
      </c>
      <c r="L809" s="192">
        <f>基础表!L717</f>
        <v>0</v>
      </c>
      <c r="M809" s="192">
        <f>基础表!M717</f>
        <v>0</v>
      </c>
      <c r="N809" s="192">
        <f>基础表!N717</f>
        <v>0</v>
      </c>
      <c r="O809" s="192">
        <f ca="1" t="shared" si="321"/>
        <v>0</v>
      </c>
      <c r="P809" s="104">
        <v>302197</v>
      </c>
    </row>
    <row r="810" s="38" customFormat="1" ht="15" customHeight="1" spans="1:20">
      <c r="A810" s="115" t="str">
        <f>基础表!A718</f>
        <v>焦糖色_通用_GB1886.64-2015_通用</v>
      </c>
      <c r="B810" s="50" t="s">
        <v>167</v>
      </c>
      <c r="C810" s="192">
        <f>基础表!C718</f>
        <v>0</v>
      </c>
      <c r="D810" s="192">
        <f>基础表!D718</f>
        <v>0</v>
      </c>
      <c r="E810" s="192">
        <f>基础表!E718</f>
        <v>0</v>
      </c>
      <c r="F810" s="192">
        <f>基础表!F718</f>
        <v>0</v>
      </c>
      <c r="G810" s="192">
        <f>基础表!G718</f>
        <v>0</v>
      </c>
      <c r="H810" s="192">
        <f>基础表!H718</f>
        <v>0</v>
      </c>
      <c r="I810" s="192">
        <f>基础表!I718</f>
        <v>0</v>
      </c>
      <c r="J810" s="192">
        <f>基础表!J718</f>
        <v>0</v>
      </c>
      <c r="K810" s="192">
        <f>基础表!K718</f>
        <v>0</v>
      </c>
      <c r="L810" s="192">
        <f>基础表!L718</f>
        <v>0</v>
      </c>
      <c r="M810" s="192">
        <f>基础表!M718</f>
        <v>0</v>
      </c>
      <c r="N810" s="192">
        <f>基础表!N718</f>
        <v>0</v>
      </c>
      <c r="O810" s="192">
        <f ca="1" t="shared" si="321"/>
        <v>0</v>
      </c>
      <c r="P810" s="104">
        <v>270510</v>
      </c>
    </row>
    <row r="811" s="38" customFormat="1" ht="15" customHeight="1" spans="1:20">
      <c r="A811" s="115" t="str">
        <f>基础表!A719</f>
        <v>苯甲酸钠_通用_通用_通用</v>
      </c>
      <c r="B811" s="50" t="s">
        <v>167</v>
      </c>
      <c r="C811" s="192">
        <f>基础表!C719</f>
        <v>0</v>
      </c>
      <c r="D811" s="192">
        <f>基础表!D719</f>
        <v>0</v>
      </c>
      <c r="E811" s="192">
        <f>基础表!E719</f>
        <v>0</v>
      </c>
      <c r="F811" s="192">
        <f>基础表!F719</f>
        <v>0</v>
      </c>
      <c r="G811" s="192">
        <f>基础表!G719</f>
        <v>-1.849</v>
      </c>
      <c r="H811" s="192">
        <f>基础表!H719</f>
        <v>1.849</v>
      </c>
      <c r="I811" s="192">
        <f>基础表!I719</f>
        <v>0</v>
      </c>
      <c r="J811" s="192">
        <f>基础表!J719</f>
        <v>0</v>
      </c>
      <c r="K811" s="192">
        <f>基础表!K719</f>
        <v>0</v>
      </c>
      <c r="L811" s="192">
        <f>基础表!L719</f>
        <v>0</v>
      </c>
      <c r="M811" s="192">
        <f>基础表!M719</f>
        <v>0</v>
      </c>
      <c r="N811" s="192">
        <f>基础表!N719</f>
        <v>0</v>
      </c>
      <c r="O811" s="192">
        <f ca="1" t="shared" si="321"/>
        <v>0</v>
      </c>
      <c r="P811" s="104">
        <v>280314</v>
      </c>
    </row>
    <row r="812" s="38" customFormat="1" ht="15" customHeight="1" spans="1:20">
      <c r="A812" s="115" t="str">
        <f>基础表!A720</f>
        <v>甘蔗多酚_通用</v>
      </c>
      <c r="B812" s="50" t="s">
        <v>167</v>
      </c>
      <c r="C812" s="192">
        <f>基础表!C720</f>
        <v>0</v>
      </c>
      <c r="D812" s="192">
        <f>基础表!D720</f>
        <v>120</v>
      </c>
      <c r="E812" s="192">
        <f>基础表!E720</f>
        <v>0</v>
      </c>
      <c r="F812" s="192">
        <f>基础表!F720</f>
        <v>0</v>
      </c>
      <c r="G812" s="192">
        <f>基础表!G720</f>
        <v>54</v>
      </c>
      <c r="H812" s="192">
        <f>基础表!H720</f>
        <v>96</v>
      </c>
      <c r="I812" s="192">
        <f>基础表!I720</f>
        <v>0</v>
      </c>
      <c r="J812" s="192">
        <f>基础表!J720</f>
        <v>0</v>
      </c>
      <c r="K812" s="192">
        <f>基础表!K720</f>
        <v>0</v>
      </c>
      <c r="L812" s="192">
        <f>基础表!L720</f>
        <v>0</v>
      </c>
      <c r="M812" s="192">
        <f>基础表!M720</f>
        <v>0</v>
      </c>
      <c r="N812" s="192">
        <f>基础表!N720</f>
        <v>0</v>
      </c>
      <c r="O812" s="192">
        <f ca="1" t="shared" si="321"/>
        <v>270</v>
      </c>
      <c r="P812" s="104">
        <v>301914</v>
      </c>
    </row>
    <row r="813" s="38" customFormat="1" ht="15" customHeight="1" spans="1:20">
      <c r="A813" s="115" t="str">
        <f>基础表!A721</f>
        <v>食品级六偏磷酸钠_通用_含量≥67%_通用</v>
      </c>
      <c r="B813" s="50" t="s">
        <v>167</v>
      </c>
      <c r="C813" s="192">
        <f>基础表!C721</f>
        <v>0</v>
      </c>
      <c r="D813" s="192">
        <f>基础表!D721</f>
        <v>0</v>
      </c>
      <c r="E813" s="192">
        <f>基础表!E721</f>
        <v>0</v>
      </c>
      <c r="F813" s="192">
        <f>基础表!F721</f>
        <v>0</v>
      </c>
      <c r="G813" s="192">
        <f>基础表!G721</f>
        <v>3.418</v>
      </c>
      <c r="H813" s="192">
        <f>基础表!H721</f>
        <v>16.582</v>
      </c>
      <c r="I813" s="192">
        <f>基础表!I721</f>
        <v>0</v>
      </c>
      <c r="J813" s="192">
        <f>基础表!J721</f>
        <v>0</v>
      </c>
      <c r="K813" s="192">
        <f>基础表!K721</f>
        <v>0</v>
      </c>
      <c r="L813" s="192">
        <f>基础表!L721</f>
        <v>0</v>
      </c>
      <c r="M813" s="192">
        <f>基础表!M721</f>
        <v>0</v>
      </c>
      <c r="N813" s="192">
        <f>基础表!N721</f>
        <v>0</v>
      </c>
      <c r="O813" s="192">
        <f ca="1" t="shared" si="321"/>
        <v>20</v>
      </c>
      <c r="P813" s="104">
        <v>282311</v>
      </c>
      <c r="T813" s="361"/>
    </row>
    <row r="814" s="38" customFormat="1" ht="15" customHeight="1" spans="1:20">
      <c r="A814" s="115" t="str">
        <f>基础表!A722</f>
        <v>无水柠檬酸_细目</v>
      </c>
      <c r="B814" s="50" t="s">
        <v>167</v>
      </c>
      <c r="C814" s="192">
        <f>基础表!C722</f>
        <v>0.007</v>
      </c>
      <c r="D814" s="192">
        <f>基础表!D722</f>
        <v>0.295</v>
      </c>
      <c r="E814" s="192">
        <f>基础表!E722</f>
        <v>0.11</v>
      </c>
      <c r="F814" s="192">
        <f>基础表!F722</f>
        <v>1.034</v>
      </c>
      <c r="G814" s="192">
        <f>基础表!G722</f>
        <v>1.535</v>
      </c>
      <c r="H814" s="192">
        <f>基础表!H722</f>
        <v>0.52</v>
      </c>
      <c r="I814" s="192">
        <f>基础表!I722</f>
        <v>0</v>
      </c>
      <c r="J814" s="192">
        <f>基础表!J722</f>
        <v>0</v>
      </c>
      <c r="K814" s="192">
        <f>基础表!K722</f>
        <v>0</v>
      </c>
      <c r="L814" s="192">
        <f>基础表!L722</f>
        <v>0</v>
      </c>
      <c r="M814" s="192">
        <f>基础表!M722</f>
        <v>0</v>
      </c>
      <c r="N814" s="192">
        <f>基础表!N722</f>
        <v>0</v>
      </c>
      <c r="O814" s="192">
        <f ca="1" t="shared" si="321"/>
        <v>3.501</v>
      </c>
      <c r="P814" s="104"/>
      <c r="T814" s="361"/>
    </row>
    <row r="815" s="38" customFormat="1" ht="15" customHeight="1" spans="1:20">
      <c r="A815" s="229" t="s">
        <v>343</v>
      </c>
      <c r="B815" s="50"/>
      <c r="C815" s="192">
        <f>基础表!C724</f>
        <v>10656.374</v>
      </c>
      <c r="D815" s="192">
        <f>基础表!D724</f>
        <v>15622.699</v>
      </c>
      <c r="E815" s="192">
        <f>基础表!E724</f>
        <v>893.852</v>
      </c>
      <c r="F815" s="192">
        <f>基础表!F724</f>
        <v>20892.996</v>
      </c>
      <c r="G815" s="192">
        <f>基础表!G724</f>
        <v>36976.416</v>
      </c>
      <c r="H815" s="192">
        <f>基础表!H724</f>
        <v>23633.687</v>
      </c>
      <c r="I815" s="192">
        <f>基础表!I724</f>
        <v>0</v>
      </c>
      <c r="J815" s="192">
        <f>基础表!J724</f>
        <v>0</v>
      </c>
      <c r="K815" s="192">
        <f>基础表!K724</f>
        <v>0</v>
      </c>
      <c r="L815" s="192">
        <f>基础表!L724</f>
        <v>0</v>
      </c>
      <c r="M815" s="192">
        <f>基础表!M724</f>
        <v>0</v>
      </c>
      <c r="N815" s="192">
        <f>基础表!N724</f>
        <v>0</v>
      </c>
      <c r="O815" s="192">
        <f ca="1" t="shared" si="321"/>
        <v>108676.024</v>
      </c>
      <c r="P815" s="104"/>
    </row>
    <row r="816" s="38" customFormat="1" ht="15" customHeight="1" spans="1:20">
      <c r="A816" s="46" t="s">
        <v>344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="38" customFormat="1" ht="15" customHeight="1" spans="1:18">
      <c r="A817" s="229" t="s">
        <v>250</v>
      </c>
      <c r="B817" s="230" t="s">
        <v>77</v>
      </c>
      <c r="C817" s="107" t="s">
        <v>220</v>
      </c>
      <c r="D817" s="107" t="s">
        <v>221</v>
      </c>
      <c r="E817" s="107" t="s">
        <v>222</v>
      </c>
      <c r="F817" s="107" t="s">
        <v>223</v>
      </c>
      <c r="G817" s="107" t="s">
        <v>224</v>
      </c>
      <c r="H817" s="107" t="s">
        <v>225</v>
      </c>
      <c r="I817" s="107" t="s">
        <v>226</v>
      </c>
      <c r="J817" s="107" t="s">
        <v>227</v>
      </c>
      <c r="K817" s="107" t="s">
        <v>228</v>
      </c>
      <c r="L817" s="107" t="s">
        <v>229</v>
      </c>
      <c r="M817" s="107" t="s">
        <v>230</v>
      </c>
      <c r="N817" s="107" t="s">
        <v>231</v>
      </c>
      <c r="O817" s="48" t="str">
        <f>CONCATENATE("1-"&amp;mth&amp;"月累计")</f>
        <v>1-8月累计</v>
      </c>
    </row>
    <row r="818" s="38" customFormat="1" ht="15" customHeight="1" spans="1:18">
      <c r="A818" s="307" t="s">
        <v>178</v>
      </c>
      <c r="B818" s="50" t="s">
        <v>123</v>
      </c>
      <c r="C818" s="231">
        <f>基础表!C727</f>
        <v>0</v>
      </c>
      <c r="D818" s="231">
        <f>基础表!D727</f>
        <v>0</v>
      </c>
      <c r="E818" s="231">
        <f>基础表!E727</f>
        <v>0</v>
      </c>
      <c r="F818" s="231">
        <f>基础表!F727</f>
        <v>0</v>
      </c>
      <c r="G818" s="231">
        <f>基础表!G727</f>
        <v>0</v>
      </c>
      <c r="H818" s="231">
        <f>基础表!H727</f>
        <v>0</v>
      </c>
      <c r="I818" s="231">
        <f>基础表!I727</f>
        <v>0</v>
      </c>
      <c r="J818" s="231">
        <f>基础表!J727</f>
        <v>0</v>
      </c>
      <c r="K818" s="231">
        <f>基础表!K727</f>
        <v>0</v>
      </c>
      <c r="L818" s="231">
        <f>基础表!L727</f>
        <v>0</v>
      </c>
      <c r="M818" s="231">
        <f>基础表!M727</f>
        <v>0</v>
      </c>
      <c r="N818" s="231">
        <f>基础表!N727</f>
        <v>0</v>
      </c>
      <c r="O818" s="231">
        <f ca="1">基础表!O727</f>
        <v>0</v>
      </c>
      <c r="P818" s="104">
        <v>213243</v>
      </c>
    </row>
    <row r="819" s="38" customFormat="1" ht="15" customHeight="1" spans="1:18">
      <c r="A819" s="307" t="s">
        <v>179</v>
      </c>
      <c r="B819" s="50" t="s">
        <v>123</v>
      </c>
      <c r="C819" s="231">
        <f>基础表!C728</f>
        <v>0</v>
      </c>
      <c r="D819" s="231">
        <f>基础表!D728</f>
        <v>0</v>
      </c>
      <c r="E819" s="231">
        <f>基础表!E728</f>
        <v>0</v>
      </c>
      <c r="F819" s="231">
        <f>基础表!F728</f>
        <v>0</v>
      </c>
      <c r="G819" s="231">
        <f>基础表!G728</f>
        <v>0</v>
      </c>
      <c r="H819" s="231">
        <f>基础表!H728</f>
        <v>0</v>
      </c>
      <c r="I819" s="231">
        <f>基础表!I728</f>
        <v>0</v>
      </c>
      <c r="J819" s="231">
        <f>基础表!J728</f>
        <v>0</v>
      </c>
      <c r="K819" s="231">
        <f>基础表!K728</f>
        <v>0</v>
      </c>
      <c r="L819" s="231">
        <f>基础表!L728</f>
        <v>0</v>
      </c>
      <c r="M819" s="231">
        <f>基础表!M728</f>
        <v>0</v>
      </c>
      <c r="N819" s="231">
        <f>基础表!N728</f>
        <v>0</v>
      </c>
      <c r="O819" s="231">
        <f ca="1">基础表!O728</f>
        <v>0</v>
      </c>
      <c r="P819" s="104">
        <v>235372</v>
      </c>
      <c r="Q819" s="71"/>
      <c r="R819" s="71"/>
    </row>
    <row r="820" s="38" customFormat="1" ht="15" customHeight="1" spans="1:18">
      <c r="A820" s="307" t="s">
        <v>180</v>
      </c>
      <c r="B820" s="50" t="s">
        <v>123</v>
      </c>
      <c r="C820" s="231">
        <f>基础表!C729</f>
        <v>0</v>
      </c>
      <c r="D820" s="231">
        <f>基础表!D729</f>
        <v>0</v>
      </c>
      <c r="E820" s="231">
        <f>基础表!E729</f>
        <v>0</v>
      </c>
      <c r="F820" s="231">
        <f>基础表!F729</f>
        <v>0</v>
      </c>
      <c r="G820" s="231">
        <f>基础表!G729</f>
        <v>0</v>
      </c>
      <c r="H820" s="231">
        <f>基础表!H729</f>
        <v>0</v>
      </c>
      <c r="I820" s="231">
        <f>基础表!I729</f>
        <v>0</v>
      </c>
      <c r="J820" s="231">
        <f>基础表!J729</f>
        <v>0</v>
      </c>
      <c r="K820" s="231">
        <f>基础表!K729</f>
        <v>0</v>
      </c>
      <c r="L820" s="231">
        <f>基础表!L729</f>
        <v>0</v>
      </c>
      <c r="M820" s="231">
        <f>基础表!M729</f>
        <v>0</v>
      </c>
      <c r="N820" s="231">
        <f>基础表!N729</f>
        <v>0</v>
      </c>
      <c r="O820" s="231">
        <f ca="1">基础表!O729</f>
        <v>0</v>
      </c>
      <c r="P820" s="104">
        <v>244192</v>
      </c>
      <c r="Q820" s="71"/>
      <c r="R820" s="71"/>
    </row>
    <row r="821" s="38" customFormat="1" ht="15" customHeight="1" spans="1:18">
      <c r="A821" s="307" t="s">
        <v>181</v>
      </c>
      <c r="B821" s="50" t="s">
        <v>123</v>
      </c>
      <c r="C821" s="231">
        <f>基础表!C730</f>
        <v>0</v>
      </c>
      <c r="D821" s="231">
        <f>基础表!D730</f>
        <v>0</v>
      </c>
      <c r="E821" s="231">
        <f>基础表!E730</f>
        <v>0</v>
      </c>
      <c r="F821" s="231">
        <f>基础表!F730</f>
        <v>0</v>
      </c>
      <c r="G821" s="231">
        <f>基础表!G730</f>
        <v>0</v>
      </c>
      <c r="H821" s="231">
        <f>基础表!H730</f>
        <v>0</v>
      </c>
      <c r="I821" s="231">
        <f>基础表!I730</f>
        <v>0</v>
      </c>
      <c r="J821" s="231">
        <f>基础表!J730</f>
        <v>0</v>
      </c>
      <c r="K821" s="231">
        <f>基础表!K730</f>
        <v>0</v>
      </c>
      <c r="L821" s="231">
        <f>基础表!L730</f>
        <v>0</v>
      </c>
      <c r="M821" s="231">
        <f>基础表!M730</f>
        <v>0</v>
      </c>
      <c r="N821" s="231">
        <f>基础表!N730</f>
        <v>0</v>
      </c>
      <c r="O821" s="231">
        <f ca="1">基础表!O730</f>
        <v>0</v>
      </c>
      <c r="P821" s="104">
        <v>244193</v>
      </c>
    </row>
    <row r="822" s="38" customFormat="1" ht="15" customHeight="1" spans="1:18">
      <c r="A822" s="307" t="s">
        <v>182</v>
      </c>
      <c r="B822" s="50" t="s">
        <v>123</v>
      </c>
      <c r="C822" s="231">
        <f>基础表!C731</f>
        <v>6.00891954382935</v>
      </c>
      <c r="D822" s="231">
        <f>基础表!D731</f>
        <v>6.03832054954872</v>
      </c>
      <c r="E822" s="231">
        <f>基础表!E731</f>
        <v>6.07556136998383</v>
      </c>
      <c r="F822" s="231">
        <f>基础表!F731</f>
        <v>6.0754966460541</v>
      </c>
      <c r="G822" s="231">
        <f>基础表!G731</f>
        <v>6.06357953862113</v>
      </c>
      <c r="H822" s="231">
        <f>基础表!H731</f>
        <v>6.06252432954084</v>
      </c>
      <c r="I822" s="231">
        <f>基础表!I731</f>
        <v>0</v>
      </c>
      <c r="J822" s="231">
        <f>基础表!J731</f>
        <v>0</v>
      </c>
      <c r="K822" s="231">
        <f>基础表!K731</f>
        <v>0</v>
      </c>
      <c r="L822" s="231">
        <f>基础表!L731</f>
        <v>0</v>
      </c>
      <c r="M822" s="231">
        <f>基础表!M731</f>
        <v>0</v>
      </c>
      <c r="N822" s="231">
        <f>基础表!N731</f>
        <v>0</v>
      </c>
      <c r="O822" s="231">
        <f ca="1">基础表!O731</f>
        <v>6.06246806590941</v>
      </c>
      <c r="P822" s="104">
        <v>244194</v>
      </c>
    </row>
    <row r="823" s="38" customFormat="1" ht="15" customHeight="1" spans="1:18">
      <c r="A823" s="307" t="s">
        <v>183</v>
      </c>
      <c r="B823" s="50" t="s">
        <v>123</v>
      </c>
      <c r="C823" s="231">
        <f>基础表!C732</f>
        <v>0</v>
      </c>
      <c r="D823" s="231">
        <f>基础表!D732</f>
        <v>0</v>
      </c>
      <c r="E823" s="231">
        <f>基础表!E732</f>
        <v>0</v>
      </c>
      <c r="F823" s="231">
        <f>基础表!F732</f>
        <v>0</v>
      </c>
      <c r="G823" s="231">
        <f>基础表!G732</f>
        <v>0</v>
      </c>
      <c r="H823" s="231">
        <f>基础表!H732</f>
        <v>0</v>
      </c>
      <c r="I823" s="231">
        <f>基础表!I732</f>
        <v>0</v>
      </c>
      <c r="J823" s="231">
        <f>基础表!J732</f>
        <v>0</v>
      </c>
      <c r="K823" s="231">
        <f>基础表!K732</f>
        <v>0</v>
      </c>
      <c r="L823" s="231">
        <f>基础表!L732</f>
        <v>0</v>
      </c>
      <c r="M823" s="231">
        <f>基础表!M732</f>
        <v>0</v>
      </c>
      <c r="N823" s="231">
        <f>基础表!N732</f>
        <v>0</v>
      </c>
      <c r="O823" s="231">
        <f ca="1">基础表!O732</f>
        <v>0</v>
      </c>
      <c r="P823" s="104">
        <v>246164</v>
      </c>
    </row>
    <row r="824" s="38" customFormat="1" ht="15" customHeight="1" spans="1:18">
      <c r="A824" s="307" t="s">
        <v>184</v>
      </c>
      <c r="B824" s="50" t="s">
        <v>123</v>
      </c>
      <c r="C824" s="231">
        <f>基础表!C733</f>
        <v>0</v>
      </c>
      <c r="D824" s="231">
        <f>基础表!D733</f>
        <v>0</v>
      </c>
      <c r="E824" s="231">
        <f>基础表!E733</f>
        <v>0</v>
      </c>
      <c r="F824" s="231">
        <f>基础表!F733</f>
        <v>0</v>
      </c>
      <c r="G824" s="231">
        <f>基础表!G733</f>
        <v>0</v>
      </c>
      <c r="H824" s="231">
        <f>基础表!H733</f>
        <v>0</v>
      </c>
      <c r="I824" s="231">
        <f>基础表!I733</f>
        <v>0</v>
      </c>
      <c r="J824" s="231">
        <f>基础表!J733</f>
        <v>0</v>
      </c>
      <c r="K824" s="231">
        <f>基础表!K733</f>
        <v>0</v>
      </c>
      <c r="L824" s="231">
        <f>基础表!L733</f>
        <v>0</v>
      </c>
      <c r="M824" s="231">
        <f>基础表!M733</f>
        <v>0</v>
      </c>
      <c r="N824" s="231">
        <f>基础表!N733</f>
        <v>0</v>
      </c>
      <c r="O824" s="231">
        <f ca="1">基础表!O733</f>
        <v>0</v>
      </c>
      <c r="P824" s="104">
        <v>247994</v>
      </c>
    </row>
    <row r="825" s="38" customFormat="1" ht="15" customHeight="1" spans="1:18">
      <c r="A825" s="307" t="s">
        <v>185</v>
      </c>
      <c r="B825" s="50" t="s">
        <v>123</v>
      </c>
      <c r="C825" s="231">
        <f>基础表!C734</f>
        <v>0</v>
      </c>
      <c r="D825" s="231">
        <f>基础表!D734</f>
        <v>7.96703296703297</v>
      </c>
      <c r="E825" s="231">
        <f>基础表!E734</f>
        <v>0</v>
      </c>
      <c r="F825" s="231">
        <f>基础表!F734</f>
        <v>0</v>
      </c>
      <c r="G825" s="231">
        <f>基础表!G734</f>
        <v>7.96203238414294</v>
      </c>
      <c r="H825" s="231">
        <f>基础表!H734</f>
        <v>0</v>
      </c>
      <c r="I825" s="231">
        <f>基础表!I734</f>
        <v>0</v>
      </c>
      <c r="J825" s="231">
        <f>基础表!J734</f>
        <v>0</v>
      </c>
      <c r="K825" s="231">
        <f>基础表!K734</f>
        <v>0</v>
      </c>
      <c r="L825" s="231">
        <f>基础表!L734</f>
        <v>0</v>
      </c>
      <c r="M825" s="231">
        <f>基础表!M734</f>
        <v>0</v>
      </c>
      <c r="N825" s="231">
        <f>基础表!N734</f>
        <v>0</v>
      </c>
      <c r="O825" s="231">
        <f ca="1">基础表!O734</f>
        <v>7.96392646548734</v>
      </c>
      <c r="P825" s="104">
        <v>247995</v>
      </c>
    </row>
    <row r="826" s="38" customFormat="1" ht="15" customHeight="1" spans="1:18">
      <c r="A826" s="307" t="s">
        <v>186</v>
      </c>
      <c r="B826" s="50" t="s">
        <v>123</v>
      </c>
      <c r="C826" s="231">
        <f>基础表!C735</f>
        <v>19.02359437751</v>
      </c>
      <c r="D826" s="231">
        <f>基础表!D735</f>
        <v>19.0256779457643</v>
      </c>
      <c r="E826" s="231">
        <f>基础表!E735</f>
        <v>19.0269317088811</v>
      </c>
      <c r="F826" s="231">
        <f>基础表!F735</f>
        <v>19.0263716692924</v>
      </c>
      <c r="G826" s="231">
        <f>基础表!G735</f>
        <v>19.0265985869501</v>
      </c>
      <c r="H826" s="231">
        <f>基础表!H735</f>
        <v>19.0263470302148</v>
      </c>
      <c r="I826" s="231">
        <f>基础表!I735</f>
        <v>0</v>
      </c>
      <c r="J826" s="231">
        <f>基础表!J735</f>
        <v>0</v>
      </c>
      <c r="K826" s="457">
        <f>基础表!K735</f>
        <v>0</v>
      </c>
      <c r="L826" s="231">
        <f>基础表!L735</f>
        <v>0</v>
      </c>
      <c r="M826" s="231">
        <f>基础表!M735</f>
        <v>0</v>
      </c>
      <c r="N826" s="231">
        <f>基础表!N735</f>
        <v>0</v>
      </c>
      <c r="O826" s="231">
        <f ca="1">基础表!O735</f>
        <v>19.0265941932918</v>
      </c>
      <c r="P826" s="104">
        <v>262531</v>
      </c>
    </row>
    <row r="827" s="38" customFormat="1" ht="15" customHeight="1" spans="1:18">
      <c r="A827" s="307" t="s">
        <v>187</v>
      </c>
      <c r="B827" s="50" t="s">
        <v>123</v>
      </c>
      <c r="C827" s="231">
        <f>基础表!C736</f>
        <v>0</v>
      </c>
      <c r="D827" s="231">
        <f>基础表!D736</f>
        <v>0</v>
      </c>
      <c r="E827" s="231">
        <f>基础表!E736</f>
        <v>309.738888888889</v>
      </c>
      <c r="F827" s="231">
        <f>基础表!F736</f>
        <v>0</v>
      </c>
      <c r="G827" s="231">
        <f>基础表!G736</f>
        <v>0</v>
      </c>
      <c r="H827" s="231">
        <f>基础表!H736</f>
        <v>309.734444444444</v>
      </c>
      <c r="I827" s="87">
        <f>基础表!I736</f>
        <v>0</v>
      </c>
      <c r="J827" s="231">
        <f>基础表!J736</f>
        <v>0</v>
      </c>
      <c r="K827" s="231">
        <f>基础表!K736</f>
        <v>0</v>
      </c>
      <c r="L827" s="231">
        <f>基础表!L736</f>
        <v>0</v>
      </c>
      <c r="M827" s="231">
        <f>基础表!M736</f>
        <v>0</v>
      </c>
      <c r="N827" s="231">
        <f>基础表!N736</f>
        <v>0</v>
      </c>
      <c r="O827" s="231">
        <f ca="1">基础表!O736</f>
        <v>309.735185185185</v>
      </c>
      <c r="P827" s="104">
        <v>262532</v>
      </c>
    </row>
    <row r="828" s="38" customFormat="1" ht="15" customHeight="1" spans="1:18">
      <c r="A828" s="307" t="s">
        <v>188</v>
      </c>
      <c r="B828" s="50" t="s">
        <v>123</v>
      </c>
      <c r="C828" s="231">
        <f>基础表!C737</f>
        <v>0</v>
      </c>
      <c r="D828" s="231">
        <f>基础表!D737</f>
        <v>0</v>
      </c>
      <c r="E828" s="231">
        <f>基础表!E737</f>
        <v>0</v>
      </c>
      <c r="F828" s="231">
        <f>基础表!F737</f>
        <v>0</v>
      </c>
      <c r="G828" s="231">
        <f>基础表!G737</f>
        <v>0</v>
      </c>
      <c r="H828" s="231">
        <f>基础表!H737</f>
        <v>0</v>
      </c>
      <c r="I828" s="87">
        <f>基础表!I737</f>
        <v>0</v>
      </c>
      <c r="J828" s="231">
        <f>基础表!J737</f>
        <v>0</v>
      </c>
      <c r="K828" s="231">
        <f>基础表!K737</f>
        <v>0</v>
      </c>
      <c r="L828" s="231">
        <f>基础表!L737</f>
        <v>0</v>
      </c>
      <c r="M828" s="231">
        <f>基础表!M737</f>
        <v>0</v>
      </c>
      <c r="N828" s="231">
        <f>基础表!N737</f>
        <v>0</v>
      </c>
      <c r="O828" s="231">
        <f ca="1">基础表!O737</f>
        <v>0</v>
      </c>
      <c r="P828" s="104">
        <v>263449</v>
      </c>
    </row>
    <row r="829" s="38" customFormat="1" ht="15" customHeight="1" spans="1:18">
      <c r="A829" s="307" t="s">
        <v>189</v>
      </c>
      <c r="B829" s="50" t="s">
        <v>123</v>
      </c>
      <c r="C829" s="231">
        <f>基础表!C738</f>
        <v>0</v>
      </c>
      <c r="D829" s="231">
        <f>基础表!D738</f>
        <v>0</v>
      </c>
      <c r="E829" s="231">
        <f>基础表!E738</f>
        <v>0</v>
      </c>
      <c r="F829" s="231">
        <f>基础表!F738</f>
        <v>0</v>
      </c>
      <c r="G829" s="231">
        <f>基础表!G738</f>
        <v>0</v>
      </c>
      <c r="H829" s="231">
        <f>基础表!H738</f>
        <v>0</v>
      </c>
      <c r="I829" s="87">
        <f>基础表!I738</f>
        <v>0</v>
      </c>
      <c r="J829" s="231">
        <f>基础表!J738</f>
        <v>0</v>
      </c>
      <c r="K829" s="231">
        <f>基础表!K738</f>
        <v>0</v>
      </c>
      <c r="L829" s="231">
        <f>基础表!L738</f>
        <v>0</v>
      </c>
      <c r="M829" s="231">
        <f>基础表!M738</f>
        <v>0</v>
      </c>
      <c r="N829" s="231">
        <f>基础表!N738</f>
        <v>0</v>
      </c>
      <c r="O829" s="231">
        <f ca="1">基础表!O738</f>
        <v>0</v>
      </c>
      <c r="P829" s="104">
        <v>266799</v>
      </c>
    </row>
    <row r="830" s="38" customFormat="1" ht="15" customHeight="1" spans="1:18">
      <c r="A830" s="307" t="s">
        <v>190</v>
      </c>
      <c r="B830" s="50" t="s">
        <v>123</v>
      </c>
      <c r="C830" s="231">
        <f>基础表!C739</f>
        <v>0</v>
      </c>
      <c r="D830" s="231">
        <f>基础表!D739</f>
        <v>0</v>
      </c>
      <c r="E830" s="231">
        <f>基础表!E739</f>
        <v>0</v>
      </c>
      <c r="F830" s="231">
        <f>基础表!F739</f>
        <v>0</v>
      </c>
      <c r="G830" s="231">
        <f>基础表!G739</f>
        <v>0</v>
      </c>
      <c r="H830" s="231">
        <f>基础表!H739</f>
        <v>0</v>
      </c>
      <c r="I830" s="87">
        <f>基础表!I739</f>
        <v>0</v>
      </c>
      <c r="J830" s="231">
        <f>基础表!J739</f>
        <v>0</v>
      </c>
      <c r="K830" s="231">
        <f>基础表!K739</f>
        <v>0</v>
      </c>
      <c r="L830" s="231">
        <f>基础表!L739</f>
        <v>0</v>
      </c>
      <c r="M830" s="231">
        <f>基础表!M739</f>
        <v>0</v>
      </c>
      <c r="N830" s="231">
        <f>基础表!N739</f>
        <v>0</v>
      </c>
      <c r="O830" s="231">
        <f ca="1">基础表!O739</f>
        <v>0</v>
      </c>
      <c r="P830" s="104">
        <v>266801</v>
      </c>
    </row>
    <row r="831" s="38" customFormat="1" ht="15" customHeight="1" spans="1:18">
      <c r="A831" s="307" t="s">
        <v>191</v>
      </c>
      <c r="B831" s="50"/>
      <c r="C831" s="231">
        <f>基础表!C740</f>
        <v>6288.43215556906</v>
      </c>
      <c r="D831" s="231">
        <f>基础表!D740</f>
        <v>6288.43089430894</v>
      </c>
      <c r="E831" s="231">
        <f>基础表!E740</f>
        <v>6467.96453134769</v>
      </c>
      <c r="F831" s="231">
        <f>基础表!F740</f>
        <v>6524.56549619671</v>
      </c>
      <c r="G831" s="231">
        <f>基础表!G740</f>
        <v>6530.99535363965</v>
      </c>
      <c r="H831" s="231">
        <f>基础表!H740</f>
        <v>6546.51603806838</v>
      </c>
      <c r="I831" s="87">
        <f>基础表!I740</f>
        <v>0</v>
      </c>
      <c r="J831" s="231">
        <f>基础表!J740</f>
        <v>0</v>
      </c>
      <c r="K831" s="231">
        <f>基础表!K740</f>
        <v>0</v>
      </c>
      <c r="L831" s="231">
        <f>基础表!L740</f>
        <v>0</v>
      </c>
      <c r="M831" s="231">
        <f>基础表!M740</f>
        <v>0</v>
      </c>
      <c r="N831" s="231">
        <f>基础表!N740</f>
        <v>0</v>
      </c>
      <c r="O831" s="231">
        <f ca="1">基础表!O740</f>
        <v>6487.36182683432</v>
      </c>
      <c r="P831" s="104">
        <v>270837</v>
      </c>
    </row>
    <row r="832" s="38" customFormat="1" ht="15" customHeight="1" spans="1:18">
      <c r="A832" s="307" t="s">
        <v>192</v>
      </c>
      <c r="B832" s="50" t="s">
        <v>123</v>
      </c>
      <c r="C832" s="231">
        <f>基础表!C741</f>
        <v>0</v>
      </c>
      <c r="D832" s="231">
        <f>基础表!D741</f>
        <v>0</v>
      </c>
      <c r="E832" s="231">
        <f>基础表!E741</f>
        <v>0</v>
      </c>
      <c r="F832" s="231">
        <f>基础表!F741</f>
        <v>0</v>
      </c>
      <c r="G832" s="231">
        <f>基础表!G741</f>
        <v>0</v>
      </c>
      <c r="H832" s="231">
        <f>基础表!H741</f>
        <v>0</v>
      </c>
      <c r="I832" s="231">
        <f>基础表!I741</f>
        <v>0</v>
      </c>
      <c r="J832" s="231">
        <f>基础表!J741</f>
        <v>0</v>
      </c>
      <c r="K832" s="231">
        <f>基础表!K741</f>
        <v>0</v>
      </c>
      <c r="L832" s="231">
        <f>基础表!L741</f>
        <v>0</v>
      </c>
      <c r="M832" s="231">
        <f>基础表!M741</f>
        <v>0</v>
      </c>
      <c r="N832" s="231">
        <f>基础表!N741</f>
        <v>0</v>
      </c>
      <c r="O832" s="231">
        <f ca="1">基础表!O741</f>
        <v>0</v>
      </c>
      <c r="P832" s="104">
        <v>278432</v>
      </c>
    </row>
    <row r="833" s="38" customFormat="1" ht="15" customHeight="1" spans="1:18">
      <c r="A833" s="307" t="s">
        <v>193</v>
      </c>
      <c r="B833" s="50" t="s">
        <v>123</v>
      </c>
      <c r="C833" s="231">
        <f>基础表!C742</f>
        <v>0</v>
      </c>
      <c r="D833" s="231">
        <f>基础表!D742</f>
        <v>0</v>
      </c>
      <c r="E833" s="231">
        <f>基础表!E742</f>
        <v>0</v>
      </c>
      <c r="F833" s="231">
        <f>基础表!F742</f>
        <v>0</v>
      </c>
      <c r="G833" s="231">
        <f>基础表!G742</f>
        <v>0</v>
      </c>
      <c r="H833" s="231">
        <f>基础表!H742</f>
        <v>0</v>
      </c>
      <c r="I833" s="231">
        <f>基础表!I742</f>
        <v>0</v>
      </c>
      <c r="J833" s="231">
        <f>基础表!J742</f>
        <v>0</v>
      </c>
      <c r="K833" s="231">
        <f>基础表!K742</f>
        <v>0</v>
      </c>
      <c r="L833" s="231">
        <f>基础表!L742</f>
        <v>0</v>
      </c>
      <c r="M833" s="231">
        <f>基础表!M742</f>
        <v>0</v>
      </c>
      <c r="N833" s="231">
        <f>基础表!N742</f>
        <v>0</v>
      </c>
      <c r="O833" s="231">
        <f ca="1">基础表!O742</f>
        <v>0</v>
      </c>
      <c r="P833" s="104">
        <v>278905</v>
      </c>
      <c r="Q833" s="71"/>
      <c r="R833" s="71"/>
    </row>
    <row r="834" s="38" customFormat="1" ht="15" customHeight="1" spans="1:18">
      <c r="A834" s="307" t="s">
        <v>194</v>
      </c>
      <c r="B834" s="50" t="s">
        <v>123</v>
      </c>
      <c r="C834" s="231">
        <f>基础表!C743</f>
        <v>0</v>
      </c>
      <c r="D834" s="231">
        <f>基础表!D743</f>
        <v>0</v>
      </c>
      <c r="E834" s="231">
        <f>基础表!E743</f>
        <v>0</v>
      </c>
      <c r="F834" s="231">
        <f>基础表!F743</f>
        <v>0</v>
      </c>
      <c r="G834" s="231">
        <f>基础表!G743</f>
        <v>0</v>
      </c>
      <c r="H834" s="231">
        <f>基础表!H743</f>
        <v>0</v>
      </c>
      <c r="I834" s="231">
        <f>基础表!I743</f>
        <v>0</v>
      </c>
      <c r="J834" s="231">
        <f>基础表!J743</f>
        <v>0</v>
      </c>
      <c r="K834" s="231">
        <f>基础表!K743</f>
        <v>0</v>
      </c>
      <c r="L834" s="231">
        <f>基础表!L743</f>
        <v>0</v>
      </c>
      <c r="M834" s="231">
        <f>基础表!M743</f>
        <v>0</v>
      </c>
      <c r="N834" s="231">
        <f>基础表!N743</f>
        <v>0</v>
      </c>
      <c r="O834" s="231">
        <f ca="1">基础表!O743</f>
        <v>0</v>
      </c>
      <c r="P834" s="104">
        <v>279501</v>
      </c>
      <c r="Q834" s="71"/>
      <c r="R834" s="71"/>
    </row>
    <row r="835" s="38" customFormat="1" ht="15" customHeight="1" spans="1:18">
      <c r="A835" s="307" t="s">
        <v>195</v>
      </c>
      <c r="B835" s="50" t="s">
        <v>123</v>
      </c>
      <c r="C835" s="231">
        <f>基础表!C744</f>
        <v>0</v>
      </c>
      <c r="D835" s="231">
        <f>基础表!D744</f>
        <v>0</v>
      </c>
      <c r="E835" s="231">
        <f>基础表!E744</f>
        <v>0</v>
      </c>
      <c r="F835" s="231">
        <f>基础表!F744</f>
        <v>0</v>
      </c>
      <c r="G835" s="231">
        <f>基础表!G744</f>
        <v>0</v>
      </c>
      <c r="H835" s="231">
        <f>基础表!H744</f>
        <v>0</v>
      </c>
      <c r="I835" s="231">
        <f>基础表!I744</f>
        <v>0</v>
      </c>
      <c r="J835" s="231">
        <f>基础表!J744</f>
        <v>0</v>
      </c>
      <c r="K835" s="231">
        <f>基础表!K744</f>
        <v>0</v>
      </c>
      <c r="L835" s="231">
        <f>基础表!L744</f>
        <v>0</v>
      </c>
      <c r="M835" s="231">
        <f>基础表!M744</f>
        <v>0</v>
      </c>
      <c r="N835" s="231">
        <f>基础表!N744</f>
        <v>0</v>
      </c>
      <c r="O835" s="231">
        <f ca="1">基础表!O744</f>
        <v>0</v>
      </c>
      <c r="P835" s="104">
        <v>284316</v>
      </c>
    </row>
    <row r="836" s="38" customFormat="1" ht="15" customHeight="1" spans="1:18">
      <c r="A836" s="307" t="s">
        <v>196</v>
      </c>
      <c r="B836" s="50" t="s">
        <v>123</v>
      </c>
      <c r="C836" s="231">
        <f>基础表!C745</f>
        <v>0</v>
      </c>
      <c r="D836" s="231">
        <f>基础表!D745</f>
        <v>0</v>
      </c>
      <c r="E836" s="231">
        <f>基础表!E745</f>
        <v>0</v>
      </c>
      <c r="F836" s="231">
        <f>基础表!F745</f>
        <v>0</v>
      </c>
      <c r="G836" s="231">
        <f>基础表!G745</f>
        <v>0</v>
      </c>
      <c r="H836" s="231">
        <f>基础表!H745</f>
        <v>0</v>
      </c>
      <c r="I836" s="231">
        <f>基础表!I745</f>
        <v>0</v>
      </c>
      <c r="J836" s="231">
        <f>基础表!J745</f>
        <v>0</v>
      </c>
      <c r="K836" s="231">
        <f>基础表!K745</f>
        <v>0</v>
      </c>
      <c r="L836" s="231">
        <f>基础表!L745</f>
        <v>0</v>
      </c>
      <c r="M836" s="231">
        <f>基础表!M745</f>
        <v>0</v>
      </c>
      <c r="N836" s="231">
        <f>基础表!N745</f>
        <v>0</v>
      </c>
      <c r="O836" s="231">
        <f ca="1">基础表!O745</f>
        <v>0</v>
      </c>
      <c r="P836" s="104">
        <v>291564</v>
      </c>
    </row>
    <row r="837" s="38" customFormat="1" ht="15" customHeight="1" spans="1:18">
      <c r="A837" s="307" t="s">
        <v>197</v>
      </c>
      <c r="B837" s="50" t="s">
        <v>123</v>
      </c>
      <c r="C837" s="231">
        <f>基础表!C746</f>
        <v>0</v>
      </c>
      <c r="D837" s="231">
        <f>基础表!D746</f>
        <v>0</v>
      </c>
      <c r="E837" s="231">
        <f>基础表!E746</f>
        <v>0</v>
      </c>
      <c r="F837" s="231">
        <f>基础表!F746</f>
        <v>0</v>
      </c>
      <c r="G837" s="231">
        <f>基础表!G746</f>
        <v>0</v>
      </c>
      <c r="H837" s="231">
        <f>基础表!H746</f>
        <v>0</v>
      </c>
      <c r="I837" s="231">
        <f>基础表!I746</f>
        <v>0</v>
      </c>
      <c r="J837" s="231">
        <f>基础表!J746</f>
        <v>0</v>
      </c>
      <c r="K837" s="231">
        <f>基础表!K746</f>
        <v>0</v>
      </c>
      <c r="L837" s="231">
        <f>基础表!L746</f>
        <v>0</v>
      </c>
      <c r="M837" s="231">
        <f>基础表!M746</f>
        <v>0</v>
      </c>
      <c r="N837" s="231">
        <f>基础表!N746</f>
        <v>0</v>
      </c>
      <c r="O837" s="231">
        <f ca="1">基础表!O746</f>
        <v>0</v>
      </c>
      <c r="P837" s="104">
        <v>292651</v>
      </c>
    </row>
    <row r="838" s="38" customFormat="1" ht="15" customHeight="1" spans="1:18">
      <c r="A838" s="115" t="s">
        <v>198</v>
      </c>
      <c r="B838" s="50" t="s">
        <v>123</v>
      </c>
      <c r="C838" s="231">
        <f>基础表!C747</f>
        <v>0</v>
      </c>
      <c r="D838" s="231">
        <f>基础表!D747</f>
        <v>0</v>
      </c>
      <c r="E838" s="231">
        <f>基础表!E747</f>
        <v>26.5487632961681</v>
      </c>
      <c r="F838" s="231">
        <f>基础表!F747</f>
        <v>22.1242849713989</v>
      </c>
      <c r="G838" s="231">
        <f>基础表!G747</f>
        <v>22.124166239097</v>
      </c>
      <c r="H838" s="231">
        <f>基础表!H747</f>
        <v>21.3917649891645</v>
      </c>
      <c r="I838" s="231">
        <f>基础表!I747</f>
        <v>0</v>
      </c>
      <c r="J838" s="231">
        <f>基础表!J747</f>
        <v>0</v>
      </c>
      <c r="K838" s="231">
        <f>基础表!K747</f>
        <v>0</v>
      </c>
      <c r="L838" s="231">
        <f>基础表!L747</f>
        <v>0</v>
      </c>
      <c r="M838" s="231">
        <f>基础表!M747</f>
        <v>0</v>
      </c>
      <c r="N838" s="231">
        <f>基础表!N747</f>
        <v>0</v>
      </c>
      <c r="O838" s="231">
        <f ca="1">基础表!O747</f>
        <v>22.8461909476303</v>
      </c>
      <c r="P838" s="104">
        <v>299669</v>
      </c>
    </row>
    <row r="839" s="38" customFormat="1" ht="15" customHeight="1" spans="1:18">
      <c r="A839" s="307" t="s">
        <v>199</v>
      </c>
      <c r="B839" s="50" t="s">
        <v>123</v>
      </c>
      <c r="C839" s="231">
        <f>基础表!C748</f>
        <v>0</v>
      </c>
      <c r="D839" s="231">
        <f>基础表!D748</f>
        <v>0</v>
      </c>
      <c r="E839" s="231">
        <f>基础表!E748</f>
        <v>0</v>
      </c>
      <c r="F839" s="231">
        <f>基础表!F748</f>
        <v>0</v>
      </c>
      <c r="G839" s="231">
        <f>基础表!G748</f>
        <v>0</v>
      </c>
      <c r="H839" s="231">
        <f>基础表!H748</f>
        <v>0</v>
      </c>
      <c r="I839" s="231">
        <f>基础表!I748</f>
        <v>0</v>
      </c>
      <c r="J839" s="231">
        <f>基础表!J748</f>
        <v>0</v>
      </c>
      <c r="K839" s="231">
        <f>基础表!K748</f>
        <v>0</v>
      </c>
      <c r="L839" s="231">
        <f>基础表!L748</f>
        <v>0</v>
      </c>
      <c r="M839" s="231">
        <f>基础表!M748</f>
        <v>0</v>
      </c>
      <c r="N839" s="231">
        <f>基础表!N748</f>
        <v>0</v>
      </c>
      <c r="O839" s="231">
        <f ca="1">基础表!O748</f>
        <v>0</v>
      </c>
      <c r="P839" s="104">
        <v>300312</v>
      </c>
    </row>
    <row r="840" s="38" customFormat="1" ht="15" customHeight="1" spans="1:18">
      <c r="A840" s="115" t="s">
        <v>200</v>
      </c>
      <c r="B840" s="50" t="s">
        <v>123</v>
      </c>
      <c r="C840" s="231">
        <f>基础表!C749</f>
        <v>9.69721966911765</v>
      </c>
      <c r="D840" s="231">
        <f>基础表!D749</f>
        <v>9.69742765273312</v>
      </c>
      <c r="E840" s="231">
        <f>基础表!E749</f>
        <v>9.70230461344007</v>
      </c>
      <c r="F840" s="231">
        <f>基础表!F749</f>
        <v>9.71843903436989</v>
      </c>
      <c r="G840" s="231">
        <f>基础表!G749</f>
        <v>9.72605752961083</v>
      </c>
      <c r="H840" s="231">
        <f>基础表!H749</f>
        <v>9.7260579203595</v>
      </c>
      <c r="I840" s="231">
        <f>基础表!I749</f>
        <v>0</v>
      </c>
      <c r="J840" s="231">
        <f>基础表!J749</f>
        <v>0</v>
      </c>
      <c r="K840" s="457">
        <f>基础表!K749</f>
        <v>0</v>
      </c>
      <c r="L840" s="231">
        <f>基础表!L749</f>
        <v>0</v>
      </c>
      <c r="M840" s="231">
        <f>基础表!M749</f>
        <v>0</v>
      </c>
      <c r="N840" s="231">
        <f>基础表!N749</f>
        <v>0</v>
      </c>
      <c r="O840" s="231">
        <f ca="1">基础表!O749</f>
        <v>9.71552971576227</v>
      </c>
      <c r="P840" s="104">
        <v>302197</v>
      </c>
    </row>
    <row r="841" s="38" customFormat="1" ht="15" customHeight="1" spans="1:18">
      <c r="A841" s="115" t="s">
        <v>201</v>
      </c>
      <c r="B841" s="50" t="s">
        <v>123</v>
      </c>
      <c r="C841" s="231">
        <f>基础表!C750</f>
        <v>0</v>
      </c>
      <c r="D841" s="231">
        <f>基础表!D750</f>
        <v>0</v>
      </c>
      <c r="E841" s="231">
        <f>基础表!E750</f>
        <v>0</v>
      </c>
      <c r="F841" s="231">
        <f>基础表!F750</f>
        <v>0</v>
      </c>
      <c r="G841" s="231">
        <f>基础表!G750</f>
        <v>205.816513761468</v>
      </c>
      <c r="H841" s="231">
        <f>基础表!H750</f>
        <v>205.816513761468</v>
      </c>
      <c r="I841" s="87">
        <f>基础表!I750</f>
        <v>0</v>
      </c>
      <c r="J841" s="231">
        <f>基础表!J750</f>
        <v>0</v>
      </c>
      <c r="K841" s="231">
        <f>基础表!K750</f>
        <v>0</v>
      </c>
      <c r="L841" s="231">
        <f>基础表!L750</f>
        <v>0</v>
      </c>
      <c r="M841" s="231">
        <f>基础表!M750</f>
        <v>0</v>
      </c>
      <c r="N841" s="231">
        <f>基础表!N750</f>
        <v>0</v>
      </c>
      <c r="O841" s="231">
        <f ca="1">基础表!O750</f>
        <v>0</v>
      </c>
      <c r="P841" s="104"/>
    </row>
    <row r="842" s="38" customFormat="1" ht="15" customHeight="1" spans="1:18">
      <c r="A842" s="115" t="s">
        <v>202</v>
      </c>
      <c r="B842" s="50" t="s">
        <v>123</v>
      </c>
      <c r="C842" s="231">
        <f>基础表!C751</f>
        <v>0</v>
      </c>
      <c r="D842" s="231">
        <f>基础表!D751</f>
        <v>0</v>
      </c>
      <c r="E842" s="231">
        <f>基础表!E751</f>
        <v>123.895824365045</v>
      </c>
      <c r="F842" s="231">
        <f>基础表!F751</f>
        <v>123.89406779661</v>
      </c>
      <c r="G842" s="231">
        <f>基础表!G751</f>
        <v>123.892765332354</v>
      </c>
      <c r="H842" s="231">
        <f>基础表!H751</f>
        <v>123.921113689095</v>
      </c>
      <c r="I842" s="87">
        <f>基础表!I751</f>
        <v>0</v>
      </c>
      <c r="J842" s="231">
        <f>基础表!J751</f>
        <v>0</v>
      </c>
      <c r="K842" s="231">
        <f>基础表!K751</f>
        <v>0</v>
      </c>
      <c r="L842" s="231">
        <f>基础表!L751</f>
        <v>0</v>
      </c>
      <c r="M842" s="231">
        <f>基础表!M751</f>
        <v>0</v>
      </c>
      <c r="N842" s="231">
        <f>基础表!N751</f>
        <v>0</v>
      </c>
      <c r="O842" s="231">
        <f ca="1">基础表!O751</f>
        <v>123.8945</v>
      </c>
      <c r="P842" s="104"/>
    </row>
    <row r="843" s="38" customFormat="1" ht="15" customHeight="1" spans="1:18">
      <c r="A843" s="115" t="s">
        <v>203</v>
      </c>
      <c r="B843" s="50" t="s">
        <v>123</v>
      </c>
      <c r="C843" s="231">
        <f>基础表!C752</f>
        <v>0</v>
      </c>
      <c r="D843" s="231">
        <f>基础表!D752</f>
        <v>0</v>
      </c>
      <c r="E843" s="231">
        <f>基础表!E752</f>
        <v>0</v>
      </c>
      <c r="F843" s="231">
        <f>基础表!F752</f>
        <v>0</v>
      </c>
      <c r="G843" s="231">
        <f>基础表!G752</f>
        <v>0</v>
      </c>
      <c r="H843" s="231">
        <f>基础表!H752</f>
        <v>0</v>
      </c>
      <c r="I843" s="87">
        <f>基础表!I752</f>
        <v>0</v>
      </c>
      <c r="J843" s="231">
        <f>基础表!J752</f>
        <v>0</v>
      </c>
      <c r="K843" s="231">
        <f>基础表!K752</f>
        <v>0</v>
      </c>
      <c r="L843" s="231">
        <f>基础表!L752</f>
        <v>0</v>
      </c>
      <c r="M843" s="231">
        <f>基础表!M752</f>
        <v>0</v>
      </c>
      <c r="N843" s="231">
        <f>基础表!N752</f>
        <v>0</v>
      </c>
      <c r="O843" s="231">
        <f ca="1">基础表!O752</f>
        <v>0</v>
      </c>
      <c r="P843" s="104"/>
    </row>
    <row r="844" s="38" customFormat="1" ht="15" customHeight="1" spans="1:18">
      <c r="A844" s="115" t="s">
        <v>204</v>
      </c>
      <c r="B844" s="50" t="s">
        <v>123</v>
      </c>
      <c r="C844" s="231">
        <f>基础表!C753</f>
        <v>0</v>
      </c>
      <c r="D844" s="231">
        <f>基础表!D753</f>
        <v>0</v>
      </c>
      <c r="E844" s="231">
        <f>基础表!E753</f>
        <v>0</v>
      </c>
      <c r="F844" s="231">
        <f>基础表!F753</f>
        <v>104.009124087591</v>
      </c>
      <c r="G844" s="231">
        <f>基础表!G753</f>
        <v>103.358984224702</v>
      </c>
      <c r="H844" s="231">
        <f>基础表!H753</f>
        <v>104.315972222222</v>
      </c>
      <c r="I844" s="87">
        <f>基础表!I753</f>
        <v>0</v>
      </c>
      <c r="J844" s="231">
        <f>基础表!J753</f>
        <v>0</v>
      </c>
      <c r="K844" s="231">
        <f>基础表!K753</f>
        <v>0</v>
      </c>
      <c r="L844" s="231">
        <f>基础表!L753</f>
        <v>0</v>
      </c>
      <c r="M844" s="231">
        <f>基础表!M753</f>
        <v>0</v>
      </c>
      <c r="N844" s="231">
        <f>基础表!N753</f>
        <v>0</v>
      </c>
      <c r="O844" s="231">
        <f ca="1">基础表!O753</f>
        <v>103.911059739628</v>
      </c>
      <c r="P844" s="104"/>
    </row>
    <row r="845" s="38" customFormat="1" ht="15" customHeight="1" spans="1:18">
      <c r="A845" s="115" t="str">
        <f>基础表!A754</f>
        <v>其它香精_通用_液体香精_SHRS0120</v>
      </c>
      <c r="B845" s="50"/>
      <c r="C845" s="231">
        <f>基础表!C754</f>
        <v>108.849456210647</v>
      </c>
      <c r="D845" s="231">
        <f>基础表!D754</f>
        <v>108.849632219945</v>
      </c>
      <c r="E845" s="231">
        <f>基础表!E754</f>
        <v>108.849552142018</v>
      </c>
      <c r="F845" s="231">
        <f>基础表!F754</f>
        <v>108.849528893202</v>
      </c>
      <c r="G845" s="231">
        <f>基础表!G754</f>
        <v>108.849614395887</v>
      </c>
      <c r="H845" s="231">
        <f>基础表!H754</f>
        <v>0</v>
      </c>
      <c r="I845" s="87">
        <f>基础表!I754</f>
        <v>0</v>
      </c>
      <c r="J845" s="231">
        <f>基础表!J754</f>
        <v>0</v>
      </c>
      <c r="K845" s="231">
        <f>基础表!K754</f>
        <v>0</v>
      </c>
      <c r="L845" s="231">
        <f>基础表!L754</f>
        <v>0</v>
      </c>
      <c r="M845" s="231">
        <f>基础表!M754</f>
        <v>0</v>
      </c>
      <c r="N845" s="231">
        <f>基础表!N754</f>
        <v>0</v>
      </c>
      <c r="O845" s="231">
        <f ca="1">基础表!O754</f>
        <v>108.849578343422</v>
      </c>
      <c r="P845" s="71"/>
    </row>
    <row r="846" s="38" customFormat="1" ht="15" customHeight="1" spans="1:18">
      <c r="A846" s="115" t="str">
        <f>基础表!A755</f>
        <v>甘蔗香精_通用_通用</v>
      </c>
      <c r="B846" s="50"/>
      <c r="C846" s="231">
        <f>基础表!C755</f>
        <v>0</v>
      </c>
      <c r="D846" s="231">
        <f>基础表!D755</f>
        <v>0</v>
      </c>
      <c r="E846" s="231">
        <f>基础表!E755</f>
        <v>0</v>
      </c>
      <c r="F846" s="231">
        <f>基础表!F755</f>
        <v>0</v>
      </c>
      <c r="G846" s="231">
        <f>基础表!G755</f>
        <v>0</v>
      </c>
      <c r="H846" s="231">
        <f>基础表!H755</f>
        <v>0</v>
      </c>
      <c r="I846" s="87">
        <f>基础表!I755</f>
        <v>0</v>
      </c>
      <c r="J846" s="231">
        <f>基础表!J755</f>
        <v>0</v>
      </c>
      <c r="K846" s="231">
        <f>基础表!K755</f>
        <v>0</v>
      </c>
      <c r="L846" s="231">
        <f>基础表!L755</f>
        <v>0</v>
      </c>
      <c r="M846" s="231">
        <f>基础表!M755</f>
        <v>0</v>
      </c>
      <c r="N846" s="231">
        <f>基础表!N755</f>
        <v>0</v>
      </c>
      <c r="O846" s="231">
        <f ca="1">基础表!O755</f>
        <v>0</v>
      </c>
      <c r="P846" s="71"/>
    </row>
    <row r="847" s="38" customFormat="1" ht="15" customHeight="1" spans="1:18">
      <c r="A847" s="115" t="str">
        <f>基础表!A756</f>
        <v>炒板栗香精_通用_通用</v>
      </c>
      <c r="B847" s="50"/>
      <c r="C847" s="231">
        <f>基础表!C756</f>
        <v>0</v>
      </c>
      <c r="D847" s="231">
        <f>基础表!D756</f>
        <v>0</v>
      </c>
      <c r="E847" s="231">
        <f>基础表!E756</f>
        <v>0</v>
      </c>
      <c r="F847" s="231">
        <f>基础表!F756</f>
        <v>0</v>
      </c>
      <c r="G847" s="231">
        <f>基础表!G756</f>
        <v>0</v>
      </c>
      <c r="H847" s="231">
        <f>基础表!H756</f>
        <v>0</v>
      </c>
      <c r="I847" s="87">
        <f>基础表!I756</f>
        <v>0</v>
      </c>
      <c r="J847" s="231">
        <f>基础表!J756</f>
        <v>0</v>
      </c>
      <c r="K847" s="231">
        <f>基础表!K756</f>
        <v>0</v>
      </c>
      <c r="L847" s="231">
        <f>基础表!L756</f>
        <v>0</v>
      </c>
      <c r="M847" s="231">
        <f>基础表!M756</f>
        <v>0</v>
      </c>
      <c r="N847" s="231">
        <f>基础表!N756</f>
        <v>0</v>
      </c>
      <c r="O847" s="231">
        <f ca="1">基础表!O756</f>
        <v>0</v>
      </c>
      <c r="P847" s="71"/>
    </row>
    <row r="848" s="38" customFormat="1" ht="15" customHeight="1" spans="1:18">
      <c r="A848" s="115" t="str">
        <f>基础表!A757</f>
        <v>其它香精_通用_液体香精_SHRS0160</v>
      </c>
      <c r="B848" s="50"/>
      <c r="C848" s="231">
        <f>基础表!C757</f>
        <v>148.669609079445</v>
      </c>
      <c r="D848" s="231">
        <f>基础表!D757</f>
        <v>148.673076923077</v>
      </c>
      <c r="E848" s="231">
        <f>基础表!E757</f>
        <v>0</v>
      </c>
      <c r="F848" s="231">
        <f>基础表!F757</f>
        <v>166.372053872054</v>
      </c>
      <c r="G848" s="231">
        <f>基础表!G757</f>
        <v>166.372165754496</v>
      </c>
      <c r="H848" s="231">
        <f>基础表!H757</f>
        <v>0</v>
      </c>
      <c r="I848" s="87">
        <f>基础表!I757</f>
        <v>0</v>
      </c>
      <c r="J848" s="231">
        <f>基础表!J757</f>
        <v>0</v>
      </c>
      <c r="K848" s="231">
        <f>基础表!K757</f>
        <v>0</v>
      </c>
      <c r="L848" s="231">
        <f>基础表!L757</f>
        <v>0</v>
      </c>
      <c r="M848" s="231">
        <f>基础表!M757</f>
        <v>0</v>
      </c>
      <c r="N848" s="231">
        <f>基础表!N757</f>
        <v>0</v>
      </c>
      <c r="O848" s="231">
        <f ca="1">基础表!O757</f>
        <v>158.654873779252</v>
      </c>
      <c r="P848" s="71"/>
    </row>
    <row r="849" s="38" customFormat="1" ht="15" customHeight="1" spans="1:18">
      <c r="A849" s="115" t="str">
        <f>基础表!A758</f>
        <v>其它香精_通用_液体香精_SHRS0240</v>
      </c>
      <c r="B849" s="50"/>
      <c r="C849" s="231">
        <f>基础表!C758</f>
        <v>228.314840499307</v>
      </c>
      <c r="D849" s="231">
        <f>基础表!D758</f>
        <v>0</v>
      </c>
      <c r="E849" s="231">
        <f>基础表!E758</f>
        <v>0</v>
      </c>
      <c r="F849" s="231">
        <f>基础表!F758</f>
        <v>228.320987654321</v>
      </c>
      <c r="G849" s="231">
        <f>基础表!G758</f>
        <v>0</v>
      </c>
      <c r="H849" s="231">
        <f>基础表!H758</f>
        <v>228.381742738589</v>
      </c>
      <c r="I849" s="87">
        <f>基础表!I758</f>
        <v>0</v>
      </c>
      <c r="J849" s="231">
        <f>基础表!J758</f>
        <v>0</v>
      </c>
      <c r="K849" s="231">
        <f>基础表!K758</f>
        <v>0</v>
      </c>
      <c r="L849" s="231">
        <f>基础表!L758</f>
        <v>0</v>
      </c>
      <c r="M849" s="231">
        <f>基础表!M758</f>
        <v>0</v>
      </c>
      <c r="N849" s="231">
        <f>基础表!N758</f>
        <v>0</v>
      </c>
      <c r="O849" s="231">
        <f ca="1">基础表!O758</f>
        <v>228.322736905843</v>
      </c>
      <c r="P849" s="71"/>
    </row>
    <row r="850" s="38" customFormat="1" ht="15" customHeight="1" spans="1:18">
      <c r="A850" s="115" t="str">
        <f>基础表!A759</f>
        <v>其它香精_通用_液体香精_SHRS0220</v>
      </c>
      <c r="B850" s="434"/>
      <c r="C850" s="231">
        <f>基础表!C759</f>
        <v>0</v>
      </c>
      <c r="D850" s="231">
        <f>基础表!D759</f>
        <v>201.704727564103</v>
      </c>
      <c r="E850" s="231">
        <f>基础表!E759</f>
        <v>0</v>
      </c>
      <c r="F850" s="231">
        <f>基础表!F759</f>
        <v>0</v>
      </c>
      <c r="G850" s="231">
        <f>基础表!G759</f>
        <v>200.762277058392</v>
      </c>
      <c r="H850" s="231">
        <f>基础表!H759</f>
        <v>0</v>
      </c>
      <c r="I850" s="87">
        <f>基础表!I759</f>
        <v>0</v>
      </c>
      <c r="J850" s="231">
        <f>基础表!J759</f>
        <v>0</v>
      </c>
      <c r="K850" s="231">
        <f>基础表!K759</f>
        <v>0</v>
      </c>
      <c r="L850" s="231">
        <f>基础表!L759</f>
        <v>0</v>
      </c>
      <c r="M850" s="231">
        <f>基础表!M759</f>
        <v>0</v>
      </c>
      <c r="N850" s="231">
        <f>基础表!N759</f>
        <v>0</v>
      </c>
      <c r="O850" s="231">
        <f ca="1">基础表!O759</f>
        <v>201.1192897253</v>
      </c>
      <c r="P850" s="71"/>
    </row>
    <row r="851" s="38" customFormat="1" ht="15" customHeight="1" spans="1:18">
      <c r="A851" s="115" t="str">
        <f>基础表!A760</f>
        <v>甘蔗多酚_通用</v>
      </c>
      <c r="B851" s="434"/>
      <c r="C851" s="231">
        <f>基础表!C760</f>
        <v>0</v>
      </c>
      <c r="D851" s="231">
        <f>基础表!D760</f>
        <v>0</v>
      </c>
      <c r="E851" s="231">
        <f>基础表!E760</f>
        <v>0</v>
      </c>
      <c r="F851" s="231">
        <f>基础表!F760</f>
        <v>0</v>
      </c>
      <c r="G851" s="231">
        <f>基础表!G760</f>
        <v>0</v>
      </c>
      <c r="H851" s="231">
        <f>基础表!H760</f>
        <v>0</v>
      </c>
      <c r="I851" s="87">
        <f>基础表!I760</f>
        <v>0</v>
      </c>
      <c r="J851" s="231">
        <f>基础表!J760</f>
        <v>0</v>
      </c>
      <c r="K851" s="231">
        <f>基础表!K760</f>
        <v>0</v>
      </c>
      <c r="L851" s="231">
        <f>基础表!L760</f>
        <v>0</v>
      </c>
      <c r="M851" s="231">
        <f>基础表!M760</f>
        <v>0</v>
      </c>
      <c r="N851" s="231">
        <f>基础表!N760</f>
        <v>0</v>
      </c>
      <c r="O851" s="231">
        <f ca="1">基础表!O760</f>
        <v>0</v>
      </c>
      <c r="P851" s="71"/>
    </row>
    <row r="852" s="38" customFormat="1" ht="15" customHeight="1" spans="1:18">
      <c r="A852" s="115" t="str">
        <f>基础表!A761</f>
        <v>其它香精_通用_液体香精_SHRS0200</v>
      </c>
      <c r="B852" s="434"/>
      <c r="C852" s="231">
        <f>基础表!C761</f>
        <v>0</v>
      </c>
      <c r="D852" s="231">
        <f>基础表!D761</f>
        <v>192.035256410256</v>
      </c>
      <c r="E852" s="231">
        <f>基础表!E761</f>
        <v>0</v>
      </c>
      <c r="F852" s="231">
        <f>基础表!F761</f>
        <v>0</v>
      </c>
      <c r="G852" s="231">
        <f>基础表!G761</f>
        <v>192.035830618893</v>
      </c>
      <c r="H852" s="231">
        <f>基础表!H761</f>
        <v>0</v>
      </c>
      <c r="I852" s="87">
        <f>基础表!I761</f>
        <v>0</v>
      </c>
      <c r="J852" s="231">
        <f>基础表!J761</f>
        <v>0</v>
      </c>
      <c r="K852" s="231">
        <f>基础表!K761</f>
        <v>0</v>
      </c>
      <c r="L852" s="231">
        <f>基础表!L761</f>
        <v>0</v>
      </c>
      <c r="M852" s="231">
        <f>基础表!M761</f>
        <v>0</v>
      </c>
      <c r="N852" s="231">
        <f>基础表!N761</f>
        <v>0</v>
      </c>
      <c r="O852" s="231">
        <f ca="1">基础表!O761</f>
        <v>192.0356131121</v>
      </c>
      <c r="P852" s="71"/>
    </row>
    <row r="853" s="38" customFormat="1" ht="15" customHeight="1" spans="1:18">
      <c r="A853" s="115" t="str">
        <f>基础表!A762</f>
        <v>无水柠檬酸_细目</v>
      </c>
      <c r="B853" s="434"/>
      <c r="C853" s="231">
        <f>基础表!C762</f>
        <v>5442.24489795918</v>
      </c>
      <c r="D853" s="231">
        <f>基础表!D762</f>
        <v>5442.5</v>
      </c>
      <c r="E853" s="231">
        <f>基础表!E762</f>
        <v>5442.52747252747</v>
      </c>
      <c r="F853" s="231">
        <f>基础表!F762</f>
        <v>5442.30769230769</v>
      </c>
      <c r="G853" s="231">
        <f>基础表!G762</f>
        <v>5442.52173913043</v>
      </c>
      <c r="H853" s="231">
        <f>基础表!H762</f>
        <v>5442.53968253968</v>
      </c>
      <c r="I853" s="87">
        <f>基础表!I762</f>
        <v>0</v>
      </c>
      <c r="J853" s="231">
        <f>基础表!J762</f>
        <v>0</v>
      </c>
      <c r="K853" s="231">
        <f>基础表!K762</f>
        <v>0</v>
      </c>
      <c r="L853" s="231">
        <f>基础表!L762</f>
        <v>0</v>
      </c>
      <c r="M853" s="231">
        <f>基础表!M762</f>
        <v>0</v>
      </c>
      <c r="N853" s="231">
        <f>基础表!N762</f>
        <v>0</v>
      </c>
      <c r="O853" s="231">
        <f ca="1">基础表!O762</f>
        <v>5442.46153846154</v>
      </c>
      <c r="P853" s="71"/>
    </row>
    <row r="854" s="38" customFormat="1" ht="15" customHeight="1" spans="1:18">
      <c r="A854" s="115" t="str">
        <f>基础表!A763</f>
        <v>亮蓝_通用_通用_GB1886.217—2016</v>
      </c>
      <c r="B854" s="434"/>
      <c r="C854" s="231">
        <f>基础表!C763</f>
        <v>0</v>
      </c>
      <c r="D854" s="231">
        <f>基础表!D763</f>
        <v>0</v>
      </c>
      <c r="E854" s="231">
        <f>基础表!E763</f>
        <v>0</v>
      </c>
      <c r="F854" s="231">
        <f>基础表!F763</f>
        <v>173.451536643026</v>
      </c>
      <c r="G854" s="231">
        <f>基础表!G763</f>
        <v>173.446105428796</v>
      </c>
      <c r="H854" s="231">
        <f>基础表!H763</f>
        <v>173.464052287582</v>
      </c>
      <c r="I854" s="87">
        <f>基础表!I763</f>
        <v>0</v>
      </c>
      <c r="J854" s="231">
        <f>基础表!J763</f>
        <v>0</v>
      </c>
      <c r="K854" s="231">
        <f>基础表!K763</f>
        <v>0</v>
      </c>
      <c r="L854" s="231">
        <f>基础表!L763</f>
        <v>0</v>
      </c>
      <c r="M854" s="231">
        <f>基础表!M763</f>
        <v>0</v>
      </c>
      <c r="N854" s="231">
        <f>基础表!N763</f>
        <v>0</v>
      </c>
      <c r="O854" s="231">
        <f>基础表!O763</f>
        <v>0.423</v>
      </c>
      <c r="P854" s="71"/>
    </row>
    <row r="855" s="38" customFormat="1" ht="15" customHeight="1" spans="1:18">
      <c r="A855" s="46" t="s">
        <v>345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="38" customFormat="1" ht="15" customHeight="1" spans="1:18">
      <c r="A856" s="229" t="s">
        <v>250</v>
      </c>
      <c r="B856" s="230" t="s">
        <v>77</v>
      </c>
      <c r="C856" s="107" t="s">
        <v>220</v>
      </c>
      <c r="D856" s="107" t="s">
        <v>221</v>
      </c>
      <c r="E856" s="107" t="s">
        <v>222</v>
      </c>
      <c r="F856" s="107" t="s">
        <v>223</v>
      </c>
      <c r="G856" s="107" t="s">
        <v>224</v>
      </c>
      <c r="H856" s="107" t="s">
        <v>225</v>
      </c>
      <c r="I856" s="107" t="s">
        <v>226</v>
      </c>
      <c r="J856" s="107" t="s">
        <v>227</v>
      </c>
      <c r="K856" s="107" t="s">
        <v>228</v>
      </c>
      <c r="L856" s="107" t="s">
        <v>229</v>
      </c>
      <c r="M856" s="107" t="s">
        <v>230</v>
      </c>
      <c r="N856" s="107" t="s">
        <v>231</v>
      </c>
      <c r="O856" s="48" t="str">
        <f>CONCATENATE("1-"&amp;mth&amp;"月累计")</f>
        <v>1-8月累计</v>
      </c>
    </row>
    <row r="857" s="38" customFormat="1" ht="15" customHeight="1" spans="1:18">
      <c r="A857" s="307" t="s">
        <v>178</v>
      </c>
      <c r="B857" s="50" t="s">
        <v>123</v>
      </c>
      <c r="C857" s="231">
        <f>基础表!C766</f>
        <v>0</v>
      </c>
      <c r="D857" s="231">
        <f>基础表!D766</f>
        <v>0</v>
      </c>
      <c r="E857" s="231">
        <f>基础表!E766</f>
        <v>0</v>
      </c>
      <c r="F857" s="231">
        <f>基础表!F766</f>
        <v>0</v>
      </c>
      <c r="G857" s="231">
        <f>基础表!G766</f>
        <v>0</v>
      </c>
      <c r="H857" s="231">
        <f>基础表!H766</f>
        <v>0</v>
      </c>
      <c r="I857" s="231">
        <f>基础表!I766</f>
        <v>0</v>
      </c>
      <c r="J857" s="231">
        <f>基础表!J766</f>
        <v>0</v>
      </c>
      <c r="K857" s="231">
        <f>基础表!K766</f>
        <v>0</v>
      </c>
      <c r="L857" s="231">
        <f>基础表!L766</f>
        <v>0</v>
      </c>
      <c r="M857" s="231">
        <f>基础表!M766</f>
        <v>0</v>
      </c>
      <c r="N857" s="231">
        <f>基础表!N766</f>
        <v>0</v>
      </c>
      <c r="O857" s="231">
        <f ca="1">基础表!O766</f>
        <v>0</v>
      </c>
      <c r="P857" s="104">
        <v>213243</v>
      </c>
    </row>
    <row r="858" s="38" customFormat="1" ht="15" customHeight="1" spans="1:18">
      <c r="A858" s="307" t="s">
        <v>179</v>
      </c>
      <c r="B858" s="50" t="s">
        <v>123</v>
      </c>
      <c r="C858" s="231">
        <f>基础表!C767</f>
        <v>0</v>
      </c>
      <c r="D858" s="231">
        <f>基础表!D767</f>
        <v>5.30830769230769</v>
      </c>
      <c r="E858" s="231">
        <f>基础表!E767</f>
        <v>5.3156862745098</v>
      </c>
      <c r="F858" s="231">
        <f>基础表!F767</f>
        <v>5.26591885441527</v>
      </c>
      <c r="G858" s="231">
        <f>基础表!G767</f>
        <v>5.26569444444444</v>
      </c>
      <c r="H858" s="231">
        <f>基础表!H767</f>
        <v>5.26558603491272</v>
      </c>
      <c r="I858" s="231">
        <f>基础表!I767</f>
        <v>0</v>
      </c>
      <c r="J858" s="231">
        <f>基础表!J767</f>
        <v>0</v>
      </c>
      <c r="K858" s="231">
        <f>基础表!K767</f>
        <v>0</v>
      </c>
      <c r="L858" s="231">
        <f>基础表!L767</f>
        <v>0</v>
      </c>
      <c r="M858" s="231">
        <f>基础表!M767</f>
        <v>0</v>
      </c>
      <c r="N858" s="231">
        <f>基础表!N767</f>
        <v>0</v>
      </c>
      <c r="O858" s="231">
        <f ca="1">基础表!O767</f>
        <v>5.27092144047161</v>
      </c>
      <c r="P858" s="104">
        <v>235372</v>
      </c>
      <c r="Q858" s="71"/>
      <c r="R858" s="71"/>
    </row>
    <row r="859" s="38" customFormat="1" ht="15" customHeight="1" spans="1:18">
      <c r="A859" s="307" t="s">
        <v>180</v>
      </c>
      <c r="B859" s="50" t="s">
        <v>123</v>
      </c>
      <c r="C859" s="231">
        <f>基础表!C768</f>
        <v>0</v>
      </c>
      <c r="D859" s="231">
        <f>基础表!D768</f>
        <v>0</v>
      </c>
      <c r="E859" s="231">
        <f>基础表!E768</f>
        <v>0</v>
      </c>
      <c r="F859" s="231">
        <f>基础表!F768</f>
        <v>0</v>
      </c>
      <c r="G859" s="231">
        <f>基础表!G768</f>
        <v>0</v>
      </c>
      <c r="H859" s="231">
        <f>基础表!H768</f>
        <v>0</v>
      </c>
      <c r="I859" s="231">
        <f>基础表!I768</f>
        <v>0</v>
      </c>
      <c r="J859" s="231">
        <f>基础表!J768</f>
        <v>0</v>
      </c>
      <c r="K859" s="231">
        <f>基础表!K768</f>
        <v>0</v>
      </c>
      <c r="L859" s="231">
        <f>基础表!L768</f>
        <v>0</v>
      </c>
      <c r="M859" s="231">
        <f>基础表!M768</f>
        <v>0</v>
      </c>
      <c r="N859" s="231">
        <f>基础表!N768</f>
        <v>0</v>
      </c>
      <c r="O859" s="231">
        <f ca="1">基础表!O768</f>
        <v>0</v>
      </c>
      <c r="P859" s="104">
        <v>244192</v>
      </c>
      <c r="Q859" s="71"/>
      <c r="R859" s="71"/>
    </row>
    <row r="860" s="38" customFormat="1" ht="15" customHeight="1" spans="1:18">
      <c r="A860" s="307" t="s">
        <v>181</v>
      </c>
      <c r="B860" s="50" t="s">
        <v>123</v>
      </c>
      <c r="C860" s="231">
        <f>基础表!C769</f>
        <v>0</v>
      </c>
      <c r="D860" s="231">
        <f>基础表!D769</f>
        <v>5.67287380952381</v>
      </c>
      <c r="E860" s="231">
        <f>基础表!E769</f>
        <v>0</v>
      </c>
      <c r="F860" s="231">
        <f>基础表!F769</f>
        <v>5.6693619047619</v>
      </c>
      <c r="G860" s="231">
        <f>基础表!G769</f>
        <v>5.72751307379431</v>
      </c>
      <c r="H860" s="231">
        <f>基础表!H769</f>
        <v>5.73359407407407</v>
      </c>
      <c r="I860" s="231">
        <f>基础表!I769</f>
        <v>0</v>
      </c>
      <c r="J860" s="231">
        <f>基础表!J769</f>
        <v>0</v>
      </c>
      <c r="K860" s="231">
        <f>基础表!K769</f>
        <v>0</v>
      </c>
      <c r="L860" s="231">
        <f>基础表!L769</f>
        <v>0</v>
      </c>
      <c r="M860" s="231">
        <f>基础表!M769</f>
        <v>0</v>
      </c>
      <c r="N860" s="231">
        <f>基础表!N769</f>
        <v>0</v>
      </c>
      <c r="O860" s="231">
        <f ca="1">基础表!O769</f>
        <v>5.70527576054956</v>
      </c>
      <c r="P860" s="104">
        <v>244193</v>
      </c>
    </row>
    <row r="861" s="38" customFormat="1" ht="15" customHeight="1" spans="1:18">
      <c r="A861" s="307" t="s">
        <v>182</v>
      </c>
      <c r="B861" s="50" t="s">
        <v>123</v>
      </c>
      <c r="C861" s="231">
        <f>基础表!C770</f>
        <v>6.00892194439705</v>
      </c>
      <c r="D861" s="231">
        <f>基础表!D770</f>
        <v>6.03942876447648</v>
      </c>
      <c r="E861" s="231">
        <f>基础表!E770</f>
        <v>6.07656944444444</v>
      </c>
      <c r="F861" s="231">
        <f>基础表!F770</f>
        <v>6.0781725539048</v>
      </c>
      <c r="G861" s="231">
        <f>基础表!G770</f>
        <v>6.06350086772279</v>
      </c>
      <c r="H861" s="231">
        <f>基础表!H770</f>
        <v>6.06281466189622</v>
      </c>
      <c r="I861" s="231">
        <f>基础表!I770</f>
        <v>0</v>
      </c>
      <c r="J861" s="231">
        <f>基础表!J770</f>
        <v>0</v>
      </c>
      <c r="K861" s="231">
        <f>基础表!K770</f>
        <v>0</v>
      </c>
      <c r="L861" s="231">
        <f>基础表!L770</f>
        <v>0</v>
      </c>
      <c r="M861" s="231">
        <f>基础表!M770</f>
        <v>0</v>
      </c>
      <c r="N861" s="231">
        <f>基础表!N770</f>
        <v>0</v>
      </c>
      <c r="O861" s="231">
        <f ca="1">基础表!O770</f>
        <v>6.05837180798009</v>
      </c>
      <c r="P861" s="104">
        <v>244194</v>
      </c>
    </row>
    <row r="862" s="38" customFormat="1" ht="15" customHeight="1" spans="1:18">
      <c r="A862" s="307" t="s">
        <v>183</v>
      </c>
      <c r="B862" s="50" t="s">
        <v>123</v>
      </c>
      <c r="C862" s="231">
        <f>基础表!C771</f>
        <v>5.75452727272727</v>
      </c>
      <c r="D862" s="231">
        <f>基础表!D771</f>
        <v>6.03310333333333</v>
      </c>
      <c r="E862" s="231">
        <f>基础表!E771</f>
        <v>0</v>
      </c>
      <c r="F862" s="231">
        <f>基础表!F771</f>
        <v>6.033106</v>
      </c>
      <c r="G862" s="231">
        <f>基础表!G771</f>
        <v>6.02472390243902</v>
      </c>
      <c r="H862" s="231">
        <f>基础表!H771</f>
        <v>5.89478217109993</v>
      </c>
      <c r="I862" s="231">
        <f>基础表!I771</f>
        <v>0</v>
      </c>
      <c r="J862" s="231">
        <f>基础表!J771</f>
        <v>0</v>
      </c>
      <c r="K862" s="231">
        <f>基础表!K771</f>
        <v>0</v>
      </c>
      <c r="L862" s="231">
        <f>基础表!L771</f>
        <v>0</v>
      </c>
      <c r="M862" s="231">
        <f>基础表!M771</f>
        <v>0</v>
      </c>
      <c r="N862" s="231">
        <f>基础表!N771</f>
        <v>0</v>
      </c>
      <c r="O862" s="231">
        <f ca="1">基础表!O771</f>
        <v>5.93391946833464</v>
      </c>
      <c r="P862" s="104">
        <v>246164</v>
      </c>
    </row>
    <row r="863" s="38" customFormat="1" ht="15" customHeight="1" spans="1:18">
      <c r="A863" s="307" t="s">
        <v>184</v>
      </c>
      <c r="B863" s="50" t="s">
        <v>123</v>
      </c>
      <c r="C863" s="231">
        <f>基础表!C772</f>
        <v>15.4945945945946</v>
      </c>
      <c r="D863" s="231">
        <f>基础表!D772</f>
        <v>15.4936444086887</v>
      </c>
      <c r="E863" s="231">
        <f>基础表!E772</f>
        <v>0</v>
      </c>
      <c r="F863" s="231">
        <f>基础表!F772</f>
        <v>15.4899479166667</v>
      </c>
      <c r="G863" s="231">
        <f>基础表!G772</f>
        <v>15.4868571428571</v>
      </c>
      <c r="H863" s="231">
        <f>基础表!H772</f>
        <v>15.4869283276451</v>
      </c>
      <c r="I863" s="231">
        <f>基础表!I772</f>
        <v>0</v>
      </c>
      <c r="J863" s="231">
        <f>基础表!J772</f>
        <v>0</v>
      </c>
      <c r="K863" s="231">
        <f>基础表!K772</f>
        <v>0</v>
      </c>
      <c r="L863" s="231">
        <f>基础表!L772</f>
        <v>0</v>
      </c>
      <c r="M863" s="231">
        <f>基础表!M772</f>
        <v>0</v>
      </c>
      <c r="N863" s="231">
        <f>基础表!N772</f>
        <v>0</v>
      </c>
      <c r="O863" s="231">
        <f ca="1">基础表!O772</f>
        <v>15.4898392596201</v>
      </c>
      <c r="P863" s="104">
        <v>247994</v>
      </c>
    </row>
    <row r="864" s="38" customFormat="1" ht="15" customHeight="1" spans="1:18">
      <c r="A864" s="307" t="s">
        <v>185</v>
      </c>
      <c r="B864" s="50" t="s">
        <v>123</v>
      </c>
      <c r="C864" s="231">
        <f>基础表!C773</f>
        <v>7.96435185185185</v>
      </c>
      <c r="D864" s="231">
        <f>基础表!D773</f>
        <v>7.96465905821425</v>
      </c>
      <c r="E864" s="231">
        <f>基础表!E773</f>
        <v>0</v>
      </c>
      <c r="F864" s="231">
        <f>基础表!F773</f>
        <v>7.96449612403101</v>
      </c>
      <c r="G864" s="231">
        <f>基础表!G773</f>
        <v>7.96475696163147</v>
      </c>
      <c r="H864" s="231">
        <f>基础表!H773</f>
        <v>7.96451612903226</v>
      </c>
      <c r="I864" s="231">
        <f>基础表!I773</f>
        <v>0</v>
      </c>
      <c r="J864" s="231">
        <f>基础表!J773</f>
        <v>0</v>
      </c>
      <c r="K864" s="231">
        <f>基础表!K773</f>
        <v>0</v>
      </c>
      <c r="L864" s="231">
        <f>基础表!L773</f>
        <v>0</v>
      </c>
      <c r="M864" s="231">
        <f>基础表!M773</f>
        <v>0</v>
      </c>
      <c r="N864" s="231">
        <f>基础表!N773</f>
        <v>0</v>
      </c>
      <c r="O864" s="231">
        <f ca="1">基础表!O773</f>
        <v>7.96456519620855</v>
      </c>
      <c r="P864" s="104">
        <v>247995</v>
      </c>
    </row>
    <row r="865" s="38" customFormat="1" ht="15" customHeight="1" spans="1:18">
      <c r="A865" s="307" t="s">
        <v>186</v>
      </c>
      <c r="B865" s="50" t="s">
        <v>123</v>
      </c>
      <c r="C865" s="231">
        <f>基础表!C774</f>
        <v>19.0269410977242</v>
      </c>
      <c r="D865" s="231">
        <f>基础表!D774</f>
        <v>19.0260578532154</v>
      </c>
      <c r="E865" s="231">
        <f>基础表!E774</f>
        <v>19.0264801813257</v>
      </c>
      <c r="F865" s="231">
        <f>基础表!F774</f>
        <v>19.0261033369214</v>
      </c>
      <c r="G865" s="231">
        <f>基础表!G774</f>
        <v>19.0267233377302</v>
      </c>
      <c r="H865" s="231">
        <f>基础表!H774</f>
        <v>19.0264929529714</v>
      </c>
      <c r="I865" s="231">
        <f>基础表!I774</f>
        <v>0</v>
      </c>
      <c r="J865" s="231">
        <f>基础表!J774</f>
        <v>0</v>
      </c>
      <c r="K865" s="457">
        <f>基础表!K774</f>
        <v>0</v>
      </c>
      <c r="L865" s="231">
        <f>基础表!L774</f>
        <v>0</v>
      </c>
      <c r="M865" s="231">
        <f>基础表!M774</f>
        <v>0</v>
      </c>
      <c r="N865" s="231">
        <f>基础表!N774</f>
        <v>0</v>
      </c>
      <c r="O865" s="231">
        <f ca="1">基础表!O774</f>
        <v>19.0264794328557</v>
      </c>
      <c r="P865" s="104">
        <v>262531</v>
      </c>
    </row>
    <row r="866" s="38" customFormat="1" ht="15" customHeight="1" spans="1:18">
      <c r="A866" s="307" t="s">
        <v>187</v>
      </c>
      <c r="B866" s="50" t="s">
        <v>123</v>
      </c>
      <c r="C866" s="231">
        <f>基础表!C775</f>
        <v>0</v>
      </c>
      <c r="D866" s="231">
        <f>基础表!D775</f>
        <v>0</v>
      </c>
      <c r="E866" s="231">
        <f>基础表!E775</f>
        <v>0</v>
      </c>
      <c r="F866" s="231">
        <f>基础表!F775</f>
        <v>0</v>
      </c>
      <c r="G866" s="231">
        <f>基础表!G775</f>
        <v>0</v>
      </c>
      <c r="H866" s="231">
        <f>基础表!H775</f>
        <v>0</v>
      </c>
      <c r="I866" s="87">
        <f>基础表!I775</f>
        <v>0</v>
      </c>
      <c r="J866" s="231">
        <f>基础表!J775</f>
        <v>0</v>
      </c>
      <c r="K866" s="231">
        <f>基础表!K775</f>
        <v>0</v>
      </c>
      <c r="L866" s="231">
        <f>基础表!L775</f>
        <v>0</v>
      </c>
      <c r="M866" s="231">
        <f>基础表!M775</f>
        <v>0</v>
      </c>
      <c r="N866" s="231">
        <f>基础表!N775</f>
        <v>0</v>
      </c>
      <c r="O866" s="231">
        <f ca="1">基础表!O775</f>
        <v>0</v>
      </c>
      <c r="P866" s="104">
        <v>262532</v>
      </c>
    </row>
    <row r="867" s="38" customFormat="1" ht="15" customHeight="1" spans="1:18">
      <c r="A867" s="307" t="s">
        <v>188</v>
      </c>
      <c r="B867" s="50" t="s">
        <v>123</v>
      </c>
      <c r="C867" s="231">
        <f>基础表!C776</f>
        <v>13.7168220338983</v>
      </c>
      <c r="D867" s="231">
        <f>基础表!D776</f>
        <v>13.7167883211679</v>
      </c>
      <c r="E867" s="231">
        <f>基础表!E776</f>
        <v>13.72</v>
      </c>
      <c r="F867" s="231">
        <f>基础表!F776</f>
        <v>13.7169565217391</v>
      </c>
      <c r="G867" s="231">
        <f>基础表!G776</f>
        <v>13.71675</v>
      </c>
      <c r="H867" s="231">
        <f>基础表!H776</f>
        <v>13.7168055555556</v>
      </c>
      <c r="I867" s="87">
        <f>基础表!I776</f>
        <v>0</v>
      </c>
      <c r="J867" s="231">
        <f>基础表!J776</f>
        <v>0</v>
      </c>
      <c r="K867" s="231">
        <f>基础表!K776</f>
        <v>0</v>
      </c>
      <c r="L867" s="231">
        <f>基础表!L776</f>
        <v>0</v>
      </c>
      <c r="M867" s="231">
        <f>基础表!M776</f>
        <v>0</v>
      </c>
      <c r="N867" s="231">
        <f>基础表!N776</f>
        <v>0</v>
      </c>
      <c r="O867" s="231">
        <f ca="1">基础表!O776</f>
        <v>13.7168168604651</v>
      </c>
      <c r="P867" s="104">
        <v>263449</v>
      </c>
    </row>
    <row r="868" s="38" customFormat="1" ht="15" customHeight="1" spans="1:18">
      <c r="A868" s="307" t="s">
        <v>189</v>
      </c>
      <c r="B868" s="50" t="s">
        <v>123</v>
      </c>
      <c r="C868" s="231">
        <f>基础表!C777</f>
        <v>0</v>
      </c>
      <c r="D868" s="231">
        <f>基础表!D777</f>
        <v>0</v>
      </c>
      <c r="E868" s="231">
        <f>基础表!E777</f>
        <v>0</v>
      </c>
      <c r="F868" s="231">
        <f>基础表!F777</f>
        <v>18.5838307107976</v>
      </c>
      <c r="G868" s="231">
        <f>基础表!G777</f>
        <v>18.5839686884912</v>
      </c>
      <c r="H868" s="231">
        <f>基础表!H777</f>
        <v>18.5836844121026</v>
      </c>
      <c r="I868" s="87">
        <f>基础表!I777</f>
        <v>0</v>
      </c>
      <c r="J868" s="231">
        <f>基础表!J777</f>
        <v>0</v>
      </c>
      <c r="K868" s="231">
        <f>基础表!K777</f>
        <v>0</v>
      </c>
      <c r="L868" s="231">
        <f>基础表!L777</f>
        <v>0</v>
      </c>
      <c r="M868" s="231">
        <f>基础表!M777</f>
        <v>0</v>
      </c>
      <c r="N868" s="231">
        <f>基础表!N777</f>
        <v>0</v>
      </c>
      <c r="O868" s="231">
        <f ca="1">基础表!O777</f>
        <v>18.5838888888889</v>
      </c>
      <c r="P868" s="104">
        <v>266799</v>
      </c>
    </row>
    <row r="869" s="38" customFormat="1" ht="15" customHeight="1" spans="1:18">
      <c r="A869" s="307" t="s">
        <v>190</v>
      </c>
      <c r="B869" s="50" t="s">
        <v>123</v>
      </c>
      <c r="C869" s="231">
        <f>基础表!C778</f>
        <v>0</v>
      </c>
      <c r="D869" s="231">
        <f>基础表!D778</f>
        <v>0</v>
      </c>
      <c r="E869" s="231">
        <f>基础表!E778</f>
        <v>0</v>
      </c>
      <c r="F869" s="231">
        <f>基础表!F778</f>
        <v>0</v>
      </c>
      <c r="G869" s="231">
        <f>基础表!G778</f>
        <v>238.938297747191</v>
      </c>
      <c r="H869" s="231">
        <f>基础表!H778</f>
        <v>238.937659739971</v>
      </c>
      <c r="I869" s="87">
        <f>基础表!I778</f>
        <v>0</v>
      </c>
      <c r="J869" s="231">
        <f>基础表!J778</f>
        <v>0</v>
      </c>
      <c r="K869" s="231">
        <f>基础表!K778</f>
        <v>0</v>
      </c>
      <c r="L869" s="231">
        <f>基础表!L778</f>
        <v>0</v>
      </c>
      <c r="M869" s="231">
        <f>基础表!M778</f>
        <v>0</v>
      </c>
      <c r="N869" s="231">
        <f>基础表!N778</f>
        <v>0</v>
      </c>
      <c r="O869" s="231">
        <f ca="1">基础表!O778</f>
        <v>238.938076923077</v>
      </c>
      <c r="P869" s="104">
        <v>266801</v>
      </c>
    </row>
    <row r="870" s="38" customFormat="1" ht="15" customHeight="1" spans="1:18">
      <c r="A870" s="307" t="s">
        <v>191</v>
      </c>
      <c r="B870" s="50"/>
      <c r="C870" s="231">
        <f>基础表!C779</f>
        <v>0</v>
      </c>
      <c r="D870" s="231">
        <f>基础表!D779</f>
        <v>6288.43254561771</v>
      </c>
      <c r="E870" s="231">
        <f>基础表!E779</f>
        <v>6467.96504620329</v>
      </c>
      <c r="F870" s="231">
        <f>基础表!F779</f>
        <v>6526.37656399176</v>
      </c>
      <c r="G870" s="231">
        <f>基础表!G779</f>
        <v>6542.26939767402</v>
      </c>
      <c r="H870" s="231">
        <f>基础表!H779</f>
        <v>6546.69506192871</v>
      </c>
      <c r="I870" s="87">
        <f>基础表!I779</f>
        <v>0</v>
      </c>
      <c r="J870" s="231">
        <f>基础表!J779</f>
        <v>0</v>
      </c>
      <c r="K870" s="231">
        <f>基础表!K779</f>
        <v>0</v>
      </c>
      <c r="L870" s="231">
        <f>基础表!L779</f>
        <v>0</v>
      </c>
      <c r="M870" s="231">
        <f>基础表!M779</f>
        <v>0</v>
      </c>
      <c r="N870" s="231">
        <f>基础表!N779</f>
        <v>0</v>
      </c>
      <c r="O870" s="231">
        <f ca="1">基础表!O779</f>
        <v>6516.96245333542</v>
      </c>
      <c r="P870" s="104">
        <v>270837</v>
      </c>
    </row>
    <row r="871" s="38" customFormat="1" ht="15" customHeight="1" spans="1:18">
      <c r="A871" s="307" t="s">
        <v>192</v>
      </c>
      <c r="B871" s="50" t="s">
        <v>123</v>
      </c>
      <c r="C871" s="231">
        <f>基础表!C780</f>
        <v>0</v>
      </c>
      <c r="D871" s="231">
        <f>基础表!D780</f>
        <v>7.45137297297297</v>
      </c>
      <c r="E871" s="231">
        <f>基础表!E780</f>
        <v>0</v>
      </c>
      <c r="F871" s="231">
        <f>基础表!F780</f>
        <v>7.45135833333333</v>
      </c>
      <c r="G871" s="231">
        <f>基础表!G780</f>
        <v>7.4513685770751</v>
      </c>
      <c r="H871" s="231">
        <f>基础表!H780</f>
        <v>7.55675843694494</v>
      </c>
      <c r="I871" s="231">
        <f>基础表!I780</f>
        <v>0</v>
      </c>
      <c r="J871" s="231">
        <f>基础表!J780</f>
        <v>0</v>
      </c>
      <c r="K871" s="231">
        <f>基础表!K780</f>
        <v>0</v>
      </c>
      <c r="L871" s="231">
        <f>基础表!L780</f>
        <v>0</v>
      </c>
      <c r="M871" s="231">
        <f>基础表!M780</f>
        <v>0</v>
      </c>
      <c r="N871" s="231">
        <f>基础表!N780</f>
        <v>0</v>
      </c>
      <c r="O871" s="231">
        <f ca="1">基础表!O780</f>
        <v>7.47386350710901</v>
      </c>
      <c r="P871" s="104">
        <v>278432</v>
      </c>
    </row>
    <row r="872" s="38" customFormat="1" ht="15" customHeight="1" spans="1:18">
      <c r="A872" s="307" t="s">
        <v>193</v>
      </c>
      <c r="B872" s="50" t="s">
        <v>123</v>
      </c>
      <c r="C872" s="231">
        <f>基础表!C781</f>
        <v>0</v>
      </c>
      <c r="D872" s="231">
        <f>基础表!D781</f>
        <v>0</v>
      </c>
      <c r="E872" s="231">
        <f>基础表!E781</f>
        <v>0</v>
      </c>
      <c r="F872" s="231">
        <f>基础表!F781</f>
        <v>0</v>
      </c>
      <c r="G872" s="231">
        <f>基础表!G781</f>
        <v>0</v>
      </c>
      <c r="H872" s="231">
        <f>基础表!H781</f>
        <v>0</v>
      </c>
      <c r="I872" s="231">
        <f>基础表!I781</f>
        <v>0</v>
      </c>
      <c r="J872" s="231">
        <f>基础表!J781</f>
        <v>0</v>
      </c>
      <c r="K872" s="231">
        <f>基础表!K781</f>
        <v>0</v>
      </c>
      <c r="L872" s="231">
        <f>基础表!L781</f>
        <v>0</v>
      </c>
      <c r="M872" s="231">
        <f>基础表!M781</f>
        <v>0</v>
      </c>
      <c r="N872" s="231">
        <f>基础表!N781</f>
        <v>0</v>
      </c>
      <c r="O872" s="231">
        <f ca="1">基础表!O781</f>
        <v>0</v>
      </c>
      <c r="P872" s="104">
        <v>278905</v>
      </c>
      <c r="Q872" s="71"/>
      <c r="R872" s="71"/>
    </row>
    <row r="873" s="38" customFormat="1" ht="15" customHeight="1" spans="1:18">
      <c r="A873" s="307" t="s">
        <v>194</v>
      </c>
      <c r="B873" s="50" t="s">
        <v>123</v>
      </c>
      <c r="C873" s="231">
        <f>基础表!C782</f>
        <v>44.8521052631579</v>
      </c>
      <c r="D873" s="231">
        <f>基础表!D782</f>
        <v>0</v>
      </c>
      <c r="E873" s="231">
        <f>基础表!E782</f>
        <v>0</v>
      </c>
      <c r="F873" s="231">
        <f>基础表!F782</f>
        <v>0</v>
      </c>
      <c r="G873" s="231">
        <f>基础表!G782</f>
        <v>0</v>
      </c>
      <c r="H873" s="231">
        <f>基础表!H782</f>
        <v>0</v>
      </c>
      <c r="I873" s="231">
        <f>基础表!I782</f>
        <v>0</v>
      </c>
      <c r="J873" s="231">
        <f>基础表!J782</f>
        <v>0</v>
      </c>
      <c r="K873" s="231">
        <f>基础表!K782</f>
        <v>0</v>
      </c>
      <c r="L873" s="231">
        <f>基础表!L782</f>
        <v>0</v>
      </c>
      <c r="M873" s="231">
        <f>基础表!M782</f>
        <v>0</v>
      </c>
      <c r="N873" s="231">
        <f>基础表!N782</f>
        <v>0</v>
      </c>
      <c r="O873" s="231">
        <f ca="1">基础表!O782</f>
        <v>44.8521052631579</v>
      </c>
      <c r="P873" s="104">
        <v>279501</v>
      </c>
      <c r="Q873" s="71"/>
      <c r="R873" s="71"/>
    </row>
    <row r="874" s="38" customFormat="1" ht="15" customHeight="1" spans="1:18">
      <c r="A874" s="307" t="s">
        <v>195</v>
      </c>
      <c r="B874" s="50" t="s">
        <v>123</v>
      </c>
      <c r="C874" s="231">
        <f>基础表!C783</f>
        <v>0</v>
      </c>
      <c r="D874" s="231">
        <f>基础表!D783</f>
        <v>0</v>
      </c>
      <c r="E874" s="231">
        <f>基础表!E783</f>
        <v>0</v>
      </c>
      <c r="F874" s="231">
        <f>基础表!F783</f>
        <v>38.9375771468877</v>
      </c>
      <c r="G874" s="231">
        <f>基础表!G783</f>
        <v>38.9379724125761</v>
      </c>
      <c r="H874" s="231">
        <f>基础表!H783</f>
        <v>38.938652615732</v>
      </c>
      <c r="I874" s="231">
        <f>基础表!I783</f>
        <v>0</v>
      </c>
      <c r="J874" s="231">
        <f>基础表!J783</f>
        <v>0</v>
      </c>
      <c r="K874" s="231">
        <f>基础表!K783</f>
        <v>0</v>
      </c>
      <c r="L874" s="231">
        <f>基础表!L783</f>
        <v>0</v>
      </c>
      <c r="M874" s="231">
        <f>基础表!M783</f>
        <v>0</v>
      </c>
      <c r="N874" s="231">
        <f>基础表!N783</f>
        <v>0</v>
      </c>
      <c r="O874" s="231">
        <f ca="1">基础表!O783</f>
        <v>38.9379166666667</v>
      </c>
      <c r="P874" s="104">
        <v>284316</v>
      </c>
    </row>
    <row r="875" s="38" customFormat="1" ht="15" customHeight="1" spans="1:18">
      <c r="A875" s="307" t="s">
        <v>196</v>
      </c>
      <c r="B875" s="50" t="s">
        <v>123</v>
      </c>
      <c r="C875" s="231">
        <f>基础表!C784</f>
        <v>0</v>
      </c>
      <c r="D875" s="231">
        <f>基础表!D784</f>
        <v>0</v>
      </c>
      <c r="E875" s="231">
        <f>基础表!E784</f>
        <v>0</v>
      </c>
      <c r="F875" s="231">
        <f>基础表!F784</f>
        <v>0</v>
      </c>
      <c r="G875" s="231">
        <f>基础表!G784</f>
        <v>0</v>
      </c>
      <c r="H875" s="231">
        <f>基础表!H784</f>
        <v>0</v>
      </c>
      <c r="I875" s="231">
        <f>基础表!I784</f>
        <v>0</v>
      </c>
      <c r="J875" s="231">
        <f>基础表!J784</f>
        <v>0</v>
      </c>
      <c r="K875" s="231">
        <f>基础表!K784</f>
        <v>0</v>
      </c>
      <c r="L875" s="231">
        <f>基础表!L784</f>
        <v>0</v>
      </c>
      <c r="M875" s="231">
        <f>基础表!M784</f>
        <v>0</v>
      </c>
      <c r="N875" s="231">
        <f>基础表!N784</f>
        <v>0</v>
      </c>
      <c r="O875" s="231">
        <f ca="1">基础表!O784</f>
        <v>0</v>
      </c>
      <c r="P875" s="104">
        <v>291564</v>
      </c>
    </row>
    <row r="876" s="38" customFormat="1" ht="15" customHeight="1" spans="1:18">
      <c r="A876" s="307" t="s">
        <v>197</v>
      </c>
      <c r="B876" s="50" t="s">
        <v>123</v>
      </c>
      <c r="C876" s="231">
        <f>基础表!C785</f>
        <v>0</v>
      </c>
      <c r="D876" s="231">
        <f>基础表!D785</f>
        <v>0</v>
      </c>
      <c r="E876" s="231">
        <f>基础表!E785</f>
        <v>0</v>
      </c>
      <c r="F876" s="231">
        <f>基础表!F785</f>
        <v>0</v>
      </c>
      <c r="G876" s="231">
        <f>基础表!G785</f>
        <v>0</v>
      </c>
      <c r="H876" s="231">
        <f>基础表!H785</f>
        <v>0</v>
      </c>
      <c r="I876" s="231">
        <f>基础表!I785</f>
        <v>0</v>
      </c>
      <c r="J876" s="231">
        <f>基础表!J785</f>
        <v>0</v>
      </c>
      <c r="K876" s="231">
        <f>基础表!K785</f>
        <v>0</v>
      </c>
      <c r="L876" s="231">
        <f>基础表!L785</f>
        <v>0</v>
      </c>
      <c r="M876" s="231">
        <f>基础表!M785</f>
        <v>0</v>
      </c>
      <c r="N876" s="231">
        <f>基础表!N785</f>
        <v>0</v>
      </c>
      <c r="O876" s="231">
        <f ca="1">基础表!O785</f>
        <v>0</v>
      </c>
      <c r="P876" s="104">
        <v>292651</v>
      </c>
    </row>
    <row r="877" s="38" customFormat="1" ht="15" customHeight="1" spans="1:18">
      <c r="A877" s="115" t="s">
        <v>198</v>
      </c>
      <c r="B877" s="50" t="s">
        <v>123</v>
      </c>
      <c r="C877" s="231">
        <f>基础表!C786</f>
        <v>0</v>
      </c>
      <c r="D877" s="231">
        <f>基础表!D786</f>
        <v>26.5486666666667</v>
      </c>
      <c r="E877" s="231">
        <f>基础表!E786</f>
        <v>26.5486317909162</v>
      </c>
      <c r="F877" s="231">
        <f>基础表!F786</f>
        <v>22.1238836228152</v>
      </c>
      <c r="G877" s="231">
        <f>基础表!G786</f>
        <v>22.1238952368348</v>
      </c>
      <c r="H877" s="231">
        <f>基础表!H786</f>
        <v>21.3915717441206</v>
      </c>
      <c r="I877" s="231">
        <f>基础表!I786</f>
        <v>0</v>
      </c>
      <c r="J877" s="231">
        <f>基础表!J786</f>
        <v>0</v>
      </c>
      <c r="K877" s="231">
        <f>基础表!K786</f>
        <v>0</v>
      </c>
      <c r="L877" s="231">
        <f>基础表!L786</f>
        <v>0</v>
      </c>
      <c r="M877" s="231">
        <f>基础表!M786</f>
        <v>0</v>
      </c>
      <c r="N877" s="231">
        <f>基础表!N786</f>
        <v>0</v>
      </c>
      <c r="O877" s="231">
        <f ca="1">基础表!O786</f>
        <v>22.6538670060135</v>
      </c>
      <c r="P877" s="104">
        <v>299669</v>
      </c>
    </row>
    <row r="878" s="38" customFormat="1" ht="15" customHeight="1" spans="1:18">
      <c r="A878" s="307" t="s">
        <v>199</v>
      </c>
      <c r="B878" s="50" t="s">
        <v>123</v>
      </c>
      <c r="C878" s="231">
        <f>基础表!C787</f>
        <v>0</v>
      </c>
      <c r="D878" s="231">
        <f>基础表!D787</f>
        <v>0</v>
      </c>
      <c r="E878" s="231">
        <f>基础表!E787</f>
        <v>0</v>
      </c>
      <c r="F878" s="231">
        <f>基础表!F787</f>
        <v>0</v>
      </c>
      <c r="G878" s="231">
        <f>基础表!G787</f>
        <v>0</v>
      </c>
      <c r="H878" s="231">
        <f>基础表!H787</f>
        <v>0</v>
      </c>
      <c r="I878" s="231">
        <f>基础表!I787</f>
        <v>0</v>
      </c>
      <c r="J878" s="231">
        <f>基础表!J787</f>
        <v>0</v>
      </c>
      <c r="K878" s="231">
        <f>基础表!K787</f>
        <v>0</v>
      </c>
      <c r="L878" s="231">
        <f>基础表!L787</f>
        <v>0</v>
      </c>
      <c r="M878" s="231">
        <f>基础表!M787</f>
        <v>0</v>
      </c>
      <c r="N878" s="231">
        <f>基础表!N787</f>
        <v>0</v>
      </c>
      <c r="O878" s="231">
        <f ca="1">基础表!O787</f>
        <v>0</v>
      </c>
      <c r="P878" s="104">
        <v>300312</v>
      </c>
    </row>
    <row r="879" s="38" customFormat="1" ht="15" customHeight="1" spans="1:18">
      <c r="A879" s="115" t="s">
        <v>200</v>
      </c>
      <c r="B879" s="50" t="s">
        <v>123</v>
      </c>
      <c r="C879" s="231">
        <f>基础表!C788</f>
        <v>0</v>
      </c>
      <c r="D879" s="231">
        <f>基础表!D788</f>
        <v>0</v>
      </c>
      <c r="E879" s="231">
        <f>基础表!E788</f>
        <v>0</v>
      </c>
      <c r="F879" s="231">
        <f>基础表!F788</f>
        <v>0</v>
      </c>
      <c r="G879" s="231">
        <f>基础表!G788</f>
        <v>0</v>
      </c>
      <c r="H879" s="231">
        <f>基础表!H788</f>
        <v>0</v>
      </c>
      <c r="I879" s="231">
        <f>基础表!I788</f>
        <v>0</v>
      </c>
      <c r="J879" s="231">
        <f>基础表!J788</f>
        <v>0</v>
      </c>
      <c r="K879" s="457">
        <f>基础表!K788</f>
        <v>0</v>
      </c>
      <c r="L879" s="231">
        <f>基础表!L788</f>
        <v>0</v>
      </c>
      <c r="M879" s="231">
        <f>基础表!M788</f>
        <v>0</v>
      </c>
      <c r="N879" s="231">
        <f>基础表!N788</f>
        <v>0</v>
      </c>
      <c r="O879" s="231">
        <f ca="1">基础表!O788</f>
        <v>0</v>
      </c>
      <c r="P879" s="104">
        <v>302197</v>
      </c>
    </row>
    <row r="880" s="38" customFormat="1" ht="15" customHeight="1" spans="1:18">
      <c r="A880" s="115" t="s">
        <v>205</v>
      </c>
      <c r="B880" s="50" t="s">
        <v>123</v>
      </c>
      <c r="C880" s="231">
        <f>基础表!C789</f>
        <v>0</v>
      </c>
      <c r="D880" s="231">
        <f>基础表!D789</f>
        <v>0</v>
      </c>
      <c r="E880" s="231">
        <f>基础表!E789</f>
        <v>0</v>
      </c>
      <c r="F880" s="231">
        <f>基础表!F789</f>
        <v>0</v>
      </c>
      <c r="G880" s="231">
        <f>基础表!G789</f>
        <v>0</v>
      </c>
      <c r="H880" s="231">
        <f>基础表!H789</f>
        <v>0</v>
      </c>
      <c r="I880" s="87">
        <f>基础表!I789</f>
        <v>0</v>
      </c>
      <c r="J880" s="231">
        <f>基础表!J789</f>
        <v>0</v>
      </c>
      <c r="K880" s="231">
        <f>基础表!K789</f>
        <v>0</v>
      </c>
      <c r="L880" s="231">
        <f>基础表!L789</f>
        <v>0</v>
      </c>
      <c r="M880" s="231">
        <f>基础表!M789</f>
        <v>0</v>
      </c>
      <c r="N880" s="231">
        <f>基础表!N789</f>
        <v>0</v>
      </c>
      <c r="O880" s="231">
        <f ca="1">基础表!O789</f>
        <v>0</v>
      </c>
      <c r="P880" s="104"/>
    </row>
    <row r="881" s="38" customFormat="1" ht="15" customHeight="1" spans="1:16">
      <c r="A881" s="115" t="s">
        <v>203</v>
      </c>
      <c r="B881" s="50" t="s">
        <v>123</v>
      </c>
      <c r="C881" s="231">
        <f>基础表!C790</f>
        <v>0</v>
      </c>
      <c r="D881" s="231">
        <f>基础表!D790</f>
        <v>0</v>
      </c>
      <c r="E881" s="231">
        <f>基础表!E790</f>
        <v>0</v>
      </c>
      <c r="F881" s="231">
        <f>基础表!F790</f>
        <v>0</v>
      </c>
      <c r="G881" s="231">
        <f>基础表!G790</f>
        <v>12.3904813412655</v>
      </c>
      <c r="H881" s="231">
        <f>基础表!H790</f>
        <v>12.3904813412655</v>
      </c>
      <c r="I881" s="87">
        <f>基础表!I790</f>
        <v>0</v>
      </c>
      <c r="J881" s="231">
        <f>基础表!J790</f>
        <v>0</v>
      </c>
      <c r="K881" s="231">
        <f>基础表!K790</f>
        <v>0</v>
      </c>
      <c r="L881" s="231">
        <f>基础表!L790</f>
        <v>0</v>
      </c>
      <c r="M881" s="231">
        <f>基础表!M790</f>
        <v>0</v>
      </c>
      <c r="N881" s="231">
        <f>基础表!N790</f>
        <v>0</v>
      </c>
      <c r="O881" s="231">
        <f ca="1">基础表!O790</f>
        <v>0</v>
      </c>
      <c r="P881" s="104"/>
    </row>
    <row r="882" s="38" customFormat="1" ht="15" customHeight="1" spans="1:16">
      <c r="A882" s="115" t="s">
        <v>206</v>
      </c>
      <c r="B882" s="50" t="s">
        <v>123</v>
      </c>
      <c r="C882" s="231">
        <f>基础表!C791</f>
        <v>0</v>
      </c>
      <c r="D882" s="231">
        <f>基础表!D791</f>
        <v>493.748083333333</v>
      </c>
      <c r="E882" s="231">
        <f>基础表!E791</f>
        <v>0</v>
      </c>
      <c r="F882" s="231">
        <f>基础表!F791</f>
        <v>0</v>
      </c>
      <c r="G882" s="231">
        <f>基础表!G791</f>
        <v>493.748148148148</v>
      </c>
      <c r="H882" s="231">
        <f>基础表!H791</f>
        <v>493.748229166667</v>
      </c>
      <c r="I882" s="87">
        <f>基础表!I791</f>
        <v>0</v>
      </c>
      <c r="J882" s="231">
        <f>基础表!J791</f>
        <v>0</v>
      </c>
      <c r="K882" s="231">
        <f>基础表!K791</f>
        <v>0</v>
      </c>
      <c r="L882" s="231">
        <f>基础表!L791</f>
        <v>0</v>
      </c>
      <c r="M882" s="231">
        <f>基础表!M791</f>
        <v>0</v>
      </c>
      <c r="N882" s="231">
        <f>基础表!N791</f>
        <v>0</v>
      </c>
      <c r="O882" s="231">
        <f ca="1">基础表!O791</f>
        <v>493.748148148148</v>
      </c>
      <c r="P882" s="104"/>
    </row>
    <row r="883" s="38" customFormat="1" ht="15" customHeight="1" spans="1:16">
      <c r="A883" s="115" t="str">
        <f>基础表!A792</f>
        <v>食品级六偏磷酸钠_通用_含量≥67%_通用</v>
      </c>
      <c r="B883" s="50" t="s">
        <v>123</v>
      </c>
      <c r="C883" s="231">
        <f>基础表!C792</f>
        <v>13.7168220338983</v>
      </c>
      <c r="D883" s="231">
        <f>基础表!D792</f>
        <v>0</v>
      </c>
      <c r="E883" s="231">
        <f>基础表!E792</f>
        <v>0</v>
      </c>
      <c r="F883" s="231">
        <f>基础表!F792</f>
        <v>0</v>
      </c>
      <c r="G883" s="231">
        <f>基础表!G792</f>
        <v>11.5038033937975</v>
      </c>
      <c r="H883" s="231">
        <f>基础表!H792</f>
        <v>10.6193462790978</v>
      </c>
      <c r="I883" s="87">
        <f>基础表!I792</f>
        <v>0</v>
      </c>
      <c r="J883" s="231">
        <f>基础表!J792</f>
        <v>0</v>
      </c>
      <c r="K883" s="231">
        <f>基础表!K792</f>
        <v>0</v>
      </c>
      <c r="L883" s="231">
        <f>基础表!L792</f>
        <v>0</v>
      </c>
      <c r="M883" s="231">
        <f>基础表!M792</f>
        <v>0</v>
      </c>
      <c r="N883" s="231">
        <f>基础表!N792</f>
        <v>0</v>
      </c>
      <c r="O883" s="231">
        <f ca="1">基础表!O792</f>
        <v>10.7705</v>
      </c>
      <c r="P883" s="104"/>
    </row>
    <row r="884" s="38" customFormat="1" ht="15" customHeight="1" spans="1:16">
      <c r="A884" s="115" t="str">
        <f>基础表!A793</f>
        <v>无水柠檬酸_细目</v>
      </c>
      <c r="B884" s="50" t="s">
        <v>123</v>
      </c>
      <c r="C884" s="231">
        <f>基础表!C793</f>
        <v>5442.85714285714</v>
      </c>
      <c r="D884" s="231">
        <f>基础表!D793</f>
        <v>5442.47457627119</v>
      </c>
      <c r="E884" s="231">
        <f>基础表!E793</f>
        <v>5442.45454545455</v>
      </c>
      <c r="F884" s="231">
        <f>基础表!F793</f>
        <v>5442.47582205029</v>
      </c>
      <c r="G884" s="231">
        <f>基础表!G793</f>
        <v>5442.47557003257</v>
      </c>
      <c r="H884" s="231">
        <f>基础表!H793</f>
        <v>5442.5</v>
      </c>
      <c r="I884" s="87">
        <f>基础表!I793</f>
        <v>0</v>
      </c>
      <c r="J884" s="231">
        <f>基础表!J793</f>
        <v>0</v>
      </c>
      <c r="K884" s="231">
        <f>基础表!K793</f>
        <v>0</v>
      </c>
      <c r="L884" s="231">
        <f>基础表!L793</f>
        <v>0</v>
      </c>
      <c r="M884" s="231">
        <f>基础表!M793</f>
        <v>0</v>
      </c>
      <c r="N884" s="231">
        <f>基础表!N793</f>
        <v>0</v>
      </c>
      <c r="O884" s="231">
        <f ca="1">基础表!O793</f>
        <v>5442.47929163096</v>
      </c>
      <c r="P884" s="71"/>
    </row>
    <row r="885" s="38" customFormat="1" ht="15" customHeight="1" spans="1:16">
      <c r="A885" s="67" t="s">
        <v>346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 s="71"/>
    </row>
    <row r="886" s="38" customFormat="1" ht="15" customHeight="1" spans="1:16">
      <c r="A886" s="229" t="s">
        <v>250</v>
      </c>
      <c r="B886" s="230" t="s">
        <v>77</v>
      </c>
      <c r="C886" s="107" t="s">
        <v>220</v>
      </c>
      <c r="D886" s="107" t="s">
        <v>221</v>
      </c>
      <c r="E886" s="107" t="s">
        <v>222</v>
      </c>
      <c r="F886" s="107" t="s">
        <v>223</v>
      </c>
      <c r="G886" s="107" t="s">
        <v>224</v>
      </c>
      <c r="H886" s="107" t="s">
        <v>225</v>
      </c>
      <c r="I886" s="107" t="s">
        <v>226</v>
      </c>
      <c r="J886" s="107" t="s">
        <v>227</v>
      </c>
      <c r="K886" s="107" t="s">
        <v>228</v>
      </c>
      <c r="L886" s="107" t="s">
        <v>229</v>
      </c>
      <c r="M886" s="107" t="s">
        <v>230</v>
      </c>
      <c r="N886" s="107" t="s">
        <v>231</v>
      </c>
      <c r="O886" s="48" t="str">
        <f>CONCATENATE("1-"&amp;mth&amp;"月累计")</f>
        <v>1-8月累计</v>
      </c>
      <c r="P886" s="71"/>
    </row>
    <row r="887" s="38" customFormat="1" ht="15" customHeight="1" spans="1:16">
      <c r="A887" s="307" t="s">
        <v>178</v>
      </c>
      <c r="B887" s="50" t="s">
        <v>123</v>
      </c>
      <c r="C887" s="231">
        <f>基础表!C797</f>
        <v>0</v>
      </c>
      <c r="D887" s="231">
        <f>基础表!D797</f>
        <v>0</v>
      </c>
      <c r="E887" s="231">
        <f>基础表!E797</f>
        <v>0</v>
      </c>
      <c r="F887" s="231">
        <f>基础表!F797</f>
        <v>0</v>
      </c>
      <c r="G887" s="231">
        <f>基础表!G797</f>
        <v>0</v>
      </c>
      <c r="H887" s="231">
        <f>基础表!H797</f>
        <v>0</v>
      </c>
      <c r="I887" s="231">
        <f>基础表!I797</f>
        <v>0</v>
      </c>
      <c r="J887" s="231">
        <f>基础表!J797</f>
        <v>0</v>
      </c>
      <c r="K887" s="231">
        <f>基础表!K797</f>
        <v>0</v>
      </c>
      <c r="L887" s="231">
        <f>基础表!L797</f>
        <v>0</v>
      </c>
      <c r="M887" s="231">
        <f>基础表!M797</f>
        <v>0</v>
      </c>
      <c r="N887" s="231">
        <f>基础表!N797</f>
        <v>0</v>
      </c>
      <c r="O887" s="231">
        <f ca="1">基础表!O797</f>
        <v>0</v>
      </c>
      <c r="P887" s="71"/>
    </row>
    <row r="888" s="38" customFormat="1" ht="15" customHeight="1" spans="1:16">
      <c r="A888" s="307" t="s">
        <v>179</v>
      </c>
      <c r="B888" s="50" t="s">
        <v>123</v>
      </c>
      <c r="C888" s="231">
        <f>基础表!C798</f>
        <v>0</v>
      </c>
      <c r="D888" s="231">
        <f>基础表!D798</f>
        <v>0</v>
      </c>
      <c r="E888" s="231">
        <f>基础表!E798</f>
        <v>0</v>
      </c>
      <c r="F888" s="231">
        <f>基础表!F798</f>
        <v>0</v>
      </c>
      <c r="G888" s="231">
        <f>基础表!G798</f>
        <v>0</v>
      </c>
      <c r="H888" s="231">
        <f>基础表!H798</f>
        <v>0</v>
      </c>
      <c r="I888" s="231">
        <f>基础表!I798</f>
        <v>0</v>
      </c>
      <c r="J888" s="231">
        <f>基础表!J798</f>
        <v>0</v>
      </c>
      <c r="K888" s="231">
        <f>基础表!K798</f>
        <v>0</v>
      </c>
      <c r="L888" s="231">
        <f>基础表!L798</f>
        <v>0</v>
      </c>
      <c r="M888" s="231">
        <f>基础表!M798</f>
        <v>0</v>
      </c>
      <c r="N888" s="231">
        <f>基础表!N798</f>
        <v>0</v>
      </c>
      <c r="O888" s="231">
        <f ca="1">基础表!O798</f>
        <v>0</v>
      </c>
      <c r="P888" s="71"/>
    </row>
    <row r="889" s="38" customFormat="1" ht="15" customHeight="1" spans="1:16">
      <c r="A889" s="307" t="s">
        <v>180</v>
      </c>
      <c r="B889" s="50" t="s">
        <v>123</v>
      </c>
      <c r="C889" s="231">
        <f>基础表!C799</f>
        <v>0</v>
      </c>
      <c r="D889" s="231">
        <f>基础表!D799</f>
        <v>0</v>
      </c>
      <c r="E889" s="231">
        <f>基础表!E799</f>
        <v>0</v>
      </c>
      <c r="F889" s="231">
        <f>基础表!F799</f>
        <v>0</v>
      </c>
      <c r="G889" s="231">
        <f>基础表!G799</f>
        <v>0</v>
      </c>
      <c r="H889" s="231">
        <f>基础表!H799</f>
        <v>0</v>
      </c>
      <c r="I889" s="231">
        <f>基础表!I799</f>
        <v>0</v>
      </c>
      <c r="J889" s="231">
        <f>基础表!J799</f>
        <v>0</v>
      </c>
      <c r="K889" s="231">
        <f>基础表!K799</f>
        <v>0</v>
      </c>
      <c r="L889" s="231">
        <f>基础表!L799</f>
        <v>0</v>
      </c>
      <c r="M889" s="231">
        <f>基础表!M799</f>
        <v>0</v>
      </c>
      <c r="N889" s="231">
        <f>基础表!N799</f>
        <v>0</v>
      </c>
      <c r="O889" s="231">
        <f ca="1">基础表!O799</f>
        <v>0</v>
      </c>
      <c r="P889" s="71"/>
    </row>
    <row r="890" s="38" customFormat="1" ht="15" customHeight="1" spans="1:16">
      <c r="A890" s="307" t="s">
        <v>181</v>
      </c>
      <c r="B890" s="50" t="s">
        <v>123</v>
      </c>
      <c r="C890" s="231">
        <f>基础表!C800</f>
        <v>0</v>
      </c>
      <c r="D890" s="231">
        <f>基础表!D800</f>
        <v>0</v>
      </c>
      <c r="E890" s="231">
        <f>基础表!E800</f>
        <v>0</v>
      </c>
      <c r="F890" s="231">
        <f>基础表!F800</f>
        <v>0</v>
      </c>
      <c r="G890" s="231">
        <f>基础表!G800</f>
        <v>0</v>
      </c>
      <c r="H890" s="231">
        <f>基础表!H800</f>
        <v>0</v>
      </c>
      <c r="I890" s="231">
        <f>基础表!I800</f>
        <v>0</v>
      </c>
      <c r="J890" s="231">
        <f>基础表!J800</f>
        <v>0</v>
      </c>
      <c r="K890" s="231">
        <f>基础表!K800</f>
        <v>0</v>
      </c>
      <c r="L890" s="231">
        <f>基础表!L800</f>
        <v>0</v>
      </c>
      <c r="M890" s="231">
        <f>基础表!M800</f>
        <v>0</v>
      </c>
      <c r="N890" s="231">
        <f>基础表!N800</f>
        <v>0</v>
      </c>
      <c r="O890" s="231">
        <f ca="1">基础表!O800</f>
        <v>0</v>
      </c>
      <c r="P890" s="71"/>
    </row>
    <row r="891" s="38" customFormat="1" ht="15" customHeight="1" spans="1:16">
      <c r="A891" s="307" t="s">
        <v>182</v>
      </c>
      <c r="B891" s="50" t="s">
        <v>123</v>
      </c>
      <c r="C891" s="231">
        <f>基础表!C801</f>
        <v>6.79007908452717</v>
      </c>
      <c r="D891" s="231">
        <f>基础表!D801</f>
        <v>6.82330222099005</v>
      </c>
      <c r="E891" s="231">
        <f>基础表!E801</f>
        <v>6.86538434808173</v>
      </c>
      <c r="F891" s="231">
        <f>基础表!F801</f>
        <v>6.86531121004113</v>
      </c>
      <c r="G891" s="231">
        <f>基础表!G801</f>
        <v>6.85184487864188</v>
      </c>
      <c r="H891" s="231">
        <f>基础表!H801</f>
        <v>6.85065249238115</v>
      </c>
      <c r="I891" s="231">
        <f>基础表!I801</f>
        <v>0</v>
      </c>
      <c r="J891" s="231">
        <f>基础表!J801</f>
        <v>0</v>
      </c>
      <c r="K891" s="231">
        <f>基础表!K801</f>
        <v>0</v>
      </c>
      <c r="L891" s="231">
        <f>基础表!L801</f>
        <v>0</v>
      </c>
      <c r="M891" s="231">
        <f>基础表!M801</f>
        <v>0</v>
      </c>
      <c r="N891" s="231">
        <f>基础表!N801</f>
        <v>0</v>
      </c>
      <c r="O891" s="231">
        <f ca="1">基础表!O801</f>
        <v>6.85058891447764</v>
      </c>
    </row>
    <row r="892" s="38" customFormat="1" ht="15" customHeight="1" spans="1:16">
      <c r="A892" s="307" t="s">
        <v>183</v>
      </c>
      <c r="B892" s="50" t="s">
        <v>123</v>
      </c>
      <c r="C892" s="231">
        <f>基础表!C802</f>
        <v>0</v>
      </c>
      <c r="D892" s="231">
        <f>基础表!D802</f>
        <v>0</v>
      </c>
      <c r="E892" s="231">
        <f>基础表!E802</f>
        <v>0</v>
      </c>
      <c r="F892" s="231">
        <f>基础表!F802</f>
        <v>0</v>
      </c>
      <c r="G892" s="231">
        <f>基础表!G802</f>
        <v>0</v>
      </c>
      <c r="H892" s="231">
        <f>基础表!H802</f>
        <v>0</v>
      </c>
      <c r="I892" s="231">
        <f>基础表!I802</f>
        <v>0</v>
      </c>
      <c r="J892" s="231">
        <f>基础表!J802</f>
        <v>0</v>
      </c>
      <c r="K892" s="231">
        <f>基础表!K802</f>
        <v>0</v>
      </c>
      <c r="L892" s="231">
        <f>基础表!L802</f>
        <v>0</v>
      </c>
      <c r="M892" s="231">
        <f>基础表!M802</f>
        <v>0</v>
      </c>
      <c r="N892" s="231">
        <f>基础表!N802</f>
        <v>0</v>
      </c>
      <c r="O892" s="231">
        <f ca="1">基础表!O802</f>
        <v>0</v>
      </c>
    </row>
    <row r="893" s="38" customFormat="1" ht="15" customHeight="1" spans="1:16">
      <c r="A893" s="307" t="s">
        <v>184</v>
      </c>
      <c r="B893" s="50" t="s">
        <v>123</v>
      </c>
      <c r="C893" s="231">
        <f>基础表!C803</f>
        <v>0</v>
      </c>
      <c r="D893" s="231">
        <f>基础表!D803</f>
        <v>0</v>
      </c>
      <c r="E893" s="231">
        <f>基础表!E803</f>
        <v>0</v>
      </c>
      <c r="F893" s="231">
        <f>基础表!F803</f>
        <v>0</v>
      </c>
      <c r="G893" s="231">
        <f>基础表!G803</f>
        <v>0</v>
      </c>
      <c r="H893" s="231">
        <f>基础表!H803</f>
        <v>0</v>
      </c>
      <c r="I893" s="231">
        <f>基础表!I803</f>
        <v>0</v>
      </c>
      <c r="J893" s="231">
        <f>基础表!J803</f>
        <v>0</v>
      </c>
      <c r="K893" s="231">
        <f>基础表!K803</f>
        <v>0</v>
      </c>
      <c r="L893" s="231">
        <f>基础表!L803</f>
        <v>0</v>
      </c>
      <c r="M893" s="231">
        <f>基础表!M803</f>
        <v>0</v>
      </c>
      <c r="N893" s="231">
        <f>基础表!N803</f>
        <v>0</v>
      </c>
      <c r="O893" s="231">
        <f ca="1">基础表!O803</f>
        <v>0</v>
      </c>
      <c r="P893" s="132"/>
    </row>
    <row r="894" s="38" customFormat="1" ht="18" customHeight="1" spans="1:16">
      <c r="A894" s="307" t="s">
        <v>185</v>
      </c>
      <c r="B894" s="50" t="s">
        <v>123</v>
      </c>
      <c r="C894" s="231">
        <f>基础表!C804</f>
        <v>0</v>
      </c>
      <c r="D894" s="231">
        <f>基础表!D804</f>
        <v>9.00274725274726</v>
      </c>
      <c r="E894" s="231">
        <f>基础表!E804</f>
        <v>0</v>
      </c>
      <c r="F894" s="231">
        <f>基础表!F804</f>
        <v>0</v>
      </c>
      <c r="G894" s="231">
        <f>基础表!G804</f>
        <v>8.99709659408152</v>
      </c>
      <c r="H894" s="231">
        <f>基础表!H804</f>
        <v>0</v>
      </c>
      <c r="I894" s="231">
        <f>基础表!I804</f>
        <v>0</v>
      </c>
      <c r="J894" s="231">
        <f>基础表!J804</f>
        <v>0</v>
      </c>
      <c r="K894" s="231">
        <f>基础表!K804</f>
        <v>0</v>
      </c>
      <c r="L894" s="231">
        <f>基础表!L804</f>
        <v>0</v>
      </c>
      <c r="M894" s="231">
        <f>基础表!M804</f>
        <v>0</v>
      </c>
      <c r="N894" s="231">
        <f>基础表!N804</f>
        <v>0</v>
      </c>
      <c r="O894" s="231">
        <f ca="1">基础表!O804</f>
        <v>8.99923690600069</v>
      </c>
      <c r="P894" s="132"/>
    </row>
    <row r="895" s="38" customFormat="1" ht="18" customHeight="1" spans="1:16">
      <c r="A895" s="307" t="s">
        <v>186</v>
      </c>
      <c r="B895" s="50" t="s">
        <v>123</v>
      </c>
      <c r="C895" s="231">
        <f>基础表!C805</f>
        <v>21.4966616465863</v>
      </c>
      <c r="D895" s="231">
        <f>基础表!D805</f>
        <v>21.4990160787137</v>
      </c>
      <c r="E895" s="231">
        <f>基础表!E805</f>
        <v>21.5004328310356</v>
      </c>
      <c r="F895" s="231">
        <f>基础表!F805</f>
        <v>21.4997999863004</v>
      </c>
      <c r="G895" s="231">
        <f>基础表!G805</f>
        <v>21.5000564032536</v>
      </c>
      <c r="H895" s="231">
        <f>基础表!H805</f>
        <v>21.4997721441427</v>
      </c>
      <c r="I895" s="231">
        <f>基础表!I805</f>
        <v>0</v>
      </c>
      <c r="J895" s="231">
        <f>基础表!J805</f>
        <v>0</v>
      </c>
      <c r="K895" s="231">
        <f>基础表!K805</f>
        <v>0</v>
      </c>
      <c r="L895" s="231">
        <f>基础表!L805</f>
        <v>0</v>
      </c>
      <c r="M895" s="231">
        <f>基础表!M805</f>
        <v>0</v>
      </c>
      <c r="N895" s="231">
        <f>基础表!N805</f>
        <v>0</v>
      </c>
      <c r="O895" s="231">
        <f ca="1">基础表!O805</f>
        <v>21.5000514384197</v>
      </c>
    </row>
    <row r="896" s="38" customFormat="1" ht="18" customHeight="1" spans="1:16">
      <c r="A896" s="307" t="s">
        <v>187</v>
      </c>
      <c r="B896" s="50" t="s">
        <v>123</v>
      </c>
      <c r="C896" s="231">
        <f>基础表!C806</f>
        <v>0</v>
      </c>
      <c r="D896" s="231">
        <f>基础表!D806</f>
        <v>0</v>
      </c>
      <c r="E896" s="231">
        <f>基础表!E806</f>
        <v>350.004944444445</v>
      </c>
      <c r="F896" s="231">
        <f>基础表!F806</f>
        <v>0</v>
      </c>
      <c r="G896" s="231">
        <f>基础表!G806</f>
        <v>0</v>
      </c>
      <c r="H896" s="231">
        <f>基础表!H806</f>
        <v>349.999922222222</v>
      </c>
      <c r="I896" s="231">
        <f>基础表!I806</f>
        <v>0</v>
      </c>
      <c r="J896" s="231">
        <f>基础表!J806</f>
        <v>0</v>
      </c>
      <c r="K896" s="231">
        <f>基础表!K806</f>
        <v>0</v>
      </c>
      <c r="L896" s="231">
        <f>基础表!L806</f>
        <v>0</v>
      </c>
      <c r="M896" s="231">
        <f>基础表!M806</f>
        <v>0</v>
      </c>
      <c r="N896" s="231">
        <f>基础表!N806</f>
        <v>0</v>
      </c>
      <c r="O896" s="231">
        <f ca="1">基础表!O806</f>
        <v>350.000759259259</v>
      </c>
    </row>
    <row r="897" s="38" customFormat="1" ht="18" customHeight="1" spans="1:16">
      <c r="A897" s="307" t="s">
        <v>188</v>
      </c>
      <c r="B897" s="50" t="s">
        <v>123</v>
      </c>
      <c r="C897" s="231">
        <f>基础表!C807</f>
        <v>0</v>
      </c>
      <c r="D897" s="231">
        <f>基础表!D807</f>
        <v>0</v>
      </c>
      <c r="E897" s="231">
        <f>基础表!E807</f>
        <v>0</v>
      </c>
      <c r="F897" s="231">
        <f>基础表!F807</f>
        <v>0</v>
      </c>
      <c r="G897" s="231">
        <f>基础表!G807</f>
        <v>0</v>
      </c>
      <c r="H897" s="231">
        <f>基础表!H807</f>
        <v>0</v>
      </c>
      <c r="I897" s="231">
        <f>基础表!I807</f>
        <v>0</v>
      </c>
      <c r="J897" s="231">
        <f>基础表!J807</f>
        <v>0</v>
      </c>
      <c r="K897" s="231">
        <f>基础表!K807</f>
        <v>0</v>
      </c>
      <c r="L897" s="231">
        <f>基础表!L807</f>
        <v>0</v>
      </c>
      <c r="M897" s="231">
        <f>基础表!M807</f>
        <v>0</v>
      </c>
      <c r="N897" s="231">
        <f>基础表!N807</f>
        <v>0</v>
      </c>
      <c r="O897" s="231">
        <f ca="1">基础表!O807</f>
        <v>0</v>
      </c>
    </row>
    <row r="898" s="38" customFormat="1" ht="18" customHeight="1" spans="1:16">
      <c r="A898" s="307" t="s">
        <v>189</v>
      </c>
      <c r="B898" s="50" t="s">
        <v>123</v>
      </c>
      <c r="C898" s="231">
        <f>基础表!C808</f>
        <v>0</v>
      </c>
      <c r="D898" s="231">
        <f>基础表!D808</f>
        <v>0</v>
      </c>
      <c r="E898" s="231">
        <f>基础表!E808</f>
        <v>0</v>
      </c>
      <c r="F898" s="231">
        <f>基础表!F808</f>
        <v>0</v>
      </c>
      <c r="G898" s="231">
        <f>基础表!G808</f>
        <v>0</v>
      </c>
      <c r="H898" s="231">
        <f>基础表!H808</f>
        <v>0</v>
      </c>
      <c r="I898" s="231">
        <f>基础表!I808</f>
        <v>0</v>
      </c>
      <c r="J898" s="231">
        <f>基础表!J808</f>
        <v>0</v>
      </c>
      <c r="K898" s="231">
        <f>基础表!K808</f>
        <v>0</v>
      </c>
      <c r="L898" s="231">
        <f>基础表!L808</f>
        <v>0</v>
      </c>
      <c r="M898" s="231">
        <f>基础表!M808</f>
        <v>0</v>
      </c>
      <c r="N898" s="231">
        <f>基础表!N808</f>
        <v>0</v>
      </c>
      <c r="O898" s="231">
        <f ca="1">基础表!O808</f>
        <v>0</v>
      </c>
    </row>
    <row r="899" s="38" customFormat="1" ht="18" customHeight="1" spans="1:16">
      <c r="A899" s="307" t="s">
        <v>190</v>
      </c>
      <c r="B899" s="50" t="s">
        <v>123</v>
      </c>
      <c r="C899" s="231">
        <f>基础表!C809</f>
        <v>0</v>
      </c>
      <c r="D899" s="231">
        <f>基础表!D809</f>
        <v>0</v>
      </c>
      <c r="E899" s="231">
        <f>基础表!E809</f>
        <v>0</v>
      </c>
      <c r="F899" s="231">
        <f>基础表!F809</f>
        <v>0</v>
      </c>
      <c r="G899" s="231">
        <f>基础表!G809</f>
        <v>0</v>
      </c>
      <c r="H899" s="231">
        <f>基础表!H809</f>
        <v>0</v>
      </c>
      <c r="I899" s="231">
        <f>基础表!I809</f>
        <v>0</v>
      </c>
      <c r="J899" s="231">
        <f>基础表!J809</f>
        <v>0</v>
      </c>
      <c r="K899" s="231">
        <f>基础表!K809</f>
        <v>0</v>
      </c>
      <c r="L899" s="231">
        <f>基础表!L809</f>
        <v>0</v>
      </c>
      <c r="M899" s="231">
        <f>基础表!M809</f>
        <v>0</v>
      </c>
      <c r="N899" s="231">
        <f>基础表!N809</f>
        <v>0</v>
      </c>
      <c r="O899" s="231">
        <f ca="1">基础表!O809</f>
        <v>0</v>
      </c>
    </row>
    <row r="900" s="38" customFormat="1" ht="18" customHeight="1" spans="1:16">
      <c r="A900" s="307" t="s">
        <v>191</v>
      </c>
      <c r="B900" s="50" t="s">
        <v>123</v>
      </c>
      <c r="C900" s="231">
        <f>基础表!C810</f>
        <v>7105.92833579304</v>
      </c>
      <c r="D900" s="231">
        <f>基础表!D810</f>
        <v>7105.9269105691</v>
      </c>
      <c r="E900" s="231">
        <f>基础表!E810</f>
        <v>7308.79992042289</v>
      </c>
      <c r="F900" s="231">
        <f>基础表!F810</f>
        <v>7372.75901070228</v>
      </c>
      <c r="G900" s="231">
        <f>基础表!G810</f>
        <v>7380.0247496128</v>
      </c>
      <c r="H900" s="231">
        <f>基础表!H810</f>
        <v>7397.56312301727</v>
      </c>
      <c r="I900" s="231">
        <f>基础表!I810</f>
        <v>0</v>
      </c>
      <c r="J900" s="231">
        <f>基础表!J810</f>
        <v>0</v>
      </c>
      <c r="K900" s="231">
        <f>基础表!K810</f>
        <v>0</v>
      </c>
      <c r="L900" s="231">
        <f>基础表!L810</f>
        <v>0</v>
      </c>
      <c r="M900" s="231">
        <f>基础表!M810</f>
        <v>0</v>
      </c>
      <c r="N900" s="231">
        <f>基础表!N810</f>
        <v>0</v>
      </c>
      <c r="O900" s="231">
        <f ca="1">基础表!O810</f>
        <v>7330.71886432278</v>
      </c>
    </row>
    <row r="901" s="38" customFormat="1" ht="15" customHeight="1" spans="1:16">
      <c r="A901" s="307" t="s">
        <v>192</v>
      </c>
      <c r="B901" s="50" t="s">
        <v>123</v>
      </c>
      <c r="C901" s="231">
        <f>基础表!C811</f>
        <v>0</v>
      </c>
      <c r="D901" s="231">
        <f>基础表!D811</f>
        <v>0</v>
      </c>
      <c r="E901" s="231">
        <f>基础表!E811</f>
        <v>0</v>
      </c>
      <c r="F901" s="231">
        <f>基础表!F811</f>
        <v>0</v>
      </c>
      <c r="G901" s="231">
        <f>基础表!G811</f>
        <v>0</v>
      </c>
      <c r="H901" s="231">
        <f>基础表!H811</f>
        <v>0</v>
      </c>
      <c r="I901" s="231">
        <f>基础表!I811</f>
        <v>0</v>
      </c>
      <c r="J901" s="231">
        <f>基础表!J811</f>
        <v>0</v>
      </c>
      <c r="K901" s="231">
        <f>基础表!K811</f>
        <v>0</v>
      </c>
      <c r="L901" s="231">
        <f>基础表!L811</f>
        <v>0</v>
      </c>
      <c r="M901" s="231">
        <f>基础表!M811</f>
        <v>0</v>
      </c>
      <c r="N901" s="231">
        <f>基础表!N811</f>
        <v>0</v>
      </c>
      <c r="O901" s="231">
        <f ca="1">基础表!O811</f>
        <v>0</v>
      </c>
      <c r="P901" s="71"/>
    </row>
    <row r="902" s="38" customFormat="1" ht="15" customHeight="1" spans="1:16">
      <c r="A902" s="307" t="s">
        <v>193</v>
      </c>
      <c r="B902" s="50" t="s">
        <v>123</v>
      </c>
      <c r="C902" s="231">
        <f>基础表!C812</f>
        <v>0</v>
      </c>
      <c r="D902" s="231">
        <f>基础表!D812</f>
        <v>0</v>
      </c>
      <c r="E902" s="231">
        <f>基础表!E812</f>
        <v>0</v>
      </c>
      <c r="F902" s="231">
        <f>基础表!F812</f>
        <v>0</v>
      </c>
      <c r="G902" s="231">
        <f>基础表!G812</f>
        <v>0</v>
      </c>
      <c r="H902" s="231">
        <f>基础表!H812</f>
        <v>0</v>
      </c>
      <c r="I902" s="231">
        <f>基础表!I812</f>
        <v>0</v>
      </c>
      <c r="J902" s="231">
        <f>基础表!J812</f>
        <v>0</v>
      </c>
      <c r="K902" s="231">
        <f>基础表!K812</f>
        <v>0</v>
      </c>
      <c r="L902" s="231">
        <f>基础表!L812</f>
        <v>0</v>
      </c>
      <c r="M902" s="231">
        <f>基础表!M812</f>
        <v>0</v>
      </c>
      <c r="N902" s="231">
        <f>基础表!N812</f>
        <v>0</v>
      </c>
      <c r="O902" s="231">
        <f ca="1">基础表!O812</f>
        <v>0</v>
      </c>
      <c r="P902" s="71"/>
    </row>
    <row r="903" s="38" customFormat="1" ht="15" customHeight="1" spans="1:16">
      <c r="A903" s="307" t="s">
        <v>194</v>
      </c>
      <c r="B903" s="50" t="s">
        <v>123</v>
      </c>
      <c r="C903" s="231">
        <f>基础表!C813</f>
        <v>0</v>
      </c>
      <c r="D903" s="231">
        <f>基础表!D813</f>
        <v>0</v>
      </c>
      <c r="E903" s="231">
        <f>基础表!E813</f>
        <v>0</v>
      </c>
      <c r="F903" s="231">
        <f>基础表!F813</f>
        <v>0</v>
      </c>
      <c r="G903" s="231">
        <f>基础表!G813</f>
        <v>0</v>
      </c>
      <c r="H903" s="231">
        <f>基础表!H813</f>
        <v>0</v>
      </c>
      <c r="I903" s="231">
        <f>基础表!I813</f>
        <v>0</v>
      </c>
      <c r="J903" s="231">
        <f>基础表!J813</f>
        <v>0</v>
      </c>
      <c r="K903" s="231">
        <f>基础表!K813</f>
        <v>0</v>
      </c>
      <c r="L903" s="231">
        <f>基础表!L813</f>
        <v>0</v>
      </c>
      <c r="M903" s="231">
        <f>基础表!M813</f>
        <v>0</v>
      </c>
      <c r="N903" s="231">
        <f>基础表!N813</f>
        <v>0</v>
      </c>
      <c r="O903" s="231">
        <f ca="1">基础表!O813</f>
        <v>0</v>
      </c>
      <c r="P903" s="71"/>
    </row>
    <row r="904" s="38" customFormat="1" ht="15" customHeight="1" spans="1:16">
      <c r="A904" s="307" t="s">
        <v>195</v>
      </c>
      <c r="B904" s="50" t="s">
        <v>123</v>
      </c>
      <c r="C904" s="231">
        <f>基础表!C814</f>
        <v>0</v>
      </c>
      <c r="D904" s="231">
        <f>基础表!D814</f>
        <v>0</v>
      </c>
      <c r="E904" s="231">
        <f>基础表!E814</f>
        <v>0</v>
      </c>
      <c r="F904" s="231">
        <f>基础表!F814</f>
        <v>0</v>
      </c>
      <c r="G904" s="231">
        <f>基础表!G814</f>
        <v>0</v>
      </c>
      <c r="H904" s="231">
        <f>基础表!H814</f>
        <v>0</v>
      </c>
      <c r="I904" s="231">
        <f>基础表!I814</f>
        <v>0</v>
      </c>
      <c r="J904" s="231">
        <f>基础表!J814</f>
        <v>0</v>
      </c>
      <c r="K904" s="231">
        <f>基础表!K814</f>
        <v>0</v>
      </c>
      <c r="L904" s="231">
        <f>基础表!L814</f>
        <v>0</v>
      </c>
      <c r="M904" s="231">
        <f>基础表!M814</f>
        <v>0</v>
      </c>
      <c r="N904" s="231">
        <f>基础表!N814</f>
        <v>0</v>
      </c>
      <c r="O904" s="231">
        <f ca="1">基础表!O814</f>
        <v>0</v>
      </c>
      <c r="P904" s="71"/>
    </row>
    <row r="905" s="38" customFormat="1" ht="15" customHeight="1" spans="1:16">
      <c r="A905" s="307" t="s">
        <v>196</v>
      </c>
      <c r="B905" s="50" t="s">
        <v>123</v>
      </c>
      <c r="C905" s="231">
        <f>基础表!C815</f>
        <v>0</v>
      </c>
      <c r="D905" s="231">
        <f>基础表!D815</f>
        <v>0</v>
      </c>
      <c r="E905" s="231">
        <f>基础表!E815</f>
        <v>0</v>
      </c>
      <c r="F905" s="231">
        <f>基础表!F815</f>
        <v>0</v>
      </c>
      <c r="G905" s="231">
        <f>基础表!G815</f>
        <v>0</v>
      </c>
      <c r="H905" s="231">
        <f>基础表!H815</f>
        <v>0</v>
      </c>
      <c r="I905" s="231">
        <f>基础表!I815</f>
        <v>0</v>
      </c>
      <c r="J905" s="231">
        <f>基础表!J815</f>
        <v>0</v>
      </c>
      <c r="K905" s="231">
        <f>基础表!K815</f>
        <v>0</v>
      </c>
      <c r="L905" s="231">
        <f>基础表!L815</f>
        <v>0</v>
      </c>
      <c r="M905" s="231">
        <f>基础表!M815</f>
        <v>0</v>
      </c>
      <c r="N905" s="231">
        <f>基础表!N815</f>
        <v>0</v>
      </c>
      <c r="O905" s="231">
        <f ca="1">基础表!O815</f>
        <v>0</v>
      </c>
    </row>
    <row r="906" s="38" customFormat="1" ht="15" customHeight="1" spans="1:16">
      <c r="A906" s="307" t="s">
        <v>197</v>
      </c>
      <c r="B906" s="50" t="s">
        <v>123</v>
      </c>
      <c r="C906" s="231">
        <f>基础表!C816</f>
        <v>0</v>
      </c>
      <c r="D906" s="231">
        <f>基础表!D816</f>
        <v>0</v>
      </c>
      <c r="E906" s="231">
        <f>基础表!E816</f>
        <v>0</v>
      </c>
      <c r="F906" s="231">
        <f>基础表!F816</f>
        <v>0</v>
      </c>
      <c r="G906" s="231">
        <f>基础表!G816</f>
        <v>0</v>
      </c>
      <c r="H906" s="231">
        <f>基础表!H816</f>
        <v>0</v>
      </c>
      <c r="I906" s="231">
        <f>基础表!I816</f>
        <v>0</v>
      </c>
      <c r="J906" s="231">
        <f>基础表!J816</f>
        <v>0</v>
      </c>
      <c r="K906" s="231">
        <f>基础表!K816</f>
        <v>0</v>
      </c>
      <c r="L906" s="231">
        <f>基础表!L816</f>
        <v>0</v>
      </c>
      <c r="M906" s="231">
        <f>基础表!M816</f>
        <v>0</v>
      </c>
      <c r="N906" s="231">
        <f>基础表!N816</f>
        <v>0</v>
      </c>
      <c r="O906" s="231">
        <f ca="1">基础表!O816</f>
        <v>0</v>
      </c>
    </row>
    <row r="907" s="38" customFormat="1" ht="15" customHeight="1" spans="1:16">
      <c r="A907" s="115" t="s">
        <v>198</v>
      </c>
      <c r="B907" s="50" t="s">
        <v>123</v>
      </c>
      <c r="C907" s="231">
        <f>基础表!C817</f>
        <v>0</v>
      </c>
      <c r="D907" s="231">
        <f>基础表!D817</f>
        <v>0</v>
      </c>
      <c r="E907" s="231">
        <f>基础表!E817</f>
        <v>30.00010252467</v>
      </c>
      <c r="F907" s="231">
        <f>基础表!F817</f>
        <v>25.0004420176808</v>
      </c>
      <c r="G907" s="231">
        <f>基础表!G817</f>
        <v>25.0003078501796</v>
      </c>
      <c r="H907" s="231">
        <f>基础表!H817</f>
        <v>24.1726944377559</v>
      </c>
      <c r="I907" s="231">
        <f>基础表!I817</f>
        <v>0</v>
      </c>
      <c r="J907" s="231">
        <f>基础表!J817</f>
        <v>0</v>
      </c>
      <c r="K907" s="231">
        <f>基础表!K817</f>
        <v>0</v>
      </c>
      <c r="L907" s="231">
        <f>基础表!L817</f>
        <v>0</v>
      </c>
      <c r="M907" s="231">
        <f>基础表!M817</f>
        <v>0</v>
      </c>
      <c r="N907" s="231">
        <f>基础表!N817</f>
        <v>0</v>
      </c>
      <c r="O907" s="231">
        <f ca="1">基础表!O817</f>
        <v>25.8161957708222</v>
      </c>
      <c r="P907" s="132"/>
    </row>
    <row r="908" s="38" customFormat="1" ht="18" customHeight="1" spans="1:16">
      <c r="A908" s="307" t="s">
        <v>199</v>
      </c>
      <c r="B908" s="50" t="s">
        <v>123</v>
      </c>
      <c r="C908" s="231">
        <f>基础表!C818</f>
        <v>0</v>
      </c>
      <c r="D908" s="231">
        <f>基础表!D818</f>
        <v>0</v>
      </c>
      <c r="E908" s="231">
        <f>基础表!E818</f>
        <v>0</v>
      </c>
      <c r="F908" s="231">
        <f>基础表!F818</f>
        <v>0</v>
      </c>
      <c r="G908" s="231">
        <f>基础表!G818</f>
        <v>0</v>
      </c>
      <c r="H908" s="231">
        <f>基础表!H818</f>
        <v>0</v>
      </c>
      <c r="I908" s="231">
        <f>基础表!I818</f>
        <v>0</v>
      </c>
      <c r="J908" s="231">
        <f>基础表!J818</f>
        <v>0</v>
      </c>
      <c r="K908" s="231">
        <f>基础表!K818</f>
        <v>0</v>
      </c>
      <c r="L908" s="231">
        <f>基础表!L818</f>
        <v>0</v>
      </c>
      <c r="M908" s="231">
        <f>基础表!M818</f>
        <v>0</v>
      </c>
      <c r="N908" s="231">
        <f>基础表!N818</f>
        <v>0</v>
      </c>
      <c r="O908" s="231">
        <f ca="1">基础表!O818</f>
        <v>0</v>
      </c>
      <c r="P908" s="132"/>
    </row>
    <row r="909" s="38" customFormat="1" ht="18" customHeight="1" spans="1:16">
      <c r="A909" s="115" t="s">
        <v>200</v>
      </c>
      <c r="B909" s="50" t="s">
        <v>123</v>
      </c>
      <c r="C909" s="231">
        <f>基础表!C819</f>
        <v>10.9578582261029</v>
      </c>
      <c r="D909" s="231">
        <f>基础表!D819</f>
        <v>10.9580932475884</v>
      </c>
      <c r="E909" s="231">
        <f>基础表!E819</f>
        <v>10.9636042131873</v>
      </c>
      <c r="F909" s="231">
        <f>基础表!F819</f>
        <v>10.981836108838</v>
      </c>
      <c r="G909" s="231">
        <f>基础表!G819</f>
        <v>10.9904450084602</v>
      </c>
      <c r="H909" s="231">
        <f>基础表!H819</f>
        <v>10.9904454500062</v>
      </c>
      <c r="I909" s="231">
        <f>基础表!I819</f>
        <v>0</v>
      </c>
      <c r="J909" s="231">
        <f>基础表!J819</f>
        <v>0</v>
      </c>
      <c r="K909" s="231">
        <f>基础表!K819</f>
        <v>0</v>
      </c>
      <c r="L909" s="231">
        <f>基础表!L819</f>
        <v>0</v>
      </c>
      <c r="M909" s="231">
        <f>基础表!M819</f>
        <v>0</v>
      </c>
      <c r="N909" s="231">
        <f>基础表!N819</f>
        <v>0</v>
      </c>
      <c r="O909" s="231">
        <f ca="1">基础表!O819</f>
        <v>10.9785485788114</v>
      </c>
    </row>
    <row r="910" s="38" customFormat="1" ht="18" customHeight="1" spans="1:16">
      <c r="A910" s="115" t="s">
        <v>201</v>
      </c>
      <c r="B910" s="50"/>
      <c r="C910" s="231">
        <f>基础表!C820</f>
        <v>0</v>
      </c>
      <c r="D910" s="231">
        <f>基础表!D820</f>
        <v>0</v>
      </c>
      <c r="E910" s="231">
        <f>基础表!E820</f>
        <v>0</v>
      </c>
      <c r="F910" s="231">
        <f>基础表!F820</f>
        <v>0</v>
      </c>
      <c r="G910" s="231">
        <f>基础表!G820</f>
        <v>232.572660550459</v>
      </c>
      <c r="H910" s="231">
        <f>基础表!H820</f>
        <v>232.572660550459</v>
      </c>
      <c r="I910" s="231">
        <f>基础表!I820</f>
        <v>0</v>
      </c>
      <c r="J910" s="231">
        <f>基础表!J820</f>
        <v>0</v>
      </c>
      <c r="K910" s="231">
        <f>基础表!K820</f>
        <v>0</v>
      </c>
      <c r="L910" s="231">
        <f>基础表!L820</f>
        <v>0</v>
      </c>
      <c r="M910" s="231">
        <f>基础表!M820</f>
        <v>0</v>
      </c>
      <c r="N910" s="231">
        <f>基础表!N820</f>
        <v>0</v>
      </c>
      <c r="O910" s="231">
        <f ca="1">基础表!O820</f>
        <v>0</v>
      </c>
    </row>
    <row r="911" s="38" customFormat="1" ht="18" customHeight="1" spans="1:16">
      <c r="A911" s="115" t="s">
        <v>202</v>
      </c>
      <c r="B911" s="50"/>
      <c r="C911" s="231">
        <f>基础表!C821</f>
        <v>0</v>
      </c>
      <c r="D911" s="231">
        <f>基础表!D821</f>
        <v>0</v>
      </c>
      <c r="E911" s="231">
        <f>基础表!E821</f>
        <v>140.002281532501</v>
      </c>
      <c r="F911" s="231">
        <f>基础表!F821</f>
        <v>140.000296610169</v>
      </c>
      <c r="G911" s="231">
        <f>基础表!G821</f>
        <v>139.99882482556</v>
      </c>
      <c r="H911" s="231">
        <f>基础表!H821</f>
        <v>140.030858468677</v>
      </c>
      <c r="I911" s="231">
        <f>基础表!I821</f>
        <v>0</v>
      </c>
      <c r="J911" s="231">
        <f>基础表!J821</f>
        <v>0</v>
      </c>
      <c r="K911" s="231">
        <f>基础表!K821</f>
        <v>0</v>
      </c>
      <c r="L911" s="231">
        <f>基础表!L821</f>
        <v>0</v>
      </c>
      <c r="M911" s="231">
        <f>基础表!M821</f>
        <v>0</v>
      </c>
      <c r="N911" s="231">
        <f>基础表!N821</f>
        <v>0</v>
      </c>
      <c r="O911" s="231">
        <f ca="1">基础表!O821</f>
        <v>140.000785</v>
      </c>
    </row>
    <row r="912" s="38" customFormat="1" ht="18" customHeight="1" spans="1:16">
      <c r="A912" s="115" t="s">
        <v>203</v>
      </c>
      <c r="B912" s="50"/>
      <c r="C912" s="231">
        <f>基础表!C822</f>
        <v>0</v>
      </c>
      <c r="D912" s="231">
        <f>基础表!D822</f>
        <v>0</v>
      </c>
      <c r="E912" s="231">
        <f>基础表!E822</f>
        <v>0</v>
      </c>
      <c r="F912" s="231">
        <f>基础表!F822</f>
        <v>0</v>
      </c>
      <c r="G912" s="231">
        <f>基础表!G822</f>
        <v>0</v>
      </c>
      <c r="H912" s="231">
        <f>基础表!H822</f>
        <v>0</v>
      </c>
      <c r="I912" s="231">
        <f>基础表!I822</f>
        <v>0</v>
      </c>
      <c r="J912" s="231">
        <f>基础表!J822</f>
        <v>0</v>
      </c>
      <c r="K912" s="231">
        <f>基础表!K822</f>
        <v>0</v>
      </c>
      <c r="L912" s="231">
        <f>基础表!L822</f>
        <v>0</v>
      </c>
      <c r="M912" s="231">
        <f>基础表!M822</f>
        <v>0</v>
      </c>
      <c r="N912" s="231">
        <f>基础表!N822</f>
        <v>0</v>
      </c>
      <c r="O912" s="231">
        <f ca="1">基础表!O822</f>
        <v>0</v>
      </c>
    </row>
    <row r="913" s="38" customFormat="1" ht="18" customHeight="1" spans="1:16">
      <c r="A913" s="115" t="s">
        <v>204</v>
      </c>
      <c r="B913" s="50"/>
      <c r="C913" s="231">
        <f>基础表!C823</f>
        <v>0</v>
      </c>
      <c r="D913" s="231">
        <f>基础表!D823</f>
        <v>0</v>
      </c>
      <c r="E913" s="231">
        <f>基础表!E823</f>
        <v>0</v>
      </c>
      <c r="F913" s="231">
        <f>基础表!F823</f>
        <v>117.530310218978</v>
      </c>
      <c r="G913" s="231">
        <f>基础表!G823</f>
        <v>116.795652173913</v>
      </c>
      <c r="H913" s="231">
        <f>基础表!H823</f>
        <v>117.877048611111</v>
      </c>
      <c r="I913" s="231">
        <f>基础表!I823</f>
        <v>0</v>
      </c>
      <c r="J913" s="231">
        <f>基础表!J823</f>
        <v>0</v>
      </c>
      <c r="K913" s="231">
        <f>基础表!K823</f>
        <v>0</v>
      </c>
      <c r="L913" s="231">
        <f>基础表!L823</f>
        <v>0</v>
      </c>
      <c r="M913" s="231">
        <f>基础表!M823</f>
        <v>0</v>
      </c>
      <c r="N913" s="231">
        <f>基础表!N823</f>
        <v>0</v>
      </c>
      <c r="O913" s="231">
        <f ca="1">基础表!O823</f>
        <v>117.419497505779</v>
      </c>
    </row>
    <row r="914" s="38" customFormat="1" ht="18" customHeight="1" spans="1:16">
      <c r="A914" s="115" t="str">
        <f>基础表!A824</f>
        <v>其它香精_通用_液体香精_SHRS0120</v>
      </c>
      <c r="B914" s="50"/>
      <c r="C914" s="231">
        <f>基础表!C824</f>
        <v>122.999885518031</v>
      </c>
      <c r="D914" s="231">
        <f>基础表!D824</f>
        <v>123.000084408538</v>
      </c>
      <c r="E914" s="231">
        <f>基础表!E824</f>
        <v>122.99999392048</v>
      </c>
      <c r="F914" s="231">
        <f>基础表!F824</f>
        <v>122.999967649318</v>
      </c>
      <c r="G914" s="231">
        <f>基础表!G824</f>
        <v>123.000064267352</v>
      </c>
      <c r="H914" s="231">
        <f>基础表!H824</f>
        <v>0</v>
      </c>
      <c r="I914" s="231">
        <f>基础表!I824</f>
        <v>0</v>
      </c>
      <c r="J914" s="231">
        <f>基础表!J824</f>
        <v>0</v>
      </c>
      <c r="K914" s="231">
        <f>基础表!K824</f>
        <v>0</v>
      </c>
      <c r="L914" s="231">
        <f>基础表!L824</f>
        <v>0</v>
      </c>
      <c r="M914" s="231">
        <f>基础表!M824</f>
        <v>0</v>
      </c>
      <c r="N914" s="231">
        <f>基础表!N824</f>
        <v>0</v>
      </c>
      <c r="O914" s="231">
        <f ca="1">基础表!O824</f>
        <v>123.000023528067</v>
      </c>
    </row>
    <row r="915" s="38" customFormat="1" ht="18" customHeight="1" spans="1:16">
      <c r="A915" s="115" t="str">
        <f>基础表!A825</f>
        <v>甘蔗香精_通用_通用</v>
      </c>
      <c r="B915" s="50"/>
      <c r="C915" s="231">
        <f>基础表!C825</f>
        <v>0</v>
      </c>
      <c r="D915" s="231">
        <f>基础表!D825</f>
        <v>0</v>
      </c>
      <c r="E915" s="231">
        <f>基础表!E825</f>
        <v>0</v>
      </c>
      <c r="F915" s="231">
        <f>基础表!F825</f>
        <v>0</v>
      </c>
      <c r="G915" s="231">
        <f>基础表!G825</f>
        <v>0</v>
      </c>
      <c r="H915" s="231">
        <f>基础表!H825</f>
        <v>0</v>
      </c>
      <c r="I915" s="231">
        <f>基础表!I825</f>
        <v>0</v>
      </c>
      <c r="J915" s="231">
        <f>基础表!J825</f>
        <v>0</v>
      </c>
      <c r="K915" s="231">
        <f>基础表!K825</f>
        <v>0</v>
      </c>
      <c r="L915" s="231">
        <f>基础表!L825</f>
        <v>0</v>
      </c>
      <c r="M915" s="231">
        <f>基础表!M825</f>
        <v>0</v>
      </c>
      <c r="N915" s="231">
        <f>基础表!N825</f>
        <v>0</v>
      </c>
      <c r="O915" s="231">
        <f ca="1">基础表!O825</f>
        <v>0</v>
      </c>
    </row>
    <row r="916" s="38" customFormat="1" ht="18" customHeight="1" spans="1:16">
      <c r="A916" s="115" t="str">
        <f>基础表!A826</f>
        <v>炒板栗香精_通用_通用</v>
      </c>
      <c r="B916" s="50"/>
      <c r="C916" s="231">
        <f>基础表!C826</f>
        <v>0</v>
      </c>
      <c r="D916" s="231">
        <f>基础表!D826</f>
        <v>0</v>
      </c>
      <c r="E916" s="231">
        <f>基础表!E826</f>
        <v>0</v>
      </c>
      <c r="F916" s="231">
        <f>基础表!F826</f>
        <v>0</v>
      </c>
      <c r="G916" s="231">
        <f>基础表!G826</f>
        <v>0</v>
      </c>
      <c r="H916" s="231">
        <f>基础表!H826</f>
        <v>0</v>
      </c>
      <c r="I916" s="231">
        <f>基础表!I826</f>
        <v>0</v>
      </c>
      <c r="J916" s="231">
        <f>基础表!J826</f>
        <v>0</v>
      </c>
      <c r="K916" s="231">
        <f>基础表!K826</f>
        <v>0</v>
      </c>
      <c r="L916" s="231">
        <f>基础表!L826</f>
        <v>0</v>
      </c>
      <c r="M916" s="231">
        <f>基础表!M826</f>
        <v>0</v>
      </c>
      <c r="N916" s="231">
        <f>基础表!N826</f>
        <v>0</v>
      </c>
      <c r="O916" s="231">
        <f ca="1">基础表!O826</f>
        <v>0</v>
      </c>
    </row>
    <row r="917" s="38" customFormat="1" ht="18" customHeight="1" spans="1:16">
      <c r="A917" s="115" t="str">
        <f>基础表!A827</f>
        <v>其它香精_通用_液体香精_SHRS0160</v>
      </c>
      <c r="B917" s="50"/>
      <c r="C917" s="231">
        <f>基础表!C827</f>
        <v>167.996658259773</v>
      </c>
      <c r="D917" s="231">
        <f>基础表!D827</f>
        <v>168.000576923077</v>
      </c>
      <c r="E917" s="231">
        <f>基础表!E827</f>
        <v>0</v>
      </c>
      <c r="F917" s="231">
        <f>基础表!F827</f>
        <v>188.000420875421</v>
      </c>
      <c r="G917" s="231">
        <f>基础表!G827</f>
        <v>188.00054730258</v>
      </c>
      <c r="H917" s="231">
        <f>基础表!H827</f>
        <v>0</v>
      </c>
      <c r="I917" s="231">
        <f>基础表!I827</f>
        <v>0</v>
      </c>
      <c r="J917" s="231">
        <f>基础表!J827</f>
        <v>0</v>
      </c>
      <c r="K917" s="231">
        <f>基础表!K827</f>
        <v>0</v>
      </c>
      <c r="L917" s="231">
        <f>基础表!L827</f>
        <v>0</v>
      </c>
      <c r="M917" s="231">
        <f>基础表!M827</f>
        <v>0</v>
      </c>
      <c r="N917" s="231">
        <f>基础表!N827</f>
        <v>0</v>
      </c>
      <c r="O917" s="231">
        <f ca="1">基础表!O827</f>
        <v>179.280007370555</v>
      </c>
    </row>
    <row r="918" s="38" customFormat="1" ht="18" customHeight="1" spans="1:16">
      <c r="A918" s="115" t="str">
        <f>基础表!A828</f>
        <v>其它香精_通用_液体香精_SHRS0240</v>
      </c>
      <c r="B918" s="50"/>
      <c r="C918" s="231">
        <f>基础表!C828</f>
        <v>257.995769764217</v>
      </c>
      <c r="D918" s="231">
        <f>基础表!D828</f>
        <v>0</v>
      </c>
      <c r="E918" s="231">
        <f>基础表!E828</f>
        <v>0</v>
      </c>
      <c r="F918" s="231">
        <f>基础表!F828</f>
        <v>258.002716049383</v>
      </c>
      <c r="G918" s="231">
        <f>基础表!G828</f>
        <v>0</v>
      </c>
      <c r="H918" s="231">
        <f>基础表!H828</f>
        <v>258.071369294606</v>
      </c>
      <c r="I918" s="231">
        <f>基础表!I828</f>
        <v>0</v>
      </c>
      <c r="J918" s="231">
        <f>基础表!J828</f>
        <v>0</v>
      </c>
      <c r="K918" s="231">
        <f>基础表!K828</f>
        <v>0</v>
      </c>
      <c r="L918" s="231">
        <f>基础表!L828</f>
        <v>0</v>
      </c>
      <c r="M918" s="231">
        <f>基础表!M828</f>
        <v>0</v>
      </c>
      <c r="N918" s="231">
        <f>基础表!N828</f>
        <v>0</v>
      </c>
      <c r="O918" s="231">
        <f ca="1">基础表!O828</f>
        <v>258.004692703603</v>
      </c>
    </row>
    <row r="919" s="38" customFormat="1" ht="18" customHeight="1" spans="1:16">
      <c r="A919" s="115" t="str">
        <f>基础表!A829</f>
        <v>其它香精_通用_液体香精_SHRS0220</v>
      </c>
      <c r="B919" s="434"/>
      <c r="C919" s="231">
        <f>基础表!C829</f>
        <v>0</v>
      </c>
      <c r="D919" s="231">
        <f>基础表!D829</f>
        <v>227.926342147436</v>
      </c>
      <c r="E919" s="231">
        <f>基础表!E829</f>
        <v>0</v>
      </c>
      <c r="F919" s="231">
        <f>基础表!F829</f>
        <v>0</v>
      </c>
      <c r="G919" s="231">
        <f>基础表!G829</f>
        <v>226.861373075983</v>
      </c>
      <c r="H919" s="231">
        <f>基础表!H829</f>
        <v>0</v>
      </c>
      <c r="I919" s="231">
        <f>基础表!I829</f>
        <v>0</v>
      </c>
      <c r="J919" s="231">
        <f>基础表!J829</f>
        <v>0</v>
      </c>
      <c r="K919" s="231">
        <f>基础表!K829</f>
        <v>0</v>
      </c>
      <c r="L919" s="231">
        <f>基础表!L829</f>
        <v>0</v>
      </c>
      <c r="M919" s="231">
        <f>基础表!M829</f>
        <v>0</v>
      </c>
      <c r="N919" s="231">
        <f>基础表!N829</f>
        <v>0</v>
      </c>
      <c r="O919" s="231">
        <f ca="1">基础表!O829</f>
        <v>227.264797389589</v>
      </c>
    </row>
    <row r="920" s="38" customFormat="1" ht="18" customHeight="1" spans="1:16">
      <c r="A920" s="115" t="str">
        <f>基础表!A830</f>
        <v>甘蔗多酚_通用</v>
      </c>
      <c r="B920" s="434"/>
      <c r="C920" s="231">
        <f>基础表!C830</f>
        <v>0</v>
      </c>
      <c r="D920" s="231">
        <f>基础表!D830</f>
        <v>0</v>
      </c>
      <c r="E920" s="231">
        <f>基础表!E830</f>
        <v>0</v>
      </c>
      <c r="F920" s="231">
        <f>基础表!F830</f>
        <v>0</v>
      </c>
      <c r="G920" s="231">
        <f>基础表!G830</f>
        <v>0</v>
      </c>
      <c r="H920" s="231">
        <f>基础表!H830</f>
        <v>0</v>
      </c>
      <c r="I920" s="231">
        <f>基础表!I830</f>
        <v>0</v>
      </c>
      <c r="J920" s="231">
        <f>基础表!J830</f>
        <v>0</v>
      </c>
      <c r="K920" s="231">
        <f>基础表!K830</f>
        <v>0</v>
      </c>
      <c r="L920" s="231">
        <f>基础表!L830</f>
        <v>0</v>
      </c>
      <c r="M920" s="231">
        <f>基础表!M830</f>
        <v>0</v>
      </c>
      <c r="N920" s="231">
        <f>基础表!N830</f>
        <v>0</v>
      </c>
      <c r="O920" s="231">
        <f ca="1">基础表!O830</f>
        <v>0</v>
      </c>
    </row>
    <row r="921" s="38" customFormat="1" ht="18" customHeight="1" spans="1:16">
      <c r="A921" s="115" t="str">
        <f>基础表!A831</f>
        <v>其它香精_通用_液体香精_SHRS0200</v>
      </c>
      <c r="B921" s="434"/>
      <c r="C921" s="231">
        <f>基础表!C831</f>
        <v>0</v>
      </c>
      <c r="D921" s="231">
        <f>基础表!D831</f>
        <v>216.999839743589</v>
      </c>
      <c r="E921" s="231">
        <f>基础表!E831</f>
        <v>0</v>
      </c>
      <c r="F921" s="231">
        <f>基础表!F831</f>
        <v>0</v>
      </c>
      <c r="G921" s="231">
        <f>基础表!G831</f>
        <v>217.000488599349</v>
      </c>
      <c r="H921" s="231">
        <f>基础表!H831</f>
        <v>0</v>
      </c>
      <c r="I921" s="231">
        <f>基础表!I831</f>
        <v>0</v>
      </c>
      <c r="J921" s="231">
        <f>基础表!J831</f>
        <v>0</v>
      </c>
      <c r="K921" s="231">
        <f>基础表!K831</f>
        <v>0</v>
      </c>
      <c r="L921" s="231">
        <f>基础表!L831</f>
        <v>0</v>
      </c>
      <c r="M921" s="231">
        <f>基础表!M831</f>
        <v>0</v>
      </c>
      <c r="N921" s="231">
        <f>基础表!N831</f>
        <v>0</v>
      </c>
      <c r="O921" s="231">
        <f ca="1">基础表!O831</f>
        <v>217.000242816674</v>
      </c>
    </row>
    <row r="922" s="38" customFormat="1" ht="18" customHeight="1" spans="1:16">
      <c r="A922" s="115" t="str">
        <f>基础表!A832</f>
        <v>无水柠檬酸_细目</v>
      </c>
      <c r="B922" s="434"/>
      <c r="C922" s="231">
        <f>基础表!C832</f>
        <v>6149.73673469387</v>
      </c>
      <c r="D922" s="231">
        <f>基础表!D832</f>
        <v>6150.025</v>
      </c>
      <c r="E922" s="231">
        <f>基础表!E832</f>
        <v>6150.05604395604</v>
      </c>
      <c r="F922" s="231">
        <f>基础表!F832</f>
        <v>6149.80769230769</v>
      </c>
      <c r="G922" s="231">
        <f>基础表!G832</f>
        <v>6150.04956521739</v>
      </c>
      <c r="H922" s="231">
        <f>基础表!H832</f>
        <v>6150.06984126984</v>
      </c>
      <c r="I922" s="231">
        <f>基础表!I832</f>
        <v>0</v>
      </c>
      <c r="J922" s="231">
        <f>基础表!J832</f>
        <v>0</v>
      </c>
      <c r="K922" s="231">
        <f>基础表!K832</f>
        <v>0</v>
      </c>
      <c r="L922" s="231">
        <f>基础表!L832</f>
        <v>0</v>
      </c>
      <c r="M922" s="231">
        <f>基础表!M832</f>
        <v>0</v>
      </c>
      <c r="N922" s="231">
        <f>基础表!N832</f>
        <v>0</v>
      </c>
      <c r="O922" s="231">
        <f ca="1">基础表!O832</f>
        <v>6149.98153846154</v>
      </c>
    </row>
    <row r="923" s="38" customFormat="1" ht="18" customHeight="1" spans="1:16">
      <c r="A923" s="115" t="str">
        <f>基础表!A833</f>
        <v>亮蓝_通用_通用_GB1886.217—2016</v>
      </c>
      <c r="B923" s="434"/>
      <c r="C923" s="231">
        <f>基础表!C833</f>
        <v>0</v>
      </c>
      <c r="D923" s="231">
        <f>基础表!D833</f>
        <v>0</v>
      </c>
      <c r="E923" s="231">
        <f>基础表!E833</f>
        <v>0</v>
      </c>
      <c r="F923" s="231">
        <f>基础表!F833</f>
        <v>196.000236406619</v>
      </c>
      <c r="G923" s="231">
        <f>基础表!G833</f>
        <v>195.994099134539</v>
      </c>
      <c r="H923" s="231">
        <f>基础表!H833</f>
        <v>0</v>
      </c>
      <c r="I923" s="231">
        <f>基础表!I833</f>
        <v>0</v>
      </c>
      <c r="J923" s="231">
        <f>基础表!J833</f>
        <v>0</v>
      </c>
      <c r="K923" s="231">
        <f>基础表!K833</f>
        <v>0</v>
      </c>
      <c r="L923" s="231">
        <f>基础表!L833</f>
        <v>0</v>
      </c>
      <c r="M923" s="231">
        <f>基础表!M833</f>
        <v>0</v>
      </c>
      <c r="N923" s="231">
        <f>基础表!N833</f>
        <v>0</v>
      </c>
      <c r="O923" s="231">
        <f ca="1">基础表!O833</f>
        <v>195.9985</v>
      </c>
    </row>
    <row r="924" s="38" customFormat="1" ht="15" customHeight="1" spans="1:16">
      <c r="A924" s="67" t="s">
        <v>347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 s="71"/>
    </row>
    <row r="925" s="38" customFormat="1" ht="15" customHeight="1" spans="1:16">
      <c r="A925" s="229" t="s">
        <v>250</v>
      </c>
      <c r="B925" s="230" t="s">
        <v>77</v>
      </c>
      <c r="C925" s="107" t="s">
        <v>220</v>
      </c>
      <c r="D925" s="107" t="s">
        <v>221</v>
      </c>
      <c r="E925" s="107" t="s">
        <v>222</v>
      </c>
      <c r="F925" s="107" t="s">
        <v>223</v>
      </c>
      <c r="G925" s="107" t="s">
        <v>224</v>
      </c>
      <c r="H925" s="107" t="s">
        <v>225</v>
      </c>
      <c r="I925" s="107" t="s">
        <v>226</v>
      </c>
      <c r="J925" s="107" t="s">
        <v>227</v>
      </c>
      <c r="K925" s="107" t="s">
        <v>228</v>
      </c>
      <c r="L925" s="107" t="s">
        <v>229</v>
      </c>
      <c r="M925" s="107" t="s">
        <v>230</v>
      </c>
      <c r="N925" s="107" t="s">
        <v>231</v>
      </c>
      <c r="O925" s="48" t="str">
        <f>CONCATENATE("1-"&amp;mth&amp;"月累计")</f>
        <v>1-8月累计</v>
      </c>
      <c r="P925" s="71"/>
    </row>
    <row r="926" s="38" customFormat="1" ht="15" customHeight="1" spans="1:16">
      <c r="A926" s="307" t="s">
        <v>178</v>
      </c>
      <c r="B926" s="50" t="s">
        <v>123</v>
      </c>
      <c r="C926" s="231">
        <f>基础表!C836</f>
        <v>0</v>
      </c>
      <c r="D926" s="231">
        <f>基础表!D836</f>
        <v>0</v>
      </c>
      <c r="E926" s="231">
        <f>基础表!E836</f>
        <v>0</v>
      </c>
      <c r="F926" s="231">
        <f>基础表!F836</f>
        <v>0</v>
      </c>
      <c r="G926" s="231">
        <f>基础表!G836</f>
        <v>0</v>
      </c>
      <c r="H926" s="231">
        <f>基础表!H836</f>
        <v>0</v>
      </c>
      <c r="I926" s="231">
        <f>基础表!I836</f>
        <v>0</v>
      </c>
      <c r="J926" s="231">
        <f>基础表!J836</f>
        <v>0</v>
      </c>
      <c r="K926" s="231">
        <f>基础表!K836</f>
        <v>0</v>
      </c>
      <c r="L926" s="231">
        <f>基础表!L836</f>
        <v>0</v>
      </c>
      <c r="M926" s="231">
        <f>基础表!M836</f>
        <v>0</v>
      </c>
      <c r="N926" s="231">
        <f>基础表!N836</f>
        <v>0</v>
      </c>
      <c r="O926" s="231">
        <f ca="1">基础表!O836</f>
        <v>0</v>
      </c>
      <c r="P926" s="71"/>
    </row>
    <row r="927" s="38" customFormat="1" ht="15" customHeight="1" spans="1:16">
      <c r="A927" s="307" t="s">
        <v>179</v>
      </c>
      <c r="B927" s="50" t="s">
        <v>123</v>
      </c>
      <c r="C927" s="231">
        <f>基础表!C837</f>
        <v>0</v>
      </c>
      <c r="D927" s="231">
        <f>基础表!D837</f>
        <v>5.99838769230769</v>
      </c>
      <c r="E927" s="231">
        <f>基础表!E837</f>
        <v>6.00672549019607</v>
      </c>
      <c r="F927" s="231">
        <f>基础表!F837</f>
        <v>5.95048830548925</v>
      </c>
      <c r="G927" s="231">
        <f>基础表!G837</f>
        <v>5.95023472222222</v>
      </c>
      <c r="H927" s="231">
        <f>基础表!H837</f>
        <v>5.95011221945137</v>
      </c>
      <c r="I927" s="231">
        <f>基础表!I837</f>
        <v>0</v>
      </c>
      <c r="J927" s="231">
        <f>基础表!J837</f>
        <v>0</v>
      </c>
      <c r="K927" s="231">
        <f>基础表!K837</f>
        <v>0</v>
      </c>
      <c r="L927" s="231">
        <f>基础表!L837</f>
        <v>0</v>
      </c>
      <c r="M927" s="231">
        <f>基础表!M837</f>
        <v>0</v>
      </c>
      <c r="N927" s="231">
        <f>基础表!N837</f>
        <v>0</v>
      </c>
      <c r="O927" s="231">
        <f ca="1">基础表!O837</f>
        <v>5.95614122773292</v>
      </c>
      <c r="P927" s="71"/>
    </row>
    <row r="928" s="38" customFormat="1" ht="15" customHeight="1" spans="1:16">
      <c r="A928" s="307" t="s">
        <v>180</v>
      </c>
      <c r="B928" s="50" t="s">
        <v>123</v>
      </c>
      <c r="C928" s="231">
        <f>基础表!C838</f>
        <v>0</v>
      </c>
      <c r="D928" s="231">
        <f>基础表!D838</f>
        <v>0</v>
      </c>
      <c r="E928" s="231">
        <f>基础表!E838</f>
        <v>0</v>
      </c>
      <c r="F928" s="231">
        <f>基础表!F838</f>
        <v>0</v>
      </c>
      <c r="G928" s="231">
        <f>基础表!G838</f>
        <v>0</v>
      </c>
      <c r="H928" s="231">
        <f>基础表!H838</f>
        <v>0</v>
      </c>
      <c r="I928" s="231">
        <f>基础表!I838</f>
        <v>0</v>
      </c>
      <c r="J928" s="231">
        <f>基础表!J838</f>
        <v>0</v>
      </c>
      <c r="K928" s="231">
        <f>基础表!K838</f>
        <v>0</v>
      </c>
      <c r="L928" s="231">
        <f>基础表!L838</f>
        <v>0</v>
      </c>
      <c r="M928" s="231">
        <f>基础表!M838</f>
        <v>0</v>
      </c>
      <c r="N928" s="231">
        <f>基础表!N838</f>
        <v>0</v>
      </c>
      <c r="O928" s="231">
        <f ca="1">基础表!O838</f>
        <v>0</v>
      </c>
      <c r="P928" s="71"/>
    </row>
    <row r="929" s="38" customFormat="1" ht="15" customHeight="1" spans="1:16">
      <c r="A929" s="307" t="s">
        <v>181</v>
      </c>
      <c r="B929" s="50" t="s">
        <v>123</v>
      </c>
      <c r="C929" s="231">
        <f>基础表!C839</f>
        <v>0</v>
      </c>
      <c r="D929" s="231">
        <f>基础表!D839</f>
        <v>6.4103474047619</v>
      </c>
      <c r="E929" s="231">
        <f>基础表!E839</f>
        <v>0</v>
      </c>
      <c r="F929" s="231">
        <f>基础表!F839</f>
        <v>6.40637895238095</v>
      </c>
      <c r="G929" s="231">
        <f>基础表!G839</f>
        <v>6.47208977338757</v>
      </c>
      <c r="H929" s="231">
        <f>基础表!H839</f>
        <v>6.4789613037037</v>
      </c>
      <c r="I929" s="231">
        <f>基础表!I839</f>
        <v>0</v>
      </c>
      <c r="J929" s="231">
        <f>基础表!J839</f>
        <v>0</v>
      </c>
      <c r="K929" s="231">
        <f>基础表!K839</f>
        <v>0</v>
      </c>
      <c r="L929" s="231">
        <f>基础表!L839</f>
        <v>0</v>
      </c>
      <c r="M929" s="231">
        <f>基础表!M839</f>
        <v>0</v>
      </c>
      <c r="N929" s="231">
        <f>基础表!N839</f>
        <v>0</v>
      </c>
      <c r="O929" s="231">
        <f ca="1">基础表!O839</f>
        <v>6.446961609421</v>
      </c>
      <c r="P929" s="71"/>
    </row>
    <row r="930" s="38" customFormat="1" ht="15" customHeight="1" spans="1:16">
      <c r="A930" s="307" t="s">
        <v>182</v>
      </c>
      <c r="B930" s="50" t="s">
        <v>123</v>
      </c>
      <c r="C930" s="231">
        <f>基础表!C840</f>
        <v>6.79008179716867</v>
      </c>
      <c r="D930" s="231">
        <f>基础表!D840</f>
        <v>6.82455450385842</v>
      </c>
      <c r="E930" s="231">
        <f>基础表!E840</f>
        <v>6.86652347222222</v>
      </c>
      <c r="F930" s="231">
        <f>基础表!F840</f>
        <v>6.86833498591242</v>
      </c>
      <c r="G930" s="231">
        <f>基础表!G840</f>
        <v>6.85175598052675</v>
      </c>
      <c r="H930" s="231">
        <f>基础表!H840</f>
        <v>6.85098056794273</v>
      </c>
      <c r="I930" s="231">
        <f>基础表!I840</f>
        <v>0</v>
      </c>
      <c r="J930" s="231">
        <f>基础表!J840</f>
        <v>0</v>
      </c>
      <c r="K930" s="231">
        <f>基础表!K840</f>
        <v>0</v>
      </c>
      <c r="L930" s="231">
        <f>基础表!L840</f>
        <v>0</v>
      </c>
      <c r="M930" s="231">
        <f>基础表!M840</f>
        <v>0</v>
      </c>
      <c r="N930" s="231">
        <f>基础表!N840</f>
        <v>0</v>
      </c>
      <c r="O930" s="231">
        <f ca="1">基础表!O840</f>
        <v>6.84596014301751</v>
      </c>
    </row>
    <row r="931" s="38" customFormat="1" ht="15" customHeight="1" spans="1:16">
      <c r="A931" s="307" t="s">
        <v>183</v>
      </c>
      <c r="B931" s="50" t="s">
        <v>123</v>
      </c>
      <c r="C931" s="231">
        <f>基础表!C841</f>
        <v>6.50261581818181</v>
      </c>
      <c r="D931" s="231">
        <f>基础表!D841</f>
        <v>6.81740676666666</v>
      </c>
      <c r="E931" s="231">
        <f>基础表!E841</f>
        <v>0</v>
      </c>
      <c r="F931" s="231">
        <f>基础表!F841</f>
        <v>6.81740978</v>
      </c>
      <c r="G931" s="231">
        <f>基础表!G841</f>
        <v>6.80793800975609</v>
      </c>
      <c r="H931" s="231">
        <f>基础表!H841</f>
        <v>6.66110385334292</v>
      </c>
      <c r="I931" s="231">
        <f>基础表!I841</f>
        <v>0</v>
      </c>
      <c r="J931" s="231">
        <f>基础表!J841</f>
        <v>0</v>
      </c>
      <c r="K931" s="231">
        <f>基础表!K841</f>
        <v>0</v>
      </c>
      <c r="L931" s="231">
        <f>基础表!L841</f>
        <v>0</v>
      </c>
      <c r="M931" s="231">
        <f>基础表!M841</f>
        <v>0</v>
      </c>
      <c r="N931" s="231">
        <f>基础表!N841</f>
        <v>0</v>
      </c>
      <c r="O931" s="231">
        <f ca="1">基础表!O841</f>
        <v>6.70532899921814</v>
      </c>
    </row>
    <row r="932" s="38" customFormat="1" ht="15" customHeight="1" spans="1:16">
      <c r="A932" s="307" t="s">
        <v>184</v>
      </c>
      <c r="B932" s="50" t="s">
        <v>123</v>
      </c>
      <c r="C932" s="231">
        <f>基础表!C842</f>
        <v>17.5088918918919</v>
      </c>
      <c r="D932" s="231">
        <f>基础表!D842</f>
        <v>17.5078181818182</v>
      </c>
      <c r="E932" s="231">
        <f>基础表!E842</f>
        <v>0</v>
      </c>
      <c r="F932" s="231">
        <f>基础表!F842</f>
        <v>17.5036411458334</v>
      </c>
      <c r="G932" s="231">
        <f>基础表!G842</f>
        <v>17.5001485714285</v>
      </c>
      <c r="H932" s="231">
        <f>基础表!H842</f>
        <v>17.5002290102389</v>
      </c>
      <c r="I932" s="231">
        <f>基础表!I842</f>
        <v>0</v>
      </c>
      <c r="J932" s="231">
        <f>基础表!J842</f>
        <v>0</v>
      </c>
      <c r="K932" s="231">
        <f>基础表!K842</f>
        <v>0</v>
      </c>
      <c r="L932" s="231">
        <f>基础表!L842</f>
        <v>0</v>
      </c>
      <c r="M932" s="231">
        <f>基础表!M842</f>
        <v>0</v>
      </c>
      <c r="N932" s="231">
        <f>基础表!N842</f>
        <v>0</v>
      </c>
      <c r="O932" s="231">
        <f ca="1">基础表!O842</f>
        <v>17.5035183633707</v>
      </c>
      <c r="P932" s="132"/>
    </row>
    <row r="933" s="38" customFormat="1" ht="18" customHeight="1" spans="1:16">
      <c r="A933" s="307" t="s">
        <v>185</v>
      </c>
      <c r="B933" s="50" t="s">
        <v>123</v>
      </c>
      <c r="C933" s="231">
        <f>基础表!C843</f>
        <v>8.99971759259259</v>
      </c>
      <c r="D933" s="231">
        <f>基础表!D843</f>
        <v>9.0000647357821</v>
      </c>
      <c r="E933" s="231">
        <f>基础表!E843</f>
        <v>0</v>
      </c>
      <c r="F933" s="231">
        <f>基础表!F843</f>
        <v>8.99988062015504</v>
      </c>
      <c r="G933" s="231">
        <f>基础表!G843</f>
        <v>9.00017536664356</v>
      </c>
      <c r="H933" s="231">
        <f>基础表!H843</f>
        <v>8.99990322580645</v>
      </c>
      <c r="I933" s="231">
        <f>基础表!I843</f>
        <v>0</v>
      </c>
      <c r="J933" s="231">
        <f>基础表!J843</f>
        <v>0</v>
      </c>
      <c r="K933" s="231">
        <f>基础表!K843</f>
        <v>0</v>
      </c>
      <c r="L933" s="231">
        <f>基础表!L843</f>
        <v>0</v>
      </c>
      <c r="M933" s="231">
        <f>基础表!M843</f>
        <v>0</v>
      </c>
      <c r="N933" s="231">
        <f>基础表!N843</f>
        <v>0</v>
      </c>
      <c r="O933" s="231">
        <f ca="1">基础表!O843</f>
        <v>8.99995867171566</v>
      </c>
      <c r="P933" s="132"/>
    </row>
    <row r="934" s="38" customFormat="1" ht="18" customHeight="1" spans="1:16">
      <c r="A934" s="307" t="s">
        <v>186</v>
      </c>
      <c r="B934" s="50" t="s">
        <v>123</v>
      </c>
      <c r="C934" s="231">
        <f>基础表!C844</f>
        <v>21.5004434404283</v>
      </c>
      <c r="D934" s="231">
        <f>基础表!D844</f>
        <v>21.4994453741334</v>
      </c>
      <c r="E934" s="231">
        <f>基础表!E844</f>
        <v>21.499922604898</v>
      </c>
      <c r="F934" s="231">
        <f>基础表!F844</f>
        <v>21.4994967707212</v>
      </c>
      <c r="G934" s="231">
        <f>基础表!G844</f>
        <v>21.5001973716351</v>
      </c>
      <c r="H934" s="231">
        <f>基础表!H844</f>
        <v>21.4999370368577</v>
      </c>
      <c r="I934" s="231">
        <f>基础表!I844</f>
        <v>0</v>
      </c>
      <c r="J934" s="231">
        <f>基础表!J844</f>
        <v>0</v>
      </c>
      <c r="K934" s="231">
        <f>基础表!K844</f>
        <v>0</v>
      </c>
      <c r="L934" s="231">
        <f>基础表!L844</f>
        <v>0</v>
      </c>
      <c r="M934" s="231">
        <f>基础表!M844</f>
        <v>0</v>
      </c>
      <c r="N934" s="231">
        <f>基础表!N844</f>
        <v>0</v>
      </c>
      <c r="O934" s="231">
        <f ca="1">基础表!O844</f>
        <v>21.499921759127</v>
      </c>
    </row>
    <row r="935" s="38" customFormat="1" ht="18" customHeight="1" spans="1:16">
      <c r="A935" s="307" t="s">
        <v>187</v>
      </c>
      <c r="B935" s="50" t="s">
        <v>123</v>
      </c>
      <c r="C935" s="231">
        <f>基础表!C845</f>
        <v>0</v>
      </c>
      <c r="D935" s="231">
        <f>基础表!D845</f>
        <v>0</v>
      </c>
      <c r="E935" s="231">
        <f>基础表!E845</f>
        <v>0</v>
      </c>
      <c r="F935" s="231">
        <f>基础表!F845</f>
        <v>0</v>
      </c>
      <c r="G935" s="231">
        <f>基础表!G845</f>
        <v>0</v>
      </c>
      <c r="H935" s="231">
        <f>基础表!H845</f>
        <v>0</v>
      </c>
      <c r="I935" s="231">
        <f>基础表!I845</f>
        <v>0</v>
      </c>
      <c r="J935" s="231">
        <f>基础表!J845</f>
        <v>0</v>
      </c>
      <c r="K935" s="231">
        <f>基础表!K845</f>
        <v>0</v>
      </c>
      <c r="L935" s="231">
        <f>基础表!L845</f>
        <v>0</v>
      </c>
      <c r="M935" s="231">
        <f>基础表!M845</f>
        <v>0</v>
      </c>
      <c r="N935" s="231">
        <f>基础表!N845</f>
        <v>0</v>
      </c>
      <c r="O935" s="231">
        <f ca="1">基础表!O845</f>
        <v>0</v>
      </c>
    </row>
    <row r="936" s="38" customFormat="1" ht="18" customHeight="1" spans="1:16">
      <c r="A936" s="307" t="s">
        <v>188</v>
      </c>
      <c r="B936" s="50"/>
      <c r="C936" s="231">
        <f>基础表!C846</f>
        <v>15.5000088983051</v>
      </c>
      <c r="D936" s="231">
        <f>基础表!D846</f>
        <v>15.4999708029197</v>
      </c>
      <c r="E936" s="231">
        <f>基础表!E846</f>
        <v>15.5036</v>
      </c>
      <c r="F936" s="231">
        <f>基础表!F846</f>
        <v>15.5001608695652</v>
      </c>
      <c r="G936" s="231">
        <f>基础表!G846</f>
        <v>15.4999275</v>
      </c>
      <c r="H936" s="231">
        <f>基础表!H846</f>
        <v>15.4999902777778</v>
      </c>
      <c r="I936" s="231">
        <f>基础表!I846</f>
        <v>0</v>
      </c>
      <c r="J936" s="231">
        <f>基础表!J846</f>
        <v>0</v>
      </c>
      <c r="K936" s="231">
        <f>基础表!K846</f>
        <v>0</v>
      </c>
      <c r="L936" s="231">
        <f>基础表!L846</f>
        <v>0</v>
      </c>
      <c r="M936" s="231">
        <f>基础表!M846</f>
        <v>0</v>
      </c>
      <c r="N936" s="231">
        <f>基础表!N846</f>
        <v>0</v>
      </c>
      <c r="O936" s="231">
        <f ca="1">基础表!O846</f>
        <v>15.5000030523256</v>
      </c>
    </row>
    <row r="937" s="38" customFormat="1" ht="18" customHeight="1" spans="1:16">
      <c r="A937" s="307" t="s">
        <v>189</v>
      </c>
      <c r="B937" s="50"/>
      <c r="C937" s="231">
        <f>基础表!C847</f>
        <v>0</v>
      </c>
      <c r="D937" s="231">
        <f>基础表!D847</f>
        <v>0</v>
      </c>
      <c r="E937" s="231">
        <f>基础表!E847</f>
        <v>0</v>
      </c>
      <c r="F937" s="231">
        <f>基础表!F847</f>
        <v>20.9997287032013</v>
      </c>
      <c r="G937" s="231">
        <f>基础表!G847</f>
        <v>20.9998846179951</v>
      </c>
      <c r="H937" s="231">
        <f>基础表!H847</f>
        <v>20.999563385676</v>
      </c>
      <c r="I937" s="231">
        <f>基础表!I847</f>
        <v>0</v>
      </c>
      <c r="J937" s="231">
        <f>基础表!J847</f>
        <v>0</v>
      </c>
      <c r="K937" s="231">
        <f>基础表!K847</f>
        <v>0</v>
      </c>
      <c r="L937" s="231">
        <f>基础表!L847</f>
        <v>0</v>
      </c>
      <c r="M937" s="231">
        <f>基础表!M847</f>
        <v>0</v>
      </c>
      <c r="N937" s="231">
        <f>基础表!N847</f>
        <v>0</v>
      </c>
      <c r="O937" s="231">
        <f ca="1">基础表!O847</f>
        <v>20.9997944444444</v>
      </c>
    </row>
    <row r="938" s="38" customFormat="1" ht="18" customHeight="1" spans="1:16">
      <c r="A938" s="307" t="s">
        <v>190</v>
      </c>
      <c r="B938" s="50"/>
      <c r="C938" s="231">
        <f>基础表!C848</f>
        <v>0</v>
      </c>
      <c r="D938" s="231">
        <f>基础表!D848</f>
        <v>0</v>
      </c>
      <c r="E938" s="231">
        <f>基础表!E848</f>
        <v>0</v>
      </c>
      <c r="F938" s="231">
        <f>基础表!F848</f>
        <v>0</v>
      </c>
      <c r="G938" s="231">
        <f>基础表!G848</f>
        <v>270.000276454326</v>
      </c>
      <c r="H938" s="231">
        <f>基础表!H848</f>
        <v>269.999555506167</v>
      </c>
      <c r="I938" s="231">
        <f>基础表!I848</f>
        <v>0</v>
      </c>
      <c r="J938" s="231">
        <f>基础表!J848</f>
        <v>0</v>
      </c>
      <c r="K938" s="231">
        <f>基础表!K848</f>
        <v>0</v>
      </c>
      <c r="L938" s="231">
        <f>基础表!L848</f>
        <v>0</v>
      </c>
      <c r="M938" s="231">
        <f>基础表!M848</f>
        <v>0</v>
      </c>
      <c r="N938" s="231">
        <f>基础表!N848</f>
        <v>0</v>
      </c>
      <c r="O938" s="231">
        <f ca="1">基础表!O848</f>
        <v>270.000026923077</v>
      </c>
    </row>
    <row r="939" s="38" customFormat="1" ht="18" customHeight="1" spans="1:16">
      <c r="A939" s="307" t="s">
        <v>191</v>
      </c>
      <c r="B939" s="50"/>
      <c r="C939" s="231">
        <f>基础表!C849</f>
        <v>0</v>
      </c>
      <c r="D939" s="231">
        <f>基础表!D849</f>
        <v>7105.92877654801</v>
      </c>
      <c r="E939" s="231">
        <f>基础表!E849</f>
        <v>7308.80050220972</v>
      </c>
      <c r="F939" s="231">
        <f>基础表!F849</f>
        <v>7374.80551731069</v>
      </c>
      <c r="G939" s="231">
        <f>基础表!G849</f>
        <v>7392.76441937164</v>
      </c>
      <c r="H939" s="231">
        <f>基础表!H849</f>
        <v>7397.76541997945</v>
      </c>
      <c r="I939" s="231">
        <f>基础表!I849</f>
        <v>0</v>
      </c>
      <c r="J939" s="231">
        <f>基础表!J849</f>
        <v>0</v>
      </c>
      <c r="K939" s="231">
        <f>基础表!K849</f>
        <v>0</v>
      </c>
      <c r="L939" s="231">
        <f>基础表!L849</f>
        <v>0</v>
      </c>
      <c r="M939" s="231">
        <f>基础表!M849</f>
        <v>0</v>
      </c>
      <c r="N939" s="231">
        <f>基础表!N849</f>
        <v>0</v>
      </c>
      <c r="O939" s="231">
        <f ca="1">基础表!O849</f>
        <v>7364.16757226902</v>
      </c>
    </row>
    <row r="940" s="38" customFormat="1" ht="15" customHeight="1" spans="1:16">
      <c r="A940" s="307" t="s">
        <v>192</v>
      </c>
      <c r="B940" s="50" t="s">
        <v>123</v>
      </c>
      <c r="C940" s="231">
        <f>基础表!C850</f>
        <v>0</v>
      </c>
      <c r="D940" s="231">
        <f>基础表!D850</f>
        <v>8.42005145945945</v>
      </c>
      <c r="E940" s="231">
        <f>基础表!E850</f>
        <v>0</v>
      </c>
      <c r="F940" s="231">
        <f>基础表!F850</f>
        <v>8.42003491666666</v>
      </c>
      <c r="G940" s="231">
        <f>基础表!G850</f>
        <v>8.42004649209486</v>
      </c>
      <c r="H940" s="231">
        <f>基础表!H850</f>
        <v>8.53913703374778</v>
      </c>
      <c r="I940" s="231">
        <f>基础表!I850</f>
        <v>0</v>
      </c>
      <c r="J940" s="231">
        <f>基础表!J850</f>
        <v>0</v>
      </c>
      <c r="K940" s="231">
        <f>基础表!K850</f>
        <v>0</v>
      </c>
      <c r="L940" s="231">
        <f>基础表!L850</f>
        <v>0</v>
      </c>
      <c r="M940" s="231">
        <f>基础表!M850</f>
        <v>0</v>
      </c>
      <c r="N940" s="231">
        <f>基础表!N850</f>
        <v>0</v>
      </c>
      <c r="O940" s="231">
        <f ca="1">基础表!O850</f>
        <v>8.44546576303318</v>
      </c>
      <c r="P940" s="71"/>
    </row>
    <row r="941" s="38" customFormat="1" ht="15" customHeight="1" spans="1:16">
      <c r="A941" s="307" t="s">
        <v>193</v>
      </c>
      <c r="B941" s="50" t="s">
        <v>123</v>
      </c>
      <c r="C941" s="231">
        <f>基础表!C851</f>
        <v>0</v>
      </c>
      <c r="D941" s="231">
        <f>基础表!D851</f>
        <v>0</v>
      </c>
      <c r="E941" s="231">
        <f>基础表!E851</f>
        <v>0</v>
      </c>
      <c r="F941" s="231">
        <f>基础表!F851</f>
        <v>0</v>
      </c>
      <c r="G941" s="231">
        <f>基础表!G851</f>
        <v>0</v>
      </c>
      <c r="H941" s="231">
        <f>基础表!H851</f>
        <v>0</v>
      </c>
      <c r="I941" s="231">
        <f>基础表!I851</f>
        <v>0</v>
      </c>
      <c r="J941" s="231">
        <f>基础表!J851</f>
        <v>0</v>
      </c>
      <c r="K941" s="231">
        <f>基础表!K851</f>
        <v>0</v>
      </c>
      <c r="L941" s="231">
        <f>基础表!L851</f>
        <v>0</v>
      </c>
      <c r="M941" s="231">
        <f>基础表!M851</f>
        <v>0</v>
      </c>
      <c r="N941" s="231">
        <f>基础表!N851</f>
        <v>0</v>
      </c>
      <c r="O941" s="231">
        <f ca="1">基础表!O851</f>
        <v>0</v>
      </c>
      <c r="P941" s="71"/>
    </row>
    <row r="942" s="38" customFormat="1" ht="15" customHeight="1" spans="1:16">
      <c r="A942" s="307" t="s">
        <v>194</v>
      </c>
      <c r="B942" s="50" t="s">
        <v>123</v>
      </c>
      <c r="C942" s="231">
        <f>基础表!C852</f>
        <v>50.6828789473684</v>
      </c>
      <c r="D942" s="231">
        <f>基础表!D852</f>
        <v>0</v>
      </c>
      <c r="E942" s="231">
        <f>基础表!E852</f>
        <v>0</v>
      </c>
      <c r="F942" s="231">
        <f>基础表!F852</f>
        <v>0</v>
      </c>
      <c r="G942" s="231">
        <f>基础表!G852</f>
        <v>0</v>
      </c>
      <c r="H942" s="231">
        <f>基础表!H852</f>
        <v>0</v>
      </c>
      <c r="I942" s="231">
        <f>基础表!I852</f>
        <v>0</v>
      </c>
      <c r="J942" s="231">
        <f>基础表!J852</f>
        <v>0</v>
      </c>
      <c r="K942" s="231">
        <f>基础表!K852</f>
        <v>0</v>
      </c>
      <c r="L942" s="231">
        <f>基础表!L852</f>
        <v>0</v>
      </c>
      <c r="M942" s="231">
        <f>基础表!M852</f>
        <v>0</v>
      </c>
      <c r="N942" s="231">
        <f>基础表!N852</f>
        <v>0</v>
      </c>
      <c r="O942" s="231">
        <f ca="1">基础表!O852</f>
        <v>50.6828789473684</v>
      </c>
      <c r="P942" s="71"/>
    </row>
    <row r="943" s="38" customFormat="1" ht="15" customHeight="1" spans="1:16">
      <c r="A943" s="307" t="s">
        <v>195</v>
      </c>
      <c r="B943" s="50" t="s">
        <v>123</v>
      </c>
      <c r="C943" s="231">
        <f>基础表!C853</f>
        <v>0</v>
      </c>
      <c r="D943" s="231">
        <f>基础表!D853</f>
        <v>0</v>
      </c>
      <c r="E943" s="231">
        <f>基础表!E853</f>
        <v>0</v>
      </c>
      <c r="F943" s="231">
        <f>基础表!F853</f>
        <v>43.9994621759831</v>
      </c>
      <c r="G943" s="231">
        <f>基础表!G853</f>
        <v>43.999908826211</v>
      </c>
      <c r="H943" s="231">
        <f>基础表!H853</f>
        <v>44.0006774557772</v>
      </c>
      <c r="I943" s="231">
        <f>基础表!I853</f>
        <v>0</v>
      </c>
      <c r="J943" s="231">
        <f>基础表!J853</f>
        <v>0</v>
      </c>
      <c r="K943" s="231">
        <f>基础表!K853</f>
        <v>0</v>
      </c>
      <c r="L943" s="231">
        <f>基础表!L853</f>
        <v>0</v>
      </c>
      <c r="M943" s="231">
        <f>基础表!M853</f>
        <v>0</v>
      </c>
      <c r="N943" s="231">
        <f>基础表!N853</f>
        <v>0</v>
      </c>
      <c r="O943" s="231">
        <f ca="1">基础表!O853</f>
        <v>43.9998458333333</v>
      </c>
      <c r="P943" s="71"/>
    </row>
    <row r="944" s="38" customFormat="1" ht="15" customHeight="1" spans="1:16">
      <c r="A944" s="307" t="s">
        <v>196</v>
      </c>
      <c r="B944" s="50" t="s">
        <v>123</v>
      </c>
      <c r="C944" s="231">
        <f>基础表!C854</f>
        <v>0</v>
      </c>
      <c r="D944" s="231">
        <f>基础表!D854</f>
        <v>0</v>
      </c>
      <c r="E944" s="231">
        <f>基础表!E854</f>
        <v>0</v>
      </c>
      <c r="F944" s="231">
        <f>基础表!F854</f>
        <v>0</v>
      </c>
      <c r="G944" s="231">
        <f>基础表!G854</f>
        <v>0</v>
      </c>
      <c r="H944" s="231">
        <f>基础表!H854</f>
        <v>0</v>
      </c>
      <c r="I944" s="231">
        <f>基础表!I854</f>
        <v>0</v>
      </c>
      <c r="J944" s="231">
        <f>基础表!J854</f>
        <v>0</v>
      </c>
      <c r="K944" s="231">
        <f>基础表!K854</f>
        <v>0</v>
      </c>
      <c r="L944" s="231">
        <f>基础表!L854</f>
        <v>0</v>
      </c>
      <c r="M944" s="231">
        <f>基础表!M854</f>
        <v>0</v>
      </c>
      <c r="N944" s="231">
        <f>基础表!N854</f>
        <v>0</v>
      </c>
      <c r="O944" s="231">
        <f ca="1">基础表!O854</f>
        <v>0</v>
      </c>
    </row>
    <row r="945" s="38" customFormat="1" ht="15" customHeight="1" spans="1:17">
      <c r="A945" s="307" t="s">
        <v>197</v>
      </c>
      <c r="B945" s="50" t="s">
        <v>123</v>
      </c>
      <c r="C945" s="231">
        <f>基础表!C855</f>
        <v>0</v>
      </c>
      <c r="D945" s="231">
        <f>基础表!D855</f>
        <v>0</v>
      </c>
      <c r="E945" s="231">
        <f>基础表!E855</f>
        <v>0</v>
      </c>
      <c r="F945" s="231">
        <f>基础表!F855</f>
        <v>0</v>
      </c>
      <c r="G945" s="231">
        <f>基础表!G855</f>
        <v>0</v>
      </c>
      <c r="H945" s="231">
        <f>基础表!H855</f>
        <v>0</v>
      </c>
      <c r="I945" s="231">
        <f>基础表!I855</f>
        <v>0</v>
      </c>
      <c r="J945" s="231">
        <f>基础表!J855</f>
        <v>0</v>
      </c>
      <c r="K945" s="231">
        <f>基础表!K855</f>
        <v>0</v>
      </c>
      <c r="L945" s="231">
        <f>基础表!L855</f>
        <v>0</v>
      </c>
      <c r="M945" s="231">
        <f>基础表!M855</f>
        <v>0</v>
      </c>
      <c r="N945" s="231">
        <f>基础表!N855</f>
        <v>0</v>
      </c>
      <c r="O945" s="231">
        <f ca="1">基础表!O855</f>
        <v>0</v>
      </c>
    </row>
    <row r="946" s="38" customFormat="1" ht="15" customHeight="1" spans="1:17">
      <c r="A946" s="115" t="s">
        <v>198</v>
      </c>
      <c r="B946" s="50" t="s">
        <v>123</v>
      </c>
      <c r="C946" s="231">
        <f>基础表!C856</f>
        <v>0</v>
      </c>
      <c r="D946" s="231">
        <f>基础表!D856</f>
        <v>29.9999933333334</v>
      </c>
      <c r="E946" s="231">
        <f>基础表!E856</f>
        <v>29.9999539237353</v>
      </c>
      <c r="F946" s="231">
        <f>基础表!F856</f>
        <v>24.9999884937812</v>
      </c>
      <c r="G946" s="231">
        <f>基础表!G856</f>
        <v>25.0000016176233</v>
      </c>
      <c r="H946" s="231">
        <f>基础表!H856</f>
        <v>24.1724760708563</v>
      </c>
      <c r="I946" s="231">
        <f>基础表!I856</f>
        <v>0</v>
      </c>
      <c r="J946" s="231">
        <f>基础表!J856</f>
        <v>0</v>
      </c>
      <c r="K946" s="231">
        <f>基础表!K856</f>
        <v>0</v>
      </c>
      <c r="L946" s="231">
        <f>基础表!L856</f>
        <v>0</v>
      </c>
      <c r="M946" s="231">
        <f>基础表!M856</f>
        <v>0</v>
      </c>
      <c r="N946" s="231">
        <f>基础表!N856</f>
        <v>0</v>
      </c>
      <c r="O946" s="231">
        <f ca="1">基础表!O856</f>
        <v>25.5988697167953</v>
      </c>
      <c r="P946" s="132"/>
    </row>
    <row r="947" s="38" customFormat="1" ht="18" customHeight="1" spans="1:17">
      <c r="A947" s="307" t="s">
        <v>199</v>
      </c>
      <c r="B947" s="50" t="s">
        <v>123</v>
      </c>
      <c r="C947" s="231">
        <f>基础表!C857</f>
        <v>0</v>
      </c>
      <c r="D947" s="231">
        <f>基础表!D857</f>
        <v>0</v>
      </c>
      <c r="E947" s="231">
        <f>基础表!E857</f>
        <v>0</v>
      </c>
      <c r="F947" s="231">
        <f>基础表!F857</f>
        <v>0</v>
      </c>
      <c r="G947" s="231">
        <f>基础表!G857</f>
        <v>0</v>
      </c>
      <c r="H947" s="231">
        <f>基础表!H857</f>
        <v>0</v>
      </c>
      <c r="I947" s="231">
        <f>基础表!I857</f>
        <v>0</v>
      </c>
      <c r="J947" s="231">
        <f>基础表!J857</f>
        <v>0</v>
      </c>
      <c r="K947" s="231">
        <f>基础表!K857</f>
        <v>0</v>
      </c>
      <c r="L947" s="231">
        <f>基础表!L857</f>
        <v>0</v>
      </c>
      <c r="M947" s="231">
        <f>基础表!M857</f>
        <v>0</v>
      </c>
      <c r="N947" s="231">
        <f>基础表!N857</f>
        <v>0</v>
      </c>
      <c r="O947" s="231">
        <f ca="1">基础表!O857</f>
        <v>0</v>
      </c>
      <c r="P947" s="132"/>
    </row>
    <row r="948" s="38" customFormat="1" ht="18" customHeight="1" spans="1:17">
      <c r="A948" s="115" t="s">
        <v>200</v>
      </c>
      <c r="B948" s="50" t="s">
        <v>123</v>
      </c>
      <c r="C948" s="231">
        <f>基础表!C858</f>
        <v>0</v>
      </c>
      <c r="D948" s="231">
        <f>基础表!D858</f>
        <v>0</v>
      </c>
      <c r="E948" s="231">
        <f>基础表!E858</f>
        <v>0</v>
      </c>
      <c r="F948" s="231">
        <f>基础表!F858</f>
        <v>0</v>
      </c>
      <c r="G948" s="231">
        <f>基础表!G858</f>
        <v>0</v>
      </c>
      <c r="H948" s="231">
        <f>基础表!H858</f>
        <v>0</v>
      </c>
      <c r="I948" s="231">
        <f>基础表!I858</f>
        <v>0</v>
      </c>
      <c r="J948" s="231">
        <f>基础表!J858</f>
        <v>0</v>
      </c>
      <c r="K948" s="231">
        <f>基础表!K858</f>
        <v>0</v>
      </c>
      <c r="L948" s="231">
        <f>基础表!L858</f>
        <v>0</v>
      </c>
      <c r="M948" s="231">
        <f>基础表!M858</f>
        <v>0</v>
      </c>
      <c r="N948" s="231">
        <f>基础表!N858</f>
        <v>0</v>
      </c>
      <c r="O948" s="231">
        <f ca="1">基础表!O858</f>
        <v>0</v>
      </c>
    </row>
    <row r="949" s="38" customFormat="1" ht="18" customHeight="1" spans="1:17">
      <c r="A949" s="115" t="s">
        <v>205</v>
      </c>
      <c r="B949" s="50" t="s">
        <v>123</v>
      </c>
      <c r="C949" s="231">
        <f>基础表!C859</f>
        <v>0</v>
      </c>
      <c r="D949" s="231">
        <f>基础表!D859</f>
        <v>0</v>
      </c>
      <c r="E949" s="231">
        <f>基础表!E859</f>
        <v>0</v>
      </c>
      <c r="F949" s="231">
        <f>基础表!F859</f>
        <v>0</v>
      </c>
      <c r="G949" s="231">
        <f>基础表!G859</f>
        <v>0</v>
      </c>
      <c r="H949" s="231">
        <f>基础表!H859</f>
        <v>0</v>
      </c>
      <c r="I949" s="231">
        <f>基础表!I859</f>
        <v>0</v>
      </c>
      <c r="J949" s="231">
        <f>基础表!J859</f>
        <v>0</v>
      </c>
      <c r="K949" s="231">
        <f>基础表!K859</f>
        <v>0</v>
      </c>
      <c r="L949" s="231">
        <f>基础表!L859</f>
        <v>0</v>
      </c>
      <c r="M949" s="231">
        <f>基础表!M859</f>
        <v>0</v>
      </c>
      <c r="N949" s="231">
        <f>基础表!N859</f>
        <v>0</v>
      </c>
      <c r="O949" s="231">
        <f ca="1">基础表!O859</f>
        <v>0</v>
      </c>
    </row>
    <row r="950" s="38" customFormat="1" ht="18" customHeight="1" spans="1:17">
      <c r="A950" s="115" t="s">
        <v>203</v>
      </c>
      <c r="B950" s="50"/>
      <c r="C950" s="231">
        <f>基础表!C860</f>
        <v>0</v>
      </c>
      <c r="D950" s="231">
        <f>基础表!D860</f>
        <v>0</v>
      </c>
      <c r="E950" s="231">
        <f>基础表!E860</f>
        <v>0</v>
      </c>
      <c r="F950" s="231">
        <f>基础表!F860</f>
        <v>0</v>
      </c>
      <c r="G950" s="231">
        <f>基础表!G860</f>
        <v>14.00124391563</v>
      </c>
      <c r="H950" s="231">
        <f>基础表!H860</f>
        <v>14.0012439156301</v>
      </c>
      <c r="I950" s="231">
        <f>基础表!I860</f>
        <v>0</v>
      </c>
      <c r="J950" s="231">
        <f>基础表!J860</f>
        <v>0</v>
      </c>
      <c r="K950" s="231">
        <f>基础表!K860</f>
        <v>0</v>
      </c>
      <c r="L950" s="231">
        <f>基础表!L860</f>
        <v>0</v>
      </c>
      <c r="M950" s="231">
        <f>基础表!M860</f>
        <v>0</v>
      </c>
      <c r="N950" s="231">
        <f>基础表!N860</f>
        <v>0</v>
      </c>
      <c r="O950" s="231" t="e">
        <f ca="1">基础表!O860</f>
        <v>#DIV/0!</v>
      </c>
    </row>
    <row r="951" s="38" customFormat="1" ht="18" customHeight="1" spans="1:17">
      <c r="A951" s="115" t="s">
        <v>206</v>
      </c>
      <c r="B951" s="50"/>
      <c r="C951" s="231">
        <f>基础表!C861</f>
        <v>0</v>
      </c>
      <c r="D951" s="231">
        <f>基础表!D861</f>
        <v>557.935334166666</v>
      </c>
      <c r="E951" s="231">
        <f>基础表!E861</f>
        <v>0</v>
      </c>
      <c r="F951" s="231">
        <f>基础表!F861</f>
        <v>0</v>
      </c>
      <c r="G951" s="231">
        <f>基础表!G861</f>
        <v>557.935407407407</v>
      </c>
      <c r="H951" s="231">
        <f>基础表!H861</f>
        <v>557.935498958333</v>
      </c>
      <c r="I951" s="231">
        <f>基础表!I861</f>
        <v>0</v>
      </c>
      <c r="J951" s="231">
        <f>基础表!J861</f>
        <v>0</v>
      </c>
      <c r="K951" s="231">
        <f>基础表!K861</f>
        <v>0</v>
      </c>
      <c r="L951" s="231">
        <f>基础表!L861</f>
        <v>0</v>
      </c>
      <c r="M951" s="231">
        <f>基础表!M861</f>
        <v>0</v>
      </c>
      <c r="N951" s="231">
        <f>基础表!N861</f>
        <v>0</v>
      </c>
      <c r="O951" s="231">
        <f ca="1">基础表!O861</f>
        <v>557.935407407407</v>
      </c>
    </row>
    <row r="952" s="38" customFormat="1" ht="18" customHeight="1" spans="1:17">
      <c r="A952" s="115" t="str">
        <f>基础表!A862</f>
        <v>食品级六偏磷酸钠_通用_含量≥67%_通用</v>
      </c>
      <c r="B952" s="50"/>
      <c r="C952" s="231">
        <f>基础表!C862</f>
        <v>15.5000088983051</v>
      </c>
      <c r="D952" s="231">
        <f>基础表!D862</f>
        <v>0</v>
      </c>
      <c r="E952" s="231">
        <f>基础表!E862</f>
        <v>0</v>
      </c>
      <c r="F952" s="231">
        <f>基础表!F862</f>
        <v>0</v>
      </c>
      <c r="G952" s="231">
        <f>基础表!G862</f>
        <v>12.9992978349912</v>
      </c>
      <c r="H952" s="231">
        <f>基础表!H862</f>
        <v>11.9998612953805</v>
      </c>
      <c r="I952" s="231">
        <f>基础表!I862</f>
        <v>0</v>
      </c>
      <c r="J952" s="231">
        <f>基础表!J862</f>
        <v>0</v>
      </c>
      <c r="K952" s="231">
        <f>基础表!K862</f>
        <v>0</v>
      </c>
      <c r="L952" s="231">
        <f>基础表!L862</f>
        <v>0</v>
      </c>
      <c r="M952" s="231">
        <f>基础表!M862</f>
        <v>0</v>
      </c>
      <c r="N952" s="231">
        <f>基础表!N862</f>
        <v>0</v>
      </c>
      <c r="O952" s="231">
        <f ca="1">基础表!O862</f>
        <v>12.170665</v>
      </c>
    </row>
    <row r="953" s="38" customFormat="1" ht="18" customHeight="1" spans="1:17">
      <c r="A953" s="115" t="str">
        <f>基础表!A863</f>
        <v>无水柠檬酸_细目</v>
      </c>
      <c r="B953" s="50"/>
      <c r="C953" s="231">
        <f>基础表!C863</f>
        <v>6150.42857142857</v>
      </c>
      <c r="D953" s="231">
        <f>基础表!D863</f>
        <v>6149.99627118644</v>
      </c>
      <c r="E953" s="231">
        <f>基础表!E863</f>
        <v>6149.97363636364</v>
      </c>
      <c r="F953" s="231">
        <f>基础表!F863</f>
        <v>6149.99767891683</v>
      </c>
      <c r="G953" s="231">
        <f>基础表!G863</f>
        <v>6149.9973941368</v>
      </c>
      <c r="H953" s="231">
        <f>基础表!H863</f>
        <v>6150.025</v>
      </c>
      <c r="I953" s="231">
        <f>基础表!I863</f>
        <v>0</v>
      </c>
      <c r="J953" s="231">
        <f>基础表!J863</f>
        <v>0</v>
      </c>
      <c r="K953" s="231">
        <f>基础表!K863</f>
        <v>0</v>
      </c>
      <c r="L953" s="231">
        <f>基础表!L863</f>
        <v>0</v>
      </c>
      <c r="M953" s="231">
        <f>基础表!M863</f>
        <v>0</v>
      </c>
      <c r="N953" s="231">
        <f>基础表!N863</f>
        <v>0</v>
      </c>
      <c r="O953" s="231">
        <f ca="1">基础表!O863</f>
        <v>6150.00159954298</v>
      </c>
    </row>
    <row r="954" s="38" customFormat="1" ht="15" customHeight="1" spans="1:17">
      <c r="A954" s="46" t="s">
        <v>348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="38" customFormat="1" ht="15" customHeight="1" spans="1:17">
      <c r="A955" s="48" t="s">
        <v>308</v>
      </c>
      <c r="B955" s="230" t="s">
        <v>77</v>
      </c>
      <c r="C955" s="48" t="s">
        <v>220</v>
      </c>
      <c r="D955" s="107" t="s">
        <v>221</v>
      </c>
      <c r="E955" s="107" t="s">
        <v>222</v>
      </c>
      <c r="F955" s="107" t="s">
        <v>223</v>
      </c>
      <c r="G955" s="107" t="s">
        <v>224</v>
      </c>
      <c r="H955" s="107" t="s">
        <v>225</v>
      </c>
      <c r="I955" s="107" t="s">
        <v>226</v>
      </c>
      <c r="J955" s="107" t="s">
        <v>227</v>
      </c>
      <c r="K955" s="107" t="s">
        <v>228</v>
      </c>
      <c r="L955" s="107" t="s">
        <v>229</v>
      </c>
      <c r="M955" s="107" t="s">
        <v>230</v>
      </c>
      <c r="N955" s="107" t="s">
        <v>231</v>
      </c>
      <c r="O955" s="48" t="str">
        <f>CONCATENATE("1-"&amp;mth&amp;"月累计")</f>
        <v>1-8月累计</v>
      </c>
      <c r="Q955" s="68"/>
    </row>
    <row r="956" s="38" customFormat="1" ht="15" customHeight="1" spans="1:17">
      <c r="A956" s="307" t="s">
        <v>178</v>
      </c>
      <c r="B956" s="50" t="s">
        <v>123</v>
      </c>
      <c r="C956" s="52">
        <f>基础表!C867</f>
        <v>0</v>
      </c>
      <c r="D956" s="52">
        <f>基础表!D867</f>
        <v>0</v>
      </c>
      <c r="E956" s="52">
        <f>基础表!E867</f>
        <v>0</v>
      </c>
      <c r="F956" s="52">
        <f>基础表!F867</f>
        <v>0</v>
      </c>
      <c r="G956" s="52">
        <f>基础表!G867</f>
        <v>0</v>
      </c>
      <c r="H956" s="52">
        <f>基础表!H867</f>
        <v>0</v>
      </c>
      <c r="I956" s="52">
        <f>基础表!I867</f>
        <v>0</v>
      </c>
      <c r="J956" s="52">
        <f>基础表!J867</f>
        <v>0</v>
      </c>
      <c r="K956" s="52">
        <f>基础表!K867</f>
        <v>0</v>
      </c>
      <c r="L956" s="52">
        <f>基础表!L867</f>
        <v>0</v>
      </c>
      <c r="M956" s="52">
        <f>基础表!M867</f>
        <v>0</v>
      </c>
      <c r="N956" s="52">
        <f>基础表!N867</f>
        <v>0</v>
      </c>
      <c r="O956" s="52">
        <f ca="1">SUM(OFFSET($C956,0,0,1,mth))</f>
        <v>0</v>
      </c>
      <c r="Q956" s="68"/>
    </row>
    <row r="957" s="38" customFormat="1" ht="15" customHeight="1" spans="1:17">
      <c r="A957" s="307" t="s">
        <v>179</v>
      </c>
      <c r="B957" s="50" t="s">
        <v>123</v>
      </c>
      <c r="C957" s="52">
        <f>基础表!C868</f>
        <v>0</v>
      </c>
      <c r="D957" s="52">
        <f>基础表!D868</f>
        <v>0</v>
      </c>
      <c r="E957" s="52">
        <f>基础表!E868</f>
        <v>0</v>
      </c>
      <c r="F957" s="52">
        <f>基础表!F868</f>
        <v>0</v>
      </c>
      <c r="G957" s="52">
        <f>基础表!G868</f>
        <v>0</v>
      </c>
      <c r="H957" s="52">
        <f>基础表!H868</f>
        <v>0</v>
      </c>
      <c r="I957" s="52">
        <f>基础表!I868</f>
        <v>0</v>
      </c>
      <c r="J957" s="52">
        <f>基础表!J868</f>
        <v>0</v>
      </c>
      <c r="K957" s="52">
        <f>基础表!K868</f>
        <v>0</v>
      </c>
      <c r="L957" s="52">
        <f>基础表!L868</f>
        <v>0</v>
      </c>
      <c r="M957" s="52">
        <f>基础表!M868</f>
        <v>0</v>
      </c>
      <c r="N957" s="52">
        <f>基础表!N868</f>
        <v>0</v>
      </c>
      <c r="O957" s="52">
        <f ca="1" t="shared" ref="O957:O991" si="322">SUM(OFFSET($C957,0,0,1,mth))</f>
        <v>0</v>
      </c>
    </row>
    <row r="958" s="38" customFormat="1" ht="15" customHeight="1" spans="1:17">
      <c r="A958" s="307" t="s">
        <v>180</v>
      </c>
      <c r="B958" s="50" t="s">
        <v>123</v>
      </c>
      <c r="C958" s="52">
        <f>基础表!C869</f>
        <v>0</v>
      </c>
      <c r="D958" s="52">
        <f>基础表!D869</f>
        <v>0</v>
      </c>
      <c r="E958" s="52">
        <f>基础表!E869</f>
        <v>0</v>
      </c>
      <c r="F958" s="52">
        <f>基础表!F869</f>
        <v>0</v>
      </c>
      <c r="G958" s="52">
        <f>基础表!G869</f>
        <v>0</v>
      </c>
      <c r="H958" s="52">
        <f>基础表!H869</f>
        <v>0</v>
      </c>
      <c r="I958" s="52">
        <f>基础表!I869</f>
        <v>0</v>
      </c>
      <c r="J958" s="52">
        <f>基础表!J869</f>
        <v>0</v>
      </c>
      <c r="K958" s="52">
        <f>基础表!K869</f>
        <v>0</v>
      </c>
      <c r="L958" s="52">
        <f>基础表!L869</f>
        <v>0</v>
      </c>
      <c r="M958" s="52">
        <f>基础表!M869</f>
        <v>0</v>
      </c>
      <c r="N958" s="52">
        <f>基础表!N869</f>
        <v>0</v>
      </c>
      <c r="O958" s="52">
        <f ca="1" t="shared" si="322"/>
        <v>0</v>
      </c>
      <c r="P958" s="68"/>
    </row>
    <row r="959" s="38" customFormat="1" ht="15" customHeight="1" spans="1:17">
      <c r="A959" s="307" t="s">
        <v>181</v>
      </c>
      <c r="B959" s="50" t="s">
        <v>123</v>
      </c>
      <c r="C959" s="52">
        <f>基础表!C870</f>
        <v>0</v>
      </c>
      <c r="D959" s="52">
        <f>基础表!D870</f>
        <v>0</v>
      </c>
      <c r="E959" s="52">
        <f>基础表!E870</f>
        <v>0</v>
      </c>
      <c r="F959" s="52">
        <f>基础表!F870</f>
        <v>0</v>
      </c>
      <c r="G959" s="52">
        <f>基础表!G870</f>
        <v>0</v>
      </c>
      <c r="H959" s="52">
        <f>基础表!H870</f>
        <v>0</v>
      </c>
      <c r="I959" s="52">
        <f>基础表!I870</f>
        <v>0</v>
      </c>
      <c r="J959" s="52">
        <f>基础表!J870</f>
        <v>0</v>
      </c>
      <c r="K959" s="52">
        <f>基础表!K870</f>
        <v>0</v>
      </c>
      <c r="L959" s="52">
        <f>基础表!L870</f>
        <v>0</v>
      </c>
      <c r="M959" s="52">
        <f>基础表!M870</f>
        <v>0</v>
      </c>
      <c r="N959" s="52">
        <f>基础表!N870</f>
        <v>0</v>
      </c>
      <c r="O959" s="52">
        <f ca="1" t="shared" si="322"/>
        <v>0</v>
      </c>
      <c r="P959" s="71"/>
    </row>
    <row r="960" s="38" customFormat="1" ht="15" customHeight="1" spans="1:17">
      <c r="A960" s="307" t="s">
        <v>182</v>
      </c>
      <c r="B960" s="50" t="s">
        <v>123</v>
      </c>
      <c r="C960" s="52">
        <f>基础表!C871</f>
        <v>112827.95</v>
      </c>
      <c r="D960" s="52">
        <f>基础表!D871</f>
        <v>47045.28</v>
      </c>
      <c r="E960" s="52">
        <f>基础表!E871</f>
        <v>206660.22</v>
      </c>
      <c r="F960" s="52">
        <f>基础表!F871</f>
        <v>323293.55</v>
      </c>
      <c r="G960" s="52">
        <f>基础表!G871</f>
        <v>294688.48</v>
      </c>
      <c r="H960" s="52">
        <f>基础表!H871</f>
        <v>100343.15</v>
      </c>
      <c r="I960" s="52">
        <f>基础表!I871</f>
        <v>0</v>
      </c>
      <c r="J960" s="52">
        <f>基础表!J871</f>
        <v>0</v>
      </c>
      <c r="K960" s="52">
        <f>基础表!K871</f>
        <v>0</v>
      </c>
      <c r="L960" s="52">
        <f>基础表!L871</f>
        <v>0</v>
      </c>
      <c r="M960" s="52">
        <f>基础表!M871</f>
        <v>0</v>
      </c>
      <c r="N960" s="52">
        <f>基础表!N871</f>
        <v>0</v>
      </c>
      <c r="O960" s="52">
        <f ca="1" t="shared" si="322"/>
        <v>1084858.63</v>
      </c>
      <c r="P960" s="71"/>
    </row>
    <row r="961" s="38" customFormat="1" ht="15" customHeight="1" spans="1:17">
      <c r="A961" s="307" t="s">
        <v>183</v>
      </c>
      <c r="B961" s="50" t="s">
        <v>123</v>
      </c>
      <c r="C961" s="52">
        <f>基础表!C872</f>
        <v>0</v>
      </c>
      <c r="D961" s="52">
        <f>基础表!D872</f>
        <v>0</v>
      </c>
      <c r="E961" s="52">
        <f>基础表!E872</f>
        <v>0</v>
      </c>
      <c r="F961" s="52">
        <f>基础表!F872</f>
        <v>0</v>
      </c>
      <c r="G961" s="52">
        <f>基础表!G872</f>
        <v>0</v>
      </c>
      <c r="H961" s="52">
        <f>基础表!H872</f>
        <v>0</v>
      </c>
      <c r="I961" s="52">
        <f>基础表!I872</f>
        <v>0</v>
      </c>
      <c r="J961" s="52">
        <f>基础表!J872</f>
        <v>0</v>
      </c>
      <c r="K961" s="52">
        <f>基础表!K872</f>
        <v>0</v>
      </c>
      <c r="L961" s="52">
        <f>基础表!L872</f>
        <v>0</v>
      </c>
      <c r="M961" s="52">
        <f>基础表!M872</f>
        <v>0</v>
      </c>
      <c r="N961" s="52">
        <f>基础表!N872</f>
        <v>0</v>
      </c>
      <c r="O961" s="52">
        <f ca="1" t="shared" si="322"/>
        <v>0</v>
      </c>
      <c r="P961" s="71"/>
    </row>
    <row r="962" s="38" customFormat="1" ht="15" customHeight="1" spans="1:17">
      <c r="A962" s="307" t="s">
        <v>184</v>
      </c>
      <c r="B962" s="50" t="s">
        <v>123</v>
      </c>
      <c r="C962" s="52">
        <f>基础表!C873</f>
        <v>0</v>
      </c>
      <c r="D962" s="52">
        <f>基础表!D873</f>
        <v>0</v>
      </c>
      <c r="E962" s="52">
        <f>基础表!E873</f>
        <v>0</v>
      </c>
      <c r="F962" s="52">
        <f>基础表!F873</f>
        <v>0</v>
      </c>
      <c r="G962" s="52">
        <f>基础表!G873</f>
        <v>0</v>
      </c>
      <c r="H962" s="52">
        <f>基础表!H873</f>
        <v>0</v>
      </c>
      <c r="I962" s="52">
        <f>基础表!I873</f>
        <v>0</v>
      </c>
      <c r="J962" s="52">
        <f>基础表!J873</f>
        <v>0</v>
      </c>
      <c r="K962" s="52">
        <f>基础表!K873</f>
        <v>0</v>
      </c>
      <c r="L962" s="52">
        <f>基础表!L873</f>
        <v>0</v>
      </c>
      <c r="M962" s="52">
        <f>基础表!M873</f>
        <v>0</v>
      </c>
      <c r="N962" s="52">
        <f>基础表!N873</f>
        <v>0</v>
      </c>
      <c r="O962" s="52">
        <f ca="1" t="shared" si="322"/>
        <v>0</v>
      </c>
    </row>
    <row r="963" s="38" customFormat="1" ht="18" customHeight="1" spans="1:17">
      <c r="A963" s="307" t="s">
        <v>185</v>
      </c>
      <c r="B963" s="50" t="s">
        <v>123</v>
      </c>
      <c r="C963" s="52">
        <f>基础表!C874</f>
        <v>0</v>
      </c>
      <c r="D963" s="52">
        <f>基础表!D874</f>
        <v>8.7</v>
      </c>
      <c r="E963" s="52">
        <f>基础表!E874</f>
        <v>0</v>
      </c>
      <c r="F963" s="52">
        <f>基础表!F874</f>
        <v>0</v>
      </c>
      <c r="G963" s="52">
        <f>基础表!G874</f>
        <v>14.26</v>
      </c>
      <c r="H963" s="52">
        <f>基础表!H874</f>
        <v>0</v>
      </c>
      <c r="I963" s="52">
        <f>基础表!I874</f>
        <v>0</v>
      </c>
      <c r="J963" s="52">
        <f>基础表!J874</f>
        <v>0</v>
      </c>
      <c r="K963" s="52">
        <f>基础表!K874</f>
        <v>0</v>
      </c>
      <c r="L963" s="52">
        <f>基础表!L874</f>
        <v>0</v>
      </c>
      <c r="M963" s="52">
        <f>基础表!M874</f>
        <v>0</v>
      </c>
      <c r="N963" s="52">
        <f>基础表!N874</f>
        <v>0</v>
      </c>
      <c r="O963" s="52">
        <f ca="1" t="shared" si="322"/>
        <v>22.96</v>
      </c>
    </row>
    <row r="964" s="38" customFormat="1" ht="18" customHeight="1" spans="1:17">
      <c r="A964" s="307" t="s">
        <v>186</v>
      </c>
      <c r="B964" s="50" t="s">
        <v>123</v>
      </c>
      <c r="C964" s="52">
        <f>基础表!C875</f>
        <v>-227.37</v>
      </c>
      <c r="D964" s="52">
        <f>基础表!D875</f>
        <v>317.119999999999</v>
      </c>
      <c r="E964" s="52">
        <f>基础表!E875</f>
        <v>474.760000000001</v>
      </c>
      <c r="F964" s="52">
        <f>基础表!F875</f>
        <v>1388.83</v>
      </c>
      <c r="G964" s="52">
        <f>基础表!G875</f>
        <v>640.930000000001</v>
      </c>
      <c r="H964" s="52">
        <f>基础表!H875</f>
        <v>993.669999999998</v>
      </c>
      <c r="I964" s="52">
        <f>基础表!I875</f>
        <v>0</v>
      </c>
      <c r="J964" s="52">
        <f>基础表!J875</f>
        <v>0</v>
      </c>
      <c r="K964" s="52">
        <f>基础表!K875</f>
        <v>0</v>
      </c>
      <c r="L964" s="52">
        <f>基础表!L875</f>
        <v>0</v>
      </c>
      <c r="M964" s="52">
        <f>基础表!M875</f>
        <v>0</v>
      </c>
      <c r="N964" s="52">
        <f>基础表!N875</f>
        <v>0</v>
      </c>
      <c r="O964" s="52">
        <f ca="1" t="shared" si="322"/>
        <v>3587.94</v>
      </c>
      <c r="P964" s="132"/>
    </row>
    <row r="965" s="38" customFormat="1" ht="18" customHeight="1" spans="1:17">
      <c r="A965" s="307" t="s">
        <v>187</v>
      </c>
      <c r="B965" s="50" t="s">
        <v>123</v>
      </c>
      <c r="C965" s="52">
        <f>基础表!C876</f>
        <v>0</v>
      </c>
      <c r="D965" s="52">
        <f>基础表!D876</f>
        <v>0</v>
      </c>
      <c r="E965" s="52">
        <f>基础表!E876</f>
        <v>557.53</v>
      </c>
      <c r="F965" s="52">
        <f>基础表!F876</f>
        <v>0</v>
      </c>
      <c r="G965" s="52">
        <f>基础表!G876</f>
        <v>0</v>
      </c>
      <c r="H965" s="52">
        <f>基础表!H876</f>
        <v>2787.61</v>
      </c>
      <c r="I965" s="52">
        <f>基础表!I876</f>
        <v>0</v>
      </c>
      <c r="J965" s="52">
        <f>基础表!J876</f>
        <v>0</v>
      </c>
      <c r="K965" s="52">
        <f>基础表!K876</f>
        <v>0</v>
      </c>
      <c r="L965" s="52">
        <f>基础表!L876</f>
        <v>0</v>
      </c>
      <c r="M965" s="52">
        <f>基础表!M876</f>
        <v>0</v>
      </c>
      <c r="N965" s="52">
        <f>基础表!N876</f>
        <v>0</v>
      </c>
      <c r="O965" s="52">
        <f ca="1" t="shared" si="322"/>
        <v>3345.14</v>
      </c>
      <c r="P965" s="68"/>
    </row>
    <row r="966" s="38" customFormat="1" ht="18" customHeight="1" spans="1:17">
      <c r="A966" s="307" t="s">
        <v>188</v>
      </c>
      <c r="B966" s="50"/>
      <c r="C966" s="52">
        <f>基础表!C877</f>
        <v>0</v>
      </c>
      <c r="D966" s="52">
        <f>基础表!D877</f>
        <v>0</v>
      </c>
      <c r="E966" s="52">
        <f>基础表!E877</f>
        <v>0</v>
      </c>
      <c r="F966" s="52">
        <f>基础表!F877</f>
        <v>0</v>
      </c>
      <c r="G966" s="52">
        <f>基础表!G877</f>
        <v>0</v>
      </c>
      <c r="H966" s="52">
        <f>基础表!H877</f>
        <v>0</v>
      </c>
      <c r="I966" s="52">
        <f>基础表!I877</f>
        <v>0</v>
      </c>
      <c r="J966" s="52">
        <f>基础表!J877</f>
        <v>0</v>
      </c>
      <c r="K966" s="52">
        <f>基础表!K877</f>
        <v>0</v>
      </c>
      <c r="L966" s="52">
        <f>基础表!L877</f>
        <v>0</v>
      </c>
      <c r="M966" s="52">
        <f>基础表!M877</f>
        <v>0</v>
      </c>
      <c r="N966" s="52">
        <f>基础表!N877</f>
        <v>0</v>
      </c>
      <c r="O966" s="52">
        <f ca="1" t="shared" si="322"/>
        <v>0</v>
      </c>
      <c r="P966" s="68"/>
    </row>
    <row r="967" s="38" customFormat="1" ht="18" customHeight="1" spans="1:17">
      <c r="A967" s="307" t="s">
        <v>189</v>
      </c>
      <c r="B967" s="50"/>
      <c r="C967" s="52">
        <f>基础表!C878</f>
        <v>0</v>
      </c>
      <c r="D967" s="52">
        <f>基础表!D878</f>
        <v>0</v>
      </c>
      <c r="E967" s="52">
        <f>基础表!E878</f>
        <v>0</v>
      </c>
      <c r="F967" s="52">
        <f>基础表!F878</f>
        <v>0</v>
      </c>
      <c r="G967" s="52">
        <f>基础表!G878</f>
        <v>0</v>
      </c>
      <c r="H967" s="52">
        <f>基础表!H878</f>
        <v>0</v>
      </c>
      <c r="I967" s="52">
        <f>基础表!I878</f>
        <v>0</v>
      </c>
      <c r="J967" s="52">
        <f>基础表!J878</f>
        <v>0</v>
      </c>
      <c r="K967" s="52">
        <f>基础表!K878</f>
        <v>0</v>
      </c>
      <c r="L967" s="52">
        <f>基础表!L878</f>
        <v>0</v>
      </c>
      <c r="M967" s="52">
        <f>基础表!M878</f>
        <v>0</v>
      </c>
      <c r="N967" s="52">
        <f>基础表!N878</f>
        <v>0</v>
      </c>
      <c r="O967" s="52">
        <f ca="1" t="shared" si="322"/>
        <v>0</v>
      </c>
      <c r="P967" s="68"/>
    </row>
    <row r="968" s="38" customFormat="1" ht="18" customHeight="1" spans="1:17">
      <c r="A968" s="307" t="s">
        <v>190</v>
      </c>
      <c r="B968" s="50"/>
      <c r="C968" s="52">
        <f>基础表!C879</f>
        <v>0</v>
      </c>
      <c r="D968" s="52">
        <f>基础表!D879</f>
        <v>0</v>
      </c>
      <c r="E968" s="52">
        <f>基础表!E879</f>
        <v>0</v>
      </c>
      <c r="F968" s="52">
        <f>基础表!F879</f>
        <v>0</v>
      </c>
      <c r="G968" s="52">
        <f>基础表!G879</f>
        <v>0</v>
      </c>
      <c r="H968" s="52">
        <f>基础表!H879</f>
        <v>0</v>
      </c>
      <c r="I968" s="52">
        <f>基础表!I879</f>
        <v>0</v>
      </c>
      <c r="J968" s="52">
        <f>基础表!J879</f>
        <v>0</v>
      </c>
      <c r="K968" s="52">
        <f>基础表!K879</f>
        <v>0</v>
      </c>
      <c r="L968" s="52">
        <f>基础表!L879</f>
        <v>0</v>
      </c>
      <c r="M968" s="52">
        <f>基础表!M879</f>
        <v>0</v>
      </c>
      <c r="N968" s="52">
        <f>基础表!N879</f>
        <v>0</v>
      </c>
      <c r="O968" s="52">
        <f ca="1" t="shared" si="322"/>
        <v>0</v>
      </c>
      <c r="P968" s="68"/>
    </row>
    <row r="969" s="38" customFormat="1" ht="15" customHeight="1" spans="1:17">
      <c r="A969" s="307" t="s">
        <v>191</v>
      </c>
      <c r="B969" s="50" t="s">
        <v>123</v>
      </c>
      <c r="C969" s="52">
        <f>基础表!C880</f>
        <v>72436.45</v>
      </c>
      <c r="D969" s="52">
        <f>基础表!D880</f>
        <v>23204.31</v>
      </c>
      <c r="E969" s="52">
        <f>基础表!E880</f>
        <v>113790.9</v>
      </c>
      <c r="F969" s="52">
        <f>基础表!F880</f>
        <v>295066.95</v>
      </c>
      <c r="G969" s="52">
        <f>基础表!G880</f>
        <v>126505.38</v>
      </c>
      <c r="H969" s="52">
        <f>基础表!H880</f>
        <v>92862.33</v>
      </c>
      <c r="I969" s="52">
        <f>基础表!I880</f>
        <v>0</v>
      </c>
      <c r="J969" s="52">
        <f>基础表!J880</f>
        <v>0</v>
      </c>
      <c r="K969" s="52">
        <f>基础表!K880</f>
        <v>0</v>
      </c>
      <c r="L969" s="52">
        <f>基础表!L880</f>
        <v>0</v>
      </c>
      <c r="M969" s="52">
        <f>基础表!M880</f>
        <v>0</v>
      </c>
      <c r="N969" s="52">
        <f>基础表!N880</f>
        <v>0</v>
      </c>
      <c r="O969" s="52">
        <f ca="1" t="shared" si="322"/>
        <v>723866.32</v>
      </c>
    </row>
    <row r="970" s="38" customFormat="1" ht="15" customHeight="1" spans="1:17">
      <c r="A970" s="307" t="s">
        <v>192</v>
      </c>
      <c r="B970" s="50" t="s">
        <v>123</v>
      </c>
      <c r="C970" s="52">
        <f>基础表!C881</f>
        <v>0</v>
      </c>
      <c r="D970" s="52">
        <f>基础表!D881</f>
        <v>0</v>
      </c>
      <c r="E970" s="52">
        <f>基础表!E881</f>
        <v>0</v>
      </c>
      <c r="F970" s="52">
        <f>基础表!F881</f>
        <v>0</v>
      </c>
      <c r="G970" s="52">
        <f>基础表!G881</f>
        <v>0</v>
      </c>
      <c r="H970" s="52">
        <f>基础表!H881</f>
        <v>0</v>
      </c>
      <c r="I970" s="52">
        <f>基础表!I881</f>
        <v>0</v>
      </c>
      <c r="J970" s="52">
        <f>基础表!J881</f>
        <v>0</v>
      </c>
      <c r="K970" s="52">
        <f>基础表!K881</f>
        <v>0</v>
      </c>
      <c r="L970" s="52">
        <f>基础表!L881</f>
        <v>0</v>
      </c>
      <c r="M970" s="52">
        <f>基础表!M881</f>
        <v>0</v>
      </c>
      <c r="N970" s="52">
        <f>基础表!N881</f>
        <v>0</v>
      </c>
      <c r="O970" s="52">
        <f ca="1" t="shared" si="322"/>
        <v>0</v>
      </c>
      <c r="Q970" s="68"/>
    </row>
    <row r="971" s="38" customFormat="1" ht="15" customHeight="1" spans="1:17">
      <c r="A971" s="307" t="s">
        <v>193</v>
      </c>
      <c r="B971" s="50" t="s">
        <v>123</v>
      </c>
      <c r="C971" s="52">
        <f>基础表!C882</f>
        <v>0</v>
      </c>
      <c r="D971" s="52">
        <f>基础表!D882</f>
        <v>0</v>
      </c>
      <c r="E971" s="52">
        <f>基础表!E882</f>
        <v>0</v>
      </c>
      <c r="F971" s="52">
        <f>基础表!F882</f>
        <v>0</v>
      </c>
      <c r="G971" s="52">
        <f>基础表!G882</f>
        <v>0</v>
      </c>
      <c r="H971" s="52">
        <f>基础表!H882</f>
        <v>0</v>
      </c>
      <c r="I971" s="52">
        <f>基础表!I882</f>
        <v>0</v>
      </c>
      <c r="J971" s="52">
        <f>基础表!J882</f>
        <v>0</v>
      </c>
      <c r="K971" s="52">
        <f>基础表!K882</f>
        <v>0</v>
      </c>
      <c r="L971" s="52">
        <f>基础表!L882</f>
        <v>0</v>
      </c>
      <c r="M971" s="52">
        <f>基础表!M882</f>
        <v>0</v>
      </c>
      <c r="N971" s="52">
        <f>基础表!N882</f>
        <v>0</v>
      </c>
      <c r="O971" s="52">
        <f ca="1" t="shared" si="322"/>
        <v>0</v>
      </c>
    </row>
    <row r="972" s="38" customFormat="1" ht="15" customHeight="1" spans="1:17">
      <c r="A972" s="307" t="s">
        <v>194</v>
      </c>
      <c r="B972" s="50" t="s">
        <v>123</v>
      </c>
      <c r="C972" s="52">
        <f>基础表!C883</f>
        <v>0</v>
      </c>
      <c r="D972" s="52">
        <f>基础表!D883</f>
        <v>0</v>
      </c>
      <c r="E972" s="52">
        <f>基础表!E883</f>
        <v>0</v>
      </c>
      <c r="F972" s="52">
        <f>基础表!F883</f>
        <v>0</v>
      </c>
      <c r="G972" s="52">
        <f>基础表!G883</f>
        <v>0</v>
      </c>
      <c r="H972" s="52">
        <f>基础表!H883</f>
        <v>0</v>
      </c>
      <c r="I972" s="52">
        <f>基础表!I883</f>
        <v>0</v>
      </c>
      <c r="J972" s="52">
        <f>基础表!J883</f>
        <v>0</v>
      </c>
      <c r="K972" s="52">
        <f>基础表!K883</f>
        <v>0</v>
      </c>
      <c r="L972" s="52">
        <f>基础表!L883</f>
        <v>0</v>
      </c>
      <c r="M972" s="52">
        <f>基础表!M883</f>
        <v>0</v>
      </c>
      <c r="N972" s="52">
        <f>基础表!N883</f>
        <v>0</v>
      </c>
      <c r="O972" s="52">
        <f ca="1" t="shared" si="322"/>
        <v>0</v>
      </c>
      <c r="P972" s="68"/>
    </row>
    <row r="973" s="38" customFormat="1" ht="15" customHeight="1" spans="1:17">
      <c r="A973" s="307" t="s">
        <v>195</v>
      </c>
      <c r="B973" s="50" t="s">
        <v>123</v>
      </c>
      <c r="C973" s="52">
        <f>基础表!C884</f>
        <v>0</v>
      </c>
      <c r="D973" s="52">
        <f>基础表!D884</f>
        <v>0</v>
      </c>
      <c r="E973" s="52">
        <f>基础表!E884</f>
        <v>0</v>
      </c>
      <c r="F973" s="52">
        <f>基础表!F884</f>
        <v>0</v>
      </c>
      <c r="G973" s="52">
        <f>基础表!G884</f>
        <v>0</v>
      </c>
      <c r="H973" s="52">
        <f>基础表!H884</f>
        <v>0</v>
      </c>
      <c r="I973" s="52">
        <f>基础表!I884</f>
        <v>0</v>
      </c>
      <c r="J973" s="52">
        <f>基础表!J884</f>
        <v>0</v>
      </c>
      <c r="K973" s="52">
        <f>基础表!K884</f>
        <v>0</v>
      </c>
      <c r="L973" s="52">
        <f>基础表!L884</f>
        <v>0</v>
      </c>
      <c r="M973" s="52">
        <f>基础表!M884</f>
        <v>0</v>
      </c>
      <c r="N973" s="52">
        <f>基础表!N884</f>
        <v>0</v>
      </c>
      <c r="O973" s="52">
        <f ca="1" t="shared" si="322"/>
        <v>0</v>
      </c>
      <c r="P973" s="71"/>
    </row>
    <row r="974" s="38" customFormat="1" ht="15" customHeight="1" spans="1:17">
      <c r="A974" s="307" t="s">
        <v>196</v>
      </c>
      <c r="B974" s="50" t="s">
        <v>123</v>
      </c>
      <c r="C974" s="52">
        <f>基础表!C885</f>
        <v>0</v>
      </c>
      <c r="D974" s="52">
        <f>基础表!D885</f>
        <v>0</v>
      </c>
      <c r="E974" s="52">
        <f>基础表!E885</f>
        <v>0</v>
      </c>
      <c r="F974" s="52">
        <f>基础表!F885</f>
        <v>0</v>
      </c>
      <c r="G974" s="52">
        <f>基础表!G885</f>
        <v>0</v>
      </c>
      <c r="H974" s="52">
        <f>基础表!H885</f>
        <v>0</v>
      </c>
      <c r="I974" s="52">
        <f>基础表!I885</f>
        <v>0</v>
      </c>
      <c r="J974" s="52">
        <f>基础表!J885</f>
        <v>0</v>
      </c>
      <c r="K974" s="52">
        <f>基础表!K885</f>
        <v>0</v>
      </c>
      <c r="L974" s="52">
        <f>基础表!L885</f>
        <v>0</v>
      </c>
      <c r="M974" s="52">
        <f>基础表!M885</f>
        <v>0</v>
      </c>
      <c r="N974" s="52">
        <f>基础表!N885</f>
        <v>0</v>
      </c>
      <c r="O974" s="52">
        <f ca="1" t="shared" si="322"/>
        <v>0</v>
      </c>
      <c r="P974" s="71"/>
    </row>
    <row r="975" s="38" customFormat="1" ht="15" customHeight="1" spans="1:17">
      <c r="A975" s="307" t="s">
        <v>197</v>
      </c>
      <c r="B975" s="50" t="s">
        <v>123</v>
      </c>
      <c r="C975" s="52">
        <f>基础表!C886</f>
        <v>0</v>
      </c>
      <c r="D975" s="52">
        <f>基础表!D886</f>
        <v>0</v>
      </c>
      <c r="E975" s="52">
        <f>基础表!E886</f>
        <v>0</v>
      </c>
      <c r="F975" s="52">
        <f>基础表!F886</f>
        <v>0</v>
      </c>
      <c r="G975" s="52">
        <f>基础表!G886</f>
        <v>0</v>
      </c>
      <c r="H975" s="52">
        <f>基础表!H886</f>
        <v>0</v>
      </c>
      <c r="I975" s="52">
        <f>基础表!I886</f>
        <v>0</v>
      </c>
      <c r="J975" s="52">
        <f>基础表!J886</f>
        <v>0</v>
      </c>
      <c r="K975" s="52">
        <f>基础表!K886</f>
        <v>0</v>
      </c>
      <c r="L975" s="52">
        <f>基础表!L886</f>
        <v>0</v>
      </c>
      <c r="M975" s="52">
        <f>基础表!M886</f>
        <v>0</v>
      </c>
      <c r="N975" s="52">
        <f>基础表!N886</f>
        <v>0</v>
      </c>
      <c r="O975" s="52">
        <f ca="1" t="shared" si="322"/>
        <v>0</v>
      </c>
      <c r="P975" s="71"/>
    </row>
    <row r="976" s="38" customFormat="1" ht="15" customHeight="1" spans="1:17">
      <c r="A976" s="115" t="s">
        <v>198</v>
      </c>
      <c r="B976" s="50" t="s">
        <v>123</v>
      </c>
      <c r="C976" s="52">
        <f>基础表!C887</f>
        <v>0</v>
      </c>
      <c r="D976" s="52">
        <f>基础表!D887</f>
        <v>0</v>
      </c>
      <c r="E976" s="52">
        <f>基础表!E887</f>
        <v>207.16</v>
      </c>
      <c r="F976" s="52">
        <f>基础表!F887</f>
        <v>170.18</v>
      </c>
      <c r="G976" s="52">
        <f>基础表!G887</f>
        <v>344.96</v>
      </c>
      <c r="H976" s="52">
        <f>基础表!H887</f>
        <v>177.68</v>
      </c>
      <c r="I976" s="52">
        <f>基础表!I887</f>
        <v>0</v>
      </c>
      <c r="J976" s="52">
        <f>基础表!J887</f>
        <v>0</v>
      </c>
      <c r="K976" s="52">
        <f>基础表!K887</f>
        <v>0</v>
      </c>
      <c r="L976" s="52">
        <f>基础表!L887</f>
        <v>0</v>
      </c>
      <c r="M976" s="52">
        <f>基础表!M887</f>
        <v>0</v>
      </c>
      <c r="N976" s="52">
        <f>基础表!N887</f>
        <v>0</v>
      </c>
      <c r="O976" s="52">
        <f ca="1" t="shared" si="322"/>
        <v>899.98</v>
      </c>
    </row>
    <row r="977" s="38" customFormat="1" ht="18" customHeight="1" spans="1:16">
      <c r="A977" s="307" t="s">
        <v>199</v>
      </c>
      <c r="B977" s="50" t="s">
        <v>123</v>
      </c>
      <c r="C977" s="52">
        <f>基础表!C888</f>
        <v>0</v>
      </c>
      <c r="D977" s="52">
        <f>基础表!D888</f>
        <v>0</v>
      </c>
      <c r="E977" s="52">
        <f>基础表!E888</f>
        <v>0</v>
      </c>
      <c r="F977" s="52">
        <f>基础表!F888</f>
        <v>0</v>
      </c>
      <c r="G977" s="52">
        <f>基础表!G888</f>
        <v>0</v>
      </c>
      <c r="H977" s="52">
        <f>基础表!H888</f>
        <v>0</v>
      </c>
      <c r="I977" s="52">
        <f>基础表!I888</f>
        <v>0</v>
      </c>
      <c r="J977" s="52">
        <f>基础表!J888</f>
        <v>0</v>
      </c>
      <c r="K977" s="52">
        <f>基础表!K888</f>
        <v>0</v>
      </c>
      <c r="L977" s="52">
        <f>基础表!L888</f>
        <v>0</v>
      </c>
      <c r="M977" s="52">
        <f>基础表!M888</f>
        <v>0</v>
      </c>
      <c r="N977" s="52">
        <f>基础表!N888</f>
        <v>0</v>
      </c>
      <c r="O977" s="52">
        <f ca="1" t="shared" si="322"/>
        <v>0</v>
      </c>
    </row>
    <row r="978" s="38" customFormat="1" ht="18" customHeight="1" spans="1:16">
      <c r="A978" s="115" t="s">
        <v>200</v>
      </c>
      <c r="B978" s="50" t="s">
        <v>123</v>
      </c>
      <c r="C978" s="52">
        <f>基础表!C889</f>
        <v>12660.69</v>
      </c>
      <c r="D978" s="52">
        <f>基础表!D889</f>
        <v>-301.59</v>
      </c>
      <c r="E978" s="52">
        <f>基础表!E889</f>
        <v>23028.42</v>
      </c>
      <c r="F978" s="52">
        <f>基础表!F889</f>
        <v>47503.73</v>
      </c>
      <c r="G978" s="52">
        <f>基础表!G889</f>
        <v>21842.78</v>
      </c>
      <c r="H978" s="52">
        <f>基础表!H889</f>
        <v>15583.09</v>
      </c>
      <c r="I978" s="52">
        <f>基础表!I889</f>
        <v>0</v>
      </c>
      <c r="J978" s="52">
        <f>基础表!J889</f>
        <v>0</v>
      </c>
      <c r="K978" s="52">
        <f>基础表!K889</f>
        <v>0</v>
      </c>
      <c r="L978" s="52">
        <f>基础表!L889</f>
        <v>0</v>
      </c>
      <c r="M978" s="52">
        <f>基础表!M889</f>
        <v>0</v>
      </c>
      <c r="N978" s="52">
        <f>基础表!N889</f>
        <v>0</v>
      </c>
      <c r="O978" s="52">
        <f ca="1" t="shared" si="322"/>
        <v>120317.12</v>
      </c>
      <c r="P978" s="132"/>
    </row>
    <row r="979" s="38" customFormat="1" ht="18" customHeight="1" spans="1:16">
      <c r="A979" s="115" t="s">
        <v>201</v>
      </c>
      <c r="B979" s="50" t="s">
        <v>123</v>
      </c>
      <c r="C979" s="52">
        <f>基础表!C890</f>
        <v>0</v>
      </c>
      <c r="D979" s="52">
        <f>基础表!D890</f>
        <v>0</v>
      </c>
      <c r="E979" s="52">
        <f>基础表!E890</f>
        <v>0</v>
      </c>
      <c r="F979" s="52">
        <f>基础表!F890</f>
        <v>0</v>
      </c>
      <c r="G979" s="52">
        <f>基础表!G890</f>
        <v>-112.17</v>
      </c>
      <c r="H979" s="52">
        <f>基础表!H890</f>
        <v>112.17</v>
      </c>
      <c r="I979" s="52">
        <f>基础表!I890</f>
        <v>0</v>
      </c>
      <c r="J979" s="52">
        <f>基础表!J890</f>
        <v>0</v>
      </c>
      <c r="K979" s="52">
        <f>基础表!K890</f>
        <v>0</v>
      </c>
      <c r="L979" s="52">
        <f>基础表!L890</f>
        <v>0</v>
      </c>
      <c r="M979" s="52">
        <f>基础表!M890</f>
        <v>0</v>
      </c>
      <c r="N979" s="52">
        <f>基础表!N890</f>
        <v>0</v>
      </c>
      <c r="O979" s="52">
        <f ca="1" t="shared" si="322"/>
        <v>0</v>
      </c>
      <c r="P979" s="68"/>
    </row>
    <row r="980" s="38" customFormat="1" ht="18" customHeight="1" spans="1:16">
      <c r="A980" s="115" t="s">
        <v>202</v>
      </c>
      <c r="B980" s="50"/>
      <c r="C980" s="52">
        <f>基础表!C891</f>
        <v>0</v>
      </c>
      <c r="D980" s="52">
        <f>基础表!D891</f>
        <v>0</v>
      </c>
      <c r="E980" s="52">
        <f>基础表!E891</f>
        <v>287.81</v>
      </c>
      <c r="F980" s="52">
        <f>基础表!F891</f>
        <v>1461.95</v>
      </c>
      <c r="G980" s="52">
        <f>基础表!G891</f>
        <v>674.72</v>
      </c>
      <c r="H980" s="52">
        <f>基础表!H891</f>
        <v>53.4099999999999</v>
      </c>
      <c r="I980" s="52">
        <f>基础表!I891</f>
        <v>0</v>
      </c>
      <c r="J980" s="52">
        <f>基础表!J891</f>
        <v>0</v>
      </c>
      <c r="K980" s="52">
        <f>基础表!K891</f>
        <v>0</v>
      </c>
      <c r="L980" s="52">
        <f>基础表!L891</f>
        <v>0</v>
      </c>
      <c r="M980" s="52">
        <f>基础表!M891</f>
        <v>0</v>
      </c>
      <c r="N980" s="52">
        <f>基础表!N891</f>
        <v>0</v>
      </c>
      <c r="O980" s="52">
        <f ca="1" t="shared" si="322"/>
        <v>2477.89</v>
      </c>
      <c r="P980" s="68"/>
    </row>
    <row r="981" s="38" customFormat="1" ht="18" customHeight="1" spans="1:16">
      <c r="A981" s="115" t="s">
        <v>203</v>
      </c>
      <c r="B981" s="50"/>
      <c r="C981" s="52">
        <f>基础表!C892</f>
        <v>0</v>
      </c>
      <c r="D981" s="52">
        <f>基础表!D892</f>
        <v>0</v>
      </c>
      <c r="E981" s="52">
        <f>基础表!E892</f>
        <v>0</v>
      </c>
      <c r="F981" s="52">
        <f>基础表!F892</f>
        <v>0</v>
      </c>
      <c r="G981" s="52">
        <f>基础表!G892</f>
        <v>0</v>
      </c>
      <c r="H981" s="52">
        <f>基础表!H892</f>
        <v>0</v>
      </c>
      <c r="I981" s="52">
        <f>基础表!I892</f>
        <v>0</v>
      </c>
      <c r="J981" s="52">
        <f>基础表!J892</f>
        <v>0</v>
      </c>
      <c r="K981" s="52">
        <f>基础表!K892</f>
        <v>0</v>
      </c>
      <c r="L981" s="52">
        <f>基础表!L892</f>
        <v>0</v>
      </c>
      <c r="M981" s="52">
        <f>基础表!M892</f>
        <v>0</v>
      </c>
      <c r="N981" s="52">
        <f>基础表!N892</f>
        <v>0</v>
      </c>
      <c r="O981" s="52">
        <f ca="1" t="shared" si="322"/>
        <v>0</v>
      </c>
      <c r="P981" s="68"/>
    </row>
    <row r="982" s="38" customFormat="1" ht="18" customHeight="1" spans="1:16">
      <c r="A982" s="115" t="s">
        <v>204</v>
      </c>
      <c r="B982" s="50"/>
      <c r="C982" s="52">
        <f>基础表!C893</f>
        <v>0</v>
      </c>
      <c r="D982" s="52">
        <f>基础表!D893</f>
        <v>0</v>
      </c>
      <c r="E982" s="52">
        <f>基础表!E893</f>
        <v>0</v>
      </c>
      <c r="F982" s="52">
        <f>基础表!F893</f>
        <v>569.969999999999</v>
      </c>
      <c r="G982" s="52">
        <f>基础表!G893</f>
        <v>537.260000000001</v>
      </c>
      <c r="H982" s="52">
        <f>基础表!H893</f>
        <v>600.859999999999</v>
      </c>
      <c r="I982" s="52">
        <f>基础表!I893</f>
        <v>0</v>
      </c>
      <c r="J982" s="52">
        <f>基础表!J893</f>
        <v>0</v>
      </c>
      <c r="K982" s="52">
        <f>基础表!K893</f>
        <v>0</v>
      </c>
      <c r="L982" s="52">
        <f>基础表!L893</f>
        <v>0</v>
      </c>
      <c r="M982" s="52">
        <f>基础表!M893</f>
        <v>0</v>
      </c>
      <c r="N982" s="52">
        <f>基础表!N893</f>
        <v>0</v>
      </c>
      <c r="O982" s="52">
        <f ca="1" t="shared" si="322"/>
        <v>1708.09</v>
      </c>
      <c r="P982" s="68"/>
    </row>
    <row r="983" s="38" customFormat="1" ht="15" customHeight="1" spans="1:16">
      <c r="A983" s="307" t="str">
        <f>基础表!A894</f>
        <v>其它香精_通用_液体香精_SHRS0120</v>
      </c>
      <c r="B983" s="50" t="s">
        <v>123</v>
      </c>
      <c r="C983" s="52">
        <f>基础表!C894</f>
        <v>2662.24</v>
      </c>
      <c r="D983" s="52">
        <f>基础表!D894</f>
        <v>2708.07000000001</v>
      </c>
      <c r="E983" s="52">
        <f>基础表!E894</f>
        <v>5371.29000000002</v>
      </c>
      <c r="F983" s="52">
        <f>基础表!F894</f>
        <v>5383.47999999999</v>
      </c>
      <c r="G983" s="52">
        <f>基础表!G894</f>
        <v>16259.52</v>
      </c>
      <c r="H983" s="52">
        <f>基础表!H894</f>
        <v>0</v>
      </c>
      <c r="I983" s="52">
        <f>基础表!I894</f>
        <v>0</v>
      </c>
      <c r="J983" s="52">
        <f>基础表!J894</f>
        <v>0</v>
      </c>
      <c r="K983" s="52">
        <f>基础表!K894</f>
        <v>0</v>
      </c>
      <c r="L983" s="52">
        <f>基础表!L894</f>
        <v>0</v>
      </c>
      <c r="M983" s="52">
        <f>基础表!M894</f>
        <v>0</v>
      </c>
      <c r="N983" s="52">
        <f>基础表!N894</f>
        <v>0</v>
      </c>
      <c r="O983" s="52">
        <f ca="1" t="shared" si="322"/>
        <v>32384.6</v>
      </c>
    </row>
    <row r="984" s="38" customFormat="1" ht="15" customHeight="1" spans="1:16">
      <c r="A984" s="307" t="str">
        <f>基础表!A895</f>
        <v>甘蔗香精_通用_通用</v>
      </c>
      <c r="B984" s="50" t="s">
        <v>123</v>
      </c>
      <c r="C984" s="52">
        <f>基础表!C895</f>
        <v>0</v>
      </c>
      <c r="D984" s="52">
        <f>基础表!D895</f>
        <v>0</v>
      </c>
      <c r="E984" s="52">
        <f>基础表!E895</f>
        <v>0</v>
      </c>
      <c r="F984" s="52">
        <f>基础表!F895</f>
        <v>0</v>
      </c>
      <c r="G984" s="52">
        <f>基础表!G895</f>
        <v>0</v>
      </c>
      <c r="H984" s="52">
        <f>基础表!H895</f>
        <v>0</v>
      </c>
      <c r="I984" s="52">
        <f>基础表!I895</f>
        <v>0</v>
      </c>
      <c r="J984" s="52">
        <f>基础表!J895</f>
        <v>0</v>
      </c>
      <c r="K984" s="52">
        <f>基础表!K895</f>
        <v>0</v>
      </c>
      <c r="L984" s="52">
        <f>基础表!L895</f>
        <v>0</v>
      </c>
      <c r="M984" s="52">
        <f>基础表!M895</f>
        <v>0</v>
      </c>
      <c r="N984" s="52">
        <f>基础表!N895</f>
        <v>0</v>
      </c>
      <c r="O984" s="52">
        <f ca="1" t="shared" si="322"/>
        <v>0</v>
      </c>
    </row>
    <row r="985" s="38" customFormat="1" ht="15" customHeight="1" spans="1:16">
      <c r="A985" s="307" t="str">
        <f>基础表!A896</f>
        <v>炒板栗香精_通用_通用</v>
      </c>
      <c r="B985" s="50" t="s">
        <v>123</v>
      </c>
      <c r="C985" s="52">
        <f>基础表!C896</f>
        <v>0</v>
      </c>
      <c r="D985" s="52">
        <f>基础表!D896</f>
        <v>0</v>
      </c>
      <c r="E985" s="52">
        <f>基础表!E896</f>
        <v>0</v>
      </c>
      <c r="F985" s="52">
        <f>基础表!F896</f>
        <v>0</v>
      </c>
      <c r="G985" s="52">
        <f>基础表!G896</f>
        <v>0</v>
      </c>
      <c r="H985" s="52">
        <f>基础表!H896</f>
        <v>0</v>
      </c>
      <c r="I985" s="52">
        <f>基础表!I896</f>
        <v>0</v>
      </c>
      <c r="J985" s="52">
        <f>基础表!J896</f>
        <v>0</v>
      </c>
      <c r="K985" s="52">
        <f>基础表!K896</f>
        <v>0</v>
      </c>
      <c r="L985" s="52">
        <f>基础表!L896</f>
        <v>0</v>
      </c>
      <c r="M985" s="52">
        <f>基础表!M896</f>
        <v>0</v>
      </c>
      <c r="N985" s="52">
        <f>基础表!N896</f>
        <v>0</v>
      </c>
      <c r="O985" s="52">
        <f ca="1" t="shared" si="322"/>
        <v>0</v>
      </c>
    </row>
    <row r="986" s="38" customFormat="1" ht="15" customHeight="1" spans="1:16">
      <c r="A986" s="307" t="str">
        <f>基础表!A897</f>
        <v>其它香精_通用_液体香精_SHRS0160</v>
      </c>
      <c r="B986" s="50" t="s">
        <v>123</v>
      </c>
      <c r="C986" s="52">
        <f>基础表!C897</f>
        <v>471.58</v>
      </c>
      <c r="D986" s="52">
        <f>基础表!D897</f>
        <v>231.93</v>
      </c>
      <c r="E986" s="52">
        <f>基础表!E897</f>
        <v>0</v>
      </c>
      <c r="F986" s="52">
        <f>基础表!F897</f>
        <v>592.950000000001</v>
      </c>
      <c r="G986" s="52">
        <f>基础表!G897</f>
        <v>425.580000000001</v>
      </c>
      <c r="H986" s="52">
        <f>基础表!H897</f>
        <v>0</v>
      </c>
      <c r="I986" s="52">
        <f>基础表!I897</f>
        <v>0</v>
      </c>
      <c r="J986" s="52">
        <f>基础表!J897</f>
        <v>0</v>
      </c>
      <c r="K986" s="52">
        <f>基础表!K897</f>
        <v>0</v>
      </c>
      <c r="L986" s="52">
        <f>基础表!L897</f>
        <v>0</v>
      </c>
      <c r="M986" s="52">
        <f>基础表!M897</f>
        <v>0</v>
      </c>
      <c r="N986" s="52">
        <f>基础表!N897</f>
        <v>0</v>
      </c>
      <c r="O986" s="52">
        <f ca="1" t="shared" si="322"/>
        <v>1722.04</v>
      </c>
    </row>
    <row r="987" s="38" customFormat="1" ht="15" customHeight="1" spans="1:16">
      <c r="A987" s="307" t="str">
        <f>基础表!A898</f>
        <v>其它香精_通用_液体香精_SHRS0240</v>
      </c>
      <c r="B987" s="50" t="s">
        <v>123</v>
      </c>
      <c r="C987" s="52">
        <f>基础表!C898</f>
        <v>329.230000000001</v>
      </c>
      <c r="D987" s="52">
        <f>基础表!D898</f>
        <v>0</v>
      </c>
      <c r="E987" s="52">
        <f>基础表!E898</f>
        <v>0</v>
      </c>
      <c r="F987" s="52">
        <f>基础表!F898</f>
        <v>369.88</v>
      </c>
      <c r="G987" s="52">
        <f>基础表!G898</f>
        <v>0</v>
      </c>
      <c r="H987" s="52">
        <f>基础表!H898</f>
        <v>55.0399999999999</v>
      </c>
      <c r="I987" s="52">
        <f>基础表!I898</f>
        <v>0</v>
      </c>
      <c r="J987" s="52">
        <f>基础表!J898</f>
        <v>0</v>
      </c>
      <c r="K987" s="52">
        <f>基础表!K898</f>
        <v>0</v>
      </c>
      <c r="L987" s="52">
        <f>基础表!L898</f>
        <v>0</v>
      </c>
      <c r="M987" s="52">
        <f>基础表!M898</f>
        <v>0</v>
      </c>
      <c r="N987" s="52">
        <f>基础表!N898</f>
        <v>0</v>
      </c>
      <c r="O987" s="52">
        <f ca="1" t="shared" si="322"/>
        <v>754.150000000001</v>
      </c>
    </row>
    <row r="988" s="38" customFormat="1" ht="15" customHeight="1" spans="1:16">
      <c r="A988" s="257" t="s">
        <v>349</v>
      </c>
      <c r="B988" s="50"/>
      <c r="C988" s="52">
        <f>基础表!C899</f>
        <v>0</v>
      </c>
      <c r="D988" s="52">
        <f>基础表!D899</f>
        <v>1006.91</v>
      </c>
      <c r="E988" s="52">
        <f>基础表!E899</f>
        <v>0</v>
      </c>
      <c r="F988" s="52">
        <f>基础表!F899</f>
        <v>0</v>
      </c>
      <c r="G988" s="52">
        <f>基础表!G899</f>
        <v>1643.44</v>
      </c>
      <c r="H988" s="52">
        <f>基础表!H899</f>
        <v>0</v>
      </c>
      <c r="I988" s="52">
        <f>基础表!I899</f>
        <v>0</v>
      </c>
      <c r="J988" s="52">
        <f>基础表!J899</f>
        <v>0</v>
      </c>
      <c r="K988" s="52">
        <f>基础表!K899</f>
        <v>0</v>
      </c>
      <c r="L988" s="52">
        <f>基础表!L899</f>
        <v>0</v>
      </c>
      <c r="M988" s="52">
        <f>基础表!M899</f>
        <v>0</v>
      </c>
      <c r="N988" s="52">
        <f>基础表!N899</f>
        <v>0</v>
      </c>
      <c r="O988" s="52">
        <f ca="1" t="shared" si="322"/>
        <v>2650.35</v>
      </c>
    </row>
    <row r="989" s="38" customFormat="1" ht="15" customHeight="1" spans="1:16">
      <c r="A989" s="257" t="s">
        <v>206</v>
      </c>
      <c r="B989" s="50"/>
      <c r="C989" s="52">
        <f>基础表!C900</f>
        <v>0</v>
      </c>
      <c r="D989" s="52">
        <f>基础表!D900</f>
        <v>0</v>
      </c>
      <c r="E989" s="52">
        <f>基础表!E900</f>
        <v>0</v>
      </c>
      <c r="F989" s="52">
        <f>基础表!F900</f>
        <v>0</v>
      </c>
      <c r="G989" s="52">
        <f>基础表!G900</f>
        <v>0</v>
      </c>
      <c r="H989" s="52">
        <f>基础表!H900</f>
        <v>0</v>
      </c>
      <c r="I989" s="52">
        <f>基础表!I900</f>
        <v>0</v>
      </c>
      <c r="J989" s="52">
        <f>基础表!J900</f>
        <v>0</v>
      </c>
      <c r="K989" s="52">
        <f>基础表!K900</f>
        <v>0</v>
      </c>
      <c r="L989" s="52">
        <f>基础表!L900</f>
        <v>0</v>
      </c>
      <c r="M989" s="52">
        <f>基础表!M900</f>
        <v>0</v>
      </c>
      <c r="N989" s="52">
        <f>基础表!N900</f>
        <v>0</v>
      </c>
      <c r="O989" s="52">
        <f ca="1" t="shared" si="322"/>
        <v>0</v>
      </c>
    </row>
    <row r="990" s="38" customFormat="1" ht="15" customHeight="1" spans="1:16">
      <c r="A990" s="257" t="s">
        <v>350</v>
      </c>
      <c r="B990" s="50"/>
      <c r="C990" s="52">
        <f>基础表!C901</f>
        <v>0</v>
      </c>
      <c r="D990" s="52">
        <f>基础表!D901</f>
        <v>359.489999999999</v>
      </c>
      <c r="E990" s="52">
        <f>基础表!E901</f>
        <v>0</v>
      </c>
      <c r="F990" s="52">
        <f>基础表!F901</f>
        <v>0</v>
      </c>
      <c r="G990" s="52">
        <f>基础表!G901</f>
        <v>589.550000000001</v>
      </c>
      <c r="H990" s="52">
        <f>基础表!H901</f>
        <v>0</v>
      </c>
      <c r="I990" s="52">
        <f>基础表!I901</f>
        <v>0</v>
      </c>
      <c r="J990" s="52">
        <f>基础表!J901</f>
        <v>0</v>
      </c>
      <c r="K990" s="52">
        <f>基础表!K901</f>
        <v>0</v>
      </c>
      <c r="L990" s="52">
        <f>基础表!L901</f>
        <v>0</v>
      </c>
      <c r="M990" s="52">
        <f>基础表!M901</f>
        <v>0</v>
      </c>
      <c r="N990" s="52">
        <f>基础表!N901</f>
        <v>0</v>
      </c>
      <c r="O990" s="52">
        <f ca="1" t="shared" si="322"/>
        <v>949.04</v>
      </c>
    </row>
    <row r="991" s="38" customFormat="1" ht="15" customHeight="1" spans="1:16">
      <c r="A991" s="257" t="s">
        <v>351</v>
      </c>
      <c r="B991" s="50"/>
      <c r="C991" s="52">
        <f>基础表!C902</f>
        <v>266.67</v>
      </c>
      <c r="D991" s="52">
        <f>基础表!D902</f>
        <v>108.85</v>
      </c>
      <c r="E991" s="52">
        <f>基础表!E902</f>
        <v>495.27</v>
      </c>
      <c r="F991" s="52">
        <f>基础表!F902</f>
        <v>283</v>
      </c>
      <c r="G991" s="52">
        <f>基础表!G902</f>
        <v>625.89</v>
      </c>
      <c r="H991" s="52">
        <f>基础表!H902</f>
        <v>342.88</v>
      </c>
      <c r="I991" s="52">
        <f>基础表!I902</f>
        <v>0</v>
      </c>
      <c r="J991" s="52">
        <f>基础表!J902</f>
        <v>0</v>
      </c>
      <c r="K991" s="52">
        <f>基础表!K902</f>
        <v>0</v>
      </c>
      <c r="L991" s="52">
        <f>基础表!L902</f>
        <v>0</v>
      </c>
      <c r="M991" s="52">
        <f>基础表!M902</f>
        <v>0</v>
      </c>
      <c r="N991" s="52">
        <f>基础表!N902</f>
        <v>0</v>
      </c>
      <c r="O991" s="52">
        <f ca="1" t="shared" si="322"/>
        <v>2122.56</v>
      </c>
    </row>
    <row r="992" s="38" customFormat="1" ht="15" customHeight="1" spans="1:16">
      <c r="A992" s="257" t="s">
        <v>340</v>
      </c>
      <c r="B992" s="50"/>
      <c r="C992" s="52">
        <f>基础表!C903</f>
        <v>0</v>
      </c>
      <c r="D992" s="52">
        <f>基础表!D903</f>
        <v>0</v>
      </c>
      <c r="E992" s="52">
        <f>基础表!E903</f>
        <v>0</v>
      </c>
      <c r="F992" s="52">
        <f>基础表!F903</f>
        <v>73.37</v>
      </c>
      <c r="G992" s="52">
        <f>基础表!G903</f>
        <v>220.45</v>
      </c>
      <c r="H992" s="52">
        <f>基础表!H903</f>
        <v>53.0800000000001</v>
      </c>
      <c r="I992" s="52">
        <f>基础表!I903</f>
        <v>0</v>
      </c>
      <c r="J992" s="52">
        <f>基础表!J903</f>
        <v>0</v>
      </c>
      <c r="K992" s="52">
        <f>基础表!K903</f>
        <v>0</v>
      </c>
      <c r="L992" s="52">
        <f>基础表!L903</f>
        <v>0</v>
      </c>
      <c r="M992" s="52">
        <f>基础表!M903</f>
        <v>0</v>
      </c>
      <c r="N992" s="52">
        <f>基础表!N903</f>
        <v>0</v>
      </c>
      <c r="O992" s="52">
        <f ca="1">SUM(OFFSET($C992,0,0,1,mth))</f>
        <v>346.9</v>
      </c>
    </row>
    <row r="993" s="38" customFormat="1" ht="15" customHeight="1" spans="1:17">
      <c r="A993" s="48" t="s">
        <v>232</v>
      </c>
      <c r="B993" s="60" t="s">
        <v>123</v>
      </c>
      <c r="C993" s="367">
        <f>基础表!C904</f>
        <v>201427.44</v>
      </c>
      <c r="D993" s="367">
        <f>基础表!D904</f>
        <v>74689.07</v>
      </c>
      <c r="E993" s="367">
        <f>基础表!E904</f>
        <v>350873.36</v>
      </c>
      <c r="F993" s="367">
        <f>基础表!F904</f>
        <v>676157.84</v>
      </c>
      <c r="G993" s="367">
        <f>基础表!G904</f>
        <v>464901.03</v>
      </c>
      <c r="H993" s="367">
        <f>基础表!H904</f>
        <v>213964.97</v>
      </c>
      <c r="I993" s="367">
        <f>基础表!I904</f>
        <v>0</v>
      </c>
      <c r="J993" s="367">
        <f>基础表!J904</f>
        <v>0</v>
      </c>
      <c r="K993" s="367">
        <f>基础表!K904</f>
        <v>0</v>
      </c>
      <c r="L993" s="367">
        <f>基础表!L904</f>
        <v>0</v>
      </c>
      <c r="M993" s="367">
        <f>基础表!M904</f>
        <v>0</v>
      </c>
      <c r="N993" s="367">
        <f>基础表!N904</f>
        <v>0</v>
      </c>
      <c r="O993" s="367">
        <f ca="1">SUM(OFFSET($C993,0,0,1,mth))</f>
        <v>1982013.71</v>
      </c>
    </row>
    <row r="994" s="38" customFormat="1" ht="15" customHeight="1" spans="1:17">
      <c r="A994" s="46" t="s">
        <v>352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="38" customFormat="1" ht="15" customHeight="1" spans="1:17">
      <c r="A995" s="48" t="s">
        <v>308</v>
      </c>
      <c r="B995" s="230" t="s">
        <v>77</v>
      </c>
      <c r="C995" s="48" t="s">
        <v>220</v>
      </c>
      <c r="D995" s="107" t="s">
        <v>221</v>
      </c>
      <c r="E995" s="107" t="s">
        <v>222</v>
      </c>
      <c r="F995" s="107" t="s">
        <v>223</v>
      </c>
      <c r="G995" s="107" t="s">
        <v>224</v>
      </c>
      <c r="H995" s="107" t="s">
        <v>225</v>
      </c>
      <c r="I995" s="107" t="s">
        <v>226</v>
      </c>
      <c r="J995" s="107" t="s">
        <v>227</v>
      </c>
      <c r="K995" s="107" t="s">
        <v>228</v>
      </c>
      <c r="L995" s="107" t="s">
        <v>229</v>
      </c>
      <c r="M995" s="107" t="s">
        <v>230</v>
      </c>
      <c r="N995" s="107" t="s">
        <v>231</v>
      </c>
      <c r="O995" s="48" t="str">
        <f>CONCATENATE("1-"&amp;mth&amp;"月累计")</f>
        <v>1-8月累计</v>
      </c>
      <c r="Q995" s="68"/>
    </row>
    <row r="996" s="38" customFormat="1" ht="15" customHeight="1" spans="1:17">
      <c r="A996" s="307" t="s">
        <v>178</v>
      </c>
      <c r="B996" s="50" t="s">
        <v>123</v>
      </c>
      <c r="C996" s="52">
        <f>基础表!C907</f>
        <v>0</v>
      </c>
      <c r="D996" s="52">
        <f>基础表!D907</f>
        <v>0</v>
      </c>
      <c r="E996" s="52">
        <f>基础表!E907</f>
        <v>0</v>
      </c>
      <c r="F996" s="52">
        <f>基础表!F907</f>
        <v>0</v>
      </c>
      <c r="G996" s="52">
        <f>基础表!G907</f>
        <v>0</v>
      </c>
      <c r="H996" s="52">
        <f>基础表!H907</f>
        <v>0</v>
      </c>
      <c r="I996" s="52">
        <f>基础表!I907</f>
        <v>0</v>
      </c>
      <c r="J996" s="52">
        <f>基础表!J907</f>
        <v>0</v>
      </c>
      <c r="K996" s="52">
        <f>基础表!K907</f>
        <v>0</v>
      </c>
      <c r="L996" s="52">
        <f>基础表!L907</f>
        <v>0</v>
      </c>
      <c r="M996" s="52">
        <f>基础表!M907</f>
        <v>0</v>
      </c>
      <c r="N996" s="52">
        <f>基础表!N907</f>
        <v>0</v>
      </c>
      <c r="O996" s="52">
        <f ca="1" t="shared" ref="O996:O1023" si="323">SUM(OFFSET($C996,0,0,1,mth))</f>
        <v>0</v>
      </c>
      <c r="P996" s="71"/>
      <c r="Q996" s="68"/>
    </row>
    <row r="997" s="38" customFormat="1" ht="15" customHeight="1" spans="1:17">
      <c r="A997" s="307" t="s">
        <v>179</v>
      </c>
      <c r="B997" s="50" t="s">
        <v>123</v>
      </c>
      <c r="C997" s="52">
        <f>基础表!C908</f>
        <v>0</v>
      </c>
      <c r="D997" s="52">
        <f>基础表!D908</f>
        <v>345.04</v>
      </c>
      <c r="E997" s="52">
        <f>基础表!E908</f>
        <v>135.55</v>
      </c>
      <c r="F997" s="52">
        <f>基础表!F908</f>
        <v>1103.21</v>
      </c>
      <c r="G997" s="52">
        <f>基础表!G908</f>
        <v>1895.65</v>
      </c>
      <c r="H997" s="52">
        <f>基础表!H908</f>
        <v>633.45</v>
      </c>
      <c r="I997" s="52">
        <f>基础表!I908</f>
        <v>0</v>
      </c>
      <c r="J997" s="52">
        <f>基础表!J908</f>
        <v>0</v>
      </c>
      <c r="K997" s="52">
        <f>基础表!K908</f>
        <v>0</v>
      </c>
      <c r="L997" s="52">
        <f>基础表!L908</f>
        <v>0</v>
      </c>
      <c r="M997" s="52">
        <f>基础表!M908</f>
        <v>0</v>
      </c>
      <c r="N997" s="52">
        <f>基础表!N908</f>
        <v>0</v>
      </c>
      <c r="O997" s="52">
        <f ca="1" t="shared" si="323"/>
        <v>4112.9</v>
      </c>
      <c r="P997" s="71"/>
    </row>
    <row r="998" s="38" customFormat="1" ht="15" customHeight="1" spans="1:17">
      <c r="A998" s="307" t="s">
        <v>180</v>
      </c>
      <c r="B998" s="50" t="s">
        <v>123</v>
      </c>
      <c r="C998" s="52">
        <f>基础表!C909</f>
        <v>0</v>
      </c>
      <c r="D998" s="52">
        <f>基础表!D909</f>
        <v>0</v>
      </c>
      <c r="E998" s="52">
        <f>基础表!E909</f>
        <v>0</v>
      </c>
      <c r="F998" s="52">
        <f>基础表!F909</f>
        <v>0</v>
      </c>
      <c r="G998" s="52">
        <f>基础表!G909</f>
        <v>0</v>
      </c>
      <c r="H998" s="52">
        <f>基础表!H909</f>
        <v>0</v>
      </c>
      <c r="I998" s="52">
        <f>基础表!I909</f>
        <v>0</v>
      </c>
      <c r="J998" s="52">
        <f>基础表!J909</f>
        <v>0</v>
      </c>
      <c r="K998" s="52">
        <f>基础表!K909</f>
        <v>0</v>
      </c>
      <c r="L998" s="52">
        <f>基础表!L909</f>
        <v>0</v>
      </c>
      <c r="M998" s="52">
        <f>基础表!M909</f>
        <v>0</v>
      </c>
      <c r="N998" s="52">
        <f>基础表!N909</f>
        <v>0</v>
      </c>
      <c r="O998" s="52">
        <f ca="1" t="shared" si="323"/>
        <v>0</v>
      </c>
      <c r="P998" s="71"/>
    </row>
    <row r="999" s="38" customFormat="1" ht="15" customHeight="1" spans="1:17">
      <c r="A999" s="307" t="s">
        <v>181</v>
      </c>
      <c r="B999" s="50" t="s">
        <v>123</v>
      </c>
      <c r="C999" s="52">
        <f>基础表!C910</f>
        <v>0</v>
      </c>
      <c r="D999" s="52">
        <f>基础表!D910</f>
        <v>23826.07</v>
      </c>
      <c r="E999" s="52">
        <f>基础表!E910</f>
        <v>0</v>
      </c>
      <c r="F999" s="52">
        <f>基础表!F910</f>
        <v>23811.32</v>
      </c>
      <c r="G999" s="52">
        <f>基础表!G910</f>
        <v>49285.25</v>
      </c>
      <c r="H999" s="52">
        <f>基础表!H910</f>
        <v>19350.88</v>
      </c>
      <c r="I999" s="52">
        <f>基础表!I910</f>
        <v>0</v>
      </c>
      <c r="J999" s="52">
        <f>基础表!J910</f>
        <v>0</v>
      </c>
      <c r="K999" s="52">
        <f>基础表!K910</f>
        <v>0</v>
      </c>
      <c r="L999" s="52">
        <f>基础表!L910</f>
        <v>0</v>
      </c>
      <c r="M999" s="52">
        <f>基础表!M910</f>
        <v>0</v>
      </c>
      <c r="N999" s="52">
        <f>基础表!N910</f>
        <v>0</v>
      </c>
      <c r="O999" s="52">
        <f ca="1" t="shared" si="323"/>
        <v>116273.52</v>
      </c>
      <c r="P999" s="71"/>
    </row>
    <row r="1000" s="38" customFormat="1" ht="15" customHeight="1" spans="1:17">
      <c r="A1000" s="307" t="s">
        <v>182</v>
      </c>
      <c r="B1000" s="50" t="s">
        <v>123</v>
      </c>
      <c r="C1000" s="52">
        <f>基础表!C911</f>
        <v>27647.14</v>
      </c>
      <c r="D1000" s="52">
        <f>基础表!D911</f>
        <v>40759.38</v>
      </c>
      <c r="E1000" s="52">
        <f>基础表!E911</f>
        <v>4375.13</v>
      </c>
      <c r="F1000" s="52">
        <f>基础表!F911</f>
        <v>59185.02</v>
      </c>
      <c r="G1000" s="52">
        <f>基础表!G911</f>
        <v>118391.34</v>
      </c>
      <c r="H1000" s="52">
        <f>基础表!H911</f>
        <v>67288.87</v>
      </c>
      <c r="I1000" s="52">
        <f>基础表!I911</f>
        <v>0</v>
      </c>
      <c r="J1000" s="52">
        <f>基础表!J911</f>
        <v>0</v>
      </c>
      <c r="K1000" s="52">
        <f>基础表!K911</f>
        <v>0</v>
      </c>
      <c r="L1000" s="52">
        <f>基础表!L911</f>
        <v>0</v>
      </c>
      <c r="M1000" s="52">
        <f>基础表!M911</f>
        <v>0</v>
      </c>
      <c r="N1000" s="52">
        <f>基础表!N911</f>
        <v>0</v>
      </c>
      <c r="O1000" s="52">
        <f ca="1" t="shared" si="323"/>
        <v>317646.88</v>
      </c>
      <c r="P1000" s="71"/>
    </row>
    <row r="1001" s="38" customFormat="1" ht="15" customHeight="1" spans="1:17">
      <c r="A1001" s="307" t="s">
        <v>183</v>
      </c>
      <c r="B1001" s="50" t="s">
        <v>123</v>
      </c>
      <c r="C1001" s="52">
        <f>基础表!C912</f>
        <v>31649.9</v>
      </c>
      <c r="D1001" s="52">
        <f>基础表!D912</f>
        <v>18099.31</v>
      </c>
      <c r="E1001" s="52">
        <f>基础表!E912</f>
        <v>0</v>
      </c>
      <c r="F1001" s="52">
        <f>基础表!F912</f>
        <v>30165.53</v>
      </c>
      <c r="G1001" s="52">
        <f>基础表!G912</f>
        <v>30876.71</v>
      </c>
      <c r="H1001" s="52">
        <f>基础表!H912</f>
        <v>40998.21</v>
      </c>
      <c r="I1001" s="52">
        <f>基础表!I912</f>
        <v>0</v>
      </c>
      <c r="J1001" s="52">
        <f>基础表!J912</f>
        <v>0</v>
      </c>
      <c r="K1001" s="52">
        <f>基础表!K912</f>
        <v>0</v>
      </c>
      <c r="L1001" s="52">
        <f>基础表!L912</f>
        <v>0</v>
      </c>
      <c r="M1001" s="52">
        <f>基础表!M912</f>
        <v>0</v>
      </c>
      <c r="N1001" s="52">
        <f>基础表!N912</f>
        <v>0</v>
      </c>
      <c r="O1001" s="52">
        <f ca="1" t="shared" si="323"/>
        <v>151789.66</v>
      </c>
      <c r="P1001" s="71"/>
    </row>
    <row r="1002" s="38" customFormat="1" ht="15" customHeight="1" spans="1:17">
      <c r="A1002" s="307" t="s">
        <v>184</v>
      </c>
      <c r="B1002" s="50" t="s">
        <v>123</v>
      </c>
      <c r="C1002" s="52">
        <f>基础表!C913</f>
        <v>3210.48</v>
      </c>
      <c r="D1002" s="52">
        <f>基础表!D913</f>
        <v>1925.86000000001</v>
      </c>
      <c r="E1002" s="52">
        <f>基础表!E913</f>
        <v>0</v>
      </c>
      <c r="F1002" s="52">
        <f>基础表!F913</f>
        <v>2974.07000000001</v>
      </c>
      <c r="G1002" s="52">
        <f>基础表!G913</f>
        <v>3252.23999999999</v>
      </c>
      <c r="H1002" s="52">
        <f>基础表!H913</f>
        <v>4537.67</v>
      </c>
      <c r="I1002" s="52">
        <f>基础表!I913</f>
        <v>0</v>
      </c>
      <c r="J1002" s="52">
        <f>基础表!J913</f>
        <v>0</v>
      </c>
      <c r="K1002" s="52">
        <f>基础表!K913</f>
        <v>0</v>
      </c>
      <c r="L1002" s="52">
        <f>基础表!L913</f>
        <v>0</v>
      </c>
      <c r="M1002" s="52">
        <f>基础表!M913</f>
        <v>0</v>
      </c>
      <c r="N1002" s="52">
        <f>基础表!N913</f>
        <v>0</v>
      </c>
      <c r="O1002" s="52">
        <f ca="1" t="shared" si="323"/>
        <v>15900.32</v>
      </c>
      <c r="P1002" s="71"/>
    </row>
    <row r="1003" s="38" customFormat="1" ht="18" customHeight="1" spans="1:17">
      <c r="A1003" s="307" t="s">
        <v>185</v>
      </c>
      <c r="B1003" s="50" t="s">
        <v>123</v>
      </c>
      <c r="C1003" s="52">
        <f>基础表!C914</f>
        <v>344.06</v>
      </c>
      <c r="D1003" s="52">
        <f>基础表!D914</f>
        <v>332.19</v>
      </c>
      <c r="E1003" s="52">
        <f>基础表!E914</f>
        <v>0</v>
      </c>
      <c r="F1003" s="52">
        <f>基础表!F914</f>
        <v>513.71</v>
      </c>
      <c r="G1003" s="52">
        <f>基础表!G914</f>
        <v>563.18</v>
      </c>
      <c r="H1003" s="52">
        <f>基础表!H914</f>
        <v>617.25</v>
      </c>
      <c r="I1003" s="52">
        <f>基础表!I914</f>
        <v>0</v>
      </c>
      <c r="J1003" s="52">
        <f>基础表!J914</f>
        <v>0</v>
      </c>
      <c r="K1003" s="52">
        <f>基础表!K914</f>
        <v>0</v>
      </c>
      <c r="L1003" s="52">
        <f>基础表!L914</f>
        <v>0</v>
      </c>
      <c r="M1003" s="52">
        <f>基础表!M914</f>
        <v>0</v>
      </c>
      <c r="N1003" s="52">
        <f>基础表!N914</f>
        <v>0</v>
      </c>
      <c r="O1003" s="52">
        <f ca="1" t="shared" si="323"/>
        <v>2370.39</v>
      </c>
      <c r="P1003" s="71"/>
    </row>
    <row r="1004" s="38" customFormat="1" ht="18" customHeight="1" spans="1:17">
      <c r="A1004" s="307" t="s">
        <v>186</v>
      </c>
      <c r="B1004" s="50" t="s">
        <v>123</v>
      </c>
      <c r="C1004" s="52">
        <f>基础表!C915</f>
        <v>227.41</v>
      </c>
      <c r="D1004" s="52">
        <f>基础表!D915</f>
        <v>795.86</v>
      </c>
      <c r="E1004" s="52">
        <f>基础表!E915</f>
        <v>344.170000000001</v>
      </c>
      <c r="F1004" s="52">
        <f>基础表!F915</f>
        <v>707.009999999999</v>
      </c>
      <c r="G1004" s="52">
        <f>基础表!G915</f>
        <v>1947.29</v>
      </c>
      <c r="H1004" s="52">
        <f>基础表!H915</f>
        <v>1571.36</v>
      </c>
      <c r="I1004" s="52">
        <f>基础表!I915</f>
        <v>0</v>
      </c>
      <c r="J1004" s="52">
        <f>基础表!J915</f>
        <v>0</v>
      </c>
      <c r="K1004" s="52">
        <f>基础表!K915</f>
        <v>0</v>
      </c>
      <c r="L1004" s="52">
        <f>基础表!L915</f>
        <v>0</v>
      </c>
      <c r="M1004" s="52">
        <f>基础表!M915</f>
        <v>0</v>
      </c>
      <c r="N1004" s="52">
        <f>基础表!N915</f>
        <v>0</v>
      </c>
      <c r="O1004" s="52">
        <f ca="1" t="shared" si="323"/>
        <v>5593.1</v>
      </c>
      <c r="P1004" s="71"/>
    </row>
    <row r="1005" s="38" customFormat="1" ht="18" customHeight="1" spans="1:17">
      <c r="A1005" s="307" t="s">
        <v>187</v>
      </c>
      <c r="B1005" s="50" t="s">
        <v>123</v>
      </c>
      <c r="C1005" s="52">
        <f>基础表!C916</f>
        <v>0</v>
      </c>
      <c r="D1005" s="52">
        <f>基础表!D916</f>
        <v>0</v>
      </c>
      <c r="E1005" s="52">
        <f>基础表!E916</f>
        <v>0</v>
      </c>
      <c r="F1005" s="52">
        <f>基础表!F916</f>
        <v>0</v>
      </c>
      <c r="G1005" s="52">
        <f>基础表!G916</f>
        <v>0</v>
      </c>
      <c r="H1005" s="52">
        <f>基础表!H916</f>
        <v>0</v>
      </c>
      <c r="I1005" s="52">
        <f>基础表!I916</f>
        <v>0</v>
      </c>
      <c r="J1005" s="52">
        <f>基础表!J916</f>
        <v>0</v>
      </c>
      <c r="K1005" s="52">
        <f>基础表!K916</f>
        <v>0</v>
      </c>
      <c r="L1005" s="52">
        <f>基础表!L916</f>
        <v>0</v>
      </c>
      <c r="M1005" s="52">
        <f>基础表!M916</f>
        <v>0</v>
      </c>
      <c r="N1005" s="52">
        <f>基础表!N916</f>
        <v>0</v>
      </c>
      <c r="O1005" s="52">
        <f ca="1" t="shared" si="323"/>
        <v>0</v>
      </c>
      <c r="P1005" s="71"/>
    </row>
    <row r="1006" s="38" customFormat="1" ht="18" customHeight="1" spans="1:17">
      <c r="A1006" s="307" t="s">
        <v>188</v>
      </c>
      <c r="B1006" s="50"/>
      <c r="C1006" s="52">
        <f>基础表!C917</f>
        <v>3237.17</v>
      </c>
      <c r="D1006" s="52">
        <f>基础表!D917</f>
        <v>3758.4</v>
      </c>
      <c r="E1006" s="52">
        <f>基础表!E917</f>
        <v>41.16</v>
      </c>
      <c r="F1006" s="52">
        <f>基础表!F917</f>
        <v>315.489999999999</v>
      </c>
      <c r="G1006" s="52">
        <f>基础表!G917</f>
        <v>1097.34</v>
      </c>
      <c r="H1006" s="52">
        <f>基础表!H917</f>
        <v>987.61</v>
      </c>
      <c r="I1006" s="52">
        <f>基础表!I917</f>
        <v>0</v>
      </c>
      <c r="J1006" s="52">
        <f>基础表!J917</f>
        <v>0</v>
      </c>
      <c r="K1006" s="52">
        <f>基础表!K917</f>
        <v>0</v>
      </c>
      <c r="L1006" s="52">
        <f>基础表!L917</f>
        <v>0</v>
      </c>
      <c r="M1006" s="52">
        <f>基础表!M917</f>
        <v>0</v>
      </c>
      <c r="N1006" s="52">
        <f>基础表!N917</f>
        <v>0</v>
      </c>
      <c r="O1006" s="52">
        <f ca="1" t="shared" si="323"/>
        <v>9437.17</v>
      </c>
      <c r="P1006" s="71"/>
    </row>
    <row r="1007" s="38" customFormat="1" ht="18" customHeight="1" spans="1:17">
      <c r="A1007" s="307" t="s">
        <v>189</v>
      </c>
      <c r="B1007" s="50"/>
      <c r="C1007" s="52">
        <f>基础表!C918</f>
        <v>0</v>
      </c>
      <c r="D1007" s="52">
        <f>基础表!D918</f>
        <v>0</v>
      </c>
      <c r="E1007" s="52">
        <f>基础表!E918</f>
        <v>0</v>
      </c>
      <c r="F1007" s="52">
        <f>基础表!F918</f>
        <v>274</v>
      </c>
      <c r="G1007" s="52">
        <f>基础表!G918</f>
        <v>821.43</v>
      </c>
      <c r="H1007" s="52">
        <f>基础表!H918</f>
        <v>242.61</v>
      </c>
      <c r="I1007" s="52">
        <f>基础表!I918</f>
        <v>0</v>
      </c>
      <c r="J1007" s="52">
        <f>基础表!J918</f>
        <v>0</v>
      </c>
      <c r="K1007" s="52">
        <f>基础表!K918</f>
        <v>0</v>
      </c>
      <c r="L1007" s="52">
        <f>基础表!L918</f>
        <v>0</v>
      </c>
      <c r="M1007" s="52">
        <f>基础表!M918</f>
        <v>0</v>
      </c>
      <c r="N1007" s="52">
        <f>基础表!N918</f>
        <v>0</v>
      </c>
      <c r="O1007" s="52">
        <f ca="1" t="shared" si="323"/>
        <v>1338.04</v>
      </c>
      <c r="P1007" s="71"/>
    </row>
    <row r="1008" s="38" customFormat="1" ht="18" customHeight="1" spans="1:17">
      <c r="A1008" s="307" t="s">
        <v>190</v>
      </c>
      <c r="B1008" s="50"/>
      <c r="C1008" s="52">
        <f>基础表!C919</f>
        <v>0</v>
      </c>
      <c r="D1008" s="52">
        <f>基础表!D919</f>
        <v>0</v>
      </c>
      <c r="E1008" s="52">
        <f>基础表!E919</f>
        <v>0</v>
      </c>
      <c r="F1008" s="52">
        <f>基础表!F919</f>
        <v>0</v>
      </c>
      <c r="G1008" s="52">
        <f>基础表!G919</f>
        <v>4062.18999999999</v>
      </c>
      <c r="H1008" s="52">
        <f>基础表!H919</f>
        <v>2150.2</v>
      </c>
      <c r="I1008" s="52">
        <f>基础表!I919</f>
        <v>0</v>
      </c>
      <c r="J1008" s="52">
        <f>基础表!J919</f>
        <v>0</v>
      </c>
      <c r="K1008" s="52">
        <f>基础表!K919</f>
        <v>0</v>
      </c>
      <c r="L1008" s="52">
        <f>基础表!L919</f>
        <v>0</v>
      </c>
      <c r="M1008" s="52">
        <f>基础表!M919</f>
        <v>0</v>
      </c>
      <c r="N1008" s="52">
        <f>基础表!N919</f>
        <v>0</v>
      </c>
      <c r="O1008" s="52">
        <f ca="1" t="shared" si="323"/>
        <v>6212.38999999999</v>
      </c>
      <c r="P1008" s="71"/>
    </row>
    <row r="1009" s="38" customFormat="1" ht="15" customHeight="1" spans="1:17">
      <c r="A1009" s="307" t="s">
        <v>191</v>
      </c>
      <c r="B1009" s="50" t="s">
        <v>123</v>
      </c>
      <c r="C1009" s="52">
        <f>基础表!C920</f>
        <v>0</v>
      </c>
      <c r="D1009" s="52">
        <f>基础表!D920</f>
        <v>42044.46</v>
      </c>
      <c r="E1009" s="52">
        <f>基础表!E920</f>
        <v>64395.0599999999</v>
      </c>
      <c r="F1009" s="52">
        <f>基础表!F920</f>
        <v>129881.42</v>
      </c>
      <c r="G1009" s="52">
        <f>基础表!G920</f>
        <v>188450.07</v>
      </c>
      <c r="H1009" s="52">
        <f>基础表!H920</f>
        <v>242083.69</v>
      </c>
      <c r="I1009" s="52">
        <f>基础表!I920</f>
        <v>0</v>
      </c>
      <c r="J1009" s="52">
        <f>基础表!J920</f>
        <v>0</v>
      </c>
      <c r="K1009" s="52">
        <f>基础表!K920</f>
        <v>0</v>
      </c>
      <c r="L1009" s="52">
        <f>基础表!L920</f>
        <v>0</v>
      </c>
      <c r="M1009" s="52">
        <f>基础表!M920</f>
        <v>0</v>
      </c>
      <c r="N1009" s="52">
        <f>基础表!N920</f>
        <v>0</v>
      </c>
      <c r="O1009" s="52">
        <f ca="1" t="shared" si="323"/>
        <v>666854.7</v>
      </c>
      <c r="P1009" s="71"/>
    </row>
    <row r="1010" s="38" customFormat="1" ht="15" customHeight="1" spans="1:17">
      <c r="A1010" s="307" t="s">
        <v>192</v>
      </c>
      <c r="B1010" s="50" t="s">
        <v>123</v>
      </c>
      <c r="C1010" s="52">
        <f>基础表!C921</f>
        <v>0</v>
      </c>
      <c r="D1010" s="52">
        <f>基础表!D921</f>
        <v>6892.52</v>
      </c>
      <c r="E1010" s="52">
        <f>基础表!E921</f>
        <v>0</v>
      </c>
      <c r="F1010" s="52">
        <f>基础表!F921</f>
        <v>8941.63</v>
      </c>
      <c r="G1010" s="52">
        <f>基础表!G921</f>
        <v>15081.57</v>
      </c>
      <c r="H1010" s="52">
        <f>基础表!H921</f>
        <v>8508.91</v>
      </c>
      <c r="I1010" s="52">
        <f>基础表!I921</f>
        <v>0</v>
      </c>
      <c r="J1010" s="52">
        <f>基础表!J921</f>
        <v>0</v>
      </c>
      <c r="K1010" s="52">
        <f>基础表!K921</f>
        <v>0</v>
      </c>
      <c r="L1010" s="52">
        <f>基础表!L921</f>
        <v>0</v>
      </c>
      <c r="M1010" s="52">
        <f>基础表!M921</f>
        <v>0</v>
      </c>
      <c r="N1010" s="52">
        <f>基础表!N921</f>
        <v>0</v>
      </c>
      <c r="O1010" s="52">
        <f ca="1" t="shared" si="323"/>
        <v>39424.63</v>
      </c>
      <c r="P1010" s="71"/>
      <c r="Q1010" s="68"/>
    </row>
    <row r="1011" s="38" customFormat="1" ht="15" customHeight="1" spans="1:17">
      <c r="A1011" s="307" t="s">
        <v>193</v>
      </c>
      <c r="B1011" s="50" t="s">
        <v>123</v>
      </c>
      <c r="C1011" s="52">
        <f>基础表!C922</f>
        <v>0</v>
      </c>
      <c r="D1011" s="52">
        <f>基础表!D922</f>
        <v>0</v>
      </c>
      <c r="E1011" s="52">
        <f>基础表!E922</f>
        <v>0</v>
      </c>
      <c r="F1011" s="52">
        <f>基础表!F922</f>
        <v>0</v>
      </c>
      <c r="G1011" s="52">
        <f>基础表!G922</f>
        <v>0</v>
      </c>
      <c r="H1011" s="52">
        <f>基础表!H922</f>
        <v>0</v>
      </c>
      <c r="I1011" s="52">
        <f>基础表!I922</f>
        <v>0</v>
      </c>
      <c r="J1011" s="52">
        <f>基础表!J922</f>
        <v>0</v>
      </c>
      <c r="K1011" s="52">
        <f>基础表!K922</f>
        <v>0</v>
      </c>
      <c r="L1011" s="52">
        <f>基础表!L922</f>
        <v>0</v>
      </c>
      <c r="M1011" s="52">
        <f>基础表!M922</f>
        <v>0</v>
      </c>
      <c r="N1011" s="52">
        <f>基础表!N922</f>
        <v>0</v>
      </c>
      <c r="O1011" s="52">
        <f ca="1" t="shared" si="323"/>
        <v>0</v>
      </c>
      <c r="P1011" s="71"/>
    </row>
    <row r="1012" s="38" customFormat="1" ht="15" customHeight="1" spans="1:17">
      <c r="A1012" s="307" t="s">
        <v>194</v>
      </c>
      <c r="B1012" s="50" t="s">
        <v>123</v>
      </c>
      <c r="C1012" s="52">
        <f>基础表!C923</f>
        <v>2556.57</v>
      </c>
      <c r="D1012" s="52">
        <f>基础表!D923</f>
        <v>0</v>
      </c>
      <c r="E1012" s="52">
        <f>基础表!E923</f>
        <v>0</v>
      </c>
      <c r="F1012" s="52">
        <f>基础表!F923</f>
        <v>0</v>
      </c>
      <c r="G1012" s="52">
        <f>基础表!G923</f>
        <v>0</v>
      </c>
      <c r="H1012" s="52">
        <f>基础表!H923</f>
        <v>0</v>
      </c>
      <c r="I1012" s="52">
        <f>基础表!I923</f>
        <v>0</v>
      </c>
      <c r="J1012" s="52">
        <f>基础表!J923</f>
        <v>0</v>
      </c>
      <c r="K1012" s="52">
        <f>基础表!K923</f>
        <v>0</v>
      </c>
      <c r="L1012" s="52">
        <f>基础表!L923</f>
        <v>0</v>
      </c>
      <c r="M1012" s="52">
        <f>基础表!M923</f>
        <v>0</v>
      </c>
      <c r="N1012" s="52">
        <f>基础表!N923</f>
        <v>0</v>
      </c>
      <c r="O1012" s="52">
        <f ca="1" t="shared" si="323"/>
        <v>2556.57</v>
      </c>
      <c r="P1012" s="71"/>
    </row>
    <row r="1013" s="38" customFormat="1" ht="15" customHeight="1" spans="1:17">
      <c r="A1013" s="307" t="s">
        <v>195</v>
      </c>
      <c r="B1013" s="50" t="s">
        <v>123</v>
      </c>
      <c r="C1013" s="52">
        <f>基础表!C924</f>
        <v>0</v>
      </c>
      <c r="D1013" s="52">
        <f>基础表!D924</f>
        <v>0</v>
      </c>
      <c r="E1013" s="52">
        <f>基础表!E924</f>
        <v>0</v>
      </c>
      <c r="F1013" s="52">
        <f>基础表!F924</f>
        <v>441.63</v>
      </c>
      <c r="G1013" s="52">
        <f>基础表!G924</f>
        <v>1323.93</v>
      </c>
      <c r="H1013" s="52">
        <f>基础表!H924</f>
        <v>103.46</v>
      </c>
      <c r="I1013" s="52">
        <f>基础表!I924</f>
        <v>0</v>
      </c>
      <c r="J1013" s="52">
        <f>基础表!J924</f>
        <v>0</v>
      </c>
      <c r="K1013" s="52">
        <f>基础表!K924</f>
        <v>0</v>
      </c>
      <c r="L1013" s="52">
        <f>基础表!L924</f>
        <v>0</v>
      </c>
      <c r="M1013" s="52">
        <f>基础表!M924</f>
        <v>0</v>
      </c>
      <c r="N1013" s="52">
        <f>基础表!N924</f>
        <v>0</v>
      </c>
      <c r="O1013" s="52">
        <f ca="1" t="shared" si="323"/>
        <v>1869.02</v>
      </c>
      <c r="P1013" s="71"/>
    </row>
    <row r="1014" s="38" customFormat="1" ht="15" customHeight="1" spans="1:17">
      <c r="A1014" s="307" t="s">
        <v>196</v>
      </c>
      <c r="B1014" s="50" t="s">
        <v>123</v>
      </c>
      <c r="C1014" s="52">
        <f>基础表!C925</f>
        <v>0</v>
      </c>
      <c r="D1014" s="52">
        <f>基础表!D925</f>
        <v>0</v>
      </c>
      <c r="E1014" s="52">
        <f>基础表!E925</f>
        <v>0</v>
      </c>
      <c r="F1014" s="52">
        <f>基础表!F925</f>
        <v>0</v>
      </c>
      <c r="G1014" s="52">
        <f>基础表!G925</f>
        <v>0</v>
      </c>
      <c r="H1014" s="52">
        <f>基础表!H925</f>
        <v>0</v>
      </c>
      <c r="I1014" s="52">
        <f>基础表!I925</f>
        <v>0</v>
      </c>
      <c r="J1014" s="52">
        <f>基础表!J925</f>
        <v>0</v>
      </c>
      <c r="K1014" s="52">
        <f>基础表!K925</f>
        <v>0</v>
      </c>
      <c r="L1014" s="52">
        <f>基础表!L925</f>
        <v>0</v>
      </c>
      <c r="M1014" s="52">
        <f>基础表!M925</f>
        <v>0</v>
      </c>
      <c r="N1014" s="52">
        <f>基础表!N925</f>
        <v>0</v>
      </c>
      <c r="O1014" s="52">
        <f ca="1" t="shared" si="323"/>
        <v>0</v>
      </c>
      <c r="P1014" s="71"/>
    </row>
    <row r="1015" s="38" customFormat="1" ht="15" customHeight="1" spans="1:17">
      <c r="A1015" s="307" t="s">
        <v>197</v>
      </c>
      <c r="B1015" s="50" t="s">
        <v>123</v>
      </c>
      <c r="C1015" s="52">
        <f>基础表!C926</f>
        <v>0</v>
      </c>
      <c r="D1015" s="52">
        <f>基础表!D926</f>
        <v>0</v>
      </c>
      <c r="E1015" s="52">
        <f>基础表!E926</f>
        <v>0</v>
      </c>
      <c r="F1015" s="52">
        <f>基础表!F926</f>
        <v>0</v>
      </c>
      <c r="G1015" s="52">
        <f>基础表!G926</f>
        <v>0</v>
      </c>
      <c r="H1015" s="52">
        <f>基础表!H926</f>
        <v>0</v>
      </c>
      <c r="I1015" s="52">
        <f>基础表!I926</f>
        <v>0</v>
      </c>
      <c r="J1015" s="52">
        <f>基础表!J926</f>
        <v>0</v>
      </c>
      <c r="K1015" s="52">
        <f>基础表!K926</f>
        <v>0</v>
      </c>
      <c r="L1015" s="52">
        <f>基础表!L926</f>
        <v>0</v>
      </c>
      <c r="M1015" s="52">
        <f>基础表!M926</f>
        <v>0</v>
      </c>
      <c r="N1015" s="52">
        <f>基础表!N926</f>
        <v>0</v>
      </c>
      <c r="O1015" s="52">
        <f ca="1" t="shared" si="323"/>
        <v>0</v>
      </c>
      <c r="P1015" s="71"/>
    </row>
    <row r="1016" s="38" customFormat="1" ht="15" customHeight="1" spans="1:17">
      <c r="A1016" s="115" t="s">
        <v>198</v>
      </c>
      <c r="B1016" s="50" t="s">
        <v>123</v>
      </c>
      <c r="C1016" s="52">
        <f>基础表!C927</f>
        <v>0</v>
      </c>
      <c r="D1016" s="52">
        <f>基础表!D927</f>
        <v>1991.15</v>
      </c>
      <c r="E1016" s="52">
        <f>基础表!E927</f>
        <v>3111.42000000001</v>
      </c>
      <c r="F1016" s="52">
        <f>基础表!F927</f>
        <v>4037.83</v>
      </c>
      <c r="G1016" s="52">
        <f>基础表!G927</f>
        <v>15044.47</v>
      </c>
      <c r="H1016" s="52">
        <f>基础表!H927</f>
        <v>4939.1</v>
      </c>
      <c r="I1016" s="52">
        <f>基础表!I927</f>
        <v>0</v>
      </c>
      <c r="J1016" s="52">
        <f>基础表!J927</f>
        <v>0</v>
      </c>
      <c r="K1016" s="52">
        <f>基础表!K927</f>
        <v>0</v>
      </c>
      <c r="L1016" s="52">
        <f>基础表!L927</f>
        <v>0</v>
      </c>
      <c r="M1016" s="52">
        <f>基础表!M927</f>
        <v>0</v>
      </c>
      <c r="N1016" s="52">
        <f>基础表!N927</f>
        <v>0</v>
      </c>
      <c r="O1016" s="52">
        <f ca="1" t="shared" si="323"/>
        <v>29123.97</v>
      </c>
      <c r="P1016" s="71"/>
    </row>
    <row r="1017" s="38" customFormat="1" ht="18" customHeight="1" spans="1:17">
      <c r="A1017" s="307" t="s">
        <v>199</v>
      </c>
      <c r="B1017" s="50" t="s">
        <v>123</v>
      </c>
      <c r="C1017" s="52">
        <f>基础表!C928</f>
        <v>0</v>
      </c>
      <c r="D1017" s="52">
        <f>基础表!D928</f>
        <v>0</v>
      </c>
      <c r="E1017" s="52">
        <f>基础表!E928</f>
        <v>0</v>
      </c>
      <c r="F1017" s="52">
        <f>基础表!F928</f>
        <v>0</v>
      </c>
      <c r="G1017" s="52">
        <f>基础表!G928</f>
        <v>0</v>
      </c>
      <c r="H1017" s="52">
        <f>基础表!H928</f>
        <v>0</v>
      </c>
      <c r="I1017" s="52">
        <f>基础表!I928</f>
        <v>0</v>
      </c>
      <c r="J1017" s="52">
        <f>基础表!J928</f>
        <v>0</v>
      </c>
      <c r="K1017" s="52">
        <f>基础表!K928</f>
        <v>0</v>
      </c>
      <c r="L1017" s="52">
        <f>基础表!L928</f>
        <v>0</v>
      </c>
      <c r="M1017" s="52">
        <f>基础表!M928</f>
        <v>0</v>
      </c>
      <c r="N1017" s="52">
        <f>基础表!N928</f>
        <v>0</v>
      </c>
      <c r="O1017" s="52">
        <f ca="1" t="shared" si="323"/>
        <v>0</v>
      </c>
      <c r="P1017" s="71"/>
    </row>
    <row r="1018" s="38" customFormat="1" ht="18" customHeight="1" spans="1:17">
      <c r="A1018" s="115" t="s">
        <v>200</v>
      </c>
      <c r="B1018" s="50" t="s">
        <v>123</v>
      </c>
      <c r="C1018" s="52">
        <f>基础表!C929</f>
        <v>0</v>
      </c>
      <c r="D1018" s="52">
        <f>基础表!D929</f>
        <v>0</v>
      </c>
      <c r="E1018" s="52">
        <f>基础表!E929</f>
        <v>0</v>
      </c>
      <c r="F1018" s="52">
        <f>基础表!F929</f>
        <v>0</v>
      </c>
      <c r="G1018" s="52">
        <f>基础表!G929</f>
        <v>0</v>
      </c>
      <c r="H1018" s="52">
        <f>基础表!H929</f>
        <v>0</v>
      </c>
      <c r="I1018" s="52">
        <f>基础表!I929</f>
        <v>0</v>
      </c>
      <c r="J1018" s="52">
        <f>基础表!J929</f>
        <v>0</v>
      </c>
      <c r="K1018" s="52">
        <f>基础表!K929</f>
        <v>0</v>
      </c>
      <c r="L1018" s="52">
        <f>基础表!L929</f>
        <v>0</v>
      </c>
      <c r="M1018" s="52">
        <f>基础表!M929</f>
        <v>0</v>
      </c>
      <c r="N1018" s="52">
        <f>基础表!N929</f>
        <v>0</v>
      </c>
      <c r="O1018" s="52">
        <f ca="1" t="shared" si="323"/>
        <v>0</v>
      </c>
      <c r="P1018" s="132"/>
    </row>
    <row r="1019" s="38" customFormat="1" ht="18" customHeight="1" spans="1:17">
      <c r="A1019" s="115" t="s">
        <v>205</v>
      </c>
      <c r="B1019" s="50" t="s">
        <v>123</v>
      </c>
      <c r="C1019" s="52">
        <f>基础表!C930</f>
        <v>0</v>
      </c>
      <c r="D1019" s="52">
        <f>基础表!D930</f>
        <v>0</v>
      </c>
      <c r="E1019" s="52">
        <f>基础表!E930</f>
        <v>0</v>
      </c>
      <c r="F1019" s="52">
        <f>基础表!F930</f>
        <v>0</v>
      </c>
      <c r="G1019" s="52">
        <f>基础表!G930</f>
        <v>0</v>
      </c>
      <c r="H1019" s="52">
        <f>基础表!H930</f>
        <v>0</v>
      </c>
      <c r="I1019" s="52">
        <f>基础表!I930</f>
        <v>0</v>
      </c>
      <c r="J1019" s="52">
        <f>基础表!J930</f>
        <v>0</v>
      </c>
      <c r="K1019" s="52">
        <f>基础表!K930</f>
        <v>0</v>
      </c>
      <c r="L1019" s="52">
        <f>基础表!L930</f>
        <v>0</v>
      </c>
      <c r="M1019" s="52">
        <f>基础表!M930</f>
        <v>0</v>
      </c>
      <c r="N1019" s="52">
        <f>基础表!N930</f>
        <v>0</v>
      </c>
      <c r="O1019" s="52">
        <f ca="1" t="shared" si="323"/>
        <v>0</v>
      </c>
      <c r="P1019" s="68"/>
    </row>
    <row r="1020" s="38" customFormat="1" ht="18" customHeight="1" spans="1:17">
      <c r="A1020" s="115" t="s">
        <v>203</v>
      </c>
      <c r="B1020" s="50"/>
      <c r="C1020" s="52">
        <f>基础表!C931</f>
        <v>0</v>
      </c>
      <c r="D1020" s="52">
        <f>基础表!D931</f>
        <v>0</v>
      </c>
      <c r="E1020" s="52">
        <f>基础表!E931</f>
        <v>0</v>
      </c>
      <c r="F1020" s="52">
        <f>基础表!F931</f>
        <v>0</v>
      </c>
      <c r="G1020" s="52">
        <f>基础表!G931</f>
        <v>-22.9099999999999</v>
      </c>
      <c r="H1020" s="52">
        <f>基础表!H931</f>
        <v>22.91</v>
      </c>
      <c r="I1020" s="52">
        <f>基础表!I931</f>
        <v>0</v>
      </c>
      <c r="J1020" s="52">
        <f>基础表!J931</f>
        <v>0</v>
      </c>
      <c r="K1020" s="52">
        <f>基础表!K931</f>
        <v>0</v>
      </c>
      <c r="L1020" s="52">
        <f>基础表!L931</f>
        <v>0</v>
      </c>
      <c r="M1020" s="52">
        <f>基础表!M931</f>
        <v>0</v>
      </c>
      <c r="N1020" s="52">
        <f>基础表!N931</f>
        <v>0</v>
      </c>
      <c r="O1020" s="52">
        <f ca="1" t="shared" si="323"/>
        <v>9.9475983006414e-14</v>
      </c>
      <c r="P1020" s="68"/>
    </row>
    <row r="1021" s="38" customFormat="1" ht="18" customHeight="1" spans="1:17">
      <c r="A1021" s="115" t="s">
        <v>206</v>
      </c>
      <c r="B1021" s="50"/>
      <c r="C1021" s="52">
        <f>基础表!C932</f>
        <v>0</v>
      </c>
      <c r="D1021" s="52">
        <f>基础表!D932</f>
        <v>59249.77</v>
      </c>
      <c r="E1021" s="52">
        <f>基础表!E932</f>
        <v>0</v>
      </c>
      <c r="F1021" s="52">
        <f>基础表!F932</f>
        <v>0</v>
      </c>
      <c r="G1021" s="52">
        <f>基础表!G932</f>
        <v>26662.4</v>
      </c>
      <c r="H1021" s="52">
        <f>基础表!H932</f>
        <v>47399.83</v>
      </c>
      <c r="I1021" s="52">
        <f>基础表!I932</f>
        <v>0</v>
      </c>
      <c r="J1021" s="52">
        <f>基础表!J932</f>
        <v>0</v>
      </c>
      <c r="K1021" s="52">
        <f>基础表!K932</f>
        <v>0</v>
      </c>
      <c r="L1021" s="52">
        <f>基础表!L932</f>
        <v>0</v>
      </c>
      <c r="M1021" s="52">
        <f>基础表!M932</f>
        <v>0</v>
      </c>
      <c r="N1021" s="52">
        <f>基础表!N932</f>
        <v>0</v>
      </c>
      <c r="O1021" s="52">
        <f ca="1" t="shared" si="323"/>
        <v>133312</v>
      </c>
      <c r="P1021" s="68"/>
    </row>
    <row r="1022" s="38" customFormat="1" ht="18" customHeight="1" spans="1:17">
      <c r="A1022" s="115" t="str">
        <f>基础表!A933</f>
        <v>食品级六偏磷酸钠_通用_含量≥67%_通用</v>
      </c>
      <c r="B1022" s="50"/>
      <c r="C1022" s="52">
        <f>基础表!C933</f>
        <v>0</v>
      </c>
      <c r="D1022" s="52">
        <f>基础表!D933</f>
        <v>0</v>
      </c>
      <c r="E1022" s="52">
        <f>基础表!E933</f>
        <v>0</v>
      </c>
      <c r="F1022" s="52">
        <f>基础表!F933</f>
        <v>0</v>
      </c>
      <c r="G1022" s="52">
        <f>基础表!G933</f>
        <v>39.3199999999999</v>
      </c>
      <c r="H1022" s="52">
        <f>基础表!H933</f>
        <v>176.09</v>
      </c>
      <c r="I1022" s="52">
        <f>基础表!I933</f>
        <v>0</v>
      </c>
      <c r="J1022" s="52">
        <f>基础表!J933</f>
        <v>0</v>
      </c>
      <c r="K1022" s="52">
        <f>基础表!K933</f>
        <v>0</v>
      </c>
      <c r="L1022" s="52">
        <f>基础表!L933</f>
        <v>0</v>
      </c>
      <c r="M1022" s="52">
        <f>基础表!M933</f>
        <v>0</v>
      </c>
      <c r="N1022" s="52">
        <f>基础表!N933</f>
        <v>0</v>
      </c>
      <c r="O1022" s="52">
        <f ca="1" t="shared" si="323"/>
        <v>215.41</v>
      </c>
      <c r="P1022" s="68"/>
    </row>
    <row r="1023" s="38" customFormat="1" ht="15" customHeight="1" spans="1:17">
      <c r="A1023" s="115" t="str">
        <f>基础表!A934</f>
        <v>无水柠檬酸_细目</v>
      </c>
      <c r="B1023" s="50"/>
      <c r="C1023" s="52">
        <f>基础表!C934</f>
        <v>38.1</v>
      </c>
      <c r="D1023" s="52">
        <f>基础表!D934</f>
        <v>1605.53</v>
      </c>
      <c r="E1023" s="52">
        <f>基础表!E934</f>
        <v>598.67</v>
      </c>
      <c r="F1023" s="52">
        <f>基础表!F934</f>
        <v>5627.52</v>
      </c>
      <c r="G1023" s="52">
        <f>基础表!G934</f>
        <v>8354.2</v>
      </c>
      <c r="H1023" s="52">
        <f>基础表!H934</f>
        <v>2830.1</v>
      </c>
      <c r="I1023" s="52">
        <f>基础表!I934</f>
        <v>0</v>
      </c>
      <c r="J1023" s="52">
        <f>基础表!J934</f>
        <v>0</v>
      </c>
      <c r="K1023" s="52">
        <f>基础表!K934</f>
        <v>0</v>
      </c>
      <c r="L1023" s="52">
        <f>基础表!L934</f>
        <v>0</v>
      </c>
      <c r="M1023" s="52">
        <f>基础表!M934</f>
        <v>0</v>
      </c>
      <c r="N1023" s="52">
        <f>基础表!N934</f>
        <v>0</v>
      </c>
      <c r="O1023" s="52">
        <f ca="1" t="shared" si="323"/>
        <v>19054.12</v>
      </c>
    </row>
    <row r="1024" s="38" customFormat="1" ht="15" customHeight="1" spans="1:17">
      <c r="A1024" s="48" t="s">
        <v>232</v>
      </c>
      <c r="B1024" s="60" t="s">
        <v>123</v>
      </c>
      <c r="C1024" s="367">
        <f>基础表!C936</f>
        <v>68910.83</v>
      </c>
      <c r="D1024" s="367">
        <f>基础表!D936</f>
        <v>201625.54</v>
      </c>
      <c r="E1024" s="367">
        <f>基础表!E936</f>
        <v>73001.16</v>
      </c>
      <c r="F1024" s="367">
        <f>基础表!F936</f>
        <v>267979.39</v>
      </c>
      <c r="G1024" s="367">
        <f>基础表!G936</f>
        <v>468468.8</v>
      </c>
      <c r="H1024" s="367">
        <f>基础表!H936</f>
        <v>449036.98</v>
      </c>
      <c r="I1024" s="367">
        <f>基础表!I936</f>
        <v>0</v>
      </c>
      <c r="J1024" s="367">
        <f>基础表!J936</f>
        <v>0</v>
      </c>
      <c r="K1024" s="367">
        <f>基础表!K936</f>
        <v>0</v>
      </c>
      <c r="L1024" s="367">
        <f>基础表!L936</f>
        <v>0</v>
      </c>
      <c r="M1024" s="367">
        <f>基础表!M936</f>
        <v>0</v>
      </c>
      <c r="N1024" s="367">
        <f>基础表!N936</f>
        <v>0</v>
      </c>
      <c r="O1024" s="367">
        <f ca="1">SUM(OFFSET($C1024,0,0,1,mth))</f>
        <v>1529022.7</v>
      </c>
    </row>
    <row r="1025" s="38" customFormat="1" ht="15" customHeight="1" spans="1:16">
      <c r="A1025" s="227" t="s">
        <v>353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="38" customFormat="1" ht="15" customHeight="1" spans="1:16">
      <c r="A1026" s="48" t="s">
        <v>354</v>
      </c>
      <c r="B1026" s="230" t="s">
        <v>77</v>
      </c>
      <c r="C1026" s="48" t="s">
        <v>220</v>
      </c>
      <c r="D1026" s="48" t="s">
        <v>221</v>
      </c>
      <c r="E1026" s="48" t="s">
        <v>222</v>
      </c>
      <c r="F1026" s="48" t="s">
        <v>223</v>
      </c>
      <c r="G1026" s="48" t="s">
        <v>224</v>
      </c>
      <c r="H1026" s="48" t="s">
        <v>225</v>
      </c>
      <c r="I1026" s="48" t="s">
        <v>226</v>
      </c>
      <c r="J1026" s="48" t="s">
        <v>227</v>
      </c>
      <c r="K1026" s="48" t="s">
        <v>228</v>
      </c>
      <c r="L1026" s="48" t="s">
        <v>229</v>
      </c>
      <c r="M1026" s="48" t="s">
        <v>230</v>
      </c>
      <c r="N1026" s="48" t="s">
        <v>231</v>
      </c>
      <c r="O1026" s="48" t="str">
        <f>CONCATENATE("1-"&amp;mth&amp;"月累计")</f>
        <v>1-8月累计</v>
      </c>
    </row>
    <row r="1027" s="38" customFormat="1" ht="15" customHeight="1" spans="1:16">
      <c r="A1027" s="307" t="s">
        <v>178</v>
      </c>
      <c r="B1027" s="50" t="s">
        <v>123</v>
      </c>
      <c r="C1027" s="52">
        <f>基础表!C939</f>
        <v>0</v>
      </c>
      <c r="D1027" s="52">
        <f>基础表!D939</f>
        <v>0</v>
      </c>
      <c r="E1027" s="52">
        <f>基础表!E939</f>
        <v>0</v>
      </c>
      <c r="F1027" s="52">
        <f>基础表!F939</f>
        <v>0</v>
      </c>
      <c r="G1027" s="52">
        <f>基础表!G939</f>
        <v>0</v>
      </c>
      <c r="H1027" s="52">
        <f>基础表!H939</f>
        <v>0</v>
      </c>
      <c r="I1027" s="52">
        <f>基础表!I939</f>
        <v>0</v>
      </c>
      <c r="J1027" s="52">
        <f>基础表!J939</f>
        <v>0</v>
      </c>
      <c r="K1027" s="52">
        <f>基础表!K939</f>
        <v>0</v>
      </c>
      <c r="L1027" s="52">
        <f>基础表!L939</f>
        <v>0</v>
      </c>
      <c r="M1027" s="52">
        <f>基础表!M939</f>
        <v>0</v>
      </c>
      <c r="N1027" s="52">
        <f>基础表!N939</f>
        <v>0</v>
      </c>
      <c r="O1027" s="52">
        <f ca="1">SUM(OFFSET($C1027,0,0,1,mth))</f>
        <v>0</v>
      </c>
    </row>
    <row r="1028" s="38" customFormat="1" ht="15" customHeight="1" spans="1:16">
      <c r="A1028" s="307" t="s">
        <v>179</v>
      </c>
      <c r="B1028" s="50" t="s">
        <v>123</v>
      </c>
      <c r="C1028" s="52">
        <f>基础表!C940</f>
        <v>0</v>
      </c>
      <c r="D1028" s="52">
        <f>基础表!D940</f>
        <v>0</v>
      </c>
      <c r="E1028" s="52">
        <f>基础表!E940</f>
        <v>0</v>
      </c>
      <c r="F1028" s="52">
        <f>基础表!F940</f>
        <v>0</v>
      </c>
      <c r="G1028" s="52">
        <f>基础表!G940</f>
        <v>0</v>
      </c>
      <c r="H1028" s="52">
        <f>基础表!H940</f>
        <v>0</v>
      </c>
      <c r="I1028" s="52">
        <f>基础表!I940</f>
        <v>0</v>
      </c>
      <c r="J1028" s="52">
        <f>基础表!J940</f>
        <v>0</v>
      </c>
      <c r="K1028" s="52">
        <f>基础表!K940</f>
        <v>0</v>
      </c>
      <c r="L1028" s="52">
        <f>基础表!L940</f>
        <v>0</v>
      </c>
      <c r="M1028" s="52">
        <f>基础表!M940</f>
        <v>0</v>
      </c>
      <c r="N1028" s="52">
        <f>基础表!N940</f>
        <v>0</v>
      </c>
      <c r="O1028" s="52">
        <f ca="1">SUM(OFFSET($C1028,0,0,1,mth))</f>
        <v>0</v>
      </c>
    </row>
    <row r="1029" s="38" customFormat="1" ht="15" customHeight="1" spans="1:16">
      <c r="A1029" s="307" t="s">
        <v>180</v>
      </c>
      <c r="B1029" s="50" t="s">
        <v>123</v>
      </c>
      <c r="C1029" s="52">
        <f>基础表!C941</f>
        <v>0</v>
      </c>
      <c r="D1029" s="52">
        <f>基础表!D941</f>
        <v>0</v>
      </c>
      <c r="E1029" s="52">
        <f>基础表!E941</f>
        <v>0</v>
      </c>
      <c r="F1029" s="52">
        <f>基础表!F941</f>
        <v>0</v>
      </c>
      <c r="G1029" s="52">
        <f>基础表!G941</f>
        <v>0</v>
      </c>
      <c r="H1029" s="52">
        <f>基础表!H941</f>
        <v>0</v>
      </c>
      <c r="I1029" s="52">
        <f>基础表!I941</f>
        <v>0</v>
      </c>
      <c r="J1029" s="52">
        <f>基础表!J941</f>
        <v>0</v>
      </c>
      <c r="K1029" s="52">
        <f>基础表!K941</f>
        <v>0</v>
      </c>
      <c r="L1029" s="52">
        <f>基础表!L941</f>
        <v>0</v>
      </c>
      <c r="M1029" s="52">
        <f>基础表!M941</f>
        <v>0</v>
      </c>
      <c r="N1029" s="52">
        <f>基础表!N941</f>
        <v>0</v>
      </c>
      <c r="O1029" s="52">
        <f ca="1">SUM(OFFSET($C1029,0,0,1,mth))</f>
        <v>0</v>
      </c>
    </row>
    <row r="1030" s="38" customFormat="1" ht="15" customHeight="1" spans="1:16">
      <c r="A1030" s="307" t="s">
        <v>181</v>
      </c>
      <c r="B1030" s="50" t="s">
        <v>123</v>
      </c>
      <c r="C1030" s="52">
        <f>基础表!C942</f>
        <v>0</v>
      </c>
      <c r="D1030" s="52">
        <f>基础表!D942</f>
        <v>0</v>
      </c>
      <c r="E1030" s="52">
        <f>基础表!E942</f>
        <v>0</v>
      </c>
      <c r="F1030" s="52">
        <f>基础表!F942</f>
        <v>0</v>
      </c>
      <c r="G1030" s="52">
        <f>基础表!G942</f>
        <v>0</v>
      </c>
      <c r="H1030" s="52">
        <f>基础表!H942</f>
        <v>0</v>
      </c>
      <c r="I1030" s="52">
        <f>基础表!I942</f>
        <v>0</v>
      </c>
      <c r="J1030" s="52">
        <f>基础表!J942</f>
        <v>0</v>
      </c>
      <c r="K1030" s="52">
        <f>基础表!K942</f>
        <v>0</v>
      </c>
      <c r="L1030" s="52">
        <f>基础表!L942</f>
        <v>0</v>
      </c>
      <c r="M1030" s="52">
        <f>基础表!M942</f>
        <v>0</v>
      </c>
      <c r="N1030" s="52">
        <f>基础表!N942</f>
        <v>0</v>
      </c>
      <c r="O1030" s="52">
        <f ca="1" t="shared" ref="O1030:O1040" si="324">SUM(OFFSET($C1030,0,0,1,mth))</f>
        <v>0</v>
      </c>
    </row>
    <row r="1031" s="38" customFormat="1" ht="15" customHeight="1" spans="1:16">
      <c r="A1031" s="307" t="s">
        <v>182</v>
      </c>
      <c r="B1031" s="50" t="s">
        <v>123</v>
      </c>
      <c r="C1031" s="52">
        <f>基础表!C943</f>
        <v>127495.5835</v>
      </c>
      <c r="D1031" s="52">
        <f>基础表!D943</f>
        <v>53161.1664</v>
      </c>
      <c r="E1031" s="52">
        <f>基础表!E943</f>
        <v>233526.0486</v>
      </c>
      <c r="F1031" s="52">
        <f>基础表!F943</f>
        <v>365321.7115</v>
      </c>
      <c r="G1031" s="52">
        <f>基础表!G943</f>
        <v>332997.9824</v>
      </c>
      <c r="H1031" s="52">
        <f>基础表!H943</f>
        <v>113387.7595</v>
      </c>
      <c r="I1031" s="52">
        <f>基础表!I943</f>
        <v>0</v>
      </c>
      <c r="J1031" s="52">
        <f>基础表!J943</f>
        <v>0</v>
      </c>
      <c r="K1031" s="52">
        <f>基础表!K943</f>
        <v>0</v>
      </c>
      <c r="L1031" s="52">
        <f>基础表!L943</f>
        <v>0</v>
      </c>
      <c r="M1031" s="52">
        <f>基础表!M943</f>
        <v>0</v>
      </c>
      <c r="N1031" s="52">
        <f>基础表!N943</f>
        <v>0</v>
      </c>
      <c r="O1031" s="52">
        <f ca="1" t="shared" si="324"/>
        <v>1225890.2519</v>
      </c>
    </row>
    <row r="1032" s="38" customFormat="1" ht="15" customHeight="1" spans="1:16">
      <c r="A1032" s="307" t="s">
        <v>183</v>
      </c>
      <c r="B1032" s="50" t="s">
        <v>123</v>
      </c>
      <c r="C1032" s="52">
        <f>基础表!C944</f>
        <v>0</v>
      </c>
      <c r="D1032" s="52">
        <f>基础表!D944</f>
        <v>0</v>
      </c>
      <c r="E1032" s="52">
        <f>基础表!E944</f>
        <v>0</v>
      </c>
      <c r="F1032" s="52">
        <f>基础表!F944</f>
        <v>0</v>
      </c>
      <c r="G1032" s="52">
        <f>基础表!G944</f>
        <v>0</v>
      </c>
      <c r="H1032" s="52">
        <f>基础表!H944</f>
        <v>0</v>
      </c>
      <c r="I1032" s="52">
        <f>基础表!I944</f>
        <v>0</v>
      </c>
      <c r="J1032" s="52">
        <f>基础表!J944</f>
        <v>0</v>
      </c>
      <c r="K1032" s="52">
        <f>基础表!K944</f>
        <v>0</v>
      </c>
      <c r="L1032" s="52">
        <f>基础表!L944</f>
        <v>0</v>
      </c>
      <c r="M1032" s="52">
        <f>基础表!M944</f>
        <v>0</v>
      </c>
      <c r="N1032" s="52">
        <f>基础表!N944</f>
        <v>0</v>
      </c>
      <c r="O1032" s="52">
        <f ca="1" t="shared" si="324"/>
        <v>0</v>
      </c>
    </row>
    <row r="1033" s="38" customFormat="1" ht="15" customHeight="1" spans="1:16">
      <c r="A1033" s="307" t="s">
        <v>184</v>
      </c>
      <c r="B1033" s="50" t="s">
        <v>123</v>
      </c>
      <c r="C1033" s="52">
        <f>基础表!C945</f>
        <v>0</v>
      </c>
      <c r="D1033" s="52">
        <f>基础表!D945</f>
        <v>0</v>
      </c>
      <c r="E1033" s="52">
        <f>基础表!E945</f>
        <v>0</v>
      </c>
      <c r="F1033" s="52">
        <f>基础表!F945</f>
        <v>0</v>
      </c>
      <c r="G1033" s="52">
        <f>基础表!G945</f>
        <v>0</v>
      </c>
      <c r="H1033" s="52">
        <f>基础表!H945</f>
        <v>0</v>
      </c>
      <c r="I1033" s="52">
        <f>基础表!I945</f>
        <v>0</v>
      </c>
      <c r="J1033" s="52">
        <f>基础表!J945</f>
        <v>0</v>
      </c>
      <c r="K1033" s="52">
        <f>基础表!K945</f>
        <v>0</v>
      </c>
      <c r="L1033" s="52">
        <f>基础表!L945</f>
        <v>0</v>
      </c>
      <c r="M1033" s="52">
        <f>基础表!M945</f>
        <v>0</v>
      </c>
      <c r="N1033" s="52">
        <f>基础表!N945</f>
        <v>0</v>
      </c>
      <c r="O1033" s="52">
        <f ca="1" t="shared" si="324"/>
        <v>0</v>
      </c>
    </row>
    <row r="1034" s="38" customFormat="1" ht="15" customHeight="1" spans="1:16">
      <c r="A1034" s="307" t="s">
        <v>185</v>
      </c>
      <c r="B1034" s="50" t="s">
        <v>123</v>
      </c>
      <c r="C1034" s="52">
        <f>基础表!C946</f>
        <v>0</v>
      </c>
      <c r="D1034" s="52">
        <f>基础表!D946</f>
        <v>9.831</v>
      </c>
      <c r="E1034" s="52">
        <f>基础表!E946</f>
        <v>0</v>
      </c>
      <c r="F1034" s="52">
        <f>基础表!F946</f>
        <v>0</v>
      </c>
      <c r="G1034" s="52">
        <f>基础表!G946</f>
        <v>16.1138</v>
      </c>
      <c r="H1034" s="52">
        <f>基础表!H946</f>
        <v>0</v>
      </c>
      <c r="I1034" s="52">
        <f>基础表!I946</f>
        <v>0</v>
      </c>
      <c r="J1034" s="52">
        <f>基础表!J946</f>
        <v>0</v>
      </c>
      <c r="K1034" s="52">
        <f>基础表!K946</f>
        <v>0</v>
      </c>
      <c r="L1034" s="52">
        <f>基础表!L946</f>
        <v>0</v>
      </c>
      <c r="M1034" s="52">
        <f>基础表!M946</f>
        <v>0</v>
      </c>
      <c r="N1034" s="52">
        <f>基础表!N946</f>
        <v>0</v>
      </c>
      <c r="O1034" s="52">
        <f ca="1" t="shared" si="324"/>
        <v>25.9448</v>
      </c>
    </row>
    <row r="1035" s="38" customFormat="1" ht="15" customHeight="1" spans="1:16">
      <c r="A1035" s="307" t="s">
        <v>186</v>
      </c>
      <c r="B1035" s="50" t="s">
        <v>123</v>
      </c>
      <c r="C1035" s="52">
        <f>基础表!C947</f>
        <v>-256.928099999999</v>
      </c>
      <c r="D1035" s="52">
        <f>基础表!D947</f>
        <v>358.345599999999</v>
      </c>
      <c r="E1035" s="52">
        <f>基础表!E947</f>
        <v>536.478800000001</v>
      </c>
      <c r="F1035" s="52">
        <f>基础表!F947</f>
        <v>1569.3779</v>
      </c>
      <c r="G1035" s="52">
        <f>基础表!G947</f>
        <v>724.250900000001</v>
      </c>
      <c r="H1035" s="52">
        <f>基础表!H947</f>
        <v>1122.8471</v>
      </c>
      <c r="I1035" s="52">
        <f>基础表!I947</f>
        <v>0</v>
      </c>
      <c r="J1035" s="52">
        <f>基础表!J947</f>
        <v>0</v>
      </c>
      <c r="K1035" s="52">
        <f>基础表!K947</f>
        <v>0</v>
      </c>
      <c r="L1035" s="52">
        <f>基础表!L947</f>
        <v>0</v>
      </c>
      <c r="M1035" s="52">
        <f>基础表!M947</f>
        <v>0</v>
      </c>
      <c r="N1035" s="52">
        <f>基础表!N947</f>
        <v>0</v>
      </c>
      <c r="O1035" s="52">
        <f ca="1" t="shared" si="324"/>
        <v>4054.3722</v>
      </c>
      <c r="P1035" s="68"/>
    </row>
    <row r="1036" s="38" customFormat="1" ht="15" customHeight="1" spans="1:16">
      <c r="A1036" s="307" t="s">
        <v>187</v>
      </c>
      <c r="B1036" s="50" t="s">
        <v>123</v>
      </c>
      <c r="C1036" s="52">
        <f>基础表!C948</f>
        <v>0</v>
      </c>
      <c r="D1036" s="52">
        <f>基础表!D948</f>
        <v>0</v>
      </c>
      <c r="E1036" s="52">
        <f>基础表!E948</f>
        <v>630.0089</v>
      </c>
      <c r="F1036" s="52">
        <f>基础表!F948</f>
        <v>0</v>
      </c>
      <c r="G1036" s="52">
        <f>基础表!G948</f>
        <v>0</v>
      </c>
      <c r="H1036" s="52">
        <f>基础表!H948</f>
        <v>3149.9993</v>
      </c>
      <c r="I1036" s="52">
        <f>基础表!I948</f>
        <v>0</v>
      </c>
      <c r="J1036" s="52">
        <f>基础表!J948</f>
        <v>0</v>
      </c>
      <c r="K1036" s="52">
        <f>基础表!K948</f>
        <v>0</v>
      </c>
      <c r="L1036" s="52">
        <f>基础表!L948</f>
        <v>0</v>
      </c>
      <c r="M1036" s="52">
        <f>基础表!M948</f>
        <v>0</v>
      </c>
      <c r="N1036" s="52">
        <f>基础表!N948</f>
        <v>0</v>
      </c>
      <c r="O1036" s="52">
        <f ca="1" t="shared" si="324"/>
        <v>3780.0082</v>
      </c>
    </row>
    <row r="1037" s="38" customFormat="1" ht="15" customHeight="1" spans="1:16">
      <c r="A1037" s="307" t="s">
        <v>188</v>
      </c>
      <c r="B1037" s="50"/>
      <c r="C1037" s="52">
        <f>基础表!C949</f>
        <v>0</v>
      </c>
      <c r="D1037" s="52">
        <f>基础表!D949</f>
        <v>0</v>
      </c>
      <c r="E1037" s="52">
        <f>基础表!E949</f>
        <v>0</v>
      </c>
      <c r="F1037" s="52">
        <f>基础表!F949</f>
        <v>0</v>
      </c>
      <c r="G1037" s="52">
        <f>基础表!G949</f>
        <v>0</v>
      </c>
      <c r="H1037" s="52">
        <f>基础表!H949</f>
        <v>0</v>
      </c>
      <c r="I1037" s="52">
        <f>基础表!I949</f>
        <v>0</v>
      </c>
      <c r="J1037" s="52">
        <f>基础表!J949</f>
        <v>0</v>
      </c>
      <c r="K1037" s="52">
        <f>基础表!K949</f>
        <v>0</v>
      </c>
      <c r="L1037" s="52">
        <f>基础表!L949</f>
        <v>0</v>
      </c>
      <c r="M1037" s="52">
        <f>基础表!M949</f>
        <v>0</v>
      </c>
      <c r="N1037" s="52">
        <f>基础表!N949</f>
        <v>0</v>
      </c>
      <c r="O1037" s="52">
        <f ca="1" t="shared" si="324"/>
        <v>0</v>
      </c>
    </row>
    <row r="1038" s="38" customFormat="1" ht="15" customHeight="1" spans="1:16">
      <c r="A1038" s="307" t="s">
        <v>189</v>
      </c>
      <c r="B1038" s="50"/>
      <c r="C1038" s="52">
        <f>基础表!C950</f>
        <v>0</v>
      </c>
      <c r="D1038" s="52">
        <f>基础表!D950</f>
        <v>0</v>
      </c>
      <c r="E1038" s="52">
        <f>基础表!E950</f>
        <v>0</v>
      </c>
      <c r="F1038" s="52">
        <f>基础表!F950</f>
        <v>0</v>
      </c>
      <c r="G1038" s="52">
        <f>基础表!G950</f>
        <v>0</v>
      </c>
      <c r="H1038" s="52">
        <f>基础表!H950</f>
        <v>0</v>
      </c>
      <c r="I1038" s="52">
        <f>基础表!I950</f>
        <v>0</v>
      </c>
      <c r="J1038" s="52">
        <f>基础表!J950</f>
        <v>0</v>
      </c>
      <c r="K1038" s="52">
        <f>基础表!K950</f>
        <v>0</v>
      </c>
      <c r="L1038" s="52">
        <f>基础表!L950</f>
        <v>0</v>
      </c>
      <c r="M1038" s="52">
        <f>基础表!M950</f>
        <v>0</v>
      </c>
      <c r="N1038" s="52">
        <f>基础表!N950</f>
        <v>0</v>
      </c>
      <c r="O1038" s="52">
        <f ca="1" t="shared" si="324"/>
        <v>0</v>
      </c>
    </row>
    <row r="1039" s="38" customFormat="1" ht="15" customHeight="1" spans="1:16">
      <c r="A1039" s="307" t="s">
        <v>190</v>
      </c>
      <c r="B1039" s="50"/>
      <c r="C1039" s="52">
        <f>基础表!C951</f>
        <v>0</v>
      </c>
      <c r="D1039" s="52">
        <f>基础表!D951</f>
        <v>0</v>
      </c>
      <c r="E1039" s="52">
        <f>基础表!E951</f>
        <v>0</v>
      </c>
      <c r="F1039" s="52">
        <f>基础表!F951</f>
        <v>0</v>
      </c>
      <c r="G1039" s="52">
        <f>基础表!G951</f>
        <v>0</v>
      </c>
      <c r="H1039" s="52">
        <f>基础表!H951</f>
        <v>0</v>
      </c>
      <c r="I1039" s="52">
        <f>基础表!I951</f>
        <v>0</v>
      </c>
      <c r="J1039" s="52">
        <f>基础表!J951</f>
        <v>0</v>
      </c>
      <c r="K1039" s="52">
        <f>基础表!K951</f>
        <v>0</v>
      </c>
      <c r="L1039" s="52">
        <f>基础表!L951</f>
        <v>0</v>
      </c>
      <c r="M1039" s="52">
        <f>基础表!M951</f>
        <v>0</v>
      </c>
      <c r="N1039" s="52">
        <f>基础表!N951</f>
        <v>0</v>
      </c>
      <c r="O1039" s="52">
        <f ca="1" t="shared" si="324"/>
        <v>0</v>
      </c>
    </row>
    <row r="1040" s="38" customFormat="1" ht="15" customHeight="1" spans="1:16">
      <c r="A1040" s="307" t="s">
        <v>191</v>
      </c>
      <c r="B1040" s="50" t="s">
        <v>123</v>
      </c>
      <c r="C1040" s="52">
        <f>基础表!C952</f>
        <v>81853.1885</v>
      </c>
      <c r="D1040" s="52">
        <f>基础表!D952</f>
        <v>26220.8703</v>
      </c>
      <c r="E1040" s="52">
        <f>基础表!E952</f>
        <v>128583.717</v>
      </c>
      <c r="F1040" s="52">
        <f>基础表!F952</f>
        <v>333425.6535</v>
      </c>
      <c r="G1040" s="52">
        <f>基础表!G952</f>
        <v>142951.0794</v>
      </c>
      <c r="H1040" s="52">
        <f>基础表!H952</f>
        <v>104934.4329</v>
      </c>
      <c r="I1040" s="52">
        <f>基础表!I952</f>
        <v>0</v>
      </c>
      <c r="J1040" s="52">
        <f>基础表!J952</f>
        <v>0</v>
      </c>
      <c r="K1040" s="52">
        <f>基础表!K952</f>
        <v>0</v>
      </c>
      <c r="L1040" s="52">
        <f>基础表!L952</f>
        <v>0</v>
      </c>
      <c r="M1040" s="52">
        <f>基础表!M952</f>
        <v>0</v>
      </c>
      <c r="N1040" s="52">
        <f>基础表!N952</f>
        <v>0</v>
      </c>
      <c r="O1040" s="52">
        <f ca="1" t="shared" si="324"/>
        <v>817968.9416</v>
      </c>
    </row>
    <row r="1041" s="38" customFormat="1" ht="15" customHeight="1" spans="1:16">
      <c r="A1041" s="307" t="s">
        <v>192</v>
      </c>
      <c r="B1041" s="50" t="s">
        <v>123</v>
      </c>
      <c r="C1041" s="52">
        <f>基础表!C953</f>
        <v>0</v>
      </c>
      <c r="D1041" s="52">
        <f>基础表!D953</f>
        <v>0</v>
      </c>
      <c r="E1041" s="52">
        <f>基础表!E953</f>
        <v>0</v>
      </c>
      <c r="F1041" s="52">
        <f>基础表!F953</f>
        <v>0</v>
      </c>
      <c r="G1041" s="52">
        <f>基础表!G953</f>
        <v>0</v>
      </c>
      <c r="H1041" s="52">
        <f>基础表!H953</f>
        <v>0</v>
      </c>
      <c r="I1041" s="52">
        <f>基础表!I953</f>
        <v>0</v>
      </c>
      <c r="J1041" s="52">
        <f>基础表!J953</f>
        <v>0</v>
      </c>
      <c r="K1041" s="52">
        <f>基础表!K953</f>
        <v>0</v>
      </c>
      <c r="L1041" s="52">
        <f>基础表!L953</f>
        <v>0</v>
      </c>
      <c r="M1041" s="52">
        <f>基础表!M953</f>
        <v>0</v>
      </c>
      <c r="N1041" s="52">
        <f>基础表!N953</f>
        <v>0</v>
      </c>
      <c r="O1041" s="52">
        <f ca="1">SUM(OFFSET($C1041,0,0,1,mth))</f>
        <v>0</v>
      </c>
    </row>
    <row r="1042" s="38" customFormat="1" ht="15" customHeight="1" spans="1:16">
      <c r="A1042" s="307" t="s">
        <v>193</v>
      </c>
      <c r="B1042" s="50" t="s">
        <v>123</v>
      </c>
      <c r="C1042" s="52">
        <f>基础表!C954</f>
        <v>0</v>
      </c>
      <c r="D1042" s="52">
        <f>基础表!D954</f>
        <v>0</v>
      </c>
      <c r="E1042" s="52">
        <f>基础表!E954</f>
        <v>0</v>
      </c>
      <c r="F1042" s="52">
        <f>基础表!F954</f>
        <v>0</v>
      </c>
      <c r="G1042" s="52">
        <f>基础表!G954</f>
        <v>0</v>
      </c>
      <c r="H1042" s="52">
        <f>基础表!H954</f>
        <v>0</v>
      </c>
      <c r="I1042" s="52">
        <f>基础表!I954</f>
        <v>0</v>
      </c>
      <c r="J1042" s="52">
        <f>基础表!J954</f>
        <v>0</v>
      </c>
      <c r="K1042" s="52">
        <f>基础表!K954</f>
        <v>0</v>
      </c>
      <c r="L1042" s="52">
        <f>基础表!L954</f>
        <v>0</v>
      </c>
      <c r="M1042" s="52">
        <f>基础表!M954</f>
        <v>0</v>
      </c>
      <c r="N1042" s="52">
        <f>基础表!N954</f>
        <v>0</v>
      </c>
      <c r="O1042" s="52">
        <f ca="1">SUM(OFFSET($C1042,0,0,1,mth))</f>
        <v>0</v>
      </c>
    </row>
    <row r="1043" s="38" customFormat="1" ht="15" customHeight="1" spans="1:16">
      <c r="A1043" s="307" t="s">
        <v>194</v>
      </c>
      <c r="B1043" s="50" t="s">
        <v>123</v>
      </c>
      <c r="C1043" s="52">
        <f>基础表!C955</f>
        <v>0</v>
      </c>
      <c r="D1043" s="52">
        <f>基础表!D955</f>
        <v>0</v>
      </c>
      <c r="E1043" s="52">
        <f>基础表!E955</f>
        <v>0</v>
      </c>
      <c r="F1043" s="52">
        <f>基础表!F955</f>
        <v>0</v>
      </c>
      <c r="G1043" s="52">
        <f>基础表!G955</f>
        <v>0</v>
      </c>
      <c r="H1043" s="52">
        <f>基础表!H955</f>
        <v>0</v>
      </c>
      <c r="I1043" s="52">
        <f>基础表!I955</f>
        <v>0</v>
      </c>
      <c r="J1043" s="52">
        <f>基础表!J955</f>
        <v>0</v>
      </c>
      <c r="K1043" s="52">
        <f>基础表!K955</f>
        <v>0</v>
      </c>
      <c r="L1043" s="52">
        <f>基础表!L955</f>
        <v>0</v>
      </c>
      <c r="M1043" s="52">
        <f>基础表!M955</f>
        <v>0</v>
      </c>
      <c r="N1043" s="52">
        <f>基础表!N955</f>
        <v>0</v>
      </c>
      <c r="O1043" s="52">
        <f ca="1">SUM(OFFSET($C1043,0,0,1,mth))</f>
        <v>0</v>
      </c>
    </row>
    <row r="1044" s="38" customFormat="1" ht="15" customHeight="1" spans="1:16">
      <c r="A1044" s="307" t="s">
        <v>195</v>
      </c>
      <c r="B1044" s="50" t="s">
        <v>123</v>
      </c>
      <c r="C1044" s="52">
        <f>基础表!C956</f>
        <v>0</v>
      </c>
      <c r="D1044" s="52">
        <f>基础表!D956</f>
        <v>0</v>
      </c>
      <c r="E1044" s="52">
        <f>基础表!E956</f>
        <v>0</v>
      </c>
      <c r="F1044" s="52">
        <f>基础表!F956</f>
        <v>0</v>
      </c>
      <c r="G1044" s="52">
        <f>基础表!G956</f>
        <v>0</v>
      </c>
      <c r="H1044" s="52">
        <f>基础表!H956</f>
        <v>0</v>
      </c>
      <c r="I1044" s="52">
        <f>基础表!I956</f>
        <v>0</v>
      </c>
      <c r="J1044" s="52">
        <f>基础表!J956</f>
        <v>0</v>
      </c>
      <c r="K1044" s="52">
        <f>基础表!K956</f>
        <v>0</v>
      </c>
      <c r="L1044" s="52">
        <f>基础表!L956</f>
        <v>0</v>
      </c>
      <c r="M1044" s="52">
        <f>基础表!M956</f>
        <v>0</v>
      </c>
      <c r="N1044" s="52">
        <f>基础表!N956</f>
        <v>0</v>
      </c>
      <c r="O1044" s="52">
        <f ca="1" t="shared" ref="O1044:O1062" si="325">SUM(OFFSET($C1044,0,0,1,mth))</f>
        <v>0</v>
      </c>
    </row>
    <row r="1045" s="38" customFormat="1" ht="15" customHeight="1" spans="1:16">
      <c r="A1045" s="307" t="s">
        <v>196</v>
      </c>
      <c r="B1045" s="50" t="s">
        <v>123</v>
      </c>
      <c r="C1045" s="52">
        <f>基础表!C957</f>
        <v>0</v>
      </c>
      <c r="D1045" s="52">
        <f>基础表!D957</f>
        <v>0</v>
      </c>
      <c r="E1045" s="52">
        <f>基础表!E957</f>
        <v>0</v>
      </c>
      <c r="F1045" s="52">
        <f>基础表!F957</f>
        <v>0</v>
      </c>
      <c r="G1045" s="52">
        <f>基础表!G957</f>
        <v>0</v>
      </c>
      <c r="H1045" s="52">
        <f>基础表!H957</f>
        <v>0</v>
      </c>
      <c r="I1045" s="52">
        <f>基础表!I957</f>
        <v>0</v>
      </c>
      <c r="J1045" s="52">
        <f>基础表!J957</f>
        <v>0</v>
      </c>
      <c r="K1045" s="52">
        <f>基础表!K957</f>
        <v>0</v>
      </c>
      <c r="L1045" s="52">
        <f>基础表!L957</f>
        <v>0</v>
      </c>
      <c r="M1045" s="52">
        <f>基础表!M957</f>
        <v>0</v>
      </c>
      <c r="N1045" s="52">
        <f>基础表!N957</f>
        <v>0</v>
      </c>
      <c r="O1045" s="52">
        <f ca="1" t="shared" si="325"/>
        <v>0</v>
      </c>
    </row>
    <row r="1046" s="38" customFormat="1" ht="15" customHeight="1" spans="1:16">
      <c r="A1046" s="307" t="s">
        <v>197</v>
      </c>
      <c r="B1046" s="50" t="s">
        <v>123</v>
      </c>
      <c r="C1046" s="52">
        <f>基础表!C958</f>
        <v>0</v>
      </c>
      <c r="D1046" s="52">
        <f>基础表!D958</f>
        <v>0</v>
      </c>
      <c r="E1046" s="52">
        <f>基础表!E958</f>
        <v>0</v>
      </c>
      <c r="F1046" s="52">
        <f>基础表!F958</f>
        <v>0</v>
      </c>
      <c r="G1046" s="52">
        <f>基础表!G958</f>
        <v>0</v>
      </c>
      <c r="H1046" s="52">
        <f>基础表!H958</f>
        <v>0</v>
      </c>
      <c r="I1046" s="52">
        <f>基础表!I958</f>
        <v>0</v>
      </c>
      <c r="J1046" s="52">
        <f>基础表!J958</f>
        <v>0</v>
      </c>
      <c r="K1046" s="52">
        <f>基础表!K958</f>
        <v>0</v>
      </c>
      <c r="L1046" s="52">
        <f>基础表!L958</f>
        <v>0</v>
      </c>
      <c r="M1046" s="52">
        <f>基础表!M958</f>
        <v>0</v>
      </c>
      <c r="N1046" s="52">
        <f>基础表!N958</f>
        <v>0</v>
      </c>
      <c r="O1046" s="52">
        <f ca="1" t="shared" si="325"/>
        <v>0</v>
      </c>
    </row>
    <row r="1047" s="38" customFormat="1" ht="15" customHeight="1" spans="1:16">
      <c r="A1047" s="115" t="s">
        <v>198</v>
      </c>
      <c r="B1047" s="50" t="s">
        <v>123</v>
      </c>
      <c r="C1047" s="52">
        <f>基础表!C959</f>
        <v>0</v>
      </c>
      <c r="D1047" s="52">
        <f>基础表!D959</f>
        <v>0</v>
      </c>
      <c r="E1047" s="52">
        <f>基础表!E959</f>
        <v>234.0908</v>
      </c>
      <c r="F1047" s="52">
        <f>基础表!F959</f>
        <v>192.3034</v>
      </c>
      <c r="G1047" s="52">
        <f>基础表!G959</f>
        <v>389.8048</v>
      </c>
      <c r="H1047" s="52">
        <f>基础表!H959</f>
        <v>200.7784</v>
      </c>
      <c r="I1047" s="52">
        <f>基础表!I959</f>
        <v>0</v>
      </c>
      <c r="J1047" s="52">
        <f>基础表!J959</f>
        <v>0</v>
      </c>
      <c r="K1047" s="52">
        <f>基础表!K959</f>
        <v>0</v>
      </c>
      <c r="L1047" s="52">
        <f>基础表!L959</f>
        <v>0</v>
      </c>
      <c r="M1047" s="52">
        <f>基础表!M959</f>
        <v>0</v>
      </c>
      <c r="N1047" s="52">
        <f>基础表!N959</f>
        <v>0</v>
      </c>
      <c r="O1047" s="52">
        <f ca="1" t="shared" si="325"/>
        <v>1016.9774</v>
      </c>
    </row>
    <row r="1048" s="38" customFormat="1" ht="15" customHeight="1" spans="1:16">
      <c r="A1048" s="307" t="s">
        <v>199</v>
      </c>
      <c r="B1048" s="50" t="s">
        <v>123</v>
      </c>
      <c r="C1048" s="52">
        <f>基础表!C960</f>
        <v>0</v>
      </c>
      <c r="D1048" s="52">
        <f>基础表!D960</f>
        <v>0</v>
      </c>
      <c r="E1048" s="52">
        <f>基础表!E960</f>
        <v>0</v>
      </c>
      <c r="F1048" s="52">
        <f>基础表!F960</f>
        <v>0</v>
      </c>
      <c r="G1048" s="52">
        <f>基础表!G960</f>
        <v>0</v>
      </c>
      <c r="H1048" s="52">
        <f>基础表!H960</f>
        <v>0</v>
      </c>
      <c r="I1048" s="52">
        <f>基础表!I960</f>
        <v>0</v>
      </c>
      <c r="J1048" s="52">
        <f>基础表!J960</f>
        <v>0</v>
      </c>
      <c r="K1048" s="52">
        <f>基础表!K960</f>
        <v>0</v>
      </c>
      <c r="L1048" s="52">
        <f>基础表!L960</f>
        <v>0</v>
      </c>
      <c r="M1048" s="52">
        <f>基础表!M960</f>
        <v>0</v>
      </c>
      <c r="N1048" s="52">
        <f>基础表!N960</f>
        <v>0</v>
      </c>
      <c r="O1048" s="52">
        <f ca="1" t="shared" si="325"/>
        <v>0</v>
      </c>
    </row>
    <row r="1049" s="38" customFormat="1" ht="15" customHeight="1" spans="1:16">
      <c r="A1049" s="115" t="s">
        <v>200</v>
      </c>
      <c r="B1049" s="50" t="s">
        <v>123</v>
      </c>
      <c r="C1049" s="52">
        <f>基础表!C961</f>
        <v>14306.5797</v>
      </c>
      <c r="D1049" s="52">
        <f>基础表!D961</f>
        <v>-340.7967</v>
      </c>
      <c r="E1049" s="52">
        <f>基础表!E961</f>
        <v>26022.1146</v>
      </c>
      <c r="F1049" s="52">
        <f>基础表!F961</f>
        <v>53679.2149</v>
      </c>
      <c r="G1049" s="52">
        <f>基础表!G961</f>
        <v>24682.3414</v>
      </c>
      <c r="H1049" s="52">
        <f>基础表!H961</f>
        <v>17608.8917</v>
      </c>
      <c r="I1049" s="52">
        <f>基础表!I961</f>
        <v>0</v>
      </c>
      <c r="J1049" s="52">
        <f>基础表!J961</f>
        <v>0</v>
      </c>
      <c r="K1049" s="52">
        <f>基础表!K961</f>
        <v>0</v>
      </c>
      <c r="L1049" s="52">
        <f>基础表!L961</f>
        <v>0</v>
      </c>
      <c r="M1049" s="52">
        <f>基础表!M961</f>
        <v>0</v>
      </c>
      <c r="N1049" s="52">
        <f>基础表!N961</f>
        <v>0</v>
      </c>
      <c r="O1049" s="52">
        <f ca="1" t="shared" si="325"/>
        <v>135958.3456</v>
      </c>
      <c r="P1049" s="68"/>
    </row>
    <row r="1050" s="38" customFormat="1" ht="15" customHeight="1" spans="1:16">
      <c r="A1050" s="115" t="s">
        <v>201</v>
      </c>
      <c r="B1050" s="50" t="s">
        <v>123</v>
      </c>
      <c r="C1050" s="52">
        <f>基础表!C962</f>
        <v>0</v>
      </c>
      <c r="D1050" s="52">
        <f>基础表!D962</f>
        <v>0</v>
      </c>
      <c r="E1050" s="52">
        <f>基础表!E962</f>
        <v>0</v>
      </c>
      <c r="F1050" s="52">
        <f>基础表!F962</f>
        <v>0</v>
      </c>
      <c r="G1050" s="52">
        <f>基础表!G962</f>
        <v>-126.7521</v>
      </c>
      <c r="H1050" s="52">
        <f>基础表!H962</f>
        <v>126.7521</v>
      </c>
      <c r="I1050" s="52">
        <f>基础表!I962</f>
        <v>0</v>
      </c>
      <c r="J1050" s="52">
        <f>基础表!J962</f>
        <v>0</v>
      </c>
      <c r="K1050" s="52">
        <f>基础表!K962</f>
        <v>0</v>
      </c>
      <c r="L1050" s="52">
        <f>基础表!L962</f>
        <v>0</v>
      </c>
      <c r="M1050" s="52">
        <f>基础表!M962</f>
        <v>0</v>
      </c>
      <c r="N1050" s="52">
        <f>基础表!N962</f>
        <v>0</v>
      </c>
      <c r="O1050" s="52">
        <f ca="1" t="shared" si="325"/>
        <v>0</v>
      </c>
    </row>
    <row r="1051" s="38" customFormat="1" ht="15" customHeight="1" spans="1:16">
      <c r="A1051" s="115" t="s">
        <v>202</v>
      </c>
      <c r="B1051" s="50"/>
      <c r="C1051" s="52">
        <f>基础表!C963</f>
        <v>0</v>
      </c>
      <c r="D1051" s="52">
        <f>基础表!D963</f>
        <v>0</v>
      </c>
      <c r="E1051" s="52">
        <f>基础表!E963</f>
        <v>325.225299999999</v>
      </c>
      <c r="F1051" s="52">
        <f>基础表!F963</f>
        <v>1652.0035</v>
      </c>
      <c r="G1051" s="52">
        <f>基础表!G963</f>
        <v>762.4336</v>
      </c>
      <c r="H1051" s="52">
        <f>基础表!H963</f>
        <v>60.3532999999999</v>
      </c>
      <c r="I1051" s="52">
        <f>基础表!I963</f>
        <v>0</v>
      </c>
      <c r="J1051" s="52">
        <f>基础表!J963</f>
        <v>0</v>
      </c>
      <c r="K1051" s="52">
        <f>基础表!K963</f>
        <v>0</v>
      </c>
      <c r="L1051" s="52">
        <f>基础表!L963</f>
        <v>0</v>
      </c>
      <c r="M1051" s="52">
        <f>基础表!M963</f>
        <v>0</v>
      </c>
      <c r="N1051" s="52">
        <f>基础表!N963</f>
        <v>0</v>
      </c>
      <c r="O1051" s="52">
        <f ca="1" t="shared" si="325"/>
        <v>2800.0157</v>
      </c>
    </row>
    <row r="1052" s="38" customFormat="1" ht="15" customHeight="1" spans="1:16">
      <c r="A1052" s="115" t="s">
        <v>203</v>
      </c>
      <c r="B1052" s="50"/>
      <c r="C1052" s="52">
        <f>基础表!C964</f>
        <v>0</v>
      </c>
      <c r="D1052" s="52">
        <f>基础表!D964</f>
        <v>0</v>
      </c>
      <c r="E1052" s="52">
        <f>基础表!E964</f>
        <v>0</v>
      </c>
      <c r="F1052" s="52">
        <f>基础表!F964</f>
        <v>0</v>
      </c>
      <c r="G1052" s="52">
        <f>基础表!G964</f>
        <v>0</v>
      </c>
      <c r="H1052" s="52">
        <f>基础表!H964</f>
        <v>0</v>
      </c>
      <c r="I1052" s="52">
        <f>基础表!I964</f>
        <v>0</v>
      </c>
      <c r="J1052" s="52">
        <f>基础表!J964</f>
        <v>0</v>
      </c>
      <c r="K1052" s="52">
        <f>基础表!K964</f>
        <v>0</v>
      </c>
      <c r="L1052" s="52">
        <f>基础表!L964</f>
        <v>0</v>
      </c>
      <c r="M1052" s="52">
        <f>基础表!M964</f>
        <v>0</v>
      </c>
      <c r="N1052" s="52">
        <f>基础表!N964</f>
        <v>0</v>
      </c>
      <c r="O1052" s="52">
        <f ca="1" t="shared" si="325"/>
        <v>0</v>
      </c>
    </row>
    <row r="1053" s="38" customFormat="1" ht="15" customHeight="1" spans="1:16">
      <c r="A1053" s="115" t="s">
        <v>204</v>
      </c>
      <c r="B1053" s="50"/>
      <c r="C1053" s="52">
        <f>基础表!C965</f>
        <v>0</v>
      </c>
      <c r="D1053" s="52">
        <f>基础表!D965</f>
        <v>0</v>
      </c>
      <c r="E1053" s="52">
        <f>基础表!E965</f>
        <v>0</v>
      </c>
      <c r="F1053" s="52">
        <f>基础表!F965</f>
        <v>644.066099999999</v>
      </c>
      <c r="G1053" s="52">
        <f>基础表!G965</f>
        <v>607.103800000001</v>
      </c>
      <c r="H1053" s="52">
        <f>基础表!H965</f>
        <v>678.971799999998</v>
      </c>
      <c r="I1053" s="52">
        <f>基础表!I965</f>
        <v>0</v>
      </c>
      <c r="J1053" s="52">
        <f>基础表!J965</f>
        <v>0</v>
      </c>
      <c r="K1053" s="52">
        <f>基础表!K965</f>
        <v>0</v>
      </c>
      <c r="L1053" s="52">
        <f>基础表!L965</f>
        <v>0</v>
      </c>
      <c r="M1053" s="52">
        <f>基础表!M965</f>
        <v>0</v>
      </c>
      <c r="N1053" s="52">
        <f>基础表!N965</f>
        <v>0</v>
      </c>
      <c r="O1053" s="52">
        <f ca="1" t="shared" si="325"/>
        <v>1930.1417</v>
      </c>
    </row>
    <row r="1054" s="38" customFormat="1" ht="15" customHeight="1" spans="1:16">
      <c r="A1054" s="115" t="str">
        <f>基础表!A966</f>
        <v>其它香精_通用_液体香精_SHRS0120</v>
      </c>
      <c r="B1054" s="50" t="s">
        <v>123</v>
      </c>
      <c r="C1054" s="52">
        <f>基础表!C966</f>
        <v>3008.3312</v>
      </c>
      <c r="D1054" s="52">
        <f>基础表!D966</f>
        <v>3060.11910000001</v>
      </c>
      <c r="E1054" s="52">
        <f>基础表!E966</f>
        <v>6069.55770000002</v>
      </c>
      <c r="F1054" s="52">
        <f>基础表!F966</f>
        <v>6083.33239999998</v>
      </c>
      <c r="G1054" s="52">
        <f>基础表!G966</f>
        <v>18373.2576</v>
      </c>
      <c r="H1054" s="52">
        <f>基础表!H966</f>
        <v>0</v>
      </c>
      <c r="I1054" s="52">
        <f>基础表!I966</f>
        <v>0</v>
      </c>
      <c r="J1054" s="52">
        <f>基础表!J966</f>
        <v>0</v>
      </c>
      <c r="K1054" s="52">
        <f>基础表!K966</f>
        <v>0</v>
      </c>
      <c r="L1054" s="52">
        <f>基础表!L966</f>
        <v>0</v>
      </c>
      <c r="M1054" s="52">
        <f>基础表!M966</f>
        <v>0</v>
      </c>
      <c r="N1054" s="52">
        <f>基础表!N966</f>
        <v>0</v>
      </c>
      <c r="O1054" s="52">
        <f ca="1" t="shared" si="325"/>
        <v>36594.598</v>
      </c>
    </row>
    <row r="1055" s="38" customFormat="1" ht="15" customHeight="1" spans="1:16">
      <c r="A1055" s="115" t="str">
        <f>基础表!A967</f>
        <v>甘蔗香精_通用_通用</v>
      </c>
      <c r="B1055" s="50" t="s">
        <v>123</v>
      </c>
      <c r="C1055" s="52">
        <f>基础表!C967</f>
        <v>0</v>
      </c>
      <c r="D1055" s="52">
        <f>基础表!D967</f>
        <v>0</v>
      </c>
      <c r="E1055" s="52">
        <f>基础表!E967</f>
        <v>0</v>
      </c>
      <c r="F1055" s="52">
        <f>基础表!F967</f>
        <v>0</v>
      </c>
      <c r="G1055" s="52">
        <f>基础表!G967</f>
        <v>0</v>
      </c>
      <c r="H1055" s="52">
        <f>基础表!H967</f>
        <v>0</v>
      </c>
      <c r="I1055" s="52">
        <f>基础表!I967</f>
        <v>0</v>
      </c>
      <c r="J1055" s="52">
        <f>基础表!J967</f>
        <v>0</v>
      </c>
      <c r="K1055" s="52">
        <f>基础表!K967</f>
        <v>0</v>
      </c>
      <c r="L1055" s="52">
        <f>基础表!L967</f>
        <v>0</v>
      </c>
      <c r="M1055" s="52">
        <f>基础表!M967</f>
        <v>0</v>
      </c>
      <c r="N1055" s="52">
        <f>基础表!N967</f>
        <v>0</v>
      </c>
      <c r="O1055" s="52">
        <f ca="1" t="shared" si="325"/>
        <v>0</v>
      </c>
    </row>
    <row r="1056" s="38" customFormat="1" ht="15" customHeight="1" spans="1:16">
      <c r="A1056" s="115" t="str">
        <f>基础表!A968</f>
        <v>炒板栗香精_通用_通用</v>
      </c>
      <c r="B1056" s="50" t="s">
        <v>123</v>
      </c>
      <c r="C1056" s="52">
        <f>基础表!C968</f>
        <v>0</v>
      </c>
      <c r="D1056" s="52">
        <f>基础表!D968</f>
        <v>0</v>
      </c>
      <c r="E1056" s="52">
        <f>基础表!E968</f>
        <v>0</v>
      </c>
      <c r="F1056" s="52">
        <f>基础表!F968</f>
        <v>0</v>
      </c>
      <c r="G1056" s="52">
        <f>基础表!G968</f>
        <v>0</v>
      </c>
      <c r="H1056" s="52">
        <f>基础表!H968</f>
        <v>0</v>
      </c>
      <c r="I1056" s="52">
        <f>基础表!I968</f>
        <v>0</v>
      </c>
      <c r="J1056" s="52">
        <f>基础表!J968</f>
        <v>0</v>
      </c>
      <c r="K1056" s="52">
        <f>基础表!K968</f>
        <v>0</v>
      </c>
      <c r="L1056" s="52">
        <f>基础表!L968</f>
        <v>0</v>
      </c>
      <c r="M1056" s="52">
        <f>基础表!M968</f>
        <v>0</v>
      </c>
      <c r="N1056" s="52">
        <f>基础表!N968</f>
        <v>0</v>
      </c>
      <c r="O1056" s="52">
        <f ca="1" t="shared" si="325"/>
        <v>0</v>
      </c>
    </row>
    <row r="1057" s="38" customFormat="1" ht="15" customHeight="1" spans="1:15">
      <c r="A1057" s="115" t="str">
        <f>基础表!A969</f>
        <v>其它香精_通用_液体香精_SHRS0160</v>
      </c>
      <c r="B1057" s="50" t="s">
        <v>123</v>
      </c>
      <c r="C1057" s="52">
        <f>基础表!C969</f>
        <v>532.885399999999</v>
      </c>
      <c r="D1057" s="52">
        <f>基础表!D969</f>
        <v>262.0809</v>
      </c>
      <c r="E1057" s="52">
        <f>基础表!E969</f>
        <v>0</v>
      </c>
      <c r="F1057" s="52">
        <f>基础表!F969</f>
        <v>670.0335</v>
      </c>
      <c r="G1057" s="52">
        <f>基础表!G969</f>
        <v>480.905400000001</v>
      </c>
      <c r="H1057" s="52">
        <f>基础表!H969</f>
        <v>0</v>
      </c>
      <c r="I1057" s="52">
        <f>基础表!I969</f>
        <v>0</v>
      </c>
      <c r="J1057" s="52">
        <f>基础表!J969</f>
        <v>0</v>
      </c>
      <c r="K1057" s="52">
        <f>基础表!K969</f>
        <v>0</v>
      </c>
      <c r="L1057" s="52">
        <f>基础表!L969</f>
        <v>0</v>
      </c>
      <c r="M1057" s="52">
        <f>基础表!M969</f>
        <v>0</v>
      </c>
      <c r="N1057" s="52">
        <f>基础表!N969</f>
        <v>0</v>
      </c>
      <c r="O1057" s="52">
        <f ca="1" t="shared" si="325"/>
        <v>1945.9052</v>
      </c>
    </row>
    <row r="1058" s="38" customFormat="1" ht="15" customHeight="1" spans="1:15">
      <c r="A1058" s="115" t="str">
        <f>基础表!A970</f>
        <v>其它香精_通用_液体香精_SHRS0240</v>
      </c>
      <c r="B1058" s="50" t="s">
        <v>123</v>
      </c>
      <c r="C1058" s="52">
        <f>基础表!C970</f>
        <v>372.029900000001</v>
      </c>
      <c r="D1058" s="52">
        <f>基础表!D970</f>
        <v>0</v>
      </c>
      <c r="E1058" s="52">
        <f>基础表!E970</f>
        <v>0</v>
      </c>
      <c r="F1058" s="52">
        <f>基础表!F970</f>
        <v>417.9644</v>
      </c>
      <c r="G1058" s="52">
        <f>基础表!G970</f>
        <v>0</v>
      </c>
      <c r="H1058" s="52">
        <f>基础表!H970</f>
        <v>62.1951999999999</v>
      </c>
      <c r="I1058" s="52">
        <f>基础表!I970</f>
        <v>0</v>
      </c>
      <c r="J1058" s="52">
        <f>基础表!J970</f>
        <v>0</v>
      </c>
      <c r="K1058" s="52">
        <f>基础表!K970</f>
        <v>0</v>
      </c>
      <c r="L1058" s="52">
        <f>基础表!L970</f>
        <v>0</v>
      </c>
      <c r="M1058" s="52">
        <f>基础表!M970</f>
        <v>0</v>
      </c>
      <c r="N1058" s="52">
        <f>基础表!N970</f>
        <v>0</v>
      </c>
      <c r="O1058" s="52">
        <f ca="1" t="shared" si="325"/>
        <v>852.189500000001</v>
      </c>
    </row>
    <row r="1059" s="38" customFormat="1" ht="15" customHeight="1" spans="1:15">
      <c r="A1059" s="115" t="str">
        <f>基础表!A971</f>
        <v>其它香精_通用_液体香精_SHRS0220</v>
      </c>
      <c r="B1059" s="50"/>
      <c r="C1059" s="52">
        <f>基础表!C971</f>
        <v>0</v>
      </c>
      <c r="D1059" s="52">
        <f>基础表!D971</f>
        <v>1137.8083</v>
      </c>
      <c r="E1059" s="52">
        <f>基础表!E971</f>
        <v>0</v>
      </c>
      <c r="F1059" s="52">
        <f>基础表!F971</f>
        <v>0</v>
      </c>
      <c r="G1059" s="52">
        <f>基础表!G971</f>
        <v>1857.0872</v>
      </c>
      <c r="H1059" s="52">
        <f>基础表!H971</f>
        <v>0</v>
      </c>
      <c r="I1059" s="52">
        <f>基础表!I971</f>
        <v>0</v>
      </c>
      <c r="J1059" s="52">
        <f>基础表!J971</f>
        <v>0</v>
      </c>
      <c r="K1059" s="52">
        <f>基础表!K971</f>
        <v>0</v>
      </c>
      <c r="L1059" s="52">
        <f>基础表!L971</f>
        <v>0</v>
      </c>
      <c r="M1059" s="52">
        <f>基础表!M971</f>
        <v>0</v>
      </c>
      <c r="N1059" s="52">
        <f>基础表!N971</f>
        <v>0</v>
      </c>
      <c r="O1059" s="52">
        <f ca="1" t="shared" si="325"/>
        <v>2994.8955</v>
      </c>
    </row>
    <row r="1060" s="38" customFormat="1" ht="15" customHeight="1" spans="1:15">
      <c r="A1060" s="115" t="str">
        <f>基础表!A972</f>
        <v>甘蔗多酚_通用</v>
      </c>
      <c r="B1060" s="50"/>
      <c r="C1060" s="52">
        <f>基础表!C972</f>
        <v>0</v>
      </c>
      <c r="D1060" s="52">
        <f>基础表!D972</f>
        <v>0</v>
      </c>
      <c r="E1060" s="52">
        <f>基础表!E972</f>
        <v>0</v>
      </c>
      <c r="F1060" s="52">
        <f>基础表!F972</f>
        <v>0</v>
      </c>
      <c r="G1060" s="52">
        <f>基础表!G972</f>
        <v>0</v>
      </c>
      <c r="H1060" s="52">
        <f>基础表!H972</f>
        <v>0</v>
      </c>
      <c r="I1060" s="52">
        <f>基础表!I972</f>
        <v>0</v>
      </c>
      <c r="J1060" s="52">
        <f>基础表!J972</f>
        <v>0</v>
      </c>
      <c r="K1060" s="52">
        <f>基础表!K972</f>
        <v>0</v>
      </c>
      <c r="L1060" s="52">
        <f>基础表!L972</f>
        <v>0</v>
      </c>
      <c r="M1060" s="52">
        <f>基础表!M972</f>
        <v>0</v>
      </c>
      <c r="N1060" s="52">
        <f>基础表!N972</f>
        <v>0</v>
      </c>
      <c r="O1060" s="52">
        <f ca="1" t="shared" si="325"/>
        <v>0</v>
      </c>
    </row>
    <row r="1061" s="38" customFormat="1" ht="15" customHeight="1" spans="1:15">
      <c r="A1061" s="115" t="str">
        <f>基础表!A973</f>
        <v>其它香精_通用_液体香精_SHRS0200</v>
      </c>
      <c r="B1061" s="50"/>
      <c r="C1061" s="52">
        <f>基础表!C973</f>
        <v>0</v>
      </c>
      <c r="D1061" s="52">
        <f>基础表!D973</f>
        <v>406.223699999999</v>
      </c>
      <c r="E1061" s="52">
        <f>基础表!E973</f>
        <v>0</v>
      </c>
      <c r="F1061" s="52">
        <f>基础表!F973</f>
        <v>0</v>
      </c>
      <c r="G1061" s="52">
        <f>基础表!G973</f>
        <v>666.191500000002</v>
      </c>
      <c r="H1061" s="52">
        <f>基础表!H973</f>
        <v>0</v>
      </c>
      <c r="I1061" s="52">
        <f>基础表!I973</f>
        <v>0</v>
      </c>
      <c r="J1061" s="52">
        <f>基础表!J973</f>
        <v>0</v>
      </c>
      <c r="K1061" s="52">
        <f>基础表!K973</f>
        <v>0</v>
      </c>
      <c r="L1061" s="52">
        <f>基础表!L973</f>
        <v>0</v>
      </c>
      <c r="M1061" s="52">
        <f>基础表!M973</f>
        <v>0</v>
      </c>
      <c r="N1061" s="52">
        <f>基础表!N973</f>
        <v>0</v>
      </c>
      <c r="O1061" s="52">
        <f ca="1" t="shared" si="325"/>
        <v>1072.4152</v>
      </c>
    </row>
    <row r="1062" s="38" customFormat="1" ht="15" customHeight="1" spans="1:15">
      <c r="A1062" s="115" t="str">
        <f>基础表!A974</f>
        <v>无水柠檬酸_细目</v>
      </c>
      <c r="B1062" s="50"/>
      <c r="C1062" s="52">
        <f>基础表!C974</f>
        <v>301.3371</v>
      </c>
      <c r="D1062" s="52">
        <f>基础表!D974</f>
        <v>123.0005</v>
      </c>
      <c r="E1062" s="52">
        <f>基础表!E974</f>
        <v>559.6551</v>
      </c>
      <c r="F1062" s="52">
        <f>基础表!F974</f>
        <v>319.79</v>
      </c>
      <c r="G1062" s="52">
        <f>基础表!G974</f>
        <v>707.255699999999</v>
      </c>
      <c r="H1062" s="52">
        <f>基础表!H974</f>
        <v>387.4544</v>
      </c>
      <c r="I1062" s="52">
        <f>基础表!I974</f>
        <v>0</v>
      </c>
      <c r="J1062" s="52">
        <f>基础表!J974</f>
        <v>0</v>
      </c>
      <c r="K1062" s="52">
        <f>基础表!K974</f>
        <v>0</v>
      </c>
      <c r="L1062" s="52">
        <f>基础表!L974</f>
        <v>0</v>
      </c>
      <c r="M1062" s="52">
        <f>基础表!M974</f>
        <v>0</v>
      </c>
      <c r="N1062" s="52">
        <f>基础表!N974</f>
        <v>0</v>
      </c>
      <c r="O1062" s="52">
        <f ca="1" t="shared" si="325"/>
        <v>2398.4928</v>
      </c>
    </row>
    <row r="1063" s="38" customFormat="1" ht="15" customHeight="1" spans="1:15">
      <c r="A1063" s="115" t="str">
        <f>基础表!A975</f>
        <v>亮蓝_通用_通用_GB1886.217—2016</v>
      </c>
      <c r="B1063" s="50"/>
      <c r="C1063" s="52">
        <f>基础表!C975</f>
        <v>0</v>
      </c>
      <c r="D1063" s="52">
        <f>基础表!D975</f>
        <v>0</v>
      </c>
      <c r="E1063" s="52">
        <f>基础表!E975</f>
        <v>0</v>
      </c>
      <c r="F1063" s="52">
        <f>基础表!F975</f>
        <v>82.9081</v>
      </c>
      <c r="G1063" s="52">
        <f>基础表!G975</f>
        <v>249.1085</v>
      </c>
      <c r="H1063" s="52">
        <f>基础表!H975</f>
        <v>59.9804000000001</v>
      </c>
      <c r="I1063" s="52">
        <f>基础表!I975</f>
        <v>0</v>
      </c>
      <c r="J1063" s="52">
        <f>基础表!J975</f>
        <v>0</v>
      </c>
      <c r="K1063" s="52">
        <f>基础表!K975</f>
        <v>0</v>
      </c>
      <c r="L1063" s="52">
        <f>基础表!L975</f>
        <v>0</v>
      </c>
      <c r="M1063" s="52">
        <f>基础表!M975</f>
        <v>0</v>
      </c>
      <c r="N1063" s="52">
        <f>基础表!N975</f>
        <v>0</v>
      </c>
      <c r="O1063" s="52">
        <f ca="1">SUM(OFFSET($C1063,0,0,1,mth))</f>
        <v>391.997</v>
      </c>
    </row>
    <row r="1064" s="38" customFormat="1" ht="15" customHeight="1" spans="1:15">
      <c r="A1064" s="48" t="s">
        <v>232</v>
      </c>
      <c r="B1064" s="60" t="s">
        <v>123</v>
      </c>
      <c r="C1064" s="367">
        <f>基础表!C976</f>
        <v>227613.0072</v>
      </c>
      <c r="D1064" s="367">
        <f>基础表!D976</f>
        <v>84398.6491</v>
      </c>
      <c r="E1064" s="367">
        <f>基础表!E976</f>
        <v>396486.8968</v>
      </c>
      <c r="F1064" s="367">
        <f>基础表!F976</f>
        <v>764058.3592</v>
      </c>
      <c r="G1064" s="367">
        <f>基础表!G976</f>
        <v>525338.1639</v>
      </c>
      <c r="H1064" s="367">
        <f>基础表!H976</f>
        <v>241780.4161</v>
      </c>
      <c r="I1064" s="367">
        <f>基础表!I976</f>
        <v>0</v>
      </c>
      <c r="J1064" s="367">
        <f>基础表!J976</f>
        <v>0</v>
      </c>
      <c r="K1064" s="367">
        <f>基础表!K976</f>
        <v>0</v>
      </c>
      <c r="L1064" s="367">
        <f>基础表!L976</f>
        <v>0</v>
      </c>
      <c r="M1064" s="367">
        <f>基础表!M976</f>
        <v>0</v>
      </c>
      <c r="N1064" s="367">
        <f>基础表!N976</f>
        <v>0</v>
      </c>
      <c r="O1064" s="367">
        <f ca="1">SUM(OFFSET($C1064,0,0,1,mth))</f>
        <v>2239675.4923</v>
      </c>
    </row>
    <row r="1065" s="38" customFormat="1" ht="15" customHeight="1" spans="1:15">
      <c r="A1065" s="227" t="s">
        <v>355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="38" customFormat="1" ht="15" customHeight="1" spans="1:15">
      <c r="A1066" s="48" t="s">
        <v>354</v>
      </c>
      <c r="B1066" s="230" t="s">
        <v>77</v>
      </c>
      <c r="C1066" s="48" t="s">
        <v>220</v>
      </c>
      <c r="D1066" s="48" t="s">
        <v>221</v>
      </c>
      <c r="E1066" s="48" t="s">
        <v>222</v>
      </c>
      <c r="F1066" s="48" t="s">
        <v>223</v>
      </c>
      <c r="G1066" s="48" t="s">
        <v>224</v>
      </c>
      <c r="H1066" s="48" t="s">
        <v>225</v>
      </c>
      <c r="I1066" s="48" t="s">
        <v>226</v>
      </c>
      <c r="J1066" s="48" t="s">
        <v>227</v>
      </c>
      <c r="K1066" s="48" t="s">
        <v>228</v>
      </c>
      <c r="L1066" s="48" t="s">
        <v>229</v>
      </c>
      <c r="M1066" s="48" t="s">
        <v>230</v>
      </c>
      <c r="N1066" s="48" t="s">
        <v>231</v>
      </c>
      <c r="O1066" s="48" t="str">
        <f>CONCATENATE("1-"&amp;mth&amp;"月累计")</f>
        <v>1-8月累计</v>
      </c>
    </row>
    <row r="1067" s="38" customFormat="1" ht="15" customHeight="1" spans="1:15">
      <c r="A1067" s="307" t="s">
        <v>178</v>
      </c>
      <c r="B1067" s="50" t="s">
        <v>123</v>
      </c>
      <c r="C1067" s="52">
        <f>基础表!C979</f>
        <v>0</v>
      </c>
      <c r="D1067" s="52">
        <f>基础表!D979</f>
        <v>0</v>
      </c>
      <c r="E1067" s="52">
        <f>基础表!E979</f>
        <v>0</v>
      </c>
      <c r="F1067" s="52">
        <f>基础表!F979</f>
        <v>0</v>
      </c>
      <c r="G1067" s="52">
        <f>基础表!G979</f>
        <v>0</v>
      </c>
      <c r="H1067" s="52">
        <f>基础表!H979</f>
        <v>0</v>
      </c>
      <c r="I1067" s="52">
        <f>基础表!I979</f>
        <v>0</v>
      </c>
      <c r="J1067" s="52">
        <f>基础表!J979</f>
        <v>0</v>
      </c>
      <c r="K1067" s="52">
        <f>基础表!K979</f>
        <v>0</v>
      </c>
      <c r="L1067" s="52">
        <f>基础表!L979</f>
        <v>0</v>
      </c>
      <c r="M1067" s="52">
        <f>基础表!M979</f>
        <v>0</v>
      </c>
      <c r="N1067" s="52">
        <f>基础表!N979</f>
        <v>0</v>
      </c>
      <c r="O1067" s="52">
        <f ca="1">SUM(OFFSET($C1067,0,0,1,mth))</f>
        <v>0</v>
      </c>
    </row>
    <row r="1068" s="38" customFormat="1" ht="15" customHeight="1" spans="1:15">
      <c r="A1068" s="307" t="s">
        <v>179</v>
      </c>
      <c r="B1068" s="50" t="s">
        <v>123</v>
      </c>
      <c r="C1068" s="52">
        <f>基础表!C980</f>
        <v>0</v>
      </c>
      <c r="D1068" s="52">
        <f>基础表!D980</f>
        <v>389.8952</v>
      </c>
      <c r="E1068" s="52">
        <f>基础表!E980</f>
        <v>153.1715</v>
      </c>
      <c r="F1068" s="52">
        <f>基础表!F980</f>
        <v>1246.6273</v>
      </c>
      <c r="G1068" s="52">
        <f>基础表!G980</f>
        <v>2142.0845</v>
      </c>
      <c r="H1068" s="52">
        <f>基础表!H980</f>
        <v>715.7985</v>
      </c>
      <c r="I1068" s="52">
        <f>基础表!I980</f>
        <v>0</v>
      </c>
      <c r="J1068" s="52">
        <f>基础表!J980</f>
        <v>0</v>
      </c>
      <c r="K1068" s="52">
        <f>基础表!K980</f>
        <v>0</v>
      </c>
      <c r="L1068" s="52">
        <f>基础表!L980</f>
        <v>0</v>
      </c>
      <c r="M1068" s="52">
        <f>基础表!M980</f>
        <v>0</v>
      </c>
      <c r="N1068" s="52">
        <f>基础表!N980</f>
        <v>0</v>
      </c>
      <c r="O1068" s="52">
        <f ca="1">SUM(OFFSET($C1068,0,0,1,mth))</f>
        <v>4647.577</v>
      </c>
    </row>
    <row r="1069" s="38" customFormat="1" ht="15" customHeight="1" spans="1:15">
      <c r="A1069" s="307" t="s">
        <v>180</v>
      </c>
      <c r="B1069" s="50" t="s">
        <v>123</v>
      </c>
      <c r="C1069" s="52">
        <f>基础表!C981</f>
        <v>0</v>
      </c>
      <c r="D1069" s="52">
        <f>基础表!D981</f>
        <v>0</v>
      </c>
      <c r="E1069" s="52">
        <f>基础表!E981</f>
        <v>0</v>
      </c>
      <c r="F1069" s="52">
        <f>基础表!F981</f>
        <v>0</v>
      </c>
      <c r="G1069" s="52">
        <f>基础表!G981</f>
        <v>0</v>
      </c>
      <c r="H1069" s="52">
        <f>基础表!H981</f>
        <v>0</v>
      </c>
      <c r="I1069" s="52">
        <f>基础表!I981</f>
        <v>0</v>
      </c>
      <c r="J1069" s="52">
        <f>基础表!J981</f>
        <v>0</v>
      </c>
      <c r="K1069" s="52">
        <f>基础表!K981</f>
        <v>0</v>
      </c>
      <c r="L1069" s="52">
        <f>基础表!L981</f>
        <v>0</v>
      </c>
      <c r="M1069" s="52">
        <f>基础表!M981</f>
        <v>0</v>
      </c>
      <c r="N1069" s="52">
        <f>基础表!N981</f>
        <v>0</v>
      </c>
      <c r="O1069" s="52">
        <f ca="1">SUM(OFFSET($C1069,0,0,1,mth))</f>
        <v>0</v>
      </c>
    </row>
    <row r="1070" s="38" customFormat="1" ht="15" customHeight="1" spans="1:15">
      <c r="A1070" s="307" t="s">
        <v>181</v>
      </c>
      <c r="B1070" s="50" t="s">
        <v>123</v>
      </c>
      <c r="C1070" s="52">
        <f>基础表!C982</f>
        <v>0</v>
      </c>
      <c r="D1070" s="52">
        <f>基础表!D982</f>
        <v>26923.4591</v>
      </c>
      <c r="E1070" s="52">
        <f>基础表!E982</f>
        <v>0</v>
      </c>
      <c r="F1070" s="52">
        <f>基础表!F982</f>
        <v>26906.7916</v>
      </c>
      <c r="G1070" s="52">
        <f>基础表!G982</f>
        <v>55692.3325</v>
      </c>
      <c r="H1070" s="52">
        <f>基础表!H982</f>
        <v>21866.4944</v>
      </c>
      <c r="I1070" s="52">
        <f>基础表!I982</f>
        <v>0</v>
      </c>
      <c r="J1070" s="52">
        <f>基础表!J982</f>
        <v>0</v>
      </c>
      <c r="K1070" s="52">
        <f>基础表!K982</f>
        <v>0</v>
      </c>
      <c r="L1070" s="52">
        <f>基础表!L982</f>
        <v>0</v>
      </c>
      <c r="M1070" s="52">
        <f>基础表!M982</f>
        <v>0</v>
      </c>
      <c r="N1070" s="52">
        <f>基础表!N982</f>
        <v>0</v>
      </c>
      <c r="O1070" s="52">
        <f ca="1" t="shared" ref="O1070:O1080" si="326">SUM(OFFSET($C1070,0,0,1,mth))</f>
        <v>131389.0776</v>
      </c>
    </row>
    <row r="1071" s="38" customFormat="1" ht="15" customHeight="1" spans="1:15">
      <c r="A1071" s="307" t="s">
        <v>182</v>
      </c>
      <c r="B1071" s="50" t="s">
        <v>123</v>
      </c>
      <c r="C1071" s="52">
        <f>基础表!C983</f>
        <v>31241.2682</v>
      </c>
      <c r="D1071" s="52">
        <f>基础表!D983</f>
        <v>46058.0994</v>
      </c>
      <c r="E1071" s="52">
        <f>基础表!E983</f>
        <v>4943.8969</v>
      </c>
      <c r="F1071" s="52">
        <f>基础表!F983</f>
        <v>66879.0726</v>
      </c>
      <c r="G1071" s="52">
        <f>基础表!G983</f>
        <v>133782.2142</v>
      </c>
      <c r="H1071" s="52">
        <f>基础表!H983</f>
        <v>76036.4231</v>
      </c>
      <c r="I1071" s="52">
        <f>基础表!I983</f>
        <v>0</v>
      </c>
      <c r="J1071" s="52">
        <f>基础表!J983</f>
        <v>0</v>
      </c>
      <c r="K1071" s="52">
        <f>基础表!K983</f>
        <v>0</v>
      </c>
      <c r="L1071" s="52">
        <f>基础表!L983</f>
        <v>0</v>
      </c>
      <c r="M1071" s="52">
        <f>基础表!M983</f>
        <v>0</v>
      </c>
      <c r="N1071" s="52">
        <f>基础表!N983</f>
        <v>0</v>
      </c>
      <c r="O1071" s="52">
        <f ca="1" t="shared" si="326"/>
        <v>358940.9744</v>
      </c>
    </row>
    <row r="1072" s="38" customFormat="1" ht="15" customHeight="1" spans="1:15">
      <c r="A1072" s="307" t="s">
        <v>183</v>
      </c>
      <c r="B1072" s="50" t="s">
        <v>123</v>
      </c>
      <c r="C1072" s="52">
        <f>基础表!C984</f>
        <v>35764.387</v>
      </c>
      <c r="D1072" s="52">
        <f>基础表!D984</f>
        <v>20452.2203</v>
      </c>
      <c r="E1072" s="52">
        <f>基础表!E984</f>
        <v>0</v>
      </c>
      <c r="F1072" s="52">
        <f>基础表!F984</f>
        <v>34087.0489</v>
      </c>
      <c r="G1072" s="52">
        <f>基础表!G984</f>
        <v>34890.6823</v>
      </c>
      <c r="H1072" s="52">
        <f>基础表!H984</f>
        <v>46327.9773</v>
      </c>
      <c r="I1072" s="52">
        <f>基础表!I984</f>
        <v>0</v>
      </c>
      <c r="J1072" s="52">
        <f>基础表!J984</f>
        <v>0</v>
      </c>
      <c r="K1072" s="52">
        <f>基础表!K984</f>
        <v>0</v>
      </c>
      <c r="L1072" s="52">
        <f>基础表!L984</f>
        <v>0</v>
      </c>
      <c r="M1072" s="52">
        <f>基础表!M984</f>
        <v>0</v>
      </c>
      <c r="N1072" s="52">
        <f>基础表!N984</f>
        <v>0</v>
      </c>
      <c r="O1072" s="52">
        <f ca="1" t="shared" si="326"/>
        <v>171522.3158</v>
      </c>
    </row>
    <row r="1073" s="38" customFormat="1" ht="15" customHeight="1" spans="1:16">
      <c r="A1073" s="307" t="s">
        <v>184</v>
      </c>
      <c r="B1073" s="50" t="s">
        <v>123</v>
      </c>
      <c r="C1073" s="52">
        <f>基础表!C985</f>
        <v>3627.8424</v>
      </c>
      <c r="D1073" s="52">
        <f>基础表!D985</f>
        <v>2176.22180000001</v>
      </c>
      <c r="E1073" s="52">
        <f>基础表!E985</f>
        <v>0</v>
      </c>
      <c r="F1073" s="52">
        <f>基础表!F985</f>
        <v>3360.69910000001</v>
      </c>
      <c r="G1073" s="52">
        <f>基础表!G985</f>
        <v>3675.03119999999</v>
      </c>
      <c r="H1073" s="52">
        <f>基础表!H985</f>
        <v>5127.5671</v>
      </c>
      <c r="I1073" s="52">
        <f>基础表!I985</f>
        <v>0</v>
      </c>
      <c r="J1073" s="52">
        <f>基础表!J985</f>
        <v>0</v>
      </c>
      <c r="K1073" s="52">
        <f>基础表!K985</f>
        <v>0</v>
      </c>
      <c r="L1073" s="52">
        <f>基础表!L985</f>
        <v>0</v>
      </c>
      <c r="M1073" s="52">
        <f>基础表!M985</f>
        <v>0</v>
      </c>
      <c r="N1073" s="52">
        <f>基础表!N985</f>
        <v>0</v>
      </c>
      <c r="O1073" s="52">
        <f ca="1" t="shared" si="326"/>
        <v>17967.3616</v>
      </c>
    </row>
    <row r="1074" s="38" customFormat="1" ht="15" customHeight="1" spans="1:16">
      <c r="A1074" s="307" t="s">
        <v>185</v>
      </c>
      <c r="B1074" s="50" t="s">
        <v>123</v>
      </c>
      <c r="C1074" s="52">
        <f>基础表!C986</f>
        <v>388.7878</v>
      </c>
      <c r="D1074" s="52">
        <f>基础表!D986</f>
        <v>375.3747</v>
      </c>
      <c r="E1074" s="52">
        <f>基础表!E986</f>
        <v>0</v>
      </c>
      <c r="F1074" s="52">
        <f>基础表!F986</f>
        <v>580.4923</v>
      </c>
      <c r="G1074" s="52">
        <f>基础表!G986</f>
        <v>636.393399999999</v>
      </c>
      <c r="H1074" s="52">
        <f>基础表!H986</f>
        <v>697.4925</v>
      </c>
      <c r="I1074" s="52">
        <f>基础表!I986</f>
        <v>0</v>
      </c>
      <c r="J1074" s="52">
        <f>基础表!J986</f>
        <v>0</v>
      </c>
      <c r="K1074" s="52">
        <f>基础表!K986</f>
        <v>0</v>
      </c>
      <c r="L1074" s="52">
        <f>基础表!L986</f>
        <v>0</v>
      </c>
      <c r="M1074" s="52">
        <f>基础表!M986</f>
        <v>0</v>
      </c>
      <c r="N1074" s="52">
        <f>基础表!N986</f>
        <v>0</v>
      </c>
      <c r="O1074" s="52">
        <f ca="1" t="shared" si="326"/>
        <v>2678.5407</v>
      </c>
    </row>
    <row r="1075" s="38" customFormat="1" ht="15" customHeight="1" spans="1:16">
      <c r="A1075" s="307" t="s">
        <v>186</v>
      </c>
      <c r="B1075" s="50" t="s">
        <v>123</v>
      </c>
      <c r="C1075" s="52">
        <f>基础表!C987</f>
        <v>256.9733</v>
      </c>
      <c r="D1075" s="52">
        <f>基础表!D987</f>
        <v>899.3218</v>
      </c>
      <c r="E1075" s="52">
        <f>基础表!E987</f>
        <v>388.912100000001</v>
      </c>
      <c r="F1075" s="52">
        <f>基础表!F987</f>
        <v>798.921299999999</v>
      </c>
      <c r="G1075" s="52">
        <f>基础表!G987</f>
        <v>2200.4377</v>
      </c>
      <c r="H1075" s="52">
        <f>基础表!H987</f>
        <v>1775.6368</v>
      </c>
      <c r="I1075" s="52">
        <f>基础表!I987</f>
        <v>0</v>
      </c>
      <c r="J1075" s="52">
        <f>基础表!J987</f>
        <v>0</v>
      </c>
      <c r="K1075" s="52">
        <f>基础表!K987</f>
        <v>0</v>
      </c>
      <c r="L1075" s="52">
        <f>基础表!L987</f>
        <v>0</v>
      </c>
      <c r="M1075" s="52">
        <f>基础表!M987</f>
        <v>0</v>
      </c>
      <c r="N1075" s="52">
        <f>基础表!N987</f>
        <v>0</v>
      </c>
      <c r="O1075" s="52">
        <f ca="1" t="shared" si="326"/>
        <v>6320.203</v>
      </c>
      <c r="P1075" s="68"/>
    </row>
    <row r="1076" s="38" customFormat="1" ht="15" customHeight="1" spans="1:16">
      <c r="A1076" s="307" t="s">
        <v>187</v>
      </c>
      <c r="B1076" s="50" t="s">
        <v>123</v>
      </c>
      <c r="C1076" s="52">
        <f>基础表!C988</f>
        <v>0</v>
      </c>
      <c r="D1076" s="52">
        <f>基础表!D988</f>
        <v>0</v>
      </c>
      <c r="E1076" s="52">
        <f>基础表!E988</f>
        <v>0</v>
      </c>
      <c r="F1076" s="52">
        <f>基础表!F988</f>
        <v>0</v>
      </c>
      <c r="G1076" s="52">
        <f>基础表!G988</f>
        <v>0</v>
      </c>
      <c r="H1076" s="52">
        <f>基础表!H988</f>
        <v>0</v>
      </c>
      <c r="I1076" s="52">
        <f>基础表!I988</f>
        <v>0</v>
      </c>
      <c r="J1076" s="52">
        <f>基础表!J988</f>
        <v>0</v>
      </c>
      <c r="K1076" s="52">
        <f>基础表!K988</f>
        <v>0</v>
      </c>
      <c r="L1076" s="52">
        <f>基础表!L988</f>
        <v>0</v>
      </c>
      <c r="M1076" s="52">
        <f>基础表!M988</f>
        <v>0</v>
      </c>
      <c r="N1076" s="52">
        <f>基础表!N988</f>
        <v>0</v>
      </c>
      <c r="O1076" s="52">
        <f ca="1" t="shared" si="326"/>
        <v>0</v>
      </c>
    </row>
    <row r="1077" s="38" customFormat="1" ht="15" customHeight="1" spans="1:16">
      <c r="A1077" s="307" t="s">
        <v>188</v>
      </c>
      <c r="B1077" s="50"/>
      <c r="C1077" s="52">
        <f>基础表!C989</f>
        <v>3658.0021</v>
      </c>
      <c r="D1077" s="52">
        <f>基础表!D989</f>
        <v>4246.992</v>
      </c>
      <c r="E1077" s="52">
        <f>基础表!E989</f>
        <v>46.5108</v>
      </c>
      <c r="F1077" s="52">
        <f>基础表!F989</f>
        <v>356.503699999999</v>
      </c>
      <c r="G1077" s="52">
        <f>基础表!G989</f>
        <v>1239.9942</v>
      </c>
      <c r="H1077" s="52">
        <f>基础表!H989</f>
        <v>1115.9993</v>
      </c>
      <c r="I1077" s="52">
        <f>基础表!I989</f>
        <v>0</v>
      </c>
      <c r="J1077" s="52">
        <f>基础表!J989</f>
        <v>0</v>
      </c>
      <c r="K1077" s="52">
        <f>基础表!K989</f>
        <v>0</v>
      </c>
      <c r="L1077" s="52">
        <f>基础表!L989</f>
        <v>0</v>
      </c>
      <c r="M1077" s="52">
        <f>基础表!M989</f>
        <v>0</v>
      </c>
      <c r="N1077" s="52">
        <f>基础表!N989</f>
        <v>0</v>
      </c>
      <c r="O1077" s="52">
        <f ca="1" t="shared" si="326"/>
        <v>10664.0021</v>
      </c>
    </row>
    <row r="1078" s="38" customFormat="1" ht="15" customHeight="1" spans="1:16">
      <c r="A1078" s="307" t="s">
        <v>189</v>
      </c>
      <c r="B1078" s="50"/>
      <c r="C1078" s="52">
        <f>基础表!C990</f>
        <v>0</v>
      </c>
      <c r="D1078" s="52">
        <f>基础表!D990</f>
        <v>0</v>
      </c>
      <c r="E1078" s="52">
        <f>基础表!E990</f>
        <v>0</v>
      </c>
      <c r="F1078" s="52">
        <f>基础表!F990</f>
        <v>309.62</v>
      </c>
      <c r="G1078" s="52">
        <f>基础表!G990</f>
        <v>928.215899999999</v>
      </c>
      <c r="H1078" s="52">
        <f>基础表!H990</f>
        <v>274.1493</v>
      </c>
      <c r="I1078" s="52">
        <f>基础表!I990</f>
        <v>0</v>
      </c>
      <c r="J1078" s="52">
        <f>基础表!J990</f>
        <v>0</v>
      </c>
      <c r="K1078" s="52">
        <f>基础表!K990</f>
        <v>0</v>
      </c>
      <c r="L1078" s="52">
        <f>基础表!L990</f>
        <v>0</v>
      </c>
      <c r="M1078" s="52">
        <f>基础表!M990</f>
        <v>0</v>
      </c>
      <c r="N1078" s="52">
        <f>基础表!N990</f>
        <v>0</v>
      </c>
      <c r="O1078" s="52">
        <f ca="1" t="shared" si="326"/>
        <v>1511.9852</v>
      </c>
    </row>
    <row r="1079" s="38" customFormat="1" ht="15" customHeight="1" spans="1:16">
      <c r="A1079" s="307" t="s">
        <v>190</v>
      </c>
      <c r="B1079" s="50"/>
      <c r="C1079" s="52">
        <f>基础表!C991</f>
        <v>0</v>
      </c>
      <c r="D1079" s="52">
        <f>基础表!D991</f>
        <v>0</v>
      </c>
      <c r="E1079" s="52">
        <f>基础表!E991</f>
        <v>0</v>
      </c>
      <c r="F1079" s="52">
        <f>基础表!F991</f>
        <v>0</v>
      </c>
      <c r="G1079" s="52">
        <f>基础表!G991</f>
        <v>4590.27469999999</v>
      </c>
      <c r="H1079" s="52">
        <f>基础表!H991</f>
        <v>2429.726</v>
      </c>
      <c r="I1079" s="52">
        <f>基础表!I991</f>
        <v>0</v>
      </c>
      <c r="J1079" s="52">
        <f>基础表!J991</f>
        <v>0</v>
      </c>
      <c r="K1079" s="52">
        <f>基础表!K991</f>
        <v>0</v>
      </c>
      <c r="L1079" s="52">
        <f>基础表!L991</f>
        <v>0</v>
      </c>
      <c r="M1079" s="52">
        <f>基础表!M991</f>
        <v>0</v>
      </c>
      <c r="N1079" s="52">
        <f>基础表!N991</f>
        <v>0</v>
      </c>
      <c r="O1079" s="52">
        <f ca="1" t="shared" si="326"/>
        <v>7020.00069999999</v>
      </c>
    </row>
    <row r="1080" s="38" customFormat="1" ht="15" customHeight="1" spans="1:16">
      <c r="A1080" s="307" t="s">
        <v>191</v>
      </c>
      <c r="B1080" s="50" t="s">
        <v>123</v>
      </c>
      <c r="C1080" s="52">
        <f>基础表!C992</f>
        <v>0</v>
      </c>
      <c r="D1080" s="52">
        <f>基础表!D992</f>
        <v>47510.2398</v>
      </c>
      <c r="E1080" s="52">
        <f>基础表!E992</f>
        <v>72766.4177999999</v>
      </c>
      <c r="F1080" s="52">
        <f>基础表!F992</f>
        <v>146766.0046</v>
      </c>
      <c r="G1080" s="52">
        <f>基础表!G992</f>
        <v>212948.5791</v>
      </c>
      <c r="H1080" s="52">
        <f>基础表!H992</f>
        <v>273554.5697</v>
      </c>
      <c r="I1080" s="52">
        <f>基础表!I992</f>
        <v>0</v>
      </c>
      <c r="J1080" s="52">
        <f>基础表!J992</f>
        <v>0</v>
      </c>
      <c r="K1080" s="52">
        <f>基础表!K992</f>
        <v>0</v>
      </c>
      <c r="L1080" s="52">
        <f>基础表!L992</f>
        <v>0</v>
      </c>
      <c r="M1080" s="52">
        <f>基础表!M992</f>
        <v>0</v>
      </c>
      <c r="N1080" s="52">
        <f>基础表!N992</f>
        <v>0</v>
      </c>
      <c r="O1080" s="52">
        <f ca="1" t="shared" si="326"/>
        <v>753545.811</v>
      </c>
    </row>
    <row r="1081" s="38" customFormat="1" ht="15" customHeight="1" spans="1:16">
      <c r="A1081" s="307" t="s">
        <v>192</v>
      </c>
      <c r="B1081" s="50" t="s">
        <v>123</v>
      </c>
      <c r="C1081" s="52">
        <f>基础表!C993</f>
        <v>0</v>
      </c>
      <c r="D1081" s="52">
        <f>基础表!D993</f>
        <v>7788.5476</v>
      </c>
      <c r="E1081" s="52">
        <f>基础表!E993</f>
        <v>0</v>
      </c>
      <c r="F1081" s="52">
        <f>基础表!F993</f>
        <v>10104.0419</v>
      </c>
      <c r="G1081" s="52">
        <f>基础表!G993</f>
        <v>17042.1741</v>
      </c>
      <c r="H1081" s="52">
        <f>基础表!H993</f>
        <v>9615.0683</v>
      </c>
      <c r="I1081" s="52">
        <f>基础表!I993</f>
        <v>0</v>
      </c>
      <c r="J1081" s="52">
        <f>基础表!J993</f>
        <v>0</v>
      </c>
      <c r="K1081" s="52">
        <f>基础表!K993</f>
        <v>0</v>
      </c>
      <c r="L1081" s="52">
        <f>基础表!L993</f>
        <v>0</v>
      </c>
      <c r="M1081" s="52">
        <f>基础表!M993</f>
        <v>0</v>
      </c>
      <c r="N1081" s="52">
        <f>基础表!N993</f>
        <v>0</v>
      </c>
      <c r="O1081" s="52">
        <f ca="1">SUM(OFFSET($C1081,0,0,1,mth))</f>
        <v>44549.8319</v>
      </c>
    </row>
    <row r="1082" s="38" customFormat="1" ht="15" customHeight="1" spans="1:16">
      <c r="A1082" s="307" t="s">
        <v>193</v>
      </c>
      <c r="B1082" s="50" t="s">
        <v>123</v>
      </c>
      <c r="C1082" s="52">
        <f>基础表!C994</f>
        <v>0</v>
      </c>
      <c r="D1082" s="52">
        <f>基础表!D994</f>
        <v>0</v>
      </c>
      <c r="E1082" s="52">
        <f>基础表!E994</f>
        <v>0</v>
      </c>
      <c r="F1082" s="52">
        <f>基础表!F994</f>
        <v>0</v>
      </c>
      <c r="G1082" s="52">
        <f>基础表!G994</f>
        <v>0</v>
      </c>
      <c r="H1082" s="52">
        <f>基础表!H994</f>
        <v>0</v>
      </c>
      <c r="I1082" s="52">
        <f>基础表!I994</f>
        <v>0</v>
      </c>
      <c r="J1082" s="52">
        <f>基础表!J994</f>
        <v>0</v>
      </c>
      <c r="K1082" s="52">
        <f>基础表!K994</f>
        <v>0</v>
      </c>
      <c r="L1082" s="52">
        <f>基础表!L994</f>
        <v>0</v>
      </c>
      <c r="M1082" s="52">
        <f>基础表!M994</f>
        <v>0</v>
      </c>
      <c r="N1082" s="52">
        <f>基础表!N994</f>
        <v>0</v>
      </c>
      <c r="O1082" s="52">
        <f ca="1">SUM(OFFSET($C1082,0,0,1,mth))</f>
        <v>0</v>
      </c>
    </row>
    <row r="1083" s="38" customFormat="1" ht="15" customHeight="1" spans="1:16">
      <c r="A1083" s="307" t="s">
        <v>194</v>
      </c>
      <c r="B1083" s="50" t="s">
        <v>123</v>
      </c>
      <c r="C1083" s="52">
        <f>基础表!C995</f>
        <v>2888.9241</v>
      </c>
      <c r="D1083" s="52">
        <f>基础表!D995</f>
        <v>0</v>
      </c>
      <c r="E1083" s="52">
        <f>基础表!E995</f>
        <v>0</v>
      </c>
      <c r="F1083" s="52">
        <f>基础表!F995</f>
        <v>0</v>
      </c>
      <c r="G1083" s="52">
        <f>基础表!G995</f>
        <v>0</v>
      </c>
      <c r="H1083" s="52">
        <f>基础表!H995</f>
        <v>0</v>
      </c>
      <c r="I1083" s="52">
        <f>基础表!I995</f>
        <v>0</v>
      </c>
      <c r="J1083" s="52">
        <f>基础表!J995</f>
        <v>0</v>
      </c>
      <c r="K1083" s="52">
        <f>基础表!K995</f>
        <v>0</v>
      </c>
      <c r="L1083" s="52">
        <f>基础表!L995</f>
        <v>0</v>
      </c>
      <c r="M1083" s="52">
        <f>基础表!M995</f>
        <v>0</v>
      </c>
      <c r="N1083" s="52">
        <f>基础表!N995</f>
        <v>0</v>
      </c>
      <c r="O1083" s="52">
        <f ca="1">SUM(OFFSET($C1083,0,0,1,mth))</f>
        <v>2888.9241</v>
      </c>
    </row>
    <row r="1084" s="38" customFormat="1" ht="15" customHeight="1" spans="1:16">
      <c r="A1084" s="307" t="s">
        <v>195</v>
      </c>
      <c r="B1084" s="50" t="s">
        <v>123</v>
      </c>
      <c r="C1084" s="52">
        <f>基础表!C996</f>
        <v>0</v>
      </c>
      <c r="D1084" s="52">
        <f>基础表!D996</f>
        <v>0</v>
      </c>
      <c r="E1084" s="52">
        <f>基础表!E996</f>
        <v>0</v>
      </c>
      <c r="F1084" s="52">
        <f>基础表!F996</f>
        <v>499.0419</v>
      </c>
      <c r="G1084" s="52">
        <f>基础表!G996</f>
        <v>1496.0409</v>
      </c>
      <c r="H1084" s="52">
        <f>基础表!H996</f>
        <v>116.9098</v>
      </c>
      <c r="I1084" s="52">
        <f>基础表!I996</f>
        <v>0</v>
      </c>
      <c r="J1084" s="52">
        <f>基础表!J996</f>
        <v>0</v>
      </c>
      <c r="K1084" s="52">
        <f>基础表!K996</f>
        <v>0</v>
      </c>
      <c r="L1084" s="52">
        <f>基础表!L996</f>
        <v>0</v>
      </c>
      <c r="M1084" s="52">
        <f>基础表!M996</f>
        <v>0</v>
      </c>
      <c r="N1084" s="52">
        <f>基础表!N996</f>
        <v>0</v>
      </c>
      <c r="O1084" s="52">
        <f ca="1" t="shared" ref="O1084:O1094" si="327">SUM(OFFSET($C1084,0,0,1,mth))</f>
        <v>2111.9926</v>
      </c>
    </row>
    <row r="1085" s="38" customFormat="1" ht="15" customHeight="1" spans="1:16">
      <c r="A1085" s="307" t="s">
        <v>196</v>
      </c>
      <c r="B1085" s="50" t="s">
        <v>123</v>
      </c>
      <c r="C1085" s="52">
        <f>基础表!C997</f>
        <v>0</v>
      </c>
      <c r="D1085" s="52">
        <f>基础表!D997</f>
        <v>0</v>
      </c>
      <c r="E1085" s="52">
        <f>基础表!E997</f>
        <v>0</v>
      </c>
      <c r="F1085" s="52">
        <f>基础表!F997</f>
        <v>0</v>
      </c>
      <c r="G1085" s="52">
        <f>基础表!G997</f>
        <v>0</v>
      </c>
      <c r="H1085" s="52">
        <f>基础表!H997</f>
        <v>0</v>
      </c>
      <c r="I1085" s="52">
        <f>基础表!I997</f>
        <v>0</v>
      </c>
      <c r="J1085" s="52">
        <f>基础表!J997</f>
        <v>0</v>
      </c>
      <c r="K1085" s="52">
        <f>基础表!K997</f>
        <v>0</v>
      </c>
      <c r="L1085" s="52">
        <f>基础表!L997</f>
        <v>0</v>
      </c>
      <c r="M1085" s="52">
        <f>基础表!M997</f>
        <v>0</v>
      </c>
      <c r="N1085" s="52">
        <f>基础表!N997</f>
        <v>0</v>
      </c>
      <c r="O1085" s="52">
        <f ca="1" t="shared" si="327"/>
        <v>0</v>
      </c>
    </row>
    <row r="1086" s="38" customFormat="1" ht="15" customHeight="1" spans="1:16">
      <c r="A1086" s="307" t="s">
        <v>197</v>
      </c>
      <c r="B1086" s="50" t="s">
        <v>123</v>
      </c>
      <c r="C1086" s="52">
        <f>基础表!C998</f>
        <v>0</v>
      </c>
      <c r="D1086" s="52">
        <f>基础表!D998</f>
        <v>0</v>
      </c>
      <c r="E1086" s="52">
        <f>基础表!E998</f>
        <v>0</v>
      </c>
      <c r="F1086" s="52">
        <f>基础表!F998</f>
        <v>0</v>
      </c>
      <c r="G1086" s="52">
        <f>基础表!G998</f>
        <v>0</v>
      </c>
      <c r="H1086" s="52">
        <f>基础表!H998</f>
        <v>0</v>
      </c>
      <c r="I1086" s="52">
        <f>基础表!I998</f>
        <v>0</v>
      </c>
      <c r="J1086" s="52">
        <f>基础表!J998</f>
        <v>0</v>
      </c>
      <c r="K1086" s="52">
        <f>基础表!K998</f>
        <v>0</v>
      </c>
      <c r="L1086" s="52">
        <f>基础表!L998</f>
        <v>0</v>
      </c>
      <c r="M1086" s="52">
        <f>基础表!M998</f>
        <v>0</v>
      </c>
      <c r="N1086" s="52">
        <f>基础表!N998</f>
        <v>0</v>
      </c>
      <c r="O1086" s="52">
        <f ca="1" t="shared" si="327"/>
        <v>0</v>
      </c>
    </row>
    <row r="1087" s="38" customFormat="1" ht="15" customHeight="1" spans="1:16">
      <c r="A1087" s="115" t="s">
        <v>198</v>
      </c>
      <c r="B1087" s="50" t="s">
        <v>123</v>
      </c>
      <c r="C1087" s="52">
        <f>基础表!C999</f>
        <v>0</v>
      </c>
      <c r="D1087" s="52">
        <f>基础表!D999</f>
        <v>2249.9995</v>
      </c>
      <c r="E1087" s="52">
        <f>基础表!E999</f>
        <v>3515.90460000001</v>
      </c>
      <c r="F1087" s="52">
        <f>基础表!F999</f>
        <v>4562.7479</v>
      </c>
      <c r="G1087" s="52">
        <f>基础表!G999</f>
        <v>17000.2511</v>
      </c>
      <c r="H1087" s="52">
        <f>基础表!H999</f>
        <v>5581.183</v>
      </c>
      <c r="I1087" s="52">
        <f>基础表!I999</f>
        <v>0</v>
      </c>
      <c r="J1087" s="52">
        <f>基础表!J999</f>
        <v>0</v>
      </c>
      <c r="K1087" s="52">
        <f>基础表!K999</f>
        <v>0</v>
      </c>
      <c r="L1087" s="52">
        <f>基础表!L999</f>
        <v>0</v>
      </c>
      <c r="M1087" s="52">
        <f>基础表!M999</f>
        <v>0</v>
      </c>
      <c r="N1087" s="52">
        <f>基础表!N999</f>
        <v>0</v>
      </c>
      <c r="O1087" s="52">
        <f ca="1" t="shared" si="327"/>
        <v>32910.0861</v>
      </c>
    </row>
    <row r="1088" s="38" customFormat="1" ht="15" customHeight="1" spans="1:16">
      <c r="A1088" s="307" t="s">
        <v>199</v>
      </c>
      <c r="B1088" s="50" t="s">
        <v>123</v>
      </c>
      <c r="C1088" s="52">
        <f>基础表!C1000</f>
        <v>0</v>
      </c>
      <c r="D1088" s="52">
        <f>基础表!D1000</f>
        <v>0</v>
      </c>
      <c r="E1088" s="52">
        <f>基础表!E1000</f>
        <v>0</v>
      </c>
      <c r="F1088" s="52">
        <f>基础表!F1000</f>
        <v>0</v>
      </c>
      <c r="G1088" s="52">
        <f>基础表!G1000</f>
        <v>0</v>
      </c>
      <c r="H1088" s="52">
        <f>基础表!H1000</f>
        <v>0</v>
      </c>
      <c r="I1088" s="52">
        <f>基础表!I1000</f>
        <v>0</v>
      </c>
      <c r="J1088" s="52">
        <f>基础表!J1000</f>
        <v>0</v>
      </c>
      <c r="K1088" s="52">
        <f>基础表!K1000</f>
        <v>0</v>
      </c>
      <c r="L1088" s="52">
        <f>基础表!L1000</f>
        <v>0</v>
      </c>
      <c r="M1088" s="52">
        <f>基础表!M1000</f>
        <v>0</v>
      </c>
      <c r="N1088" s="52">
        <f>基础表!N1000</f>
        <v>0</v>
      </c>
      <c r="O1088" s="52">
        <f ca="1" t="shared" si="327"/>
        <v>0</v>
      </c>
    </row>
    <row r="1089" s="38" customFormat="1" ht="15" customHeight="1" spans="1:16">
      <c r="A1089" s="115" t="s">
        <v>200</v>
      </c>
      <c r="B1089" s="50" t="s">
        <v>123</v>
      </c>
      <c r="C1089" s="52">
        <f>基础表!C1001</f>
        <v>0</v>
      </c>
      <c r="D1089" s="52">
        <f>基础表!D1001</f>
        <v>0</v>
      </c>
      <c r="E1089" s="52">
        <f>基础表!E1001</f>
        <v>0</v>
      </c>
      <c r="F1089" s="52">
        <f>基础表!F1001</f>
        <v>0</v>
      </c>
      <c r="G1089" s="52">
        <f>基础表!G1001</f>
        <v>0</v>
      </c>
      <c r="H1089" s="52">
        <f>基础表!H1001</f>
        <v>0</v>
      </c>
      <c r="I1089" s="52">
        <f>基础表!I1001</f>
        <v>0</v>
      </c>
      <c r="J1089" s="52">
        <f>基础表!J1001</f>
        <v>0</v>
      </c>
      <c r="K1089" s="52">
        <f>基础表!K1001</f>
        <v>0</v>
      </c>
      <c r="L1089" s="52">
        <f>基础表!L1001</f>
        <v>0</v>
      </c>
      <c r="M1089" s="52">
        <f>基础表!M1001</f>
        <v>0</v>
      </c>
      <c r="N1089" s="52">
        <f>基础表!N1001</f>
        <v>0</v>
      </c>
      <c r="O1089" s="52">
        <f ca="1" t="shared" si="327"/>
        <v>0</v>
      </c>
      <c r="P1089" s="68"/>
    </row>
    <row r="1090" s="38" customFormat="1" ht="15" customHeight="1" spans="1:16">
      <c r="A1090" s="115" t="s">
        <v>205</v>
      </c>
      <c r="B1090" s="50" t="s">
        <v>123</v>
      </c>
      <c r="C1090" s="52">
        <f>基础表!C1002</f>
        <v>0</v>
      </c>
      <c r="D1090" s="52">
        <f>基础表!D1002</f>
        <v>0</v>
      </c>
      <c r="E1090" s="52">
        <f>基础表!E1002</f>
        <v>0</v>
      </c>
      <c r="F1090" s="52">
        <f>基础表!F1002</f>
        <v>0</v>
      </c>
      <c r="G1090" s="52">
        <f>基础表!G1002</f>
        <v>0</v>
      </c>
      <c r="H1090" s="52">
        <f>基础表!H1002</f>
        <v>0</v>
      </c>
      <c r="I1090" s="52">
        <f>基础表!I1002</f>
        <v>0</v>
      </c>
      <c r="J1090" s="52">
        <f>基础表!J1002</f>
        <v>0</v>
      </c>
      <c r="K1090" s="52">
        <f>基础表!K1002</f>
        <v>0</v>
      </c>
      <c r="L1090" s="52">
        <f>基础表!L1002</f>
        <v>0</v>
      </c>
      <c r="M1090" s="52">
        <f>基础表!M1002</f>
        <v>0</v>
      </c>
      <c r="N1090" s="52">
        <f>基础表!N1002</f>
        <v>0</v>
      </c>
      <c r="O1090" s="52">
        <f ca="1" t="shared" si="327"/>
        <v>0</v>
      </c>
    </row>
    <row r="1091" s="38" customFormat="1" ht="15" customHeight="1" spans="1:16">
      <c r="A1091" s="115" t="s">
        <v>203</v>
      </c>
      <c r="B1091" s="50"/>
      <c r="C1091" s="52">
        <f>基础表!C1003</f>
        <v>0</v>
      </c>
      <c r="D1091" s="52">
        <f>基础表!D1003</f>
        <v>0</v>
      </c>
      <c r="E1091" s="52">
        <f>基础表!E1003</f>
        <v>0</v>
      </c>
      <c r="F1091" s="52">
        <f>基础表!F1003</f>
        <v>0</v>
      </c>
      <c r="G1091" s="52">
        <f>基础表!G1003</f>
        <v>-25.8882999999999</v>
      </c>
      <c r="H1091" s="52">
        <f>基础表!H1003</f>
        <v>25.8883</v>
      </c>
      <c r="I1091" s="52">
        <f>基础表!I1003</f>
        <v>0</v>
      </c>
      <c r="J1091" s="52">
        <f>基础表!J1003</f>
        <v>0</v>
      </c>
      <c r="K1091" s="52">
        <f>基础表!K1003</f>
        <v>0</v>
      </c>
      <c r="L1091" s="52">
        <f>基础表!L1003</f>
        <v>0</v>
      </c>
      <c r="M1091" s="52">
        <f>基础表!M1003</f>
        <v>0</v>
      </c>
      <c r="N1091" s="52">
        <f>基础表!N1003</f>
        <v>0</v>
      </c>
      <c r="O1091" s="52">
        <f ca="1" t="shared" si="327"/>
        <v>9.9475983006414e-14</v>
      </c>
    </row>
    <row r="1092" s="38" customFormat="1" ht="15" customHeight="1" spans="1:16">
      <c r="A1092" s="115" t="s">
        <v>206</v>
      </c>
      <c r="B1092" s="50"/>
      <c r="C1092" s="52">
        <f>基础表!C1004</f>
        <v>0</v>
      </c>
      <c r="D1092" s="52">
        <f>基础表!D1004</f>
        <v>66952.2401</v>
      </c>
      <c r="E1092" s="52">
        <f>基础表!E1004</f>
        <v>0</v>
      </c>
      <c r="F1092" s="52">
        <f>基础表!F1004</f>
        <v>0</v>
      </c>
      <c r="G1092" s="52">
        <f>基础表!G1004</f>
        <v>30128.512</v>
      </c>
      <c r="H1092" s="52">
        <f>基础表!H1004</f>
        <v>53561.8079</v>
      </c>
      <c r="I1092" s="52">
        <f>基础表!I1004</f>
        <v>0</v>
      </c>
      <c r="J1092" s="52">
        <f>基础表!J1004</f>
        <v>0</v>
      </c>
      <c r="K1092" s="52">
        <f>基础表!K1004</f>
        <v>0</v>
      </c>
      <c r="L1092" s="52">
        <f>基础表!L1004</f>
        <v>0</v>
      </c>
      <c r="M1092" s="52">
        <f>基础表!M1004</f>
        <v>0</v>
      </c>
      <c r="N1092" s="52">
        <f>基础表!N1004</f>
        <v>0</v>
      </c>
      <c r="O1092" s="52">
        <f ca="1" t="shared" si="327"/>
        <v>150642.56</v>
      </c>
    </row>
    <row r="1093" s="38" customFormat="1" ht="15" customHeight="1" spans="1:16">
      <c r="A1093" s="115" t="str">
        <f>基础表!A1005</f>
        <v>食品级六偏磷酸钠_通用_含量≥67%_通用</v>
      </c>
      <c r="B1093" s="50"/>
      <c r="C1093" s="52">
        <f>基础表!C1005</f>
        <v>0</v>
      </c>
      <c r="D1093" s="52">
        <f>基础表!D1005</f>
        <v>0</v>
      </c>
      <c r="E1093" s="52">
        <f>基础表!E1005</f>
        <v>0</v>
      </c>
      <c r="F1093" s="52">
        <f>基础表!F1005</f>
        <v>0</v>
      </c>
      <c r="G1093" s="52">
        <f>基础表!G1005</f>
        <v>44.4315999999998</v>
      </c>
      <c r="H1093" s="52">
        <f>基础表!H1005</f>
        <v>198.9817</v>
      </c>
      <c r="I1093" s="52">
        <f>基础表!I1005</f>
        <v>0</v>
      </c>
      <c r="J1093" s="52">
        <f>基础表!J1005</f>
        <v>0</v>
      </c>
      <c r="K1093" s="52">
        <f>基础表!K1005</f>
        <v>0</v>
      </c>
      <c r="L1093" s="52">
        <f>基础表!L1005</f>
        <v>0</v>
      </c>
      <c r="M1093" s="52">
        <f>基础表!M1005</f>
        <v>0</v>
      </c>
      <c r="N1093" s="52">
        <f>基础表!N1005</f>
        <v>0</v>
      </c>
      <c r="O1093" s="52">
        <f ca="1" t="shared" si="327"/>
        <v>243.4133</v>
      </c>
    </row>
    <row r="1094" s="38" customFormat="1" ht="15" customHeight="1" spans="1:16">
      <c r="A1094" s="115" t="str">
        <f>基础表!A1006</f>
        <v>无水柠檬酸_细目</v>
      </c>
      <c r="B1094" s="50"/>
      <c r="C1094" s="52">
        <f>基础表!C1006</f>
        <v>43.053</v>
      </c>
      <c r="D1094" s="52">
        <f>基础表!D1006</f>
        <v>1814.2489</v>
      </c>
      <c r="E1094" s="52">
        <f>基础表!E1006</f>
        <v>676.4971</v>
      </c>
      <c r="F1094" s="52">
        <f>基础表!F1006</f>
        <v>6359.0976</v>
      </c>
      <c r="G1094" s="52">
        <f>基础表!G1006</f>
        <v>9440.24599999999</v>
      </c>
      <c r="H1094" s="52">
        <f>基础表!H1006</f>
        <v>3198.013</v>
      </c>
      <c r="I1094" s="52">
        <f>基础表!I1006</f>
        <v>0</v>
      </c>
      <c r="J1094" s="52">
        <f>基础表!J1006</f>
        <v>0</v>
      </c>
      <c r="K1094" s="52">
        <f>基础表!K1006</f>
        <v>0</v>
      </c>
      <c r="L1094" s="52">
        <f>基础表!L1006</f>
        <v>0</v>
      </c>
      <c r="M1094" s="52">
        <f>基础表!M1006</f>
        <v>0</v>
      </c>
      <c r="N1094" s="52">
        <f>基础表!N1006</f>
        <v>0</v>
      </c>
      <c r="O1094" s="52">
        <f ca="1" t="shared" si="327"/>
        <v>21531.1556</v>
      </c>
    </row>
    <row r="1095" s="38" customFormat="1" ht="15" customHeight="1" spans="1:16">
      <c r="A1095" s="48" t="s">
        <v>232</v>
      </c>
      <c r="B1095" s="60" t="s">
        <v>123</v>
      </c>
      <c r="C1095" s="367">
        <f>基础表!C1008</f>
        <v>77869.2379</v>
      </c>
      <c r="D1095" s="367">
        <f>基础表!D1008</f>
        <v>227836.8602</v>
      </c>
      <c r="E1095" s="367">
        <f>基础表!E1008</f>
        <v>82491.3107999999</v>
      </c>
      <c r="F1095" s="367">
        <f>基础表!F1008</f>
        <v>302816.7107</v>
      </c>
      <c r="G1095" s="367">
        <f>基础表!G1008</f>
        <v>529369.744</v>
      </c>
      <c r="H1095" s="367">
        <f>基础表!H1008</f>
        <v>507411.7874</v>
      </c>
      <c r="I1095" s="367">
        <f>基础表!I1008</f>
        <v>0</v>
      </c>
      <c r="J1095" s="367">
        <f>基础表!J1008</f>
        <v>0</v>
      </c>
      <c r="K1095" s="367">
        <f>基础表!K1008</f>
        <v>0</v>
      </c>
      <c r="L1095" s="367">
        <f>基础表!L1008</f>
        <v>0</v>
      </c>
      <c r="M1095" s="367">
        <f>基础表!M1008</f>
        <v>0</v>
      </c>
      <c r="N1095" s="367">
        <f>基础表!N1008</f>
        <v>0</v>
      </c>
      <c r="O1095" s="367">
        <f ca="1">SUM(OFFSET($C1095,0,0,1,mth))</f>
        <v>1727795.651</v>
      </c>
    </row>
  </sheetData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41" name="Scroll Bar 1" r:id="rId3">
              <controlPr defaultSize="0">
                <anchor moveWithCells="1">
                  <from>
                    <xdr:col>0</xdr:col>
                    <xdr:colOff>38100</xdr:colOff>
                    <xdr:row>1</xdr:row>
                    <xdr:rowOff>9525</xdr:rowOff>
                  </from>
                  <to>
                    <xdr:col>0</xdr:col>
                    <xdr:colOff>1047750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rgb="FFC00000"/>
  </sheetPr>
  <dimension ref="A1:AG1010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H559" sqref="H559"/>
    </sheetView>
  </sheetViews>
  <sheetFormatPr defaultColWidth="9" defaultRowHeight="15" customHeight="1"/>
  <cols>
    <col min="1" max="1" width="37.25" style="38" customWidth="1"/>
    <col min="2" max="2" width="8.875" style="95" customWidth="1"/>
    <col min="3" max="5" width="14.125" style="38" customWidth="1"/>
    <col min="6" max="6" width="14.875" style="96" customWidth="1"/>
    <col min="7" max="7" width="13.875" style="38" customWidth="1"/>
    <col min="8" max="8" width="17.125" style="38" customWidth="1"/>
    <col min="9" max="9" width="13.625" style="38" hidden="1" customWidth="1"/>
    <col min="10" max="10" width="13" style="38" hidden="1" customWidth="1"/>
    <col min="11" max="11" width="13.5" style="38" hidden="1" customWidth="1"/>
    <col min="12" max="12" width="13.875" style="38" hidden="1" customWidth="1"/>
    <col min="13" max="13" width="12.75" style="38" hidden="1" customWidth="1"/>
    <col min="14" max="14" width="13.875" style="38" hidden="1" customWidth="1"/>
    <col min="15" max="15" width="17.125" style="45" customWidth="1"/>
    <col min="16" max="16" width="13.8833333333333" style="38" customWidth="1"/>
    <col min="17" max="18" width="16.5" style="38" customWidth="1"/>
    <col min="19" max="19" width="13.75" style="38" customWidth="1"/>
    <col min="20" max="20" width="12.25" style="38" customWidth="1"/>
    <col min="21" max="21" width="11.25" style="38" customWidth="1"/>
    <col min="22" max="22" width="12.25" style="38" customWidth="1"/>
    <col min="23" max="23" width="10.25" style="38" customWidth="1"/>
    <col min="24" max="24" width="14" style="38" customWidth="1"/>
    <col min="25" max="25" width="11.25" style="38" customWidth="1"/>
    <col min="26" max="26" width="10.25" style="38" customWidth="1"/>
    <col min="27" max="27" width="14.125" style="38" customWidth="1"/>
    <col min="28" max="28" width="10.125" style="38" customWidth="1"/>
    <col min="29" max="29" width="12.25" style="38" customWidth="1"/>
    <col min="30" max="30" width="16.125" style="38" customWidth="1"/>
    <col min="31" max="32" width="9" style="38"/>
    <col min="33" max="33" width="13.75" style="38"/>
    <col min="34" max="16384" width="9" style="38"/>
  </cols>
  <sheetData>
    <row r="1" ht="21" customHeight="1" spans="1:30">
      <c r="A1" s="97" t="s">
        <v>356</v>
      </c>
      <c r="B1" s="98"/>
      <c r="C1" s="99"/>
      <c r="D1" s="44"/>
      <c r="E1" s="100"/>
      <c r="G1" s="68"/>
    </row>
    <row r="2" ht="23.25" customHeight="1" spans="1:30">
      <c r="A2" s="101"/>
      <c r="B2" s="102" t="str">
        <f>mth&amp;"月"</f>
        <v>8月</v>
      </c>
    </row>
    <row r="3" ht="16.5" customHeight="1" spans="1:30">
      <c r="A3" s="46"/>
      <c r="B3" s="103"/>
      <c r="C3" s="104"/>
      <c r="D3" s="104"/>
      <c r="E3" s="104"/>
      <c r="F3" s="95"/>
      <c r="G3" s="104"/>
      <c r="H3" s="104"/>
      <c r="I3" s="104"/>
      <c r="J3" s="104"/>
      <c r="K3" s="104"/>
      <c r="L3" s="104"/>
      <c r="M3" s="104"/>
      <c r="N3" s="104"/>
    </row>
    <row r="4" customHeight="1" spans="1:30">
      <c r="A4" s="105" t="s">
        <v>250</v>
      </c>
      <c r="B4" s="106" t="s">
        <v>77</v>
      </c>
      <c r="C4" s="107" t="s">
        <v>220</v>
      </c>
      <c r="D4" s="107" t="s">
        <v>221</v>
      </c>
      <c r="E4" s="107" t="s">
        <v>222</v>
      </c>
      <c r="F4" s="107" t="s">
        <v>223</v>
      </c>
      <c r="G4" s="107" t="s">
        <v>224</v>
      </c>
      <c r="H4" s="107" t="s">
        <v>225</v>
      </c>
      <c r="I4" s="107" t="s">
        <v>226</v>
      </c>
      <c r="J4" s="107" t="s">
        <v>227</v>
      </c>
      <c r="K4" s="107" t="s">
        <v>228</v>
      </c>
      <c r="L4" s="107" t="s">
        <v>229</v>
      </c>
      <c r="M4" s="107" t="s">
        <v>230</v>
      </c>
      <c r="N4" s="107" t="s">
        <v>231</v>
      </c>
      <c r="O4" s="108" t="str">
        <f>CONCATENATE("1-"&amp;mth&amp;"月累计")</f>
        <v>1-8月累计</v>
      </c>
    </row>
    <row r="5" customHeight="1" spans="1:30">
      <c r="A5" s="109" t="s">
        <v>357</v>
      </c>
      <c r="B5" s="110"/>
      <c r="C5" s="111"/>
      <c r="D5" s="111"/>
      <c r="E5" s="111"/>
      <c r="F5" s="112"/>
      <c r="G5" s="111"/>
      <c r="H5" s="111"/>
      <c r="I5" s="111"/>
      <c r="J5" s="111"/>
      <c r="K5" s="111"/>
      <c r="L5" s="111"/>
      <c r="M5" s="111"/>
      <c r="N5" s="111"/>
      <c r="O5" s="113"/>
      <c r="Q5" s="114"/>
      <c r="R5" s="114"/>
      <c r="S5" s="114"/>
    </row>
    <row r="6" customHeight="1" spans="1:30">
      <c r="A6" s="115" t="s">
        <v>252</v>
      </c>
      <c r="B6" s="50" t="s">
        <v>75</v>
      </c>
      <c r="C6" s="116">
        <f>(C509-C519+C522)-C8</f>
        <v>6364.854</v>
      </c>
      <c r="D6" s="116">
        <f t="shared" ref="D6:N6" si="0">(D509-D519+D522)-D8</f>
        <v>7948.478</v>
      </c>
      <c r="E6" s="116">
        <f t="shared" si="0"/>
        <v>7426.681</v>
      </c>
      <c r="F6" s="117">
        <f t="shared" si="0"/>
        <v>8525.712</v>
      </c>
      <c r="G6" s="116">
        <f t="shared" si="0"/>
        <v>10920.715</v>
      </c>
      <c r="H6" s="116">
        <f t="shared" si="0"/>
        <v>9478.821</v>
      </c>
      <c r="I6" s="116">
        <f t="shared" si="0"/>
        <v>-1385.085</v>
      </c>
      <c r="J6" s="116">
        <f t="shared" si="0"/>
        <v>0</v>
      </c>
      <c r="K6" s="116">
        <f t="shared" si="0"/>
        <v>0</v>
      </c>
      <c r="L6" s="116">
        <f t="shared" si="0"/>
        <v>0</v>
      </c>
      <c r="M6" s="116">
        <f t="shared" si="0"/>
        <v>0</v>
      </c>
      <c r="N6" s="116">
        <f t="shared" si="0"/>
        <v>0</v>
      </c>
      <c r="O6" s="118">
        <f ca="1">SUM(OFFSET($C6,0,0,1,mth))</f>
        <v>49280.176</v>
      </c>
      <c r="P6" s="119"/>
      <c r="Q6" s="120"/>
      <c r="R6" s="121"/>
      <c r="S6" s="121"/>
      <c r="AD6" s="114"/>
    </row>
    <row r="7" ht="14.25" hidden="1" customHeight="1" spans="1:30">
      <c r="A7" s="115" t="s">
        <v>253</v>
      </c>
      <c r="B7" s="50" t="s">
        <v>75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8">
        <f ca="1">SUM(OFFSET($C7,0,0,1,mth))</f>
        <v>0</v>
      </c>
      <c r="P7" s="122"/>
      <c r="Q7" s="114"/>
      <c r="R7" s="121"/>
      <c r="S7" s="121"/>
      <c r="AD7" s="114"/>
    </row>
    <row r="8" hidden="1" customHeight="1" spans="1:30">
      <c r="A8" s="123" t="s">
        <v>254</v>
      </c>
      <c r="B8" s="50" t="s">
        <v>75</v>
      </c>
      <c r="C8" s="116">
        <v>0</v>
      </c>
      <c r="D8" s="116">
        <v>0</v>
      </c>
      <c r="E8" s="116">
        <v>0</v>
      </c>
      <c r="F8" s="124">
        <v>0</v>
      </c>
      <c r="G8" s="116">
        <v>0</v>
      </c>
      <c r="H8" s="116">
        <v>0</v>
      </c>
      <c r="I8" s="116">
        <v>0</v>
      </c>
      <c r="J8" s="116">
        <v>0</v>
      </c>
      <c r="K8" s="116">
        <v>0</v>
      </c>
      <c r="L8" s="116">
        <v>0</v>
      </c>
      <c r="M8" s="116">
        <v>0</v>
      </c>
      <c r="N8" s="116">
        <v>0</v>
      </c>
      <c r="O8" s="118">
        <f ca="1">SUM(OFFSET($C8,0,0,1,mth))</f>
        <v>0</v>
      </c>
      <c r="P8" s="121"/>
      <c r="Q8" s="114"/>
      <c r="R8" s="121"/>
      <c r="S8" s="121"/>
      <c r="AD8" s="114"/>
    </row>
    <row r="9" ht="16.5" customHeight="1" spans="1:30">
      <c r="A9" s="115" t="s">
        <v>255</v>
      </c>
      <c r="B9" s="50" t="s">
        <v>75</v>
      </c>
      <c r="C9" s="116">
        <f t="shared" ref="C9:N9" si="1">C511</f>
        <v>0</v>
      </c>
      <c r="D9" s="116">
        <f t="shared" si="1"/>
        <v>396.533</v>
      </c>
      <c r="E9" s="116">
        <f t="shared" si="1"/>
        <v>537.74</v>
      </c>
      <c r="F9" s="116">
        <f t="shared" ref="F9" si="2">F511</f>
        <v>553.675</v>
      </c>
      <c r="G9" s="116">
        <f t="shared" si="1"/>
        <v>0</v>
      </c>
      <c r="H9" s="116">
        <f t="shared" si="1"/>
        <v>435.727</v>
      </c>
      <c r="I9" s="116">
        <f t="shared" si="1"/>
        <v>0</v>
      </c>
      <c r="J9" s="116">
        <f t="shared" si="1"/>
        <v>0</v>
      </c>
      <c r="K9" s="116">
        <f t="shared" si="1"/>
        <v>0</v>
      </c>
      <c r="L9" s="116">
        <f t="shared" si="1"/>
        <v>0</v>
      </c>
      <c r="M9" s="116">
        <f t="shared" si="1"/>
        <v>0</v>
      </c>
      <c r="N9" s="116">
        <f t="shared" si="1"/>
        <v>0</v>
      </c>
      <c r="O9" s="118">
        <f ca="1">SUM(OFFSET($C9,0,0,1,mth))</f>
        <v>1923.675</v>
      </c>
      <c r="P9" s="68"/>
      <c r="Q9" s="120"/>
      <c r="R9" s="121"/>
      <c r="S9" s="121"/>
      <c r="AD9" s="114"/>
    </row>
    <row r="10" ht="16.5" customHeight="1" spans="1:30">
      <c r="A10" s="115" t="s">
        <v>256</v>
      </c>
      <c r="B10" s="50" t="s">
        <v>75</v>
      </c>
      <c r="C10" s="125">
        <f t="shared" ref="C10:N10" si="3">C510</f>
        <v>1113.177</v>
      </c>
      <c r="D10" s="125">
        <f t="shared" si="3"/>
        <v>829.187</v>
      </c>
      <c r="E10" s="125">
        <f t="shared" si="3"/>
        <v>1195.403</v>
      </c>
      <c r="F10" s="125">
        <f t="shared" ref="F10:F11" si="4">F510</f>
        <v>1082.506</v>
      </c>
      <c r="G10" s="125">
        <f t="shared" si="3"/>
        <v>1201.531</v>
      </c>
      <c r="H10" s="125">
        <f t="shared" si="3"/>
        <v>1423.239</v>
      </c>
      <c r="I10" s="125">
        <f t="shared" si="3"/>
        <v>0</v>
      </c>
      <c r="J10" s="125">
        <f t="shared" si="3"/>
        <v>0</v>
      </c>
      <c r="K10" s="125">
        <f t="shared" si="3"/>
        <v>0</v>
      </c>
      <c r="L10" s="125">
        <f t="shared" si="3"/>
        <v>0</v>
      </c>
      <c r="M10" s="125">
        <f t="shared" si="3"/>
        <v>0</v>
      </c>
      <c r="N10" s="125">
        <f t="shared" si="3"/>
        <v>0</v>
      </c>
      <c r="O10" s="118">
        <f ca="1">SUM(OFFSET($C10,0,0,1,mth))</f>
        <v>6845.043</v>
      </c>
      <c r="P10" s="114"/>
      <c r="Q10" s="120"/>
      <c r="R10" s="114"/>
      <c r="S10" s="114"/>
      <c r="AD10" s="114"/>
    </row>
    <row r="11" ht="16.5" customHeight="1" spans="1:30">
      <c r="A11" s="115" t="s">
        <v>257</v>
      </c>
      <c r="B11" s="50" t="s">
        <v>75</v>
      </c>
      <c r="C11" s="125">
        <f>C512</f>
        <v>0</v>
      </c>
      <c r="D11" s="125">
        <f t="shared" ref="D11:N11" si="5">D512</f>
        <v>36.72</v>
      </c>
      <c r="E11" s="125">
        <f t="shared" si="5"/>
        <v>0</v>
      </c>
      <c r="F11" s="125">
        <f t="shared" si="5"/>
        <v>0</v>
      </c>
      <c r="G11" s="125">
        <f t="shared" si="5"/>
        <v>0</v>
      </c>
      <c r="H11" s="125">
        <f t="shared" si="5"/>
        <v>0</v>
      </c>
      <c r="I11" s="125">
        <f t="shared" si="5"/>
        <v>0</v>
      </c>
      <c r="J11" s="125">
        <f t="shared" si="5"/>
        <v>0</v>
      </c>
      <c r="K11" s="125">
        <f t="shared" si="5"/>
        <v>0</v>
      </c>
      <c r="L11" s="125">
        <f t="shared" si="5"/>
        <v>0</v>
      </c>
      <c r="M11" s="125">
        <f t="shared" si="5"/>
        <v>0</v>
      </c>
      <c r="N11" s="125">
        <f t="shared" si="5"/>
        <v>0</v>
      </c>
      <c r="O11" s="118">
        <f ca="1">SUM(OFFSET($C11,0,0,1,mth))</f>
        <v>36.72</v>
      </c>
      <c r="P11" s="114"/>
      <c r="Q11" s="120"/>
      <c r="R11" s="114"/>
      <c r="S11" s="114"/>
      <c r="AD11" s="114"/>
    </row>
    <row r="12" ht="16.5" customHeight="1" spans="1:30">
      <c r="A12" s="115" t="s">
        <v>358</v>
      </c>
      <c r="B12" s="50" t="s">
        <v>75</v>
      </c>
      <c r="C12" s="52">
        <f>SUM(C6:C11)</f>
        <v>7478.031</v>
      </c>
      <c r="D12" s="52">
        <f t="shared" ref="D12:N12" si="6">SUM(D6:D11)</f>
        <v>9210.918</v>
      </c>
      <c r="E12" s="52">
        <f t="shared" si="6"/>
        <v>9159.824</v>
      </c>
      <c r="F12" s="52">
        <f t="shared" si="6"/>
        <v>10161.893</v>
      </c>
      <c r="G12" s="52">
        <f t="shared" si="6"/>
        <v>12122.246</v>
      </c>
      <c r="H12" s="52">
        <f t="shared" si="6"/>
        <v>11337.787</v>
      </c>
      <c r="I12" s="52">
        <f t="shared" si="6"/>
        <v>-1385.085</v>
      </c>
      <c r="J12" s="52">
        <f t="shared" si="6"/>
        <v>0</v>
      </c>
      <c r="K12" s="52">
        <f t="shared" si="6"/>
        <v>0</v>
      </c>
      <c r="L12" s="52">
        <f t="shared" si="6"/>
        <v>0</v>
      </c>
      <c r="M12" s="52">
        <f t="shared" si="6"/>
        <v>0</v>
      </c>
      <c r="N12" s="52">
        <f t="shared" si="6"/>
        <v>0</v>
      </c>
      <c r="O12" s="118">
        <f ca="1">SUM(OFFSET($C12,0,0,1,mth))</f>
        <v>58085.614</v>
      </c>
      <c r="P12" s="68"/>
      <c r="Q12" s="68"/>
      <c r="R12" s="114"/>
      <c r="S12" s="114"/>
      <c r="AD12" s="114"/>
    </row>
    <row r="13" customHeight="1" spans="1:30">
      <c r="A13" s="115" t="s">
        <v>258</v>
      </c>
      <c r="B13" s="50" t="s">
        <v>75</v>
      </c>
      <c r="C13" s="116">
        <f>C514-C520+C523</f>
        <v>5583.986</v>
      </c>
      <c r="D13" s="116">
        <f t="shared" ref="D13:N13" si="7">D514-D520+D523</f>
        <v>6506.055</v>
      </c>
      <c r="E13" s="116">
        <f t="shared" si="7"/>
        <v>8347.677</v>
      </c>
      <c r="F13" s="116">
        <f t="shared" si="7"/>
        <v>5705.937</v>
      </c>
      <c r="G13" s="116">
        <f t="shared" si="7"/>
        <v>6395.736</v>
      </c>
      <c r="H13" s="116">
        <f t="shared" si="7"/>
        <v>6625.04</v>
      </c>
      <c r="I13" s="116">
        <f t="shared" si="7"/>
        <v>-165</v>
      </c>
      <c r="J13" s="116">
        <f t="shared" si="7"/>
        <v>0</v>
      </c>
      <c r="K13" s="116">
        <f t="shared" si="7"/>
        <v>0</v>
      </c>
      <c r="L13" s="116">
        <f t="shared" si="7"/>
        <v>0</v>
      </c>
      <c r="M13" s="116">
        <f t="shared" si="7"/>
        <v>0</v>
      </c>
      <c r="N13" s="116">
        <f t="shared" si="7"/>
        <v>0</v>
      </c>
      <c r="O13" s="118">
        <f ca="1">SUM(OFFSET($C13,0,0,1,mth))</f>
        <v>38999.431</v>
      </c>
      <c r="P13" s="120"/>
      <c r="Q13" s="114"/>
      <c r="R13" s="114"/>
      <c r="S13" s="114"/>
      <c r="AD13" s="114"/>
    </row>
    <row r="14" customHeight="1" spans="1:30">
      <c r="A14" s="115" t="s">
        <v>240</v>
      </c>
      <c r="B14" s="50" t="s">
        <v>75</v>
      </c>
      <c r="C14" s="116">
        <f t="shared" ref="C14:N14" si="8">C515</f>
        <v>97.3818611111111</v>
      </c>
      <c r="D14" s="116">
        <f t="shared" si="8"/>
        <v>121.198708333333</v>
      </c>
      <c r="E14" s="116">
        <f t="shared" si="8"/>
        <v>106.653458333333</v>
      </c>
      <c r="F14" s="116">
        <f t="shared" si="8"/>
        <v>275.492722222222</v>
      </c>
      <c r="G14" s="116">
        <f t="shared" si="8"/>
        <v>336.939680555556</v>
      </c>
      <c r="H14" s="116">
        <f t="shared" si="8"/>
        <v>251.941402777778</v>
      </c>
      <c r="I14" s="116">
        <f t="shared" si="8"/>
        <v>0</v>
      </c>
      <c r="J14" s="116">
        <f t="shared" si="8"/>
        <v>0</v>
      </c>
      <c r="K14" s="116">
        <f t="shared" si="8"/>
        <v>0</v>
      </c>
      <c r="L14" s="116">
        <f t="shared" si="8"/>
        <v>0</v>
      </c>
      <c r="M14" s="116">
        <f t="shared" si="8"/>
        <v>0</v>
      </c>
      <c r="N14" s="116">
        <f t="shared" si="8"/>
        <v>0</v>
      </c>
      <c r="O14" s="126">
        <f ca="1">SUM(OFFSET($C14,0,0,1,mth))</f>
        <v>1189.60783333333</v>
      </c>
      <c r="P14" s="120"/>
      <c r="Q14" s="114"/>
      <c r="R14" s="114"/>
      <c r="S14" s="114"/>
      <c r="AD14" s="114"/>
    </row>
    <row r="15" customHeight="1" spans="1:30">
      <c r="A15" s="123" t="s">
        <v>308</v>
      </c>
      <c r="B15" s="50" t="s">
        <v>75</v>
      </c>
      <c r="C15" s="116">
        <f t="shared" ref="C15:N15" si="9">C516</f>
        <v>45.0639027777778</v>
      </c>
      <c r="D15" s="116">
        <f t="shared" si="9"/>
        <v>17.2945</v>
      </c>
      <c r="E15" s="116">
        <f t="shared" si="9"/>
        <v>73.8137222222222</v>
      </c>
      <c r="F15" s="116">
        <f t="shared" si="9"/>
        <v>133.420444444444</v>
      </c>
      <c r="G15" s="116">
        <f t="shared" si="9"/>
        <v>97.743125</v>
      </c>
      <c r="H15" s="116">
        <f t="shared" si="9"/>
        <v>48.5610833333333</v>
      </c>
      <c r="I15" s="116">
        <f t="shared" si="9"/>
        <v>0</v>
      </c>
      <c r="J15" s="116">
        <f t="shared" si="9"/>
        <v>0</v>
      </c>
      <c r="K15" s="116">
        <f t="shared" si="9"/>
        <v>0</v>
      </c>
      <c r="L15" s="116">
        <f t="shared" si="9"/>
        <v>0</v>
      </c>
      <c r="M15" s="116">
        <f t="shared" si="9"/>
        <v>0</v>
      </c>
      <c r="N15" s="116">
        <f t="shared" si="9"/>
        <v>0</v>
      </c>
      <c r="O15" s="126">
        <f ca="1">SUM(OFFSET($C15,0,0,1,mth))</f>
        <v>415.896777777777</v>
      </c>
      <c r="P15" s="120"/>
      <c r="Q15" s="114"/>
      <c r="R15" s="114"/>
      <c r="S15" s="114"/>
      <c r="AD15" s="114"/>
    </row>
    <row r="16" customHeight="1" spans="1:30">
      <c r="A16" s="123" t="s">
        <v>359</v>
      </c>
      <c r="B16" s="50" t="s">
        <v>75</v>
      </c>
      <c r="C16" s="116">
        <f t="shared" ref="C16:N16" si="10">C517</f>
        <v>52.3179583333333</v>
      </c>
      <c r="D16" s="116">
        <f t="shared" si="10"/>
        <v>103.904208333333</v>
      </c>
      <c r="E16" s="116">
        <f t="shared" si="10"/>
        <v>32.8397361111111</v>
      </c>
      <c r="F16" s="116">
        <f t="shared" si="10"/>
        <v>142.072277777778</v>
      </c>
      <c r="G16" s="116">
        <f t="shared" si="10"/>
        <v>239.196555555556</v>
      </c>
      <c r="H16" s="116">
        <f t="shared" si="10"/>
        <v>203.380319444444</v>
      </c>
      <c r="I16" s="116">
        <f t="shared" si="10"/>
        <v>0</v>
      </c>
      <c r="J16" s="116">
        <f t="shared" si="10"/>
        <v>0</v>
      </c>
      <c r="K16" s="116">
        <f t="shared" si="10"/>
        <v>0</v>
      </c>
      <c r="L16" s="116">
        <f t="shared" si="10"/>
        <v>0</v>
      </c>
      <c r="M16" s="116">
        <f t="shared" si="10"/>
        <v>0</v>
      </c>
      <c r="N16" s="116">
        <f t="shared" si="10"/>
        <v>0</v>
      </c>
      <c r="O16" s="126">
        <f ca="1">SUM(OFFSET($C16,0,0,1,mth))</f>
        <v>773.711055555555</v>
      </c>
      <c r="P16" s="120"/>
      <c r="Q16" s="114"/>
      <c r="R16" s="114"/>
      <c r="S16" s="114"/>
      <c r="AD16" s="114"/>
    </row>
    <row r="17" customHeight="1" spans="1:19">
      <c r="A17" s="48" t="s">
        <v>232</v>
      </c>
      <c r="B17" s="60" t="s">
        <v>75</v>
      </c>
      <c r="C17" s="52">
        <f>SUM(C12:C14)</f>
        <v>13159.3988611111</v>
      </c>
      <c r="D17" s="52">
        <f t="shared" ref="D17:N17" si="11">SUM(D12:D14)</f>
        <v>15838.1717083333</v>
      </c>
      <c r="E17" s="52">
        <f t="shared" si="11"/>
        <v>17614.1544583333</v>
      </c>
      <c r="F17" s="52">
        <f t="shared" si="11"/>
        <v>16143.3227222222</v>
      </c>
      <c r="G17" s="52">
        <f t="shared" si="11"/>
        <v>18854.9216805556</v>
      </c>
      <c r="H17" s="52">
        <f t="shared" si="11"/>
        <v>18214.7684027778</v>
      </c>
      <c r="I17" s="52">
        <f t="shared" si="11"/>
        <v>-1550.085</v>
      </c>
      <c r="J17" s="52">
        <f t="shared" si="11"/>
        <v>0</v>
      </c>
      <c r="K17" s="52">
        <f t="shared" si="11"/>
        <v>0</v>
      </c>
      <c r="L17" s="52">
        <f t="shared" si="11"/>
        <v>0</v>
      </c>
      <c r="M17" s="52">
        <f t="shared" si="11"/>
        <v>0</v>
      </c>
      <c r="N17" s="52">
        <f t="shared" si="11"/>
        <v>0</v>
      </c>
      <c r="O17" s="127">
        <f ca="1">SUM(OFFSET($C17,0,0,1,mth))</f>
        <v>98274.6528333333</v>
      </c>
      <c r="P17" s="68"/>
      <c r="Q17" s="114"/>
      <c r="R17" s="114"/>
      <c r="S17" s="114"/>
    </row>
    <row r="18" customHeight="1" spans="1:19">
      <c r="A18" s="109" t="s">
        <v>360</v>
      </c>
      <c r="B18" s="110"/>
      <c r="C18" s="128"/>
      <c r="D18" s="128"/>
      <c r="E18" s="128"/>
      <c r="F18" s="128"/>
      <c r="G18" s="128"/>
      <c r="H18" s="128"/>
      <c r="I18" s="128"/>
      <c r="J18" s="128"/>
      <c r="K18" s="128"/>
      <c r="L18" s="111"/>
      <c r="M18" s="111"/>
      <c r="N18" s="111"/>
      <c r="O18" s="129"/>
      <c r="Q18" s="114"/>
      <c r="R18" s="114"/>
      <c r="S18" s="114"/>
    </row>
    <row r="19" customHeight="1" spans="1:19">
      <c r="A19" s="115" t="s">
        <v>252</v>
      </c>
      <c r="B19" s="50" t="s">
        <v>75</v>
      </c>
      <c r="C19" s="130">
        <f t="shared" ref="C19:C24" si="12">C6*0.77</f>
        <v>4900.93758</v>
      </c>
      <c r="D19" s="130">
        <f t="shared" ref="D19:H19" si="13">D6*0.77</f>
        <v>6120.32806</v>
      </c>
      <c r="E19" s="130">
        <f t="shared" si="13"/>
        <v>5718.54437</v>
      </c>
      <c r="F19" s="130">
        <f t="shared" si="13"/>
        <v>6564.79824</v>
      </c>
      <c r="G19" s="130">
        <f t="shared" si="13"/>
        <v>8408.95055</v>
      </c>
      <c r="H19" s="130">
        <f t="shared" si="13"/>
        <v>7298.69217</v>
      </c>
      <c r="I19" s="130">
        <f t="shared" ref="I19:N19" si="14">I6*0.77</f>
        <v>-1066.51545</v>
      </c>
      <c r="J19" s="130">
        <f t="shared" si="14"/>
        <v>0</v>
      </c>
      <c r="K19" s="130">
        <f t="shared" si="14"/>
        <v>0</v>
      </c>
      <c r="L19" s="130">
        <f t="shared" si="14"/>
        <v>0</v>
      </c>
      <c r="M19" s="130">
        <f t="shared" si="14"/>
        <v>0</v>
      </c>
      <c r="N19" s="130">
        <f t="shared" si="14"/>
        <v>0</v>
      </c>
      <c r="O19" s="131">
        <f ca="1">SUM(OFFSET($C19,0,0,1,mth))</f>
        <v>37945.73552</v>
      </c>
      <c r="P19" s="71"/>
      <c r="Q19" s="120"/>
      <c r="R19" s="71"/>
    </row>
    <row r="20" customHeight="1" spans="1:19">
      <c r="A20" s="115" t="s">
        <v>253</v>
      </c>
      <c r="B20" s="50" t="s">
        <v>75</v>
      </c>
      <c r="C20" s="130">
        <f t="shared" si="12"/>
        <v>0</v>
      </c>
      <c r="D20" s="130">
        <f t="shared" ref="D20:F21" si="15">D7*0.77</f>
        <v>0</v>
      </c>
      <c r="E20" s="130">
        <f t="shared" si="15"/>
        <v>0</v>
      </c>
      <c r="F20" s="130">
        <f>F7*0.77</f>
        <v>0</v>
      </c>
      <c r="G20" s="130">
        <f>G7*0.77</f>
        <v>0</v>
      </c>
      <c r="H20" s="130">
        <f>H7*0.77</f>
        <v>0</v>
      </c>
      <c r="I20" s="130">
        <f t="shared" ref="I20:N20" si="16">I7*0.77</f>
        <v>0</v>
      </c>
      <c r="J20" s="130">
        <f t="shared" si="16"/>
        <v>0</v>
      </c>
      <c r="K20" s="130">
        <f t="shared" si="16"/>
        <v>0</v>
      </c>
      <c r="L20" s="130">
        <f t="shared" si="16"/>
        <v>0</v>
      </c>
      <c r="M20" s="130">
        <f t="shared" si="16"/>
        <v>0</v>
      </c>
      <c r="N20" s="130">
        <f t="shared" si="16"/>
        <v>0</v>
      </c>
      <c r="O20" s="131">
        <f ca="1">SUM(OFFSET($C20,0,0,1,mth))</f>
        <v>0</v>
      </c>
      <c r="P20" s="71"/>
      <c r="Q20" s="120"/>
    </row>
    <row r="21" customHeight="1" spans="1:19">
      <c r="A21" s="123" t="s">
        <v>254</v>
      </c>
      <c r="B21" s="50" t="s">
        <v>75</v>
      </c>
      <c r="C21" s="130">
        <f t="shared" si="12"/>
        <v>0</v>
      </c>
      <c r="D21" s="130">
        <f t="shared" si="15"/>
        <v>0</v>
      </c>
      <c r="E21" s="130">
        <f t="shared" si="15"/>
        <v>0</v>
      </c>
      <c r="F21" s="130">
        <f>F8*0.77</f>
        <v>0</v>
      </c>
      <c r="G21" s="130">
        <f>G8*0.77</f>
        <v>0</v>
      </c>
      <c r="H21" s="130">
        <f>H8*0.77</f>
        <v>0</v>
      </c>
      <c r="I21" s="130">
        <f t="shared" ref="I21:N21" si="17">I8*0.77</f>
        <v>0</v>
      </c>
      <c r="J21" s="130">
        <f t="shared" si="17"/>
        <v>0</v>
      </c>
      <c r="K21" s="130">
        <f t="shared" si="17"/>
        <v>0</v>
      </c>
      <c r="L21" s="130">
        <f t="shared" si="17"/>
        <v>0</v>
      </c>
      <c r="M21" s="130">
        <f t="shared" si="17"/>
        <v>0</v>
      </c>
      <c r="N21" s="130">
        <f t="shared" si="17"/>
        <v>0</v>
      </c>
      <c r="O21" s="131">
        <f ca="1">SUM(OFFSET($C21,0,0,1,mth))</f>
        <v>0</v>
      </c>
      <c r="P21" s="71"/>
      <c r="Q21" s="120"/>
    </row>
    <row r="22" customHeight="1" spans="1:19">
      <c r="A22" s="115" t="s">
        <v>255</v>
      </c>
      <c r="B22" s="50" t="s">
        <v>75</v>
      </c>
      <c r="C22" s="130">
        <f>C9*0.71</f>
        <v>0</v>
      </c>
      <c r="D22" s="130">
        <f>D9*0.71</f>
        <v>281.53843</v>
      </c>
      <c r="E22" s="130">
        <f t="shared" ref="E22:H22" si="18">E9*0.71</f>
        <v>381.7954</v>
      </c>
      <c r="F22" s="130">
        <f t="shared" si="18"/>
        <v>393.10925</v>
      </c>
      <c r="G22" s="130">
        <f t="shared" si="18"/>
        <v>0</v>
      </c>
      <c r="H22" s="130">
        <f t="shared" si="18"/>
        <v>309.36617</v>
      </c>
      <c r="I22" s="130">
        <f t="shared" ref="I22:N22" si="19">I9*0.71</f>
        <v>0</v>
      </c>
      <c r="J22" s="130">
        <f t="shared" si="19"/>
        <v>0</v>
      </c>
      <c r="K22" s="130">
        <f t="shared" si="19"/>
        <v>0</v>
      </c>
      <c r="L22" s="130">
        <f t="shared" si="19"/>
        <v>0</v>
      </c>
      <c r="M22" s="130">
        <f t="shared" si="19"/>
        <v>0</v>
      </c>
      <c r="N22" s="130">
        <f t="shared" si="19"/>
        <v>0</v>
      </c>
      <c r="O22" s="131">
        <f ca="1">SUM(OFFSET($C22,0,0,1,mth))</f>
        <v>1365.80925</v>
      </c>
      <c r="P22" s="71"/>
      <c r="Q22" s="120"/>
      <c r="R22" s="122"/>
    </row>
    <row r="23" customHeight="1" spans="1:19">
      <c r="A23" s="115" t="s">
        <v>256</v>
      </c>
      <c r="B23" s="50" t="s">
        <v>75</v>
      </c>
      <c r="C23" s="130">
        <f t="shared" si="12"/>
        <v>857.14629</v>
      </c>
      <c r="D23" s="130">
        <f t="shared" ref="D23:H23" si="20">D10*0.77</f>
        <v>638.47399</v>
      </c>
      <c r="E23" s="130">
        <f t="shared" si="20"/>
        <v>920.46031</v>
      </c>
      <c r="F23" s="130">
        <f t="shared" si="20"/>
        <v>833.52962</v>
      </c>
      <c r="G23" s="130">
        <f t="shared" si="20"/>
        <v>925.17887</v>
      </c>
      <c r="H23" s="130">
        <f t="shared" si="20"/>
        <v>1095.89403</v>
      </c>
      <c r="I23" s="130">
        <f t="shared" ref="I23:N23" si="21">I10*0.77</f>
        <v>0</v>
      </c>
      <c r="J23" s="130">
        <f t="shared" si="21"/>
        <v>0</v>
      </c>
      <c r="K23" s="130">
        <f t="shared" si="21"/>
        <v>0</v>
      </c>
      <c r="L23" s="130">
        <f t="shared" si="21"/>
        <v>0</v>
      </c>
      <c r="M23" s="130">
        <f t="shared" si="21"/>
        <v>0</v>
      </c>
      <c r="N23" s="130">
        <f t="shared" si="21"/>
        <v>0</v>
      </c>
      <c r="O23" s="131">
        <f ca="1">SUM(OFFSET($C23,0,0,1,mth))</f>
        <v>5270.68311</v>
      </c>
      <c r="P23" s="71"/>
      <c r="Q23" s="120"/>
    </row>
    <row r="24" customHeight="1" spans="1:19">
      <c r="A24" s="115" t="s">
        <v>257</v>
      </c>
      <c r="B24" s="50" t="s">
        <v>75</v>
      </c>
      <c r="C24" s="130">
        <f>C11*0.75</f>
        <v>0</v>
      </c>
      <c r="D24" s="130">
        <f t="shared" ref="D24:O24" si="22">D11*0.75</f>
        <v>27.54</v>
      </c>
      <c r="E24" s="130">
        <f t="shared" si="22"/>
        <v>0</v>
      </c>
      <c r="F24" s="130">
        <f t="shared" si="22"/>
        <v>0</v>
      </c>
      <c r="G24" s="130">
        <f t="shared" si="22"/>
        <v>0</v>
      </c>
      <c r="H24" s="130">
        <f t="shared" si="22"/>
        <v>0</v>
      </c>
      <c r="I24" s="130">
        <f t="shared" si="22"/>
        <v>0</v>
      </c>
      <c r="J24" s="130">
        <f t="shared" si="22"/>
        <v>0</v>
      </c>
      <c r="K24" s="130">
        <f t="shared" si="22"/>
        <v>0</v>
      </c>
      <c r="L24" s="130">
        <f t="shared" si="22"/>
        <v>0</v>
      </c>
      <c r="M24" s="130">
        <f t="shared" si="22"/>
        <v>0</v>
      </c>
      <c r="N24" s="130">
        <f t="shared" si="22"/>
        <v>0</v>
      </c>
      <c r="O24" s="131">
        <f ca="1">SUM(OFFSET($C24,0,0,1,mth))</f>
        <v>27.54</v>
      </c>
      <c r="P24" s="71"/>
      <c r="Q24" s="120"/>
    </row>
    <row r="25" ht="16.5" customHeight="1" spans="1:19">
      <c r="A25" s="115" t="s">
        <v>358</v>
      </c>
      <c r="B25" s="50" t="s">
        <v>75</v>
      </c>
      <c r="C25" s="130">
        <f>SUM(C19:C24)</f>
        <v>5758.08387</v>
      </c>
      <c r="D25" s="130">
        <f t="shared" ref="D25:N25" si="23">SUM(D19:D24)</f>
        <v>7067.88048</v>
      </c>
      <c r="E25" s="130">
        <f t="shared" si="23"/>
        <v>7020.80008</v>
      </c>
      <c r="F25" s="130">
        <f t="shared" si="23"/>
        <v>7791.43711</v>
      </c>
      <c r="G25" s="130">
        <f t="shared" si="23"/>
        <v>9334.12942</v>
      </c>
      <c r="H25" s="130">
        <f t="shared" si="23"/>
        <v>8703.95237</v>
      </c>
      <c r="I25" s="130">
        <f t="shared" si="23"/>
        <v>-1066.51545</v>
      </c>
      <c r="J25" s="130">
        <f t="shared" si="23"/>
        <v>0</v>
      </c>
      <c r="K25" s="130">
        <f t="shared" si="23"/>
        <v>0</v>
      </c>
      <c r="L25" s="130">
        <f t="shared" si="23"/>
        <v>0</v>
      </c>
      <c r="M25" s="130">
        <f t="shared" si="23"/>
        <v>0</v>
      </c>
      <c r="N25" s="130">
        <f t="shared" si="23"/>
        <v>0</v>
      </c>
      <c r="O25" s="131">
        <f ca="1" t="shared" ref="O25:O30" si="24">SUM(OFFSET($C25,0,0,1,mth))</f>
        <v>44609.76788</v>
      </c>
      <c r="P25" s="120"/>
      <c r="Q25" s="71"/>
    </row>
    <row r="26" customHeight="1" spans="1:19">
      <c r="A26" s="115" t="s">
        <v>258</v>
      </c>
      <c r="B26" s="50" t="s">
        <v>75</v>
      </c>
      <c r="C26" s="130">
        <f>C13*0.75</f>
        <v>4187.9895</v>
      </c>
      <c r="D26" s="130">
        <f t="shared" ref="D26:I26" si="25">D13*0.75</f>
        <v>4879.54125</v>
      </c>
      <c r="E26" s="130">
        <f t="shared" si="25"/>
        <v>6260.75775</v>
      </c>
      <c r="F26" s="130">
        <f t="shared" si="25"/>
        <v>4279.45275</v>
      </c>
      <c r="G26" s="130">
        <f t="shared" si="25"/>
        <v>4796.802</v>
      </c>
      <c r="H26" s="130">
        <f t="shared" si="25"/>
        <v>4968.78</v>
      </c>
      <c r="I26" s="130">
        <f t="shared" si="25"/>
        <v>-123.75</v>
      </c>
      <c r="J26" s="130">
        <f t="shared" ref="J26:N26" si="26">J13*0.75</f>
        <v>0</v>
      </c>
      <c r="K26" s="130">
        <f t="shared" si="26"/>
        <v>0</v>
      </c>
      <c r="L26" s="130">
        <f t="shared" si="26"/>
        <v>0</v>
      </c>
      <c r="M26" s="130">
        <f t="shared" si="26"/>
        <v>0</v>
      </c>
      <c r="N26" s="130">
        <f t="shared" si="26"/>
        <v>0</v>
      </c>
      <c r="O26" s="131">
        <f ca="1" t="shared" si="24"/>
        <v>29249.57325</v>
      </c>
      <c r="P26" s="120"/>
      <c r="Q26" s="71"/>
    </row>
    <row r="27" customHeight="1" spans="1:19">
      <c r="A27" s="115" t="s">
        <v>240</v>
      </c>
      <c r="B27" s="50" t="s">
        <v>75</v>
      </c>
      <c r="C27" s="130">
        <f t="shared" ref="C27:N27" si="27">C14*0.72</f>
        <v>70.11494</v>
      </c>
      <c r="D27" s="130">
        <f t="shared" si="27"/>
        <v>87.2630699999998</v>
      </c>
      <c r="E27" s="130">
        <f t="shared" si="27"/>
        <v>76.7904899999998</v>
      </c>
      <c r="F27" s="130">
        <f t="shared" si="27"/>
        <v>198.35476</v>
      </c>
      <c r="G27" s="130">
        <f t="shared" si="27"/>
        <v>242.59657</v>
      </c>
      <c r="H27" s="130">
        <f t="shared" si="27"/>
        <v>181.39781</v>
      </c>
      <c r="I27" s="130">
        <f t="shared" si="27"/>
        <v>0</v>
      </c>
      <c r="J27" s="130">
        <f t="shared" si="27"/>
        <v>0</v>
      </c>
      <c r="K27" s="130">
        <f t="shared" si="27"/>
        <v>0</v>
      </c>
      <c r="L27" s="130">
        <f t="shared" si="27"/>
        <v>0</v>
      </c>
      <c r="M27" s="130">
        <f t="shared" si="27"/>
        <v>0</v>
      </c>
      <c r="N27" s="130">
        <f t="shared" si="27"/>
        <v>0</v>
      </c>
      <c r="O27" s="131">
        <f ca="1" t="shared" si="24"/>
        <v>856.51764</v>
      </c>
      <c r="P27" s="120"/>
      <c r="Q27" s="71"/>
    </row>
    <row r="28" customHeight="1" spans="1:19">
      <c r="A28" s="115" t="s">
        <v>308</v>
      </c>
      <c r="B28" s="50" t="s">
        <v>75</v>
      </c>
      <c r="C28" s="130">
        <f t="shared" ref="C28:N28" si="28">C15*0.72</f>
        <v>32.44601</v>
      </c>
      <c r="D28" s="130">
        <f t="shared" si="28"/>
        <v>12.45204</v>
      </c>
      <c r="E28" s="130">
        <f t="shared" si="28"/>
        <v>53.14588</v>
      </c>
      <c r="F28" s="130">
        <f t="shared" si="28"/>
        <v>96.0627199999997</v>
      </c>
      <c r="G28" s="130">
        <f t="shared" si="28"/>
        <v>70.37505</v>
      </c>
      <c r="H28" s="130">
        <f t="shared" si="28"/>
        <v>34.96398</v>
      </c>
      <c r="I28" s="130">
        <f t="shared" si="28"/>
        <v>0</v>
      </c>
      <c r="J28" s="130">
        <f t="shared" si="28"/>
        <v>0</v>
      </c>
      <c r="K28" s="130">
        <f t="shared" si="28"/>
        <v>0</v>
      </c>
      <c r="L28" s="130">
        <f t="shared" si="28"/>
        <v>0</v>
      </c>
      <c r="M28" s="130">
        <f t="shared" si="28"/>
        <v>0</v>
      </c>
      <c r="N28" s="130">
        <f t="shared" si="28"/>
        <v>0</v>
      </c>
      <c r="O28" s="131">
        <f ca="1" t="shared" si="24"/>
        <v>299.44568</v>
      </c>
      <c r="P28" s="120"/>
      <c r="Q28" s="71"/>
    </row>
    <row r="29" customHeight="1" spans="1:19">
      <c r="A29" s="115" t="s">
        <v>359</v>
      </c>
      <c r="B29" s="50" t="s">
        <v>75</v>
      </c>
      <c r="C29" s="130">
        <f t="shared" ref="C29:N29" si="29">C16*0.72</f>
        <v>37.66893</v>
      </c>
      <c r="D29" s="130">
        <f t="shared" si="29"/>
        <v>74.8110299999998</v>
      </c>
      <c r="E29" s="130">
        <f t="shared" si="29"/>
        <v>23.64461</v>
      </c>
      <c r="F29" s="130">
        <f t="shared" si="29"/>
        <v>102.29204</v>
      </c>
      <c r="G29" s="130">
        <f t="shared" si="29"/>
        <v>172.22152</v>
      </c>
      <c r="H29" s="130">
        <f t="shared" si="29"/>
        <v>146.43383</v>
      </c>
      <c r="I29" s="130">
        <f t="shared" si="29"/>
        <v>0</v>
      </c>
      <c r="J29" s="130">
        <f t="shared" si="29"/>
        <v>0</v>
      </c>
      <c r="K29" s="130">
        <f t="shared" si="29"/>
        <v>0</v>
      </c>
      <c r="L29" s="130">
        <f t="shared" si="29"/>
        <v>0</v>
      </c>
      <c r="M29" s="130">
        <f t="shared" si="29"/>
        <v>0</v>
      </c>
      <c r="N29" s="130">
        <f t="shared" si="29"/>
        <v>0</v>
      </c>
      <c r="O29" s="131">
        <f ca="1" t="shared" si="24"/>
        <v>557.07196</v>
      </c>
      <c r="P29" s="120"/>
      <c r="Q29" s="71"/>
    </row>
    <row r="30" customHeight="1" spans="1:19">
      <c r="A30" s="48" t="s">
        <v>232</v>
      </c>
      <c r="B30" s="60" t="s">
        <v>75</v>
      </c>
      <c r="C30" s="130">
        <f>SUM(C25:C27)</f>
        <v>10016.18831</v>
      </c>
      <c r="D30" s="130">
        <f t="shared" ref="D30:N30" si="30">SUM(D25:D27)</f>
        <v>12034.6848</v>
      </c>
      <c r="E30" s="130">
        <f t="shared" si="30"/>
        <v>13358.34832</v>
      </c>
      <c r="F30" s="130">
        <f t="shared" si="30"/>
        <v>12269.24462</v>
      </c>
      <c r="G30" s="130">
        <f t="shared" si="30"/>
        <v>14373.52799</v>
      </c>
      <c r="H30" s="130">
        <f t="shared" si="30"/>
        <v>13854.13018</v>
      </c>
      <c r="I30" s="130">
        <f t="shared" si="30"/>
        <v>-1190.26545</v>
      </c>
      <c r="J30" s="130">
        <f t="shared" si="30"/>
        <v>0</v>
      </c>
      <c r="K30" s="130">
        <f t="shared" si="30"/>
        <v>0</v>
      </c>
      <c r="L30" s="130">
        <f t="shared" si="30"/>
        <v>0</v>
      </c>
      <c r="M30" s="130">
        <f t="shared" si="30"/>
        <v>0</v>
      </c>
      <c r="N30" s="130">
        <f t="shared" si="30"/>
        <v>0</v>
      </c>
      <c r="O30" s="131">
        <f ca="1" t="shared" si="24"/>
        <v>74715.85877</v>
      </c>
      <c r="P30" s="132"/>
    </row>
    <row r="31" customHeight="1" spans="1:19">
      <c r="A31" s="109" t="s">
        <v>361</v>
      </c>
      <c r="B31" s="110"/>
      <c r="C31" s="111"/>
      <c r="D31" s="111"/>
      <c r="E31" s="111"/>
      <c r="F31" s="112"/>
      <c r="G31" s="111"/>
      <c r="H31" s="111"/>
      <c r="I31" s="133"/>
      <c r="J31" s="111"/>
      <c r="K31" s="111"/>
      <c r="L31" s="111"/>
      <c r="M31" s="111"/>
      <c r="N31" s="111"/>
      <c r="O31" s="129"/>
    </row>
    <row r="32" customHeight="1" spans="1:19">
      <c r="A32" s="109" t="s">
        <v>362</v>
      </c>
      <c r="B32" s="110"/>
      <c r="C32" s="111"/>
      <c r="D32" s="111"/>
      <c r="E32" s="111"/>
      <c r="F32" s="112"/>
      <c r="G32" s="111"/>
      <c r="H32" s="111"/>
      <c r="I32" s="111"/>
      <c r="J32" s="111"/>
      <c r="K32" s="111"/>
      <c r="L32" s="111"/>
      <c r="M32" s="111"/>
      <c r="N32" s="111"/>
      <c r="O32" s="129"/>
    </row>
    <row r="33" customHeight="1" spans="1:18">
      <c r="A33" s="115" t="s">
        <v>216</v>
      </c>
      <c r="B33" s="50" t="s">
        <v>75</v>
      </c>
      <c r="C33" s="134">
        <f>IF(C$30=0,,C25/C$30)</f>
        <v>0.574877757065652</v>
      </c>
      <c r="D33" s="134">
        <f>IF(D$30=0,,D25/D$30)</f>
        <v>0.587292529672235</v>
      </c>
      <c r="E33" s="134">
        <f t="shared" ref="E33:J33" si="31">IF(E$30=0,,E25/E$30)</f>
        <v>0.525573964072229</v>
      </c>
      <c r="F33" s="134">
        <f t="shared" si="31"/>
        <v>0.635038044420374</v>
      </c>
      <c r="G33" s="134">
        <f t="shared" si="31"/>
        <v>0.649397240990102</v>
      </c>
      <c r="H33" s="134">
        <f t="shared" si="31"/>
        <v>0.628256863254045</v>
      </c>
      <c r="I33" s="134">
        <f t="shared" si="31"/>
        <v>0.896031595305064</v>
      </c>
      <c r="J33" s="134">
        <f t="shared" si="31"/>
        <v>0</v>
      </c>
      <c r="K33" s="134">
        <f t="shared" ref="K33:O33" si="32">IF(K$30=0,,K25/K$30)</f>
        <v>0</v>
      </c>
      <c r="L33" s="134">
        <f t="shared" si="32"/>
        <v>0</v>
      </c>
      <c r="M33" s="134">
        <f t="shared" si="32"/>
        <v>0</v>
      </c>
      <c r="N33" s="134">
        <f t="shared" si="32"/>
        <v>0</v>
      </c>
      <c r="O33" s="135">
        <f ca="1" t="shared" si="32"/>
        <v>0.597058892374155</v>
      </c>
    </row>
    <row r="34" customHeight="1" spans="1:18">
      <c r="A34" s="115" t="s">
        <v>218</v>
      </c>
      <c r="B34" s="50" t="s">
        <v>75</v>
      </c>
      <c r="C34" s="134">
        <f>IF(C$30=0,,C26/C$30)</f>
        <v>0.418122081013471</v>
      </c>
      <c r="D34" s="134">
        <f>IF(D$30=0,,D26/D$30)</f>
        <v>0.405456506015014</v>
      </c>
      <c r="E34" s="134">
        <f t="shared" ref="E34:H34" si="33">IF(E$30=0,,E26/E$30)</f>
        <v>0.468677534080052</v>
      </c>
      <c r="F34" s="134">
        <f t="shared" si="33"/>
        <v>0.348795128187769</v>
      </c>
      <c r="G34" s="134">
        <f t="shared" si="33"/>
        <v>0.33372474755935</v>
      </c>
      <c r="H34" s="134">
        <f t="shared" si="33"/>
        <v>0.358649726503436</v>
      </c>
      <c r="I34" s="134">
        <f t="shared" ref="I34:O34" si="34">IF(I$30=0,,I26/I$30)</f>
        <v>0.103968404694936</v>
      </c>
      <c r="J34" s="134">
        <f t="shared" si="34"/>
        <v>0</v>
      </c>
      <c r="K34" s="134">
        <f t="shared" si="34"/>
        <v>0</v>
      </c>
      <c r="L34" s="134">
        <f t="shared" si="34"/>
        <v>0</v>
      </c>
      <c r="M34" s="134">
        <f t="shared" si="34"/>
        <v>0</v>
      </c>
      <c r="N34" s="134">
        <f t="shared" si="34"/>
        <v>0</v>
      </c>
      <c r="O34" s="135">
        <f ca="1" t="shared" si="34"/>
        <v>0.391477441757577</v>
      </c>
    </row>
    <row r="35" customHeight="1" spans="1:18">
      <c r="A35" s="115" t="s">
        <v>240</v>
      </c>
      <c r="B35" s="50" t="s">
        <v>75</v>
      </c>
      <c r="C35" s="134">
        <f>IF(C$30=0,,C27/C$30)</f>
        <v>0.00700016192087746</v>
      </c>
      <c r="D35" s="134">
        <f t="shared" ref="D35:G35" si="35">IF(D$30=0,,D27/D$30)</f>
        <v>0.00725096431275041</v>
      </c>
      <c r="E35" s="134">
        <f t="shared" si="35"/>
        <v>0.00574850184771943</v>
      </c>
      <c r="F35" s="134">
        <f t="shared" si="35"/>
        <v>0.0161668273918562</v>
      </c>
      <c r="G35" s="134">
        <f t="shared" si="35"/>
        <v>0.0168780114505486</v>
      </c>
      <c r="H35" s="134">
        <f t="shared" ref="H35:O35" si="36">IF(H$30=0,,H27/H$30)</f>
        <v>0.0130934102425187</v>
      </c>
      <c r="I35" s="134">
        <f t="shared" si="36"/>
        <v>0</v>
      </c>
      <c r="J35" s="134">
        <f t="shared" si="36"/>
        <v>0</v>
      </c>
      <c r="K35" s="134">
        <f t="shared" si="36"/>
        <v>0</v>
      </c>
      <c r="L35" s="134">
        <f t="shared" si="36"/>
        <v>0</v>
      </c>
      <c r="M35" s="134">
        <f t="shared" si="36"/>
        <v>0</v>
      </c>
      <c r="N35" s="134">
        <f t="shared" si="36"/>
        <v>0</v>
      </c>
      <c r="O35" s="135">
        <f ca="1" t="shared" si="36"/>
        <v>0.0114636658682682</v>
      </c>
    </row>
    <row r="36" customHeight="1" spans="1:18">
      <c r="A36" s="48" t="s">
        <v>232</v>
      </c>
      <c r="B36" s="50" t="s">
        <v>75</v>
      </c>
      <c r="C36" s="134">
        <f>SUM(C33:C35)</f>
        <v>1</v>
      </c>
      <c r="D36" s="134">
        <f t="shared" ref="D36:O36" si="37">SUM(D33:D35)</f>
        <v>1</v>
      </c>
      <c r="E36" s="134">
        <f t="shared" si="37"/>
        <v>1</v>
      </c>
      <c r="F36" s="134">
        <f t="shared" si="37"/>
        <v>1</v>
      </c>
      <c r="G36" s="134">
        <f t="shared" si="37"/>
        <v>1</v>
      </c>
      <c r="H36" s="134">
        <f t="shared" si="37"/>
        <v>1</v>
      </c>
      <c r="I36" s="134">
        <f t="shared" si="37"/>
        <v>1</v>
      </c>
      <c r="J36" s="134">
        <f t="shared" si="37"/>
        <v>0</v>
      </c>
      <c r="K36" s="134">
        <f t="shared" si="37"/>
        <v>0</v>
      </c>
      <c r="L36" s="134">
        <f t="shared" si="37"/>
        <v>0</v>
      </c>
      <c r="M36" s="134">
        <f t="shared" si="37"/>
        <v>0</v>
      </c>
      <c r="N36" s="134">
        <f t="shared" si="37"/>
        <v>0</v>
      </c>
      <c r="O36" s="135">
        <f ca="1" t="shared" si="37"/>
        <v>1</v>
      </c>
    </row>
    <row r="37" customHeight="1" spans="1:18">
      <c r="A37" s="136" t="s">
        <v>363</v>
      </c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29"/>
    </row>
    <row r="38" customHeight="1" spans="1:18">
      <c r="A38" s="115" t="s">
        <v>252</v>
      </c>
      <c r="B38" s="50" t="s">
        <v>75</v>
      </c>
      <c r="C38" s="134">
        <f t="shared" ref="C38:D41" si="38">IF(C$25=0,,C19/C$25)</f>
        <v>0.851140360343518</v>
      </c>
      <c r="D38" s="134">
        <f t="shared" si="38"/>
        <v>0.865935421137738</v>
      </c>
      <c r="E38" s="134">
        <f t="shared" ref="E38:J38" si="39">IF(E$25=0,,E19/E$25)</f>
        <v>0.814514628651839</v>
      </c>
      <c r="F38" s="134">
        <f t="shared" si="39"/>
        <v>0.842565774107878</v>
      </c>
      <c r="G38" s="134">
        <f t="shared" si="39"/>
        <v>0.900882146757292</v>
      </c>
      <c r="H38" s="134">
        <f t="shared" si="39"/>
        <v>0.83854918544321</v>
      </c>
      <c r="I38" s="134">
        <f t="shared" si="39"/>
        <v>1</v>
      </c>
      <c r="J38" s="134">
        <f t="shared" si="39"/>
        <v>0</v>
      </c>
      <c r="K38" s="134">
        <f t="shared" ref="K38:O38" si="40">IF(K$25=0,,K19/K$25)</f>
        <v>0</v>
      </c>
      <c r="L38" s="134">
        <f t="shared" si="40"/>
        <v>0</v>
      </c>
      <c r="M38" s="134">
        <f t="shared" si="40"/>
        <v>0</v>
      </c>
      <c r="N38" s="134">
        <f t="shared" si="40"/>
        <v>0</v>
      </c>
      <c r="O38" s="135">
        <f ca="1" t="shared" si="40"/>
        <v>0.850614951014177</v>
      </c>
    </row>
    <row r="39" hidden="1" spans="1:18">
      <c r="A39" s="115" t="s">
        <v>253</v>
      </c>
      <c r="B39" s="50" t="s">
        <v>75</v>
      </c>
      <c r="C39" s="134">
        <f t="shared" si="38"/>
        <v>0</v>
      </c>
      <c r="D39" s="134">
        <f t="shared" si="38"/>
        <v>0</v>
      </c>
      <c r="E39" s="134">
        <f t="shared" ref="E39:H40" si="41">IF(E$25=0,,E20/E$25)</f>
        <v>0</v>
      </c>
      <c r="F39" s="134">
        <f t="shared" si="41"/>
        <v>0</v>
      </c>
      <c r="G39" s="134">
        <f t="shared" si="41"/>
        <v>0</v>
      </c>
      <c r="H39" s="134">
        <f t="shared" si="41"/>
        <v>0</v>
      </c>
      <c r="I39" s="134">
        <f t="shared" ref="I39:O39" si="42">IF(I$25=0,,I20/I$25)</f>
        <v>0</v>
      </c>
      <c r="J39" s="134">
        <f t="shared" si="42"/>
        <v>0</v>
      </c>
      <c r="K39" s="134">
        <f t="shared" si="42"/>
        <v>0</v>
      </c>
      <c r="L39" s="134">
        <f t="shared" si="42"/>
        <v>0</v>
      </c>
      <c r="M39" s="134">
        <f t="shared" si="42"/>
        <v>0</v>
      </c>
      <c r="N39" s="134">
        <f t="shared" si="42"/>
        <v>0</v>
      </c>
      <c r="O39" s="135">
        <f ca="1" t="shared" si="42"/>
        <v>0</v>
      </c>
    </row>
    <row r="40" hidden="1" spans="1:18">
      <c r="A40" s="123" t="s">
        <v>364</v>
      </c>
      <c r="B40" s="50" t="s">
        <v>75</v>
      </c>
      <c r="C40" s="134">
        <f t="shared" si="38"/>
        <v>0</v>
      </c>
      <c r="D40" s="134">
        <f t="shared" si="38"/>
        <v>0</v>
      </c>
      <c r="E40" s="134">
        <f t="shared" si="41"/>
        <v>0</v>
      </c>
      <c r="F40" s="134">
        <f t="shared" si="41"/>
        <v>0</v>
      </c>
      <c r="G40" s="134">
        <f t="shared" si="41"/>
        <v>0</v>
      </c>
      <c r="H40" s="134">
        <f t="shared" si="41"/>
        <v>0</v>
      </c>
      <c r="I40" s="134">
        <f>IF(I$25=0,,I21/I$25)</f>
        <v>0</v>
      </c>
      <c r="J40" s="134">
        <f t="shared" ref="J40:O40" si="43">IF(J$25=0,,J21/J$25)</f>
        <v>0</v>
      </c>
      <c r="K40" s="134">
        <f t="shared" si="43"/>
        <v>0</v>
      </c>
      <c r="L40" s="134">
        <f t="shared" si="43"/>
        <v>0</v>
      </c>
      <c r="M40" s="134">
        <f t="shared" si="43"/>
        <v>0</v>
      </c>
      <c r="N40" s="134">
        <f t="shared" si="43"/>
        <v>0</v>
      </c>
      <c r="O40" s="135">
        <f ca="1" t="shared" si="43"/>
        <v>0</v>
      </c>
    </row>
    <row r="41" customHeight="1" spans="1:18">
      <c r="A41" s="115" t="s">
        <v>255</v>
      </c>
      <c r="B41" s="50" t="s">
        <v>75</v>
      </c>
      <c r="C41" s="134">
        <f t="shared" si="38"/>
        <v>0</v>
      </c>
      <c r="D41" s="134">
        <f t="shared" si="38"/>
        <v>0.0398335018251469</v>
      </c>
      <c r="E41" s="134">
        <f t="shared" ref="E41:H41" si="44">IF(E$25=0,,E22/E$25)</f>
        <v>0.0543806112764288</v>
      </c>
      <c r="F41" s="134">
        <f t="shared" si="44"/>
        <v>0.0504540105310559</v>
      </c>
      <c r="G41" s="134">
        <f t="shared" si="44"/>
        <v>0</v>
      </c>
      <c r="H41" s="134">
        <f t="shared" si="44"/>
        <v>0.0355431827805372</v>
      </c>
      <c r="I41" s="134">
        <f t="shared" ref="I41:O41" si="45">IF(I$25=0,,I22/I$25)</f>
        <v>0</v>
      </c>
      <c r="J41" s="134">
        <f t="shared" si="45"/>
        <v>0</v>
      </c>
      <c r="K41" s="134">
        <f t="shared" si="45"/>
        <v>0</v>
      </c>
      <c r="L41" s="134">
        <f t="shared" si="45"/>
        <v>0</v>
      </c>
      <c r="M41" s="134">
        <f t="shared" si="45"/>
        <v>0</v>
      </c>
      <c r="N41" s="134">
        <f t="shared" si="45"/>
        <v>0</v>
      </c>
      <c r="O41" s="135">
        <f ca="1" t="shared" si="45"/>
        <v>0.0306168203715836</v>
      </c>
    </row>
    <row r="42" customHeight="1" spans="1:18">
      <c r="A42" s="115" t="s">
        <v>256</v>
      </c>
      <c r="B42" s="50" t="s">
        <v>75</v>
      </c>
      <c r="C42" s="134">
        <f>IF(C$25=0,,C23/C$25)</f>
        <v>0.148859639656482</v>
      </c>
      <c r="D42" s="134">
        <f t="shared" ref="D42:H42" si="46">IF(D$25=0,,D23/D$25)</f>
        <v>0.0903345765122503</v>
      </c>
      <c r="E42" s="134">
        <f t="shared" si="46"/>
        <v>0.131104760071732</v>
      </c>
      <c r="F42" s="134">
        <f t="shared" si="46"/>
        <v>0.106980215361066</v>
      </c>
      <c r="G42" s="134">
        <f t="shared" si="46"/>
        <v>0.0991178532427077</v>
      </c>
      <c r="H42" s="134">
        <f t="shared" si="46"/>
        <v>0.125907631776252</v>
      </c>
      <c r="I42" s="134">
        <f t="shared" ref="I42:O42" si="47">IF(I$25=0,,I23/I$25)</f>
        <v>0</v>
      </c>
      <c r="J42" s="134">
        <f t="shared" si="47"/>
        <v>0</v>
      </c>
      <c r="K42" s="134">
        <f t="shared" si="47"/>
        <v>0</v>
      </c>
      <c r="L42" s="134">
        <f t="shared" si="47"/>
        <v>0</v>
      </c>
      <c r="M42" s="134">
        <f t="shared" si="47"/>
        <v>0</v>
      </c>
      <c r="N42" s="134">
        <f t="shared" si="47"/>
        <v>0</v>
      </c>
      <c r="O42" s="135">
        <f ca="1" t="shared" si="47"/>
        <v>0.118150875032081</v>
      </c>
    </row>
    <row r="43" customHeight="1" spans="1:18">
      <c r="A43" s="115" t="s">
        <v>257</v>
      </c>
      <c r="B43" s="50" t="s">
        <v>75</v>
      </c>
      <c r="C43" s="134">
        <f>IF(C$25=0,,C24/C$25)</f>
        <v>0</v>
      </c>
      <c r="D43" s="134">
        <f t="shared" ref="C43:O43" si="48">IF(D$25=0,,D24/D$25)</f>
        <v>0.00389650052486456</v>
      </c>
      <c r="E43" s="134">
        <f t="shared" si="48"/>
        <v>0</v>
      </c>
      <c r="F43" s="134">
        <f t="shared" si="48"/>
        <v>0</v>
      </c>
      <c r="G43" s="134">
        <f t="shared" si="48"/>
        <v>0</v>
      </c>
      <c r="H43" s="134">
        <f t="shared" si="48"/>
        <v>0</v>
      </c>
      <c r="I43" s="134">
        <f t="shared" si="48"/>
        <v>0</v>
      </c>
      <c r="J43" s="134">
        <f t="shared" si="48"/>
        <v>0</v>
      </c>
      <c r="K43" s="134">
        <f t="shared" si="48"/>
        <v>0</v>
      </c>
      <c r="L43" s="134">
        <f t="shared" si="48"/>
        <v>0</v>
      </c>
      <c r="M43" s="134">
        <f t="shared" si="48"/>
        <v>0</v>
      </c>
      <c r="N43" s="134">
        <f t="shared" si="48"/>
        <v>0</v>
      </c>
      <c r="O43" s="135">
        <f ca="1" t="shared" si="48"/>
        <v>0.000617353582159011</v>
      </c>
    </row>
    <row r="44" customHeight="1" spans="1:18">
      <c r="A44" s="48" t="s">
        <v>232</v>
      </c>
      <c r="B44" s="60" t="s">
        <v>75</v>
      </c>
      <c r="C44" s="134">
        <f>SUM(C38:C43)</f>
        <v>1</v>
      </c>
      <c r="D44" s="134">
        <f t="shared" ref="D44:O44" si="49">SUM(D38:D43)</f>
        <v>1</v>
      </c>
      <c r="E44" s="134">
        <f t="shared" si="49"/>
        <v>1</v>
      </c>
      <c r="F44" s="134">
        <f t="shared" si="49"/>
        <v>1</v>
      </c>
      <c r="G44" s="134">
        <f t="shared" si="49"/>
        <v>1</v>
      </c>
      <c r="H44" s="134">
        <f t="shared" si="49"/>
        <v>1</v>
      </c>
      <c r="I44" s="134">
        <f t="shared" si="49"/>
        <v>1</v>
      </c>
      <c r="J44" s="134">
        <f t="shared" si="49"/>
        <v>0</v>
      </c>
      <c r="K44" s="134">
        <f t="shared" si="49"/>
        <v>0</v>
      </c>
      <c r="L44" s="134">
        <f t="shared" si="49"/>
        <v>0</v>
      </c>
      <c r="M44" s="134">
        <f t="shared" si="49"/>
        <v>0</v>
      </c>
      <c r="N44" s="134">
        <f t="shared" si="49"/>
        <v>0</v>
      </c>
      <c r="O44" s="135">
        <f ca="1" t="shared" si="49"/>
        <v>1</v>
      </c>
    </row>
    <row r="45" customHeight="1" spans="1:18">
      <c r="A45" s="109"/>
      <c r="B45" s="110"/>
      <c r="C45" s="111"/>
      <c r="D45" s="111"/>
      <c r="E45" s="111"/>
      <c r="F45" s="112"/>
      <c r="G45" s="111"/>
      <c r="H45" s="111"/>
      <c r="I45" s="111"/>
      <c r="J45" s="111"/>
      <c r="K45" s="111"/>
      <c r="L45" s="111"/>
      <c r="M45" s="111"/>
      <c r="N45" s="111"/>
      <c r="O45" s="129"/>
    </row>
    <row r="46" customHeight="1" spans="1:18">
      <c r="A46" s="46" t="s">
        <v>365</v>
      </c>
      <c r="B46" s="137" t="s">
        <v>339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</row>
    <row r="47" customHeight="1" spans="1:18">
      <c r="A47" s="138" t="s">
        <v>366</v>
      </c>
      <c r="B47" s="50" t="s">
        <v>75</v>
      </c>
      <c r="C47" s="139">
        <v>5179.08</v>
      </c>
      <c r="D47" s="116">
        <v>6561.59313576154</v>
      </c>
      <c r="E47" s="125">
        <v>6040.04682765198</v>
      </c>
      <c r="F47" s="125">
        <v>7029.99280514391</v>
      </c>
      <c r="G47" s="125">
        <f>8953.7</f>
        <v>8953.7</v>
      </c>
      <c r="H47" s="125">
        <v>7823.39356329778</v>
      </c>
      <c r="I47" s="116"/>
      <c r="J47" s="116"/>
      <c r="K47" s="116"/>
      <c r="L47" s="116"/>
      <c r="M47" s="116"/>
      <c r="N47" s="116"/>
      <c r="O47" s="140">
        <f ca="1">SUM(OFFSET($C47,0,0,1,mth))</f>
        <v>41587.8063318552</v>
      </c>
      <c r="P47" s="114"/>
      <c r="Q47" s="114"/>
      <c r="R47" s="141"/>
    </row>
    <row r="48" hidden="1" customHeight="1" spans="1:18">
      <c r="A48" s="138" t="s">
        <v>367</v>
      </c>
      <c r="B48" s="50" t="s">
        <v>75</v>
      </c>
      <c r="C48" s="116"/>
      <c r="D48" s="116"/>
      <c r="E48" s="116"/>
      <c r="F48" s="142"/>
      <c r="G48" s="125"/>
      <c r="H48" s="125"/>
      <c r="I48" s="116"/>
      <c r="J48" s="116"/>
      <c r="K48" s="116"/>
      <c r="L48" s="116"/>
      <c r="M48" s="116"/>
      <c r="N48" s="116"/>
      <c r="O48" s="140">
        <f ca="1">SUM(OFFSET($C48,0,0,1,mth))</f>
        <v>0</v>
      </c>
      <c r="P48" s="143"/>
      <c r="Q48" s="144"/>
      <c r="R48" s="141"/>
    </row>
    <row r="49" customHeight="1" spans="1:19">
      <c r="A49" s="138" t="s">
        <v>368</v>
      </c>
      <c r="B49" s="50" t="s">
        <v>75</v>
      </c>
      <c r="C49" s="145"/>
      <c r="D49" s="116">
        <v>301.836864238464</v>
      </c>
      <c r="E49" s="116">
        <v>407.243172348023</v>
      </c>
      <c r="F49" s="142">
        <v>427.991194856094</v>
      </c>
      <c r="G49" s="125"/>
      <c r="H49" s="125">
        <v>331.606436702219</v>
      </c>
      <c r="I49" s="116"/>
      <c r="J49" s="116"/>
      <c r="K49" s="116"/>
      <c r="L49" s="116"/>
      <c r="M49" s="116"/>
      <c r="N49" s="116"/>
      <c r="O49" s="140">
        <f ca="1">SUM(OFFSET($C49,0,0,1,mth))</f>
        <v>1468.6776681448</v>
      </c>
      <c r="P49" s="71"/>
      <c r="Q49" s="71"/>
      <c r="R49" s="141"/>
    </row>
    <row r="50" customHeight="1" spans="1:19">
      <c r="A50" s="138" t="s">
        <v>369</v>
      </c>
      <c r="B50" s="50" t="s">
        <v>75</v>
      </c>
      <c r="C50" s="146">
        <v>905.86</v>
      </c>
      <c r="D50" s="116">
        <v>685</v>
      </c>
      <c r="E50" s="116">
        <v>973</v>
      </c>
      <c r="F50" s="142">
        <v>893.291</v>
      </c>
      <c r="G50" s="125">
        <v>984.853</v>
      </c>
      <c r="H50" s="125">
        <v>1174.6</v>
      </c>
      <c r="I50" s="116"/>
      <c r="J50" s="116"/>
      <c r="K50" s="116"/>
      <c r="L50" s="116"/>
      <c r="M50" s="116"/>
      <c r="N50" s="116"/>
      <c r="O50" s="140">
        <f ca="1">SUM(OFFSET($C50,0,0,1,mth))</f>
        <v>5616.604</v>
      </c>
      <c r="R50" s="141"/>
      <c r="S50" s="141"/>
    </row>
    <row r="51" customHeight="1" spans="1:19">
      <c r="A51" s="138" t="s">
        <v>370</v>
      </c>
      <c r="B51" s="50" t="s">
        <v>75</v>
      </c>
      <c r="C51" s="146"/>
      <c r="D51" s="116">
        <v>29.7</v>
      </c>
      <c r="E51" s="116"/>
      <c r="F51" s="142"/>
      <c r="G51" s="125"/>
      <c r="H51" s="125"/>
      <c r="I51" s="116"/>
      <c r="J51" s="116"/>
      <c r="K51" s="116"/>
      <c r="L51" s="116"/>
      <c r="M51" s="116"/>
      <c r="N51" s="116"/>
      <c r="O51" s="140">
        <f ca="1">SUM(OFFSET($C51,0,0,1,mth))</f>
        <v>29.7</v>
      </c>
      <c r="R51" s="141"/>
      <c r="S51" s="141"/>
    </row>
    <row r="52" customHeight="1" spans="1:19">
      <c r="A52" s="138" t="s">
        <v>371</v>
      </c>
      <c r="B52" s="50" t="s">
        <v>75</v>
      </c>
      <c r="C52" s="145">
        <v>4704.71</v>
      </c>
      <c r="D52" s="116">
        <v>5485.37</v>
      </c>
      <c r="E52" s="116">
        <v>6971.68</v>
      </c>
      <c r="F52" s="142">
        <v>4815.095</v>
      </c>
      <c r="G52" s="125">
        <f>5352.5</f>
        <v>5352.5</v>
      </c>
      <c r="H52" s="125">
        <v>5602.35</v>
      </c>
      <c r="I52" s="116"/>
      <c r="J52" s="116"/>
      <c r="K52" s="116"/>
      <c r="L52" s="116"/>
      <c r="M52" s="116"/>
      <c r="N52" s="116"/>
      <c r="O52" s="140">
        <f ca="1">SUM(OFFSET($C52,0,0,1,mth))</f>
        <v>32931.705</v>
      </c>
      <c r="P52" s="147"/>
      <c r="Q52" s="143"/>
      <c r="R52" s="143"/>
    </row>
    <row r="53" customHeight="1" spans="1:19">
      <c r="A53" s="138" t="s">
        <v>372</v>
      </c>
      <c r="B53" s="50" t="s">
        <v>75</v>
      </c>
      <c r="C53" s="52">
        <f>SUM(C47:C52)</f>
        <v>10789.65</v>
      </c>
      <c r="D53" s="52">
        <f>SUM(D47:D52)</f>
        <v>13063.5</v>
      </c>
      <c r="E53" s="52">
        <f t="shared" ref="E53:N53" si="50">SUM(E47:E52)</f>
        <v>14391.97</v>
      </c>
      <c r="F53" s="52">
        <f t="shared" si="50"/>
        <v>13166.37</v>
      </c>
      <c r="G53" s="52">
        <f t="shared" si="50"/>
        <v>15291.053</v>
      </c>
      <c r="H53" s="52">
        <f t="shared" si="50"/>
        <v>14931.95</v>
      </c>
      <c r="I53" s="52">
        <f t="shared" si="50"/>
        <v>0</v>
      </c>
      <c r="J53" s="52">
        <f t="shared" si="50"/>
        <v>0</v>
      </c>
      <c r="K53" s="52">
        <f t="shared" si="50"/>
        <v>0</v>
      </c>
      <c r="L53" s="52">
        <f t="shared" si="50"/>
        <v>0</v>
      </c>
      <c r="M53" s="52">
        <f t="shared" si="50"/>
        <v>0</v>
      </c>
      <c r="N53" s="52">
        <f t="shared" si="50"/>
        <v>0</v>
      </c>
      <c r="O53" s="131">
        <f ca="1">SUM(OFFSET($C53,0,0,1,mth))</f>
        <v>81634.493</v>
      </c>
      <c r="P53" s="71"/>
    </row>
    <row r="54" customHeight="1" spans="1:19">
      <c r="A54" s="148" t="s">
        <v>373</v>
      </c>
      <c r="B54" s="50"/>
      <c r="C54" s="149">
        <v>2562.88587316666</v>
      </c>
      <c r="D54" s="149">
        <v>2499.15113798786</v>
      </c>
      <c r="E54" s="149">
        <v>2468.89543622204</v>
      </c>
      <c r="F54" s="149">
        <v>2490.21525642855</v>
      </c>
      <c r="G54" s="125">
        <v>2504.82012341267</v>
      </c>
      <c r="H54" s="125">
        <v>2559.99010055181</v>
      </c>
      <c r="I54" s="150"/>
      <c r="J54" s="142"/>
      <c r="K54" s="125"/>
      <c r="L54" s="125"/>
      <c r="M54" s="125"/>
      <c r="N54" s="125"/>
      <c r="O54" s="140">
        <f ca="1">O79/O47</f>
        <v>2513.84890280316</v>
      </c>
      <c r="Q54" s="151"/>
    </row>
    <row r="55" hidden="1" customHeight="1" spans="1:19">
      <c r="A55" s="148" t="s">
        <v>374</v>
      </c>
      <c r="B55" s="50"/>
      <c r="C55" s="149"/>
      <c r="D55" s="152"/>
      <c r="E55" s="149"/>
      <c r="F55" s="149"/>
      <c r="G55" s="149"/>
      <c r="H55" s="149"/>
      <c r="I55" s="149"/>
      <c r="J55" s="153"/>
      <c r="K55" s="149"/>
      <c r="L55" s="149"/>
      <c r="M55" s="149"/>
      <c r="N55" s="125"/>
      <c r="O55" s="140">
        <f ca="1">IFERROR(O80/O48,0)</f>
        <v>0</v>
      </c>
      <c r="P55" s="122"/>
      <c r="Q55" s="71"/>
    </row>
    <row r="56" customHeight="1" spans="1:19">
      <c r="A56" s="148" t="s">
        <v>375</v>
      </c>
      <c r="B56" s="50"/>
      <c r="C56" s="149"/>
      <c r="D56" s="149">
        <v>2499.15113798786</v>
      </c>
      <c r="E56" s="149">
        <v>2468.89543622204</v>
      </c>
      <c r="F56" s="149">
        <v>2490.21525642855</v>
      </c>
      <c r="G56" s="125"/>
      <c r="H56" s="125">
        <v>2559.99010055181</v>
      </c>
      <c r="I56" s="125"/>
      <c r="J56" s="142"/>
      <c r="K56" s="125"/>
      <c r="L56" s="125"/>
      <c r="M56" s="125"/>
      <c r="N56" s="125"/>
      <c r="O56" s="140">
        <f ca="1">IFERROR(O81/O49,0)</f>
        <v>2501.89420754048</v>
      </c>
      <c r="P56" s="122"/>
    </row>
    <row r="57" customHeight="1" spans="1:19">
      <c r="A57" s="148" t="s">
        <v>376</v>
      </c>
      <c r="B57" s="50"/>
      <c r="C57" s="149">
        <v>2561.75108736449</v>
      </c>
      <c r="D57" s="149">
        <v>2502.5303649635</v>
      </c>
      <c r="E57" s="149">
        <v>2469.66833504625</v>
      </c>
      <c r="F57" s="149">
        <v>2490.0090440853</v>
      </c>
      <c r="G57" s="142">
        <v>2505.63593754601</v>
      </c>
      <c r="H57" s="142">
        <v>2559.99</v>
      </c>
      <c r="I57" s="142"/>
      <c r="J57" s="142"/>
      <c r="K57" s="142"/>
      <c r="L57" s="142"/>
      <c r="M57" s="125"/>
      <c r="N57" s="116"/>
      <c r="O57" s="140">
        <f ca="1">O82/O50</f>
        <v>2516.95836541084</v>
      </c>
      <c r="P57" s="122"/>
      <c r="Q57" s="68"/>
    </row>
    <row r="58" customHeight="1" spans="1:19">
      <c r="A58" s="148" t="s">
        <v>377</v>
      </c>
      <c r="B58" s="50"/>
      <c r="C58" s="149"/>
      <c r="D58" s="149">
        <v>2467.86</v>
      </c>
      <c r="E58" s="149"/>
      <c r="F58" s="149"/>
      <c r="G58" s="142"/>
      <c r="H58" s="142"/>
      <c r="I58" s="142"/>
      <c r="J58" s="142"/>
      <c r="K58" s="142"/>
      <c r="L58" s="142"/>
      <c r="M58" s="125"/>
      <c r="N58" s="116"/>
      <c r="O58" s="140">
        <f ca="1">O83/O51</f>
        <v>2467.86</v>
      </c>
      <c r="P58" s="122"/>
      <c r="Q58" s="68"/>
    </row>
    <row r="59" customHeight="1" spans="1:19">
      <c r="A59" s="148" t="s">
        <v>378</v>
      </c>
      <c r="B59" s="50"/>
      <c r="C59" s="149">
        <v>2565.39039880679</v>
      </c>
      <c r="D59" s="149">
        <v>2498.34510397658</v>
      </c>
      <c r="E59" s="149">
        <v>2469.72636954077</v>
      </c>
      <c r="F59" s="149">
        <v>2492.25005529486</v>
      </c>
      <c r="G59" s="142">
        <v>2505.99883587109</v>
      </c>
      <c r="H59" s="142">
        <v>2559.99000008925</v>
      </c>
      <c r="I59" s="142"/>
      <c r="J59" s="142"/>
      <c r="K59" s="142"/>
      <c r="L59" s="142"/>
      <c r="M59" s="125"/>
      <c r="N59" s="116"/>
      <c r="O59" s="140">
        <f ca="1">O84/O52</f>
        <v>2512.70459905341</v>
      </c>
      <c r="P59" s="122"/>
    </row>
    <row r="60" customHeight="1" spans="1:19">
      <c r="A60" s="138" t="s">
        <v>379</v>
      </c>
      <c r="B60" s="50"/>
      <c r="C60" s="154">
        <v>0.135639164384387</v>
      </c>
      <c r="D60" s="154">
        <f>1357.21882477719%/100</f>
        <v>0.135721882477719</v>
      </c>
      <c r="E60" s="155">
        <v>0.135</v>
      </c>
      <c r="F60" s="156">
        <v>0.135008540405516</v>
      </c>
      <c r="G60" s="156">
        <f>1352.03411489958%/100</f>
        <v>0.135203411489958</v>
      </c>
      <c r="H60" s="156">
        <v>0.133957333638437</v>
      </c>
      <c r="I60" s="156"/>
      <c r="J60" s="156"/>
      <c r="K60" s="156"/>
      <c r="L60" s="157"/>
      <c r="M60" s="156"/>
      <c r="N60" s="156"/>
      <c r="O60" s="158">
        <f ca="1">IF(O47=0,,1-O61/O47*0.86)</f>
        <v>0.135042587428671</v>
      </c>
      <c r="S60" s="159"/>
    </row>
    <row r="61" customHeight="1" spans="1:19">
      <c r="A61" s="138" t="s">
        <v>380</v>
      </c>
      <c r="B61" s="50"/>
      <c r="C61" s="52">
        <f t="shared" ref="C61:C65" si="51">C47/(1-0.14)*(1-C$60)</f>
        <v>5205.34176339548</v>
      </c>
      <c r="D61" s="52">
        <f t="shared" ref="D61:G62" si="52">D47/(1-0.14)*(1-D$60)</f>
        <v>6594.23414339896</v>
      </c>
      <c r="E61" s="52">
        <f>E47/(1-0.14)*(1-E$60)</f>
        <v>6075.16337897554</v>
      </c>
      <c r="F61" s="52">
        <f>F47/(1-0.14)*(1-F$60)</f>
        <v>7070.79504355832</v>
      </c>
      <c r="G61" s="52">
        <f>G47/(1-0.14)*(1-G$60)</f>
        <v>9003.63862156089</v>
      </c>
      <c r="H61" s="52">
        <f t="shared" ref="H61:K61" si="53">H47/(1-0.14)*(1-H$60)</f>
        <v>7878.36351343523</v>
      </c>
      <c r="I61" s="52">
        <f t="shared" si="53"/>
        <v>0</v>
      </c>
      <c r="J61" s="52">
        <f t="shared" si="53"/>
        <v>0</v>
      </c>
      <c r="K61" s="52">
        <f t="shared" si="53"/>
        <v>0</v>
      </c>
      <c r="L61" s="52">
        <f t="shared" ref="L61:N61" si="54">L47/(1-0.14)*(1-L$60)</f>
        <v>0</v>
      </c>
      <c r="M61" s="52">
        <f t="shared" si="54"/>
        <v>0</v>
      </c>
      <c r="N61" s="52">
        <f t="shared" si="54"/>
        <v>0</v>
      </c>
      <c r="O61" s="131">
        <f ca="1">SUM(OFFSET($C61,0,0,1,mth))</f>
        <v>41827.5364643244</v>
      </c>
      <c r="P61" s="143"/>
    </row>
    <row r="62" customHeight="1" spans="1:19">
      <c r="A62" s="138" t="s">
        <v>381</v>
      </c>
      <c r="B62" s="50"/>
      <c r="C62" s="52">
        <f t="shared" si="51"/>
        <v>0</v>
      </c>
      <c r="D62" s="52">
        <f t="shared" si="52"/>
        <v>0</v>
      </c>
      <c r="E62" s="52">
        <f t="shared" si="52"/>
        <v>0</v>
      </c>
      <c r="F62" s="52">
        <f>F48/(1-0.14)*(1-F$60)</f>
        <v>0</v>
      </c>
      <c r="G62" s="52">
        <f t="shared" si="52"/>
        <v>0</v>
      </c>
      <c r="H62" s="52">
        <f>H48/(1-0.14)*(1-H$60)</f>
        <v>0</v>
      </c>
      <c r="I62" s="52">
        <f t="shared" ref="I62:N62" si="55">I48/(1-0.14)*(1-I$60)</f>
        <v>0</v>
      </c>
      <c r="J62" s="52">
        <f t="shared" si="55"/>
        <v>0</v>
      </c>
      <c r="K62" s="52">
        <f t="shared" si="55"/>
        <v>0</v>
      </c>
      <c r="L62" s="52">
        <f t="shared" si="55"/>
        <v>0</v>
      </c>
      <c r="M62" s="52">
        <f t="shared" si="55"/>
        <v>0</v>
      </c>
      <c r="N62" s="52">
        <f t="shared" si="55"/>
        <v>0</v>
      </c>
      <c r="O62" s="131">
        <f ca="1">SUM(OFFSET($C62,0,0,1,mth))</f>
        <v>0</v>
      </c>
      <c r="P62" s="143"/>
    </row>
    <row r="63" customHeight="1" spans="1:19">
      <c r="A63" s="138" t="s">
        <v>382</v>
      </c>
      <c r="B63" s="50"/>
      <c r="C63" s="52">
        <f t="shared" si="51"/>
        <v>0</v>
      </c>
      <c r="D63" s="52">
        <f>D49/(1-0.14)*(1-D$60)</f>
        <v>303.33836839866</v>
      </c>
      <c r="E63" s="52">
        <f t="shared" ref="E63:H63" si="56">E49/(1-0.14)*(1-E$60)</f>
        <v>409.610865210512</v>
      </c>
      <c r="F63" s="52">
        <f t="shared" si="56"/>
        <v>430.475265502512</v>
      </c>
      <c r="G63" s="52">
        <f t="shared" si="56"/>
        <v>0</v>
      </c>
      <c r="H63" s="52">
        <f t="shared" si="56"/>
        <v>333.936421656101</v>
      </c>
      <c r="I63" s="52">
        <f t="shared" ref="I63:N63" si="57">I49/(1-0.14)*(1-I$60)</f>
        <v>0</v>
      </c>
      <c r="J63" s="52">
        <f t="shared" si="57"/>
        <v>0</v>
      </c>
      <c r="K63" s="52">
        <f t="shared" si="57"/>
        <v>0</v>
      </c>
      <c r="L63" s="52">
        <f t="shared" si="57"/>
        <v>0</v>
      </c>
      <c r="M63" s="52">
        <f t="shared" si="57"/>
        <v>0</v>
      </c>
      <c r="N63" s="52">
        <f t="shared" si="57"/>
        <v>0</v>
      </c>
      <c r="O63" s="131">
        <f ca="1">SUM(OFFSET($C63,0,0,1,mth))</f>
        <v>1477.36092076778</v>
      </c>
      <c r="P63" s="143"/>
    </row>
    <row r="64" customHeight="1" spans="1:19">
      <c r="A64" s="138" t="s">
        <v>383</v>
      </c>
      <c r="B64" s="50"/>
      <c r="C64" s="52">
        <f t="shared" ref="C64:H64" si="58">C50/(1-0.14)*(1-C$60)</f>
        <v>910.453379710185</v>
      </c>
      <c r="D64" s="52">
        <f t="shared" si="58"/>
        <v>688.407570352049</v>
      </c>
      <c r="E64" s="52">
        <f t="shared" si="58"/>
        <v>978.656976744186</v>
      </c>
      <c r="F64" s="52">
        <f t="shared" si="58"/>
        <v>898.475681316996</v>
      </c>
      <c r="G64" s="52">
        <f t="shared" si="58"/>
        <v>990.345947190559</v>
      </c>
      <c r="H64" s="52">
        <f t="shared" si="58"/>
        <v>1182.8531580329</v>
      </c>
      <c r="I64" s="52">
        <f t="shared" ref="I64:N64" si="59">I50/(1-0.14)*(1-I$60)</f>
        <v>0</v>
      </c>
      <c r="J64" s="52">
        <f t="shared" si="59"/>
        <v>0</v>
      </c>
      <c r="K64" s="52">
        <f t="shared" si="59"/>
        <v>0</v>
      </c>
      <c r="L64" s="52">
        <f t="shared" si="59"/>
        <v>0</v>
      </c>
      <c r="M64" s="52">
        <f t="shared" si="59"/>
        <v>0</v>
      </c>
      <c r="N64" s="52">
        <f t="shared" si="59"/>
        <v>0</v>
      </c>
      <c r="O64" s="131">
        <f ca="1">SUM(OFFSET($C64,0,0,1,mth))</f>
        <v>5649.19271334687</v>
      </c>
      <c r="P64" s="143"/>
    </row>
    <row r="65" customHeight="1" spans="1:16">
      <c r="A65" s="138" t="s">
        <v>384</v>
      </c>
      <c r="B65" s="50"/>
      <c r="C65" s="52">
        <f>C51/(1-0.14)*(1-C$60)</f>
        <v>0</v>
      </c>
      <c r="D65" s="52">
        <f>D51/(1-0.14)*(1-D$60)</f>
        <v>29.8477442911764</v>
      </c>
      <c r="E65" s="52">
        <f t="shared" ref="D65:N65" si="60">E51/(1-0.14)*(1-E$60)</f>
        <v>0</v>
      </c>
      <c r="F65" s="52">
        <f t="shared" si="60"/>
        <v>0</v>
      </c>
      <c r="G65" s="52">
        <f t="shared" si="60"/>
        <v>0</v>
      </c>
      <c r="H65" s="52">
        <f t="shared" si="60"/>
        <v>0</v>
      </c>
      <c r="I65" s="52">
        <f t="shared" si="60"/>
        <v>0</v>
      </c>
      <c r="J65" s="52">
        <f t="shared" si="60"/>
        <v>0</v>
      </c>
      <c r="K65" s="52">
        <f t="shared" si="60"/>
        <v>0</v>
      </c>
      <c r="L65" s="52">
        <f t="shared" si="60"/>
        <v>0</v>
      </c>
      <c r="M65" s="52">
        <f t="shared" si="60"/>
        <v>0</v>
      </c>
      <c r="N65" s="52">
        <f t="shared" si="60"/>
        <v>0</v>
      </c>
      <c r="O65" s="131">
        <f ca="1">SUM(OFFSET($C65,0,0,1,mth))</f>
        <v>29.8477442911764</v>
      </c>
      <c r="P65" s="143"/>
    </row>
    <row r="66" customHeight="1" spans="1:16">
      <c r="A66" s="138" t="s">
        <v>385</v>
      </c>
      <c r="B66" s="50"/>
      <c r="C66" s="52">
        <f>C52/(1-0.14)*(1-C$60)</f>
        <v>4728.56635689434</v>
      </c>
      <c r="D66" s="52">
        <f>D52/(1-0.14)*(1-D$60)</f>
        <v>5512.65727617813</v>
      </c>
      <c r="E66" s="52">
        <f t="shared" ref="E66:H66" si="61">E52/(1-0.14)*(1-E$60)</f>
        <v>7012.21302325581</v>
      </c>
      <c r="F66" s="52">
        <f t="shared" si="61"/>
        <v>4843.04192108849</v>
      </c>
      <c r="G66" s="52">
        <f t="shared" si="61"/>
        <v>5382.35318604651</v>
      </c>
      <c r="H66" s="52">
        <f t="shared" si="61"/>
        <v>5641.71410684966</v>
      </c>
      <c r="I66" s="52">
        <f t="shared" ref="I66:N66" si="62">I52/(1-0.14)*(1-I$60)</f>
        <v>0</v>
      </c>
      <c r="J66" s="52">
        <f t="shared" si="62"/>
        <v>0</v>
      </c>
      <c r="K66" s="52">
        <f t="shared" si="62"/>
        <v>0</v>
      </c>
      <c r="L66" s="52">
        <f t="shared" si="62"/>
        <v>0</v>
      </c>
      <c r="M66" s="52">
        <f t="shared" si="62"/>
        <v>0</v>
      </c>
      <c r="N66" s="52">
        <f t="shared" si="62"/>
        <v>0</v>
      </c>
      <c r="O66" s="131">
        <f ca="1">SUM(OFFSET($C66,0,0,1,mth))</f>
        <v>33120.5458703129</v>
      </c>
      <c r="P66" s="143"/>
    </row>
    <row r="67" customHeight="1" spans="1:16">
      <c r="A67" s="160" t="s">
        <v>386</v>
      </c>
      <c r="B67" s="50" t="s">
        <v>387</v>
      </c>
      <c r="C67" s="52">
        <f>C54/(1-C60)*(1-0.14)</f>
        <v>2549.95571305998</v>
      </c>
      <c r="D67" s="52">
        <f>D54/(1-D60)*(1-0.14)</f>
        <v>2486.78051092061</v>
      </c>
      <c r="E67" s="52">
        <f t="shared" ref="E67:I67" si="63">E54/(1-E60)*(1-0.14)</f>
        <v>2454.62436433636</v>
      </c>
      <c r="F67" s="52">
        <f t="shared" si="63"/>
        <v>2475.84539335515</v>
      </c>
      <c r="G67" s="52">
        <f t="shared" si="63"/>
        <v>2490.92715530513</v>
      </c>
      <c r="H67" s="52">
        <f t="shared" si="63"/>
        <v>2542.12820220963</v>
      </c>
      <c r="I67" s="52">
        <f t="shared" si="63"/>
        <v>0</v>
      </c>
      <c r="J67" s="52">
        <f t="shared" ref="J67:O67" si="64">J54/(1-J60)*(1-0.14)</f>
        <v>0</v>
      </c>
      <c r="K67" s="52">
        <f t="shared" si="64"/>
        <v>0</v>
      </c>
      <c r="L67" s="52">
        <f t="shared" si="64"/>
        <v>0</v>
      </c>
      <c r="M67" s="52">
        <f t="shared" si="64"/>
        <v>0</v>
      </c>
      <c r="N67" s="52">
        <f t="shared" si="64"/>
        <v>0</v>
      </c>
      <c r="O67" s="131">
        <f ca="1" t="shared" si="64"/>
        <v>2499.44104182405</v>
      </c>
      <c r="P67" s="68"/>
    </row>
    <row r="68" customHeight="1" spans="1:16">
      <c r="A68" s="160" t="s">
        <v>388</v>
      </c>
      <c r="B68" s="50" t="s">
        <v>387</v>
      </c>
      <c r="C68" s="52">
        <f>C55/(1-C60)*(1-0.14)</f>
        <v>0</v>
      </c>
      <c r="D68" s="52">
        <f>D55/(1-D60)*(1-0.14)</f>
        <v>0</v>
      </c>
      <c r="E68" s="52">
        <f t="shared" ref="E68:H68" si="65">E55/(1-E60)*(1-0.14)</f>
        <v>0</v>
      </c>
      <c r="F68" s="52">
        <f t="shared" si="65"/>
        <v>0</v>
      </c>
      <c r="G68" s="52">
        <f t="shared" si="65"/>
        <v>0</v>
      </c>
      <c r="H68" s="52">
        <f t="shared" si="65"/>
        <v>0</v>
      </c>
      <c r="I68" s="52">
        <f t="shared" ref="I68:O68" si="66">I55/(1-I60)*(1-0.14)</f>
        <v>0</v>
      </c>
      <c r="J68" s="52">
        <f t="shared" si="66"/>
        <v>0</v>
      </c>
      <c r="K68" s="52">
        <f t="shared" si="66"/>
        <v>0</v>
      </c>
      <c r="L68" s="52">
        <f t="shared" si="66"/>
        <v>0</v>
      </c>
      <c r="M68" s="52">
        <f t="shared" si="66"/>
        <v>0</v>
      </c>
      <c r="N68" s="52">
        <f t="shared" si="66"/>
        <v>0</v>
      </c>
      <c r="O68" s="131">
        <f ca="1" t="shared" si="66"/>
        <v>0</v>
      </c>
      <c r="P68" s="68"/>
    </row>
    <row r="69" customHeight="1" spans="1:16">
      <c r="A69" s="160" t="s">
        <v>389</v>
      </c>
      <c r="B69" s="50" t="s">
        <v>387</v>
      </c>
      <c r="C69" s="52">
        <f>C56/(1-$C$60)*(1-0.14)</f>
        <v>0</v>
      </c>
      <c r="D69" s="52">
        <f>D56/(1-D60)*(1-0.14)</f>
        <v>2486.78051092061</v>
      </c>
      <c r="E69" s="52">
        <f t="shared" ref="E69:H69" si="67">E56/(1-E60)*(1-0.14)</f>
        <v>2454.62436433636</v>
      </c>
      <c r="F69" s="52">
        <f t="shared" si="67"/>
        <v>2475.84539335515</v>
      </c>
      <c r="G69" s="52">
        <f t="shared" si="67"/>
        <v>0</v>
      </c>
      <c r="H69" s="52">
        <f t="shared" si="67"/>
        <v>2542.12820220963</v>
      </c>
      <c r="I69" s="52">
        <f t="shared" ref="I69:N69" si="68">I56/(1-I60)*(1-0.14)</f>
        <v>0</v>
      </c>
      <c r="J69" s="52">
        <f t="shared" si="68"/>
        <v>0</v>
      </c>
      <c r="K69" s="52">
        <f t="shared" si="68"/>
        <v>0</v>
      </c>
      <c r="L69" s="52">
        <f t="shared" si="68"/>
        <v>0</v>
      </c>
      <c r="M69" s="52">
        <f t="shared" si="68"/>
        <v>0</v>
      </c>
      <c r="N69" s="52">
        <f t="shared" si="68"/>
        <v>0</v>
      </c>
      <c r="O69" s="131">
        <f ca="1" t="shared" ref="O69:O71" si="69">O56/(1-$O$60)*(1-0.14)</f>
        <v>2487.55486364177</v>
      </c>
    </row>
    <row r="70" customHeight="1" spans="1:16">
      <c r="A70" s="160" t="s">
        <v>390</v>
      </c>
      <c r="B70" s="50" t="s">
        <v>387</v>
      </c>
      <c r="C70" s="52">
        <f>C57/(1-C$60)*(1-0.14)</f>
        <v>2548.82665242968</v>
      </c>
      <c r="D70" s="52">
        <f>D57/(1-D$60)*(1-0.14)</f>
        <v>2490.14301095403</v>
      </c>
      <c r="E70" s="52">
        <f>E57/(1-E$60)*(1-0.14)</f>
        <v>2455.39279553731</v>
      </c>
      <c r="F70" s="52">
        <f t="shared" ref="F70:N70" si="70">F57/(1-F$60)*(1-0.14)</f>
        <v>2475.64037096652</v>
      </c>
      <c r="G70" s="52">
        <f t="shared" si="70"/>
        <v>2491.73844453082</v>
      </c>
      <c r="H70" s="52">
        <f t="shared" si="70"/>
        <v>2542.1281023594</v>
      </c>
      <c r="I70" s="52">
        <f t="shared" si="70"/>
        <v>0</v>
      </c>
      <c r="J70" s="52">
        <f t="shared" si="70"/>
        <v>0</v>
      </c>
      <c r="K70" s="52">
        <f t="shared" si="70"/>
        <v>0</v>
      </c>
      <c r="L70" s="52">
        <f t="shared" si="70"/>
        <v>0</v>
      </c>
      <c r="M70" s="52">
        <f t="shared" si="70"/>
        <v>0</v>
      </c>
      <c r="N70" s="52">
        <f t="shared" si="70"/>
        <v>0</v>
      </c>
      <c r="O70" s="131">
        <f ca="1" t="shared" si="69"/>
        <v>2502.53268287336</v>
      </c>
    </row>
    <row r="71" customHeight="1" spans="1:16">
      <c r="A71" s="160" t="s">
        <v>391</v>
      </c>
      <c r="B71" s="50" t="s">
        <v>387</v>
      </c>
      <c r="C71" s="52">
        <f>C58/(1-C$60)*(1-0.14)</f>
        <v>0</v>
      </c>
      <c r="D71" s="52">
        <f>D58/(1-D$60)*(1-0.14)</f>
        <v>2455.64426192392</v>
      </c>
      <c r="E71" s="52">
        <f t="shared" ref="C71:N71" si="71">E58/(1-E$60)*(1-0.14)</f>
        <v>0</v>
      </c>
      <c r="F71" s="52">
        <f t="shared" si="71"/>
        <v>0</v>
      </c>
      <c r="G71" s="52">
        <f t="shared" si="71"/>
        <v>0</v>
      </c>
      <c r="H71" s="52">
        <f t="shared" si="71"/>
        <v>0</v>
      </c>
      <c r="I71" s="52">
        <f t="shared" si="71"/>
        <v>0</v>
      </c>
      <c r="J71" s="52">
        <f t="shared" si="71"/>
        <v>0</v>
      </c>
      <c r="K71" s="52">
        <f t="shared" si="71"/>
        <v>0</v>
      </c>
      <c r="L71" s="52">
        <f t="shared" si="71"/>
        <v>0</v>
      </c>
      <c r="M71" s="52">
        <f t="shared" si="71"/>
        <v>0</v>
      </c>
      <c r="N71" s="52">
        <f t="shared" si="71"/>
        <v>0</v>
      </c>
      <c r="O71" s="131">
        <f ca="1" t="shared" si="69"/>
        <v>2453.7157195875</v>
      </c>
    </row>
    <row r="72" customHeight="1" spans="1:16">
      <c r="A72" s="160" t="s">
        <v>392</v>
      </c>
      <c r="B72" s="50" t="s">
        <v>387</v>
      </c>
      <c r="C72" s="52">
        <f>C59/(1-C60)*(1-0.14)</f>
        <v>2552.4476029765</v>
      </c>
      <c r="D72" s="52">
        <f>D59/(1-D60)*(1-0.14)</f>
        <v>2485.97846672251</v>
      </c>
      <c r="E72" s="52">
        <f t="shared" ref="E72:H72" si="72">E59/(1-E60)*(1-0.14)</f>
        <v>2455.45049457233</v>
      </c>
      <c r="F72" s="52">
        <f t="shared" si="72"/>
        <v>2477.86845035256</v>
      </c>
      <c r="G72" s="52">
        <f t="shared" si="72"/>
        <v>2492.09933004276</v>
      </c>
      <c r="H72" s="52">
        <f t="shared" si="72"/>
        <v>2542.12810244803</v>
      </c>
      <c r="I72" s="52">
        <f t="shared" ref="I72:O72" si="73">I59/(1-I60)*(1-0.14)</f>
        <v>0</v>
      </c>
      <c r="J72" s="52">
        <f t="shared" si="73"/>
        <v>0</v>
      </c>
      <c r="K72" s="52">
        <f t="shared" si="73"/>
        <v>0</v>
      </c>
      <c r="L72" s="52">
        <f t="shared" si="73"/>
        <v>0</v>
      </c>
      <c r="M72" s="52">
        <f t="shared" si="73"/>
        <v>0</v>
      </c>
      <c r="N72" s="52">
        <f t="shared" si="73"/>
        <v>0</v>
      </c>
      <c r="O72" s="131">
        <f ca="1" t="shared" si="73"/>
        <v>2498.30329653107</v>
      </c>
      <c r="P72" s="68"/>
    </row>
    <row r="73" customHeight="1" spans="1:16">
      <c r="A73" s="161" t="s">
        <v>393</v>
      </c>
      <c r="B73" s="50" t="s">
        <v>387</v>
      </c>
      <c r="C73" s="162">
        <f t="shared" ref="C73:K73" si="74">IF(ROUND(C61,2)=0,,C86/C61)</f>
        <v>2881.44995575777</v>
      </c>
      <c r="D73" s="162">
        <f t="shared" si="74"/>
        <v>2810.06197734029</v>
      </c>
      <c r="E73" s="162">
        <f t="shared" si="74"/>
        <v>2773.72553170009</v>
      </c>
      <c r="F73" s="162">
        <f t="shared" si="74"/>
        <v>2797.70529449132</v>
      </c>
      <c r="G73" s="162">
        <f t="shared" si="74"/>
        <v>2814.74768549479</v>
      </c>
      <c r="H73" s="162">
        <f t="shared" si="74"/>
        <v>2872.60486849689</v>
      </c>
      <c r="I73" s="162">
        <f t="shared" si="74"/>
        <v>0</v>
      </c>
      <c r="J73" s="162">
        <f t="shared" si="74"/>
        <v>0</v>
      </c>
      <c r="K73" s="162">
        <f t="shared" si="74"/>
        <v>0</v>
      </c>
      <c r="L73" s="162">
        <f t="shared" ref="L73:O73" si="75">IF(ROUND(L61,2)=0,,L86/L61)</f>
        <v>0</v>
      </c>
      <c r="M73" s="162">
        <f t="shared" si="75"/>
        <v>0</v>
      </c>
      <c r="N73" s="162">
        <f t="shared" si="75"/>
        <v>0</v>
      </c>
      <c r="O73" s="163">
        <f ca="1" t="shared" si="75"/>
        <v>2824.36837726118</v>
      </c>
      <c r="P73" s="68"/>
    </row>
    <row r="74" customHeight="1" spans="1:16">
      <c r="A74" s="161" t="s">
        <v>388</v>
      </c>
      <c r="B74" s="50" t="s">
        <v>387</v>
      </c>
      <c r="C74" s="162">
        <f t="shared" ref="C74:C78" si="76">IF(ROUND(C62,2)=0,,C87/C62)</f>
        <v>0</v>
      </c>
      <c r="D74" s="162">
        <f t="shared" ref="D74:D78" si="77">IF(ROUND(D62,2)=0,,D87/D62)</f>
        <v>0</v>
      </c>
      <c r="E74" s="162">
        <f t="shared" ref="E74:F74" si="78">IF(ROUND(E62,2)=0,,E87/E62)</f>
        <v>0</v>
      </c>
      <c r="F74" s="162">
        <f t="shared" si="78"/>
        <v>0</v>
      </c>
      <c r="G74" s="162">
        <f t="shared" ref="G74:I74" si="79">IF(ROUND(G62,2)=0,,G87/G62)</f>
        <v>0</v>
      </c>
      <c r="H74" s="162">
        <f t="shared" si="79"/>
        <v>0</v>
      </c>
      <c r="I74" s="162">
        <f t="shared" si="79"/>
        <v>0</v>
      </c>
      <c r="J74" s="162">
        <f t="shared" ref="J74:K74" si="80">IF(ROUND(J62,2)=0,,J87/J62)</f>
        <v>0</v>
      </c>
      <c r="K74" s="162">
        <f t="shared" si="80"/>
        <v>0</v>
      </c>
      <c r="L74" s="162">
        <f t="shared" ref="L74:O74" si="81">IF(ROUND(L62,2)=0,,L87/L62)</f>
        <v>0</v>
      </c>
      <c r="M74" s="162">
        <f t="shared" si="81"/>
        <v>0</v>
      </c>
      <c r="N74" s="162">
        <f t="shared" si="81"/>
        <v>0</v>
      </c>
      <c r="O74" s="163">
        <f ca="1" t="shared" si="81"/>
        <v>0</v>
      </c>
      <c r="P74" s="68"/>
    </row>
    <row r="75" customHeight="1" spans="1:16">
      <c r="A75" s="161" t="s">
        <v>394</v>
      </c>
      <c r="B75" s="50" t="s">
        <v>387</v>
      </c>
      <c r="C75" s="162">
        <f t="shared" si="76"/>
        <v>0</v>
      </c>
      <c r="D75" s="162">
        <f t="shared" si="77"/>
        <v>2810.06197734029</v>
      </c>
      <c r="E75" s="162">
        <f t="shared" ref="E75:E78" si="82">IF(ROUND(E63,2)=0,,E88/E63)</f>
        <v>2773.72553170009</v>
      </c>
      <c r="F75" s="162">
        <f t="shared" ref="F75:K75" si="83">IF(ROUND(F63,2)=0,,F88/F63)</f>
        <v>2797.70529449131</v>
      </c>
      <c r="G75" s="162">
        <f t="shared" si="83"/>
        <v>0</v>
      </c>
      <c r="H75" s="162">
        <f t="shared" si="83"/>
        <v>2872.60486849688</v>
      </c>
      <c r="I75" s="162">
        <f t="shared" si="83"/>
        <v>0</v>
      </c>
      <c r="J75" s="162">
        <f t="shared" si="83"/>
        <v>0</v>
      </c>
      <c r="K75" s="162">
        <f t="shared" si="83"/>
        <v>0</v>
      </c>
      <c r="L75" s="162">
        <f t="shared" ref="L75:O75" si="84">IF(ROUND(L63,2)=0,,L88/L63)</f>
        <v>0</v>
      </c>
      <c r="M75" s="162">
        <f t="shared" si="84"/>
        <v>0</v>
      </c>
      <c r="N75" s="162">
        <f t="shared" si="84"/>
        <v>0</v>
      </c>
      <c r="O75" s="163">
        <f ca="1" t="shared" si="84"/>
        <v>2810.52381438753</v>
      </c>
    </row>
    <row r="76" customHeight="1" spans="1:16">
      <c r="A76" s="161" t="s">
        <v>395</v>
      </c>
      <c r="B76" s="50" t="s">
        <v>387</v>
      </c>
      <c r="C76" s="162">
        <f t="shared" si="76"/>
        <v>2880.17411724554</v>
      </c>
      <c r="D76" s="162">
        <f t="shared" si="77"/>
        <v>2813.86160237805</v>
      </c>
      <c r="E76" s="162">
        <f t="shared" si="82"/>
        <v>2774.59385895716</v>
      </c>
      <c r="F76" s="162">
        <f t="shared" ref="F76:K76" si="85">IF(ROUND(F64,2)=0,,F89/F64)</f>
        <v>2797.47361919216</v>
      </c>
      <c r="G76" s="162">
        <f t="shared" si="85"/>
        <v>2815.66444231982</v>
      </c>
      <c r="H76" s="162">
        <f t="shared" si="85"/>
        <v>2872.60475566613</v>
      </c>
      <c r="I76" s="162">
        <f t="shared" si="85"/>
        <v>0</v>
      </c>
      <c r="J76" s="162">
        <f t="shared" si="85"/>
        <v>0</v>
      </c>
      <c r="K76" s="162">
        <f t="shared" si="85"/>
        <v>0</v>
      </c>
      <c r="L76" s="162">
        <f t="shared" ref="L76:O76" si="86">IF(ROUND(L64,2)=0,,L89/L64)</f>
        <v>0</v>
      </c>
      <c r="M76" s="162">
        <f t="shared" si="86"/>
        <v>0</v>
      </c>
      <c r="N76" s="162">
        <f t="shared" si="86"/>
        <v>0</v>
      </c>
      <c r="O76" s="163">
        <f ca="1" t="shared" si="86"/>
        <v>2827.75572167122</v>
      </c>
    </row>
    <row r="77" customHeight="1" spans="1:16">
      <c r="A77" s="161" t="s">
        <v>396</v>
      </c>
      <c r="B77" s="50" t="s">
        <v>387</v>
      </c>
      <c r="C77" s="162">
        <f t="shared" si="76"/>
        <v>0</v>
      </c>
      <c r="D77" s="162">
        <f t="shared" si="77"/>
        <v>2774.87801597404</v>
      </c>
      <c r="E77" s="162">
        <f t="shared" si="82"/>
        <v>0</v>
      </c>
      <c r="F77" s="162">
        <f t="shared" ref="F77:O77" si="87">IF(ROUND(F65,2)=0,,F90/F65)</f>
        <v>0</v>
      </c>
      <c r="G77" s="162">
        <f t="shared" si="87"/>
        <v>0</v>
      </c>
      <c r="H77" s="162">
        <f t="shared" si="87"/>
        <v>0</v>
      </c>
      <c r="I77" s="162">
        <f t="shared" si="87"/>
        <v>0</v>
      </c>
      <c r="J77" s="162">
        <f t="shared" si="87"/>
        <v>0</v>
      </c>
      <c r="K77" s="162">
        <f t="shared" si="87"/>
        <v>0</v>
      </c>
      <c r="L77" s="162">
        <f t="shared" si="87"/>
        <v>0</v>
      </c>
      <c r="M77" s="162">
        <f t="shared" si="87"/>
        <v>0</v>
      </c>
      <c r="N77" s="162">
        <f t="shared" si="87"/>
        <v>0</v>
      </c>
      <c r="O77" s="163">
        <f ca="1" t="shared" si="87"/>
        <v>2774.87801597404</v>
      </c>
    </row>
    <row r="78" customHeight="1" spans="1:16">
      <c r="A78" s="161" t="s">
        <v>397</v>
      </c>
      <c r="B78" s="50" t="s">
        <v>387</v>
      </c>
      <c r="C78" s="162">
        <f t="shared" si="76"/>
        <v>2884.26579136344</v>
      </c>
      <c r="D78" s="162">
        <f t="shared" si="77"/>
        <v>2809.15566739644</v>
      </c>
      <c r="E78" s="162">
        <f t="shared" si="82"/>
        <v>2774.65905886673</v>
      </c>
      <c r="F78" s="162">
        <f t="shared" ref="F78:K78" si="88">IF(ROUND(F66,2)=0,,F91/F66)</f>
        <v>2799.99134889839</v>
      </c>
      <c r="G78" s="162">
        <f t="shared" si="88"/>
        <v>2816.07224294831</v>
      </c>
      <c r="H78" s="162">
        <f t="shared" si="88"/>
        <v>2872.60475576627</v>
      </c>
      <c r="I78" s="162">
        <f t="shared" si="88"/>
        <v>0</v>
      </c>
      <c r="J78" s="162">
        <f t="shared" si="88"/>
        <v>0</v>
      </c>
      <c r="K78" s="162">
        <f t="shared" si="88"/>
        <v>0</v>
      </c>
      <c r="L78" s="162">
        <f t="shared" ref="L78:O78" si="89">IF(ROUND(L66,2)=0,,L91/L66)</f>
        <v>0</v>
      </c>
      <c r="M78" s="162">
        <f t="shared" si="89"/>
        <v>0</v>
      </c>
      <c r="N78" s="162">
        <f t="shared" si="89"/>
        <v>0</v>
      </c>
      <c r="O78" s="163">
        <f ca="1" t="shared" si="89"/>
        <v>2823.16725797216</v>
      </c>
    </row>
    <row r="79" customHeight="1" spans="1:16">
      <c r="A79" s="160" t="s">
        <v>398</v>
      </c>
      <c r="B79" s="50" t="s">
        <v>327</v>
      </c>
      <c r="C79" s="52">
        <f t="shared" ref="C79:G79" si="90">C47*C54</f>
        <v>13273390.968</v>
      </c>
      <c r="D79" s="52">
        <f t="shared" si="90"/>
        <v>16398412.9522518</v>
      </c>
      <c r="E79" s="52">
        <f t="shared" si="90"/>
        <v>14912244.0473574</v>
      </c>
      <c r="F79" s="52">
        <f t="shared" si="90"/>
        <v>17506195.3359523</v>
      </c>
      <c r="G79" s="52">
        <f t="shared" si="90"/>
        <v>22427407.939</v>
      </c>
      <c r="H79" s="52">
        <f t="shared" ref="F79:H80" si="91">H47*H54</f>
        <v>20027810.0747631</v>
      </c>
      <c r="I79" s="52">
        <f t="shared" ref="I79:N79" si="92">I47*I54</f>
        <v>0</v>
      </c>
      <c r="J79" s="52">
        <f t="shared" si="92"/>
        <v>0</v>
      </c>
      <c r="K79" s="52">
        <f t="shared" si="92"/>
        <v>0</v>
      </c>
      <c r="L79" s="52">
        <f t="shared" si="92"/>
        <v>0</v>
      </c>
      <c r="M79" s="52">
        <f t="shared" si="92"/>
        <v>0</v>
      </c>
      <c r="N79" s="52">
        <f t="shared" si="92"/>
        <v>0</v>
      </c>
      <c r="O79" s="131">
        <f ca="1">SUM(OFFSET($C79,0,0,1,mth))</f>
        <v>104545461.317325</v>
      </c>
    </row>
    <row r="80" customHeight="1" spans="1:16">
      <c r="A80" s="160" t="s">
        <v>399</v>
      </c>
      <c r="B80" s="50" t="s">
        <v>327</v>
      </c>
      <c r="C80" s="52">
        <f>C48*C55</f>
        <v>0</v>
      </c>
      <c r="D80" s="52">
        <f>D48*D55</f>
        <v>0</v>
      </c>
      <c r="E80" s="52">
        <f>E48*E55</f>
        <v>0</v>
      </c>
      <c r="F80" s="52">
        <f t="shared" si="91"/>
        <v>0</v>
      </c>
      <c r="G80" s="52">
        <f t="shared" si="91"/>
        <v>0</v>
      </c>
      <c r="H80" s="52">
        <f t="shared" si="91"/>
        <v>0</v>
      </c>
      <c r="I80" s="52">
        <f>I48*I55</f>
        <v>0</v>
      </c>
      <c r="J80" s="52">
        <f>J48*J55</f>
        <v>0</v>
      </c>
      <c r="K80" s="52">
        <f t="shared" ref="K80:N80" si="93">K48*K55</f>
        <v>0</v>
      </c>
      <c r="L80" s="52">
        <f t="shared" si="93"/>
        <v>0</v>
      </c>
      <c r="M80" s="52">
        <f t="shared" si="93"/>
        <v>0</v>
      </c>
      <c r="N80" s="52">
        <f t="shared" si="93"/>
        <v>0</v>
      </c>
      <c r="O80" s="131">
        <f ca="1">SUM(OFFSET($C80,0,0,1,mth))</f>
        <v>0</v>
      </c>
    </row>
    <row r="81" customHeight="1" spans="1:16">
      <c r="A81" s="160" t="s">
        <v>400</v>
      </c>
      <c r="B81" s="50" t="s">
        <v>327</v>
      </c>
      <c r="C81" s="52">
        <f t="shared" ref="C81" si="94">C49*C56</f>
        <v>0</v>
      </c>
      <c r="D81" s="52">
        <f t="shared" ref="D81:H81" si="95">D49*D56</f>
        <v>754335.942748244</v>
      </c>
      <c r="E81" s="52">
        <f t="shared" si="95"/>
        <v>1005440.80964262</v>
      </c>
      <c r="F81" s="52">
        <f t="shared" si="95"/>
        <v>1065790.20304773</v>
      </c>
      <c r="G81" s="52">
        <f t="shared" si="95"/>
        <v>0</v>
      </c>
      <c r="H81" s="52">
        <f t="shared" si="95"/>
        <v>848909.195236941</v>
      </c>
      <c r="I81" s="52">
        <f t="shared" ref="I81:N81" si="96">I49*I56</f>
        <v>0</v>
      </c>
      <c r="J81" s="52">
        <f t="shared" si="96"/>
        <v>0</v>
      </c>
      <c r="K81" s="52">
        <f t="shared" si="96"/>
        <v>0</v>
      </c>
      <c r="L81" s="52">
        <f t="shared" si="96"/>
        <v>0</v>
      </c>
      <c r="M81" s="52">
        <f t="shared" si="96"/>
        <v>0</v>
      </c>
      <c r="N81" s="52">
        <f t="shared" si="96"/>
        <v>0</v>
      </c>
      <c r="O81" s="131">
        <f ca="1">SUM(OFFSET($C81,0,0,1,mth))</f>
        <v>3674476.15067554</v>
      </c>
    </row>
    <row r="82" customHeight="1" spans="1:16">
      <c r="A82" s="160" t="s">
        <v>401</v>
      </c>
      <c r="B82" s="50" t="s">
        <v>327</v>
      </c>
      <c r="C82" s="52">
        <f t="shared" ref="C82:G82" si="97">C50*C57</f>
        <v>2320587.84</v>
      </c>
      <c r="D82" s="52">
        <f t="shared" si="97"/>
        <v>1714233.3</v>
      </c>
      <c r="E82" s="52">
        <f t="shared" si="97"/>
        <v>2402987.29</v>
      </c>
      <c r="F82" s="52">
        <f t="shared" si="97"/>
        <v>2224302.669</v>
      </c>
      <c r="G82" s="52">
        <f t="shared" si="97"/>
        <v>2467683.07</v>
      </c>
      <c r="H82" s="52">
        <f t="shared" ref="H82:H83" si="98">H50*H57</f>
        <v>3006964.254</v>
      </c>
      <c r="I82" s="52">
        <f t="shared" ref="I82:N82" si="99">I50*I57</f>
        <v>0</v>
      </c>
      <c r="J82" s="52">
        <f t="shared" si="99"/>
        <v>0</v>
      </c>
      <c r="K82" s="52">
        <f t="shared" si="99"/>
        <v>0</v>
      </c>
      <c r="L82" s="52">
        <f t="shared" si="99"/>
        <v>0</v>
      </c>
      <c r="M82" s="52">
        <f t="shared" si="99"/>
        <v>0</v>
      </c>
      <c r="N82" s="52">
        <f t="shared" si="99"/>
        <v>0</v>
      </c>
      <c r="O82" s="131">
        <f ca="1">SUM(OFFSET($C82,0,0,1,mth))</f>
        <v>14136758.423</v>
      </c>
    </row>
    <row r="83" customHeight="1" spans="1:16">
      <c r="A83" s="160" t="s">
        <v>402</v>
      </c>
      <c r="B83" s="50" t="s">
        <v>327</v>
      </c>
      <c r="C83" s="52">
        <f>C51*C58</f>
        <v>0</v>
      </c>
      <c r="D83" s="52">
        <f>D51*D58</f>
        <v>73295.442</v>
      </c>
      <c r="E83" s="52">
        <f t="shared" ref="C83:G83" si="100">E51*E58</f>
        <v>0</v>
      </c>
      <c r="F83" s="52">
        <f t="shared" si="100"/>
        <v>0</v>
      </c>
      <c r="G83" s="52">
        <f t="shared" si="100"/>
        <v>0</v>
      </c>
      <c r="H83" s="52">
        <f t="shared" si="98"/>
        <v>0</v>
      </c>
      <c r="I83" s="52">
        <f t="shared" ref="I83:N83" si="101">I51*I58</f>
        <v>0</v>
      </c>
      <c r="J83" s="52">
        <f t="shared" si="101"/>
        <v>0</v>
      </c>
      <c r="K83" s="52">
        <f t="shared" si="101"/>
        <v>0</v>
      </c>
      <c r="L83" s="52">
        <f t="shared" si="101"/>
        <v>0</v>
      </c>
      <c r="M83" s="52">
        <f t="shared" si="101"/>
        <v>0</v>
      </c>
      <c r="N83" s="52">
        <f t="shared" si="101"/>
        <v>0</v>
      </c>
      <c r="O83" s="131">
        <f ca="1">SUM(OFFSET($C83,0,0,1,mth))</f>
        <v>73295.442</v>
      </c>
    </row>
    <row r="84" customHeight="1" spans="1:16">
      <c r="A84" s="160" t="s">
        <v>403</v>
      </c>
      <c r="B84" s="50" t="s">
        <v>327</v>
      </c>
      <c r="C84" s="52">
        <f>C52*C59</f>
        <v>12069417.8631703</v>
      </c>
      <c r="D84" s="52">
        <f t="shared" ref="D84:H84" si="102">D52*D59</f>
        <v>13704347.283</v>
      </c>
      <c r="E84" s="52">
        <f t="shared" si="102"/>
        <v>17218141.936</v>
      </c>
      <c r="F84" s="52">
        <f t="shared" si="102"/>
        <v>12000420.78</v>
      </c>
      <c r="G84" s="52">
        <f t="shared" si="102"/>
        <v>13413358.769</v>
      </c>
      <c r="H84" s="52">
        <f t="shared" si="102"/>
        <v>14341959.977</v>
      </c>
      <c r="I84" s="52">
        <f t="shared" ref="I84:N84" si="103">I52*I59</f>
        <v>0</v>
      </c>
      <c r="J84" s="52">
        <f t="shared" si="103"/>
        <v>0</v>
      </c>
      <c r="K84" s="52">
        <f t="shared" si="103"/>
        <v>0</v>
      </c>
      <c r="L84" s="52">
        <f t="shared" si="103"/>
        <v>0</v>
      </c>
      <c r="M84" s="52">
        <f t="shared" si="103"/>
        <v>0</v>
      </c>
      <c r="N84" s="52">
        <f t="shared" si="103"/>
        <v>0</v>
      </c>
      <c r="O84" s="131">
        <f ca="1">SUM(OFFSET($C84,0,0,1,mth))</f>
        <v>82747646.6081703</v>
      </c>
    </row>
    <row r="85" customHeight="1" spans="1:16">
      <c r="A85" s="164" t="s">
        <v>331</v>
      </c>
      <c r="B85" s="60" t="s">
        <v>327</v>
      </c>
      <c r="C85" s="61">
        <f>C47*C54+C49*C56+C52*C59+C50*C57+C48*C55+C58*C51</f>
        <v>27663396.6711703</v>
      </c>
      <c r="D85" s="61">
        <f>D47*D54+D49*D56+D52*D59+D50*D57+D48*D55+D58*D51</f>
        <v>32644624.92</v>
      </c>
      <c r="E85" s="61">
        <f t="shared" ref="D85:O85" si="104">E47*E54+E49*E56+E52*E59+E50*E57+E48*E55+E58*E51</f>
        <v>35538814.083</v>
      </c>
      <c r="F85" s="61">
        <f t="shared" si="104"/>
        <v>32796708.988</v>
      </c>
      <c r="G85" s="61">
        <f t="shared" si="104"/>
        <v>38308449.778</v>
      </c>
      <c r="H85" s="61">
        <f t="shared" si="104"/>
        <v>38225643.501</v>
      </c>
      <c r="I85" s="61">
        <f t="shared" si="104"/>
        <v>0</v>
      </c>
      <c r="J85" s="61">
        <f t="shared" si="104"/>
        <v>0</v>
      </c>
      <c r="K85" s="61">
        <f t="shared" si="104"/>
        <v>0</v>
      </c>
      <c r="L85" s="61">
        <f t="shared" si="104"/>
        <v>0</v>
      </c>
      <c r="M85" s="61">
        <f t="shared" si="104"/>
        <v>0</v>
      </c>
      <c r="N85" s="61">
        <f t="shared" si="104"/>
        <v>0</v>
      </c>
      <c r="O85" s="165">
        <f ca="1" t="shared" si="104"/>
        <v>205177637.94117</v>
      </c>
      <c r="P85" s="68"/>
    </row>
    <row r="86" customHeight="1" spans="1:16">
      <c r="A86" s="161" t="s">
        <v>404</v>
      </c>
      <c r="B86" s="50"/>
      <c r="C86" s="162">
        <f t="shared" ref="C86:M86" si="105">C79*1.13</f>
        <v>14998931.79384</v>
      </c>
      <c r="D86" s="162">
        <f t="shared" si="105"/>
        <v>18530206.6360445</v>
      </c>
      <c r="E86" s="162">
        <f t="shared" si="105"/>
        <v>16850835.7735138</v>
      </c>
      <c r="F86" s="162">
        <f t="shared" si="105"/>
        <v>19782000.7296261</v>
      </c>
      <c r="G86" s="162">
        <f t="shared" si="105"/>
        <v>25342970.97107</v>
      </c>
      <c r="H86" s="162">
        <f t="shared" si="105"/>
        <v>22631425.3844823</v>
      </c>
      <c r="I86" s="162">
        <f t="shared" si="105"/>
        <v>0</v>
      </c>
      <c r="J86" s="162">
        <f t="shared" si="105"/>
        <v>0</v>
      </c>
      <c r="K86" s="162">
        <f t="shared" si="105"/>
        <v>0</v>
      </c>
      <c r="L86" s="162">
        <f t="shared" si="105"/>
        <v>0</v>
      </c>
      <c r="M86" s="162">
        <f t="shared" si="105"/>
        <v>0</v>
      </c>
      <c r="N86" s="162">
        <f t="shared" ref="N86" si="106">N79*1.13</f>
        <v>0</v>
      </c>
      <c r="O86" s="163">
        <f ca="1">SUM(OFFSET($C86,0,0,1,mth))</f>
        <v>118136371.288577</v>
      </c>
    </row>
    <row r="87" customHeight="1" spans="1:16">
      <c r="A87" s="161" t="s">
        <v>399</v>
      </c>
      <c r="B87" s="50"/>
      <c r="C87" s="162">
        <f t="shared" ref="C87:M87" si="107">C80*1.13</f>
        <v>0</v>
      </c>
      <c r="D87" s="162">
        <f t="shared" si="107"/>
        <v>0</v>
      </c>
      <c r="E87" s="162">
        <f t="shared" si="107"/>
        <v>0</v>
      </c>
      <c r="F87" s="162">
        <f t="shared" si="107"/>
        <v>0</v>
      </c>
      <c r="G87" s="162">
        <f t="shared" si="107"/>
        <v>0</v>
      </c>
      <c r="H87" s="162">
        <f t="shared" si="107"/>
        <v>0</v>
      </c>
      <c r="I87" s="162">
        <f t="shared" si="107"/>
        <v>0</v>
      </c>
      <c r="J87" s="162">
        <f t="shared" si="107"/>
        <v>0</v>
      </c>
      <c r="K87" s="162">
        <f t="shared" si="107"/>
        <v>0</v>
      </c>
      <c r="L87" s="162">
        <f t="shared" si="107"/>
        <v>0</v>
      </c>
      <c r="M87" s="162">
        <f t="shared" si="107"/>
        <v>0</v>
      </c>
      <c r="N87" s="162">
        <f t="shared" ref="N87" si="108">N80*1.13</f>
        <v>0</v>
      </c>
      <c r="O87" s="163">
        <f ca="1">SUM(OFFSET($C87,0,0,1,mth))</f>
        <v>0</v>
      </c>
    </row>
    <row r="88" customHeight="1" spans="1:16">
      <c r="A88" s="161" t="s">
        <v>405</v>
      </c>
      <c r="B88" s="50"/>
      <c r="C88" s="162">
        <f t="shared" ref="C88:M88" si="109">C81*1.13</f>
        <v>0</v>
      </c>
      <c r="D88" s="162">
        <f t="shared" si="109"/>
        <v>852399.615305516</v>
      </c>
      <c r="E88" s="162">
        <f t="shared" si="109"/>
        <v>1136148.11489616</v>
      </c>
      <c r="F88" s="162">
        <f t="shared" si="109"/>
        <v>1204342.92944393</v>
      </c>
      <c r="G88" s="162">
        <f t="shared" si="109"/>
        <v>0</v>
      </c>
      <c r="H88" s="162">
        <f t="shared" si="109"/>
        <v>959267.390617743</v>
      </c>
      <c r="I88" s="162">
        <f t="shared" si="109"/>
        <v>0</v>
      </c>
      <c r="J88" s="162">
        <f t="shared" si="109"/>
        <v>0</v>
      </c>
      <c r="K88" s="162">
        <f t="shared" si="109"/>
        <v>0</v>
      </c>
      <c r="L88" s="162">
        <f t="shared" si="109"/>
        <v>0</v>
      </c>
      <c r="M88" s="162">
        <f t="shared" si="109"/>
        <v>0</v>
      </c>
      <c r="N88" s="162">
        <f t="shared" ref="N88" si="110">N81*1.13</f>
        <v>0</v>
      </c>
      <c r="O88" s="163">
        <f ca="1">SUM(OFFSET($C88,0,0,1,mth))</f>
        <v>4152158.05026335</v>
      </c>
    </row>
    <row r="89" customHeight="1" spans="1:16">
      <c r="A89" s="161" t="s">
        <v>406</v>
      </c>
      <c r="B89" s="50"/>
      <c r="C89" s="162">
        <f t="shared" ref="C89:M89" si="111">C82*1.13</f>
        <v>2622264.2592</v>
      </c>
      <c r="D89" s="162">
        <f t="shared" si="111"/>
        <v>1937083.629</v>
      </c>
      <c r="E89" s="162">
        <f t="shared" si="111"/>
        <v>2715375.6377</v>
      </c>
      <c r="F89" s="162">
        <f t="shared" si="111"/>
        <v>2513462.01597</v>
      </c>
      <c r="G89" s="162">
        <f t="shared" si="111"/>
        <v>2788481.8691</v>
      </c>
      <c r="H89" s="162">
        <f t="shared" si="111"/>
        <v>3397869.60702</v>
      </c>
      <c r="I89" s="162">
        <f t="shared" si="111"/>
        <v>0</v>
      </c>
      <c r="J89" s="162">
        <f t="shared" si="111"/>
        <v>0</v>
      </c>
      <c r="K89" s="162">
        <f t="shared" si="111"/>
        <v>0</v>
      </c>
      <c r="L89" s="162">
        <f t="shared" si="111"/>
        <v>0</v>
      </c>
      <c r="M89" s="162">
        <f t="shared" si="111"/>
        <v>0</v>
      </c>
      <c r="N89" s="162">
        <f t="shared" ref="N89:N90" si="112">N82*1.13</f>
        <v>0</v>
      </c>
      <c r="O89" s="163">
        <f ca="1">SUM(OFFSET($C89,0,0,1,mth))</f>
        <v>15974537.01799</v>
      </c>
    </row>
    <row r="90" customHeight="1" spans="1:16">
      <c r="A90" s="161" t="s">
        <v>407</v>
      </c>
      <c r="B90" s="50"/>
      <c r="C90" s="162">
        <f>C83*1.13</f>
        <v>0</v>
      </c>
      <c r="D90" s="162">
        <f>D83*1.13</f>
        <v>82823.84946</v>
      </c>
      <c r="E90" s="162">
        <f t="shared" ref="C90:M90" si="113">E83*1.13</f>
        <v>0</v>
      </c>
      <c r="F90" s="162">
        <f t="shared" si="113"/>
        <v>0</v>
      </c>
      <c r="G90" s="162">
        <f t="shared" si="113"/>
        <v>0</v>
      </c>
      <c r="H90" s="162">
        <f t="shared" si="113"/>
        <v>0</v>
      </c>
      <c r="I90" s="162">
        <f t="shared" si="113"/>
        <v>0</v>
      </c>
      <c r="J90" s="162">
        <f t="shared" si="113"/>
        <v>0</v>
      </c>
      <c r="K90" s="162">
        <f t="shared" si="113"/>
        <v>0</v>
      </c>
      <c r="L90" s="162">
        <f t="shared" si="113"/>
        <v>0</v>
      </c>
      <c r="M90" s="162">
        <f t="shared" si="113"/>
        <v>0</v>
      </c>
      <c r="N90" s="162">
        <f t="shared" si="112"/>
        <v>0</v>
      </c>
      <c r="O90" s="163">
        <f ca="1">SUM(OFFSET($C90,0,0,1,mth))</f>
        <v>82823.84946</v>
      </c>
    </row>
    <row r="91" customHeight="1" spans="1:16">
      <c r="A91" s="161" t="s">
        <v>408</v>
      </c>
      <c r="B91" s="50"/>
      <c r="C91" s="162">
        <f t="shared" ref="C91:M91" si="114">C84*1.13</f>
        <v>13638442.1853824</v>
      </c>
      <c r="D91" s="162">
        <f t="shared" si="114"/>
        <v>15485912.42979</v>
      </c>
      <c r="E91" s="162">
        <f t="shared" si="114"/>
        <v>19456500.38768</v>
      </c>
      <c r="F91" s="162">
        <f t="shared" si="114"/>
        <v>13560475.4814</v>
      </c>
      <c r="G91" s="162">
        <f t="shared" si="114"/>
        <v>15157095.40897</v>
      </c>
      <c r="H91" s="162">
        <f t="shared" si="114"/>
        <v>16206414.77401</v>
      </c>
      <c r="I91" s="162">
        <f t="shared" si="114"/>
        <v>0</v>
      </c>
      <c r="J91" s="162">
        <f t="shared" si="114"/>
        <v>0</v>
      </c>
      <c r="K91" s="162">
        <f t="shared" si="114"/>
        <v>0</v>
      </c>
      <c r="L91" s="162">
        <f t="shared" si="114"/>
        <v>0</v>
      </c>
      <c r="M91" s="162">
        <f t="shared" si="114"/>
        <v>0</v>
      </c>
      <c r="N91" s="162">
        <f t="shared" ref="N91" si="115">N84*1.13</f>
        <v>0</v>
      </c>
      <c r="O91" s="163">
        <f ca="1">SUM(OFFSET($C91,0,0,1,mth))</f>
        <v>93504840.6672324</v>
      </c>
    </row>
    <row r="92" customHeight="1" spans="1:16">
      <c r="A92" s="166" t="s">
        <v>336</v>
      </c>
      <c r="B92" s="60"/>
      <c r="C92" s="167">
        <f>SUM(C86:C91)</f>
        <v>31259638.2384224</v>
      </c>
      <c r="D92" s="167">
        <f t="shared" ref="D92:O92" si="116">SUM(D86:D91)</f>
        <v>36888426.1596</v>
      </c>
      <c r="E92" s="167">
        <f t="shared" si="116"/>
        <v>40158859.91379</v>
      </c>
      <c r="F92" s="167">
        <f t="shared" si="116"/>
        <v>37060281.15644</v>
      </c>
      <c r="G92" s="167">
        <f t="shared" si="116"/>
        <v>43288548.24914</v>
      </c>
      <c r="H92" s="167">
        <f t="shared" si="116"/>
        <v>43194977.15613</v>
      </c>
      <c r="I92" s="167">
        <f t="shared" si="116"/>
        <v>0</v>
      </c>
      <c r="J92" s="167">
        <f t="shared" si="116"/>
        <v>0</v>
      </c>
      <c r="K92" s="167">
        <f t="shared" si="116"/>
        <v>0</v>
      </c>
      <c r="L92" s="167">
        <f t="shared" si="116"/>
        <v>0</v>
      </c>
      <c r="M92" s="167">
        <f t="shared" si="116"/>
        <v>0</v>
      </c>
      <c r="N92" s="167">
        <f t="shared" si="116"/>
        <v>0</v>
      </c>
      <c r="O92" s="168">
        <f ca="1" t="shared" si="116"/>
        <v>231850730.873522</v>
      </c>
      <c r="P92" s="68"/>
    </row>
    <row r="93" customHeight="1" spans="1:16">
      <c r="A93" s="169" t="s">
        <v>337</v>
      </c>
      <c r="B93" s="170"/>
      <c r="C93" s="162">
        <f>C92/C53</f>
        <v>2897.18741927888</v>
      </c>
      <c r="D93" s="162">
        <f t="shared" ref="D93:G93" si="117">D92/D53</f>
        <v>2823.77817274084</v>
      </c>
      <c r="E93" s="162">
        <f t="shared" si="117"/>
        <v>2790.36573268218</v>
      </c>
      <c r="F93" s="162">
        <f t="shared" si="117"/>
        <v>2814.7683193196</v>
      </c>
      <c r="G93" s="162">
        <f t="shared" si="117"/>
        <v>2830.9723502456</v>
      </c>
      <c r="H93" s="162">
        <f t="shared" ref="H93:O93" si="118">H92/H53</f>
        <v>2892.78876209269</v>
      </c>
      <c r="I93" s="162" t="e">
        <f t="shared" si="118"/>
        <v>#DIV/0!</v>
      </c>
      <c r="J93" s="162" t="e">
        <f t="shared" si="118"/>
        <v>#DIV/0!</v>
      </c>
      <c r="K93" s="162" t="e">
        <f t="shared" si="118"/>
        <v>#DIV/0!</v>
      </c>
      <c r="L93" s="162" t="e">
        <f t="shared" si="118"/>
        <v>#DIV/0!</v>
      </c>
      <c r="M93" s="162" t="e">
        <f t="shared" si="118"/>
        <v>#DIV/0!</v>
      </c>
      <c r="N93" s="162" t="e">
        <f t="shared" si="118"/>
        <v>#DIV/0!</v>
      </c>
      <c r="O93" s="163">
        <f ca="1" t="shared" si="118"/>
        <v>2840.10743930905</v>
      </c>
    </row>
    <row r="94" customHeight="1" spans="1:16">
      <c r="A94" s="138" t="s">
        <v>409</v>
      </c>
      <c r="B94" s="50"/>
      <c r="C94" s="171">
        <f>IF(ROUND(C6,2)=0,,C47/C6)</f>
        <v>0.813699732939672</v>
      </c>
      <c r="D94" s="171">
        <f>IF(ROUND(D6,2)=0,,D47/D6)</f>
        <v>0.825515669259139</v>
      </c>
      <c r="E94" s="171">
        <f t="shared" ref="E94:O94" si="119">IF(ROUND(E6,2)=0,,E47/E6)</f>
        <v>0.813290193513358</v>
      </c>
      <c r="F94" s="171">
        <f t="shared" si="119"/>
        <v>0.824563720325518</v>
      </c>
      <c r="G94" s="171">
        <f t="shared" si="119"/>
        <v>0.819882214671842</v>
      </c>
      <c r="H94" s="171">
        <f t="shared" si="119"/>
        <v>0.825355132594843</v>
      </c>
      <c r="I94" s="171">
        <f t="shared" si="119"/>
        <v>0</v>
      </c>
      <c r="J94" s="171">
        <f t="shared" si="119"/>
        <v>0</v>
      </c>
      <c r="K94" s="171">
        <f t="shared" si="119"/>
        <v>0</v>
      </c>
      <c r="L94" s="171">
        <f t="shared" si="119"/>
        <v>0</v>
      </c>
      <c r="M94" s="171">
        <f t="shared" si="119"/>
        <v>0</v>
      </c>
      <c r="N94" s="171">
        <f t="shared" si="119"/>
        <v>0</v>
      </c>
      <c r="O94" s="131">
        <f ca="1" t="shared" si="119"/>
        <v>0.843905393760266</v>
      </c>
    </row>
    <row r="95" customHeight="1" spans="1:16">
      <c r="A95" s="138" t="s">
        <v>410</v>
      </c>
      <c r="B95" s="50"/>
      <c r="C95" s="171">
        <f t="shared" ref="C95:C98" si="120">IF(ROUND(C8,2)=0,,C48/C8)</f>
        <v>0</v>
      </c>
      <c r="D95" s="171">
        <f t="shared" ref="D95:O95" si="121">IF(ROUND(D8,2)=0,,D48/D8)</f>
        <v>0</v>
      </c>
      <c r="E95" s="171">
        <f t="shared" si="121"/>
        <v>0</v>
      </c>
      <c r="F95" s="171">
        <f t="shared" si="121"/>
        <v>0</v>
      </c>
      <c r="G95" s="171">
        <f t="shared" si="121"/>
        <v>0</v>
      </c>
      <c r="H95" s="171">
        <f t="shared" si="121"/>
        <v>0</v>
      </c>
      <c r="I95" s="171">
        <f t="shared" si="121"/>
        <v>0</v>
      </c>
      <c r="J95" s="171">
        <f t="shared" si="121"/>
        <v>0</v>
      </c>
      <c r="K95" s="171">
        <f t="shared" si="121"/>
        <v>0</v>
      </c>
      <c r="L95" s="171">
        <f t="shared" si="121"/>
        <v>0</v>
      </c>
      <c r="M95" s="171">
        <f t="shared" si="121"/>
        <v>0</v>
      </c>
      <c r="N95" s="171">
        <f t="shared" si="121"/>
        <v>0</v>
      </c>
      <c r="O95" s="131">
        <f ca="1" t="shared" si="121"/>
        <v>0</v>
      </c>
    </row>
    <row r="96" customHeight="1" spans="1:16">
      <c r="A96" s="138" t="s">
        <v>411</v>
      </c>
      <c r="B96" s="50"/>
      <c r="C96" s="171">
        <f t="shared" si="120"/>
        <v>0</v>
      </c>
      <c r="D96" s="171">
        <f t="shared" ref="D96:F96" si="122">IF(ROUND(D9,2)=0,,D49/D9)</f>
        <v>0.761189772953232</v>
      </c>
      <c r="E96" s="171">
        <f t="shared" si="122"/>
        <v>0.757323562219703</v>
      </c>
      <c r="F96" s="171">
        <f t="shared" si="122"/>
        <v>0.773000758307841</v>
      </c>
      <c r="G96" s="171">
        <f t="shared" ref="G96:J96" si="123">IF(ROUND(G9,2)=0,,G49/G9)</f>
        <v>0</v>
      </c>
      <c r="H96" s="171">
        <f t="shared" si="123"/>
        <v>0.7610417456394</v>
      </c>
      <c r="I96" s="171">
        <f t="shared" si="123"/>
        <v>0</v>
      </c>
      <c r="J96" s="171">
        <f t="shared" si="123"/>
        <v>0</v>
      </c>
      <c r="K96" s="171">
        <f t="shared" ref="K96:O96" si="124">IF(ROUND(K9,2)=0,,K49/K9)</f>
        <v>0</v>
      </c>
      <c r="L96" s="171">
        <f t="shared" si="124"/>
        <v>0</v>
      </c>
      <c r="M96" s="171">
        <f t="shared" si="124"/>
        <v>0</v>
      </c>
      <c r="N96" s="171">
        <f t="shared" si="124"/>
        <v>0</v>
      </c>
      <c r="O96" s="131">
        <f ca="1" t="shared" si="124"/>
        <v>0.763474946726864</v>
      </c>
      <c r="P96" s="132"/>
    </row>
    <row r="97" customHeight="1" spans="1:33">
      <c r="A97" s="172" t="s">
        <v>412</v>
      </c>
      <c r="B97" s="50"/>
      <c r="C97" s="171">
        <f t="shared" si="120"/>
        <v>0.813760974220632</v>
      </c>
      <c r="D97" s="171">
        <f t="shared" ref="D97:G97" si="125">IF(ROUND(D10,2)=0,,D50/D10)</f>
        <v>0.826110394880769</v>
      </c>
      <c r="E97" s="171">
        <f t="shared" si="125"/>
        <v>0.813951445663094</v>
      </c>
      <c r="F97" s="171">
        <f t="shared" si="125"/>
        <v>0.825206511557442</v>
      </c>
      <c r="G97" s="171">
        <f t="shared" si="125"/>
        <v>0.819665077305538</v>
      </c>
      <c r="H97" s="171">
        <f t="shared" ref="H97:J97" si="126">IF(ROUND(H10,2)=0,,H50/H10)</f>
        <v>0.825300599547932</v>
      </c>
      <c r="I97" s="171">
        <f t="shared" si="126"/>
        <v>0</v>
      </c>
      <c r="J97" s="171">
        <f t="shared" si="126"/>
        <v>0</v>
      </c>
      <c r="K97" s="171">
        <f t="shared" ref="K97:O97" si="127">IF(ROUND(K10,2)=0,,K50/K10)</f>
        <v>0</v>
      </c>
      <c r="L97" s="171">
        <f t="shared" si="127"/>
        <v>0</v>
      </c>
      <c r="M97" s="171">
        <f t="shared" si="127"/>
        <v>0</v>
      </c>
      <c r="N97" s="171">
        <f t="shared" si="127"/>
        <v>0</v>
      </c>
      <c r="O97" s="131">
        <f ca="1" t="shared" si="127"/>
        <v>0.82053597033649</v>
      </c>
    </row>
    <row r="98" customHeight="1" spans="1:33">
      <c r="A98" s="172" t="s">
        <v>413</v>
      </c>
      <c r="B98" s="50"/>
      <c r="C98" s="171">
        <f t="shared" si="120"/>
        <v>0</v>
      </c>
      <c r="D98" s="171">
        <f>IF(ROUND(D11,2)=0,,D51/D11)</f>
        <v>0.808823529411765</v>
      </c>
      <c r="E98" s="171">
        <f t="shared" ref="D98:O98" si="128">IF(ROUND(E11,2)=0,,E51/E11)</f>
        <v>0</v>
      </c>
      <c r="F98" s="171">
        <f t="shared" si="128"/>
        <v>0</v>
      </c>
      <c r="G98" s="171">
        <f t="shared" si="128"/>
        <v>0</v>
      </c>
      <c r="H98" s="171">
        <f t="shared" si="128"/>
        <v>0</v>
      </c>
      <c r="I98" s="171">
        <f t="shared" si="128"/>
        <v>0</v>
      </c>
      <c r="J98" s="171">
        <f t="shared" si="128"/>
        <v>0</v>
      </c>
      <c r="K98" s="171">
        <f t="shared" si="128"/>
        <v>0</v>
      </c>
      <c r="L98" s="171">
        <f t="shared" si="128"/>
        <v>0</v>
      </c>
      <c r="M98" s="171">
        <f t="shared" si="128"/>
        <v>0</v>
      </c>
      <c r="N98" s="171">
        <f t="shared" si="128"/>
        <v>0</v>
      </c>
      <c r="O98" s="131">
        <f ca="1" t="shared" si="128"/>
        <v>0.808823529411765</v>
      </c>
    </row>
    <row r="99" customHeight="1" spans="1:33">
      <c r="A99" s="172" t="s">
        <v>414</v>
      </c>
      <c r="B99" s="50"/>
      <c r="C99" s="171">
        <f>IF(ROUND(C13,2)=0,,C52/C13)</f>
        <v>0.84253613816367</v>
      </c>
      <c r="D99" s="171">
        <f t="shared" ref="D99:G99" si="129">IF(ROUND(D13,2)=0,,D52/D13)</f>
        <v>0.843117680376203</v>
      </c>
      <c r="E99" s="171">
        <f t="shared" si="129"/>
        <v>0.835164082175197</v>
      </c>
      <c r="F99" s="171">
        <f t="shared" si="129"/>
        <v>0.843874546809753</v>
      </c>
      <c r="G99" s="171">
        <f t="shared" si="129"/>
        <v>0.83688570009769</v>
      </c>
      <c r="H99" s="171">
        <f t="shared" ref="H99:K99" si="130">IF(ROUND(H13,2)=0,,H52/H13)</f>
        <v>0.84563263014261</v>
      </c>
      <c r="I99" s="171">
        <f t="shared" si="130"/>
        <v>0</v>
      </c>
      <c r="J99" s="171">
        <f t="shared" si="130"/>
        <v>0</v>
      </c>
      <c r="K99" s="171">
        <f t="shared" si="130"/>
        <v>0</v>
      </c>
      <c r="L99" s="171">
        <f t="shared" ref="L99:O99" si="131">IF(ROUND(L13,2)=0,,L52/L13)</f>
        <v>0</v>
      </c>
      <c r="M99" s="171">
        <f t="shared" si="131"/>
        <v>0</v>
      </c>
      <c r="N99" s="171">
        <f t="shared" si="131"/>
        <v>0</v>
      </c>
      <c r="O99" s="131">
        <f ca="1" t="shared" si="131"/>
        <v>0.844415012106202</v>
      </c>
    </row>
    <row r="100" customHeight="1" spans="1:33">
      <c r="A100" s="173" t="s">
        <v>415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174"/>
    </row>
    <row r="101" customHeight="1" spans="1:33">
      <c r="A101" s="105" t="s">
        <v>250</v>
      </c>
      <c r="B101" s="106" t="s">
        <v>77</v>
      </c>
      <c r="C101" s="107" t="s">
        <v>220</v>
      </c>
      <c r="D101" s="107" t="s">
        <v>221</v>
      </c>
      <c r="E101" s="107" t="s">
        <v>222</v>
      </c>
      <c r="F101" s="107" t="s">
        <v>223</v>
      </c>
      <c r="G101" s="107" t="s">
        <v>224</v>
      </c>
      <c r="H101" s="107" t="s">
        <v>225</v>
      </c>
      <c r="I101" s="107" t="s">
        <v>226</v>
      </c>
      <c r="J101" s="107" t="s">
        <v>227</v>
      </c>
      <c r="K101" s="107" t="s">
        <v>228</v>
      </c>
      <c r="L101" s="107" t="s">
        <v>229</v>
      </c>
      <c r="M101" s="107" t="s">
        <v>230</v>
      </c>
      <c r="N101" s="107" t="s">
        <v>231</v>
      </c>
      <c r="O101" s="175" t="str">
        <f>CONCATENATE("1-"&amp;mth&amp;"月累计")</f>
        <v>1-8月累计</v>
      </c>
    </row>
    <row r="102" customHeight="1" spans="1:33">
      <c r="A102" s="115" t="s">
        <v>136</v>
      </c>
      <c r="B102" s="50" t="s">
        <v>416</v>
      </c>
      <c r="C102" s="146">
        <f>C114+C153+C127+C166+C140+C179</f>
        <v>32559.3</v>
      </c>
      <c r="D102" s="146">
        <f t="shared" ref="D102:D111" si="132">D114+D153+D127+D166+D140+D179</f>
        <v>38821.3</v>
      </c>
      <c r="E102" s="146">
        <f t="shared" ref="E102:E111" si="133">E114+E153+E127+E166+E140+E179</f>
        <v>39850.5</v>
      </c>
      <c r="F102" s="146">
        <f t="shared" ref="F102:F111" si="134">F114+F153+F127+F166+F140+F179</f>
        <v>44289.7</v>
      </c>
      <c r="G102" s="146">
        <f t="shared" ref="G102:G111" si="135">G114+G153+G127+G166+G140+G179</f>
        <v>57718.9</v>
      </c>
      <c r="H102" s="146">
        <f t="shared" ref="H102:H111" si="136">H114+H153+H127+H166+H140</f>
        <v>49751.8999999999</v>
      </c>
      <c r="I102" s="146">
        <f t="shared" ref="I102:N102" si="137">I114+I153+I127+I166+I140</f>
        <v>0</v>
      </c>
      <c r="J102" s="146">
        <f t="shared" si="137"/>
        <v>0</v>
      </c>
      <c r="K102" s="146">
        <f t="shared" si="137"/>
        <v>0</v>
      </c>
      <c r="L102" s="146">
        <f t="shared" si="137"/>
        <v>0</v>
      </c>
      <c r="M102" s="146">
        <f t="shared" si="137"/>
        <v>0</v>
      </c>
      <c r="N102" s="146">
        <f t="shared" si="137"/>
        <v>0</v>
      </c>
      <c r="O102" s="140">
        <f ca="1" t="shared" ref="O102:O111" si="138">SUM(OFFSET($C102,0,0,1,mth))</f>
        <v>262991.6</v>
      </c>
      <c r="P102" s="71"/>
    </row>
    <row r="103" customHeight="1" spans="1:33">
      <c r="A103" s="115" t="s">
        <v>137</v>
      </c>
      <c r="B103" s="50" t="s">
        <v>416</v>
      </c>
      <c r="C103" s="146">
        <f t="shared" ref="C103:C111" si="139">C115+C154+C128+C167+C141+C180</f>
        <v>35657.6</v>
      </c>
      <c r="D103" s="146">
        <f t="shared" si="132"/>
        <v>44118.3999999999</v>
      </c>
      <c r="E103" s="146">
        <f t="shared" si="133"/>
        <v>43744</v>
      </c>
      <c r="F103" s="146">
        <f t="shared" si="134"/>
        <v>47763.1999999999</v>
      </c>
      <c r="G103" s="146">
        <f t="shared" si="135"/>
        <v>63152</v>
      </c>
      <c r="H103" s="146">
        <f t="shared" si="136"/>
        <v>57692.8</v>
      </c>
      <c r="I103" s="146">
        <f>I115+I154+I128+I167+I141</f>
        <v>0</v>
      </c>
      <c r="J103" s="146">
        <f t="shared" ref="J103:N103" si="140">J115+J154+J128+J167+J141</f>
        <v>0</v>
      </c>
      <c r="K103" s="146">
        <f t="shared" si="140"/>
        <v>0</v>
      </c>
      <c r="L103" s="146">
        <f t="shared" si="140"/>
        <v>0</v>
      </c>
      <c r="M103" s="146">
        <f t="shared" si="140"/>
        <v>0</v>
      </c>
      <c r="N103" s="146">
        <f t="shared" si="140"/>
        <v>0</v>
      </c>
      <c r="O103" s="140">
        <f ca="1" t="shared" si="138"/>
        <v>292128</v>
      </c>
      <c r="P103" s="71"/>
    </row>
    <row r="104" customHeight="1" spans="1:33">
      <c r="A104" s="115" t="s">
        <v>138</v>
      </c>
      <c r="B104" s="50" t="s">
        <v>416</v>
      </c>
      <c r="C104" s="146">
        <f t="shared" si="139"/>
        <v>5400</v>
      </c>
      <c r="D104" s="146">
        <f t="shared" si="132"/>
        <v>7940</v>
      </c>
      <c r="E104" s="146">
        <f t="shared" si="133"/>
        <v>6900</v>
      </c>
      <c r="F104" s="146">
        <f t="shared" si="134"/>
        <v>8000</v>
      </c>
      <c r="G104" s="146">
        <f t="shared" si="135"/>
        <v>7880</v>
      </c>
      <c r="H104" s="146">
        <f t="shared" si="136"/>
        <v>8200</v>
      </c>
      <c r="I104" s="146">
        <f t="shared" ref="I104:N104" si="141">I116+I155+I129+I168+I142</f>
        <v>0</v>
      </c>
      <c r="J104" s="146">
        <f t="shared" si="141"/>
        <v>0</v>
      </c>
      <c r="K104" s="146">
        <f t="shared" si="141"/>
        <v>0</v>
      </c>
      <c r="L104" s="146">
        <f t="shared" si="141"/>
        <v>0</v>
      </c>
      <c r="M104" s="146">
        <f t="shared" si="141"/>
        <v>0</v>
      </c>
      <c r="N104" s="146">
        <f t="shared" si="141"/>
        <v>0</v>
      </c>
      <c r="O104" s="140">
        <f ca="1">SUM(OFFSET($C104,0,0,1,mth))</f>
        <v>44320</v>
      </c>
      <c r="P104" s="71"/>
    </row>
    <row r="105" customHeight="1" spans="1:33">
      <c r="A105" s="115" t="s">
        <v>261</v>
      </c>
      <c r="B105" s="50" t="s">
        <v>416</v>
      </c>
      <c r="C105" s="146">
        <f t="shared" si="139"/>
        <v>0</v>
      </c>
      <c r="D105" s="146">
        <f t="shared" si="132"/>
        <v>0</v>
      </c>
      <c r="E105" s="146">
        <f t="shared" si="133"/>
        <v>0</v>
      </c>
      <c r="F105" s="146">
        <f t="shared" si="134"/>
        <v>0</v>
      </c>
      <c r="G105" s="146">
        <f t="shared" si="135"/>
        <v>0</v>
      </c>
      <c r="H105" s="146">
        <f t="shared" si="136"/>
        <v>0</v>
      </c>
      <c r="I105" s="146">
        <f t="shared" ref="I105:N105" si="142">I117+I156+I130+I169+I143</f>
        <v>0</v>
      </c>
      <c r="J105" s="146">
        <f t="shared" si="142"/>
        <v>0</v>
      </c>
      <c r="K105" s="146">
        <f t="shared" si="142"/>
        <v>0</v>
      </c>
      <c r="L105" s="146">
        <f t="shared" si="142"/>
        <v>0</v>
      </c>
      <c r="M105" s="146">
        <f t="shared" si="142"/>
        <v>0</v>
      </c>
      <c r="N105" s="146">
        <f t="shared" si="142"/>
        <v>0</v>
      </c>
      <c r="O105" s="140">
        <f ca="1" t="shared" si="138"/>
        <v>0</v>
      </c>
      <c r="P105" s="71"/>
    </row>
    <row r="106" customHeight="1" spans="1:33">
      <c r="A106" s="115" t="s">
        <v>139</v>
      </c>
      <c r="B106" s="50" t="s">
        <v>416</v>
      </c>
      <c r="C106" s="146">
        <f t="shared" si="139"/>
        <v>11940</v>
      </c>
      <c r="D106" s="146">
        <f t="shared" si="132"/>
        <v>16160</v>
      </c>
      <c r="E106" s="146">
        <f t="shared" si="133"/>
        <v>12000</v>
      </c>
      <c r="F106" s="146">
        <f t="shared" si="134"/>
        <v>16780</v>
      </c>
      <c r="G106" s="146">
        <f t="shared" si="135"/>
        <v>17940</v>
      </c>
      <c r="H106" s="146">
        <f t="shared" si="136"/>
        <v>17500</v>
      </c>
      <c r="I106" s="146">
        <f t="shared" ref="I106:N106" si="143">I118+I157+I131+I170+I144</f>
        <v>0</v>
      </c>
      <c r="J106" s="146">
        <f t="shared" si="143"/>
        <v>0</v>
      </c>
      <c r="K106" s="146">
        <f t="shared" si="143"/>
        <v>0</v>
      </c>
      <c r="L106" s="146">
        <f t="shared" si="143"/>
        <v>0</v>
      </c>
      <c r="M106" s="146">
        <f t="shared" si="143"/>
        <v>0</v>
      </c>
      <c r="N106" s="146">
        <f t="shared" si="143"/>
        <v>0</v>
      </c>
      <c r="O106" s="140">
        <f ca="1" t="shared" si="138"/>
        <v>92320</v>
      </c>
      <c r="P106" s="71"/>
    </row>
    <row r="107" customHeight="1" spans="1:33">
      <c r="A107" s="115" t="s">
        <v>417</v>
      </c>
      <c r="B107" s="50" t="s">
        <v>416</v>
      </c>
      <c r="C107" s="146">
        <f t="shared" si="139"/>
        <v>562</v>
      </c>
      <c r="D107" s="146">
        <f t="shared" si="132"/>
        <v>829</v>
      </c>
      <c r="E107" s="146">
        <f t="shared" si="133"/>
        <v>767</v>
      </c>
      <c r="F107" s="146">
        <f t="shared" si="134"/>
        <v>922.999999999999</v>
      </c>
      <c r="G107" s="146">
        <f t="shared" si="135"/>
        <v>826</v>
      </c>
      <c r="H107" s="146">
        <f t="shared" si="136"/>
        <v>868</v>
      </c>
      <c r="I107" s="146">
        <f t="shared" ref="I107:N107" si="144">I119+I158+I132+I171+I145</f>
        <v>0</v>
      </c>
      <c r="J107" s="146">
        <f t="shared" si="144"/>
        <v>0</v>
      </c>
      <c r="K107" s="146">
        <f t="shared" si="144"/>
        <v>0</v>
      </c>
      <c r="L107" s="146">
        <f t="shared" si="144"/>
        <v>0</v>
      </c>
      <c r="M107" s="146">
        <f t="shared" si="144"/>
        <v>0</v>
      </c>
      <c r="N107" s="146">
        <f t="shared" si="144"/>
        <v>0</v>
      </c>
      <c r="O107" s="140">
        <f ca="1" t="shared" si="138"/>
        <v>4775</v>
      </c>
      <c r="P107" s="71"/>
    </row>
    <row r="108" customHeight="1" spans="1:33">
      <c r="A108" s="115" t="s">
        <v>141</v>
      </c>
      <c r="B108" s="50" t="s">
        <v>416</v>
      </c>
      <c r="C108" s="146">
        <f t="shared" si="139"/>
        <v>985</v>
      </c>
      <c r="D108" s="146">
        <f t="shared" si="132"/>
        <v>1441</v>
      </c>
      <c r="E108" s="146">
        <f t="shared" si="133"/>
        <v>1343</v>
      </c>
      <c r="F108" s="146">
        <f t="shared" si="134"/>
        <v>1585</v>
      </c>
      <c r="G108" s="146">
        <f t="shared" si="135"/>
        <v>1985</v>
      </c>
      <c r="H108" s="146">
        <f t="shared" si="136"/>
        <v>1965</v>
      </c>
      <c r="I108" s="146">
        <f t="shared" ref="I108:N108" si="145">I120+I159+I133+I172+I146</f>
        <v>0</v>
      </c>
      <c r="J108" s="146">
        <f t="shared" si="145"/>
        <v>0</v>
      </c>
      <c r="K108" s="146">
        <f t="shared" si="145"/>
        <v>0</v>
      </c>
      <c r="L108" s="146">
        <f t="shared" si="145"/>
        <v>0</v>
      </c>
      <c r="M108" s="146">
        <f t="shared" si="145"/>
        <v>0</v>
      </c>
      <c r="N108" s="146">
        <f t="shared" si="145"/>
        <v>0</v>
      </c>
      <c r="O108" s="140">
        <f ca="1" t="shared" si="138"/>
        <v>9304</v>
      </c>
      <c r="P108" s="71"/>
    </row>
    <row r="109" customHeight="1" spans="1:33">
      <c r="A109" s="115" t="s">
        <v>142</v>
      </c>
      <c r="B109" s="50" t="s">
        <v>416</v>
      </c>
      <c r="C109" s="146">
        <f t="shared" si="139"/>
        <v>694</v>
      </c>
      <c r="D109" s="146">
        <f t="shared" si="132"/>
        <v>853</v>
      </c>
      <c r="E109" s="146">
        <f t="shared" si="133"/>
        <v>848</v>
      </c>
      <c r="F109" s="146">
        <f t="shared" si="134"/>
        <v>976</v>
      </c>
      <c r="G109" s="146">
        <f t="shared" si="135"/>
        <v>1178</v>
      </c>
      <c r="H109" s="146">
        <f t="shared" si="136"/>
        <v>1092</v>
      </c>
      <c r="I109" s="146">
        <f t="shared" ref="I109:N109" si="146">I121+I160+I134+I173+I147</f>
        <v>0</v>
      </c>
      <c r="J109" s="146">
        <f t="shared" si="146"/>
        <v>0</v>
      </c>
      <c r="K109" s="146">
        <f t="shared" si="146"/>
        <v>0</v>
      </c>
      <c r="L109" s="146">
        <f t="shared" si="146"/>
        <v>0</v>
      </c>
      <c r="M109" s="146">
        <f t="shared" si="146"/>
        <v>0</v>
      </c>
      <c r="N109" s="146">
        <f t="shared" si="146"/>
        <v>0</v>
      </c>
      <c r="O109" s="176">
        <f ca="1" t="shared" si="138"/>
        <v>5641</v>
      </c>
      <c r="P109" s="71"/>
      <c r="AA109" s="68"/>
    </row>
    <row r="110" customHeight="1" spans="1:33">
      <c r="A110" s="115" t="s">
        <v>143</v>
      </c>
      <c r="B110" s="50" t="s">
        <v>416</v>
      </c>
      <c r="C110" s="146">
        <f t="shared" si="139"/>
        <v>3150</v>
      </c>
      <c r="D110" s="146">
        <f t="shared" si="132"/>
        <v>4125</v>
      </c>
      <c r="E110" s="146">
        <f t="shared" si="133"/>
        <v>4075</v>
      </c>
      <c r="F110" s="146">
        <f t="shared" si="134"/>
        <v>5300</v>
      </c>
      <c r="G110" s="146">
        <f t="shared" si="135"/>
        <v>5850</v>
      </c>
      <c r="H110" s="146">
        <f t="shared" si="136"/>
        <v>6150</v>
      </c>
      <c r="I110" s="146">
        <f t="shared" ref="I110:N110" si="147">I122+I161+I135+I174+I148</f>
        <v>0</v>
      </c>
      <c r="J110" s="146">
        <f t="shared" si="147"/>
        <v>0</v>
      </c>
      <c r="K110" s="146">
        <f t="shared" si="147"/>
        <v>0</v>
      </c>
      <c r="L110" s="146">
        <f t="shared" si="147"/>
        <v>0</v>
      </c>
      <c r="M110" s="146">
        <f t="shared" si="147"/>
        <v>0</v>
      </c>
      <c r="N110" s="146">
        <f t="shared" si="147"/>
        <v>0</v>
      </c>
      <c r="O110" s="140">
        <f ca="1" t="shared" si="138"/>
        <v>28650</v>
      </c>
      <c r="P110" s="71"/>
      <c r="T110" s="177">
        <f>SUM(T113:T122)</f>
        <v>623857.58</v>
      </c>
      <c r="V110" s="141">
        <f>SUM(V113:V122)</f>
        <v>90750.79</v>
      </c>
      <c r="X110" s="141">
        <f t="shared" ref="X110:AB110" si="148">SUM(X113:X122)</f>
        <v>26443.16</v>
      </c>
      <c r="AA110" s="141">
        <f t="shared" si="148"/>
        <v>0</v>
      </c>
      <c r="AB110" s="141">
        <f t="shared" si="148"/>
        <v>0</v>
      </c>
      <c r="AD110" s="178">
        <f>T110+V110+X110+AB110</f>
        <v>741051.53</v>
      </c>
      <c r="AF110" s="179">
        <f>SUM(AE113:AE122)</f>
        <v>0</v>
      </c>
      <c r="AG110" s="180">
        <f>AD110+AF110</f>
        <v>741051.53</v>
      </c>
    </row>
    <row r="111" customHeight="1" spans="1:33">
      <c r="A111" s="115" t="s">
        <v>145</v>
      </c>
      <c r="B111" s="50" t="s">
        <v>416</v>
      </c>
      <c r="C111" s="146">
        <f t="shared" si="139"/>
        <v>2050</v>
      </c>
      <c r="D111" s="146">
        <f t="shared" si="132"/>
        <v>2850</v>
      </c>
      <c r="E111" s="146">
        <f t="shared" si="133"/>
        <v>2800</v>
      </c>
      <c r="F111" s="146">
        <f t="shared" si="134"/>
        <v>2650.00000000001</v>
      </c>
      <c r="G111" s="146">
        <f t="shared" si="135"/>
        <v>3425</v>
      </c>
      <c r="H111" s="146">
        <f t="shared" si="136"/>
        <v>3075</v>
      </c>
      <c r="I111" s="146">
        <f t="shared" ref="I111:N111" si="149">I123+I162+I136+I175+I149</f>
        <v>0</v>
      </c>
      <c r="J111" s="146">
        <f t="shared" si="149"/>
        <v>0</v>
      </c>
      <c r="K111" s="146">
        <f t="shared" si="149"/>
        <v>0</v>
      </c>
      <c r="L111" s="146">
        <f t="shared" si="149"/>
        <v>0</v>
      </c>
      <c r="M111" s="146">
        <f t="shared" si="149"/>
        <v>0</v>
      </c>
      <c r="N111" s="146">
        <f t="shared" si="149"/>
        <v>0</v>
      </c>
      <c r="O111" s="140">
        <f ca="1" t="shared" si="138"/>
        <v>16850</v>
      </c>
      <c r="P111" s="71"/>
      <c r="Q111" s="181" t="s">
        <v>20</v>
      </c>
      <c r="R111" s="182" t="s">
        <v>418</v>
      </c>
      <c r="S111" s="183" t="s">
        <v>419</v>
      </c>
      <c r="T111" s="183"/>
      <c r="U111" s="183" t="s">
        <v>420</v>
      </c>
      <c r="V111" s="183"/>
      <c r="W111" s="183" t="s">
        <v>421</v>
      </c>
      <c r="X111" s="183"/>
      <c r="Y111" s="183" t="s">
        <v>422</v>
      </c>
      <c r="Z111" s="183"/>
      <c r="AA111" s="183" t="s">
        <v>423</v>
      </c>
      <c r="AB111" s="183"/>
      <c r="AD111" s="183" t="s">
        <v>424</v>
      </c>
      <c r="AE111" s="183"/>
    </row>
    <row r="112" customHeight="1" spans="1:33">
      <c r="A112" s="136" t="s">
        <v>425</v>
      </c>
      <c r="F112" s="38"/>
      <c r="P112" s="71"/>
      <c r="Q112" s="184"/>
      <c r="R112" s="184"/>
      <c r="S112" s="183" t="s">
        <v>426</v>
      </c>
      <c r="T112" s="183" t="s">
        <v>82</v>
      </c>
      <c r="U112" s="183" t="s">
        <v>426</v>
      </c>
      <c r="V112" s="183" t="s">
        <v>82</v>
      </c>
      <c r="W112" s="183" t="s">
        <v>426</v>
      </c>
      <c r="X112" s="183" t="s">
        <v>82</v>
      </c>
      <c r="Y112" s="183" t="s">
        <v>426</v>
      </c>
      <c r="Z112" s="183" t="s">
        <v>82</v>
      </c>
      <c r="AA112" s="183" t="s">
        <v>426</v>
      </c>
      <c r="AB112" s="183" t="s">
        <v>82</v>
      </c>
      <c r="AD112" s="183" t="s">
        <v>426</v>
      </c>
      <c r="AE112" s="183" t="s">
        <v>82</v>
      </c>
    </row>
    <row r="113" customFormat="1" ht="15.75" spans="1:33">
      <c r="A113" s="185" t="s">
        <v>250</v>
      </c>
      <c r="B113" s="106" t="s">
        <v>77</v>
      </c>
      <c r="C113" s="107" t="s">
        <v>220</v>
      </c>
      <c r="D113" s="107" t="s">
        <v>221</v>
      </c>
      <c r="E113" s="107" t="s">
        <v>222</v>
      </c>
      <c r="F113" s="107" t="s">
        <v>223</v>
      </c>
      <c r="G113" s="107" t="s">
        <v>224</v>
      </c>
      <c r="H113" s="107" t="s">
        <v>225</v>
      </c>
      <c r="I113" s="107" t="s">
        <v>226</v>
      </c>
      <c r="J113" s="107" t="s">
        <v>227</v>
      </c>
      <c r="K113" s="107" t="s">
        <v>228</v>
      </c>
      <c r="L113" s="107" t="s">
        <v>229</v>
      </c>
      <c r="M113" s="107" t="s">
        <v>230</v>
      </c>
      <c r="N113" s="107" t="s">
        <v>231</v>
      </c>
      <c r="O113" s="175" t="str">
        <f>CONCATENATE("1-"&amp;mth&amp;"月累计")</f>
        <v>1-8月累计</v>
      </c>
      <c r="P113" s="71"/>
      <c r="Q113" s="186" t="s">
        <v>153</v>
      </c>
      <c r="R113" s="186" t="s">
        <v>75</v>
      </c>
      <c r="S113" s="187">
        <v>134.915405319536</v>
      </c>
      <c r="T113" s="187">
        <v>43578.89</v>
      </c>
      <c r="U113" s="187">
        <v>19.856</v>
      </c>
      <c r="V113" s="187">
        <v>6413.62</v>
      </c>
      <c r="W113" s="187">
        <v>5.71859468046351</v>
      </c>
      <c r="X113" s="187">
        <v>1847.16</v>
      </c>
      <c r="Y113" s="187"/>
      <c r="Z113" s="187"/>
      <c r="AA113" s="187"/>
      <c r="AB113" s="187"/>
      <c r="AC113" s="188"/>
      <c r="AD113" s="189"/>
      <c r="AE113" s="189"/>
      <c r="AF113" s="190"/>
    </row>
    <row r="114" customFormat="1" ht="15.75" spans="1:33">
      <c r="A114" s="191" t="s">
        <v>427</v>
      </c>
      <c r="B114" s="50" t="s">
        <v>167</v>
      </c>
      <c r="C114" s="192">
        <v>27590</v>
      </c>
      <c r="D114" s="192">
        <v>33634.6860888869</v>
      </c>
      <c r="E114" s="192">
        <v>32399.4167911326</v>
      </c>
      <c r="F114" s="192">
        <v>37212.0713941683</v>
      </c>
      <c r="G114" s="192">
        <v>51952.9</v>
      </c>
      <c r="H114" s="192">
        <f>$U$127</f>
        <v>41823.7756490562</v>
      </c>
      <c r="I114" s="192"/>
      <c r="J114" s="192"/>
      <c r="K114" s="192"/>
      <c r="L114" s="192"/>
      <c r="M114" s="192"/>
      <c r="N114" s="192"/>
      <c r="O114" s="193">
        <f ca="1" t="shared" ref="O114:O124" si="150">SUM(OFFSET($C114,0,0,1,mth))</f>
        <v>224612.849923244</v>
      </c>
      <c r="P114" s="71"/>
      <c r="Q114" s="186" t="s">
        <v>154</v>
      </c>
      <c r="R114" s="186" t="s">
        <v>75</v>
      </c>
      <c r="S114" s="187">
        <v>151.56086230504</v>
      </c>
      <c r="T114" s="187">
        <v>156777.02</v>
      </c>
      <c r="U114" s="187">
        <v>22.305</v>
      </c>
      <c r="V114" s="187">
        <v>23076.43</v>
      </c>
      <c r="W114" s="187">
        <v>6.42413769496016</v>
      </c>
      <c r="X114" s="187">
        <v>6645.23</v>
      </c>
      <c r="Y114" s="187"/>
      <c r="Z114" s="187"/>
      <c r="AA114" s="187"/>
      <c r="AB114" s="187"/>
      <c r="AC114" s="188"/>
      <c r="AD114" s="189"/>
      <c r="AE114" s="189"/>
      <c r="AF114" s="190"/>
    </row>
    <row r="115" customFormat="1" ht="15.75" spans="1:33">
      <c r="A115" s="191" t="s">
        <v>428</v>
      </c>
      <c r="B115" s="50" t="s">
        <v>167</v>
      </c>
      <c r="C115" s="192">
        <v>30214.4</v>
      </c>
      <c r="D115" s="192">
        <v>38221.9303500797</v>
      </c>
      <c r="E115" s="192">
        <v>35564.9540989366</v>
      </c>
      <c r="F115" s="192">
        <v>40139.9311149702</v>
      </c>
      <c r="G115" s="192">
        <v>56844.48</v>
      </c>
      <c r="H115" s="192">
        <f>$U$128</f>
        <v>48499.4759376128</v>
      </c>
      <c r="I115" s="192"/>
      <c r="J115" s="192"/>
      <c r="K115" s="192"/>
      <c r="L115" s="192"/>
      <c r="M115" s="192"/>
      <c r="N115" s="192"/>
      <c r="O115" s="193">
        <f ca="1" t="shared" si="150"/>
        <v>249485.171501599</v>
      </c>
      <c r="P115" s="71"/>
      <c r="Q115" s="186" t="s">
        <v>429</v>
      </c>
      <c r="R115" s="186" t="s">
        <v>75</v>
      </c>
      <c r="S115" s="187">
        <v>6.89283663424826</v>
      </c>
      <c r="T115" s="187">
        <v>17934.61</v>
      </c>
      <c r="U115" s="187">
        <v>1.015</v>
      </c>
      <c r="V115" s="187">
        <v>2640.98</v>
      </c>
      <c r="W115" s="187">
        <v>0.292163365751741</v>
      </c>
      <c r="X115" s="187">
        <v>760.19</v>
      </c>
      <c r="Y115" s="187"/>
      <c r="Z115" s="187"/>
      <c r="AA115" s="187"/>
      <c r="AB115" s="187"/>
      <c r="AC115" s="188"/>
      <c r="AD115" s="189"/>
      <c r="AE115" s="189"/>
      <c r="AF115" s="190"/>
    </row>
    <row r="116" customFormat="1" ht="15.75" spans="1:33">
      <c r="A116" s="191" t="s">
        <v>429</v>
      </c>
      <c r="B116" s="50" t="s">
        <v>167</v>
      </c>
      <c r="C116" s="192">
        <v>4575</v>
      </c>
      <c r="D116" s="192">
        <v>6883.3616103731</v>
      </c>
      <c r="E116" s="192">
        <v>5611.64155755912</v>
      </c>
      <c r="F116" s="192">
        <v>6720.830817105</v>
      </c>
      <c r="G116" s="192">
        <v>7090</v>
      </c>
      <c r="H116" s="192">
        <f>$U$129</f>
        <v>6892.83663424826</v>
      </c>
      <c r="I116" s="192"/>
      <c r="J116" s="192"/>
      <c r="K116" s="192"/>
      <c r="L116" s="192"/>
      <c r="M116" s="192"/>
      <c r="N116" s="192"/>
      <c r="O116" s="193">
        <f ca="1" t="shared" si="150"/>
        <v>37773.6706192855</v>
      </c>
      <c r="P116" s="71"/>
      <c r="Q116" s="186" t="s">
        <v>155</v>
      </c>
      <c r="R116" s="186" t="s">
        <v>75</v>
      </c>
      <c r="S116" s="187">
        <v>0</v>
      </c>
      <c r="T116" s="187">
        <v>0</v>
      </c>
      <c r="U116" s="187">
        <v>0</v>
      </c>
      <c r="V116" s="187">
        <v>0</v>
      </c>
      <c r="W116" s="187">
        <v>0</v>
      </c>
      <c r="X116" s="187">
        <v>0</v>
      </c>
      <c r="Y116" s="187"/>
      <c r="Z116" s="187"/>
      <c r="AA116" s="187"/>
      <c r="AB116" s="187"/>
      <c r="AC116" s="188"/>
      <c r="AD116" s="189"/>
      <c r="AE116" s="189"/>
      <c r="AF116" s="190"/>
    </row>
    <row r="117" customFormat="1" ht="15.75" spans="1:33">
      <c r="A117" s="115" t="s">
        <v>261</v>
      </c>
      <c r="B117" s="50" t="s">
        <v>167</v>
      </c>
      <c r="C117" s="192">
        <v>0</v>
      </c>
      <c r="D117" s="192">
        <v>0</v>
      </c>
      <c r="E117" s="192">
        <v>0</v>
      </c>
      <c r="F117" s="192">
        <v>0</v>
      </c>
      <c r="G117" s="192">
        <v>0</v>
      </c>
      <c r="H117" s="192">
        <f>$U$130</f>
        <v>0</v>
      </c>
      <c r="I117" s="192"/>
      <c r="J117" s="192"/>
      <c r="K117" s="192"/>
      <c r="L117" s="192"/>
      <c r="M117" s="192"/>
      <c r="N117" s="192"/>
      <c r="O117" s="193">
        <f ca="1">SUM(OFFSET($C117,0,0,1,mth))</f>
        <v>0</v>
      </c>
      <c r="P117" s="71"/>
      <c r="Q117" s="186" t="s">
        <v>152</v>
      </c>
      <c r="R117" s="186" t="s">
        <v>75</v>
      </c>
      <c r="S117" s="187">
        <v>14.7114335123448</v>
      </c>
      <c r="T117" s="187">
        <v>104151.8</v>
      </c>
      <c r="U117" s="187">
        <v>2.165</v>
      </c>
      <c r="V117" s="187">
        <v>15327.39</v>
      </c>
      <c r="W117" s="194">
        <v>0.623566487655246</v>
      </c>
      <c r="X117" s="187">
        <v>4414.63</v>
      </c>
      <c r="Y117" s="187"/>
      <c r="Z117" s="187"/>
      <c r="AA117" s="187"/>
      <c r="AB117" s="187"/>
      <c r="AC117" s="188"/>
      <c r="AD117" s="189"/>
      <c r="AE117" s="189"/>
      <c r="AF117" s="190"/>
    </row>
    <row r="118" customFormat="1" ht="15.75" spans="1:33">
      <c r="A118" s="191" t="s">
        <v>152</v>
      </c>
      <c r="B118" s="50" t="s">
        <v>167</v>
      </c>
      <c r="C118" s="192">
        <v>10120</v>
      </c>
      <c r="D118" s="192">
        <v>14001.904742434</v>
      </c>
      <c r="E118" s="192">
        <v>9757.13636427016</v>
      </c>
      <c r="F118" s="192">
        <v>14101.4907466888</v>
      </c>
      <c r="G118" s="192">
        <v>16150</v>
      </c>
      <c r="H118" s="192">
        <f>$U$131</f>
        <v>14711.4335123448</v>
      </c>
      <c r="I118" s="192"/>
      <c r="J118" s="192"/>
      <c r="K118" s="192"/>
      <c r="L118" s="192"/>
      <c r="M118" s="192"/>
      <c r="N118" s="192"/>
      <c r="O118" s="193">
        <f ca="1" t="shared" si="150"/>
        <v>78841.9653657378</v>
      </c>
      <c r="P118" s="71"/>
      <c r="Q118" s="186" t="s">
        <v>430</v>
      </c>
      <c r="R118" s="186" t="s">
        <v>75</v>
      </c>
      <c r="S118" s="194">
        <v>0.730055487635759</v>
      </c>
      <c r="T118" s="187">
        <v>34887.86</v>
      </c>
      <c r="U118" s="194">
        <v>0.107</v>
      </c>
      <c r="V118" s="187">
        <v>5113.32</v>
      </c>
      <c r="W118" s="187">
        <v>0.0309445123642414</v>
      </c>
      <c r="X118" s="187">
        <v>1478.78</v>
      </c>
      <c r="Y118" s="187"/>
      <c r="Z118" s="187"/>
      <c r="AA118" s="187"/>
      <c r="AB118" s="187"/>
      <c r="AC118" s="188"/>
      <c r="AD118" s="189"/>
      <c r="AE118" s="189"/>
      <c r="AF118" s="190"/>
    </row>
    <row r="119" customFormat="1" ht="13.5" customHeight="1" spans="1:33">
      <c r="A119" s="191" t="s">
        <v>431</v>
      </c>
      <c r="B119" s="50" t="s">
        <v>167</v>
      </c>
      <c r="C119" s="192">
        <v>476</v>
      </c>
      <c r="D119" s="192">
        <v>718.737674816458</v>
      </c>
      <c r="E119" s="192">
        <v>623.932099721932</v>
      </c>
      <c r="F119" s="192">
        <v>774.82790065362</v>
      </c>
      <c r="G119" s="192">
        <v>743</v>
      </c>
      <c r="H119" s="192">
        <f>$U$132</f>
        <v>730.055487635759</v>
      </c>
      <c r="I119" s="192"/>
      <c r="J119" s="192"/>
      <c r="K119" s="192"/>
      <c r="L119" s="192"/>
      <c r="M119" s="192"/>
      <c r="N119" s="192"/>
      <c r="O119" s="193">
        <f ca="1" t="shared" si="150"/>
        <v>4066.55316282777</v>
      </c>
      <c r="P119" s="71"/>
      <c r="Q119" s="186" t="s">
        <v>160</v>
      </c>
      <c r="R119" s="186" t="s">
        <v>75</v>
      </c>
      <c r="S119" s="187">
        <v>1.65197838332296</v>
      </c>
      <c r="T119" s="187">
        <v>54705.38</v>
      </c>
      <c r="U119" s="187">
        <v>0.243</v>
      </c>
      <c r="V119" s="187">
        <v>8044.36</v>
      </c>
      <c r="W119" s="187">
        <v>0.0700216166770351</v>
      </c>
      <c r="X119" s="187">
        <v>2318.77</v>
      </c>
      <c r="Y119" s="187"/>
      <c r="Z119" s="187"/>
      <c r="AA119" s="187"/>
      <c r="AB119" s="187"/>
      <c r="AC119" s="188"/>
      <c r="AD119" s="189"/>
      <c r="AE119" s="189"/>
      <c r="AF119" s="190"/>
    </row>
    <row r="120" customFormat="1" ht="15.75" spans="1:33">
      <c r="A120" s="191" t="s">
        <v>432</v>
      </c>
      <c r="B120" s="50" t="s">
        <v>167</v>
      </c>
      <c r="C120" s="192">
        <v>835</v>
      </c>
      <c r="D120" s="192">
        <v>1249.04332554895</v>
      </c>
      <c r="E120" s="192">
        <v>1091.4127570211</v>
      </c>
      <c r="F120" s="192">
        <v>1331.91219418925</v>
      </c>
      <c r="G120" s="192">
        <v>1785</v>
      </c>
      <c r="H120" s="192">
        <f>$U$133</f>
        <v>1651.97838332296</v>
      </c>
      <c r="I120" s="192"/>
      <c r="J120" s="192"/>
      <c r="K120" s="192"/>
      <c r="L120" s="192"/>
      <c r="M120" s="192"/>
      <c r="N120" s="192"/>
      <c r="O120" s="193">
        <f ca="1" t="shared" si="150"/>
        <v>7944.34666008226</v>
      </c>
      <c r="P120" s="71"/>
      <c r="Q120" s="186" t="s">
        <v>433</v>
      </c>
      <c r="R120" s="186" t="s">
        <v>75</v>
      </c>
      <c r="S120" s="187">
        <v>0.918085547526177</v>
      </c>
      <c r="T120" s="187">
        <v>202292.11</v>
      </c>
      <c r="U120" s="187">
        <v>0.135</v>
      </c>
      <c r="V120" s="187">
        <v>28734.46</v>
      </c>
      <c r="W120" s="187">
        <v>0.0389144524738227</v>
      </c>
      <c r="X120" s="187">
        <v>8574.46</v>
      </c>
      <c r="Y120" s="187"/>
      <c r="Z120" s="187"/>
      <c r="AA120" s="187"/>
      <c r="AB120" s="187"/>
      <c r="AC120" s="188"/>
      <c r="AD120" s="189"/>
      <c r="AE120" s="189"/>
      <c r="AF120" s="190"/>
    </row>
    <row r="121" customFormat="1" ht="15.75" spans="1:33">
      <c r="A121" s="191" t="s">
        <v>434</v>
      </c>
      <c r="B121" s="50" t="s">
        <v>167</v>
      </c>
      <c r="C121" s="192">
        <v>588</v>
      </c>
      <c r="D121" s="192">
        <v>739.005350669223</v>
      </c>
      <c r="E121" s="192">
        <v>689.510548641655</v>
      </c>
      <c r="F121" s="192">
        <v>820.073325509306</v>
      </c>
      <c r="G121" s="192">
        <v>1060</v>
      </c>
      <c r="H121" s="192">
        <f>$U$134</f>
        <v>918.085547526177</v>
      </c>
      <c r="I121" s="192"/>
      <c r="J121" s="192"/>
      <c r="K121" s="192"/>
      <c r="L121" s="192"/>
      <c r="M121" s="192"/>
      <c r="N121" s="192"/>
      <c r="O121" s="193">
        <f ca="1" t="shared" si="150"/>
        <v>4814.67477234636</v>
      </c>
      <c r="P121" s="71"/>
      <c r="Q121" s="186" t="s">
        <v>435</v>
      </c>
      <c r="R121" s="186" t="s">
        <v>75</v>
      </c>
      <c r="S121" s="195">
        <v>5.17082664698652</v>
      </c>
      <c r="T121" s="195">
        <v>4791.09</v>
      </c>
      <c r="U121" s="195">
        <v>0.76</v>
      </c>
      <c r="V121" s="195">
        <v>703.72</v>
      </c>
      <c r="W121" s="195">
        <v>0.219173353013484</v>
      </c>
      <c r="X121" s="195">
        <v>203.08</v>
      </c>
      <c r="Y121" s="195"/>
      <c r="Z121" s="195"/>
      <c r="AA121" s="187"/>
      <c r="AB121" s="187"/>
      <c r="AC121" s="188"/>
      <c r="AD121" s="189"/>
      <c r="AE121" s="189"/>
      <c r="AF121" s="190"/>
    </row>
    <row r="122" customFormat="1" ht="15.75" spans="1:33">
      <c r="A122" s="191" t="s">
        <v>436</v>
      </c>
      <c r="B122" s="50" t="s">
        <v>167</v>
      </c>
      <c r="C122" s="192">
        <v>2670</v>
      </c>
      <c r="D122" s="192">
        <v>3574.56792516459</v>
      </c>
      <c r="E122" s="192">
        <v>3312.64850543056</v>
      </c>
      <c r="F122" s="192">
        <v>4453.84650923158</v>
      </c>
      <c r="G122" s="192">
        <v>5265</v>
      </c>
      <c r="H122" s="192">
        <f>$U$135</f>
        <v>5170.82664698652</v>
      </c>
      <c r="I122" s="192"/>
      <c r="J122" s="192"/>
      <c r="K122" s="192"/>
      <c r="L122" s="192"/>
      <c r="M122" s="192"/>
      <c r="N122" s="192"/>
      <c r="O122" s="193">
        <f ca="1" t="shared" si="150"/>
        <v>24446.8895868132</v>
      </c>
      <c r="P122" s="71"/>
      <c r="Q122" s="186" t="s">
        <v>437</v>
      </c>
      <c r="R122" s="186" t="s">
        <v>75</v>
      </c>
      <c r="S122" s="187">
        <v>2.58541332349326</v>
      </c>
      <c r="T122" s="187">
        <v>4738.82</v>
      </c>
      <c r="U122" s="187">
        <v>0.38</v>
      </c>
      <c r="V122" s="187">
        <v>696.51</v>
      </c>
      <c r="W122" s="187">
        <v>0.109586676506742</v>
      </c>
      <c r="X122" s="187">
        <v>200.86</v>
      </c>
      <c r="Y122" s="187"/>
      <c r="Z122" s="187"/>
      <c r="AA122" s="187"/>
      <c r="AB122" s="187"/>
      <c r="AC122" s="188"/>
      <c r="AD122" s="189"/>
      <c r="AE122" s="189"/>
      <c r="AF122" s="190"/>
    </row>
    <row r="123" customFormat="1" ht="15.75" spans="1:33">
      <c r="A123" s="191" t="s">
        <v>438</v>
      </c>
      <c r="B123" s="50" t="s">
        <v>167</v>
      </c>
      <c r="C123" s="192">
        <v>1737</v>
      </c>
      <c r="D123" s="192">
        <v>2470.36200016724</v>
      </c>
      <c r="E123" s="192">
        <v>2276.50901249894</v>
      </c>
      <c r="F123" s="192">
        <v>2226.45194810688</v>
      </c>
      <c r="G123" s="192">
        <v>3085</v>
      </c>
      <c r="H123" s="192">
        <f>$U$136</f>
        <v>2585.41332349326</v>
      </c>
      <c r="I123" s="192"/>
      <c r="J123" s="192"/>
      <c r="K123" s="192"/>
      <c r="L123" s="192"/>
      <c r="M123" s="192"/>
      <c r="N123" s="192"/>
      <c r="O123" s="193">
        <f ca="1" t="shared" si="150"/>
        <v>14380.7362842663</v>
      </c>
      <c r="P123" s="71"/>
      <c r="Q123" s="196"/>
      <c r="R123" s="197"/>
      <c r="S123" s="198"/>
      <c r="T123" s="199"/>
      <c r="U123" s="200"/>
      <c r="V123" s="199"/>
      <c r="W123" s="197"/>
      <c r="X123" s="199"/>
      <c r="Y123" s="197"/>
      <c r="Z123" s="197"/>
    </row>
    <row r="124" customFormat="1" ht="16.5" spans="1:33">
      <c r="A124" s="201" t="s">
        <v>439</v>
      </c>
      <c r="B124" s="202" t="s">
        <v>167</v>
      </c>
      <c r="C124" s="192">
        <v>0</v>
      </c>
      <c r="D124" s="192">
        <v>0</v>
      </c>
      <c r="E124" s="192">
        <v>0</v>
      </c>
      <c r="F124" s="192">
        <v>0</v>
      </c>
      <c r="G124" s="192">
        <v>0</v>
      </c>
      <c r="H124" s="192">
        <v>0</v>
      </c>
      <c r="I124" s="203">
        <v>0</v>
      </c>
      <c r="J124" s="117">
        <v>0</v>
      </c>
      <c r="K124" s="116">
        <v>0</v>
      </c>
      <c r="L124" s="116">
        <v>0</v>
      </c>
      <c r="M124" s="116">
        <v>0</v>
      </c>
      <c r="N124" s="192">
        <v>0</v>
      </c>
      <c r="O124" s="193">
        <f ca="1" t="shared" si="150"/>
        <v>0</v>
      </c>
      <c r="P124" s="71"/>
      <c r="Q124" s="204" t="s">
        <v>20</v>
      </c>
      <c r="R124" s="205" t="s">
        <v>418</v>
      </c>
      <c r="S124" s="206" t="s">
        <v>440</v>
      </c>
      <c r="T124" s="206"/>
      <c r="U124" s="206" t="s">
        <v>441</v>
      </c>
      <c r="V124" s="206" t="s">
        <v>253</v>
      </c>
      <c r="W124" s="207" t="s">
        <v>442</v>
      </c>
      <c r="X124" s="206" t="s">
        <v>420</v>
      </c>
      <c r="Y124" s="206"/>
      <c r="Z124" s="208" t="s">
        <v>421</v>
      </c>
      <c r="AA124" s="209"/>
      <c r="AB124" s="183" t="s">
        <v>422</v>
      </c>
      <c r="AC124" s="183"/>
      <c r="AD124" s="183" t="s">
        <v>423</v>
      </c>
      <c r="AE124" s="210"/>
      <c r="AF124" s="183" t="s">
        <v>78</v>
      </c>
    </row>
    <row r="125" customHeight="1" spans="1:33">
      <c r="A125" s="136" t="s">
        <v>443</v>
      </c>
      <c r="F125" s="38"/>
      <c r="P125" s="71"/>
      <c r="Q125" s="184"/>
      <c r="R125" s="184"/>
      <c r="S125" s="183" t="s">
        <v>426</v>
      </c>
      <c r="T125" s="183" t="s">
        <v>82</v>
      </c>
      <c r="U125" s="211">
        <v>9478.821</v>
      </c>
      <c r="V125" s="211">
        <f>C7</f>
        <v>0</v>
      </c>
      <c r="W125" s="212">
        <f>I8</f>
        <v>0</v>
      </c>
      <c r="X125" s="183" t="s">
        <v>426</v>
      </c>
      <c r="Y125" s="183" t="s">
        <v>82</v>
      </c>
      <c r="Z125" s="183" t="s">
        <v>426</v>
      </c>
      <c r="AA125" s="183" t="s">
        <v>82</v>
      </c>
      <c r="AB125" s="183" t="s">
        <v>426</v>
      </c>
      <c r="AC125" s="183" t="s">
        <v>82</v>
      </c>
      <c r="AD125" s="183" t="s">
        <v>426</v>
      </c>
      <c r="AE125" s="210" t="s">
        <v>82</v>
      </c>
      <c r="AF125" s="183"/>
    </row>
    <row r="126" customFormat="1" ht="15.75" spans="1:33">
      <c r="A126" s="185" t="s">
        <v>250</v>
      </c>
      <c r="B126" s="106" t="s">
        <v>77</v>
      </c>
      <c r="C126" s="107" t="s">
        <v>220</v>
      </c>
      <c r="D126" s="107" t="s">
        <v>221</v>
      </c>
      <c r="E126" s="107" t="s">
        <v>222</v>
      </c>
      <c r="F126" s="107" t="s">
        <v>223</v>
      </c>
      <c r="G126" s="107" t="s">
        <v>224</v>
      </c>
      <c r="H126" s="107" t="s">
        <v>225</v>
      </c>
      <c r="I126" s="107" t="s">
        <v>226</v>
      </c>
      <c r="J126" s="107" t="s">
        <v>227</v>
      </c>
      <c r="K126" s="107" t="s">
        <v>228</v>
      </c>
      <c r="L126" s="107" t="s">
        <v>229</v>
      </c>
      <c r="M126" s="107" t="s">
        <v>230</v>
      </c>
      <c r="N126" s="107" t="s">
        <v>231</v>
      </c>
      <c r="O126" s="175" t="str">
        <f>CONCATENATE("1-"&amp;mth&amp;"月累计")</f>
        <v>1-8月累计</v>
      </c>
      <c r="P126" s="71"/>
      <c r="Q126" s="184"/>
      <c r="R126" s="184"/>
      <c r="S126" s="183"/>
      <c r="T126" s="183"/>
      <c r="U126" s="213">
        <f>U125/($U$125+$V$125+$W$125)</f>
        <v>1</v>
      </c>
      <c r="V126" s="213">
        <f t="shared" ref="V126:W126" si="151">V125/($U$125+$V$125+$W$125)</f>
        <v>0</v>
      </c>
      <c r="W126" s="214">
        <f t="shared" si="151"/>
        <v>0</v>
      </c>
      <c r="X126" s="183"/>
      <c r="Y126" s="183"/>
      <c r="Z126" s="183"/>
      <c r="AA126" s="183"/>
      <c r="AB126" s="87"/>
      <c r="AC126" s="215"/>
      <c r="AD126" s="183"/>
      <c r="AE126" s="210"/>
      <c r="AF126" s="183"/>
    </row>
    <row r="127" customFormat="1" ht="15.75" spans="1:33">
      <c r="A127" s="191" t="s">
        <v>427</v>
      </c>
      <c r="B127" s="50" t="s">
        <v>167</v>
      </c>
      <c r="C127" s="192">
        <v>0</v>
      </c>
      <c r="D127" s="192">
        <v>0</v>
      </c>
      <c r="E127" s="192">
        <v>0</v>
      </c>
      <c r="F127" s="192">
        <v>0</v>
      </c>
      <c r="G127" s="192">
        <v>0</v>
      </c>
      <c r="H127" s="192">
        <v>0</v>
      </c>
      <c r="I127" s="192">
        <v>0</v>
      </c>
      <c r="J127" s="192">
        <v>0</v>
      </c>
      <c r="K127" s="192">
        <v>0</v>
      </c>
      <c r="L127" s="192">
        <v>0</v>
      </c>
      <c r="M127" s="192">
        <v>0</v>
      </c>
      <c r="N127" s="192">
        <v>0</v>
      </c>
      <c r="O127" s="193">
        <f ca="1" t="shared" ref="O127:O137" si="152">SUM(OFFSET($C127,0,0,1,mth))</f>
        <v>0</v>
      </c>
      <c r="P127" s="71"/>
      <c r="Q127" s="186" t="s">
        <v>153</v>
      </c>
      <c r="R127" s="50" t="s">
        <v>167</v>
      </c>
      <c r="S127" s="187">
        <f>U127+W127</f>
        <v>41823.7756490562</v>
      </c>
      <c r="T127" s="187">
        <f>T113+AE113</f>
        <v>43578.89</v>
      </c>
      <c r="U127" s="216">
        <f>S113*1000*0.31</f>
        <v>41823.7756490562</v>
      </c>
      <c r="V127" s="216"/>
      <c r="W127" s="216">
        <f>AD113*1000*0.31</f>
        <v>0</v>
      </c>
      <c r="X127" s="187">
        <f>U113*1000*0.31</f>
        <v>6155.36</v>
      </c>
      <c r="Y127" s="187">
        <f>V113</f>
        <v>6413.62</v>
      </c>
      <c r="Z127" s="187">
        <f t="shared" ref="Z127:AD127" si="153">W113*1000*0.31</f>
        <v>1772.76435094369</v>
      </c>
      <c r="AA127" s="187">
        <f t="shared" ref="AA127:AE127" si="154">X113</f>
        <v>1847.16</v>
      </c>
      <c r="AB127" s="187">
        <f t="shared" si="153"/>
        <v>0</v>
      </c>
      <c r="AC127" s="187">
        <f t="shared" si="154"/>
        <v>0</v>
      </c>
      <c r="AD127" s="187">
        <f>AA113*1000*0.31</f>
        <v>0</v>
      </c>
      <c r="AE127" s="187">
        <f>AB113</f>
        <v>0</v>
      </c>
      <c r="AF127" s="187">
        <f>IF((S127+X127+Z127+AD127)=0,0,(T127+Y127+AA127+AE127)/(S127+X127+Z127+AD127))</f>
        <v>1.04196362349981</v>
      </c>
      <c r="AG127" s="190"/>
    </row>
    <row r="128" customFormat="1" ht="15.75" spans="1:33">
      <c r="A128" s="191" t="s">
        <v>428</v>
      </c>
      <c r="B128" s="50" t="s">
        <v>167</v>
      </c>
      <c r="C128" s="192">
        <v>0</v>
      </c>
      <c r="D128" s="192">
        <v>0</v>
      </c>
      <c r="E128" s="192">
        <v>0</v>
      </c>
      <c r="F128" s="192">
        <v>0</v>
      </c>
      <c r="G128" s="192">
        <v>0</v>
      </c>
      <c r="H128" s="192">
        <v>0</v>
      </c>
      <c r="I128" s="192">
        <v>0</v>
      </c>
      <c r="J128" s="192">
        <v>0</v>
      </c>
      <c r="K128" s="192">
        <v>0</v>
      </c>
      <c r="L128" s="192">
        <v>0</v>
      </c>
      <c r="M128" s="192">
        <v>0</v>
      </c>
      <c r="N128" s="192">
        <v>0</v>
      </c>
      <c r="O128" s="193">
        <f ca="1" t="shared" si="152"/>
        <v>0</v>
      </c>
      <c r="P128" s="71"/>
      <c r="Q128" s="186" t="s">
        <v>154</v>
      </c>
      <c r="R128" s="50" t="s">
        <v>167</v>
      </c>
      <c r="S128" s="187">
        <f>U128+W128</f>
        <v>48499.4759376128</v>
      </c>
      <c r="T128" s="187">
        <f t="shared" ref="T128:T136" si="155">T114+AE114</f>
        <v>156777.02</v>
      </c>
      <c r="U128" s="216">
        <f>S114*1000*0.32</f>
        <v>48499.4759376128</v>
      </c>
      <c r="V128" s="216"/>
      <c r="W128" s="216">
        <f>AD114*1000*0.32</f>
        <v>0</v>
      </c>
      <c r="X128" s="187">
        <f>U114*1000*0.32</f>
        <v>7137.6</v>
      </c>
      <c r="Y128" s="187">
        <f t="shared" ref="Y128:Y136" si="156">V114</f>
        <v>23076.43</v>
      </c>
      <c r="Z128" s="187">
        <f t="shared" ref="Z128:AD128" si="157">W114*1000*0.32</f>
        <v>2055.72406238725</v>
      </c>
      <c r="AA128" s="187">
        <f t="shared" ref="AA128:AA136" si="158">X114</f>
        <v>6645.23</v>
      </c>
      <c r="AB128" s="187">
        <f t="shared" si="157"/>
        <v>0</v>
      </c>
      <c r="AC128" s="187">
        <f t="shared" ref="AC128:AC136" si="159">Z114</f>
        <v>0</v>
      </c>
      <c r="AD128" s="187">
        <f>AA114*1000*0.32</f>
        <v>0</v>
      </c>
      <c r="AE128" s="187">
        <f t="shared" ref="AE128:AE136" si="160">AB114</f>
        <v>0</v>
      </c>
      <c r="AF128" s="187">
        <f t="shared" ref="AF128:AF136" si="161">IF((S128+X128+Z128+AD128)=0,0,(T128+Y128+AA128+AE128)/(S128+X128+Z128+AD128))</f>
        <v>3.23261620167508</v>
      </c>
      <c r="AG128" s="190"/>
    </row>
    <row r="129" customFormat="1" ht="15.75" spans="1:33">
      <c r="A129" s="191" t="s">
        <v>429</v>
      </c>
      <c r="B129" s="50" t="s">
        <v>167</v>
      </c>
      <c r="C129" s="192">
        <v>0</v>
      </c>
      <c r="D129" s="192">
        <v>0</v>
      </c>
      <c r="E129" s="192">
        <v>0</v>
      </c>
      <c r="F129" s="192">
        <v>0</v>
      </c>
      <c r="G129" s="192">
        <v>0</v>
      </c>
      <c r="H129" s="192">
        <v>0</v>
      </c>
      <c r="I129" s="192">
        <v>0</v>
      </c>
      <c r="J129" s="192">
        <v>0</v>
      </c>
      <c r="K129" s="192">
        <v>0</v>
      </c>
      <c r="L129" s="192">
        <v>0</v>
      </c>
      <c r="M129" s="192">
        <v>0</v>
      </c>
      <c r="N129" s="192">
        <v>0</v>
      </c>
      <c r="O129" s="193">
        <f ca="1" t="shared" si="152"/>
        <v>0</v>
      </c>
      <c r="P129" s="71"/>
      <c r="Q129" s="186" t="s">
        <v>429</v>
      </c>
      <c r="R129" s="50" t="s">
        <v>167</v>
      </c>
      <c r="S129" s="187">
        <f t="shared" ref="S129:S136" si="162">U129+W129</f>
        <v>6892.83663424826</v>
      </c>
      <c r="T129" s="187">
        <f t="shared" si="155"/>
        <v>17934.61</v>
      </c>
      <c r="U129" s="216">
        <f>S115*1000</f>
        <v>6892.83663424826</v>
      </c>
      <c r="V129" s="216"/>
      <c r="W129" s="216">
        <f>AD115*1000</f>
        <v>0</v>
      </c>
      <c r="X129" s="187">
        <f>U115*1000</f>
        <v>1015</v>
      </c>
      <c r="Y129" s="187">
        <f t="shared" si="156"/>
        <v>2640.98</v>
      </c>
      <c r="Z129" s="187">
        <f t="shared" ref="Z129:AD129" si="163">W115*1000</f>
        <v>292.163365751741</v>
      </c>
      <c r="AA129" s="187">
        <f t="shared" si="158"/>
        <v>760.19</v>
      </c>
      <c r="AB129" s="187">
        <f t="shared" si="163"/>
        <v>0</v>
      </c>
      <c r="AC129" s="187">
        <f t="shared" si="159"/>
        <v>0</v>
      </c>
      <c r="AD129" s="187">
        <f t="shared" si="163"/>
        <v>0</v>
      </c>
      <c r="AE129" s="187">
        <f t="shared" si="160"/>
        <v>0</v>
      </c>
      <c r="AF129" s="187">
        <f t="shared" si="161"/>
        <v>2.6019243902439</v>
      </c>
      <c r="AG129" s="190"/>
    </row>
    <row r="130" customFormat="1" ht="15.75" spans="1:33">
      <c r="A130" s="115" t="s">
        <v>261</v>
      </c>
      <c r="B130" s="50" t="s">
        <v>167</v>
      </c>
      <c r="C130" s="192">
        <v>0</v>
      </c>
      <c r="D130" s="192">
        <v>0</v>
      </c>
      <c r="E130" s="192">
        <v>0</v>
      </c>
      <c r="F130" s="192">
        <v>0</v>
      </c>
      <c r="G130" s="192">
        <v>0</v>
      </c>
      <c r="H130" s="192">
        <v>0</v>
      </c>
      <c r="I130" s="192">
        <v>0</v>
      </c>
      <c r="J130" s="192">
        <v>0</v>
      </c>
      <c r="K130" s="192">
        <v>0</v>
      </c>
      <c r="L130" s="192">
        <v>0</v>
      </c>
      <c r="M130" s="192">
        <v>0</v>
      </c>
      <c r="N130" s="192">
        <v>0</v>
      </c>
      <c r="O130" s="193">
        <f ca="1">SUM(OFFSET($C130,0,0,1,mth))</f>
        <v>0</v>
      </c>
      <c r="P130" s="71"/>
      <c r="Q130" s="186" t="s">
        <v>261</v>
      </c>
      <c r="R130" s="50" t="s">
        <v>167</v>
      </c>
      <c r="S130" s="187">
        <f t="shared" si="162"/>
        <v>0</v>
      </c>
      <c r="T130" s="187">
        <f t="shared" si="155"/>
        <v>0</v>
      </c>
      <c r="U130" s="216">
        <f t="shared" ref="U130" si="164">S116*1000</f>
        <v>0</v>
      </c>
      <c r="V130" s="216"/>
      <c r="W130" s="216">
        <f t="shared" ref="W130" si="165">AD116*1000</f>
        <v>0</v>
      </c>
      <c r="X130" s="187">
        <f>U116*1000</f>
        <v>0</v>
      </c>
      <c r="Y130" s="187">
        <f t="shared" si="156"/>
        <v>0</v>
      </c>
      <c r="Z130" s="187">
        <f t="shared" ref="Z130:AD130" si="166">W116*1000</f>
        <v>0</v>
      </c>
      <c r="AA130" s="187">
        <f t="shared" si="158"/>
        <v>0</v>
      </c>
      <c r="AB130" s="187">
        <f t="shared" si="166"/>
        <v>0</v>
      </c>
      <c r="AC130" s="187">
        <f t="shared" si="159"/>
        <v>0</v>
      </c>
      <c r="AD130" s="187">
        <f t="shared" si="166"/>
        <v>0</v>
      </c>
      <c r="AE130" s="187">
        <f t="shared" si="160"/>
        <v>0</v>
      </c>
      <c r="AF130" s="187">
        <f t="shared" si="161"/>
        <v>0</v>
      </c>
      <c r="AG130" s="190"/>
    </row>
    <row r="131" customFormat="1" ht="15.75" spans="1:33">
      <c r="A131" s="191" t="s">
        <v>152</v>
      </c>
      <c r="B131" s="50" t="s">
        <v>167</v>
      </c>
      <c r="C131" s="192">
        <v>0</v>
      </c>
      <c r="D131" s="192">
        <v>0</v>
      </c>
      <c r="E131" s="192">
        <v>0</v>
      </c>
      <c r="F131" s="192">
        <v>0</v>
      </c>
      <c r="G131" s="192">
        <v>0</v>
      </c>
      <c r="H131" s="192">
        <v>0</v>
      </c>
      <c r="I131" s="192">
        <v>0</v>
      </c>
      <c r="J131" s="192">
        <v>0</v>
      </c>
      <c r="K131" s="192">
        <v>0</v>
      </c>
      <c r="L131" s="192">
        <v>0</v>
      </c>
      <c r="M131" s="192">
        <v>0</v>
      </c>
      <c r="N131" s="192">
        <v>0</v>
      </c>
      <c r="O131" s="193">
        <f ca="1" t="shared" si="152"/>
        <v>0</v>
      </c>
      <c r="P131" s="71"/>
      <c r="Q131" s="186" t="s">
        <v>152</v>
      </c>
      <c r="R131" s="50" t="s">
        <v>167</v>
      </c>
      <c r="S131" s="187">
        <f t="shared" si="162"/>
        <v>14711.4335123448</v>
      </c>
      <c r="T131" s="187">
        <f t="shared" si="155"/>
        <v>104151.8</v>
      </c>
      <c r="U131" s="216">
        <f t="shared" ref="U131:U136" si="167">S117*1000</f>
        <v>14711.4335123448</v>
      </c>
      <c r="V131" s="216"/>
      <c r="W131" s="216">
        <f t="shared" ref="W131:W136" si="168">AD117*1000</f>
        <v>0</v>
      </c>
      <c r="X131" s="187">
        <f>U117*1000</f>
        <v>2165</v>
      </c>
      <c r="Y131" s="187">
        <f t="shared" si="156"/>
        <v>15327.39</v>
      </c>
      <c r="Z131" s="187">
        <f>W117*1000</f>
        <v>623.566487655246</v>
      </c>
      <c r="AA131" s="187">
        <f t="shared" si="158"/>
        <v>4414.63</v>
      </c>
      <c r="AB131" s="187">
        <f t="shared" ref="AB131:AB136" si="169">Y117*1000</f>
        <v>0</v>
      </c>
      <c r="AC131" s="187">
        <f t="shared" si="159"/>
        <v>0</v>
      </c>
      <c r="AD131" s="187">
        <f t="shared" ref="AD131:AD136" si="170">AA117*1000</f>
        <v>0</v>
      </c>
      <c r="AE131" s="187">
        <f t="shared" si="160"/>
        <v>0</v>
      </c>
      <c r="AF131" s="187">
        <f t="shared" si="161"/>
        <v>7.07964685714284</v>
      </c>
      <c r="AG131" s="190"/>
    </row>
    <row r="132" customFormat="1" ht="15.75" spans="1:33">
      <c r="A132" s="191" t="s">
        <v>431</v>
      </c>
      <c r="B132" s="50" t="s">
        <v>167</v>
      </c>
      <c r="C132" s="192">
        <v>0</v>
      </c>
      <c r="D132" s="192">
        <v>0</v>
      </c>
      <c r="E132" s="192">
        <v>0</v>
      </c>
      <c r="F132" s="192">
        <v>0</v>
      </c>
      <c r="G132" s="192">
        <v>0</v>
      </c>
      <c r="H132" s="192">
        <v>0</v>
      </c>
      <c r="I132" s="192">
        <v>0</v>
      </c>
      <c r="J132" s="192">
        <v>0</v>
      </c>
      <c r="K132" s="192">
        <v>0</v>
      </c>
      <c r="L132" s="192">
        <v>0</v>
      </c>
      <c r="M132" s="192">
        <v>0</v>
      </c>
      <c r="N132" s="192">
        <v>0</v>
      </c>
      <c r="O132" s="193">
        <f ca="1" t="shared" si="152"/>
        <v>0</v>
      </c>
      <c r="P132" s="71"/>
      <c r="Q132" s="186" t="s">
        <v>430</v>
      </c>
      <c r="R132" s="50" t="s">
        <v>167</v>
      </c>
      <c r="S132" s="187">
        <f t="shared" si="162"/>
        <v>730.055487635759</v>
      </c>
      <c r="T132" s="187">
        <f t="shared" si="155"/>
        <v>34887.86</v>
      </c>
      <c r="U132" s="216">
        <f t="shared" si="167"/>
        <v>730.055487635759</v>
      </c>
      <c r="V132" s="216"/>
      <c r="W132" s="216">
        <f t="shared" si="168"/>
        <v>0</v>
      </c>
      <c r="X132" s="187">
        <f>U118*1000</f>
        <v>107</v>
      </c>
      <c r="Y132" s="187">
        <f t="shared" si="156"/>
        <v>5113.32</v>
      </c>
      <c r="Z132" s="187">
        <f>W118*1000</f>
        <v>30.9445123642414</v>
      </c>
      <c r="AA132" s="187">
        <f t="shared" si="158"/>
        <v>1478.78</v>
      </c>
      <c r="AB132" s="187">
        <f t="shared" si="169"/>
        <v>0</v>
      </c>
      <c r="AC132" s="187">
        <f t="shared" si="159"/>
        <v>0</v>
      </c>
      <c r="AD132" s="187">
        <f t="shared" si="170"/>
        <v>0</v>
      </c>
      <c r="AE132" s="187">
        <f t="shared" si="160"/>
        <v>0</v>
      </c>
      <c r="AF132" s="187">
        <f t="shared" si="161"/>
        <v>47.7879723502304</v>
      </c>
      <c r="AG132" s="190"/>
    </row>
    <row r="133" customFormat="1" ht="15.75" spans="1:33">
      <c r="A133" s="191" t="s">
        <v>432</v>
      </c>
      <c r="B133" s="50" t="s">
        <v>167</v>
      </c>
      <c r="C133" s="192">
        <v>0</v>
      </c>
      <c r="D133" s="192">
        <v>0</v>
      </c>
      <c r="E133" s="192">
        <v>0</v>
      </c>
      <c r="F133" s="192">
        <v>0</v>
      </c>
      <c r="G133" s="192">
        <v>0</v>
      </c>
      <c r="H133" s="192">
        <v>0</v>
      </c>
      <c r="I133" s="192">
        <v>0</v>
      </c>
      <c r="J133" s="192">
        <v>0</v>
      </c>
      <c r="K133" s="192">
        <v>0</v>
      </c>
      <c r="L133" s="192">
        <v>0</v>
      </c>
      <c r="M133" s="192">
        <v>0</v>
      </c>
      <c r="N133" s="192">
        <v>0</v>
      </c>
      <c r="O133" s="193">
        <f ca="1" t="shared" si="152"/>
        <v>0</v>
      </c>
      <c r="P133" s="71"/>
      <c r="Q133" s="186" t="s">
        <v>160</v>
      </c>
      <c r="R133" s="50" t="s">
        <v>167</v>
      </c>
      <c r="S133" s="187">
        <f t="shared" si="162"/>
        <v>1651.97838332296</v>
      </c>
      <c r="T133" s="187">
        <f t="shared" si="155"/>
        <v>54705.38</v>
      </c>
      <c r="U133" s="216">
        <f t="shared" si="167"/>
        <v>1651.97838332296</v>
      </c>
      <c r="V133" s="216"/>
      <c r="W133" s="216">
        <f t="shared" si="168"/>
        <v>0</v>
      </c>
      <c r="X133" s="187">
        <f t="shared" ref="X133:X136" si="171">U119*1000</f>
        <v>243</v>
      </c>
      <c r="Y133" s="187">
        <f t="shared" si="156"/>
        <v>8044.36</v>
      </c>
      <c r="Z133" s="187">
        <f t="shared" ref="Z133:Z136" si="172">W119*1000</f>
        <v>70.0216166770351</v>
      </c>
      <c r="AA133" s="187">
        <f t="shared" si="158"/>
        <v>2318.77</v>
      </c>
      <c r="AB133" s="187">
        <f t="shared" si="169"/>
        <v>0</v>
      </c>
      <c r="AC133" s="187">
        <f t="shared" si="159"/>
        <v>0</v>
      </c>
      <c r="AD133" s="187">
        <f t="shared" si="170"/>
        <v>0</v>
      </c>
      <c r="AE133" s="187">
        <f t="shared" si="160"/>
        <v>0</v>
      </c>
      <c r="AF133" s="187">
        <f t="shared" si="161"/>
        <v>33.1137455470739</v>
      </c>
      <c r="AG133" s="190"/>
    </row>
    <row r="134" customFormat="1" ht="15.75" spans="1:33">
      <c r="A134" s="191" t="s">
        <v>434</v>
      </c>
      <c r="B134" s="50" t="s">
        <v>167</v>
      </c>
      <c r="C134" s="192">
        <v>0</v>
      </c>
      <c r="D134" s="192">
        <v>0</v>
      </c>
      <c r="E134" s="192">
        <v>0</v>
      </c>
      <c r="F134" s="192">
        <v>0</v>
      </c>
      <c r="G134" s="192">
        <v>0</v>
      </c>
      <c r="H134" s="192">
        <v>0</v>
      </c>
      <c r="I134" s="192">
        <v>0</v>
      </c>
      <c r="J134" s="192">
        <v>0</v>
      </c>
      <c r="K134" s="192">
        <v>0</v>
      </c>
      <c r="L134" s="192">
        <v>0</v>
      </c>
      <c r="M134" s="192">
        <v>0</v>
      </c>
      <c r="N134" s="192">
        <v>0</v>
      </c>
      <c r="O134" s="193">
        <f ca="1" t="shared" si="152"/>
        <v>0</v>
      </c>
      <c r="P134" s="71"/>
      <c r="Q134" s="186" t="s">
        <v>433</v>
      </c>
      <c r="R134" s="50" t="s">
        <v>167</v>
      </c>
      <c r="S134" s="187">
        <f t="shared" si="162"/>
        <v>918.085547526177</v>
      </c>
      <c r="T134" s="187">
        <f t="shared" si="155"/>
        <v>202292.11</v>
      </c>
      <c r="U134" s="216">
        <f t="shared" si="167"/>
        <v>918.085547526177</v>
      </c>
      <c r="V134" s="216"/>
      <c r="W134" s="216">
        <f t="shared" si="168"/>
        <v>0</v>
      </c>
      <c r="X134" s="187">
        <f t="shared" si="171"/>
        <v>135</v>
      </c>
      <c r="Y134" s="187">
        <f t="shared" si="156"/>
        <v>28734.46</v>
      </c>
      <c r="Z134" s="187">
        <f t="shared" si="172"/>
        <v>38.9144524738227</v>
      </c>
      <c r="AA134" s="187">
        <f t="shared" si="158"/>
        <v>8574.46</v>
      </c>
      <c r="AB134" s="187">
        <f t="shared" si="169"/>
        <v>0</v>
      </c>
      <c r="AC134" s="187">
        <f t="shared" si="159"/>
        <v>0</v>
      </c>
      <c r="AD134" s="187">
        <f t="shared" si="170"/>
        <v>0</v>
      </c>
      <c r="AE134" s="187">
        <f t="shared" si="160"/>
        <v>0</v>
      </c>
      <c r="AF134" s="187">
        <f t="shared" si="161"/>
        <v>219.414862637363</v>
      </c>
      <c r="AG134" s="190"/>
    </row>
    <row r="135" customFormat="1" ht="15.75" spans="1:33">
      <c r="A135" s="191" t="s">
        <v>436</v>
      </c>
      <c r="B135" s="50" t="s">
        <v>167</v>
      </c>
      <c r="C135" s="192">
        <v>0</v>
      </c>
      <c r="D135" s="192">
        <v>0</v>
      </c>
      <c r="E135" s="192">
        <v>0</v>
      </c>
      <c r="F135" s="192">
        <v>0</v>
      </c>
      <c r="G135" s="192">
        <v>0</v>
      </c>
      <c r="H135" s="192">
        <v>0</v>
      </c>
      <c r="I135" s="192">
        <v>0</v>
      </c>
      <c r="J135" s="192">
        <v>0</v>
      </c>
      <c r="K135" s="192">
        <v>0</v>
      </c>
      <c r="L135" s="192">
        <v>0</v>
      </c>
      <c r="M135" s="192">
        <v>0</v>
      </c>
      <c r="N135" s="192">
        <v>0</v>
      </c>
      <c r="O135" s="193">
        <f ca="1" t="shared" si="152"/>
        <v>0</v>
      </c>
      <c r="P135" s="71"/>
      <c r="Q135" s="186" t="s">
        <v>435</v>
      </c>
      <c r="R135" s="50" t="s">
        <v>167</v>
      </c>
      <c r="S135" s="187">
        <f t="shared" si="162"/>
        <v>5170.82664698652</v>
      </c>
      <c r="T135" s="187">
        <f t="shared" si="155"/>
        <v>4791.09</v>
      </c>
      <c r="U135" s="216">
        <f t="shared" si="167"/>
        <v>5170.82664698652</v>
      </c>
      <c r="V135" s="216"/>
      <c r="W135" s="216">
        <f t="shared" si="168"/>
        <v>0</v>
      </c>
      <c r="X135" s="195">
        <f t="shared" si="171"/>
        <v>760</v>
      </c>
      <c r="Y135" s="187">
        <f t="shared" si="156"/>
        <v>703.72</v>
      </c>
      <c r="Z135" s="195">
        <f t="shared" si="172"/>
        <v>219.173353013484</v>
      </c>
      <c r="AA135" s="187">
        <f t="shared" si="158"/>
        <v>203.08</v>
      </c>
      <c r="AB135" s="195">
        <f t="shared" si="169"/>
        <v>0</v>
      </c>
      <c r="AC135" s="187">
        <f t="shared" si="159"/>
        <v>0</v>
      </c>
      <c r="AD135" s="195">
        <f t="shared" si="170"/>
        <v>0</v>
      </c>
      <c r="AE135" s="187">
        <f t="shared" si="160"/>
        <v>0</v>
      </c>
      <c r="AF135" s="187">
        <f t="shared" si="161"/>
        <v>0.926486178861788</v>
      </c>
      <c r="AG135" s="190"/>
    </row>
    <row r="136" customFormat="1" ht="15.75" spans="1:33">
      <c r="A136" s="191" t="s">
        <v>438</v>
      </c>
      <c r="B136" s="50" t="s">
        <v>167</v>
      </c>
      <c r="C136" s="192">
        <v>0</v>
      </c>
      <c r="D136" s="192">
        <v>0</v>
      </c>
      <c r="E136" s="192">
        <v>0</v>
      </c>
      <c r="F136" s="192">
        <v>0</v>
      </c>
      <c r="G136" s="192">
        <v>0</v>
      </c>
      <c r="H136" s="192">
        <v>0</v>
      </c>
      <c r="I136" s="192">
        <v>0</v>
      </c>
      <c r="J136" s="192">
        <v>0</v>
      </c>
      <c r="K136" s="192">
        <v>0</v>
      </c>
      <c r="L136" s="192">
        <v>0</v>
      </c>
      <c r="M136" s="192">
        <v>0</v>
      </c>
      <c r="N136" s="192">
        <v>0</v>
      </c>
      <c r="O136" s="193">
        <f ca="1" t="shared" si="152"/>
        <v>0</v>
      </c>
      <c r="P136" s="71"/>
      <c r="Q136" s="186" t="s">
        <v>437</v>
      </c>
      <c r="R136" s="50" t="s">
        <v>167</v>
      </c>
      <c r="S136" s="187">
        <f t="shared" si="162"/>
        <v>2585.41332349326</v>
      </c>
      <c r="T136" s="187">
        <f t="shared" si="155"/>
        <v>4738.82</v>
      </c>
      <c r="U136" s="216">
        <f t="shared" si="167"/>
        <v>2585.41332349326</v>
      </c>
      <c r="V136" s="216"/>
      <c r="W136" s="216">
        <f t="shared" si="168"/>
        <v>0</v>
      </c>
      <c r="X136" s="187">
        <f t="shared" si="171"/>
        <v>380</v>
      </c>
      <c r="Y136" s="187">
        <f t="shared" si="156"/>
        <v>696.51</v>
      </c>
      <c r="Z136" s="187">
        <f t="shared" si="172"/>
        <v>109.586676506742</v>
      </c>
      <c r="AA136" s="187">
        <f t="shared" si="158"/>
        <v>200.86</v>
      </c>
      <c r="AB136" s="187">
        <f t="shared" si="169"/>
        <v>0</v>
      </c>
      <c r="AC136" s="187">
        <f t="shared" si="159"/>
        <v>0</v>
      </c>
      <c r="AD136" s="187">
        <f t="shared" si="170"/>
        <v>0</v>
      </c>
      <c r="AE136" s="187">
        <f t="shared" si="160"/>
        <v>0</v>
      </c>
      <c r="AF136" s="187">
        <f t="shared" si="161"/>
        <v>1.83290731707317</v>
      </c>
      <c r="AG136" s="190"/>
    </row>
    <row r="137" customFormat="1" ht="16.5" spans="1:33">
      <c r="A137" s="201" t="s">
        <v>439</v>
      </c>
      <c r="B137" s="202" t="s">
        <v>167</v>
      </c>
      <c r="C137" s="192">
        <v>0</v>
      </c>
      <c r="D137" s="192">
        <v>0</v>
      </c>
      <c r="E137" s="192">
        <v>0</v>
      </c>
      <c r="F137" s="192">
        <v>0</v>
      </c>
      <c r="G137" s="192">
        <v>0</v>
      </c>
      <c r="H137" s="192">
        <v>0</v>
      </c>
      <c r="I137" s="192">
        <v>0</v>
      </c>
      <c r="J137" s="192">
        <v>0</v>
      </c>
      <c r="K137" s="192">
        <v>0</v>
      </c>
      <c r="L137" s="192">
        <v>0</v>
      </c>
      <c r="M137" s="192">
        <v>0</v>
      </c>
      <c r="N137" s="192">
        <v>0</v>
      </c>
      <c r="O137" s="193">
        <f ca="1" t="shared" si="152"/>
        <v>0</v>
      </c>
      <c r="P137" s="71"/>
      <c r="Q137" s="201" t="s">
        <v>439</v>
      </c>
      <c r="R137" s="50" t="s">
        <v>167</v>
      </c>
      <c r="S137" s="187"/>
      <c r="T137" s="187"/>
      <c r="U137" s="217"/>
      <c r="V137" s="216"/>
      <c r="W137" s="216"/>
      <c r="X137" s="218"/>
      <c r="Y137" s="187"/>
      <c r="Z137" s="218"/>
      <c r="AA137" s="187"/>
      <c r="AB137" s="215"/>
      <c r="AC137" s="215"/>
      <c r="AD137" s="215"/>
      <c r="AE137" s="215"/>
      <c r="AF137" s="187"/>
    </row>
    <row r="138" customFormat="1" ht="16.5" spans="1:33">
      <c r="A138" s="136" t="s">
        <v>444</v>
      </c>
      <c r="B138" s="95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45"/>
      <c r="P138" s="71"/>
      <c r="U138" s="219"/>
      <c r="AD138" s="220"/>
    </row>
    <row r="139" customFormat="1" ht="15.75" spans="1:33">
      <c r="A139" s="185" t="s">
        <v>250</v>
      </c>
      <c r="B139" s="106" t="s">
        <v>77</v>
      </c>
      <c r="C139" s="107" t="s">
        <v>220</v>
      </c>
      <c r="D139" s="107" t="s">
        <v>221</v>
      </c>
      <c r="E139" s="107" t="s">
        <v>222</v>
      </c>
      <c r="F139" s="107" t="s">
        <v>223</v>
      </c>
      <c r="G139" s="107" t="s">
        <v>224</v>
      </c>
      <c r="H139" s="107" t="s">
        <v>225</v>
      </c>
      <c r="I139" s="107" t="s">
        <v>226</v>
      </c>
      <c r="J139" s="107" t="s">
        <v>227</v>
      </c>
      <c r="K139" s="107" t="s">
        <v>228</v>
      </c>
      <c r="L139" s="107" t="s">
        <v>229</v>
      </c>
      <c r="M139" s="107" t="s">
        <v>230</v>
      </c>
      <c r="N139" s="107" t="s">
        <v>231</v>
      </c>
      <c r="O139" s="175" t="str">
        <f>CONCATENATE("1-"&amp;mth&amp;"月累计")</f>
        <v>1-8月累计</v>
      </c>
      <c r="P139" s="71"/>
      <c r="Q139" s="221"/>
      <c r="R139" s="132"/>
      <c r="T139" s="222"/>
      <c r="U139" s="219"/>
      <c r="AD139" s="188"/>
    </row>
    <row r="140" customFormat="1" ht="15.75" spans="1:33">
      <c r="A140" s="191" t="s">
        <v>427</v>
      </c>
      <c r="B140" s="50" t="s">
        <v>167</v>
      </c>
      <c r="C140" s="192">
        <v>0</v>
      </c>
      <c r="D140" s="192">
        <v>0</v>
      </c>
      <c r="E140" s="192">
        <v>0</v>
      </c>
      <c r="F140" s="192">
        <v>0</v>
      </c>
      <c r="G140" s="192">
        <v>0</v>
      </c>
      <c r="H140" s="192">
        <v>0</v>
      </c>
      <c r="I140" s="192">
        <f>$W$127</f>
        <v>0</v>
      </c>
      <c r="J140" s="192">
        <v>0</v>
      </c>
      <c r="K140" s="192">
        <v>0</v>
      </c>
      <c r="L140" s="192">
        <v>0</v>
      </c>
      <c r="M140" s="192">
        <v>0</v>
      </c>
      <c r="N140" s="192">
        <v>0</v>
      </c>
      <c r="O140" s="193">
        <f ca="1" t="shared" ref="O140:O150" si="173">SUM(OFFSET($C140,0,0,1,mth))</f>
        <v>0</v>
      </c>
      <c r="P140" s="71"/>
      <c r="Q140" s="221"/>
      <c r="R140" s="132"/>
      <c r="T140" s="222"/>
      <c r="U140" s="219"/>
      <c r="AD140" s="223" t="s">
        <v>17</v>
      </c>
    </row>
    <row r="141" customFormat="1" ht="15.75" spans="1:33">
      <c r="A141" s="191" t="s">
        <v>428</v>
      </c>
      <c r="B141" s="50" t="s">
        <v>167</v>
      </c>
      <c r="C141" s="192">
        <v>0</v>
      </c>
      <c r="D141" s="192">
        <v>0</v>
      </c>
      <c r="E141" s="192">
        <v>0</v>
      </c>
      <c r="F141" s="192">
        <v>0</v>
      </c>
      <c r="G141" s="192">
        <v>0</v>
      </c>
      <c r="H141" s="192">
        <v>0</v>
      </c>
      <c r="I141" s="192">
        <f>$W$128</f>
        <v>0</v>
      </c>
      <c r="J141" s="192">
        <v>0</v>
      </c>
      <c r="K141" s="192">
        <v>0</v>
      </c>
      <c r="L141" s="192">
        <v>0</v>
      </c>
      <c r="M141" s="192">
        <v>0</v>
      </c>
      <c r="N141" s="192">
        <v>0</v>
      </c>
      <c r="O141" s="193">
        <f ca="1" t="shared" si="173"/>
        <v>0</v>
      </c>
      <c r="P141" s="71"/>
      <c r="Q141" s="221"/>
      <c r="R141" s="132"/>
      <c r="T141" s="222"/>
      <c r="U141" s="219"/>
    </row>
    <row r="142" customFormat="1" ht="15.75" spans="1:33">
      <c r="A142" s="191" t="s">
        <v>429</v>
      </c>
      <c r="B142" s="50" t="s">
        <v>167</v>
      </c>
      <c r="C142" s="192">
        <v>0</v>
      </c>
      <c r="D142" s="192">
        <v>0</v>
      </c>
      <c r="E142" s="192">
        <v>0</v>
      </c>
      <c r="F142" s="192">
        <v>0</v>
      </c>
      <c r="G142" s="192">
        <v>0</v>
      </c>
      <c r="H142" s="192">
        <v>0</v>
      </c>
      <c r="I142" s="192">
        <f>$W$129</f>
        <v>0</v>
      </c>
      <c r="J142" s="192">
        <v>0</v>
      </c>
      <c r="K142" s="192">
        <v>0</v>
      </c>
      <c r="L142" s="192">
        <v>0</v>
      </c>
      <c r="M142" s="192">
        <v>0</v>
      </c>
      <c r="N142" s="192">
        <v>0</v>
      </c>
      <c r="O142" s="193">
        <f ca="1" t="shared" si="173"/>
        <v>0</v>
      </c>
      <c r="P142" s="71"/>
      <c r="Q142" s="221"/>
      <c r="R142" s="132"/>
      <c r="T142" s="222"/>
      <c r="U142" s="219"/>
    </row>
    <row r="143" customFormat="1" ht="15.75" spans="1:33">
      <c r="A143" s="115" t="s">
        <v>261</v>
      </c>
      <c r="B143" s="50" t="s">
        <v>167</v>
      </c>
      <c r="C143" s="192">
        <v>0</v>
      </c>
      <c r="D143" s="192">
        <v>0</v>
      </c>
      <c r="E143" s="192">
        <v>0</v>
      </c>
      <c r="F143" s="192">
        <v>0</v>
      </c>
      <c r="G143" s="192">
        <v>0</v>
      </c>
      <c r="H143" s="192">
        <v>0</v>
      </c>
      <c r="I143" s="192">
        <f>$W$130</f>
        <v>0</v>
      </c>
      <c r="J143" s="192">
        <v>0</v>
      </c>
      <c r="K143" s="192">
        <v>0</v>
      </c>
      <c r="L143" s="192">
        <v>0</v>
      </c>
      <c r="M143" s="192">
        <v>0</v>
      </c>
      <c r="N143" s="192">
        <v>0</v>
      </c>
      <c r="O143" s="193">
        <f ca="1">SUM(OFFSET($C143,0,0,1,mth))</f>
        <v>0</v>
      </c>
      <c r="P143" s="71"/>
      <c r="Q143" s="221"/>
      <c r="R143" s="132"/>
      <c r="T143" s="222"/>
      <c r="U143" s="219"/>
    </row>
    <row r="144" customFormat="1" ht="15.75" spans="1:33">
      <c r="A144" s="191" t="s">
        <v>152</v>
      </c>
      <c r="B144" s="50" t="s">
        <v>167</v>
      </c>
      <c r="C144" s="192">
        <v>0</v>
      </c>
      <c r="D144" s="192">
        <v>0</v>
      </c>
      <c r="E144" s="192">
        <v>0</v>
      </c>
      <c r="F144" s="192">
        <v>0</v>
      </c>
      <c r="G144" s="192">
        <v>0</v>
      </c>
      <c r="H144" s="192">
        <v>0</v>
      </c>
      <c r="I144" s="192">
        <f>$W$131</f>
        <v>0</v>
      </c>
      <c r="J144" s="192">
        <v>0</v>
      </c>
      <c r="K144" s="192">
        <v>0</v>
      </c>
      <c r="L144" s="192">
        <v>0</v>
      </c>
      <c r="M144" s="192">
        <v>0</v>
      </c>
      <c r="N144" s="192">
        <v>0</v>
      </c>
      <c r="O144" s="193">
        <f ca="1" t="shared" si="173"/>
        <v>0</v>
      </c>
      <c r="P144" s="71"/>
      <c r="Q144" s="221"/>
      <c r="R144" s="132"/>
      <c r="T144" s="222"/>
      <c r="U144" s="219"/>
    </row>
    <row r="145" customFormat="1" ht="15.75" spans="1:27">
      <c r="A145" s="191" t="s">
        <v>431</v>
      </c>
      <c r="B145" s="50" t="s">
        <v>167</v>
      </c>
      <c r="C145" s="192">
        <v>0</v>
      </c>
      <c r="D145" s="192">
        <v>0</v>
      </c>
      <c r="E145" s="192">
        <v>0</v>
      </c>
      <c r="F145" s="192">
        <v>0</v>
      </c>
      <c r="G145" s="192">
        <v>0</v>
      </c>
      <c r="H145" s="192">
        <v>0</v>
      </c>
      <c r="I145" s="192">
        <f>$W$132</f>
        <v>0</v>
      </c>
      <c r="J145" s="192">
        <v>0</v>
      </c>
      <c r="K145" s="192">
        <v>0</v>
      </c>
      <c r="L145" s="192">
        <v>0</v>
      </c>
      <c r="M145" s="192">
        <v>0</v>
      </c>
      <c r="N145" s="192">
        <v>0</v>
      </c>
      <c r="O145" s="193">
        <f ca="1" t="shared" si="173"/>
        <v>0</v>
      </c>
      <c r="P145" s="71"/>
      <c r="Q145" s="221"/>
      <c r="R145" s="132"/>
      <c r="T145" s="222"/>
      <c r="U145" s="219"/>
    </row>
    <row r="146" customFormat="1" ht="15.75" spans="1:27">
      <c r="A146" s="191" t="s">
        <v>432</v>
      </c>
      <c r="B146" s="50" t="s">
        <v>167</v>
      </c>
      <c r="C146" s="192">
        <v>0</v>
      </c>
      <c r="D146" s="192">
        <v>0</v>
      </c>
      <c r="E146" s="192">
        <v>0</v>
      </c>
      <c r="F146" s="192">
        <v>0</v>
      </c>
      <c r="G146" s="192">
        <v>0</v>
      </c>
      <c r="H146" s="192">
        <v>0</v>
      </c>
      <c r="I146" s="192">
        <f>$W$133</f>
        <v>0</v>
      </c>
      <c r="J146" s="192">
        <v>0</v>
      </c>
      <c r="K146" s="192">
        <v>0</v>
      </c>
      <c r="L146" s="192">
        <v>0</v>
      </c>
      <c r="M146" s="192">
        <v>0</v>
      </c>
      <c r="N146" s="192">
        <v>0</v>
      </c>
      <c r="O146" s="193">
        <f ca="1" t="shared" si="173"/>
        <v>0</v>
      </c>
      <c r="P146" s="71"/>
      <c r="Q146" s="221"/>
      <c r="R146" s="132"/>
      <c r="T146" s="222"/>
      <c r="U146" s="219"/>
    </row>
    <row r="147" customFormat="1" ht="15.75" spans="1:27">
      <c r="A147" s="191" t="s">
        <v>434</v>
      </c>
      <c r="B147" s="50" t="s">
        <v>167</v>
      </c>
      <c r="C147" s="192">
        <v>0</v>
      </c>
      <c r="D147" s="192">
        <v>0</v>
      </c>
      <c r="E147" s="192">
        <v>0</v>
      </c>
      <c r="F147" s="192">
        <v>0</v>
      </c>
      <c r="G147" s="192">
        <v>0</v>
      </c>
      <c r="H147" s="192">
        <v>0</v>
      </c>
      <c r="I147" s="192">
        <f>$W$134</f>
        <v>0</v>
      </c>
      <c r="J147" s="192">
        <v>0</v>
      </c>
      <c r="K147" s="192">
        <v>0</v>
      </c>
      <c r="L147" s="192">
        <v>0</v>
      </c>
      <c r="M147" s="192">
        <v>0</v>
      </c>
      <c r="N147" s="192">
        <v>0</v>
      </c>
      <c r="O147" s="193">
        <f ca="1" t="shared" si="173"/>
        <v>0</v>
      </c>
      <c r="P147" s="71"/>
      <c r="Q147" s="221"/>
      <c r="R147" s="132"/>
      <c r="T147" s="222"/>
      <c r="U147" s="219"/>
    </row>
    <row r="148" customFormat="1" ht="15.75" spans="1:27">
      <c r="A148" s="191" t="s">
        <v>436</v>
      </c>
      <c r="B148" s="50" t="s">
        <v>167</v>
      </c>
      <c r="C148" s="192">
        <v>0</v>
      </c>
      <c r="D148" s="192">
        <v>0</v>
      </c>
      <c r="E148" s="192">
        <v>0</v>
      </c>
      <c r="F148" s="192">
        <v>0</v>
      </c>
      <c r="G148" s="192">
        <v>0</v>
      </c>
      <c r="H148" s="192">
        <v>0</v>
      </c>
      <c r="I148" s="192">
        <f>$W$135</f>
        <v>0</v>
      </c>
      <c r="J148" s="192">
        <v>0</v>
      </c>
      <c r="K148" s="192">
        <v>0</v>
      </c>
      <c r="L148" s="192">
        <v>0</v>
      </c>
      <c r="M148" s="192">
        <v>0</v>
      </c>
      <c r="N148" s="192">
        <v>0</v>
      </c>
      <c r="O148" s="193">
        <f ca="1" t="shared" si="173"/>
        <v>0</v>
      </c>
      <c r="P148" s="71"/>
      <c r="Q148" s="221"/>
      <c r="R148" s="132"/>
      <c r="T148" s="222"/>
      <c r="U148" s="224"/>
    </row>
    <row r="149" customFormat="1" ht="15.75" spans="1:27">
      <c r="A149" s="191" t="s">
        <v>438</v>
      </c>
      <c r="B149" s="50" t="s">
        <v>167</v>
      </c>
      <c r="C149" s="192">
        <v>0</v>
      </c>
      <c r="D149" s="192">
        <v>0</v>
      </c>
      <c r="E149" s="192">
        <v>0</v>
      </c>
      <c r="F149" s="192">
        <v>0</v>
      </c>
      <c r="G149" s="192">
        <v>0</v>
      </c>
      <c r="H149" s="192">
        <v>0</v>
      </c>
      <c r="I149" s="192">
        <f>$W$136</f>
        <v>0</v>
      </c>
      <c r="J149" s="192">
        <v>0</v>
      </c>
      <c r="K149" s="192">
        <v>0</v>
      </c>
      <c r="L149" s="192">
        <v>0</v>
      </c>
      <c r="M149" s="192">
        <v>0</v>
      </c>
      <c r="N149" s="192">
        <v>0</v>
      </c>
      <c r="O149" s="193">
        <f ca="1" t="shared" si="173"/>
        <v>0</v>
      </c>
      <c r="P149" s="71"/>
      <c r="U149" s="224"/>
    </row>
    <row r="150" customFormat="1" ht="16.5" spans="1:27">
      <c r="A150" s="201" t="s">
        <v>439</v>
      </c>
      <c r="B150" s="202" t="s">
        <v>167</v>
      </c>
      <c r="C150" s="225">
        <v>0</v>
      </c>
      <c r="D150" s="225">
        <v>0</v>
      </c>
      <c r="E150" s="225">
        <v>0</v>
      </c>
      <c r="F150" s="225">
        <v>0</v>
      </c>
      <c r="G150" s="225">
        <v>0</v>
      </c>
      <c r="H150" s="225">
        <v>0</v>
      </c>
      <c r="I150" s="225">
        <f>$W$137</f>
        <v>0</v>
      </c>
      <c r="J150" s="192">
        <v>0</v>
      </c>
      <c r="K150" s="192">
        <v>0</v>
      </c>
      <c r="L150" s="192">
        <v>0</v>
      </c>
      <c r="M150" s="192">
        <v>0</v>
      </c>
      <c r="N150" s="192">
        <v>0</v>
      </c>
      <c r="O150" s="226">
        <f ca="1" t="shared" si="173"/>
        <v>0</v>
      </c>
      <c r="P150" s="71"/>
      <c r="U150" s="224"/>
    </row>
    <row r="151" customHeight="1" spans="1:27">
      <c r="A151" s="136" t="s">
        <v>445</v>
      </c>
      <c r="F151" s="38"/>
      <c r="P151" s="71"/>
      <c r="Q151"/>
      <c r="R151"/>
      <c r="S151"/>
      <c r="T151"/>
      <c r="U151" s="224"/>
      <c r="V151"/>
      <c r="W151"/>
      <c r="X151"/>
      <c r="Y151"/>
      <c r="Z151"/>
      <c r="AA151"/>
    </row>
    <row r="152" customFormat="1" ht="15.75" spans="1:27">
      <c r="A152" s="185" t="s">
        <v>250</v>
      </c>
      <c r="B152" s="106" t="s">
        <v>77</v>
      </c>
      <c r="C152" s="107" t="s">
        <v>220</v>
      </c>
      <c r="D152" s="107" t="s">
        <v>221</v>
      </c>
      <c r="E152" s="107" t="s">
        <v>222</v>
      </c>
      <c r="F152" s="107" t="s">
        <v>223</v>
      </c>
      <c r="G152" s="107" t="s">
        <v>224</v>
      </c>
      <c r="H152" s="107" t="s">
        <v>225</v>
      </c>
      <c r="I152" s="107" t="s">
        <v>226</v>
      </c>
      <c r="J152" s="107" t="s">
        <v>227</v>
      </c>
      <c r="K152" s="107" t="s">
        <v>228</v>
      </c>
      <c r="L152" s="107" t="s">
        <v>229</v>
      </c>
      <c r="M152" s="107" t="s">
        <v>230</v>
      </c>
      <c r="N152" s="107" t="s">
        <v>231</v>
      </c>
      <c r="O152" s="175" t="str">
        <f>CONCATENATE("1-"&amp;mth&amp;"月累计")</f>
        <v>1-8月累计</v>
      </c>
      <c r="P152" s="71"/>
      <c r="U152" s="224"/>
      <c r="AA152" s="38"/>
    </row>
    <row r="153" customFormat="1" ht="15.75" spans="1:27">
      <c r="A153" s="191" t="s">
        <v>427</v>
      </c>
      <c r="B153" s="50" t="s">
        <v>167</v>
      </c>
      <c r="C153" s="192"/>
      <c r="D153" s="192">
        <v>1547.21391111313</v>
      </c>
      <c r="E153" s="192">
        <v>2184.49320886737</v>
      </c>
      <c r="F153" s="192">
        <v>2265.4986058317</v>
      </c>
      <c r="G153" s="192">
        <v>0</v>
      </c>
      <c r="H153" s="192">
        <f>$Z$127+$AB$127</f>
        <v>1772.76435094369</v>
      </c>
      <c r="I153" s="192"/>
      <c r="J153" s="192"/>
      <c r="K153" s="192"/>
      <c r="L153" s="192"/>
      <c r="M153" s="192"/>
      <c r="N153" s="192"/>
      <c r="O153" s="193">
        <f ca="1" t="shared" ref="O153:O163" si="174">SUM(OFFSET($C153,0,0,1,mth))</f>
        <v>7769.97007675589</v>
      </c>
      <c r="P153" s="71"/>
      <c r="U153" s="224"/>
      <c r="Y153" s="38"/>
    </row>
    <row r="154" customFormat="1" ht="15.75" spans="1:27">
      <c r="A154" s="191" t="s">
        <v>428</v>
      </c>
      <c r="B154" s="50" t="s">
        <v>167</v>
      </c>
      <c r="C154" s="192"/>
      <c r="D154" s="192">
        <v>1758.22964992024</v>
      </c>
      <c r="E154" s="192">
        <v>2397.92590106344</v>
      </c>
      <c r="F154" s="192">
        <v>2443.74888502973</v>
      </c>
      <c r="G154" s="192">
        <v>0</v>
      </c>
      <c r="H154" s="192">
        <f>$Z$128+$AB$128</f>
        <v>2055.72406238725</v>
      </c>
      <c r="I154" s="192"/>
      <c r="J154" s="192"/>
      <c r="K154" s="192"/>
      <c r="L154" s="192"/>
      <c r="M154" s="192"/>
      <c r="N154" s="192"/>
      <c r="O154" s="193">
        <f ca="1" t="shared" si="174"/>
        <v>8655.62849840066</v>
      </c>
      <c r="P154" s="71"/>
      <c r="U154" s="224"/>
      <c r="Z154" s="38"/>
    </row>
    <row r="155" customFormat="1" ht="15.75" spans="1:27">
      <c r="A155" s="191" t="s">
        <v>429</v>
      </c>
      <c r="B155" s="50" t="s">
        <v>167</v>
      </c>
      <c r="C155" s="192"/>
      <c r="D155" s="192">
        <v>316.638389626898</v>
      </c>
      <c r="E155" s="192">
        <v>378.35844244088</v>
      </c>
      <c r="F155" s="192">
        <v>409.169182894995</v>
      </c>
      <c r="G155" s="192">
        <v>0</v>
      </c>
      <c r="H155" s="192">
        <f>$Z$129+$AB$129</f>
        <v>292.163365751741</v>
      </c>
      <c r="I155" s="192"/>
      <c r="J155" s="192"/>
      <c r="K155" s="192"/>
      <c r="L155" s="192"/>
      <c r="M155" s="192"/>
      <c r="N155" s="192"/>
      <c r="O155" s="193">
        <f ca="1" t="shared" si="174"/>
        <v>1396.32938071451</v>
      </c>
      <c r="P155" s="71"/>
      <c r="U155" s="224"/>
    </row>
    <row r="156" customFormat="1" ht="15.75" spans="1:27">
      <c r="A156" s="115" t="s">
        <v>261</v>
      </c>
      <c r="B156" s="50" t="s">
        <v>167</v>
      </c>
      <c r="C156" s="192"/>
      <c r="D156" s="192">
        <v>0</v>
      </c>
      <c r="E156" s="192">
        <v>0</v>
      </c>
      <c r="F156" s="192">
        <v>0</v>
      </c>
      <c r="G156" s="192">
        <v>0</v>
      </c>
      <c r="H156" s="192">
        <f>$Z$130+$AB$130</f>
        <v>0</v>
      </c>
      <c r="I156" s="192"/>
      <c r="J156" s="192"/>
      <c r="K156" s="192"/>
      <c r="L156" s="192"/>
      <c r="M156" s="192"/>
      <c r="N156" s="192"/>
      <c r="O156" s="193">
        <f ca="1" t="shared" si="174"/>
        <v>0</v>
      </c>
      <c r="P156" s="71"/>
      <c r="U156" s="224"/>
    </row>
    <row r="157" customFormat="1" ht="15.75" spans="1:27">
      <c r="A157" s="191" t="s">
        <v>152</v>
      </c>
      <c r="B157" s="50" t="s">
        <v>167</v>
      </c>
      <c r="C157" s="192"/>
      <c r="D157" s="192">
        <v>644.095257566048</v>
      </c>
      <c r="E157" s="192">
        <v>657.863635729843</v>
      </c>
      <c r="F157" s="192">
        <v>858.509253311238</v>
      </c>
      <c r="G157" s="192">
        <v>0</v>
      </c>
      <c r="H157" s="192">
        <f>$Z$131+$AB$131</f>
        <v>623.566487655246</v>
      </c>
      <c r="I157" s="192"/>
      <c r="J157" s="192"/>
      <c r="K157" s="192"/>
      <c r="L157" s="192"/>
      <c r="M157" s="192"/>
      <c r="N157" s="192"/>
      <c r="O157" s="193">
        <f ca="1" t="shared" si="174"/>
        <v>2784.03463426237</v>
      </c>
      <c r="P157" s="71"/>
      <c r="U157" s="224"/>
    </row>
    <row r="158" customFormat="1" ht="15.75" spans="1:27">
      <c r="A158" s="191" t="s">
        <v>431</v>
      </c>
      <c r="B158" s="50" t="s">
        <v>167</v>
      </c>
      <c r="C158" s="192"/>
      <c r="D158" s="192">
        <v>33.0623251835419</v>
      </c>
      <c r="E158" s="192">
        <v>42.0679002780677</v>
      </c>
      <c r="F158" s="192">
        <v>47.1720993463795</v>
      </c>
      <c r="G158" s="192">
        <v>0</v>
      </c>
      <c r="H158" s="192">
        <f>$Z$132+$AB$132</f>
        <v>30.9445123642414</v>
      </c>
      <c r="I158" s="192"/>
      <c r="J158" s="192"/>
      <c r="K158" s="192"/>
      <c r="L158" s="192"/>
      <c r="M158" s="192"/>
      <c r="N158" s="192"/>
      <c r="O158" s="193">
        <f ca="1" t="shared" si="174"/>
        <v>153.24683717223</v>
      </c>
      <c r="P158" s="71"/>
      <c r="Q158" s="38"/>
      <c r="R158" s="38"/>
      <c r="S158" s="38"/>
      <c r="T158" s="38"/>
      <c r="U158" s="38"/>
      <c r="V158" s="38"/>
      <c r="W158" s="38"/>
      <c r="X158" s="38"/>
    </row>
    <row r="159" customFormat="1" ht="15.75" spans="1:27">
      <c r="A159" s="191" t="s">
        <v>432</v>
      </c>
      <c r="B159" s="50" t="s">
        <v>167</v>
      </c>
      <c r="C159" s="192"/>
      <c r="D159" s="192">
        <v>57.4566744510475</v>
      </c>
      <c r="E159" s="192">
        <v>73.5872429789023</v>
      </c>
      <c r="F159" s="192">
        <v>81.0878058107473</v>
      </c>
      <c r="G159" s="192">
        <v>0</v>
      </c>
      <c r="H159" s="192">
        <f>$Z$133+$AB$133</f>
        <v>70.0216166770351</v>
      </c>
      <c r="I159" s="192"/>
      <c r="J159" s="192"/>
      <c r="K159" s="192"/>
      <c r="L159" s="192"/>
      <c r="M159" s="192"/>
      <c r="N159" s="192"/>
      <c r="O159" s="193">
        <f ca="1" t="shared" si="174"/>
        <v>282.153339917732</v>
      </c>
      <c r="P159" s="71"/>
      <c r="Q159" s="38"/>
      <c r="R159" s="38"/>
      <c r="S159" s="38"/>
      <c r="T159" s="38"/>
      <c r="U159" s="38"/>
      <c r="V159" s="38"/>
      <c r="W159" s="38"/>
      <c r="X159" s="38"/>
    </row>
    <row r="160" customFormat="1" ht="15.75" spans="1:27">
      <c r="A160" s="191" t="s">
        <v>434</v>
      </c>
      <c r="B160" s="50" t="s">
        <v>167</v>
      </c>
      <c r="C160" s="192"/>
      <c r="D160" s="192">
        <v>33.9946493307767</v>
      </c>
      <c r="E160" s="192">
        <v>46.4894513583451</v>
      </c>
      <c r="F160" s="192">
        <v>49.9266744906937</v>
      </c>
      <c r="G160" s="192">
        <v>0</v>
      </c>
      <c r="H160" s="192">
        <f>$Z$134+$AB$134</f>
        <v>38.9144524738227</v>
      </c>
      <c r="I160" s="192"/>
      <c r="J160" s="192"/>
      <c r="K160" s="192"/>
      <c r="L160" s="192"/>
      <c r="M160" s="192"/>
      <c r="N160" s="192"/>
      <c r="O160" s="193">
        <f ca="1" t="shared" si="174"/>
        <v>169.325227653638</v>
      </c>
      <c r="P160" s="71"/>
      <c r="Q160" s="38"/>
      <c r="R160" s="38"/>
      <c r="S160" s="38"/>
      <c r="T160" s="38"/>
      <c r="U160" s="38"/>
      <c r="V160" s="38"/>
      <c r="W160" s="38"/>
      <c r="X160" s="38"/>
    </row>
    <row r="161" customFormat="1" ht="15.75" spans="1:27">
      <c r="A161" s="191" t="s">
        <v>436</v>
      </c>
      <c r="B161" s="50" t="s">
        <v>167</v>
      </c>
      <c r="C161" s="192"/>
      <c r="D161" s="192">
        <v>164.432074835413</v>
      </c>
      <c r="E161" s="192">
        <v>223.351494569441</v>
      </c>
      <c r="F161" s="192">
        <v>271.153490768422</v>
      </c>
      <c r="G161" s="192">
        <v>0</v>
      </c>
      <c r="H161" s="192">
        <f>$Z$135+$AB$135</f>
        <v>219.173353013484</v>
      </c>
      <c r="I161" s="192"/>
      <c r="J161" s="192"/>
      <c r="K161" s="192"/>
      <c r="L161" s="192"/>
      <c r="M161" s="192"/>
      <c r="N161" s="192"/>
      <c r="O161" s="193">
        <f ca="1" t="shared" si="174"/>
        <v>878.11041318676</v>
      </c>
      <c r="P161" s="71"/>
      <c r="Q161" s="38"/>
      <c r="R161" s="38"/>
      <c r="S161" s="38"/>
      <c r="T161" s="38"/>
      <c r="U161" s="38"/>
      <c r="V161" s="38"/>
      <c r="W161" s="38"/>
      <c r="X161" s="38"/>
    </row>
    <row r="162" customFormat="1" ht="15.75" spans="1:27">
      <c r="A162" s="191" t="s">
        <v>438</v>
      </c>
      <c r="B162" s="50" t="s">
        <v>167</v>
      </c>
      <c r="C162" s="192"/>
      <c r="D162" s="192">
        <v>113.637999832764</v>
      </c>
      <c r="E162" s="192">
        <v>153.490987501058</v>
      </c>
      <c r="F162" s="192">
        <v>135.548051893125</v>
      </c>
      <c r="G162" s="192">
        <v>0</v>
      </c>
      <c r="H162" s="192">
        <f>$Z$136+$AB$136</f>
        <v>109.586676506742</v>
      </c>
      <c r="I162" s="192"/>
      <c r="J162" s="192"/>
      <c r="K162" s="192"/>
      <c r="L162" s="192"/>
      <c r="M162" s="192"/>
      <c r="N162" s="192"/>
      <c r="O162" s="193">
        <f ca="1" t="shared" si="174"/>
        <v>512.263715733689</v>
      </c>
      <c r="P162" s="71"/>
      <c r="Q162" s="38"/>
      <c r="R162" s="38"/>
      <c r="S162" s="38"/>
      <c r="T162" s="38"/>
      <c r="U162" s="38"/>
      <c r="V162" s="38"/>
      <c r="W162" s="38"/>
      <c r="X162" s="38"/>
    </row>
    <row r="163" customFormat="1" ht="16.5" spans="1:27">
      <c r="A163" s="201" t="s">
        <v>439</v>
      </c>
      <c r="B163" s="202" t="s">
        <v>167</v>
      </c>
      <c r="C163" s="225"/>
      <c r="D163" s="225">
        <v>0</v>
      </c>
      <c r="E163" s="225">
        <v>0</v>
      </c>
      <c r="F163" s="225">
        <v>0</v>
      </c>
      <c r="G163" s="225">
        <v>0</v>
      </c>
      <c r="H163" s="225">
        <v>0</v>
      </c>
      <c r="I163" s="225">
        <v>0</v>
      </c>
      <c r="J163" s="225">
        <v>0</v>
      </c>
      <c r="K163" s="225">
        <v>0</v>
      </c>
      <c r="L163" s="225">
        <v>0</v>
      </c>
      <c r="M163" s="225">
        <v>0</v>
      </c>
      <c r="N163" s="225">
        <v>0</v>
      </c>
      <c r="O163" s="226">
        <f ca="1" t="shared" si="174"/>
        <v>0</v>
      </c>
      <c r="P163" s="71"/>
      <c r="Q163" s="38"/>
      <c r="R163" s="38"/>
      <c r="S163" s="38"/>
      <c r="T163" s="38"/>
      <c r="U163" s="38"/>
      <c r="V163" s="38"/>
      <c r="W163" s="38"/>
      <c r="X163" s="38"/>
    </row>
    <row r="164" customHeight="1" spans="1:27">
      <c r="A164" s="136" t="s">
        <v>446</v>
      </c>
      <c r="F164" s="38"/>
      <c r="P164" s="71"/>
      <c r="Y164"/>
      <c r="Z164"/>
      <c r="AA164"/>
    </row>
    <row r="165" customFormat="1" ht="15.75" spans="1:27">
      <c r="A165" s="185" t="s">
        <v>250</v>
      </c>
      <c r="B165" s="106" t="s">
        <v>77</v>
      </c>
      <c r="C165" s="107" t="s">
        <v>220</v>
      </c>
      <c r="D165" s="107" t="s">
        <v>221</v>
      </c>
      <c r="E165" s="107" t="s">
        <v>222</v>
      </c>
      <c r="F165" s="107" t="s">
        <v>223</v>
      </c>
      <c r="G165" s="107" t="s">
        <v>224</v>
      </c>
      <c r="H165" s="107" t="s">
        <v>225</v>
      </c>
      <c r="I165" s="107" t="s">
        <v>226</v>
      </c>
      <c r="J165" s="107" t="s">
        <v>227</v>
      </c>
      <c r="K165" s="107" t="s">
        <v>228</v>
      </c>
      <c r="L165" s="107" t="s">
        <v>229</v>
      </c>
      <c r="M165" s="107" t="s">
        <v>230</v>
      </c>
      <c r="N165" s="107" t="s">
        <v>231</v>
      </c>
      <c r="O165" s="175" t="str">
        <f>CONCATENATE("1-"&amp;mth&amp;"月累计")</f>
        <v>1-8月累计</v>
      </c>
      <c r="P165" s="71"/>
      <c r="Q165" s="38"/>
      <c r="R165" s="38"/>
      <c r="S165" s="38"/>
      <c r="T165" s="38"/>
      <c r="U165" s="38"/>
      <c r="V165" s="38"/>
      <c r="W165" s="38"/>
      <c r="X165" s="38"/>
      <c r="AA165" s="38"/>
    </row>
    <row r="166" customFormat="1" ht="15.75" spans="1:27">
      <c r="A166" s="191" t="s">
        <v>427</v>
      </c>
      <c r="B166" s="50" t="s">
        <v>167</v>
      </c>
      <c r="C166" s="192">
        <v>4969.3</v>
      </c>
      <c r="D166" s="192">
        <v>3481.3</v>
      </c>
      <c r="E166" s="192">
        <v>5266.59</v>
      </c>
      <c r="F166" s="192">
        <v>4812.13</v>
      </c>
      <c r="G166" s="192">
        <v>5766</v>
      </c>
      <c r="H166" s="192">
        <f>$X$127</f>
        <v>6155.36</v>
      </c>
      <c r="I166" s="192"/>
      <c r="J166" s="192"/>
      <c r="K166" s="192"/>
      <c r="L166" s="192"/>
      <c r="M166" s="192"/>
      <c r="N166" s="192"/>
      <c r="O166" s="193">
        <f ca="1" t="shared" ref="O166:O176" si="175">SUM(OFFSET($C166,0,0,1,mth))</f>
        <v>30450.68</v>
      </c>
      <c r="P166" s="71"/>
      <c r="Q166" s="38"/>
      <c r="R166" s="38"/>
      <c r="S166" s="38"/>
      <c r="T166" s="38"/>
      <c r="U166" s="38"/>
      <c r="V166" s="38"/>
      <c r="W166" s="38"/>
      <c r="X166" s="38"/>
      <c r="Y166" s="38"/>
    </row>
    <row r="167" customFormat="1" ht="15.75" spans="1:27">
      <c r="A167" s="191" t="s">
        <v>428</v>
      </c>
      <c r="B167" s="50" t="s">
        <v>167</v>
      </c>
      <c r="C167" s="192">
        <v>5443.2</v>
      </c>
      <c r="D167" s="192">
        <v>3955.84</v>
      </c>
      <c r="E167" s="192">
        <v>5781.12</v>
      </c>
      <c r="F167" s="192">
        <v>5179.52</v>
      </c>
      <c r="G167" s="192">
        <v>6307.52</v>
      </c>
      <c r="H167" s="192">
        <f>$X$128</f>
        <v>7137.6</v>
      </c>
      <c r="I167" s="192"/>
      <c r="J167" s="192"/>
      <c r="K167" s="192"/>
      <c r="L167" s="192"/>
      <c r="M167" s="192"/>
      <c r="N167" s="192"/>
      <c r="O167" s="193">
        <f ca="1" t="shared" si="175"/>
        <v>33804.8</v>
      </c>
      <c r="P167" s="71"/>
      <c r="Q167" s="38"/>
      <c r="R167" s="38"/>
      <c r="S167" s="38"/>
      <c r="T167" s="38"/>
      <c r="U167" s="38"/>
      <c r="V167" s="38"/>
      <c r="W167" s="38"/>
      <c r="X167" s="38"/>
      <c r="Z167" s="38"/>
    </row>
    <row r="168" customFormat="1" ht="15.75" spans="1:27">
      <c r="A168" s="191" t="s">
        <v>429</v>
      </c>
      <c r="B168" s="50" t="s">
        <v>167</v>
      </c>
      <c r="C168" s="192">
        <v>825</v>
      </c>
      <c r="D168" s="192">
        <v>709</v>
      </c>
      <c r="E168" s="192">
        <v>910</v>
      </c>
      <c r="F168" s="192">
        <v>870</v>
      </c>
      <c r="G168" s="192">
        <v>790</v>
      </c>
      <c r="H168" s="192">
        <f>$X$129</f>
        <v>1015</v>
      </c>
      <c r="I168" s="192"/>
      <c r="J168" s="192"/>
      <c r="K168" s="192"/>
      <c r="L168" s="192"/>
      <c r="M168" s="192"/>
      <c r="N168" s="192"/>
      <c r="O168" s="193">
        <f ca="1" t="shared" si="175"/>
        <v>5119</v>
      </c>
      <c r="P168" s="71"/>
      <c r="Q168" s="38"/>
      <c r="R168" s="38"/>
      <c r="S168" s="38"/>
      <c r="T168" s="38"/>
      <c r="U168" s="38"/>
      <c r="V168" s="38"/>
      <c r="W168" s="38"/>
      <c r="X168" s="38"/>
    </row>
    <row r="169" customFormat="1" ht="15.75" spans="1:27">
      <c r="A169" s="115" t="s">
        <v>261</v>
      </c>
      <c r="B169" s="50" t="s">
        <v>167</v>
      </c>
      <c r="C169" s="192">
        <v>0</v>
      </c>
      <c r="D169" s="192">
        <v>0</v>
      </c>
      <c r="E169" s="192">
        <v>0</v>
      </c>
      <c r="F169" s="192">
        <v>0</v>
      </c>
      <c r="G169" s="192">
        <v>0</v>
      </c>
      <c r="H169" s="192">
        <f>$X$130</f>
        <v>0</v>
      </c>
      <c r="I169" s="192"/>
      <c r="J169" s="192"/>
      <c r="K169" s="192"/>
      <c r="L169" s="192"/>
      <c r="M169" s="192"/>
      <c r="N169" s="192"/>
      <c r="O169" s="193">
        <f ca="1" t="shared" si="175"/>
        <v>0</v>
      </c>
      <c r="P169" s="71"/>
      <c r="Q169" s="38"/>
      <c r="R169" s="38"/>
      <c r="S169" s="38"/>
      <c r="T169" s="38"/>
      <c r="U169" s="38"/>
      <c r="V169" s="38"/>
      <c r="W169" s="38"/>
      <c r="X169" s="38"/>
    </row>
    <row r="170" customFormat="1" ht="15.75" spans="1:27">
      <c r="A170" s="191" t="s">
        <v>152</v>
      </c>
      <c r="B170" s="50" t="s">
        <v>167</v>
      </c>
      <c r="C170" s="192">
        <v>1820</v>
      </c>
      <c r="D170" s="192">
        <v>1449</v>
      </c>
      <c r="E170" s="192">
        <v>1585</v>
      </c>
      <c r="F170" s="192">
        <v>1820</v>
      </c>
      <c r="G170" s="192">
        <v>1790</v>
      </c>
      <c r="H170" s="192">
        <f>$X$131</f>
        <v>2165</v>
      </c>
      <c r="I170" s="192"/>
      <c r="J170" s="192"/>
      <c r="K170" s="192"/>
      <c r="L170" s="192"/>
      <c r="M170" s="192"/>
      <c r="N170" s="192"/>
      <c r="O170" s="193">
        <f ca="1" t="shared" si="175"/>
        <v>10629</v>
      </c>
      <c r="P170" s="71"/>
      <c r="Q170" s="38"/>
      <c r="R170" s="38"/>
      <c r="S170" s="38"/>
      <c r="T170" s="38"/>
      <c r="U170" s="38"/>
      <c r="V170" s="38"/>
      <c r="W170" s="38"/>
      <c r="X170" s="38"/>
    </row>
    <row r="171" customFormat="1" ht="15.75" spans="1:27">
      <c r="A171" s="191" t="s">
        <v>431</v>
      </c>
      <c r="B171" s="50" t="s">
        <v>167</v>
      </c>
      <c r="C171" s="192">
        <v>86</v>
      </c>
      <c r="D171" s="192">
        <v>74</v>
      </c>
      <c r="E171" s="192">
        <v>101</v>
      </c>
      <c r="F171" s="192">
        <v>101</v>
      </c>
      <c r="G171" s="192">
        <v>83</v>
      </c>
      <c r="H171" s="192">
        <f>$X$132</f>
        <v>107</v>
      </c>
      <c r="I171" s="192"/>
      <c r="J171" s="192"/>
      <c r="K171" s="192"/>
      <c r="L171" s="192"/>
      <c r="M171" s="192"/>
      <c r="N171" s="192"/>
      <c r="O171" s="193">
        <f ca="1" t="shared" si="175"/>
        <v>552</v>
      </c>
      <c r="P171" s="71"/>
      <c r="Q171" s="38"/>
      <c r="R171" s="38"/>
      <c r="S171" s="38"/>
      <c r="T171" s="38"/>
      <c r="U171" s="38"/>
      <c r="V171" s="38"/>
      <c r="W171" s="38"/>
      <c r="X171" s="38"/>
    </row>
    <row r="172" customFormat="1" ht="15.75" spans="1:27">
      <c r="A172" s="191" t="s">
        <v>432</v>
      </c>
      <c r="B172" s="50" t="s">
        <v>167</v>
      </c>
      <c r="C172" s="192">
        <v>150</v>
      </c>
      <c r="D172" s="192">
        <v>129</v>
      </c>
      <c r="E172" s="192">
        <v>178</v>
      </c>
      <c r="F172" s="192">
        <v>172</v>
      </c>
      <c r="G172" s="192">
        <v>200</v>
      </c>
      <c r="H172" s="192">
        <f>$X$133</f>
        <v>243</v>
      </c>
      <c r="I172" s="192"/>
      <c r="J172" s="192"/>
      <c r="K172" s="192"/>
      <c r="L172" s="192"/>
      <c r="M172" s="192"/>
      <c r="N172" s="192"/>
      <c r="O172" s="193">
        <f ca="1" t="shared" si="175"/>
        <v>1072</v>
      </c>
      <c r="P172" s="71"/>
      <c r="Q172" s="71"/>
      <c r="R172" s="71"/>
      <c r="S172" s="38"/>
      <c r="T172" s="38"/>
      <c r="U172" s="38"/>
      <c r="V172" s="38"/>
      <c r="W172" s="38"/>
      <c r="X172" s="38"/>
    </row>
    <row r="173" customFormat="1" ht="15.75" spans="1:27">
      <c r="A173" s="191" t="s">
        <v>434</v>
      </c>
      <c r="B173" s="50" t="s">
        <v>167</v>
      </c>
      <c r="C173" s="192">
        <v>106</v>
      </c>
      <c r="D173" s="192">
        <v>76.7</v>
      </c>
      <c r="E173" s="192">
        <v>112</v>
      </c>
      <c r="F173" s="192">
        <v>106</v>
      </c>
      <c r="G173" s="192">
        <v>118</v>
      </c>
      <c r="H173" s="192">
        <f>$X$134</f>
        <v>135</v>
      </c>
      <c r="I173" s="192"/>
      <c r="J173" s="192"/>
      <c r="K173" s="192"/>
      <c r="L173" s="192"/>
      <c r="M173" s="192"/>
      <c r="N173" s="192"/>
      <c r="O173" s="193">
        <f ca="1" t="shared" si="175"/>
        <v>653.7</v>
      </c>
      <c r="P173" s="71"/>
      <c r="Q173" s="71"/>
      <c r="R173" s="71"/>
      <c r="S173" s="38"/>
      <c r="T173" s="38"/>
      <c r="U173" s="38"/>
      <c r="V173" s="38"/>
      <c r="W173" s="38"/>
      <c r="X173" s="38"/>
    </row>
    <row r="174" customFormat="1" ht="15.75" spans="1:27">
      <c r="A174" s="191" t="s">
        <v>436</v>
      </c>
      <c r="B174" s="50" t="s">
        <v>167</v>
      </c>
      <c r="C174" s="192">
        <v>480</v>
      </c>
      <c r="D174" s="192">
        <v>370</v>
      </c>
      <c r="E174" s="192">
        <v>539</v>
      </c>
      <c r="F174" s="192">
        <v>575</v>
      </c>
      <c r="G174" s="192">
        <v>585</v>
      </c>
      <c r="H174" s="192">
        <f>$X$135</f>
        <v>760</v>
      </c>
      <c r="I174" s="192"/>
      <c r="J174" s="192"/>
      <c r="K174" s="192"/>
      <c r="L174" s="192"/>
      <c r="M174" s="192"/>
      <c r="N174" s="192"/>
      <c r="O174" s="193">
        <f ca="1" t="shared" si="175"/>
        <v>3309</v>
      </c>
      <c r="P174" s="71"/>
      <c r="Q174" s="71"/>
      <c r="R174" s="71"/>
      <c r="S174" s="38"/>
      <c r="T174" s="38"/>
      <c r="U174" s="38"/>
      <c r="V174" s="38"/>
      <c r="W174" s="38"/>
      <c r="X174" s="38"/>
    </row>
    <row r="175" customFormat="1" ht="15.75" spans="1:27">
      <c r="A175" s="191" t="s">
        <v>438</v>
      </c>
      <c r="B175" s="50" t="s">
        <v>167</v>
      </c>
      <c r="C175" s="192">
        <v>313</v>
      </c>
      <c r="D175" s="192">
        <v>255</v>
      </c>
      <c r="E175" s="192">
        <v>370</v>
      </c>
      <c r="F175" s="192">
        <v>288</v>
      </c>
      <c r="G175" s="192">
        <v>340</v>
      </c>
      <c r="H175" s="192">
        <f>$X$136</f>
        <v>380</v>
      </c>
      <c r="I175" s="192"/>
      <c r="J175" s="192"/>
      <c r="K175" s="192"/>
      <c r="L175" s="192"/>
      <c r="M175" s="192"/>
      <c r="N175" s="192"/>
      <c r="O175" s="193">
        <f ca="1" t="shared" si="175"/>
        <v>1946</v>
      </c>
      <c r="P175" s="71"/>
      <c r="Q175" s="71"/>
      <c r="R175" s="71"/>
      <c r="S175" s="38"/>
      <c r="T175" s="38"/>
      <c r="U175" s="38"/>
      <c r="V175" s="38"/>
      <c r="W175" s="38"/>
      <c r="X175" s="38"/>
    </row>
    <row r="176" customFormat="1" ht="16.5" spans="1:27">
      <c r="A176" s="201" t="s">
        <v>439</v>
      </c>
      <c r="B176" s="202" t="s">
        <v>167</v>
      </c>
      <c r="C176" s="225">
        <v>0</v>
      </c>
      <c r="D176" s="225">
        <v>0</v>
      </c>
      <c r="E176" s="225">
        <v>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6">
        <f ca="1" t="shared" si="175"/>
        <v>0</v>
      </c>
      <c r="P176" s="71"/>
      <c r="Q176" s="71"/>
      <c r="R176" s="71"/>
      <c r="S176" s="38"/>
      <c r="T176" s="38"/>
      <c r="U176" s="38"/>
      <c r="V176" s="38"/>
      <c r="W176" s="38"/>
      <c r="X176" s="38"/>
    </row>
    <row r="177" customFormat="1" customHeight="1" spans="1:27">
      <c r="A177" s="136" t="s">
        <v>447</v>
      </c>
      <c r="B177" s="95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45"/>
      <c r="P177" s="71"/>
      <c r="Q177" s="38"/>
      <c r="R177" s="38"/>
      <c r="S177" s="38"/>
      <c r="T177" s="38"/>
      <c r="U177" s="38"/>
      <c r="V177" s="38"/>
      <c r="W177" s="38"/>
      <c r="X177" s="38"/>
    </row>
    <row r="178" customFormat="1" ht="15.75" spans="1:27">
      <c r="A178" s="185" t="s">
        <v>250</v>
      </c>
      <c r="B178" s="106" t="s">
        <v>77</v>
      </c>
      <c r="C178" s="107" t="s">
        <v>220</v>
      </c>
      <c r="D178" s="107" t="s">
        <v>221</v>
      </c>
      <c r="E178" s="107" t="s">
        <v>222</v>
      </c>
      <c r="F178" s="107" t="s">
        <v>223</v>
      </c>
      <c r="G178" s="107" t="s">
        <v>224</v>
      </c>
      <c r="H178" s="107" t="s">
        <v>225</v>
      </c>
      <c r="I178" s="107" t="s">
        <v>226</v>
      </c>
      <c r="J178" s="107" t="s">
        <v>227</v>
      </c>
      <c r="K178" s="107" t="s">
        <v>228</v>
      </c>
      <c r="L178" s="107" t="s">
        <v>229</v>
      </c>
      <c r="M178" s="107" t="s">
        <v>230</v>
      </c>
      <c r="N178" s="107" t="s">
        <v>231</v>
      </c>
      <c r="O178" s="175" t="str">
        <f>CONCATENATE("1-"&amp;mth&amp;"月累计")</f>
        <v>1-8月累计</v>
      </c>
      <c r="P178" s="71"/>
      <c r="Q178" s="38"/>
      <c r="R178" s="38"/>
      <c r="S178" s="38"/>
      <c r="T178" s="38"/>
      <c r="U178" s="38"/>
      <c r="V178" s="38"/>
      <c r="W178" s="38"/>
      <c r="X178" s="38"/>
      <c r="AA178" s="38"/>
    </row>
    <row r="179" customFormat="1" ht="15.75" spans="1:27">
      <c r="A179" s="191" t="s">
        <v>427</v>
      </c>
      <c r="B179" s="50" t="s">
        <v>167</v>
      </c>
      <c r="C179" s="192"/>
      <c r="D179" s="192">
        <v>158.1</v>
      </c>
      <c r="E179" s="192">
        <v>0</v>
      </c>
      <c r="F179" s="192">
        <v>0</v>
      </c>
      <c r="G179" s="192">
        <v>0</v>
      </c>
      <c r="H179" s="192">
        <f>$AD$127</f>
        <v>0</v>
      </c>
      <c r="I179" s="192"/>
      <c r="J179" s="192"/>
      <c r="K179" s="192"/>
      <c r="L179" s="192"/>
      <c r="M179" s="192"/>
      <c r="N179" s="192"/>
      <c r="O179" s="193">
        <f ca="1">SUM(OFFSET($C179,0,0,1,mth))</f>
        <v>158.1</v>
      </c>
      <c r="P179" s="71"/>
      <c r="Q179" s="38"/>
      <c r="R179" s="38"/>
      <c r="S179" s="38"/>
      <c r="T179" s="38"/>
      <c r="U179" s="38"/>
      <c r="V179" s="38"/>
      <c r="W179" s="38"/>
      <c r="X179" s="38"/>
      <c r="Y179" s="38"/>
    </row>
    <row r="180" customFormat="1" ht="15.75" spans="1:27">
      <c r="A180" s="191" t="s">
        <v>428</v>
      </c>
      <c r="B180" s="50" t="s">
        <v>167</v>
      </c>
      <c r="C180" s="192"/>
      <c r="D180" s="192">
        <v>182.4</v>
      </c>
      <c r="E180" s="192">
        <v>0</v>
      </c>
      <c r="F180" s="192">
        <v>0</v>
      </c>
      <c r="G180" s="192">
        <v>0</v>
      </c>
      <c r="H180" s="192">
        <f>$AD$128</f>
        <v>0</v>
      </c>
      <c r="I180" s="192"/>
      <c r="J180" s="192"/>
      <c r="K180" s="192"/>
      <c r="L180" s="192"/>
      <c r="M180" s="192"/>
      <c r="N180" s="192"/>
      <c r="O180" s="193">
        <f ca="1">SUM(OFFSET($C180,0,0,1,mth))</f>
        <v>182.4</v>
      </c>
      <c r="P180" s="71"/>
      <c r="Q180" s="38"/>
      <c r="R180" s="38"/>
      <c r="S180" s="38"/>
      <c r="T180" s="38"/>
      <c r="U180" s="38"/>
      <c r="V180" s="38"/>
      <c r="W180" s="38"/>
      <c r="X180" s="38"/>
      <c r="Z180" s="38"/>
    </row>
    <row r="181" customFormat="1" ht="15.75" spans="1:27">
      <c r="A181" s="191" t="s">
        <v>429</v>
      </c>
      <c r="B181" s="50" t="s">
        <v>167</v>
      </c>
      <c r="C181" s="192"/>
      <c r="D181" s="192">
        <v>31</v>
      </c>
      <c r="E181" s="192">
        <v>0</v>
      </c>
      <c r="F181" s="192">
        <v>0</v>
      </c>
      <c r="G181" s="192">
        <v>0</v>
      </c>
      <c r="H181" s="192">
        <f>$AD$129</f>
        <v>0</v>
      </c>
      <c r="I181" s="192"/>
      <c r="J181" s="192"/>
      <c r="K181" s="192"/>
      <c r="L181" s="192"/>
      <c r="M181" s="192"/>
      <c r="N181" s="192"/>
      <c r="O181" s="193">
        <f ca="1">SUM(OFFSET($C181,0,0,1,mth))</f>
        <v>31</v>
      </c>
      <c r="P181" s="71"/>
      <c r="Q181" s="38"/>
      <c r="R181" s="38"/>
      <c r="S181" s="38"/>
      <c r="T181" s="38"/>
      <c r="U181" s="38"/>
      <c r="V181" s="38"/>
      <c r="W181" s="38"/>
      <c r="X181" s="38"/>
    </row>
    <row r="182" customFormat="1" ht="15.75" spans="1:27">
      <c r="A182" s="115" t="s">
        <v>261</v>
      </c>
      <c r="B182" s="50" t="s">
        <v>167</v>
      </c>
      <c r="C182" s="192"/>
      <c r="D182" s="192">
        <v>0</v>
      </c>
      <c r="E182" s="192">
        <v>0</v>
      </c>
      <c r="F182" s="192">
        <v>0</v>
      </c>
      <c r="G182" s="192">
        <v>0</v>
      </c>
      <c r="H182" s="192">
        <f>$AD$130</f>
        <v>0</v>
      </c>
      <c r="I182" s="192"/>
      <c r="J182" s="192"/>
      <c r="K182" s="192"/>
      <c r="L182" s="192"/>
      <c r="M182" s="192"/>
      <c r="N182" s="192"/>
      <c r="O182" s="193">
        <f ca="1">SUM(OFFSET($C182,0,0,1,mth))</f>
        <v>0</v>
      </c>
      <c r="P182" s="71"/>
      <c r="Q182" s="38"/>
      <c r="R182" s="38"/>
      <c r="S182" s="38"/>
      <c r="T182" s="38"/>
      <c r="U182" s="38"/>
      <c r="V182" s="38"/>
      <c r="W182" s="38"/>
      <c r="X182" s="38"/>
    </row>
    <row r="183" customFormat="1" ht="15.75" spans="1:27">
      <c r="A183" s="191" t="s">
        <v>152</v>
      </c>
      <c r="B183" s="50" t="s">
        <v>167</v>
      </c>
      <c r="C183" s="192"/>
      <c r="D183" s="192">
        <v>65</v>
      </c>
      <c r="E183" s="192">
        <v>0</v>
      </c>
      <c r="F183" s="192">
        <v>0</v>
      </c>
      <c r="G183" s="192">
        <v>0</v>
      </c>
      <c r="H183" s="192">
        <f>$AD$131</f>
        <v>0</v>
      </c>
      <c r="I183" s="192"/>
      <c r="J183" s="192"/>
      <c r="K183" s="192"/>
      <c r="L183" s="192"/>
      <c r="M183" s="192"/>
      <c r="N183" s="192"/>
      <c r="O183" s="193">
        <f ca="1">SUM(OFFSET($C183,0,0,1,mth))</f>
        <v>65</v>
      </c>
      <c r="P183" s="71"/>
      <c r="Q183" s="38"/>
      <c r="R183" s="38"/>
      <c r="S183" s="38"/>
      <c r="T183" s="38"/>
      <c r="U183" s="38"/>
      <c r="V183" s="38"/>
      <c r="W183" s="38"/>
      <c r="X183" s="38"/>
    </row>
    <row r="184" customFormat="1" ht="15.75" spans="1:27">
      <c r="A184" s="191" t="s">
        <v>431</v>
      </c>
      <c r="B184" s="50" t="s">
        <v>167</v>
      </c>
      <c r="C184" s="192"/>
      <c r="D184" s="192">
        <v>3.2</v>
      </c>
      <c r="E184" s="192">
        <v>0</v>
      </c>
      <c r="F184" s="192">
        <v>0</v>
      </c>
      <c r="G184" s="192">
        <v>0</v>
      </c>
      <c r="H184" s="192">
        <f>$AD$132</f>
        <v>0</v>
      </c>
      <c r="I184" s="192"/>
      <c r="J184" s="192"/>
      <c r="K184" s="192"/>
      <c r="L184" s="192"/>
      <c r="M184" s="192"/>
      <c r="N184" s="192"/>
      <c r="O184" s="193">
        <f ca="1">SUM(OFFSET($C184,0,0,1,mth))</f>
        <v>3.2</v>
      </c>
      <c r="P184" s="71"/>
      <c r="Q184" s="38"/>
      <c r="R184" s="38"/>
      <c r="S184" s="38"/>
      <c r="T184" s="38"/>
      <c r="U184" s="38"/>
      <c r="V184" s="38"/>
      <c r="W184" s="38"/>
      <c r="X184" s="38"/>
    </row>
    <row r="185" customFormat="1" ht="15.75" spans="1:27">
      <c r="A185" s="191" t="s">
        <v>432</v>
      </c>
      <c r="B185" s="50" t="s">
        <v>167</v>
      </c>
      <c r="C185" s="192"/>
      <c r="D185" s="192">
        <v>5.5</v>
      </c>
      <c r="E185" s="192">
        <v>0</v>
      </c>
      <c r="F185" s="192">
        <v>0</v>
      </c>
      <c r="G185" s="192">
        <v>0</v>
      </c>
      <c r="H185" s="192">
        <f>$AD$133</f>
        <v>0</v>
      </c>
      <c r="I185" s="192"/>
      <c r="J185" s="192"/>
      <c r="K185" s="192"/>
      <c r="L185" s="192"/>
      <c r="M185" s="192"/>
      <c r="N185" s="192"/>
      <c r="O185" s="193">
        <f ca="1">SUM(OFFSET($C185,0,0,1,mth))</f>
        <v>5.5</v>
      </c>
      <c r="P185" s="71"/>
      <c r="Q185" s="71"/>
      <c r="R185" s="71"/>
      <c r="S185" s="38"/>
      <c r="T185" s="38"/>
      <c r="U185" s="38"/>
      <c r="V185" s="38"/>
      <c r="W185" s="38"/>
      <c r="X185" s="38"/>
    </row>
    <row r="186" customFormat="1" ht="15.75" spans="1:27">
      <c r="A186" s="191" t="s">
        <v>434</v>
      </c>
      <c r="B186" s="50" t="s">
        <v>167</v>
      </c>
      <c r="C186" s="192"/>
      <c r="D186" s="192">
        <v>3.3</v>
      </c>
      <c r="E186" s="192">
        <v>0</v>
      </c>
      <c r="F186" s="192">
        <v>0</v>
      </c>
      <c r="G186" s="192">
        <v>0</v>
      </c>
      <c r="H186" s="192">
        <f>$AD$134</f>
        <v>0</v>
      </c>
      <c r="I186" s="192"/>
      <c r="J186" s="192"/>
      <c r="K186" s="192"/>
      <c r="L186" s="192"/>
      <c r="M186" s="192"/>
      <c r="N186" s="192"/>
      <c r="O186" s="193">
        <f ca="1">SUM(OFFSET($C186,0,0,1,mth))</f>
        <v>3.3</v>
      </c>
      <c r="P186" s="71"/>
      <c r="Q186" s="71"/>
      <c r="R186" s="71"/>
      <c r="S186" s="38"/>
      <c r="T186" s="38"/>
      <c r="U186" s="38"/>
      <c r="V186" s="38"/>
      <c r="W186" s="38"/>
      <c r="X186" s="38"/>
    </row>
    <row r="187" customFormat="1" ht="15.75" spans="1:27">
      <c r="A187" s="191" t="s">
        <v>436</v>
      </c>
      <c r="B187" s="50" t="s">
        <v>167</v>
      </c>
      <c r="C187" s="192"/>
      <c r="D187" s="192">
        <v>16</v>
      </c>
      <c r="E187" s="192">
        <v>0</v>
      </c>
      <c r="F187" s="192">
        <v>0</v>
      </c>
      <c r="G187" s="192">
        <v>0</v>
      </c>
      <c r="H187" s="192">
        <f>$AD$135</f>
        <v>0</v>
      </c>
      <c r="I187" s="192"/>
      <c r="J187" s="192"/>
      <c r="K187" s="192"/>
      <c r="L187" s="192"/>
      <c r="M187" s="192"/>
      <c r="N187" s="192"/>
      <c r="O187" s="193">
        <f ca="1">SUM(OFFSET($C187,0,0,1,mth))</f>
        <v>16</v>
      </c>
      <c r="P187" s="71"/>
      <c r="Q187" s="71"/>
      <c r="R187" s="71"/>
      <c r="S187" s="38"/>
      <c r="T187" s="38"/>
      <c r="U187" s="38"/>
      <c r="V187" s="38"/>
      <c r="W187" s="38"/>
      <c r="X187" s="38"/>
    </row>
    <row r="188" customFormat="1" ht="15.75" spans="1:27">
      <c r="A188" s="191" t="s">
        <v>438</v>
      </c>
      <c r="B188" s="50" t="s">
        <v>167</v>
      </c>
      <c r="C188" s="192"/>
      <c r="D188" s="192">
        <v>11</v>
      </c>
      <c r="E188" s="192">
        <v>0</v>
      </c>
      <c r="F188" s="192">
        <v>0</v>
      </c>
      <c r="G188" s="192">
        <v>0</v>
      </c>
      <c r="H188" s="192">
        <f>$AD$136</f>
        <v>0</v>
      </c>
      <c r="I188" s="192"/>
      <c r="J188" s="192"/>
      <c r="K188" s="192"/>
      <c r="L188" s="192"/>
      <c r="M188" s="192"/>
      <c r="N188" s="192"/>
      <c r="O188" s="193">
        <f ca="1">SUM(OFFSET($C188,0,0,1,mth))</f>
        <v>11</v>
      </c>
      <c r="P188" s="71"/>
      <c r="Q188" s="71"/>
      <c r="R188" s="71"/>
      <c r="S188" s="38"/>
      <c r="T188" s="38"/>
      <c r="U188" s="38"/>
      <c r="V188" s="38"/>
      <c r="W188" s="38"/>
      <c r="X188" s="38"/>
    </row>
    <row r="189" customFormat="1" ht="16.5" spans="1:27">
      <c r="A189" s="201" t="s">
        <v>439</v>
      </c>
      <c r="B189" s="202" t="s">
        <v>167</v>
      </c>
      <c r="C189" s="225">
        <v>0</v>
      </c>
      <c r="D189" s="225">
        <v>0</v>
      </c>
      <c r="E189" s="225">
        <v>0</v>
      </c>
      <c r="F189" s="225">
        <v>0</v>
      </c>
      <c r="G189" s="225">
        <v>0</v>
      </c>
      <c r="H189" s="225">
        <v>0</v>
      </c>
      <c r="I189" s="225">
        <v>0</v>
      </c>
      <c r="J189" s="225">
        <v>0</v>
      </c>
      <c r="K189" s="225">
        <v>0</v>
      </c>
      <c r="L189" s="225">
        <v>0</v>
      </c>
      <c r="M189" s="225">
        <v>0</v>
      </c>
      <c r="N189" s="225">
        <v>0</v>
      </c>
      <c r="O189" s="226">
        <f ca="1">SUM(OFFSET($C189,0,0,1,mth))</f>
        <v>0</v>
      </c>
      <c r="P189" s="71"/>
      <c r="Q189" s="71"/>
      <c r="R189" s="71"/>
      <c r="S189" s="38"/>
      <c r="T189" s="38"/>
      <c r="U189" s="38"/>
      <c r="V189" s="38"/>
      <c r="W189" s="38"/>
      <c r="X189" s="38"/>
    </row>
    <row r="190" customHeight="1" spans="1:27">
      <c r="A190" s="227" t="s">
        <v>273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s="228"/>
      <c r="P190" s="71"/>
      <c r="Q190" s="71"/>
      <c r="R190" s="71"/>
      <c r="Y190"/>
      <c r="Z190"/>
      <c r="AA190"/>
    </row>
    <row r="191" customHeight="1" spans="1:27">
      <c r="A191" s="229" t="s">
        <v>250</v>
      </c>
      <c r="B191" s="230" t="s">
        <v>77</v>
      </c>
      <c r="C191" s="48" t="s">
        <v>220</v>
      </c>
      <c r="D191" s="107" t="s">
        <v>221</v>
      </c>
      <c r="E191" s="107" t="s">
        <v>222</v>
      </c>
      <c r="F191" s="107" t="s">
        <v>223</v>
      </c>
      <c r="G191" s="107" t="s">
        <v>224</v>
      </c>
      <c r="H191" s="107" t="s">
        <v>225</v>
      </c>
      <c r="I191" s="107" t="s">
        <v>226</v>
      </c>
      <c r="J191" s="107" t="s">
        <v>227</v>
      </c>
      <c r="K191" s="107" t="s">
        <v>228</v>
      </c>
      <c r="L191" s="107" t="s">
        <v>229</v>
      </c>
      <c r="M191" s="107" t="s">
        <v>230</v>
      </c>
      <c r="N191" s="107" t="s">
        <v>231</v>
      </c>
      <c r="O191" s="175" t="str">
        <f>CONCATENATE("1-"&amp;mth&amp;"月累计")</f>
        <v>1-8月累计</v>
      </c>
      <c r="P191" s="71"/>
      <c r="Q191" s="71"/>
      <c r="R191" s="71"/>
      <c r="Y191"/>
      <c r="Z191"/>
    </row>
    <row r="192" customHeight="1" spans="1:27">
      <c r="A192" s="115" t="s">
        <v>136</v>
      </c>
      <c r="B192" s="50" t="s">
        <v>123</v>
      </c>
      <c r="C192" s="231">
        <v>1.03307994950751</v>
      </c>
      <c r="D192" s="231">
        <v>1.02174424864701</v>
      </c>
      <c r="E192" s="231">
        <v>1.02185493281138</v>
      </c>
      <c r="F192" s="231">
        <v>1.03485347609038</v>
      </c>
      <c r="G192" s="231">
        <v>1.04196389744087</v>
      </c>
      <c r="H192" s="231">
        <f>$AF$127</f>
        <v>1.04196362349981</v>
      </c>
      <c r="I192" s="231"/>
      <c r="J192" s="231"/>
      <c r="K192" s="231"/>
      <c r="L192" s="231"/>
      <c r="M192" s="231"/>
      <c r="N192" s="231"/>
      <c r="O192" s="140">
        <f ca="1" t="shared" ref="O192:O201" si="176">IF(O102=0,,O216/O102)</f>
        <v>1.03363476247911</v>
      </c>
      <c r="P192" s="68"/>
      <c r="Q192" s="71"/>
      <c r="R192" s="71"/>
      <c r="Z192"/>
    </row>
    <row r="193" customHeight="1" spans="1:27">
      <c r="A193" s="115" t="s">
        <v>137</v>
      </c>
      <c r="B193" s="50" t="s">
        <v>123</v>
      </c>
      <c r="C193" s="231">
        <v>3.0138063133806</v>
      </c>
      <c r="D193" s="231">
        <v>3.11904579495177</v>
      </c>
      <c r="E193" s="231">
        <v>3.11821758412582</v>
      </c>
      <c r="F193" s="231">
        <v>3.19048849323329</v>
      </c>
      <c r="G193" s="231">
        <v>3.23523372181404</v>
      </c>
      <c r="H193" s="231">
        <f>$AF$128</f>
        <v>3.23261620167508</v>
      </c>
      <c r="I193" s="231"/>
      <c r="J193" s="231"/>
      <c r="K193" s="231"/>
      <c r="L193" s="231"/>
      <c r="M193" s="231"/>
      <c r="N193" s="231"/>
      <c r="O193" s="140">
        <f ca="1" t="shared" si="176"/>
        <v>3.16530363402344</v>
      </c>
      <c r="P193" s="68"/>
      <c r="Q193" s="71"/>
      <c r="R193" s="71"/>
    </row>
    <row r="194" customHeight="1" spans="1:27">
      <c r="A194" s="115" t="s">
        <v>138</v>
      </c>
      <c r="B194" s="50" t="s">
        <v>123</v>
      </c>
      <c r="C194" s="231">
        <v>2.61488518518518</v>
      </c>
      <c r="D194" s="231">
        <v>2.60649370277078</v>
      </c>
      <c r="E194" s="231">
        <v>2.60411739130435</v>
      </c>
      <c r="F194" s="231">
        <v>2.6025525</v>
      </c>
      <c r="G194" s="231">
        <v>2.60244796954315</v>
      </c>
      <c r="H194" s="231">
        <f>$AF$129</f>
        <v>2.6019243902439</v>
      </c>
      <c r="I194" s="231"/>
      <c r="J194" s="231"/>
      <c r="K194" s="231"/>
      <c r="L194" s="231"/>
      <c r="M194" s="231"/>
      <c r="N194" s="231"/>
      <c r="O194" s="140">
        <f ca="1" t="shared" si="176"/>
        <v>2.60487003610108</v>
      </c>
      <c r="P194" s="68"/>
      <c r="Q194" s="71"/>
      <c r="R194" s="71"/>
    </row>
    <row r="195" customHeight="1" spans="1:27">
      <c r="A195" s="115" t="s">
        <v>261</v>
      </c>
      <c r="B195" s="50" t="s">
        <v>123</v>
      </c>
      <c r="C195" s="231">
        <v>0</v>
      </c>
      <c r="D195" s="231">
        <v>0</v>
      </c>
      <c r="E195" s="231">
        <v>0</v>
      </c>
      <c r="F195" s="231">
        <v>0</v>
      </c>
      <c r="G195" s="231">
        <v>0</v>
      </c>
      <c r="H195" s="231">
        <f>$AF$130</f>
        <v>0</v>
      </c>
      <c r="I195" s="231"/>
      <c r="J195" s="231"/>
      <c r="K195" s="231"/>
      <c r="L195" s="231"/>
      <c r="M195" s="231"/>
      <c r="N195" s="231"/>
      <c r="O195" s="140">
        <f ca="1" t="shared" si="176"/>
        <v>0</v>
      </c>
      <c r="P195" s="68"/>
      <c r="Q195" s="71"/>
      <c r="R195" s="71"/>
    </row>
    <row r="196" customHeight="1" spans="1:27">
      <c r="A196" s="115" t="s">
        <v>139</v>
      </c>
      <c r="B196" s="50" t="s">
        <v>123</v>
      </c>
      <c r="C196" s="231">
        <v>7.07994472361809</v>
      </c>
      <c r="D196" s="231">
        <v>7.07972153465344</v>
      </c>
      <c r="E196" s="231">
        <v>7.07966916666667</v>
      </c>
      <c r="F196" s="231">
        <v>7.07964898688914</v>
      </c>
      <c r="G196" s="231">
        <v>7.07964548494983</v>
      </c>
      <c r="H196" s="231">
        <f>$AF$131</f>
        <v>7.07964685714284</v>
      </c>
      <c r="I196" s="231"/>
      <c r="J196" s="231"/>
      <c r="K196" s="231"/>
      <c r="L196" s="231"/>
      <c r="M196" s="231"/>
      <c r="N196" s="231"/>
      <c r="O196" s="140">
        <f ca="1" t="shared" si="176"/>
        <v>7.07970147313692</v>
      </c>
      <c r="P196" s="68"/>
      <c r="Q196" s="71"/>
      <c r="R196" s="71"/>
    </row>
    <row r="197" customHeight="1" spans="1:27">
      <c r="A197" s="115" t="s">
        <v>417</v>
      </c>
      <c r="B197" s="50" t="s">
        <v>123</v>
      </c>
      <c r="C197" s="231">
        <v>47.8290035587189</v>
      </c>
      <c r="D197" s="231">
        <v>47.8165500603136</v>
      </c>
      <c r="E197" s="231">
        <v>47.8033507170795</v>
      </c>
      <c r="F197" s="231">
        <v>47.7935644637053</v>
      </c>
      <c r="G197" s="231">
        <v>47.7885230024213</v>
      </c>
      <c r="H197" s="231">
        <f>$AF$132</f>
        <v>47.7879723502304</v>
      </c>
      <c r="I197" s="231"/>
      <c r="J197" s="231"/>
      <c r="K197" s="231"/>
      <c r="L197" s="231"/>
      <c r="M197" s="231"/>
      <c r="N197" s="231"/>
      <c r="O197" s="140">
        <f ca="1" t="shared" si="176"/>
        <v>47.8014094240838</v>
      </c>
      <c r="P197" s="68"/>
      <c r="Q197" s="68"/>
      <c r="R197" s="68"/>
    </row>
    <row r="198" customHeight="1" spans="1:27">
      <c r="A198" s="115" t="s">
        <v>141</v>
      </c>
      <c r="B198" s="50" t="s">
        <v>123</v>
      </c>
      <c r="C198" s="231">
        <v>30.5088020304569</v>
      </c>
      <c r="D198" s="231">
        <v>30.9202567661347</v>
      </c>
      <c r="E198" s="231">
        <v>31.8437379002234</v>
      </c>
      <c r="F198" s="231">
        <v>32.5177034700316</v>
      </c>
      <c r="G198" s="231">
        <v>33.0390075566751</v>
      </c>
      <c r="H198" s="231">
        <f>$AF$133</f>
        <v>33.1137455470739</v>
      </c>
      <c r="I198" s="231"/>
      <c r="J198" s="231"/>
      <c r="K198" s="231"/>
      <c r="L198" s="231"/>
      <c r="M198" s="231"/>
      <c r="N198" s="231"/>
      <c r="O198" s="140">
        <f ca="1" t="shared" si="176"/>
        <v>32.1974312123818</v>
      </c>
      <c r="P198" s="68"/>
    </row>
    <row r="199" customHeight="1" spans="1:27">
      <c r="A199" s="115" t="s">
        <v>142</v>
      </c>
      <c r="B199" s="50" t="s">
        <v>123</v>
      </c>
      <c r="C199" s="231">
        <v>216.589149855908</v>
      </c>
      <c r="D199" s="231">
        <v>214.750644783118</v>
      </c>
      <c r="E199" s="231">
        <v>222.213113207547</v>
      </c>
      <c r="F199" s="231">
        <v>218.134415983607</v>
      </c>
      <c r="G199" s="231">
        <v>219.491392190153</v>
      </c>
      <c r="H199" s="231">
        <f>$AF$134</f>
        <v>219.414862637363</v>
      </c>
      <c r="I199" s="231"/>
      <c r="J199" s="231"/>
      <c r="K199" s="231"/>
      <c r="L199" s="231"/>
      <c r="M199" s="231"/>
      <c r="N199" s="231"/>
      <c r="O199" s="140">
        <f ca="1" t="shared" si="176"/>
        <v>218.577020031909</v>
      </c>
      <c r="P199" s="68"/>
    </row>
    <row r="200" customHeight="1" spans="1:27">
      <c r="A200" s="115" t="s">
        <v>143</v>
      </c>
      <c r="B200" s="50" t="s">
        <v>123</v>
      </c>
      <c r="C200" s="231">
        <v>1.15109206349206</v>
      </c>
      <c r="D200" s="231">
        <v>1.01496484848485</v>
      </c>
      <c r="E200" s="231">
        <v>0.974775460122699</v>
      </c>
      <c r="F200" s="231">
        <v>0.972650943396226</v>
      </c>
      <c r="G200" s="231">
        <v>0.9272</v>
      </c>
      <c r="H200" s="231">
        <f>$AF$135</f>
        <v>0.926486178861788</v>
      </c>
      <c r="I200" s="231"/>
      <c r="J200" s="231"/>
      <c r="K200" s="231"/>
      <c r="L200" s="231"/>
      <c r="M200" s="231"/>
      <c r="N200" s="231"/>
      <c r="O200" s="140">
        <f ca="1" t="shared" si="176"/>
        <v>0.979474345549738</v>
      </c>
      <c r="P200" s="68"/>
    </row>
    <row r="201" customHeight="1" spans="1:27">
      <c r="A201" s="115" t="s">
        <v>145</v>
      </c>
      <c r="B201" s="50" t="s">
        <v>123</v>
      </c>
      <c r="C201" s="231">
        <v>1.93289268292683</v>
      </c>
      <c r="D201" s="231">
        <v>1.86924912280702</v>
      </c>
      <c r="E201" s="231">
        <v>1.85775714285714</v>
      </c>
      <c r="F201" s="231">
        <v>1.8362716981132</v>
      </c>
      <c r="G201" s="231">
        <v>1.83390656934307</v>
      </c>
      <c r="H201" s="231">
        <f>$AF$136</f>
        <v>1.83290731707317</v>
      </c>
      <c r="I201" s="231"/>
      <c r="J201" s="231"/>
      <c r="K201" s="231"/>
      <c r="L201" s="231"/>
      <c r="M201" s="231"/>
      <c r="N201" s="231"/>
      <c r="O201" s="140">
        <f ca="1" t="shared" si="176"/>
        <v>1.85608011869436</v>
      </c>
      <c r="P201" s="68"/>
    </row>
    <row r="202" customHeight="1" spans="1:27">
      <c r="A202" s="232" t="s">
        <v>448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s="228"/>
      <c r="P202" s="71"/>
      <c r="Q202" s="71"/>
      <c r="R202" s="71"/>
      <c r="Y202"/>
      <c r="Z202"/>
      <c r="AA202"/>
    </row>
    <row r="203" customHeight="1" spans="1:27">
      <c r="A203" s="229" t="s">
        <v>250</v>
      </c>
      <c r="B203" s="230" t="s">
        <v>77</v>
      </c>
      <c r="C203" s="48" t="s">
        <v>220</v>
      </c>
      <c r="D203" s="107" t="s">
        <v>221</v>
      </c>
      <c r="E203" s="107" t="s">
        <v>222</v>
      </c>
      <c r="F203" s="107" t="s">
        <v>223</v>
      </c>
      <c r="G203" s="107" t="s">
        <v>224</v>
      </c>
      <c r="H203" s="107" t="s">
        <v>225</v>
      </c>
      <c r="I203" s="107" t="s">
        <v>226</v>
      </c>
      <c r="J203" s="107" t="s">
        <v>227</v>
      </c>
      <c r="K203" s="107" t="s">
        <v>228</v>
      </c>
      <c r="L203" s="107" t="s">
        <v>229</v>
      </c>
      <c r="M203" s="107" t="s">
        <v>230</v>
      </c>
      <c r="N203" s="107" t="s">
        <v>231</v>
      </c>
      <c r="O203" s="175" t="str">
        <f>CONCATENATE("1-"&amp;mth&amp;"月累计")</f>
        <v>1-8月累计</v>
      </c>
      <c r="P203" s="71"/>
      <c r="Q203" s="71"/>
      <c r="R203" s="71"/>
      <c r="Y203"/>
      <c r="Z203"/>
    </row>
    <row r="204" customHeight="1" spans="1:27">
      <c r="A204" s="115" t="s">
        <v>136</v>
      </c>
      <c r="B204" s="50" t="s">
        <v>123</v>
      </c>
      <c r="C204" s="233">
        <f t="shared" ref="C204" si="177">C192*1.13</f>
        <v>1.16738034294349</v>
      </c>
      <c r="D204" s="233">
        <f t="shared" ref="D204:N204" si="178">D192*1.13</f>
        <v>1.15457100097112</v>
      </c>
      <c r="E204" s="233">
        <f t="shared" si="178"/>
        <v>1.15469607407686</v>
      </c>
      <c r="F204" s="233">
        <f t="shared" si="178"/>
        <v>1.16938442798213</v>
      </c>
      <c r="G204" s="233">
        <f t="shared" si="178"/>
        <v>1.17741920410818</v>
      </c>
      <c r="H204" s="233">
        <f t="shared" si="178"/>
        <v>1.17741889455478</v>
      </c>
      <c r="I204" s="233">
        <f t="shared" si="178"/>
        <v>0</v>
      </c>
      <c r="J204" s="233">
        <f t="shared" si="178"/>
        <v>0</v>
      </c>
      <c r="K204" s="233">
        <f t="shared" si="178"/>
        <v>0</v>
      </c>
      <c r="L204" s="233">
        <f t="shared" si="178"/>
        <v>0</v>
      </c>
      <c r="M204" s="233">
        <f t="shared" si="178"/>
        <v>0</v>
      </c>
      <c r="N204" s="233">
        <f t="shared" si="178"/>
        <v>0</v>
      </c>
      <c r="O204" s="140">
        <f ca="1">IF(O102=0,,O231/O102)</f>
        <v>1.16800728160139</v>
      </c>
      <c r="P204" s="71"/>
      <c r="Q204" s="71"/>
      <c r="R204" s="71"/>
      <c r="Z204"/>
    </row>
    <row r="205" customHeight="1" spans="1:27">
      <c r="A205" s="115" t="s">
        <v>137</v>
      </c>
      <c r="B205" s="50" t="s">
        <v>123</v>
      </c>
      <c r="C205" s="233">
        <f t="shared" ref="C205" si="179">C193*1.13</f>
        <v>3.40560113412008</v>
      </c>
      <c r="D205" s="233">
        <f t="shared" ref="D205:N205" si="180">D193*1.13</f>
        <v>3.5245217482955</v>
      </c>
      <c r="E205" s="233">
        <f t="shared" si="180"/>
        <v>3.52358587006218</v>
      </c>
      <c r="F205" s="233">
        <f t="shared" si="180"/>
        <v>3.60525199735362</v>
      </c>
      <c r="G205" s="233">
        <f t="shared" si="180"/>
        <v>3.65581410564986</v>
      </c>
      <c r="H205" s="233">
        <f t="shared" si="180"/>
        <v>3.65285630789284</v>
      </c>
      <c r="I205" s="233">
        <f t="shared" si="180"/>
        <v>0</v>
      </c>
      <c r="J205" s="233">
        <f t="shared" si="180"/>
        <v>0</v>
      </c>
      <c r="K205" s="233">
        <f t="shared" si="180"/>
        <v>0</v>
      </c>
      <c r="L205" s="233">
        <f t="shared" si="180"/>
        <v>0</v>
      </c>
      <c r="M205" s="233">
        <f t="shared" si="180"/>
        <v>0</v>
      </c>
      <c r="N205" s="233">
        <f t="shared" si="180"/>
        <v>0</v>
      </c>
      <c r="O205" s="140">
        <f ca="1" t="shared" ref="O205:O213" si="181">IF(O103=0,,O232/O103)</f>
        <v>3.57679310644649</v>
      </c>
      <c r="P205" s="71"/>
      <c r="Q205" s="71"/>
      <c r="R205" s="71"/>
    </row>
    <row r="206" customHeight="1" spans="1:27">
      <c r="A206" s="115" t="s">
        <v>138</v>
      </c>
      <c r="B206" s="50" t="s">
        <v>123</v>
      </c>
      <c r="C206" s="233">
        <f t="shared" ref="C206" si="182">C194*1.13</f>
        <v>2.95482025925926</v>
      </c>
      <c r="D206" s="233">
        <f t="shared" ref="D206:N206" si="183">D194*1.13</f>
        <v>2.94533788413098</v>
      </c>
      <c r="E206" s="233">
        <f t="shared" si="183"/>
        <v>2.94265265217391</v>
      </c>
      <c r="F206" s="233">
        <f t="shared" si="183"/>
        <v>2.940884325</v>
      </c>
      <c r="G206" s="233">
        <f t="shared" si="183"/>
        <v>2.94076620558376</v>
      </c>
      <c r="H206" s="233">
        <f t="shared" si="183"/>
        <v>2.94017456097561</v>
      </c>
      <c r="I206" s="233">
        <f t="shared" si="183"/>
        <v>0</v>
      </c>
      <c r="J206" s="233">
        <f t="shared" si="183"/>
        <v>0</v>
      </c>
      <c r="K206" s="233">
        <f t="shared" si="183"/>
        <v>0</v>
      </c>
      <c r="L206" s="233">
        <f t="shared" si="183"/>
        <v>0</v>
      </c>
      <c r="M206" s="233">
        <f t="shared" si="183"/>
        <v>0</v>
      </c>
      <c r="N206" s="233">
        <f t="shared" si="183"/>
        <v>0</v>
      </c>
      <c r="O206" s="140">
        <f ca="1" t="shared" si="181"/>
        <v>2.94350314079422</v>
      </c>
      <c r="P206" s="71"/>
      <c r="Q206" s="71"/>
      <c r="R206" s="71"/>
    </row>
    <row r="207" customHeight="1" spans="1:27">
      <c r="A207" s="115" t="s">
        <v>261</v>
      </c>
      <c r="B207" s="50" t="s">
        <v>123</v>
      </c>
      <c r="C207" s="233">
        <f t="shared" ref="C207" si="184">C195*1.13</f>
        <v>0</v>
      </c>
      <c r="D207" s="233">
        <f t="shared" ref="D207:N207" si="185">D195*1.13</f>
        <v>0</v>
      </c>
      <c r="E207" s="233">
        <f t="shared" si="185"/>
        <v>0</v>
      </c>
      <c r="F207" s="233">
        <f t="shared" si="185"/>
        <v>0</v>
      </c>
      <c r="G207" s="233">
        <f t="shared" si="185"/>
        <v>0</v>
      </c>
      <c r="H207" s="233">
        <f t="shared" si="185"/>
        <v>0</v>
      </c>
      <c r="I207" s="233">
        <f t="shared" si="185"/>
        <v>0</v>
      </c>
      <c r="J207" s="233">
        <f t="shared" si="185"/>
        <v>0</v>
      </c>
      <c r="K207" s="233">
        <f t="shared" si="185"/>
        <v>0</v>
      </c>
      <c r="L207" s="233">
        <f t="shared" si="185"/>
        <v>0</v>
      </c>
      <c r="M207" s="233">
        <f t="shared" si="185"/>
        <v>0</v>
      </c>
      <c r="N207" s="233">
        <f t="shared" si="185"/>
        <v>0</v>
      </c>
      <c r="O207" s="140">
        <f ca="1" t="shared" si="181"/>
        <v>0</v>
      </c>
      <c r="P207" s="71"/>
      <c r="Q207" s="71"/>
      <c r="R207" s="71"/>
    </row>
    <row r="208" customHeight="1" spans="1:27">
      <c r="A208" s="115" t="s">
        <v>139</v>
      </c>
      <c r="B208" s="50" t="s">
        <v>123</v>
      </c>
      <c r="C208" s="233">
        <f t="shared" ref="C208" si="186">C196*1.13</f>
        <v>8.00033753768844</v>
      </c>
      <c r="D208" s="233">
        <f t="shared" ref="D208:N208" si="187">D196*1.13</f>
        <v>8.00008533415839</v>
      </c>
      <c r="E208" s="233">
        <f t="shared" si="187"/>
        <v>8.00002615833334</v>
      </c>
      <c r="F208" s="233">
        <f t="shared" si="187"/>
        <v>8.00000335518473</v>
      </c>
      <c r="G208" s="233">
        <f t="shared" si="187"/>
        <v>7.99999939799331</v>
      </c>
      <c r="H208" s="233">
        <f t="shared" si="187"/>
        <v>8.00000094857141</v>
      </c>
      <c r="I208" s="233">
        <f t="shared" si="187"/>
        <v>0</v>
      </c>
      <c r="J208" s="233">
        <f t="shared" si="187"/>
        <v>0</v>
      </c>
      <c r="K208" s="233">
        <f t="shared" si="187"/>
        <v>0</v>
      </c>
      <c r="L208" s="233">
        <f t="shared" si="187"/>
        <v>0</v>
      </c>
      <c r="M208" s="233">
        <f t="shared" si="187"/>
        <v>0</v>
      </c>
      <c r="N208" s="233">
        <f t="shared" si="187"/>
        <v>0</v>
      </c>
      <c r="O208" s="140">
        <f ca="1" t="shared" si="181"/>
        <v>8.00006266464471</v>
      </c>
      <c r="P208" s="71"/>
      <c r="Q208" s="71"/>
      <c r="R208" s="71"/>
    </row>
    <row r="209" customHeight="1" spans="1:18">
      <c r="A209" s="115" t="s">
        <v>417</v>
      </c>
      <c r="B209" s="50" t="s">
        <v>123</v>
      </c>
      <c r="C209" s="233">
        <f t="shared" ref="C209" si="188">C197*1.13</f>
        <v>54.0467740213523</v>
      </c>
      <c r="D209" s="233">
        <f t="shared" ref="D209:N209" si="189">D197*1.13</f>
        <v>54.0327015681544</v>
      </c>
      <c r="E209" s="233">
        <f t="shared" si="189"/>
        <v>54.0177863102998</v>
      </c>
      <c r="F209" s="233">
        <f t="shared" si="189"/>
        <v>54.006727843987</v>
      </c>
      <c r="G209" s="233">
        <f t="shared" si="189"/>
        <v>54.0010309927361</v>
      </c>
      <c r="H209" s="233">
        <f t="shared" si="189"/>
        <v>54.0004087557603</v>
      </c>
      <c r="I209" s="233">
        <f t="shared" si="189"/>
        <v>0</v>
      </c>
      <c r="J209" s="233">
        <f t="shared" si="189"/>
        <v>0</v>
      </c>
      <c r="K209" s="233">
        <f t="shared" si="189"/>
        <v>0</v>
      </c>
      <c r="L209" s="233">
        <f t="shared" si="189"/>
        <v>0</v>
      </c>
      <c r="M209" s="233">
        <f t="shared" si="189"/>
        <v>0</v>
      </c>
      <c r="N209" s="233">
        <f t="shared" si="189"/>
        <v>0</v>
      </c>
      <c r="O209" s="140">
        <f ca="1" t="shared" si="181"/>
        <v>54.0155926492147</v>
      </c>
      <c r="P209" s="71"/>
      <c r="Q209" s="68"/>
      <c r="R209" s="68"/>
    </row>
    <row r="210" customHeight="1" spans="1:18">
      <c r="A210" s="115" t="s">
        <v>141</v>
      </c>
      <c r="B210" s="50" t="s">
        <v>123</v>
      </c>
      <c r="C210" s="233">
        <f t="shared" ref="C210" si="190">C198*1.13</f>
        <v>34.4749462944162</v>
      </c>
      <c r="D210" s="233">
        <f t="shared" ref="D210:N210" si="191">D198*1.13</f>
        <v>34.9398901457322</v>
      </c>
      <c r="E210" s="233">
        <f t="shared" si="191"/>
        <v>35.9834238272524</v>
      </c>
      <c r="F210" s="233">
        <f t="shared" si="191"/>
        <v>36.7450049211357</v>
      </c>
      <c r="G210" s="233">
        <f t="shared" si="191"/>
        <v>37.3340785390429</v>
      </c>
      <c r="H210" s="233">
        <f t="shared" si="191"/>
        <v>37.4185324681935</v>
      </c>
      <c r="I210" s="233">
        <f t="shared" si="191"/>
        <v>0</v>
      </c>
      <c r="J210" s="233">
        <f t="shared" si="191"/>
        <v>0</v>
      </c>
      <c r="K210" s="233">
        <f t="shared" si="191"/>
        <v>0</v>
      </c>
      <c r="L210" s="233">
        <f t="shared" si="191"/>
        <v>0</v>
      </c>
      <c r="M210" s="233">
        <f t="shared" si="191"/>
        <v>0</v>
      </c>
      <c r="N210" s="233">
        <f t="shared" si="191"/>
        <v>0</v>
      </c>
      <c r="O210" s="140">
        <f ca="1" t="shared" si="181"/>
        <v>36.3830972699914</v>
      </c>
      <c r="P210" s="71"/>
    </row>
    <row r="211" customHeight="1" spans="1:18">
      <c r="A211" s="115" t="s">
        <v>142</v>
      </c>
      <c r="B211" s="50" t="s">
        <v>123</v>
      </c>
      <c r="C211" s="233">
        <f t="shared" ref="C211" si="192">C199*1.13</f>
        <v>244.745739337176</v>
      </c>
      <c r="D211" s="233">
        <f t="shared" ref="D211:N211" si="193">D199*1.13</f>
        <v>242.668228604923</v>
      </c>
      <c r="E211" s="233">
        <f t="shared" si="193"/>
        <v>251.100817924528</v>
      </c>
      <c r="F211" s="233">
        <f t="shared" si="193"/>
        <v>246.491890061476</v>
      </c>
      <c r="G211" s="233">
        <f t="shared" si="193"/>
        <v>248.025273174873</v>
      </c>
      <c r="H211" s="233">
        <f t="shared" si="193"/>
        <v>247.93879478022</v>
      </c>
      <c r="I211" s="233">
        <f t="shared" si="193"/>
        <v>0</v>
      </c>
      <c r="J211" s="233">
        <f t="shared" si="193"/>
        <v>0</v>
      </c>
      <c r="K211" s="233">
        <f t="shared" si="193"/>
        <v>0</v>
      </c>
      <c r="L211" s="233">
        <f t="shared" si="193"/>
        <v>0</v>
      </c>
      <c r="M211" s="233">
        <f t="shared" si="193"/>
        <v>0</v>
      </c>
      <c r="N211" s="233">
        <f t="shared" si="193"/>
        <v>0</v>
      </c>
      <c r="O211" s="140">
        <f ca="1" t="shared" si="181"/>
        <v>246.992032636057</v>
      </c>
      <c r="P211" s="71"/>
    </row>
    <row r="212" customHeight="1" spans="1:18">
      <c r="A212" s="115" t="s">
        <v>143</v>
      </c>
      <c r="B212" s="50" t="s">
        <v>123</v>
      </c>
      <c r="C212" s="233">
        <f t="shared" ref="C212" si="194">C200*1.13</f>
        <v>1.30073403174603</v>
      </c>
      <c r="D212" s="233">
        <f t="shared" ref="D212:N212" si="195">D200*1.13</f>
        <v>1.14691027878788</v>
      </c>
      <c r="E212" s="233">
        <f t="shared" si="195"/>
        <v>1.10149626993865</v>
      </c>
      <c r="F212" s="233">
        <f t="shared" si="195"/>
        <v>1.09909556603774</v>
      </c>
      <c r="G212" s="233">
        <f t="shared" si="195"/>
        <v>1.047736</v>
      </c>
      <c r="H212" s="233">
        <f t="shared" si="195"/>
        <v>1.04692938211382</v>
      </c>
      <c r="I212" s="233">
        <f t="shared" si="195"/>
        <v>0</v>
      </c>
      <c r="J212" s="233">
        <f t="shared" si="195"/>
        <v>0</v>
      </c>
      <c r="K212" s="233">
        <f t="shared" si="195"/>
        <v>0</v>
      </c>
      <c r="L212" s="233">
        <f t="shared" si="195"/>
        <v>0</v>
      </c>
      <c r="M212" s="233">
        <f t="shared" si="195"/>
        <v>0</v>
      </c>
      <c r="N212" s="233">
        <f t="shared" si="195"/>
        <v>0</v>
      </c>
      <c r="O212" s="140">
        <f ca="1" t="shared" si="181"/>
        <v>1.1068060104712</v>
      </c>
      <c r="P212" s="71"/>
    </row>
    <row r="213" customHeight="1" spans="1:18">
      <c r="A213" s="115" t="s">
        <v>145</v>
      </c>
      <c r="B213" s="50" t="s">
        <v>123</v>
      </c>
      <c r="C213" s="233">
        <f t="shared" ref="C213" si="196">C201*1.13</f>
        <v>2.18416873170732</v>
      </c>
      <c r="D213" s="233">
        <f t="shared" ref="D213:N213" si="197">D201*1.13</f>
        <v>2.11225150877193</v>
      </c>
      <c r="E213" s="233">
        <f t="shared" si="197"/>
        <v>2.09926557142857</v>
      </c>
      <c r="F213" s="233">
        <f t="shared" si="197"/>
        <v>2.07498701886792</v>
      </c>
      <c r="G213" s="233">
        <f t="shared" si="197"/>
        <v>2.07231442335767</v>
      </c>
      <c r="H213" s="233">
        <f t="shared" si="197"/>
        <v>2.07118526829268</v>
      </c>
      <c r="I213" s="233">
        <f t="shared" si="197"/>
        <v>0</v>
      </c>
      <c r="J213" s="233">
        <f t="shared" si="197"/>
        <v>0</v>
      </c>
      <c r="K213" s="233">
        <f t="shared" si="197"/>
        <v>0</v>
      </c>
      <c r="L213" s="233">
        <f t="shared" si="197"/>
        <v>0</v>
      </c>
      <c r="M213" s="233">
        <f t="shared" si="197"/>
        <v>0</v>
      </c>
      <c r="N213" s="233">
        <f t="shared" si="197"/>
        <v>0</v>
      </c>
      <c r="O213" s="140">
        <f ca="1" t="shared" si="181"/>
        <v>2.09737053412463</v>
      </c>
      <c r="P213" s="71"/>
    </row>
    <row r="214" customHeight="1" spans="1:18">
      <c r="A214" s="227" t="s">
        <v>449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 s="228"/>
      <c r="P214" s="71"/>
    </row>
    <row r="215" customHeight="1" spans="1:18">
      <c r="A215" s="48" t="s">
        <v>276</v>
      </c>
      <c r="B215" s="230" t="s">
        <v>77</v>
      </c>
      <c r="C215" s="48" t="s">
        <v>220</v>
      </c>
      <c r="D215" s="107" t="s">
        <v>221</v>
      </c>
      <c r="E215" s="107" t="s">
        <v>222</v>
      </c>
      <c r="F215" s="107" t="s">
        <v>223</v>
      </c>
      <c r="G215" s="107" t="s">
        <v>224</v>
      </c>
      <c r="H215" s="107" t="s">
        <v>225</v>
      </c>
      <c r="I215" s="107" t="s">
        <v>226</v>
      </c>
      <c r="J215" s="107" t="s">
        <v>227</v>
      </c>
      <c r="K215" s="107" t="s">
        <v>228</v>
      </c>
      <c r="L215" s="107" t="s">
        <v>229</v>
      </c>
      <c r="M215" s="107" t="s">
        <v>230</v>
      </c>
      <c r="N215" s="107" t="s">
        <v>231</v>
      </c>
      <c r="O215" s="72" t="str">
        <f>CONCATENATE("1-"&amp;mth&amp;"月累计")</f>
        <v>1-8月累计</v>
      </c>
      <c r="P215" s="71"/>
    </row>
    <row r="216" customHeight="1" spans="1:18">
      <c r="A216" s="115" t="s">
        <v>136</v>
      </c>
      <c r="B216" s="50" t="s">
        <v>123</v>
      </c>
      <c r="C216" s="52">
        <f>C192*C102</f>
        <v>33636.3599999999</v>
      </c>
      <c r="D216" s="52">
        <f>D192*D102</f>
        <v>39665.4400000002</v>
      </c>
      <c r="E216" s="52">
        <f t="shared" ref="D216:G216" si="198">E192*E102</f>
        <v>40721.4299999999</v>
      </c>
      <c r="F216" s="52">
        <f t="shared" si="198"/>
        <v>45833.3500000001</v>
      </c>
      <c r="G216" s="52">
        <f t="shared" si="198"/>
        <v>60141.0099999998</v>
      </c>
      <c r="H216" s="52">
        <f t="shared" ref="H216:K217" si="199">H192*H102</f>
        <v>51839.67</v>
      </c>
      <c r="I216" s="52">
        <f>I192*I102</f>
        <v>0</v>
      </c>
      <c r="J216" s="52">
        <f>J192*J102</f>
        <v>0</v>
      </c>
      <c r="K216" s="52">
        <f>K192*K102</f>
        <v>0</v>
      </c>
      <c r="L216" s="52">
        <f>L192*L102</f>
        <v>0</v>
      </c>
      <c r="M216" s="52">
        <f t="shared" ref="M216" si="200">M192*M102</f>
        <v>0</v>
      </c>
      <c r="N216" s="52">
        <f t="shared" ref="N216" si="201">N192*N102</f>
        <v>0</v>
      </c>
      <c r="O216" s="131">
        <f ca="1">SUM(OFFSET($C216,0,0,1,mth))</f>
        <v>271837.26</v>
      </c>
      <c r="P216" s="71"/>
    </row>
    <row r="217" customHeight="1" spans="1:18">
      <c r="A217" s="115" t="s">
        <v>137</v>
      </c>
      <c r="B217" s="50" t="s">
        <v>123</v>
      </c>
      <c r="C217" s="52">
        <f t="shared" ref="C217:G217" si="202">C193*C103</f>
        <v>107465.1</v>
      </c>
      <c r="D217" s="52">
        <f t="shared" si="202"/>
        <v>137607.31</v>
      </c>
      <c r="E217" s="52">
        <f t="shared" si="202"/>
        <v>136403.31</v>
      </c>
      <c r="F217" s="52">
        <f t="shared" si="202"/>
        <v>152387.94</v>
      </c>
      <c r="G217" s="52">
        <f t="shared" si="202"/>
        <v>204311.48</v>
      </c>
      <c r="H217" s="52">
        <f t="shared" si="199"/>
        <v>186498.68</v>
      </c>
      <c r="I217" s="52">
        <f t="shared" si="199"/>
        <v>0</v>
      </c>
      <c r="J217" s="52">
        <f t="shared" si="199"/>
        <v>0</v>
      </c>
      <c r="K217" s="52">
        <f t="shared" si="199"/>
        <v>0</v>
      </c>
      <c r="L217" s="52">
        <f t="shared" ref="L217:M217" si="203">L193*L103</f>
        <v>0</v>
      </c>
      <c r="M217" s="52">
        <f t="shared" si="203"/>
        <v>0</v>
      </c>
      <c r="N217" s="52">
        <f t="shared" ref="N217" si="204">N193*N103</f>
        <v>0</v>
      </c>
      <c r="O217" s="131">
        <f ca="1" t="shared" ref="O217:O226" si="205">SUM(OFFSET($C217,0,0,1,mth))</f>
        <v>924673.82</v>
      </c>
      <c r="P217" s="71"/>
    </row>
    <row r="218" customHeight="1" spans="1:18">
      <c r="A218" s="115" t="s">
        <v>138</v>
      </c>
      <c r="B218" s="50" t="s">
        <v>123</v>
      </c>
      <c r="C218" s="52">
        <f t="shared" ref="C218:F218" si="206">C194*C104</f>
        <v>14120.38</v>
      </c>
      <c r="D218" s="52">
        <f t="shared" si="206"/>
        <v>20695.56</v>
      </c>
      <c r="E218" s="52">
        <f t="shared" si="206"/>
        <v>17968.41</v>
      </c>
      <c r="F218" s="52">
        <f t="shared" si="206"/>
        <v>20820.42</v>
      </c>
      <c r="G218" s="52">
        <f t="shared" ref="G218:I218" si="207">G194*G104</f>
        <v>20507.29</v>
      </c>
      <c r="H218" s="52">
        <f t="shared" si="207"/>
        <v>21335.78</v>
      </c>
      <c r="I218" s="52">
        <f t="shared" si="207"/>
        <v>0</v>
      </c>
      <c r="J218" s="52">
        <f t="shared" ref="J218:K218" si="208">J194*J104</f>
        <v>0</v>
      </c>
      <c r="K218" s="52">
        <f t="shared" si="208"/>
        <v>0</v>
      </c>
      <c r="L218" s="52">
        <f t="shared" ref="L218:M218" si="209">L194*L104</f>
        <v>0</v>
      </c>
      <c r="M218" s="52">
        <f t="shared" si="209"/>
        <v>0</v>
      </c>
      <c r="N218" s="52">
        <f t="shared" ref="N218:N219" si="210">N194*N104</f>
        <v>0</v>
      </c>
      <c r="O218" s="131">
        <f ca="1" t="shared" si="205"/>
        <v>115447.84</v>
      </c>
      <c r="P218" s="71"/>
    </row>
    <row r="219" customHeight="1" spans="1:18">
      <c r="A219" s="115" t="s">
        <v>261</v>
      </c>
      <c r="B219" s="50" t="s">
        <v>123</v>
      </c>
      <c r="C219" s="52">
        <f t="shared" ref="C219:F219" si="211">C195*C105</f>
        <v>0</v>
      </c>
      <c r="D219" s="52">
        <f t="shared" si="211"/>
        <v>0</v>
      </c>
      <c r="E219" s="52">
        <f t="shared" si="211"/>
        <v>0</v>
      </c>
      <c r="F219" s="52">
        <f t="shared" si="211"/>
        <v>0</v>
      </c>
      <c r="G219" s="52">
        <f t="shared" ref="G219:I219" si="212">G195*G105</f>
        <v>0</v>
      </c>
      <c r="H219" s="52">
        <f t="shared" si="212"/>
        <v>0</v>
      </c>
      <c r="I219" s="52">
        <f t="shared" si="212"/>
        <v>0</v>
      </c>
      <c r="J219" s="52">
        <f t="shared" ref="J219:K219" si="213">J195*J105</f>
        <v>0</v>
      </c>
      <c r="K219" s="52">
        <f t="shared" si="213"/>
        <v>0</v>
      </c>
      <c r="L219" s="52">
        <f t="shared" ref="L219:M219" si="214">L195*L105</f>
        <v>0</v>
      </c>
      <c r="M219" s="52">
        <f t="shared" si="214"/>
        <v>0</v>
      </c>
      <c r="N219" s="52">
        <f t="shared" si="210"/>
        <v>0</v>
      </c>
      <c r="O219" s="131">
        <f ca="1">SUM(OFFSET($C219,0,0,1,mth))</f>
        <v>0</v>
      </c>
      <c r="P219" s="71"/>
    </row>
    <row r="220" customHeight="1" spans="1:18">
      <c r="A220" s="115" t="s">
        <v>139</v>
      </c>
      <c r="B220" s="50" t="s">
        <v>123</v>
      </c>
      <c r="C220" s="52">
        <f t="shared" ref="C220:F220" si="215">C196*C106</f>
        <v>84534.54</v>
      </c>
      <c r="D220" s="52">
        <f t="shared" si="215"/>
        <v>114408.3</v>
      </c>
      <c r="E220" s="52">
        <f t="shared" si="215"/>
        <v>84956.0300000001</v>
      </c>
      <c r="F220" s="52">
        <f t="shared" si="215"/>
        <v>118796.51</v>
      </c>
      <c r="G220" s="52">
        <f t="shared" ref="G220:I220" si="216">G196*G106</f>
        <v>127008.84</v>
      </c>
      <c r="H220" s="52">
        <f t="shared" si="216"/>
        <v>123893.82</v>
      </c>
      <c r="I220" s="52">
        <f t="shared" si="216"/>
        <v>0</v>
      </c>
      <c r="J220" s="52">
        <f t="shared" ref="J220:K220" si="217">J196*J106</f>
        <v>0</v>
      </c>
      <c r="K220" s="52">
        <f t="shared" si="217"/>
        <v>0</v>
      </c>
      <c r="L220" s="52">
        <f t="shared" ref="L220:M220" si="218">L196*L106</f>
        <v>0</v>
      </c>
      <c r="M220" s="52">
        <f t="shared" si="218"/>
        <v>0</v>
      </c>
      <c r="N220" s="52">
        <f t="shared" ref="N220" si="219">N196*N106</f>
        <v>0</v>
      </c>
      <c r="O220" s="131">
        <f ca="1" t="shared" si="205"/>
        <v>653598.04</v>
      </c>
      <c r="P220" s="71"/>
    </row>
    <row r="221" customHeight="1" spans="1:18">
      <c r="A221" s="115" t="s">
        <v>417</v>
      </c>
      <c r="B221" s="50" t="s">
        <v>123</v>
      </c>
      <c r="C221" s="52">
        <f t="shared" ref="C221:F221" si="220">C197*C107</f>
        <v>26879.9</v>
      </c>
      <c r="D221" s="52">
        <f t="shared" si="220"/>
        <v>39639.92</v>
      </c>
      <c r="E221" s="52">
        <f t="shared" si="220"/>
        <v>36665.17</v>
      </c>
      <c r="F221" s="52">
        <f t="shared" si="220"/>
        <v>44113.46</v>
      </c>
      <c r="G221" s="52">
        <f t="shared" ref="G221:L221" si="221">G197*G107</f>
        <v>39473.32</v>
      </c>
      <c r="H221" s="52">
        <f t="shared" si="221"/>
        <v>41479.96</v>
      </c>
      <c r="I221" s="52">
        <f t="shared" si="221"/>
        <v>0</v>
      </c>
      <c r="J221" s="52">
        <f t="shared" si="221"/>
        <v>0</v>
      </c>
      <c r="K221" s="52">
        <f t="shared" si="221"/>
        <v>0</v>
      </c>
      <c r="L221" s="52">
        <f t="shared" si="221"/>
        <v>0</v>
      </c>
      <c r="M221" s="52">
        <f t="shared" ref="M221:N221" si="222">M197*M107</f>
        <v>0</v>
      </c>
      <c r="N221" s="52">
        <f t="shared" si="222"/>
        <v>0</v>
      </c>
      <c r="O221" s="131">
        <f ca="1" t="shared" si="205"/>
        <v>228251.73</v>
      </c>
      <c r="P221" s="71"/>
    </row>
    <row r="222" customHeight="1" spans="1:18">
      <c r="A222" s="115" t="s">
        <v>141</v>
      </c>
      <c r="B222" s="50" t="s">
        <v>123</v>
      </c>
      <c r="C222" s="52">
        <f t="shared" ref="C222:F222" si="223">C198*C108</f>
        <v>30051.17</v>
      </c>
      <c r="D222" s="52">
        <f t="shared" si="223"/>
        <v>44556.09</v>
      </c>
      <c r="E222" s="52">
        <f t="shared" si="223"/>
        <v>42766.1400000001</v>
      </c>
      <c r="F222" s="52">
        <f t="shared" si="223"/>
        <v>51540.56</v>
      </c>
      <c r="G222" s="52">
        <f t="shared" ref="G222:I222" si="224">G198*G108</f>
        <v>65582.4300000001</v>
      </c>
      <c r="H222" s="52">
        <f t="shared" si="224"/>
        <v>65068.51</v>
      </c>
      <c r="I222" s="52">
        <f t="shared" si="224"/>
        <v>0</v>
      </c>
      <c r="J222" s="52">
        <f t="shared" ref="J222:K222" si="225">J198*J108</f>
        <v>0</v>
      </c>
      <c r="K222" s="52">
        <f t="shared" si="225"/>
        <v>0</v>
      </c>
      <c r="L222" s="52">
        <f t="shared" ref="L222:M222" si="226">L198*L108</f>
        <v>0</v>
      </c>
      <c r="M222" s="52">
        <f t="shared" si="226"/>
        <v>0</v>
      </c>
      <c r="N222" s="52">
        <f t="shared" ref="N222:N223" si="227">N198*N108</f>
        <v>0</v>
      </c>
      <c r="O222" s="131">
        <f ca="1" t="shared" si="205"/>
        <v>299564.9</v>
      </c>
      <c r="P222" s="71"/>
    </row>
    <row r="223" customHeight="1" spans="1:18">
      <c r="A223" s="115" t="s">
        <v>142</v>
      </c>
      <c r="B223" s="50" t="s">
        <v>123</v>
      </c>
      <c r="C223" s="52">
        <f t="shared" ref="C223:F223" si="228">C199*C109</f>
        <v>150312.87</v>
      </c>
      <c r="D223" s="52">
        <f t="shared" si="228"/>
        <v>183182.3</v>
      </c>
      <c r="E223" s="52">
        <f t="shared" si="228"/>
        <v>188436.72</v>
      </c>
      <c r="F223" s="52">
        <f t="shared" si="228"/>
        <v>212899.19</v>
      </c>
      <c r="G223" s="52">
        <f t="shared" ref="G223:I223" si="229">G199*G109</f>
        <v>258560.86</v>
      </c>
      <c r="H223" s="52">
        <f t="shared" si="229"/>
        <v>239601.03</v>
      </c>
      <c r="I223" s="52">
        <f t="shared" si="229"/>
        <v>0</v>
      </c>
      <c r="J223" s="52">
        <f t="shared" ref="J223:K223" si="230">J199*J109</f>
        <v>0</v>
      </c>
      <c r="K223" s="52">
        <f t="shared" si="230"/>
        <v>0</v>
      </c>
      <c r="L223" s="52">
        <f t="shared" ref="L223:M223" si="231">L199*L109</f>
        <v>0</v>
      </c>
      <c r="M223" s="52">
        <f t="shared" si="231"/>
        <v>0</v>
      </c>
      <c r="N223" s="52">
        <f t="shared" si="227"/>
        <v>0</v>
      </c>
      <c r="O223" s="131">
        <f ca="1" t="shared" si="205"/>
        <v>1232992.97</v>
      </c>
      <c r="P223" s="71"/>
    </row>
    <row r="224" customHeight="1" spans="1:18">
      <c r="A224" s="115" t="s">
        <v>143</v>
      </c>
      <c r="B224" s="50" t="s">
        <v>123</v>
      </c>
      <c r="C224" s="52">
        <f t="shared" ref="C224:F224" si="232">C200*C110</f>
        <v>3625.93999999999</v>
      </c>
      <c r="D224" s="52">
        <f t="shared" si="232"/>
        <v>4186.73000000001</v>
      </c>
      <c r="E224" s="52">
        <f t="shared" si="232"/>
        <v>3972.21</v>
      </c>
      <c r="F224" s="52">
        <f t="shared" si="232"/>
        <v>5155.05</v>
      </c>
      <c r="G224" s="52">
        <f t="shared" ref="G224:I224" si="233">G200*G110</f>
        <v>5424.12</v>
      </c>
      <c r="H224" s="52">
        <f t="shared" si="233"/>
        <v>5697.89</v>
      </c>
      <c r="I224" s="52">
        <f t="shared" si="233"/>
        <v>0</v>
      </c>
      <c r="J224" s="52">
        <f t="shared" ref="J224:K224" si="234">J200*J110</f>
        <v>0</v>
      </c>
      <c r="K224" s="52">
        <f t="shared" si="234"/>
        <v>0</v>
      </c>
      <c r="L224" s="52">
        <f t="shared" ref="L224:M224" si="235">L200*L110</f>
        <v>0</v>
      </c>
      <c r="M224" s="52">
        <f t="shared" si="235"/>
        <v>0</v>
      </c>
      <c r="N224" s="52">
        <f t="shared" ref="N224" si="236">N200*N110</f>
        <v>0</v>
      </c>
      <c r="O224" s="131">
        <f ca="1" t="shared" si="205"/>
        <v>28061.94</v>
      </c>
      <c r="P224" s="71"/>
    </row>
    <row r="225" customHeight="1" spans="1:17">
      <c r="A225" s="115" t="s">
        <v>144</v>
      </c>
      <c r="B225" s="50" t="s">
        <v>123</v>
      </c>
      <c r="C225" s="52">
        <f t="shared" ref="C225:F225" si="237">C201*C111</f>
        <v>3962.43</v>
      </c>
      <c r="D225" s="52">
        <f t="shared" si="237"/>
        <v>5327.36000000001</v>
      </c>
      <c r="E225" s="52">
        <f t="shared" si="237"/>
        <v>5201.71999999999</v>
      </c>
      <c r="F225" s="52">
        <f t="shared" si="237"/>
        <v>4866.11999999999</v>
      </c>
      <c r="G225" s="52">
        <f t="shared" ref="G225:L225" si="238">G201*G111</f>
        <v>6281.13000000001</v>
      </c>
      <c r="H225" s="52">
        <f t="shared" si="238"/>
        <v>5636.19</v>
      </c>
      <c r="I225" s="52">
        <f t="shared" si="238"/>
        <v>0</v>
      </c>
      <c r="J225" s="52">
        <f t="shared" si="238"/>
        <v>0</v>
      </c>
      <c r="K225" s="52">
        <f t="shared" si="238"/>
        <v>0</v>
      </c>
      <c r="L225" s="52">
        <f t="shared" si="238"/>
        <v>0</v>
      </c>
      <c r="M225" s="52">
        <f t="shared" ref="M225:N225" si="239">M201*M111</f>
        <v>0</v>
      </c>
      <c r="N225" s="52">
        <f t="shared" si="239"/>
        <v>0</v>
      </c>
      <c r="O225" s="131">
        <f ca="1" t="shared" si="205"/>
        <v>31274.95</v>
      </c>
      <c r="P225" s="71"/>
    </row>
    <row r="226" customHeight="1" spans="1:17">
      <c r="A226" s="115" t="s">
        <v>450</v>
      </c>
      <c r="B226" s="50" t="s">
        <v>123</v>
      </c>
      <c r="C226" s="52">
        <f t="shared" ref="C226" si="240">C202*C112</f>
        <v>0</v>
      </c>
      <c r="D226" s="52">
        <f t="shared" ref="D226" si="241">D202*D112</f>
        <v>0</v>
      </c>
      <c r="E226" s="52">
        <v>0</v>
      </c>
      <c r="F226" s="52">
        <v>0</v>
      </c>
      <c r="G226" s="52">
        <v>0</v>
      </c>
      <c r="H226" s="52">
        <v>0</v>
      </c>
      <c r="I226" s="52"/>
      <c r="J226" s="52"/>
      <c r="K226" s="52"/>
      <c r="L226" s="52"/>
      <c r="M226" s="52"/>
      <c r="N226" s="52">
        <f>T137+Y137+AA137</f>
        <v>0</v>
      </c>
      <c r="O226" s="131">
        <f ca="1" t="shared" si="205"/>
        <v>0</v>
      </c>
      <c r="P226" s="71"/>
    </row>
    <row r="227" customHeight="1" spans="1:17">
      <c r="A227" s="115" t="s">
        <v>151</v>
      </c>
      <c r="B227" s="50" t="s">
        <v>123</v>
      </c>
      <c r="C227" s="234"/>
      <c r="D227" s="234">
        <v>86.07</v>
      </c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131">
        <f ca="1">SUM(OFFSET($C227,0,0,1,mth))</f>
        <v>86.07</v>
      </c>
      <c r="P227" s="71"/>
    </row>
    <row r="228" customHeight="1" spans="1:17">
      <c r="A228" s="48" t="s">
        <v>232</v>
      </c>
      <c r="B228" s="50"/>
      <c r="C228" s="52">
        <f>SUM(C216:C227)</f>
        <v>454588.69</v>
      </c>
      <c r="D228" s="52">
        <f t="shared" ref="D228:H228" si="242">SUM(D216:D227)</f>
        <v>589355.08</v>
      </c>
      <c r="E228" s="52">
        <f t="shared" si="242"/>
        <v>557091.14</v>
      </c>
      <c r="F228" s="52">
        <f t="shared" si="242"/>
        <v>656412.6</v>
      </c>
      <c r="G228" s="52">
        <f t="shared" si="242"/>
        <v>787290.48</v>
      </c>
      <c r="H228" s="52">
        <f t="shared" si="242"/>
        <v>741051.53</v>
      </c>
      <c r="I228" s="235">
        <f t="shared" ref="I228:O228" si="243">SUM(I216:I227)</f>
        <v>0</v>
      </c>
      <c r="J228" s="130">
        <f t="shared" si="243"/>
        <v>0</v>
      </c>
      <c r="K228" s="52">
        <f t="shared" si="243"/>
        <v>0</v>
      </c>
      <c r="L228" s="235">
        <f t="shared" si="243"/>
        <v>0</v>
      </c>
      <c r="M228" s="52">
        <f t="shared" si="243"/>
        <v>0</v>
      </c>
      <c r="N228" s="52">
        <f t="shared" si="243"/>
        <v>0</v>
      </c>
      <c r="O228" s="131">
        <f ca="1" t="shared" si="243"/>
        <v>3785789.52</v>
      </c>
      <c r="P228" s="71"/>
      <c r="Q228" s="71"/>
    </row>
    <row r="229" ht="22.5" customHeight="1" spans="1:17">
      <c r="A229" s="232" t="s">
        <v>451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s="228"/>
      <c r="P229" s="71"/>
    </row>
    <row r="230" customHeight="1" spans="1:17">
      <c r="A230" s="48" t="s">
        <v>276</v>
      </c>
      <c r="B230" s="230" t="s">
        <v>77</v>
      </c>
      <c r="C230" s="236" t="s">
        <v>220</v>
      </c>
      <c r="D230" s="237" t="s">
        <v>221</v>
      </c>
      <c r="E230" s="237" t="s">
        <v>222</v>
      </c>
      <c r="F230" s="237" t="s">
        <v>223</v>
      </c>
      <c r="G230" s="237" t="s">
        <v>224</v>
      </c>
      <c r="H230" s="237" t="s">
        <v>225</v>
      </c>
      <c r="I230" s="237" t="s">
        <v>226</v>
      </c>
      <c r="J230" s="237" t="s">
        <v>227</v>
      </c>
      <c r="K230" s="237" t="s">
        <v>228</v>
      </c>
      <c r="L230" s="237" t="s">
        <v>229</v>
      </c>
      <c r="M230" s="237" t="s">
        <v>230</v>
      </c>
      <c r="N230" s="237" t="s">
        <v>231</v>
      </c>
      <c r="O230" s="238" t="str">
        <f>CONCATENATE("1-"&amp;mth&amp;"月累计")</f>
        <v>1-8月累计</v>
      </c>
      <c r="P230" s="71"/>
    </row>
    <row r="231" customHeight="1" spans="1:17">
      <c r="A231" s="115" t="s">
        <v>136</v>
      </c>
      <c r="B231" s="50" t="s">
        <v>123</v>
      </c>
      <c r="C231" s="52">
        <f t="shared" ref="C231:N231" si="244">C216*1.13</f>
        <v>38009.0867999999</v>
      </c>
      <c r="D231" s="52">
        <f t="shared" si="244"/>
        <v>44821.9472000002</v>
      </c>
      <c r="E231" s="52">
        <f t="shared" si="244"/>
        <v>46015.2158999999</v>
      </c>
      <c r="F231" s="52">
        <f t="shared" si="244"/>
        <v>51791.6855000001</v>
      </c>
      <c r="G231" s="52">
        <f t="shared" si="244"/>
        <v>67959.3412999998</v>
      </c>
      <c r="H231" s="52">
        <f t="shared" si="244"/>
        <v>58578.8271</v>
      </c>
      <c r="I231" s="52">
        <f t="shared" si="244"/>
        <v>0</v>
      </c>
      <c r="J231" s="52">
        <f t="shared" si="244"/>
        <v>0</v>
      </c>
      <c r="K231" s="52">
        <f t="shared" si="244"/>
        <v>0</v>
      </c>
      <c r="L231" s="52">
        <f t="shared" si="244"/>
        <v>0</v>
      </c>
      <c r="M231" s="52">
        <f t="shared" si="244"/>
        <v>0</v>
      </c>
      <c r="N231" s="52">
        <f t="shared" si="244"/>
        <v>0</v>
      </c>
      <c r="O231" s="131">
        <f ca="1">SUM(OFFSET($C231,0,0,1,mth))</f>
        <v>307176.1038</v>
      </c>
      <c r="P231" s="71"/>
    </row>
    <row r="232" customHeight="1" spans="1:17">
      <c r="A232" s="115" t="s">
        <v>137</v>
      </c>
      <c r="B232" s="50" t="s">
        <v>123</v>
      </c>
      <c r="C232" s="52">
        <f t="shared" ref="C232:N232" si="245">C217*1.13</f>
        <v>121435.563</v>
      </c>
      <c r="D232" s="52">
        <f t="shared" si="245"/>
        <v>155496.2603</v>
      </c>
      <c r="E232" s="52">
        <f t="shared" si="245"/>
        <v>154135.7403</v>
      </c>
      <c r="F232" s="52">
        <f t="shared" si="245"/>
        <v>172198.3722</v>
      </c>
      <c r="G232" s="52">
        <f t="shared" si="245"/>
        <v>230871.9724</v>
      </c>
      <c r="H232" s="52">
        <f t="shared" si="245"/>
        <v>210743.5084</v>
      </c>
      <c r="I232" s="52">
        <f t="shared" si="245"/>
        <v>0</v>
      </c>
      <c r="J232" s="52">
        <f t="shared" si="245"/>
        <v>0</v>
      </c>
      <c r="K232" s="52">
        <f t="shared" si="245"/>
        <v>0</v>
      </c>
      <c r="L232" s="52">
        <f t="shared" si="245"/>
        <v>0</v>
      </c>
      <c r="M232" s="52">
        <f t="shared" si="245"/>
        <v>0</v>
      </c>
      <c r="N232" s="52">
        <f t="shared" si="245"/>
        <v>0</v>
      </c>
      <c r="O232" s="131">
        <f ca="1" t="shared" ref="O232:O242" si="246">SUM(OFFSET($C232,0,0,1,mth))</f>
        <v>1044881.4166</v>
      </c>
      <c r="P232" s="71"/>
    </row>
    <row r="233" customHeight="1" spans="1:17">
      <c r="A233" s="115" t="s">
        <v>138</v>
      </c>
      <c r="B233" s="50" t="s">
        <v>123</v>
      </c>
      <c r="C233" s="52">
        <f t="shared" ref="C233:N233" si="247">C218*1.13</f>
        <v>15956.0294</v>
      </c>
      <c r="D233" s="52">
        <f t="shared" si="247"/>
        <v>23385.9828</v>
      </c>
      <c r="E233" s="52">
        <f t="shared" si="247"/>
        <v>20304.3033</v>
      </c>
      <c r="F233" s="52">
        <f t="shared" si="247"/>
        <v>23527.0746</v>
      </c>
      <c r="G233" s="52">
        <f t="shared" si="247"/>
        <v>23173.2377</v>
      </c>
      <c r="H233" s="52">
        <f t="shared" si="247"/>
        <v>24109.4314</v>
      </c>
      <c r="I233" s="52">
        <f t="shared" si="247"/>
        <v>0</v>
      </c>
      <c r="J233" s="52">
        <f t="shared" si="247"/>
        <v>0</v>
      </c>
      <c r="K233" s="52">
        <f t="shared" si="247"/>
        <v>0</v>
      </c>
      <c r="L233" s="52">
        <f t="shared" si="247"/>
        <v>0</v>
      </c>
      <c r="M233" s="52">
        <f t="shared" si="247"/>
        <v>0</v>
      </c>
      <c r="N233" s="52">
        <f t="shared" si="247"/>
        <v>0</v>
      </c>
      <c r="O233" s="131">
        <f ca="1" t="shared" si="246"/>
        <v>130456.0592</v>
      </c>
      <c r="P233" s="71"/>
    </row>
    <row r="234" customHeight="1" spans="1:17">
      <c r="A234" s="115" t="s">
        <v>261</v>
      </c>
      <c r="B234" s="50" t="s">
        <v>123</v>
      </c>
      <c r="C234" s="52">
        <f t="shared" ref="C234:N234" si="248">C219*1.13</f>
        <v>0</v>
      </c>
      <c r="D234" s="52">
        <f t="shared" si="248"/>
        <v>0</v>
      </c>
      <c r="E234" s="52">
        <f t="shared" si="248"/>
        <v>0</v>
      </c>
      <c r="F234" s="52">
        <f t="shared" si="248"/>
        <v>0</v>
      </c>
      <c r="G234" s="52">
        <f t="shared" si="248"/>
        <v>0</v>
      </c>
      <c r="H234" s="52">
        <f t="shared" si="248"/>
        <v>0</v>
      </c>
      <c r="I234" s="52">
        <f t="shared" si="248"/>
        <v>0</v>
      </c>
      <c r="J234" s="52">
        <f t="shared" si="248"/>
        <v>0</v>
      </c>
      <c r="K234" s="52">
        <f t="shared" si="248"/>
        <v>0</v>
      </c>
      <c r="L234" s="52">
        <f t="shared" si="248"/>
        <v>0</v>
      </c>
      <c r="M234" s="52">
        <f t="shared" si="248"/>
        <v>0</v>
      </c>
      <c r="N234" s="52">
        <f t="shared" si="248"/>
        <v>0</v>
      </c>
      <c r="O234" s="131">
        <f ca="1">SUM(OFFSET($C234,0,0,1,mth))</f>
        <v>0</v>
      </c>
      <c r="P234" s="71"/>
    </row>
    <row r="235" customHeight="1" spans="1:17">
      <c r="A235" s="115" t="s">
        <v>139</v>
      </c>
      <c r="B235" s="50" t="s">
        <v>123</v>
      </c>
      <c r="C235" s="52">
        <f t="shared" ref="C235:N235" si="249">C220*1.13</f>
        <v>95524.0302</v>
      </c>
      <c r="D235" s="52">
        <f t="shared" si="249"/>
        <v>129281.379</v>
      </c>
      <c r="E235" s="52">
        <f t="shared" si="249"/>
        <v>96000.3139000001</v>
      </c>
      <c r="F235" s="52">
        <f t="shared" si="249"/>
        <v>134240.0563</v>
      </c>
      <c r="G235" s="52">
        <f t="shared" si="249"/>
        <v>143519.9892</v>
      </c>
      <c r="H235" s="52">
        <f t="shared" si="249"/>
        <v>140000.0166</v>
      </c>
      <c r="I235" s="52">
        <f t="shared" si="249"/>
        <v>0</v>
      </c>
      <c r="J235" s="52">
        <f t="shared" si="249"/>
        <v>0</v>
      </c>
      <c r="K235" s="52">
        <f t="shared" si="249"/>
        <v>0</v>
      </c>
      <c r="L235" s="52">
        <f t="shared" si="249"/>
        <v>0</v>
      </c>
      <c r="M235" s="52">
        <f t="shared" si="249"/>
        <v>0</v>
      </c>
      <c r="N235" s="52">
        <f t="shared" si="249"/>
        <v>0</v>
      </c>
      <c r="O235" s="131">
        <f ca="1" t="shared" si="246"/>
        <v>738565.7852</v>
      </c>
      <c r="P235" s="71"/>
    </row>
    <row r="236" customHeight="1" spans="1:17">
      <c r="A236" s="115" t="s">
        <v>417</v>
      </c>
      <c r="B236" s="50" t="s">
        <v>123</v>
      </c>
      <c r="C236" s="52">
        <f t="shared" ref="C236:N236" si="250">C221*1.13</f>
        <v>30374.287</v>
      </c>
      <c r="D236" s="52">
        <f t="shared" si="250"/>
        <v>44793.1096</v>
      </c>
      <c r="E236" s="52">
        <f t="shared" si="250"/>
        <v>41431.6421</v>
      </c>
      <c r="F236" s="52">
        <f t="shared" si="250"/>
        <v>49848.2098</v>
      </c>
      <c r="G236" s="52">
        <f t="shared" si="250"/>
        <v>44604.8516</v>
      </c>
      <c r="H236" s="52">
        <f t="shared" si="250"/>
        <v>46872.3548</v>
      </c>
      <c r="I236" s="52">
        <f t="shared" si="250"/>
        <v>0</v>
      </c>
      <c r="J236" s="52">
        <f t="shared" si="250"/>
        <v>0</v>
      </c>
      <c r="K236" s="52">
        <f t="shared" si="250"/>
        <v>0</v>
      </c>
      <c r="L236" s="52">
        <f t="shared" si="250"/>
        <v>0</v>
      </c>
      <c r="M236" s="52">
        <f t="shared" si="250"/>
        <v>0</v>
      </c>
      <c r="N236" s="52">
        <f t="shared" si="250"/>
        <v>0</v>
      </c>
      <c r="O236" s="131">
        <f ca="1" t="shared" si="246"/>
        <v>257924.4549</v>
      </c>
      <c r="P236" s="71"/>
      <c r="Q236" s="68"/>
    </row>
    <row r="237" customHeight="1" spans="1:17">
      <c r="A237" s="115" t="s">
        <v>141</v>
      </c>
      <c r="B237" s="50" t="s">
        <v>123</v>
      </c>
      <c r="C237" s="52">
        <f t="shared" ref="C237:N237" si="251">C222*1.13</f>
        <v>33957.8221</v>
      </c>
      <c r="D237" s="52">
        <f t="shared" si="251"/>
        <v>50348.3817</v>
      </c>
      <c r="E237" s="52">
        <f t="shared" si="251"/>
        <v>48325.7382000001</v>
      </c>
      <c r="F237" s="52">
        <f t="shared" si="251"/>
        <v>58240.8328</v>
      </c>
      <c r="G237" s="52">
        <f t="shared" si="251"/>
        <v>74108.1459000001</v>
      </c>
      <c r="H237" s="52">
        <f t="shared" si="251"/>
        <v>73527.4163</v>
      </c>
      <c r="I237" s="52">
        <f t="shared" si="251"/>
        <v>0</v>
      </c>
      <c r="J237" s="52">
        <f t="shared" si="251"/>
        <v>0</v>
      </c>
      <c r="K237" s="52">
        <f t="shared" si="251"/>
        <v>0</v>
      </c>
      <c r="L237" s="52">
        <f t="shared" si="251"/>
        <v>0</v>
      </c>
      <c r="M237" s="52">
        <f t="shared" si="251"/>
        <v>0</v>
      </c>
      <c r="N237" s="52">
        <f t="shared" si="251"/>
        <v>0</v>
      </c>
      <c r="O237" s="131">
        <f ca="1" t="shared" si="246"/>
        <v>338508.337</v>
      </c>
      <c r="P237" s="71"/>
    </row>
    <row r="238" customHeight="1" spans="1:17">
      <c r="A238" s="115" t="s">
        <v>142</v>
      </c>
      <c r="B238" s="50" t="s">
        <v>123</v>
      </c>
      <c r="C238" s="52">
        <f t="shared" ref="C238:N238" si="252">C223*1.13</f>
        <v>169853.5431</v>
      </c>
      <c r="D238" s="52">
        <f t="shared" si="252"/>
        <v>206995.999</v>
      </c>
      <c r="E238" s="52">
        <f t="shared" si="252"/>
        <v>212933.4936</v>
      </c>
      <c r="F238" s="52">
        <f t="shared" si="252"/>
        <v>240576.0847</v>
      </c>
      <c r="G238" s="52">
        <f t="shared" si="252"/>
        <v>292173.7718</v>
      </c>
      <c r="H238" s="52">
        <f t="shared" si="252"/>
        <v>270749.1639</v>
      </c>
      <c r="I238" s="52">
        <f t="shared" si="252"/>
        <v>0</v>
      </c>
      <c r="J238" s="52">
        <f t="shared" si="252"/>
        <v>0</v>
      </c>
      <c r="K238" s="52">
        <f t="shared" si="252"/>
        <v>0</v>
      </c>
      <c r="L238" s="52">
        <f t="shared" si="252"/>
        <v>0</v>
      </c>
      <c r="M238" s="52">
        <f t="shared" si="252"/>
        <v>0</v>
      </c>
      <c r="N238" s="52">
        <f t="shared" si="252"/>
        <v>0</v>
      </c>
      <c r="O238" s="131">
        <f ca="1" t="shared" si="246"/>
        <v>1393282.0561</v>
      </c>
      <c r="P238" s="71"/>
    </row>
    <row r="239" customHeight="1" spans="1:17">
      <c r="A239" s="115" t="s">
        <v>143</v>
      </c>
      <c r="B239" s="50" t="s">
        <v>123</v>
      </c>
      <c r="C239" s="52">
        <f t="shared" ref="C239:N239" si="253">C224*1.13</f>
        <v>4097.31219999999</v>
      </c>
      <c r="D239" s="52">
        <f t="shared" si="253"/>
        <v>4731.00490000001</v>
      </c>
      <c r="E239" s="52">
        <f t="shared" si="253"/>
        <v>4488.5973</v>
      </c>
      <c r="F239" s="52">
        <f t="shared" si="253"/>
        <v>5825.2065</v>
      </c>
      <c r="G239" s="52">
        <f t="shared" si="253"/>
        <v>6129.2556</v>
      </c>
      <c r="H239" s="52">
        <f t="shared" si="253"/>
        <v>6438.6157</v>
      </c>
      <c r="I239" s="52">
        <f t="shared" si="253"/>
        <v>0</v>
      </c>
      <c r="J239" s="52">
        <f t="shared" si="253"/>
        <v>0</v>
      </c>
      <c r="K239" s="52">
        <f t="shared" si="253"/>
        <v>0</v>
      </c>
      <c r="L239" s="52">
        <f t="shared" si="253"/>
        <v>0</v>
      </c>
      <c r="M239" s="52">
        <f t="shared" si="253"/>
        <v>0</v>
      </c>
      <c r="N239" s="52">
        <f t="shared" si="253"/>
        <v>0</v>
      </c>
      <c r="O239" s="131">
        <f ca="1" t="shared" si="246"/>
        <v>31709.9922</v>
      </c>
      <c r="P239" s="71"/>
    </row>
    <row r="240" customHeight="1" spans="1:17">
      <c r="A240" s="115" t="s">
        <v>144</v>
      </c>
      <c r="B240" s="50" t="s">
        <v>123</v>
      </c>
      <c r="C240" s="52">
        <f t="shared" ref="C240:N240" si="254">C225*1.13</f>
        <v>4477.5459</v>
      </c>
      <c r="D240" s="52">
        <f t="shared" si="254"/>
        <v>6019.91680000002</v>
      </c>
      <c r="E240" s="52">
        <f t="shared" si="254"/>
        <v>5877.94359999999</v>
      </c>
      <c r="F240" s="52">
        <f t="shared" si="254"/>
        <v>5498.71559999999</v>
      </c>
      <c r="G240" s="52">
        <f t="shared" si="254"/>
        <v>7097.67690000002</v>
      </c>
      <c r="H240" s="52">
        <f t="shared" si="254"/>
        <v>6368.8947</v>
      </c>
      <c r="I240" s="52">
        <f t="shared" si="254"/>
        <v>0</v>
      </c>
      <c r="J240" s="52">
        <f t="shared" si="254"/>
        <v>0</v>
      </c>
      <c r="K240" s="52">
        <f t="shared" si="254"/>
        <v>0</v>
      </c>
      <c r="L240" s="52">
        <f t="shared" si="254"/>
        <v>0</v>
      </c>
      <c r="M240" s="52">
        <f t="shared" si="254"/>
        <v>0</v>
      </c>
      <c r="N240" s="52">
        <f t="shared" si="254"/>
        <v>0</v>
      </c>
      <c r="O240" s="131">
        <f ca="1" t="shared" si="246"/>
        <v>35340.6935</v>
      </c>
      <c r="P240" s="71"/>
    </row>
    <row r="241" customHeight="1" spans="1:22">
      <c r="A241" s="115" t="s">
        <v>450</v>
      </c>
      <c r="B241" s="50" t="s">
        <v>123</v>
      </c>
      <c r="C241" s="52">
        <f t="shared" ref="C241:N241" si="255">C226*1.13</f>
        <v>0</v>
      </c>
      <c r="D241" s="52">
        <f t="shared" si="255"/>
        <v>0</v>
      </c>
      <c r="E241" s="52">
        <f t="shared" si="255"/>
        <v>0</v>
      </c>
      <c r="F241" s="52">
        <f t="shared" si="255"/>
        <v>0</v>
      </c>
      <c r="G241" s="52">
        <f t="shared" si="255"/>
        <v>0</v>
      </c>
      <c r="H241" s="52">
        <f t="shared" si="255"/>
        <v>0</v>
      </c>
      <c r="I241" s="52">
        <f t="shared" si="255"/>
        <v>0</v>
      </c>
      <c r="J241" s="52">
        <f t="shared" si="255"/>
        <v>0</v>
      </c>
      <c r="K241" s="52">
        <f t="shared" si="255"/>
        <v>0</v>
      </c>
      <c r="L241" s="52">
        <f t="shared" si="255"/>
        <v>0</v>
      </c>
      <c r="M241" s="52">
        <f t="shared" si="255"/>
        <v>0</v>
      </c>
      <c r="N241" s="52">
        <f t="shared" si="255"/>
        <v>0</v>
      </c>
      <c r="O241" s="131">
        <f ca="1" t="shared" si="246"/>
        <v>0</v>
      </c>
      <c r="P241" s="71"/>
    </row>
    <row r="242" customHeight="1" spans="1:22">
      <c r="A242" s="115" t="s">
        <v>151</v>
      </c>
      <c r="B242" s="50" t="s">
        <v>123</v>
      </c>
      <c r="C242" s="52">
        <f t="shared" ref="C242:N242" si="256">C227*1.13</f>
        <v>0</v>
      </c>
      <c r="D242" s="52">
        <f t="shared" si="256"/>
        <v>97.2591</v>
      </c>
      <c r="E242" s="52">
        <f t="shared" si="256"/>
        <v>0</v>
      </c>
      <c r="F242" s="52">
        <f t="shared" si="256"/>
        <v>0</v>
      </c>
      <c r="G242" s="52">
        <f t="shared" si="256"/>
        <v>0</v>
      </c>
      <c r="H242" s="52">
        <f t="shared" si="256"/>
        <v>0</v>
      </c>
      <c r="I242" s="52">
        <f t="shared" si="256"/>
        <v>0</v>
      </c>
      <c r="J242" s="52">
        <f t="shared" si="256"/>
        <v>0</v>
      </c>
      <c r="K242" s="52">
        <f t="shared" si="256"/>
        <v>0</v>
      </c>
      <c r="L242" s="52">
        <f t="shared" si="256"/>
        <v>0</v>
      </c>
      <c r="M242" s="52">
        <f t="shared" si="256"/>
        <v>0</v>
      </c>
      <c r="N242" s="52">
        <f t="shared" si="256"/>
        <v>0</v>
      </c>
      <c r="O242" s="131">
        <f ca="1" t="shared" si="246"/>
        <v>97.2591</v>
      </c>
      <c r="P242" s="71"/>
    </row>
    <row r="243" customHeight="1" spans="1:22">
      <c r="A243" s="48" t="s">
        <v>232</v>
      </c>
      <c r="B243" s="50"/>
      <c r="C243" s="52">
        <f>SUM(C231:C242)</f>
        <v>513685.2197</v>
      </c>
      <c r="D243" s="52">
        <f t="shared" ref="D243:H243" si="257">SUM(D231:D242)</f>
        <v>665971.2404</v>
      </c>
      <c r="E243" s="52">
        <f t="shared" si="257"/>
        <v>629512.9882</v>
      </c>
      <c r="F243" s="52">
        <f t="shared" si="257"/>
        <v>741746.238</v>
      </c>
      <c r="G243" s="52">
        <f t="shared" si="257"/>
        <v>889638.2424</v>
      </c>
      <c r="H243" s="52">
        <f t="shared" si="257"/>
        <v>837388.2289</v>
      </c>
      <c r="I243" s="52">
        <f t="shared" ref="I243:O243" si="258">SUM(I231:I242)</f>
        <v>0</v>
      </c>
      <c r="J243" s="130">
        <f t="shared" si="258"/>
        <v>0</v>
      </c>
      <c r="K243" s="52">
        <f t="shared" si="258"/>
        <v>0</v>
      </c>
      <c r="L243" s="52">
        <f t="shared" si="258"/>
        <v>0</v>
      </c>
      <c r="M243" s="52">
        <f t="shared" si="258"/>
        <v>0</v>
      </c>
      <c r="N243" s="52">
        <f t="shared" si="258"/>
        <v>0</v>
      </c>
      <c r="O243" s="131">
        <f ca="1" t="shared" si="258"/>
        <v>4277942.1576</v>
      </c>
      <c r="P243" s="71"/>
      <c r="Q243" s="71"/>
    </row>
    <row r="244" customHeight="1" spans="1:22">
      <c r="A244" s="239" t="s">
        <v>271</v>
      </c>
      <c r="B244" s="239"/>
      <c r="C244" s="137" t="s">
        <v>339</v>
      </c>
      <c r="D244" s="240"/>
      <c r="F244" s="38"/>
      <c r="G244" s="96"/>
      <c r="N244" s="71"/>
      <c r="P244" s="71"/>
      <c r="Q244" s="87"/>
      <c r="R244" s="241" t="s">
        <v>452</v>
      </c>
      <c r="S244" s="242"/>
    </row>
    <row r="245" customFormat="1" ht="16.5" customHeight="1" spans="1:22">
      <c r="A245" s="185" t="s">
        <v>250</v>
      </c>
      <c r="B245" s="106" t="s">
        <v>77</v>
      </c>
      <c r="C245" s="107" t="s">
        <v>220</v>
      </c>
      <c r="D245" s="107" t="s">
        <v>221</v>
      </c>
      <c r="E245" s="107" t="s">
        <v>222</v>
      </c>
      <c r="F245" s="107" t="s">
        <v>223</v>
      </c>
      <c r="G245" s="107" t="s">
        <v>224</v>
      </c>
      <c r="H245" s="107" t="s">
        <v>225</v>
      </c>
      <c r="I245" s="107" t="s">
        <v>226</v>
      </c>
      <c r="J245" s="107" t="s">
        <v>227</v>
      </c>
      <c r="K245" s="107" t="s">
        <v>228</v>
      </c>
      <c r="L245" s="107" t="s">
        <v>229</v>
      </c>
      <c r="M245" s="107" t="s">
        <v>230</v>
      </c>
      <c r="N245" s="107" t="s">
        <v>231</v>
      </c>
      <c r="O245" s="175" t="str">
        <f>CONCATENATE("1-"&amp;mth&amp;"月累计")</f>
        <v>1-8月累计</v>
      </c>
      <c r="P245" s="71"/>
      <c r="Q245" s="87"/>
      <c r="R245" s="242" t="s">
        <v>426</v>
      </c>
      <c r="S245" s="242" t="s">
        <v>453</v>
      </c>
      <c r="U245" s="104" t="s">
        <v>454</v>
      </c>
    </row>
    <row r="246" customFormat="1" ht="15.75" spans="1:22">
      <c r="A246" s="191" t="s">
        <v>152</v>
      </c>
      <c r="B246" s="50" t="s">
        <v>167</v>
      </c>
      <c r="C246" s="192">
        <v>26360</v>
      </c>
      <c r="D246" s="192">
        <v>33800</v>
      </c>
      <c r="E246" s="192">
        <v>33420</v>
      </c>
      <c r="F246" s="192">
        <v>19140</v>
      </c>
      <c r="G246" s="192">
        <v>15440</v>
      </c>
      <c r="H246" s="192">
        <f>$R$246</f>
        <v>19100</v>
      </c>
      <c r="I246" s="192"/>
      <c r="J246" s="192"/>
      <c r="K246" s="192"/>
      <c r="L246" s="192"/>
      <c r="M246" s="192"/>
      <c r="N246" s="192"/>
      <c r="O246" s="193">
        <f ca="1" t="shared" ref="O246:O256" si="259">SUM(OFFSET($C246,0,0,1,mth))</f>
        <v>147260</v>
      </c>
      <c r="P246" s="71"/>
      <c r="Q246" s="243" t="s">
        <v>152</v>
      </c>
      <c r="R246" s="243">
        <v>19100</v>
      </c>
      <c r="S246" s="243">
        <v>67610.63</v>
      </c>
      <c r="T246" s="244">
        <f>IF(R246=0,0,S246/R246)</f>
        <v>3.53982356020942</v>
      </c>
      <c r="U246" s="245">
        <v>3.53983678756477</v>
      </c>
      <c r="V246" s="190"/>
    </row>
    <row r="247" customFormat="1" ht="15.75" spans="1:22">
      <c r="A247" s="191" t="s">
        <v>455</v>
      </c>
      <c r="B247" s="50" t="s">
        <v>167</v>
      </c>
      <c r="C247" s="192">
        <v>18894.5</v>
      </c>
      <c r="D247" s="192">
        <v>30541.2</v>
      </c>
      <c r="E247" s="192">
        <v>25156.5</v>
      </c>
      <c r="F247" s="192">
        <v>20450.7</v>
      </c>
      <c r="G247" s="192">
        <v>21061.4</v>
      </c>
      <c r="H247" s="192">
        <f>$R$247*0.31</f>
        <v>26015.2</v>
      </c>
      <c r="I247" s="192"/>
      <c r="J247" s="192"/>
      <c r="K247" s="192"/>
      <c r="L247" s="192"/>
      <c r="M247" s="192"/>
      <c r="N247" s="192"/>
      <c r="O247" s="193">
        <f ca="1" t="shared" si="259"/>
        <v>142119.5</v>
      </c>
      <c r="P247" s="71"/>
      <c r="Q247" s="243" t="s">
        <v>153</v>
      </c>
      <c r="R247" s="243">
        <v>83920</v>
      </c>
      <c r="S247" s="243">
        <v>27106.92</v>
      </c>
      <c r="T247" s="244">
        <f>IF(R247=0,0,S247/R247)</f>
        <v>0.323009056244042</v>
      </c>
      <c r="U247" s="245">
        <v>0.323008831321755</v>
      </c>
      <c r="V247" s="190"/>
    </row>
    <row r="248" customFormat="1" ht="15.75" spans="1:22">
      <c r="A248" s="191" t="s">
        <v>456</v>
      </c>
      <c r="B248" s="50" t="s">
        <v>167</v>
      </c>
      <c r="C248" s="192">
        <v>22774.4</v>
      </c>
      <c r="D248" s="192">
        <v>40544</v>
      </c>
      <c r="E248" s="192">
        <v>30723.2</v>
      </c>
      <c r="F248" s="192">
        <v>24960</v>
      </c>
      <c r="G248" s="192">
        <v>26188.8</v>
      </c>
      <c r="H248" s="192">
        <f>$R$248*0.32</f>
        <v>29843.2</v>
      </c>
      <c r="I248" s="192"/>
      <c r="J248" s="192"/>
      <c r="K248" s="192"/>
      <c r="L248" s="192"/>
      <c r="M248" s="192"/>
      <c r="N248" s="192"/>
      <c r="O248" s="193">
        <f ca="1" t="shared" si="259"/>
        <v>175033.6</v>
      </c>
      <c r="P248" s="71"/>
      <c r="Q248" s="243" t="s">
        <v>154</v>
      </c>
      <c r="R248" s="243">
        <v>93260</v>
      </c>
      <c r="S248" s="243">
        <v>96461.63</v>
      </c>
      <c r="T248" s="244">
        <f t="shared" ref="T247:T258" si="260">IF(R248=0,0,S248/R248)</f>
        <v>1.03433015226249</v>
      </c>
      <c r="U248" s="245">
        <v>1.03535496089932</v>
      </c>
      <c r="V248" s="190"/>
    </row>
    <row r="249" customFormat="1" ht="15.75" spans="1:22">
      <c r="A249" s="123" t="s">
        <v>272</v>
      </c>
      <c r="B249" s="50" t="s">
        <v>167</v>
      </c>
      <c r="C249" s="192">
        <v>400</v>
      </c>
      <c r="D249" s="192">
        <v>600</v>
      </c>
      <c r="E249" s="192">
        <v>720</v>
      </c>
      <c r="F249" s="192">
        <v>400</v>
      </c>
      <c r="G249" s="192">
        <v>440</v>
      </c>
      <c r="H249" s="192">
        <f>$R$249</f>
        <v>440</v>
      </c>
      <c r="I249" s="192"/>
      <c r="J249" s="192"/>
      <c r="K249" s="192"/>
      <c r="L249" s="192"/>
      <c r="M249" s="192"/>
      <c r="N249" s="192"/>
      <c r="O249" s="193">
        <f ca="1">SUM(OFFSET($C249,0,0,1,mth))</f>
        <v>3000</v>
      </c>
      <c r="P249" s="71"/>
      <c r="Q249" s="243" t="s">
        <v>155</v>
      </c>
      <c r="R249" s="243">
        <v>440</v>
      </c>
      <c r="S249" s="243">
        <v>935.43</v>
      </c>
      <c r="T249" s="244">
        <f t="shared" si="260"/>
        <v>2.12597727272727</v>
      </c>
      <c r="U249" s="245">
        <v>2.12852272727273</v>
      </c>
      <c r="V249" s="190"/>
    </row>
    <row r="250" customFormat="1" ht="15.75" spans="1:22">
      <c r="A250" s="191" t="s">
        <v>156</v>
      </c>
      <c r="B250" s="50" t="s">
        <v>167</v>
      </c>
      <c r="C250" s="192">
        <v>342.8</v>
      </c>
      <c r="D250" s="192">
        <v>213.2</v>
      </c>
      <c r="E250" s="192">
        <v>231.4</v>
      </c>
      <c r="F250" s="192">
        <v>207.4</v>
      </c>
      <c r="G250" s="192">
        <v>221.1</v>
      </c>
      <c r="H250" s="192">
        <f>$R$250</f>
        <v>161.1</v>
      </c>
      <c r="I250" s="192"/>
      <c r="J250" s="192"/>
      <c r="K250" s="192"/>
      <c r="L250" s="192"/>
      <c r="M250" s="192"/>
      <c r="N250" s="192"/>
      <c r="O250" s="193">
        <f ca="1" t="shared" si="259"/>
        <v>1377</v>
      </c>
      <c r="P250" s="71"/>
      <c r="Q250" s="243" t="s">
        <v>156</v>
      </c>
      <c r="R250" s="243">
        <v>161.1</v>
      </c>
      <c r="S250" s="243">
        <v>5702.66</v>
      </c>
      <c r="T250" s="244">
        <f t="shared" si="260"/>
        <v>35.3982619490999</v>
      </c>
      <c r="U250" s="245">
        <v>35.3982813206694</v>
      </c>
      <c r="V250" s="190"/>
    </row>
    <row r="251" customFormat="1" ht="15.75" spans="1:22">
      <c r="A251" s="191" t="s">
        <v>157</v>
      </c>
      <c r="B251" s="50" t="s">
        <v>167</v>
      </c>
      <c r="C251" s="192">
        <v>780</v>
      </c>
      <c r="D251" s="192">
        <v>822</v>
      </c>
      <c r="E251" s="192">
        <v>1097</v>
      </c>
      <c r="F251" s="192">
        <v>806</v>
      </c>
      <c r="G251" s="192">
        <v>887</v>
      </c>
      <c r="H251" s="192">
        <f>$R$251</f>
        <v>1015</v>
      </c>
      <c r="I251" s="192"/>
      <c r="J251" s="192"/>
      <c r="K251" s="192"/>
      <c r="L251" s="192"/>
      <c r="M251" s="192"/>
      <c r="N251" s="192"/>
      <c r="O251" s="193">
        <f ca="1" t="shared" si="259"/>
        <v>5407</v>
      </c>
      <c r="P251" s="71"/>
      <c r="Q251" s="243" t="s">
        <v>157</v>
      </c>
      <c r="R251" s="243">
        <v>1015</v>
      </c>
      <c r="S251" s="243">
        <v>18862.92</v>
      </c>
      <c r="T251" s="244">
        <f t="shared" si="260"/>
        <v>18.584157635468</v>
      </c>
      <c r="U251" s="245">
        <v>18.5816459977452</v>
      </c>
      <c r="V251" s="190"/>
    </row>
    <row r="252" customFormat="1" ht="15.75" spans="1:22">
      <c r="A252" s="191" t="s">
        <v>158</v>
      </c>
      <c r="B252" s="50" t="s">
        <v>167</v>
      </c>
      <c r="C252" s="192">
        <v>51.4</v>
      </c>
      <c r="D252" s="192">
        <v>59.6</v>
      </c>
      <c r="E252" s="192">
        <v>141.9</v>
      </c>
      <c r="F252" s="192">
        <v>140.6</v>
      </c>
      <c r="G252" s="192">
        <v>97.8</v>
      </c>
      <c r="H252" s="192">
        <f>$R$252</f>
        <v>168.2</v>
      </c>
      <c r="I252" s="192"/>
      <c r="J252" s="192"/>
      <c r="K252" s="192"/>
      <c r="L252" s="192"/>
      <c r="M252" s="192"/>
      <c r="N252" s="192"/>
      <c r="O252" s="193">
        <f ca="1" t="shared" si="259"/>
        <v>659.5</v>
      </c>
      <c r="P252" s="71"/>
      <c r="Q252" s="243" t="s">
        <v>158</v>
      </c>
      <c r="R252" s="243">
        <v>168.2</v>
      </c>
      <c r="S252" s="243">
        <v>5953.96</v>
      </c>
      <c r="T252" s="244">
        <f t="shared" si="260"/>
        <v>35.3980975029727</v>
      </c>
      <c r="U252" s="245">
        <v>35.39836400818</v>
      </c>
      <c r="V252" s="190"/>
    </row>
    <row r="253" customFormat="1" ht="15.75" spans="1:22">
      <c r="A253" s="191" t="s">
        <v>159</v>
      </c>
      <c r="B253" s="50" t="s">
        <v>167</v>
      </c>
      <c r="C253" s="192">
        <v>16.5</v>
      </c>
      <c r="D253" s="192">
        <v>223</v>
      </c>
      <c r="E253" s="192">
        <v>761.1</v>
      </c>
      <c r="F253" s="192">
        <v>735.7</v>
      </c>
      <c r="G253" s="192">
        <v>658.7</v>
      </c>
      <c r="H253" s="192">
        <f>$R$253</f>
        <v>845.5</v>
      </c>
      <c r="I253" s="192"/>
      <c r="J253" s="192"/>
      <c r="K253" s="192"/>
      <c r="L253" s="192"/>
      <c r="M253" s="192"/>
      <c r="N253" s="192"/>
      <c r="O253" s="193">
        <f ca="1" t="shared" si="259"/>
        <v>3240.5</v>
      </c>
      <c r="P253" s="71"/>
      <c r="Q253" s="243" t="s">
        <v>159</v>
      </c>
      <c r="R253" s="243">
        <v>845.5</v>
      </c>
      <c r="S253" s="243">
        <v>51627.87</v>
      </c>
      <c r="T253" s="244">
        <f t="shared" si="260"/>
        <v>61.0619396806623</v>
      </c>
      <c r="U253" s="245">
        <v>61.0619705480492</v>
      </c>
      <c r="V253" s="190"/>
    </row>
    <row r="254" customFormat="1" ht="15.75" spans="1:22">
      <c r="A254" s="191" t="s">
        <v>160</v>
      </c>
      <c r="B254" s="50" t="s">
        <v>167</v>
      </c>
      <c r="C254" s="192">
        <v>300</v>
      </c>
      <c r="D254" s="192">
        <v>234.6</v>
      </c>
      <c r="E254" s="192">
        <v>201.1</v>
      </c>
      <c r="F254" s="192">
        <v>177.3</v>
      </c>
      <c r="G254" s="192">
        <v>127.8</v>
      </c>
      <c r="H254" s="192">
        <f>$R$254</f>
        <v>255.2</v>
      </c>
      <c r="I254" s="192"/>
      <c r="J254" s="192"/>
      <c r="K254" s="192"/>
      <c r="L254" s="192"/>
      <c r="M254" s="192"/>
      <c r="N254" s="192"/>
      <c r="O254" s="193">
        <f ca="1" t="shared" si="259"/>
        <v>1296</v>
      </c>
      <c r="P254" s="71"/>
      <c r="Q254" s="243" t="s">
        <v>160</v>
      </c>
      <c r="R254" s="243">
        <v>255.2</v>
      </c>
      <c r="S254" s="243">
        <v>6213.99</v>
      </c>
      <c r="T254" s="244">
        <f t="shared" si="260"/>
        <v>24.3494905956113</v>
      </c>
      <c r="U254" s="245">
        <v>24.4024256651017</v>
      </c>
      <c r="V254" s="190"/>
    </row>
    <row r="255" customFormat="1" ht="15.75" spans="1:22">
      <c r="A255" s="191" t="s">
        <v>161</v>
      </c>
      <c r="B255" s="50" t="s">
        <v>167</v>
      </c>
      <c r="C255" s="192">
        <v>0</v>
      </c>
      <c r="D255" s="192">
        <v>0</v>
      </c>
      <c r="E255" s="192">
        <v>0</v>
      </c>
      <c r="F255" s="192">
        <v>0</v>
      </c>
      <c r="G255" s="192">
        <v>50</v>
      </c>
      <c r="H255" s="192">
        <f>$R$255</f>
        <v>100</v>
      </c>
      <c r="I255" s="192"/>
      <c r="J255" s="192"/>
      <c r="K255" s="192"/>
      <c r="L255" s="192"/>
      <c r="M255" s="192"/>
      <c r="N255" s="192"/>
      <c r="O255" s="193">
        <f ca="1" t="shared" si="259"/>
        <v>150</v>
      </c>
      <c r="P255" s="71"/>
      <c r="Q255" s="243" t="s">
        <v>161</v>
      </c>
      <c r="R255" s="243">
        <v>100</v>
      </c>
      <c r="S255" s="243">
        <v>52920.35</v>
      </c>
      <c r="T255" s="244">
        <f t="shared" si="260"/>
        <v>529.2035</v>
      </c>
      <c r="U255" s="245">
        <v>529.2036</v>
      </c>
      <c r="V255" s="190"/>
    </row>
    <row r="256" customFormat="1" ht="15.75" spans="1:22">
      <c r="A256" s="246" t="s">
        <v>162</v>
      </c>
      <c r="B256" s="50" t="s">
        <v>167</v>
      </c>
      <c r="C256" s="192">
        <v>0</v>
      </c>
      <c r="D256" s="192">
        <v>0</v>
      </c>
      <c r="E256" s="192">
        <v>0</v>
      </c>
      <c r="F256" s="192">
        <v>0</v>
      </c>
      <c r="G256" s="192">
        <v>0</v>
      </c>
      <c r="H256" s="192">
        <f>$R$256</f>
        <v>0</v>
      </c>
      <c r="I256" s="247"/>
      <c r="J256" s="247"/>
      <c r="K256" s="247"/>
      <c r="L256" s="247"/>
      <c r="M256" s="247"/>
      <c r="N256" s="192"/>
      <c r="O256" s="193">
        <f ca="1" t="shared" si="259"/>
        <v>0</v>
      </c>
      <c r="P256" s="71"/>
      <c r="Q256" s="243" t="s">
        <v>162</v>
      </c>
      <c r="R256" s="243">
        <v>0</v>
      </c>
      <c r="S256" s="243">
        <v>0</v>
      </c>
      <c r="T256" s="244">
        <f t="shared" si="260"/>
        <v>0</v>
      </c>
      <c r="U256" s="245">
        <v>0</v>
      </c>
      <c r="V256" s="190"/>
    </row>
    <row r="257" customFormat="1" ht="15.75" spans="1:21">
      <c r="A257" s="246" t="s">
        <v>163</v>
      </c>
      <c r="B257" s="50" t="s">
        <v>167</v>
      </c>
      <c r="C257" s="192">
        <v>0</v>
      </c>
      <c r="D257" s="192">
        <v>0</v>
      </c>
      <c r="E257" s="192">
        <v>0</v>
      </c>
      <c r="F257" s="192">
        <v>0</v>
      </c>
      <c r="G257" s="192">
        <v>0</v>
      </c>
      <c r="H257" s="192">
        <f>$R$257</f>
        <v>0</v>
      </c>
      <c r="I257" s="192"/>
      <c r="J257" s="192"/>
      <c r="K257" s="192"/>
      <c r="L257" s="192"/>
      <c r="M257" s="192"/>
      <c r="N257" s="192"/>
      <c r="O257" s="193">
        <f ca="1">SUM(OFFSET($C257,0,0,1,mth))</f>
        <v>0</v>
      </c>
      <c r="P257" s="71"/>
      <c r="Q257" s="248" t="s">
        <v>163</v>
      </c>
      <c r="R257" s="243">
        <v>0</v>
      </c>
      <c r="S257" s="243">
        <v>0</v>
      </c>
      <c r="T257" s="244">
        <f t="shared" si="260"/>
        <v>0</v>
      </c>
      <c r="U257" s="245">
        <v>0</v>
      </c>
    </row>
    <row r="258" customHeight="1" spans="1:21">
      <c r="A258" s="46" t="s">
        <v>273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s="228"/>
      <c r="P258" s="71"/>
      <c r="Q258" s="87" t="s">
        <v>457</v>
      </c>
      <c r="R258" s="87">
        <v>2700</v>
      </c>
      <c r="S258" s="87">
        <v>6794.41</v>
      </c>
      <c r="T258" s="244">
        <f t="shared" si="260"/>
        <v>2.51644814814815</v>
      </c>
      <c r="U258" s="95">
        <v>2.56402376237624</v>
      </c>
    </row>
    <row r="259" customHeight="1" spans="1:21">
      <c r="A259" s="229" t="s">
        <v>250</v>
      </c>
      <c r="B259" s="230" t="s">
        <v>77</v>
      </c>
      <c r="C259" s="107" t="s">
        <v>220</v>
      </c>
      <c r="D259" s="107" t="s">
        <v>221</v>
      </c>
      <c r="E259" s="107" t="s">
        <v>222</v>
      </c>
      <c r="F259" s="107" t="s">
        <v>223</v>
      </c>
      <c r="G259" s="107" t="s">
        <v>224</v>
      </c>
      <c r="H259" s="107" t="s">
        <v>225</v>
      </c>
      <c r="I259" s="107" t="s">
        <v>226</v>
      </c>
      <c r="J259" s="107" t="s">
        <v>227</v>
      </c>
      <c r="K259" s="107" t="s">
        <v>228</v>
      </c>
      <c r="L259" s="107" t="s">
        <v>229</v>
      </c>
      <c r="M259" s="107" t="s">
        <v>230</v>
      </c>
      <c r="N259" s="107" t="s">
        <v>231</v>
      </c>
      <c r="O259" s="175" t="str">
        <f>CONCATENATE("1-"&amp;mth&amp;"月累计")</f>
        <v>1-8月累计</v>
      </c>
      <c r="P259" s="71"/>
    </row>
    <row r="260" customHeight="1" spans="1:21">
      <c r="A260" s="115" t="s">
        <v>152</v>
      </c>
      <c r="B260" s="50" t="s">
        <v>123</v>
      </c>
      <c r="C260" s="231">
        <v>3.58407018209408</v>
      </c>
      <c r="D260" s="231">
        <v>3.58407071005917</v>
      </c>
      <c r="E260" s="231">
        <v>3.58407121484141</v>
      </c>
      <c r="F260" s="231">
        <v>3.57148328108673</v>
      </c>
      <c r="G260" s="231">
        <v>3.53983678756477</v>
      </c>
      <c r="H260" s="231">
        <f>IF(H246=0,0,$S$246/H246)</f>
        <v>3.53982356020942</v>
      </c>
      <c r="I260" s="231"/>
      <c r="J260" s="231"/>
      <c r="K260" s="231"/>
      <c r="L260" s="231"/>
      <c r="M260" s="231"/>
      <c r="N260" s="231"/>
      <c r="O260" s="140">
        <f ca="1" t="shared" ref="O260:O271" si="261">IF(O288=0,,O288/O246)</f>
        <v>3.57205785685183</v>
      </c>
      <c r="P260" s="249"/>
      <c r="S260" s="38">
        <f>SUM(S246:S258)</f>
        <v>340190.77</v>
      </c>
    </row>
    <row r="261" customHeight="1" spans="1:21">
      <c r="A261" s="115" t="s">
        <v>153</v>
      </c>
      <c r="B261" s="50" t="s">
        <v>123</v>
      </c>
      <c r="C261" s="231">
        <v>1.04118923496256</v>
      </c>
      <c r="D261" s="231">
        <v>1.02156889709638</v>
      </c>
      <c r="E261" s="231">
        <v>1.02147079283684</v>
      </c>
      <c r="F261" s="231">
        <v>1.03185905616923</v>
      </c>
      <c r="G261" s="231">
        <v>1.04196397200566</v>
      </c>
      <c r="H261" s="231">
        <f>IF(H247=0,0,$S$247/H247)</f>
        <v>1.04196469756143</v>
      </c>
      <c r="I261" s="231"/>
      <c r="J261" s="231"/>
      <c r="K261" s="231"/>
      <c r="L261" s="231"/>
      <c r="M261" s="231"/>
      <c r="N261" s="231"/>
      <c r="O261" s="140">
        <f ca="1" t="shared" si="261"/>
        <v>1.03239668025852</v>
      </c>
      <c r="P261" s="249"/>
      <c r="S261" s="250"/>
    </row>
    <row r="262" customHeight="1" spans="1:21">
      <c r="A262" s="115" t="s">
        <v>154</v>
      </c>
      <c r="B262" s="50" t="s">
        <v>123</v>
      </c>
      <c r="C262" s="231">
        <v>3.02022446255445</v>
      </c>
      <c r="D262" s="231">
        <v>3.11802387529597</v>
      </c>
      <c r="E262" s="231">
        <v>3.11628834236017</v>
      </c>
      <c r="F262" s="231">
        <v>3.20016626602564</v>
      </c>
      <c r="G262" s="231">
        <v>3.23548425281036</v>
      </c>
      <c r="H262" s="231">
        <f>IF(H248=0,0,$S$248/H248)</f>
        <v>3.23228172582029</v>
      </c>
      <c r="I262" s="231"/>
      <c r="J262" s="231"/>
      <c r="K262" s="231"/>
      <c r="L262" s="231"/>
      <c r="M262" s="231"/>
      <c r="N262" s="231"/>
      <c r="O262" s="140">
        <f ca="1" t="shared" si="261"/>
        <v>3.15376327745073</v>
      </c>
      <c r="P262" s="249"/>
    </row>
    <row r="263" customHeight="1" spans="1:21">
      <c r="A263" s="115" t="s">
        <v>155</v>
      </c>
      <c r="B263" s="50" t="s">
        <v>123</v>
      </c>
      <c r="C263" s="231">
        <v>2.151775</v>
      </c>
      <c r="D263" s="231">
        <v>2.15181666666667</v>
      </c>
      <c r="E263" s="231">
        <v>2.15186111111111</v>
      </c>
      <c r="F263" s="231">
        <v>2.1518</v>
      </c>
      <c r="G263" s="231">
        <v>2.12852272727273</v>
      </c>
      <c r="H263" s="231">
        <f>IF(H249=0,0,$S$249/H249)</f>
        <v>2.12597727272727</v>
      </c>
      <c r="I263" s="231"/>
      <c r="J263" s="231"/>
      <c r="K263" s="231"/>
      <c r="L263" s="231"/>
      <c r="M263" s="231"/>
      <c r="N263" s="231"/>
      <c r="O263" s="140">
        <f ca="1" t="shared" si="261"/>
        <v>2.14461333333333</v>
      </c>
      <c r="P263" s="249"/>
      <c r="Q263" s="71"/>
      <c r="R263" s="71"/>
    </row>
    <row r="264" customHeight="1" spans="1:21">
      <c r="A264" s="115" t="s">
        <v>156</v>
      </c>
      <c r="B264" s="50" t="s">
        <v>123</v>
      </c>
      <c r="C264" s="231">
        <v>35.3982497082847</v>
      </c>
      <c r="D264" s="231">
        <v>35.3982645403377</v>
      </c>
      <c r="E264" s="231">
        <v>35.3982713915298</v>
      </c>
      <c r="F264" s="231">
        <v>35.3981195756991</v>
      </c>
      <c r="G264" s="231">
        <v>35.3982813206694</v>
      </c>
      <c r="H264" s="231">
        <f>IF(H250=0,0,$S$250/H250)</f>
        <v>35.3982619490999</v>
      </c>
      <c r="I264" s="231"/>
      <c r="J264" s="231"/>
      <c r="K264" s="231"/>
      <c r="L264" s="231"/>
      <c r="M264" s="231"/>
      <c r="N264" s="231"/>
      <c r="O264" s="140">
        <f ca="1" t="shared" si="261"/>
        <v>35.3982425562818</v>
      </c>
      <c r="P264" s="249"/>
      <c r="Q264" s="71"/>
      <c r="R264" s="71"/>
    </row>
    <row r="265" customHeight="1" spans="1:21">
      <c r="A265" s="115" t="s">
        <v>157</v>
      </c>
      <c r="B265" s="50" t="s">
        <v>123</v>
      </c>
      <c r="C265" s="231">
        <v>18.3902435897436</v>
      </c>
      <c r="D265" s="231">
        <v>18.5731508515815</v>
      </c>
      <c r="E265" s="231">
        <v>18.5718413855971</v>
      </c>
      <c r="F265" s="231">
        <v>18.5794913151365</v>
      </c>
      <c r="G265" s="231">
        <v>18.5816459977452</v>
      </c>
      <c r="H265" s="231">
        <f>IF(H251=0,0,$S$251/H251)</f>
        <v>18.584157635468</v>
      </c>
      <c r="I265" s="231"/>
      <c r="J265" s="231"/>
      <c r="K265" s="231"/>
      <c r="L265" s="231"/>
      <c r="M265" s="231"/>
      <c r="N265" s="231"/>
      <c r="O265" s="140">
        <f ca="1" t="shared" si="261"/>
        <v>18.550904383207</v>
      </c>
      <c r="P265" s="249"/>
      <c r="Q265" s="68"/>
      <c r="R265" s="68"/>
    </row>
    <row r="266" customHeight="1" spans="1:21">
      <c r="A266" s="115" t="s">
        <v>158</v>
      </c>
      <c r="B266" s="50" t="s">
        <v>123</v>
      </c>
      <c r="C266" s="231">
        <v>35.3982490272373</v>
      </c>
      <c r="D266" s="231">
        <v>35.3981543624161</v>
      </c>
      <c r="E266" s="231">
        <v>35.3982381959126</v>
      </c>
      <c r="F266" s="231">
        <v>35.3982219061166</v>
      </c>
      <c r="G266" s="231">
        <v>35.39836400818</v>
      </c>
      <c r="H266" s="231">
        <f>IF(H252=0,0,$S$252/H252)</f>
        <v>35.3980975029727</v>
      </c>
      <c r="I266" s="231"/>
      <c r="J266" s="231"/>
      <c r="K266" s="231"/>
      <c r="L266" s="231"/>
      <c r="M266" s="231"/>
      <c r="N266" s="231"/>
      <c r="O266" s="140">
        <f ca="1" t="shared" si="261"/>
        <v>35.3982107657316</v>
      </c>
      <c r="P266" s="249"/>
    </row>
    <row r="267" customHeight="1" spans="1:21">
      <c r="A267" s="115" t="s">
        <v>159</v>
      </c>
      <c r="B267" s="50" t="s">
        <v>123</v>
      </c>
      <c r="C267" s="231">
        <v>221.238181818182</v>
      </c>
      <c r="D267" s="231">
        <v>61.8430941704036</v>
      </c>
      <c r="E267" s="231">
        <v>61.383405597162</v>
      </c>
      <c r="F267" s="231">
        <v>61.129604458339</v>
      </c>
      <c r="G267" s="231">
        <v>61.0619705480492</v>
      </c>
      <c r="H267" s="231">
        <f>IF(H253=0,0,$S$253/H253)</f>
        <v>61.0619396806623</v>
      </c>
      <c r="I267" s="231"/>
      <c r="J267" s="231"/>
      <c r="K267" s="231"/>
      <c r="L267" s="231"/>
      <c r="M267" s="231"/>
      <c r="N267" s="231"/>
      <c r="O267" s="140">
        <f ca="1" t="shared" si="261"/>
        <v>62.022153988582</v>
      </c>
      <c r="P267" s="249"/>
    </row>
    <row r="268" customHeight="1" spans="1:21">
      <c r="A268" s="115" t="s">
        <v>160</v>
      </c>
      <c r="B268" s="50" t="s">
        <v>123</v>
      </c>
      <c r="C268" s="231">
        <v>26.1946333333333</v>
      </c>
      <c r="D268" s="231">
        <v>26.1947570332481</v>
      </c>
      <c r="E268" s="231">
        <v>25.3024863252113</v>
      </c>
      <c r="F268" s="231">
        <v>24.5596728708404</v>
      </c>
      <c r="G268" s="231">
        <v>24.4024256651017</v>
      </c>
      <c r="H268" s="231">
        <f>IF(H254=0,0,$S$254/H254)</f>
        <v>24.3494905956113</v>
      </c>
      <c r="I268" s="231"/>
      <c r="J268" s="231"/>
      <c r="K268" s="231"/>
      <c r="L268" s="231"/>
      <c r="M268" s="231"/>
      <c r="N268" s="231"/>
      <c r="O268" s="140">
        <f ca="1" t="shared" si="261"/>
        <v>25.2924845679012</v>
      </c>
      <c r="P268" s="249"/>
    </row>
    <row r="269" customHeight="1" spans="1:21">
      <c r="A269" s="115" t="s">
        <v>161</v>
      </c>
      <c r="B269" s="50" t="s">
        <v>123</v>
      </c>
      <c r="C269" s="231">
        <v>0</v>
      </c>
      <c r="D269" s="231">
        <v>0</v>
      </c>
      <c r="E269" s="231">
        <v>0</v>
      </c>
      <c r="F269" s="231">
        <v>0</v>
      </c>
      <c r="G269" s="231">
        <v>529.2036</v>
      </c>
      <c r="H269" s="231">
        <f>IF(H255=0,0,$S$255/H255)</f>
        <v>529.2035</v>
      </c>
      <c r="I269" s="231"/>
      <c r="J269" s="231"/>
      <c r="K269" s="231"/>
      <c r="L269" s="231"/>
      <c r="M269" s="231"/>
      <c r="N269" s="231"/>
      <c r="O269" s="140">
        <f ca="1" t="shared" si="261"/>
        <v>529.203533333333</v>
      </c>
      <c r="P269" s="249"/>
    </row>
    <row r="270" customHeight="1" spans="1:21">
      <c r="A270" s="115" t="s">
        <v>162</v>
      </c>
      <c r="B270" s="50" t="s">
        <v>123</v>
      </c>
      <c r="C270" s="231">
        <v>0</v>
      </c>
      <c r="D270" s="231">
        <v>0</v>
      </c>
      <c r="E270" s="231">
        <v>0</v>
      </c>
      <c r="F270" s="231">
        <v>0</v>
      </c>
      <c r="G270" s="231">
        <v>0</v>
      </c>
      <c r="H270" s="231">
        <f>IF(H256=0,0,$S$256/H256)</f>
        <v>0</v>
      </c>
      <c r="I270" s="231"/>
      <c r="J270" s="251"/>
      <c r="K270" s="231"/>
      <c r="L270" s="231"/>
      <c r="M270" s="231"/>
      <c r="N270" s="231"/>
      <c r="O270" s="140">
        <f ca="1" t="shared" si="261"/>
        <v>0</v>
      </c>
      <c r="P270" s="249"/>
    </row>
    <row r="271" customHeight="1" spans="1:21">
      <c r="A271" s="115" t="s">
        <v>163</v>
      </c>
      <c r="B271" s="50" t="s">
        <v>123</v>
      </c>
      <c r="C271" s="251">
        <v>0</v>
      </c>
      <c r="D271" s="251">
        <v>0</v>
      </c>
      <c r="E271" s="251">
        <v>0</v>
      </c>
      <c r="F271" s="251">
        <v>0</v>
      </c>
      <c r="G271" s="251">
        <v>0</v>
      </c>
      <c r="H271" s="251">
        <f>IF(H257=0,0,$S$257/H257)</f>
        <v>0</v>
      </c>
      <c r="I271" s="231"/>
      <c r="J271" s="231"/>
      <c r="K271" s="231"/>
      <c r="L271" s="231"/>
      <c r="M271" s="231"/>
      <c r="N271" s="231"/>
      <c r="O271" s="140">
        <f ca="1" t="shared" si="261"/>
        <v>0</v>
      </c>
      <c r="P271" s="249"/>
    </row>
    <row r="272" customHeight="1" spans="1:21">
      <c r="A272" s="67" t="s">
        <v>448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s="228"/>
      <c r="P272" s="71"/>
    </row>
    <row r="273" customHeight="1" spans="1:17">
      <c r="A273" s="229" t="s">
        <v>250</v>
      </c>
      <c r="B273" s="230" t="s">
        <v>77</v>
      </c>
      <c r="C273" s="107" t="s">
        <v>220</v>
      </c>
      <c r="D273" s="107" t="s">
        <v>221</v>
      </c>
      <c r="E273" s="107" t="s">
        <v>222</v>
      </c>
      <c r="F273" s="107" t="s">
        <v>223</v>
      </c>
      <c r="G273" s="107" t="s">
        <v>224</v>
      </c>
      <c r="H273" s="107" t="s">
        <v>225</v>
      </c>
      <c r="I273" s="107" t="s">
        <v>226</v>
      </c>
      <c r="J273" s="107" t="s">
        <v>227</v>
      </c>
      <c r="K273" s="107" t="s">
        <v>228</v>
      </c>
      <c r="L273" s="107" t="s">
        <v>229</v>
      </c>
      <c r="M273" s="107" t="s">
        <v>230</v>
      </c>
      <c r="N273" s="107" t="s">
        <v>231</v>
      </c>
      <c r="O273" s="175" t="str">
        <f>CONCATENATE("1-"&amp;mth&amp;"月累计")</f>
        <v>1-8月累计</v>
      </c>
      <c r="P273" s="71"/>
    </row>
    <row r="274" customHeight="1" spans="1:17">
      <c r="A274" s="115" t="s">
        <v>152</v>
      </c>
      <c r="B274" s="50" t="s">
        <v>123</v>
      </c>
      <c r="C274" s="231">
        <f t="shared" ref="C274:F274" si="262">C260*1.13</f>
        <v>4.04999930576631</v>
      </c>
      <c r="D274" s="231">
        <f t="shared" si="262"/>
        <v>4.04999990236686</v>
      </c>
      <c r="E274" s="231">
        <f t="shared" si="262"/>
        <v>4.05000047277079</v>
      </c>
      <c r="F274" s="231">
        <f t="shared" si="262"/>
        <v>4.035776107628</v>
      </c>
      <c r="G274" s="231">
        <f t="shared" ref="G274:N274" si="263">G260*1.13</f>
        <v>4.00001556994819</v>
      </c>
      <c r="H274" s="231">
        <f t="shared" si="263"/>
        <v>4.00000062303665</v>
      </c>
      <c r="I274" s="231">
        <f t="shared" si="263"/>
        <v>0</v>
      </c>
      <c r="J274" s="231">
        <f t="shared" si="263"/>
        <v>0</v>
      </c>
      <c r="K274" s="231">
        <f t="shared" si="263"/>
        <v>0</v>
      </c>
      <c r="L274" s="231">
        <f t="shared" si="263"/>
        <v>0</v>
      </c>
      <c r="M274" s="231">
        <f t="shared" si="263"/>
        <v>0</v>
      </c>
      <c r="N274" s="231">
        <f t="shared" si="263"/>
        <v>0</v>
      </c>
      <c r="O274" s="140">
        <f ca="1">IF(O304=0,,O304/O246)</f>
        <v>4.03642537824256</v>
      </c>
      <c r="P274" s="71"/>
    </row>
    <row r="275" customHeight="1" spans="1:17">
      <c r="A275" s="115" t="s">
        <v>153</v>
      </c>
      <c r="B275" s="50" t="s">
        <v>123</v>
      </c>
      <c r="C275" s="231">
        <f t="shared" ref="C275:D275" si="264">C261*1.13</f>
        <v>1.17654383550769</v>
      </c>
      <c r="D275" s="231">
        <f t="shared" si="264"/>
        <v>1.15437285371891</v>
      </c>
      <c r="E275" s="231">
        <f t="shared" ref="E275" si="265">E261*1.13</f>
        <v>1.15426199590563</v>
      </c>
      <c r="F275" s="231">
        <f t="shared" ref="F275:N285" si="266">F261*1.13</f>
        <v>1.16600073347123</v>
      </c>
      <c r="G275" s="231">
        <f t="shared" si="266"/>
        <v>1.1774192883664</v>
      </c>
      <c r="H275" s="231">
        <f t="shared" si="266"/>
        <v>1.17742010824441</v>
      </c>
      <c r="I275" s="231">
        <f t="shared" si="266"/>
        <v>0</v>
      </c>
      <c r="J275" s="231">
        <f t="shared" si="266"/>
        <v>0</v>
      </c>
      <c r="K275" s="231">
        <f t="shared" si="266"/>
        <v>0</v>
      </c>
      <c r="L275" s="231">
        <f t="shared" si="266"/>
        <v>0</v>
      </c>
      <c r="M275" s="231">
        <f t="shared" si="266"/>
        <v>0</v>
      </c>
      <c r="N275" s="231">
        <f t="shared" si="266"/>
        <v>0</v>
      </c>
      <c r="O275" s="140">
        <f ca="1" t="shared" ref="O275:O285" si="267">IF(O305=0,,O305/O247)</f>
        <v>1.16660824869212</v>
      </c>
      <c r="P275" s="71"/>
    </row>
    <row r="276" customHeight="1" spans="1:17">
      <c r="A276" s="115" t="s">
        <v>154</v>
      </c>
      <c r="B276" s="50" t="s">
        <v>123</v>
      </c>
      <c r="C276" s="231">
        <f t="shared" ref="C276:D276" si="268">C262*1.13</f>
        <v>3.41285364268653</v>
      </c>
      <c r="D276" s="231">
        <f t="shared" si="268"/>
        <v>3.52336697908445</v>
      </c>
      <c r="E276" s="231">
        <f t="shared" ref="E276" si="269">E262*1.13</f>
        <v>3.52140582686699</v>
      </c>
      <c r="F276" s="231">
        <f t="shared" si="266"/>
        <v>3.61618788060897</v>
      </c>
      <c r="G276" s="231">
        <f t="shared" si="266"/>
        <v>3.65609720567571</v>
      </c>
      <c r="H276" s="231">
        <f t="shared" si="266"/>
        <v>3.65247835017692</v>
      </c>
      <c r="I276" s="231">
        <f t="shared" si="266"/>
        <v>0</v>
      </c>
      <c r="J276" s="231">
        <f>J262*1.13</f>
        <v>0</v>
      </c>
      <c r="K276" s="231">
        <f t="shared" si="266"/>
        <v>0</v>
      </c>
      <c r="L276" s="231">
        <f t="shared" si="266"/>
        <v>0</v>
      </c>
      <c r="M276" s="231">
        <f t="shared" si="266"/>
        <v>0</v>
      </c>
      <c r="N276" s="231">
        <f t="shared" si="266"/>
        <v>0</v>
      </c>
      <c r="O276" s="140">
        <f ca="1" t="shared" si="267"/>
        <v>3.56375250351933</v>
      </c>
      <c r="P276" s="71"/>
    </row>
    <row r="277" customHeight="1" spans="1:17">
      <c r="A277" s="115" t="s">
        <v>155</v>
      </c>
      <c r="B277" s="50" t="s">
        <v>123</v>
      </c>
      <c r="C277" s="231">
        <f t="shared" ref="C277:D277" si="270">C263*1.13</f>
        <v>2.43150575</v>
      </c>
      <c r="D277" s="231">
        <f t="shared" si="270"/>
        <v>2.43155283333334</v>
      </c>
      <c r="E277" s="231">
        <f t="shared" ref="E277" si="271">E263*1.13</f>
        <v>2.43160305555555</v>
      </c>
      <c r="F277" s="231">
        <f t="shared" si="266"/>
        <v>2.431534</v>
      </c>
      <c r="G277" s="231">
        <f t="shared" si="266"/>
        <v>2.40523068181818</v>
      </c>
      <c r="H277" s="231">
        <f t="shared" si="266"/>
        <v>2.40235431818182</v>
      </c>
      <c r="I277" s="231">
        <f t="shared" si="266"/>
        <v>0</v>
      </c>
      <c r="J277" s="231">
        <f t="shared" si="266"/>
        <v>0</v>
      </c>
      <c r="K277" s="231">
        <f t="shared" si="266"/>
        <v>0</v>
      </c>
      <c r="L277" s="231">
        <f t="shared" si="266"/>
        <v>0</v>
      </c>
      <c r="M277" s="231">
        <f t="shared" si="266"/>
        <v>0</v>
      </c>
      <c r="N277" s="231">
        <f t="shared" si="266"/>
        <v>0</v>
      </c>
      <c r="O277" s="140">
        <f ca="1" t="shared" si="267"/>
        <v>2.42341306666667</v>
      </c>
      <c r="P277" s="71"/>
    </row>
    <row r="278" customHeight="1" spans="1:17">
      <c r="A278" s="115" t="s">
        <v>156</v>
      </c>
      <c r="B278" s="50" t="s">
        <v>123</v>
      </c>
      <c r="C278" s="231">
        <f t="shared" ref="C278:D278" si="272">C264*1.13</f>
        <v>40.0000221703617</v>
      </c>
      <c r="D278" s="231">
        <f t="shared" si="272"/>
        <v>40.0000389305816</v>
      </c>
      <c r="E278" s="231">
        <f t="shared" ref="E278" si="273">E264*1.13</f>
        <v>40.0000466724287</v>
      </c>
      <c r="F278" s="231">
        <f t="shared" si="266"/>
        <v>39.99987512054</v>
      </c>
      <c r="G278" s="231">
        <f t="shared" si="266"/>
        <v>40.0000578923564</v>
      </c>
      <c r="H278" s="231">
        <f t="shared" si="266"/>
        <v>40.0000360024829</v>
      </c>
      <c r="I278" s="231">
        <f t="shared" si="266"/>
        <v>0</v>
      </c>
      <c r="J278" s="231">
        <f t="shared" si="266"/>
        <v>0</v>
      </c>
      <c r="K278" s="231">
        <f t="shared" si="266"/>
        <v>0</v>
      </c>
      <c r="L278" s="231">
        <f t="shared" si="266"/>
        <v>0</v>
      </c>
      <c r="M278" s="231">
        <f t="shared" si="266"/>
        <v>0</v>
      </c>
      <c r="N278" s="231">
        <f t="shared" si="266"/>
        <v>0</v>
      </c>
      <c r="O278" s="140">
        <f ca="1" t="shared" si="267"/>
        <v>40.0000140885984</v>
      </c>
      <c r="P278" s="71"/>
    </row>
    <row r="279" customHeight="1" spans="1:17">
      <c r="A279" s="115" t="s">
        <v>157</v>
      </c>
      <c r="B279" s="50" t="s">
        <v>123</v>
      </c>
      <c r="C279" s="231">
        <f t="shared" ref="C279:D279" si="274">C265*1.13</f>
        <v>20.7809752564103</v>
      </c>
      <c r="D279" s="231">
        <f t="shared" si="274"/>
        <v>20.9876604622871</v>
      </c>
      <c r="E279" s="231">
        <f t="shared" ref="E279" si="275">E265*1.13</f>
        <v>20.9861807657247</v>
      </c>
      <c r="F279" s="231">
        <f t="shared" si="266"/>
        <v>20.9948251861042</v>
      </c>
      <c r="G279" s="231">
        <f t="shared" si="266"/>
        <v>20.9972599774521</v>
      </c>
      <c r="H279" s="231">
        <f t="shared" si="266"/>
        <v>21.0000981280788</v>
      </c>
      <c r="I279" s="231">
        <f t="shared" si="266"/>
        <v>0</v>
      </c>
      <c r="J279" s="231">
        <f t="shared" si="266"/>
        <v>0</v>
      </c>
      <c r="K279" s="231">
        <f t="shared" si="266"/>
        <v>0</v>
      </c>
      <c r="L279" s="231">
        <f t="shared" si="266"/>
        <v>0</v>
      </c>
      <c r="M279" s="231">
        <f t="shared" si="266"/>
        <v>0</v>
      </c>
      <c r="N279" s="231">
        <f t="shared" si="266"/>
        <v>0</v>
      </c>
      <c r="O279" s="140">
        <f ca="1" t="shared" si="267"/>
        <v>20.9625219530239</v>
      </c>
      <c r="P279" s="71"/>
      <c r="Q279" s="38" t="s">
        <v>17</v>
      </c>
    </row>
    <row r="280" customHeight="1" spans="1:17">
      <c r="A280" s="115" t="s">
        <v>158</v>
      </c>
      <c r="B280" s="50" t="s">
        <v>123</v>
      </c>
      <c r="C280" s="231">
        <f t="shared" ref="C280:D280" si="276">C266*1.13</f>
        <v>40.0000214007781</v>
      </c>
      <c r="D280" s="231">
        <f t="shared" si="276"/>
        <v>39.9999144295302</v>
      </c>
      <c r="E280" s="231">
        <f t="shared" ref="E280" si="277">E266*1.13</f>
        <v>40.0000091613813</v>
      </c>
      <c r="F280" s="231">
        <f t="shared" si="266"/>
        <v>39.9999907539118</v>
      </c>
      <c r="G280" s="231">
        <f t="shared" si="266"/>
        <v>40.0001513292434</v>
      </c>
      <c r="H280" s="231">
        <f t="shared" si="266"/>
        <v>39.9998501783591</v>
      </c>
      <c r="I280" s="231">
        <f t="shared" si="266"/>
        <v>0</v>
      </c>
      <c r="J280" s="231">
        <f t="shared" si="266"/>
        <v>0</v>
      </c>
      <c r="K280" s="231">
        <f t="shared" si="266"/>
        <v>0</v>
      </c>
      <c r="L280" s="231">
        <f t="shared" si="266"/>
        <v>0</v>
      </c>
      <c r="M280" s="231">
        <f t="shared" si="266"/>
        <v>0</v>
      </c>
      <c r="N280" s="231">
        <f t="shared" si="266"/>
        <v>0</v>
      </c>
      <c r="O280" s="140">
        <f ca="1" t="shared" si="267"/>
        <v>39.9999781652767</v>
      </c>
      <c r="P280" s="71"/>
    </row>
    <row r="281" customHeight="1" spans="1:17">
      <c r="A281" s="115" t="s">
        <v>159</v>
      </c>
      <c r="B281" s="50" t="s">
        <v>123</v>
      </c>
      <c r="C281" s="231">
        <f t="shared" ref="C281:D281" si="278">C267*1.13</f>
        <v>249.999145454546</v>
      </c>
      <c r="D281" s="231">
        <f t="shared" si="278"/>
        <v>69.8826964125561</v>
      </c>
      <c r="E281" s="231">
        <f t="shared" ref="E281" si="279">E267*1.13</f>
        <v>69.3632483247931</v>
      </c>
      <c r="F281" s="231">
        <f t="shared" si="266"/>
        <v>69.0764530379231</v>
      </c>
      <c r="G281" s="231">
        <f t="shared" si="266"/>
        <v>69.0000267192956</v>
      </c>
      <c r="H281" s="231">
        <f t="shared" si="266"/>
        <v>68.9999918391484</v>
      </c>
      <c r="I281" s="231">
        <f t="shared" si="266"/>
        <v>0</v>
      </c>
      <c r="J281" s="231">
        <f t="shared" si="266"/>
        <v>0</v>
      </c>
      <c r="K281" s="231">
        <f t="shared" si="266"/>
        <v>0</v>
      </c>
      <c r="L281" s="231">
        <f t="shared" si="266"/>
        <v>0</v>
      </c>
      <c r="M281" s="231">
        <f t="shared" si="266"/>
        <v>0</v>
      </c>
      <c r="N281" s="231">
        <f t="shared" si="266"/>
        <v>0</v>
      </c>
      <c r="O281" s="140">
        <f ca="1" t="shared" si="267"/>
        <v>70.0850340070977</v>
      </c>
      <c r="P281" s="71"/>
    </row>
    <row r="282" customHeight="1" spans="1:17">
      <c r="A282" s="115" t="s">
        <v>160</v>
      </c>
      <c r="B282" s="50" t="s">
        <v>123</v>
      </c>
      <c r="C282" s="231">
        <f t="shared" ref="C282:D282" si="280">C268*1.13</f>
        <v>29.5999356666666</v>
      </c>
      <c r="D282" s="231">
        <f t="shared" si="280"/>
        <v>29.6000754475703</v>
      </c>
      <c r="E282" s="231">
        <f t="shared" ref="E282" si="281">E268*1.13</f>
        <v>28.5918095474888</v>
      </c>
      <c r="F282" s="231">
        <f t="shared" si="266"/>
        <v>27.7524303440496</v>
      </c>
      <c r="G282" s="231">
        <f t="shared" si="266"/>
        <v>27.5747410015649</v>
      </c>
      <c r="H282" s="231">
        <f t="shared" si="266"/>
        <v>27.5149243730407</v>
      </c>
      <c r="I282" s="231">
        <f t="shared" si="266"/>
        <v>0</v>
      </c>
      <c r="J282" s="231">
        <f t="shared" si="266"/>
        <v>0</v>
      </c>
      <c r="K282" s="231">
        <f t="shared" si="266"/>
        <v>0</v>
      </c>
      <c r="L282" s="231">
        <f t="shared" si="266"/>
        <v>0</v>
      </c>
      <c r="M282" s="231">
        <f t="shared" si="266"/>
        <v>0</v>
      </c>
      <c r="N282" s="231">
        <f t="shared" si="266"/>
        <v>0</v>
      </c>
      <c r="O282" s="140">
        <f ca="1" t="shared" si="267"/>
        <v>28.5805075617284</v>
      </c>
      <c r="P282" s="71"/>
    </row>
    <row r="283" customHeight="1" spans="1:17">
      <c r="A283" s="115" t="s">
        <v>161</v>
      </c>
      <c r="B283" s="50" t="s">
        <v>123</v>
      </c>
      <c r="C283" s="231">
        <f t="shared" ref="C283:D283" si="282">C269*1.13</f>
        <v>0</v>
      </c>
      <c r="D283" s="231">
        <f t="shared" si="282"/>
        <v>0</v>
      </c>
      <c r="E283" s="231">
        <f t="shared" ref="E283" si="283">E269*1.13</f>
        <v>0</v>
      </c>
      <c r="F283" s="231">
        <f t="shared" si="266"/>
        <v>0</v>
      </c>
      <c r="G283" s="231">
        <f t="shared" si="266"/>
        <v>598.000068</v>
      </c>
      <c r="H283" s="231">
        <f t="shared" si="266"/>
        <v>597.999955</v>
      </c>
      <c r="I283" s="231">
        <f t="shared" si="266"/>
        <v>0</v>
      </c>
      <c r="J283" s="231">
        <f t="shared" si="266"/>
        <v>0</v>
      </c>
      <c r="K283" s="231">
        <f t="shared" si="266"/>
        <v>0</v>
      </c>
      <c r="L283" s="231">
        <f t="shared" si="266"/>
        <v>0</v>
      </c>
      <c r="M283" s="231">
        <f t="shared" si="266"/>
        <v>0</v>
      </c>
      <c r="N283" s="231">
        <f t="shared" si="266"/>
        <v>0</v>
      </c>
      <c r="O283" s="140">
        <f ca="1" t="shared" si="267"/>
        <v>597.999992666667</v>
      </c>
      <c r="P283" s="71"/>
    </row>
    <row r="284" customHeight="1" spans="1:17">
      <c r="A284" s="115" t="s">
        <v>162</v>
      </c>
      <c r="B284" s="50" t="s">
        <v>123</v>
      </c>
      <c r="C284" s="231">
        <f t="shared" ref="C284:D284" si="284">C270*1.13</f>
        <v>0</v>
      </c>
      <c r="D284" s="231">
        <f t="shared" si="284"/>
        <v>0</v>
      </c>
      <c r="E284" s="231">
        <f t="shared" ref="E284" si="285">E270*1.13</f>
        <v>0</v>
      </c>
      <c r="F284" s="231">
        <f t="shared" si="266"/>
        <v>0</v>
      </c>
      <c r="G284" s="231">
        <f t="shared" si="266"/>
        <v>0</v>
      </c>
      <c r="H284" s="231">
        <f t="shared" si="266"/>
        <v>0</v>
      </c>
      <c r="I284" s="231">
        <f t="shared" si="266"/>
        <v>0</v>
      </c>
      <c r="J284" s="231">
        <f t="shared" si="266"/>
        <v>0</v>
      </c>
      <c r="K284" s="231">
        <f t="shared" si="266"/>
        <v>0</v>
      </c>
      <c r="L284" s="231">
        <f t="shared" si="266"/>
        <v>0</v>
      </c>
      <c r="M284" s="231">
        <f t="shared" si="266"/>
        <v>0</v>
      </c>
      <c r="N284" s="231">
        <f t="shared" si="266"/>
        <v>0</v>
      </c>
      <c r="O284" s="140">
        <f ca="1" t="shared" si="267"/>
        <v>0</v>
      </c>
      <c r="P284" s="71"/>
    </row>
    <row r="285" customHeight="1" spans="1:17">
      <c r="A285" s="115" t="s">
        <v>163</v>
      </c>
      <c r="B285" s="50" t="s">
        <v>123</v>
      </c>
      <c r="C285" s="231">
        <f t="shared" ref="C285:D285" si="286">C271*1.13</f>
        <v>0</v>
      </c>
      <c r="D285" s="231">
        <f t="shared" si="286"/>
        <v>0</v>
      </c>
      <c r="E285" s="231">
        <f t="shared" ref="E285" si="287">E271*1.13</f>
        <v>0</v>
      </c>
      <c r="F285" s="231">
        <f t="shared" si="266"/>
        <v>0</v>
      </c>
      <c r="G285" s="231">
        <f t="shared" si="266"/>
        <v>0</v>
      </c>
      <c r="H285" s="231">
        <f t="shared" si="266"/>
        <v>0</v>
      </c>
      <c r="I285" s="231">
        <f t="shared" si="266"/>
        <v>0</v>
      </c>
      <c r="J285" s="231">
        <f t="shared" si="266"/>
        <v>0</v>
      </c>
      <c r="K285" s="231">
        <f t="shared" si="266"/>
        <v>0</v>
      </c>
      <c r="L285" s="231">
        <f t="shared" si="266"/>
        <v>0</v>
      </c>
      <c r="M285" s="231">
        <f t="shared" si="266"/>
        <v>0</v>
      </c>
      <c r="N285" s="231">
        <f t="shared" si="266"/>
        <v>0</v>
      </c>
      <c r="O285" s="140">
        <f ca="1" t="shared" si="267"/>
        <v>0</v>
      </c>
      <c r="P285" s="71"/>
    </row>
    <row r="286" customHeight="1" spans="1:17">
      <c r="A286" s="227" t="s">
        <v>275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s="228"/>
      <c r="P286" s="71"/>
    </row>
    <row r="287" customHeight="1" spans="1:17">
      <c r="A287" s="48" t="s">
        <v>354</v>
      </c>
      <c r="B287" s="230" t="s">
        <v>77</v>
      </c>
      <c r="C287" s="48" t="s">
        <v>220</v>
      </c>
      <c r="D287" s="107" t="s">
        <v>221</v>
      </c>
      <c r="E287" s="107" t="s">
        <v>222</v>
      </c>
      <c r="F287" s="107" t="s">
        <v>223</v>
      </c>
      <c r="G287" s="107" t="s">
        <v>224</v>
      </c>
      <c r="H287" s="107" t="s">
        <v>225</v>
      </c>
      <c r="I287" s="107" t="s">
        <v>226</v>
      </c>
      <c r="J287" s="107" t="s">
        <v>227</v>
      </c>
      <c r="K287" s="107" t="s">
        <v>228</v>
      </c>
      <c r="L287" s="107" t="s">
        <v>229</v>
      </c>
      <c r="M287" s="107" t="s">
        <v>230</v>
      </c>
      <c r="N287" s="107" t="s">
        <v>231</v>
      </c>
      <c r="O287" s="175" t="str">
        <f>CONCATENATE("1-"&amp;mth&amp;"月累计")</f>
        <v>1-8月累计</v>
      </c>
      <c r="P287" s="71"/>
    </row>
    <row r="288" customHeight="1" spans="1:17">
      <c r="A288" s="115" t="s">
        <v>152</v>
      </c>
      <c r="B288" s="50" t="s">
        <v>123</v>
      </c>
      <c r="C288" s="52">
        <f>C246*C260</f>
        <v>94476.09</v>
      </c>
      <c r="D288" s="52">
        <f t="shared" ref="C288:F288" si="288">D246*D260</f>
        <v>121141.59</v>
      </c>
      <c r="E288" s="52">
        <f t="shared" si="288"/>
        <v>119779.66</v>
      </c>
      <c r="F288" s="52">
        <f t="shared" si="288"/>
        <v>68358.19</v>
      </c>
      <c r="G288" s="52">
        <f t="shared" ref="G288:I288" si="289">G246*G260</f>
        <v>54655.08</v>
      </c>
      <c r="H288" s="52">
        <f t="shared" si="289"/>
        <v>67610.63</v>
      </c>
      <c r="I288" s="52">
        <f t="shared" si="289"/>
        <v>0</v>
      </c>
      <c r="J288" s="52">
        <f t="shared" ref="J288:N288" si="290">J246*J260</f>
        <v>0</v>
      </c>
      <c r="K288" s="52">
        <f t="shared" si="290"/>
        <v>0</v>
      </c>
      <c r="L288" s="52">
        <f t="shared" si="290"/>
        <v>0</v>
      </c>
      <c r="M288" s="52">
        <f t="shared" si="290"/>
        <v>0</v>
      </c>
      <c r="N288" s="235">
        <f t="shared" si="290"/>
        <v>0</v>
      </c>
      <c r="O288" s="131">
        <f ca="1" t="shared" ref="O288:O300" si="291">SUM(OFFSET($C288,0,0,1,mth))</f>
        <v>526021.24</v>
      </c>
    </row>
    <row r="289" customHeight="1" spans="1:17">
      <c r="A289" s="115" t="s">
        <v>153</v>
      </c>
      <c r="B289" s="50" t="s">
        <v>123</v>
      </c>
      <c r="C289" s="52">
        <f t="shared" ref="C289:D289" si="292">C247*C261</f>
        <v>19672.7500000001</v>
      </c>
      <c r="D289" s="52">
        <f t="shared" si="292"/>
        <v>31199.94</v>
      </c>
      <c r="E289" s="52">
        <f t="shared" ref="E289:E299" si="293">E247*E261</f>
        <v>25696.63</v>
      </c>
      <c r="F289" s="52">
        <f t="shared" ref="F289" si="294">F247*F261</f>
        <v>21102.24</v>
      </c>
      <c r="G289" s="52">
        <f t="shared" ref="G289:G299" si="295">G247*G261</f>
        <v>21945.22</v>
      </c>
      <c r="H289" s="52">
        <f t="shared" ref="H289:N289" si="296">H247*H261</f>
        <v>27106.92</v>
      </c>
      <c r="I289" s="52">
        <f t="shared" si="296"/>
        <v>0</v>
      </c>
      <c r="J289" s="52">
        <f t="shared" si="296"/>
        <v>0</v>
      </c>
      <c r="K289" s="52">
        <f t="shared" si="296"/>
        <v>0</v>
      </c>
      <c r="L289" s="52">
        <f t="shared" si="296"/>
        <v>0</v>
      </c>
      <c r="M289" s="52">
        <f t="shared" si="296"/>
        <v>0</v>
      </c>
      <c r="N289" s="235">
        <f t="shared" si="296"/>
        <v>0</v>
      </c>
      <c r="O289" s="131">
        <f ca="1" t="shared" si="291"/>
        <v>146723.7</v>
      </c>
      <c r="P289" s="132"/>
    </row>
    <row r="290" customHeight="1" spans="1:17">
      <c r="A290" s="115" t="s">
        <v>154</v>
      </c>
      <c r="B290" s="50" t="s">
        <v>123</v>
      </c>
      <c r="C290" s="52">
        <f t="shared" ref="C290:D290" si="297">C248*C262</f>
        <v>68783.8000000001</v>
      </c>
      <c r="D290" s="52">
        <f t="shared" si="297"/>
        <v>126417.16</v>
      </c>
      <c r="E290" s="52">
        <f t="shared" si="293"/>
        <v>95742.35</v>
      </c>
      <c r="F290" s="52">
        <f t="shared" ref="F290" si="298">F248*F262</f>
        <v>79876.15</v>
      </c>
      <c r="G290" s="52">
        <f t="shared" si="295"/>
        <v>84733.45</v>
      </c>
      <c r="H290" s="52">
        <f t="shared" ref="H290:N290" si="299">H248*H262</f>
        <v>96461.63</v>
      </c>
      <c r="I290" s="52">
        <f t="shared" si="299"/>
        <v>0</v>
      </c>
      <c r="J290" s="52">
        <f t="shared" si="299"/>
        <v>0</v>
      </c>
      <c r="K290" s="52">
        <f t="shared" si="299"/>
        <v>0</v>
      </c>
      <c r="L290" s="52">
        <f t="shared" si="299"/>
        <v>0</v>
      </c>
      <c r="M290" s="52">
        <f t="shared" si="299"/>
        <v>0</v>
      </c>
      <c r="N290" s="235">
        <f t="shared" si="299"/>
        <v>0</v>
      </c>
      <c r="O290" s="131">
        <f ca="1" t="shared" si="291"/>
        <v>552014.54</v>
      </c>
    </row>
    <row r="291" ht="18" customHeight="1" spans="1:17">
      <c r="A291" s="115" t="s">
        <v>155</v>
      </c>
      <c r="B291" s="50" t="s">
        <v>123</v>
      </c>
      <c r="C291" s="52">
        <f t="shared" ref="C291:D291" si="300">C249*C263</f>
        <v>860.71</v>
      </c>
      <c r="D291" s="52">
        <f t="shared" si="300"/>
        <v>1291.09</v>
      </c>
      <c r="E291" s="52">
        <f t="shared" si="293"/>
        <v>1549.34</v>
      </c>
      <c r="F291" s="52">
        <f t="shared" ref="F291" si="301">F249*F263</f>
        <v>860.72</v>
      </c>
      <c r="G291" s="52">
        <f t="shared" si="295"/>
        <v>936.55</v>
      </c>
      <c r="H291" s="52">
        <f t="shared" ref="H291:N291" si="302">H249*H263</f>
        <v>935.43</v>
      </c>
      <c r="I291" s="52">
        <f t="shared" si="302"/>
        <v>0</v>
      </c>
      <c r="J291" s="52">
        <f t="shared" si="302"/>
        <v>0</v>
      </c>
      <c r="K291" s="52">
        <f t="shared" si="302"/>
        <v>0</v>
      </c>
      <c r="L291" s="52">
        <f t="shared" si="302"/>
        <v>0</v>
      </c>
      <c r="M291" s="52">
        <f t="shared" si="302"/>
        <v>0</v>
      </c>
      <c r="N291" s="235">
        <f t="shared" si="302"/>
        <v>0</v>
      </c>
      <c r="O291" s="131">
        <f ca="1" t="shared" si="291"/>
        <v>6433.84</v>
      </c>
    </row>
    <row r="292" ht="18" customHeight="1" spans="1:17">
      <c r="A292" s="115" t="s">
        <v>156</v>
      </c>
      <c r="B292" s="50" t="s">
        <v>123</v>
      </c>
      <c r="C292" s="52">
        <f t="shared" ref="C292:D292" si="303">C250*C264</f>
        <v>12134.52</v>
      </c>
      <c r="D292" s="52">
        <f t="shared" si="303"/>
        <v>7546.91</v>
      </c>
      <c r="E292" s="52">
        <f t="shared" si="293"/>
        <v>8191.16</v>
      </c>
      <c r="F292" s="52">
        <f t="shared" ref="F292" si="304">F250*F264</f>
        <v>7341.57</v>
      </c>
      <c r="G292" s="52">
        <f t="shared" si="295"/>
        <v>7826.56</v>
      </c>
      <c r="H292" s="52">
        <f t="shared" ref="H292:N292" si="305">H250*H264</f>
        <v>5702.66</v>
      </c>
      <c r="I292" s="52">
        <f t="shared" si="305"/>
        <v>0</v>
      </c>
      <c r="J292" s="52">
        <f t="shared" si="305"/>
        <v>0</v>
      </c>
      <c r="K292" s="52">
        <f t="shared" si="305"/>
        <v>0</v>
      </c>
      <c r="L292" s="52">
        <f t="shared" si="305"/>
        <v>0</v>
      </c>
      <c r="M292" s="52">
        <f t="shared" si="305"/>
        <v>0</v>
      </c>
      <c r="N292" s="235">
        <f t="shared" si="305"/>
        <v>0</v>
      </c>
      <c r="O292" s="131">
        <f ca="1" t="shared" si="291"/>
        <v>48743.38</v>
      </c>
    </row>
    <row r="293" ht="18" customHeight="1" spans="1:17">
      <c r="A293" s="115" t="s">
        <v>157</v>
      </c>
      <c r="B293" s="50" t="s">
        <v>123</v>
      </c>
      <c r="C293" s="52">
        <f t="shared" ref="C293:D293" si="306">C251*C265</f>
        <v>14344.39</v>
      </c>
      <c r="D293" s="52">
        <f t="shared" si="306"/>
        <v>15267.13</v>
      </c>
      <c r="E293" s="52">
        <f t="shared" si="293"/>
        <v>20373.31</v>
      </c>
      <c r="F293" s="52">
        <f t="shared" ref="F293" si="307">F251*F265</f>
        <v>14975.07</v>
      </c>
      <c r="G293" s="52">
        <f t="shared" si="295"/>
        <v>16481.92</v>
      </c>
      <c r="H293" s="52">
        <f t="shared" ref="H293:N293" si="308">H251*H265</f>
        <v>18862.92</v>
      </c>
      <c r="I293" s="52">
        <f t="shared" si="308"/>
        <v>0</v>
      </c>
      <c r="J293" s="52">
        <f t="shared" si="308"/>
        <v>0</v>
      </c>
      <c r="K293" s="52">
        <f t="shared" si="308"/>
        <v>0</v>
      </c>
      <c r="L293" s="52">
        <f t="shared" si="308"/>
        <v>0</v>
      </c>
      <c r="M293" s="52">
        <f t="shared" si="308"/>
        <v>0</v>
      </c>
      <c r="N293" s="235">
        <f t="shared" si="308"/>
        <v>0</v>
      </c>
      <c r="O293" s="131">
        <f ca="1" t="shared" si="291"/>
        <v>100304.74</v>
      </c>
    </row>
    <row r="294" customHeight="1" spans="1:17">
      <c r="A294" s="115" t="s">
        <v>158</v>
      </c>
      <c r="B294" s="50" t="s">
        <v>123</v>
      </c>
      <c r="C294" s="52">
        <f t="shared" ref="C294:D294" si="309">C252*C266</f>
        <v>1819.47</v>
      </c>
      <c r="D294" s="52">
        <f t="shared" si="309"/>
        <v>2109.73</v>
      </c>
      <c r="E294" s="52">
        <f t="shared" si="293"/>
        <v>5023.01</v>
      </c>
      <c r="F294" s="52">
        <f t="shared" ref="F294" si="310">F252*F266</f>
        <v>4976.99</v>
      </c>
      <c r="G294" s="52">
        <f t="shared" si="295"/>
        <v>3461.96</v>
      </c>
      <c r="H294" s="52">
        <f t="shared" ref="H294:N294" si="311">H252*H266</f>
        <v>5953.96</v>
      </c>
      <c r="I294" s="52">
        <f t="shared" si="311"/>
        <v>0</v>
      </c>
      <c r="J294" s="52">
        <f t="shared" si="311"/>
        <v>0</v>
      </c>
      <c r="K294" s="52">
        <f t="shared" si="311"/>
        <v>0</v>
      </c>
      <c r="L294" s="52">
        <f t="shared" si="311"/>
        <v>0</v>
      </c>
      <c r="M294" s="52">
        <f t="shared" si="311"/>
        <v>0</v>
      </c>
      <c r="N294" s="235">
        <f t="shared" si="311"/>
        <v>0</v>
      </c>
      <c r="O294" s="131">
        <f ca="1" t="shared" si="291"/>
        <v>23345.12</v>
      </c>
    </row>
    <row r="295" ht="14.25" customHeight="1" spans="1:17">
      <c r="A295" s="115" t="s">
        <v>159</v>
      </c>
      <c r="B295" s="50" t="s">
        <v>123</v>
      </c>
      <c r="C295" s="52">
        <f t="shared" ref="C295:D295" si="312">C253*C267</f>
        <v>3650.43</v>
      </c>
      <c r="D295" s="52">
        <f t="shared" si="312"/>
        <v>13791.01</v>
      </c>
      <c r="E295" s="52">
        <f t="shared" si="293"/>
        <v>46718.91</v>
      </c>
      <c r="F295" s="52">
        <f t="shared" ref="F295" si="313">F253*F267</f>
        <v>44973.05</v>
      </c>
      <c r="G295" s="52">
        <f t="shared" si="295"/>
        <v>40221.52</v>
      </c>
      <c r="H295" s="52">
        <f t="shared" ref="H295:N295" si="314">H253*H267</f>
        <v>51627.87</v>
      </c>
      <c r="I295" s="52">
        <f t="shared" si="314"/>
        <v>0</v>
      </c>
      <c r="J295" s="52">
        <f t="shared" si="314"/>
        <v>0</v>
      </c>
      <c r="K295" s="52">
        <f t="shared" si="314"/>
        <v>0</v>
      </c>
      <c r="L295" s="52">
        <f t="shared" si="314"/>
        <v>0</v>
      </c>
      <c r="M295" s="52">
        <f t="shared" si="314"/>
        <v>0</v>
      </c>
      <c r="N295" s="235">
        <f t="shared" si="314"/>
        <v>0</v>
      </c>
      <c r="O295" s="131">
        <f ca="1" t="shared" si="291"/>
        <v>200982.79</v>
      </c>
    </row>
    <row r="296" customHeight="1" spans="1:17">
      <c r="A296" s="115" t="s">
        <v>160</v>
      </c>
      <c r="B296" s="50" t="s">
        <v>123</v>
      </c>
      <c r="C296" s="52">
        <f t="shared" ref="C296:D296" si="315">C254*C268</f>
        <v>7858.38999999999</v>
      </c>
      <c r="D296" s="52">
        <f t="shared" si="315"/>
        <v>6145.29</v>
      </c>
      <c r="E296" s="52">
        <f t="shared" si="293"/>
        <v>5088.33</v>
      </c>
      <c r="F296" s="52">
        <f t="shared" ref="F296" si="316">F254*F268</f>
        <v>4354.43</v>
      </c>
      <c r="G296" s="52">
        <f t="shared" si="295"/>
        <v>3118.63</v>
      </c>
      <c r="H296" s="52">
        <f t="shared" ref="H296:N296" si="317">H254*H268</f>
        <v>6213.99</v>
      </c>
      <c r="I296" s="52">
        <f t="shared" si="317"/>
        <v>0</v>
      </c>
      <c r="J296" s="52">
        <f t="shared" si="317"/>
        <v>0</v>
      </c>
      <c r="K296" s="52">
        <f t="shared" si="317"/>
        <v>0</v>
      </c>
      <c r="L296" s="52">
        <f t="shared" si="317"/>
        <v>0</v>
      </c>
      <c r="M296" s="52">
        <f t="shared" si="317"/>
        <v>0</v>
      </c>
      <c r="N296" s="235">
        <f t="shared" si="317"/>
        <v>0</v>
      </c>
      <c r="O296" s="131">
        <f ca="1" t="shared" si="291"/>
        <v>32779.06</v>
      </c>
    </row>
    <row r="297" customHeight="1" spans="1:17">
      <c r="A297" s="115" t="s">
        <v>161</v>
      </c>
      <c r="B297" s="50" t="s">
        <v>123</v>
      </c>
      <c r="C297" s="52">
        <f t="shared" ref="C297:D297" si="318">C255*C269</f>
        <v>0</v>
      </c>
      <c r="D297" s="52">
        <f t="shared" si="318"/>
        <v>0</v>
      </c>
      <c r="E297" s="52">
        <f t="shared" si="293"/>
        <v>0</v>
      </c>
      <c r="F297" s="52">
        <f t="shared" ref="F297" si="319">F255*F269</f>
        <v>0</v>
      </c>
      <c r="G297" s="52">
        <f t="shared" si="295"/>
        <v>26460.18</v>
      </c>
      <c r="H297" s="52">
        <f t="shared" ref="H297:N297" si="320">H255*H269</f>
        <v>52920.35</v>
      </c>
      <c r="I297" s="52">
        <f t="shared" si="320"/>
        <v>0</v>
      </c>
      <c r="J297" s="52">
        <f t="shared" si="320"/>
        <v>0</v>
      </c>
      <c r="K297" s="52">
        <f t="shared" si="320"/>
        <v>0</v>
      </c>
      <c r="L297" s="52">
        <f t="shared" si="320"/>
        <v>0</v>
      </c>
      <c r="M297" s="52">
        <f t="shared" si="320"/>
        <v>0</v>
      </c>
      <c r="N297" s="235">
        <f t="shared" si="320"/>
        <v>0</v>
      </c>
      <c r="O297" s="131">
        <f ca="1" t="shared" si="291"/>
        <v>79380.53</v>
      </c>
    </row>
    <row r="298" customHeight="1" spans="1:17">
      <c r="A298" s="115" t="s">
        <v>162</v>
      </c>
      <c r="B298" s="50" t="s">
        <v>123</v>
      </c>
      <c r="C298" s="52">
        <f>C256*C270</f>
        <v>0</v>
      </c>
      <c r="D298" s="52">
        <f t="shared" ref="C298:D298" si="321">D256*D270</f>
        <v>0</v>
      </c>
      <c r="E298" s="52">
        <f t="shared" si="293"/>
        <v>0</v>
      </c>
      <c r="F298" s="52">
        <f t="shared" ref="F298" si="322">F256*F270</f>
        <v>0</v>
      </c>
      <c r="G298" s="52">
        <f t="shared" si="295"/>
        <v>0</v>
      </c>
      <c r="H298" s="52">
        <f t="shared" ref="H298:N298" si="323">H256*H270</f>
        <v>0</v>
      </c>
      <c r="I298" s="52">
        <f t="shared" si="323"/>
        <v>0</v>
      </c>
      <c r="J298" s="52">
        <f t="shared" si="323"/>
        <v>0</v>
      </c>
      <c r="K298" s="52">
        <f t="shared" si="323"/>
        <v>0</v>
      </c>
      <c r="L298" s="52">
        <f t="shared" si="323"/>
        <v>0</v>
      </c>
      <c r="M298" s="52">
        <f t="shared" si="323"/>
        <v>0</v>
      </c>
      <c r="N298" s="235">
        <f t="shared" si="323"/>
        <v>0</v>
      </c>
      <c r="O298" s="131">
        <f ca="1">SUM(OFFSET($C298,0,0,1,mth))</f>
        <v>0</v>
      </c>
    </row>
    <row r="299" customHeight="1" spans="1:17">
      <c r="A299" s="115" t="s">
        <v>163</v>
      </c>
      <c r="B299" s="50" t="s">
        <v>123</v>
      </c>
      <c r="C299" s="52">
        <f>C257*C271</f>
        <v>0</v>
      </c>
      <c r="D299" s="52">
        <f>D257*D271</f>
        <v>0</v>
      </c>
      <c r="E299" s="52">
        <f t="shared" si="293"/>
        <v>0</v>
      </c>
      <c r="F299" s="52">
        <f t="shared" ref="F299:N299" si="324">F257*F271</f>
        <v>0</v>
      </c>
      <c r="G299" s="235">
        <f t="shared" si="295"/>
        <v>0</v>
      </c>
      <c r="H299" s="52">
        <f>H257*H271</f>
        <v>0</v>
      </c>
      <c r="I299" s="52">
        <f t="shared" si="324"/>
        <v>0</v>
      </c>
      <c r="J299" s="52">
        <f t="shared" si="324"/>
        <v>0</v>
      </c>
      <c r="K299" s="52">
        <f t="shared" si="324"/>
        <v>0</v>
      </c>
      <c r="L299" s="52">
        <f t="shared" si="324"/>
        <v>0</v>
      </c>
      <c r="M299" s="52">
        <f t="shared" si="324"/>
        <v>0</v>
      </c>
      <c r="N299" s="235">
        <f t="shared" si="324"/>
        <v>0</v>
      </c>
      <c r="O299" s="131">
        <f ca="1">SUM(OFFSET($C299,0,0,1,mth))</f>
        <v>0</v>
      </c>
    </row>
    <row r="300" customHeight="1" spans="1:17">
      <c r="A300" s="252" t="s">
        <v>49</v>
      </c>
      <c r="B300" s="50" t="s">
        <v>123</v>
      </c>
      <c r="C300" s="234">
        <v>3111.79</v>
      </c>
      <c r="D300" s="234">
        <v>6802.43</v>
      </c>
      <c r="E300" s="234">
        <v>9403.96999999997</v>
      </c>
      <c r="F300" s="234">
        <v>6984.72</v>
      </c>
      <c r="G300" s="234">
        <v>8022.82000000007</v>
      </c>
      <c r="H300" s="234">
        <v>7679.35999999999</v>
      </c>
      <c r="I300" s="116"/>
      <c r="J300" s="116"/>
      <c r="K300" s="116"/>
      <c r="L300" s="116"/>
      <c r="M300" s="116"/>
      <c r="N300" s="235">
        <f>N258*N272</f>
        <v>0</v>
      </c>
      <c r="O300" s="131">
        <f ca="1" t="shared" si="291"/>
        <v>42005.09</v>
      </c>
    </row>
    <row r="301" customHeight="1" spans="1:17">
      <c r="A301" s="48" t="s">
        <v>232</v>
      </c>
      <c r="B301" s="50" t="s">
        <v>123</v>
      </c>
      <c r="C301" s="146">
        <f>SUM(C288:C300)</f>
        <v>226712.34</v>
      </c>
      <c r="D301" s="146">
        <f t="shared" ref="D301:I301" si="325">SUM(D288:D300)</f>
        <v>331712.28</v>
      </c>
      <c r="E301" s="146">
        <f t="shared" si="325"/>
        <v>337566.67</v>
      </c>
      <c r="F301" s="146">
        <f t="shared" si="325"/>
        <v>253803.13</v>
      </c>
      <c r="G301" s="146">
        <f t="shared" si="325"/>
        <v>267863.89</v>
      </c>
      <c r="H301" s="146">
        <f t="shared" si="325"/>
        <v>341075.72</v>
      </c>
      <c r="I301" s="146">
        <f t="shared" si="325"/>
        <v>0</v>
      </c>
      <c r="J301" s="146">
        <f t="shared" ref="J301:N301" si="326">SUM(J288:J300)</f>
        <v>0</v>
      </c>
      <c r="K301" s="146">
        <f t="shared" si="326"/>
        <v>0</v>
      </c>
      <c r="L301" s="146">
        <f t="shared" si="326"/>
        <v>0</v>
      </c>
      <c r="M301" s="146">
        <f t="shared" si="326"/>
        <v>0</v>
      </c>
      <c r="N301" s="146">
        <f t="shared" si="326"/>
        <v>0</v>
      </c>
      <c r="O301" s="140">
        <f ca="1">SUM(OFFSET($C301,0,0,1,mth))</f>
        <v>1758734.03</v>
      </c>
      <c r="P301" s="68"/>
      <c r="Q301" s="68"/>
    </row>
    <row r="302" customHeight="1" spans="1:17">
      <c r="A302" s="227" t="s">
        <v>458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 s="228"/>
      <c r="P302" s="71"/>
      <c r="Q302" s="68"/>
    </row>
    <row r="303" customHeight="1" spans="1:17">
      <c r="A303" s="48" t="s">
        <v>354</v>
      </c>
      <c r="B303" s="230" t="s">
        <v>77</v>
      </c>
      <c r="C303" s="48" t="s">
        <v>220</v>
      </c>
      <c r="D303" s="107" t="s">
        <v>221</v>
      </c>
      <c r="E303" s="107" t="s">
        <v>222</v>
      </c>
      <c r="F303" s="107" t="s">
        <v>223</v>
      </c>
      <c r="G303" s="107" t="s">
        <v>224</v>
      </c>
      <c r="H303" s="107" t="s">
        <v>225</v>
      </c>
      <c r="I303" s="107" t="s">
        <v>226</v>
      </c>
      <c r="J303" s="107" t="s">
        <v>227</v>
      </c>
      <c r="K303" s="107" t="s">
        <v>228</v>
      </c>
      <c r="L303" s="107" t="s">
        <v>229</v>
      </c>
      <c r="M303" s="107" t="s">
        <v>230</v>
      </c>
      <c r="N303" s="107" t="s">
        <v>231</v>
      </c>
      <c r="O303" s="72" t="str">
        <f>CONCATENATE("1-"&amp;mth&amp;"月累计")</f>
        <v>1-8月累计</v>
      </c>
      <c r="P303" s="71"/>
    </row>
    <row r="304" customHeight="1" spans="1:17">
      <c r="A304" s="115" t="s">
        <v>152</v>
      </c>
      <c r="B304" s="50" t="s">
        <v>123</v>
      </c>
      <c r="C304" s="52">
        <f t="shared" ref="C304:N304" si="327">C288*1.13</f>
        <v>106757.9817</v>
      </c>
      <c r="D304" s="52">
        <f t="shared" si="327"/>
        <v>136889.9967</v>
      </c>
      <c r="E304" s="52">
        <f t="shared" si="327"/>
        <v>135351.0158</v>
      </c>
      <c r="F304" s="52">
        <f t="shared" si="327"/>
        <v>77244.7547</v>
      </c>
      <c r="G304" s="52">
        <f t="shared" si="327"/>
        <v>61760.2404</v>
      </c>
      <c r="H304" s="52">
        <f t="shared" si="327"/>
        <v>76400.0119</v>
      </c>
      <c r="I304" s="52">
        <f t="shared" si="327"/>
        <v>0</v>
      </c>
      <c r="J304" s="52">
        <f t="shared" si="327"/>
        <v>0</v>
      </c>
      <c r="K304" s="52">
        <f t="shared" si="327"/>
        <v>0</v>
      </c>
      <c r="L304" s="52">
        <f t="shared" si="327"/>
        <v>0</v>
      </c>
      <c r="M304" s="52">
        <f t="shared" si="327"/>
        <v>0</v>
      </c>
      <c r="N304" s="52">
        <f t="shared" si="327"/>
        <v>0</v>
      </c>
      <c r="O304" s="131">
        <f ca="1">SUM(OFFSET($C304,0,0,1,mth))</f>
        <v>594404.0012</v>
      </c>
    </row>
    <row r="305" customHeight="1" spans="1:16">
      <c r="A305" s="115" t="s">
        <v>153</v>
      </c>
      <c r="B305" s="50" t="s">
        <v>123</v>
      </c>
      <c r="C305" s="52">
        <f t="shared" ref="C305:N305" si="328">C289*1.13</f>
        <v>22230.2075000001</v>
      </c>
      <c r="D305" s="52">
        <f t="shared" si="328"/>
        <v>35255.9322</v>
      </c>
      <c r="E305" s="52">
        <f t="shared" si="328"/>
        <v>29037.1919</v>
      </c>
      <c r="F305" s="52">
        <f t="shared" si="328"/>
        <v>23845.5312</v>
      </c>
      <c r="G305" s="52">
        <f t="shared" si="328"/>
        <v>24798.0986</v>
      </c>
      <c r="H305" s="52">
        <f t="shared" si="328"/>
        <v>30630.8196</v>
      </c>
      <c r="I305" s="52">
        <f t="shared" si="328"/>
        <v>0</v>
      </c>
      <c r="J305" s="52">
        <f t="shared" si="328"/>
        <v>0</v>
      </c>
      <c r="K305" s="52">
        <f t="shared" si="328"/>
        <v>0</v>
      </c>
      <c r="L305" s="52">
        <f t="shared" si="328"/>
        <v>0</v>
      </c>
      <c r="M305" s="52">
        <f t="shared" si="328"/>
        <v>0</v>
      </c>
      <c r="N305" s="52">
        <f t="shared" si="328"/>
        <v>0</v>
      </c>
      <c r="O305" s="131">
        <f ca="1" t="shared" ref="O305:O316" si="329">SUM(OFFSET($C305,0,0,1,mth))</f>
        <v>165797.781</v>
      </c>
      <c r="P305" s="132"/>
    </row>
    <row r="306" customHeight="1" spans="1:16">
      <c r="A306" s="115" t="s">
        <v>154</v>
      </c>
      <c r="B306" s="50" t="s">
        <v>123</v>
      </c>
      <c r="C306" s="52">
        <f t="shared" ref="C306:N306" si="330">C290*1.13</f>
        <v>77725.6940000001</v>
      </c>
      <c r="D306" s="52">
        <f t="shared" si="330"/>
        <v>142851.3908</v>
      </c>
      <c r="E306" s="52">
        <f t="shared" si="330"/>
        <v>108188.8555</v>
      </c>
      <c r="F306" s="52">
        <f t="shared" si="330"/>
        <v>90260.0495</v>
      </c>
      <c r="G306" s="52">
        <f t="shared" si="330"/>
        <v>95748.7985</v>
      </c>
      <c r="H306" s="52">
        <f t="shared" si="330"/>
        <v>109001.6419</v>
      </c>
      <c r="I306" s="52">
        <f t="shared" si="330"/>
        <v>0</v>
      </c>
      <c r="J306" s="52">
        <f t="shared" si="330"/>
        <v>0</v>
      </c>
      <c r="K306" s="52">
        <f t="shared" si="330"/>
        <v>0</v>
      </c>
      <c r="L306" s="52">
        <f t="shared" si="330"/>
        <v>0</v>
      </c>
      <c r="M306" s="52">
        <f t="shared" si="330"/>
        <v>0</v>
      </c>
      <c r="N306" s="52">
        <f t="shared" si="330"/>
        <v>0</v>
      </c>
      <c r="O306" s="131">
        <f ca="1" t="shared" si="329"/>
        <v>623776.4302</v>
      </c>
    </row>
    <row r="307" ht="18" customHeight="1" spans="1:16">
      <c r="A307" s="115" t="s">
        <v>155</v>
      </c>
      <c r="B307" s="50" t="s">
        <v>123</v>
      </c>
      <c r="C307" s="52">
        <f t="shared" ref="C307:N307" si="331">C291*1.13</f>
        <v>972.6023</v>
      </c>
      <c r="D307" s="52">
        <f t="shared" si="331"/>
        <v>1458.9317</v>
      </c>
      <c r="E307" s="52">
        <f t="shared" si="331"/>
        <v>1750.7542</v>
      </c>
      <c r="F307" s="52">
        <f t="shared" si="331"/>
        <v>972.6136</v>
      </c>
      <c r="G307" s="52">
        <f t="shared" si="331"/>
        <v>1058.3015</v>
      </c>
      <c r="H307" s="52">
        <f t="shared" si="331"/>
        <v>1057.0359</v>
      </c>
      <c r="I307" s="52">
        <f t="shared" si="331"/>
        <v>0</v>
      </c>
      <c r="J307" s="52">
        <f t="shared" si="331"/>
        <v>0</v>
      </c>
      <c r="K307" s="52">
        <f t="shared" si="331"/>
        <v>0</v>
      </c>
      <c r="L307" s="52">
        <f t="shared" si="331"/>
        <v>0</v>
      </c>
      <c r="M307" s="52">
        <f t="shared" si="331"/>
        <v>0</v>
      </c>
      <c r="N307" s="52">
        <f t="shared" si="331"/>
        <v>0</v>
      </c>
      <c r="O307" s="131">
        <f ca="1" t="shared" si="329"/>
        <v>7270.2392</v>
      </c>
    </row>
    <row r="308" ht="18" customHeight="1" spans="1:16">
      <c r="A308" s="115" t="s">
        <v>156</v>
      </c>
      <c r="B308" s="50" t="s">
        <v>123</v>
      </c>
      <c r="C308" s="52">
        <f t="shared" ref="C308:N308" si="332">C292*1.13</f>
        <v>13712.0076</v>
      </c>
      <c r="D308" s="52">
        <f t="shared" si="332"/>
        <v>8528.0083</v>
      </c>
      <c r="E308" s="52">
        <f t="shared" si="332"/>
        <v>9256.0108</v>
      </c>
      <c r="F308" s="52">
        <f t="shared" si="332"/>
        <v>8295.9741</v>
      </c>
      <c r="G308" s="52">
        <f t="shared" si="332"/>
        <v>8844.0128</v>
      </c>
      <c r="H308" s="52">
        <f t="shared" si="332"/>
        <v>6444.0058</v>
      </c>
      <c r="I308" s="52">
        <f t="shared" si="332"/>
        <v>0</v>
      </c>
      <c r="J308" s="52">
        <f t="shared" si="332"/>
        <v>0</v>
      </c>
      <c r="K308" s="52">
        <f t="shared" si="332"/>
        <v>0</v>
      </c>
      <c r="L308" s="52">
        <f t="shared" si="332"/>
        <v>0</v>
      </c>
      <c r="M308" s="52">
        <f t="shared" si="332"/>
        <v>0</v>
      </c>
      <c r="N308" s="52">
        <f t="shared" si="332"/>
        <v>0</v>
      </c>
      <c r="O308" s="131">
        <f ca="1" t="shared" si="329"/>
        <v>55080.0194</v>
      </c>
    </row>
    <row r="309" ht="18" customHeight="1" spans="1:16">
      <c r="A309" s="115" t="s">
        <v>157</v>
      </c>
      <c r="B309" s="50" t="s">
        <v>123</v>
      </c>
      <c r="C309" s="52">
        <f t="shared" ref="C309:N309" si="333">C293*1.13</f>
        <v>16209.1607</v>
      </c>
      <c r="D309" s="52">
        <f t="shared" si="333"/>
        <v>17251.8569</v>
      </c>
      <c r="E309" s="52">
        <f t="shared" si="333"/>
        <v>23021.8403</v>
      </c>
      <c r="F309" s="52">
        <f t="shared" si="333"/>
        <v>16921.8291</v>
      </c>
      <c r="G309" s="52">
        <f t="shared" si="333"/>
        <v>18624.5696</v>
      </c>
      <c r="H309" s="52">
        <f t="shared" si="333"/>
        <v>21315.0996</v>
      </c>
      <c r="I309" s="52">
        <f t="shared" si="333"/>
        <v>0</v>
      </c>
      <c r="J309" s="52">
        <f t="shared" si="333"/>
        <v>0</v>
      </c>
      <c r="K309" s="52">
        <f t="shared" si="333"/>
        <v>0</v>
      </c>
      <c r="L309" s="52">
        <f t="shared" si="333"/>
        <v>0</v>
      </c>
      <c r="M309" s="52">
        <f t="shared" si="333"/>
        <v>0</v>
      </c>
      <c r="N309" s="52">
        <f t="shared" si="333"/>
        <v>0</v>
      </c>
      <c r="O309" s="131">
        <f ca="1" t="shared" si="329"/>
        <v>113344.3562</v>
      </c>
    </row>
    <row r="310" customHeight="1" spans="1:16">
      <c r="A310" s="115" t="s">
        <v>158</v>
      </c>
      <c r="B310" s="50" t="s">
        <v>123</v>
      </c>
      <c r="C310" s="52">
        <f t="shared" ref="C310:N310" si="334">C294*1.13</f>
        <v>2056.0011</v>
      </c>
      <c r="D310" s="52">
        <f t="shared" si="334"/>
        <v>2383.9949</v>
      </c>
      <c r="E310" s="52">
        <f t="shared" si="334"/>
        <v>5676.0013</v>
      </c>
      <c r="F310" s="52">
        <f t="shared" si="334"/>
        <v>5623.9987</v>
      </c>
      <c r="G310" s="52">
        <f t="shared" si="334"/>
        <v>3912.0148</v>
      </c>
      <c r="H310" s="52">
        <f t="shared" si="334"/>
        <v>6727.9748</v>
      </c>
      <c r="I310" s="52">
        <f t="shared" si="334"/>
        <v>0</v>
      </c>
      <c r="J310" s="52">
        <f t="shared" si="334"/>
        <v>0</v>
      </c>
      <c r="K310" s="52">
        <f t="shared" si="334"/>
        <v>0</v>
      </c>
      <c r="L310" s="52">
        <f t="shared" si="334"/>
        <v>0</v>
      </c>
      <c r="M310" s="52">
        <f t="shared" si="334"/>
        <v>0</v>
      </c>
      <c r="N310" s="52">
        <f t="shared" si="334"/>
        <v>0</v>
      </c>
      <c r="O310" s="131">
        <f ca="1" t="shared" si="329"/>
        <v>26379.9856</v>
      </c>
    </row>
    <row r="311" ht="18.75" customHeight="1" spans="1:16">
      <c r="A311" s="115" t="s">
        <v>159</v>
      </c>
      <c r="B311" s="50" t="s">
        <v>123</v>
      </c>
      <c r="C311" s="52">
        <f t="shared" ref="C311:N311" si="335">C295*1.13</f>
        <v>4124.9859</v>
      </c>
      <c r="D311" s="52">
        <f t="shared" si="335"/>
        <v>15583.8413</v>
      </c>
      <c r="E311" s="52">
        <f t="shared" si="335"/>
        <v>52792.3683</v>
      </c>
      <c r="F311" s="52">
        <f t="shared" si="335"/>
        <v>50819.5465</v>
      </c>
      <c r="G311" s="52">
        <f t="shared" si="335"/>
        <v>45450.3176</v>
      </c>
      <c r="H311" s="52">
        <f t="shared" si="335"/>
        <v>58339.4931</v>
      </c>
      <c r="I311" s="52">
        <f t="shared" si="335"/>
        <v>0</v>
      </c>
      <c r="J311" s="52">
        <f t="shared" si="335"/>
        <v>0</v>
      </c>
      <c r="K311" s="52">
        <f t="shared" si="335"/>
        <v>0</v>
      </c>
      <c r="L311" s="52">
        <f t="shared" si="335"/>
        <v>0</v>
      </c>
      <c r="M311" s="52">
        <f t="shared" si="335"/>
        <v>0</v>
      </c>
      <c r="N311" s="52">
        <f t="shared" si="335"/>
        <v>0</v>
      </c>
      <c r="O311" s="131">
        <f ca="1" t="shared" si="329"/>
        <v>227110.5527</v>
      </c>
    </row>
    <row r="312" customHeight="1" spans="1:16">
      <c r="A312" s="115" t="s">
        <v>160</v>
      </c>
      <c r="B312" s="50" t="s">
        <v>123</v>
      </c>
      <c r="C312" s="52">
        <f t="shared" ref="C312:N312" si="336">C296*1.13</f>
        <v>8879.98069999999</v>
      </c>
      <c r="D312" s="52">
        <f t="shared" si="336"/>
        <v>6944.1777</v>
      </c>
      <c r="E312" s="52">
        <f t="shared" si="336"/>
        <v>5749.8129</v>
      </c>
      <c r="F312" s="52">
        <f t="shared" si="336"/>
        <v>4920.5059</v>
      </c>
      <c r="G312" s="52">
        <f t="shared" si="336"/>
        <v>3524.0519</v>
      </c>
      <c r="H312" s="52">
        <f t="shared" si="336"/>
        <v>7021.8087</v>
      </c>
      <c r="I312" s="52">
        <f t="shared" si="336"/>
        <v>0</v>
      </c>
      <c r="J312" s="52">
        <f t="shared" si="336"/>
        <v>0</v>
      </c>
      <c r="K312" s="52">
        <f t="shared" si="336"/>
        <v>0</v>
      </c>
      <c r="L312" s="52">
        <f t="shared" si="336"/>
        <v>0</v>
      </c>
      <c r="M312" s="52">
        <f t="shared" si="336"/>
        <v>0</v>
      </c>
      <c r="N312" s="52">
        <f t="shared" si="336"/>
        <v>0</v>
      </c>
      <c r="O312" s="131">
        <f ca="1" t="shared" si="329"/>
        <v>37040.3378</v>
      </c>
    </row>
    <row r="313" customHeight="1" spans="1:16">
      <c r="A313" s="115" t="s">
        <v>161</v>
      </c>
      <c r="B313" s="50" t="s">
        <v>123</v>
      </c>
      <c r="C313" s="52">
        <f t="shared" ref="C313:N313" si="337">C297*1.13</f>
        <v>0</v>
      </c>
      <c r="D313" s="52">
        <f t="shared" si="337"/>
        <v>0</v>
      </c>
      <c r="E313" s="52">
        <f t="shared" si="337"/>
        <v>0</v>
      </c>
      <c r="F313" s="52">
        <f t="shared" si="337"/>
        <v>0</v>
      </c>
      <c r="G313" s="52">
        <f t="shared" si="337"/>
        <v>29900.0034</v>
      </c>
      <c r="H313" s="52">
        <f t="shared" si="337"/>
        <v>59799.9955</v>
      </c>
      <c r="I313" s="52">
        <f t="shared" si="337"/>
        <v>0</v>
      </c>
      <c r="J313" s="52">
        <f t="shared" si="337"/>
        <v>0</v>
      </c>
      <c r="K313" s="52">
        <f t="shared" si="337"/>
        <v>0</v>
      </c>
      <c r="L313" s="52">
        <f t="shared" si="337"/>
        <v>0</v>
      </c>
      <c r="M313" s="52">
        <f t="shared" si="337"/>
        <v>0</v>
      </c>
      <c r="N313" s="52">
        <f t="shared" si="337"/>
        <v>0</v>
      </c>
      <c r="O313" s="131">
        <f ca="1" t="shared" si="329"/>
        <v>89699.9989</v>
      </c>
    </row>
    <row r="314" customHeight="1" spans="1:16">
      <c r="A314" s="115" t="s">
        <v>162</v>
      </c>
      <c r="B314" s="50" t="s">
        <v>123</v>
      </c>
      <c r="C314" s="52">
        <f t="shared" ref="C314:N314" si="338">C298*1.13</f>
        <v>0</v>
      </c>
      <c r="D314" s="52">
        <f t="shared" si="338"/>
        <v>0</v>
      </c>
      <c r="E314" s="52">
        <f t="shared" si="338"/>
        <v>0</v>
      </c>
      <c r="F314" s="52">
        <f t="shared" si="338"/>
        <v>0</v>
      </c>
      <c r="G314" s="52">
        <f t="shared" si="338"/>
        <v>0</v>
      </c>
      <c r="H314" s="52">
        <f t="shared" si="338"/>
        <v>0</v>
      </c>
      <c r="I314" s="52">
        <f t="shared" si="338"/>
        <v>0</v>
      </c>
      <c r="J314" s="52">
        <f t="shared" si="338"/>
        <v>0</v>
      </c>
      <c r="K314" s="52">
        <f t="shared" si="338"/>
        <v>0</v>
      </c>
      <c r="L314" s="52">
        <f t="shared" si="338"/>
        <v>0</v>
      </c>
      <c r="M314" s="52">
        <f t="shared" si="338"/>
        <v>0</v>
      </c>
      <c r="N314" s="52">
        <f t="shared" si="338"/>
        <v>0</v>
      </c>
      <c r="O314" s="131">
        <f ca="1">SUM(OFFSET($C314,0,0,1,mth))</f>
        <v>0</v>
      </c>
    </row>
    <row r="315" customHeight="1" spans="1:16">
      <c r="A315" s="115" t="s">
        <v>163</v>
      </c>
      <c r="B315" s="50" t="s">
        <v>123</v>
      </c>
      <c r="C315" s="52">
        <f t="shared" ref="C315:N315" si="339">C299*1.13</f>
        <v>0</v>
      </c>
      <c r="D315" s="52">
        <f t="shared" si="339"/>
        <v>0</v>
      </c>
      <c r="E315" s="52">
        <f t="shared" si="339"/>
        <v>0</v>
      </c>
      <c r="F315" s="52">
        <f t="shared" si="339"/>
        <v>0</v>
      </c>
      <c r="G315" s="52">
        <f t="shared" si="339"/>
        <v>0</v>
      </c>
      <c r="H315" s="52">
        <f t="shared" si="339"/>
        <v>0</v>
      </c>
      <c r="I315" s="52">
        <f t="shared" si="339"/>
        <v>0</v>
      </c>
      <c r="J315" s="52">
        <f t="shared" si="339"/>
        <v>0</v>
      </c>
      <c r="K315" s="52">
        <f t="shared" si="339"/>
        <v>0</v>
      </c>
      <c r="L315" s="52">
        <f t="shared" si="339"/>
        <v>0</v>
      </c>
      <c r="M315" s="52">
        <f t="shared" si="339"/>
        <v>0</v>
      </c>
      <c r="N315" s="52">
        <f t="shared" si="339"/>
        <v>0</v>
      </c>
      <c r="O315" s="131">
        <f ca="1">SUM(OFFSET($C315,0,0,1,mth))</f>
        <v>0</v>
      </c>
    </row>
    <row r="316" customHeight="1" spans="1:16">
      <c r="A316" s="115" t="s">
        <v>49</v>
      </c>
      <c r="B316" s="50" t="s">
        <v>123</v>
      </c>
      <c r="C316" s="52">
        <f t="shared" ref="C316:N316" si="340">C300*1.13</f>
        <v>3516.3227</v>
      </c>
      <c r="D316" s="52">
        <f t="shared" si="340"/>
        <v>7686.7459</v>
      </c>
      <c r="E316" s="52">
        <f t="shared" si="340"/>
        <v>10626.4861</v>
      </c>
      <c r="F316" s="52">
        <f t="shared" si="340"/>
        <v>7892.7336</v>
      </c>
      <c r="G316" s="52">
        <f t="shared" si="340"/>
        <v>9065.78660000008</v>
      </c>
      <c r="H316" s="52">
        <f t="shared" si="340"/>
        <v>8677.67679999998</v>
      </c>
      <c r="I316" s="52">
        <f t="shared" si="340"/>
        <v>0</v>
      </c>
      <c r="J316" s="52">
        <f t="shared" si="340"/>
        <v>0</v>
      </c>
      <c r="K316" s="52">
        <f t="shared" si="340"/>
        <v>0</v>
      </c>
      <c r="L316" s="52">
        <f t="shared" si="340"/>
        <v>0</v>
      </c>
      <c r="M316" s="52">
        <f t="shared" si="340"/>
        <v>0</v>
      </c>
      <c r="N316" s="52">
        <f t="shared" si="340"/>
        <v>0</v>
      </c>
      <c r="O316" s="131">
        <f ca="1" t="shared" si="329"/>
        <v>47465.7517000001</v>
      </c>
    </row>
    <row r="317" customHeight="1" spans="1:16">
      <c r="A317" s="48" t="s">
        <v>232</v>
      </c>
      <c r="B317" s="50" t="s">
        <v>123</v>
      </c>
      <c r="C317" s="146">
        <f>SUM(C304:C316)</f>
        <v>256184.9442</v>
      </c>
      <c r="D317" s="146">
        <f t="shared" ref="D317:H317" si="341">SUM(D304:D316)</f>
        <v>374834.8764</v>
      </c>
      <c r="E317" s="146">
        <f t="shared" si="341"/>
        <v>381450.3371</v>
      </c>
      <c r="F317" s="146">
        <f t="shared" si="341"/>
        <v>286797.5369</v>
      </c>
      <c r="G317" s="146">
        <f t="shared" si="341"/>
        <v>302686.1957</v>
      </c>
      <c r="H317" s="146">
        <f t="shared" si="341"/>
        <v>385415.5636</v>
      </c>
      <c r="I317" s="146">
        <f t="shared" ref="I317:N317" si="342">SUM(I304:I316)</f>
        <v>0</v>
      </c>
      <c r="J317" s="149">
        <f>J301*1.16</f>
        <v>0</v>
      </c>
      <c r="K317" s="146">
        <f>SUM(K304:K316)</f>
        <v>0</v>
      </c>
      <c r="L317" s="146">
        <f>SUM(L304:L316)</f>
        <v>0</v>
      </c>
      <c r="M317" s="146">
        <f t="shared" si="342"/>
        <v>0</v>
      </c>
      <c r="N317" s="146">
        <f t="shared" si="342"/>
        <v>0</v>
      </c>
      <c r="O317" s="140">
        <f ca="1">SUM(OFFSET($C317,0,0,1,mth))</f>
        <v>1987369.4539</v>
      </c>
    </row>
    <row r="318" customHeight="1" spans="1:16">
      <c r="A318" s="253" t="s">
        <v>30</v>
      </c>
      <c r="N318" s="71"/>
    </row>
    <row r="319" hidden="1" customHeight="1" spans="1:16">
      <c r="A319" s="46" t="s">
        <v>31</v>
      </c>
      <c r="F319" s="68"/>
      <c r="H319" s="71"/>
      <c r="J319" s="71"/>
    </row>
    <row r="320" hidden="1" customHeight="1" spans="1:16">
      <c r="A320" s="38" t="s">
        <v>459</v>
      </c>
      <c r="F320" s="38"/>
    </row>
    <row r="321" hidden="1" customHeight="1" spans="1:24">
      <c r="A321" s="229" t="s">
        <v>460</v>
      </c>
      <c r="B321" s="50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0">
        <f ca="1">SUM(OFFSET($C321,0,0,1,mth))</f>
        <v>0</v>
      </c>
    </row>
    <row r="322" hidden="1" customHeight="1" spans="1:24">
      <c r="A322" s="115" t="s">
        <v>461</v>
      </c>
      <c r="B322" s="50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0">
        <f ca="1">SUM(OFFSET($C322,0,0,1,mth))</f>
        <v>0</v>
      </c>
    </row>
    <row r="323" hidden="1" customHeight="1" spans="1:24">
      <c r="A323" s="229" t="s">
        <v>462</v>
      </c>
      <c r="B323" s="50"/>
      <c r="C323" s="52">
        <f t="shared" ref="C323:O323" si="343">C321-C322</f>
        <v>0</v>
      </c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131">
        <f ca="1" t="shared" si="343"/>
        <v>0</v>
      </c>
    </row>
    <row r="324" hidden="1" customHeight="1" spans="1:24">
      <c r="A324" s="38" t="s">
        <v>463</v>
      </c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174"/>
    </row>
    <row r="325" hidden="1" customHeight="1" spans="1:24">
      <c r="A325" s="254" t="s">
        <v>464</v>
      </c>
      <c r="B325" s="50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6">
        <f ca="1">SUM(OFFSET($C$325,0,0,1,mth))</f>
        <v>0</v>
      </c>
    </row>
    <row r="326" ht="18" hidden="1" customHeight="1" spans="1:24">
      <c r="A326" s="229" t="s">
        <v>465</v>
      </c>
      <c r="B326" s="50"/>
      <c r="C326" s="171">
        <f t="shared" ref="C326:O326" si="344">IF(C325=0,,C327/C325)/7000</f>
        <v>0</v>
      </c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31">
        <f ca="1" t="shared" si="344"/>
        <v>0</v>
      </c>
    </row>
    <row r="327" hidden="1" customHeight="1" spans="1:24">
      <c r="A327" s="257" t="s">
        <v>466</v>
      </c>
      <c r="B327" s="50" t="s">
        <v>123</v>
      </c>
      <c r="C327" s="146"/>
      <c r="D327" s="146"/>
      <c r="E327" s="146"/>
      <c r="F327" s="146"/>
      <c r="G327" s="146"/>
      <c r="H327" s="149"/>
      <c r="I327" s="149"/>
      <c r="J327" s="146"/>
      <c r="K327" s="146"/>
      <c r="L327" s="146"/>
      <c r="M327" s="146"/>
      <c r="N327" s="146"/>
      <c r="O327" s="140">
        <f ca="1">SUM(OFFSET($C327,0,0,1,mth))</f>
        <v>0</v>
      </c>
    </row>
    <row r="328" ht="21" hidden="1" customHeight="1" spans="1:24">
      <c r="A328" s="257" t="s">
        <v>467</v>
      </c>
      <c r="B328" s="50"/>
      <c r="C328" s="146"/>
      <c r="D328" s="146"/>
      <c r="E328" s="146"/>
      <c r="F328" s="146"/>
      <c r="G328" s="146"/>
      <c r="H328" s="149"/>
      <c r="I328" s="149"/>
      <c r="J328" s="146"/>
      <c r="K328" s="146"/>
      <c r="L328" s="146"/>
      <c r="M328" s="146"/>
      <c r="N328" s="146"/>
      <c r="O328" s="140"/>
    </row>
    <row r="329" hidden="1" customHeight="1" spans="1:24">
      <c r="A329" s="257" t="s">
        <v>468</v>
      </c>
      <c r="B329" s="50" t="s">
        <v>123</v>
      </c>
      <c r="C329" s="255"/>
      <c r="D329" s="255"/>
      <c r="E329" s="255"/>
      <c r="F329" s="255"/>
      <c r="G329" s="255"/>
      <c r="H329" s="255"/>
      <c r="I329" s="255"/>
      <c r="J329" s="255"/>
      <c r="K329" s="255"/>
      <c r="L329" s="255"/>
      <c r="M329" s="255"/>
      <c r="N329" s="255"/>
      <c r="O329" s="256">
        <f ca="1">SUM(OFFSET($C329,0,0,1,mth))</f>
        <v>0</v>
      </c>
      <c r="Q329" s="94"/>
      <c r="R329" s="94"/>
      <c r="S329" s="94"/>
      <c r="T329" s="94"/>
      <c r="U329" s="94"/>
      <c r="V329" s="94"/>
      <c r="W329" s="94"/>
      <c r="X329" s="94"/>
    </row>
    <row r="330" ht="18" hidden="1" customHeight="1" spans="1:24">
      <c r="A330" s="257" t="s">
        <v>469</v>
      </c>
      <c r="B330" s="50"/>
      <c r="C330" s="255"/>
      <c r="D330" s="255"/>
      <c r="E330" s="255"/>
      <c r="F330" s="255"/>
      <c r="G330" s="255"/>
      <c r="H330" s="255"/>
      <c r="I330" s="255"/>
      <c r="J330" s="255"/>
      <c r="K330" s="255"/>
      <c r="L330" s="255"/>
      <c r="M330" s="255"/>
      <c r="N330" s="255"/>
      <c r="O330" s="256"/>
    </row>
    <row r="331" hidden="1" customHeight="1" spans="1:24">
      <c r="A331" s="257" t="s">
        <v>470</v>
      </c>
      <c r="B331" s="50"/>
      <c r="C331" s="255"/>
      <c r="D331" s="255"/>
      <c r="E331" s="146"/>
      <c r="F331" s="146"/>
      <c r="G331" s="146"/>
      <c r="H331" s="149"/>
      <c r="I331" s="149"/>
      <c r="J331" s="146"/>
      <c r="K331" s="146"/>
      <c r="L331" s="146"/>
      <c r="M331" s="146"/>
      <c r="N331" s="146"/>
      <c r="O331" s="140">
        <f ca="1" t="shared" ref="O331:O336" si="345">SUM(OFFSET($C331,0,0,1,mth))</f>
        <v>0</v>
      </c>
    </row>
    <row r="332" ht="21" hidden="1" customHeight="1" spans="1:24">
      <c r="A332" s="258" t="s">
        <v>471</v>
      </c>
      <c r="B332" s="50"/>
      <c r="C332" s="52">
        <f t="shared" ref="C332" si="346">SUM(C327:C330,-C331)</f>
        <v>0</v>
      </c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131">
        <f ca="1" t="shared" si="345"/>
        <v>0</v>
      </c>
    </row>
    <row r="333" ht="21" hidden="1" customHeight="1" spans="1:24">
      <c r="A333" s="257" t="s">
        <v>41</v>
      </c>
      <c r="B333" s="50"/>
      <c r="C333" s="255"/>
      <c r="D333" s="255"/>
      <c r="E333" s="255"/>
      <c r="F333" s="255"/>
      <c r="G333" s="255"/>
      <c r="H333" s="255"/>
      <c r="I333" s="255"/>
      <c r="J333" s="255"/>
      <c r="K333" s="255"/>
      <c r="L333" s="255"/>
      <c r="M333" s="255"/>
      <c r="N333" s="255"/>
      <c r="O333" s="256">
        <f ca="1" t="shared" si="345"/>
        <v>0</v>
      </c>
    </row>
    <row r="334" ht="21" hidden="1" customHeight="1" spans="1:24">
      <c r="A334" s="257" t="s">
        <v>472</v>
      </c>
      <c r="B334" s="50" t="s">
        <v>123</v>
      </c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131">
        <f ca="1" t="shared" si="345"/>
        <v>0</v>
      </c>
    </row>
    <row r="335" ht="18" hidden="1" customHeight="1" spans="1:24">
      <c r="A335" s="257" t="s">
        <v>37</v>
      </c>
      <c r="B335" s="50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131">
        <f ca="1" t="shared" si="345"/>
        <v>0</v>
      </c>
    </row>
    <row r="336" hidden="1" customHeight="1" spans="1:24">
      <c r="A336" s="258" t="s">
        <v>473</v>
      </c>
      <c r="B336" s="50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131">
        <f ca="1" t="shared" si="345"/>
        <v>0</v>
      </c>
    </row>
    <row r="337" hidden="1" customHeight="1" spans="1:27">
      <c r="A337" s="257" t="s">
        <v>474</v>
      </c>
      <c r="B337" s="50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131">
        <f ca="1" t="shared" ref="O337" si="347">O332+O336</f>
        <v>0</v>
      </c>
    </row>
    <row r="338" ht="18" hidden="1" customHeight="1" spans="1:27">
      <c r="A338" s="257" t="s">
        <v>475</v>
      </c>
      <c r="B338" s="50"/>
      <c r="C338" s="52">
        <f>IF(C323=0,,C337/C323)</f>
        <v>0</v>
      </c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131">
        <f ca="1" t="shared" ref="O338" si="348">IF(O323=0,,O337/O323)</f>
        <v>0</v>
      </c>
    </row>
    <row r="339" ht="18" hidden="1" customHeight="1" spans="1:27">
      <c r="A339" s="38" t="s">
        <v>476</v>
      </c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</row>
    <row r="340" ht="27" hidden="1" customHeight="1" spans="1:27">
      <c r="A340" s="115" t="s">
        <v>477</v>
      </c>
      <c r="B340" s="50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0"/>
    </row>
    <row r="341" ht="22.5" hidden="1" customHeight="1" spans="1:27">
      <c r="A341" s="115" t="s">
        <v>78</v>
      </c>
      <c r="B341" s="48"/>
      <c r="C341" s="146"/>
      <c r="D341" s="146"/>
      <c r="E341" s="146"/>
      <c r="F341" s="146"/>
      <c r="G341" s="146"/>
      <c r="H341" s="260"/>
      <c r="I341" s="260"/>
      <c r="J341" s="260"/>
      <c r="K341" s="260"/>
      <c r="L341" s="260"/>
      <c r="M341" s="260"/>
      <c r="N341" s="260"/>
      <c r="O341" s="261"/>
    </row>
    <row r="342" hidden="1" customHeight="1" spans="1:27">
      <c r="A342" s="115" t="s">
        <v>478</v>
      </c>
      <c r="B342" s="50"/>
      <c r="C342" s="52">
        <f t="shared" ref="C342" si="349">C341*C340</f>
        <v>0</v>
      </c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131">
        <f ca="1">SUM(OFFSET($C342,0,0,1,mth))</f>
        <v>0</v>
      </c>
    </row>
    <row r="343" customHeight="1" spans="1:27">
      <c r="A343" s="46" t="s">
        <v>479</v>
      </c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</row>
    <row r="344" customHeight="1" spans="1:27">
      <c r="A344" s="115" t="s">
        <v>480</v>
      </c>
      <c r="B344" s="48"/>
      <c r="C344" s="146">
        <v>5147</v>
      </c>
      <c r="D344" s="116">
        <v>6184</v>
      </c>
      <c r="E344" s="116">
        <v>6755</v>
      </c>
      <c r="F344" s="116">
        <v>6125</v>
      </c>
      <c r="G344" s="116">
        <v>6518</v>
      </c>
      <c r="H344" s="116">
        <v>6348</v>
      </c>
      <c r="I344" s="116"/>
      <c r="J344" s="116"/>
      <c r="K344" s="116"/>
      <c r="L344" s="116"/>
      <c r="M344" s="116"/>
      <c r="N344" s="116"/>
      <c r="O344" s="262">
        <f ca="1">SUM(OFFSET($C344,0,0,1,mth))</f>
        <v>37077</v>
      </c>
    </row>
    <row r="345" customHeight="1" spans="1:27">
      <c r="A345" s="115" t="s">
        <v>481</v>
      </c>
      <c r="B345" s="48"/>
      <c r="C345" s="263">
        <f>377.9817</f>
        <v>377.9817</v>
      </c>
      <c r="D345" s="263">
        <f>2337438.53/D344</f>
        <v>377.981651034929</v>
      </c>
      <c r="E345" s="263">
        <f>2553266.06/E344</f>
        <v>377.981652109548</v>
      </c>
      <c r="F345" s="263">
        <f>2315137.61/F344</f>
        <v>377.981650612245</v>
      </c>
      <c r="G345" s="263">
        <f>2403903.58/G344</f>
        <v>368.81</v>
      </c>
      <c r="H345" s="263">
        <f>2341205.88/6348</f>
        <v>368.81</v>
      </c>
      <c r="I345" s="263"/>
      <c r="J345" s="263"/>
      <c r="K345" s="263"/>
      <c r="L345" s="263"/>
      <c r="M345" s="263"/>
      <c r="N345" s="263"/>
      <c r="O345" s="140">
        <f ca="1">O346/O344</f>
        <v>374.799025538744</v>
      </c>
    </row>
    <row r="346" customHeight="1" spans="1:27">
      <c r="A346" s="115" t="s">
        <v>280</v>
      </c>
      <c r="B346" s="50"/>
      <c r="C346" s="52">
        <f>C344*C345</f>
        <v>1945471.8099</v>
      </c>
      <c r="D346" s="52">
        <f t="shared" ref="D346:N346" si="350">D344*D345</f>
        <v>2337438.53</v>
      </c>
      <c r="E346" s="52">
        <f t="shared" si="350"/>
        <v>2553266.06</v>
      </c>
      <c r="F346" s="52">
        <f t="shared" si="350"/>
        <v>2315137.61</v>
      </c>
      <c r="G346" s="52">
        <f t="shared" si="350"/>
        <v>2403903.58</v>
      </c>
      <c r="H346" s="52">
        <f t="shared" si="350"/>
        <v>2341205.88</v>
      </c>
      <c r="I346" s="52">
        <f t="shared" si="350"/>
        <v>0</v>
      </c>
      <c r="J346" s="52">
        <f t="shared" si="350"/>
        <v>0</v>
      </c>
      <c r="K346" s="52">
        <f t="shared" si="350"/>
        <v>0</v>
      </c>
      <c r="L346" s="52">
        <f t="shared" si="350"/>
        <v>0</v>
      </c>
      <c r="M346" s="52">
        <f t="shared" si="350"/>
        <v>0</v>
      </c>
      <c r="N346" s="52">
        <f t="shared" si="350"/>
        <v>0</v>
      </c>
      <c r="O346" s="131">
        <f ca="1">SUM(OFFSET($C346,0,0,1,mth))</f>
        <v>13896423.4699</v>
      </c>
    </row>
    <row r="347" customHeight="1" spans="1:27">
      <c r="A347" s="252" t="s">
        <v>281</v>
      </c>
      <c r="B347" s="170"/>
      <c r="C347" s="116">
        <f>C346*1.09</f>
        <v>2120564.272791</v>
      </c>
      <c r="D347" s="116">
        <f t="shared" ref="D347:N347" si="351">D346*1.09</f>
        <v>2547807.9977</v>
      </c>
      <c r="E347" s="116">
        <f t="shared" si="351"/>
        <v>2783060.0054</v>
      </c>
      <c r="F347" s="116">
        <f t="shared" si="351"/>
        <v>2523499.9949</v>
      </c>
      <c r="G347" s="116">
        <f t="shared" si="351"/>
        <v>2620254.9022</v>
      </c>
      <c r="H347" s="116">
        <f t="shared" si="351"/>
        <v>2551914.4092</v>
      </c>
      <c r="I347" s="116">
        <f t="shared" si="351"/>
        <v>0</v>
      </c>
      <c r="J347" s="116">
        <f t="shared" si="351"/>
        <v>0</v>
      </c>
      <c r="K347" s="116">
        <f t="shared" si="351"/>
        <v>0</v>
      </c>
      <c r="L347" s="116">
        <f t="shared" si="351"/>
        <v>0</v>
      </c>
      <c r="M347" s="116">
        <f t="shared" si="351"/>
        <v>0</v>
      </c>
      <c r="N347" s="116">
        <f t="shared" si="351"/>
        <v>0</v>
      </c>
      <c r="O347" s="262">
        <f ca="1">SUM(OFFSET($C347,0,0,1,mth))</f>
        <v>15147101.582191</v>
      </c>
    </row>
    <row r="348" customHeight="1" spans="1:27">
      <c r="A348" s="264"/>
      <c r="B348" s="264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6"/>
    </row>
    <row r="349" s="94" customFormat="1" customHeight="1" spans="1:27">
      <c r="A349" s="229" t="s">
        <v>482</v>
      </c>
      <c r="B349" s="50"/>
      <c r="C349" s="52">
        <f>C323-C340+C344</f>
        <v>5147</v>
      </c>
      <c r="D349" s="52">
        <f>D323-D340+D344</f>
        <v>6184</v>
      </c>
      <c r="E349" s="52">
        <f>E323-E340+E344</f>
        <v>6755</v>
      </c>
      <c r="F349" s="52">
        <f>F323-F340+F344</f>
        <v>6125</v>
      </c>
      <c r="G349" s="52">
        <f>G323-G340+G344</f>
        <v>6518</v>
      </c>
      <c r="H349" s="52">
        <f t="shared" ref="H349:N349" si="352">H323-H340+H344</f>
        <v>6348</v>
      </c>
      <c r="I349" s="52">
        <f t="shared" si="352"/>
        <v>0</v>
      </c>
      <c r="J349" s="52">
        <f t="shared" si="352"/>
        <v>0</v>
      </c>
      <c r="K349" s="52">
        <f t="shared" si="352"/>
        <v>0</v>
      </c>
      <c r="L349" s="52">
        <f t="shared" si="352"/>
        <v>0</v>
      </c>
      <c r="M349" s="52">
        <f t="shared" si="352"/>
        <v>0</v>
      </c>
      <c r="N349" s="52">
        <f t="shared" si="352"/>
        <v>0</v>
      </c>
      <c r="O349" s="131">
        <f ca="1">SUM(OFFSET($C349,0,0,1,mth))</f>
        <v>37077</v>
      </c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customHeight="1" spans="1:27">
      <c r="A350" s="115" t="s">
        <v>483</v>
      </c>
      <c r="B350" s="48"/>
      <c r="C350" s="146">
        <v>2421</v>
      </c>
      <c r="D350" s="116">
        <v>2803</v>
      </c>
      <c r="E350" s="116">
        <f>2468+290</f>
        <v>2758</v>
      </c>
      <c r="F350" s="116">
        <v>3098</v>
      </c>
      <c r="G350" s="267">
        <v>3564</v>
      </c>
      <c r="H350" s="116">
        <f>2942+260</f>
        <v>3202</v>
      </c>
      <c r="I350" s="116"/>
      <c r="J350" s="116"/>
      <c r="K350" s="116"/>
      <c r="L350" s="116"/>
      <c r="M350" s="116"/>
      <c r="N350" s="116"/>
      <c r="O350" s="140">
        <f ca="1">SUM(OFFSET($C350,0,0,1,mth))</f>
        <v>17846</v>
      </c>
      <c r="AA350" s="94"/>
    </row>
    <row r="351" customHeight="1" spans="1:27">
      <c r="A351" s="57" t="s">
        <v>484</v>
      </c>
      <c r="B351" s="48"/>
      <c r="C351" s="146"/>
      <c r="D351" s="116">
        <v>110.977357808816</v>
      </c>
      <c r="E351" s="116">
        <v>151.090716914622</v>
      </c>
      <c r="F351" s="116">
        <v>158.502844762409</v>
      </c>
      <c r="G351" s="267"/>
      <c r="H351" s="116">
        <v>114.100265038188</v>
      </c>
      <c r="I351" s="116"/>
      <c r="J351" s="116"/>
      <c r="K351" s="116"/>
      <c r="L351" s="116"/>
      <c r="M351" s="116"/>
      <c r="N351" s="116"/>
      <c r="O351" s="140">
        <f ca="1">SUM(OFFSET($C351,0,0,1,mth))</f>
        <v>534.671184524035</v>
      </c>
      <c r="AA351" s="94"/>
    </row>
    <row r="352" customHeight="1" spans="1:27">
      <c r="A352" s="57" t="s">
        <v>485</v>
      </c>
      <c r="B352" s="48"/>
      <c r="C352" s="146">
        <v>2051</v>
      </c>
      <c r="D352" s="116">
        <v>2412.52264219118</v>
      </c>
      <c r="E352" s="116">
        <v>2240.90928308538</v>
      </c>
      <c r="F352" s="116">
        <v>2603.49715523759</v>
      </c>
      <c r="G352" s="267">
        <v>3208</v>
      </c>
      <c r="H352" s="116">
        <v>2691.89973496181</v>
      </c>
      <c r="I352" s="116"/>
      <c r="J352" s="116"/>
      <c r="K352" s="116"/>
      <c r="L352" s="116"/>
      <c r="M352" s="116"/>
      <c r="N352" s="116"/>
      <c r="O352" s="140">
        <f ca="1">SUM(OFFSET($C352,0,0,1,mth))</f>
        <v>15207.828815476</v>
      </c>
      <c r="AA352" s="94"/>
    </row>
    <row r="353" customHeight="1" spans="1:27">
      <c r="A353" s="57" t="s">
        <v>256</v>
      </c>
      <c r="B353" s="48"/>
      <c r="C353" s="146">
        <v>370</v>
      </c>
      <c r="D353" s="116">
        <v>249.5</v>
      </c>
      <c r="E353" s="116">
        <v>366</v>
      </c>
      <c r="F353" s="116">
        <v>336</v>
      </c>
      <c r="G353" s="267">
        <v>356</v>
      </c>
      <c r="H353" s="116">
        <v>396</v>
      </c>
      <c r="I353" s="116"/>
      <c r="J353" s="116"/>
      <c r="K353" s="116"/>
      <c r="L353" s="116"/>
      <c r="M353" s="116"/>
      <c r="N353" s="116"/>
      <c r="O353" s="140">
        <f ca="1">SUM(OFFSET($C353,0,0,1,mth))</f>
        <v>2073.5</v>
      </c>
      <c r="AA353" s="94"/>
    </row>
    <row r="354" customHeight="1" spans="1:27">
      <c r="A354" s="57" t="s">
        <v>257</v>
      </c>
      <c r="B354" s="48"/>
      <c r="C354" s="146"/>
      <c r="D354" s="116">
        <v>30</v>
      </c>
      <c r="E354" s="116"/>
      <c r="F354" s="116"/>
      <c r="G354" s="267"/>
      <c r="H354" s="116"/>
      <c r="I354" s="116"/>
      <c r="J354" s="116"/>
      <c r="K354" s="116"/>
      <c r="L354" s="116"/>
      <c r="M354" s="116"/>
      <c r="N354" s="116"/>
      <c r="O354" s="140">
        <f ca="1">SUM(OFFSET($C354,0,0,1,mth))</f>
        <v>30</v>
      </c>
      <c r="AA354" s="94"/>
    </row>
    <row r="355" customHeight="1" spans="1:27">
      <c r="A355" s="115" t="s">
        <v>486</v>
      </c>
      <c r="B355" s="48"/>
      <c r="C355" s="146">
        <v>2433</v>
      </c>
      <c r="D355" s="116">
        <v>2951</v>
      </c>
      <c r="E355" s="116">
        <v>3719</v>
      </c>
      <c r="F355" s="116">
        <v>2609</v>
      </c>
      <c r="G355" s="268">
        <v>2513</v>
      </c>
      <c r="H355" s="116">
        <f>2713</f>
        <v>2713</v>
      </c>
      <c r="I355" s="116"/>
      <c r="J355" s="116"/>
      <c r="K355" s="116"/>
      <c r="L355" s="116"/>
      <c r="M355" s="116"/>
      <c r="N355" s="116"/>
      <c r="O355" s="140">
        <f ca="1">SUM(OFFSET($C355,0,0,1,mth))</f>
        <v>16938</v>
      </c>
      <c r="Y355" s="94"/>
    </row>
    <row r="356" customHeight="1" spans="1:27">
      <c r="A356" s="115" t="s">
        <v>487</v>
      </c>
      <c r="B356" s="48"/>
      <c r="C356" s="149">
        <v>31.5</v>
      </c>
      <c r="D356" s="116">
        <v>42</v>
      </c>
      <c r="E356" s="116">
        <v>35</v>
      </c>
      <c r="F356" s="116">
        <v>96</v>
      </c>
      <c r="G356" s="268">
        <v>132</v>
      </c>
      <c r="H356" s="116">
        <v>97</v>
      </c>
      <c r="I356" s="116"/>
      <c r="J356" s="116"/>
      <c r="K356" s="116"/>
      <c r="L356" s="116"/>
      <c r="M356" s="116"/>
      <c r="N356" s="116"/>
      <c r="O356" s="176">
        <f ca="1">SUM(OFFSET($C356,0,0,1,mth))</f>
        <v>433.5</v>
      </c>
      <c r="Y356" s="94"/>
    </row>
    <row r="357" customHeight="1" spans="1:27">
      <c r="A357" s="115" t="s">
        <v>488</v>
      </c>
      <c r="B357" s="50"/>
      <c r="C357" s="52">
        <f>C349-C350-C355-C356</f>
        <v>261.5</v>
      </c>
      <c r="D357" s="52">
        <f t="shared" ref="D357:N357" si="353">D349-D350-D355-D356</f>
        <v>388</v>
      </c>
      <c r="E357" s="52">
        <f t="shared" si="353"/>
        <v>243</v>
      </c>
      <c r="F357" s="52">
        <f t="shared" si="353"/>
        <v>322</v>
      </c>
      <c r="G357" s="52">
        <f t="shared" si="353"/>
        <v>309</v>
      </c>
      <c r="H357" s="52">
        <f t="shared" si="353"/>
        <v>336</v>
      </c>
      <c r="I357" s="52">
        <f t="shared" si="353"/>
        <v>0</v>
      </c>
      <c r="J357" s="52">
        <f t="shared" si="353"/>
        <v>0</v>
      </c>
      <c r="K357" s="52">
        <f t="shared" si="353"/>
        <v>0</v>
      </c>
      <c r="L357" s="52">
        <f t="shared" si="353"/>
        <v>0</v>
      </c>
      <c r="M357" s="52">
        <f t="shared" si="353"/>
        <v>0</v>
      </c>
      <c r="N357" s="52">
        <f t="shared" si="353"/>
        <v>0</v>
      </c>
      <c r="O357" s="131">
        <f ca="1">SUM(OFFSET($C357,0,0,1,mth))</f>
        <v>1859.5</v>
      </c>
      <c r="P357" s="71"/>
      <c r="Z357" s="94"/>
    </row>
    <row r="358" customHeight="1" spans="1:27">
      <c r="A358" s="229" t="s">
        <v>489</v>
      </c>
      <c r="B358" s="50"/>
      <c r="C358" s="52">
        <f>C332+C346-C342</f>
        <v>1945471.8099</v>
      </c>
      <c r="D358" s="52">
        <f>D332+D346-D342</f>
        <v>2337438.53</v>
      </c>
      <c r="E358" s="52">
        <f>E332+E346-E342</f>
        <v>2553266.06</v>
      </c>
      <c r="F358" s="52">
        <f>F332+F346-F342</f>
        <v>2315137.61</v>
      </c>
      <c r="G358" s="52">
        <f>G332+G346-G342</f>
        <v>2403903.58</v>
      </c>
      <c r="H358" s="52">
        <f t="shared" ref="H358:N358" si="354">H332+H346-H342</f>
        <v>2341205.88</v>
      </c>
      <c r="I358" s="52">
        <f t="shared" si="354"/>
        <v>0</v>
      </c>
      <c r="J358" s="52">
        <f t="shared" si="354"/>
        <v>0</v>
      </c>
      <c r="K358" s="52">
        <f t="shared" si="354"/>
        <v>0</v>
      </c>
      <c r="L358" s="52">
        <f t="shared" si="354"/>
        <v>0</v>
      </c>
      <c r="M358" s="52">
        <f t="shared" si="354"/>
        <v>0</v>
      </c>
      <c r="N358" s="52">
        <f t="shared" si="354"/>
        <v>0</v>
      </c>
      <c r="O358" s="131">
        <f ca="1">SUM(OFFSET($C358,0,0,1,mth))</f>
        <v>13896423.4699</v>
      </c>
    </row>
    <row r="359" ht="23.25" spans="1:27">
      <c r="A359" s="254" t="s">
        <v>490</v>
      </c>
      <c r="B359" s="50"/>
      <c r="C359" s="235">
        <f>IF(C349=0,,C358/C349)</f>
        <v>377.9817</v>
      </c>
      <c r="D359" s="235">
        <f>IF(D349=0,,D358/D349)</f>
        <v>377.981651034929</v>
      </c>
      <c r="E359" s="235">
        <f>IF(E349=0,,E358/E349)</f>
        <v>377.981652109548</v>
      </c>
      <c r="F359" s="235">
        <f>IF(F349=0,,F358/F349)</f>
        <v>377.981650612245</v>
      </c>
      <c r="G359" s="235">
        <f>IF(G349=0,,G358/G349)</f>
        <v>368.81</v>
      </c>
      <c r="H359" s="235">
        <f t="shared" ref="H359:O359" si="355">IF(H349=0,,H358/H349)</f>
        <v>368.81</v>
      </c>
      <c r="I359" s="235">
        <f t="shared" si="355"/>
        <v>0</v>
      </c>
      <c r="J359" s="235">
        <f t="shared" si="355"/>
        <v>0</v>
      </c>
      <c r="K359" s="235">
        <f t="shared" si="355"/>
        <v>0</v>
      </c>
      <c r="L359" s="235">
        <f t="shared" si="355"/>
        <v>0</v>
      </c>
      <c r="M359" s="235">
        <f t="shared" si="355"/>
        <v>0</v>
      </c>
      <c r="N359" s="235">
        <f t="shared" si="355"/>
        <v>0</v>
      </c>
      <c r="O359" s="131">
        <f ca="1" t="shared" si="355"/>
        <v>374.799025538744</v>
      </c>
    </row>
    <row r="360" customHeight="1" spans="1:27">
      <c r="A360" s="269" t="s">
        <v>491</v>
      </c>
      <c r="B360" s="50"/>
      <c r="C360" s="235">
        <f>IF(C349=0,,C347/C349)</f>
        <v>412.000053</v>
      </c>
      <c r="D360" s="235">
        <f>IF(D349=0,,D347/D349)</f>
        <v>411.999999628073</v>
      </c>
      <c r="E360" s="235">
        <f>IF(E349=0,,E347/E349)</f>
        <v>412.000000799407</v>
      </c>
      <c r="F360" s="235">
        <f>IF(F349=0,,F347/F349)</f>
        <v>411.999999167347</v>
      </c>
      <c r="G360" s="235">
        <f>IF(G349=0,,G347/G349)</f>
        <v>402.0029</v>
      </c>
      <c r="H360" s="235">
        <f t="shared" ref="H360:O360" si="356">IF(H349=0,,H347/H349)</f>
        <v>402.0029</v>
      </c>
      <c r="I360" s="235">
        <f t="shared" si="356"/>
        <v>0</v>
      </c>
      <c r="J360" s="235">
        <f t="shared" si="356"/>
        <v>0</v>
      </c>
      <c r="K360" s="235">
        <f t="shared" si="356"/>
        <v>0</v>
      </c>
      <c r="L360" s="235">
        <f t="shared" si="356"/>
        <v>0</v>
      </c>
      <c r="M360" s="235">
        <f t="shared" si="356"/>
        <v>0</v>
      </c>
      <c r="N360" s="235">
        <f t="shared" si="356"/>
        <v>0</v>
      </c>
      <c r="O360" s="131">
        <f ca="1" t="shared" si="356"/>
        <v>408.530937837231</v>
      </c>
    </row>
    <row r="361" customHeight="1" spans="1:27">
      <c r="A361" s="46" t="s">
        <v>32</v>
      </c>
      <c r="B361" s="137" t="s">
        <v>339</v>
      </c>
    </row>
    <row r="362" customHeight="1" spans="1:27">
      <c r="A362" s="115" t="s">
        <v>492</v>
      </c>
      <c r="B362" s="57" t="s">
        <v>97</v>
      </c>
      <c r="C362" s="270">
        <v>601077</v>
      </c>
      <c r="D362" s="116">
        <v>810312</v>
      </c>
      <c r="E362" s="116">
        <v>845375</v>
      </c>
      <c r="F362" s="116">
        <f>767071+177620</f>
        <v>944691</v>
      </c>
      <c r="G362" s="116">
        <v>1193109</v>
      </c>
      <c r="H362" s="116">
        <v>1050591</v>
      </c>
      <c r="I362" s="116"/>
      <c r="J362" s="116"/>
      <c r="K362" s="116"/>
      <c r="L362" s="116"/>
      <c r="M362" s="116"/>
      <c r="N362" s="116"/>
      <c r="O362" s="271">
        <f ca="1" t="shared" ref="O362:O368" si="357">SUM(OFFSET($C362,0,0,1,mth))</f>
        <v>5445155</v>
      </c>
    </row>
    <row r="363" customHeight="1" spans="1:27">
      <c r="A363" s="115" t="s">
        <v>493</v>
      </c>
      <c r="B363" s="57" t="s">
        <v>97</v>
      </c>
      <c r="C363" s="146">
        <v>348453</v>
      </c>
      <c r="D363" s="116">
        <v>367228</v>
      </c>
      <c r="E363" s="116">
        <f>453315+35821</f>
        <v>489136</v>
      </c>
      <c r="F363" s="116">
        <f>321040+67373</f>
        <v>388413</v>
      </c>
      <c r="G363" s="116">
        <v>402992</v>
      </c>
      <c r="H363" s="116">
        <v>392833</v>
      </c>
      <c r="I363" s="116"/>
      <c r="J363" s="116"/>
      <c r="K363" s="116"/>
      <c r="L363" s="116"/>
      <c r="M363" s="116"/>
      <c r="N363" s="116"/>
      <c r="O363" s="140">
        <f ca="1" t="shared" si="357"/>
        <v>2389055</v>
      </c>
    </row>
    <row r="364" customHeight="1" spans="1:27">
      <c r="A364" s="115" t="s">
        <v>494</v>
      </c>
      <c r="B364" s="57" t="s">
        <v>97</v>
      </c>
      <c r="C364" s="146">
        <v>8264</v>
      </c>
      <c r="D364" s="116">
        <v>9943</v>
      </c>
      <c r="E364" s="116">
        <v>8469</v>
      </c>
      <c r="F364" s="116">
        <v>22608</v>
      </c>
      <c r="G364" s="116">
        <v>29830</v>
      </c>
      <c r="H364" s="116">
        <v>22034</v>
      </c>
      <c r="I364" s="116"/>
      <c r="J364" s="116"/>
      <c r="K364" s="116"/>
      <c r="L364" s="116"/>
      <c r="M364" s="116"/>
      <c r="N364" s="116"/>
      <c r="O364" s="176">
        <f ca="1" t="shared" si="357"/>
        <v>101148</v>
      </c>
    </row>
    <row r="365" customHeight="1" spans="1:27">
      <c r="A365" s="115" t="s">
        <v>495</v>
      </c>
      <c r="B365" s="57" t="s">
        <v>97</v>
      </c>
      <c r="C365" s="52">
        <f>C366-C362-C363-C364</f>
        <v>62926</v>
      </c>
      <c r="D365" s="52">
        <f>D366-D362-D363-D364</f>
        <v>195457</v>
      </c>
      <c r="E365" s="52">
        <f t="shared" ref="E365:H365" si="358">E366-E362-E363-E364</f>
        <v>81120</v>
      </c>
      <c r="F365" s="52">
        <f t="shared" si="358"/>
        <v>71568</v>
      </c>
      <c r="G365" s="52">
        <f t="shared" si="358"/>
        <v>79389</v>
      </c>
      <c r="H365" s="52">
        <f t="shared" si="358"/>
        <v>80562</v>
      </c>
      <c r="I365" s="52">
        <f t="shared" ref="I365:N365" si="359">I366-I362-I363-I364</f>
        <v>0</v>
      </c>
      <c r="J365" s="52">
        <f t="shared" si="359"/>
        <v>0</v>
      </c>
      <c r="K365" s="52">
        <f t="shared" si="359"/>
        <v>0</v>
      </c>
      <c r="L365" s="52">
        <f t="shared" si="359"/>
        <v>0</v>
      </c>
      <c r="M365" s="52">
        <f t="shared" si="359"/>
        <v>0</v>
      </c>
      <c r="N365" s="52">
        <f t="shared" si="359"/>
        <v>0</v>
      </c>
      <c r="O365" s="131">
        <f ca="1" t="shared" si="357"/>
        <v>571022</v>
      </c>
      <c r="P365" s="71"/>
    </row>
    <row r="366" customHeight="1" spans="1:27">
      <c r="A366" s="57" t="s">
        <v>232</v>
      </c>
      <c r="B366" s="57" t="s">
        <v>97</v>
      </c>
      <c r="C366" s="149">
        <v>1020720</v>
      </c>
      <c r="D366" s="116">
        <v>1382940</v>
      </c>
      <c r="E366" s="116">
        <v>1424100</v>
      </c>
      <c r="F366" s="116">
        <v>1427280</v>
      </c>
      <c r="G366" s="116">
        <v>1705320</v>
      </c>
      <c r="H366" s="116">
        <v>1546020</v>
      </c>
      <c r="I366" s="116"/>
      <c r="J366" s="116"/>
      <c r="K366" s="116"/>
      <c r="L366" s="116"/>
      <c r="M366" s="116"/>
      <c r="N366" s="116"/>
      <c r="O366" s="176">
        <f ca="1" t="shared" si="357"/>
        <v>8506380</v>
      </c>
    </row>
    <row r="367" customHeight="1" spans="1:27">
      <c r="A367" s="272" t="s">
        <v>496</v>
      </c>
      <c r="B367" s="84" t="s">
        <v>123</v>
      </c>
      <c r="C367" s="273">
        <v>783114.01</v>
      </c>
      <c r="D367" s="234">
        <v>1015777.76</v>
      </c>
      <c r="E367" s="234">
        <v>877146.1</v>
      </c>
      <c r="F367" s="234">
        <v>933726.59</v>
      </c>
      <c r="G367" s="234">
        <v>1159617.6</v>
      </c>
      <c r="H367" s="234">
        <v>1020373.2</v>
      </c>
      <c r="I367" s="116"/>
      <c r="J367" s="116"/>
      <c r="K367" s="116"/>
      <c r="L367" s="116"/>
      <c r="M367" s="116"/>
      <c r="N367" s="116"/>
      <c r="O367" s="271">
        <f ca="1" t="shared" si="357"/>
        <v>5789755.26</v>
      </c>
    </row>
    <row r="368" customHeight="1" spans="1:27">
      <c r="A368" s="229" t="s">
        <v>497</v>
      </c>
      <c r="B368" s="274" t="s">
        <v>123</v>
      </c>
      <c r="C368" s="270">
        <f>C367*1.13</f>
        <v>884918.8313</v>
      </c>
      <c r="D368" s="270">
        <f t="shared" ref="D368:N368" si="360">D367*1.13</f>
        <v>1147828.8688</v>
      </c>
      <c r="E368" s="270">
        <f t="shared" si="360"/>
        <v>991175.093</v>
      </c>
      <c r="F368" s="270">
        <f t="shared" si="360"/>
        <v>1055111.0467</v>
      </c>
      <c r="G368" s="270">
        <f t="shared" si="360"/>
        <v>1310367.888</v>
      </c>
      <c r="H368" s="270">
        <f t="shared" si="360"/>
        <v>1153021.716</v>
      </c>
      <c r="I368" s="273">
        <f t="shared" si="360"/>
        <v>0</v>
      </c>
      <c r="J368" s="273">
        <f t="shared" si="360"/>
        <v>0</v>
      </c>
      <c r="K368" s="273">
        <f t="shared" si="360"/>
        <v>0</v>
      </c>
      <c r="L368" s="273">
        <f t="shared" si="360"/>
        <v>0</v>
      </c>
      <c r="M368" s="273">
        <f t="shared" si="360"/>
        <v>0</v>
      </c>
      <c r="N368" s="273">
        <f t="shared" si="360"/>
        <v>0</v>
      </c>
      <c r="O368" s="271">
        <f ca="1" t="shared" si="357"/>
        <v>6542423.4438</v>
      </c>
    </row>
    <row r="369" customHeight="1" spans="1:18">
      <c r="A369" s="115" t="s">
        <v>498</v>
      </c>
      <c r="B369" s="192" t="s">
        <v>123</v>
      </c>
      <c r="C369" s="152">
        <f>IF(C366=0,,C367/C366)</f>
        <v>0.767217268202837</v>
      </c>
      <c r="D369" s="152">
        <f t="shared" ref="D369:O369" si="361">IF(D366=0,,D367/D366)</f>
        <v>0.734506023399424</v>
      </c>
      <c r="E369" s="152">
        <f t="shared" si="361"/>
        <v>0.615930131311003</v>
      </c>
      <c r="F369" s="152">
        <f t="shared" si="361"/>
        <v>0.654200009808867</v>
      </c>
      <c r="G369" s="152">
        <f t="shared" si="361"/>
        <v>0.68</v>
      </c>
      <c r="H369" s="235">
        <f t="shared" si="361"/>
        <v>0.66</v>
      </c>
      <c r="I369" s="235">
        <f t="shared" si="361"/>
        <v>0</v>
      </c>
      <c r="J369" s="235">
        <f t="shared" si="361"/>
        <v>0</v>
      </c>
      <c r="K369" s="235">
        <f t="shared" si="361"/>
        <v>0</v>
      </c>
      <c r="L369" s="235">
        <f t="shared" si="361"/>
        <v>0</v>
      </c>
      <c r="M369" s="235">
        <f t="shared" si="361"/>
        <v>0</v>
      </c>
      <c r="N369" s="235">
        <f t="shared" si="361"/>
        <v>0</v>
      </c>
      <c r="O369" s="131">
        <f ca="1" t="shared" si="361"/>
        <v>0.680636799672716</v>
      </c>
      <c r="P369" s="68"/>
      <c r="Q369" s="96">
        <f>P369*K366</f>
        <v>0</v>
      </c>
    </row>
    <row r="370" customHeight="1" spans="1:18">
      <c r="A370" s="115" t="s">
        <v>499</v>
      </c>
      <c r="B370" s="274" t="s">
        <v>123</v>
      </c>
      <c r="C370" s="152">
        <f>C369*1.13</f>
        <v>0.866955513069206</v>
      </c>
      <c r="D370" s="152">
        <f t="shared" ref="D370:M370" si="362">D369*1.13</f>
        <v>0.82999180644135</v>
      </c>
      <c r="E370" s="152">
        <f t="shared" si="362"/>
        <v>0.696001048381434</v>
      </c>
      <c r="F370" s="152">
        <f t="shared" si="362"/>
        <v>0.73924601108402</v>
      </c>
      <c r="G370" s="152">
        <f t="shared" si="362"/>
        <v>0.7684</v>
      </c>
      <c r="H370" s="152">
        <f t="shared" si="362"/>
        <v>0.7458</v>
      </c>
      <c r="I370" s="275">
        <f t="shared" si="362"/>
        <v>0</v>
      </c>
      <c r="J370" s="275">
        <f t="shared" si="362"/>
        <v>0</v>
      </c>
      <c r="K370" s="275">
        <f t="shared" si="362"/>
        <v>0</v>
      </c>
      <c r="L370" s="275">
        <f t="shared" si="362"/>
        <v>0</v>
      </c>
      <c r="M370" s="275">
        <f t="shared" si="362"/>
        <v>0</v>
      </c>
      <c r="N370" s="275">
        <f t="shared" ref="N370" si="363">N369*1.13</f>
        <v>0</v>
      </c>
      <c r="O370" s="131">
        <f ca="1">IF(O366=0,,O368/O366)</f>
        <v>0.769119583630169</v>
      </c>
    </row>
    <row r="371" customHeight="1" spans="1:18">
      <c r="A371" s="46" t="s">
        <v>33</v>
      </c>
      <c r="B371" s="137"/>
      <c r="Q371" s="71"/>
      <c r="R371" s="71"/>
    </row>
    <row r="372" customHeight="1" spans="1:18">
      <c r="A372" s="115" t="s">
        <v>500</v>
      </c>
      <c r="B372" s="50" t="s">
        <v>75</v>
      </c>
      <c r="C372" s="146">
        <v>15019</v>
      </c>
      <c r="D372" s="116">
        <v>25462</v>
      </c>
      <c r="E372" s="116">
        <v>26166</v>
      </c>
      <c r="F372" s="116">
        <f>26747+374</f>
        <v>27121</v>
      </c>
      <c r="G372" s="116">
        <v>30156</v>
      </c>
      <c r="H372" s="116">
        <v>32212</v>
      </c>
      <c r="I372" s="116"/>
      <c r="J372" s="116"/>
      <c r="K372" s="116"/>
      <c r="L372" s="116"/>
      <c r="M372" s="116"/>
      <c r="N372" s="116"/>
      <c r="O372" s="140">
        <f ca="1" t="shared" ref="O372:O377" si="364">SUM(OFFSET($C372,0,0,1,mth))</f>
        <v>156136</v>
      </c>
    </row>
    <row r="373" customHeight="1" spans="1:18">
      <c r="A373" s="115" t="s">
        <v>493</v>
      </c>
      <c r="B373" s="50" t="s">
        <v>75</v>
      </c>
      <c r="C373" s="146">
        <v>8352</v>
      </c>
      <c r="D373" s="116">
        <v>13823</v>
      </c>
      <c r="E373" s="116">
        <f>13552+120</f>
        <v>13672</v>
      </c>
      <c r="F373" s="116">
        <f>10159+249</f>
        <v>10408</v>
      </c>
      <c r="G373" s="116">
        <v>11500</v>
      </c>
      <c r="H373" s="116">
        <v>12232</v>
      </c>
      <c r="I373" s="116"/>
      <c r="J373" s="116"/>
      <c r="K373" s="116"/>
      <c r="L373" s="116"/>
      <c r="M373" s="116"/>
      <c r="N373" s="116"/>
      <c r="O373" s="140">
        <f ca="1" t="shared" si="364"/>
        <v>69987</v>
      </c>
    </row>
    <row r="374" customHeight="1" spans="1:18">
      <c r="A374" s="115" t="s">
        <v>494</v>
      </c>
      <c r="B374" s="50" t="s">
        <v>75</v>
      </c>
      <c r="C374" s="146">
        <v>293</v>
      </c>
      <c r="D374" s="116">
        <v>364</v>
      </c>
      <c r="E374" s="116">
        <v>321</v>
      </c>
      <c r="F374" s="116">
        <v>830</v>
      </c>
      <c r="G374" s="116">
        <v>1011</v>
      </c>
      <c r="H374" s="116">
        <v>758</v>
      </c>
      <c r="I374" s="116"/>
      <c r="J374" s="116"/>
      <c r="K374" s="116"/>
      <c r="L374" s="116"/>
      <c r="M374" s="116"/>
      <c r="N374" s="116"/>
      <c r="O374" s="176">
        <f ca="1" t="shared" si="364"/>
        <v>3577</v>
      </c>
    </row>
    <row r="375" customHeight="1" spans="1:18">
      <c r="A375" s="115" t="s">
        <v>501</v>
      </c>
      <c r="B375" s="50" t="s">
        <v>75</v>
      </c>
      <c r="C375" s="52">
        <f>C376-C372-C373-C374</f>
        <v>1490</v>
      </c>
      <c r="D375" s="52">
        <f t="shared" ref="D375:G375" si="365">D376-D372-D373-D374</f>
        <v>2232</v>
      </c>
      <c r="E375" s="52">
        <f t="shared" si="365"/>
        <v>1390</v>
      </c>
      <c r="F375" s="52">
        <f t="shared" si="365"/>
        <v>2153</v>
      </c>
      <c r="G375" s="52">
        <f t="shared" si="365"/>
        <v>2053</v>
      </c>
      <c r="H375" s="52">
        <f t="shared" ref="H375:N375" si="366">H376-H372-H373-H374</f>
        <v>2205</v>
      </c>
      <c r="I375" s="52">
        <f t="shared" si="366"/>
        <v>0</v>
      </c>
      <c r="J375" s="52">
        <f t="shared" si="366"/>
        <v>0</v>
      </c>
      <c r="K375" s="52">
        <f t="shared" si="366"/>
        <v>0</v>
      </c>
      <c r="L375" s="52">
        <f t="shared" si="366"/>
        <v>0</v>
      </c>
      <c r="M375" s="52">
        <f t="shared" si="366"/>
        <v>0</v>
      </c>
      <c r="N375" s="52">
        <f t="shared" si="366"/>
        <v>0</v>
      </c>
      <c r="O375" s="131">
        <f ca="1" t="shared" si="364"/>
        <v>11523</v>
      </c>
      <c r="P375" s="71"/>
      <c r="Q375" s="71"/>
      <c r="R375" s="71"/>
    </row>
    <row r="376" customHeight="1" spans="1:18">
      <c r="A376" s="57" t="s">
        <v>232</v>
      </c>
      <c r="B376" s="50" t="s">
        <v>75</v>
      </c>
      <c r="C376" s="149">
        <v>25154</v>
      </c>
      <c r="D376" s="116">
        <v>41881</v>
      </c>
      <c r="E376" s="116">
        <v>41549</v>
      </c>
      <c r="F376" s="116">
        <v>40512</v>
      </c>
      <c r="G376" s="116">
        <v>44720</v>
      </c>
      <c r="H376" s="116">
        <v>47407</v>
      </c>
      <c r="I376" s="116"/>
      <c r="J376" s="116"/>
      <c r="K376" s="116"/>
      <c r="L376" s="116"/>
      <c r="M376" s="116"/>
      <c r="N376" s="116"/>
      <c r="O376" s="176">
        <f ca="1" t="shared" si="364"/>
        <v>241223</v>
      </c>
    </row>
    <row r="377" customHeight="1" spans="1:18">
      <c r="A377" s="166" t="s">
        <v>502</v>
      </c>
      <c r="B377" s="170" t="s">
        <v>123</v>
      </c>
      <c r="C377" s="273">
        <f>81078.91+67236.64</f>
        <v>148315.55</v>
      </c>
      <c r="D377" s="234">
        <v>246942.98</v>
      </c>
      <c r="E377" s="234">
        <v>244985.409038835</v>
      </c>
      <c r="F377" s="234">
        <v>238870.944932039</v>
      </c>
      <c r="G377" s="234">
        <v>263534.96</v>
      </c>
      <c r="H377" s="234">
        <v>279369.45</v>
      </c>
      <c r="I377" s="116"/>
      <c r="J377" s="116"/>
      <c r="K377" s="116"/>
      <c r="L377" s="116"/>
      <c r="M377" s="116"/>
      <c r="N377" s="116"/>
      <c r="O377" s="271">
        <f ca="1" t="shared" si="364"/>
        <v>1422019.29397087</v>
      </c>
    </row>
    <row r="378" customHeight="1" spans="1:18">
      <c r="A378" s="148" t="s">
        <v>503</v>
      </c>
      <c r="B378" s="50" t="s">
        <v>387</v>
      </c>
      <c r="C378" s="235">
        <f t="shared" ref="C378:O378" si="367">IF(C376=0,0,C377/C376)</f>
        <v>5.89630078715115</v>
      </c>
      <c r="D378" s="235">
        <f t="shared" si="367"/>
        <v>5.89630094792388</v>
      </c>
      <c r="E378" s="235">
        <f t="shared" si="367"/>
        <v>5.89630097087379</v>
      </c>
      <c r="F378" s="235">
        <f t="shared" si="367"/>
        <v>5.89630097087379</v>
      </c>
      <c r="G378" s="235">
        <f t="shared" si="367"/>
        <v>5.893</v>
      </c>
      <c r="H378" s="235">
        <f t="shared" si="367"/>
        <v>5.89299997890607</v>
      </c>
      <c r="I378" s="235">
        <f t="shared" si="367"/>
        <v>0</v>
      </c>
      <c r="J378" s="235">
        <f t="shared" si="367"/>
        <v>0</v>
      </c>
      <c r="K378" s="235">
        <f t="shared" si="367"/>
        <v>0</v>
      </c>
      <c r="L378" s="235">
        <f t="shared" si="367"/>
        <v>0</v>
      </c>
      <c r="M378" s="235">
        <f t="shared" si="367"/>
        <v>0</v>
      </c>
      <c r="N378" s="235">
        <f t="shared" si="367"/>
        <v>0</v>
      </c>
      <c r="O378" s="131">
        <f ca="1" t="shared" si="367"/>
        <v>5.8950402489434</v>
      </c>
    </row>
    <row r="379" customHeight="1" spans="1:18">
      <c r="A379" s="148" t="s">
        <v>504</v>
      </c>
      <c r="B379" s="50"/>
      <c r="C379" s="235">
        <f>3.32+2.97*0.9</f>
        <v>5.993</v>
      </c>
      <c r="D379" s="235">
        <f t="shared" ref="D379:N379" si="368">3.32+2.97*0.9</f>
        <v>5.993</v>
      </c>
      <c r="E379" s="235">
        <f t="shared" si="368"/>
        <v>5.993</v>
      </c>
      <c r="F379" s="235">
        <f t="shared" si="368"/>
        <v>5.993</v>
      </c>
      <c r="G379" s="235">
        <f t="shared" si="368"/>
        <v>5.993</v>
      </c>
      <c r="H379" s="235">
        <f t="shared" si="368"/>
        <v>5.993</v>
      </c>
      <c r="I379" s="235">
        <f t="shared" si="368"/>
        <v>5.993</v>
      </c>
      <c r="J379" s="235">
        <f t="shared" si="368"/>
        <v>5.993</v>
      </c>
      <c r="K379" s="235">
        <f t="shared" si="368"/>
        <v>5.993</v>
      </c>
      <c r="L379" s="235">
        <f t="shared" si="368"/>
        <v>5.993</v>
      </c>
      <c r="M379" s="235">
        <f t="shared" si="368"/>
        <v>5.993</v>
      </c>
      <c r="N379" s="235">
        <f t="shared" si="368"/>
        <v>5.993</v>
      </c>
      <c r="O379" s="176">
        <f ca="1">IF(O376=0,,O380/O376)</f>
        <v>5.993</v>
      </c>
      <c r="P379" s="71"/>
    </row>
    <row r="380" customHeight="1" spans="1:18">
      <c r="A380" s="276" t="s">
        <v>505</v>
      </c>
      <c r="B380" s="50"/>
      <c r="C380" s="270">
        <f>C379*C376</f>
        <v>150747.922</v>
      </c>
      <c r="D380" s="270">
        <f t="shared" ref="D380:N380" si="369">D379*D376</f>
        <v>250992.833</v>
      </c>
      <c r="E380" s="270">
        <f t="shared" si="369"/>
        <v>249003.157</v>
      </c>
      <c r="F380" s="270">
        <f t="shared" si="369"/>
        <v>242788.416</v>
      </c>
      <c r="G380" s="270">
        <f t="shared" si="369"/>
        <v>268006.96</v>
      </c>
      <c r="H380" s="270">
        <f t="shared" si="369"/>
        <v>284110.151</v>
      </c>
      <c r="I380" s="270">
        <f t="shared" si="369"/>
        <v>0</v>
      </c>
      <c r="J380" s="270">
        <f t="shared" si="369"/>
        <v>0</v>
      </c>
      <c r="K380" s="270">
        <f t="shared" si="369"/>
        <v>0</v>
      </c>
      <c r="L380" s="270">
        <f t="shared" si="369"/>
        <v>0</v>
      </c>
      <c r="M380" s="270">
        <f t="shared" si="369"/>
        <v>0</v>
      </c>
      <c r="N380" s="270">
        <f t="shared" si="369"/>
        <v>0</v>
      </c>
      <c r="O380" s="271">
        <f ca="1" t="shared" ref="O380" si="370">SUM(OFFSET($C380,0,0,1,mth))</f>
        <v>1445649.439</v>
      </c>
    </row>
    <row r="381" hidden="1" customHeight="1" spans="1:18">
      <c r="A381" s="46" t="s">
        <v>34</v>
      </c>
      <c r="B381" s="137" t="s">
        <v>339</v>
      </c>
    </row>
    <row r="382" hidden="1" customHeight="1" spans="1:18">
      <c r="A382" s="115" t="s">
        <v>492</v>
      </c>
      <c r="B382" s="50"/>
      <c r="C382" s="255"/>
      <c r="D382" s="255"/>
      <c r="E382" s="255"/>
      <c r="F382" s="255"/>
      <c r="G382" s="255"/>
      <c r="H382" s="255"/>
      <c r="I382" s="255"/>
      <c r="J382" s="255"/>
      <c r="K382" s="255"/>
      <c r="L382" s="255"/>
      <c r="M382" s="255"/>
      <c r="N382" s="255"/>
      <c r="O382" s="256">
        <f ca="1">SUM(OFFSET($C382,0,0,1,mth))</f>
        <v>0</v>
      </c>
    </row>
    <row r="383" hidden="1" customHeight="1" spans="1:18">
      <c r="A383" s="115" t="s">
        <v>493</v>
      </c>
      <c r="B383" s="48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0"/>
    </row>
    <row r="384" hidden="1" customHeight="1" spans="1:18">
      <c r="A384" s="115" t="s">
        <v>506</v>
      </c>
      <c r="B384" s="50"/>
      <c r="C384" s="255"/>
      <c r="D384" s="255"/>
      <c r="E384" s="255"/>
      <c r="F384" s="255"/>
      <c r="G384" s="255"/>
      <c r="H384" s="255"/>
      <c r="I384" s="255"/>
      <c r="J384" s="255"/>
      <c r="K384" s="255"/>
      <c r="L384" s="255"/>
      <c r="M384" s="255"/>
      <c r="N384" s="255"/>
      <c r="O384" s="256">
        <f ca="1">SUM(OFFSET($C384,0,0,1,mth))</f>
        <v>0</v>
      </c>
    </row>
    <row r="385" hidden="1" customHeight="1" spans="1:18">
      <c r="A385" s="115" t="s">
        <v>507</v>
      </c>
      <c r="B385" s="50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76">
        <f ca="1">SUM(OFFSET($C385,0,0,1,mth))</f>
        <v>0</v>
      </c>
    </row>
    <row r="386" hidden="1" customHeight="1" spans="1:18">
      <c r="A386" s="57" t="s">
        <v>232</v>
      </c>
      <c r="B386" s="50" t="s">
        <v>75</v>
      </c>
      <c r="C386" s="52">
        <f t="shared" ref="C386" si="371">SUM(C382:C385)</f>
        <v>0</v>
      </c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131">
        <f ca="1">SUM(OFFSET($C386,0,0,1,mth))</f>
        <v>0</v>
      </c>
    </row>
    <row r="387" ht="19.5" hidden="1" customHeight="1" spans="1:18">
      <c r="A387" s="276" t="s">
        <v>508</v>
      </c>
      <c r="B387" s="50" t="s">
        <v>123</v>
      </c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0">
        <f ca="1">SUM(OFFSET($C387,0,0,1,mth))</f>
        <v>0</v>
      </c>
      <c r="Q387" s="68"/>
      <c r="R387" s="68"/>
    </row>
    <row r="388" hidden="1" customHeight="1" spans="1:18">
      <c r="A388" s="148" t="s">
        <v>509</v>
      </c>
      <c r="B388" s="50" t="s">
        <v>510</v>
      </c>
      <c r="C388" s="235">
        <f t="shared" ref="C388:O388" si="372">IF(C386=0,0,C387/C386)</f>
        <v>0</v>
      </c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131">
        <f ca="1" t="shared" si="372"/>
        <v>0</v>
      </c>
    </row>
    <row r="389" hidden="1" customHeight="1" spans="1:18">
      <c r="A389" s="38" t="s">
        <v>511</v>
      </c>
      <c r="B389" s="277"/>
      <c r="C389" s="278">
        <f t="shared" ref="C389:O389" si="373">C377/C376</f>
        <v>5.89630078715115</v>
      </c>
      <c r="D389" s="278">
        <f t="shared" si="373"/>
        <v>5.89630094792388</v>
      </c>
      <c r="E389" s="278">
        <f t="shared" si="373"/>
        <v>5.89630097087379</v>
      </c>
      <c r="F389" s="278">
        <f t="shared" si="373"/>
        <v>5.89630097087379</v>
      </c>
      <c r="G389" s="278">
        <f t="shared" si="373"/>
        <v>5.893</v>
      </c>
      <c r="H389" s="278">
        <f t="shared" si="373"/>
        <v>5.89299997890607</v>
      </c>
      <c r="I389" s="278" t="e">
        <f t="shared" si="373"/>
        <v>#DIV/0!</v>
      </c>
      <c r="J389" s="278" t="e">
        <f t="shared" si="373"/>
        <v>#DIV/0!</v>
      </c>
      <c r="K389" s="278" t="e">
        <f t="shared" si="373"/>
        <v>#DIV/0!</v>
      </c>
      <c r="L389" s="278" t="e">
        <f t="shared" si="373"/>
        <v>#DIV/0!</v>
      </c>
      <c r="M389" s="278" t="e">
        <f t="shared" si="373"/>
        <v>#DIV/0!</v>
      </c>
      <c r="N389" s="278" t="e">
        <f t="shared" si="373"/>
        <v>#DIV/0!</v>
      </c>
      <c r="O389" s="80">
        <f ca="1" t="shared" si="373"/>
        <v>5.8950402489434</v>
      </c>
      <c r="Q389" s="71"/>
      <c r="R389" s="71"/>
    </row>
    <row r="390" spans="1:18">
      <c r="A390" s="46" t="s">
        <v>287</v>
      </c>
      <c r="B390" s="137"/>
    </row>
    <row r="391" customHeight="1" spans="1:18">
      <c r="A391" s="115" t="s">
        <v>33</v>
      </c>
      <c r="B391" s="50" t="s">
        <v>123</v>
      </c>
      <c r="C391" s="146">
        <v>1178.07</v>
      </c>
      <c r="D391" s="116">
        <v>1185.78</v>
      </c>
      <c r="E391" s="116">
        <v>1179.91</v>
      </c>
      <c r="F391" s="116">
        <v>1179.76</v>
      </c>
      <c r="G391" s="116">
        <v>1173.31</v>
      </c>
      <c r="H391" s="116">
        <v>1173.2</v>
      </c>
      <c r="I391" s="116"/>
      <c r="J391" s="116"/>
      <c r="K391" s="116"/>
      <c r="L391" s="116"/>
      <c r="M391" s="116"/>
      <c r="N391" s="116"/>
      <c r="O391" s="140">
        <f ca="1" t="shared" ref="O391:O402" si="374">SUM(OFFSET($C391,0,0,1,mth))</f>
        <v>7070.03</v>
      </c>
      <c r="P391" s="279"/>
      <c r="Q391" s="71"/>
    </row>
    <row r="392" customHeight="1" spans="1:18">
      <c r="A392" s="115" t="s">
        <v>32</v>
      </c>
      <c r="B392" s="50" t="s">
        <v>123</v>
      </c>
      <c r="C392" s="146">
        <v>17308.08</v>
      </c>
      <c r="D392" s="116">
        <v>25818.51</v>
      </c>
      <c r="E392" s="116">
        <v>20288.11</v>
      </c>
      <c r="F392" s="116">
        <v>20629.14</v>
      </c>
      <c r="G392" s="116">
        <v>23929.65</v>
      </c>
      <c r="H392" s="116">
        <v>21937.62</v>
      </c>
      <c r="I392" s="116"/>
      <c r="J392" s="116"/>
      <c r="K392" s="116"/>
      <c r="L392" s="116"/>
      <c r="M392" s="116"/>
      <c r="N392" s="116"/>
      <c r="O392" s="140">
        <f ca="1" t="shared" si="374"/>
        <v>129911.11</v>
      </c>
      <c r="P392" s="71"/>
    </row>
    <row r="393" customHeight="1" spans="1:18">
      <c r="A393" s="115" t="s">
        <v>512</v>
      </c>
      <c r="B393" s="50" t="s">
        <v>123</v>
      </c>
      <c r="C393" s="14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40">
        <f ca="1" t="shared" si="374"/>
        <v>0</v>
      </c>
      <c r="Q393" s="68"/>
    </row>
    <row r="394" customHeight="1" spans="1:18">
      <c r="A394" s="115" t="s">
        <v>513</v>
      </c>
      <c r="B394" s="50" t="s">
        <v>123</v>
      </c>
      <c r="C394" s="14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40">
        <f ca="1" t="shared" si="374"/>
        <v>0</v>
      </c>
      <c r="Q394" s="280"/>
    </row>
    <row r="395" customHeight="1" spans="1:18">
      <c r="A395" s="115" t="s">
        <v>514</v>
      </c>
      <c r="B395" s="50" t="s">
        <v>123</v>
      </c>
      <c r="C395" s="146">
        <v>83905.51</v>
      </c>
      <c r="D395" s="116">
        <v>81510.37</v>
      </c>
      <c r="E395" s="116">
        <v>114057.27</v>
      </c>
      <c r="F395" s="116">
        <v>104450.11</v>
      </c>
      <c r="G395" s="116">
        <v>111855.14</v>
      </c>
      <c r="H395" s="116">
        <v>110887.05</v>
      </c>
      <c r="I395" s="116"/>
      <c r="J395" s="116"/>
      <c r="K395" s="116"/>
      <c r="L395" s="116"/>
      <c r="M395" s="116"/>
      <c r="N395" s="281"/>
      <c r="O395" s="140">
        <f ca="1" t="shared" si="374"/>
        <v>606665.45</v>
      </c>
      <c r="Q395" s="68"/>
    </row>
    <row r="396" customHeight="1" spans="1:18">
      <c r="A396" s="115" t="s">
        <v>31</v>
      </c>
      <c r="B396" s="50" t="s">
        <v>123</v>
      </c>
      <c r="C396" s="146">
        <v>7559.63</v>
      </c>
      <c r="D396" s="116">
        <v>3779.82</v>
      </c>
      <c r="E396" s="116">
        <v>0</v>
      </c>
      <c r="F396" s="116">
        <v>0</v>
      </c>
      <c r="G396" s="116"/>
      <c r="H396" s="116"/>
      <c r="I396" s="116"/>
      <c r="J396" s="116"/>
      <c r="K396" s="116"/>
      <c r="L396" s="116"/>
      <c r="M396" s="116"/>
      <c r="N396" s="116"/>
      <c r="O396" s="140">
        <f ca="1" t="shared" si="374"/>
        <v>11339.45</v>
      </c>
    </row>
    <row r="397" customHeight="1" spans="1:18">
      <c r="A397" s="115" t="s">
        <v>41</v>
      </c>
      <c r="B397" s="50" t="s">
        <v>123</v>
      </c>
      <c r="C397" s="146">
        <v>-16190.87</v>
      </c>
      <c r="D397" s="282">
        <v>23950.41</v>
      </c>
      <c r="E397" s="282">
        <v>20189.89</v>
      </c>
      <c r="F397" s="125">
        <v>26522.26</v>
      </c>
      <c r="G397" s="125">
        <v>21691.47</v>
      </c>
      <c r="H397" s="146">
        <v>91408.94</v>
      </c>
      <c r="I397" s="146"/>
      <c r="J397" s="146"/>
      <c r="K397" s="263"/>
      <c r="L397" s="152"/>
      <c r="M397" s="263"/>
      <c r="N397" s="146"/>
      <c r="O397" s="140">
        <f ca="1" t="shared" si="374"/>
        <v>167572.1</v>
      </c>
    </row>
    <row r="398" customHeight="1" spans="1:18">
      <c r="A398" s="57" t="s">
        <v>232</v>
      </c>
      <c r="B398" s="50" t="s">
        <v>123</v>
      </c>
      <c r="C398" s="52">
        <f>SUM(C391:C397)</f>
        <v>93760.42</v>
      </c>
      <c r="D398" s="52">
        <f t="shared" ref="D398:O398" si="375">SUM(D391:D397)</f>
        <v>136244.89</v>
      </c>
      <c r="E398" s="52">
        <f t="shared" si="375"/>
        <v>155715.18</v>
      </c>
      <c r="F398" s="52">
        <f t="shared" si="375"/>
        <v>152781.27</v>
      </c>
      <c r="G398" s="52">
        <f t="shared" si="375"/>
        <v>158649.57</v>
      </c>
      <c r="H398" s="52">
        <f t="shared" si="375"/>
        <v>225406.81</v>
      </c>
      <c r="I398" s="52">
        <f t="shared" si="375"/>
        <v>0</v>
      </c>
      <c r="J398" s="52">
        <f t="shared" si="375"/>
        <v>0</v>
      </c>
      <c r="K398" s="52">
        <f t="shared" si="375"/>
        <v>0</v>
      </c>
      <c r="L398" s="52">
        <f t="shared" si="375"/>
        <v>0</v>
      </c>
      <c r="M398" s="52">
        <f t="shared" si="375"/>
        <v>0</v>
      </c>
      <c r="N398" s="52">
        <f t="shared" si="375"/>
        <v>0</v>
      </c>
      <c r="O398" s="131">
        <f ca="1" t="shared" si="375"/>
        <v>922558.14</v>
      </c>
    </row>
    <row r="399" customHeight="1" spans="1:18">
      <c r="A399" s="115" t="s">
        <v>216</v>
      </c>
      <c r="B399" s="50"/>
      <c r="C399" s="149">
        <v>13198</v>
      </c>
      <c r="D399" s="116">
        <v>20452</v>
      </c>
      <c r="E399" s="116">
        <v>20067</v>
      </c>
      <c r="F399" s="116">
        <v>21549</v>
      </c>
      <c r="G399" s="116">
        <v>25516</v>
      </c>
      <c r="H399" s="116">
        <v>23751</v>
      </c>
      <c r="I399" s="116"/>
      <c r="J399" s="116"/>
      <c r="K399" s="116"/>
      <c r="L399" s="116"/>
      <c r="M399" s="116"/>
      <c r="N399" s="116"/>
      <c r="O399" s="140">
        <f ca="1" t="shared" si="374"/>
        <v>124533</v>
      </c>
    </row>
    <row r="400" customHeight="1" spans="1:18">
      <c r="A400" s="115" t="s">
        <v>218</v>
      </c>
      <c r="B400" s="50"/>
      <c r="C400" s="149">
        <v>10921</v>
      </c>
      <c r="D400" s="116">
        <v>17196</v>
      </c>
      <c r="E400" s="116">
        <v>15231</v>
      </c>
      <c r="F400" s="116">
        <v>11810</v>
      </c>
      <c r="G400" s="116">
        <v>11634</v>
      </c>
      <c r="H400" s="116">
        <v>11500</v>
      </c>
      <c r="I400" s="116"/>
      <c r="J400" s="116"/>
      <c r="K400" s="116"/>
      <c r="L400" s="116"/>
      <c r="M400" s="116"/>
      <c r="N400" s="116"/>
      <c r="O400" s="140">
        <f ca="1" t="shared" si="374"/>
        <v>78292</v>
      </c>
    </row>
    <row r="401" customHeight="1" spans="1:24">
      <c r="A401" s="115" t="s">
        <v>494</v>
      </c>
      <c r="B401" s="50"/>
      <c r="C401" s="149">
        <v>241</v>
      </c>
      <c r="D401" s="116">
        <v>296</v>
      </c>
      <c r="E401" s="116">
        <v>265</v>
      </c>
      <c r="F401" s="116">
        <v>688</v>
      </c>
      <c r="G401" s="116">
        <v>842</v>
      </c>
      <c r="H401" s="116">
        <v>626</v>
      </c>
      <c r="I401" s="116"/>
      <c r="J401" s="116"/>
      <c r="K401" s="116"/>
      <c r="L401" s="116"/>
      <c r="M401" s="116"/>
      <c r="N401" s="116"/>
      <c r="O401" s="140">
        <f ca="1" t="shared" si="374"/>
        <v>2958</v>
      </c>
    </row>
    <row r="402" customHeight="1" spans="1:24">
      <c r="A402" s="229" t="s">
        <v>515</v>
      </c>
      <c r="B402" s="50" t="s">
        <v>75</v>
      </c>
      <c r="C402" s="146">
        <f>SUM(C399:C401)</f>
        <v>24360</v>
      </c>
      <c r="D402" s="146">
        <f>SUM(D399:D401)</f>
        <v>37944</v>
      </c>
      <c r="E402" s="146">
        <f>SUM(E399:E401)</f>
        <v>35563</v>
      </c>
      <c r="F402" s="146">
        <f>SUM(F399:F401)</f>
        <v>34047</v>
      </c>
      <c r="G402" s="146">
        <f>SUM(G399:G401)</f>
        <v>37992</v>
      </c>
      <c r="H402" s="146">
        <f t="shared" ref="H402:N402" si="376">SUM(H399:H401)</f>
        <v>35877</v>
      </c>
      <c r="I402" s="146">
        <f t="shared" si="376"/>
        <v>0</v>
      </c>
      <c r="J402" s="146">
        <f t="shared" si="376"/>
        <v>0</v>
      </c>
      <c r="K402" s="146">
        <f t="shared" si="376"/>
        <v>0</v>
      </c>
      <c r="L402" s="146">
        <f t="shared" si="376"/>
        <v>0</v>
      </c>
      <c r="M402" s="146">
        <f t="shared" si="376"/>
        <v>0</v>
      </c>
      <c r="N402" s="146">
        <f t="shared" si="376"/>
        <v>0</v>
      </c>
      <c r="O402" s="140">
        <f ca="1" t="shared" si="374"/>
        <v>205783</v>
      </c>
    </row>
    <row r="403" customHeight="1" spans="1:24">
      <c r="B403" s="277"/>
      <c r="C403"/>
      <c r="D403"/>
      <c r="E403"/>
      <c r="F403"/>
      <c r="G403"/>
      <c r="H403"/>
      <c r="I403" s="278"/>
      <c r="J403" s="278"/>
      <c r="K403" s="278"/>
      <c r="L403" s="278"/>
      <c r="M403" s="278"/>
      <c r="N403" s="278"/>
      <c r="O403" s="80"/>
    </row>
    <row r="404" ht="14.25" customHeight="1" spans="1:24">
      <c r="A404" s="46" t="s">
        <v>516</v>
      </c>
      <c r="B404" s="283"/>
      <c r="F404" s="38"/>
      <c r="I404" s="278"/>
      <c r="M404" s="68"/>
      <c r="P404" s="68"/>
    </row>
    <row r="405" customHeight="1" spans="1:24">
      <c r="A405" s="284" t="s">
        <v>517</v>
      </c>
      <c r="B405" s="57" t="s">
        <v>123</v>
      </c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6">
        <f ca="1">SUM(OFFSET($C405,0,0,1,mth))</f>
        <v>0</v>
      </c>
      <c r="Q405" s="71"/>
      <c r="R405" s="71"/>
    </row>
    <row r="406" customHeight="1" spans="1:24">
      <c r="A406" s="115" t="s">
        <v>492</v>
      </c>
      <c r="B406" s="57" t="s">
        <v>123</v>
      </c>
      <c r="C406" s="287">
        <v>554806.59</v>
      </c>
      <c r="D406" s="116">
        <v>554807.08</v>
      </c>
      <c r="E406" s="116">
        <v>530053.82</v>
      </c>
      <c r="F406" s="288">
        <v>531402.12</v>
      </c>
      <c r="G406" s="116">
        <v>531434.09</v>
      </c>
      <c r="H406" s="116">
        <v>531377.99</v>
      </c>
      <c r="I406" s="116"/>
      <c r="J406" s="116"/>
      <c r="K406" s="116"/>
      <c r="L406" s="116"/>
      <c r="M406" s="116"/>
      <c r="N406" s="125"/>
      <c r="O406" s="289">
        <f ca="1" t="shared" ref="O406:O413" si="377">SUM(OFFSET($C406,0,0,1,mth))</f>
        <v>3233881.69</v>
      </c>
      <c r="S406" s="71"/>
    </row>
    <row r="407" customHeight="1" spans="1:24">
      <c r="A407" s="115" t="s">
        <v>493</v>
      </c>
      <c r="B407" s="57" t="s">
        <v>123</v>
      </c>
      <c r="C407" s="287">
        <v>160646.37</v>
      </c>
      <c r="D407" s="116">
        <v>160646.35</v>
      </c>
      <c r="E407" s="116">
        <v>160772.74</v>
      </c>
      <c r="F407" s="288">
        <v>166696.72</v>
      </c>
      <c r="G407" s="116">
        <v>161593.97</v>
      </c>
      <c r="H407" s="116">
        <v>161407</v>
      </c>
      <c r="I407" s="116"/>
      <c r="J407" s="116"/>
      <c r="K407" s="116"/>
      <c r="L407" s="116"/>
      <c r="M407" s="116"/>
      <c r="N407" s="125"/>
      <c r="O407" s="289">
        <f ca="1" t="shared" si="377"/>
        <v>971763.15</v>
      </c>
    </row>
    <row r="408" customHeight="1" spans="1:24">
      <c r="A408" s="115" t="s">
        <v>494</v>
      </c>
      <c r="B408" s="57" t="s">
        <v>123</v>
      </c>
      <c r="C408" s="287">
        <v>28075.8</v>
      </c>
      <c r="D408" s="116">
        <v>28896.41</v>
      </c>
      <c r="E408" s="116">
        <v>28486</v>
      </c>
      <c r="F408" s="288">
        <v>28061.55</v>
      </c>
      <c r="G408" s="116">
        <v>28061.29</v>
      </c>
      <c r="H408" s="116">
        <v>28061.21</v>
      </c>
      <c r="I408" s="116"/>
      <c r="J408" s="116"/>
      <c r="K408" s="116"/>
      <c r="L408" s="116"/>
      <c r="M408" s="116"/>
      <c r="N408" s="125"/>
      <c r="O408" s="193">
        <f ca="1" t="shared" si="377"/>
        <v>169642.26</v>
      </c>
    </row>
    <row r="409" customHeight="1" spans="1:24">
      <c r="A409" s="123" t="s">
        <v>518</v>
      </c>
      <c r="B409" s="57" t="s">
        <v>123</v>
      </c>
      <c r="C409" s="287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25"/>
      <c r="O409" s="289">
        <f ca="1" t="shared" si="377"/>
        <v>0</v>
      </c>
      <c r="Q409" s="71"/>
      <c r="R409" s="71"/>
    </row>
    <row r="410" customHeight="1" spans="1:24">
      <c r="A410" s="123" t="s">
        <v>519</v>
      </c>
      <c r="B410" s="57" t="s">
        <v>123</v>
      </c>
      <c r="C410" s="288">
        <v>98133.38</v>
      </c>
      <c r="D410" s="288">
        <f>D411-D406-D407-D408-D409</f>
        <v>98133.2700000001</v>
      </c>
      <c r="E410" s="288">
        <v>98133.48</v>
      </c>
      <c r="F410" s="288">
        <f>F411-F406-F407-F408</f>
        <v>98950.3900000001</v>
      </c>
      <c r="G410" s="116">
        <v>98581.4700000001</v>
      </c>
      <c r="H410" s="116">
        <v>98581.2000000002</v>
      </c>
      <c r="I410" s="290"/>
      <c r="J410" s="116"/>
      <c r="K410" s="116"/>
      <c r="L410" s="116"/>
      <c r="M410" s="291"/>
      <c r="N410" s="125"/>
      <c r="O410" s="289">
        <f ca="1" t="shared" si="377"/>
        <v>590513.190000001</v>
      </c>
    </row>
    <row r="411" customHeight="1" spans="1:24">
      <c r="A411" s="123" t="s">
        <v>41</v>
      </c>
      <c r="B411" s="57" t="s">
        <v>123</v>
      </c>
      <c r="C411" s="285">
        <f>SUM(C406:C410)</f>
        <v>841662.14</v>
      </c>
      <c r="D411" s="285">
        <v>842483.11</v>
      </c>
      <c r="E411" s="285">
        <f t="shared" ref="D411:H411" si="378">SUM(E406:E410)</f>
        <v>817446.04</v>
      </c>
      <c r="F411" s="285">
        <v>825110.78</v>
      </c>
      <c r="G411" s="285">
        <f t="shared" si="378"/>
        <v>819670.82</v>
      </c>
      <c r="H411" s="285">
        <f t="shared" si="378"/>
        <v>819427.4</v>
      </c>
      <c r="I411" s="285">
        <f t="shared" ref="I411:J411" si="379">SUM(I406:I410)</f>
        <v>0</v>
      </c>
      <c r="J411" s="285">
        <f t="shared" si="379"/>
        <v>0</v>
      </c>
      <c r="K411" s="285">
        <f t="shared" ref="K411:N411" si="380">SUM(K406:K410)</f>
        <v>0</v>
      </c>
      <c r="L411" s="285">
        <f t="shared" si="380"/>
        <v>0</v>
      </c>
      <c r="M411" s="285">
        <f t="shared" si="380"/>
        <v>0</v>
      </c>
      <c r="N411" s="285">
        <f t="shared" si="380"/>
        <v>0</v>
      </c>
      <c r="O411" s="286">
        <f ca="1" t="shared" si="377"/>
        <v>4965800.29</v>
      </c>
      <c r="Q411" s="68"/>
    </row>
    <row r="412" customHeight="1" spans="1:24">
      <c r="A412" s="123" t="s">
        <v>43</v>
      </c>
      <c r="B412" s="57" t="s">
        <v>123</v>
      </c>
      <c r="C412" s="149">
        <v>121340.35</v>
      </c>
      <c r="D412" s="116">
        <v>121136.25</v>
      </c>
      <c r="E412" s="116">
        <v>121462.35</v>
      </c>
      <c r="F412" s="116">
        <v>124697.57</v>
      </c>
      <c r="G412" s="116">
        <v>121401.94</v>
      </c>
      <c r="H412" s="116">
        <v>121322.91</v>
      </c>
      <c r="I412" s="116"/>
      <c r="J412" s="116"/>
      <c r="K412" s="116"/>
      <c r="L412" s="116"/>
      <c r="M412" s="116"/>
      <c r="N412" s="116"/>
      <c r="O412" s="176">
        <f ca="1" t="shared" si="377"/>
        <v>731361.37</v>
      </c>
      <c r="P412" s="68"/>
    </row>
    <row r="413" customHeight="1" spans="1:24">
      <c r="A413" s="292" t="s">
        <v>45</v>
      </c>
      <c r="B413" s="57" t="s">
        <v>123</v>
      </c>
      <c r="C413" s="149">
        <v>56756.47</v>
      </c>
      <c r="D413" s="116">
        <v>56756.41</v>
      </c>
      <c r="E413" s="116">
        <v>56643.81</v>
      </c>
      <c r="F413" s="288">
        <v>98595.03</v>
      </c>
      <c r="G413" s="116">
        <v>56630.42</v>
      </c>
      <c r="H413" s="116">
        <v>56400.59</v>
      </c>
      <c r="I413" s="116"/>
      <c r="J413" s="116"/>
      <c r="K413" s="116"/>
      <c r="L413" s="116"/>
      <c r="M413" s="116"/>
      <c r="N413" s="116"/>
      <c r="O413" s="176">
        <f ca="1" t="shared" si="377"/>
        <v>381782.73</v>
      </c>
      <c r="P413" s="68"/>
      <c r="Q413" s="68"/>
      <c r="R413" s="68"/>
    </row>
    <row r="414" customHeight="1" spans="1:24">
      <c r="A414" s="293" t="s">
        <v>232</v>
      </c>
      <c r="B414" s="57" t="s">
        <v>123</v>
      </c>
      <c r="C414" s="52">
        <f>SUM(C411:C413)</f>
        <v>1019758.96</v>
      </c>
      <c r="D414" s="52">
        <f>SUM(D411:D413)</f>
        <v>1020375.77</v>
      </c>
      <c r="E414" s="52">
        <f t="shared" ref="E414:N414" si="381">SUM(E411:E413)</f>
        <v>995552.2</v>
      </c>
      <c r="F414" s="52">
        <f t="shared" si="381"/>
        <v>1048403.38</v>
      </c>
      <c r="G414" s="52">
        <f t="shared" si="381"/>
        <v>997703.18</v>
      </c>
      <c r="H414" s="52">
        <f t="shared" si="381"/>
        <v>997150.9</v>
      </c>
      <c r="I414" s="235">
        <f t="shared" si="381"/>
        <v>0</v>
      </c>
      <c r="J414" s="235">
        <f t="shared" si="381"/>
        <v>0</v>
      </c>
      <c r="K414" s="235">
        <f t="shared" si="381"/>
        <v>0</v>
      </c>
      <c r="L414" s="235">
        <f t="shared" si="381"/>
        <v>0</v>
      </c>
      <c r="M414" s="52">
        <f t="shared" si="381"/>
        <v>0</v>
      </c>
      <c r="N414" s="52">
        <f t="shared" si="381"/>
        <v>0</v>
      </c>
      <c r="O414" s="131">
        <f ca="1">SUM(OFFSET($C414,0,0,1,mth))</f>
        <v>6078944.39</v>
      </c>
    </row>
    <row r="415" customHeight="1" spans="1:24">
      <c r="A415" s="46" t="s">
        <v>520</v>
      </c>
      <c r="B415" s="283"/>
      <c r="C415" s="294"/>
      <c r="D415" s="294"/>
      <c r="E415" s="294"/>
      <c r="F415" s="294"/>
      <c r="Q415" s="122"/>
      <c r="R415" s="122"/>
      <c r="S415" s="122"/>
      <c r="T415" s="122"/>
      <c r="U415" s="122"/>
      <c r="V415" s="122"/>
      <c r="W415" s="122"/>
      <c r="X415" s="122"/>
    </row>
    <row r="416" customHeight="1" spans="1:24">
      <c r="A416" s="284" t="s">
        <v>472</v>
      </c>
      <c r="B416" s="57" t="s">
        <v>123</v>
      </c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6"/>
      <c r="R416" s="104"/>
      <c r="S416" s="104"/>
      <c r="U416" s="104"/>
      <c r="W416" s="104"/>
    </row>
    <row r="417" customHeight="1" spans="1:19">
      <c r="A417" s="295" t="s">
        <v>492</v>
      </c>
      <c r="B417" s="57" t="s">
        <v>123</v>
      </c>
      <c r="C417" s="149">
        <v>174497.78</v>
      </c>
      <c r="D417" s="116">
        <v>260041.75</v>
      </c>
      <c r="E417" s="116">
        <v>199458.55</v>
      </c>
      <c r="F417" s="116">
        <v>95634.18</v>
      </c>
      <c r="G417" s="116">
        <v>100446.85</v>
      </c>
      <c r="H417" s="116">
        <v>93958</v>
      </c>
      <c r="I417" s="116"/>
      <c r="J417" s="117"/>
      <c r="K417" s="116"/>
      <c r="L417" s="116"/>
      <c r="M417" s="116"/>
      <c r="N417" s="116"/>
      <c r="O417" s="176">
        <f ca="1">SUM(OFFSET($C417,0,0,1,mth))</f>
        <v>924037.11</v>
      </c>
      <c r="Q417" s="296"/>
      <c r="R417" s="297"/>
      <c r="S417" s="296"/>
    </row>
    <row r="418" customHeight="1" spans="1:19">
      <c r="A418" s="123" t="s">
        <v>521</v>
      </c>
      <c r="B418" s="57" t="s">
        <v>123</v>
      </c>
      <c r="C418" s="149">
        <v>54832.35</v>
      </c>
      <c r="D418" s="116">
        <v>82162.39</v>
      </c>
      <c r="E418" s="116">
        <v>70287.4</v>
      </c>
      <c r="F418" s="116">
        <v>70397.5</v>
      </c>
      <c r="G418" s="116">
        <v>71304.47</v>
      </c>
      <c r="H418" s="116">
        <v>66993.61</v>
      </c>
      <c r="I418" s="116"/>
      <c r="J418" s="117"/>
      <c r="K418" s="116"/>
      <c r="L418" s="116"/>
      <c r="M418" s="116"/>
      <c r="N418" s="116"/>
      <c r="O418" s="176">
        <f ca="1">SUM(OFFSET($C418,0,0,1,mth))</f>
        <v>415977.72</v>
      </c>
      <c r="Q418" s="296"/>
      <c r="R418" s="297"/>
      <c r="S418" s="296"/>
    </row>
    <row r="419" customHeight="1" spans="1:19">
      <c r="A419" s="123" t="s">
        <v>522</v>
      </c>
      <c r="B419" s="57" t="s">
        <v>123</v>
      </c>
      <c r="C419" s="149">
        <v>50019.11</v>
      </c>
      <c r="D419" s="116">
        <v>73466.48</v>
      </c>
      <c r="E419" s="116">
        <v>81759.89</v>
      </c>
      <c r="F419" s="116">
        <v>64603.24</v>
      </c>
      <c r="G419" s="116">
        <v>70681.81</v>
      </c>
      <c r="H419" s="116">
        <v>80627.26</v>
      </c>
      <c r="I419" s="116"/>
      <c r="J419" s="117"/>
      <c r="K419" s="116"/>
      <c r="L419" s="116"/>
      <c r="M419" s="116"/>
      <c r="N419" s="116"/>
      <c r="O419" s="176">
        <f ca="1">SUM(OFFSET($C419,0,0,1,mth))</f>
        <v>421157.79</v>
      </c>
      <c r="Q419" s="296"/>
      <c r="R419" s="297"/>
      <c r="S419" s="296"/>
    </row>
    <row r="420" customHeight="1" spans="1:19">
      <c r="A420" s="298" t="s">
        <v>493</v>
      </c>
      <c r="B420" s="57" t="s">
        <v>123</v>
      </c>
      <c r="C420" s="149">
        <v>323894.86</v>
      </c>
      <c r="D420" s="116">
        <v>461301.89</v>
      </c>
      <c r="E420" s="116">
        <v>396234.79</v>
      </c>
      <c r="F420" s="116">
        <v>330671.54</v>
      </c>
      <c r="G420" s="116">
        <v>333511.29</v>
      </c>
      <c r="H420" s="116">
        <v>328104.68</v>
      </c>
      <c r="I420" s="116"/>
      <c r="J420" s="117"/>
      <c r="K420" s="116"/>
      <c r="L420" s="116"/>
      <c r="M420" s="116"/>
      <c r="N420" s="116"/>
      <c r="O420" s="289">
        <f ca="1">SUM(OFFSET($C420,0,0,1,mth))</f>
        <v>2173719.05</v>
      </c>
      <c r="Q420" s="299"/>
      <c r="R420" s="300"/>
      <c r="S420" s="301"/>
    </row>
    <row r="421" customHeight="1" spans="1:19">
      <c r="A421" s="123" t="s">
        <v>523</v>
      </c>
      <c r="B421" s="57" t="s">
        <v>123</v>
      </c>
      <c r="C421" s="149">
        <v>80196.33</v>
      </c>
      <c r="D421" s="116">
        <v>109558.15</v>
      </c>
      <c r="E421" s="116">
        <v>95074.83</v>
      </c>
      <c r="F421" s="116">
        <v>99779.33</v>
      </c>
      <c r="G421" s="116">
        <v>97088.35</v>
      </c>
      <c r="H421" s="116">
        <v>113643.67</v>
      </c>
      <c r="I421" s="116"/>
      <c r="J421" s="117"/>
      <c r="K421" s="116"/>
      <c r="L421" s="116"/>
      <c r="M421" s="116"/>
      <c r="N421" s="116"/>
      <c r="O421" s="176">
        <f ca="1">SUM(OFFSET($C421,0,0,1,mth))</f>
        <v>595340.66</v>
      </c>
      <c r="Q421" s="299"/>
      <c r="R421" s="300"/>
      <c r="S421" s="301"/>
    </row>
    <row r="422" customHeight="1" spans="1:19">
      <c r="A422" s="123" t="s">
        <v>524</v>
      </c>
      <c r="B422" s="57" t="s">
        <v>123</v>
      </c>
      <c r="C422" s="149">
        <v>0</v>
      </c>
      <c r="D422" s="116">
        <v>0</v>
      </c>
      <c r="E422" s="116">
        <v>0</v>
      </c>
      <c r="F422" s="116">
        <v>0</v>
      </c>
      <c r="G422" s="116">
        <v>0</v>
      </c>
      <c r="H422" s="116">
        <v>0</v>
      </c>
      <c r="I422" s="116"/>
      <c r="J422" s="117"/>
      <c r="K422" s="116"/>
      <c r="L422" s="116"/>
      <c r="M422" s="116"/>
      <c r="N422" s="116"/>
      <c r="O422" s="176">
        <f ca="1">SUM(OFFSET($C422,0,0,1,mth))</f>
        <v>0</v>
      </c>
      <c r="Q422" s="299"/>
      <c r="R422" s="300"/>
      <c r="S422" s="301"/>
    </row>
    <row r="423" customHeight="1" spans="1:19">
      <c r="A423" s="298" t="s">
        <v>494</v>
      </c>
      <c r="B423" s="57" t="s">
        <v>123</v>
      </c>
      <c r="C423" s="149">
        <v>19409.86</v>
      </c>
      <c r="D423" s="116">
        <v>31994.61</v>
      </c>
      <c r="E423" s="116">
        <v>25948.53</v>
      </c>
      <c r="F423" s="116">
        <v>52844.83</v>
      </c>
      <c r="G423" s="116">
        <v>70259.37</v>
      </c>
      <c r="H423" s="116">
        <v>39628.8</v>
      </c>
      <c r="I423" s="116"/>
      <c r="J423" s="117"/>
      <c r="K423" s="116"/>
      <c r="L423" s="116"/>
      <c r="M423" s="116"/>
      <c r="N423" s="116"/>
      <c r="O423" s="193">
        <f ca="1">SUM(OFFSET($C423,0,0,1,mth))</f>
        <v>240086</v>
      </c>
      <c r="Q423" s="104"/>
      <c r="R423" s="302"/>
      <c r="S423" s="64"/>
    </row>
    <row r="424" customHeight="1" spans="1:19">
      <c r="A424" s="123" t="s">
        <v>525</v>
      </c>
      <c r="B424" s="57" t="s">
        <v>123</v>
      </c>
      <c r="C424" s="149">
        <v>34169.23</v>
      </c>
      <c r="D424" s="116">
        <v>51775.15</v>
      </c>
      <c r="E424" s="116">
        <v>44439.46</v>
      </c>
      <c r="F424" s="116">
        <v>54128.04</v>
      </c>
      <c r="G424" s="116">
        <v>51586.38</v>
      </c>
      <c r="H424" s="116">
        <v>52229.73</v>
      </c>
      <c r="I424" s="116"/>
      <c r="J424" s="117"/>
      <c r="K424" s="116"/>
      <c r="L424" s="116"/>
      <c r="M424" s="116"/>
      <c r="N424" s="116"/>
      <c r="O424" s="176">
        <f ca="1">SUM(OFFSET($C424,0,0,1,mth))</f>
        <v>288327.99</v>
      </c>
      <c r="Q424" s="104"/>
      <c r="R424" s="302"/>
      <c r="S424" s="64"/>
    </row>
    <row r="425" customHeight="1" spans="1:19">
      <c r="A425" s="123" t="s">
        <v>526</v>
      </c>
      <c r="B425" s="57" t="s">
        <v>123</v>
      </c>
      <c r="C425" s="287">
        <v>82648.8</v>
      </c>
      <c r="D425" s="116">
        <v>134154.67</v>
      </c>
      <c r="E425" s="116">
        <v>113767.44</v>
      </c>
      <c r="F425" s="116">
        <v>111588.61</v>
      </c>
      <c r="G425" s="116">
        <v>118476.28</v>
      </c>
      <c r="H425" s="116">
        <v>107661.63</v>
      </c>
      <c r="I425" s="116"/>
      <c r="J425" s="116"/>
      <c r="K425" s="116"/>
      <c r="L425" s="116"/>
      <c r="M425" s="116"/>
      <c r="N425" s="116"/>
      <c r="O425" s="193">
        <f ca="1" t="shared" ref="O425:O430" si="382">SUM(OFFSET($C425,0,0,1,mth))</f>
        <v>668297.43</v>
      </c>
      <c r="Q425" s="299"/>
      <c r="R425" s="300"/>
      <c r="S425" s="303"/>
    </row>
    <row r="426" customHeight="1" spans="1:19">
      <c r="A426" s="123" t="s">
        <v>35</v>
      </c>
      <c r="B426" s="57" t="s">
        <v>123</v>
      </c>
      <c r="C426" s="116">
        <v>36855.51</v>
      </c>
      <c r="D426" s="116">
        <v>48745.29</v>
      </c>
      <c r="E426" s="116">
        <v>39684.17</v>
      </c>
      <c r="F426" s="116">
        <v>22495.99</v>
      </c>
      <c r="G426" s="116">
        <v>22879.74</v>
      </c>
      <c r="H426" s="116">
        <v>23182.3</v>
      </c>
      <c r="I426" s="116"/>
      <c r="J426" s="116"/>
      <c r="K426" s="116"/>
      <c r="L426" s="116"/>
      <c r="M426" s="116"/>
      <c r="N426" s="116"/>
      <c r="O426" s="304">
        <f ca="1" t="shared" si="382"/>
        <v>193843</v>
      </c>
    </row>
    <row r="427" customHeight="1" spans="1:19">
      <c r="A427" s="123" t="s">
        <v>49</v>
      </c>
      <c r="B427" s="57" t="s">
        <v>123</v>
      </c>
      <c r="C427" s="149">
        <v>211812.13</v>
      </c>
      <c r="D427" s="149">
        <v>314670.89</v>
      </c>
      <c r="E427" s="149">
        <v>260005.65</v>
      </c>
      <c r="F427" s="149">
        <v>236299.77</v>
      </c>
      <c r="G427" s="149">
        <v>253386.26</v>
      </c>
      <c r="H427" s="116">
        <v>249626.48</v>
      </c>
      <c r="I427" s="116"/>
      <c r="J427" s="116"/>
      <c r="K427" s="116"/>
      <c r="L427" s="116"/>
      <c r="M427" s="116"/>
      <c r="N427" s="116"/>
      <c r="O427" s="304">
        <f ca="1" t="shared" si="382"/>
        <v>1525801.18</v>
      </c>
      <c r="P427" s="71"/>
    </row>
    <row r="428" customHeight="1" spans="1:19">
      <c r="A428" s="123" t="s">
        <v>527</v>
      </c>
      <c r="B428" s="57" t="s">
        <v>123</v>
      </c>
      <c r="C428" s="285">
        <f>SUM(C417:C427)</f>
        <v>1068335.96</v>
      </c>
      <c r="D428" s="285">
        <f>SUM(D417:D427)</f>
        <v>1567871.27</v>
      </c>
      <c r="E428" s="285">
        <f>SUM(E417:E427)</f>
        <v>1326660.71</v>
      </c>
      <c r="F428" s="285">
        <f>SUM(F417:F427)</f>
        <v>1138443.03</v>
      </c>
      <c r="G428" s="285">
        <f>SUM(G417:G427)</f>
        <v>1189620.8</v>
      </c>
      <c r="H428" s="285">
        <f t="shared" ref="E428:N428" si="383">SUM(H417:H427)</f>
        <v>1155656.16</v>
      </c>
      <c r="I428" s="285">
        <f t="shared" si="383"/>
        <v>0</v>
      </c>
      <c r="J428" s="305">
        <f t="shared" si="383"/>
        <v>0</v>
      </c>
      <c r="K428" s="285">
        <f t="shared" si="383"/>
        <v>0</v>
      </c>
      <c r="L428" s="285">
        <f t="shared" si="383"/>
        <v>0</v>
      </c>
      <c r="M428" s="285">
        <f t="shared" si="383"/>
        <v>0</v>
      </c>
      <c r="N428" s="285">
        <f t="shared" si="383"/>
        <v>0</v>
      </c>
      <c r="O428" s="286">
        <f ca="1" t="shared" si="382"/>
        <v>7446587.93</v>
      </c>
      <c r="P428" s="71"/>
      <c r="Q428" s="71"/>
    </row>
    <row r="429" customHeight="1" spans="1:19">
      <c r="A429" s="123" t="s">
        <v>43</v>
      </c>
      <c r="B429" s="57" t="s">
        <v>123</v>
      </c>
      <c r="C429" s="149">
        <v>961161.33</v>
      </c>
      <c r="D429" s="116">
        <v>1164803.62</v>
      </c>
      <c r="E429" s="282">
        <v>1139350.03</v>
      </c>
      <c r="F429" s="282">
        <v>1449224.09</v>
      </c>
      <c r="G429" s="116">
        <v>1400411.99</v>
      </c>
      <c r="H429" s="116">
        <v>1682463.71</v>
      </c>
      <c r="I429" s="116"/>
      <c r="J429" s="116"/>
      <c r="K429" s="116"/>
      <c r="L429" s="116"/>
      <c r="M429" s="116"/>
      <c r="N429" s="116"/>
      <c r="O429" s="176">
        <f ca="1" t="shared" si="382"/>
        <v>7797414.77</v>
      </c>
      <c r="P429" s="114"/>
      <c r="Q429" s="71"/>
    </row>
    <row r="430" customHeight="1" spans="1:19">
      <c r="A430" s="123" t="s">
        <v>528</v>
      </c>
      <c r="B430" s="57" t="s">
        <v>123</v>
      </c>
      <c r="C430" s="149">
        <f>420803.85-C418-C419-C421-C422-C424</f>
        <v>201586.83</v>
      </c>
      <c r="D430" s="116">
        <f>552462.06-D418-D419-D421-D422-D424</f>
        <v>235499.89</v>
      </c>
      <c r="E430" s="282">
        <f>517521.67-E418-E419-E421-E422-E424</f>
        <v>225960.09</v>
      </c>
      <c r="F430" s="282">
        <f>472652.65-F418-F419-F421-F422-F424</f>
        <v>183744.54</v>
      </c>
      <c r="G430" s="116">
        <f>448878.34-G418-G419-G421-G422-G424</f>
        <v>158217.33</v>
      </c>
      <c r="H430" s="116">
        <f>760274.77-H418-H419-H421-H422-H424</f>
        <v>446780.5</v>
      </c>
      <c r="I430" s="116"/>
      <c r="J430" s="116"/>
      <c r="K430" s="116"/>
      <c r="L430" s="116"/>
      <c r="M430" s="116"/>
      <c r="N430" s="116"/>
      <c r="O430" s="176">
        <f ca="1" t="shared" si="382"/>
        <v>1451789.18</v>
      </c>
    </row>
    <row r="431" customHeight="1" spans="1:19">
      <c r="A431" s="293" t="s">
        <v>232</v>
      </c>
      <c r="B431" s="57" t="s">
        <v>123</v>
      </c>
      <c r="C431" s="52">
        <f>SUM(C428:C430)</f>
        <v>2231084.12</v>
      </c>
      <c r="D431" s="149">
        <f t="shared" ref="D431:N431" si="384">SUM(D428:D430)</f>
        <v>2968174.78</v>
      </c>
      <c r="E431" s="52">
        <f t="shared" si="384"/>
        <v>2691970.83</v>
      </c>
      <c r="F431" s="52">
        <f t="shared" si="384"/>
        <v>2771411.66</v>
      </c>
      <c r="G431" s="52">
        <f t="shared" si="384"/>
        <v>2748250.12</v>
      </c>
      <c r="H431" s="235">
        <f t="shared" si="384"/>
        <v>3284900.37</v>
      </c>
      <c r="I431" s="235">
        <f t="shared" si="384"/>
        <v>0</v>
      </c>
      <c r="J431" s="235">
        <f t="shared" si="384"/>
        <v>0</v>
      </c>
      <c r="K431" s="52">
        <f t="shared" si="384"/>
        <v>0</v>
      </c>
      <c r="L431" s="52">
        <f t="shared" si="384"/>
        <v>0</v>
      </c>
      <c r="M431" s="52">
        <f t="shared" si="384"/>
        <v>0</v>
      </c>
      <c r="N431" s="235">
        <f t="shared" si="384"/>
        <v>0</v>
      </c>
      <c r="O431" s="131">
        <f ca="1">SUM(OFFSET($C431,0,0,1,mth))</f>
        <v>16695791.88</v>
      </c>
      <c r="Q431" s="71"/>
      <c r="R431" s="71"/>
    </row>
    <row r="432" customHeight="1" spans="1:19">
      <c r="A432" s="46" t="s">
        <v>41</v>
      </c>
      <c r="B432" s="46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Q432" s="71"/>
      <c r="R432" s="71"/>
    </row>
    <row r="433" customHeight="1" spans="1:26">
      <c r="A433" s="284" t="s">
        <v>529</v>
      </c>
      <c r="B433" s="57" t="s">
        <v>123</v>
      </c>
      <c r="C433" s="306">
        <v>1186492.39</v>
      </c>
      <c r="D433" s="306">
        <v>1520461.68</v>
      </c>
      <c r="E433" s="306">
        <v>1367401.8</v>
      </c>
      <c r="F433" s="306">
        <v>1423722.75</v>
      </c>
      <c r="G433" s="306">
        <v>1370086.52</v>
      </c>
      <c r="H433" s="306">
        <v>1931623.37</v>
      </c>
      <c r="I433" s="306"/>
      <c r="J433" s="306"/>
      <c r="K433" s="306"/>
      <c r="L433" s="306"/>
      <c r="M433" s="306"/>
      <c r="N433" s="306"/>
      <c r="O433" s="193">
        <f ca="1">SUM(OFFSET($C433,0,0,1,mth))</f>
        <v>8799788.51</v>
      </c>
      <c r="P433" s="68"/>
    </row>
    <row r="434" customHeight="1" spans="1:26">
      <c r="A434" s="307" t="s">
        <v>530</v>
      </c>
      <c r="B434" s="57" t="s">
        <v>123</v>
      </c>
      <c r="C434" s="52">
        <f>SUM(C425:C427)</f>
        <v>331316.44</v>
      </c>
      <c r="D434" s="52">
        <f>SUM(D425:D427)</f>
        <v>497570.85</v>
      </c>
      <c r="E434" s="52">
        <f>SUM(E425:E427)</f>
        <v>413457.26</v>
      </c>
      <c r="F434" s="52">
        <f>SUM(F425:F427)</f>
        <v>370384.37</v>
      </c>
      <c r="G434" s="52">
        <f t="shared" ref="E434:N434" si="385">SUM(G425:G427)</f>
        <v>394742.28</v>
      </c>
      <c r="H434" s="52">
        <f t="shared" si="385"/>
        <v>380470.41</v>
      </c>
      <c r="I434" s="52">
        <f t="shared" si="385"/>
        <v>0</v>
      </c>
      <c r="J434" s="52">
        <f t="shared" si="385"/>
        <v>0</v>
      </c>
      <c r="K434" s="52">
        <f t="shared" si="385"/>
        <v>0</v>
      </c>
      <c r="L434" s="52">
        <f t="shared" si="385"/>
        <v>0</v>
      </c>
      <c r="M434" s="52">
        <f t="shared" si="385"/>
        <v>0</v>
      </c>
      <c r="N434" s="52">
        <f t="shared" si="385"/>
        <v>0</v>
      </c>
      <c r="O434" s="131">
        <f ca="1" t="shared" ref="O434:O441" si="386">SUM(OFFSET($C434,0,0,1,mth))</f>
        <v>2387941.61</v>
      </c>
      <c r="P434" s="141"/>
    </row>
    <row r="435" customHeight="1" spans="1:26">
      <c r="A435" s="308" t="s">
        <v>531</v>
      </c>
      <c r="B435" s="57"/>
      <c r="C435" s="52">
        <f>SUM(C406:C410)</f>
        <v>841662.14</v>
      </c>
      <c r="D435" s="52">
        <f>SUM(D406:D410)</f>
        <v>842483.11</v>
      </c>
      <c r="E435" s="52">
        <f t="shared" ref="E435:F435" si="387">SUM(E406:E410)</f>
        <v>817446.04</v>
      </c>
      <c r="F435" s="52">
        <f t="shared" si="387"/>
        <v>825110.78</v>
      </c>
      <c r="G435" s="52">
        <f t="shared" ref="F435:L435" si="388">SUM(G406:G410)</f>
        <v>819670.82</v>
      </c>
      <c r="H435" s="52">
        <f t="shared" si="388"/>
        <v>819427.4</v>
      </c>
      <c r="I435" s="52">
        <f t="shared" si="388"/>
        <v>0</v>
      </c>
      <c r="J435" s="52">
        <f t="shared" si="388"/>
        <v>0</v>
      </c>
      <c r="K435" s="52">
        <f t="shared" si="388"/>
        <v>0</v>
      </c>
      <c r="L435" s="52">
        <f t="shared" si="388"/>
        <v>0</v>
      </c>
      <c r="M435" s="52">
        <f t="shared" ref="M435:N435" si="389">SUM(M406:M410)</f>
        <v>0</v>
      </c>
      <c r="N435" s="52">
        <f t="shared" si="389"/>
        <v>0</v>
      </c>
      <c r="O435" s="131">
        <f ca="1" t="shared" si="386"/>
        <v>4965800.29</v>
      </c>
    </row>
    <row r="436" customHeight="1" spans="1:26">
      <c r="A436" s="308" t="s">
        <v>532</v>
      </c>
      <c r="B436" s="57"/>
      <c r="C436" s="309">
        <v>0</v>
      </c>
      <c r="D436" s="309">
        <v>22309</v>
      </c>
      <c r="E436" s="309">
        <v>9276</v>
      </c>
      <c r="F436" s="309">
        <v>0</v>
      </c>
      <c r="G436" s="309">
        <v>9372</v>
      </c>
      <c r="H436" s="309">
        <v>10387</v>
      </c>
      <c r="I436" s="309"/>
      <c r="J436" s="309"/>
      <c r="K436" s="309">
        <v>0</v>
      </c>
      <c r="L436" s="309"/>
      <c r="M436" s="309"/>
      <c r="N436" s="309"/>
      <c r="O436" s="310">
        <f ca="1" t="shared" si="386"/>
        <v>51344</v>
      </c>
    </row>
    <row r="437" customHeight="1" spans="1:26">
      <c r="A437" s="284" t="s">
        <v>533</v>
      </c>
      <c r="B437" s="57"/>
      <c r="C437" s="52">
        <f>C433-C434-C435</f>
        <v>13513.8099999999</v>
      </c>
      <c r="D437" s="235">
        <f>D433-D434-D435-D436</f>
        <v>158098.72</v>
      </c>
      <c r="E437" s="235">
        <f>E433-E434-E435-E436</f>
        <v>127222.5</v>
      </c>
      <c r="F437" s="52">
        <f>F433-F434-F435-F436</f>
        <v>228227.6</v>
      </c>
      <c r="G437" s="52">
        <f>G433-G434-G435-G436</f>
        <v>146301.42</v>
      </c>
      <c r="H437" s="52">
        <f>H433-H434-H435-H436</f>
        <v>721338.56</v>
      </c>
      <c r="I437" s="52">
        <f>I433-I434-I435</f>
        <v>0</v>
      </c>
      <c r="J437" s="52">
        <f t="shared" ref="J437:N437" si="390">J433-J434-J435</f>
        <v>0</v>
      </c>
      <c r="K437" s="235">
        <f t="shared" si="390"/>
        <v>0</v>
      </c>
      <c r="L437" s="52">
        <f t="shared" si="390"/>
        <v>0</v>
      </c>
      <c r="M437" s="52">
        <f t="shared" si="390"/>
        <v>0</v>
      </c>
      <c r="N437" s="52">
        <f t="shared" si="390"/>
        <v>0</v>
      </c>
      <c r="O437" s="131">
        <f ca="1" t="shared" si="386"/>
        <v>1394702.61</v>
      </c>
    </row>
    <row r="438" customHeight="1" spans="1:26">
      <c r="A438" s="308" t="s">
        <v>290</v>
      </c>
      <c r="B438" s="57" t="s">
        <v>123</v>
      </c>
      <c r="C438" s="306">
        <v>-4595.4</v>
      </c>
      <c r="D438" s="116">
        <v>84139.31</v>
      </c>
      <c r="E438" s="116">
        <v>72962.45</v>
      </c>
      <c r="F438" s="116">
        <v>180709.87</v>
      </c>
      <c r="G438" s="116">
        <v>96622.9</v>
      </c>
      <c r="H438" s="142">
        <v>364095.43</v>
      </c>
      <c r="I438" s="142"/>
      <c r="J438" s="142"/>
      <c r="K438" s="142"/>
      <c r="L438" s="142"/>
      <c r="M438" s="142"/>
      <c r="N438" s="116"/>
      <c r="O438" s="193">
        <f ca="1" t="shared" si="386"/>
        <v>793934.56</v>
      </c>
    </row>
    <row r="439" customHeight="1" spans="1:26">
      <c r="A439" s="308" t="s">
        <v>534</v>
      </c>
      <c r="B439" s="57" t="s">
        <v>123</v>
      </c>
      <c r="C439" s="306">
        <v>10646</v>
      </c>
      <c r="D439" s="116">
        <v>60924.47</v>
      </c>
      <c r="E439" s="116">
        <v>25871.98</v>
      </c>
      <c r="F439" s="116">
        <v>28402.66</v>
      </c>
      <c r="G439" s="116">
        <v>36157.23</v>
      </c>
      <c r="H439" s="142">
        <v>171896.55</v>
      </c>
      <c r="I439" s="142"/>
      <c r="J439" s="142"/>
      <c r="K439" s="142"/>
      <c r="L439" s="142"/>
      <c r="M439" s="142"/>
      <c r="N439" s="116"/>
      <c r="O439" s="193">
        <f ca="1" t="shared" si="386"/>
        <v>333898.89</v>
      </c>
    </row>
    <row r="440" customHeight="1" spans="1:26">
      <c r="A440" s="308" t="s">
        <v>241</v>
      </c>
      <c r="B440" s="57" t="s">
        <v>123</v>
      </c>
      <c r="C440" s="306">
        <v>381.78</v>
      </c>
      <c r="D440" s="306">
        <v>-0.01</v>
      </c>
      <c r="E440" s="311">
        <v>0.01</v>
      </c>
      <c r="F440" s="116">
        <v>-0.02</v>
      </c>
      <c r="G440" s="116">
        <v>0</v>
      </c>
      <c r="H440" s="117">
        <v>264.18</v>
      </c>
      <c r="I440" s="116"/>
      <c r="J440" s="116"/>
      <c r="K440" s="116"/>
      <c r="L440" s="116"/>
      <c r="M440" s="116"/>
      <c r="N440" s="116"/>
      <c r="O440" s="193">
        <f ca="1" t="shared" si="386"/>
        <v>645.94</v>
      </c>
    </row>
    <row r="441" customHeight="1" spans="1:26">
      <c r="A441" s="308" t="s">
        <v>535</v>
      </c>
      <c r="B441" s="57"/>
      <c r="C441" s="52">
        <f>C437-C438-C439-C440</f>
        <v>7081.42999999994</v>
      </c>
      <c r="D441" s="52">
        <f t="shared" ref="D441:N441" si="391">D437-D438-D439-D440</f>
        <v>13034.95</v>
      </c>
      <c r="E441" s="52">
        <f t="shared" si="391"/>
        <v>28388.06</v>
      </c>
      <c r="F441" s="52">
        <f t="shared" si="391"/>
        <v>19115.0899999999</v>
      </c>
      <c r="G441" s="52">
        <f t="shared" si="391"/>
        <v>13521.2899999999</v>
      </c>
      <c r="H441" s="52">
        <f t="shared" si="391"/>
        <v>185082.4</v>
      </c>
      <c r="I441" s="52">
        <f t="shared" si="391"/>
        <v>0</v>
      </c>
      <c r="J441" s="52">
        <f t="shared" si="391"/>
        <v>0</v>
      </c>
      <c r="K441" s="52">
        <f t="shared" si="391"/>
        <v>0</v>
      </c>
      <c r="L441" s="52">
        <f t="shared" si="391"/>
        <v>0</v>
      </c>
      <c r="M441" s="52">
        <f t="shared" si="391"/>
        <v>0</v>
      </c>
      <c r="N441" s="52">
        <f t="shared" si="391"/>
        <v>0</v>
      </c>
      <c r="O441" s="131">
        <f ca="1" t="shared" si="386"/>
        <v>266223.22</v>
      </c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</row>
    <row r="442" customHeight="1" spans="1:26">
      <c r="A442" s="46" t="s">
        <v>45</v>
      </c>
      <c r="B442" s="46"/>
      <c r="C442" s="104"/>
      <c r="D442" s="104"/>
      <c r="E442" s="104"/>
      <c r="F442" s="303"/>
      <c r="G442" s="303"/>
      <c r="H442" s="303"/>
      <c r="I442" s="303"/>
      <c r="J442" s="303"/>
      <c r="K442" s="303"/>
      <c r="L442" s="303"/>
      <c r="M442" s="303"/>
      <c r="N442" s="303"/>
      <c r="O442" s="49"/>
      <c r="Z442" s="71"/>
    </row>
    <row r="443" customHeight="1" spans="1:26">
      <c r="A443" s="312" t="s">
        <v>536</v>
      </c>
      <c r="B443" s="57" t="s">
        <v>123</v>
      </c>
      <c r="C443" s="142">
        <v>675472.76</v>
      </c>
      <c r="D443" s="142">
        <v>930328.1</v>
      </c>
      <c r="E443" s="142">
        <v>914751.9</v>
      </c>
      <c r="F443" s="142">
        <v>788373.03</v>
      </c>
      <c r="G443" s="142">
        <v>794516.49</v>
      </c>
      <c r="H443" s="142">
        <v>1475347.45</v>
      </c>
      <c r="I443" s="142"/>
      <c r="J443" s="142"/>
      <c r="K443" s="142"/>
      <c r="L443" s="142"/>
      <c r="M443" s="142"/>
      <c r="N443" s="116"/>
      <c r="O443" s="176">
        <f ca="1">SUM(OFFSET($C443,0,0,1,mth))</f>
        <v>5578789.73</v>
      </c>
      <c r="P443" s="114"/>
      <c r="Q443" s="68"/>
      <c r="Y443" s="71"/>
    </row>
    <row r="444" customHeight="1" spans="1:26">
      <c r="A444" s="307" t="s">
        <v>530</v>
      </c>
      <c r="B444" s="57" t="s">
        <v>123</v>
      </c>
      <c r="C444" s="52">
        <f>C430</f>
        <v>201586.83</v>
      </c>
      <c r="D444" s="52">
        <f t="shared" ref="D444:N444" si="392">D430</f>
        <v>235499.89</v>
      </c>
      <c r="E444" s="52">
        <f t="shared" si="392"/>
        <v>225960.09</v>
      </c>
      <c r="F444" s="52">
        <f t="shared" si="392"/>
        <v>183744.54</v>
      </c>
      <c r="G444" s="52">
        <f t="shared" si="392"/>
        <v>158217.33</v>
      </c>
      <c r="H444" s="52">
        <f t="shared" si="392"/>
        <v>446780.5</v>
      </c>
      <c r="I444" s="52">
        <f t="shared" si="392"/>
        <v>0</v>
      </c>
      <c r="J444" s="52">
        <f t="shared" si="392"/>
        <v>0</v>
      </c>
      <c r="K444" s="52">
        <f t="shared" si="392"/>
        <v>0</v>
      </c>
      <c r="L444" s="52">
        <f t="shared" si="392"/>
        <v>0</v>
      </c>
      <c r="M444" s="52">
        <f t="shared" si="392"/>
        <v>0</v>
      </c>
      <c r="N444" s="52">
        <f t="shared" si="392"/>
        <v>0</v>
      </c>
      <c r="O444" s="131">
        <f ca="1" t="shared" ref="O444:O452" si="393">SUM(OFFSET($C444,0,0,1,mth))</f>
        <v>1451789.18</v>
      </c>
      <c r="Z444" s="71"/>
    </row>
    <row r="445" customHeight="1" spans="1:26">
      <c r="A445" s="308" t="s">
        <v>531</v>
      </c>
      <c r="B445" s="57" t="s">
        <v>123</v>
      </c>
      <c r="C445" s="52">
        <f>C413</f>
        <v>56756.47</v>
      </c>
      <c r="D445" s="52">
        <f t="shared" ref="D445:N445" si="394">D413</f>
        <v>56756.41</v>
      </c>
      <c r="E445" s="52">
        <f t="shared" si="394"/>
        <v>56643.81</v>
      </c>
      <c r="F445" s="52">
        <f t="shared" si="394"/>
        <v>98595.03</v>
      </c>
      <c r="G445" s="52">
        <f t="shared" si="394"/>
        <v>56630.42</v>
      </c>
      <c r="H445" s="52">
        <f t="shared" si="394"/>
        <v>56400.59</v>
      </c>
      <c r="I445" s="52">
        <f t="shared" si="394"/>
        <v>0</v>
      </c>
      <c r="J445" s="52">
        <f t="shared" si="394"/>
        <v>0</v>
      </c>
      <c r="K445" s="52">
        <f t="shared" si="394"/>
        <v>0</v>
      </c>
      <c r="L445" s="52">
        <f t="shared" si="394"/>
        <v>0</v>
      </c>
      <c r="M445" s="52">
        <f t="shared" si="394"/>
        <v>0</v>
      </c>
      <c r="N445" s="52">
        <f t="shared" si="394"/>
        <v>0</v>
      </c>
      <c r="O445" s="131">
        <f ca="1" t="shared" si="393"/>
        <v>381782.73</v>
      </c>
    </row>
    <row r="446" customHeight="1" spans="1:26">
      <c r="A446" s="308" t="s">
        <v>537</v>
      </c>
      <c r="B446" s="57" t="s">
        <v>123</v>
      </c>
      <c r="C446" s="149">
        <v>0</v>
      </c>
      <c r="D446" s="116">
        <v>0</v>
      </c>
      <c r="E446" s="116"/>
      <c r="F446" s="116"/>
      <c r="G446" s="116"/>
      <c r="H446" s="142"/>
      <c r="I446" s="142"/>
      <c r="J446" s="142"/>
      <c r="K446" s="142"/>
      <c r="L446" s="142"/>
      <c r="M446" s="142"/>
      <c r="N446" s="116"/>
      <c r="O446" s="176">
        <f ca="1" t="shared" si="393"/>
        <v>0</v>
      </c>
    </row>
    <row r="447" customHeight="1" spans="1:26">
      <c r="A447" s="308" t="s">
        <v>538</v>
      </c>
      <c r="B447" s="57" t="s">
        <v>123</v>
      </c>
      <c r="C447" s="149">
        <v>0</v>
      </c>
      <c r="D447" s="116">
        <v>0</v>
      </c>
      <c r="E447" s="116"/>
      <c r="F447" s="116"/>
      <c r="G447" s="116"/>
      <c r="H447" s="142"/>
      <c r="I447" s="142"/>
      <c r="J447" s="142"/>
      <c r="K447" s="142"/>
      <c r="L447" s="142"/>
      <c r="M447" s="142"/>
      <c r="N447" s="116"/>
      <c r="O447" s="176">
        <f ca="1" t="shared" si="393"/>
        <v>0</v>
      </c>
    </row>
    <row r="448" customHeight="1" spans="1:26">
      <c r="A448" s="308" t="s">
        <v>539</v>
      </c>
      <c r="B448" s="57" t="s">
        <v>123</v>
      </c>
      <c r="C448" s="52">
        <f>C443-SUM(C444:C447)</f>
        <v>417129.46</v>
      </c>
      <c r="D448" s="52">
        <f t="shared" ref="D448:N448" si="395">D443-SUM(D444:D447)</f>
        <v>638071.8</v>
      </c>
      <c r="E448" s="52">
        <f t="shared" si="395"/>
        <v>632148</v>
      </c>
      <c r="F448" s="52">
        <f t="shared" si="395"/>
        <v>506033.46</v>
      </c>
      <c r="G448" s="52">
        <f t="shared" si="395"/>
        <v>579668.74</v>
      </c>
      <c r="H448" s="52">
        <f t="shared" si="395"/>
        <v>972166.36</v>
      </c>
      <c r="I448" s="52">
        <f t="shared" si="395"/>
        <v>0</v>
      </c>
      <c r="J448" s="52">
        <f t="shared" si="395"/>
        <v>0</v>
      </c>
      <c r="K448" s="52">
        <f t="shared" si="395"/>
        <v>0</v>
      </c>
      <c r="L448" s="52">
        <f t="shared" si="395"/>
        <v>0</v>
      </c>
      <c r="M448" s="235">
        <f t="shared" si="395"/>
        <v>0</v>
      </c>
      <c r="N448" s="52">
        <f t="shared" si="395"/>
        <v>0</v>
      </c>
      <c r="O448" s="131">
        <f ca="1" t="shared" si="393"/>
        <v>3745217.82</v>
      </c>
    </row>
    <row r="449" customHeight="1" spans="1:28">
      <c r="A449" s="308" t="s">
        <v>290</v>
      </c>
      <c r="B449" s="57" t="s">
        <v>123</v>
      </c>
      <c r="C449" s="306">
        <v>61727.45</v>
      </c>
      <c r="D449" s="116">
        <v>122546.86</v>
      </c>
      <c r="E449" s="116">
        <v>62486.68</v>
      </c>
      <c r="F449" s="116">
        <v>70861.38</v>
      </c>
      <c r="G449" s="116">
        <v>93072.37</v>
      </c>
      <c r="H449" s="142">
        <v>143846.34</v>
      </c>
      <c r="I449" s="142"/>
      <c r="J449" s="142"/>
      <c r="K449" s="142"/>
      <c r="L449" s="142"/>
      <c r="M449" s="142"/>
      <c r="N449" s="116"/>
      <c r="O449" s="193">
        <f ca="1" t="shared" si="393"/>
        <v>554541.08</v>
      </c>
    </row>
    <row r="450" customHeight="1" spans="1:28">
      <c r="A450" s="308" t="s">
        <v>534</v>
      </c>
      <c r="B450" s="57" t="s">
        <v>123</v>
      </c>
      <c r="C450" s="306">
        <v>70277.48</v>
      </c>
      <c r="D450" s="116">
        <v>105882.32</v>
      </c>
      <c r="E450" s="116">
        <v>107111.89</v>
      </c>
      <c r="F450" s="116">
        <v>82735.82</v>
      </c>
      <c r="G450" s="116">
        <v>109190.13</v>
      </c>
      <c r="H450" s="142">
        <v>252119.39</v>
      </c>
      <c r="I450" s="142"/>
      <c r="J450" s="142"/>
      <c r="K450" s="142"/>
      <c r="L450" s="142"/>
      <c r="M450" s="142"/>
      <c r="N450" s="116"/>
      <c r="O450" s="193">
        <f ca="1" t="shared" si="393"/>
        <v>727317.03</v>
      </c>
    </row>
    <row r="451" customHeight="1" spans="1:28">
      <c r="A451" s="308" t="s">
        <v>241</v>
      </c>
      <c r="B451" s="57" t="s">
        <v>123</v>
      </c>
      <c r="C451" s="306">
        <v>2975.94</v>
      </c>
      <c r="D451" s="116">
        <v>2750.75</v>
      </c>
      <c r="E451" s="116">
        <v>1260.13</v>
      </c>
      <c r="F451" s="116">
        <v>6935.75</v>
      </c>
      <c r="G451" s="116">
        <v>4275.38</v>
      </c>
      <c r="H451" s="116">
        <v>38416.26</v>
      </c>
      <c r="I451" s="116"/>
      <c r="J451" s="116"/>
      <c r="K451" s="116"/>
      <c r="L451" s="116"/>
      <c r="M451" s="116"/>
      <c r="N451" s="116"/>
      <c r="O451" s="193">
        <f ca="1" t="shared" si="393"/>
        <v>56614.21</v>
      </c>
    </row>
    <row r="452" customHeight="1" spans="1:28">
      <c r="A452" s="308" t="s">
        <v>535</v>
      </c>
      <c r="B452" s="57"/>
      <c r="C452" s="52">
        <f>C448-C449-C450-C451</f>
        <v>282148.59</v>
      </c>
      <c r="D452" s="52">
        <f>D448-D449-D450-D451</f>
        <v>406891.87</v>
      </c>
      <c r="E452" s="52">
        <f>E448-E449-E450-E451</f>
        <v>461289.3</v>
      </c>
      <c r="F452" s="52">
        <f t="shared" ref="D452:N452" si="396">F448-F449-F450-F451</f>
        <v>345500.51</v>
      </c>
      <c r="G452" s="52">
        <f t="shared" si="396"/>
        <v>373130.86</v>
      </c>
      <c r="H452" s="52">
        <f t="shared" si="396"/>
        <v>537784.37</v>
      </c>
      <c r="I452" s="52">
        <f t="shared" si="396"/>
        <v>0</v>
      </c>
      <c r="J452" s="52">
        <f t="shared" si="396"/>
        <v>0</v>
      </c>
      <c r="K452" s="52">
        <f t="shared" si="396"/>
        <v>0</v>
      </c>
      <c r="L452" s="52">
        <f t="shared" si="396"/>
        <v>0</v>
      </c>
      <c r="M452" s="52">
        <f t="shared" si="396"/>
        <v>0</v>
      </c>
      <c r="N452" s="52">
        <f t="shared" si="396"/>
        <v>0</v>
      </c>
      <c r="O452" s="131">
        <f ca="1" t="shared" si="393"/>
        <v>2406745.5</v>
      </c>
      <c r="P452" s="38" t="s">
        <v>540</v>
      </c>
    </row>
    <row r="453" customHeight="1" spans="1:28">
      <c r="A453" s="46" t="s">
        <v>43</v>
      </c>
      <c r="B453" s="46"/>
      <c r="F453" s="38"/>
      <c r="P453" s="48" t="s">
        <v>220</v>
      </c>
      <c r="Q453" s="48" t="s">
        <v>221</v>
      </c>
      <c r="R453" s="48" t="s">
        <v>222</v>
      </c>
      <c r="S453" s="48" t="s">
        <v>223</v>
      </c>
      <c r="T453" s="48" t="s">
        <v>224</v>
      </c>
      <c r="U453" s="48" t="s">
        <v>225</v>
      </c>
      <c r="V453" s="48" t="s">
        <v>226</v>
      </c>
      <c r="W453" s="48" t="s">
        <v>227</v>
      </c>
      <c r="X453" s="48" t="s">
        <v>228</v>
      </c>
      <c r="Y453" s="48" t="s">
        <v>229</v>
      </c>
      <c r="Z453" s="48" t="s">
        <v>230</v>
      </c>
      <c r="AA453" s="48" t="s">
        <v>231</v>
      </c>
      <c r="AB453" s="48" t="s">
        <v>232</v>
      </c>
    </row>
    <row r="454" customHeight="1" spans="1:28">
      <c r="A454" s="312" t="s">
        <v>541</v>
      </c>
      <c r="B454" s="57" t="s">
        <v>123</v>
      </c>
      <c r="C454" s="149">
        <f>1833913.33-P454</f>
        <v>1434301.26</v>
      </c>
      <c r="D454" s="142">
        <v>1551503.03</v>
      </c>
      <c r="E454" s="142">
        <v>1645130.36</v>
      </c>
      <c r="F454" s="142">
        <v>1981728.42</v>
      </c>
      <c r="G454" s="142">
        <v>1924113.91</v>
      </c>
      <c r="H454" s="116">
        <v>2179271.66</v>
      </c>
      <c r="I454" s="116"/>
      <c r="J454" s="142"/>
      <c r="K454" s="142"/>
      <c r="L454" s="142"/>
      <c r="M454" s="142"/>
      <c r="N454" s="116"/>
      <c r="O454" s="176">
        <f ca="1">SUM(OFFSET($C454,0,0,1,mth))</f>
        <v>10716048.64</v>
      </c>
      <c r="P454" s="313">
        <f>销售收入及运费!P112</f>
        <v>399612.07</v>
      </c>
      <c r="Q454" s="313">
        <f>销售收入及运费!Q112</f>
        <v>657431.5</v>
      </c>
      <c r="R454" s="313">
        <f>销售收入及运费!R112</f>
        <v>1384351.88</v>
      </c>
      <c r="S454" s="313">
        <f>销售收入及运费!S112</f>
        <v>1180481.2</v>
      </c>
      <c r="T454" s="313">
        <f>销售收入及运费!T112</f>
        <v>1407611.42</v>
      </c>
      <c r="U454" s="313">
        <f>销售收入及运费!U112</f>
        <v>1295585.1</v>
      </c>
      <c r="V454" s="313">
        <f>销售收入及运费!V112</f>
        <v>0</v>
      </c>
      <c r="W454" s="313">
        <f>销售收入及运费!W112</f>
        <v>0</v>
      </c>
      <c r="X454" s="313">
        <f>销售收入及运费!X112</f>
        <v>0</v>
      </c>
      <c r="Y454" s="313">
        <f>销售收入及运费!Y112</f>
        <v>0</v>
      </c>
      <c r="Z454" s="313">
        <f>销售收入及运费!Z112</f>
        <v>0</v>
      </c>
      <c r="AA454" s="313">
        <f>销售收入及运费!AA112</f>
        <v>0</v>
      </c>
      <c r="AB454" s="38">
        <f>SUM(P454:AA454)</f>
        <v>6325073.17</v>
      </c>
    </row>
    <row r="455" customHeight="1" spans="1:28">
      <c r="A455" s="307" t="s">
        <v>530</v>
      </c>
      <c r="B455" s="57" t="s">
        <v>123</v>
      </c>
      <c r="C455" s="52">
        <f>C429</f>
        <v>961161.33</v>
      </c>
      <c r="D455" s="52">
        <f>D429</f>
        <v>1164803.62</v>
      </c>
      <c r="E455" s="52">
        <f>E429</f>
        <v>1139350.03</v>
      </c>
      <c r="F455" s="52">
        <f t="shared" ref="F455:N455" si="397">F429</f>
        <v>1449224.09</v>
      </c>
      <c r="G455" s="52">
        <f t="shared" si="397"/>
        <v>1400411.99</v>
      </c>
      <c r="H455" s="52">
        <f t="shared" si="397"/>
        <v>1682463.71</v>
      </c>
      <c r="I455" s="52">
        <f t="shared" si="397"/>
        <v>0</v>
      </c>
      <c r="J455" s="52">
        <f t="shared" si="397"/>
        <v>0</v>
      </c>
      <c r="K455" s="52">
        <f t="shared" si="397"/>
        <v>0</v>
      </c>
      <c r="L455" s="52">
        <f t="shared" si="397"/>
        <v>0</v>
      </c>
      <c r="M455" s="52">
        <f t="shared" si="397"/>
        <v>0</v>
      </c>
      <c r="N455" s="52">
        <f t="shared" si="397"/>
        <v>0</v>
      </c>
      <c r="O455" s="131">
        <f ca="1">SUM(OFFSET($C455,0,0,1,mth))</f>
        <v>7797414.77</v>
      </c>
    </row>
    <row r="456" customHeight="1" spans="1:28">
      <c r="A456" s="308" t="s">
        <v>531</v>
      </c>
      <c r="B456" s="57"/>
      <c r="C456" s="52">
        <f>C412</f>
        <v>121340.35</v>
      </c>
      <c r="D456" s="52">
        <f t="shared" ref="D456:N456" si="398">D412</f>
        <v>121136.25</v>
      </c>
      <c r="E456" s="52">
        <f t="shared" si="398"/>
        <v>121462.35</v>
      </c>
      <c r="F456" s="52">
        <f t="shared" si="398"/>
        <v>124697.57</v>
      </c>
      <c r="G456" s="52">
        <f t="shared" si="398"/>
        <v>121401.94</v>
      </c>
      <c r="H456" s="52">
        <f t="shared" si="398"/>
        <v>121322.91</v>
      </c>
      <c r="I456" s="52">
        <f t="shared" si="398"/>
        <v>0</v>
      </c>
      <c r="J456" s="52">
        <f t="shared" si="398"/>
        <v>0</v>
      </c>
      <c r="K456" s="52">
        <f t="shared" si="398"/>
        <v>0</v>
      </c>
      <c r="L456" s="52">
        <f t="shared" si="398"/>
        <v>0</v>
      </c>
      <c r="M456" s="52">
        <f t="shared" si="398"/>
        <v>0</v>
      </c>
      <c r="N456" s="52">
        <f t="shared" si="398"/>
        <v>0</v>
      </c>
      <c r="O456" s="131">
        <f ca="1">SUM(OFFSET($C456,0,0,1,mth))</f>
        <v>731361.37</v>
      </c>
    </row>
    <row r="457" customHeight="1" spans="1:28">
      <c r="A457" s="308" t="s">
        <v>532</v>
      </c>
      <c r="B457" s="57"/>
      <c r="C457" s="309">
        <v>0</v>
      </c>
      <c r="D457" s="309">
        <v>67277.16</v>
      </c>
      <c r="E457" s="309">
        <v>40496.16</v>
      </c>
      <c r="F457" s="309">
        <v>23116.16</v>
      </c>
      <c r="G457" s="309">
        <v>40743.16</v>
      </c>
      <c r="H457" s="309">
        <v>32331.16</v>
      </c>
      <c r="I457" s="309"/>
      <c r="J457" s="309"/>
      <c r="K457" s="309"/>
      <c r="L457" s="309"/>
      <c r="M457" s="309"/>
      <c r="N457" s="309"/>
      <c r="O457" s="310">
        <f ca="1">SUM(OFFSET($C457,0,0,1,mth))</f>
        <v>203963.8</v>
      </c>
    </row>
    <row r="458" customHeight="1" spans="1:28">
      <c r="A458" s="308" t="s">
        <v>542</v>
      </c>
      <c r="B458" s="57"/>
      <c r="C458" s="314">
        <f>C454-SUM(C455:C457)</f>
        <v>351799.58</v>
      </c>
      <c r="D458" s="314">
        <f>D454-SUM(D455:D457)</f>
        <v>198286</v>
      </c>
      <c r="E458" s="314">
        <f t="shared" ref="E458:N458" si="399">E454-SUM(E455:E457)</f>
        <v>343821.82</v>
      </c>
      <c r="F458" s="314">
        <f t="shared" si="399"/>
        <v>384690.6</v>
      </c>
      <c r="G458" s="314">
        <f t="shared" si="399"/>
        <v>361556.82</v>
      </c>
      <c r="H458" s="314">
        <f t="shared" si="399"/>
        <v>343153.88</v>
      </c>
      <c r="I458" s="314">
        <f t="shared" si="399"/>
        <v>0</v>
      </c>
      <c r="J458" s="314">
        <f t="shared" si="399"/>
        <v>0</v>
      </c>
      <c r="K458" s="235">
        <f t="shared" si="399"/>
        <v>0</v>
      </c>
      <c r="L458" s="314">
        <f t="shared" si="399"/>
        <v>0</v>
      </c>
      <c r="M458" s="314">
        <f t="shared" si="399"/>
        <v>0</v>
      </c>
      <c r="N458" s="314">
        <f t="shared" si="399"/>
        <v>0</v>
      </c>
      <c r="O458" s="131">
        <f ca="1">SUM(OFFSET($C458,0,0,1,mth))</f>
        <v>1983308.7</v>
      </c>
      <c r="P458" s="68"/>
      <c r="Q458" s="71"/>
      <c r="R458" s="71"/>
    </row>
    <row r="459" customHeight="1" spans="1:28">
      <c r="A459" s="308" t="s">
        <v>290</v>
      </c>
      <c r="B459" s="57" t="s">
        <v>123</v>
      </c>
      <c r="C459" s="306"/>
      <c r="D459" s="116"/>
      <c r="E459" s="116"/>
      <c r="F459" s="116"/>
      <c r="G459" s="116"/>
      <c r="H459" s="142"/>
      <c r="I459" s="142"/>
      <c r="J459" s="142"/>
      <c r="K459" s="142"/>
      <c r="L459" s="142"/>
      <c r="M459" s="142"/>
      <c r="N459" s="116"/>
      <c r="O459" s="193">
        <f ca="1" t="shared" ref="O459:O461" si="400">SUM(OFFSET($C459,0,0,1,mth))</f>
        <v>0</v>
      </c>
      <c r="Q459" s="71"/>
      <c r="R459" s="71"/>
    </row>
    <row r="460" customHeight="1" spans="1:28">
      <c r="A460" s="308" t="s">
        <v>534</v>
      </c>
      <c r="B460" s="57" t="s">
        <v>123</v>
      </c>
      <c r="C460" s="306"/>
      <c r="D460" s="306"/>
      <c r="E460" s="116"/>
      <c r="F460" s="116"/>
      <c r="G460" s="116"/>
      <c r="H460" s="142"/>
      <c r="I460" s="142"/>
      <c r="J460" s="142"/>
      <c r="K460" s="142"/>
      <c r="L460" s="142"/>
      <c r="M460" s="142"/>
      <c r="N460" s="116"/>
      <c r="O460" s="193">
        <f ca="1" t="shared" si="400"/>
        <v>0</v>
      </c>
      <c r="Q460" s="71"/>
      <c r="R460" s="71"/>
    </row>
    <row r="461" ht="15.75" customHeight="1" spans="1:28">
      <c r="A461" s="308" t="s">
        <v>241</v>
      </c>
      <c r="B461" s="57" t="s">
        <v>123</v>
      </c>
      <c r="C461" s="306">
        <v>0</v>
      </c>
      <c r="D461" s="306">
        <v>0</v>
      </c>
      <c r="E461" s="306">
        <v>0</v>
      </c>
      <c r="F461" s="306">
        <v>0</v>
      </c>
      <c r="G461" s="306"/>
      <c r="H461" s="306">
        <v>0</v>
      </c>
      <c r="I461" s="306">
        <v>0</v>
      </c>
      <c r="J461" s="306"/>
      <c r="K461" s="306"/>
      <c r="L461" s="306"/>
      <c r="M461" s="306"/>
      <c r="N461" s="306"/>
      <c r="O461" s="193">
        <f ca="1" t="shared" si="400"/>
        <v>0</v>
      </c>
      <c r="Q461" s="71"/>
      <c r="R461" s="71"/>
    </row>
    <row r="462" customHeight="1" spans="1:28">
      <c r="A462" s="308" t="s">
        <v>535</v>
      </c>
      <c r="B462" s="57"/>
      <c r="C462" s="52">
        <f>C458-C459-C460-C461</f>
        <v>351799.58</v>
      </c>
      <c r="D462" s="52">
        <f t="shared" ref="D462:N462" si="401">D458-D459-D460-D461</f>
        <v>198286</v>
      </c>
      <c r="E462" s="52">
        <f t="shared" si="401"/>
        <v>343821.82</v>
      </c>
      <c r="F462" s="52">
        <f t="shared" si="401"/>
        <v>384690.6</v>
      </c>
      <c r="G462" s="52">
        <f t="shared" si="401"/>
        <v>361556.82</v>
      </c>
      <c r="H462" s="235">
        <f t="shared" si="401"/>
        <v>343153.88</v>
      </c>
      <c r="I462" s="52">
        <f t="shared" si="401"/>
        <v>0</v>
      </c>
      <c r="J462" s="52">
        <f t="shared" si="401"/>
        <v>0</v>
      </c>
      <c r="K462" s="52">
        <f t="shared" si="401"/>
        <v>0</v>
      </c>
      <c r="L462" s="52">
        <f t="shared" si="401"/>
        <v>0</v>
      </c>
      <c r="M462" s="52">
        <f t="shared" si="401"/>
        <v>0</v>
      </c>
      <c r="N462" s="52">
        <f t="shared" si="401"/>
        <v>0</v>
      </c>
      <c r="O462" s="131">
        <f ca="1">SUM(OFFSET($C462,0,0,1,mth))</f>
        <v>1983308.7</v>
      </c>
      <c r="Q462" s="71"/>
      <c r="R462" s="71"/>
    </row>
    <row r="463" customHeight="1" spans="1:28">
      <c r="A463" s="46" t="s">
        <v>47</v>
      </c>
      <c r="B463" s="46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49"/>
    </row>
    <row r="464" customHeight="1" spans="1:28">
      <c r="A464" s="308" t="s">
        <v>543</v>
      </c>
      <c r="B464" s="57" t="s">
        <v>123</v>
      </c>
      <c r="C464" s="149">
        <v>156200.01</v>
      </c>
      <c r="D464" s="149">
        <v>142479.35</v>
      </c>
      <c r="E464" s="149">
        <v>108421.1</v>
      </c>
      <c r="F464" s="149">
        <v>100747.37</v>
      </c>
      <c r="G464" s="149">
        <v>91630.17</v>
      </c>
      <c r="H464" s="142">
        <v>113968.28</v>
      </c>
      <c r="I464" s="142"/>
      <c r="J464" s="142"/>
      <c r="K464" s="142"/>
      <c r="L464" s="142"/>
      <c r="M464" s="142"/>
      <c r="N464" s="116"/>
      <c r="O464" s="176">
        <f ca="1">SUM(OFFSET($C464,0,0,1,mth))</f>
        <v>713446.28</v>
      </c>
    </row>
    <row r="465" customHeight="1" spans="1:17">
      <c r="A465" s="315"/>
      <c r="B465" s="57"/>
      <c r="C465" s="149"/>
      <c r="D465" s="116"/>
      <c r="E465" s="116"/>
      <c r="F465" s="116"/>
      <c r="G465" s="116"/>
      <c r="H465" s="142"/>
      <c r="I465" s="142"/>
      <c r="J465" s="142"/>
      <c r="K465" s="142"/>
      <c r="L465" s="142"/>
      <c r="M465" s="142"/>
      <c r="N465" s="116"/>
      <c r="O465" s="176"/>
    </row>
    <row r="466" customHeight="1" spans="1:17">
      <c r="A466" s="46"/>
      <c r="B466" s="46">
        <v>10000</v>
      </c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49"/>
    </row>
    <row r="467" customHeight="1" spans="1:17">
      <c r="A467" s="46" t="s">
        <v>544</v>
      </c>
      <c r="B467" s="38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P467" s="68"/>
    </row>
    <row r="468" customHeight="1" spans="1:17">
      <c r="A468" s="308" t="s">
        <v>545</v>
      </c>
      <c r="B468" s="50" t="s">
        <v>123</v>
      </c>
      <c r="C468" s="52">
        <f>500-15578.47</f>
        <v>-15078.47</v>
      </c>
      <c r="D468" s="116">
        <v>1000.13</v>
      </c>
      <c r="E468" s="116">
        <v>1000</v>
      </c>
      <c r="F468" s="116">
        <v>0.24</v>
      </c>
      <c r="G468" s="116">
        <v>0</v>
      </c>
      <c r="H468" s="142">
        <v>1324564.26</v>
      </c>
      <c r="I468" s="142"/>
      <c r="J468" s="142"/>
      <c r="K468" s="142"/>
      <c r="L468" s="142"/>
      <c r="M468" s="142"/>
      <c r="N468" s="116"/>
      <c r="O468" s="131">
        <f ca="1">SUM(OFFSET($C468,0,0,1,mth))</f>
        <v>1311486.16</v>
      </c>
      <c r="P468" s="68"/>
    </row>
    <row r="469" customHeight="1" spans="1:17">
      <c r="A469" s="123" t="s">
        <v>546</v>
      </c>
      <c r="B469" s="50" t="s">
        <v>123</v>
      </c>
      <c r="C469" s="52">
        <v>490934.91</v>
      </c>
      <c r="D469" s="116">
        <v>311374.97</v>
      </c>
      <c r="E469" s="116">
        <v>527995.39</v>
      </c>
      <c r="F469" s="116">
        <v>400536.28</v>
      </c>
      <c r="G469" s="116">
        <v>384212.68</v>
      </c>
      <c r="H469" s="142">
        <v>341701.21</v>
      </c>
      <c r="I469" s="142"/>
      <c r="J469" s="142"/>
      <c r="K469" s="142"/>
      <c r="L469" s="142"/>
      <c r="M469" s="142"/>
      <c r="N469" s="116"/>
      <c r="O469" s="131">
        <f ca="1" t="shared" ref="O469:O474" si="402">SUM(OFFSET($C469,0,0,1,mth))</f>
        <v>2456755.44</v>
      </c>
    </row>
    <row r="470" customHeight="1" spans="1:17">
      <c r="A470" s="308" t="s">
        <v>49</v>
      </c>
      <c r="B470" s="50" t="s">
        <v>123</v>
      </c>
      <c r="C470" s="52"/>
      <c r="D470" s="116"/>
      <c r="E470" s="116"/>
      <c r="F470" s="116"/>
      <c r="G470" s="116"/>
      <c r="H470" s="142"/>
      <c r="I470" s="142"/>
      <c r="J470" s="142"/>
      <c r="K470" s="142"/>
      <c r="L470" s="142"/>
      <c r="M470" s="142"/>
      <c r="N470" s="116"/>
      <c r="O470" s="131">
        <f ca="1" t="shared" si="402"/>
        <v>0</v>
      </c>
    </row>
    <row r="471" customHeight="1" spans="1:17">
      <c r="A471" s="123" t="s">
        <v>547</v>
      </c>
      <c r="B471" s="50" t="s">
        <v>123</v>
      </c>
      <c r="C471" s="52">
        <v>3040.11</v>
      </c>
      <c r="D471" s="52">
        <v>-49713.27</v>
      </c>
      <c r="E471" s="52">
        <v>-5758.13</v>
      </c>
      <c r="F471" s="116">
        <v>12160.62</v>
      </c>
      <c r="G471" s="52">
        <v>-818.39</v>
      </c>
      <c r="H471" s="142">
        <v>16517.48</v>
      </c>
      <c r="I471" s="142"/>
      <c r="J471" s="142"/>
      <c r="K471" s="142"/>
      <c r="L471" s="142"/>
      <c r="M471" s="142"/>
      <c r="N471" s="116"/>
      <c r="O471" s="131">
        <f ca="1" t="shared" si="402"/>
        <v>-24571.58</v>
      </c>
    </row>
    <row r="472" customHeight="1" spans="1:17">
      <c r="A472" s="123" t="s">
        <v>548</v>
      </c>
      <c r="B472" s="50" t="s">
        <v>123</v>
      </c>
      <c r="C472" s="52">
        <v>134505.2</v>
      </c>
      <c r="D472" s="116">
        <v>115664.62</v>
      </c>
      <c r="E472" s="116">
        <v>195951.71</v>
      </c>
      <c r="F472" s="116">
        <v>274308.59</v>
      </c>
      <c r="G472" s="116">
        <v>111973.14</v>
      </c>
      <c r="H472" s="142">
        <v>190407.37</v>
      </c>
      <c r="I472" s="142"/>
      <c r="J472" s="142"/>
      <c r="K472" s="142"/>
      <c r="L472" s="142"/>
      <c r="M472" s="142"/>
      <c r="N472" s="116"/>
      <c r="O472" s="131">
        <f ca="1" t="shared" si="402"/>
        <v>1022810.63</v>
      </c>
    </row>
    <row r="473" customHeight="1" spans="1:17">
      <c r="A473" s="308" t="s">
        <v>549</v>
      </c>
      <c r="B473" s="50" t="s">
        <v>123</v>
      </c>
      <c r="C473" s="149">
        <v>256192.46</v>
      </c>
      <c r="D473" s="149">
        <v>252415.96</v>
      </c>
      <c r="E473" s="149">
        <v>10347.58</v>
      </c>
      <c r="F473" s="149">
        <v>497564.25</v>
      </c>
      <c r="G473" s="149">
        <v>0</v>
      </c>
      <c r="H473" s="149">
        <v>-23.01</v>
      </c>
      <c r="I473" s="149"/>
      <c r="J473" s="149"/>
      <c r="K473" s="149"/>
      <c r="L473" s="149"/>
      <c r="M473" s="149"/>
      <c r="N473" s="149"/>
      <c r="O473" s="176">
        <f ca="1" t="shared" si="402"/>
        <v>1016497.24</v>
      </c>
    </row>
    <row r="474" customHeight="1" spans="1:17">
      <c r="A474" s="308" t="s">
        <v>296</v>
      </c>
      <c r="B474" s="50" t="s">
        <v>123</v>
      </c>
      <c r="C474" s="149">
        <v>6041.39999999999</v>
      </c>
      <c r="D474" s="149">
        <v>-13269.8</v>
      </c>
      <c r="E474" s="149">
        <v>-13674.41</v>
      </c>
      <c r="F474" s="149">
        <v>-44946.64</v>
      </c>
      <c r="G474" s="149">
        <v>92939.13</v>
      </c>
      <c r="H474" s="149">
        <v>11236.34</v>
      </c>
      <c r="I474" s="149"/>
      <c r="J474" s="149"/>
      <c r="K474" s="149"/>
      <c r="L474" s="149"/>
      <c r="M474" s="149"/>
      <c r="N474" s="149"/>
      <c r="O474" s="176">
        <f ca="1" t="shared" si="402"/>
        <v>38326.02</v>
      </c>
    </row>
    <row r="475" s="68" customFormat="1" customHeight="1" spans="1:17">
      <c r="A475" s="316" t="s">
        <v>232</v>
      </c>
      <c r="B475" s="317" t="s">
        <v>123</v>
      </c>
      <c r="C475" s="318">
        <f>-SUM(C468:C469)+SUM(C470:C472)-C473-C474</f>
        <v>-600544.99</v>
      </c>
      <c r="D475" s="318">
        <f>-SUM(D468:D469)+SUM(D470:D472)-D473-D474</f>
        <v>-485569.91</v>
      </c>
      <c r="E475" s="318">
        <f t="shared" ref="D475:N475" si="403">-SUM(E468:E469)+SUM(E470:E472)-E473-E474</f>
        <v>-335474.98</v>
      </c>
      <c r="F475" s="318">
        <f t="shared" si="403"/>
        <v>-566684.92</v>
      </c>
      <c r="G475" s="318">
        <f t="shared" si="403"/>
        <v>-365997.06</v>
      </c>
      <c r="H475" s="318">
        <f t="shared" si="403"/>
        <v>-1470553.95</v>
      </c>
      <c r="I475" s="318">
        <f t="shared" si="403"/>
        <v>0</v>
      </c>
      <c r="J475" s="318">
        <f t="shared" si="403"/>
        <v>0</v>
      </c>
      <c r="K475" s="318">
        <f t="shared" si="403"/>
        <v>0</v>
      </c>
      <c r="L475" s="318">
        <f t="shared" si="403"/>
        <v>0</v>
      </c>
      <c r="M475" s="318">
        <f t="shared" si="403"/>
        <v>0</v>
      </c>
      <c r="N475" s="318">
        <f t="shared" si="403"/>
        <v>0</v>
      </c>
      <c r="O475" s="319">
        <f ca="1">SUM(OFFSET($C475,0,0,1,mth))</f>
        <v>-3824825.81</v>
      </c>
    </row>
    <row r="476" customHeight="1" spans="1:17">
      <c r="A476" s="284" t="s">
        <v>297</v>
      </c>
      <c r="B476" s="57" t="s">
        <v>123</v>
      </c>
      <c r="C476" s="263">
        <v>227908.81</v>
      </c>
      <c r="D476" s="263">
        <v>267653.73</v>
      </c>
      <c r="E476" s="263">
        <v>358299.39</v>
      </c>
      <c r="F476" s="263">
        <v>308792.92</v>
      </c>
      <c r="G476" s="263">
        <v>324265.77</v>
      </c>
      <c r="H476" s="263">
        <v>329312.71</v>
      </c>
      <c r="I476" s="263"/>
      <c r="J476" s="263"/>
      <c r="K476" s="263"/>
      <c r="L476" s="263"/>
      <c r="M476" s="263"/>
      <c r="N476" s="263"/>
      <c r="O476" s="320">
        <f ca="1">SUM(OFFSET($C476,0,0,1,mth))</f>
        <v>1816233.33</v>
      </c>
    </row>
    <row r="477" customHeight="1" spans="1:17">
      <c r="A477" s="46" t="s">
        <v>550</v>
      </c>
      <c r="B477" s="38"/>
      <c r="F477" s="38"/>
    </row>
    <row r="478" customHeight="1" spans="1:17">
      <c r="A478" s="321" t="s">
        <v>551</v>
      </c>
      <c r="B478" s="50"/>
      <c r="C478" s="149">
        <v>0</v>
      </c>
      <c r="D478" s="116">
        <v>0</v>
      </c>
      <c r="E478" s="116">
        <v>0</v>
      </c>
      <c r="F478" s="116">
        <v>0</v>
      </c>
      <c r="G478" s="116">
        <v>0</v>
      </c>
      <c r="H478" s="116">
        <v>0</v>
      </c>
      <c r="I478" s="116">
        <v>0</v>
      </c>
      <c r="J478" s="116">
        <v>0</v>
      </c>
      <c r="K478" s="116">
        <v>0</v>
      </c>
      <c r="L478" s="116">
        <v>0</v>
      </c>
      <c r="M478" s="116">
        <v>0</v>
      </c>
      <c r="N478" s="116">
        <v>0</v>
      </c>
      <c r="O478" s="176">
        <f ca="1">SUM(OFFSET($C478,0,0,1,mth))</f>
        <v>0</v>
      </c>
    </row>
    <row r="480" hidden="1" customHeight="1" spans="1:17">
      <c r="P480" s="71"/>
      <c r="Q480" s="71"/>
    </row>
    <row r="481" hidden="1" customHeight="1" spans="1:31">
      <c r="P481" s="71"/>
      <c r="Q481" s="71"/>
    </row>
    <row r="482" hidden="1" customHeight="1" spans="1:31">
      <c r="P482" s="71"/>
      <c r="Q482" s="71"/>
    </row>
    <row r="483" hidden="1" customHeight="1" spans="1:31">
      <c r="P483" s="71"/>
      <c r="Q483" s="71"/>
    </row>
    <row r="484" hidden="1" customHeight="1" spans="1:31">
      <c r="P484" s="71"/>
      <c r="Q484" s="71"/>
    </row>
    <row r="485" hidden="1" customHeight="1" spans="1:31">
      <c r="Q485" s="71"/>
    </row>
    <row r="486" hidden="1" customHeight="1"/>
    <row r="487" hidden="1" customHeight="1"/>
    <row r="488" hidden="1" customHeight="1"/>
    <row r="489" hidden="1" customHeight="1"/>
    <row r="490" hidden="1" customHeight="1"/>
    <row r="491" hidden="1" customHeight="1"/>
    <row r="492" hidden="1" customHeight="1"/>
    <row r="493" customHeight="1" spans="1:31">
      <c r="A493" s="173" t="s">
        <v>552</v>
      </c>
      <c r="B493" s="277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322"/>
    </row>
    <row r="494" customHeight="1" spans="1:31">
      <c r="A494" s="257" t="s">
        <v>252</v>
      </c>
      <c r="B494" s="50" t="s">
        <v>123</v>
      </c>
      <c r="C494" s="309"/>
      <c r="D494" s="116"/>
      <c r="E494" s="116"/>
      <c r="F494" s="116"/>
      <c r="G494" s="116"/>
      <c r="H494" s="142"/>
      <c r="I494" s="142"/>
      <c r="J494" s="142"/>
      <c r="K494" s="142"/>
      <c r="L494" s="142"/>
      <c r="M494" s="142"/>
      <c r="N494" s="116"/>
      <c r="O494" s="126">
        <f ca="1">SUM(OFFSET($C494,0,0,1,mth))</f>
        <v>0</v>
      </c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</row>
    <row r="495" customHeight="1" spans="1:31">
      <c r="A495" s="115" t="s">
        <v>268</v>
      </c>
      <c r="B495" s="50" t="s">
        <v>123</v>
      </c>
      <c r="C495" s="309"/>
      <c r="D495" s="116"/>
      <c r="E495" s="116"/>
      <c r="F495" s="116"/>
      <c r="G495" s="116"/>
      <c r="H495" s="323"/>
      <c r="I495" s="142"/>
      <c r="J495" s="142"/>
      <c r="K495" s="142"/>
      <c r="L495" s="142"/>
      <c r="M495" s="142"/>
      <c r="N495" s="116"/>
      <c r="O495" s="126">
        <f ca="1">SUM(OFFSET($C495,0,0,1,mth))</f>
        <v>0</v>
      </c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</row>
    <row r="496" customHeight="1" spans="1:31">
      <c r="A496" s="115" t="s">
        <v>255</v>
      </c>
      <c r="B496" s="50" t="s">
        <v>123</v>
      </c>
      <c r="C496" s="309"/>
      <c r="D496" s="116"/>
      <c r="E496" s="116"/>
      <c r="F496" s="116"/>
      <c r="G496" s="116"/>
      <c r="H496" s="323"/>
      <c r="I496" s="142"/>
      <c r="J496" s="142"/>
      <c r="K496" s="323"/>
      <c r="L496" s="142"/>
      <c r="M496" s="142"/>
      <c r="N496" s="116"/>
      <c r="O496" s="126">
        <f ca="1">SUM(OFFSET($C496,0,0,1,mth))</f>
        <v>0</v>
      </c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</row>
    <row r="497" customHeight="1" spans="1:31">
      <c r="A497" s="257" t="s">
        <v>307</v>
      </c>
      <c r="B497" s="50" t="s">
        <v>123</v>
      </c>
      <c r="C497" s="309"/>
      <c r="D497" s="116"/>
      <c r="E497" s="116"/>
      <c r="F497" s="116"/>
      <c r="G497" s="116"/>
      <c r="H497" s="142"/>
      <c r="I497" s="142"/>
      <c r="J497" s="142"/>
      <c r="K497" s="142"/>
      <c r="L497" s="142"/>
      <c r="M497" s="142"/>
      <c r="N497" s="116"/>
      <c r="O497" s="310">
        <f ca="1">SUM(OFFSET($C497,0,0,1,mth))</f>
        <v>0</v>
      </c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</row>
    <row r="498" customHeight="1" spans="1:31">
      <c r="A498" s="257" t="s">
        <v>256</v>
      </c>
      <c r="B498" s="50" t="s">
        <v>123</v>
      </c>
      <c r="C498" s="309"/>
      <c r="D498" s="116"/>
      <c r="E498" s="116"/>
      <c r="F498" s="116"/>
      <c r="G498" s="116"/>
      <c r="H498" s="125"/>
      <c r="I498" s="142"/>
      <c r="J498" s="142"/>
      <c r="K498" s="142"/>
      <c r="L498" s="142"/>
      <c r="M498" s="142"/>
      <c r="N498" s="116"/>
      <c r="O498" s="310">
        <f ca="1">SUM(OFFSET($C498,0,0,1,mth))</f>
        <v>0</v>
      </c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</row>
    <row r="499" customHeight="1" spans="1:31">
      <c r="A499" s="257" t="s">
        <v>257</v>
      </c>
      <c r="B499" s="50" t="s">
        <v>123</v>
      </c>
      <c r="C499" s="309"/>
      <c r="D499" s="116"/>
      <c r="E499" s="116"/>
      <c r="F499" s="116"/>
      <c r="G499" s="116"/>
      <c r="H499" s="125"/>
      <c r="I499" s="142"/>
      <c r="J499" s="142"/>
      <c r="K499" s="142"/>
      <c r="L499" s="142"/>
      <c r="M499" s="142"/>
      <c r="N499" s="116"/>
      <c r="O499" s="310">
        <f ca="1">SUM(OFFSET($C499,0,0,1,mth))</f>
        <v>0</v>
      </c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</row>
    <row r="500" customHeight="1" spans="1:31">
      <c r="A500" s="257" t="s">
        <v>308</v>
      </c>
      <c r="B500" s="50" t="s">
        <v>123</v>
      </c>
      <c r="C500" s="309"/>
      <c r="D500" s="116"/>
      <c r="E500" s="116"/>
      <c r="F500" s="116"/>
      <c r="G500" s="116"/>
      <c r="H500" s="142"/>
      <c r="I500" s="142"/>
      <c r="J500" s="142"/>
      <c r="K500" s="142"/>
      <c r="L500" s="142"/>
      <c r="M500" s="142"/>
      <c r="N500" s="116"/>
      <c r="O500" s="310">
        <f ca="1">SUM(OFFSET($C500,0,0,1,mth))</f>
        <v>0</v>
      </c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</row>
    <row r="501" customHeight="1" spans="1:31">
      <c r="A501" s="324" t="s">
        <v>232</v>
      </c>
      <c r="B501" s="50"/>
      <c r="C501" s="52">
        <f t="shared" ref="C501:H501" si="404">SUM(C494:C500)</f>
        <v>0</v>
      </c>
      <c r="D501" s="52">
        <f t="shared" si="404"/>
        <v>0</v>
      </c>
      <c r="E501" s="52">
        <f t="shared" si="404"/>
        <v>0</v>
      </c>
      <c r="F501" s="52">
        <f t="shared" si="404"/>
        <v>0</v>
      </c>
      <c r="G501" s="52">
        <f t="shared" si="404"/>
        <v>0</v>
      </c>
      <c r="H501" s="52">
        <f t="shared" si="404"/>
        <v>0</v>
      </c>
      <c r="I501" s="52">
        <f t="shared" ref="I501:O501" si="405">SUM(I494:I500)</f>
        <v>0</v>
      </c>
      <c r="J501" s="52">
        <f t="shared" si="405"/>
        <v>0</v>
      </c>
      <c r="K501" s="52">
        <f t="shared" si="405"/>
        <v>0</v>
      </c>
      <c r="L501" s="52">
        <f t="shared" si="405"/>
        <v>0</v>
      </c>
      <c r="M501" s="52">
        <f t="shared" si="405"/>
        <v>0</v>
      </c>
      <c r="N501" s="52">
        <f t="shared" si="405"/>
        <v>0</v>
      </c>
      <c r="O501" s="131">
        <f ca="1" t="shared" si="405"/>
        <v>0</v>
      </c>
    </row>
    <row r="502" customHeight="1" spans="1:31">
      <c r="C502" s="64"/>
      <c r="D502" s="64"/>
      <c r="E502" s="64"/>
      <c r="F502" s="64"/>
      <c r="G502" s="64"/>
      <c r="H502" s="64"/>
      <c r="J502" s="64"/>
      <c r="K502" s="64"/>
      <c r="O502" s="174"/>
      <c r="P502" s="71"/>
    </row>
    <row r="503" customHeight="1" spans="1:31">
      <c r="A503" s="325" t="s">
        <v>553</v>
      </c>
      <c r="B503" s="95" t="s">
        <v>554</v>
      </c>
      <c r="C503" s="64"/>
      <c r="D503" s="64"/>
      <c r="E503" s="64"/>
      <c r="F503" s="64"/>
      <c r="G503" s="64"/>
      <c r="H503" s="64"/>
      <c r="I503" s="64"/>
      <c r="J503" s="64"/>
      <c r="L503" s="71"/>
      <c r="M503" s="71"/>
      <c r="O503" s="174"/>
      <c r="P503" s="71"/>
    </row>
    <row r="504" customHeight="1" spans="1:31">
      <c r="B504" s="95" t="s">
        <v>555</v>
      </c>
      <c r="C504" s="64"/>
      <c r="D504" s="64"/>
      <c r="E504" s="64"/>
      <c r="F504" s="64"/>
      <c r="G504" s="64"/>
      <c r="H504" s="64"/>
      <c r="K504" s="64"/>
      <c r="O504" s="174"/>
      <c r="P504" s="71"/>
    </row>
    <row r="505" customHeight="1" spans="1:31">
      <c r="A505" s="325" t="s">
        <v>556</v>
      </c>
      <c r="B505" s="95" t="s">
        <v>554</v>
      </c>
      <c r="C505" s="64"/>
      <c r="D505" s="64"/>
      <c r="E505" s="64"/>
      <c r="F505" s="64"/>
      <c r="G505" s="64"/>
      <c r="H505" s="64"/>
      <c r="I505" s="64"/>
      <c r="J505" s="64"/>
      <c r="O505" s="174"/>
      <c r="P505" s="71"/>
    </row>
    <row r="506" customHeight="1" spans="1:31">
      <c r="B506" s="95" t="s">
        <v>555</v>
      </c>
      <c r="C506" s="64"/>
      <c r="D506" s="64"/>
      <c r="E506" s="64"/>
      <c r="F506" s="64"/>
      <c r="G506" s="64"/>
      <c r="H506" s="64"/>
      <c r="I506" s="326"/>
      <c r="O506" s="174"/>
      <c r="P506" s="71"/>
    </row>
    <row r="507" customHeight="1" spans="1:31">
      <c r="A507" s="313" t="s">
        <v>557</v>
      </c>
      <c r="C507" s="71"/>
      <c r="D507" s="71"/>
      <c r="E507" s="71"/>
      <c r="F507" s="71"/>
      <c r="G507" s="71"/>
      <c r="H507" s="71"/>
      <c r="I507" s="71"/>
      <c r="K507" s="71"/>
      <c r="P507" s="71"/>
    </row>
    <row r="508" customHeight="1" spans="1:31">
      <c r="A508" s="327" t="s">
        <v>558</v>
      </c>
      <c r="B508" s="328">
        <v>1</v>
      </c>
      <c r="C508" s="329">
        <f>C513+C514+C515</f>
        <v>12983.9648611111</v>
      </c>
      <c r="D508" s="329">
        <f>D513+D514+D515</f>
        <v>15933.0967083333</v>
      </c>
      <c r="E508" s="329">
        <f>E513+E514+E515</f>
        <v>17451.5214583333</v>
      </c>
      <c r="F508" s="329">
        <f t="shared" ref="D508:N508" si="406">F513+F514+F515</f>
        <v>16103.3737222222</v>
      </c>
      <c r="G508" s="329">
        <f t="shared" si="406"/>
        <v>18662.7126805556</v>
      </c>
      <c r="H508" s="329">
        <f t="shared" si="406"/>
        <v>18399.8644027778</v>
      </c>
      <c r="I508" s="329">
        <f t="shared" si="406"/>
        <v>0</v>
      </c>
      <c r="J508" s="329">
        <f t="shared" si="406"/>
        <v>0</v>
      </c>
      <c r="K508" s="329">
        <f t="shared" si="406"/>
        <v>0</v>
      </c>
      <c r="L508" s="329">
        <f t="shared" si="406"/>
        <v>0</v>
      </c>
      <c r="M508" s="329">
        <f t="shared" si="406"/>
        <v>0</v>
      </c>
      <c r="N508" s="329">
        <f t="shared" si="406"/>
        <v>0</v>
      </c>
      <c r="O508" s="310">
        <f ca="1">SUM(OFFSET($C508,0,0,1,mth))</f>
        <v>99534.5338333333</v>
      </c>
    </row>
    <row r="509" customHeight="1" spans="1:31">
      <c r="A509" s="104" t="s">
        <v>559</v>
      </c>
      <c r="B509" s="330"/>
      <c r="C509" s="331">
        <f>C535</f>
        <v>6179.42</v>
      </c>
      <c r="D509" s="331">
        <f>D535</f>
        <v>8013.403</v>
      </c>
      <c r="E509" s="331">
        <f>E535</f>
        <v>7354.048</v>
      </c>
      <c r="F509" s="331">
        <v>8385.763</v>
      </c>
      <c r="G509" s="331">
        <f t="shared" ref="G509:M509" si="407">G535</f>
        <v>10828.506</v>
      </c>
      <c r="H509" s="331">
        <f t="shared" si="407"/>
        <v>9678.917</v>
      </c>
      <c r="I509" s="331">
        <f t="shared" si="407"/>
        <v>0</v>
      </c>
      <c r="J509" s="332">
        <f t="shared" si="407"/>
        <v>0</v>
      </c>
      <c r="K509" s="331">
        <f t="shared" si="407"/>
        <v>0</v>
      </c>
      <c r="L509" s="331">
        <f t="shared" si="407"/>
        <v>0</v>
      </c>
      <c r="M509" s="331">
        <f t="shared" si="407"/>
        <v>0</v>
      </c>
      <c r="N509" s="331">
        <f t="shared" ref="N509" si="408">N535</f>
        <v>0</v>
      </c>
      <c r="O509" s="310">
        <f ca="1">SUM(OFFSET($C509,0,0,1,mth))</f>
        <v>50440.057</v>
      </c>
      <c r="P509" s="38" t="s">
        <v>17</v>
      </c>
    </row>
    <row r="510" customHeight="1" spans="1:31">
      <c r="A510" s="104" t="s">
        <v>560</v>
      </c>
      <c r="B510" s="330"/>
      <c r="C510" s="331">
        <f t="shared" ref="C510:J510" si="409">C536</f>
        <v>1113.177</v>
      </c>
      <c r="D510" s="331">
        <f t="shared" si="409"/>
        <v>829.187</v>
      </c>
      <c r="E510" s="331">
        <f t="shared" si="409"/>
        <v>1195.403</v>
      </c>
      <c r="F510" s="331">
        <v>1082.506</v>
      </c>
      <c r="G510" s="331">
        <f t="shared" si="409"/>
        <v>1201.531</v>
      </c>
      <c r="H510" s="331">
        <f t="shared" si="409"/>
        <v>1423.239</v>
      </c>
      <c r="I510" s="331">
        <f t="shared" si="409"/>
        <v>0</v>
      </c>
      <c r="J510" s="331">
        <f t="shared" si="409"/>
        <v>0</v>
      </c>
      <c r="K510" s="331">
        <f t="shared" ref="K510:M510" si="410">K536</f>
        <v>0</v>
      </c>
      <c r="L510" s="331">
        <f t="shared" si="410"/>
        <v>0</v>
      </c>
      <c r="M510" s="331">
        <f t="shared" si="410"/>
        <v>0</v>
      </c>
      <c r="N510" s="331">
        <f t="shared" ref="N510" si="411">N536</f>
        <v>0</v>
      </c>
      <c r="O510" s="310">
        <f ca="1">SUM(OFFSET($C510,0,0,1,mth))</f>
        <v>6845.043</v>
      </c>
    </row>
    <row r="511" customHeight="1" spans="1:31">
      <c r="A511" s="104" t="s">
        <v>561</v>
      </c>
      <c r="B511" s="330"/>
      <c r="C511" s="331">
        <f t="shared" ref="C511:C512" si="412">C537</f>
        <v>0</v>
      </c>
      <c r="D511" s="331">
        <f t="shared" ref="D511:F511" si="413">D537</f>
        <v>396.533</v>
      </c>
      <c r="E511" s="331">
        <f t="shared" si="413"/>
        <v>537.74</v>
      </c>
      <c r="F511" s="331">
        <v>553.675</v>
      </c>
      <c r="G511" s="331">
        <f t="shared" ref="G511:M511" si="414">G537</f>
        <v>0</v>
      </c>
      <c r="H511" s="331">
        <f t="shared" si="414"/>
        <v>435.727</v>
      </c>
      <c r="I511" s="331">
        <f t="shared" ref="I511:J511" si="415">I537</f>
        <v>0</v>
      </c>
      <c r="J511" s="331">
        <f t="shared" si="415"/>
        <v>0</v>
      </c>
      <c r="K511" s="331">
        <f t="shared" si="414"/>
        <v>0</v>
      </c>
      <c r="L511" s="331">
        <f t="shared" si="414"/>
        <v>0</v>
      </c>
      <c r="M511" s="331">
        <f t="shared" si="414"/>
        <v>0</v>
      </c>
      <c r="N511" s="331">
        <f t="shared" ref="N511:N512" si="416">N537</f>
        <v>0</v>
      </c>
      <c r="O511" s="310">
        <f ca="1">SUM(OFFSET($C511,0,0,1,mth))</f>
        <v>1923.675</v>
      </c>
    </row>
    <row r="512" customHeight="1" spans="1:31">
      <c r="A512" s="104" t="s">
        <v>562</v>
      </c>
      <c r="B512" s="330"/>
      <c r="C512" s="331">
        <f t="shared" si="412"/>
        <v>0</v>
      </c>
      <c r="D512" s="331">
        <f t="shared" ref="D512:M512" si="417">D538</f>
        <v>36.72</v>
      </c>
      <c r="E512" s="331">
        <f t="shared" si="417"/>
        <v>0</v>
      </c>
      <c r="F512" s="331">
        <f t="shared" si="417"/>
        <v>0</v>
      </c>
      <c r="G512" s="331">
        <f t="shared" si="417"/>
        <v>0</v>
      </c>
      <c r="H512" s="331">
        <f t="shared" si="417"/>
        <v>0</v>
      </c>
      <c r="I512" s="331">
        <f t="shared" si="417"/>
        <v>0</v>
      </c>
      <c r="J512" s="331">
        <f t="shared" si="417"/>
        <v>0</v>
      </c>
      <c r="K512" s="331">
        <f t="shared" si="417"/>
        <v>0</v>
      </c>
      <c r="L512" s="331">
        <f t="shared" si="417"/>
        <v>0</v>
      </c>
      <c r="M512" s="331">
        <f t="shared" si="417"/>
        <v>0</v>
      </c>
      <c r="N512" s="331">
        <f t="shared" si="416"/>
        <v>0</v>
      </c>
      <c r="O512" s="310">
        <f ca="1">SUM(OFFSET($C512,0,0,1,mth))</f>
        <v>36.72</v>
      </c>
    </row>
    <row r="513" customHeight="1" spans="1:15">
      <c r="A513" s="333" t="s">
        <v>563</v>
      </c>
      <c r="B513" s="334"/>
      <c r="C513" s="335">
        <f>SUM(C509:C512)</f>
        <v>7292.597</v>
      </c>
      <c r="D513" s="335">
        <f t="shared" ref="D513:N513" si="418">SUM(D509:D512)</f>
        <v>9275.843</v>
      </c>
      <c r="E513" s="335">
        <f t="shared" si="418"/>
        <v>9087.191</v>
      </c>
      <c r="F513" s="335">
        <f t="shared" si="418"/>
        <v>10021.944</v>
      </c>
      <c r="G513" s="335">
        <f t="shared" si="418"/>
        <v>12030.037</v>
      </c>
      <c r="H513" s="335">
        <f t="shared" si="418"/>
        <v>11537.883</v>
      </c>
      <c r="I513" s="335">
        <f t="shared" si="418"/>
        <v>0</v>
      </c>
      <c r="J513" s="335">
        <f t="shared" si="418"/>
        <v>0</v>
      </c>
      <c r="K513" s="335">
        <f t="shared" si="418"/>
        <v>0</v>
      </c>
      <c r="L513" s="335">
        <f t="shared" si="418"/>
        <v>0</v>
      </c>
      <c r="M513" s="335">
        <f t="shared" si="418"/>
        <v>0</v>
      </c>
      <c r="N513" s="335">
        <f t="shared" si="418"/>
        <v>0</v>
      </c>
      <c r="O513" s="310">
        <f ca="1">SUM(OFFSET($C513,0,0,1,mth))</f>
        <v>59245.495</v>
      </c>
    </row>
    <row r="514" customHeight="1" spans="1:15">
      <c r="A514" s="38" t="s">
        <v>564</v>
      </c>
      <c r="B514" s="330"/>
      <c r="C514" s="96">
        <v>5593.986</v>
      </c>
      <c r="D514" s="96">
        <v>6536.055</v>
      </c>
      <c r="E514" s="96">
        <v>8257.677</v>
      </c>
      <c r="F514" s="96">
        <v>5805.937</v>
      </c>
      <c r="G514" s="96">
        <v>6295.736</v>
      </c>
      <c r="H514" s="96">
        <v>6610.04</v>
      </c>
      <c r="I514" s="96"/>
      <c r="J514" s="332"/>
      <c r="K514" s="332"/>
      <c r="L514" s="64"/>
      <c r="M514" s="64"/>
      <c r="N514" s="64"/>
      <c r="O514" s="310">
        <f ca="1">SUM(OFFSET($C514,0,0,1,mth))</f>
        <v>39099.431</v>
      </c>
    </row>
    <row r="515" customHeight="1" spans="1:15">
      <c r="A515" s="38" t="s">
        <v>565</v>
      </c>
      <c r="B515" s="330"/>
      <c r="C515" s="336">
        <v>97.3818611111111</v>
      </c>
      <c r="D515" s="336">
        <v>121.198708333333</v>
      </c>
      <c r="E515" s="336">
        <v>106.653458333333</v>
      </c>
      <c r="F515" s="336">
        <v>275.492722222222</v>
      </c>
      <c r="G515" s="336">
        <v>336.939680555556</v>
      </c>
      <c r="H515" s="336">
        <v>251.941402777778</v>
      </c>
      <c r="I515" s="336"/>
      <c r="J515" s="332"/>
      <c r="K515" s="332"/>
      <c r="L515" s="64"/>
      <c r="M515" s="64"/>
      <c r="N515" s="64"/>
      <c r="O515" s="310">
        <f ca="1">SUM(OFFSET($C515,0,0,1,mth))</f>
        <v>1189.60783333333</v>
      </c>
    </row>
    <row r="516" customHeight="1" spans="1:15">
      <c r="A516" s="38" t="s">
        <v>308</v>
      </c>
      <c r="B516" s="330"/>
      <c r="C516" s="336">
        <v>45.0639027777778</v>
      </c>
      <c r="D516" s="336">
        <v>17.2945</v>
      </c>
      <c r="E516" s="336">
        <v>73.8137222222222</v>
      </c>
      <c r="F516" s="336">
        <v>133.420444444444</v>
      </c>
      <c r="G516" s="336">
        <v>97.743125</v>
      </c>
      <c r="H516" s="336">
        <v>48.5610833333333</v>
      </c>
      <c r="I516" s="336"/>
      <c r="J516" s="332"/>
      <c r="K516" s="332"/>
      <c r="L516" s="64"/>
      <c r="M516" s="64"/>
      <c r="N516" s="64"/>
      <c r="O516" s="310">
        <f ca="1">SUM(OFFSET($C516,0,0,1,mth))</f>
        <v>415.896777777777</v>
      </c>
    </row>
    <row r="517" customHeight="1" spans="1:15">
      <c r="A517" s="38" t="s">
        <v>359</v>
      </c>
      <c r="B517" s="330"/>
      <c r="C517" s="336">
        <v>52.3179583333333</v>
      </c>
      <c r="D517" s="336">
        <v>103.904208333333</v>
      </c>
      <c r="E517" s="336">
        <v>32.8397361111111</v>
      </c>
      <c r="F517" s="336">
        <v>142.072277777778</v>
      </c>
      <c r="G517" s="336">
        <v>239.196555555556</v>
      </c>
      <c r="H517" s="336">
        <v>203.380319444444</v>
      </c>
      <c r="I517" s="336"/>
      <c r="J517" s="332"/>
      <c r="K517" s="332"/>
      <c r="L517" s="64"/>
      <c r="M517" s="64"/>
      <c r="N517" s="64"/>
      <c r="O517" s="310">
        <f ca="1">SUM(OFFSET($C517,0,0,1,mth))</f>
        <v>773.711055555555</v>
      </c>
    </row>
    <row r="518" customHeight="1" spans="1:15">
      <c r="A518" s="327" t="s">
        <v>566</v>
      </c>
      <c r="B518" s="328">
        <v>2</v>
      </c>
      <c r="C518" s="329">
        <f>C519+C520</f>
        <v>1259.881</v>
      </c>
      <c r="D518" s="329">
        <f>D519+D520</f>
        <v>1435.315</v>
      </c>
      <c r="E518" s="329">
        <f t="shared" ref="E518:N518" si="419">E519+E520</f>
        <v>1340.39</v>
      </c>
      <c r="F518" s="329">
        <f t="shared" si="419"/>
        <v>1503.023</v>
      </c>
      <c r="G518" s="329">
        <f t="shared" si="419"/>
        <v>1542.972</v>
      </c>
      <c r="H518" s="329">
        <f t="shared" si="419"/>
        <v>1735.181</v>
      </c>
      <c r="I518" s="329">
        <f t="shared" si="419"/>
        <v>1550.085</v>
      </c>
      <c r="J518" s="329">
        <f t="shared" si="419"/>
        <v>0</v>
      </c>
      <c r="K518" s="329">
        <f t="shared" si="419"/>
        <v>0</v>
      </c>
      <c r="L518" s="329">
        <f t="shared" si="419"/>
        <v>0</v>
      </c>
      <c r="M518" s="329">
        <f t="shared" si="419"/>
        <v>0</v>
      </c>
      <c r="N518" s="329">
        <f t="shared" si="419"/>
        <v>0</v>
      </c>
      <c r="O518" s="337"/>
    </row>
    <row r="519" customHeight="1" spans="1:15">
      <c r="A519" s="38" t="s">
        <v>567</v>
      </c>
      <c r="B519" s="330"/>
      <c r="C519" s="331">
        <f>C545</f>
        <v>1159.881</v>
      </c>
      <c r="D519" s="331">
        <f t="shared" ref="D519:I520" si="420">C522</f>
        <v>1345.315</v>
      </c>
      <c r="E519" s="331">
        <f t="shared" si="420"/>
        <v>1280.39</v>
      </c>
      <c r="F519" s="331">
        <f t="shared" si="420"/>
        <v>1353.023</v>
      </c>
      <c r="G519" s="331">
        <f t="shared" si="420"/>
        <v>1492.972</v>
      </c>
      <c r="H519" s="331">
        <f t="shared" si="420"/>
        <v>1585.181</v>
      </c>
      <c r="I519" s="331">
        <f t="shared" si="420"/>
        <v>1385.085</v>
      </c>
      <c r="J519" s="331">
        <f t="shared" ref="J519:J520" si="421">I522</f>
        <v>0</v>
      </c>
      <c r="K519" s="331">
        <f t="shared" ref="K519:K520" si="422">J522</f>
        <v>0</v>
      </c>
      <c r="L519" s="331">
        <f t="shared" ref="L519:L520" si="423">K522</f>
        <v>0</v>
      </c>
      <c r="M519" s="331">
        <f t="shared" ref="M519:M520" si="424">L522</f>
        <v>0</v>
      </c>
      <c r="N519" s="331">
        <f t="shared" ref="N519:N520" si="425">M522</f>
        <v>0</v>
      </c>
      <c r="O519" s="174"/>
    </row>
    <row r="520" customHeight="1" spans="1:15">
      <c r="A520" s="38" t="s">
        <v>564</v>
      </c>
      <c r="B520" s="330"/>
      <c r="C520" s="331">
        <f>C546</f>
        <v>100</v>
      </c>
      <c r="D520" s="331">
        <f>C523</f>
        <v>90</v>
      </c>
      <c r="E520" s="331">
        <f t="shared" si="420"/>
        <v>60</v>
      </c>
      <c r="F520" s="331">
        <f t="shared" si="420"/>
        <v>150</v>
      </c>
      <c r="G520" s="331">
        <f t="shared" si="420"/>
        <v>50</v>
      </c>
      <c r="H520" s="331">
        <f t="shared" si="420"/>
        <v>150</v>
      </c>
      <c r="I520" s="331">
        <f t="shared" si="420"/>
        <v>165</v>
      </c>
      <c r="J520" s="331">
        <f t="shared" si="421"/>
        <v>0</v>
      </c>
      <c r="K520" s="331">
        <f t="shared" si="422"/>
        <v>0</v>
      </c>
      <c r="L520" s="331">
        <f t="shared" si="423"/>
        <v>0</v>
      </c>
      <c r="M520" s="331">
        <f t="shared" si="424"/>
        <v>0</v>
      </c>
      <c r="N520" s="331">
        <f t="shared" si="425"/>
        <v>0</v>
      </c>
      <c r="O520" s="174"/>
    </row>
    <row r="521" customHeight="1" spans="1:15">
      <c r="A521" s="327" t="s">
        <v>568</v>
      </c>
      <c r="B521" s="328">
        <v>3</v>
      </c>
      <c r="C521" s="329">
        <f t="shared" ref="C521:N521" si="426">C522+C523</f>
        <v>1435.315</v>
      </c>
      <c r="D521" s="329">
        <f t="shared" si="426"/>
        <v>1340.39</v>
      </c>
      <c r="E521" s="329">
        <f t="shared" si="426"/>
        <v>1503.023</v>
      </c>
      <c r="F521" s="329">
        <f t="shared" si="426"/>
        <v>1542.972</v>
      </c>
      <c r="G521" s="329">
        <f t="shared" si="426"/>
        <v>1735.181</v>
      </c>
      <c r="H521" s="329">
        <f t="shared" si="426"/>
        <v>1550.085</v>
      </c>
      <c r="I521" s="329">
        <f t="shared" si="426"/>
        <v>0</v>
      </c>
      <c r="J521" s="329">
        <f t="shared" si="426"/>
        <v>0</v>
      </c>
      <c r="K521" s="329">
        <f t="shared" si="426"/>
        <v>0</v>
      </c>
      <c r="L521" s="329">
        <f t="shared" si="426"/>
        <v>0</v>
      </c>
      <c r="M521" s="329">
        <f t="shared" si="426"/>
        <v>0</v>
      </c>
      <c r="N521" s="329">
        <f t="shared" si="426"/>
        <v>0</v>
      </c>
      <c r="O521" s="337"/>
    </row>
    <row r="522" customHeight="1" spans="1:15">
      <c r="A522" s="38" t="s">
        <v>567</v>
      </c>
      <c r="B522" s="330"/>
      <c r="C522" s="64">
        <f>C548</f>
        <v>1345.315</v>
      </c>
      <c r="D522" s="64">
        <f t="shared" ref="C522:D522" si="427">D548</f>
        <v>1280.39</v>
      </c>
      <c r="E522" s="64">
        <f t="shared" ref="E522:F522" si="428">E548</f>
        <v>1353.023</v>
      </c>
      <c r="F522" s="64">
        <f t="shared" si="428"/>
        <v>1492.972</v>
      </c>
      <c r="G522" s="64">
        <f t="shared" ref="G522:H522" si="429">G548</f>
        <v>1585.181</v>
      </c>
      <c r="H522" s="64">
        <f t="shared" si="429"/>
        <v>1385.085</v>
      </c>
      <c r="I522" s="64">
        <f t="shared" ref="I522:N522" si="430">I548</f>
        <v>0</v>
      </c>
      <c r="J522" s="64">
        <f t="shared" si="430"/>
        <v>0</v>
      </c>
      <c r="K522" s="64">
        <f t="shared" si="430"/>
        <v>0</v>
      </c>
      <c r="L522" s="64">
        <f t="shared" si="430"/>
        <v>0</v>
      </c>
      <c r="M522" s="64">
        <f t="shared" si="430"/>
        <v>0</v>
      </c>
      <c r="N522" s="64">
        <f t="shared" si="430"/>
        <v>0</v>
      </c>
      <c r="O522" s="174"/>
    </row>
    <row r="523" customHeight="1" spans="1:15">
      <c r="A523" s="38" t="s">
        <v>564</v>
      </c>
      <c r="B523" s="330"/>
      <c r="C523" s="64">
        <f t="shared" ref="C523:D523" si="431">C549</f>
        <v>90</v>
      </c>
      <c r="D523" s="64">
        <f t="shared" si="431"/>
        <v>60</v>
      </c>
      <c r="E523" s="64">
        <f t="shared" ref="E523:F523" si="432">E549</f>
        <v>150</v>
      </c>
      <c r="F523" s="64">
        <f t="shared" si="432"/>
        <v>50</v>
      </c>
      <c r="G523" s="64">
        <f t="shared" ref="G523:H523" si="433">G549</f>
        <v>150</v>
      </c>
      <c r="H523" s="64">
        <f t="shared" si="433"/>
        <v>165</v>
      </c>
      <c r="I523" s="64">
        <f t="shared" ref="I523:N523" si="434">I549</f>
        <v>0</v>
      </c>
      <c r="J523" s="64">
        <f t="shared" si="434"/>
        <v>0</v>
      </c>
      <c r="K523" s="64">
        <f t="shared" si="434"/>
        <v>0</v>
      </c>
      <c r="L523" s="64">
        <f t="shared" si="434"/>
        <v>0</v>
      </c>
      <c r="M523" s="64">
        <f t="shared" si="434"/>
        <v>0</v>
      </c>
      <c r="N523" s="64">
        <f t="shared" si="434"/>
        <v>0</v>
      </c>
      <c r="O523" s="174"/>
    </row>
    <row r="524" customHeight="1" spans="1:15">
      <c r="A524" s="327" t="s">
        <v>569</v>
      </c>
      <c r="B524" s="328" t="s">
        <v>570</v>
      </c>
      <c r="C524" s="329">
        <f>C508+C518-C521</f>
        <v>12808.5308611111</v>
      </c>
      <c r="D524" s="329">
        <f>D508+D518-D521</f>
        <v>16028.0217083333</v>
      </c>
      <c r="E524" s="329">
        <f>E508-E521</f>
        <v>15948.4984583333</v>
      </c>
      <c r="F524" s="329">
        <f t="shared" ref="F524:G524" si="435">F508-F521</f>
        <v>14560.4017222222</v>
      </c>
      <c r="G524" s="329">
        <f t="shared" si="435"/>
        <v>16927.5316805556</v>
      </c>
      <c r="H524" s="329">
        <f t="shared" ref="H524:O524" si="436">H508-H521</f>
        <v>16849.7794027778</v>
      </c>
      <c r="I524" s="329">
        <f t="shared" si="436"/>
        <v>0</v>
      </c>
      <c r="J524" s="329">
        <f t="shared" si="436"/>
        <v>0</v>
      </c>
      <c r="K524" s="329">
        <f t="shared" si="436"/>
        <v>0</v>
      </c>
      <c r="L524" s="329">
        <f t="shared" si="436"/>
        <v>0</v>
      </c>
      <c r="M524" s="329">
        <f t="shared" si="436"/>
        <v>0</v>
      </c>
      <c r="N524" s="329">
        <f t="shared" si="436"/>
        <v>0</v>
      </c>
      <c r="O524" s="337">
        <f ca="1" t="shared" si="436"/>
        <v>99534.5338333333</v>
      </c>
    </row>
    <row r="525" customHeight="1" spans="1:15">
      <c r="A525" s="104" t="s">
        <v>559</v>
      </c>
      <c r="C525" s="64">
        <f>C509-C522+C519</f>
        <v>5993.986</v>
      </c>
      <c r="D525" s="64">
        <f>D509-D522+D519</f>
        <v>8078.328</v>
      </c>
      <c r="E525" s="64">
        <f>E509-E522</f>
        <v>6001.025</v>
      </c>
      <c r="F525" s="64">
        <f>F509-F522</f>
        <v>6892.791</v>
      </c>
      <c r="G525" s="64">
        <f>G509-G522</f>
        <v>9243.325</v>
      </c>
      <c r="H525" s="64">
        <f>H509-H522</f>
        <v>8293.832</v>
      </c>
      <c r="I525" s="64">
        <f t="shared" ref="I525:N525" si="437">I509-I522</f>
        <v>0</v>
      </c>
      <c r="J525" s="64">
        <f t="shared" si="437"/>
        <v>0</v>
      </c>
      <c r="K525" s="64">
        <f t="shared" si="437"/>
        <v>0</v>
      </c>
      <c r="L525" s="64">
        <f t="shared" si="437"/>
        <v>0</v>
      </c>
      <c r="M525" s="64">
        <f t="shared" si="437"/>
        <v>0</v>
      </c>
      <c r="N525" s="64">
        <f t="shared" si="437"/>
        <v>0</v>
      </c>
      <c r="O525" s="310">
        <f ca="1">SUM(OFFSET($C525,0,0,1,mth))</f>
        <v>44503.287</v>
      </c>
    </row>
    <row r="526" customHeight="1" spans="1:15">
      <c r="A526" s="104" t="s">
        <v>560</v>
      </c>
      <c r="C526" s="64">
        <f t="shared" ref="C526:F527" si="438">C510</f>
        <v>1113.177</v>
      </c>
      <c r="D526" s="64">
        <f t="shared" si="438"/>
        <v>829.187</v>
      </c>
      <c r="E526" s="64">
        <f t="shared" si="438"/>
        <v>1195.403</v>
      </c>
      <c r="F526" s="64">
        <f t="shared" si="438"/>
        <v>1082.506</v>
      </c>
      <c r="G526" s="64">
        <f t="shared" ref="G526:H526" si="439">G510</f>
        <v>1201.531</v>
      </c>
      <c r="H526" s="64">
        <f t="shared" si="439"/>
        <v>1423.239</v>
      </c>
      <c r="I526" s="64">
        <f t="shared" ref="I526:N527" si="440">I510</f>
        <v>0</v>
      </c>
      <c r="J526" s="64">
        <f t="shared" si="440"/>
        <v>0</v>
      </c>
      <c r="K526" s="64">
        <f t="shared" si="440"/>
        <v>0</v>
      </c>
      <c r="L526" s="64">
        <f t="shared" si="440"/>
        <v>0</v>
      </c>
      <c r="M526" s="64">
        <f t="shared" si="440"/>
        <v>0</v>
      </c>
      <c r="N526" s="64">
        <f t="shared" si="440"/>
        <v>0</v>
      </c>
      <c r="O526" s="310">
        <f ca="1">SUM(OFFSET($C526,0,0,1,mth))</f>
        <v>6845.043</v>
      </c>
    </row>
    <row r="527" customHeight="1" spans="1:15">
      <c r="A527" s="104" t="s">
        <v>561</v>
      </c>
      <c r="C527" s="64">
        <f t="shared" si="438"/>
        <v>0</v>
      </c>
      <c r="D527" s="64">
        <f t="shared" si="438"/>
        <v>396.533</v>
      </c>
      <c r="E527" s="64">
        <f t="shared" si="438"/>
        <v>537.74</v>
      </c>
      <c r="F527" s="64">
        <f>F511</f>
        <v>553.675</v>
      </c>
      <c r="G527" s="64">
        <f t="shared" ref="G527:H527" si="441">G511</f>
        <v>0</v>
      </c>
      <c r="H527" s="64">
        <f t="shared" si="441"/>
        <v>435.727</v>
      </c>
      <c r="I527" s="64">
        <f t="shared" si="440"/>
        <v>0</v>
      </c>
      <c r="J527" s="64">
        <f t="shared" si="440"/>
        <v>0</v>
      </c>
      <c r="K527" s="64">
        <f t="shared" si="440"/>
        <v>0</v>
      </c>
      <c r="L527" s="64">
        <f t="shared" si="440"/>
        <v>0</v>
      </c>
      <c r="M527" s="64">
        <f t="shared" si="440"/>
        <v>0</v>
      </c>
      <c r="N527" s="64">
        <f t="shared" si="440"/>
        <v>0</v>
      </c>
      <c r="O527" s="310">
        <f ca="1">SUM(OFFSET($C527,0,0,1,mth))</f>
        <v>1923.675</v>
      </c>
    </row>
    <row r="528" customHeight="1" spans="1:15">
      <c r="A528" s="104" t="s">
        <v>562</v>
      </c>
      <c r="C528" s="64">
        <f t="shared" ref="C528:N528" si="442">C512</f>
        <v>0</v>
      </c>
      <c r="D528" s="64">
        <f t="shared" si="442"/>
        <v>36.72</v>
      </c>
      <c r="E528" s="64">
        <f t="shared" si="442"/>
        <v>0</v>
      </c>
      <c r="F528" s="64">
        <f t="shared" si="442"/>
        <v>0</v>
      </c>
      <c r="G528" s="64">
        <f t="shared" si="442"/>
        <v>0</v>
      </c>
      <c r="H528" s="64">
        <f t="shared" si="442"/>
        <v>0</v>
      </c>
      <c r="I528" s="64">
        <f t="shared" si="442"/>
        <v>0</v>
      </c>
      <c r="J528" s="64">
        <f t="shared" si="442"/>
        <v>0</v>
      </c>
      <c r="K528" s="64">
        <f t="shared" si="442"/>
        <v>0</v>
      </c>
      <c r="L528" s="64">
        <f t="shared" si="442"/>
        <v>0</v>
      </c>
      <c r="M528" s="64">
        <f t="shared" si="442"/>
        <v>0</v>
      </c>
      <c r="N528" s="64">
        <f t="shared" si="442"/>
        <v>0</v>
      </c>
      <c r="O528" s="310">
        <f ca="1">SUM(OFFSET($C528,0,0,1,mth))</f>
        <v>36.72</v>
      </c>
    </row>
    <row r="529" customHeight="1" spans="1:25">
      <c r="A529" s="338" t="s">
        <v>563</v>
      </c>
      <c r="C529" s="331">
        <f>SUM(C525:C527)</f>
        <v>7107.163</v>
      </c>
      <c r="D529" s="331">
        <f>SUM(D525:D527)</f>
        <v>9304.048</v>
      </c>
      <c r="E529" s="331">
        <f>SUM(E525:E527)</f>
        <v>7734.168</v>
      </c>
      <c r="F529" s="331">
        <f>SUM(F525:F527)</f>
        <v>8528.972</v>
      </c>
      <c r="G529" s="331">
        <f t="shared" ref="G529:O529" si="443">SUM(G525:G527)</f>
        <v>10444.856</v>
      </c>
      <c r="H529" s="331">
        <f t="shared" si="443"/>
        <v>10152.798</v>
      </c>
      <c r="I529" s="331">
        <f t="shared" si="443"/>
        <v>0</v>
      </c>
      <c r="J529" s="331">
        <f t="shared" si="443"/>
        <v>0</v>
      </c>
      <c r="K529" s="331">
        <f t="shared" si="443"/>
        <v>0</v>
      </c>
      <c r="L529" s="331">
        <f t="shared" si="443"/>
        <v>0</v>
      </c>
      <c r="M529" s="331">
        <f t="shared" si="443"/>
        <v>0</v>
      </c>
      <c r="N529" s="331">
        <f t="shared" si="443"/>
        <v>0</v>
      </c>
      <c r="O529" s="339">
        <f ca="1">SUM(O525:O528)</f>
        <v>53308.725</v>
      </c>
    </row>
    <row r="530" customHeight="1" spans="1:25">
      <c r="A530" s="38" t="s">
        <v>564</v>
      </c>
      <c r="C530" s="64">
        <f>C514-C523+C520</f>
        <v>5603.986</v>
      </c>
      <c r="D530" s="64">
        <f>D514-D523+D520</f>
        <v>6566.055</v>
      </c>
      <c r="E530" s="64">
        <f>E514-E523</f>
        <v>8107.677</v>
      </c>
      <c r="F530" s="64">
        <f t="shared" ref="F530:H530" si="444">F514-F523</f>
        <v>5755.937</v>
      </c>
      <c r="G530" s="64">
        <f t="shared" si="444"/>
        <v>6145.736</v>
      </c>
      <c r="H530" s="64">
        <f t="shared" si="444"/>
        <v>6445.04</v>
      </c>
      <c r="I530" s="64">
        <f t="shared" ref="I530:N530" si="445">I514-I523</f>
        <v>0</v>
      </c>
      <c r="J530" s="64">
        <f t="shared" si="445"/>
        <v>0</v>
      </c>
      <c r="K530" s="64">
        <f t="shared" si="445"/>
        <v>0</v>
      </c>
      <c r="L530" s="64">
        <f t="shared" si="445"/>
        <v>0</v>
      </c>
      <c r="M530" s="64">
        <f t="shared" si="445"/>
        <v>0</v>
      </c>
      <c r="N530" s="64">
        <f t="shared" si="445"/>
        <v>0</v>
      </c>
      <c r="O530" s="174">
        <f>C530+D530+E530+F530+G530+H530+I530+J530+K530+L530+M530+N530</f>
        <v>38624.431</v>
      </c>
    </row>
    <row r="531" customHeight="1" spans="1:25">
      <c r="C531" s="64">
        <f>SUM(C529:C530)-C524</f>
        <v>-97.3818611111092</v>
      </c>
      <c r="D531" s="64">
        <f>SUM(D529:D530)-D524</f>
        <v>-157.918708333333</v>
      </c>
      <c r="E531" s="64">
        <f>SUM(E529:E530)-E524</f>
        <v>-106.653458333334</v>
      </c>
      <c r="F531" s="64">
        <f>SUM(F529:F530)-F524</f>
        <v>-275.492722222221</v>
      </c>
      <c r="G531" s="64">
        <f t="shared" ref="G531:H531" si="446">SUM(G529:G530)-G524</f>
        <v>-336.939680555555</v>
      </c>
      <c r="H531" s="64">
        <f t="shared" si="446"/>
        <v>-251.941402777778</v>
      </c>
      <c r="I531" s="64">
        <f t="shared" ref="I531:N531" si="447">SUM(I529:I530)-I524</f>
        <v>0</v>
      </c>
      <c r="J531" s="64">
        <f t="shared" si="447"/>
        <v>0</v>
      </c>
      <c r="K531" s="64">
        <f t="shared" si="447"/>
        <v>0</v>
      </c>
      <c r="L531" s="64">
        <f t="shared" si="447"/>
        <v>0</v>
      </c>
      <c r="M531" s="64">
        <f t="shared" si="447"/>
        <v>0</v>
      </c>
      <c r="N531" s="64">
        <f t="shared" si="447"/>
        <v>0</v>
      </c>
      <c r="O531" s="174"/>
    </row>
    <row r="532" customHeight="1" spans="1:25"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174"/>
    </row>
    <row r="533" customHeight="1" spans="1:25">
      <c r="A533" s="313" t="s">
        <v>571</v>
      </c>
      <c r="C533" s="64"/>
      <c r="D533" s="64"/>
      <c r="E533" s="64"/>
      <c r="F533" s="64"/>
      <c r="G533" s="64"/>
      <c r="H533" s="64"/>
      <c r="I533" s="64"/>
      <c r="J533" s="340" t="s">
        <v>572</v>
      </c>
      <c r="K533" s="301" t="s">
        <v>573</v>
      </c>
      <c r="L533" s="64"/>
      <c r="M533" s="64"/>
      <c r="N533" s="64"/>
      <c r="O533" s="174"/>
    </row>
    <row r="534" customHeight="1" spans="1:25">
      <c r="A534" s="341" t="s">
        <v>574</v>
      </c>
      <c r="B534" s="328">
        <v>1</v>
      </c>
      <c r="C534" s="342">
        <f>C539+C540+C541</f>
        <v>12983.9648611111</v>
      </c>
      <c r="D534" s="342">
        <f>D539+D540+D541</f>
        <v>15933.0967083333</v>
      </c>
      <c r="E534" s="342">
        <f>E539+E540+E541</f>
        <v>17451.5214583333</v>
      </c>
      <c r="F534" s="342">
        <f t="shared" ref="D534:G534" si="448">F539+F540+F541</f>
        <v>16103.3737222222</v>
      </c>
      <c r="G534" s="329">
        <f t="shared" si="448"/>
        <v>18662.7126805556</v>
      </c>
      <c r="H534" s="329">
        <f t="shared" ref="H534:O534" si="449">H539+H540+H541</f>
        <v>18399.8644027778</v>
      </c>
      <c r="I534" s="329">
        <f t="shared" si="449"/>
        <v>0</v>
      </c>
      <c r="J534" s="329">
        <f t="shared" si="449"/>
        <v>0</v>
      </c>
      <c r="K534" s="329">
        <f t="shared" si="449"/>
        <v>0</v>
      </c>
      <c r="L534" s="329">
        <f t="shared" si="449"/>
        <v>0</v>
      </c>
      <c r="M534" s="329">
        <f t="shared" si="449"/>
        <v>0</v>
      </c>
      <c r="N534" s="329">
        <f t="shared" si="449"/>
        <v>0</v>
      </c>
      <c r="O534" s="337">
        <f ca="1" t="shared" si="449"/>
        <v>99534.5338333333</v>
      </c>
    </row>
    <row r="535" customHeight="1" spans="1:25">
      <c r="A535" s="104" t="s">
        <v>559</v>
      </c>
      <c r="B535" s="330"/>
      <c r="C535" s="96">
        <v>6179.42</v>
      </c>
      <c r="D535" s="96">
        <v>8013.403</v>
      </c>
      <c r="E535" s="96">
        <v>7354.048</v>
      </c>
      <c r="F535" s="96">
        <v>8385.763</v>
      </c>
      <c r="G535" s="96">
        <v>10828.506</v>
      </c>
      <c r="H535" s="96">
        <v>9678.917</v>
      </c>
      <c r="I535" s="96"/>
      <c r="J535" s="64"/>
      <c r="K535" s="64"/>
      <c r="L535" s="64"/>
      <c r="M535" s="64"/>
      <c r="N535" s="64"/>
      <c r="O535" s="310">
        <f ca="1">SUM(OFFSET($C535,0,0,1,mth))</f>
        <v>50440.057</v>
      </c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 customHeight="1" spans="1:25">
      <c r="A536" s="104" t="s">
        <v>560</v>
      </c>
      <c r="B536" s="330"/>
      <c r="C536" s="96">
        <v>1113.177</v>
      </c>
      <c r="D536" s="96">
        <v>829.187</v>
      </c>
      <c r="E536" s="96">
        <v>1195.403</v>
      </c>
      <c r="F536" s="96">
        <v>1082.506</v>
      </c>
      <c r="G536" s="96">
        <v>1201.531</v>
      </c>
      <c r="H536" s="96">
        <v>1423.239</v>
      </c>
      <c r="I536" s="96"/>
      <c r="J536" s="64"/>
      <c r="K536" s="64"/>
      <c r="L536" s="64"/>
      <c r="M536" s="64"/>
      <c r="N536" s="64"/>
      <c r="O536" s="310">
        <f ca="1">SUM(OFFSET($C536,0,0,1,mth))</f>
        <v>6845.043</v>
      </c>
      <c r="P536" s="71"/>
    </row>
    <row r="537" customHeight="1" spans="1:25">
      <c r="A537" s="104" t="s">
        <v>561</v>
      </c>
      <c r="B537" s="330"/>
      <c r="C537" s="96"/>
      <c r="D537" s="96">
        <v>396.533</v>
      </c>
      <c r="E537" s="96">
        <v>537.74</v>
      </c>
      <c r="F537" s="96">
        <v>553.675</v>
      </c>
      <c r="G537" s="96"/>
      <c r="H537" s="96">
        <v>435.727</v>
      </c>
      <c r="I537" s="96"/>
      <c r="J537" s="64"/>
      <c r="K537" s="64"/>
      <c r="L537" s="64"/>
      <c r="M537" s="64"/>
      <c r="N537" s="64"/>
      <c r="O537" s="310">
        <f ca="1">SUM(OFFSET($C537,0,0,1,mth))</f>
        <v>1923.675</v>
      </c>
    </row>
    <row r="538" customHeight="1" spans="1:25">
      <c r="A538" s="104" t="s">
        <v>562</v>
      </c>
      <c r="B538" s="330"/>
      <c r="C538" s="96"/>
      <c r="D538" s="96">
        <v>36.72</v>
      </c>
      <c r="E538" s="96"/>
      <c r="G538" s="96"/>
      <c r="H538" s="96"/>
      <c r="I538" s="96"/>
      <c r="J538" s="64"/>
      <c r="K538" s="64"/>
      <c r="L538" s="64"/>
      <c r="M538" s="64"/>
      <c r="N538" s="64"/>
      <c r="O538" s="310">
        <f ca="1">SUM(OFFSET($C538,0,0,1,mth))</f>
        <v>36.72</v>
      </c>
    </row>
    <row r="539" customHeight="1" spans="1:25">
      <c r="A539" s="333" t="s">
        <v>563</v>
      </c>
      <c r="B539" s="343"/>
      <c r="C539" s="344">
        <f>SUM(C535:C538)</f>
        <v>7292.597</v>
      </c>
      <c r="D539" s="344">
        <f>SUM(D535:D538)</f>
        <v>9275.843</v>
      </c>
      <c r="E539" s="344">
        <f>SUM(E535:E538)</f>
        <v>9087.191</v>
      </c>
      <c r="F539" s="344">
        <f>SUM(F535:F538)</f>
        <v>10021.944</v>
      </c>
      <c r="G539" s="344">
        <f t="shared" ref="G539:O539" si="450">SUM(G535:G537)</f>
        <v>12030.037</v>
      </c>
      <c r="H539" s="344">
        <f t="shared" si="450"/>
        <v>11537.883</v>
      </c>
      <c r="I539" s="344">
        <f t="shared" si="450"/>
        <v>0</v>
      </c>
      <c r="J539" s="344">
        <f t="shared" si="450"/>
        <v>0</v>
      </c>
      <c r="K539" s="344">
        <f t="shared" si="450"/>
        <v>0</v>
      </c>
      <c r="L539" s="344">
        <f t="shared" si="450"/>
        <v>0</v>
      </c>
      <c r="M539" s="344">
        <f t="shared" si="450"/>
        <v>0</v>
      </c>
      <c r="N539" s="344">
        <f t="shared" si="450"/>
        <v>0</v>
      </c>
      <c r="O539" s="345">
        <f ca="1">SUM(O535:O538)</f>
        <v>59245.495</v>
      </c>
    </row>
    <row r="540" customHeight="1" spans="1:25">
      <c r="A540" s="38" t="s">
        <v>564</v>
      </c>
      <c r="B540" s="330"/>
      <c r="C540" s="96">
        <v>5593.986</v>
      </c>
      <c r="D540" s="96">
        <v>6536.055</v>
      </c>
      <c r="E540" s="96">
        <v>8257.677</v>
      </c>
      <c r="F540" s="96">
        <v>5805.937</v>
      </c>
      <c r="G540" s="96">
        <v>6295.736</v>
      </c>
      <c r="H540" s="64">
        <v>6610.04</v>
      </c>
      <c r="I540" s="64"/>
      <c r="J540" s="64"/>
      <c r="K540" s="64"/>
      <c r="L540" s="64"/>
      <c r="M540" s="64"/>
      <c r="N540" s="64"/>
      <c r="O540" s="346">
        <f>C540+D540+E540+F540+G540+H540+I540+J540+K540+L540+M540+N540</f>
        <v>39099.431</v>
      </c>
    </row>
    <row r="541" customHeight="1" spans="1:25">
      <c r="A541" s="38" t="s">
        <v>565</v>
      </c>
      <c r="B541" s="330"/>
      <c r="C541" s="336">
        <v>97.3818611111111</v>
      </c>
      <c r="D541" s="336">
        <v>121.198708333333</v>
      </c>
      <c r="E541" s="336">
        <v>106.653458333333</v>
      </c>
      <c r="F541" s="336">
        <v>275.492722222222</v>
      </c>
      <c r="G541" s="336">
        <v>336.939680555556</v>
      </c>
      <c r="H541" s="332">
        <v>251.941402777778</v>
      </c>
      <c r="I541" s="64"/>
      <c r="J541" s="64"/>
      <c r="K541" s="64"/>
      <c r="L541" s="64"/>
      <c r="M541" s="64"/>
      <c r="N541" s="64"/>
      <c r="O541" s="310">
        <f ca="1">SUM(OFFSET($C541,0,0,1,mth))</f>
        <v>1189.60783333333</v>
      </c>
    </row>
    <row r="542" customHeight="1" spans="1:25">
      <c r="A542" s="38" t="s">
        <v>308</v>
      </c>
      <c r="B542" s="330"/>
      <c r="C542" s="336">
        <v>45.0639027777778</v>
      </c>
      <c r="D542" s="336">
        <v>17.2945</v>
      </c>
      <c r="E542" s="336">
        <v>73.8137222222222</v>
      </c>
      <c r="F542" s="336">
        <v>133.420444444444</v>
      </c>
      <c r="G542" s="336">
        <v>97.743125</v>
      </c>
      <c r="H542" s="332">
        <v>48.5610833333333</v>
      </c>
      <c r="I542" s="64"/>
      <c r="J542" s="64"/>
      <c r="K542" s="64"/>
      <c r="L542" s="64"/>
      <c r="M542" s="64"/>
      <c r="N542" s="64"/>
      <c r="O542" s="310">
        <f ca="1">SUM(OFFSET($C542,0,0,1,mth))</f>
        <v>415.896777777777</v>
      </c>
    </row>
    <row r="543" customHeight="1" spans="1:25">
      <c r="A543" s="38" t="s">
        <v>359</v>
      </c>
      <c r="B543" s="330"/>
      <c r="C543" s="336">
        <v>52.3179583333333</v>
      </c>
      <c r="D543" s="336">
        <v>103.904208333333</v>
      </c>
      <c r="E543" s="336">
        <v>32.8397361111111</v>
      </c>
      <c r="F543" s="336">
        <v>142.072277777778</v>
      </c>
      <c r="G543" s="336">
        <v>239.196555555556</v>
      </c>
      <c r="H543" s="332">
        <v>203.380319444444</v>
      </c>
      <c r="I543" s="64"/>
      <c r="J543" s="64"/>
      <c r="K543" s="64"/>
      <c r="L543" s="64"/>
      <c r="M543" s="64"/>
      <c r="N543" s="64"/>
      <c r="O543" s="310">
        <f ca="1">SUM(OFFSET($C543,0,0,1,mth))</f>
        <v>773.711055555555</v>
      </c>
    </row>
    <row r="544" customHeight="1" spans="1:25">
      <c r="A544" s="327" t="s">
        <v>566</v>
      </c>
      <c r="B544" s="328">
        <v>2</v>
      </c>
      <c r="C544" s="342">
        <f>C545+C546</f>
        <v>1259.881</v>
      </c>
      <c r="D544" s="342">
        <f>D545+D546</f>
        <v>1435.315</v>
      </c>
      <c r="E544" s="342">
        <f>D547</f>
        <v>1340.39</v>
      </c>
      <c r="F544" s="342">
        <f t="shared" ref="E544:N544" si="451">E547</f>
        <v>1503.023</v>
      </c>
      <c r="G544" s="329">
        <f t="shared" si="451"/>
        <v>1542.972</v>
      </c>
      <c r="H544" s="329">
        <f>SUM(H545:H546)</f>
        <v>1735.181</v>
      </c>
      <c r="I544" s="329">
        <f t="shared" si="451"/>
        <v>1550.085</v>
      </c>
      <c r="J544" s="329">
        <f t="shared" si="451"/>
        <v>0</v>
      </c>
      <c r="K544" s="329">
        <f t="shared" si="451"/>
        <v>0</v>
      </c>
      <c r="L544" s="329">
        <f t="shared" si="451"/>
        <v>0</v>
      </c>
      <c r="M544" s="329">
        <f t="shared" si="451"/>
        <v>0</v>
      </c>
      <c r="N544" s="329">
        <f t="shared" si="451"/>
        <v>0</v>
      </c>
      <c r="O544" s="337"/>
    </row>
    <row r="545" customHeight="1" spans="1:20">
      <c r="A545" s="38" t="s">
        <v>559</v>
      </c>
      <c r="B545" s="330"/>
      <c r="C545" s="347">
        <v>1159.881</v>
      </c>
      <c r="D545" s="347">
        <v>1345.315</v>
      </c>
      <c r="E545" s="347">
        <v>1280.39</v>
      </c>
      <c r="F545" s="347">
        <f>E548</f>
        <v>1353.023</v>
      </c>
      <c r="G545" s="347">
        <f>F548</f>
        <v>1492.972</v>
      </c>
      <c r="H545" s="347">
        <f>G548</f>
        <v>1585.181</v>
      </c>
      <c r="I545" s="331"/>
      <c r="J545" s="331"/>
      <c r="K545" s="331"/>
      <c r="L545" s="331"/>
      <c r="M545" s="331"/>
      <c r="N545" s="331"/>
      <c r="O545" s="174"/>
    </row>
    <row r="546" customHeight="1" spans="1:20">
      <c r="A546" s="38" t="s">
        <v>564</v>
      </c>
      <c r="B546" s="330"/>
      <c r="C546" s="347">
        <v>100</v>
      </c>
      <c r="D546" s="347">
        <v>90</v>
      </c>
      <c r="E546" s="347">
        <v>60</v>
      </c>
      <c r="F546" s="347">
        <f>E549</f>
        <v>150</v>
      </c>
      <c r="G546" s="347">
        <f>F549</f>
        <v>50</v>
      </c>
      <c r="H546" s="347">
        <f>G549</f>
        <v>150</v>
      </c>
      <c r="I546" s="331"/>
      <c r="J546" s="331"/>
      <c r="K546" s="331"/>
      <c r="L546" s="331"/>
      <c r="M546" s="331"/>
      <c r="N546" s="331"/>
      <c r="O546" s="174"/>
    </row>
    <row r="547" customHeight="1" spans="1:20">
      <c r="A547" s="327" t="s">
        <v>568</v>
      </c>
      <c r="B547" s="328">
        <v>3</v>
      </c>
      <c r="C547" s="342">
        <f t="shared" ref="C547:N547" si="452">C548+C549</f>
        <v>1435.315</v>
      </c>
      <c r="D547" s="342">
        <f t="shared" si="452"/>
        <v>1340.39</v>
      </c>
      <c r="E547" s="342">
        <f t="shared" si="452"/>
        <v>1503.023</v>
      </c>
      <c r="F547" s="342">
        <f t="shared" si="452"/>
        <v>1542.972</v>
      </c>
      <c r="G547" s="329">
        <f t="shared" si="452"/>
        <v>1735.181</v>
      </c>
      <c r="H547" s="329">
        <f t="shared" si="452"/>
        <v>1550.085</v>
      </c>
      <c r="I547" s="329">
        <f t="shared" si="452"/>
        <v>0</v>
      </c>
      <c r="J547" s="329">
        <f t="shared" si="452"/>
        <v>0</v>
      </c>
      <c r="K547" s="329">
        <f t="shared" si="452"/>
        <v>0</v>
      </c>
      <c r="L547" s="329">
        <f t="shared" si="452"/>
        <v>0</v>
      </c>
      <c r="M547" s="329">
        <f t="shared" si="452"/>
        <v>0</v>
      </c>
      <c r="N547" s="329">
        <f t="shared" si="452"/>
        <v>0</v>
      </c>
      <c r="O547" s="337"/>
    </row>
    <row r="548" customHeight="1" spans="1:20">
      <c r="A548" s="38" t="s">
        <v>559</v>
      </c>
      <c r="B548" s="330"/>
      <c r="C548" s="96">
        <v>1345.315</v>
      </c>
      <c r="D548" s="96">
        <v>1280.39</v>
      </c>
      <c r="E548" s="96">
        <v>1353.023</v>
      </c>
      <c r="F548" s="96">
        <v>1492.972</v>
      </c>
      <c r="G548" s="96">
        <v>1585.181</v>
      </c>
      <c r="H548" s="64">
        <v>1385.085</v>
      </c>
      <c r="I548" s="64"/>
      <c r="J548" s="64"/>
      <c r="K548" s="64"/>
      <c r="L548" s="64"/>
      <c r="M548" s="64"/>
      <c r="N548" s="64"/>
      <c r="O548" s="174"/>
    </row>
    <row r="549" customHeight="1" spans="1:20">
      <c r="A549" s="38" t="s">
        <v>564</v>
      </c>
      <c r="B549" s="330"/>
      <c r="C549" s="96">
        <v>90</v>
      </c>
      <c r="D549" s="96">
        <v>60</v>
      </c>
      <c r="E549" s="96">
        <v>150</v>
      </c>
      <c r="F549" s="96">
        <v>50</v>
      </c>
      <c r="G549" s="96">
        <v>150</v>
      </c>
      <c r="H549" s="64">
        <v>165</v>
      </c>
      <c r="I549" s="64"/>
      <c r="J549" s="64"/>
      <c r="K549" s="64"/>
      <c r="L549" s="64"/>
      <c r="M549" s="64"/>
      <c r="N549" s="64"/>
      <c r="O549" s="174"/>
    </row>
    <row r="550" customHeight="1" spans="1:20">
      <c r="A550" s="327" t="s">
        <v>575</v>
      </c>
      <c r="B550" s="328" t="s">
        <v>570</v>
      </c>
      <c r="C550" s="342">
        <f>C534+C544-C547</f>
        <v>12808.5308611111</v>
      </c>
      <c r="D550" s="342">
        <f>D534+D544-D547</f>
        <v>16028.0217083333</v>
      </c>
      <c r="E550" s="342">
        <f>E534-E547</f>
        <v>15948.4984583333</v>
      </c>
      <c r="F550" s="342">
        <f>F534-F547</f>
        <v>14560.4017222222</v>
      </c>
      <c r="G550" s="329">
        <f t="shared" ref="G550:N550" si="453">G534-G547</f>
        <v>16927.5316805556</v>
      </c>
      <c r="H550" s="329">
        <f t="shared" si="453"/>
        <v>16849.7794027778</v>
      </c>
      <c r="I550" s="329">
        <f t="shared" si="453"/>
        <v>0</v>
      </c>
      <c r="J550" s="329">
        <f t="shared" si="453"/>
        <v>0</v>
      </c>
      <c r="K550" s="329">
        <f t="shared" si="453"/>
        <v>0</v>
      </c>
      <c r="L550" s="329">
        <f t="shared" si="453"/>
        <v>0</v>
      </c>
      <c r="M550" s="329">
        <f t="shared" si="453"/>
        <v>0</v>
      </c>
      <c r="N550" s="329">
        <f t="shared" si="453"/>
        <v>0</v>
      </c>
      <c r="O550" s="337"/>
    </row>
    <row r="551" customHeight="1" spans="1:20">
      <c r="A551" s="104" t="s">
        <v>559</v>
      </c>
      <c r="C551" s="96">
        <f>C535+C545-C548</f>
        <v>5993.986</v>
      </c>
      <c r="D551" s="96">
        <f>D535+D545-D548</f>
        <v>8078.328</v>
      </c>
      <c r="E551" s="96">
        <f t="shared" ref="E551:N551" si="454">E535-E548</f>
        <v>6001.025</v>
      </c>
      <c r="F551" s="96">
        <f t="shared" si="454"/>
        <v>6892.791</v>
      </c>
      <c r="G551" s="96">
        <f t="shared" si="454"/>
        <v>9243.325</v>
      </c>
      <c r="H551" s="64">
        <f t="shared" si="454"/>
        <v>8293.832</v>
      </c>
      <c r="I551" s="64">
        <f t="shared" si="454"/>
        <v>0</v>
      </c>
      <c r="J551" s="64">
        <f t="shared" ref="J551" si="455">J535-J548</f>
        <v>0</v>
      </c>
      <c r="K551" s="64">
        <f t="shared" si="454"/>
        <v>0</v>
      </c>
      <c r="L551" s="64">
        <f t="shared" si="454"/>
        <v>0</v>
      </c>
      <c r="M551" s="64">
        <f t="shared" si="454"/>
        <v>0</v>
      </c>
      <c r="N551" s="64">
        <f t="shared" si="454"/>
        <v>0</v>
      </c>
      <c r="O551" s="174"/>
    </row>
    <row r="552" customHeight="1" spans="1:20">
      <c r="A552" s="104" t="s">
        <v>560</v>
      </c>
      <c r="C552" s="96">
        <f t="shared" ref="C552:C554" si="456">C536</f>
        <v>1113.177</v>
      </c>
      <c r="D552" s="96">
        <f>D536</f>
        <v>829.187</v>
      </c>
      <c r="E552" s="96">
        <f t="shared" ref="E552:F552" si="457">E536</f>
        <v>1195.403</v>
      </c>
      <c r="F552" s="96">
        <f t="shared" si="457"/>
        <v>1082.506</v>
      </c>
      <c r="G552" s="96">
        <f t="shared" ref="G552" si="458">G536</f>
        <v>1201.531</v>
      </c>
      <c r="H552" s="64">
        <f t="shared" ref="H552:M552" si="459">H536</f>
        <v>1423.239</v>
      </c>
      <c r="I552" s="64">
        <f t="shared" si="459"/>
        <v>0</v>
      </c>
      <c r="J552" s="64">
        <f t="shared" si="459"/>
        <v>0</v>
      </c>
      <c r="K552" s="64">
        <f t="shared" si="459"/>
        <v>0</v>
      </c>
      <c r="L552" s="64">
        <f t="shared" si="459"/>
        <v>0</v>
      </c>
      <c r="M552" s="64">
        <f t="shared" si="459"/>
        <v>0</v>
      </c>
      <c r="N552" s="64">
        <f t="shared" ref="N552" si="460">N536</f>
        <v>0</v>
      </c>
      <c r="O552" s="174"/>
      <c r="T552" s="309"/>
    </row>
    <row r="553" customHeight="1" spans="1:20">
      <c r="A553" s="104" t="s">
        <v>561</v>
      </c>
      <c r="C553" s="96">
        <f t="shared" si="456"/>
        <v>0</v>
      </c>
      <c r="D553" s="96">
        <f t="shared" ref="D553:F553" si="461">D537</f>
        <v>396.533</v>
      </c>
      <c r="E553" s="96">
        <f t="shared" si="461"/>
        <v>537.74</v>
      </c>
      <c r="F553" s="96">
        <f t="shared" si="461"/>
        <v>553.675</v>
      </c>
      <c r="G553" s="348">
        <f t="shared" ref="G553:H553" si="462">G537</f>
        <v>0</v>
      </c>
      <c r="H553" s="64">
        <f t="shared" si="462"/>
        <v>435.727</v>
      </c>
      <c r="I553" s="64">
        <f t="shared" ref="I553:J553" si="463">I537</f>
        <v>0</v>
      </c>
      <c r="J553" s="64">
        <f t="shared" si="463"/>
        <v>0</v>
      </c>
      <c r="K553" s="64">
        <f t="shared" ref="K553:M553" si="464">K537</f>
        <v>0</v>
      </c>
      <c r="L553" s="64">
        <f t="shared" si="464"/>
        <v>0</v>
      </c>
      <c r="M553" s="64">
        <f t="shared" si="464"/>
        <v>0</v>
      </c>
      <c r="N553" s="64">
        <f t="shared" ref="N553:N554" si="465">N537</f>
        <v>0</v>
      </c>
      <c r="O553" s="174"/>
    </row>
    <row r="554" customHeight="1" spans="1:20">
      <c r="A554" s="104" t="s">
        <v>562</v>
      </c>
      <c r="C554" s="96">
        <f t="shared" si="456"/>
        <v>0</v>
      </c>
      <c r="D554" s="96">
        <f>D538</f>
        <v>36.72</v>
      </c>
      <c r="E554" s="96">
        <f t="shared" ref="D554:M554" si="466">E538</f>
        <v>0</v>
      </c>
      <c r="F554" s="96">
        <f t="shared" si="466"/>
        <v>0</v>
      </c>
      <c r="G554" s="348">
        <f t="shared" si="466"/>
        <v>0</v>
      </c>
      <c r="H554" s="64">
        <f t="shared" si="466"/>
        <v>0</v>
      </c>
      <c r="I554" s="64">
        <f t="shared" si="466"/>
        <v>0</v>
      </c>
      <c r="J554" s="64">
        <f t="shared" si="466"/>
        <v>0</v>
      </c>
      <c r="K554" s="64">
        <f t="shared" si="466"/>
        <v>0</v>
      </c>
      <c r="L554" s="64">
        <f t="shared" si="466"/>
        <v>0</v>
      </c>
      <c r="M554" s="64">
        <f t="shared" si="466"/>
        <v>0</v>
      </c>
      <c r="N554" s="64">
        <f t="shared" si="465"/>
        <v>0</v>
      </c>
      <c r="O554" s="174"/>
    </row>
    <row r="555" customHeight="1" spans="1:20">
      <c r="A555" s="333" t="s">
        <v>563</v>
      </c>
      <c r="C555" s="96">
        <f>SUM(C551:C554)</f>
        <v>7107.163</v>
      </c>
      <c r="D555" s="96">
        <f t="shared" ref="D555:N555" si="467">SUM(D551:D554)</f>
        <v>9340.768</v>
      </c>
      <c r="E555" s="96">
        <f t="shared" si="467"/>
        <v>7734.168</v>
      </c>
      <c r="F555" s="96">
        <f t="shared" si="467"/>
        <v>8528.972</v>
      </c>
      <c r="G555" s="96">
        <f t="shared" si="467"/>
        <v>10444.856</v>
      </c>
      <c r="H555" s="96">
        <f t="shared" si="467"/>
        <v>10152.798</v>
      </c>
      <c r="I555" s="96">
        <f t="shared" si="467"/>
        <v>0</v>
      </c>
      <c r="J555" s="96">
        <f t="shared" si="467"/>
        <v>0</v>
      </c>
      <c r="K555" s="96">
        <f t="shared" si="467"/>
        <v>0</v>
      </c>
      <c r="L555" s="96">
        <f t="shared" si="467"/>
        <v>0</v>
      </c>
      <c r="M555" s="96">
        <f t="shared" si="467"/>
        <v>0</v>
      </c>
      <c r="N555" s="96">
        <f t="shared" si="467"/>
        <v>0</v>
      </c>
      <c r="O555" s="174"/>
    </row>
    <row r="556" customHeight="1" spans="1:20">
      <c r="A556" s="38" t="s">
        <v>564</v>
      </c>
      <c r="C556" s="96">
        <f>C540+C546-C549</f>
        <v>5603.986</v>
      </c>
      <c r="D556" s="96">
        <f>D540+D546-D549</f>
        <v>6566.055</v>
      </c>
      <c r="E556" s="96">
        <f>E540-E549</f>
        <v>8107.677</v>
      </c>
      <c r="F556" s="96">
        <f>F540-F549</f>
        <v>5755.937</v>
      </c>
      <c r="G556" s="96">
        <f>G540-G549</f>
        <v>6145.736</v>
      </c>
      <c r="H556" s="64">
        <f>H540-H549</f>
        <v>6445.04</v>
      </c>
      <c r="I556" s="64">
        <f t="shared" ref="I556:N556" si="468">I540-I549</f>
        <v>0</v>
      </c>
      <c r="J556" s="64">
        <f t="shared" ref="J556:K556" si="469">J540-J549</f>
        <v>0</v>
      </c>
      <c r="K556" s="64">
        <f t="shared" si="469"/>
        <v>0</v>
      </c>
      <c r="L556" s="64">
        <f t="shared" si="468"/>
        <v>0</v>
      </c>
      <c r="M556" s="64">
        <f t="shared" si="468"/>
        <v>0</v>
      </c>
      <c r="N556" s="64">
        <f t="shared" si="468"/>
        <v>0</v>
      </c>
      <c r="O556" s="174"/>
    </row>
    <row r="557" customHeight="1" spans="1:20">
      <c r="A557" s="38" t="s">
        <v>565</v>
      </c>
      <c r="C557" s="96">
        <f>C541</f>
        <v>97.3818611111111</v>
      </c>
      <c r="D557" s="96">
        <f t="shared" ref="D557:G557" si="470">D541</f>
        <v>121.198708333333</v>
      </c>
      <c r="E557" s="96">
        <f t="shared" si="470"/>
        <v>106.653458333333</v>
      </c>
      <c r="F557" s="96">
        <f t="shared" si="470"/>
        <v>275.492722222222</v>
      </c>
      <c r="G557" s="96">
        <f t="shared" si="470"/>
        <v>336.939680555556</v>
      </c>
      <c r="H557" s="64">
        <f t="shared" ref="H557:N557" si="471">H541</f>
        <v>251.941402777778</v>
      </c>
      <c r="I557" s="64">
        <f t="shared" si="471"/>
        <v>0</v>
      </c>
      <c r="J557" s="64">
        <f t="shared" ref="J557:N559" si="472">J541</f>
        <v>0</v>
      </c>
      <c r="K557" s="64">
        <f t="shared" si="471"/>
        <v>0</v>
      </c>
      <c r="L557" s="64">
        <f t="shared" si="471"/>
        <v>0</v>
      </c>
      <c r="M557" s="64">
        <f t="shared" si="471"/>
        <v>0</v>
      </c>
      <c r="N557" s="64">
        <f t="shared" si="471"/>
        <v>0</v>
      </c>
      <c r="O557" s="174"/>
    </row>
    <row r="558" customHeight="1" spans="1:20">
      <c r="A558" s="38" t="s">
        <v>308</v>
      </c>
      <c r="C558" s="96">
        <f t="shared" ref="C558:I558" si="473">C542</f>
        <v>45.0639027777778</v>
      </c>
      <c r="D558" s="96">
        <f t="shared" si="473"/>
        <v>17.2945</v>
      </c>
      <c r="E558" s="96">
        <f t="shared" si="473"/>
        <v>73.8137222222222</v>
      </c>
      <c r="F558" s="96">
        <f t="shared" si="473"/>
        <v>133.420444444444</v>
      </c>
      <c r="G558" s="96">
        <f t="shared" si="473"/>
        <v>97.743125</v>
      </c>
      <c r="H558" s="64">
        <f t="shared" si="473"/>
        <v>48.5610833333333</v>
      </c>
      <c r="I558" s="64">
        <f t="shared" si="473"/>
        <v>0</v>
      </c>
      <c r="J558" s="64">
        <f t="shared" si="472"/>
        <v>0</v>
      </c>
      <c r="K558" s="64">
        <f t="shared" si="472"/>
        <v>0</v>
      </c>
      <c r="L558" s="64">
        <f t="shared" si="472"/>
        <v>0</v>
      </c>
      <c r="M558" s="64">
        <f t="shared" si="472"/>
        <v>0</v>
      </c>
      <c r="N558" s="64">
        <f t="shared" si="472"/>
        <v>0</v>
      </c>
    </row>
    <row r="559" customHeight="1" spans="1:20">
      <c r="A559" s="38" t="s">
        <v>359</v>
      </c>
      <c r="C559" s="96">
        <f t="shared" ref="C559:I559" si="474">C543</f>
        <v>52.3179583333333</v>
      </c>
      <c r="D559" s="96">
        <f t="shared" si="474"/>
        <v>103.904208333333</v>
      </c>
      <c r="E559" s="96">
        <f t="shared" si="474"/>
        <v>32.8397361111111</v>
      </c>
      <c r="F559" s="96">
        <f t="shared" si="474"/>
        <v>142.072277777778</v>
      </c>
      <c r="G559" s="96">
        <f t="shared" si="474"/>
        <v>239.196555555556</v>
      </c>
      <c r="H559" s="64">
        <f t="shared" si="474"/>
        <v>203.380319444444</v>
      </c>
      <c r="I559" s="64">
        <f t="shared" si="474"/>
        <v>0</v>
      </c>
      <c r="J559" s="64">
        <f t="shared" si="472"/>
        <v>0</v>
      </c>
      <c r="K559" s="64">
        <f t="shared" si="472"/>
        <v>0</v>
      </c>
      <c r="L559" s="64">
        <f t="shared" si="472"/>
        <v>0</v>
      </c>
      <c r="M559" s="64">
        <f t="shared" si="472"/>
        <v>0</v>
      </c>
      <c r="N559" s="64">
        <f t="shared" si="472"/>
        <v>0</v>
      </c>
    </row>
    <row r="561" customHeight="1" spans="1:19">
      <c r="A561" s="46" t="s">
        <v>576</v>
      </c>
      <c r="B561" s="137" t="s">
        <v>339</v>
      </c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</row>
    <row r="562" customHeight="1" spans="1:19">
      <c r="A562" s="349" t="s">
        <v>310</v>
      </c>
      <c r="B562" s="50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40"/>
      <c r="P562" s="114"/>
      <c r="Q562" s="68"/>
      <c r="R562" s="141"/>
    </row>
    <row r="563" customHeight="1" spans="1:19">
      <c r="A563" s="138" t="s">
        <v>170</v>
      </c>
      <c r="B563" s="50" t="s">
        <v>75</v>
      </c>
      <c r="C563" s="146"/>
      <c r="D563" s="146"/>
      <c r="E563" s="117"/>
      <c r="F563" s="117"/>
      <c r="G563" s="311"/>
      <c r="H563" s="311"/>
      <c r="I563" s="116"/>
      <c r="J563" s="116"/>
      <c r="K563" s="116"/>
      <c r="L563" s="116"/>
      <c r="M563" s="116"/>
      <c r="N563" s="116"/>
      <c r="O563" s="140">
        <f ca="1" t="shared" ref="O563:O570" si="475">SUM(OFFSET($C563,0,0,1,mth))</f>
        <v>0</v>
      </c>
      <c r="P563" s="38">
        <v>204638</v>
      </c>
      <c r="Q563" s="38" t="s">
        <v>170</v>
      </c>
      <c r="R563" s="141"/>
      <c r="S563" s="141"/>
    </row>
    <row r="564" customHeight="1" spans="1:19">
      <c r="A564" s="138" t="s">
        <v>171</v>
      </c>
      <c r="B564" s="50" t="s">
        <v>75</v>
      </c>
      <c r="C564" s="117"/>
      <c r="D564" s="116"/>
      <c r="E564" s="117"/>
      <c r="F564" s="117"/>
      <c r="G564" s="311"/>
      <c r="H564" s="116"/>
      <c r="I564" s="116"/>
      <c r="J564" s="116"/>
      <c r="K564" s="116"/>
      <c r="L564" s="116"/>
      <c r="M564" s="116"/>
      <c r="N564" s="116"/>
      <c r="O564" s="140">
        <f ca="1" t="shared" si="475"/>
        <v>0</v>
      </c>
      <c r="P564" s="350">
        <v>204582</v>
      </c>
      <c r="Q564" s="38" t="s">
        <v>171</v>
      </c>
      <c r="R564" s="141"/>
    </row>
    <row r="565" customHeight="1" spans="1:19">
      <c r="A565" s="138" t="s">
        <v>172</v>
      </c>
      <c r="B565" s="50" t="s">
        <v>75</v>
      </c>
      <c r="C565" s="351"/>
      <c r="D565" s="116"/>
      <c r="E565" s="117"/>
      <c r="F565" s="117"/>
      <c r="G565" s="311"/>
      <c r="H565" s="116"/>
      <c r="I565" s="116"/>
      <c r="J565" s="116"/>
      <c r="K565" s="116"/>
      <c r="L565" s="116"/>
      <c r="M565" s="116"/>
      <c r="N565" s="116"/>
      <c r="O565" s="140">
        <f ca="1" t="shared" si="475"/>
        <v>0</v>
      </c>
      <c r="P565" s="38">
        <v>204564</v>
      </c>
      <c r="Q565" s="38" t="s">
        <v>172</v>
      </c>
      <c r="R565" s="141"/>
    </row>
    <row r="566" customHeight="1" spans="1:19">
      <c r="A566" s="138" t="s">
        <v>173</v>
      </c>
      <c r="B566" s="50" t="s">
        <v>75</v>
      </c>
      <c r="C566" s="263"/>
      <c r="D566" s="116"/>
      <c r="E566" s="117"/>
      <c r="F566" s="117"/>
      <c r="G566" s="311"/>
      <c r="H566" s="352"/>
      <c r="I566" s="117"/>
      <c r="J566" s="116"/>
      <c r="K566" s="116"/>
      <c r="L566" s="116"/>
      <c r="M566" s="116"/>
      <c r="N566" s="116"/>
      <c r="O566" s="140">
        <f ca="1" t="shared" si="475"/>
        <v>0</v>
      </c>
      <c r="P566" s="38">
        <v>204520</v>
      </c>
      <c r="Q566" s="38" t="s">
        <v>173</v>
      </c>
      <c r="R566" s="141"/>
    </row>
    <row r="567" customHeight="1" spans="1:19">
      <c r="A567" s="138" t="s">
        <v>174</v>
      </c>
      <c r="B567" s="50" t="s">
        <v>75</v>
      </c>
      <c r="C567" s="146"/>
      <c r="D567" s="116"/>
      <c r="E567" s="117"/>
      <c r="F567" s="117"/>
      <c r="G567" s="311"/>
      <c r="H567" s="116"/>
      <c r="I567" s="116"/>
      <c r="J567" s="116"/>
      <c r="K567" s="116"/>
      <c r="L567" s="116"/>
      <c r="M567" s="116"/>
      <c r="N567" s="116"/>
      <c r="O567" s="140">
        <f ca="1" t="shared" si="475"/>
        <v>0</v>
      </c>
      <c r="P567" s="38">
        <v>204522</v>
      </c>
      <c r="Q567" s="38" t="s">
        <v>174</v>
      </c>
      <c r="R567" s="141"/>
      <c r="S567" s="141"/>
    </row>
    <row r="568" customHeight="1" spans="1:19">
      <c r="A568" s="138" t="s">
        <v>175</v>
      </c>
      <c r="B568" s="50" t="s">
        <v>75</v>
      </c>
      <c r="C568" s="146">
        <v>1.154</v>
      </c>
      <c r="D568" s="116"/>
      <c r="E568" s="117">
        <v>1.451</v>
      </c>
      <c r="F568" s="117">
        <v>2.772</v>
      </c>
      <c r="G568" s="311"/>
      <c r="H568" s="116">
        <v>2.343</v>
      </c>
      <c r="I568" s="116"/>
      <c r="J568" s="116"/>
      <c r="K568" s="116"/>
      <c r="L568" s="116"/>
      <c r="M568" s="116"/>
      <c r="N568" s="116"/>
      <c r="O568" s="140">
        <f ca="1" t="shared" si="475"/>
        <v>7.72</v>
      </c>
      <c r="P568" s="38">
        <v>231968</v>
      </c>
      <c r="Q568" s="38" t="s">
        <v>175</v>
      </c>
      <c r="R568" s="141"/>
      <c r="S568" s="141"/>
    </row>
    <row r="569" customHeight="1" spans="1:19">
      <c r="A569" s="138" t="s">
        <v>176</v>
      </c>
      <c r="B569" s="50" t="s">
        <v>75</v>
      </c>
      <c r="C569" s="117">
        <v>1.2</v>
      </c>
      <c r="D569" s="116"/>
      <c r="E569" s="116"/>
      <c r="F569" s="117"/>
      <c r="G569" s="116"/>
      <c r="H569" s="116"/>
      <c r="I569" s="124"/>
      <c r="J569" s="124"/>
      <c r="K569" s="117"/>
      <c r="L569" s="124"/>
      <c r="M569" s="116"/>
      <c r="N569" s="116"/>
      <c r="O569" s="140">
        <f ca="1" t="shared" si="475"/>
        <v>1.2</v>
      </c>
      <c r="Q569" s="68"/>
      <c r="R569" s="141"/>
    </row>
    <row r="570" customHeight="1" spans="1:19">
      <c r="A570" s="353" t="s">
        <v>311</v>
      </c>
      <c r="B570" s="60" t="s">
        <v>75</v>
      </c>
      <c r="C570" s="353">
        <f>SUM(C563:C569)</f>
        <v>2.354</v>
      </c>
      <c r="D570" s="353">
        <f t="shared" ref="D570:N570" si="476">SUM(D563:D569)</f>
        <v>0</v>
      </c>
      <c r="E570" s="353">
        <f t="shared" si="476"/>
        <v>1.451</v>
      </c>
      <c r="F570" s="353">
        <f t="shared" si="476"/>
        <v>2.772</v>
      </c>
      <c r="G570" s="353">
        <f t="shared" si="476"/>
        <v>0</v>
      </c>
      <c r="H570" s="353">
        <f t="shared" si="476"/>
        <v>2.343</v>
      </c>
      <c r="I570" s="353">
        <f t="shared" si="476"/>
        <v>0</v>
      </c>
      <c r="J570" s="353">
        <f t="shared" si="476"/>
        <v>0</v>
      </c>
      <c r="K570" s="353">
        <f t="shared" si="476"/>
        <v>0</v>
      </c>
      <c r="L570" s="353">
        <f t="shared" si="476"/>
        <v>0</v>
      </c>
      <c r="M570" s="353">
        <f t="shared" si="476"/>
        <v>0</v>
      </c>
      <c r="N570" s="353">
        <f t="shared" si="476"/>
        <v>0</v>
      </c>
      <c r="O570" s="354">
        <f ca="1" t="shared" si="475"/>
        <v>8.92</v>
      </c>
      <c r="Q570" s="68"/>
      <c r="R570" s="141"/>
    </row>
    <row r="571" customHeight="1" spans="1:19">
      <c r="A571" s="349" t="s">
        <v>312</v>
      </c>
      <c r="B571" s="50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40"/>
      <c r="P571" s="114"/>
      <c r="Q571" s="68"/>
      <c r="R571" s="141"/>
    </row>
    <row r="572" customHeight="1" spans="1:19">
      <c r="A572" s="138" t="s">
        <v>170</v>
      </c>
      <c r="B572" s="50" t="s">
        <v>75</v>
      </c>
      <c r="C572" s="146"/>
      <c r="D572" s="116">
        <v>3.653</v>
      </c>
      <c r="E572" s="117">
        <v>11.14</v>
      </c>
      <c r="F572" s="117">
        <v>11.215</v>
      </c>
      <c r="G572" s="311"/>
      <c r="H572" s="116">
        <v>35.072</v>
      </c>
      <c r="I572" s="116"/>
      <c r="J572" s="116"/>
      <c r="K572" s="116"/>
      <c r="L572" s="116"/>
      <c r="M572" s="116"/>
      <c r="N572" s="116"/>
      <c r="O572" s="140">
        <f ca="1" t="shared" ref="O572:O580" si="477">SUM(OFFSET($C572,0,0,1,mth))</f>
        <v>61.08</v>
      </c>
      <c r="P572" s="38">
        <v>204638</v>
      </c>
      <c r="R572" s="141"/>
      <c r="S572" s="141"/>
    </row>
    <row r="573" customHeight="1" spans="1:19">
      <c r="A573" s="138" t="s">
        <v>171</v>
      </c>
      <c r="B573" s="50" t="s">
        <v>75</v>
      </c>
      <c r="C573" s="146">
        <v>9.755</v>
      </c>
      <c r="D573" s="116">
        <v>29.368</v>
      </c>
      <c r="E573" s="117">
        <v>4.888</v>
      </c>
      <c r="F573" s="117">
        <v>49.728</v>
      </c>
      <c r="G573" s="311">
        <v>99.256</v>
      </c>
      <c r="H573" s="116">
        <v>67.032</v>
      </c>
      <c r="I573" s="116"/>
      <c r="J573" s="116"/>
      <c r="K573" s="116"/>
      <c r="L573" s="116"/>
      <c r="M573" s="116"/>
      <c r="N573" s="116"/>
      <c r="O573" s="140">
        <f ca="1" t="shared" si="477"/>
        <v>260.027</v>
      </c>
      <c r="P573" s="350">
        <v>204582</v>
      </c>
      <c r="Q573" s="71"/>
      <c r="R573" s="141"/>
    </row>
    <row r="574" customHeight="1" spans="1:19">
      <c r="A574" s="138" t="s">
        <v>172</v>
      </c>
      <c r="B574" s="50" t="s">
        <v>75</v>
      </c>
      <c r="C574" s="146">
        <v>3.422</v>
      </c>
      <c r="D574" s="116"/>
      <c r="E574" s="117"/>
      <c r="F574" s="117"/>
      <c r="G574" s="311">
        <v>3.722</v>
      </c>
      <c r="H574" s="116"/>
      <c r="I574" s="116"/>
      <c r="J574" s="116"/>
      <c r="K574" s="116"/>
      <c r="L574" s="116"/>
      <c r="M574" s="116"/>
      <c r="N574" s="116"/>
      <c r="O574" s="140">
        <f ca="1" t="shared" si="477"/>
        <v>7.144</v>
      </c>
      <c r="P574" s="38">
        <v>204564</v>
      </c>
      <c r="Q574" s="71"/>
      <c r="R574" s="141"/>
    </row>
    <row r="575" customHeight="1" spans="1:19">
      <c r="A575" s="138" t="s">
        <v>173</v>
      </c>
      <c r="B575" s="50" t="s">
        <v>75</v>
      </c>
      <c r="C575" s="146">
        <v>0.281</v>
      </c>
      <c r="D575" s="116">
        <v>0.268</v>
      </c>
      <c r="E575" s="117"/>
      <c r="F575" s="117"/>
      <c r="G575" s="311">
        <v>0.272</v>
      </c>
      <c r="H575" s="116">
        <v>0.411</v>
      </c>
      <c r="I575" s="117"/>
      <c r="J575" s="116"/>
      <c r="K575" s="116"/>
      <c r="L575" s="116"/>
      <c r="M575" s="116"/>
      <c r="N575" s="116"/>
      <c r="O575" s="140">
        <f ca="1" t="shared" si="477"/>
        <v>1.232</v>
      </c>
      <c r="P575" s="38">
        <v>204520</v>
      </c>
      <c r="Q575" s="71"/>
      <c r="R575" s="141"/>
    </row>
    <row r="576" customHeight="1" spans="1:19">
      <c r="A576" s="138" t="s">
        <v>174</v>
      </c>
      <c r="B576" s="50" t="s">
        <v>75</v>
      </c>
      <c r="C576" s="146">
        <v>14.465</v>
      </c>
      <c r="D576" s="116">
        <v>35.328</v>
      </c>
      <c r="E576" s="117">
        <v>1.484</v>
      </c>
      <c r="F576" s="117">
        <v>2.22</v>
      </c>
      <c r="G576" s="311">
        <v>10.723</v>
      </c>
      <c r="H576" s="116">
        <v>11.506</v>
      </c>
      <c r="I576" s="116"/>
      <c r="J576" s="116"/>
      <c r="K576" s="116"/>
      <c r="L576" s="116"/>
      <c r="M576" s="116"/>
      <c r="N576" s="116"/>
      <c r="O576" s="140">
        <f ca="1" t="shared" si="477"/>
        <v>75.726</v>
      </c>
      <c r="P576" s="38">
        <v>204522</v>
      </c>
      <c r="R576" s="141"/>
      <c r="S576" s="141"/>
    </row>
    <row r="577" customHeight="1" spans="1:19">
      <c r="A577" s="138" t="s">
        <v>175</v>
      </c>
      <c r="B577" s="50" t="s">
        <v>75</v>
      </c>
      <c r="C577" s="146"/>
      <c r="D577" s="116"/>
      <c r="E577" s="117"/>
      <c r="F577" s="117"/>
      <c r="G577" s="311"/>
      <c r="H577" s="116"/>
      <c r="I577" s="116"/>
      <c r="J577" s="116"/>
      <c r="K577" s="116"/>
      <c r="L577" s="116"/>
      <c r="M577" s="116"/>
      <c r="N577" s="116"/>
      <c r="O577" s="140">
        <f ca="1" t="shared" si="477"/>
        <v>0</v>
      </c>
      <c r="P577" s="38">
        <v>231968</v>
      </c>
      <c r="R577" s="141"/>
      <c r="S577" s="141"/>
    </row>
    <row r="578" customHeight="1" spans="1:19">
      <c r="A578" s="138" t="s">
        <v>176</v>
      </c>
      <c r="B578" s="50" t="s">
        <v>75</v>
      </c>
      <c r="C578" s="117"/>
      <c r="D578" s="116"/>
      <c r="E578" s="116">
        <v>0.715</v>
      </c>
      <c r="F578" s="117"/>
      <c r="G578" s="116"/>
      <c r="H578" s="116"/>
      <c r="I578" s="124"/>
      <c r="J578" s="311"/>
      <c r="K578" s="117"/>
      <c r="L578" s="124"/>
      <c r="M578" s="116"/>
      <c r="N578" s="116"/>
      <c r="O578" s="140">
        <f ca="1" t="shared" si="477"/>
        <v>0.715</v>
      </c>
      <c r="P578" s="38">
        <v>290284</v>
      </c>
      <c r="Q578" s="68"/>
      <c r="R578" s="141"/>
    </row>
    <row r="579" customHeight="1" spans="1:19">
      <c r="A579" s="353" t="s">
        <v>313</v>
      </c>
      <c r="B579" s="50"/>
      <c r="C579" s="353">
        <f>SUM(C572:C578)</f>
        <v>27.923</v>
      </c>
      <c r="D579" s="353">
        <f t="shared" ref="D579:N579" si="478">SUM(D572:D578)</f>
        <v>68.617</v>
      </c>
      <c r="E579" s="353">
        <f t="shared" si="478"/>
        <v>18.227</v>
      </c>
      <c r="F579" s="353">
        <f t="shared" si="478"/>
        <v>63.163</v>
      </c>
      <c r="G579" s="353">
        <f t="shared" si="478"/>
        <v>113.973</v>
      </c>
      <c r="H579" s="353">
        <f t="shared" si="478"/>
        <v>114.021</v>
      </c>
      <c r="I579" s="353">
        <f t="shared" si="478"/>
        <v>0</v>
      </c>
      <c r="J579" s="353">
        <f t="shared" si="478"/>
        <v>0</v>
      </c>
      <c r="K579" s="353">
        <f t="shared" si="478"/>
        <v>0</v>
      </c>
      <c r="L579" s="353">
        <f t="shared" si="478"/>
        <v>0</v>
      </c>
      <c r="M579" s="353">
        <f t="shared" si="478"/>
        <v>0</v>
      </c>
      <c r="N579" s="353">
        <f t="shared" si="478"/>
        <v>0</v>
      </c>
      <c r="O579" s="354">
        <f ca="1" t="shared" si="477"/>
        <v>405.924</v>
      </c>
      <c r="Q579" s="68"/>
      <c r="R579" s="141"/>
    </row>
    <row r="580" customHeight="1" spans="1:19">
      <c r="A580" s="61" t="s">
        <v>314</v>
      </c>
      <c r="B580" s="285" t="s">
        <v>75</v>
      </c>
      <c r="C580" s="355">
        <f>SUM(C570,C579)</f>
        <v>30.277</v>
      </c>
      <c r="D580" s="355">
        <f t="shared" ref="D580:N580" si="479">SUM(D570,D579)</f>
        <v>68.617</v>
      </c>
      <c r="E580" s="355">
        <f t="shared" si="479"/>
        <v>19.678</v>
      </c>
      <c r="F580" s="355">
        <f t="shared" si="479"/>
        <v>65.935</v>
      </c>
      <c r="G580" s="355">
        <f t="shared" si="479"/>
        <v>113.973</v>
      </c>
      <c r="H580" s="355">
        <f t="shared" si="479"/>
        <v>116.364</v>
      </c>
      <c r="I580" s="355">
        <f t="shared" si="479"/>
        <v>0</v>
      </c>
      <c r="J580" s="355">
        <f t="shared" si="479"/>
        <v>0</v>
      </c>
      <c r="K580" s="355">
        <f t="shared" si="479"/>
        <v>0</v>
      </c>
      <c r="L580" s="355">
        <f t="shared" si="479"/>
        <v>0</v>
      </c>
      <c r="M580" s="355">
        <f t="shared" si="479"/>
        <v>0</v>
      </c>
      <c r="N580" s="355">
        <f t="shared" si="479"/>
        <v>0</v>
      </c>
      <c r="O580" s="131">
        <f ca="1" t="shared" si="477"/>
        <v>414.844</v>
      </c>
    </row>
    <row r="581" customHeight="1" spans="1:19">
      <c r="A581" s="356" t="s">
        <v>315</v>
      </c>
      <c r="B581" s="50"/>
      <c r="C581" s="149"/>
      <c r="D581" s="149"/>
      <c r="E581" s="357"/>
      <c r="F581" s="116"/>
      <c r="G581" s="116"/>
      <c r="H581" s="116"/>
      <c r="I581" s="116"/>
      <c r="J581" s="116"/>
      <c r="K581" s="116"/>
      <c r="L581" s="116"/>
      <c r="M581" s="117"/>
      <c r="N581" s="116"/>
      <c r="O581" s="140"/>
      <c r="Q581" s="151"/>
    </row>
    <row r="582" customHeight="1" spans="1:19">
      <c r="A582" s="148" t="s">
        <v>316</v>
      </c>
      <c r="B582" s="50"/>
      <c r="C582" s="149"/>
      <c r="D582" s="149"/>
      <c r="E582" s="116"/>
      <c r="F582" s="116"/>
      <c r="G582" s="116"/>
      <c r="H582" s="116"/>
      <c r="I582" s="116"/>
      <c r="J582" s="116"/>
      <c r="K582" s="116"/>
      <c r="L582" s="357"/>
      <c r="M582" s="117"/>
      <c r="N582" s="116"/>
      <c r="O582" s="140">
        <f ca="1">IFERROR(O614/O563,0)</f>
        <v>0</v>
      </c>
      <c r="P582" s="38">
        <v>204638</v>
      </c>
    </row>
    <row r="583" customHeight="1" spans="1:19">
      <c r="A583" s="148" t="s">
        <v>317</v>
      </c>
      <c r="B583" s="50"/>
      <c r="C583" s="149"/>
      <c r="D583" s="149"/>
      <c r="E583" s="116"/>
      <c r="F583" s="116"/>
      <c r="G583" s="116"/>
      <c r="H583" s="149"/>
      <c r="I583" s="149"/>
      <c r="J583" s="149"/>
      <c r="K583" s="149"/>
      <c r="L583" s="125"/>
      <c r="M583" s="149"/>
      <c r="N583" s="116"/>
      <c r="O583" s="140">
        <f ca="1" t="shared" ref="O583:O588" si="480">IFERROR(O615/O564,0)</f>
        <v>0</v>
      </c>
      <c r="P583" s="350">
        <v>204582</v>
      </c>
      <c r="Q583" s="64"/>
    </row>
    <row r="584" customHeight="1" spans="1:19">
      <c r="A584" s="148" t="s">
        <v>318</v>
      </c>
      <c r="B584" s="50"/>
      <c r="C584" s="149"/>
      <c r="D584" s="149"/>
      <c r="E584" s="116"/>
      <c r="F584" s="116"/>
      <c r="G584" s="116"/>
      <c r="H584" s="116"/>
      <c r="I584" s="116"/>
      <c r="J584" s="149"/>
      <c r="K584" s="116"/>
      <c r="L584" s="125"/>
      <c r="M584" s="125"/>
      <c r="N584" s="116"/>
      <c r="O584" s="140">
        <f ca="1" t="shared" si="480"/>
        <v>0</v>
      </c>
      <c r="P584" s="38">
        <v>204564</v>
      </c>
      <c r="Q584" s="64"/>
    </row>
    <row r="585" customHeight="1" spans="1:19">
      <c r="A585" s="138" t="s">
        <v>319</v>
      </c>
      <c r="B585" s="50"/>
      <c r="C585" s="149"/>
      <c r="D585" s="149"/>
      <c r="E585" s="116"/>
      <c r="F585" s="116"/>
      <c r="G585" s="116"/>
      <c r="H585" s="116"/>
      <c r="I585" s="116"/>
      <c r="J585" s="149"/>
      <c r="K585" s="116"/>
      <c r="L585" s="125"/>
      <c r="M585" s="125"/>
      <c r="N585" s="116"/>
      <c r="O585" s="140">
        <f ca="1" t="shared" si="480"/>
        <v>0</v>
      </c>
      <c r="P585" s="38">
        <v>204520</v>
      </c>
      <c r="Q585" s="64"/>
    </row>
    <row r="586" customHeight="1" spans="1:19">
      <c r="A586" s="148" t="s">
        <v>320</v>
      </c>
      <c r="B586" s="50"/>
      <c r="C586" s="149"/>
      <c r="D586" s="149"/>
      <c r="E586" s="116"/>
      <c r="F586" s="116"/>
      <c r="G586" s="116"/>
      <c r="H586" s="116"/>
      <c r="I586" s="116"/>
      <c r="J586" s="149"/>
      <c r="K586" s="116"/>
      <c r="L586" s="125"/>
      <c r="M586" s="125"/>
      <c r="N586" s="116"/>
      <c r="O586" s="140">
        <f ca="1" t="shared" si="480"/>
        <v>0</v>
      </c>
      <c r="P586" s="38">
        <v>204522</v>
      </c>
      <c r="Q586" s="64"/>
    </row>
    <row r="587" customHeight="1" spans="1:19">
      <c r="A587" s="138" t="s">
        <v>321</v>
      </c>
      <c r="B587" s="50"/>
      <c r="C587" s="146">
        <v>2524.09012131716</v>
      </c>
      <c r="D587" s="116"/>
      <c r="E587" s="117">
        <v>2375.31977946244</v>
      </c>
      <c r="F587" s="116">
        <v>2381.19985569986</v>
      </c>
      <c r="G587" s="311"/>
      <c r="H587" s="116">
        <v>2504.67008109262</v>
      </c>
      <c r="I587" s="116">
        <v>2504.67008109262</v>
      </c>
      <c r="J587" s="116"/>
      <c r="K587" s="116"/>
      <c r="L587" s="116"/>
      <c r="M587" s="116"/>
      <c r="N587" s="116"/>
      <c r="O587" s="140">
        <f ca="1" t="shared" si="480"/>
        <v>2438.92707253886</v>
      </c>
      <c r="P587" s="38">
        <v>231968</v>
      </c>
      <c r="R587" s="141"/>
      <c r="S587" s="141"/>
    </row>
    <row r="588" customHeight="1" spans="1:19">
      <c r="A588" s="148" t="s">
        <v>322</v>
      </c>
      <c r="B588" s="50"/>
      <c r="C588" s="149">
        <v>6033.28</v>
      </c>
      <c r="D588" s="149"/>
      <c r="E588" s="282"/>
      <c r="F588" s="116"/>
      <c r="G588" s="116"/>
      <c r="H588" s="116"/>
      <c r="I588" s="116"/>
      <c r="J588" s="116"/>
      <c r="K588" s="116"/>
      <c r="L588" s="116"/>
      <c r="M588" s="116"/>
      <c r="N588" s="116"/>
      <c r="O588" s="140">
        <f ca="1" t="shared" si="480"/>
        <v>6033.28</v>
      </c>
      <c r="Q588" s="64"/>
    </row>
    <row r="589" customHeight="1" spans="1:19">
      <c r="A589" s="356" t="s">
        <v>323</v>
      </c>
      <c r="B589" s="50"/>
      <c r="C589" s="149"/>
      <c r="D589" s="149"/>
      <c r="E589" s="282"/>
      <c r="F589" s="116"/>
      <c r="G589" s="116"/>
      <c r="H589" s="116"/>
      <c r="I589" s="116"/>
      <c r="J589" s="116"/>
      <c r="K589" s="116"/>
      <c r="L589" s="116"/>
      <c r="M589" s="116"/>
      <c r="N589" s="116"/>
      <c r="O589" s="140"/>
      <c r="Q589" s="64"/>
    </row>
    <row r="590" customHeight="1" spans="1:19">
      <c r="A590" s="148" t="s">
        <v>316</v>
      </c>
      <c r="B590" s="50"/>
      <c r="C590" s="149"/>
      <c r="D590" s="149">
        <v>2219.98987133863</v>
      </c>
      <c r="E590" s="149">
        <v>2054.35</v>
      </c>
      <c r="F590" s="149">
        <v>2124.21997325011</v>
      </c>
      <c r="G590" s="149"/>
      <c r="H590" s="149">
        <v>2179.16999315693</v>
      </c>
      <c r="I590" s="149"/>
      <c r="J590" s="149"/>
      <c r="K590" s="149"/>
      <c r="L590" s="149"/>
      <c r="M590" s="149"/>
      <c r="N590" s="149"/>
      <c r="O590" s="140">
        <f ca="1">IFERROR(O623/O572,0)</f>
        <v>2148.75669613621</v>
      </c>
      <c r="P590" s="38">
        <v>204638</v>
      </c>
    </row>
    <row r="591" customHeight="1" spans="1:19">
      <c r="A591" s="148" t="s">
        <v>317</v>
      </c>
      <c r="B591" s="50"/>
      <c r="C591" s="149">
        <v>2425.29000512558</v>
      </c>
      <c r="D591" s="149">
        <v>2408.22997820757</v>
      </c>
      <c r="E591" s="149">
        <v>2227.96992635025</v>
      </c>
      <c r="F591" s="149">
        <v>2303.7800032175</v>
      </c>
      <c r="G591" s="149">
        <v>2314.30999637302</v>
      </c>
      <c r="H591" s="149">
        <v>2363.06999641962</v>
      </c>
      <c r="I591" s="149"/>
      <c r="J591" s="149"/>
      <c r="K591" s="149"/>
      <c r="L591" s="149"/>
      <c r="M591" s="149"/>
      <c r="N591" s="149"/>
      <c r="O591" s="140">
        <f ca="1" t="shared" ref="O591:O596" si="481">IFERROR(O624/O573,0)</f>
        <v>2338.01394470574</v>
      </c>
      <c r="P591" s="350">
        <v>204582</v>
      </c>
      <c r="Q591" s="64"/>
    </row>
    <row r="592" customHeight="1" spans="1:19">
      <c r="A592" s="148" t="s">
        <v>318</v>
      </c>
      <c r="B592" s="50"/>
      <c r="C592" s="149">
        <v>2487.42986557569</v>
      </c>
      <c r="D592" s="149"/>
      <c r="E592" s="149"/>
      <c r="F592" s="149"/>
      <c r="G592" s="149">
        <v>2640.95996775927</v>
      </c>
      <c r="H592" s="149"/>
      <c r="I592" s="149"/>
      <c r="J592" s="149"/>
      <c r="K592" s="149"/>
      <c r="L592" s="149"/>
      <c r="M592" s="149"/>
      <c r="N592" s="149"/>
      <c r="O592" s="140">
        <f ca="1" t="shared" si="481"/>
        <v>2567.41853303472</v>
      </c>
      <c r="P592" s="38">
        <v>204564</v>
      </c>
      <c r="Q592" s="64"/>
    </row>
    <row r="593" customHeight="1" spans="1:19">
      <c r="A593" s="138" t="s">
        <v>319</v>
      </c>
      <c r="B593" s="50"/>
      <c r="C593" s="149">
        <v>2601.86832740214</v>
      </c>
      <c r="D593" s="149">
        <v>2516.08955223881</v>
      </c>
      <c r="E593" s="149"/>
      <c r="F593" s="149"/>
      <c r="G593" s="149">
        <v>2762.55882352941</v>
      </c>
      <c r="H593" s="149">
        <v>2629.83941605839</v>
      </c>
      <c r="I593" s="149"/>
      <c r="J593" s="149"/>
      <c r="K593" s="149"/>
      <c r="L593" s="149"/>
      <c r="M593" s="149"/>
      <c r="N593" s="149"/>
      <c r="O593" s="140">
        <f ca="1" t="shared" si="481"/>
        <v>2628.01704545455</v>
      </c>
      <c r="P593" s="38">
        <v>204520</v>
      </c>
      <c r="Q593" s="64"/>
    </row>
    <row r="594" customHeight="1" spans="1:19">
      <c r="A594" s="148" t="s">
        <v>320</v>
      </c>
      <c r="B594" s="50"/>
      <c r="C594" s="149">
        <v>2749.18997580366</v>
      </c>
      <c r="D594" s="149">
        <v>2862.88001019022</v>
      </c>
      <c r="E594" s="149">
        <v>2588.55053908356</v>
      </c>
      <c r="F594" s="149">
        <v>2883.75990990991</v>
      </c>
      <c r="G594" s="149">
        <v>2660.05996456216</v>
      </c>
      <c r="H594" s="149">
        <v>2738.40005214671</v>
      </c>
      <c r="I594" s="149"/>
      <c r="J594" s="149"/>
      <c r="K594" s="149"/>
      <c r="L594" s="149"/>
      <c r="M594" s="149"/>
      <c r="N594" s="149"/>
      <c r="O594" s="140">
        <f ca="1" t="shared" si="481"/>
        <v>2788.76565512505</v>
      </c>
      <c r="P594" s="38">
        <v>204522</v>
      </c>
      <c r="Q594" s="64"/>
    </row>
    <row r="595" customHeight="1" spans="1:19">
      <c r="A595" s="138" t="s">
        <v>321</v>
      </c>
      <c r="B595" s="50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0">
        <f ca="1" t="shared" si="481"/>
        <v>0</v>
      </c>
      <c r="P595" s="38">
        <v>231968</v>
      </c>
      <c r="R595" s="141"/>
      <c r="S595" s="141"/>
    </row>
    <row r="596" customHeight="1" spans="1:19">
      <c r="A596" s="148" t="s">
        <v>322</v>
      </c>
      <c r="B596" s="50"/>
      <c r="C596" s="149"/>
      <c r="D596" s="149"/>
      <c r="E596" s="149">
        <v>4127.96083916084</v>
      </c>
      <c r="F596" s="149"/>
      <c r="G596" s="149"/>
      <c r="H596" s="149"/>
      <c r="I596" s="149"/>
      <c r="J596" s="149"/>
      <c r="K596" s="149"/>
      <c r="L596" s="149"/>
      <c r="M596" s="149"/>
      <c r="N596" s="149"/>
      <c r="O596" s="140">
        <f ca="1" t="shared" si="481"/>
        <v>4127.96083916084</v>
      </c>
      <c r="P596" s="38">
        <v>290284</v>
      </c>
      <c r="Q596" s="64"/>
    </row>
    <row r="597" customHeight="1" spans="1:19">
      <c r="A597" s="356" t="s">
        <v>324</v>
      </c>
      <c r="B597" s="50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76"/>
      <c r="P597" s="68"/>
    </row>
    <row r="598" customHeight="1" spans="1:19">
      <c r="A598" s="148" t="s">
        <v>170</v>
      </c>
      <c r="B598" s="50"/>
      <c r="C598" s="149">
        <f>C582*1.13</f>
        <v>0</v>
      </c>
      <c r="D598" s="149">
        <f t="shared" ref="D598:D604" si="482">D582*1.13</f>
        <v>0</v>
      </c>
      <c r="E598" s="149">
        <f t="shared" ref="E598:E604" si="483">E582*1.13</f>
        <v>0</v>
      </c>
      <c r="F598" s="149">
        <f t="shared" ref="F598:F604" si="484">F582*1.13</f>
        <v>0</v>
      </c>
      <c r="G598" s="149">
        <f t="shared" ref="G598:N598" si="485">G582*1.13</f>
        <v>0</v>
      </c>
      <c r="H598" s="149">
        <f t="shared" si="485"/>
        <v>0</v>
      </c>
      <c r="I598" s="149">
        <f t="shared" si="485"/>
        <v>0</v>
      </c>
      <c r="J598" s="149">
        <f t="shared" si="485"/>
        <v>0</v>
      </c>
      <c r="K598" s="149">
        <f t="shared" si="485"/>
        <v>0</v>
      </c>
      <c r="L598" s="149">
        <f t="shared" si="485"/>
        <v>0</v>
      </c>
      <c r="M598" s="149">
        <f t="shared" si="485"/>
        <v>0</v>
      </c>
      <c r="N598" s="149">
        <f t="shared" si="485"/>
        <v>0</v>
      </c>
      <c r="O598" s="176">
        <f ca="1">IF(ROUND(O563,2)=0,,O633/O563)</f>
        <v>0</v>
      </c>
    </row>
    <row r="599" customHeight="1" spans="1:19">
      <c r="A599" s="148" t="s">
        <v>171</v>
      </c>
      <c r="B599" s="50"/>
      <c r="C599" s="149">
        <f t="shared" ref="C599:C604" si="486">C583*1.13</f>
        <v>0</v>
      </c>
      <c r="D599" s="149">
        <f t="shared" si="482"/>
        <v>0</v>
      </c>
      <c r="E599" s="149">
        <f t="shared" si="483"/>
        <v>0</v>
      </c>
      <c r="F599" s="149">
        <f t="shared" si="484"/>
        <v>0</v>
      </c>
      <c r="G599" s="149">
        <f t="shared" ref="G599:N599" si="487">G583*1.13</f>
        <v>0</v>
      </c>
      <c r="H599" s="149">
        <f t="shared" si="487"/>
        <v>0</v>
      </c>
      <c r="I599" s="149">
        <f t="shared" si="487"/>
        <v>0</v>
      </c>
      <c r="J599" s="149">
        <f t="shared" si="487"/>
        <v>0</v>
      </c>
      <c r="K599" s="149">
        <f t="shared" si="487"/>
        <v>0</v>
      </c>
      <c r="L599" s="149">
        <f t="shared" si="487"/>
        <v>0</v>
      </c>
      <c r="M599" s="149">
        <f t="shared" si="487"/>
        <v>0</v>
      </c>
      <c r="N599" s="149">
        <f t="shared" si="487"/>
        <v>0</v>
      </c>
      <c r="O599" s="176">
        <f ca="1" t="shared" ref="O599:O604" si="488">IF(ROUND(O564,2)=0,,O634/O564)</f>
        <v>0</v>
      </c>
      <c r="P599" s="68"/>
    </row>
    <row r="600" customHeight="1" spans="1:19">
      <c r="A600" s="148" t="s">
        <v>172</v>
      </c>
      <c r="B600" s="50"/>
      <c r="C600" s="149">
        <f t="shared" si="486"/>
        <v>0</v>
      </c>
      <c r="D600" s="149">
        <f t="shared" si="482"/>
        <v>0</v>
      </c>
      <c r="E600" s="149">
        <f t="shared" si="483"/>
        <v>0</v>
      </c>
      <c r="F600" s="149">
        <f t="shared" si="484"/>
        <v>0</v>
      </c>
      <c r="G600" s="149">
        <f t="shared" ref="G600:N600" si="489">G584*1.13</f>
        <v>0</v>
      </c>
      <c r="H600" s="149">
        <f t="shared" si="489"/>
        <v>0</v>
      </c>
      <c r="I600" s="149">
        <f t="shared" si="489"/>
        <v>0</v>
      </c>
      <c r="J600" s="149">
        <f t="shared" si="489"/>
        <v>0</v>
      </c>
      <c r="K600" s="149">
        <f t="shared" si="489"/>
        <v>0</v>
      </c>
      <c r="L600" s="149">
        <f t="shared" si="489"/>
        <v>0</v>
      </c>
      <c r="M600" s="149">
        <f t="shared" si="489"/>
        <v>0</v>
      </c>
      <c r="N600" s="149">
        <f t="shared" si="489"/>
        <v>0</v>
      </c>
      <c r="O600" s="176">
        <f ca="1" t="shared" si="488"/>
        <v>0</v>
      </c>
    </row>
    <row r="601" customHeight="1" spans="1:19">
      <c r="A601" s="148" t="s">
        <v>173</v>
      </c>
      <c r="B601" s="50"/>
      <c r="C601" s="149">
        <f t="shared" si="486"/>
        <v>0</v>
      </c>
      <c r="D601" s="149">
        <f t="shared" si="482"/>
        <v>0</v>
      </c>
      <c r="E601" s="149">
        <f t="shared" si="483"/>
        <v>0</v>
      </c>
      <c r="F601" s="149">
        <f t="shared" si="484"/>
        <v>0</v>
      </c>
      <c r="G601" s="149">
        <f t="shared" ref="G601:N601" si="490">G585*1.13</f>
        <v>0</v>
      </c>
      <c r="H601" s="149">
        <f t="shared" si="490"/>
        <v>0</v>
      </c>
      <c r="I601" s="149">
        <f t="shared" si="490"/>
        <v>0</v>
      </c>
      <c r="J601" s="149">
        <f t="shared" si="490"/>
        <v>0</v>
      </c>
      <c r="K601" s="149">
        <f t="shared" si="490"/>
        <v>0</v>
      </c>
      <c r="L601" s="149">
        <f t="shared" si="490"/>
        <v>0</v>
      </c>
      <c r="M601" s="149">
        <f t="shared" si="490"/>
        <v>0</v>
      </c>
      <c r="N601" s="149">
        <f t="shared" si="490"/>
        <v>0</v>
      </c>
      <c r="O601" s="176">
        <f ca="1" t="shared" si="488"/>
        <v>0</v>
      </c>
    </row>
    <row r="602" customHeight="1" spans="1:19">
      <c r="A602" s="148" t="s">
        <v>174</v>
      </c>
      <c r="B602" s="50"/>
      <c r="C602" s="149">
        <f t="shared" si="486"/>
        <v>0</v>
      </c>
      <c r="D602" s="149">
        <f t="shared" si="482"/>
        <v>0</v>
      </c>
      <c r="E602" s="149">
        <f t="shared" si="483"/>
        <v>0</v>
      </c>
      <c r="F602" s="149">
        <f t="shared" si="484"/>
        <v>0</v>
      </c>
      <c r="G602" s="149">
        <f t="shared" ref="G602:N602" si="491">G586*1.13</f>
        <v>0</v>
      </c>
      <c r="H602" s="149">
        <f t="shared" si="491"/>
        <v>0</v>
      </c>
      <c r="I602" s="149">
        <f t="shared" si="491"/>
        <v>0</v>
      </c>
      <c r="J602" s="149">
        <f t="shared" si="491"/>
        <v>0</v>
      </c>
      <c r="K602" s="149">
        <f t="shared" si="491"/>
        <v>0</v>
      </c>
      <c r="L602" s="149">
        <f t="shared" si="491"/>
        <v>0</v>
      </c>
      <c r="M602" s="149">
        <f t="shared" si="491"/>
        <v>0</v>
      </c>
      <c r="N602" s="149">
        <f t="shared" si="491"/>
        <v>0</v>
      </c>
      <c r="O602" s="176">
        <f ca="1" t="shared" si="488"/>
        <v>0</v>
      </c>
    </row>
    <row r="603" customHeight="1" spans="1:19">
      <c r="A603" s="148" t="s">
        <v>175</v>
      </c>
      <c r="B603" s="50"/>
      <c r="C603" s="149">
        <f t="shared" si="486"/>
        <v>2852.22183708839</v>
      </c>
      <c r="D603" s="149">
        <f t="shared" si="482"/>
        <v>0</v>
      </c>
      <c r="E603" s="149">
        <f t="shared" si="483"/>
        <v>2684.11135079256</v>
      </c>
      <c r="F603" s="149">
        <f t="shared" si="484"/>
        <v>2690.75583694084</v>
      </c>
      <c r="G603" s="149">
        <f t="shared" ref="G603:N603" si="492">G587*1.13</f>
        <v>0</v>
      </c>
      <c r="H603" s="149">
        <f t="shared" si="492"/>
        <v>2830.27719163466</v>
      </c>
      <c r="I603" s="149">
        <f t="shared" si="492"/>
        <v>2830.27719163466</v>
      </c>
      <c r="J603" s="149">
        <f t="shared" si="492"/>
        <v>0</v>
      </c>
      <c r="K603" s="149">
        <f t="shared" si="492"/>
        <v>0</v>
      </c>
      <c r="L603" s="149">
        <f t="shared" si="492"/>
        <v>0</v>
      </c>
      <c r="M603" s="149">
        <f t="shared" si="492"/>
        <v>0</v>
      </c>
      <c r="N603" s="149">
        <f t="shared" si="492"/>
        <v>0</v>
      </c>
      <c r="O603" s="176">
        <f ca="1" t="shared" si="488"/>
        <v>2755.98759196891</v>
      </c>
    </row>
    <row r="604" customHeight="1" spans="1:19">
      <c r="A604" s="148" t="s">
        <v>176</v>
      </c>
      <c r="B604" s="50"/>
      <c r="C604" s="149">
        <f t="shared" si="486"/>
        <v>6817.6064</v>
      </c>
      <c r="D604" s="149">
        <f t="shared" si="482"/>
        <v>0</v>
      </c>
      <c r="E604" s="149">
        <f t="shared" si="483"/>
        <v>0</v>
      </c>
      <c r="F604" s="149">
        <f t="shared" si="484"/>
        <v>0</v>
      </c>
      <c r="G604" s="149">
        <f t="shared" ref="G604:N604" si="493">G588*1.13</f>
        <v>0</v>
      </c>
      <c r="H604" s="149">
        <f t="shared" si="493"/>
        <v>0</v>
      </c>
      <c r="I604" s="149">
        <f t="shared" si="493"/>
        <v>0</v>
      </c>
      <c r="J604" s="149">
        <f t="shared" si="493"/>
        <v>0</v>
      </c>
      <c r="K604" s="149">
        <f t="shared" si="493"/>
        <v>0</v>
      </c>
      <c r="L604" s="149">
        <f t="shared" si="493"/>
        <v>0</v>
      </c>
      <c r="M604" s="149">
        <f t="shared" si="493"/>
        <v>0</v>
      </c>
      <c r="N604" s="149">
        <f t="shared" si="493"/>
        <v>0</v>
      </c>
      <c r="O604" s="176">
        <f ca="1" t="shared" si="488"/>
        <v>6817.6064</v>
      </c>
    </row>
    <row r="605" customHeight="1" spans="1:19">
      <c r="A605" s="356" t="s">
        <v>325</v>
      </c>
      <c r="B605" s="50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76"/>
      <c r="P605" s="68"/>
    </row>
    <row r="606" customHeight="1" spans="1:19">
      <c r="A606" s="148" t="s">
        <v>170</v>
      </c>
      <c r="B606" s="50"/>
      <c r="C606" s="149">
        <f>C590*1.13</f>
        <v>0</v>
      </c>
      <c r="D606" s="149">
        <f t="shared" ref="D606:D612" si="494">D590*1.13</f>
        <v>2508.58855461265</v>
      </c>
      <c r="E606" s="149">
        <f t="shared" ref="E606:E612" si="495">E590*1.13</f>
        <v>2321.4155</v>
      </c>
      <c r="F606" s="149">
        <f t="shared" ref="F606:F612" si="496">F590*1.13</f>
        <v>2400.36856977262</v>
      </c>
      <c r="G606" s="149">
        <f t="shared" ref="G606:N606" si="497">G590*1.13</f>
        <v>0</v>
      </c>
      <c r="H606" s="149">
        <f t="shared" si="497"/>
        <v>2462.46209226734</v>
      </c>
      <c r="I606" s="149">
        <f t="shared" si="497"/>
        <v>0</v>
      </c>
      <c r="J606" s="149">
        <f t="shared" si="497"/>
        <v>0</v>
      </c>
      <c r="K606" s="149">
        <f t="shared" si="497"/>
        <v>0</v>
      </c>
      <c r="L606" s="149">
        <f t="shared" si="497"/>
        <v>0</v>
      </c>
      <c r="M606" s="149">
        <f t="shared" si="497"/>
        <v>0</v>
      </c>
      <c r="N606" s="149">
        <f t="shared" si="497"/>
        <v>0</v>
      </c>
      <c r="O606" s="176">
        <f ca="1">IF(ROUND(O572,2)=0,,O642/O572)</f>
        <v>2428.09506663392</v>
      </c>
    </row>
    <row r="607" customHeight="1" spans="1:19">
      <c r="A607" s="148" t="s">
        <v>171</v>
      </c>
      <c r="B607" s="50"/>
      <c r="C607" s="149">
        <f t="shared" ref="C607:C612" si="498">C591*1.13</f>
        <v>2740.5777057919</v>
      </c>
      <c r="D607" s="149">
        <f t="shared" si="494"/>
        <v>2721.29987537455</v>
      </c>
      <c r="E607" s="149">
        <f t="shared" si="495"/>
        <v>2517.60601677578</v>
      </c>
      <c r="F607" s="149">
        <f t="shared" si="496"/>
        <v>2603.27140363577</v>
      </c>
      <c r="G607" s="149">
        <f t="shared" ref="G607:N607" si="499">G591*1.13</f>
        <v>2615.17029590151</v>
      </c>
      <c r="H607" s="149">
        <f t="shared" si="499"/>
        <v>2670.26909595417</v>
      </c>
      <c r="I607" s="149">
        <f t="shared" si="499"/>
        <v>0</v>
      </c>
      <c r="J607" s="149">
        <f t="shared" si="499"/>
        <v>0</v>
      </c>
      <c r="K607" s="149">
        <f t="shared" si="499"/>
        <v>0</v>
      </c>
      <c r="L607" s="149">
        <f t="shared" si="499"/>
        <v>0</v>
      </c>
      <c r="M607" s="149">
        <f t="shared" si="499"/>
        <v>0</v>
      </c>
      <c r="N607" s="149">
        <f t="shared" si="499"/>
        <v>0</v>
      </c>
      <c r="O607" s="176">
        <f ca="1" t="shared" ref="O607:O612" si="500">IF(ROUND(O573,2)=0,,O643/O573)</f>
        <v>2641.95575751749</v>
      </c>
      <c r="P607" s="68"/>
    </row>
    <row r="608" customHeight="1" spans="1:19">
      <c r="A608" s="148" t="s">
        <v>172</v>
      </c>
      <c r="B608" s="50"/>
      <c r="C608" s="149">
        <f t="shared" si="498"/>
        <v>2810.79574810053</v>
      </c>
      <c r="D608" s="149">
        <f t="shared" si="494"/>
        <v>0</v>
      </c>
      <c r="E608" s="149">
        <f t="shared" si="495"/>
        <v>0</v>
      </c>
      <c r="F608" s="149">
        <f t="shared" si="496"/>
        <v>0</v>
      </c>
      <c r="G608" s="149">
        <f t="shared" ref="G608:N608" si="501">G592*1.13</f>
        <v>2984.28476356797</v>
      </c>
      <c r="H608" s="149">
        <f t="shared" si="501"/>
        <v>0</v>
      </c>
      <c r="I608" s="149">
        <f t="shared" si="501"/>
        <v>0</v>
      </c>
      <c r="J608" s="149">
        <f t="shared" si="501"/>
        <v>0</v>
      </c>
      <c r="K608" s="149">
        <f t="shared" si="501"/>
        <v>0</v>
      </c>
      <c r="L608" s="149">
        <f t="shared" si="501"/>
        <v>0</v>
      </c>
      <c r="M608" s="149">
        <f t="shared" si="501"/>
        <v>0</v>
      </c>
      <c r="N608" s="149">
        <f t="shared" si="501"/>
        <v>0</v>
      </c>
      <c r="O608" s="176">
        <f ca="1" t="shared" si="500"/>
        <v>2901.18294232923</v>
      </c>
    </row>
    <row r="609" customHeight="1" spans="1:15">
      <c r="A609" s="148" t="s">
        <v>173</v>
      </c>
      <c r="B609" s="50"/>
      <c r="C609" s="149">
        <f t="shared" si="498"/>
        <v>2940.11120996441</v>
      </c>
      <c r="D609" s="149">
        <f t="shared" si="494"/>
        <v>2843.18119402985</v>
      </c>
      <c r="E609" s="149">
        <f t="shared" si="495"/>
        <v>0</v>
      </c>
      <c r="F609" s="149">
        <f t="shared" si="496"/>
        <v>0</v>
      </c>
      <c r="G609" s="149">
        <f t="shared" ref="G609:N609" si="502">G593*1.13</f>
        <v>3121.69147058823</v>
      </c>
      <c r="H609" s="149">
        <f t="shared" si="502"/>
        <v>2971.71854014599</v>
      </c>
      <c r="I609" s="149">
        <f t="shared" si="502"/>
        <v>0</v>
      </c>
      <c r="J609" s="149">
        <f t="shared" si="502"/>
        <v>0</v>
      </c>
      <c r="K609" s="149">
        <f t="shared" si="502"/>
        <v>0</v>
      </c>
      <c r="L609" s="149">
        <f t="shared" si="502"/>
        <v>0</v>
      </c>
      <c r="M609" s="149">
        <f t="shared" si="502"/>
        <v>0</v>
      </c>
      <c r="N609" s="149">
        <f t="shared" si="502"/>
        <v>0</v>
      </c>
      <c r="O609" s="176">
        <f ca="1" t="shared" si="500"/>
        <v>2969.65926136364</v>
      </c>
    </row>
    <row r="610" customHeight="1" spans="1:15">
      <c r="A610" s="148" t="s">
        <v>174</v>
      </c>
      <c r="B610" s="50"/>
      <c r="C610" s="149">
        <f t="shared" si="498"/>
        <v>3106.58467265814</v>
      </c>
      <c r="D610" s="149">
        <f t="shared" si="494"/>
        <v>3235.05441151495</v>
      </c>
      <c r="E610" s="149">
        <f t="shared" si="495"/>
        <v>2925.06210916442</v>
      </c>
      <c r="F610" s="149">
        <f t="shared" si="496"/>
        <v>3258.6486981982</v>
      </c>
      <c r="G610" s="149">
        <f t="shared" ref="G610:N610" si="503">G594*1.13</f>
        <v>3005.86775995524</v>
      </c>
      <c r="H610" s="149">
        <f t="shared" si="503"/>
        <v>3094.39205892578</v>
      </c>
      <c r="I610" s="149">
        <f t="shared" si="503"/>
        <v>0</v>
      </c>
      <c r="J610" s="149">
        <f t="shared" si="503"/>
        <v>0</v>
      </c>
      <c r="K610" s="149">
        <f t="shared" si="503"/>
        <v>0</v>
      </c>
      <c r="L610" s="149">
        <f t="shared" si="503"/>
        <v>0</v>
      </c>
      <c r="M610" s="149">
        <f t="shared" si="503"/>
        <v>0</v>
      </c>
      <c r="N610" s="149">
        <f t="shared" si="503"/>
        <v>0</v>
      </c>
      <c r="O610" s="176">
        <f ca="1" t="shared" si="500"/>
        <v>3151.30519029131</v>
      </c>
    </row>
    <row r="611" customHeight="1" spans="1:15">
      <c r="A611" s="148" t="s">
        <v>175</v>
      </c>
      <c r="B611" s="50"/>
      <c r="C611" s="149">
        <f t="shared" si="498"/>
        <v>0</v>
      </c>
      <c r="D611" s="149">
        <f t="shared" si="494"/>
        <v>0</v>
      </c>
      <c r="E611" s="149">
        <f t="shared" si="495"/>
        <v>0</v>
      </c>
      <c r="F611" s="149">
        <f t="shared" si="496"/>
        <v>0</v>
      </c>
      <c r="G611" s="149">
        <f t="shared" ref="G611:N611" si="504">G595*1.13</f>
        <v>0</v>
      </c>
      <c r="H611" s="149">
        <f t="shared" si="504"/>
        <v>0</v>
      </c>
      <c r="I611" s="149">
        <f t="shared" si="504"/>
        <v>0</v>
      </c>
      <c r="J611" s="149">
        <f t="shared" si="504"/>
        <v>0</v>
      </c>
      <c r="K611" s="149">
        <f t="shared" si="504"/>
        <v>0</v>
      </c>
      <c r="L611" s="149">
        <f t="shared" si="504"/>
        <v>0</v>
      </c>
      <c r="M611" s="149">
        <f t="shared" si="504"/>
        <v>0</v>
      </c>
      <c r="N611" s="149">
        <f t="shared" si="504"/>
        <v>0</v>
      </c>
      <c r="O611" s="176">
        <f ca="1" t="shared" si="500"/>
        <v>0</v>
      </c>
    </row>
    <row r="612" customHeight="1" spans="1:15">
      <c r="A612" s="148" t="s">
        <v>176</v>
      </c>
      <c r="B612" s="50"/>
      <c r="C612" s="149">
        <f t="shared" si="498"/>
        <v>0</v>
      </c>
      <c r="D612" s="149">
        <f t="shared" si="494"/>
        <v>0</v>
      </c>
      <c r="E612" s="149">
        <f t="shared" si="495"/>
        <v>4664.59574825175</v>
      </c>
      <c r="F612" s="149">
        <f t="shared" si="496"/>
        <v>0</v>
      </c>
      <c r="G612" s="149">
        <f t="shared" ref="G612:N612" si="505">G596*1.13</f>
        <v>0</v>
      </c>
      <c r="H612" s="149">
        <f t="shared" si="505"/>
        <v>0</v>
      </c>
      <c r="I612" s="149">
        <f t="shared" si="505"/>
        <v>0</v>
      </c>
      <c r="J612" s="149">
        <f t="shared" si="505"/>
        <v>0</v>
      </c>
      <c r="K612" s="149">
        <f t="shared" si="505"/>
        <v>0</v>
      </c>
      <c r="L612" s="149">
        <f t="shared" si="505"/>
        <v>0</v>
      </c>
      <c r="M612" s="149">
        <f t="shared" si="505"/>
        <v>0</v>
      </c>
      <c r="N612" s="149">
        <f t="shared" si="505"/>
        <v>0</v>
      </c>
      <c r="O612" s="176">
        <f ca="1" t="shared" si="500"/>
        <v>4664.59574825175</v>
      </c>
    </row>
    <row r="613" customHeight="1" spans="1:15">
      <c r="A613" s="358" t="s">
        <v>326</v>
      </c>
      <c r="B613" s="50" t="s">
        <v>327</v>
      </c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131"/>
    </row>
    <row r="614" customHeight="1" spans="1:15">
      <c r="A614" s="160" t="s">
        <v>170</v>
      </c>
      <c r="B614" s="50" t="s">
        <v>327</v>
      </c>
      <c r="C614" s="52">
        <f>C563*C582</f>
        <v>0</v>
      </c>
      <c r="D614" s="52">
        <f t="shared" ref="D614:N614" si="506">D563*D582</f>
        <v>0</v>
      </c>
      <c r="E614" s="52">
        <f t="shared" si="506"/>
        <v>0</v>
      </c>
      <c r="F614" s="52">
        <f t="shared" si="506"/>
        <v>0</v>
      </c>
      <c r="G614" s="52">
        <f t="shared" si="506"/>
        <v>0</v>
      </c>
      <c r="H614" s="52">
        <f t="shared" si="506"/>
        <v>0</v>
      </c>
      <c r="I614" s="52">
        <f t="shared" si="506"/>
        <v>0</v>
      </c>
      <c r="J614" s="52">
        <f t="shared" si="506"/>
        <v>0</v>
      </c>
      <c r="K614" s="52">
        <f t="shared" si="506"/>
        <v>0</v>
      </c>
      <c r="L614" s="52">
        <f t="shared" si="506"/>
        <v>0</v>
      </c>
      <c r="M614" s="52">
        <f t="shared" si="506"/>
        <v>0</v>
      </c>
      <c r="N614" s="52">
        <f t="shared" si="506"/>
        <v>0</v>
      </c>
      <c r="O614" s="131">
        <f ca="1">SUM(OFFSET($C614,0,0,1,mth))</f>
        <v>0</v>
      </c>
    </row>
    <row r="615" customHeight="1" spans="1:15">
      <c r="A615" s="160" t="s">
        <v>171</v>
      </c>
      <c r="B615" s="50" t="s">
        <v>327</v>
      </c>
      <c r="C615" s="52">
        <f t="shared" ref="C615:N615" si="507">C564*C583</f>
        <v>0</v>
      </c>
      <c r="D615" s="52">
        <f t="shared" si="507"/>
        <v>0</v>
      </c>
      <c r="E615" s="52">
        <f t="shared" si="507"/>
        <v>0</v>
      </c>
      <c r="F615" s="52">
        <f t="shared" si="507"/>
        <v>0</v>
      </c>
      <c r="G615" s="52">
        <f t="shared" si="507"/>
        <v>0</v>
      </c>
      <c r="H615" s="52">
        <f t="shared" si="507"/>
        <v>0</v>
      </c>
      <c r="I615" s="52">
        <f t="shared" si="507"/>
        <v>0</v>
      </c>
      <c r="J615" s="52">
        <f t="shared" si="507"/>
        <v>0</v>
      </c>
      <c r="K615" s="52">
        <f t="shared" si="507"/>
        <v>0</v>
      </c>
      <c r="L615" s="52">
        <f t="shared" si="507"/>
        <v>0</v>
      </c>
      <c r="M615" s="52">
        <f t="shared" si="507"/>
        <v>0</v>
      </c>
      <c r="N615" s="52">
        <f t="shared" si="507"/>
        <v>0</v>
      </c>
      <c r="O615" s="131">
        <f ca="1" t="shared" ref="O615:O639" si="508">SUM(OFFSET($C615,0,0,1,mth))</f>
        <v>0</v>
      </c>
    </row>
    <row r="616" customHeight="1" spans="1:15">
      <c r="A616" s="160" t="s">
        <v>172</v>
      </c>
      <c r="B616" s="50" t="s">
        <v>327</v>
      </c>
      <c r="C616" s="52">
        <f t="shared" ref="C616:N616" si="509">C565*C584</f>
        <v>0</v>
      </c>
      <c r="D616" s="52">
        <f t="shared" si="509"/>
        <v>0</v>
      </c>
      <c r="E616" s="52">
        <f t="shared" si="509"/>
        <v>0</v>
      </c>
      <c r="F616" s="52">
        <f t="shared" si="509"/>
        <v>0</v>
      </c>
      <c r="G616" s="52">
        <f t="shared" si="509"/>
        <v>0</v>
      </c>
      <c r="H616" s="52">
        <f t="shared" si="509"/>
        <v>0</v>
      </c>
      <c r="I616" s="52">
        <f t="shared" si="509"/>
        <v>0</v>
      </c>
      <c r="J616" s="52">
        <f t="shared" si="509"/>
        <v>0</v>
      </c>
      <c r="K616" s="52">
        <f t="shared" si="509"/>
        <v>0</v>
      </c>
      <c r="L616" s="52">
        <f t="shared" si="509"/>
        <v>0</v>
      </c>
      <c r="M616" s="52">
        <f t="shared" si="509"/>
        <v>0</v>
      </c>
      <c r="N616" s="52">
        <f t="shared" si="509"/>
        <v>0</v>
      </c>
      <c r="O616" s="131">
        <f ca="1" t="shared" si="508"/>
        <v>0</v>
      </c>
    </row>
    <row r="617" customHeight="1" spans="1:15">
      <c r="A617" s="160" t="s">
        <v>173</v>
      </c>
      <c r="B617" s="50" t="s">
        <v>327</v>
      </c>
      <c r="C617" s="52">
        <f t="shared" ref="C617:N617" si="510">C566*C585</f>
        <v>0</v>
      </c>
      <c r="D617" s="52">
        <f t="shared" si="510"/>
        <v>0</v>
      </c>
      <c r="E617" s="52">
        <f t="shared" si="510"/>
        <v>0</v>
      </c>
      <c r="F617" s="52">
        <f t="shared" si="510"/>
        <v>0</v>
      </c>
      <c r="G617" s="52">
        <f t="shared" si="510"/>
        <v>0</v>
      </c>
      <c r="H617" s="52">
        <f t="shared" si="510"/>
        <v>0</v>
      </c>
      <c r="I617" s="52">
        <f t="shared" si="510"/>
        <v>0</v>
      </c>
      <c r="J617" s="52">
        <f t="shared" si="510"/>
        <v>0</v>
      </c>
      <c r="K617" s="52">
        <f t="shared" si="510"/>
        <v>0</v>
      </c>
      <c r="L617" s="52">
        <f t="shared" si="510"/>
        <v>0</v>
      </c>
      <c r="M617" s="52">
        <f t="shared" si="510"/>
        <v>0</v>
      </c>
      <c r="N617" s="52">
        <f t="shared" si="510"/>
        <v>0</v>
      </c>
      <c r="O617" s="131">
        <f ca="1" t="shared" si="508"/>
        <v>0</v>
      </c>
    </row>
    <row r="618" customHeight="1" spans="1:15">
      <c r="A618" s="160" t="s">
        <v>174</v>
      </c>
      <c r="B618" s="50" t="s">
        <v>327</v>
      </c>
      <c r="C618" s="52">
        <f>C567*C586</f>
        <v>0</v>
      </c>
      <c r="D618" s="52">
        <f t="shared" ref="D618:N618" si="511">D567*D586</f>
        <v>0</v>
      </c>
      <c r="E618" s="52">
        <f t="shared" si="511"/>
        <v>0</v>
      </c>
      <c r="F618" s="52">
        <f t="shared" si="511"/>
        <v>0</v>
      </c>
      <c r="G618" s="52">
        <f t="shared" si="511"/>
        <v>0</v>
      </c>
      <c r="H618" s="52">
        <f t="shared" si="511"/>
        <v>0</v>
      </c>
      <c r="I618" s="52">
        <f t="shared" si="511"/>
        <v>0</v>
      </c>
      <c r="J618" s="52">
        <f t="shared" si="511"/>
        <v>0</v>
      </c>
      <c r="K618" s="52">
        <f t="shared" si="511"/>
        <v>0</v>
      </c>
      <c r="L618" s="52">
        <f t="shared" si="511"/>
        <v>0</v>
      </c>
      <c r="M618" s="52">
        <f t="shared" si="511"/>
        <v>0</v>
      </c>
      <c r="N618" s="52">
        <f t="shared" si="511"/>
        <v>0</v>
      </c>
      <c r="O618" s="131">
        <f ca="1" t="shared" si="508"/>
        <v>0</v>
      </c>
    </row>
    <row r="619" customHeight="1" spans="1:15">
      <c r="A619" s="160" t="s">
        <v>175</v>
      </c>
      <c r="B619" s="50" t="s">
        <v>327</v>
      </c>
      <c r="C619" s="52">
        <f t="shared" ref="C619:N619" si="512">C568*C587</f>
        <v>2912.8</v>
      </c>
      <c r="D619" s="52">
        <f t="shared" si="512"/>
        <v>0</v>
      </c>
      <c r="E619" s="52">
        <f t="shared" si="512"/>
        <v>3446.589</v>
      </c>
      <c r="F619" s="52">
        <f t="shared" si="512"/>
        <v>6600.68600000001</v>
      </c>
      <c r="G619" s="52">
        <f t="shared" si="512"/>
        <v>0</v>
      </c>
      <c r="H619" s="52">
        <f t="shared" si="512"/>
        <v>5868.442</v>
      </c>
      <c r="I619" s="52">
        <f t="shared" si="512"/>
        <v>0</v>
      </c>
      <c r="J619" s="52">
        <f t="shared" si="512"/>
        <v>0</v>
      </c>
      <c r="K619" s="52">
        <f t="shared" si="512"/>
        <v>0</v>
      </c>
      <c r="L619" s="52">
        <f t="shared" si="512"/>
        <v>0</v>
      </c>
      <c r="M619" s="52">
        <f t="shared" si="512"/>
        <v>0</v>
      </c>
      <c r="N619" s="52">
        <f t="shared" si="512"/>
        <v>0</v>
      </c>
      <c r="O619" s="131">
        <f ca="1" t="shared" si="508"/>
        <v>18828.517</v>
      </c>
    </row>
    <row r="620" customHeight="1" spans="1:15">
      <c r="A620" s="160" t="s">
        <v>176</v>
      </c>
      <c r="B620" s="50" t="s">
        <v>327</v>
      </c>
      <c r="C620" s="52">
        <f t="shared" ref="C620:N620" si="513">C569*C588</f>
        <v>7239.936</v>
      </c>
      <c r="D620" s="52">
        <f t="shared" si="513"/>
        <v>0</v>
      </c>
      <c r="E620" s="52">
        <f t="shared" si="513"/>
        <v>0</v>
      </c>
      <c r="F620" s="52">
        <f t="shared" si="513"/>
        <v>0</v>
      </c>
      <c r="G620" s="52">
        <f t="shared" si="513"/>
        <v>0</v>
      </c>
      <c r="H620" s="52">
        <f t="shared" si="513"/>
        <v>0</v>
      </c>
      <c r="I620" s="52">
        <f t="shared" si="513"/>
        <v>0</v>
      </c>
      <c r="J620" s="52">
        <f t="shared" si="513"/>
        <v>0</v>
      </c>
      <c r="K620" s="52">
        <f t="shared" si="513"/>
        <v>0</v>
      </c>
      <c r="L620" s="52">
        <f t="shared" si="513"/>
        <v>0</v>
      </c>
      <c r="M620" s="52">
        <f t="shared" si="513"/>
        <v>0</v>
      </c>
      <c r="N620" s="52">
        <f t="shared" si="513"/>
        <v>0</v>
      </c>
      <c r="O620" s="131">
        <f ca="1" t="shared" si="508"/>
        <v>7239.936</v>
      </c>
    </row>
    <row r="621" customHeight="1" spans="1:15">
      <c r="A621" s="164" t="s">
        <v>328</v>
      </c>
      <c r="B621" s="50"/>
      <c r="C621" s="52">
        <f>SUM(C614:C620)</f>
        <v>10152.736</v>
      </c>
      <c r="D621" s="52">
        <f t="shared" ref="D621:N621" si="514">SUM(D614:D620)</f>
        <v>0</v>
      </c>
      <c r="E621" s="52">
        <f t="shared" si="514"/>
        <v>3446.589</v>
      </c>
      <c r="F621" s="52">
        <f t="shared" si="514"/>
        <v>6600.68600000001</v>
      </c>
      <c r="G621" s="52">
        <f t="shared" si="514"/>
        <v>0</v>
      </c>
      <c r="H621" s="52">
        <f t="shared" si="514"/>
        <v>5868.442</v>
      </c>
      <c r="I621" s="52">
        <f t="shared" si="514"/>
        <v>0</v>
      </c>
      <c r="J621" s="52">
        <f t="shared" si="514"/>
        <v>0</v>
      </c>
      <c r="K621" s="52">
        <f t="shared" si="514"/>
        <v>0</v>
      </c>
      <c r="L621" s="52">
        <f t="shared" si="514"/>
        <v>0</v>
      </c>
      <c r="M621" s="52">
        <f t="shared" si="514"/>
        <v>0</v>
      </c>
      <c r="N621" s="52">
        <f t="shared" si="514"/>
        <v>0</v>
      </c>
      <c r="O621" s="131">
        <f ca="1" t="shared" si="508"/>
        <v>26068.453</v>
      </c>
    </row>
    <row r="622" customHeight="1" spans="1:15">
      <c r="A622" s="358" t="s">
        <v>329</v>
      </c>
      <c r="B622" s="50" t="s">
        <v>327</v>
      </c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131"/>
    </row>
    <row r="623" customHeight="1" spans="1:15">
      <c r="A623" s="160" t="s">
        <v>170</v>
      </c>
      <c r="B623" s="50" t="s">
        <v>327</v>
      </c>
      <c r="C623" s="52">
        <f>C572*C590</f>
        <v>0</v>
      </c>
      <c r="D623" s="52">
        <f t="shared" ref="D623:N623" si="515">D572*D590</f>
        <v>8109.62300000002</v>
      </c>
      <c r="E623" s="52">
        <f t="shared" si="515"/>
        <v>22885.459</v>
      </c>
      <c r="F623" s="52">
        <f t="shared" si="515"/>
        <v>23823.127</v>
      </c>
      <c r="G623" s="52">
        <f t="shared" si="515"/>
        <v>0</v>
      </c>
      <c r="H623" s="52">
        <f t="shared" si="515"/>
        <v>76427.85</v>
      </c>
      <c r="I623" s="52">
        <f t="shared" si="515"/>
        <v>0</v>
      </c>
      <c r="J623" s="52">
        <f t="shared" si="515"/>
        <v>0</v>
      </c>
      <c r="K623" s="52">
        <f t="shared" si="515"/>
        <v>0</v>
      </c>
      <c r="L623" s="52">
        <f t="shared" si="515"/>
        <v>0</v>
      </c>
      <c r="M623" s="52">
        <f t="shared" si="515"/>
        <v>0</v>
      </c>
      <c r="N623" s="52">
        <f t="shared" si="515"/>
        <v>0</v>
      </c>
      <c r="O623" s="131">
        <f ca="1">SUM(OFFSET($C623,0,0,1,mth))</f>
        <v>131246.059</v>
      </c>
    </row>
    <row r="624" customHeight="1" spans="1:15">
      <c r="A624" s="160" t="s">
        <v>171</v>
      </c>
      <c r="B624" s="50" t="s">
        <v>327</v>
      </c>
      <c r="C624" s="52">
        <f t="shared" ref="C624:N624" si="516">C573*C591</f>
        <v>23658.704</v>
      </c>
      <c r="D624" s="52">
        <f t="shared" si="516"/>
        <v>70724.8979999999</v>
      </c>
      <c r="E624" s="52">
        <f t="shared" si="516"/>
        <v>10890.317</v>
      </c>
      <c r="F624" s="52">
        <f t="shared" si="516"/>
        <v>114562.372</v>
      </c>
      <c r="G624" s="52">
        <f t="shared" si="516"/>
        <v>229709.153</v>
      </c>
      <c r="H624" s="52">
        <f t="shared" si="516"/>
        <v>158401.308</v>
      </c>
      <c r="I624" s="52">
        <f t="shared" si="516"/>
        <v>0</v>
      </c>
      <c r="J624" s="52">
        <f t="shared" si="516"/>
        <v>0</v>
      </c>
      <c r="K624" s="52">
        <f t="shared" si="516"/>
        <v>0</v>
      </c>
      <c r="L624" s="52">
        <f t="shared" si="516"/>
        <v>0</v>
      </c>
      <c r="M624" s="52">
        <f t="shared" si="516"/>
        <v>0</v>
      </c>
      <c r="N624" s="52">
        <f t="shared" si="516"/>
        <v>0</v>
      </c>
      <c r="O624" s="131">
        <f ca="1" t="shared" si="508"/>
        <v>607946.752</v>
      </c>
    </row>
    <row r="625" customHeight="1" spans="1:17">
      <c r="A625" s="160" t="s">
        <v>172</v>
      </c>
      <c r="B625" s="50" t="s">
        <v>327</v>
      </c>
      <c r="C625" s="52">
        <f t="shared" ref="C625:N625" si="517">C574*C592</f>
        <v>8511.98500000001</v>
      </c>
      <c r="D625" s="52">
        <f t="shared" si="517"/>
        <v>0</v>
      </c>
      <c r="E625" s="52">
        <f t="shared" si="517"/>
        <v>0</v>
      </c>
      <c r="F625" s="52">
        <f t="shared" si="517"/>
        <v>0</v>
      </c>
      <c r="G625" s="52">
        <f t="shared" si="517"/>
        <v>9829.653</v>
      </c>
      <c r="H625" s="52">
        <f t="shared" si="517"/>
        <v>0</v>
      </c>
      <c r="I625" s="52">
        <f t="shared" si="517"/>
        <v>0</v>
      </c>
      <c r="J625" s="52">
        <f t="shared" si="517"/>
        <v>0</v>
      </c>
      <c r="K625" s="52">
        <f t="shared" si="517"/>
        <v>0</v>
      </c>
      <c r="L625" s="52">
        <f t="shared" si="517"/>
        <v>0</v>
      </c>
      <c r="M625" s="52">
        <f t="shared" si="517"/>
        <v>0</v>
      </c>
      <c r="N625" s="52">
        <f t="shared" si="517"/>
        <v>0</v>
      </c>
      <c r="O625" s="131">
        <f ca="1" t="shared" si="508"/>
        <v>18341.638</v>
      </c>
    </row>
    <row r="626" customHeight="1" spans="1:17">
      <c r="A626" s="160" t="s">
        <v>173</v>
      </c>
      <c r="B626" s="50" t="s">
        <v>327</v>
      </c>
      <c r="C626" s="52">
        <f t="shared" ref="C626:N626" si="518">C575*C593</f>
        <v>731.125000000001</v>
      </c>
      <c r="D626" s="52">
        <f t="shared" si="518"/>
        <v>674.312000000001</v>
      </c>
      <c r="E626" s="52">
        <f t="shared" si="518"/>
        <v>0</v>
      </c>
      <c r="F626" s="52">
        <f t="shared" si="518"/>
        <v>0</v>
      </c>
      <c r="G626" s="52">
        <f t="shared" si="518"/>
        <v>751.416</v>
      </c>
      <c r="H626" s="52">
        <f t="shared" si="518"/>
        <v>1080.864</v>
      </c>
      <c r="I626" s="52">
        <f t="shared" si="518"/>
        <v>0</v>
      </c>
      <c r="J626" s="52">
        <f t="shared" si="518"/>
        <v>0</v>
      </c>
      <c r="K626" s="52">
        <f t="shared" si="518"/>
        <v>0</v>
      </c>
      <c r="L626" s="52">
        <f t="shared" si="518"/>
        <v>0</v>
      </c>
      <c r="M626" s="52">
        <f t="shared" si="518"/>
        <v>0</v>
      </c>
      <c r="N626" s="52">
        <f t="shared" si="518"/>
        <v>0</v>
      </c>
      <c r="O626" s="131">
        <f ca="1" t="shared" si="508"/>
        <v>3237.717</v>
      </c>
    </row>
    <row r="627" customHeight="1" spans="1:17">
      <c r="A627" s="160" t="s">
        <v>174</v>
      </c>
      <c r="B627" s="50" t="s">
        <v>327</v>
      </c>
      <c r="C627" s="52">
        <f t="shared" ref="C627:N627" si="519">C576*C594</f>
        <v>39767.0329999999</v>
      </c>
      <c r="D627" s="52">
        <f t="shared" si="519"/>
        <v>101139.825</v>
      </c>
      <c r="E627" s="52">
        <f t="shared" si="519"/>
        <v>3841.409</v>
      </c>
      <c r="F627" s="52">
        <f t="shared" si="519"/>
        <v>6401.947</v>
      </c>
      <c r="G627" s="52">
        <f t="shared" si="519"/>
        <v>28523.823</v>
      </c>
      <c r="H627" s="52">
        <f t="shared" si="519"/>
        <v>31508.031</v>
      </c>
      <c r="I627" s="52">
        <f t="shared" si="519"/>
        <v>0</v>
      </c>
      <c r="J627" s="52">
        <f t="shared" si="519"/>
        <v>0</v>
      </c>
      <c r="K627" s="52">
        <f t="shared" si="519"/>
        <v>0</v>
      </c>
      <c r="L627" s="52">
        <f t="shared" si="519"/>
        <v>0</v>
      </c>
      <c r="M627" s="52">
        <f t="shared" si="519"/>
        <v>0</v>
      </c>
      <c r="N627" s="52">
        <f t="shared" si="519"/>
        <v>0</v>
      </c>
      <c r="O627" s="131">
        <f ca="1" t="shared" si="508"/>
        <v>211182.068</v>
      </c>
    </row>
    <row r="628" customHeight="1" spans="1:17">
      <c r="A628" s="160" t="s">
        <v>175</v>
      </c>
      <c r="B628" s="50" t="s">
        <v>327</v>
      </c>
      <c r="C628" s="52">
        <f t="shared" ref="C628:N628" si="520">C577*C595</f>
        <v>0</v>
      </c>
      <c r="D628" s="52">
        <f t="shared" si="520"/>
        <v>0</v>
      </c>
      <c r="E628" s="52">
        <f t="shared" si="520"/>
        <v>0</v>
      </c>
      <c r="F628" s="52">
        <f t="shared" si="520"/>
        <v>0</v>
      </c>
      <c r="G628" s="52">
        <f t="shared" si="520"/>
        <v>0</v>
      </c>
      <c r="H628" s="52">
        <f t="shared" si="520"/>
        <v>0</v>
      </c>
      <c r="I628" s="52">
        <f t="shared" si="520"/>
        <v>0</v>
      </c>
      <c r="J628" s="52">
        <f t="shared" si="520"/>
        <v>0</v>
      </c>
      <c r="K628" s="52">
        <f t="shared" si="520"/>
        <v>0</v>
      </c>
      <c r="L628" s="52">
        <f t="shared" si="520"/>
        <v>0</v>
      </c>
      <c r="M628" s="52">
        <f t="shared" si="520"/>
        <v>0</v>
      </c>
      <c r="N628" s="52">
        <f t="shared" si="520"/>
        <v>0</v>
      </c>
      <c r="O628" s="131">
        <f ca="1" t="shared" si="508"/>
        <v>0</v>
      </c>
    </row>
    <row r="629" customHeight="1" spans="1:17">
      <c r="A629" s="160" t="s">
        <v>176</v>
      </c>
      <c r="B629" s="50" t="s">
        <v>327</v>
      </c>
      <c r="C629" s="52">
        <f t="shared" ref="C629:N629" si="521">C578*C596</f>
        <v>0</v>
      </c>
      <c r="D629" s="52">
        <f t="shared" si="521"/>
        <v>0</v>
      </c>
      <c r="E629" s="52">
        <f t="shared" si="521"/>
        <v>2951.492</v>
      </c>
      <c r="F629" s="52">
        <f t="shared" si="521"/>
        <v>0</v>
      </c>
      <c r="G629" s="52">
        <f t="shared" si="521"/>
        <v>0</v>
      </c>
      <c r="H629" s="52">
        <f t="shared" si="521"/>
        <v>0</v>
      </c>
      <c r="I629" s="52">
        <f t="shared" si="521"/>
        <v>0</v>
      </c>
      <c r="J629" s="52">
        <f t="shared" si="521"/>
        <v>0</v>
      </c>
      <c r="K629" s="52">
        <f t="shared" si="521"/>
        <v>0</v>
      </c>
      <c r="L629" s="52">
        <f t="shared" si="521"/>
        <v>0</v>
      </c>
      <c r="M629" s="52">
        <f t="shared" si="521"/>
        <v>0</v>
      </c>
      <c r="N629" s="52">
        <f t="shared" si="521"/>
        <v>0</v>
      </c>
      <c r="O629" s="131">
        <f ca="1" t="shared" si="508"/>
        <v>2951.492</v>
      </c>
    </row>
    <row r="630" customHeight="1" spans="1:17">
      <c r="A630" s="164" t="s">
        <v>330</v>
      </c>
      <c r="B630" s="50" t="s">
        <v>327</v>
      </c>
      <c r="C630" s="52">
        <f>SUM(C623:C629)</f>
        <v>72668.847</v>
      </c>
      <c r="D630" s="52">
        <f t="shared" ref="D630:N630" si="522">SUM(D623:D629)</f>
        <v>180648.658</v>
      </c>
      <c r="E630" s="52">
        <f t="shared" si="522"/>
        <v>40568.677</v>
      </c>
      <c r="F630" s="52">
        <f t="shared" si="522"/>
        <v>144787.446</v>
      </c>
      <c r="G630" s="52">
        <f t="shared" si="522"/>
        <v>268814.045000001</v>
      </c>
      <c r="H630" s="52">
        <f t="shared" si="522"/>
        <v>267418.053</v>
      </c>
      <c r="I630" s="52">
        <f t="shared" si="522"/>
        <v>0</v>
      </c>
      <c r="J630" s="52">
        <f t="shared" si="522"/>
        <v>0</v>
      </c>
      <c r="K630" s="52">
        <f t="shared" si="522"/>
        <v>0</v>
      </c>
      <c r="L630" s="52">
        <f t="shared" si="522"/>
        <v>0</v>
      </c>
      <c r="M630" s="52">
        <f t="shared" si="522"/>
        <v>0</v>
      </c>
      <c r="N630" s="52">
        <f t="shared" si="522"/>
        <v>0</v>
      </c>
      <c r="O630" s="131">
        <f ca="1" t="shared" si="508"/>
        <v>974905.726000001</v>
      </c>
    </row>
    <row r="631" customHeight="1" spans="1:17">
      <c r="A631" s="164" t="s">
        <v>331</v>
      </c>
      <c r="B631" s="60" t="s">
        <v>327</v>
      </c>
      <c r="C631" s="61">
        <f>SUM(C621,C630)</f>
        <v>82821.583</v>
      </c>
      <c r="D631" s="61">
        <f t="shared" ref="D631:N631" si="523">SUM(D621,D630)</f>
        <v>180648.658</v>
      </c>
      <c r="E631" s="61">
        <f t="shared" si="523"/>
        <v>44015.266</v>
      </c>
      <c r="F631" s="61">
        <f t="shared" si="523"/>
        <v>151388.132</v>
      </c>
      <c r="G631" s="61">
        <f t="shared" si="523"/>
        <v>268814.045000001</v>
      </c>
      <c r="H631" s="61">
        <f t="shared" si="523"/>
        <v>273286.495</v>
      </c>
      <c r="I631" s="61">
        <f t="shared" si="523"/>
        <v>0</v>
      </c>
      <c r="J631" s="61">
        <f t="shared" si="523"/>
        <v>0</v>
      </c>
      <c r="K631" s="61">
        <f t="shared" si="523"/>
        <v>0</v>
      </c>
      <c r="L631" s="61">
        <f t="shared" si="523"/>
        <v>0</v>
      </c>
      <c r="M631" s="61">
        <f t="shared" si="523"/>
        <v>0</v>
      </c>
      <c r="N631" s="61">
        <f t="shared" si="523"/>
        <v>0</v>
      </c>
      <c r="O631" s="131">
        <f ca="1">SUM(OFFSET($C631,0,0,1,mth))</f>
        <v>1000974.179</v>
      </c>
      <c r="P631" s="68"/>
      <c r="Q631" s="68"/>
    </row>
    <row r="632" customHeight="1" spans="1:17">
      <c r="A632" s="359" t="s">
        <v>332</v>
      </c>
      <c r="B632" s="50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3"/>
    </row>
    <row r="633" customHeight="1" spans="1:17">
      <c r="A633" s="161" t="s">
        <v>170</v>
      </c>
      <c r="B633" s="50"/>
      <c r="C633" s="162">
        <f>C614*1.13</f>
        <v>0</v>
      </c>
      <c r="D633" s="162">
        <f t="shared" ref="D633:N633" si="524">D614*1.13</f>
        <v>0</v>
      </c>
      <c r="E633" s="162">
        <f t="shared" si="524"/>
        <v>0</v>
      </c>
      <c r="F633" s="162">
        <f t="shared" si="524"/>
        <v>0</v>
      </c>
      <c r="G633" s="162">
        <f t="shared" si="524"/>
        <v>0</v>
      </c>
      <c r="H633" s="162">
        <f t="shared" si="524"/>
        <v>0</v>
      </c>
      <c r="I633" s="162">
        <f t="shared" si="524"/>
        <v>0</v>
      </c>
      <c r="J633" s="162">
        <f t="shared" si="524"/>
        <v>0</v>
      </c>
      <c r="K633" s="162">
        <f t="shared" si="524"/>
        <v>0</v>
      </c>
      <c r="L633" s="162">
        <f t="shared" si="524"/>
        <v>0</v>
      </c>
      <c r="M633" s="162">
        <f t="shared" si="524"/>
        <v>0</v>
      </c>
      <c r="N633" s="162">
        <f t="shared" si="524"/>
        <v>0</v>
      </c>
      <c r="O633" s="163">
        <f ca="1">SUM(OFFSET($C633,0,0,1,mth))</f>
        <v>0</v>
      </c>
    </row>
    <row r="634" customHeight="1" spans="1:17">
      <c r="A634" s="161" t="s">
        <v>171</v>
      </c>
      <c r="B634" s="50"/>
      <c r="C634" s="162">
        <f t="shared" ref="C634:N634" si="525">C615*1.13</f>
        <v>0</v>
      </c>
      <c r="D634" s="162">
        <f t="shared" si="525"/>
        <v>0</v>
      </c>
      <c r="E634" s="162">
        <f t="shared" si="525"/>
        <v>0</v>
      </c>
      <c r="F634" s="162">
        <f t="shared" si="525"/>
        <v>0</v>
      </c>
      <c r="G634" s="162">
        <f t="shared" si="525"/>
        <v>0</v>
      </c>
      <c r="H634" s="162">
        <f t="shared" si="525"/>
        <v>0</v>
      </c>
      <c r="I634" s="162">
        <f t="shared" si="525"/>
        <v>0</v>
      </c>
      <c r="J634" s="162">
        <f t="shared" si="525"/>
        <v>0</v>
      </c>
      <c r="K634" s="162">
        <f t="shared" si="525"/>
        <v>0</v>
      </c>
      <c r="L634" s="162">
        <f t="shared" si="525"/>
        <v>0</v>
      </c>
      <c r="M634" s="162">
        <f t="shared" si="525"/>
        <v>0</v>
      </c>
      <c r="N634" s="162">
        <f t="shared" si="525"/>
        <v>0</v>
      </c>
      <c r="O634" s="163">
        <f ca="1" t="shared" si="508"/>
        <v>0</v>
      </c>
    </row>
    <row r="635" customHeight="1" spans="1:17">
      <c r="A635" s="161" t="s">
        <v>172</v>
      </c>
      <c r="B635" s="50"/>
      <c r="C635" s="162">
        <f t="shared" ref="C635:N635" si="526">C616*1.13</f>
        <v>0</v>
      </c>
      <c r="D635" s="162">
        <f t="shared" si="526"/>
        <v>0</v>
      </c>
      <c r="E635" s="162">
        <f t="shared" si="526"/>
        <v>0</v>
      </c>
      <c r="F635" s="162">
        <f t="shared" si="526"/>
        <v>0</v>
      </c>
      <c r="G635" s="162">
        <f t="shared" si="526"/>
        <v>0</v>
      </c>
      <c r="H635" s="162">
        <f t="shared" si="526"/>
        <v>0</v>
      </c>
      <c r="I635" s="162">
        <f t="shared" si="526"/>
        <v>0</v>
      </c>
      <c r="J635" s="162">
        <f t="shared" si="526"/>
        <v>0</v>
      </c>
      <c r="K635" s="162">
        <f t="shared" si="526"/>
        <v>0</v>
      </c>
      <c r="L635" s="162">
        <f t="shared" si="526"/>
        <v>0</v>
      </c>
      <c r="M635" s="162">
        <f t="shared" si="526"/>
        <v>0</v>
      </c>
      <c r="N635" s="162">
        <f t="shared" si="526"/>
        <v>0</v>
      </c>
      <c r="O635" s="163">
        <f ca="1" t="shared" si="508"/>
        <v>0</v>
      </c>
    </row>
    <row r="636" customHeight="1" spans="1:17">
      <c r="A636" s="161" t="s">
        <v>173</v>
      </c>
      <c r="B636" s="50"/>
      <c r="C636" s="162">
        <f t="shared" ref="C636:N636" si="527">C617*1.13</f>
        <v>0</v>
      </c>
      <c r="D636" s="162">
        <f t="shared" si="527"/>
        <v>0</v>
      </c>
      <c r="E636" s="162">
        <f t="shared" si="527"/>
        <v>0</v>
      </c>
      <c r="F636" s="162">
        <f t="shared" si="527"/>
        <v>0</v>
      </c>
      <c r="G636" s="162">
        <f t="shared" si="527"/>
        <v>0</v>
      </c>
      <c r="H636" s="162">
        <f t="shared" si="527"/>
        <v>0</v>
      </c>
      <c r="I636" s="162">
        <f t="shared" si="527"/>
        <v>0</v>
      </c>
      <c r="J636" s="162">
        <f t="shared" si="527"/>
        <v>0</v>
      </c>
      <c r="K636" s="162">
        <f t="shared" si="527"/>
        <v>0</v>
      </c>
      <c r="L636" s="162">
        <f t="shared" si="527"/>
        <v>0</v>
      </c>
      <c r="M636" s="162">
        <f t="shared" si="527"/>
        <v>0</v>
      </c>
      <c r="N636" s="162">
        <f t="shared" si="527"/>
        <v>0</v>
      </c>
      <c r="O636" s="163">
        <f ca="1" t="shared" si="508"/>
        <v>0</v>
      </c>
    </row>
    <row r="637" customHeight="1" spans="1:17">
      <c r="A637" s="161" t="s">
        <v>174</v>
      </c>
      <c r="B637" s="50"/>
      <c r="C637" s="162">
        <f t="shared" ref="C637:N637" si="528">C618*1.13</f>
        <v>0</v>
      </c>
      <c r="D637" s="162">
        <f t="shared" si="528"/>
        <v>0</v>
      </c>
      <c r="E637" s="162">
        <f t="shared" si="528"/>
        <v>0</v>
      </c>
      <c r="F637" s="162">
        <f t="shared" si="528"/>
        <v>0</v>
      </c>
      <c r="G637" s="162">
        <f t="shared" si="528"/>
        <v>0</v>
      </c>
      <c r="H637" s="162">
        <f t="shared" si="528"/>
        <v>0</v>
      </c>
      <c r="I637" s="162">
        <f t="shared" si="528"/>
        <v>0</v>
      </c>
      <c r="J637" s="162">
        <f t="shared" si="528"/>
        <v>0</v>
      </c>
      <c r="K637" s="162">
        <f t="shared" si="528"/>
        <v>0</v>
      </c>
      <c r="L637" s="162">
        <f t="shared" si="528"/>
        <v>0</v>
      </c>
      <c r="M637" s="162">
        <f t="shared" si="528"/>
        <v>0</v>
      </c>
      <c r="N637" s="162">
        <f t="shared" si="528"/>
        <v>0</v>
      </c>
      <c r="O637" s="163">
        <f ca="1" t="shared" si="508"/>
        <v>0</v>
      </c>
    </row>
    <row r="638" customHeight="1" spans="1:17">
      <c r="A638" s="161" t="s">
        <v>175</v>
      </c>
      <c r="B638" s="50"/>
      <c r="C638" s="162">
        <f t="shared" ref="C638:N638" si="529">C619*1.13</f>
        <v>3291.464</v>
      </c>
      <c r="D638" s="162">
        <f t="shared" si="529"/>
        <v>0</v>
      </c>
      <c r="E638" s="162">
        <f t="shared" si="529"/>
        <v>3894.64557</v>
      </c>
      <c r="F638" s="162">
        <f t="shared" si="529"/>
        <v>7458.77518000001</v>
      </c>
      <c r="G638" s="162">
        <f t="shared" si="529"/>
        <v>0</v>
      </c>
      <c r="H638" s="162">
        <f t="shared" si="529"/>
        <v>6631.33946</v>
      </c>
      <c r="I638" s="162">
        <f t="shared" si="529"/>
        <v>0</v>
      </c>
      <c r="J638" s="162">
        <f t="shared" si="529"/>
        <v>0</v>
      </c>
      <c r="K638" s="162">
        <f t="shared" si="529"/>
        <v>0</v>
      </c>
      <c r="L638" s="162">
        <f t="shared" si="529"/>
        <v>0</v>
      </c>
      <c r="M638" s="162">
        <f t="shared" si="529"/>
        <v>0</v>
      </c>
      <c r="N638" s="162">
        <f t="shared" si="529"/>
        <v>0</v>
      </c>
      <c r="O638" s="163">
        <f ca="1" t="shared" si="508"/>
        <v>21276.22421</v>
      </c>
    </row>
    <row r="639" customHeight="1" spans="1:17">
      <c r="A639" s="161" t="s">
        <v>176</v>
      </c>
      <c r="B639" s="50"/>
      <c r="C639" s="162">
        <f t="shared" ref="C639:N639" si="530">C620*1.13</f>
        <v>8181.12768</v>
      </c>
      <c r="D639" s="162">
        <f t="shared" si="530"/>
        <v>0</v>
      </c>
      <c r="E639" s="162">
        <f t="shared" si="530"/>
        <v>0</v>
      </c>
      <c r="F639" s="162">
        <f t="shared" si="530"/>
        <v>0</v>
      </c>
      <c r="G639" s="162">
        <f t="shared" si="530"/>
        <v>0</v>
      </c>
      <c r="H639" s="162">
        <f t="shared" si="530"/>
        <v>0</v>
      </c>
      <c r="I639" s="162">
        <f t="shared" si="530"/>
        <v>0</v>
      </c>
      <c r="J639" s="162">
        <f t="shared" si="530"/>
        <v>0</v>
      </c>
      <c r="K639" s="162">
        <f t="shared" si="530"/>
        <v>0</v>
      </c>
      <c r="L639" s="162">
        <f t="shared" si="530"/>
        <v>0</v>
      </c>
      <c r="M639" s="162">
        <f t="shared" si="530"/>
        <v>0</v>
      </c>
      <c r="N639" s="162">
        <f t="shared" si="530"/>
        <v>0</v>
      </c>
      <c r="O639" s="163">
        <f ca="1" t="shared" si="508"/>
        <v>8181.12768</v>
      </c>
    </row>
    <row r="640" customHeight="1" spans="1:17">
      <c r="A640" s="166" t="s">
        <v>333</v>
      </c>
      <c r="B640" s="50"/>
      <c r="C640" s="162">
        <f>SUM(C633:C639)</f>
        <v>11472.59168</v>
      </c>
      <c r="D640" s="162">
        <f t="shared" ref="D640:N640" si="531">SUM(D633:D639)</f>
        <v>0</v>
      </c>
      <c r="E640" s="162">
        <f t="shared" si="531"/>
        <v>3894.64557</v>
      </c>
      <c r="F640" s="162">
        <f t="shared" si="531"/>
        <v>7458.77518000001</v>
      </c>
      <c r="G640" s="162">
        <f t="shared" si="531"/>
        <v>0</v>
      </c>
      <c r="H640" s="162">
        <f t="shared" si="531"/>
        <v>6631.33946</v>
      </c>
      <c r="I640" s="162">
        <f t="shared" si="531"/>
        <v>0</v>
      </c>
      <c r="J640" s="162">
        <f t="shared" si="531"/>
        <v>0</v>
      </c>
      <c r="K640" s="162">
        <f t="shared" si="531"/>
        <v>0</v>
      </c>
      <c r="L640" s="162">
        <f t="shared" si="531"/>
        <v>0</v>
      </c>
      <c r="M640" s="162">
        <f t="shared" si="531"/>
        <v>0</v>
      </c>
      <c r="N640" s="162">
        <f t="shared" si="531"/>
        <v>0</v>
      </c>
      <c r="O640" s="163">
        <f ca="1">SUM(OFFSET($C640,0,0,1,mth))</f>
        <v>29457.35189</v>
      </c>
    </row>
    <row r="641" customHeight="1" spans="1:16">
      <c r="A641" s="359" t="s">
        <v>334</v>
      </c>
      <c r="B641" s="50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3"/>
    </row>
    <row r="642" customHeight="1" spans="1:16">
      <c r="A642" s="161" t="s">
        <v>170</v>
      </c>
      <c r="B642" s="50"/>
      <c r="C642" s="162">
        <f>C623*1.13</f>
        <v>0</v>
      </c>
      <c r="D642" s="162">
        <f t="shared" ref="D642:N642" si="532">D623*1.13</f>
        <v>9163.87399000002</v>
      </c>
      <c r="E642" s="162">
        <f t="shared" si="532"/>
        <v>25860.56867</v>
      </c>
      <c r="F642" s="162">
        <f t="shared" si="532"/>
        <v>26920.13351</v>
      </c>
      <c r="G642" s="162">
        <f t="shared" si="532"/>
        <v>0</v>
      </c>
      <c r="H642" s="162">
        <f t="shared" si="532"/>
        <v>86363.4705</v>
      </c>
      <c r="I642" s="162">
        <f t="shared" si="532"/>
        <v>0</v>
      </c>
      <c r="J642" s="162">
        <f t="shared" si="532"/>
        <v>0</v>
      </c>
      <c r="K642" s="162">
        <f t="shared" si="532"/>
        <v>0</v>
      </c>
      <c r="L642" s="162">
        <f t="shared" si="532"/>
        <v>0</v>
      </c>
      <c r="M642" s="162">
        <f t="shared" si="532"/>
        <v>0</v>
      </c>
      <c r="N642" s="162">
        <f t="shared" si="532"/>
        <v>0</v>
      </c>
      <c r="O642" s="163">
        <f ca="1">SUM(OFFSET($C642,0,0,1,mth))</f>
        <v>148308.04667</v>
      </c>
    </row>
    <row r="643" customHeight="1" spans="1:16">
      <c r="A643" s="161" t="s">
        <v>171</v>
      </c>
      <c r="B643" s="50"/>
      <c r="C643" s="162">
        <f t="shared" ref="C643:N643" si="533">C624*1.13</f>
        <v>26734.33552</v>
      </c>
      <c r="D643" s="162">
        <f t="shared" si="533"/>
        <v>79919.1347399999</v>
      </c>
      <c r="E643" s="162">
        <f t="shared" si="533"/>
        <v>12306.05821</v>
      </c>
      <c r="F643" s="162">
        <f t="shared" si="533"/>
        <v>129455.48036</v>
      </c>
      <c r="G643" s="162">
        <f t="shared" si="533"/>
        <v>259571.342890001</v>
      </c>
      <c r="H643" s="162">
        <f t="shared" si="533"/>
        <v>178993.47804</v>
      </c>
      <c r="I643" s="162">
        <f t="shared" si="533"/>
        <v>0</v>
      </c>
      <c r="J643" s="162">
        <f t="shared" si="533"/>
        <v>0</v>
      </c>
      <c r="K643" s="162">
        <f t="shared" si="533"/>
        <v>0</v>
      </c>
      <c r="L643" s="162">
        <f t="shared" si="533"/>
        <v>0</v>
      </c>
      <c r="M643" s="162">
        <f t="shared" si="533"/>
        <v>0</v>
      </c>
      <c r="N643" s="162">
        <f t="shared" si="533"/>
        <v>0</v>
      </c>
      <c r="O643" s="163">
        <f ca="1" t="shared" ref="O643:O650" si="534">SUM(OFFSET($C643,0,0,1,mth))</f>
        <v>686979.829760001</v>
      </c>
    </row>
    <row r="644" customHeight="1" spans="1:16">
      <c r="A644" s="161" t="s">
        <v>172</v>
      </c>
      <c r="B644" s="50"/>
      <c r="C644" s="162">
        <f t="shared" ref="C644:N644" si="535">C625*1.13</f>
        <v>9618.54305000001</v>
      </c>
      <c r="D644" s="162">
        <f t="shared" si="535"/>
        <v>0</v>
      </c>
      <c r="E644" s="162">
        <f t="shared" si="535"/>
        <v>0</v>
      </c>
      <c r="F644" s="162">
        <f t="shared" si="535"/>
        <v>0</v>
      </c>
      <c r="G644" s="162">
        <f t="shared" si="535"/>
        <v>11107.50789</v>
      </c>
      <c r="H644" s="162">
        <f t="shared" si="535"/>
        <v>0</v>
      </c>
      <c r="I644" s="162">
        <f t="shared" si="535"/>
        <v>0</v>
      </c>
      <c r="J644" s="162">
        <f t="shared" si="535"/>
        <v>0</v>
      </c>
      <c r="K644" s="162">
        <f t="shared" si="535"/>
        <v>0</v>
      </c>
      <c r="L644" s="162">
        <f t="shared" si="535"/>
        <v>0</v>
      </c>
      <c r="M644" s="162">
        <f t="shared" si="535"/>
        <v>0</v>
      </c>
      <c r="N644" s="162">
        <f t="shared" si="535"/>
        <v>0</v>
      </c>
      <c r="O644" s="163">
        <f ca="1" t="shared" si="534"/>
        <v>20726.05094</v>
      </c>
    </row>
    <row r="645" customHeight="1" spans="1:16">
      <c r="A645" s="161" t="s">
        <v>173</v>
      </c>
      <c r="B645" s="50"/>
      <c r="C645" s="162">
        <f t="shared" ref="C645:N645" si="536">C626*1.13</f>
        <v>826.171250000002</v>
      </c>
      <c r="D645" s="162">
        <f t="shared" si="536"/>
        <v>761.972560000001</v>
      </c>
      <c r="E645" s="162">
        <f t="shared" si="536"/>
        <v>0</v>
      </c>
      <c r="F645" s="162">
        <f t="shared" si="536"/>
        <v>0</v>
      </c>
      <c r="G645" s="162">
        <f t="shared" si="536"/>
        <v>849.100079999999</v>
      </c>
      <c r="H645" s="162">
        <f t="shared" si="536"/>
        <v>1221.37632</v>
      </c>
      <c r="I645" s="162">
        <f t="shared" si="536"/>
        <v>0</v>
      </c>
      <c r="J645" s="162">
        <f t="shared" si="536"/>
        <v>0</v>
      </c>
      <c r="K645" s="162">
        <f t="shared" si="536"/>
        <v>0</v>
      </c>
      <c r="L645" s="162">
        <f t="shared" si="536"/>
        <v>0</v>
      </c>
      <c r="M645" s="162">
        <f t="shared" si="536"/>
        <v>0</v>
      </c>
      <c r="N645" s="162">
        <f t="shared" si="536"/>
        <v>0</v>
      </c>
      <c r="O645" s="163">
        <f ca="1" t="shared" si="534"/>
        <v>3658.62021</v>
      </c>
    </row>
    <row r="646" customHeight="1" spans="1:16">
      <c r="A646" s="161" t="s">
        <v>174</v>
      </c>
      <c r="B646" s="50"/>
      <c r="C646" s="162">
        <f t="shared" ref="C646:N646" si="537">C627*1.13</f>
        <v>44936.7472899999</v>
      </c>
      <c r="D646" s="162">
        <f t="shared" si="537"/>
        <v>114288.00225</v>
      </c>
      <c r="E646" s="162">
        <f t="shared" si="537"/>
        <v>4340.79217</v>
      </c>
      <c r="F646" s="162">
        <f t="shared" si="537"/>
        <v>7234.20011</v>
      </c>
      <c r="G646" s="162">
        <f t="shared" si="537"/>
        <v>32231.91999</v>
      </c>
      <c r="H646" s="162">
        <f t="shared" si="537"/>
        <v>35604.07503</v>
      </c>
      <c r="I646" s="162">
        <f t="shared" si="537"/>
        <v>0</v>
      </c>
      <c r="J646" s="162">
        <f t="shared" si="537"/>
        <v>0</v>
      </c>
      <c r="K646" s="162">
        <f t="shared" si="537"/>
        <v>0</v>
      </c>
      <c r="L646" s="162">
        <f t="shared" si="537"/>
        <v>0</v>
      </c>
      <c r="M646" s="162">
        <f t="shared" si="537"/>
        <v>0</v>
      </c>
      <c r="N646" s="162">
        <f t="shared" si="537"/>
        <v>0</v>
      </c>
      <c r="O646" s="163">
        <f ca="1" t="shared" si="534"/>
        <v>238635.73684</v>
      </c>
    </row>
    <row r="647" customHeight="1" spans="1:16">
      <c r="A647" s="161" t="s">
        <v>175</v>
      </c>
      <c r="B647" s="50"/>
      <c r="C647" s="162">
        <f t="shared" ref="C647:N647" si="538">C628*1.13</f>
        <v>0</v>
      </c>
      <c r="D647" s="162">
        <f t="shared" si="538"/>
        <v>0</v>
      </c>
      <c r="E647" s="162">
        <f t="shared" si="538"/>
        <v>0</v>
      </c>
      <c r="F647" s="162">
        <f t="shared" si="538"/>
        <v>0</v>
      </c>
      <c r="G647" s="162">
        <f t="shared" si="538"/>
        <v>0</v>
      </c>
      <c r="H647" s="162">
        <f t="shared" si="538"/>
        <v>0</v>
      </c>
      <c r="I647" s="162">
        <f t="shared" si="538"/>
        <v>0</v>
      </c>
      <c r="J647" s="162">
        <f t="shared" si="538"/>
        <v>0</v>
      </c>
      <c r="K647" s="162">
        <f t="shared" si="538"/>
        <v>0</v>
      </c>
      <c r="L647" s="162">
        <f t="shared" si="538"/>
        <v>0</v>
      </c>
      <c r="M647" s="162">
        <f t="shared" si="538"/>
        <v>0</v>
      </c>
      <c r="N647" s="162">
        <f t="shared" si="538"/>
        <v>0</v>
      </c>
      <c r="O647" s="163">
        <f ca="1" t="shared" si="534"/>
        <v>0</v>
      </c>
    </row>
    <row r="648" customHeight="1" spans="1:16">
      <c r="A648" s="161" t="s">
        <v>176</v>
      </c>
      <c r="B648" s="50"/>
      <c r="C648" s="162">
        <f t="shared" ref="C648:N648" si="539">C629*1.13</f>
        <v>0</v>
      </c>
      <c r="D648" s="162">
        <f t="shared" si="539"/>
        <v>0</v>
      </c>
      <c r="E648" s="162">
        <f t="shared" si="539"/>
        <v>3335.18596</v>
      </c>
      <c r="F648" s="162">
        <f t="shared" si="539"/>
        <v>0</v>
      </c>
      <c r="G648" s="162">
        <f t="shared" si="539"/>
        <v>0</v>
      </c>
      <c r="H648" s="162">
        <f t="shared" si="539"/>
        <v>0</v>
      </c>
      <c r="I648" s="162">
        <f t="shared" si="539"/>
        <v>0</v>
      </c>
      <c r="J648" s="162">
        <f t="shared" si="539"/>
        <v>0</v>
      </c>
      <c r="K648" s="162">
        <f t="shared" si="539"/>
        <v>0</v>
      </c>
      <c r="L648" s="162">
        <f t="shared" si="539"/>
        <v>0</v>
      </c>
      <c r="M648" s="162">
        <f t="shared" si="539"/>
        <v>0</v>
      </c>
      <c r="N648" s="162">
        <f t="shared" si="539"/>
        <v>0</v>
      </c>
      <c r="O648" s="163">
        <f ca="1" t="shared" si="534"/>
        <v>3335.18596</v>
      </c>
    </row>
    <row r="649" customHeight="1" spans="1:16">
      <c r="A649" s="166" t="s">
        <v>335</v>
      </c>
      <c r="B649" s="50"/>
      <c r="C649" s="162">
        <f>SUM(C642:C648)</f>
        <v>82115.79711</v>
      </c>
      <c r="D649" s="162">
        <f t="shared" ref="D649:N649" si="540">SUM(D642:D648)</f>
        <v>204132.98354</v>
      </c>
      <c r="E649" s="162">
        <f t="shared" si="540"/>
        <v>45842.60501</v>
      </c>
      <c r="F649" s="162">
        <f t="shared" si="540"/>
        <v>163609.81398</v>
      </c>
      <c r="G649" s="162">
        <f t="shared" si="540"/>
        <v>303759.870850001</v>
      </c>
      <c r="H649" s="162">
        <f t="shared" si="540"/>
        <v>302182.39989</v>
      </c>
      <c r="I649" s="162">
        <f t="shared" si="540"/>
        <v>0</v>
      </c>
      <c r="J649" s="162">
        <f t="shared" si="540"/>
        <v>0</v>
      </c>
      <c r="K649" s="162">
        <f t="shared" si="540"/>
        <v>0</v>
      </c>
      <c r="L649" s="162">
        <f t="shared" si="540"/>
        <v>0</v>
      </c>
      <c r="M649" s="162">
        <f t="shared" si="540"/>
        <v>0</v>
      </c>
      <c r="N649" s="162">
        <f t="shared" si="540"/>
        <v>0</v>
      </c>
      <c r="O649" s="163">
        <f ca="1">SUM(OFFSET($C649,0,0,1,mth))</f>
        <v>1101643.47038</v>
      </c>
    </row>
    <row r="650" customHeight="1" spans="1:16">
      <c r="A650" s="166" t="s">
        <v>336</v>
      </c>
      <c r="B650" s="60"/>
      <c r="C650" s="167">
        <f>SUM(C649,C640)</f>
        <v>93588.38879</v>
      </c>
      <c r="D650" s="167">
        <f>SUM(D649,D640)</f>
        <v>204132.98354</v>
      </c>
      <c r="E650" s="167">
        <f t="shared" ref="E650:N650" si="541">SUM(E649,E640)</f>
        <v>49737.25058</v>
      </c>
      <c r="F650" s="167">
        <f t="shared" si="541"/>
        <v>171068.58916</v>
      </c>
      <c r="G650" s="167">
        <f t="shared" si="541"/>
        <v>303759.870850001</v>
      </c>
      <c r="H650" s="167">
        <f t="shared" si="541"/>
        <v>308813.73935</v>
      </c>
      <c r="I650" s="167">
        <f t="shared" si="541"/>
        <v>0</v>
      </c>
      <c r="J650" s="167">
        <f t="shared" si="541"/>
        <v>0</v>
      </c>
      <c r="K650" s="167">
        <f t="shared" si="541"/>
        <v>0</v>
      </c>
      <c r="L650" s="167">
        <f t="shared" si="541"/>
        <v>0</v>
      </c>
      <c r="M650" s="167">
        <f t="shared" si="541"/>
        <v>0</v>
      </c>
      <c r="N650" s="167">
        <f t="shared" si="541"/>
        <v>0</v>
      </c>
      <c r="O650" s="163">
        <f ca="1" t="shared" si="534"/>
        <v>1131100.82227</v>
      </c>
      <c r="P650" s="68"/>
    </row>
    <row r="651" customHeight="1" spans="1:16">
      <c r="A651" s="360" t="s">
        <v>337</v>
      </c>
      <c r="B651" s="170"/>
      <c r="C651" s="162">
        <f>IFERROR(C650/C580,0)</f>
        <v>3091.07206097037</v>
      </c>
      <c r="D651" s="162">
        <f>IFERROR(D650/D580,0)</f>
        <v>2974.96223297434</v>
      </c>
      <c r="E651" s="162">
        <f t="shared" ref="E651:O651" si="542">IFERROR(E650/E580,0)</f>
        <v>2527.55618355524</v>
      </c>
      <c r="F651" s="162">
        <f t="shared" si="542"/>
        <v>2594.50351346022</v>
      </c>
      <c r="G651" s="162">
        <f t="shared" si="542"/>
        <v>2665.19150017987</v>
      </c>
      <c r="H651" s="162">
        <f t="shared" si="542"/>
        <v>2653.85977922725</v>
      </c>
      <c r="I651" s="162">
        <f t="shared" si="542"/>
        <v>0</v>
      </c>
      <c r="J651" s="162">
        <f t="shared" si="542"/>
        <v>0</v>
      </c>
      <c r="K651" s="162">
        <f t="shared" si="542"/>
        <v>0</v>
      </c>
      <c r="L651" s="162">
        <f t="shared" si="542"/>
        <v>0</v>
      </c>
      <c r="M651" s="162">
        <f t="shared" si="542"/>
        <v>0</v>
      </c>
      <c r="N651" s="162">
        <f t="shared" si="542"/>
        <v>0</v>
      </c>
      <c r="O651" s="163">
        <f ca="1" t="shared" si="542"/>
        <v>2726.56907721939</v>
      </c>
    </row>
    <row r="653" customHeight="1" spans="1:16">
      <c r="A653" s="239" t="s">
        <v>338</v>
      </c>
      <c r="B653" s="239"/>
      <c r="C653" s="137" t="s">
        <v>339</v>
      </c>
      <c r="D653" s="240"/>
      <c r="F653" s="38"/>
      <c r="G653" s="96"/>
      <c r="N653" s="71"/>
      <c r="P653" s="71"/>
    </row>
    <row r="654" customFormat="1" ht="15.75" spans="1:16">
      <c r="A654" s="185" t="s">
        <v>250</v>
      </c>
      <c r="B654" s="106" t="s">
        <v>77</v>
      </c>
      <c r="C654" s="107" t="s">
        <v>220</v>
      </c>
      <c r="D654" s="107" t="s">
        <v>221</v>
      </c>
      <c r="E654" s="107" t="s">
        <v>222</v>
      </c>
      <c r="F654" s="107" t="s">
        <v>223</v>
      </c>
      <c r="G654" s="107" t="s">
        <v>224</v>
      </c>
      <c r="H654" s="107" t="s">
        <v>225</v>
      </c>
      <c r="I654" s="107" t="s">
        <v>226</v>
      </c>
      <c r="J654" s="107" t="s">
        <v>227</v>
      </c>
      <c r="K654" s="107" t="s">
        <v>228</v>
      </c>
      <c r="L654" s="107" t="s">
        <v>229</v>
      </c>
      <c r="M654" s="107" t="s">
        <v>230</v>
      </c>
      <c r="N654" s="107" t="s">
        <v>231</v>
      </c>
      <c r="O654" s="175" t="str">
        <f>CONCATENATE("1-"&amp;mth&amp;"月累计")</f>
        <v>1-8月累计</v>
      </c>
      <c r="P654" s="71"/>
    </row>
    <row r="655" customFormat="1" ht="15.75" spans="1:16">
      <c r="A655" s="307" t="s">
        <v>178</v>
      </c>
      <c r="B655" s="50" t="s">
        <v>167</v>
      </c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3">
        <f ca="1" t="shared" ref="O655:O668" si="543">SUM(OFFSET($C655,0,0,1,mth))</f>
        <v>0</v>
      </c>
      <c r="P655" s="104">
        <v>213243</v>
      </c>
    </row>
    <row r="656" customFormat="1" ht="15.75" spans="1:16">
      <c r="A656" s="307" t="s">
        <v>179</v>
      </c>
      <c r="B656" s="50" t="s">
        <v>167</v>
      </c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3">
        <f ca="1" t="shared" si="543"/>
        <v>0</v>
      </c>
      <c r="P656" s="104">
        <v>235372</v>
      </c>
    </row>
    <row r="657" customFormat="1" ht="15.75" spans="1:20">
      <c r="A657" s="307" t="s">
        <v>180</v>
      </c>
      <c r="B657" s="50" t="s">
        <v>167</v>
      </c>
      <c r="C657" s="192">
        <v>0</v>
      </c>
      <c r="D657" s="192">
        <v>0</v>
      </c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3">
        <f ca="1" t="shared" si="543"/>
        <v>0</v>
      </c>
      <c r="P657" s="104">
        <v>244192</v>
      </c>
    </row>
    <row r="658" customFormat="1" ht="15.75" spans="1:20">
      <c r="A658" s="307" t="s">
        <v>181</v>
      </c>
      <c r="B658" s="50" t="s">
        <v>167</v>
      </c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3">
        <f ca="1" t="shared" si="543"/>
        <v>0</v>
      </c>
      <c r="P658" s="104">
        <v>244193</v>
      </c>
    </row>
    <row r="659" customFormat="1" ht="15.75" spans="1:20">
      <c r="A659" s="307" t="s">
        <v>182</v>
      </c>
      <c r="B659" s="50" t="s">
        <v>167</v>
      </c>
      <c r="C659" s="192">
        <v>18776.745</v>
      </c>
      <c r="D659" s="192">
        <v>7791.12</v>
      </c>
      <c r="E659" s="192">
        <v>34015</v>
      </c>
      <c r="F659" s="192">
        <v>53212.695</v>
      </c>
      <c r="G659" s="192">
        <v>48599.755</v>
      </c>
      <c r="H659" s="192">
        <v>16551.381</v>
      </c>
      <c r="I659" s="192"/>
      <c r="J659" s="192"/>
      <c r="K659" s="192"/>
      <c r="L659" s="192"/>
      <c r="M659" s="192"/>
      <c r="N659" s="192"/>
      <c r="O659" s="193">
        <f ca="1" t="shared" si="543"/>
        <v>178946.696</v>
      </c>
      <c r="P659" s="104">
        <v>244194</v>
      </c>
    </row>
    <row r="660" customFormat="1" ht="15.75" spans="1:20">
      <c r="A660" s="307" t="s">
        <v>183</v>
      </c>
      <c r="B660" s="50" t="s">
        <v>167</v>
      </c>
      <c r="C660" s="192">
        <v>0</v>
      </c>
      <c r="D660" s="192">
        <v>0</v>
      </c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3">
        <f ca="1">SUM(OFFSET($C660,0,0,1,mth))</f>
        <v>0</v>
      </c>
      <c r="P660" s="104">
        <v>246164</v>
      </c>
    </row>
    <row r="661" customFormat="1" ht="15.75" spans="1:20">
      <c r="A661" s="307" t="s">
        <v>184</v>
      </c>
      <c r="B661" s="50" t="s">
        <v>167</v>
      </c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3">
        <f ca="1">SUM(OFFSET($C661,0,0,1,mth))</f>
        <v>0</v>
      </c>
      <c r="P661" s="104">
        <v>247994</v>
      </c>
    </row>
    <row r="662" customHeight="1" spans="1:20">
      <c r="A662" s="307" t="s">
        <v>185</v>
      </c>
      <c r="B662" s="50" t="s">
        <v>167</v>
      </c>
      <c r="C662" s="192">
        <v>0</v>
      </c>
      <c r="D662" s="192">
        <v>1.092</v>
      </c>
      <c r="E662" s="192"/>
      <c r="F662" s="192"/>
      <c r="G662" s="192">
        <v>1.791</v>
      </c>
      <c r="H662" s="192"/>
      <c r="I662" s="192"/>
      <c r="J662" s="192"/>
      <c r="K662" s="192"/>
      <c r="L662" s="192"/>
      <c r="M662" s="192"/>
      <c r="N662" s="192"/>
      <c r="O662" s="193">
        <f ca="1" t="shared" si="543"/>
        <v>2.883</v>
      </c>
      <c r="P662" s="104">
        <v>247995</v>
      </c>
    </row>
    <row r="663" customHeight="1" spans="1:20">
      <c r="A663" s="307" t="s">
        <v>186</v>
      </c>
      <c r="B663" s="50" t="s">
        <v>167</v>
      </c>
      <c r="C663" s="192">
        <v>-11.952</v>
      </c>
      <c r="D663" s="192">
        <v>16.668</v>
      </c>
      <c r="E663" s="192">
        <v>24.952</v>
      </c>
      <c r="F663" s="192">
        <v>72.995</v>
      </c>
      <c r="G663" s="192">
        <v>33.686</v>
      </c>
      <c r="H663" s="192">
        <v>52.226</v>
      </c>
      <c r="I663" s="192"/>
      <c r="J663" s="192"/>
      <c r="K663" s="192"/>
      <c r="L663" s="192"/>
      <c r="M663" s="192"/>
      <c r="N663" s="192"/>
      <c r="O663" s="193">
        <f ca="1" t="shared" si="543"/>
        <v>188.575</v>
      </c>
      <c r="P663" s="104">
        <v>262531</v>
      </c>
    </row>
    <row r="664" customHeight="1" spans="1:20">
      <c r="A664" s="307" t="s">
        <v>187</v>
      </c>
      <c r="B664" s="50" t="s">
        <v>167</v>
      </c>
      <c r="C664" s="192">
        <v>0</v>
      </c>
      <c r="D664" s="192">
        <v>0</v>
      </c>
      <c r="E664" s="192">
        <v>1.8</v>
      </c>
      <c r="F664" s="192"/>
      <c r="G664" s="192"/>
      <c r="H664" s="192">
        <v>9</v>
      </c>
      <c r="I664" s="192"/>
      <c r="J664" s="192"/>
      <c r="K664" s="192"/>
      <c r="L664" s="192"/>
      <c r="M664" s="192"/>
      <c r="N664" s="192"/>
      <c r="O664" s="193">
        <f ca="1" t="shared" si="543"/>
        <v>10.8</v>
      </c>
      <c r="P664" s="104">
        <v>262532</v>
      </c>
    </row>
    <row r="665" customHeight="1" spans="1:20">
      <c r="A665" s="307" t="s">
        <v>188</v>
      </c>
      <c r="B665" s="50" t="s">
        <v>75</v>
      </c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3">
        <f ca="1" t="shared" si="543"/>
        <v>0</v>
      </c>
      <c r="P665" s="104">
        <v>263449</v>
      </c>
    </row>
    <row r="666" customHeight="1" spans="1:20">
      <c r="A666" s="307" t="s">
        <v>189</v>
      </c>
      <c r="B666" s="50" t="s">
        <v>167</v>
      </c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3">
        <f ca="1" t="shared" si="543"/>
        <v>0</v>
      </c>
      <c r="P666" s="104">
        <v>266799</v>
      </c>
    </row>
    <row r="667" customHeight="1" spans="1:20">
      <c r="A667" s="307" t="s">
        <v>190</v>
      </c>
      <c r="B667" s="50" t="s">
        <v>167</v>
      </c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3">
        <f ca="1" t="shared" si="543"/>
        <v>0</v>
      </c>
      <c r="P667" s="104">
        <v>266801</v>
      </c>
      <c r="T667" s="361"/>
    </row>
    <row r="668" customHeight="1" spans="1:20">
      <c r="A668" s="307" t="s">
        <v>191</v>
      </c>
      <c r="B668" s="50"/>
      <c r="C668" s="192">
        <v>11.519</v>
      </c>
      <c r="D668" s="192">
        <v>3.69</v>
      </c>
      <c r="E668" s="192">
        <v>17.593</v>
      </c>
      <c r="F668" s="192">
        <v>45.224</v>
      </c>
      <c r="G668" s="192">
        <v>19.37</v>
      </c>
      <c r="H668" s="192">
        <v>14.185</v>
      </c>
      <c r="I668" s="192"/>
      <c r="J668" s="192"/>
      <c r="K668" s="192"/>
      <c r="L668" s="192"/>
      <c r="M668" s="192"/>
      <c r="N668" s="192"/>
      <c r="O668" s="193">
        <f ca="1" t="shared" si="543"/>
        <v>111.581</v>
      </c>
      <c r="P668" s="104">
        <v>270837</v>
      </c>
    </row>
    <row r="669" customFormat="1" ht="15.75" spans="1:20">
      <c r="A669" s="307" t="s">
        <v>192</v>
      </c>
      <c r="B669" s="50" t="s">
        <v>167</v>
      </c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3">
        <f ca="1" t="shared" ref="O669:O684" si="544">SUM(OFFSET($C669,0,0,1,mth))</f>
        <v>0</v>
      </c>
      <c r="P669" s="104">
        <v>278432</v>
      </c>
    </row>
    <row r="670" customFormat="1" ht="15.75" spans="1:20">
      <c r="A670" s="307" t="s">
        <v>193</v>
      </c>
      <c r="B670" s="50" t="s">
        <v>167</v>
      </c>
      <c r="C670" s="192">
        <v>0</v>
      </c>
      <c r="D670" s="192">
        <v>0</v>
      </c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3">
        <f ca="1" t="shared" si="544"/>
        <v>0</v>
      </c>
      <c r="P670" s="104">
        <v>278905</v>
      </c>
    </row>
    <row r="671" customFormat="1" ht="15.75" spans="1:20">
      <c r="A671" s="307" t="s">
        <v>194</v>
      </c>
      <c r="B671" s="50" t="s">
        <v>167</v>
      </c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3">
        <f ca="1" t="shared" si="544"/>
        <v>0</v>
      </c>
      <c r="P671" s="104">
        <v>279501</v>
      </c>
    </row>
    <row r="672" customFormat="1" ht="15.75" spans="1:20">
      <c r="A672" s="307" t="s">
        <v>195</v>
      </c>
      <c r="B672" s="50" t="s">
        <v>167</v>
      </c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3">
        <f ca="1" t="shared" si="544"/>
        <v>0</v>
      </c>
      <c r="P672" s="104">
        <v>284316</v>
      </c>
    </row>
    <row r="673" customFormat="1" ht="15.75" spans="1:20">
      <c r="A673" s="307" t="s">
        <v>196</v>
      </c>
      <c r="B673" s="50" t="s">
        <v>167</v>
      </c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3">
        <f ca="1" t="shared" si="544"/>
        <v>0</v>
      </c>
      <c r="P673" s="104">
        <v>291564</v>
      </c>
    </row>
    <row r="674" customFormat="1" ht="15.75" spans="1:20">
      <c r="A674" s="307" t="s">
        <v>197</v>
      </c>
      <c r="B674" s="50" t="s">
        <v>167</v>
      </c>
      <c r="C674" s="192">
        <v>0</v>
      </c>
      <c r="D674" s="192">
        <v>0</v>
      </c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3">
        <f ca="1">SUM(OFFSET($C674,0,0,1,mth))</f>
        <v>0</v>
      </c>
      <c r="P674" s="104">
        <v>292651</v>
      </c>
    </row>
    <row r="675" customFormat="1" ht="15.75" spans="1:20">
      <c r="A675" s="115" t="s">
        <v>198</v>
      </c>
      <c r="B675" s="50" t="s">
        <v>167</v>
      </c>
      <c r="C675" s="192">
        <v>0</v>
      </c>
      <c r="D675" s="192">
        <v>0</v>
      </c>
      <c r="E675" s="192">
        <v>7.803</v>
      </c>
      <c r="F675" s="192">
        <v>7.692</v>
      </c>
      <c r="G675" s="192">
        <v>15.592</v>
      </c>
      <c r="H675" s="192">
        <v>8.306</v>
      </c>
      <c r="I675" s="192"/>
      <c r="J675" s="192"/>
      <c r="K675" s="192"/>
      <c r="L675" s="192"/>
      <c r="M675" s="192"/>
      <c r="N675" s="192"/>
      <c r="O675" s="193">
        <f ca="1">SUM(OFFSET($C675,0,0,1,mth))</f>
        <v>39.393</v>
      </c>
      <c r="P675" s="104">
        <v>299669</v>
      </c>
    </row>
    <row r="676" customHeight="1" spans="1:20">
      <c r="A676" s="307" t="s">
        <v>199</v>
      </c>
      <c r="B676" s="50" t="s">
        <v>167</v>
      </c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3">
        <f ca="1" t="shared" si="544"/>
        <v>0</v>
      </c>
      <c r="P676" s="104">
        <v>300312</v>
      </c>
    </row>
    <row r="677" customHeight="1" spans="1:20">
      <c r="A677" s="115" t="s">
        <v>200</v>
      </c>
      <c r="B677" s="50" t="s">
        <v>167</v>
      </c>
      <c r="C677" s="192">
        <v>1305.6</v>
      </c>
      <c r="D677" s="192">
        <v>-31.1</v>
      </c>
      <c r="E677" s="192">
        <v>2373.5</v>
      </c>
      <c r="F677" s="192">
        <v>4888</v>
      </c>
      <c r="G677" s="192">
        <v>2245.8</v>
      </c>
      <c r="H677" s="192">
        <v>1602.2</v>
      </c>
      <c r="I677" s="192"/>
      <c r="J677" s="192"/>
      <c r="K677" s="192"/>
      <c r="L677" s="192"/>
      <c r="M677" s="192"/>
      <c r="N677" s="192"/>
      <c r="O677" s="193">
        <f ca="1" t="shared" si="544"/>
        <v>12384</v>
      </c>
      <c r="P677" s="104">
        <v>302197</v>
      </c>
    </row>
    <row r="678" customHeight="1" spans="1:20">
      <c r="A678" s="115" t="s">
        <v>201</v>
      </c>
      <c r="B678" s="50" t="s">
        <v>167</v>
      </c>
      <c r="C678" s="192">
        <v>0</v>
      </c>
      <c r="D678" s="192">
        <v>0</v>
      </c>
      <c r="E678" s="192"/>
      <c r="F678" s="192"/>
      <c r="G678" s="192">
        <v>-0.545</v>
      </c>
      <c r="H678" s="192">
        <v>0.545</v>
      </c>
      <c r="I678" s="192"/>
      <c r="J678" s="192"/>
      <c r="K678" s="192"/>
      <c r="L678" s="192"/>
      <c r="M678" s="192"/>
      <c r="N678" s="192"/>
      <c r="O678" s="193">
        <f ca="1" t="shared" si="544"/>
        <v>0</v>
      </c>
      <c r="P678" s="104">
        <v>282435</v>
      </c>
    </row>
    <row r="679" customHeight="1" spans="1:20">
      <c r="A679" s="115" t="s">
        <v>202</v>
      </c>
      <c r="B679" s="50" t="s">
        <v>167</v>
      </c>
      <c r="C679" s="192">
        <v>0</v>
      </c>
      <c r="D679" s="192">
        <v>0</v>
      </c>
      <c r="E679" s="192">
        <v>2.323</v>
      </c>
      <c r="F679" s="192">
        <v>11.8</v>
      </c>
      <c r="G679" s="192">
        <v>5.446</v>
      </c>
      <c r="H679" s="192">
        <v>0.431</v>
      </c>
      <c r="I679" s="192"/>
      <c r="J679" s="192"/>
      <c r="K679" s="192"/>
      <c r="L679" s="192"/>
      <c r="M679" s="192"/>
      <c r="N679" s="192"/>
      <c r="O679" s="193">
        <f ca="1" t="shared" si="544"/>
        <v>20</v>
      </c>
      <c r="P679" s="104">
        <v>304682</v>
      </c>
    </row>
    <row r="680" customHeight="1" spans="1:20">
      <c r="A680" s="115" t="s">
        <v>203</v>
      </c>
      <c r="B680" s="50" t="s">
        <v>167</v>
      </c>
      <c r="C680" s="192">
        <v>0</v>
      </c>
      <c r="D680" s="192">
        <v>0</v>
      </c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3">
        <f ca="1" t="shared" si="544"/>
        <v>0</v>
      </c>
      <c r="P680" s="104">
        <v>280314</v>
      </c>
    </row>
    <row r="681" customHeight="1" spans="1:20">
      <c r="A681" s="115" t="s">
        <v>204</v>
      </c>
      <c r="B681" s="50" t="s">
        <v>167</v>
      </c>
      <c r="C681" s="192">
        <v>0</v>
      </c>
      <c r="D681" s="192">
        <v>0</v>
      </c>
      <c r="E681" s="192"/>
      <c r="F681" s="192">
        <v>5.48</v>
      </c>
      <c r="G681" s="192">
        <v>5.198</v>
      </c>
      <c r="H681" s="192">
        <v>5.76</v>
      </c>
      <c r="I681" s="192"/>
      <c r="J681" s="192"/>
      <c r="K681" s="192"/>
      <c r="L681" s="192"/>
      <c r="M681" s="192"/>
      <c r="N681" s="192"/>
      <c r="O681" s="193">
        <f ca="1" t="shared" si="544"/>
        <v>16.438</v>
      </c>
      <c r="P681" s="104">
        <v>304680</v>
      </c>
      <c r="T681" s="361"/>
    </row>
    <row r="682" customHeight="1" spans="1:20">
      <c r="A682" s="115" t="s">
        <v>577</v>
      </c>
      <c r="B682" s="50"/>
      <c r="C682" s="192">
        <v>24.458</v>
      </c>
      <c r="D682" s="192">
        <v>24.879</v>
      </c>
      <c r="E682" s="192">
        <v>49.346</v>
      </c>
      <c r="F682" s="192">
        <v>49.458</v>
      </c>
      <c r="G682" s="192">
        <v>149.376</v>
      </c>
      <c r="H682" s="192"/>
      <c r="I682" s="192"/>
      <c r="J682" s="192"/>
      <c r="K682" s="192"/>
      <c r="L682" s="192"/>
      <c r="M682" s="192"/>
      <c r="N682" s="192"/>
      <c r="O682" s="193">
        <f ca="1" t="shared" si="544"/>
        <v>297.517</v>
      </c>
      <c r="P682" s="104">
        <v>304681</v>
      </c>
      <c r="T682" s="361"/>
    </row>
    <row r="683" customHeight="1" spans="1:20">
      <c r="A683" s="115" t="s">
        <v>578</v>
      </c>
      <c r="B683" s="50"/>
      <c r="C683" s="192">
        <v>0</v>
      </c>
      <c r="D683" s="192">
        <v>0</v>
      </c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3">
        <f ca="1" t="shared" si="544"/>
        <v>0</v>
      </c>
      <c r="P683" s="104">
        <v>245231</v>
      </c>
      <c r="T683" s="361"/>
    </row>
    <row r="684" customHeight="1" spans="1:20">
      <c r="A684" s="115" t="s">
        <v>579</v>
      </c>
      <c r="B684" s="50"/>
      <c r="C684" s="192">
        <v>0</v>
      </c>
      <c r="D684" s="192">
        <v>0</v>
      </c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3">
        <f ca="1" t="shared" si="544"/>
        <v>0</v>
      </c>
      <c r="P684" s="104">
        <v>247996</v>
      </c>
      <c r="T684" s="361"/>
    </row>
    <row r="685" customHeight="1" spans="1:20">
      <c r="A685" s="115" t="s">
        <v>580</v>
      </c>
      <c r="B685" s="50"/>
      <c r="C685" s="192">
        <v>3.172</v>
      </c>
      <c r="D685" s="192">
        <v>1.56</v>
      </c>
      <c r="E685" s="192"/>
      <c r="F685" s="192">
        <v>3.564</v>
      </c>
      <c r="G685" s="192">
        <v>2.558</v>
      </c>
      <c r="H685" s="192"/>
      <c r="I685" s="192"/>
      <c r="J685" s="192"/>
      <c r="K685" s="192"/>
      <c r="L685" s="192"/>
      <c r="M685" s="192"/>
      <c r="N685" s="192"/>
      <c r="O685" s="193">
        <f ca="1" t="shared" ref="O685:O691" si="545">SUM(OFFSET($C685,0,0,1,mth))</f>
        <v>10.854</v>
      </c>
      <c r="P685" s="104">
        <v>304683</v>
      </c>
      <c r="T685" s="361"/>
    </row>
    <row r="686" customHeight="1" spans="1:20">
      <c r="A686" s="115" t="s">
        <v>581</v>
      </c>
      <c r="B686" s="50"/>
      <c r="C686" s="192">
        <v>1.442</v>
      </c>
      <c r="D686" s="192">
        <v>0</v>
      </c>
      <c r="E686" s="192"/>
      <c r="F686" s="192">
        <v>1.62</v>
      </c>
      <c r="G686" s="192"/>
      <c r="H686" s="192">
        <v>0.241</v>
      </c>
      <c r="I686" s="192"/>
      <c r="J686" s="192"/>
      <c r="K686" s="192"/>
      <c r="L686" s="192"/>
      <c r="M686" s="192"/>
      <c r="N686" s="192"/>
      <c r="O686" s="193">
        <f ca="1" t="shared" si="545"/>
        <v>3.303</v>
      </c>
      <c r="P686" s="104">
        <v>304687</v>
      </c>
      <c r="T686" s="361"/>
    </row>
    <row r="687" customHeight="1" spans="1:20">
      <c r="A687" s="115" t="s">
        <v>349</v>
      </c>
      <c r="B687" s="50"/>
      <c r="C687" s="192">
        <v>0</v>
      </c>
      <c r="D687" s="192">
        <v>4.992</v>
      </c>
      <c r="E687" s="192"/>
      <c r="F687" s="192"/>
      <c r="G687" s="192">
        <v>8.186</v>
      </c>
      <c r="H687" s="192"/>
      <c r="I687" s="192"/>
      <c r="J687" s="192"/>
      <c r="K687" s="192"/>
      <c r="L687" s="192"/>
      <c r="M687" s="192"/>
      <c r="N687" s="192"/>
      <c r="O687" s="193">
        <f ca="1" t="shared" si="545"/>
        <v>13.178</v>
      </c>
      <c r="P687" s="104">
        <v>304686</v>
      </c>
      <c r="T687" s="361"/>
    </row>
    <row r="688" customHeight="1" spans="1:20">
      <c r="A688" s="115" t="s">
        <v>206</v>
      </c>
      <c r="B688" s="50"/>
      <c r="C688" s="192">
        <v>0</v>
      </c>
      <c r="D688" s="192">
        <v>0</v>
      </c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3">
        <f ca="1" t="shared" si="545"/>
        <v>0</v>
      </c>
      <c r="P688" s="104">
        <v>301914</v>
      </c>
      <c r="T688" s="361"/>
    </row>
    <row r="689" customHeight="1" spans="1:20">
      <c r="A689" s="115" t="s">
        <v>350</v>
      </c>
      <c r="B689" s="50"/>
      <c r="C689" s="192">
        <v>0</v>
      </c>
      <c r="D689" s="192">
        <v>1.872</v>
      </c>
      <c r="E689" s="192"/>
      <c r="F689" s="192"/>
      <c r="G689" s="192">
        <v>3.07</v>
      </c>
      <c r="H689" s="192"/>
      <c r="I689" s="192"/>
      <c r="J689" s="192"/>
      <c r="K689" s="192"/>
      <c r="L689" s="192"/>
      <c r="M689" s="192"/>
      <c r="N689" s="192"/>
      <c r="O689" s="193">
        <f ca="1" t="shared" si="545"/>
        <v>4.942</v>
      </c>
      <c r="P689" s="104">
        <v>304685</v>
      </c>
      <c r="T689" s="361"/>
    </row>
    <row r="690" customHeight="1" spans="1:20">
      <c r="A690" s="115" t="s">
        <v>351</v>
      </c>
      <c r="B690" s="50"/>
      <c r="C690" s="192">
        <v>0.049</v>
      </c>
      <c r="D690" s="192">
        <v>0.02</v>
      </c>
      <c r="E690" s="192">
        <v>0.091</v>
      </c>
      <c r="F690" s="192">
        <v>0.052</v>
      </c>
      <c r="G690" s="192">
        <v>0.115</v>
      </c>
      <c r="H690" s="192">
        <v>0.063</v>
      </c>
      <c r="I690" s="192"/>
      <c r="J690" s="192"/>
      <c r="K690" s="192"/>
      <c r="L690" s="192"/>
      <c r="M690" s="192"/>
      <c r="N690" s="192"/>
      <c r="O690" s="193">
        <f ca="1" t="shared" si="545"/>
        <v>0.39</v>
      </c>
      <c r="P690" s="104">
        <v>205034</v>
      </c>
      <c r="T690" s="361"/>
    </row>
    <row r="691" customHeight="1" spans="1:20">
      <c r="A691" s="115" t="s">
        <v>340</v>
      </c>
      <c r="B691" s="50"/>
      <c r="C691" s="192"/>
      <c r="D691" s="192"/>
      <c r="E691" s="192"/>
      <c r="F691" s="192">
        <v>0.423</v>
      </c>
      <c r="G691" s="192">
        <v>1.271</v>
      </c>
      <c r="H691" s="192">
        <v>0.306</v>
      </c>
      <c r="I691" s="192"/>
      <c r="J691" s="192"/>
      <c r="K691" s="192"/>
      <c r="L691" s="192"/>
      <c r="M691" s="192"/>
      <c r="N691" s="192"/>
      <c r="O691" s="193">
        <f ca="1">SUM(OFFSET($C691,0,0,1,mth))</f>
        <v>2</v>
      </c>
      <c r="P691" s="104">
        <v>289719</v>
      </c>
      <c r="T691" s="362"/>
    </row>
    <row r="692" customHeight="1" spans="1:20">
      <c r="A692" s="229" t="s">
        <v>341</v>
      </c>
      <c r="B692" s="229"/>
      <c r="C692" s="363">
        <f>SUM(C655:C690)</f>
        <v>20111.033</v>
      </c>
      <c r="D692" s="363">
        <f>SUM(D655:D690)</f>
        <v>7814.793</v>
      </c>
      <c r="E692" s="363">
        <f>SUM(E655:E690)</f>
        <v>36492.408</v>
      </c>
      <c r="F692" s="363">
        <f>SUM(F655:F691)</f>
        <v>58299.003</v>
      </c>
      <c r="G692" s="363">
        <f t="shared" ref="G692:O692" si="546">SUM(G655:G691)</f>
        <v>51090.669</v>
      </c>
      <c r="H692" s="363">
        <v>18244.644</v>
      </c>
      <c r="I692" s="363">
        <f t="shared" si="546"/>
        <v>0</v>
      </c>
      <c r="J692" s="363">
        <f t="shared" si="546"/>
        <v>0</v>
      </c>
      <c r="K692" s="363">
        <f t="shared" si="546"/>
        <v>0</v>
      </c>
      <c r="L692" s="363">
        <f t="shared" si="546"/>
        <v>0</v>
      </c>
      <c r="M692" s="363">
        <f t="shared" si="546"/>
        <v>0</v>
      </c>
      <c r="N692" s="363">
        <f t="shared" si="546"/>
        <v>0</v>
      </c>
      <c r="O692" s="364">
        <f ca="1" t="shared" si="546"/>
        <v>192052.55</v>
      </c>
      <c r="P692" s="104"/>
    </row>
    <row r="693" customHeight="1" spans="1:20">
      <c r="A693" s="239" t="s">
        <v>342</v>
      </c>
      <c r="B693" s="239"/>
      <c r="C693" s="137" t="s">
        <v>339</v>
      </c>
      <c r="D693" s="240"/>
      <c r="F693" s="38"/>
      <c r="G693" s="96"/>
      <c r="N693" s="71"/>
      <c r="P693" s="71"/>
    </row>
    <row r="694" customFormat="1" ht="15.75" spans="1:20">
      <c r="A694" s="185" t="s">
        <v>250</v>
      </c>
      <c r="B694" s="106" t="s">
        <v>77</v>
      </c>
      <c r="C694" s="107" t="s">
        <v>220</v>
      </c>
      <c r="D694" s="107" t="s">
        <v>221</v>
      </c>
      <c r="E694" s="107" t="s">
        <v>222</v>
      </c>
      <c r="F694" s="107" t="s">
        <v>223</v>
      </c>
      <c r="G694" s="107" t="s">
        <v>224</v>
      </c>
      <c r="H694" s="107" t="s">
        <v>225</v>
      </c>
      <c r="I694" s="107" t="s">
        <v>226</v>
      </c>
      <c r="J694" s="107" t="s">
        <v>227</v>
      </c>
      <c r="K694" s="107" t="s">
        <v>228</v>
      </c>
      <c r="L694" s="107" t="s">
        <v>229</v>
      </c>
      <c r="M694" s="107" t="s">
        <v>230</v>
      </c>
      <c r="N694" s="107" t="s">
        <v>231</v>
      </c>
      <c r="O694" s="175" t="str">
        <f>CONCATENATE("1-"&amp;mth&amp;"月累计")</f>
        <v>1-8月累计</v>
      </c>
      <c r="P694" s="71"/>
    </row>
    <row r="695" customFormat="1" ht="15.75" spans="1:20">
      <c r="A695" s="307" t="s">
        <v>178</v>
      </c>
      <c r="B695" s="50" t="s">
        <v>167</v>
      </c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3">
        <f ca="1" t="shared" ref="O695:O722" si="547">SUM(OFFSET($C695,0,0,1,mth))</f>
        <v>0</v>
      </c>
      <c r="P695" s="104">
        <v>213243</v>
      </c>
    </row>
    <row r="696" customFormat="1" ht="15.75" spans="1:20">
      <c r="A696" s="307" t="s">
        <v>179</v>
      </c>
      <c r="B696" s="50" t="s">
        <v>167</v>
      </c>
      <c r="C696" s="192">
        <v>0</v>
      </c>
      <c r="D696" s="192">
        <v>65</v>
      </c>
      <c r="E696" s="192">
        <v>25.5</v>
      </c>
      <c r="F696" s="192">
        <v>209.5</v>
      </c>
      <c r="G696" s="192">
        <v>360</v>
      </c>
      <c r="H696" s="192">
        <v>120.3</v>
      </c>
      <c r="I696" s="192"/>
      <c r="J696" s="192"/>
      <c r="K696" s="192"/>
      <c r="L696" s="192"/>
      <c r="M696" s="192"/>
      <c r="N696" s="192"/>
      <c r="O696" s="193">
        <f ca="1" t="shared" si="547"/>
        <v>780.3</v>
      </c>
      <c r="P696" s="104">
        <v>235372</v>
      </c>
    </row>
    <row r="697" customFormat="1" ht="15.75" spans="1:20">
      <c r="A697" s="307" t="s">
        <v>180</v>
      </c>
      <c r="B697" s="50" t="s">
        <v>167</v>
      </c>
      <c r="C697" s="192">
        <v>0</v>
      </c>
      <c r="D697" s="192">
        <v>0</v>
      </c>
      <c r="E697" s="192">
        <v>0</v>
      </c>
      <c r="F697" s="192"/>
      <c r="G697" s="192"/>
      <c r="H697" s="192"/>
      <c r="I697" s="192"/>
      <c r="J697" s="192"/>
      <c r="K697" s="192"/>
      <c r="L697" s="192"/>
      <c r="M697" s="192"/>
      <c r="N697" s="192"/>
      <c r="O697" s="193">
        <f ca="1" t="shared" si="547"/>
        <v>0</v>
      </c>
      <c r="P697" s="104">
        <v>244192</v>
      </c>
    </row>
    <row r="698" customFormat="1" ht="15.75" spans="1:20">
      <c r="A698" s="307" t="s">
        <v>181</v>
      </c>
      <c r="B698" s="50" t="s">
        <v>167</v>
      </c>
      <c r="C698" s="192">
        <v>0</v>
      </c>
      <c r="D698" s="192">
        <v>4200</v>
      </c>
      <c r="E698" s="192">
        <v>0</v>
      </c>
      <c r="F698" s="192">
        <v>4200</v>
      </c>
      <c r="G698" s="192">
        <v>8605</v>
      </c>
      <c r="H698" s="192">
        <v>3375</v>
      </c>
      <c r="I698" s="192"/>
      <c r="J698" s="192"/>
      <c r="K698" s="192"/>
      <c r="L698" s="192"/>
      <c r="M698" s="192"/>
      <c r="N698" s="192"/>
      <c r="O698" s="193">
        <f ca="1" t="shared" si="547"/>
        <v>20380</v>
      </c>
      <c r="P698" s="104">
        <v>244193</v>
      </c>
    </row>
    <row r="699" customFormat="1" ht="15.75" spans="1:20">
      <c r="A699" s="307" t="s">
        <v>182</v>
      </c>
      <c r="B699" s="50" t="s">
        <v>167</v>
      </c>
      <c r="C699" s="192">
        <v>4601.015</v>
      </c>
      <c r="D699" s="192">
        <v>6748.88</v>
      </c>
      <c r="E699" s="192">
        <v>720</v>
      </c>
      <c r="F699" s="192">
        <v>9737.305</v>
      </c>
      <c r="G699" s="192">
        <v>19525.245</v>
      </c>
      <c r="H699" s="192">
        <v>11098.619</v>
      </c>
      <c r="I699" s="192"/>
      <c r="J699" s="192"/>
      <c r="K699" s="192"/>
      <c r="L699" s="192"/>
      <c r="M699" s="192"/>
      <c r="N699" s="192"/>
      <c r="O699" s="193">
        <f ca="1" t="shared" si="547"/>
        <v>52431.064</v>
      </c>
      <c r="P699" s="104">
        <v>244194</v>
      </c>
    </row>
    <row r="700" customFormat="1" ht="15.75" spans="1:20">
      <c r="A700" s="307" t="s">
        <v>183</v>
      </c>
      <c r="B700" s="50" t="s">
        <v>167</v>
      </c>
      <c r="C700" s="192">
        <v>5500</v>
      </c>
      <c r="D700" s="192">
        <v>3000</v>
      </c>
      <c r="E700" s="192">
        <v>0</v>
      </c>
      <c r="F700" s="192">
        <v>5000</v>
      </c>
      <c r="G700" s="192">
        <v>5125</v>
      </c>
      <c r="H700" s="192">
        <v>6955</v>
      </c>
      <c r="I700" s="192"/>
      <c r="J700" s="192"/>
      <c r="K700" s="192"/>
      <c r="L700" s="192"/>
      <c r="M700" s="192"/>
      <c r="N700" s="192"/>
      <c r="O700" s="193">
        <f ca="1">SUM(OFFSET($C700,0,0,1,mth))</f>
        <v>25580</v>
      </c>
      <c r="P700" s="104">
        <v>246164</v>
      </c>
    </row>
    <row r="701" customFormat="1" ht="15.75" spans="1:20">
      <c r="A701" s="307" t="s">
        <v>184</v>
      </c>
      <c r="B701" s="50" t="s">
        <v>167</v>
      </c>
      <c r="C701" s="192">
        <v>207.2</v>
      </c>
      <c r="D701" s="192">
        <v>124.3</v>
      </c>
      <c r="E701" s="192">
        <v>0</v>
      </c>
      <c r="F701" s="192">
        <v>192</v>
      </c>
      <c r="G701" s="192">
        <v>210</v>
      </c>
      <c r="H701" s="192">
        <v>293</v>
      </c>
      <c r="I701" s="192"/>
      <c r="J701" s="192"/>
      <c r="K701" s="192"/>
      <c r="L701" s="192"/>
      <c r="M701" s="192"/>
      <c r="N701" s="192"/>
      <c r="O701" s="193">
        <f ca="1">SUM(OFFSET($C701,0,0,1,mth))</f>
        <v>1026.5</v>
      </c>
      <c r="P701" s="104">
        <v>247994</v>
      </c>
    </row>
    <row r="702" customHeight="1" spans="1:20">
      <c r="A702" s="307" t="s">
        <v>185</v>
      </c>
      <c r="B702" s="50" t="s">
        <v>167</v>
      </c>
      <c r="C702" s="192">
        <v>43.2</v>
      </c>
      <c r="D702" s="192">
        <v>41.708</v>
      </c>
      <c r="E702" s="192">
        <v>0</v>
      </c>
      <c r="F702" s="192">
        <v>64.5</v>
      </c>
      <c r="G702" s="192">
        <v>70.709</v>
      </c>
      <c r="H702" s="192">
        <v>77.5</v>
      </c>
      <c r="I702" s="192"/>
      <c r="J702" s="192"/>
      <c r="K702" s="192"/>
      <c r="L702" s="192"/>
      <c r="M702" s="192"/>
      <c r="N702" s="192"/>
      <c r="O702" s="193">
        <f ca="1" t="shared" si="547"/>
        <v>297.617</v>
      </c>
      <c r="P702" s="104">
        <v>247995</v>
      </c>
    </row>
    <row r="703" customHeight="1" spans="1:20">
      <c r="A703" s="307" t="s">
        <v>186</v>
      </c>
      <c r="B703" s="50" t="s">
        <v>167</v>
      </c>
      <c r="C703" s="192">
        <v>11.952</v>
      </c>
      <c r="D703" s="192">
        <v>41.83</v>
      </c>
      <c r="E703" s="192">
        <v>18.089</v>
      </c>
      <c r="F703" s="192">
        <v>37.16</v>
      </c>
      <c r="G703" s="192">
        <v>102.345</v>
      </c>
      <c r="H703" s="192">
        <v>82.588</v>
      </c>
      <c r="I703" s="192"/>
      <c r="J703" s="192"/>
      <c r="K703" s="192"/>
      <c r="L703" s="192"/>
      <c r="M703" s="192"/>
      <c r="N703" s="192"/>
      <c r="O703" s="193">
        <f ca="1" t="shared" si="547"/>
        <v>293.964</v>
      </c>
      <c r="P703" s="104">
        <v>262531</v>
      </c>
    </row>
    <row r="704" customHeight="1" spans="1:20">
      <c r="A704" s="307" t="s">
        <v>187</v>
      </c>
      <c r="B704" s="50" t="s">
        <v>167</v>
      </c>
      <c r="C704" s="192"/>
      <c r="D704" s="192"/>
      <c r="E704" s="192">
        <v>0</v>
      </c>
      <c r="F704" s="192"/>
      <c r="G704" s="192"/>
      <c r="H704" s="192"/>
      <c r="I704" s="192"/>
      <c r="J704" s="192"/>
      <c r="K704" s="192"/>
      <c r="L704" s="192"/>
      <c r="M704" s="192"/>
      <c r="N704" s="192"/>
      <c r="O704" s="193">
        <f ca="1" t="shared" si="547"/>
        <v>0</v>
      </c>
      <c r="P704" s="104">
        <v>262532</v>
      </c>
    </row>
    <row r="705" customHeight="1" spans="1:20">
      <c r="A705" s="307" t="s">
        <v>188</v>
      </c>
      <c r="B705" s="50" t="s">
        <v>75</v>
      </c>
      <c r="C705" s="192">
        <v>236</v>
      </c>
      <c r="D705" s="192">
        <v>274</v>
      </c>
      <c r="E705" s="192">
        <v>3</v>
      </c>
      <c r="F705" s="192">
        <v>23</v>
      </c>
      <c r="G705" s="192">
        <v>80</v>
      </c>
      <c r="H705" s="192">
        <v>72</v>
      </c>
      <c r="I705" s="192"/>
      <c r="J705" s="192"/>
      <c r="K705" s="192"/>
      <c r="L705" s="192"/>
      <c r="M705" s="192"/>
      <c r="N705" s="192"/>
      <c r="O705" s="193">
        <f ca="1" t="shared" si="547"/>
        <v>688</v>
      </c>
      <c r="P705" s="104">
        <v>263449</v>
      </c>
    </row>
    <row r="706" customHeight="1" spans="1:20">
      <c r="A706" s="307" t="s">
        <v>189</v>
      </c>
      <c r="B706" s="50" t="s">
        <v>167</v>
      </c>
      <c r="C706" s="192">
        <v>0</v>
      </c>
      <c r="D706" s="192">
        <v>0</v>
      </c>
      <c r="E706" s="192">
        <v>0</v>
      </c>
      <c r="F706" s="192">
        <v>14.744</v>
      </c>
      <c r="G706" s="192">
        <v>44.201</v>
      </c>
      <c r="H706" s="192">
        <v>13.055</v>
      </c>
      <c r="I706" s="192"/>
      <c r="J706" s="192"/>
      <c r="K706" s="192"/>
      <c r="L706" s="192"/>
      <c r="M706" s="192"/>
      <c r="N706" s="192"/>
      <c r="O706" s="193">
        <f ca="1" t="shared" si="547"/>
        <v>72</v>
      </c>
      <c r="P706" s="104">
        <v>266799</v>
      </c>
    </row>
    <row r="707" customHeight="1" spans="1:20">
      <c r="A707" s="307" t="s">
        <v>190</v>
      </c>
      <c r="B707" s="50" t="s">
        <v>167</v>
      </c>
      <c r="C707" s="192">
        <v>0</v>
      </c>
      <c r="D707" s="192">
        <v>0</v>
      </c>
      <c r="E707" s="192">
        <v>0</v>
      </c>
      <c r="F707" s="192"/>
      <c r="G707" s="192">
        <v>17.001</v>
      </c>
      <c r="H707" s="192">
        <v>8.999</v>
      </c>
      <c r="I707" s="192"/>
      <c r="J707" s="192"/>
      <c r="K707" s="192"/>
      <c r="L707" s="192"/>
      <c r="M707" s="192"/>
      <c r="N707" s="192"/>
      <c r="O707" s="193">
        <f ca="1" t="shared" si="547"/>
        <v>26</v>
      </c>
      <c r="P707" s="104">
        <v>266801</v>
      </c>
      <c r="T707" s="361"/>
    </row>
    <row r="708" customHeight="1" spans="1:20">
      <c r="A708" s="307" t="s">
        <v>191</v>
      </c>
      <c r="B708" s="50"/>
      <c r="C708" s="192">
        <v>0</v>
      </c>
      <c r="D708" s="192">
        <v>6.686</v>
      </c>
      <c r="E708" s="192">
        <v>9.956</v>
      </c>
      <c r="F708" s="192">
        <v>19.901</v>
      </c>
      <c r="G708" s="192">
        <v>28.805</v>
      </c>
      <c r="H708" s="192">
        <v>36.978</v>
      </c>
      <c r="I708" s="192"/>
      <c r="J708" s="192"/>
      <c r="K708" s="192"/>
      <c r="L708" s="192"/>
      <c r="M708" s="192"/>
      <c r="N708" s="192"/>
      <c r="O708" s="193">
        <f ca="1" t="shared" si="547"/>
        <v>102.326</v>
      </c>
      <c r="P708" s="104">
        <v>270837</v>
      </c>
    </row>
    <row r="709" customFormat="1" ht="15.75" spans="1:20">
      <c r="A709" s="307" t="s">
        <v>192</v>
      </c>
      <c r="B709" s="50" t="s">
        <v>167</v>
      </c>
      <c r="C709" s="192">
        <v>0</v>
      </c>
      <c r="D709" s="192">
        <v>925</v>
      </c>
      <c r="E709" s="192">
        <v>0</v>
      </c>
      <c r="F709" s="192">
        <v>1200</v>
      </c>
      <c r="G709" s="192">
        <v>2024</v>
      </c>
      <c r="H709" s="192">
        <v>1126</v>
      </c>
      <c r="I709" s="192"/>
      <c r="J709" s="192"/>
      <c r="K709" s="192"/>
      <c r="L709" s="192"/>
      <c r="M709" s="192"/>
      <c r="N709" s="192"/>
      <c r="O709" s="193">
        <f ca="1">SUM(OFFSET($C709,0,0,1,mth))</f>
        <v>5275</v>
      </c>
      <c r="P709" s="104">
        <v>278432</v>
      </c>
    </row>
    <row r="710" customFormat="1" ht="15.75" spans="1:20">
      <c r="A710" s="307" t="s">
        <v>193</v>
      </c>
      <c r="B710" s="50" t="s">
        <v>167</v>
      </c>
      <c r="C710" s="192">
        <v>0</v>
      </c>
      <c r="D710" s="192">
        <v>0</v>
      </c>
      <c r="E710" s="192">
        <v>0</v>
      </c>
      <c r="F710" s="192"/>
      <c r="G710" s="192"/>
      <c r="H710" s="192"/>
      <c r="I710" s="192"/>
      <c r="J710" s="192"/>
      <c r="K710" s="192"/>
      <c r="L710" s="192"/>
      <c r="M710" s="192"/>
      <c r="N710" s="192"/>
      <c r="O710" s="193">
        <f ca="1" t="shared" si="547"/>
        <v>0</v>
      </c>
      <c r="P710" s="104">
        <v>278905</v>
      </c>
    </row>
    <row r="711" customFormat="1" ht="15.75" spans="1:20">
      <c r="A711" s="307" t="s">
        <v>194</v>
      </c>
      <c r="B711" s="50" t="s">
        <v>167</v>
      </c>
      <c r="C711" s="192">
        <v>57</v>
      </c>
      <c r="D711" s="192">
        <v>0</v>
      </c>
      <c r="E711" s="192">
        <v>0</v>
      </c>
      <c r="F711" s="192"/>
      <c r="G711" s="192"/>
      <c r="H711" s="192"/>
      <c r="I711" s="192"/>
      <c r="J711" s="192"/>
      <c r="K711" s="192"/>
      <c r="L711" s="192"/>
      <c r="M711" s="192"/>
      <c r="N711" s="192"/>
      <c r="O711" s="193">
        <f ca="1" t="shared" si="547"/>
        <v>57</v>
      </c>
      <c r="P711" s="104">
        <v>279501</v>
      </c>
    </row>
    <row r="712" customFormat="1" ht="15.75" spans="1:20">
      <c r="A712" s="307" t="s">
        <v>195</v>
      </c>
      <c r="B712" s="50" t="s">
        <v>167</v>
      </c>
      <c r="C712" s="192">
        <v>0</v>
      </c>
      <c r="D712" s="192">
        <v>0</v>
      </c>
      <c r="E712" s="192">
        <v>0</v>
      </c>
      <c r="F712" s="192">
        <v>11.342</v>
      </c>
      <c r="G712" s="192">
        <v>34.001</v>
      </c>
      <c r="H712" s="192">
        <v>2.657</v>
      </c>
      <c r="I712" s="192"/>
      <c r="J712" s="192"/>
      <c r="K712" s="192"/>
      <c r="L712" s="192"/>
      <c r="M712" s="192"/>
      <c r="N712" s="192"/>
      <c r="O712" s="193">
        <f ca="1" t="shared" si="547"/>
        <v>48</v>
      </c>
      <c r="P712" s="104">
        <v>284316</v>
      </c>
    </row>
    <row r="713" customFormat="1" ht="15.75" spans="1:20">
      <c r="A713" s="307" t="s">
        <v>196</v>
      </c>
      <c r="B713" s="50" t="s">
        <v>167</v>
      </c>
      <c r="C713" s="192"/>
      <c r="D713" s="192"/>
      <c r="E713" s="192">
        <v>0</v>
      </c>
      <c r="F713" s="192"/>
      <c r="G713" s="192"/>
      <c r="H713" s="192"/>
      <c r="I713" s="192"/>
      <c r="J713" s="192"/>
      <c r="K713" s="192"/>
      <c r="L713" s="192"/>
      <c r="M713" s="192"/>
      <c r="N713" s="192"/>
      <c r="O713" s="193">
        <f ca="1">SUM(OFFSET($C713,0,0,1,mth))</f>
        <v>0</v>
      </c>
      <c r="P713" s="104">
        <v>291564</v>
      </c>
    </row>
    <row r="714" customFormat="1" ht="15.75" spans="1:20">
      <c r="A714" s="307" t="s">
        <v>197</v>
      </c>
      <c r="B714" s="50" t="s">
        <v>167</v>
      </c>
      <c r="C714" s="192"/>
      <c r="D714" s="192"/>
      <c r="E714" s="192">
        <v>0</v>
      </c>
      <c r="F714" s="192"/>
      <c r="G714" s="192"/>
      <c r="H714" s="192"/>
      <c r="I714" s="192"/>
      <c r="J714" s="192"/>
      <c r="K714" s="192"/>
      <c r="L714" s="192"/>
      <c r="M714" s="192"/>
      <c r="N714" s="192"/>
      <c r="O714" s="193">
        <f ca="1">SUM(OFFSET($C714,0,0,1,mth))</f>
        <v>0</v>
      </c>
      <c r="P714" s="104">
        <v>292651</v>
      </c>
    </row>
    <row r="715" customFormat="1" ht="15.75" spans="1:20">
      <c r="A715" s="115" t="s">
        <v>198</v>
      </c>
      <c r="B715" s="50" t="s">
        <v>167</v>
      </c>
      <c r="C715" s="192"/>
      <c r="D715" s="192">
        <v>75</v>
      </c>
      <c r="E715" s="192">
        <v>117.197</v>
      </c>
      <c r="F715" s="192">
        <v>182.51</v>
      </c>
      <c r="G715" s="192">
        <v>680.01</v>
      </c>
      <c r="H715" s="192">
        <v>230.89</v>
      </c>
      <c r="I715" s="192"/>
      <c r="J715" s="192"/>
      <c r="K715" s="192"/>
      <c r="L715" s="192"/>
      <c r="M715" s="192"/>
      <c r="N715" s="192"/>
      <c r="O715" s="193">
        <f ca="1">SUM(OFFSET($C715,0,0,1,mth))</f>
        <v>1285.607</v>
      </c>
      <c r="P715" s="104">
        <v>299669</v>
      </c>
    </row>
    <row r="716" customHeight="1" spans="1:20">
      <c r="A716" s="307" t="s">
        <v>199</v>
      </c>
      <c r="B716" s="50" t="s">
        <v>167</v>
      </c>
      <c r="C716" s="192"/>
      <c r="D716" s="192">
        <v>0</v>
      </c>
      <c r="E716" s="192">
        <v>0</v>
      </c>
      <c r="F716" s="192"/>
      <c r="G716" s="192"/>
      <c r="H716" s="192"/>
      <c r="I716" s="192"/>
      <c r="J716" s="192"/>
      <c r="K716" s="192"/>
      <c r="L716" s="192"/>
      <c r="M716" s="192"/>
      <c r="N716" s="192"/>
      <c r="O716" s="193">
        <f ca="1" t="shared" si="547"/>
        <v>0</v>
      </c>
      <c r="P716" s="104">
        <v>300312</v>
      </c>
    </row>
    <row r="717" customHeight="1" spans="1:20">
      <c r="A717" s="115" t="s">
        <v>200</v>
      </c>
      <c r="B717" s="50" t="s">
        <v>167</v>
      </c>
      <c r="C717" s="192"/>
      <c r="D717" s="192"/>
      <c r="E717" s="192">
        <v>0</v>
      </c>
      <c r="F717" s="192"/>
      <c r="G717" s="192"/>
      <c r="H717" s="192"/>
      <c r="I717" s="192"/>
      <c r="J717" s="192"/>
      <c r="K717" s="192"/>
      <c r="L717" s="192"/>
      <c r="M717" s="192"/>
      <c r="N717" s="192"/>
      <c r="O717" s="193">
        <f ca="1" t="shared" si="547"/>
        <v>0</v>
      </c>
      <c r="P717" s="104">
        <v>302197</v>
      </c>
    </row>
    <row r="718" customHeight="1" spans="1:20">
      <c r="A718" s="115" t="s">
        <v>205</v>
      </c>
      <c r="B718" s="50"/>
      <c r="C718" s="192"/>
      <c r="D718" s="192">
        <v>0</v>
      </c>
      <c r="E718" s="192">
        <v>0</v>
      </c>
      <c r="F718" s="192"/>
      <c r="G718" s="192"/>
      <c r="H718" s="192">
        <v>0</v>
      </c>
      <c r="I718" s="192"/>
      <c r="J718" s="192"/>
      <c r="K718" s="192"/>
      <c r="L718" s="192"/>
      <c r="M718" s="192"/>
      <c r="N718" s="192"/>
      <c r="O718" s="193">
        <f ca="1" t="shared" si="547"/>
        <v>0</v>
      </c>
      <c r="P718" s="104">
        <v>270510</v>
      </c>
    </row>
    <row r="719" customHeight="1" spans="1:20">
      <c r="A719" s="115" t="s">
        <v>203</v>
      </c>
      <c r="B719" s="50"/>
      <c r="C719" s="192">
        <v>0</v>
      </c>
      <c r="D719" s="192">
        <v>0</v>
      </c>
      <c r="E719" s="192">
        <v>0</v>
      </c>
      <c r="F719" s="192"/>
      <c r="G719" s="192">
        <v>-1.849</v>
      </c>
      <c r="H719" s="192">
        <v>1.849</v>
      </c>
      <c r="I719" s="192"/>
      <c r="J719" s="192"/>
      <c r="K719" s="192"/>
      <c r="L719" s="192"/>
      <c r="M719" s="192"/>
      <c r="N719" s="192"/>
      <c r="O719" s="193">
        <f ca="1" t="shared" si="547"/>
        <v>0</v>
      </c>
      <c r="P719" s="104">
        <v>280314</v>
      </c>
    </row>
    <row r="720" customHeight="1" spans="1:20">
      <c r="A720" s="115" t="s">
        <v>206</v>
      </c>
      <c r="B720" s="50"/>
      <c r="C720" s="192">
        <v>0</v>
      </c>
      <c r="D720" s="192">
        <v>120</v>
      </c>
      <c r="E720" s="192">
        <v>0</v>
      </c>
      <c r="F720" s="192"/>
      <c r="G720" s="192">
        <v>54</v>
      </c>
      <c r="H720" s="192">
        <v>96</v>
      </c>
      <c r="I720" s="192"/>
      <c r="J720" s="192"/>
      <c r="K720" s="192"/>
      <c r="L720" s="192"/>
      <c r="M720" s="192"/>
      <c r="N720" s="192"/>
      <c r="O720" s="193">
        <f ca="1" t="shared" si="547"/>
        <v>270</v>
      </c>
      <c r="P720" s="104">
        <v>301914</v>
      </c>
    </row>
    <row r="721" customHeight="1" spans="1:20">
      <c r="A721" s="115" t="s">
        <v>582</v>
      </c>
      <c r="B721" s="50"/>
      <c r="C721" s="192">
        <v>0</v>
      </c>
      <c r="D721" s="192">
        <v>0</v>
      </c>
      <c r="E721" s="192">
        <v>0</v>
      </c>
      <c r="F721" s="192"/>
      <c r="G721" s="192">
        <v>3.418</v>
      </c>
      <c r="H721" s="192">
        <v>16.582</v>
      </c>
      <c r="I721" s="192"/>
      <c r="J721" s="192"/>
      <c r="K721" s="192"/>
      <c r="L721" s="192"/>
      <c r="M721" s="192"/>
      <c r="N721" s="192"/>
      <c r="O721" s="193">
        <f ca="1" t="shared" si="547"/>
        <v>20</v>
      </c>
      <c r="P721" s="104">
        <v>282311</v>
      </c>
    </row>
    <row r="722" customHeight="1" spans="1:20">
      <c r="A722" s="115" t="s">
        <v>351</v>
      </c>
      <c r="B722" s="50"/>
      <c r="C722" s="192">
        <v>0.007</v>
      </c>
      <c r="D722" s="192">
        <v>0.295</v>
      </c>
      <c r="E722" s="192">
        <v>0.11</v>
      </c>
      <c r="F722" s="192">
        <v>1.034</v>
      </c>
      <c r="G722" s="192">
        <v>1.535</v>
      </c>
      <c r="H722" s="192">
        <v>0.52</v>
      </c>
      <c r="I722" s="192"/>
      <c r="J722" s="192"/>
      <c r="K722" s="192"/>
      <c r="L722" s="192"/>
      <c r="M722" s="192"/>
      <c r="N722" s="192"/>
      <c r="O722" s="193">
        <f ca="1" t="shared" si="547"/>
        <v>3.501</v>
      </c>
      <c r="P722" s="104">
        <v>205034</v>
      </c>
      <c r="T722" s="361"/>
    </row>
    <row r="723" customHeight="1" spans="1:20">
      <c r="A723" s="115" t="s">
        <v>583</v>
      </c>
      <c r="B723" s="50"/>
      <c r="C723" s="192"/>
      <c r="D723" s="192"/>
      <c r="E723" s="192"/>
      <c r="F723" s="192"/>
      <c r="G723" s="192">
        <v>12.995</v>
      </c>
      <c r="H723" s="192">
        <v>26.15</v>
      </c>
      <c r="I723" s="192"/>
      <c r="J723" s="192"/>
      <c r="K723" s="192"/>
      <c r="L723" s="192"/>
      <c r="M723" s="192"/>
      <c r="N723" s="192"/>
      <c r="O723" s="193">
        <f ca="1">SUM(OFFSET($C723,0,0,1,mth))</f>
        <v>39.145</v>
      </c>
      <c r="P723" s="104" t="s">
        <v>584</v>
      </c>
      <c r="T723" s="362"/>
    </row>
    <row r="724" customHeight="1" spans="1:20">
      <c r="A724" s="229" t="s">
        <v>343</v>
      </c>
      <c r="B724" s="60"/>
      <c r="C724" s="365">
        <f>SUM(C695:C723)</f>
        <v>10656.374</v>
      </c>
      <c r="D724" s="365">
        <f>SUM(D695:D723)</f>
        <v>15622.699</v>
      </c>
      <c r="E724" s="365">
        <f>SUM(E695:E723)</f>
        <v>893.852</v>
      </c>
      <c r="F724" s="365">
        <f>SUM(F695:F723)</f>
        <v>20892.996</v>
      </c>
      <c r="G724" s="365">
        <f>SUM(G695:G723)</f>
        <v>36976.416</v>
      </c>
      <c r="H724" s="365">
        <v>23633.687</v>
      </c>
      <c r="I724" s="365">
        <f t="shared" ref="C724:N724" si="548">SUM(I695:I722)</f>
        <v>0</v>
      </c>
      <c r="J724" s="365">
        <f t="shared" si="548"/>
        <v>0</v>
      </c>
      <c r="K724" s="365">
        <f t="shared" si="548"/>
        <v>0</v>
      </c>
      <c r="L724" s="365">
        <f t="shared" si="548"/>
        <v>0</v>
      </c>
      <c r="M724" s="365">
        <f t="shared" si="548"/>
        <v>0</v>
      </c>
      <c r="N724" s="365">
        <f t="shared" si="548"/>
        <v>0</v>
      </c>
      <c r="O724" s="366">
        <f ca="1">SUM(OFFSET($C724,0,0,1,mth))</f>
        <v>108676.024</v>
      </c>
      <c r="P724" s="104"/>
    </row>
    <row r="725" customHeight="1" spans="1:20">
      <c r="A725" s="46" t="s">
        <v>344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 s="228"/>
    </row>
    <row r="726" customHeight="1" spans="1:20">
      <c r="A726" s="229" t="s">
        <v>250</v>
      </c>
      <c r="B726" s="230" t="s">
        <v>77</v>
      </c>
      <c r="C726" s="107" t="s">
        <v>220</v>
      </c>
      <c r="D726" s="107" t="s">
        <v>221</v>
      </c>
      <c r="E726" s="107" t="s">
        <v>222</v>
      </c>
      <c r="F726" s="107" t="s">
        <v>223</v>
      </c>
      <c r="G726" s="107" t="s">
        <v>224</v>
      </c>
      <c r="H726" s="107" t="s">
        <v>225</v>
      </c>
      <c r="I726" s="107" t="s">
        <v>226</v>
      </c>
      <c r="J726" s="107" t="s">
        <v>227</v>
      </c>
      <c r="K726" s="107" t="s">
        <v>228</v>
      </c>
      <c r="L726" s="107" t="s">
        <v>229</v>
      </c>
      <c r="M726" s="107" t="s">
        <v>230</v>
      </c>
      <c r="N726" s="107" t="s">
        <v>231</v>
      </c>
      <c r="O726" s="72" t="str">
        <f>CONCATENATE("1-"&amp;mth&amp;"月累计")</f>
        <v>1-8月累计</v>
      </c>
    </row>
    <row r="727" customHeight="1" spans="1:20">
      <c r="A727" s="307" t="s">
        <v>178</v>
      </c>
      <c r="B727" s="50" t="s">
        <v>123</v>
      </c>
      <c r="C727" s="231"/>
      <c r="D727" s="231"/>
      <c r="E727" s="231"/>
      <c r="F727" s="231"/>
      <c r="G727" s="231"/>
      <c r="H727" s="231">
        <v>0</v>
      </c>
      <c r="I727" s="231"/>
      <c r="J727" s="231"/>
      <c r="K727" s="231"/>
      <c r="L727" s="231"/>
      <c r="M727" s="231"/>
      <c r="N727" s="231"/>
      <c r="O727" s="140">
        <f ca="1" t="shared" ref="O727:O762" si="549">IFERROR(O867/O655,0)</f>
        <v>0</v>
      </c>
      <c r="P727" s="104">
        <v>213243</v>
      </c>
    </row>
    <row r="728" customHeight="1" spans="1:20">
      <c r="A728" s="307" t="s">
        <v>179</v>
      </c>
      <c r="B728" s="50" t="s">
        <v>123</v>
      </c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140">
        <f ca="1" t="shared" si="549"/>
        <v>0</v>
      </c>
      <c r="P728" s="104">
        <v>235372</v>
      </c>
      <c r="Q728" s="71"/>
      <c r="R728" s="71"/>
    </row>
    <row r="729" customHeight="1" spans="1:20">
      <c r="A729" s="307" t="s">
        <v>180</v>
      </c>
      <c r="B729" s="50" t="s">
        <v>123</v>
      </c>
      <c r="C729" s="231">
        <v>0</v>
      </c>
      <c r="D729" s="231">
        <v>0</v>
      </c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140">
        <f ca="1" t="shared" si="549"/>
        <v>0</v>
      </c>
      <c r="P729" s="104">
        <v>244192</v>
      </c>
      <c r="Q729" s="71"/>
      <c r="R729" s="71"/>
    </row>
    <row r="730" customHeight="1" spans="1:20">
      <c r="A730" s="307" t="s">
        <v>181</v>
      </c>
      <c r="B730" s="50" t="s">
        <v>123</v>
      </c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140">
        <f ca="1" t="shared" si="549"/>
        <v>0</v>
      </c>
      <c r="P730" s="104">
        <v>244193</v>
      </c>
    </row>
    <row r="731" customHeight="1" spans="1:20">
      <c r="A731" s="307" t="s">
        <v>182</v>
      </c>
      <c r="B731" s="50" t="s">
        <v>123</v>
      </c>
      <c r="C731" s="231">
        <v>6.00891954382935</v>
      </c>
      <c r="D731" s="231">
        <v>6.03832054954872</v>
      </c>
      <c r="E731" s="231">
        <v>6.07556136998383</v>
      </c>
      <c r="F731" s="231">
        <v>6.0754966460541</v>
      </c>
      <c r="G731" s="231">
        <v>6.06357953862113</v>
      </c>
      <c r="H731" s="231">
        <v>6.06252432954084</v>
      </c>
      <c r="I731" s="231"/>
      <c r="J731" s="231"/>
      <c r="K731" s="231"/>
      <c r="L731" s="231"/>
      <c r="M731" s="231"/>
      <c r="N731" s="231"/>
      <c r="O731" s="140">
        <f ca="1" t="shared" si="549"/>
        <v>6.06246806590941</v>
      </c>
      <c r="P731" s="104">
        <v>244194</v>
      </c>
    </row>
    <row r="732" customHeight="1" spans="1:20">
      <c r="A732" s="307" t="s">
        <v>183</v>
      </c>
      <c r="B732" s="50" t="s">
        <v>123</v>
      </c>
      <c r="C732" s="231">
        <v>0</v>
      </c>
      <c r="D732" s="231">
        <v>0</v>
      </c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140">
        <f ca="1" t="shared" si="549"/>
        <v>0</v>
      </c>
      <c r="P732" s="104">
        <v>246164</v>
      </c>
    </row>
    <row r="733" customHeight="1" spans="1:20">
      <c r="A733" s="307" t="s">
        <v>184</v>
      </c>
      <c r="B733" s="50" t="s">
        <v>123</v>
      </c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140">
        <f ca="1" t="shared" si="549"/>
        <v>0</v>
      </c>
      <c r="P733" s="104">
        <v>247994</v>
      </c>
    </row>
    <row r="734" customHeight="1" spans="1:20">
      <c r="A734" s="307" t="s">
        <v>185</v>
      </c>
      <c r="B734" s="50" t="s">
        <v>123</v>
      </c>
      <c r="C734" s="231">
        <v>0</v>
      </c>
      <c r="D734" s="231">
        <v>7.96703296703297</v>
      </c>
      <c r="E734" s="231"/>
      <c r="F734" s="231"/>
      <c r="G734" s="231">
        <v>7.96203238414294</v>
      </c>
      <c r="H734" s="231"/>
      <c r="I734" s="231"/>
      <c r="J734" s="231"/>
      <c r="K734" s="231"/>
      <c r="L734" s="231"/>
      <c r="M734" s="231"/>
      <c r="N734" s="231"/>
      <c r="O734" s="140">
        <f ca="1" t="shared" si="549"/>
        <v>7.96392646548734</v>
      </c>
      <c r="P734" s="104">
        <v>247995</v>
      </c>
    </row>
    <row r="735" customHeight="1" spans="1:20">
      <c r="A735" s="307" t="s">
        <v>186</v>
      </c>
      <c r="B735" s="50" t="s">
        <v>123</v>
      </c>
      <c r="C735" s="231">
        <v>19.02359437751</v>
      </c>
      <c r="D735" s="231">
        <v>19.0256779457643</v>
      </c>
      <c r="E735" s="231">
        <v>19.0269317088811</v>
      </c>
      <c r="F735" s="231">
        <v>19.0263716692924</v>
      </c>
      <c r="G735" s="231">
        <v>19.0265985869501</v>
      </c>
      <c r="H735" s="231">
        <v>19.0263470302148</v>
      </c>
      <c r="I735" s="231"/>
      <c r="J735" s="231"/>
      <c r="K735" s="231"/>
      <c r="L735" s="231"/>
      <c r="M735" s="231"/>
      <c r="N735" s="231"/>
      <c r="O735" s="140">
        <f ca="1" t="shared" si="549"/>
        <v>19.0265941932918</v>
      </c>
      <c r="P735" s="104">
        <v>262531</v>
      </c>
    </row>
    <row r="736" customHeight="1" spans="1:20">
      <c r="A736" s="307" t="s">
        <v>187</v>
      </c>
      <c r="B736" s="50" t="s">
        <v>123</v>
      </c>
      <c r="C736" s="231">
        <v>0</v>
      </c>
      <c r="D736" s="231">
        <v>0</v>
      </c>
      <c r="E736" s="231">
        <v>309.738888888889</v>
      </c>
      <c r="F736" s="231"/>
      <c r="G736" s="231"/>
      <c r="H736" s="231">
        <v>309.734444444444</v>
      </c>
      <c r="I736" s="231"/>
      <c r="J736" s="231"/>
      <c r="K736" s="231"/>
      <c r="L736" s="231"/>
      <c r="M736" s="231"/>
      <c r="N736" s="231"/>
      <c r="O736" s="140">
        <f ca="1" t="shared" si="549"/>
        <v>309.735185185185</v>
      </c>
      <c r="P736" s="104">
        <v>262532</v>
      </c>
    </row>
    <row r="737" customHeight="1" spans="1:18">
      <c r="A737" s="307" t="s">
        <v>188</v>
      </c>
      <c r="B737" s="50" t="s">
        <v>123</v>
      </c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140">
        <f ca="1" t="shared" si="549"/>
        <v>0</v>
      </c>
      <c r="P737" s="104">
        <v>263449</v>
      </c>
    </row>
    <row r="738" customHeight="1" spans="1:18">
      <c r="A738" s="307" t="s">
        <v>189</v>
      </c>
      <c r="B738" s="50" t="s">
        <v>123</v>
      </c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140">
        <f ca="1" t="shared" si="549"/>
        <v>0</v>
      </c>
      <c r="P738" s="104">
        <v>266799</v>
      </c>
    </row>
    <row r="739" customHeight="1" spans="1:18">
      <c r="A739" s="307" t="s">
        <v>190</v>
      </c>
      <c r="B739" s="50" t="s">
        <v>123</v>
      </c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140">
        <f ca="1" t="shared" si="549"/>
        <v>0</v>
      </c>
      <c r="P739" s="104">
        <v>266801</v>
      </c>
    </row>
    <row r="740" customHeight="1" spans="1:18">
      <c r="A740" s="307" t="s">
        <v>191</v>
      </c>
      <c r="B740" s="50" t="s">
        <v>123</v>
      </c>
      <c r="C740" s="231">
        <v>6288.43215556906</v>
      </c>
      <c r="D740" s="231">
        <v>6288.43089430894</v>
      </c>
      <c r="E740" s="231">
        <v>6467.96453134769</v>
      </c>
      <c r="F740" s="231">
        <v>6524.56549619671</v>
      </c>
      <c r="G740" s="231">
        <v>6530.99535363965</v>
      </c>
      <c r="H740" s="231">
        <v>6546.51603806838</v>
      </c>
      <c r="I740" s="231"/>
      <c r="J740" s="231"/>
      <c r="K740" s="231"/>
      <c r="L740" s="231"/>
      <c r="M740" s="231"/>
      <c r="N740" s="231"/>
      <c r="O740" s="140">
        <f ca="1" t="shared" si="549"/>
        <v>6487.36182683432</v>
      </c>
      <c r="P740" s="104">
        <v>270837</v>
      </c>
    </row>
    <row r="741" customHeight="1" spans="1:18">
      <c r="A741" s="307" t="s">
        <v>192</v>
      </c>
      <c r="B741" s="50" t="s">
        <v>123</v>
      </c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140">
        <f ca="1" t="shared" si="549"/>
        <v>0</v>
      </c>
      <c r="P741" s="104">
        <v>278432</v>
      </c>
    </row>
    <row r="742" customHeight="1" spans="1:18">
      <c r="A742" s="307" t="s">
        <v>193</v>
      </c>
      <c r="B742" s="50" t="s">
        <v>123</v>
      </c>
      <c r="C742" s="231">
        <v>0</v>
      </c>
      <c r="D742" s="231">
        <v>0</v>
      </c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140">
        <f ca="1" t="shared" si="549"/>
        <v>0</v>
      </c>
      <c r="P742" s="104">
        <v>278905</v>
      </c>
      <c r="Q742" s="71"/>
      <c r="R742" s="71"/>
    </row>
    <row r="743" customHeight="1" spans="1:18">
      <c r="A743" s="307" t="s">
        <v>194</v>
      </c>
      <c r="B743" s="50" t="s">
        <v>123</v>
      </c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140">
        <f ca="1" t="shared" si="549"/>
        <v>0</v>
      </c>
      <c r="P743" s="104">
        <v>279501</v>
      </c>
      <c r="Q743" s="71"/>
      <c r="R743" s="71"/>
    </row>
    <row r="744" customHeight="1" spans="1:18">
      <c r="A744" s="307" t="s">
        <v>195</v>
      </c>
      <c r="B744" s="50" t="s">
        <v>123</v>
      </c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140">
        <f ca="1" t="shared" si="549"/>
        <v>0</v>
      </c>
      <c r="P744" s="104">
        <v>284316</v>
      </c>
    </row>
    <row r="745" customHeight="1" spans="1:18">
      <c r="A745" s="307" t="s">
        <v>196</v>
      </c>
      <c r="B745" s="50" t="s">
        <v>123</v>
      </c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140">
        <f ca="1" t="shared" si="549"/>
        <v>0</v>
      </c>
      <c r="P745" s="104">
        <v>291564</v>
      </c>
    </row>
    <row r="746" customHeight="1" spans="1:18">
      <c r="A746" s="307" t="s">
        <v>197</v>
      </c>
      <c r="B746" s="50" t="s">
        <v>123</v>
      </c>
      <c r="C746" s="231">
        <v>0</v>
      </c>
      <c r="D746" s="231">
        <v>0</v>
      </c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140">
        <f ca="1" t="shared" si="549"/>
        <v>0</v>
      </c>
      <c r="P746" s="104">
        <v>292651</v>
      </c>
    </row>
    <row r="747" customHeight="1" spans="1:18">
      <c r="A747" s="115" t="s">
        <v>198</v>
      </c>
      <c r="B747" s="50" t="s">
        <v>123</v>
      </c>
      <c r="C747" s="231">
        <v>0</v>
      </c>
      <c r="D747" s="231">
        <v>0</v>
      </c>
      <c r="E747" s="231">
        <v>26.5487632961681</v>
      </c>
      <c r="F747" s="231">
        <v>22.1242849713989</v>
      </c>
      <c r="G747" s="231">
        <v>22.124166239097</v>
      </c>
      <c r="H747" s="231">
        <v>21.3917649891645</v>
      </c>
      <c r="I747" s="231"/>
      <c r="J747" s="231"/>
      <c r="K747" s="231"/>
      <c r="L747" s="231"/>
      <c r="M747" s="231"/>
      <c r="N747" s="231"/>
      <c r="O747" s="140">
        <f ca="1" t="shared" si="549"/>
        <v>22.8461909476303</v>
      </c>
      <c r="P747" s="104">
        <v>299669</v>
      </c>
    </row>
    <row r="748" customHeight="1" spans="1:18">
      <c r="A748" s="307" t="s">
        <v>199</v>
      </c>
      <c r="B748" s="50" t="s">
        <v>123</v>
      </c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140">
        <f ca="1" t="shared" si="549"/>
        <v>0</v>
      </c>
      <c r="P748" s="104">
        <v>300312</v>
      </c>
    </row>
    <row r="749" customHeight="1" spans="1:18">
      <c r="A749" s="115" t="s">
        <v>200</v>
      </c>
      <c r="B749" s="50" t="s">
        <v>123</v>
      </c>
      <c r="C749" s="231">
        <v>9.69721966911765</v>
      </c>
      <c r="D749" s="231">
        <v>9.69742765273312</v>
      </c>
      <c r="E749" s="231">
        <v>9.70230461344007</v>
      </c>
      <c r="F749" s="231">
        <v>9.71843903436989</v>
      </c>
      <c r="G749" s="231">
        <v>9.72605752961083</v>
      </c>
      <c r="H749" s="231">
        <v>9.7260579203595</v>
      </c>
      <c r="I749" s="231"/>
      <c r="J749" s="231"/>
      <c r="K749" s="231"/>
      <c r="L749" s="231"/>
      <c r="M749" s="231"/>
      <c r="N749" s="231"/>
      <c r="O749" s="140">
        <f ca="1" t="shared" si="549"/>
        <v>9.71552971576227</v>
      </c>
      <c r="P749" s="104">
        <v>302197</v>
      </c>
    </row>
    <row r="750" customHeight="1" spans="1:18">
      <c r="A750" s="115" t="s">
        <v>201</v>
      </c>
      <c r="B750" s="50" t="s">
        <v>123</v>
      </c>
      <c r="C750" s="231">
        <v>0</v>
      </c>
      <c r="D750" s="231">
        <v>0</v>
      </c>
      <c r="E750" s="231"/>
      <c r="F750" s="231"/>
      <c r="G750" s="231">
        <v>205.816513761468</v>
      </c>
      <c r="H750" s="231">
        <v>205.816513761468</v>
      </c>
      <c r="I750" s="231"/>
      <c r="J750" s="231"/>
      <c r="K750" s="231"/>
      <c r="L750" s="231"/>
      <c r="M750" s="231"/>
      <c r="N750" s="231"/>
      <c r="O750" s="140">
        <f ca="1" t="shared" si="549"/>
        <v>0</v>
      </c>
      <c r="P750" s="104">
        <v>282435</v>
      </c>
    </row>
    <row r="751" customHeight="1" spans="1:18">
      <c r="A751" s="115" t="s">
        <v>202</v>
      </c>
      <c r="B751" s="50" t="s">
        <v>123</v>
      </c>
      <c r="C751" s="231">
        <v>0</v>
      </c>
      <c r="D751" s="231">
        <v>0</v>
      </c>
      <c r="E751" s="231">
        <v>123.895824365045</v>
      </c>
      <c r="F751" s="231">
        <v>123.89406779661</v>
      </c>
      <c r="G751" s="231">
        <v>123.892765332354</v>
      </c>
      <c r="H751" s="231">
        <v>123.921113689095</v>
      </c>
      <c r="I751" s="231"/>
      <c r="J751" s="231"/>
      <c r="K751" s="231"/>
      <c r="L751" s="231"/>
      <c r="M751" s="231"/>
      <c r="N751" s="231"/>
      <c r="O751" s="140">
        <f ca="1" t="shared" si="549"/>
        <v>123.8945</v>
      </c>
      <c r="P751" s="104">
        <v>304682</v>
      </c>
    </row>
    <row r="752" customHeight="1" spans="1:18">
      <c r="A752" s="115" t="s">
        <v>203</v>
      </c>
      <c r="B752" s="50" t="s">
        <v>123</v>
      </c>
      <c r="C752" s="231">
        <v>0</v>
      </c>
      <c r="D752" s="231">
        <v>0</v>
      </c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140">
        <f ca="1" t="shared" si="549"/>
        <v>0</v>
      </c>
      <c r="P752" s="104">
        <v>280314</v>
      </c>
    </row>
    <row r="753" customHeight="1" spans="1:18">
      <c r="A753" s="115" t="s">
        <v>204</v>
      </c>
      <c r="B753" s="50" t="s">
        <v>123</v>
      </c>
      <c r="C753" s="231">
        <v>0</v>
      </c>
      <c r="D753" s="231">
        <v>0</v>
      </c>
      <c r="E753" s="231"/>
      <c r="F753" s="231">
        <v>104.009124087591</v>
      </c>
      <c r="G753" s="231">
        <v>103.358984224702</v>
      </c>
      <c r="H753" s="231">
        <v>104.315972222222</v>
      </c>
      <c r="I753" s="231"/>
      <c r="J753" s="231"/>
      <c r="K753" s="231"/>
      <c r="L753" s="231"/>
      <c r="M753" s="231"/>
      <c r="N753" s="231"/>
      <c r="O753" s="140">
        <f ca="1" t="shared" si="549"/>
        <v>103.911059739628</v>
      </c>
      <c r="P753" s="104">
        <v>304680</v>
      </c>
    </row>
    <row r="754" customHeight="1" spans="1:18">
      <c r="A754" s="115" t="s">
        <v>577</v>
      </c>
      <c r="B754" s="50"/>
      <c r="C754" s="231">
        <v>108.849456210647</v>
      </c>
      <c r="D754" s="231">
        <v>108.849632219945</v>
      </c>
      <c r="E754" s="231">
        <v>108.849552142018</v>
      </c>
      <c r="F754" s="231">
        <v>108.849528893202</v>
      </c>
      <c r="G754" s="231">
        <v>108.849614395887</v>
      </c>
      <c r="H754" s="231"/>
      <c r="I754" s="87"/>
      <c r="J754" s="231"/>
      <c r="K754" s="231"/>
      <c r="L754" s="231"/>
      <c r="M754" s="231"/>
      <c r="N754" s="231"/>
      <c r="O754" s="140">
        <f ca="1" t="shared" si="549"/>
        <v>108.849578343422</v>
      </c>
      <c r="P754" s="104">
        <v>304681</v>
      </c>
    </row>
    <row r="755" customHeight="1" spans="1:18">
      <c r="A755" s="115" t="s">
        <v>578</v>
      </c>
      <c r="B755" s="50"/>
      <c r="C755" s="231">
        <v>0</v>
      </c>
      <c r="D755" s="231">
        <v>0</v>
      </c>
      <c r="E755" s="231"/>
      <c r="F755" s="231"/>
      <c r="G755" s="231"/>
      <c r="H755" s="231"/>
      <c r="I755" s="87"/>
      <c r="J755" s="231"/>
      <c r="K755" s="231"/>
      <c r="L755" s="231"/>
      <c r="M755" s="231"/>
      <c r="N755" s="231"/>
      <c r="O755" s="140">
        <f ca="1" t="shared" si="549"/>
        <v>0</v>
      </c>
      <c r="P755" s="104">
        <v>245231</v>
      </c>
    </row>
    <row r="756" customHeight="1" spans="1:18">
      <c r="A756" s="115" t="s">
        <v>579</v>
      </c>
      <c r="B756" s="50"/>
      <c r="C756" s="231">
        <v>0</v>
      </c>
      <c r="D756" s="231">
        <v>0</v>
      </c>
      <c r="E756" s="231"/>
      <c r="F756" s="231"/>
      <c r="G756" s="231"/>
      <c r="H756" s="231"/>
      <c r="I756" s="87"/>
      <c r="J756" s="231"/>
      <c r="K756" s="231"/>
      <c r="L756" s="231"/>
      <c r="M756" s="231"/>
      <c r="N756" s="231"/>
      <c r="O756" s="140">
        <f ca="1" t="shared" si="549"/>
        <v>0</v>
      </c>
      <c r="P756" s="104">
        <v>247996</v>
      </c>
    </row>
    <row r="757" customHeight="1" spans="1:18">
      <c r="A757" s="115" t="s">
        <v>580</v>
      </c>
      <c r="B757" s="50"/>
      <c r="C757" s="231">
        <v>148.669609079445</v>
      </c>
      <c r="D757" s="231">
        <v>148.673076923077</v>
      </c>
      <c r="E757" s="231"/>
      <c r="F757" s="231">
        <v>166.372053872054</v>
      </c>
      <c r="G757" s="231">
        <v>166.372165754496</v>
      </c>
      <c r="H757" s="231"/>
      <c r="I757" s="87"/>
      <c r="J757" s="231"/>
      <c r="K757" s="231"/>
      <c r="L757" s="231"/>
      <c r="M757" s="231"/>
      <c r="N757" s="231"/>
      <c r="O757" s="140">
        <f ca="1" t="shared" si="549"/>
        <v>158.654873779252</v>
      </c>
      <c r="P757" s="104">
        <v>304683</v>
      </c>
    </row>
    <row r="758" customHeight="1" spans="1:18">
      <c r="A758" s="115" t="s">
        <v>581</v>
      </c>
      <c r="B758" s="50"/>
      <c r="C758" s="231">
        <v>228.314840499307</v>
      </c>
      <c r="D758" s="231">
        <v>0</v>
      </c>
      <c r="E758" s="231"/>
      <c r="F758" s="231">
        <v>228.320987654321</v>
      </c>
      <c r="G758" s="231"/>
      <c r="H758" s="231">
        <v>228.381742738589</v>
      </c>
      <c r="I758" s="87"/>
      <c r="J758" s="231"/>
      <c r="K758" s="231"/>
      <c r="L758" s="231"/>
      <c r="M758" s="231"/>
      <c r="N758" s="231"/>
      <c r="O758" s="140">
        <f ca="1" t="shared" si="549"/>
        <v>228.322736905843</v>
      </c>
      <c r="P758" s="104">
        <v>304687</v>
      </c>
    </row>
    <row r="759" customHeight="1" spans="1:18">
      <c r="A759" s="115" t="s">
        <v>349</v>
      </c>
      <c r="B759" s="50"/>
      <c r="C759" s="231">
        <v>0</v>
      </c>
      <c r="D759" s="231">
        <v>201.704727564103</v>
      </c>
      <c r="E759" s="231"/>
      <c r="F759" s="231"/>
      <c r="G759" s="231">
        <v>200.762277058392</v>
      </c>
      <c r="H759" s="231"/>
      <c r="I759" s="87"/>
      <c r="J759" s="231"/>
      <c r="K759" s="231"/>
      <c r="L759" s="231"/>
      <c r="M759" s="231"/>
      <c r="N759" s="231"/>
      <c r="O759" s="140">
        <f ca="1" t="shared" si="549"/>
        <v>201.1192897253</v>
      </c>
      <c r="P759" s="104">
        <v>304686</v>
      </c>
    </row>
    <row r="760" customHeight="1" spans="1:18">
      <c r="A760" s="115" t="s">
        <v>206</v>
      </c>
      <c r="B760" s="50"/>
      <c r="C760" s="231">
        <v>0</v>
      </c>
      <c r="D760" s="231">
        <v>0</v>
      </c>
      <c r="E760" s="231"/>
      <c r="F760" s="231"/>
      <c r="G760" s="231"/>
      <c r="H760" s="231"/>
      <c r="I760" s="87"/>
      <c r="J760" s="231"/>
      <c r="K760" s="231"/>
      <c r="L760" s="231"/>
      <c r="M760" s="231"/>
      <c r="N760" s="231"/>
      <c r="O760" s="140">
        <f ca="1" t="shared" si="549"/>
        <v>0</v>
      </c>
      <c r="P760" s="104">
        <v>301914</v>
      </c>
    </row>
    <row r="761" customHeight="1" spans="1:18">
      <c r="A761" s="115" t="s">
        <v>350</v>
      </c>
      <c r="B761" s="50"/>
      <c r="C761" s="231">
        <v>0</v>
      </c>
      <c r="D761" s="231">
        <v>192.035256410256</v>
      </c>
      <c r="E761" s="231"/>
      <c r="F761" s="231"/>
      <c r="G761" s="231">
        <v>192.035830618893</v>
      </c>
      <c r="H761" s="231"/>
      <c r="I761" s="87"/>
      <c r="J761" s="231"/>
      <c r="K761" s="231"/>
      <c r="L761" s="231"/>
      <c r="M761" s="231"/>
      <c r="N761" s="231"/>
      <c r="O761" s="140">
        <f ca="1" t="shared" si="549"/>
        <v>192.0356131121</v>
      </c>
      <c r="P761" s="104">
        <v>304685</v>
      </c>
    </row>
    <row r="762" customHeight="1" spans="1:18">
      <c r="A762" s="115" t="s">
        <v>351</v>
      </c>
      <c r="B762" s="50"/>
      <c r="C762" s="231">
        <v>5442.24489795918</v>
      </c>
      <c r="D762" s="231">
        <v>5442.5</v>
      </c>
      <c r="E762" s="231">
        <v>5442.52747252747</v>
      </c>
      <c r="F762" s="231">
        <v>5442.30769230769</v>
      </c>
      <c r="G762" s="231">
        <v>5442.52173913043</v>
      </c>
      <c r="H762" s="231">
        <v>5442.53968253968</v>
      </c>
      <c r="I762" s="87"/>
      <c r="J762" s="231"/>
      <c r="K762" s="231"/>
      <c r="L762" s="231"/>
      <c r="M762" s="231"/>
      <c r="N762" s="231"/>
      <c r="O762" s="140">
        <f ca="1" t="shared" si="549"/>
        <v>5442.46153846154</v>
      </c>
      <c r="P762" s="104">
        <v>205034</v>
      </c>
    </row>
    <row r="763" customHeight="1" spans="1:18">
      <c r="A763" s="115" t="s">
        <v>340</v>
      </c>
      <c r="B763" s="50"/>
      <c r="C763" s="231"/>
      <c r="D763" s="231"/>
      <c r="E763" s="231"/>
      <c r="F763" s="231">
        <v>173.451536643026</v>
      </c>
      <c r="G763" s="231">
        <v>173.446105428796</v>
      </c>
      <c r="H763" s="231">
        <v>173.464052287582</v>
      </c>
      <c r="I763" s="87"/>
      <c r="J763" s="231"/>
      <c r="K763" s="231"/>
      <c r="L763" s="231"/>
      <c r="M763" s="231"/>
      <c r="N763" s="231"/>
      <c r="O763" s="140">
        <v>0.423</v>
      </c>
      <c r="P763" s="104">
        <v>289719</v>
      </c>
    </row>
    <row r="764" customHeight="1" spans="1:18">
      <c r="A764" s="46" t="s">
        <v>345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 s="228"/>
    </row>
    <row r="765" customHeight="1" spans="1:18">
      <c r="A765" s="229" t="s">
        <v>250</v>
      </c>
      <c r="B765" s="230" t="s">
        <v>77</v>
      </c>
      <c r="C765" s="107" t="s">
        <v>220</v>
      </c>
      <c r="D765" s="107" t="s">
        <v>221</v>
      </c>
      <c r="E765" s="107" t="s">
        <v>222</v>
      </c>
      <c r="F765" s="107" t="s">
        <v>223</v>
      </c>
      <c r="G765" s="107" t="s">
        <v>224</v>
      </c>
      <c r="H765" s="107" t="s">
        <v>225</v>
      </c>
      <c r="I765" s="107" t="s">
        <v>226</v>
      </c>
      <c r="J765" s="107" t="s">
        <v>227</v>
      </c>
      <c r="K765" s="107" t="s">
        <v>228</v>
      </c>
      <c r="L765" s="107" t="s">
        <v>229</v>
      </c>
      <c r="M765" s="107" t="s">
        <v>230</v>
      </c>
      <c r="N765" s="107" t="s">
        <v>231</v>
      </c>
      <c r="O765" s="72" t="str">
        <f>CONCATENATE("1-"&amp;mth&amp;"月累计")</f>
        <v>1-8月累计</v>
      </c>
    </row>
    <row r="766" customHeight="1" spans="1:18">
      <c r="A766" s="307" t="s">
        <v>178</v>
      </c>
      <c r="B766" s="50" t="s">
        <v>123</v>
      </c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140">
        <f ca="1" t="shared" ref="O766:O793" si="550">IFERROR(O907/O695,0)</f>
        <v>0</v>
      </c>
      <c r="P766" s="104">
        <v>213243</v>
      </c>
    </row>
    <row r="767" customHeight="1" spans="1:18">
      <c r="A767" s="307" t="s">
        <v>179</v>
      </c>
      <c r="B767" s="50" t="s">
        <v>123</v>
      </c>
      <c r="C767" s="231">
        <v>0</v>
      </c>
      <c r="D767" s="231">
        <v>5.30830769230769</v>
      </c>
      <c r="E767" s="231">
        <v>5.3156862745098</v>
      </c>
      <c r="F767" s="231">
        <v>5.26591885441527</v>
      </c>
      <c r="G767" s="231">
        <v>5.26569444444444</v>
      </c>
      <c r="H767" s="231">
        <v>5.26558603491272</v>
      </c>
      <c r="I767" s="231"/>
      <c r="J767" s="231"/>
      <c r="K767" s="231"/>
      <c r="L767" s="231"/>
      <c r="M767" s="231"/>
      <c r="N767" s="231"/>
      <c r="O767" s="140">
        <f ca="1" t="shared" si="550"/>
        <v>5.27092144047161</v>
      </c>
      <c r="P767" s="104">
        <v>235372</v>
      </c>
      <c r="Q767" s="71"/>
      <c r="R767" s="71"/>
    </row>
    <row r="768" customHeight="1" spans="1:18">
      <c r="A768" s="307" t="s">
        <v>180</v>
      </c>
      <c r="B768" s="50" t="s">
        <v>123</v>
      </c>
      <c r="C768" s="231">
        <v>0</v>
      </c>
      <c r="D768" s="231">
        <v>0</v>
      </c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140">
        <f ca="1" t="shared" si="550"/>
        <v>0</v>
      </c>
      <c r="P768" s="104">
        <v>244192</v>
      </c>
      <c r="Q768" s="71"/>
      <c r="R768" s="71"/>
    </row>
    <row r="769" customHeight="1" spans="1:18">
      <c r="A769" s="307" t="s">
        <v>181</v>
      </c>
      <c r="B769" s="50" t="s">
        <v>123</v>
      </c>
      <c r="C769" s="231">
        <v>0</v>
      </c>
      <c r="D769" s="231">
        <v>5.67287380952381</v>
      </c>
      <c r="E769" s="231"/>
      <c r="F769" s="231">
        <v>5.6693619047619</v>
      </c>
      <c r="G769" s="231">
        <v>5.72751307379431</v>
      </c>
      <c r="H769" s="231">
        <v>5.73359407407407</v>
      </c>
      <c r="I769" s="231"/>
      <c r="J769" s="231"/>
      <c r="K769" s="231"/>
      <c r="L769" s="231"/>
      <c r="M769" s="231"/>
      <c r="N769" s="231"/>
      <c r="O769" s="140">
        <f ca="1" t="shared" si="550"/>
        <v>5.70527576054956</v>
      </c>
      <c r="P769" s="104">
        <v>244193</v>
      </c>
    </row>
    <row r="770" customHeight="1" spans="1:18">
      <c r="A770" s="307" t="s">
        <v>182</v>
      </c>
      <c r="B770" s="50" t="s">
        <v>123</v>
      </c>
      <c r="C770" s="231">
        <v>6.00892194439705</v>
      </c>
      <c r="D770" s="231">
        <v>6.03942876447648</v>
      </c>
      <c r="E770" s="231">
        <v>6.07656944444444</v>
      </c>
      <c r="F770" s="231">
        <v>6.0781725539048</v>
      </c>
      <c r="G770" s="231">
        <v>6.06350086772279</v>
      </c>
      <c r="H770" s="231">
        <v>6.06281466189622</v>
      </c>
      <c r="I770" s="231"/>
      <c r="J770" s="231"/>
      <c r="K770" s="231"/>
      <c r="L770" s="231"/>
      <c r="M770" s="231"/>
      <c r="N770" s="231"/>
      <c r="O770" s="140">
        <f ca="1" t="shared" si="550"/>
        <v>6.05837180798009</v>
      </c>
      <c r="P770" s="104">
        <v>244194</v>
      </c>
    </row>
    <row r="771" customHeight="1" spans="1:18">
      <c r="A771" s="307" t="s">
        <v>183</v>
      </c>
      <c r="B771" s="50" t="s">
        <v>123</v>
      </c>
      <c r="C771" s="231">
        <v>5.75452727272727</v>
      </c>
      <c r="D771" s="231">
        <v>6.03310333333333</v>
      </c>
      <c r="E771" s="231"/>
      <c r="F771" s="231">
        <v>6.033106</v>
      </c>
      <c r="G771" s="231">
        <v>6.02472390243902</v>
      </c>
      <c r="H771" s="231">
        <v>5.89478217109993</v>
      </c>
      <c r="I771" s="231"/>
      <c r="J771" s="231"/>
      <c r="K771" s="231"/>
      <c r="L771" s="231"/>
      <c r="M771" s="231"/>
      <c r="N771" s="231"/>
      <c r="O771" s="140">
        <f ca="1" t="shared" si="550"/>
        <v>5.93391946833464</v>
      </c>
      <c r="P771" s="104">
        <v>246164</v>
      </c>
    </row>
    <row r="772" customHeight="1" spans="1:18">
      <c r="A772" s="307" t="s">
        <v>184</v>
      </c>
      <c r="B772" s="50" t="s">
        <v>123</v>
      </c>
      <c r="C772" s="231">
        <v>15.4945945945946</v>
      </c>
      <c r="D772" s="231">
        <v>15.4936444086887</v>
      </c>
      <c r="E772" s="231"/>
      <c r="F772" s="231">
        <v>15.4899479166667</v>
      </c>
      <c r="G772" s="231">
        <v>15.4868571428571</v>
      </c>
      <c r="H772" s="231">
        <v>15.4869283276451</v>
      </c>
      <c r="I772" s="231"/>
      <c r="J772" s="231"/>
      <c r="K772" s="231"/>
      <c r="L772" s="231"/>
      <c r="M772" s="231"/>
      <c r="N772" s="231"/>
      <c r="O772" s="140">
        <f ca="1" t="shared" si="550"/>
        <v>15.4898392596201</v>
      </c>
      <c r="P772" s="104">
        <v>247994</v>
      </c>
    </row>
    <row r="773" customHeight="1" spans="1:18">
      <c r="A773" s="307" t="s">
        <v>185</v>
      </c>
      <c r="B773" s="50" t="s">
        <v>123</v>
      </c>
      <c r="C773" s="231">
        <v>7.96435185185185</v>
      </c>
      <c r="D773" s="231">
        <v>7.96465905821425</v>
      </c>
      <c r="E773" s="231"/>
      <c r="F773" s="231">
        <v>7.96449612403101</v>
      </c>
      <c r="G773" s="231">
        <v>7.96475696163147</v>
      </c>
      <c r="H773" s="231">
        <v>7.96451612903226</v>
      </c>
      <c r="I773" s="231"/>
      <c r="J773" s="231"/>
      <c r="K773" s="231"/>
      <c r="L773" s="231"/>
      <c r="M773" s="231"/>
      <c r="N773" s="231"/>
      <c r="O773" s="140">
        <f ca="1" t="shared" si="550"/>
        <v>7.96456519620855</v>
      </c>
      <c r="P773" s="104">
        <v>247995</v>
      </c>
    </row>
    <row r="774" customHeight="1" spans="1:18">
      <c r="A774" s="307" t="s">
        <v>186</v>
      </c>
      <c r="B774" s="50" t="s">
        <v>123</v>
      </c>
      <c r="C774" s="231">
        <v>19.0269410977242</v>
      </c>
      <c r="D774" s="231">
        <v>19.0260578532154</v>
      </c>
      <c r="E774" s="231">
        <v>19.0264801813257</v>
      </c>
      <c r="F774" s="231">
        <v>19.0261033369214</v>
      </c>
      <c r="G774" s="231">
        <v>19.0267233377302</v>
      </c>
      <c r="H774" s="231">
        <v>19.0264929529714</v>
      </c>
      <c r="I774" s="231"/>
      <c r="J774" s="231"/>
      <c r="K774" s="231"/>
      <c r="L774" s="231"/>
      <c r="M774" s="231"/>
      <c r="N774" s="231"/>
      <c r="O774" s="140">
        <f ca="1" t="shared" si="550"/>
        <v>19.0264794328557</v>
      </c>
      <c r="P774" s="104">
        <v>262531</v>
      </c>
    </row>
    <row r="775" customHeight="1" spans="1:18">
      <c r="A775" s="307" t="s">
        <v>187</v>
      </c>
      <c r="B775" s="50" t="s">
        <v>123</v>
      </c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140">
        <f ca="1" t="shared" si="550"/>
        <v>0</v>
      </c>
      <c r="P775" s="104">
        <v>262532</v>
      </c>
    </row>
    <row r="776" customHeight="1" spans="1:18">
      <c r="A776" s="307" t="s">
        <v>188</v>
      </c>
      <c r="B776" s="50" t="s">
        <v>123</v>
      </c>
      <c r="C776" s="231">
        <v>13.7168220338983</v>
      </c>
      <c r="D776" s="231">
        <v>13.7167883211679</v>
      </c>
      <c r="E776" s="231">
        <v>13.72</v>
      </c>
      <c r="F776" s="231">
        <v>13.7169565217391</v>
      </c>
      <c r="G776" s="231">
        <v>13.71675</v>
      </c>
      <c r="H776" s="231">
        <v>13.7168055555556</v>
      </c>
      <c r="I776" s="231"/>
      <c r="J776" s="231"/>
      <c r="K776" s="231"/>
      <c r="L776" s="231"/>
      <c r="M776" s="231"/>
      <c r="N776" s="231"/>
      <c r="O776" s="140">
        <f ca="1" t="shared" si="550"/>
        <v>13.7168168604651</v>
      </c>
      <c r="P776" s="104">
        <v>263449</v>
      </c>
    </row>
    <row r="777" customHeight="1" spans="1:18">
      <c r="A777" s="307" t="s">
        <v>189</v>
      </c>
      <c r="B777" s="50" t="s">
        <v>123</v>
      </c>
      <c r="C777" s="231">
        <v>0</v>
      </c>
      <c r="D777" s="231">
        <v>0</v>
      </c>
      <c r="E777" s="231"/>
      <c r="F777" s="231">
        <v>18.5838307107976</v>
      </c>
      <c r="G777" s="231">
        <v>18.5839686884912</v>
      </c>
      <c r="H777" s="231">
        <v>18.5836844121026</v>
      </c>
      <c r="I777" s="231"/>
      <c r="J777" s="231"/>
      <c r="K777" s="231"/>
      <c r="L777" s="231"/>
      <c r="M777" s="231"/>
      <c r="N777" s="231"/>
      <c r="O777" s="140">
        <f ca="1" t="shared" si="550"/>
        <v>18.5838888888889</v>
      </c>
      <c r="P777" s="104">
        <v>266799</v>
      </c>
    </row>
    <row r="778" customHeight="1" spans="1:18">
      <c r="A778" s="307" t="s">
        <v>190</v>
      </c>
      <c r="B778" s="50" t="s">
        <v>123</v>
      </c>
      <c r="C778" s="231">
        <v>0</v>
      </c>
      <c r="D778" s="231">
        <v>0</v>
      </c>
      <c r="E778" s="231"/>
      <c r="F778" s="231"/>
      <c r="G778" s="231">
        <v>238.938297747191</v>
      </c>
      <c r="H778" s="231">
        <v>238.937659739971</v>
      </c>
      <c r="I778" s="231"/>
      <c r="J778" s="231"/>
      <c r="K778" s="231"/>
      <c r="L778" s="231"/>
      <c r="M778" s="231"/>
      <c r="N778" s="231"/>
      <c r="O778" s="140">
        <f ca="1" t="shared" si="550"/>
        <v>238.938076923077</v>
      </c>
      <c r="P778" s="104">
        <v>266801</v>
      </c>
    </row>
    <row r="779" customHeight="1" spans="1:18">
      <c r="A779" s="307" t="s">
        <v>191</v>
      </c>
      <c r="B779" s="50"/>
      <c r="C779" s="231">
        <v>0</v>
      </c>
      <c r="D779" s="231">
        <v>6288.43254561771</v>
      </c>
      <c r="E779" s="231">
        <v>6467.96504620329</v>
      </c>
      <c r="F779" s="231">
        <v>6526.37656399176</v>
      </c>
      <c r="G779" s="231">
        <v>6542.26939767402</v>
      </c>
      <c r="H779" s="231">
        <v>6546.69506192871</v>
      </c>
      <c r="I779" s="231"/>
      <c r="J779" s="231"/>
      <c r="K779" s="231"/>
      <c r="L779" s="231"/>
      <c r="M779" s="231"/>
      <c r="N779" s="231"/>
      <c r="O779" s="140">
        <f ca="1" t="shared" si="550"/>
        <v>6516.96245333542</v>
      </c>
      <c r="P779" s="104">
        <v>270837</v>
      </c>
    </row>
    <row r="780" customHeight="1" spans="1:18">
      <c r="A780" s="307" t="s">
        <v>192</v>
      </c>
      <c r="B780" s="50" t="s">
        <v>123</v>
      </c>
      <c r="C780" s="231">
        <v>0</v>
      </c>
      <c r="D780" s="231">
        <v>7.45137297297297</v>
      </c>
      <c r="E780" s="231"/>
      <c r="F780" s="231">
        <v>7.45135833333333</v>
      </c>
      <c r="G780" s="231">
        <v>7.4513685770751</v>
      </c>
      <c r="H780" s="231">
        <v>7.55675843694494</v>
      </c>
      <c r="I780" s="231"/>
      <c r="J780" s="231"/>
      <c r="K780" s="231"/>
      <c r="L780" s="231"/>
      <c r="M780" s="231"/>
      <c r="N780" s="231"/>
      <c r="O780" s="140">
        <f ca="1" t="shared" si="550"/>
        <v>7.47386350710901</v>
      </c>
      <c r="P780" s="104">
        <v>278432</v>
      </c>
    </row>
    <row r="781" customHeight="1" spans="1:18">
      <c r="A781" s="307" t="s">
        <v>193</v>
      </c>
      <c r="B781" s="50" t="s">
        <v>123</v>
      </c>
      <c r="C781" s="231">
        <v>0</v>
      </c>
      <c r="D781" s="231">
        <v>0</v>
      </c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140">
        <f ca="1" t="shared" si="550"/>
        <v>0</v>
      </c>
      <c r="P781" s="104">
        <v>278905</v>
      </c>
      <c r="Q781" s="71"/>
      <c r="R781" s="71"/>
    </row>
    <row r="782" customHeight="1" spans="1:18">
      <c r="A782" s="307" t="s">
        <v>194</v>
      </c>
      <c r="B782" s="50" t="s">
        <v>123</v>
      </c>
      <c r="C782" s="231">
        <v>44.8521052631579</v>
      </c>
      <c r="D782" s="231">
        <v>0</v>
      </c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140">
        <f ca="1" t="shared" si="550"/>
        <v>44.8521052631579</v>
      </c>
      <c r="P782" s="104">
        <v>279501</v>
      </c>
      <c r="Q782" s="71"/>
      <c r="R782" s="71"/>
    </row>
    <row r="783" customHeight="1" spans="1:18">
      <c r="A783" s="307" t="s">
        <v>195</v>
      </c>
      <c r="B783" s="50" t="s">
        <v>123</v>
      </c>
      <c r="C783" s="231">
        <v>0</v>
      </c>
      <c r="D783" s="231">
        <v>0</v>
      </c>
      <c r="E783" s="231"/>
      <c r="F783" s="231">
        <v>38.9375771468877</v>
      </c>
      <c r="G783" s="231">
        <v>38.9379724125761</v>
      </c>
      <c r="H783" s="231">
        <v>38.938652615732</v>
      </c>
      <c r="I783" s="231"/>
      <c r="J783" s="231"/>
      <c r="K783" s="231"/>
      <c r="L783" s="231"/>
      <c r="M783" s="231"/>
      <c r="N783" s="231"/>
      <c r="O783" s="140">
        <f ca="1" t="shared" si="550"/>
        <v>38.9379166666667</v>
      </c>
      <c r="P783" s="104">
        <v>284316</v>
      </c>
    </row>
    <row r="784" customHeight="1" spans="1:18">
      <c r="A784" s="307" t="s">
        <v>196</v>
      </c>
      <c r="B784" s="50" t="s">
        <v>123</v>
      </c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140">
        <f ca="1" t="shared" si="550"/>
        <v>0</v>
      </c>
      <c r="P784" s="104">
        <v>291564</v>
      </c>
    </row>
    <row r="785" customHeight="1" spans="1:16">
      <c r="A785" s="307" t="s">
        <v>197</v>
      </c>
      <c r="B785" s="50" t="s">
        <v>123</v>
      </c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140">
        <f ca="1" t="shared" si="550"/>
        <v>0</v>
      </c>
      <c r="P785" s="104">
        <v>292651</v>
      </c>
    </row>
    <row r="786" customHeight="1" spans="1:16">
      <c r="A786" s="115" t="s">
        <v>198</v>
      </c>
      <c r="B786" s="50" t="s">
        <v>123</v>
      </c>
      <c r="C786" s="231">
        <v>0</v>
      </c>
      <c r="D786" s="231">
        <v>26.5486666666667</v>
      </c>
      <c r="E786" s="231">
        <v>26.5486317909162</v>
      </c>
      <c r="F786" s="231">
        <v>22.1238836228152</v>
      </c>
      <c r="G786" s="231">
        <v>22.1238952368348</v>
      </c>
      <c r="H786" s="231">
        <v>21.3915717441206</v>
      </c>
      <c r="I786" s="231"/>
      <c r="J786" s="231"/>
      <c r="K786" s="231"/>
      <c r="L786" s="231"/>
      <c r="M786" s="231"/>
      <c r="N786" s="231"/>
      <c r="O786" s="140">
        <f ca="1" t="shared" si="550"/>
        <v>22.6538670060135</v>
      </c>
      <c r="P786" s="104">
        <v>299669</v>
      </c>
    </row>
    <row r="787" customHeight="1" spans="1:16">
      <c r="A787" s="307" t="s">
        <v>199</v>
      </c>
      <c r="B787" s="50" t="s">
        <v>123</v>
      </c>
      <c r="C787" s="231">
        <v>0</v>
      </c>
      <c r="D787" s="231">
        <v>0</v>
      </c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140">
        <f ca="1" t="shared" si="550"/>
        <v>0</v>
      </c>
      <c r="P787" s="104">
        <v>300312</v>
      </c>
    </row>
    <row r="788" customHeight="1" spans="1:16">
      <c r="A788" s="115" t="s">
        <v>200</v>
      </c>
      <c r="B788" s="50" t="s">
        <v>123</v>
      </c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140">
        <f ca="1" t="shared" si="550"/>
        <v>0</v>
      </c>
      <c r="P788" s="104">
        <v>302197</v>
      </c>
    </row>
    <row r="789" customHeight="1" spans="1:16">
      <c r="A789" s="115" t="s">
        <v>205</v>
      </c>
      <c r="B789" s="50" t="s">
        <v>123</v>
      </c>
      <c r="C789" s="231">
        <v>0</v>
      </c>
      <c r="D789" s="231">
        <v>0</v>
      </c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140">
        <f ca="1" t="shared" si="550"/>
        <v>0</v>
      </c>
      <c r="P789" s="104">
        <v>270510</v>
      </c>
    </row>
    <row r="790" customHeight="1" spans="1:16">
      <c r="A790" s="115" t="s">
        <v>203</v>
      </c>
      <c r="B790" s="50" t="s">
        <v>123</v>
      </c>
      <c r="C790" s="231">
        <v>0</v>
      </c>
      <c r="D790" s="231">
        <v>0</v>
      </c>
      <c r="E790" s="231"/>
      <c r="F790" s="231"/>
      <c r="G790" s="231">
        <v>12.3904813412655</v>
      </c>
      <c r="H790" s="231">
        <v>12.3904813412655</v>
      </c>
      <c r="I790" s="231"/>
      <c r="J790" s="231"/>
      <c r="K790" s="231"/>
      <c r="L790" s="231"/>
      <c r="M790" s="231"/>
      <c r="N790" s="231"/>
      <c r="O790" s="140">
        <f ca="1" t="shared" si="550"/>
        <v>0</v>
      </c>
      <c r="P790" s="104">
        <v>280314</v>
      </c>
    </row>
    <row r="791" customHeight="1" spans="1:16">
      <c r="A791" s="115" t="s">
        <v>206</v>
      </c>
      <c r="B791" s="50" t="s">
        <v>123</v>
      </c>
      <c r="C791" s="231">
        <v>0</v>
      </c>
      <c r="D791" s="231">
        <v>493.748083333333</v>
      </c>
      <c r="E791" s="231"/>
      <c r="F791" s="231"/>
      <c r="G791" s="231">
        <v>493.748148148148</v>
      </c>
      <c r="H791" s="231">
        <v>493.748229166667</v>
      </c>
      <c r="I791" s="231"/>
      <c r="J791" s="231"/>
      <c r="K791" s="231"/>
      <c r="L791" s="231"/>
      <c r="M791" s="231"/>
      <c r="N791" s="231"/>
      <c r="O791" s="140">
        <f ca="1" t="shared" si="550"/>
        <v>493.748148148148</v>
      </c>
      <c r="P791" s="104">
        <v>301914</v>
      </c>
    </row>
    <row r="792" customHeight="1" spans="1:16">
      <c r="A792" s="115" t="s">
        <v>582</v>
      </c>
      <c r="B792" s="50" t="s">
        <v>123</v>
      </c>
      <c r="C792" s="231">
        <v>13.7168220338983</v>
      </c>
      <c r="D792" s="231">
        <v>0</v>
      </c>
      <c r="E792" s="231"/>
      <c r="F792" s="231"/>
      <c r="G792" s="231">
        <v>11.5038033937975</v>
      </c>
      <c r="H792" s="231">
        <v>10.6193462790978</v>
      </c>
      <c r="I792" s="87"/>
      <c r="J792" s="231"/>
      <c r="K792" s="231"/>
      <c r="L792" s="231"/>
      <c r="M792" s="231"/>
      <c r="N792" s="231"/>
      <c r="O792" s="140">
        <f ca="1" t="shared" si="550"/>
        <v>10.7705</v>
      </c>
      <c r="P792" s="104">
        <v>282311</v>
      </c>
    </row>
    <row r="793" customHeight="1" spans="1:16">
      <c r="A793" s="115" t="s">
        <v>351</v>
      </c>
      <c r="B793" s="50"/>
      <c r="C793" s="231">
        <v>5442.85714285714</v>
      </c>
      <c r="D793" s="231">
        <v>5442.47457627119</v>
      </c>
      <c r="E793" s="231">
        <v>5442.45454545455</v>
      </c>
      <c r="F793" s="231">
        <v>5442.47582205029</v>
      </c>
      <c r="G793" s="231">
        <v>5442.47557003257</v>
      </c>
      <c r="H793" s="231">
        <v>5442.5</v>
      </c>
      <c r="I793" s="87"/>
      <c r="J793" s="231"/>
      <c r="K793" s="231"/>
      <c r="L793" s="231"/>
      <c r="M793" s="231"/>
      <c r="N793" s="231"/>
      <c r="O793" s="140">
        <f ca="1" t="shared" si="550"/>
        <v>5442.47929163096</v>
      </c>
      <c r="P793" s="104">
        <v>205034</v>
      </c>
    </row>
    <row r="794" customHeight="1" spans="1:16">
      <c r="A794" s="115" t="s">
        <v>204</v>
      </c>
      <c r="B794" s="50"/>
      <c r="C794" s="231"/>
      <c r="D794" s="231"/>
      <c r="E794" s="231"/>
      <c r="F794" s="231"/>
      <c r="G794" s="231">
        <v>103.35744517122</v>
      </c>
      <c r="H794" s="231">
        <v>175.708604206501</v>
      </c>
      <c r="I794" s="87"/>
      <c r="J794" s="231"/>
      <c r="K794" s="231"/>
      <c r="L794" s="231"/>
      <c r="M794" s="231"/>
      <c r="N794" s="231"/>
      <c r="O794" s="140">
        <f ca="1">IFERROR(O936/O723,0)</f>
        <v>39060.4853748882</v>
      </c>
      <c r="P794" s="104" t="s">
        <v>584</v>
      </c>
    </row>
    <row r="795" customHeight="1" spans="1:16">
      <c r="A795" s="67" t="s">
        <v>346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 s="228"/>
      <c r="P795" s="71"/>
    </row>
    <row r="796" customHeight="1" spans="1:16">
      <c r="A796" s="229" t="s">
        <v>250</v>
      </c>
      <c r="B796" s="230" t="s">
        <v>77</v>
      </c>
      <c r="C796" s="107" t="s">
        <v>220</v>
      </c>
      <c r="D796" s="107" t="s">
        <v>221</v>
      </c>
      <c r="E796" s="107" t="s">
        <v>222</v>
      </c>
      <c r="F796" s="107" t="s">
        <v>223</v>
      </c>
      <c r="G796" s="107" t="s">
        <v>224</v>
      </c>
      <c r="H796" s="107" t="s">
        <v>225</v>
      </c>
      <c r="I796" s="107" t="s">
        <v>226</v>
      </c>
      <c r="J796" s="107" t="s">
        <v>227</v>
      </c>
      <c r="K796" s="107" t="s">
        <v>228</v>
      </c>
      <c r="L796" s="107" t="s">
        <v>229</v>
      </c>
      <c r="M796" s="107" t="s">
        <v>230</v>
      </c>
      <c r="N796" s="107" t="s">
        <v>231</v>
      </c>
      <c r="O796" s="72" t="str">
        <f>CONCATENATE("1-"&amp;mth&amp;"月累计")</f>
        <v>1-8月累计</v>
      </c>
      <c r="P796" s="71"/>
    </row>
    <row r="797" customHeight="1" spans="1:16">
      <c r="A797" s="307" t="s">
        <v>178</v>
      </c>
      <c r="B797" s="50" t="s">
        <v>123</v>
      </c>
      <c r="C797" s="231">
        <f>C727*1.13</f>
        <v>0</v>
      </c>
      <c r="D797" s="231">
        <f>D727*1.13</f>
        <v>0</v>
      </c>
      <c r="E797" s="231">
        <f>E727*1.13</f>
        <v>0</v>
      </c>
      <c r="F797" s="231">
        <f t="shared" ref="D797:N797" si="551">F727*1.13</f>
        <v>0</v>
      </c>
      <c r="G797" s="231">
        <f t="shared" si="551"/>
        <v>0</v>
      </c>
      <c r="H797" s="231">
        <f t="shared" si="551"/>
        <v>0</v>
      </c>
      <c r="I797" s="231">
        <f t="shared" si="551"/>
        <v>0</v>
      </c>
      <c r="J797" s="231">
        <f t="shared" si="551"/>
        <v>0</v>
      </c>
      <c r="K797" s="231">
        <f t="shared" si="551"/>
        <v>0</v>
      </c>
      <c r="L797" s="231">
        <f t="shared" si="551"/>
        <v>0</v>
      </c>
      <c r="M797" s="231">
        <f t="shared" si="551"/>
        <v>0</v>
      </c>
      <c r="N797" s="231">
        <f t="shared" si="551"/>
        <v>0</v>
      </c>
      <c r="O797" s="140">
        <f ca="1" t="shared" ref="O797:O833" si="552">IF(O939=0,,O939/O655)</f>
        <v>0</v>
      </c>
      <c r="P797" s="71"/>
    </row>
    <row r="798" customHeight="1" spans="1:16">
      <c r="A798" s="307" t="s">
        <v>179</v>
      </c>
      <c r="B798" s="50" t="s">
        <v>123</v>
      </c>
      <c r="C798" s="231">
        <f t="shared" ref="C798:N798" si="553">C728*1.13</f>
        <v>0</v>
      </c>
      <c r="D798" s="231">
        <f t="shared" si="553"/>
        <v>0</v>
      </c>
      <c r="E798" s="231">
        <f t="shared" si="553"/>
        <v>0</v>
      </c>
      <c r="F798" s="231">
        <f t="shared" si="553"/>
        <v>0</v>
      </c>
      <c r="G798" s="231">
        <f t="shared" si="553"/>
        <v>0</v>
      </c>
      <c r="H798" s="231">
        <f t="shared" si="553"/>
        <v>0</v>
      </c>
      <c r="I798" s="231">
        <f t="shared" si="553"/>
        <v>0</v>
      </c>
      <c r="J798" s="231">
        <f t="shared" si="553"/>
        <v>0</v>
      </c>
      <c r="K798" s="231">
        <f t="shared" si="553"/>
        <v>0</v>
      </c>
      <c r="L798" s="231">
        <f t="shared" si="553"/>
        <v>0</v>
      </c>
      <c r="M798" s="231">
        <f t="shared" si="553"/>
        <v>0</v>
      </c>
      <c r="N798" s="231">
        <f t="shared" si="553"/>
        <v>0</v>
      </c>
      <c r="O798" s="140">
        <f ca="1" t="shared" si="552"/>
        <v>0</v>
      </c>
      <c r="P798" s="71"/>
    </row>
    <row r="799" customHeight="1" spans="1:16">
      <c r="A799" s="307" t="s">
        <v>180</v>
      </c>
      <c r="B799" s="50" t="s">
        <v>123</v>
      </c>
      <c r="C799" s="231">
        <f t="shared" ref="C799:N799" si="554">C729*1.13</f>
        <v>0</v>
      </c>
      <c r="D799" s="231">
        <f t="shared" si="554"/>
        <v>0</v>
      </c>
      <c r="E799" s="231">
        <f t="shared" si="554"/>
        <v>0</v>
      </c>
      <c r="F799" s="231">
        <f t="shared" si="554"/>
        <v>0</v>
      </c>
      <c r="G799" s="231">
        <f t="shared" si="554"/>
        <v>0</v>
      </c>
      <c r="H799" s="231">
        <f t="shared" si="554"/>
        <v>0</v>
      </c>
      <c r="I799" s="231">
        <f t="shared" si="554"/>
        <v>0</v>
      </c>
      <c r="J799" s="231">
        <f t="shared" si="554"/>
        <v>0</v>
      </c>
      <c r="K799" s="231">
        <f t="shared" si="554"/>
        <v>0</v>
      </c>
      <c r="L799" s="231">
        <f t="shared" si="554"/>
        <v>0</v>
      </c>
      <c r="M799" s="231">
        <f t="shared" si="554"/>
        <v>0</v>
      </c>
      <c r="N799" s="231">
        <f t="shared" si="554"/>
        <v>0</v>
      </c>
      <c r="O799" s="140">
        <f ca="1" t="shared" si="552"/>
        <v>0</v>
      </c>
      <c r="P799" s="71"/>
    </row>
    <row r="800" customHeight="1" spans="1:16">
      <c r="A800" s="307" t="s">
        <v>181</v>
      </c>
      <c r="B800" s="50" t="s">
        <v>123</v>
      </c>
      <c r="C800" s="231">
        <f t="shared" ref="C800:N800" si="555">C730*1.13</f>
        <v>0</v>
      </c>
      <c r="D800" s="231">
        <f t="shared" si="555"/>
        <v>0</v>
      </c>
      <c r="E800" s="231">
        <f t="shared" si="555"/>
        <v>0</v>
      </c>
      <c r="F800" s="231">
        <f t="shared" si="555"/>
        <v>0</v>
      </c>
      <c r="G800" s="231">
        <f t="shared" si="555"/>
        <v>0</v>
      </c>
      <c r="H800" s="231">
        <f t="shared" si="555"/>
        <v>0</v>
      </c>
      <c r="I800" s="231">
        <f t="shared" si="555"/>
        <v>0</v>
      </c>
      <c r="J800" s="231">
        <f t="shared" si="555"/>
        <v>0</v>
      </c>
      <c r="K800" s="231">
        <f t="shared" si="555"/>
        <v>0</v>
      </c>
      <c r="L800" s="231">
        <f t="shared" si="555"/>
        <v>0</v>
      </c>
      <c r="M800" s="231">
        <f t="shared" si="555"/>
        <v>0</v>
      </c>
      <c r="N800" s="231">
        <f t="shared" si="555"/>
        <v>0</v>
      </c>
      <c r="O800" s="140">
        <f ca="1" t="shared" si="552"/>
        <v>0</v>
      </c>
      <c r="P800" s="71"/>
    </row>
    <row r="801" customHeight="1" spans="1:16">
      <c r="A801" s="307" t="s">
        <v>182</v>
      </c>
      <c r="B801" s="50" t="s">
        <v>123</v>
      </c>
      <c r="C801" s="231">
        <f t="shared" ref="C801:N801" si="556">C731*1.13</f>
        <v>6.79007908452717</v>
      </c>
      <c r="D801" s="231">
        <f t="shared" si="556"/>
        <v>6.82330222099005</v>
      </c>
      <c r="E801" s="231">
        <f t="shared" si="556"/>
        <v>6.86538434808173</v>
      </c>
      <c r="F801" s="231">
        <f t="shared" si="556"/>
        <v>6.86531121004113</v>
      </c>
      <c r="G801" s="231">
        <f t="shared" si="556"/>
        <v>6.85184487864188</v>
      </c>
      <c r="H801" s="231">
        <f t="shared" si="556"/>
        <v>6.85065249238115</v>
      </c>
      <c r="I801" s="231">
        <f t="shared" si="556"/>
        <v>0</v>
      </c>
      <c r="J801" s="231">
        <f t="shared" si="556"/>
        <v>0</v>
      </c>
      <c r="K801" s="231">
        <f t="shared" si="556"/>
        <v>0</v>
      </c>
      <c r="L801" s="231">
        <f t="shared" si="556"/>
        <v>0</v>
      </c>
      <c r="M801" s="231">
        <f t="shared" si="556"/>
        <v>0</v>
      </c>
      <c r="N801" s="231">
        <f t="shared" si="556"/>
        <v>0</v>
      </c>
      <c r="O801" s="140">
        <f ca="1" t="shared" si="552"/>
        <v>6.85058891447764</v>
      </c>
    </row>
    <row r="802" customHeight="1" spans="1:16">
      <c r="A802" s="307" t="s">
        <v>183</v>
      </c>
      <c r="B802" s="50" t="s">
        <v>123</v>
      </c>
      <c r="C802" s="231">
        <f t="shared" ref="C802:N802" si="557">C732*1.13</f>
        <v>0</v>
      </c>
      <c r="D802" s="231">
        <f t="shared" si="557"/>
        <v>0</v>
      </c>
      <c r="E802" s="231">
        <f t="shared" si="557"/>
        <v>0</v>
      </c>
      <c r="F802" s="231">
        <f t="shared" si="557"/>
        <v>0</v>
      </c>
      <c r="G802" s="231">
        <f t="shared" si="557"/>
        <v>0</v>
      </c>
      <c r="H802" s="231">
        <f t="shared" si="557"/>
        <v>0</v>
      </c>
      <c r="I802" s="231">
        <f t="shared" si="557"/>
        <v>0</v>
      </c>
      <c r="J802" s="231">
        <f t="shared" si="557"/>
        <v>0</v>
      </c>
      <c r="K802" s="231">
        <f t="shared" si="557"/>
        <v>0</v>
      </c>
      <c r="L802" s="231">
        <f t="shared" si="557"/>
        <v>0</v>
      </c>
      <c r="M802" s="231">
        <f t="shared" si="557"/>
        <v>0</v>
      </c>
      <c r="N802" s="231">
        <f t="shared" si="557"/>
        <v>0</v>
      </c>
      <c r="O802" s="140">
        <f ca="1" t="shared" si="552"/>
        <v>0</v>
      </c>
    </row>
    <row r="803" customHeight="1" spans="1:16">
      <c r="A803" s="307" t="s">
        <v>184</v>
      </c>
      <c r="B803" s="50" t="s">
        <v>123</v>
      </c>
      <c r="C803" s="231">
        <f t="shared" ref="C803:N803" si="558">C733*1.13</f>
        <v>0</v>
      </c>
      <c r="D803" s="231">
        <f t="shared" si="558"/>
        <v>0</v>
      </c>
      <c r="E803" s="231">
        <f t="shared" si="558"/>
        <v>0</v>
      </c>
      <c r="F803" s="231">
        <f t="shared" si="558"/>
        <v>0</v>
      </c>
      <c r="G803" s="231">
        <f t="shared" si="558"/>
        <v>0</v>
      </c>
      <c r="H803" s="231">
        <f t="shared" si="558"/>
        <v>0</v>
      </c>
      <c r="I803" s="231">
        <f t="shared" si="558"/>
        <v>0</v>
      </c>
      <c r="J803" s="231">
        <f t="shared" si="558"/>
        <v>0</v>
      </c>
      <c r="K803" s="231">
        <f t="shared" si="558"/>
        <v>0</v>
      </c>
      <c r="L803" s="231">
        <f t="shared" si="558"/>
        <v>0</v>
      </c>
      <c r="M803" s="231">
        <f t="shared" si="558"/>
        <v>0</v>
      </c>
      <c r="N803" s="231">
        <f t="shared" si="558"/>
        <v>0</v>
      </c>
      <c r="O803" s="140">
        <f ca="1" t="shared" si="552"/>
        <v>0</v>
      </c>
      <c r="P803" s="132"/>
    </row>
    <row r="804" ht="18" customHeight="1" spans="1:16">
      <c r="A804" s="307" t="s">
        <v>185</v>
      </c>
      <c r="B804" s="50" t="s">
        <v>123</v>
      </c>
      <c r="C804" s="231">
        <f t="shared" ref="C804:N804" si="559">C734*1.13</f>
        <v>0</v>
      </c>
      <c r="D804" s="231">
        <f t="shared" si="559"/>
        <v>9.00274725274726</v>
      </c>
      <c r="E804" s="231">
        <f t="shared" si="559"/>
        <v>0</v>
      </c>
      <c r="F804" s="231">
        <f t="shared" si="559"/>
        <v>0</v>
      </c>
      <c r="G804" s="231">
        <f t="shared" si="559"/>
        <v>8.99709659408152</v>
      </c>
      <c r="H804" s="231">
        <f t="shared" si="559"/>
        <v>0</v>
      </c>
      <c r="I804" s="231">
        <f t="shared" si="559"/>
        <v>0</v>
      </c>
      <c r="J804" s="231">
        <f t="shared" si="559"/>
        <v>0</v>
      </c>
      <c r="K804" s="231">
        <f t="shared" si="559"/>
        <v>0</v>
      </c>
      <c r="L804" s="231">
        <f t="shared" si="559"/>
        <v>0</v>
      </c>
      <c r="M804" s="231">
        <f t="shared" si="559"/>
        <v>0</v>
      </c>
      <c r="N804" s="231">
        <f t="shared" si="559"/>
        <v>0</v>
      </c>
      <c r="O804" s="140">
        <f ca="1" t="shared" si="552"/>
        <v>8.99923690600069</v>
      </c>
      <c r="P804" s="132"/>
    </row>
    <row r="805" ht="18" customHeight="1" spans="1:16">
      <c r="A805" s="307" t="s">
        <v>186</v>
      </c>
      <c r="B805" s="50" t="s">
        <v>123</v>
      </c>
      <c r="C805" s="231">
        <f t="shared" ref="C805:N805" si="560">C735*1.13</f>
        <v>21.4966616465863</v>
      </c>
      <c r="D805" s="231">
        <f t="shared" si="560"/>
        <v>21.4990160787137</v>
      </c>
      <c r="E805" s="231">
        <f t="shared" si="560"/>
        <v>21.5004328310356</v>
      </c>
      <c r="F805" s="231">
        <f t="shared" si="560"/>
        <v>21.4997999863004</v>
      </c>
      <c r="G805" s="231">
        <f t="shared" si="560"/>
        <v>21.5000564032536</v>
      </c>
      <c r="H805" s="231">
        <f t="shared" si="560"/>
        <v>21.4997721441427</v>
      </c>
      <c r="I805" s="231">
        <f t="shared" si="560"/>
        <v>0</v>
      </c>
      <c r="J805" s="231">
        <f t="shared" si="560"/>
        <v>0</v>
      </c>
      <c r="K805" s="231">
        <f t="shared" si="560"/>
        <v>0</v>
      </c>
      <c r="L805" s="231">
        <f t="shared" si="560"/>
        <v>0</v>
      </c>
      <c r="M805" s="231">
        <f t="shared" si="560"/>
        <v>0</v>
      </c>
      <c r="N805" s="231">
        <f t="shared" si="560"/>
        <v>0</v>
      </c>
      <c r="O805" s="140">
        <f ca="1" t="shared" si="552"/>
        <v>21.5000514384197</v>
      </c>
    </row>
    <row r="806" ht="18" customHeight="1" spans="1:16">
      <c r="A806" s="307" t="s">
        <v>187</v>
      </c>
      <c r="B806" s="50" t="s">
        <v>123</v>
      </c>
      <c r="C806" s="231">
        <f t="shared" ref="C806:N806" si="561">C736*1.13</f>
        <v>0</v>
      </c>
      <c r="D806" s="231">
        <f t="shared" si="561"/>
        <v>0</v>
      </c>
      <c r="E806" s="231">
        <f t="shared" si="561"/>
        <v>350.004944444445</v>
      </c>
      <c r="F806" s="231">
        <f t="shared" si="561"/>
        <v>0</v>
      </c>
      <c r="G806" s="231">
        <f t="shared" si="561"/>
        <v>0</v>
      </c>
      <c r="H806" s="231">
        <f t="shared" si="561"/>
        <v>349.999922222222</v>
      </c>
      <c r="I806" s="231">
        <f t="shared" si="561"/>
        <v>0</v>
      </c>
      <c r="J806" s="231">
        <f t="shared" si="561"/>
        <v>0</v>
      </c>
      <c r="K806" s="231">
        <f t="shared" si="561"/>
        <v>0</v>
      </c>
      <c r="L806" s="231">
        <f t="shared" si="561"/>
        <v>0</v>
      </c>
      <c r="M806" s="231">
        <f t="shared" si="561"/>
        <v>0</v>
      </c>
      <c r="N806" s="231">
        <f t="shared" si="561"/>
        <v>0</v>
      </c>
      <c r="O806" s="140">
        <f ca="1" t="shared" si="552"/>
        <v>350.000759259259</v>
      </c>
    </row>
    <row r="807" ht="18" customHeight="1" spans="1:16">
      <c r="A807" s="307" t="s">
        <v>188</v>
      </c>
      <c r="B807" s="50" t="s">
        <v>123</v>
      </c>
      <c r="C807" s="231">
        <f t="shared" ref="C807:N807" si="562">C737*1.13</f>
        <v>0</v>
      </c>
      <c r="D807" s="231">
        <f t="shared" si="562"/>
        <v>0</v>
      </c>
      <c r="E807" s="231">
        <f t="shared" si="562"/>
        <v>0</v>
      </c>
      <c r="F807" s="231">
        <f t="shared" si="562"/>
        <v>0</v>
      </c>
      <c r="G807" s="231">
        <f t="shared" si="562"/>
        <v>0</v>
      </c>
      <c r="H807" s="231">
        <f t="shared" si="562"/>
        <v>0</v>
      </c>
      <c r="I807" s="231">
        <f t="shared" si="562"/>
        <v>0</v>
      </c>
      <c r="J807" s="231">
        <f t="shared" si="562"/>
        <v>0</v>
      </c>
      <c r="K807" s="231">
        <f t="shared" si="562"/>
        <v>0</v>
      </c>
      <c r="L807" s="231">
        <f t="shared" si="562"/>
        <v>0</v>
      </c>
      <c r="M807" s="231">
        <f t="shared" si="562"/>
        <v>0</v>
      </c>
      <c r="N807" s="231">
        <f t="shared" si="562"/>
        <v>0</v>
      </c>
      <c r="O807" s="140">
        <f ca="1" t="shared" si="552"/>
        <v>0</v>
      </c>
    </row>
    <row r="808" ht="18" customHeight="1" spans="1:16">
      <c r="A808" s="307" t="s">
        <v>189</v>
      </c>
      <c r="B808" s="50" t="s">
        <v>123</v>
      </c>
      <c r="C808" s="231">
        <f t="shared" ref="C808:N808" si="563">C738*1.13</f>
        <v>0</v>
      </c>
      <c r="D808" s="231">
        <f t="shared" si="563"/>
        <v>0</v>
      </c>
      <c r="E808" s="231">
        <f t="shared" si="563"/>
        <v>0</v>
      </c>
      <c r="F808" s="231">
        <f t="shared" si="563"/>
        <v>0</v>
      </c>
      <c r="G808" s="231">
        <f t="shared" si="563"/>
        <v>0</v>
      </c>
      <c r="H808" s="231">
        <f t="shared" si="563"/>
        <v>0</v>
      </c>
      <c r="I808" s="231">
        <f t="shared" si="563"/>
        <v>0</v>
      </c>
      <c r="J808" s="231">
        <f t="shared" si="563"/>
        <v>0</v>
      </c>
      <c r="K808" s="231">
        <f t="shared" si="563"/>
        <v>0</v>
      </c>
      <c r="L808" s="231">
        <f t="shared" si="563"/>
        <v>0</v>
      </c>
      <c r="M808" s="231">
        <f t="shared" si="563"/>
        <v>0</v>
      </c>
      <c r="N808" s="231">
        <f t="shared" si="563"/>
        <v>0</v>
      </c>
      <c r="O808" s="140">
        <f ca="1" t="shared" si="552"/>
        <v>0</v>
      </c>
    </row>
    <row r="809" ht="18" customHeight="1" spans="1:16">
      <c r="A809" s="307" t="s">
        <v>190</v>
      </c>
      <c r="B809" s="50" t="s">
        <v>123</v>
      </c>
      <c r="C809" s="231">
        <f t="shared" ref="C809:N809" si="564">C739*1.13</f>
        <v>0</v>
      </c>
      <c r="D809" s="231">
        <f t="shared" si="564"/>
        <v>0</v>
      </c>
      <c r="E809" s="231">
        <f t="shared" si="564"/>
        <v>0</v>
      </c>
      <c r="F809" s="231">
        <f t="shared" si="564"/>
        <v>0</v>
      </c>
      <c r="G809" s="231">
        <f t="shared" si="564"/>
        <v>0</v>
      </c>
      <c r="H809" s="231">
        <f t="shared" si="564"/>
        <v>0</v>
      </c>
      <c r="I809" s="231">
        <f t="shared" si="564"/>
        <v>0</v>
      </c>
      <c r="J809" s="231">
        <f t="shared" si="564"/>
        <v>0</v>
      </c>
      <c r="K809" s="231">
        <f t="shared" si="564"/>
        <v>0</v>
      </c>
      <c r="L809" s="231">
        <f t="shared" si="564"/>
        <v>0</v>
      </c>
      <c r="M809" s="231">
        <f t="shared" si="564"/>
        <v>0</v>
      </c>
      <c r="N809" s="231">
        <f t="shared" si="564"/>
        <v>0</v>
      </c>
      <c r="O809" s="140">
        <f ca="1" t="shared" si="552"/>
        <v>0</v>
      </c>
    </row>
    <row r="810" ht="18" customHeight="1" spans="1:16">
      <c r="A810" s="307" t="s">
        <v>191</v>
      </c>
      <c r="B810" s="50" t="s">
        <v>123</v>
      </c>
      <c r="C810" s="231">
        <f t="shared" ref="C810:N810" si="565">C740*1.13</f>
        <v>7105.92833579304</v>
      </c>
      <c r="D810" s="231">
        <f t="shared" si="565"/>
        <v>7105.9269105691</v>
      </c>
      <c r="E810" s="231">
        <f t="shared" si="565"/>
        <v>7308.79992042289</v>
      </c>
      <c r="F810" s="231">
        <f t="shared" si="565"/>
        <v>7372.75901070228</v>
      </c>
      <c r="G810" s="231">
        <f t="shared" si="565"/>
        <v>7380.0247496128</v>
      </c>
      <c r="H810" s="231">
        <f t="shared" si="565"/>
        <v>7397.56312301727</v>
      </c>
      <c r="I810" s="231">
        <f t="shared" si="565"/>
        <v>0</v>
      </c>
      <c r="J810" s="231">
        <f t="shared" si="565"/>
        <v>0</v>
      </c>
      <c r="K810" s="231">
        <f t="shared" si="565"/>
        <v>0</v>
      </c>
      <c r="L810" s="231">
        <f t="shared" si="565"/>
        <v>0</v>
      </c>
      <c r="M810" s="231">
        <f t="shared" si="565"/>
        <v>0</v>
      </c>
      <c r="N810" s="231">
        <f t="shared" si="565"/>
        <v>0</v>
      </c>
      <c r="O810" s="140">
        <f ca="1" t="shared" si="552"/>
        <v>7330.71886432278</v>
      </c>
    </row>
    <row r="811" customHeight="1" spans="1:16">
      <c r="A811" s="307" t="s">
        <v>192</v>
      </c>
      <c r="B811" s="50" t="s">
        <v>123</v>
      </c>
      <c r="C811" s="231">
        <f t="shared" ref="C811:N811" si="566">C741*1.13</f>
        <v>0</v>
      </c>
      <c r="D811" s="231">
        <f t="shared" si="566"/>
        <v>0</v>
      </c>
      <c r="E811" s="231">
        <f t="shared" si="566"/>
        <v>0</v>
      </c>
      <c r="F811" s="231">
        <f t="shared" si="566"/>
        <v>0</v>
      </c>
      <c r="G811" s="231">
        <f t="shared" si="566"/>
        <v>0</v>
      </c>
      <c r="H811" s="231">
        <f t="shared" si="566"/>
        <v>0</v>
      </c>
      <c r="I811" s="231">
        <f t="shared" si="566"/>
        <v>0</v>
      </c>
      <c r="J811" s="231">
        <f t="shared" si="566"/>
        <v>0</v>
      </c>
      <c r="K811" s="231">
        <f t="shared" si="566"/>
        <v>0</v>
      </c>
      <c r="L811" s="231">
        <f t="shared" si="566"/>
        <v>0</v>
      </c>
      <c r="M811" s="231">
        <f t="shared" si="566"/>
        <v>0</v>
      </c>
      <c r="N811" s="231">
        <f t="shared" si="566"/>
        <v>0</v>
      </c>
      <c r="O811" s="140">
        <f ca="1" t="shared" si="552"/>
        <v>0</v>
      </c>
      <c r="P811" s="71"/>
    </row>
    <row r="812" customHeight="1" spans="1:16">
      <c r="A812" s="307" t="s">
        <v>193</v>
      </c>
      <c r="B812" s="50" t="s">
        <v>123</v>
      </c>
      <c r="C812" s="231">
        <f t="shared" ref="C812:N812" si="567">C742*1.13</f>
        <v>0</v>
      </c>
      <c r="D812" s="231">
        <f t="shared" si="567"/>
        <v>0</v>
      </c>
      <c r="E812" s="231">
        <f t="shared" si="567"/>
        <v>0</v>
      </c>
      <c r="F812" s="231">
        <f t="shared" si="567"/>
        <v>0</v>
      </c>
      <c r="G812" s="231">
        <f t="shared" si="567"/>
        <v>0</v>
      </c>
      <c r="H812" s="231">
        <f t="shared" si="567"/>
        <v>0</v>
      </c>
      <c r="I812" s="231">
        <f t="shared" si="567"/>
        <v>0</v>
      </c>
      <c r="J812" s="231">
        <f t="shared" si="567"/>
        <v>0</v>
      </c>
      <c r="K812" s="231">
        <f t="shared" si="567"/>
        <v>0</v>
      </c>
      <c r="L812" s="231">
        <f t="shared" si="567"/>
        <v>0</v>
      </c>
      <c r="M812" s="231">
        <f t="shared" si="567"/>
        <v>0</v>
      </c>
      <c r="N812" s="231">
        <f t="shared" si="567"/>
        <v>0</v>
      </c>
      <c r="O812" s="140">
        <f ca="1" t="shared" si="552"/>
        <v>0</v>
      </c>
      <c r="P812" s="71"/>
    </row>
    <row r="813" customHeight="1" spans="1:16">
      <c r="A813" s="307" t="s">
        <v>194</v>
      </c>
      <c r="B813" s="50" t="s">
        <v>123</v>
      </c>
      <c r="C813" s="231">
        <f t="shared" ref="C813:N813" si="568">C743*1.13</f>
        <v>0</v>
      </c>
      <c r="D813" s="231">
        <f t="shared" si="568"/>
        <v>0</v>
      </c>
      <c r="E813" s="231">
        <f t="shared" si="568"/>
        <v>0</v>
      </c>
      <c r="F813" s="231">
        <f t="shared" si="568"/>
        <v>0</v>
      </c>
      <c r="G813" s="231">
        <f t="shared" si="568"/>
        <v>0</v>
      </c>
      <c r="H813" s="231">
        <f t="shared" si="568"/>
        <v>0</v>
      </c>
      <c r="I813" s="231">
        <f t="shared" si="568"/>
        <v>0</v>
      </c>
      <c r="J813" s="231">
        <f t="shared" si="568"/>
        <v>0</v>
      </c>
      <c r="K813" s="231">
        <f t="shared" si="568"/>
        <v>0</v>
      </c>
      <c r="L813" s="231">
        <f t="shared" si="568"/>
        <v>0</v>
      </c>
      <c r="M813" s="231">
        <f t="shared" si="568"/>
        <v>0</v>
      </c>
      <c r="N813" s="231">
        <f t="shared" si="568"/>
        <v>0</v>
      </c>
      <c r="O813" s="140">
        <f ca="1" t="shared" si="552"/>
        <v>0</v>
      </c>
      <c r="P813" s="71"/>
    </row>
    <row r="814" customHeight="1" spans="1:16">
      <c r="A814" s="307" t="s">
        <v>195</v>
      </c>
      <c r="B814" s="50" t="s">
        <v>123</v>
      </c>
      <c r="C814" s="231">
        <f t="shared" ref="C814:N814" si="569">C744*1.13</f>
        <v>0</v>
      </c>
      <c r="D814" s="231">
        <f t="shared" si="569"/>
        <v>0</v>
      </c>
      <c r="E814" s="231">
        <f t="shared" si="569"/>
        <v>0</v>
      </c>
      <c r="F814" s="231">
        <f t="shared" si="569"/>
        <v>0</v>
      </c>
      <c r="G814" s="231">
        <f t="shared" si="569"/>
        <v>0</v>
      </c>
      <c r="H814" s="231">
        <f t="shared" si="569"/>
        <v>0</v>
      </c>
      <c r="I814" s="231">
        <f t="shared" si="569"/>
        <v>0</v>
      </c>
      <c r="J814" s="231">
        <f t="shared" si="569"/>
        <v>0</v>
      </c>
      <c r="K814" s="231">
        <f t="shared" si="569"/>
        <v>0</v>
      </c>
      <c r="L814" s="231">
        <f t="shared" si="569"/>
        <v>0</v>
      </c>
      <c r="M814" s="231">
        <f t="shared" si="569"/>
        <v>0</v>
      </c>
      <c r="N814" s="231">
        <f t="shared" si="569"/>
        <v>0</v>
      </c>
      <c r="O814" s="140">
        <f ca="1" t="shared" si="552"/>
        <v>0</v>
      </c>
      <c r="P814" s="71"/>
    </row>
    <row r="815" customHeight="1" spans="1:16">
      <c r="A815" s="307" t="s">
        <v>196</v>
      </c>
      <c r="B815" s="50" t="s">
        <v>123</v>
      </c>
      <c r="C815" s="231">
        <f t="shared" ref="C815:N815" si="570">C745*1.13</f>
        <v>0</v>
      </c>
      <c r="D815" s="231">
        <f t="shared" si="570"/>
        <v>0</v>
      </c>
      <c r="E815" s="231">
        <f t="shared" si="570"/>
        <v>0</v>
      </c>
      <c r="F815" s="231">
        <f t="shared" si="570"/>
        <v>0</v>
      </c>
      <c r="G815" s="231">
        <f t="shared" si="570"/>
        <v>0</v>
      </c>
      <c r="H815" s="231">
        <f t="shared" si="570"/>
        <v>0</v>
      </c>
      <c r="I815" s="231">
        <f t="shared" si="570"/>
        <v>0</v>
      </c>
      <c r="J815" s="231">
        <f t="shared" si="570"/>
        <v>0</v>
      </c>
      <c r="K815" s="231">
        <f t="shared" si="570"/>
        <v>0</v>
      </c>
      <c r="L815" s="231">
        <f t="shared" si="570"/>
        <v>0</v>
      </c>
      <c r="M815" s="231">
        <f t="shared" si="570"/>
        <v>0</v>
      </c>
      <c r="N815" s="231">
        <f t="shared" si="570"/>
        <v>0</v>
      </c>
      <c r="O815" s="140">
        <f ca="1" t="shared" si="552"/>
        <v>0</v>
      </c>
    </row>
    <row r="816" customHeight="1" spans="1:16">
      <c r="A816" s="307" t="s">
        <v>197</v>
      </c>
      <c r="B816" s="50" t="s">
        <v>123</v>
      </c>
      <c r="C816" s="231">
        <f t="shared" ref="C816:N816" si="571">C746*1.13</f>
        <v>0</v>
      </c>
      <c r="D816" s="231">
        <f t="shared" si="571"/>
        <v>0</v>
      </c>
      <c r="E816" s="231">
        <f t="shared" si="571"/>
        <v>0</v>
      </c>
      <c r="F816" s="231">
        <f t="shared" si="571"/>
        <v>0</v>
      </c>
      <c r="G816" s="231">
        <f t="shared" si="571"/>
        <v>0</v>
      </c>
      <c r="H816" s="231">
        <f t="shared" si="571"/>
        <v>0</v>
      </c>
      <c r="I816" s="231">
        <f t="shared" si="571"/>
        <v>0</v>
      </c>
      <c r="J816" s="231">
        <f t="shared" si="571"/>
        <v>0</v>
      </c>
      <c r="K816" s="231">
        <f t="shared" si="571"/>
        <v>0</v>
      </c>
      <c r="L816" s="231">
        <f t="shared" si="571"/>
        <v>0</v>
      </c>
      <c r="M816" s="231">
        <f t="shared" si="571"/>
        <v>0</v>
      </c>
      <c r="N816" s="231">
        <f t="shared" si="571"/>
        <v>0</v>
      </c>
      <c r="O816" s="140">
        <f ca="1" t="shared" si="552"/>
        <v>0</v>
      </c>
    </row>
    <row r="817" customHeight="1" spans="1:16">
      <c r="A817" s="115" t="s">
        <v>198</v>
      </c>
      <c r="B817" s="50" t="s">
        <v>123</v>
      </c>
      <c r="C817" s="231">
        <f t="shared" ref="C817:N817" si="572">C747*1.13</f>
        <v>0</v>
      </c>
      <c r="D817" s="231">
        <f t="shared" si="572"/>
        <v>0</v>
      </c>
      <c r="E817" s="231">
        <f t="shared" si="572"/>
        <v>30.00010252467</v>
      </c>
      <c r="F817" s="231">
        <f t="shared" si="572"/>
        <v>25.0004420176808</v>
      </c>
      <c r="G817" s="231">
        <f t="shared" si="572"/>
        <v>25.0003078501796</v>
      </c>
      <c r="H817" s="231">
        <f t="shared" si="572"/>
        <v>24.1726944377559</v>
      </c>
      <c r="I817" s="231">
        <f t="shared" si="572"/>
        <v>0</v>
      </c>
      <c r="J817" s="231">
        <f t="shared" si="572"/>
        <v>0</v>
      </c>
      <c r="K817" s="231">
        <f t="shared" si="572"/>
        <v>0</v>
      </c>
      <c r="L817" s="231">
        <f t="shared" si="572"/>
        <v>0</v>
      </c>
      <c r="M817" s="231">
        <f t="shared" si="572"/>
        <v>0</v>
      </c>
      <c r="N817" s="231">
        <f t="shared" si="572"/>
        <v>0</v>
      </c>
      <c r="O817" s="140">
        <f ca="1" t="shared" si="552"/>
        <v>25.8161957708222</v>
      </c>
      <c r="P817" s="132"/>
    </row>
    <row r="818" ht="18" customHeight="1" spans="1:16">
      <c r="A818" s="307" t="s">
        <v>199</v>
      </c>
      <c r="B818" s="50" t="s">
        <v>123</v>
      </c>
      <c r="C818" s="231">
        <f t="shared" ref="C818:N818" si="573">C748*1.13</f>
        <v>0</v>
      </c>
      <c r="D818" s="231">
        <f t="shared" si="573"/>
        <v>0</v>
      </c>
      <c r="E818" s="231">
        <f t="shared" si="573"/>
        <v>0</v>
      </c>
      <c r="F818" s="231">
        <f t="shared" si="573"/>
        <v>0</v>
      </c>
      <c r="G818" s="231">
        <f t="shared" si="573"/>
        <v>0</v>
      </c>
      <c r="H818" s="231">
        <f t="shared" si="573"/>
        <v>0</v>
      </c>
      <c r="I818" s="231">
        <f t="shared" si="573"/>
        <v>0</v>
      </c>
      <c r="J818" s="231">
        <f t="shared" si="573"/>
        <v>0</v>
      </c>
      <c r="K818" s="231">
        <f t="shared" si="573"/>
        <v>0</v>
      </c>
      <c r="L818" s="231">
        <f t="shared" si="573"/>
        <v>0</v>
      </c>
      <c r="M818" s="231">
        <f t="shared" si="573"/>
        <v>0</v>
      </c>
      <c r="N818" s="231">
        <f t="shared" si="573"/>
        <v>0</v>
      </c>
      <c r="O818" s="140">
        <f ca="1" t="shared" si="552"/>
        <v>0</v>
      </c>
      <c r="P818" s="132"/>
    </row>
    <row r="819" ht="18" customHeight="1" spans="1:16">
      <c r="A819" s="115" t="s">
        <v>200</v>
      </c>
      <c r="B819" s="50" t="s">
        <v>123</v>
      </c>
      <c r="C819" s="231">
        <f t="shared" ref="C819:N819" si="574">C749*1.13</f>
        <v>10.9578582261029</v>
      </c>
      <c r="D819" s="231">
        <f t="shared" si="574"/>
        <v>10.9580932475884</v>
      </c>
      <c r="E819" s="231">
        <f t="shared" si="574"/>
        <v>10.9636042131873</v>
      </c>
      <c r="F819" s="231">
        <f t="shared" si="574"/>
        <v>10.981836108838</v>
      </c>
      <c r="G819" s="231">
        <f t="shared" si="574"/>
        <v>10.9904450084602</v>
      </c>
      <c r="H819" s="231">
        <f t="shared" si="574"/>
        <v>10.9904454500062</v>
      </c>
      <c r="I819" s="231">
        <f t="shared" si="574"/>
        <v>0</v>
      </c>
      <c r="J819" s="231">
        <f t="shared" si="574"/>
        <v>0</v>
      </c>
      <c r="K819" s="231">
        <f t="shared" si="574"/>
        <v>0</v>
      </c>
      <c r="L819" s="231">
        <f t="shared" si="574"/>
        <v>0</v>
      </c>
      <c r="M819" s="231">
        <f t="shared" si="574"/>
        <v>0</v>
      </c>
      <c r="N819" s="231">
        <f t="shared" si="574"/>
        <v>0</v>
      </c>
      <c r="O819" s="140">
        <f ca="1" t="shared" si="552"/>
        <v>10.9785485788114</v>
      </c>
    </row>
    <row r="820" ht="18" customHeight="1" spans="1:16">
      <c r="A820" s="115" t="s">
        <v>201</v>
      </c>
      <c r="B820" s="50"/>
      <c r="C820" s="231">
        <f t="shared" ref="C820:N820" si="575">C750*1.13</f>
        <v>0</v>
      </c>
      <c r="D820" s="231">
        <f t="shared" si="575"/>
        <v>0</v>
      </c>
      <c r="E820" s="231">
        <f t="shared" si="575"/>
        <v>0</v>
      </c>
      <c r="F820" s="231">
        <f t="shared" si="575"/>
        <v>0</v>
      </c>
      <c r="G820" s="231">
        <f t="shared" si="575"/>
        <v>232.572660550459</v>
      </c>
      <c r="H820" s="231">
        <f t="shared" si="575"/>
        <v>232.572660550459</v>
      </c>
      <c r="I820" s="231">
        <f t="shared" si="575"/>
        <v>0</v>
      </c>
      <c r="J820" s="231">
        <f t="shared" si="575"/>
        <v>0</v>
      </c>
      <c r="K820" s="231">
        <f t="shared" si="575"/>
        <v>0</v>
      </c>
      <c r="L820" s="231">
        <f t="shared" si="575"/>
        <v>0</v>
      </c>
      <c r="M820" s="231">
        <f t="shared" si="575"/>
        <v>0</v>
      </c>
      <c r="N820" s="231">
        <f t="shared" si="575"/>
        <v>0</v>
      </c>
      <c r="O820" s="140">
        <f ca="1" t="shared" si="552"/>
        <v>0</v>
      </c>
    </row>
    <row r="821" ht="18" customHeight="1" spans="1:16">
      <c r="A821" s="115" t="s">
        <v>202</v>
      </c>
      <c r="B821" s="50"/>
      <c r="C821" s="231">
        <f t="shared" ref="C821:N821" si="576">C751*1.13</f>
        <v>0</v>
      </c>
      <c r="D821" s="231">
        <f t="shared" si="576"/>
        <v>0</v>
      </c>
      <c r="E821" s="231">
        <f t="shared" si="576"/>
        <v>140.002281532501</v>
      </c>
      <c r="F821" s="231">
        <f t="shared" si="576"/>
        <v>140.000296610169</v>
      </c>
      <c r="G821" s="231">
        <f t="shared" si="576"/>
        <v>139.99882482556</v>
      </c>
      <c r="H821" s="231">
        <f t="shared" si="576"/>
        <v>140.030858468677</v>
      </c>
      <c r="I821" s="231">
        <f t="shared" si="576"/>
        <v>0</v>
      </c>
      <c r="J821" s="231">
        <f t="shared" si="576"/>
        <v>0</v>
      </c>
      <c r="K821" s="231">
        <f t="shared" si="576"/>
        <v>0</v>
      </c>
      <c r="L821" s="231">
        <f t="shared" si="576"/>
        <v>0</v>
      </c>
      <c r="M821" s="231">
        <f t="shared" si="576"/>
        <v>0</v>
      </c>
      <c r="N821" s="231">
        <f t="shared" si="576"/>
        <v>0</v>
      </c>
      <c r="O821" s="140">
        <f ca="1" t="shared" si="552"/>
        <v>140.000785</v>
      </c>
    </row>
    <row r="822" ht="18" customHeight="1" spans="1:16">
      <c r="A822" s="115" t="s">
        <v>203</v>
      </c>
      <c r="B822" s="50"/>
      <c r="C822" s="231">
        <f t="shared" ref="C822:N822" si="577">C752*1.13</f>
        <v>0</v>
      </c>
      <c r="D822" s="231">
        <f t="shared" si="577"/>
        <v>0</v>
      </c>
      <c r="E822" s="231">
        <f t="shared" si="577"/>
        <v>0</v>
      </c>
      <c r="F822" s="231">
        <f t="shared" si="577"/>
        <v>0</v>
      </c>
      <c r="G822" s="231">
        <f t="shared" si="577"/>
        <v>0</v>
      </c>
      <c r="H822" s="231">
        <f t="shared" si="577"/>
        <v>0</v>
      </c>
      <c r="I822" s="231">
        <f t="shared" si="577"/>
        <v>0</v>
      </c>
      <c r="J822" s="231">
        <f t="shared" si="577"/>
        <v>0</v>
      </c>
      <c r="K822" s="231">
        <f t="shared" si="577"/>
        <v>0</v>
      </c>
      <c r="L822" s="231">
        <f t="shared" si="577"/>
        <v>0</v>
      </c>
      <c r="M822" s="231">
        <f t="shared" si="577"/>
        <v>0</v>
      </c>
      <c r="N822" s="231">
        <f t="shared" si="577"/>
        <v>0</v>
      </c>
      <c r="O822" s="140">
        <f ca="1" t="shared" si="552"/>
        <v>0</v>
      </c>
    </row>
    <row r="823" ht="18" customHeight="1" spans="1:16">
      <c r="A823" s="115" t="s">
        <v>204</v>
      </c>
      <c r="B823" s="50"/>
      <c r="C823" s="231">
        <f t="shared" ref="C823:N823" si="578">C753*1.13</f>
        <v>0</v>
      </c>
      <c r="D823" s="231">
        <f t="shared" si="578"/>
        <v>0</v>
      </c>
      <c r="E823" s="231">
        <f t="shared" si="578"/>
        <v>0</v>
      </c>
      <c r="F823" s="231">
        <f t="shared" si="578"/>
        <v>117.530310218978</v>
      </c>
      <c r="G823" s="231">
        <f t="shared" si="578"/>
        <v>116.795652173913</v>
      </c>
      <c r="H823" s="231">
        <f t="shared" si="578"/>
        <v>117.877048611111</v>
      </c>
      <c r="I823" s="231">
        <f t="shared" si="578"/>
        <v>0</v>
      </c>
      <c r="J823" s="231">
        <f t="shared" si="578"/>
        <v>0</v>
      </c>
      <c r="K823" s="231">
        <f t="shared" si="578"/>
        <v>0</v>
      </c>
      <c r="L823" s="231">
        <f t="shared" si="578"/>
        <v>0</v>
      </c>
      <c r="M823" s="231">
        <f t="shared" si="578"/>
        <v>0</v>
      </c>
      <c r="N823" s="231">
        <f t="shared" si="578"/>
        <v>0</v>
      </c>
      <c r="O823" s="140">
        <f ca="1" t="shared" si="552"/>
        <v>117.419497505779</v>
      </c>
    </row>
    <row r="824" ht="18" customHeight="1" spans="1:16">
      <c r="A824" s="115" t="s">
        <v>577</v>
      </c>
      <c r="B824" s="50"/>
      <c r="C824" s="231">
        <f t="shared" ref="C824:N824" si="579">C754*1.13</f>
        <v>122.999885518031</v>
      </c>
      <c r="D824" s="231">
        <f t="shared" si="579"/>
        <v>123.000084408538</v>
      </c>
      <c r="E824" s="231">
        <f t="shared" si="579"/>
        <v>122.99999392048</v>
      </c>
      <c r="F824" s="231">
        <f t="shared" si="579"/>
        <v>122.999967649318</v>
      </c>
      <c r="G824" s="231">
        <f t="shared" si="579"/>
        <v>123.000064267352</v>
      </c>
      <c r="H824" s="231">
        <f t="shared" si="579"/>
        <v>0</v>
      </c>
      <c r="I824" s="231">
        <f t="shared" si="579"/>
        <v>0</v>
      </c>
      <c r="J824" s="231">
        <f t="shared" si="579"/>
        <v>0</v>
      </c>
      <c r="K824" s="231">
        <f t="shared" si="579"/>
        <v>0</v>
      </c>
      <c r="L824" s="231">
        <f t="shared" si="579"/>
        <v>0</v>
      </c>
      <c r="M824" s="231">
        <f t="shared" si="579"/>
        <v>0</v>
      </c>
      <c r="N824" s="231">
        <f t="shared" si="579"/>
        <v>0</v>
      </c>
      <c r="O824" s="140">
        <f ca="1" t="shared" si="552"/>
        <v>123.000023528067</v>
      </c>
    </row>
    <row r="825" ht="18" customHeight="1" spans="1:16">
      <c r="A825" s="115" t="s">
        <v>578</v>
      </c>
      <c r="B825" s="50"/>
      <c r="C825" s="231">
        <f t="shared" ref="C825:N825" si="580">C755*1.13</f>
        <v>0</v>
      </c>
      <c r="D825" s="231">
        <f t="shared" si="580"/>
        <v>0</v>
      </c>
      <c r="E825" s="231">
        <f t="shared" si="580"/>
        <v>0</v>
      </c>
      <c r="F825" s="231">
        <f t="shared" si="580"/>
        <v>0</v>
      </c>
      <c r="G825" s="231">
        <f t="shared" si="580"/>
        <v>0</v>
      </c>
      <c r="H825" s="231">
        <f t="shared" si="580"/>
        <v>0</v>
      </c>
      <c r="I825" s="231">
        <f t="shared" si="580"/>
        <v>0</v>
      </c>
      <c r="J825" s="231">
        <f t="shared" si="580"/>
        <v>0</v>
      </c>
      <c r="K825" s="231">
        <f t="shared" si="580"/>
        <v>0</v>
      </c>
      <c r="L825" s="231">
        <f t="shared" si="580"/>
        <v>0</v>
      </c>
      <c r="M825" s="231">
        <f t="shared" si="580"/>
        <v>0</v>
      </c>
      <c r="N825" s="231">
        <f t="shared" si="580"/>
        <v>0</v>
      </c>
      <c r="O825" s="140">
        <f ca="1" t="shared" si="552"/>
        <v>0</v>
      </c>
    </row>
    <row r="826" ht="18" customHeight="1" spans="1:16">
      <c r="A826" s="115" t="s">
        <v>579</v>
      </c>
      <c r="B826" s="50"/>
      <c r="C826" s="231">
        <f t="shared" ref="C826:N826" si="581">C756*1.13</f>
        <v>0</v>
      </c>
      <c r="D826" s="231">
        <f t="shared" si="581"/>
        <v>0</v>
      </c>
      <c r="E826" s="231">
        <f t="shared" si="581"/>
        <v>0</v>
      </c>
      <c r="F826" s="231">
        <f t="shared" si="581"/>
        <v>0</v>
      </c>
      <c r="G826" s="231">
        <f t="shared" si="581"/>
        <v>0</v>
      </c>
      <c r="H826" s="231">
        <f t="shared" si="581"/>
        <v>0</v>
      </c>
      <c r="I826" s="231">
        <f t="shared" si="581"/>
        <v>0</v>
      </c>
      <c r="J826" s="231">
        <f t="shared" si="581"/>
        <v>0</v>
      </c>
      <c r="K826" s="231">
        <f t="shared" si="581"/>
        <v>0</v>
      </c>
      <c r="L826" s="231">
        <f t="shared" si="581"/>
        <v>0</v>
      </c>
      <c r="M826" s="231">
        <f t="shared" si="581"/>
        <v>0</v>
      </c>
      <c r="N826" s="231">
        <f t="shared" si="581"/>
        <v>0</v>
      </c>
      <c r="O826" s="140">
        <f ca="1" t="shared" si="552"/>
        <v>0</v>
      </c>
    </row>
    <row r="827" customHeight="1" spans="1:16">
      <c r="A827" s="115" t="s">
        <v>580</v>
      </c>
      <c r="B827" s="50"/>
      <c r="C827" s="231">
        <f t="shared" ref="C827:N827" si="582">C757*1.13</f>
        <v>167.996658259773</v>
      </c>
      <c r="D827" s="231">
        <f t="shared" si="582"/>
        <v>168.000576923077</v>
      </c>
      <c r="E827" s="231">
        <f t="shared" si="582"/>
        <v>0</v>
      </c>
      <c r="F827" s="231">
        <f t="shared" si="582"/>
        <v>188.000420875421</v>
      </c>
      <c r="G827" s="231">
        <f t="shared" si="582"/>
        <v>188.00054730258</v>
      </c>
      <c r="H827" s="231">
        <f t="shared" si="582"/>
        <v>0</v>
      </c>
      <c r="I827" s="231">
        <f t="shared" si="582"/>
        <v>0</v>
      </c>
      <c r="J827" s="231">
        <f t="shared" si="582"/>
        <v>0</v>
      </c>
      <c r="K827" s="231">
        <f t="shared" si="582"/>
        <v>0</v>
      </c>
      <c r="L827" s="231">
        <f t="shared" si="582"/>
        <v>0</v>
      </c>
      <c r="M827" s="231">
        <f t="shared" si="582"/>
        <v>0</v>
      </c>
      <c r="N827" s="231">
        <f t="shared" si="582"/>
        <v>0</v>
      </c>
      <c r="O827" s="140">
        <f ca="1" t="shared" si="552"/>
        <v>179.280007370555</v>
      </c>
      <c r="P827" s="104"/>
    </row>
    <row r="828" customHeight="1" spans="1:16">
      <c r="A828" s="115" t="s">
        <v>581</v>
      </c>
      <c r="B828" s="50"/>
      <c r="C828" s="231">
        <f t="shared" ref="C828:N828" si="583">C758*1.13</f>
        <v>257.995769764217</v>
      </c>
      <c r="D828" s="231">
        <f t="shared" si="583"/>
        <v>0</v>
      </c>
      <c r="E828" s="231">
        <f t="shared" si="583"/>
        <v>0</v>
      </c>
      <c r="F828" s="231">
        <f t="shared" si="583"/>
        <v>258.002716049383</v>
      </c>
      <c r="G828" s="231">
        <f t="shared" si="583"/>
        <v>0</v>
      </c>
      <c r="H828" s="231">
        <f t="shared" si="583"/>
        <v>258.071369294606</v>
      </c>
      <c r="I828" s="231">
        <f t="shared" si="583"/>
        <v>0</v>
      </c>
      <c r="J828" s="231">
        <f t="shared" si="583"/>
        <v>0</v>
      </c>
      <c r="K828" s="231">
        <f t="shared" si="583"/>
        <v>0</v>
      </c>
      <c r="L828" s="231">
        <f t="shared" si="583"/>
        <v>0</v>
      </c>
      <c r="M828" s="231">
        <f t="shared" si="583"/>
        <v>0</v>
      </c>
      <c r="N828" s="231">
        <f t="shared" si="583"/>
        <v>0</v>
      </c>
      <c r="O828" s="140">
        <f ca="1" t="shared" si="552"/>
        <v>258.004692703603</v>
      </c>
      <c r="P828" s="104"/>
    </row>
    <row r="829" customHeight="1" spans="1:16">
      <c r="A829" s="115" t="s">
        <v>349</v>
      </c>
      <c r="B829" s="50"/>
      <c r="C829" s="231">
        <f t="shared" ref="C829:N829" si="584">C759*1.13</f>
        <v>0</v>
      </c>
      <c r="D829" s="231">
        <f t="shared" si="584"/>
        <v>227.926342147436</v>
      </c>
      <c r="E829" s="231">
        <f t="shared" si="584"/>
        <v>0</v>
      </c>
      <c r="F829" s="231">
        <f t="shared" si="584"/>
        <v>0</v>
      </c>
      <c r="G829" s="231">
        <f t="shared" si="584"/>
        <v>226.861373075983</v>
      </c>
      <c r="H829" s="231">
        <f t="shared" si="584"/>
        <v>0</v>
      </c>
      <c r="I829" s="231">
        <f t="shared" si="584"/>
        <v>0</v>
      </c>
      <c r="J829" s="231">
        <f t="shared" si="584"/>
        <v>0</v>
      </c>
      <c r="K829" s="231">
        <f t="shared" si="584"/>
        <v>0</v>
      </c>
      <c r="L829" s="231">
        <f t="shared" si="584"/>
        <v>0</v>
      </c>
      <c r="M829" s="231">
        <f t="shared" si="584"/>
        <v>0</v>
      </c>
      <c r="N829" s="231">
        <f t="shared" si="584"/>
        <v>0</v>
      </c>
      <c r="O829" s="140">
        <f ca="1" t="shared" si="552"/>
        <v>227.264797389589</v>
      </c>
      <c r="P829" s="104"/>
    </row>
    <row r="830" customHeight="1" spans="1:16">
      <c r="A830" s="115" t="s">
        <v>206</v>
      </c>
      <c r="B830" s="50"/>
      <c r="C830" s="231">
        <f t="shared" ref="C830:N830" si="585">C760*1.13</f>
        <v>0</v>
      </c>
      <c r="D830" s="231">
        <f t="shared" si="585"/>
        <v>0</v>
      </c>
      <c r="E830" s="231">
        <f t="shared" si="585"/>
        <v>0</v>
      </c>
      <c r="F830" s="231">
        <f t="shared" si="585"/>
        <v>0</v>
      </c>
      <c r="G830" s="231">
        <f t="shared" si="585"/>
        <v>0</v>
      </c>
      <c r="H830" s="231">
        <f t="shared" si="585"/>
        <v>0</v>
      </c>
      <c r="I830" s="231">
        <f t="shared" si="585"/>
        <v>0</v>
      </c>
      <c r="J830" s="231">
        <f t="shared" si="585"/>
        <v>0</v>
      </c>
      <c r="K830" s="231">
        <f t="shared" si="585"/>
        <v>0</v>
      </c>
      <c r="L830" s="231">
        <f t="shared" si="585"/>
        <v>0</v>
      </c>
      <c r="M830" s="231">
        <f t="shared" si="585"/>
        <v>0</v>
      </c>
      <c r="N830" s="231">
        <f t="shared" si="585"/>
        <v>0</v>
      </c>
      <c r="O830" s="140">
        <f ca="1" t="shared" si="552"/>
        <v>0</v>
      </c>
      <c r="P830" s="104"/>
    </row>
    <row r="831" customHeight="1" spans="1:16">
      <c r="A831" s="115" t="s">
        <v>350</v>
      </c>
      <c r="B831" s="50"/>
      <c r="C831" s="231">
        <f t="shared" ref="C831:N831" si="586">C761*1.13</f>
        <v>0</v>
      </c>
      <c r="D831" s="231">
        <f t="shared" si="586"/>
        <v>216.999839743589</v>
      </c>
      <c r="E831" s="231">
        <f t="shared" si="586"/>
        <v>0</v>
      </c>
      <c r="F831" s="231">
        <f t="shared" si="586"/>
        <v>0</v>
      </c>
      <c r="G831" s="231">
        <f t="shared" si="586"/>
        <v>217.000488599349</v>
      </c>
      <c r="H831" s="231">
        <f t="shared" si="586"/>
        <v>0</v>
      </c>
      <c r="I831" s="231">
        <f t="shared" si="586"/>
        <v>0</v>
      </c>
      <c r="J831" s="231">
        <f t="shared" si="586"/>
        <v>0</v>
      </c>
      <c r="K831" s="231">
        <f t="shared" si="586"/>
        <v>0</v>
      </c>
      <c r="L831" s="231">
        <f t="shared" si="586"/>
        <v>0</v>
      </c>
      <c r="M831" s="231">
        <f t="shared" si="586"/>
        <v>0</v>
      </c>
      <c r="N831" s="231">
        <f t="shared" si="586"/>
        <v>0</v>
      </c>
      <c r="O831" s="140">
        <f ca="1" t="shared" si="552"/>
        <v>217.000242816674</v>
      </c>
      <c r="P831" s="104"/>
    </row>
    <row r="832" customHeight="1" spans="1:16">
      <c r="A832" s="115" t="s">
        <v>351</v>
      </c>
      <c r="B832" s="50"/>
      <c r="C832" s="231">
        <f t="shared" ref="C832:N832" si="587">C762*1.13</f>
        <v>6149.73673469387</v>
      </c>
      <c r="D832" s="231">
        <f t="shared" si="587"/>
        <v>6150.025</v>
      </c>
      <c r="E832" s="231">
        <f t="shared" si="587"/>
        <v>6150.05604395604</v>
      </c>
      <c r="F832" s="231">
        <f t="shared" si="587"/>
        <v>6149.80769230769</v>
      </c>
      <c r="G832" s="231">
        <f t="shared" si="587"/>
        <v>6150.04956521739</v>
      </c>
      <c r="H832" s="231">
        <f t="shared" si="587"/>
        <v>6150.06984126984</v>
      </c>
      <c r="I832" s="231">
        <f t="shared" si="587"/>
        <v>0</v>
      </c>
      <c r="J832" s="231">
        <f t="shared" si="587"/>
        <v>0</v>
      </c>
      <c r="K832" s="231">
        <f t="shared" si="587"/>
        <v>0</v>
      </c>
      <c r="L832" s="231">
        <f t="shared" si="587"/>
        <v>0</v>
      </c>
      <c r="M832" s="231">
        <f t="shared" si="587"/>
        <v>0</v>
      </c>
      <c r="N832" s="231">
        <f t="shared" si="587"/>
        <v>0</v>
      </c>
      <c r="O832" s="140">
        <f ca="1" t="shared" si="552"/>
        <v>6149.98153846154</v>
      </c>
      <c r="P832" s="104"/>
    </row>
    <row r="833" customHeight="1" spans="1:16">
      <c r="A833" s="115" t="s">
        <v>340</v>
      </c>
      <c r="B833" s="50"/>
      <c r="C833" s="231">
        <f>C763*1.13</f>
        <v>0</v>
      </c>
      <c r="D833" s="231">
        <f>D763*1.13</f>
        <v>0</v>
      </c>
      <c r="E833" s="231">
        <f>E763*1.13</f>
        <v>0</v>
      </c>
      <c r="F833" s="231">
        <f>F763*1.13</f>
        <v>196.000236406619</v>
      </c>
      <c r="G833" s="231">
        <f>G763*1.13</f>
        <v>195.994099134539</v>
      </c>
      <c r="H833" s="231"/>
      <c r="I833" s="87"/>
      <c r="J833" s="231"/>
      <c r="K833" s="231"/>
      <c r="L833" s="231"/>
      <c r="M833" s="231"/>
      <c r="N833" s="231"/>
      <c r="O833" s="140">
        <f ca="1" t="shared" si="552"/>
        <v>195.9985</v>
      </c>
      <c r="P833" s="104"/>
    </row>
    <row r="834" customHeight="1" spans="1:16">
      <c r="A834" s="67" t="s">
        <v>347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 s="228"/>
      <c r="P834" s="71"/>
    </row>
    <row r="835" customHeight="1" spans="1:16">
      <c r="A835" s="229" t="s">
        <v>250</v>
      </c>
      <c r="B835" s="230" t="s">
        <v>77</v>
      </c>
      <c r="C835" s="107" t="s">
        <v>220</v>
      </c>
      <c r="D835" s="107" t="s">
        <v>221</v>
      </c>
      <c r="E835" s="107" t="s">
        <v>222</v>
      </c>
      <c r="F835" s="107" t="s">
        <v>223</v>
      </c>
      <c r="G835" s="107" t="s">
        <v>224</v>
      </c>
      <c r="H835" s="107" t="s">
        <v>225</v>
      </c>
      <c r="I835" s="107" t="s">
        <v>226</v>
      </c>
      <c r="J835" s="107" t="s">
        <v>227</v>
      </c>
      <c r="K835" s="107" t="s">
        <v>228</v>
      </c>
      <c r="L835" s="107" t="s">
        <v>229</v>
      </c>
      <c r="M835" s="107" t="s">
        <v>230</v>
      </c>
      <c r="N835" s="107" t="s">
        <v>231</v>
      </c>
      <c r="O835" s="175" t="str">
        <f>CONCATENATE("1-"&amp;mth&amp;"月累计")</f>
        <v>1-8月累计</v>
      </c>
      <c r="P835" s="71"/>
    </row>
    <row r="836" customHeight="1" spans="1:16">
      <c r="A836" s="307" t="s">
        <v>178</v>
      </c>
      <c r="B836" s="50" t="s">
        <v>123</v>
      </c>
      <c r="C836" s="231">
        <f t="shared" ref="C836:N836" si="588">C766*1.13</f>
        <v>0</v>
      </c>
      <c r="D836" s="231">
        <f t="shared" si="588"/>
        <v>0</v>
      </c>
      <c r="E836" s="231">
        <f t="shared" si="588"/>
        <v>0</v>
      </c>
      <c r="F836" s="231">
        <f t="shared" si="588"/>
        <v>0</v>
      </c>
      <c r="G836" s="231">
        <f t="shared" si="588"/>
        <v>0</v>
      </c>
      <c r="H836" s="231">
        <f t="shared" si="588"/>
        <v>0</v>
      </c>
      <c r="I836" s="231">
        <f t="shared" si="588"/>
        <v>0</v>
      </c>
      <c r="J836" s="231">
        <f t="shared" si="588"/>
        <v>0</v>
      </c>
      <c r="K836" s="231">
        <f t="shared" si="588"/>
        <v>0</v>
      </c>
      <c r="L836" s="231">
        <f t="shared" si="588"/>
        <v>0</v>
      </c>
      <c r="M836" s="231">
        <f t="shared" si="588"/>
        <v>0</v>
      </c>
      <c r="N836" s="231">
        <f t="shared" si="588"/>
        <v>0</v>
      </c>
      <c r="O836" s="140">
        <f ca="1" t="shared" ref="O836:O864" si="589">IF(O979=0,,O979/O695)</f>
        <v>0</v>
      </c>
      <c r="P836" s="71"/>
    </row>
    <row r="837" customHeight="1" spans="1:16">
      <c r="A837" s="307" t="s">
        <v>179</v>
      </c>
      <c r="B837" s="50" t="s">
        <v>123</v>
      </c>
      <c r="C837" s="231">
        <f t="shared" ref="C837:N837" si="590">C767*1.13</f>
        <v>0</v>
      </c>
      <c r="D837" s="231">
        <f t="shared" si="590"/>
        <v>5.99838769230769</v>
      </c>
      <c r="E837" s="231">
        <f t="shared" si="590"/>
        <v>6.00672549019607</v>
      </c>
      <c r="F837" s="231">
        <f t="shared" si="590"/>
        <v>5.95048830548925</v>
      </c>
      <c r="G837" s="231">
        <f t="shared" si="590"/>
        <v>5.95023472222222</v>
      </c>
      <c r="H837" s="231">
        <f t="shared" si="590"/>
        <v>5.95011221945137</v>
      </c>
      <c r="I837" s="231">
        <f t="shared" si="590"/>
        <v>0</v>
      </c>
      <c r="J837" s="231">
        <f t="shared" si="590"/>
        <v>0</v>
      </c>
      <c r="K837" s="231">
        <f t="shared" si="590"/>
        <v>0</v>
      </c>
      <c r="L837" s="231">
        <f t="shared" si="590"/>
        <v>0</v>
      </c>
      <c r="M837" s="231">
        <f t="shared" si="590"/>
        <v>0</v>
      </c>
      <c r="N837" s="231">
        <f t="shared" si="590"/>
        <v>0</v>
      </c>
      <c r="O837" s="140">
        <f ca="1" t="shared" si="589"/>
        <v>5.95614122773292</v>
      </c>
      <c r="P837" s="71"/>
    </row>
    <row r="838" customHeight="1" spans="1:16">
      <c r="A838" s="307" t="s">
        <v>180</v>
      </c>
      <c r="B838" s="50" t="s">
        <v>123</v>
      </c>
      <c r="C838" s="231">
        <f t="shared" ref="C838:N838" si="591">C768*1.13</f>
        <v>0</v>
      </c>
      <c r="D838" s="231">
        <f t="shared" si="591"/>
        <v>0</v>
      </c>
      <c r="E838" s="231">
        <f t="shared" si="591"/>
        <v>0</v>
      </c>
      <c r="F838" s="231">
        <f t="shared" si="591"/>
        <v>0</v>
      </c>
      <c r="G838" s="231">
        <f t="shared" si="591"/>
        <v>0</v>
      </c>
      <c r="H838" s="231">
        <f t="shared" si="591"/>
        <v>0</v>
      </c>
      <c r="I838" s="231">
        <f t="shared" si="591"/>
        <v>0</v>
      </c>
      <c r="J838" s="231">
        <f t="shared" si="591"/>
        <v>0</v>
      </c>
      <c r="K838" s="231">
        <f t="shared" si="591"/>
        <v>0</v>
      </c>
      <c r="L838" s="231">
        <f t="shared" si="591"/>
        <v>0</v>
      </c>
      <c r="M838" s="231">
        <f t="shared" si="591"/>
        <v>0</v>
      </c>
      <c r="N838" s="231">
        <f t="shared" si="591"/>
        <v>0</v>
      </c>
      <c r="O838" s="140">
        <f ca="1" t="shared" si="589"/>
        <v>0</v>
      </c>
      <c r="P838" s="71"/>
    </row>
    <row r="839" customHeight="1" spans="1:16">
      <c r="A839" s="307" t="s">
        <v>181</v>
      </c>
      <c r="B839" s="50" t="s">
        <v>123</v>
      </c>
      <c r="C839" s="231">
        <f t="shared" ref="C839:N839" si="592">C769*1.13</f>
        <v>0</v>
      </c>
      <c r="D839" s="231">
        <f t="shared" si="592"/>
        <v>6.4103474047619</v>
      </c>
      <c r="E839" s="231">
        <f t="shared" si="592"/>
        <v>0</v>
      </c>
      <c r="F839" s="231">
        <f t="shared" si="592"/>
        <v>6.40637895238095</v>
      </c>
      <c r="G839" s="231">
        <f t="shared" si="592"/>
        <v>6.47208977338757</v>
      </c>
      <c r="H839" s="231">
        <f t="shared" si="592"/>
        <v>6.4789613037037</v>
      </c>
      <c r="I839" s="231">
        <f t="shared" si="592"/>
        <v>0</v>
      </c>
      <c r="J839" s="231">
        <f t="shared" si="592"/>
        <v>0</v>
      </c>
      <c r="K839" s="231">
        <f t="shared" si="592"/>
        <v>0</v>
      </c>
      <c r="L839" s="231">
        <f t="shared" si="592"/>
        <v>0</v>
      </c>
      <c r="M839" s="231">
        <f t="shared" si="592"/>
        <v>0</v>
      </c>
      <c r="N839" s="231">
        <f t="shared" si="592"/>
        <v>0</v>
      </c>
      <c r="O839" s="140">
        <f ca="1" t="shared" si="589"/>
        <v>6.446961609421</v>
      </c>
      <c r="P839" s="71"/>
    </row>
    <row r="840" customHeight="1" spans="1:16">
      <c r="A840" s="307" t="s">
        <v>182</v>
      </c>
      <c r="B840" s="50" t="s">
        <v>123</v>
      </c>
      <c r="C840" s="231">
        <f t="shared" ref="C840:N840" si="593">C770*1.13</f>
        <v>6.79008179716867</v>
      </c>
      <c r="D840" s="231">
        <f t="shared" si="593"/>
        <v>6.82455450385842</v>
      </c>
      <c r="E840" s="231">
        <f t="shared" si="593"/>
        <v>6.86652347222222</v>
      </c>
      <c r="F840" s="231">
        <f t="shared" si="593"/>
        <v>6.86833498591242</v>
      </c>
      <c r="G840" s="231">
        <f t="shared" si="593"/>
        <v>6.85175598052675</v>
      </c>
      <c r="H840" s="231">
        <f t="shared" si="593"/>
        <v>6.85098056794273</v>
      </c>
      <c r="I840" s="231">
        <f t="shared" si="593"/>
        <v>0</v>
      </c>
      <c r="J840" s="231">
        <f t="shared" si="593"/>
        <v>0</v>
      </c>
      <c r="K840" s="231">
        <f t="shared" si="593"/>
        <v>0</v>
      </c>
      <c r="L840" s="231">
        <f t="shared" si="593"/>
        <v>0</v>
      </c>
      <c r="M840" s="231">
        <f t="shared" si="593"/>
        <v>0</v>
      </c>
      <c r="N840" s="231">
        <f t="shared" si="593"/>
        <v>0</v>
      </c>
      <c r="O840" s="140">
        <f ca="1" t="shared" si="589"/>
        <v>6.84596014301751</v>
      </c>
    </row>
    <row r="841" customHeight="1" spans="1:16">
      <c r="A841" s="307" t="s">
        <v>183</v>
      </c>
      <c r="B841" s="50" t="s">
        <v>123</v>
      </c>
      <c r="C841" s="231">
        <f t="shared" ref="C841:N841" si="594">C771*1.13</f>
        <v>6.50261581818181</v>
      </c>
      <c r="D841" s="231">
        <f t="shared" si="594"/>
        <v>6.81740676666666</v>
      </c>
      <c r="E841" s="231">
        <f t="shared" si="594"/>
        <v>0</v>
      </c>
      <c r="F841" s="231">
        <f t="shared" si="594"/>
        <v>6.81740978</v>
      </c>
      <c r="G841" s="231">
        <f t="shared" si="594"/>
        <v>6.80793800975609</v>
      </c>
      <c r="H841" s="231">
        <f t="shared" si="594"/>
        <v>6.66110385334292</v>
      </c>
      <c r="I841" s="231">
        <f t="shared" si="594"/>
        <v>0</v>
      </c>
      <c r="J841" s="231">
        <f t="shared" si="594"/>
        <v>0</v>
      </c>
      <c r="K841" s="231">
        <f t="shared" si="594"/>
        <v>0</v>
      </c>
      <c r="L841" s="231">
        <f t="shared" si="594"/>
        <v>0</v>
      </c>
      <c r="M841" s="231">
        <f t="shared" si="594"/>
        <v>0</v>
      </c>
      <c r="N841" s="231">
        <f t="shared" si="594"/>
        <v>0</v>
      </c>
      <c r="O841" s="140">
        <f ca="1" t="shared" si="589"/>
        <v>6.70532899921814</v>
      </c>
    </row>
    <row r="842" customHeight="1" spans="1:16">
      <c r="A842" s="307" t="s">
        <v>184</v>
      </c>
      <c r="B842" s="50" t="s">
        <v>123</v>
      </c>
      <c r="C842" s="231">
        <f t="shared" ref="C842:N842" si="595">C772*1.13</f>
        <v>17.5088918918919</v>
      </c>
      <c r="D842" s="231">
        <f t="shared" si="595"/>
        <v>17.5078181818182</v>
      </c>
      <c r="E842" s="231">
        <f t="shared" si="595"/>
        <v>0</v>
      </c>
      <c r="F842" s="231">
        <f t="shared" si="595"/>
        <v>17.5036411458334</v>
      </c>
      <c r="G842" s="231">
        <f t="shared" si="595"/>
        <v>17.5001485714285</v>
      </c>
      <c r="H842" s="231">
        <f t="shared" si="595"/>
        <v>17.5002290102389</v>
      </c>
      <c r="I842" s="231">
        <f t="shared" si="595"/>
        <v>0</v>
      </c>
      <c r="J842" s="231">
        <f t="shared" si="595"/>
        <v>0</v>
      </c>
      <c r="K842" s="231">
        <f t="shared" si="595"/>
        <v>0</v>
      </c>
      <c r="L842" s="231">
        <f t="shared" si="595"/>
        <v>0</v>
      </c>
      <c r="M842" s="231">
        <f t="shared" si="595"/>
        <v>0</v>
      </c>
      <c r="N842" s="231">
        <f t="shared" si="595"/>
        <v>0</v>
      </c>
      <c r="O842" s="140">
        <f ca="1" t="shared" si="589"/>
        <v>17.5035183633707</v>
      </c>
      <c r="P842" s="132"/>
    </row>
    <row r="843" ht="18" customHeight="1" spans="1:16">
      <c r="A843" s="307" t="s">
        <v>185</v>
      </c>
      <c r="B843" s="50" t="s">
        <v>123</v>
      </c>
      <c r="C843" s="231">
        <f t="shared" ref="C843:N843" si="596">C773*1.13</f>
        <v>8.99971759259259</v>
      </c>
      <c r="D843" s="231">
        <f t="shared" si="596"/>
        <v>9.0000647357821</v>
      </c>
      <c r="E843" s="231">
        <f t="shared" si="596"/>
        <v>0</v>
      </c>
      <c r="F843" s="231">
        <f t="shared" si="596"/>
        <v>8.99988062015504</v>
      </c>
      <c r="G843" s="231">
        <f t="shared" si="596"/>
        <v>9.00017536664356</v>
      </c>
      <c r="H843" s="231">
        <f t="shared" si="596"/>
        <v>8.99990322580645</v>
      </c>
      <c r="I843" s="231">
        <f t="shared" si="596"/>
        <v>0</v>
      </c>
      <c r="J843" s="231">
        <f t="shared" si="596"/>
        <v>0</v>
      </c>
      <c r="K843" s="231">
        <f t="shared" si="596"/>
        <v>0</v>
      </c>
      <c r="L843" s="231">
        <f t="shared" si="596"/>
        <v>0</v>
      </c>
      <c r="M843" s="231">
        <f t="shared" si="596"/>
        <v>0</v>
      </c>
      <c r="N843" s="231">
        <f t="shared" si="596"/>
        <v>0</v>
      </c>
      <c r="O843" s="140">
        <f ca="1" t="shared" si="589"/>
        <v>8.99995867171566</v>
      </c>
      <c r="P843" s="132"/>
    </row>
    <row r="844" ht="18" customHeight="1" spans="1:16">
      <c r="A844" s="307" t="s">
        <v>186</v>
      </c>
      <c r="B844" s="50" t="s">
        <v>123</v>
      </c>
      <c r="C844" s="231">
        <f t="shared" ref="C844:N844" si="597">C774*1.13</f>
        <v>21.5004434404283</v>
      </c>
      <c r="D844" s="231">
        <f t="shared" si="597"/>
        <v>21.4994453741334</v>
      </c>
      <c r="E844" s="231">
        <f t="shared" si="597"/>
        <v>21.499922604898</v>
      </c>
      <c r="F844" s="231">
        <f t="shared" si="597"/>
        <v>21.4994967707212</v>
      </c>
      <c r="G844" s="231">
        <f t="shared" si="597"/>
        <v>21.5001973716351</v>
      </c>
      <c r="H844" s="231">
        <f t="shared" si="597"/>
        <v>21.4999370368577</v>
      </c>
      <c r="I844" s="231">
        <f t="shared" si="597"/>
        <v>0</v>
      </c>
      <c r="J844" s="231">
        <f t="shared" si="597"/>
        <v>0</v>
      </c>
      <c r="K844" s="231">
        <f t="shared" si="597"/>
        <v>0</v>
      </c>
      <c r="L844" s="231">
        <f t="shared" si="597"/>
        <v>0</v>
      </c>
      <c r="M844" s="231">
        <f t="shared" si="597"/>
        <v>0</v>
      </c>
      <c r="N844" s="231">
        <f t="shared" si="597"/>
        <v>0</v>
      </c>
      <c r="O844" s="140">
        <f ca="1" t="shared" si="589"/>
        <v>21.499921759127</v>
      </c>
    </row>
    <row r="845" ht="18" customHeight="1" spans="1:16">
      <c r="A845" s="307" t="s">
        <v>187</v>
      </c>
      <c r="B845" s="50" t="s">
        <v>123</v>
      </c>
      <c r="C845" s="231">
        <f t="shared" ref="C845:N845" si="598">C775*1.13</f>
        <v>0</v>
      </c>
      <c r="D845" s="231">
        <f t="shared" si="598"/>
        <v>0</v>
      </c>
      <c r="E845" s="231">
        <f t="shared" si="598"/>
        <v>0</v>
      </c>
      <c r="F845" s="231">
        <f t="shared" si="598"/>
        <v>0</v>
      </c>
      <c r="G845" s="231">
        <f t="shared" si="598"/>
        <v>0</v>
      </c>
      <c r="H845" s="231">
        <f t="shared" si="598"/>
        <v>0</v>
      </c>
      <c r="I845" s="231">
        <f t="shared" si="598"/>
        <v>0</v>
      </c>
      <c r="J845" s="231">
        <f t="shared" si="598"/>
        <v>0</v>
      </c>
      <c r="K845" s="231">
        <f t="shared" si="598"/>
        <v>0</v>
      </c>
      <c r="L845" s="231">
        <f t="shared" si="598"/>
        <v>0</v>
      </c>
      <c r="M845" s="231">
        <f t="shared" si="598"/>
        <v>0</v>
      </c>
      <c r="N845" s="231">
        <f t="shared" si="598"/>
        <v>0</v>
      </c>
      <c r="O845" s="140">
        <f ca="1" t="shared" si="589"/>
        <v>0</v>
      </c>
    </row>
    <row r="846" ht="18" customHeight="1" spans="1:16">
      <c r="A846" s="307" t="s">
        <v>188</v>
      </c>
      <c r="B846" s="50"/>
      <c r="C846" s="231">
        <f t="shared" ref="C846:N846" si="599">C776*1.13</f>
        <v>15.5000088983051</v>
      </c>
      <c r="D846" s="231">
        <f t="shared" si="599"/>
        <v>15.4999708029197</v>
      </c>
      <c r="E846" s="231">
        <f t="shared" si="599"/>
        <v>15.5036</v>
      </c>
      <c r="F846" s="231">
        <f t="shared" si="599"/>
        <v>15.5001608695652</v>
      </c>
      <c r="G846" s="231">
        <f t="shared" si="599"/>
        <v>15.4999275</v>
      </c>
      <c r="H846" s="231">
        <f t="shared" si="599"/>
        <v>15.4999902777778</v>
      </c>
      <c r="I846" s="231">
        <f t="shared" si="599"/>
        <v>0</v>
      </c>
      <c r="J846" s="231">
        <f t="shared" si="599"/>
        <v>0</v>
      </c>
      <c r="K846" s="231">
        <f t="shared" si="599"/>
        <v>0</v>
      </c>
      <c r="L846" s="231">
        <f t="shared" si="599"/>
        <v>0</v>
      </c>
      <c r="M846" s="231">
        <f t="shared" si="599"/>
        <v>0</v>
      </c>
      <c r="N846" s="231">
        <f t="shared" si="599"/>
        <v>0</v>
      </c>
      <c r="O846" s="140">
        <f ca="1" t="shared" si="589"/>
        <v>15.5000030523256</v>
      </c>
    </row>
    <row r="847" ht="18" customHeight="1" spans="1:16">
      <c r="A847" s="307" t="s">
        <v>189</v>
      </c>
      <c r="B847" s="50"/>
      <c r="C847" s="231">
        <f t="shared" ref="C847:N847" si="600">C777*1.13</f>
        <v>0</v>
      </c>
      <c r="D847" s="231">
        <f t="shared" si="600"/>
        <v>0</v>
      </c>
      <c r="E847" s="231">
        <f t="shared" si="600"/>
        <v>0</v>
      </c>
      <c r="F847" s="231">
        <f t="shared" si="600"/>
        <v>20.9997287032013</v>
      </c>
      <c r="G847" s="231">
        <f t="shared" si="600"/>
        <v>20.9998846179951</v>
      </c>
      <c r="H847" s="231">
        <f t="shared" si="600"/>
        <v>20.999563385676</v>
      </c>
      <c r="I847" s="231">
        <f t="shared" si="600"/>
        <v>0</v>
      </c>
      <c r="J847" s="231">
        <f t="shared" si="600"/>
        <v>0</v>
      </c>
      <c r="K847" s="231">
        <f t="shared" si="600"/>
        <v>0</v>
      </c>
      <c r="L847" s="231">
        <f t="shared" si="600"/>
        <v>0</v>
      </c>
      <c r="M847" s="231">
        <f t="shared" si="600"/>
        <v>0</v>
      </c>
      <c r="N847" s="231">
        <f t="shared" si="600"/>
        <v>0</v>
      </c>
      <c r="O847" s="140">
        <f ca="1" t="shared" si="589"/>
        <v>20.9997944444444</v>
      </c>
    </row>
    <row r="848" ht="18" customHeight="1" spans="1:16">
      <c r="A848" s="307" t="s">
        <v>190</v>
      </c>
      <c r="B848" s="50"/>
      <c r="C848" s="231">
        <f t="shared" ref="C848:N848" si="601">C778*1.13</f>
        <v>0</v>
      </c>
      <c r="D848" s="231">
        <f t="shared" si="601"/>
        <v>0</v>
      </c>
      <c r="E848" s="231">
        <f t="shared" si="601"/>
        <v>0</v>
      </c>
      <c r="F848" s="231">
        <f t="shared" si="601"/>
        <v>0</v>
      </c>
      <c r="G848" s="231">
        <f t="shared" si="601"/>
        <v>270.000276454326</v>
      </c>
      <c r="H848" s="231">
        <f t="shared" si="601"/>
        <v>269.999555506167</v>
      </c>
      <c r="I848" s="231">
        <f t="shared" si="601"/>
        <v>0</v>
      </c>
      <c r="J848" s="231">
        <f t="shared" si="601"/>
        <v>0</v>
      </c>
      <c r="K848" s="231">
        <f t="shared" si="601"/>
        <v>0</v>
      </c>
      <c r="L848" s="231">
        <f t="shared" si="601"/>
        <v>0</v>
      </c>
      <c r="M848" s="231">
        <f t="shared" si="601"/>
        <v>0</v>
      </c>
      <c r="N848" s="231">
        <f t="shared" si="601"/>
        <v>0</v>
      </c>
      <c r="O848" s="140">
        <f ca="1" t="shared" si="589"/>
        <v>270.000026923077</v>
      </c>
    </row>
    <row r="849" ht="18" customHeight="1" spans="1:16">
      <c r="A849" s="307" t="s">
        <v>191</v>
      </c>
      <c r="B849" s="50"/>
      <c r="C849" s="231">
        <f t="shared" ref="C849:N849" si="602">C779*1.13</f>
        <v>0</v>
      </c>
      <c r="D849" s="231">
        <f t="shared" si="602"/>
        <v>7105.92877654801</v>
      </c>
      <c r="E849" s="231">
        <f t="shared" si="602"/>
        <v>7308.80050220972</v>
      </c>
      <c r="F849" s="231">
        <f t="shared" si="602"/>
        <v>7374.80551731069</v>
      </c>
      <c r="G849" s="231">
        <f t="shared" si="602"/>
        <v>7392.76441937164</v>
      </c>
      <c r="H849" s="231">
        <f t="shared" si="602"/>
        <v>7397.76541997945</v>
      </c>
      <c r="I849" s="231">
        <f t="shared" si="602"/>
        <v>0</v>
      </c>
      <c r="J849" s="231">
        <f t="shared" si="602"/>
        <v>0</v>
      </c>
      <c r="K849" s="231">
        <f t="shared" si="602"/>
        <v>0</v>
      </c>
      <c r="L849" s="231">
        <f t="shared" si="602"/>
        <v>0</v>
      </c>
      <c r="M849" s="231">
        <f t="shared" si="602"/>
        <v>0</v>
      </c>
      <c r="N849" s="231">
        <f t="shared" si="602"/>
        <v>0</v>
      </c>
      <c r="O849" s="140">
        <f ca="1" t="shared" si="589"/>
        <v>7364.16757226902</v>
      </c>
    </row>
    <row r="850" customHeight="1" spans="1:16">
      <c r="A850" s="307" t="s">
        <v>192</v>
      </c>
      <c r="B850" s="50" t="s">
        <v>123</v>
      </c>
      <c r="C850" s="231">
        <f t="shared" ref="C850:N850" si="603">C780*1.13</f>
        <v>0</v>
      </c>
      <c r="D850" s="231">
        <f t="shared" si="603"/>
        <v>8.42005145945945</v>
      </c>
      <c r="E850" s="231">
        <f t="shared" si="603"/>
        <v>0</v>
      </c>
      <c r="F850" s="231">
        <f t="shared" si="603"/>
        <v>8.42003491666666</v>
      </c>
      <c r="G850" s="231">
        <f t="shared" si="603"/>
        <v>8.42004649209486</v>
      </c>
      <c r="H850" s="231">
        <f t="shared" si="603"/>
        <v>8.53913703374778</v>
      </c>
      <c r="I850" s="231">
        <f t="shared" si="603"/>
        <v>0</v>
      </c>
      <c r="J850" s="231">
        <f t="shared" si="603"/>
        <v>0</v>
      </c>
      <c r="K850" s="231">
        <f t="shared" si="603"/>
        <v>0</v>
      </c>
      <c r="L850" s="231">
        <f t="shared" si="603"/>
        <v>0</v>
      </c>
      <c r="M850" s="231">
        <f t="shared" si="603"/>
        <v>0</v>
      </c>
      <c r="N850" s="231">
        <f t="shared" si="603"/>
        <v>0</v>
      </c>
      <c r="O850" s="140">
        <f ca="1" t="shared" si="589"/>
        <v>8.44546576303318</v>
      </c>
      <c r="P850" s="71"/>
    </row>
    <row r="851" customHeight="1" spans="1:16">
      <c r="A851" s="307" t="s">
        <v>193</v>
      </c>
      <c r="B851" s="50" t="s">
        <v>123</v>
      </c>
      <c r="C851" s="231">
        <f t="shared" ref="C851:N851" si="604">C781*1.13</f>
        <v>0</v>
      </c>
      <c r="D851" s="231">
        <f t="shared" si="604"/>
        <v>0</v>
      </c>
      <c r="E851" s="231">
        <f t="shared" si="604"/>
        <v>0</v>
      </c>
      <c r="F851" s="231">
        <f t="shared" si="604"/>
        <v>0</v>
      </c>
      <c r="G851" s="231">
        <f t="shared" si="604"/>
        <v>0</v>
      </c>
      <c r="H851" s="231">
        <f t="shared" si="604"/>
        <v>0</v>
      </c>
      <c r="I851" s="231">
        <f t="shared" si="604"/>
        <v>0</v>
      </c>
      <c r="J851" s="231">
        <f t="shared" si="604"/>
        <v>0</v>
      </c>
      <c r="K851" s="231">
        <f t="shared" si="604"/>
        <v>0</v>
      </c>
      <c r="L851" s="231">
        <f t="shared" si="604"/>
        <v>0</v>
      </c>
      <c r="M851" s="231">
        <f t="shared" si="604"/>
        <v>0</v>
      </c>
      <c r="N851" s="231">
        <f t="shared" si="604"/>
        <v>0</v>
      </c>
      <c r="O851" s="140">
        <f ca="1" t="shared" si="589"/>
        <v>0</v>
      </c>
      <c r="P851" s="71"/>
    </row>
    <row r="852" customHeight="1" spans="1:16">
      <c r="A852" s="307" t="s">
        <v>194</v>
      </c>
      <c r="B852" s="50" t="s">
        <v>123</v>
      </c>
      <c r="C852" s="231">
        <f t="shared" ref="C852:N852" si="605">C782*1.13</f>
        <v>50.6828789473684</v>
      </c>
      <c r="D852" s="231">
        <f t="shared" si="605"/>
        <v>0</v>
      </c>
      <c r="E852" s="231">
        <f t="shared" si="605"/>
        <v>0</v>
      </c>
      <c r="F852" s="231">
        <f t="shared" si="605"/>
        <v>0</v>
      </c>
      <c r="G852" s="231">
        <f t="shared" si="605"/>
        <v>0</v>
      </c>
      <c r="H852" s="231">
        <f t="shared" si="605"/>
        <v>0</v>
      </c>
      <c r="I852" s="231">
        <f t="shared" si="605"/>
        <v>0</v>
      </c>
      <c r="J852" s="231">
        <f t="shared" si="605"/>
        <v>0</v>
      </c>
      <c r="K852" s="231">
        <f t="shared" si="605"/>
        <v>0</v>
      </c>
      <c r="L852" s="231">
        <f t="shared" si="605"/>
        <v>0</v>
      </c>
      <c r="M852" s="231">
        <f t="shared" si="605"/>
        <v>0</v>
      </c>
      <c r="N852" s="231">
        <f t="shared" si="605"/>
        <v>0</v>
      </c>
      <c r="O852" s="140">
        <f ca="1" t="shared" si="589"/>
        <v>50.6828789473684</v>
      </c>
      <c r="P852" s="71"/>
    </row>
    <row r="853" customHeight="1" spans="1:16">
      <c r="A853" s="307" t="s">
        <v>195</v>
      </c>
      <c r="B853" s="50" t="s">
        <v>123</v>
      </c>
      <c r="C853" s="231">
        <f t="shared" ref="C853:N853" si="606">C783*1.13</f>
        <v>0</v>
      </c>
      <c r="D853" s="231">
        <f t="shared" si="606"/>
        <v>0</v>
      </c>
      <c r="E853" s="231">
        <f t="shared" si="606"/>
        <v>0</v>
      </c>
      <c r="F853" s="231">
        <f t="shared" si="606"/>
        <v>43.9994621759831</v>
      </c>
      <c r="G853" s="231">
        <f t="shared" si="606"/>
        <v>43.999908826211</v>
      </c>
      <c r="H853" s="231">
        <f t="shared" si="606"/>
        <v>44.0006774557772</v>
      </c>
      <c r="I853" s="231">
        <f t="shared" si="606"/>
        <v>0</v>
      </c>
      <c r="J853" s="231">
        <f t="shared" si="606"/>
        <v>0</v>
      </c>
      <c r="K853" s="231">
        <f t="shared" si="606"/>
        <v>0</v>
      </c>
      <c r="L853" s="231">
        <f t="shared" si="606"/>
        <v>0</v>
      </c>
      <c r="M853" s="231">
        <f t="shared" si="606"/>
        <v>0</v>
      </c>
      <c r="N853" s="231">
        <f t="shared" si="606"/>
        <v>0</v>
      </c>
      <c r="O853" s="140">
        <f ca="1" t="shared" si="589"/>
        <v>43.9998458333333</v>
      </c>
      <c r="P853" s="71"/>
    </row>
    <row r="854" customHeight="1" spans="1:16">
      <c r="A854" s="307" t="s">
        <v>196</v>
      </c>
      <c r="B854" s="50" t="s">
        <v>123</v>
      </c>
      <c r="C854" s="231">
        <f t="shared" ref="C854:N854" si="607">C784*1.13</f>
        <v>0</v>
      </c>
      <c r="D854" s="231">
        <f t="shared" si="607"/>
        <v>0</v>
      </c>
      <c r="E854" s="231">
        <f t="shared" si="607"/>
        <v>0</v>
      </c>
      <c r="F854" s="231">
        <f t="shared" si="607"/>
        <v>0</v>
      </c>
      <c r="G854" s="231">
        <f t="shared" si="607"/>
        <v>0</v>
      </c>
      <c r="H854" s="231">
        <f t="shared" si="607"/>
        <v>0</v>
      </c>
      <c r="I854" s="231">
        <f t="shared" si="607"/>
        <v>0</v>
      </c>
      <c r="J854" s="231">
        <f t="shared" si="607"/>
        <v>0</v>
      </c>
      <c r="K854" s="231">
        <f t="shared" si="607"/>
        <v>0</v>
      </c>
      <c r="L854" s="231">
        <f t="shared" si="607"/>
        <v>0</v>
      </c>
      <c r="M854" s="231">
        <f t="shared" si="607"/>
        <v>0</v>
      </c>
      <c r="N854" s="231">
        <f t="shared" si="607"/>
        <v>0</v>
      </c>
      <c r="O854" s="140">
        <f ca="1" t="shared" si="589"/>
        <v>0</v>
      </c>
    </row>
    <row r="855" customHeight="1" spans="1:16">
      <c r="A855" s="307" t="s">
        <v>197</v>
      </c>
      <c r="B855" s="50" t="s">
        <v>123</v>
      </c>
      <c r="C855" s="231">
        <f t="shared" ref="C855:N855" si="608">C785*1.13</f>
        <v>0</v>
      </c>
      <c r="D855" s="231">
        <f t="shared" si="608"/>
        <v>0</v>
      </c>
      <c r="E855" s="231">
        <f t="shared" si="608"/>
        <v>0</v>
      </c>
      <c r="F855" s="231">
        <f t="shared" si="608"/>
        <v>0</v>
      </c>
      <c r="G855" s="231">
        <f t="shared" si="608"/>
        <v>0</v>
      </c>
      <c r="H855" s="231">
        <f t="shared" si="608"/>
        <v>0</v>
      </c>
      <c r="I855" s="231">
        <f t="shared" si="608"/>
        <v>0</v>
      </c>
      <c r="J855" s="231">
        <f t="shared" si="608"/>
        <v>0</v>
      </c>
      <c r="K855" s="231">
        <f t="shared" si="608"/>
        <v>0</v>
      </c>
      <c r="L855" s="231">
        <f t="shared" si="608"/>
        <v>0</v>
      </c>
      <c r="M855" s="231">
        <f t="shared" si="608"/>
        <v>0</v>
      </c>
      <c r="N855" s="231">
        <f t="shared" si="608"/>
        <v>0</v>
      </c>
      <c r="O855" s="140">
        <f ca="1" t="shared" si="589"/>
        <v>0</v>
      </c>
    </row>
    <row r="856" customHeight="1" spans="1:16">
      <c r="A856" s="115" t="s">
        <v>198</v>
      </c>
      <c r="B856" s="50" t="s">
        <v>123</v>
      </c>
      <c r="C856" s="231">
        <f t="shared" ref="C856:N856" si="609">C786*1.13</f>
        <v>0</v>
      </c>
      <c r="D856" s="231">
        <f t="shared" si="609"/>
        <v>29.9999933333334</v>
      </c>
      <c r="E856" s="231">
        <f t="shared" si="609"/>
        <v>29.9999539237353</v>
      </c>
      <c r="F856" s="231">
        <f t="shared" si="609"/>
        <v>24.9999884937812</v>
      </c>
      <c r="G856" s="231">
        <f t="shared" si="609"/>
        <v>25.0000016176233</v>
      </c>
      <c r="H856" s="231">
        <f t="shared" si="609"/>
        <v>24.1724760708563</v>
      </c>
      <c r="I856" s="231">
        <f t="shared" si="609"/>
        <v>0</v>
      </c>
      <c r="J856" s="231">
        <f t="shared" si="609"/>
        <v>0</v>
      </c>
      <c r="K856" s="231">
        <f t="shared" si="609"/>
        <v>0</v>
      </c>
      <c r="L856" s="231">
        <f t="shared" si="609"/>
        <v>0</v>
      </c>
      <c r="M856" s="231">
        <f t="shared" si="609"/>
        <v>0</v>
      </c>
      <c r="N856" s="231">
        <f t="shared" si="609"/>
        <v>0</v>
      </c>
      <c r="O856" s="140">
        <f ca="1" t="shared" si="589"/>
        <v>25.5988697167953</v>
      </c>
      <c r="P856" s="132"/>
    </row>
    <row r="857" ht="18" customHeight="1" spans="1:16">
      <c r="A857" s="307" t="s">
        <v>199</v>
      </c>
      <c r="B857" s="50" t="s">
        <v>123</v>
      </c>
      <c r="C857" s="231">
        <f t="shared" ref="C857:N857" si="610">C787*1.13</f>
        <v>0</v>
      </c>
      <c r="D857" s="231">
        <f t="shared" si="610"/>
        <v>0</v>
      </c>
      <c r="E857" s="231">
        <f t="shared" si="610"/>
        <v>0</v>
      </c>
      <c r="F857" s="231">
        <f t="shared" si="610"/>
        <v>0</v>
      </c>
      <c r="G857" s="231">
        <f t="shared" si="610"/>
        <v>0</v>
      </c>
      <c r="H857" s="231">
        <f t="shared" si="610"/>
        <v>0</v>
      </c>
      <c r="I857" s="231">
        <f t="shared" si="610"/>
        <v>0</v>
      </c>
      <c r="J857" s="231">
        <f t="shared" si="610"/>
        <v>0</v>
      </c>
      <c r="K857" s="231">
        <f t="shared" si="610"/>
        <v>0</v>
      </c>
      <c r="L857" s="231">
        <f t="shared" si="610"/>
        <v>0</v>
      </c>
      <c r="M857" s="231">
        <f t="shared" si="610"/>
        <v>0</v>
      </c>
      <c r="N857" s="231">
        <f t="shared" si="610"/>
        <v>0</v>
      </c>
      <c r="O857" s="140">
        <f ca="1" t="shared" si="589"/>
        <v>0</v>
      </c>
      <c r="P857" s="132"/>
    </row>
    <row r="858" ht="18" customHeight="1" spans="1:16">
      <c r="A858" s="115" t="s">
        <v>200</v>
      </c>
      <c r="B858" s="50" t="s">
        <v>123</v>
      </c>
      <c r="C858" s="231">
        <f t="shared" ref="C858:N858" si="611">C788*1.13</f>
        <v>0</v>
      </c>
      <c r="D858" s="231">
        <f t="shared" si="611"/>
        <v>0</v>
      </c>
      <c r="E858" s="231">
        <f t="shared" si="611"/>
        <v>0</v>
      </c>
      <c r="F858" s="231">
        <f t="shared" si="611"/>
        <v>0</v>
      </c>
      <c r="G858" s="231">
        <f t="shared" si="611"/>
        <v>0</v>
      </c>
      <c r="H858" s="231">
        <f t="shared" si="611"/>
        <v>0</v>
      </c>
      <c r="I858" s="231">
        <f t="shared" si="611"/>
        <v>0</v>
      </c>
      <c r="J858" s="231">
        <f t="shared" si="611"/>
        <v>0</v>
      </c>
      <c r="K858" s="231">
        <f t="shared" si="611"/>
        <v>0</v>
      </c>
      <c r="L858" s="231">
        <f t="shared" si="611"/>
        <v>0</v>
      </c>
      <c r="M858" s="231">
        <f t="shared" si="611"/>
        <v>0</v>
      </c>
      <c r="N858" s="231">
        <f t="shared" si="611"/>
        <v>0</v>
      </c>
      <c r="O858" s="140">
        <f ca="1" t="shared" si="589"/>
        <v>0</v>
      </c>
    </row>
    <row r="859" ht="18" customHeight="1" spans="1:16">
      <c r="A859" s="115" t="s">
        <v>205</v>
      </c>
      <c r="B859" s="50" t="s">
        <v>123</v>
      </c>
      <c r="C859" s="231">
        <f t="shared" ref="C859:N859" si="612">C789*1.13</f>
        <v>0</v>
      </c>
      <c r="D859" s="231">
        <f t="shared" si="612"/>
        <v>0</v>
      </c>
      <c r="E859" s="231">
        <f t="shared" si="612"/>
        <v>0</v>
      </c>
      <c r="F859" s="231">
        <f t="shared" si="612"/>
        <v>0</v>
      </c>
      <c r="G859" s="231">
        <f t="shared" si="612"/>
        <v>0</v>
      </c>
      <c r="H859" s="231">
        <f t="shared" si="612"/>
        <v>0</v>
      </c>
      <c r="I859" s="231">
        <f t="shared" si="612"/>
        <v>0</v>
      </c>
      <c r="J859" s="231">
        <f t="shared" si="612"/>
        <v>0</v>
      </c>
      <c r="K859" s="231">
        <f t="shared" si="612"/>
        <v>0</v>
      </c>
      <c r="L859" s="231">
        <f t="shared" si="612"/>
        <v>0</v>
      </c>
      <c r="M859" s="231">
        <f t="shared" si="612"/>
        <v>0</v>
      </c>
      <c r="N859" s="231">
        <f t="shared" si="612"/>
        <v>0</v>
      </c>
      <c r="O859" s="140">
        <f ca="1" t="shared" si="589"/>
        <v>0</v>
      </c>
    </row>
    <row r="860" ht="18" customHeight="1" spans="1:16">
      <c r="A860" s="115" t="s">
        <v>203</v>
      </c>
      <c r="B860" s="50"/>
      <c r="C860" s="231">
        <f t="shared" ref="C860:N860" si="613">C790*1.13</f>
        <v>0</v>
      </c>
      <c r="D860" s="231">
        <f t="shared" si="613"/>
        <v>0</v>
      </c>
      <c r="E860" s="231">
        <f t="shared" si="613"/>
        <v>0</v>
      </c>
      <c r="F860" s="231">
        <f t="shared" si="613"/>
        <v>0</v>
      </c>
      <c r="G860" s="231">
        <f t="shared" si="613"/>
        <v>14.00124391563</v>
      </c>
      <c r="H860" s="231">
        <f t="shared" si="613"/>
        <v>14.0012439156301</v>
      </c>
      <c r="I860" s="231">
        <f t="shared" si="613"/>
        <v>0</v>
      </c>
      <c r="J860" s="231">
        <f t="shared" si="613"/>
        <v>0</v>
      </c>
      <c r="K860" s="231">
        <f t="shared" si="613"/>
        <v>0</v>
      </c>
      <c r="L860" s="231">
        <f t="shared" si="613"/>
        <v>0</v>
      </c>
      <c r="M860" s="231">
        <f t="shared" si="613"/>
        <v>0</v>
      </c>
      <c r="N860" s="231">
        <f t="shared" si="613"/>
        <v>0</v>
      </c>
      <c r="O860" s="140" t="e">
        <f ca="1" t="shared" si="589"/>
        <v>#DIV/0!</v>
      </c>
    </row>
    <row r="861" ht="18" customHeight="1" spans="1:16">
      <c r="A861" s="115" t="s">
        <v>206</v>
      </c>
      <c r="B861" s="50"/>
      <c r="C861" s="231">
        <f t="shared" ref="C861:N861" si="614">C791*1.13</f>
        <v>0</v>
      </c>
      <c r="D861" s="231">
        <f t="shared" si="614"/>
        <v>557.935334166666</v>
      </c>
      <c r="E861" s="231">
        <f t="shared" si="614"/>
        <v>0</v>
      </c>
      <c r="F861" s="231">
        <f t="shared" si="614"/>
        <v>0</v>
      </c>
      <c r="G861" s="231">
        <f t="shared" si="614"/>
        <v>557.935407407407</v>
      </c>
      <c r="H861" s="231">
        <f t="shared" si="614"/>
        <v>557.935498958333</v>
      </c>
      <c r="I861" s="231">
        <f t="shared" si="614"/>
        <v>0</v>
      </c>
      <c r="J861" s="231">
        <f t="shared" si="614"/>
        <v>0</v>
      </c>
      <c r="K861" s="231">
        <f t="shared" si="614"/>
        <v>0</v>
      </c>
      <c r="L861" s="231">
        <f t="shared" si="614"/>
        <v>0</v>
      </c>
      <c r="M861" s="231">
        <f t="shared" si="614"/>
        <v>0</v>
      </c>
      <c r="N861" s="231">
        <f t="shared" si="614"/>
        <v>0</v>
      </c>
      <c r="O861" s="140">
        <f ca="1" t="shared" si="589"/>
        <v>557.935407407407</v>
      </c>
    </row>
    <row r="862" ht="18" customHeight="1" spans="1:16">
      <c r="A862" s="115" t="s">
        <v>582</v>
      </c>
      <c r="B862" s="50"/>
      <c r="C862" s="231">
        <f t="shared" ref="C862:N862" si="615">C792*1.13</f>
        <v>15.5000088983051</v>
      </c>
      <c r="D862" s="231">
        <f t="shared" si="615"/>
        <v>0</v>
      </c>
      <c r="E862" s="231">
        <f t="shared" si="615"/>
        <v>0</v>
      </c>
      <c r="F862" s="231">
        <f t="shared" si="615"/>
        <v>0</v>
      </c>
      <c r="G862" s="231">
        <f t="shared" si="615"/>
        <v>12.9992978349912</v>
      </c>
      <c r="H862" s="231">
        <f t="shared" si="615"/>
        <v>11.9998612953805</v>
      </c>
      <c r="I862" s="231">
        <f t="shared" si="615"/>
        <v>0</v>
      </c>
      <c r="J862" s="231">
        <f t="shared" si="615"/>
        <v>0</v>
      </c>
      <c r="K862" s="231">
        <f t="shared" si="615"/>
        <v>0</v>
      </c>
      <c r="L862" s="231">
        <f t="shared" si="615"/>
        <v>0</v>
      </c>
      <c r="M862" s="231">
        <f t="shared" si="615"/>
        <v>0</v>
      </c>
      <c r="N862" s="231">
        <f t="shared" si="615"/>
        <v>0</v>
      </c>
      <c r="O862" s="140">
        <f ca="1" t="shared" si="589"/>
        <v>12.170665</v>
      </c>
    </row>
    <row r="863" ht="18" customHeight="1" spans="1:16">
      <c r="A863" s="115" t="s">
        <v>351</v>
      </c>
      <c r="B863" s="50"/>
      <c r="C863" s="231">
        <f t="shared" ref="C863:N863" si="616">C793*1.13</f>
        <v>6150.42857142857</v>
      </c>
      <c r="D863" s="231">
        <f t="shared" si="616"/>
        <v>6149.99627118644</v>
      </c>
      <c r="E863" s="231">
        <f t="shared" si="616"/>
        <v>6149.97363636364</v>
      </c>
      <c r="F863" s="231">
        <f t="shared" si="616"/>
        <v>6149.99767891683</v>
      </c>
      <c r="G863" s="231">
        <f t="shared" si="616"/>
        <v>6149.9973941368</v>
      </c>
      <c r="H863" s="231">
        <f t="shared" si="616"/>
        <v>6150.025</v>
      </c>
      <c r="I863" s="231">
        <f t="shared" si="616"/>
        <v>0</v>
      </c>
      <c r="J863" s="231">
        <f t="shared" si="616"/>
        <v>0</v>
      </c>
      <c r="K863" s="231">
        <f t="shared" si="616"/>
        <v>0</v>
      </c>
      <c r="L863" s="231">
        <f t="shared" si="616"/>
        <v>0</v>
      </c>
      <c r="M863" s="231">
        <f t="shared" si="616"/>
        <v>0</v>
      </c>
      <c r="N863" s="231">
        <f t="shared" si="616"/>
        <v>0</v>
      </c>
      <c r="O863" s="140">
        <f ca="1" t="shared" si="589"/>
        <v>6150.00159954298</v>
      </c>
    </row>
    <row r="864" ht="18" customHeight="1" spans="1:16">
      <c r="A864" s="115" t="s">
        <v>204</v>
      </c>
      <c r="B864" s="50"/>
      <c r="C864" s="231">
        <f t="shared" ref="C864:N864" si="617">C794*1.13</f>
        <v>0</v>
      </c>
      <c r="D864" s="231">
        <f t="shared" si="617"/>
        <v>0</v>
      </c>
      <c r="E864" s="231">
        <f t="shared" si="617"/>
        <v>0</v>
      </c>
      <c r="F864" s="231">
        <f t="shared" si="617"/>
        <v>0</v>
      </c>
      <c r="G864" s="231">
        <f t="shared" si="617"/>
        <v>116.793913043479</v>
      </c>
      <c r="H864" s="231">
        <f t="shared" si="617"/>
        <v>198.550722753346</v>
      </c>
      <c r="I864" s="231">
        <f t="shared" si="617"/>
        <v>0</v>
      </c>
      <c r="J864" s="231">
        <f t="shared" si="617"/>
        <v>0</v>
      </c>
      <c r="K864" s="231">
        <f t="shared" si="617"/>
        <v>0</v>
      </c>
      <c r="L864" s="231">
        <f t="shared" si="617"/>
        <v>0</v>
      </c>
      <c r="M864" s="231">
        <f t="shared" si="617"/>
        <v>0</v>
      </c>
      <c r="N864" s="231">
        <f t="shared" si="617"/>
        <v>0</v>
      </c>
      <c r="O864" s="140">
        <f ca="1" t="shared" si="589"/>
        <v>171.409842891813</v>
      </c>
    </row>
    <row r="865" customHeight="1" spans="1:17">
      <c r="A865" s="46" t="s">
        <v>348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 s="228"/>
    </row>
    <row r="866" customHeight="1" spans="1:17">
      <c r="A866" s="48" t="s">
        <v>308</v>
      </c>
      <c r="B866" s="230" t="s">
        <v>77</v>
      </c>
      <c r="C866" s="48" t="s">
        <v>220</v>
      </c>
      <c r="D866" s="107" t="s">
        <v>221</v>
      </c>
      <c r="E866" s="107" t="s">
        <v>222</v>
      </c>
      <c r="F866" s="107" t="s">
        <v>223</v>
      </c>
      <c r="G866" s="107" t="s">
        <v>224</v>
      </c>
      <c r="H866" s="107" t="s">
        <v>225</v>
      </c>
      <c r="I866" s="107" t="s">
        <v>226</v>
      </c>
      <c r="J866" s="107" t="s">
        <v>227</v>
      </c>
      <c r="K866" s="107" t="s">
        <v>228</v>
      </c>
      <c r="L866" s="107" t="s">
        <v>229</v>
      </c>
      <c r="M866" s="107" t="s">
        <v>230</v>
      </c>
      <c r="N866" s="107" t="s">
        <v>231</v>
      </c>
      <c r="O866" s="72" t="str">
        <f>CONCATENATE("1-"&amp;mth&amp;"月累计")</f>
        <v>1-8月累计</v>
      </c>
      <c r="Q866" s="68"/>
    </row>
    <row r="867" customHeight="1" spans="1:17">
      <c r="A867" s="307" t="s">
        <v>178</v>
      </c>
      <c r="B867" s="50" t="s">
        <v>123</v>
      </c>
      <c r="C867" s="52">
        <f t="shared" ref="C867:N867" si="618">C655*C727</f>
        <v>0</v>
      </c>
      <c r="D867" s="52">
        <f t="shared" si="618"/>
        <v>0</v>
      </c>
      <c r="E867" s="52">
        <f t="shared" si="618"/>
        <v>0</v>
      </c>
      <c r="F867" s="52">
        <f t="shared" si="618"/>
        <v>0</v>
      </c>
      <c r="G867" s="52">
        <f t="shared" si="618"/>
        <v>0</v>
      </c>
      <c r="H867" s="52">
        <f t="shared" si="618"/>
        <v>0</v>
      </c>
      <c r="I867" s="52">
        <f t="shared" si="618"/>
        <v>0</v>
      </c>
      <c r="J867" s="52">
        <f t="shared" si="618"/>
        <v>0</v>
      </c>
      <c r="K867" s="52">
        <f t="shared" si="618"/>
        <v>0</v>
      </c>
      <c r="L867" s="52">
        <f t="shared" si="618"/>
        <v>0</v>
      </c>
      <c r="M867" s="52">
        <f t="shared" si="618"/>
        <v>0</v>
      </c>
      <c r="N867" s="52">
        <f t="shared" si="618"/>
        <v>0</v>
      </c>
      <c r="O867" s="131">
        <f ca="1">SUM(OFFSET($C867,0,0,1,mth))</f>
        <v>0</v>
      </c>
      <c r="Q867" s="68"/>
    </row>
    <row r="868" customHeight="1" spans="1:17">
      <c r="A868" s="307" t="s">
        <v>179</v>
      </c>
      <c r="B868" s="50" t="s">
        <v>123</v>
      </c>
      <c r="C868" s="52">
        <f t="shared" ref="C868:N868" si="619">C656*C728</f>
        <v>0</v>
      </c>
      <c r="D868" s="52">
        <f t="shared" si="619"/>
        <v>0</v>
      </c>
      <c r="E868" s="52">
        <f t="shared" si="619"/>
        <v>0</v>
      </c>
      <c r="F868" s="52">
        <f t="shared" si="619"/>
        <v>0</v>
      </c>
      <c r="G868" s="52">
        <f t="shared" si="619"/>
        <v>0</v>
      </c>
      <c r="H868" s="52">
        <f t="shared" si="619"/>
        <v>0</v>
      </c>
      <c r="I868" s="52">
        <f t="shared" si="619"/>
        <v>0</v>
      </c>
      <c r="J868" s="52">
        <f t="shared" si="619"/>
        <v>0</v>
      </c>
      <c r="K868" s="52">
        <f t="shared" si="619"/>
        <v>0</v>
      </c>
      <c r="L868" s="52">
        <f t="shared" si="619"/>
        <v>0</v>
      </c>
      <c r="M868" s="52">
        <f t="shared" si="619"/>
        <v>0</v>
      </c>
      <c r="N868" s="52">
        <f t="shared" si="619"/>
        <v>0</v>
      </c>
      <c r="O868" s="131">
        <f ca="1" t="shared" ref="O868:O880" si="620">SUM(OFFSET($C868,0,0,1,mth))</f>
        <v>0</v>
      </c>
    </row>
    <row r="869" customHeight="1" spans="1:17">
      <c r="A869" s="307" t="s">
        <v>180</v>
      </c>
      <c r="B869" s="50" t="s">
        <v>123</v>
      </c>
      <c r="C869" s="52">
        <f t="shared" ref="C869:N869" si="621">C657*C729</f>
        <v>0</v>
      </c>
      <c r="D869" s="52">
        <f t="shared" si="621"/>
        <v>0</v>
      </c>
      <c r="E869" s="52">
        <f t="shared" si="621"/>
        <v>0</v>
      </c>
      <c r="F869" s="52">
        <f t="shared" si="621"/>
        <v>0</v>
      </c>
      <c r="G869" s="52">
        <f t="shared" si="621"/>
        <v>0</v>
      </c>
      <c r="H869" s="52">
        <f t="shared" si="621"/>
        <v>0</v>
      </c>
      <c r="I869" s="52">
        <f t="shared" si="621"/>
        <v>0</v>
      </c>
      <c r="J869" s="52">
        <f t="shared" si="621"/>
        <v>0</v>
      </c>
      <c r="K869" s="52">
        <f t="shared" si="621"/>
        <v>0</v>
      </c>
      <c r="L869" s="52">
        <f t="shared" si="621"/>
        <v>0</v>
      </c>
      <c r="M869" s="52">
        <f t="shared" si="621"/>
        <v>0</v>
      </c>
      <c r="N869" s="52">
        <f t="shared" si="621"/>
        <v>0</v>
      </c>
      <c r="O869" s="131">
        <f ca="1" t="shared" si="620"/>
        <v>0</v>
      </c>
      <c r="P869" s="68"/>
    </row>
    <row r="870" customHeight="1" spans="1:17">
      <c r="A870" s="307" t="s">
        <v>181</v>
      </c>
      <c r="B870" s="50" t="s">
        <v>123</v>
      </c>
      <c r="C870" s="52">
        <f t="shared" ref="C870:N870" si="622">C658*C730</f>
        <v>0</v>
      </c>
      <c r="D870" s="52">
        <f t="shared" si="622"/>
        <v>0</v>
      </c>
      <c r="E870" s="52">
        <f t="shared" si="622"/>
        <v>0</v>
      </c>
      <c r="F870" s="52">
        <f t="shared" si="622"/>
        <v>0</v>
      </c>
      <c r="G870" s="52">
        <f t="shared" si="622"/>
        <v>0</v>
      </c>
      <c r="H870" s="52">
        <f t="shared" si="622"/>
        <v>0</v>
      </c>
      <c r="I870" s="52">
        <f t="shared" si="622"/>
        <v>0</v>
      </c>
      <c r="J870" s="52">
        <f t="shared" si="622"/>
        <v>0</v>
      </c>
      <c r="K870" s="52">
        <f t="shared" si="622"/>
        <v>0</v>
      </c>
      <c r="L870" s="52">
        <f t="shared" si="622"/>
        <v>0</v>
      </c>
      <c r="M870" s="52">
        <f t="shared" si="622"/>
        <v>0</v>
      </c>
      <c r="N870" s="52">
        <f t="shared" si="622"/>
        <v>0</v>
      </c>
      <c r="O870" s="131">
        <f ca="1" t="shared" si="620"/>
        <v>0</v>
      </c>
      <c r="P870" s="71"/>
    </row>
    <row r="871" customHeight="1" spans="1:17">
      <c r="A871" s="307" t="s">
        <v>182</v>
      </c>
      <c r="B871" s="50" t="s">
        <v>123</v>
      </c>
      <c r="C871" s="52">
        <f t="shared" ref="C871:N871" si="623">C659*C731</f>
        <v>112827.95</v>
      </c>
      <c r="D871" s="52">
        <f t="shared" si="623"/>
        <v>47045.28</v>
      </c>
      <c r="E871" s="52">
        <f t="shared" si="623"/>
        <v>206660.22</v>
      </c>
      <c r="F871" s="52">
        <f t="shared" si="623"/>
        <v>323293.55</v>
      </c>
      <c r="G871" s="52">
        <f t="shared" si="623"/>
        <v>294688.48</v>
      </c>
      <c r="H871" s="52">
        <f t="shared" si="623"/>
        <v>100343.15</v>
      </c>
      <c r="I871" s="52">
        <f t="shared" si="623"/>
        <v>0</v>
      </c>
      <c r="J871" s="52">
        <f t="shared" si="623"/>
        <v>0</v>
      </c>
      <c r="K871" s="52">
        <f t="shared" si="623"/>
        <v>0</v>
      </c>
      <c r="L871" s="52">
        <f t="shared" si="623"/>
        <v>0</v>
      </c>
      <c r="M871" s="52">
        <f t="shared" si="623"/>
        <v>0</v>
      </c>
      <c r="N871" s="52">
        <f t="shared" si="623"/>
        <v>0</v>
      </c>
      <c r="O871" s="131">
        <f ca="1" t="shared" si="620"/>
        <v>1084858.63</v>
      </c>
      <c r="P871" s="71"/>
    </row>
    <row r="872" customHeight="1" spans="1:17">
      <c r="A872" s="307" t="s">
        <v>183</v>
      </c>
      <c r="B872" s="50" t="s">
        <v>123</v>
      </c>
      <c r="C872" s="52">
        <f t="shared" ref="C872:N872" si="624">C660*C732</f>
        <v>0</v>
      </c>
      <c r="D872" s="52">
        <f t="shared" si="624"/>
        <v>0</v>
      </c>
      <c r="E872" s="52">
        <f t="shared" si="624"/>
        <v>0</v>
      </c>
      <c r="F872" s="52">
        <f t="shared" si="624"/>
        <v>0</v>
      </c>
      <c r="G872" s="52">
        <f t="shared" si="624"/>
        <v>0</v>
      </c>
      <c r="H872" s="52">
        <f t="shared" si="624"/>
        <v>0</v>
      </c>
      <c r="I872" s="52">
        <f t="shared" si="624"/>
        <v>0</v>
      </c>
      <c r="J872" s="52">
        <f t="shared" si="624"/>
        <v>0</v>
      </c>
      <c r="K872" s="52">
        <f t="shared" si="624"/>
        <v>0</v>
      </c>
      <c r="L872" s="52">
        <f t="shared" si="624"/>
        <v>0</v>
      </c>
      <c r="M872" s="52">
        <f t="shared" si="624"/>
        <v>0</v>
      </c>
      <c r="N872" s="52">
        <f t="shared" si="624"/>
        <v>0</v>
      </c>
      <c r="O872" s="131">
        <f ca="1" t="shared" si="620"/>
        <v>0</v>
      </c>
      <c r="P872" s="71"/>
    </row>
    <row r="873" customHeight="1" spans="1:17">
      <c r="A873" s="307" t="s">
        <v>184</v>
      </c>
      <c r="B873" s="50" t="s">
        <v>123</v>
      </c>
      <c r="C873" s="52">
        <f t="shared" ref="C873:N873" si="625">C661*C733</f>
        <v>0</v>
      </c>
      <c r="D873" s="52">
        <f t="shared" si="625"/>
        <v>0</v>
      </c>
      <c r="E873" s="52">
        <f t="shared" si="625"/>
        <v>0</v>
      </c>
      <c r="F873" s="52">
        <f t="shared" si="625"/>
        <v>0</v>
      </c>
      <c r="G873" s="52">
        <f t="shared" si="625"/>
        <v>0</v>
      </c>
      <c r="H873" s="52">
        <f t="shared" si="625"/>
        <v>0</v>
      </c>
      <c r="I873" s="52">
        <f t="shared" si="625"/>
        <v>0</v>
      </c>
      <c r="J873" s="52">
        <f t="shared" si="625"/>
        <v>0</v>
      </c>
      <c r="K873" s="52">
        <f t="shared" si="625"/>
        <v>0</v>
      </c>
      <c r="L873" s="52">
        <f t="shared" si="625"/>
        <v>0</v>
      </c>
      <c r="M873" s="52">
        <f t="shared" si="625"/>
        <v>0</v>
      </c>
      <c r="N873" s="52">
        <f t="shared" si="625"/>
        <v>0</v>
      </c>
      <c r="O873" s="131">
        <f ca="1" t="shared" si="620"/>
        <v>0</v>
      </c>
    </row>
    <row r="874" ht="18" customHeight="1" spans="1:17">
      <c r="A874" s="307" t="s">
        <v>185</v>
      </c>
      <c r="B874" s="50" t="s">
        <v>123</v>
      </c>
      <c r="C874" s="52">
        <f t="shared" ref="C874:N874" si="626">C662*C734</f>
        <v>0</v>
      </c>
      <c r="D874" s="52">
        <f t="shared" si="626"/>
        <v>8.7</v>
      </c>
      <c r="E874" s="52">
        <f t="shared" si="626"/>
        <v>0</v>
      </c>
      <c r="F874" s="52">
        <f t="shared" si="626"/>
        <v>0</v>
      </c>
      <c r="G874" s="52">
        <f t="shared" si="626"/>
        <v>14.26</v>
      </c>
      <c r="H874" s="52">
        <f t="shared" si="626"/>
        <v>0</v>
      </c>
      <c r="I874" s="52">
        <f t="shared" si="626"/>
        <v>0</v>
      </c>
      <c r="J874" s="52">
        <f t="shared" si="626"/>
        <v>0</v>
      </c>
      <c r="K874" s="52">
        <f t="shared" si="626"/>
        <v>0</v>
      </c>
      <c r="L874" s="52">
        <f t="shared" si="626"/>
        <v>0</v>
      </c>
      <c r="M874" s="52">
        <f t="shared" si="626"/>
        <v>0</v>
      </c>
      <c r="N874" s="52">
        <f t="shared" si="626"/>
        <v>0</v>
      </c>
      <c r="O874" s="131">
        <f ca="1" t="shared" si="620"/>
        <v>22.96</v>
      </c>
    </row>
    <row r="875" ht="18" customHeight="1" spans="1:17">
      <c r="A875" s="307" t="s">
        <v>186</v>
      </c>
      <c r="B875" s="50" t="s">
        <v>123</v>
      </c>
      <c r="C875" s="52">
        <f t="shared" ref="C875:N875" si="627">C663*C735</f>
        <v>-227.37</v>
      </c>
      <c r="D875" s="52">
        <f t="shared" si="627"/>
        <v>317.119999999999</v>
      </c>
      <c r="E875" s="52">
        <f t="shared" si="627"/>
        <v>474.760000000001</v>
      </c>
      <c r="F875" s="52">
        <f t="shared" si="627"/>
        <v>1388.83</v>
      </c>
      <c r="G875" s="52">
        <f t="shared" si="627"/>
        <v>640.930000000001</v>
      </c>
      <c r="H875" s="52">
        <f t="shared" si="627"/>
        <v>993.669999999998</v>
      </c>
      <c r="I875" s="52">
        <f t="shared" si="627"/>
        <v>0</v>
      </c>
      <c r="J875" s="52">
        <f t="shared" si="627"/>
        <v>0</v>
      </c>
      <c r="K875" s="52">
        <f t="shared" si="627"/>
        <v>0</v>
      </c>
      <c r="L875" s="52">
        <f t="shared" si="627"/>
        <v>0</v>
      </c>
      <c r="M875" s="52">
        <f t="shared" si="627"/>
        <v>0</v>
      </c>
      <c r="N875" s="52">
        <f t="shared" si="627"/>
        <v>0</v>
      </c>
      <c r="O875" s="131">
        <f ca="1" t="shared" si="620"/>
        <v>3587.94</v>
      </c>
      <c r="P875" s="132"/>
    </row>
    <row r="876" ht="18" customHeight="1" spans="1:17">
      <c r="A876" s="307" t="s">
        <v>187</v>
      </c>
      <c r="B876" s="50" t="s">
        <v>123</v>
      </c>
      <c r="C876" s="52">
        <f t="shared" ref="C876:N876" si="628">C664*C736</f>
        <v>0</v>
      </c>
      <c r="D876" s="52">
        <f t="shared" si="628"/>
        <v>0</v>
      </c>
      <c r="E876" s="52">
        <f t="shared" si="628"/>
        <v>557.53</v>
      </c>
      <c r="F876" s="52">
        <f t="shared" si="628"/>
        <v>0</v>
      </c>
      <c r="G876" s="52">
        <f t="shared" si="628"/>
        <v>0</v>
      </c>
      <c r="H876" s="52">
        <f t="shared" si="628"/>
        <v>2787.61</v>
      </c>
      <c r="I876" s="52">
        <f t="shared" si="628"/>
        <v>0</v>
      </c>
      <c r="J876" s="52">
        <f t="shared" si="628"/>
        <v>0</v>
      </c>
      <c r="K876" s="52">
        <f t="shared" si="628"/>
        <v>0</v>
      </c>
      <c r="L876" s="52">
        <f t="shared" si="628"/>
        <v>0</v>
      </c>
      <c r="M876" s="52">
        <f t="shared" si="628"/>
        <v>0</v>
      </c>
      <c r="N876" s="52">
        <f t="shared" si="628"/>
        <v>0</v>
      </c>
      <c r="O876" s="131">
        <f ca="1" t="shared" si="620"/>
        <v>3345.14</v>
      </c>
      <c r="P876" s="68"/>
    </row>
    <row r="877" ht="18" customHeight="1" spans="1:17">
      <c r="A877" s="307" t="s">
        <v>188</v>
      </c>
      <c r="B877" s="50"/>
      <c r="C877" s="52">
        <f t="shared" ref="C877:N877" si="629">C665*C737</f>
        <v>0</v>
      </c>
      <c r="D877" s="52">
        <f t="shared" si="629"/>
        <v>0</v>
      </c>
      <c r="E877" s="52">
        <f t="shared" si="629"/>
        <v>0</v>
      </c>
      <c r="F877" s="52">
        <f t="shared" si="629"/>
        <v>0</v>
      </c>
      <c r="G877" s="52">
        <f t="shared" si="629"/>
        <v>0</v>
      </c>
      <c r="H877" s="52">
        <f t="shared" si="629"/>
        <v>0</v>
      </c>
      <c r="I877" s="52">
        <f t="shared" si="629"/>
        <v>0</v>
      </c>
      <c r="J877" s="52">
        <f t="shared" si="629"/>
        <v>0</v>
      </c>
      <c r="K877" s="52">
        <f t="shared" si="629"/>
        <v>0</v>
      </c>
      <c r="L877" s="52">
        <f t="shared" si="629"/>
        <v>0</v>
      </c>
      <c r="M877" s="52">
        <f t="shared" si="629"/>
        <v>0</v>
      </c>
      <c r="N877" s="52">
        <f t="shared" si="629"/>
        <v>0</v>
      </c>
      <c r="O877" s="131">
        <f ca="1" t="shared" si="620"/>
        <v>0</v>
      </c>
      <c r="P877" s="68"/>
    </row>
    <row r="878" ht="18" customHeight="1" spans="1:17">
      <c r="A878" s="307" t="s">
        <v>189</v>
      </c>
      <c r="B878" s="50"/>
      <c r="C878" s="52">
        <f t="shared" ref="C878:N878" si="630">C666*C738</f>
        <v>0</v>
      </c>
      <c r="D878" s="52">
        <f t="shared" si="630"/>
        <v>0</v>
      </c>
      <c r="E878" s="52">
        <f t="shared" si="630"/>
        <v>0</v>
      </c>
      <c r="F878" s="52">
        <f t="shared" si="630"/>
        <v>0</v>
      </c>
      <c r="G878" s="52">
        <f t="shared" si="630"/>
        <v>0</v>
      </c>
      <c r="H878" s="52">
        <f t="shared" si="630"/>
        <v>0</v>
      </c>
      <c r="I878" s="52">
        <f t="shared" si="630"/>
        <v>0</v>
      </c>
      <c r="J878" s="52">
        <f t="shared" si="630"/>
        <v>0</v>
      </c>
      <c r="K878" s="52">
        <f t="shared" si="630"/>
        <v>0</v>
      </c>
      <c r="L878" s="52">
        <f t="shared" si="630"/>
        <v>0</v>
      </c>
      <c r="M878" s="52">
        <f t="shared" si="630"/>
        <v>0</v>
      </c>
      <c r="N878" s="52">
        <f t="shared" si="630"/>
        <v>0</v>
      </c>
      <c r="O878" s="131">
        <f ca="1" t="shared" si="620"/>
        <v>0</v>
      </c>
      <c r="P878" s="68"/>
    </row>
    <row r="879" ht="18" customHeight="1" spans="1:17">
      <c r="A879" s="307" t="s">
        <v>190</v>
      </c>
      <c r="B879" s="50"/>
      <c r="C879" s="52">
        <f t="shared" ref="C879:N879" si="631">C667*C739</f>
        <v>0</v>
      </c>
      <c r="D879" s="52">
        <f t="shared" si="631"/>
        <v>0</v>
      </c>
      <c r="E879" s="52">
        <f t="shared" si="631"/>
        <v>0</v>
      </c>
      <c r="F879" s="52">
        <f t="shared" si="631"/>
        <v>0</v>
      </c>
      <c r="G879" s="52">
        <f t="shared" si="631"/>
        <v>0</v>
      </c>
      <c r="H879" s="52">
        <f t="shared" si="631"/>
        <v>0</v>
      </c>
      <c r="I879" s="52">
        <f t="shared" si="631"/>
        <v>0</v>
      </c>
      <c r="J879" s="52">
        <f t="shared" si="631"/>
        <v>0</v>
      </c>
      <c r="K879" s="52">
        <f t="shared" si="631"/>
        <v>0</v>
      </c>
      <c r="L879" s="52">
        <f t="shared" si="631"/>
        <v>0</v>
      </c>
      <c r="M879" s="52">
        <f t="shared" si="631"/>
        <v>0</v>
      </c>
      <c r="N879" s="52">
        <f t="shared" si="631"/>
        <v>0</v>
      </c>
      <c r="O879" s="131">
        <f ca="1" t="shared" si="620"/>
        <v>0</v>
      </c>
      <c r="P879" s="68"/>
    </row>
    <row r="880" customHeight="1" spans="1:17">
      <c r="A880" s="307" t="s">
        <v>191</v>
      </c>
      <c r="B880" s="50" t="s">
        <v>123</v>
      </c>
      <c r="C880" s="52">
        <f t="shared" ref="C880:N880" si="632">C668*C740</f>
        <v>72436.45</v>
      </c>
      <c r="D880" s="52">
        <f t="shared" si="632"/>
        <v>23204.31</v>
      </c>
      <c r="E880" s="52">
        <f t="shared" si="632"/>
        <v>113790.9</v>
      </c>
      <c r="F880" s="52">
        <f t="shared" si="632"/>
        <v>295066.95</v>
      </c>
      <c r="G880" s="52">
        <f t="shared" si="632"/>
        <v>126505.38</v>
      </c>
      <c r="H880" s="52">
        <f t="shared" si="632"/>
        <v>92862.33</v>
      </c>
      <c r="I880" s="52">
        <f t="shared" si="632"/>
        <v>0</v>
      </c>
      <c r="J880" s="52">
        <f t="shared" si="632"/>
        <v>0</v>
      </c>
      <c r="K880" s="52">
        <f t="shared" si="632"/>
        <v>0</v>
      </c>
      <c r="L880" s="52">
        <f t="shared" si="632"/>
        <v>0</v>
      </c>
      <c r="M880" s="52">
        <f t="shared" si="632"/>
        <v>0</v>
      </c>
      <c r="N880" s="52">
        <f t="shared" si="632"/>
        <v>0</v>
      </c>
      <c r="O880" s="131">
        <f ca="1" t="shared" si="620"/>
        <v>723866.32</v>
      </c>
    </row>
    <row r="881" customHeight="1" spans="1:17">
      <c r="A881" s="307" t="s">
        <v>192</v>
      </c>
      <c r="B881" s="50" t="s">
        <v>123</v>
      </c>
      <c r="C881" s="52">
        <f t="shared" ref="C881:N881" si="633">C669*C741</f>
        <v>0</v>
      </c>
      <c r="D881" s="52">
        <f t="shared" si="633"/>
        <v>0</v>
      </c>
      <c r="E881" s="52">
        <f t="shared" si="633"/>
        <v>0</v>
      </c>
      <c r="F881" s="52">
        <f t="shared" si="633"/>
        <v>0</v>
      </c>
      <c r="G881" s="52">
        <f t="shared" si="633"/>
        <v>0</v>
      </c>
      <c r="H881" s="52">
        <f t="shared" si="633"/>
        <v>0</v>
      </c>
      <c r="I881" s="52">
        <f t="shared" si="633"/>
        <v>0</v>
      </c>
      <c r="J881" s="52">
        <f t="shared" si="633"/>
        <v>0</v>
      </c>
      <c r="K881" s="52">
        <f t="shared" si="633"/>
        <v>0</v>
      </c>
      <c r="L881" s="52">
        <f t="shared" si="633"/>
        <v>0</v>
      </c>
      <c r="M881" s="52">
        <f t="shared" si="633"/>
        <v>0</v>
      </c>
      <c r="N881" s="52">
        <f t="shared" si="633"/>
        <v>0</v>
      </c>
      <c r="O881" s="131">
        <f ca="1" t="shared" ref="O881:O897" si="634">SUM(OFFSET($C881,0,0,1,mth))</f>
        <v>0</v>
      </c>
      <c r="Q881" s="68"/>
    </row>
    <row r="882" customHeight="1" spans="1:17">
      <c r="A882" s="307" t="s">
        <v>193</v>
      </c>
      <c r="B882" s="50" t="s">
        <v>123</v>
      </c>
      <c r="C882" s="52">
        <f t="shared" ref="C882:N882" si="635">C670*C742</f>
        <v>0</v>
      </c>
      <c r="D882" s="52">
        <f t="shared" si="635"/>
        <v>0</v>
      </c>
      <c r="E882" s="52">
        <f t="shared" si="635"/>
        <v>0</v>
      </c>
      <c r="F882" s="52">
        <f t="shared" si="635"/>
        <v>0</v>
      </c>
      <c r="G882" s="52">
        <f t="shared" si="635"/>
        <v>0</v>
      </c>
      <c r="H882" s="52">
        <f t="shared" si="635"/>
        <v>0</v>
      </c>
      <c r="I882" s="52">
        <f t="shared" si="635"/>
        <v>0</v>
      </c>
      <c r="J882" s="52">
        <f t="shared" si="635"/>
        <v>0</v>
      </c>
      <c r="K882" s="52">
        <f t="shared" si="635"/>
        <v>0</v>
      </c>
      <c r="L882" s="52">
        <f t="shared" si="635"/>
        <v>0</v>
      </c>
      <c r="M882" s="52">
        <f t="shared" si="635"/>
        <v>0</v>
      </c>
      <c r="N882" s="52">
        <f t="shared" si="635"/>
        <v>0</v>
      </c>
      <c r="O882" s="131">
        <f ca="1" t="shared" si="634"/>
        <v>0</v>
      </c>
    </row>
    <row r="883" customHeight="1" spans="1:17">
      <c r="A883" s="307" t="s">
        <v>194</v>
      </c>
      <c r="B883" s="50" t="s">
        <v>123</v>
      </c>
      <c r="C883" s="52">
        <f t="shared" ref="C883:N883" si="636">C671*C743</f>
        <v>0</v>
      </c>
      <c r="D883" s="52">
        <f t="shared" si="636"/>
        <v>0</v>
      </c>
      <c r="E883" s="52">
        <f t="shared" si="636"/>
        <v>0</v>
      </c>
      <c r="F883" s="52">
        <f t="shared" si="636"/>
        <v>0</v>
      </c>
      <c r="G883" s="52">
        <f t="shared" si="636"/>
        <v>0</v>
      </c>
      <c r="H883" s="52">
        <f t="shared" si="636"/>
        <v>0</v>
      </c>
      <c r="I883" s="52">
        <f t="shared" si="636"/>
        <v>0</v>
      </c>
      <c r="J883" s="52">
        <f t="shared" si="636"/>
        <v>0</v>
      </c>
      <c r="K883" s="52">
        <f t="shared" si="636"/>
        <v>0</v>
      </c>
      <c r="L883" s="52">
        <f t="shared" si="636"/>
        <v>0</v>
      </c>
      <c r="M883" s="52">
        <f t="shared" si="636"/>
        <v>0</v>
      </c>
      <c r="N883" s="52">
        <f t="shared" si="636"/>
        <v>0</v>
      </c>
      <c r="O883" s="131">
        <f ca="1" t="shared" si="634"/>
        <v>0</v>
      </c>
      <c r="P883" s="68"/>
    </row>
    <row r="884" customHeight="1" spans="1:17">
      <c r="A884" s="307" t="s">
        <v>195</v>
      </c>
      <c r="B884" s="50" t="s">
        <v>123</v>
      </c>
      <c r="C884" s="52">
        <f t="shared" ref="C884:N884" si="637">C672*C744</f>
        <v>0</v>
      </c>
      <c r="D884" s="52">
        <f t="shared" si="637"/>
        <v>0</v>
      </c>
      <c r="E884" s="52">
        <f t="shared" si="637"/>
        <v>0</v>
      </c>
      <c r="F884" s="52">
        <f t="shared" si="637"/>
        <v>0</v>
      </c>
      <c r="G884" s="52">
        <f t="shared" si="637"/>
        <v>0</v>
      </c>
      <c r="H884" s="52">
        <f t="shared" si="637"/>
        <v>0</v>
      </c>
      <c r="I884" s="52">
        <f t="shared" si="637"/>
        <v>0</v>
      </c>
      <c r="J884" s="52">
        <f t="shared" si="637"/>
        <v>0</v>
      </c>
      <c r="K884" s="52">
        <f t="shared" si="637"/>
        <v>0</v>
      </c>
      <c r="L884" s="52">
        <f t="shared" si="637"/>
        <v>0</v>
      </c>
      <c r="M884" s="52">
        <f t="shared" si="637"/>
        <v>0</v>
      </c>
      <c r="N884" s="52">
        <f t="shared" si="637"/>
        <v>0</v>
      </c>
      <c r="O884" s="131">
        <f ca="1" t="shared" si="634"/>
        <v>0</v>
      </c>
      <c r="P884" s="71"/>
    </row>
    <row r="885" customHeight="1" spans="1:17">
      <c r="A885" s="307" t="s">
        <v>196</v>
      </c>
      <c r="B885" s="50" t="s">
        <v>123</v>
      </c>
      <c r="C885" s="52">
        <f t="shared" ref="C885:N885" si="638">C673*C745</f>
        <v>0</v>
      </c>
      <c r="D885" s="52">
        <f t="shared" si="638"/>
        <v>0</v>
      </c>
      <c r="E885" s="52">
        <f t="shared" si="638"/>
        <v>0</v>
      </c>
      <c r="F885" s="52">
        <f t="shared" si="638"/>
        <v>0</v>
      </c>
      <c r="G885" s="52">
        <f t="shared" si="638"/>
        <v>0</v>
      </c>
      <c r="H885" s="52">
        <f t="shared" si="638"/>
        <v>0</v>
      </c>
      <c r="I885" s="52">
        <f t="shared" si="638"/>
        <v>0</v>
      </c>
      <c r="J885" s="52">
        <f t="shared" si="638"/>
        <v>0</v>
      </c>
      <c r="K885" s="52">
        <f t="shared" si="638"/>
        <v>0</v>
      </c>
      <c r="L885" s="52">
        <f t="shared" si="638"/>
        <v>0</v>
      </c>
      <c r="M885" s="52">
        <f t="shared" si="638"/>
        <v>0</v>
      </c>
      <c r="N885" s="52">
        <f t="shared" si="638"/>
        <v>0</v>
      </c>
      <c r="O885" s="131">
        <f ca="1" t="shared" si="634"/>
        <v>0</v>
      </c>
      <c r="P885" s="71"/>
    </row>
    <row r="886" customHeight="1" spans="1:17">
      <c r="A886" s="307" t="s">
        <v>197</v>
      </c>
      <c r="B886" s="50" t="s">
        <v>123</v>
      </c>
      <c r="C886" s="52">
        <f t="shared" ref="C886:N886" si="639">C674*C746</f>
        <v>0</v>
      </c>
      <c r="D886" s="52">
        <f t="shared" si="639"/>
        <v>0</v>
      </c>
      <c r="E886" s="52">
        <f t="shared" si="639"/>
        <v>0</v>
      </c>
      <c r="F886" s="52">
        <f t="shared" si="639"/>
        <v>0</v>
      </c>
      <c r="G886" s="52">
        <f t="shared" si="639"/>
        <v>0</v>
      </c>
      <c r="H886" s="52">
        <f t="shared" si="639"/>
        <v>0</v>
      </c>
      <c r="I886" s="52">
        <f t="shared" si="639"/>
        <v>0</v>
      </c>
      <c r="J886" s="52">
        <f t="shared" si="639"/>
        <v>0</v>
      </c>
      <c r="K886" s="52">
        <f t="shared" si="639"/>
        <v>0</v>
      </c>
      <c r="L886" s="52">
        <f t="shared" si="639"/>
        <v>0</v>
      </c>
      <c r="M886" s="52">
        <f t="shared" si="639"/>
        <v>0</v>
      </c>
      <c r="N886" s="52">
        <f t="shared" si="639"/>
        <v>0</v>
      </c>
      <c r="O886" s="131">
        <f ca="1" t="shared" si="634"/>
        <v>0</v>
      </c>
      <c r="P886" s="71"/>
    </row>
    <row r="887" customHeight="1" spans="1:17">
      <c r="A887" s="115" t="s">
        <v>198</v>
      </c>
      <c r="B887" s="50" t="s">
        <v>123</v>
      </c>
      <c r="C887" s="52">
        <f t="shared" ref="C887:N887" si="640">C675*C747</f>
        <v>0</v>
      </c>
      <c r="D887" s="52">
        <f t="shared" si="640"/>
        <v>0</v>
      </c>
      <c r="E887" s="52">
        <f t="shared" si="640"/>
        <v>207.16</v>
      </c>
      <c r="F887" s="52">
        <f t="shared" si="640"/>
        <v>170.18</v>
      </c>
      <c r="G887" s="52">
        <f t="shared" si="640"/>
        <v>344.96</v>
      </c>
      <c r="H887" s="52">
        <f t="shared" si="640"/>
        <v>177.68</v>
      </c>
      <c r="I887" s="52">
        <f t="shared" si="640"/>
        <v>0</v>
      </c>
      <c r="J887" s="52">
        <f t="shared" si="640"/>
        <v>0</v>
      </c>
      <c r="K887" s="52">
        <f t="shared" si="640"/>
        <v>0</v>
      </c>
      <c r="L887" s="52">
        <f t="shared" si="640"/>
        <v>0</v>
      </c>
      <c r="M887" s="52">
        <f t="shared" si="640"/>
        <v>0</v>
      </c>
      <c r="N887" s="52">
        <f t="shared" si="640"/>
        <v>0</v>
      </c>
      <c r="O887" s="131">
        <f ca="1" t="shared" si="634"/>
        <v>899.98</v>
      </c>
    </row>
    <row r="888" ht="18" customHeight="1" spans="1:17">
      <c r="A888" s="307" t="s">
        <v>199</v>
      </c>
      <c r="B888" s="50" t="s">
        <v>123</v>
      </c>
      <c r="C888" s="52">
        <f t="shared" ref="C888:N888" si="641">C676*C748</f>
        <v>0</v>
      </c>
      <c r="D888" s="52">
        <f t="shared" si="641"/>
        <v>0</v>
      </c>
      <c r="E888" s="52">
        <f t="shared" si="641"/>
        <v>0</v>
      </c>
      <c r="F888" s="52">
        <f t="shared" si="641"/>
        <v>0</v>
      </c>
      <c r="G888" s="52">
        <f t="shared" si="641"/>
        <v>0</v>
      </c>
      <c r="H888" s="52">
        <f t="shared" si="641"/>
        <v>0</v>
      </c>
      <c r="I888" s="52">
        <f t="shared" si="641"/>
        <v>0</v>
      </c>
      <c r="J888" s="52">
        <f t="shared" si="641"/>
        <v>0</v>
      </c>
      <c r="K888" s="52">
        <f t="shared" si="641"/>
        <v>0</v>
      </c>
      <c r="L888" s="52">
        <f t="shared" si="641"/>
        <v>0</v>
      </c>
      <c r="M888" s="52">
        <f t="shared" si="641"/>
        <v>0</v>
      </c>
      <c r="N888" s="52">
        <f t="shared" si="641"/>
        <v>0</v>
      </c>
      <c r="O888" s="131">
        <f ca="1" t="shared" si="634"/>
        <v>0</v>
      </c>
    </row>
    <row r="889" ht="18" customHeight="1" spans="1:17">
      <c r="A889" s="115" t="s">
        <v>200</v>
      </c>
      <c r="B889" s="50" t="s">
        <v>123</v>
      </c>
      <c r="C889" s="52">
        <f t="shared" ref="C889:N889" si="642">C677*C749</f>
        <v>12660.69</v>
      </c>
      <c r="D889" s="52">
        <f t="shared" si="642"/>
        <v>-301.59</v>
      </c>
      <c r="E889" s="52">
        <f t="shared" si="642"/>
        <v>23028.42</v>
      </c>
      <c r="F889" s="52">
        <f t="shared" si="642"/>
        <v>47503.73</v>
      </c>
      <c r="G889" s="52">
        <f t="shared" si="642"/>
        <v>21842.78</v>
      </c>
      <c r="H889" s="52">
        <f t="shared" si="642"/>
        <v>15583.09</v>
      </c>
      <c r="I889" s="52">
        <f t="shared" si="642"/>
        <v>0</v>
      </c>
      <c r="J889" s="52">
        <f t="shared" si="642"/>
        <v>0</v>
      </c>
      <c r="K889" s="52">
        <f t="shared" si="642"/>
        <v>0</v>
      </c>
      <c r="L889" s="52">
        <f t="shared" si="642"/>
        <v>0</v>
      </c>
      <c r="M889" s="52">
        <f t="shared" si="642"/>
        <v>0</v>
      </c>
      <c r="N889" s="52">
        <f t="shared" si="642"/>
        <v>0</v>
      </c>
      <c r="O889" s="131">
        <f ca="1" t="shared" si="634"/>
        <v>120317.12</v>
      </c>
      <c r="P889" s="132"/>
    </row>
    <row r="890" ht="18" customHeight="1" spans="1:17">
      <c r="A890" s="115" t="s">
        <v>201</v>
      </c>
      <c r="B890" s="50" t="s">
        <v>123</v>
      </c>
      <c r="C890" s="52">
        <f t="shared" ref="C890:N890" si="643">C678*C750</f>
        <v>0</v>
      </c>
      <c r="D890" s="52">
        <f t="shared" si="643"/>
        <v>0</v>
      </c>
      <c r="E890" s="52">
        <f t="shared" si="643"/>
        <v>0</v>
      </c>
      <c r="F890" s="52">
        <f t="shared" si="643"/>
        <v>0</v>
      </c>
      <c r="G890" s="52">
        <f t="shared" si="643"/>
        <v>-112.17</v>
      </c>
      <c r="H890" s="52">
        <f t="shared" si="643"/>
        <v>112.17</v>
      </c>
      <c r="I890" s="52">
        <f t="shared" si="643"/>
        <v>0</v>
      </c>
      <c r="J890" s="52">
        <f t="shared" si="643"/>
        <v>0</v>
      </c>
      <c r="K890" s="52">
        <f t="shared" si="643"/>
        <v>0</v>
      </c>
      <c r="L890" s="52">
        <f t="shared" si="643"/>
        <v>0</v>
      </c>
      <c r="M890" s="52">
        <f t="shared" si="643"/>
        <v>0</v>
      </c>
      <c r="N890" s="52">
        <f t="shared" si="643"/>
        <v>0</v>
      </c>
      <c r="O890" s="131">
        <f ca="1" t="shared" si="634"/>
        <v>0</v>
      </c>
      <c r="P890" s="68"/>
    </row>
    <row r="891" ht="18" customHeight="1" spans="1:17">
      <c r="A891" s="115" t="s">
        <v>202</v>
      </c>
      <c r="B891" s="50"/>
      <c r="C891" s="52">
        <f t="shared" ref="C891:N891" si="644">C679*C751</f>
        <v>0</v>
      </c>
      <c r="D891" s="52">
        <f t="shared" si="644"/>
        <v>0</v>
      </c>
      <c r="E891" s="52">
        <f t="shared" si="644"/>
        <v>287.81</v>
      </c>
      <c r="F891" s="52">
        <f t="shared" si="644"/>
        <v>1461.95</v>
      </c>
      <c r="G891" s="52">
        <f t="shared" si="644"/>
        <v>674.72</v>
      </c>
      <c r="H891" s="52">
        <f t="shared" si="644"/>
        <v>53.4099999999999</v>
      </c>
      <c r="I891" s="52">
        <f t="shared" si="644"/>
        <v>0</v>
      </c>
      <c r="J891" s="52">
        <f t="shared" si="644"/>
        <v>0</v>
      </c>
      <c r="K891" s="52">
        <f t="shared" si="644"/>
        <v>0</v>
      </c>
      <c r="L891" s="52">
        <f t="shared" si="644"/>
        <v>0</v>
      </c>
      <c r="M891" s="52">
        <f t="shared" si="644"/>
        <v>0</v>
      </c>
      <c r="N891" s="52">
        <f t="shared" si="644"/>
        <v>0</v>
      </c>
      <c r="O891" s="131">
        <f ca="1" t="shared" si="634"/>
        <v>2477.89</v>
      </c>
      <c r="P891" s="68"/>
    </row>
    <row r="892" ht="18" customHeight="1" spans="1:17">
      <c r="A892" s="115" t="s">
        <v>203</v>
      </c>
      <c r="B892" s="50"/>
      <c r="C892" s="52">
        <f t="shared" ref="C892:N892" si="645">C680*C752</f>
        <v>0</v>
      </c>
      <c r="D892" s="52">
        <f t="shared" si="645"/>
        <v>0</v>
      </c>
      <c r="E892" s="52">
        <f t="shared" si="645"/>
        <v>0</v>
      </c>
      <c r="F892" s="52">
        <f t="shared" si="645"/>
        <v>0</v>
      </c>
      <c r="G892" s="52">
        <f t="shared" si="645"/>
        <v>0</v>
      </c>
      <c r="H892" s="52">
        <f t="shared" si="645"/>
        <v>0</v>
      </c>
      <c r="I892" s="52">
        <f t="shared" si="645"/>
        <v>0</v>
      </c>
      <c r="J892" s="52">
        <f t="shared" si="645"/>
        <v>0</v>
      </c>
      <c r="K892" s="52">
        <f t="shared" si="645"/>
        <v>0</v>
      </c>
      <c r="L892" s="52">
        <f t="shared" si="645"/>
        <v>0</v>
      </c>
      <c r="M892" s="52">
        <f t="shared" si="645"/>
        <v>0</v>
      </c>
      <c r="N892" s="52">
        <f t="shared" si="645"/>
        <v>0</v>
      </c>
      <c r="O892" s="131">
        <f ca="1" t="shared" si="634"/>
        <v>0</v>
      </c>
      <c r="P892" s="68"/>
    </row>
    <row r="893" ht="18" customHeight="1" spans="1:17">
      <c r="A893" s="115" t="s">
        <v>204</v>
      </c>
      <c r="B893" s="50"/>
      <c r="C893" s="52">
        <f t="shared" ref="C893:N893" si="646">C681*C753</f>
        <v>0</v>
      </c>
      <c r="D893" s="52">
        <f t="shared" si="646"/>
        <v>0</v>
      </c>
      <c r="E893" s="52">
        <f t="shared" si="646"/>
        <v>0</v>
      </c>
      <c r="F893" s="52">
        <f t="shared" si="646"/>
        <v>569.969999999999</v>
      </c>
      <c r="G893" s="52">
        <f t="shared" si="646"/>
        <v>537.260000000001</v>
      </c>
      <c r="H893" s="52">
        <f t="shared" si="646"/>
        <v>600.859999999999</v>
      </c>
      <c r="I893" s="52">
        <f t="shared" si="646"/>
        <v>0</v>
      </c>
      <c r="J893" s="52">
        <f t="shared" si="646"/>
        <v>0</v>
      </c>
      <c r="K893" s="52">
        <f t="shared" si="646"/>
        <v>0</v>
      </c>
      <c r="L893" s="52">
        <f t="shared" si="646"/>
        <v>0</v>
      </c>
      <c r="M893" s="52">
        <f t="shared" si="646"/>
        <v>0</v>
      </c>
      <c r="N893" s="52">
        <f t="shared" si="646"/>
        <v>0</v>
      </c>
      <c r="O893" s="131">
        <f ca="1" t="shared" si="634"/>
        <v>1708.09</v>
      </c>
      <c r="P893" s="68"/>
    </row>
    <row r="894" customHeight="1" spans="1:17">
      <c r="A894" s="307" t="s">
        <v>577</v>
      </c>
      <c r="B894" s="50" t="s">
        <v>123</v>
      </c>
      <c r="C894" s="52">
        <f t="shared" ref="C894:N894" si="647">C682*C754</f>
        <v>2662.24</v>
      </c>
      <c r="D894" s="52">
        <f t="shared" si="647"/>
        <v>2708.07000000001</v>
      </c>
      <c r="E894" s="52">
        <f t="shared" si="647"/>
        <v>5371.29000000002</v>
      </c>
      <c r="F894" s="52">
        <f t="shared" si="647"/>
        <v>5383.47999999999</v>
      </c>
      <c r="G894" s="52">
        <f t="shared" si="647"/>
        <v>16259.52</v>
      </c>
      <c r="H894" s="52">
        <f t="shared" si="647"/>
        <v>0</v>
      </c>
      <c r="I894" s="52">
        <f t="shared" si="647"/>
        <v>0</v>
      </c>
      <c r="J894" s="52">
        <f t="shared" si="647"/>
        <v>0</v>
      </c>
      <c r="K894" s="52">
        <f t="shared" si="647"/>
        <v>0</v>
      </c>
      <c r="L894" s="52">
        <f t="shared" si="647"/>
        <v>0</v>
      </c>
      <c r="M894" s="52">
        <f t="shared" si="647"/>
        <v>0</v>
      </c>
      <c r="N894" s="52">
        <f t="shared" si="647"/>
        <v>0</v>
      </c>
      <c r="O894" s="131">
        <f ca="1" t="shared" si="634"/>
        <v>32384.6</v>
      </c>
    </row>
    <row r="895" customHeight="1" spans="1:17">
      <c r="A895" s="307" t="s">
        <v>578</v>
      </c>
      <c r="B895" s="50" t="s">
        <v>123</v>
      </c>
      <c r="C895" s="52">
        <f t="shared" ref="C895:N895" si="648">C683*C755</f>
        <v>0</v>
      </c>
      <c r="D895" s="52">
        <f t="shared" si="648"/>
        <v>0</v>
      </c>
      <c r="E895" s="52">
        <f t="shared" si="648"/>
        <v>0</v>
      </c>
      <c r="F895" s="52">
        <f t="shared" si="648"/>
        <v>0</v>
      </c>
      <c r="G895" s="52">
        <f t="shared" si="648"/>
        <v>0</v>
      </c>
      <c r="H895" s="52">
        <f t="shared" si="648"/>
        <v>0</v>
      </c>
      <c r="I895" s="52">
        <f t="shared" si="648"/>
        <v>0</v>
      </c>
      <c r="J895" s="52">
        <f t="shared" si="648"/>
        <v>0</v>
      </c>
      <c r="K895" s="52">
        <f t="shared" si="648"/>
        <v>0</v>
      </c>
      <c r="L895" s="52">
        <f t="shared" si="648"/>
        <v>0</v>
      </c>
      <c r="M895" s="52">
        <f t="shared" si="648"/>
        <v>0</v>
      </c>
      <c r="N895" s="52">
        <f t="shared" si="648"/>
        <v>0</v>
      </c>
      <c r="O895" s="131">
        <f ca="1" t="shared" si="634"/>
        <v>0</v>
      </c>
    </row>
    <row r="896" customHeight="1" spans="1:17">
      <c r="A896" s="307" t="s">
        <v>579</v>
      </c>
      <c r="B896" s="50" t="s">
        <v>123</v>
      </c>
      <c r="C896" s="52">
        <f t="shared" ref="C896:N896" si="649">C684*C756</f>
        <v>0</v>
      </c>
      <c r="D896" s="52">
        <f t="shared" si="649"/>
        <v>0</v>
      </c>
      <c r="E896" s="52">
        <f t="shared" si="649"/>
        <v>0</v>
      </c>
      <c r="F896" s="52">
        <f t="shared" si="649"/>
        <v>0</v>
      </c>
      <c r="G896" s="52">
        <f t="shared" si="649"/>
        <v>0</v>
      </c>
      <c r="H896" s="52">
        <f t="shared" si="649"/>
        <v>0</v>
      </c>
      <c r="I896" s="52">
        <f t="shared" si="649"/>
        <v>0</v>
      </c>
      <c r="J896" s="52">
        <f t="shared" si="649"/>
        <v>0</v>
      </c>
      <c r="K896" s="52">
        <f t="shared" si="649"/>
        <v>0</v>
      </c>
      <c r="L896" s="52">
        <f t="shared" si="649"/>
        <v>0</v>
      </c>
      <c r="M896" s="52">
        <f t="shared" si="649"/>
        <v>0</v>
      </c>
      <c r="N896" s="52">
        <f t="shared" si="649"/>
        <v>0</v>
      </c>
      <c r="O896" s="131">
        <f ca="1" t="shared" si="634"/>
        <v>0</v>
      </c>
    </row>
    <row r="897" customHeight="1" spans="1:17">
      <c r="A897" s="115" t="s">
        <v>580</v>
      </c>
      <c r="B897" s="50"/>
      <c r="C897" s="52">
        <f t="shared" ref="C897:N897" si="650">C685*C757</f>
        <v>471.58</v>
      </c>
      <c r="D897" s="52">
        <f t="shared" si="650"/>
        <v>231.93</v>
      </c>
      <c r="E897" s="52">
        <f t="shared" si="650"/>
        <v>0</v>
      </c>
      <c r="F897" s="52">
        <f t="shared" si="650"/>
        <v>592.950000000001</v>
      </c>
      <c r="G897" s="52">
        <f t="shared" si="650"/>
        <v>425.580000000001</v>
      </c>
      <c r="H897" s="52">
        <f t="shared" si="650"/>
        <v>0</v>
      </c>
      <c r="I897" s="52">
        <f t="shared" si="650"/>
        <v>0</v>
      </c>
      <c r="J897" s="52">
        <f t="shared" si="650"/>
        <v>0</v>
      </c>
      <c r="K897" s="52">
        <f t="shared" si="650"/>
        <v>0</v>
      </c>
      <c r="L897" s="52">
        <f t="shared" si="650"/>
        <v>0</v>
      </c>
      <c r="M897" s="52">
        <f t="shared" si="650"/>
        <v>0</v>
      </c>
      <c r="N897" s="52">
        <f t="shared" si="650"/>
        <v>0</v>
      </c>
      <c r="O897" s="131">
        <f ca="1" t="shared" si="634"/>
        <v>1722.04</v>
      </c>
      <c r="P897" s="104"/>
    </row>
    <row r="898" customHeight="1" spans="1:17">
      <c r="A898" s="115" t="s">
        <v>581</v>
      </c>
      <c r="B898" s="50"/>
      <c r="C898" s="52">
        <f t="shared" ref="C898:N898" si="651">C686*C758</f>
        <v>329.230000000001</v>
      </c>
      <c r="D898" s="52">
        <f t="shared" si="651"/>
        <v>0</v>
      </c>
      <c r="E898" s="52">
        <f t="shared" si="651"/>
        <v>0</v>
      </c>
      <c r="F898" s="52">
        <f t="shared" si="651"/>
        <v>369.88</v>
      </c>
      <c r="G898" s="52">
        <f t="shared" si="651"/>
        <v>0</v>
      </c>
      <c r="H898" s="52">
        <f t="shared" si="651"/>
        <v>55.0399999999999</v>
      </c>
      <c r="I898" s="52">
        <f t="shared" si="651"/>
        <v>0</v>
      </c>
      <c r="J898" s="52">
        <f t="shared" si="651"/>
        <v>0</v>
      </c>
      <c r="K898" s="52">
        <f t="shared" si="651"/>
        <v>0</v>
      </c>
      <c r="L898" s="52">
        <f t="shared" si="651"/>
        <v>0</v>
      </c>
      <c r="M898" s="52">
        <f t="shared" si="651"/>
        <v>0</v>
      </c>
      <c r="N898" s="52">
        <f t="shared" si="651"/>
        <v>0</v>
      </c>
      <c r="O898" s="131">
        <f ca="1">SUM(OFFSET($C898,0,0,1,mth))</f>
        <v>754.150000000001</v>
      </c>
      <c r="P898" s="104"/>
    </row>
    <row r="899" customHeight="1" spans="1:17">
      <c r="A899" s="115" t="s">
        <v>349</v>
      </c>
      <c r="B899" s="50"/>
      <c r="C899" s="52">
        <f t="shared" ref="C899:N899" si="652">C687*C759</f>
        <v>0</v>
      </c>
      <c r="D899" s="52">
        <f t="shared" si="652"/>
        <v>1006.91</v>
      </c>
      <c r="E899" s="52">
        <f t="shared" si="652"/>
        <v>0</v>
      </c>
      <c r="F899" s="52">
        <f t="shared" si="652"/>
        <v>0</v>
      </c>
      <c r="G899" s="52">
        <f t="shared" si="652"/>
        <v>1643.44</v>
      </c>
      <c r="H899" s="52">
        <f t="shared" si="652"/>
        <v>0</v>
      </c>
      <c r="I899" s="52">
        <f t="shared" si="652"/>
        <v>0</v>
      </c>
      <c r="J899" s="52">
        <f t="shared" si="652"/>
        <v>0</v>
      </c>
      <c r="K899" s="52">
        <f t="shared" si="652"/>
        <v>0</v>
      </c>
      <c r="L899" s="52">
        <f t="shared" si="652"/>
        <v>0</v>
      </c>
      <c r="M899" s="52">
        <f t="shared" si="652"/>
        <v>0</v>
      </c>
      <c r="N899" s="52">
        <f t="shared" si="652"/>
        <v>0</v>
      </c>
      <c r="O899" s="131">
        <f ca="1">SUM(OFFSET($C899,0,0,1,mth))</f>
        <v>2650.35</v>
      </c>
      <c r="P899" s="104"/>
    </row>
    <row r="900" customHeight="1" spans="1:17">
      <c r="A900" s="115" t="s">
        <v>206</v>
      </c>
      <c r="B900" s="50"/>
      <c r="C900" s="52">
        <f t="shared" ref="C900:N900" si="653">C688*C760</f>
        <v>0</v>
      </c>
      <c r="D900" s="52">
        <f t="shared" si="653"/>
        <v>0</v>
      </c>
      <c r="E900" s="52">
        <f t="shared" si="653"/>
        <v>0</v>
      </c>
      <c r="F900" s="52">
        <f t="shared" si="653"/>
        <v>0</v>
      </c>
      <c r="G900" s="52">
        <f t="shared" si="653"/>
        <v>0</v>
      </c>
      <c r="H900" s="52">
        <f t="shared" si="653"/>
        <v>0</v>
      </c>
      <c r="I900" s="52">
        <f t="shared" si="653"/>
        <v>0</v>
      </c>
      <c r="J900" s="52">
        <f t="shared" si="653"/>
        <v>0</v>
      </c>
      <c r="K900" s="52">
        <f t="shared" si="653"/>
        <v>0</v>
      </c>
      <c r="L900" s="52">
        <f t="shared" si="653"/>
        <v>0</v>
      </c>
      <c r="M900" s="52">
        <f t="shared" si="653"/>
        <v>0</v>
      </c>
      <c r="N900" s="52">
        <f t="shared" si="653"/>
        <v>0</v>
      </c>
      <c r="O900" s="131">
        <f ca="1">SUM(OFFSET($C900,0,0,1,mth))</f>
        <v>0</v>
      </c>
      <c r="P900" s="104"/>
    </row>
    <row r="901" customHeight="1" spans="1:17">
      <c r="A901" s="115" t="s">
        <v>350</v>
      </c>
      <c r="B901" s="50"/>
      <c r="C901" s="52">
        <f t="shared" ref="C901:N901" si="654">C689*C761</f>
        <v>0</v>
      </c>
      <c r="D901" s="52">
        <f t="shared" si="654"/>
        <v>359.489999999999</v>
      </c>
      <c r="E901" s="52">
        <f t="shared" si="654"/>
        <v>0</v>
      </c>
      <c r="F901" s="52">
        <f t="shared" si="654"/>
        <v>0</v>
      </c>
      <c r="G901" s="52">
        <f t="shared" si="654"/>
        <v>589.550000000001</v>
      </c>
      <c r="H901" s="52">
        <f t="shared" si="654"/>
        <v>0</v>
      </c>
      <c r="I901" s="52">
        <f t="shared" si="654"/>
        <v>0</v>
      </c>
      <c r="J901" s="52">
        <f t="shared" si="654"/>
        <v>0</v>
      </c>
      <c r="K901" s="52">
        <f t="shared" si="654"/>
        <v>0</v>
      </c>
      <c r="L901" s="52">
        <f t="shared" si="654"/>
        <v>0</v>
      </c>
      <c r="M901" s="52">
        <f t="shared" si="654"/>
        <v>0</v>
      </c>
      <c r="N901" s="52">
        <f t="shared" si="654"/>
        <v>0</v>
      </c>
      <c r="O901" s="131">
        <f ca="1">SUM(OFFSET($C901,0,0,1,mth))</f>
        <v>949.04</v>
      </c>
      <c r="P901" s="104"/>
    </row>
    <row r="902" customHeight="1" spans="1:17">
      <c r="A902" s="115" t="s">
        <v>351</v>
      </c>
      <c r="B902" s="50"/>
      <c r="C902" s="52">
        <f t="shared" ref="C902:N902" si="655">C690*C762</f>
        <v>266.67</v>
      </c>
      <c r="D902" s="52">
        <f t="shared" si="655"/>
        <v>108.85</v>
      </c>
      <c r="E902" s="52">
        <f t="shared" si="655"/>
        <v>495.27</v>
      </c>
      <c r="F902" s="52">
        <f t="shared" si="655"/>
        <v>283</v>
      </c>
      <c r="G902" s="52">
        <f t="shared" si="655"/>
        <v>625.89</v>
      </c>
      <c r="H902" s="52">
        <f t="shared" si="655"/>
        <v>342.88</v>
      </c>
      <c r="I902" s="52">
        <f t="shared" si="655"/>
        <v>0</v>
      </c>
      <c r="J902" s="52">
        <f t="shared" si="655"/>
        <v>0</v>
      </c>
      <c r="K902" s="52">
        <f t="shared" si="655"/>
        <v>0</v>
      </c>
      <c r="L902" s="52">
        <f t="shared" si="655"/>
        <v>0</v>
      </c>
      <c r="M902" s="52">
        <f t="shared" si="655"/>
        <v>0</v>
      </c>
      <c r="N902" s="52">
        <f t="shared" si="655"/>
        <v>0</v>
      </c>
      <c r="O902" s="131">
        <f ca="1">SUM(OFFSET($C902,0,0,1,mth))</f>
        <v>2122.56</v>
      </c>
      <c r="P902" s="104"/>
    </row>
    <row r="903" customHeight="1" spans="1:17">
      <c r="A903" s="115" t="s">
        <v>340</v>
      </c>
      <c r="B903" s="50"/>
      <c r="C903" s="52">
        <f t="shared" ref="C903:N903" si="656">C691*C763</f>
        <v>0</v>
      </c>
      <c r="D903" s="52">
        <f t="shared" si="656"/>
        <v>0</v>
      </c>
      <c r="E903" s="52">
        <f t="shared" si="656"/>
        <v>0</v>
      </c>
      <c r="F903" s="52">
        <f t="shared" si="656"/>
        <v>73.37</v>
      </c>
      <c r="G903" s="52">
        <f t="shared" si="656"/>
        <v>220.45</v>
      </c>
      <c r="H903" s="52">
        <f t="shared" si="656"/>
        <v>53.0800000000001</v>
      </c>
      <c r="I903" s="52">
        <f t="shared" si="656"/>
        <v>0</v>
      </c>
      <c r="J903" s="52">
        <f t="shared" si="656"/>
        <v>0</v>
      </c>
      <c r="K903" s="52">
        <f t="shared" si="656"/>
        <v>0</v>
      </c>
      <c r="L903" s="52">
        <f t="shared" si="656"/>
        <v>0</v>
      </c>
      <c r="M903" s="52">
        <f t="shared" si="656"/>
        <v>0</v>
      </c>
      <c r="N903" s="52">
        <f t="shared" si="656"/>
        <v>0</v>
      </c>
      <c r="O903" s="131">
        <f ca="1">SUM(OFFSET($C903,0,0,1,mth))</f>
        <v>346.9</v>
      </c>
      <c r="P903" s="104"/>
    </row>
    <row r="904" customHeight="1" spans="1:17">
      <c r="A904" s="48" t="s">
        <v>232</v>
      </c>
      <c r="B904" s="60" t="s">
        <v>123</v>
      </c>
      <c r="C904" s="367">
        <f t="shared" ref="C904:H904" si="657">SUM(C867:C903)</f>
        <v>201427.44</v>
      </c>
      <c r="D904" s="367">
        <f t="shared" si="657"/>
        <v>74689.07</v>
      </c>
      <c r="E904" s="367">
        <f t="shared" si="657"/>
        <v>350873.36</v>
      </c>
      <c r="F904" s="367">
        <f t="shared" si="657"/>
        <v>676157.84</v>
      </c>
      <c r="G904" s="367">
        <f t="shared" si="657"/>
        <v>464901.03</v>
      </c>
      <c r="H904" s="367">
        <f t="shared" si="657"/>
        <v>213964.97</v>
      </c>
      <c r="I904" s="367">
        <f t="shared" ref="D904:N904" si="658">SUM(I867:I902)</f>
        <v>0</v>
      </c>
      <c r="J904" s="367">
        <f t="shared" si="658"/>
        <v>0</v>
      </c>
      <c r="K904" s="367">
        <f t="shared" si="658"/>
        <v>0</v>
      </c>
      <c r="L904" s="367">
        <f t="shared" si="658"/>
        <v>0</v>
      </c>
      <c r="M904" s="367">
        <f t="shared" si="658"/>
        <v>0</v>
      </c>
      <c r="N904" s="367">
        <f t="shared" si="658"/>
        <v>0</v>
      </c>
      <c r="O904" s="367">
        <f ca="1">SUM(O867:O903)</f>
        <v>1982013.71</v>
      </c>
    </row>
    <row r="905" customHeight="1" spans="1:17">
      <c r="A905" s="46" t="s">
        <v>352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 s="228"/>
    </row>
    <row r="906" customHeight="1" spans="1:17">
      <c r="A906" s="107" t="s">
        <v>308</v>
      </c>
      <c r="B906" s="107" t="s">
        <v>77</v>
      </c>
      <c r="C906" s="107" t="s">
        <v>220</v>
      </c>
      <c r="D906" s="107" t="s">
        <v>221</v>
      </c>
      <c r="E906" s="107" t="s">
        <v>222</v>
      </c>
      <c r="F906" s="107" t="s">
        <v>223</v>
      </c>
      <c r="G906" s="107" t="s">
        <v>224</v>
      </c>
      <c r="H906" s="107" t="s">
        <v>225</v>
      </c>
      <c r="I906" s="107" t="s">
        <v>226</v>
      </c>
      <c r="J906" s="107" t="s">
        <v>227</v>
      </c>
      <c r="K906" s="107" t="s">
        <v>228</v>
      </c>
      <c r="L906" s="107" t="s">
        <v>229</v>
      </c>
      <c r="M906" s="107" t="s">
        <v>230</v>
      </c>
      <c r="N906" s="107" t="s">
        <v>231</v>
      </c>
      <c r="O906" s="175" t="str">
        <f>CONCATENATE("1-"&amp;mth&amp;"月累计")</f>
        <v>1-8月累计</v>
      </c>
      <c r="Q906" s="68"/>
    </row>
    <row r="907" customHeight="1" spans="1:17">
      <c r="A907" s="307" t="s">
        <v>178</v>
      </c>
      <c r="B907" s="50" t="s">
        <v>123</v>
      </c>
      <c r="C907" s="52">
        <f>C695*C766</f>
        <v>0</v>
      </c>
      <c r="D907" s="52">
        <f t="shared" ref="D907:N907" si="659">D695*D766</f>
        <v>0</v>
      </c>
      <c r="E907" s="52">
        <f t="shared" si="659"/>
        <v>0</v>
      </c>
      <c r="F907" s="52">
        <f t="shared" si="659"/>
        <v>0</v>
      </c>
      <c r="G907" s="52">
        <f t="shared" si="659"/>
        <v>0</v>
      </c>
      <c r="H907" s="52">
        <f t="shared" si="659"/>
        <v>0</v>
      </c>
      <c r="I907" s="52">
        <f t="shared" si="659"/>
        <v>0</v>
      </c>
      <c r="J907" s="52">
        <f t="shared" si="659"/>
        <v>0</v>
      </c>
      <c r="K907" s="52">
        <f t="shared" si="659"/>
        <v>0</v>
      </c>
      <c r="L907" s="52">
        <f t="shared" si="659"/>
        <v>0</v>
      </c>
      <c r="M907" s="52">
        <f t="shared" si="659"/>
        <v>0</v>
      </c>
      <c r="N907" s="52">
        <f t="shared" si="659"/>
        <v>0</v>
      </c>
      <c r="O907" s="131">
        <f ca="1">SUM(OFFSET($C907,0,0,1,mth))</f>
        <v>0</v>
      </c>
      <c r="Q907" s="68"/>
    </row>
    <row r="908" customHeight="1" spans="1:17">
      <c r="A908" s="307" t="s">
        <v>179</v>
      </c>
      <c r="B908" s="50" t="s">
        <v>123</v>
      </c>
      <c r="C908" s="52">
        <f t="shared" ref="C908:N908" si="660">C696*C767</f>
        <v>0</v>
      </c>
      <c r="D908" s="52">
        <f t="shared" si="660"/>
        <v>345.04</v>
      </c>
      <c r="E908" s="52">
        <f t="shared" si="660"/>
        <v>135.55</v>
      </c>
      <c r="F908" s="52">
        <f t="shared" si="660"/>
        <v>1103.21</v>
      </c>
      <c r="G908" s="52">
        <f t="shared" si="660"/>
        <v>1895.65</v>
      </c>
      <c r="H908" s="52">
        <f t="shared" si="660"/>
        <v>633.45</v>
      </c>
      <c r="I908" s="52">
        <f t="shared" si="660"/>
        <v>0</v>
      </c>
      <c r="J908" s="52">
        <f t="shared" si="660"/>
        <v>0</v>
      </c>
      <c r="K908" s="52">
        <f t="shared" si="660"/>
        <v>0</v>
      </c>
      <c r="L908" s="52">
        <f t="shared" si="660"/>
        <v>0</v>
      </c>
      <c r="M908" s="52">
        <f t="shared" si="660"/>
        <v>0</v>
      </c>
      <c r="N908" s="52">
        <f t="shared" si="660"/>
        <v>0</v>
      </c>
      <c r="O908" s="131">
        <f ca="1" t="shared" ref="O908:O934" si="661">SUM(OFFSET($C908,0,0,1,mth))</f>
        <v>4112.9</v>
      </c>
    </row>
    <row r="909" customHeight="1" spans="1:17">
      <c r="A909" s="307" t="s">
        <v>180</v>
      </c>
      <c r="B909" s="50" t="s">
        <v>123</v>
      </c>
      <c r="C909" s="52">
        <f t="shared" ref="C909:N909" si="662">C697*C768</f>
        <v>0</v>
      </c>
      <c r="D909" s="52">
        <f t="shared" si="662"/>
        <v>0</v>
      </c>
      <c r="E909" s="52">
        <f t="shared" si="662"/>
        <v>0</v>
      </c>
      <c r="F909" s="52">
        <f t="shared" si="662"/>
        <v>0</v>
      </c>
      <c r="G909" s="52">
        <f t="shared" si="662"/>
        <v>0</v>
      </c>
      <c r="H909" s="52">
        <f t="shared" si="662"/>
        <v>0</v>
      </c>
      <c r="I909" s="52">
        <f t="shared" si="662"/>
        <v>0</v>
      </c>
      <c r="J909" s="52">
        <f t="shared" si="662"/>
        <v>0</v>
      </c>
      <c r="K909" s="52">
        <f t="shared" si="662"/>
        <v>0</v>
      </c>
      <c r="L909" s="52">
        <f t="shared" si="662"/>
        <v>0</v>
      </c>
      <c r="M909" s="52">
        <f t="shared" si="662"/>
        <v>0</v>
      </c>
      <c r="N909" s="52">
        <f t="shared" si="662"/>
        <v>0</v>
      </c>
      <c r="O909" s="131">
        <f ca="1" t="shared" si="661"/>
        <v>0</v>
      </c>
      <c r="P909" s="68"/>
    </row>
    <row r="910" customHeight="1" spans="1:17">
      <c r="A910" s="307" t="s">
        <v>181</v>
      </c>
      <c r="B910" s="50" t="s">
        <v>123</v>
      </c>
      <c r="C910" s="52">
        <f t="shared" ref="C910:N910" si="663">C698*C769</f>
        <v>0</v>
      </c>
      <c r="D910" s="52">
        <f t="shared" si="663"/>
        <v>23826.07</v>
      </c>
      <c r="E910" s="52">
        <f t="shared" si="663"/>
        <v>0</v>
      </c>
      <c r="F910" s="52">
        <f t="shared" si="663"/>
        <v>23811.32</v>
      </c>
      <c r="G910" s="52">
        <f t="shared" si="663"/>
        <v>49285.25</v>
      </c>
      <c r="H910" s="52">
        <f t="shared" si="663"/>
        <v>19350.88</v>
      </c>
      <c r="I910" s="52">
        <f t="shared" si="663"/>
        <v>0</v>
      </c>
      <c r="J910" s="52">
        <f t="shared" si="663"/>
        <v>0</v>
      </c>
      <c r="K910" s="52">
        <f t="shared" si="663"/>
        <v>0</v>
      </c>
      <c r="L910" s="52">
        <f t="shared" si="663"/>
        <v>0</v>
      </c>
      <c r="M910" s="52">
        <f t="shared" si="663"/>
        <v>0</v>
      </c>
      <c r="N910" s="52">
        <f t="shared" si="663"/>
        <v>0</v>
      </c>
      <c r="O910" s="131">
        <f ca="1" t="shared" si="661"/>
        <v>116273.52</v>
      </c>
      <c r="P910" s="71"/>
    </row>
    <row r="911" customHeight="1" spans="1:17">
      <c r="A911" s="307" t="s">
        <v>182</v>
      </c>
      <c r="B911" s="50" t="s">
        <v>123</v>
      </c>
      <c r="C911" s="52">
        <f t="shared" ref="C911:N911" si="664">C699*C770</f>
        <v>27647.14</v>
      </c>
      <c r="D911" s="52">
        <f t="shared" si="664"/>
        <v>40759.38</v>
      </c>
      <c r="E911" s="52">
        <f t="shared" si="664"/>
        <v>4375.13</v>
      </c>
      <c r="F911" s="52">
        <f t="shared" si="664"/>
        <v>59185.02</v>
      </c>
      <c r="G911" s="52">
        <f t="shared" si="664"/>
        <v>118391.34</v>
      </c>
      <c r="H911" s="52">
        <f t="shared" si="664"/>
        <v>67288.87</v>
      </c>
      <c r="I911" s="52">
        <f t="shared" si="664"/>
        <v>0</v>
      </c>
      <c r="J911" s="52">
        <f t="shared" si="664"/>
        <v>0</v>
      </c>
      <c r="K911" s="52">
        <f t="shared" si="664"/>
        <v>0</v>
      </c>
      <c r="L911" s="52">
        <f t="shared" si="664"/>
        <v>0</v>
      </c>
      <c r="M911" s="52">
        <f t="shared" si="664"/>
        <v>0</v>
      </c>
      <c r="N911" s="52">
        <f t="shared" si="664"/>
        <v>0</v>
      </c>
      <c r="O911" s="131">
        <f ca="1" t="shared" si="661"/>
        <v>317646.88</v>
      </c>
      <c r="P911" s="71"/>
    </row>
    <row r="912" customHeight="1" spans="1:17">
      <c r="A912" s="307" t="s">
        <v>183</v>
      </c>
      <c r="B912" s="50" t="s">
        <v>123</v>
      </c>
      <c r="C912" s="52">
        <f t="shared" ref="C912:N912" si="665">C700*C771</f>
        <v>31649.9</v>
      </c>
      <c r="D912" s="52">
        <f t="shared" si="665"/>
        <v>18099.31</v>
      </c>
      <c r="E912" s="52">
        <f t="shared" si="665"/>
        <v>0</v>
      </c>
      <c r="F912" s="52">
        <f t="shared" si="665"/>
        <v>30165.53</v>
      </c>
      <c r="G912" s="52">
        <f t="shared" si="665"/>
        <v>30876.71</v>
      </c>
      <c r="H912" s="52">
        <f t="shared" si="665"/>
        <v>40998.21</v>
      </c>
      <c r="I912" s="52">
        <f t="shared" si="665"/>
        <v>0</v>
      </c>
      <c r="J912" s="52">
        <f t="shared" si="665"/>
        <v>0</v>
      </c>
      <c r="K912" s="52">
        <f t="shared" si="665"/>
        <v>0</v>
      </c>
      <c r="L912" s="52">
        <f t="shared" si="665"/>
        <v>0</v>
      </c>
      <c r="M912" s="52">
        <f t="shared" si="665"/>
        <v>0</v>
      </c>
      <c r="N912" s="52">
        <f t="shared" si="665"/>
        <v>0</v>
      </c>
      <c r="O912" s="131">
        <f ca="1" t="shared" si="661"/>
        <v>151789.66</v>
      </c>
      <c r="P912" s="71"/>
    </row>
    <row r="913" customHeight="1" spans="1:17">
      <c r="A913" s="307" t="s">
        <v>184</v>
      </c>
      <c r="B913" s="50" t="s">
        <v>123</v>
      </c>
      <c r="C913" s="52">
        <f t="shared" ref="C913:N913" si="666">C701*C772</f>
        <v>3210.48</v>
      </c>
      <c r="D913" s="52">
        <f t="shared" si="666"/>
        <v>1925.86000000001</v>
      </c>
      <c r="E913" s="52">
        <f t="shared" si="666"/>
        <v>0</v>
      </c>
      <c r="F913" s="52">
        <f t="shared" si="666"/>
        <v>2974.07000000001</v>
      </c>
      <c r="G913" s="52">
        <f t="shared" si="666"/>
        <v>3252.23999999999</v>
      </c>
      <c r="H913" s="52">
        <f t="shared" si="666"/>
        <v>4537.67</v>
      </c>
      <c r="I913" s="52">
        <f t="shared" si="666"/>
        <v>0</v>
      </c>
      <c r="J913" s="52">
        <f t="shared" si="666"/>
        <v>0</v>
      </c>
      <c r="K913" s="52">
        <f t="shared" si="666"/>
        <v>0</v>
      </c>
      <c r="L913" s="52">
        <f t="shared" si="666"/>
        <v>0</v>
      </c>
      <c r="M913" s="52">
        <f t="shared" si="666"/>
        <v>0</v>
      </c>
      <c r="N913" s="52">
        <f t="shared" si="666"/>
        <v>0</v>
      </c>
      <c r="O913" s="131">
        <f ca="1" t="shared" si="661"/>
        <v>15900.32</v>
      </c>
    </row>
    <row r="914" ht="18" customHeight="1" spans="1:17">
      <c r="A914" s="307" t="s">
        <v>185</v>
      </c>
      <c r="B914" s="50" t="s">
        <v>123</v>
      </c>
      <c r="C914" s="52">
        <f t="shared" ref="C914:N914" si="667">C702*C773</f>
        <v>344.06</v>
      </c>
      <c r="D914" s="52">
        <f t="shared" si="667"/>
        <v>332.19</v>
      </c>
      <c r="E914" s="52">
        <f t="shared" si="667"/>
        <v>0</v>
      </c>
      <c r="F914" s="52">
        <f t="shared" si="667"/>
        <v>513.71</v>
      </c>
      <c r="G914" s="52">
        <f t="shared" si="667"/>
        <v>563.18</v>
      </c>
      <c r="H914" s="52">
        <f t="shared" si="667"/>
        <v>617.25</v>
      </c>
      <c r="I914" s="52">
        <f t="shared" si="667"/>
        <v>0</v>
      </c>
      <c r="J914" s="52">
        <f t="shared" si="667"/>
        <v>0</v>
      </c>
      <c r="K914" s="52">
        <f t="shared" si="667"/>
        <v>0</v>
      </c>
      <c r="L914" s="52">
        <f t="shared" si="667"/>
        <v>0</v>
      </c>
      <c r="M914" s="52">
        <f t="shared" si="667"/>
        <v>0</v>
      </c>
      <c r="N914" s="52">
        <f t="shared" si="667"/>
        <v>0</v>
      </c>
      <c r="O914" s="131">
        <f ca="1" t="shared" si="661"/>
        <v>2370.39</v>
      </c>
    </row>
    <row r="915" ht="18" customHeight="1" spans="1:17">
      <c r="A915" s="307" t="s">
        <v>186</v>
      </c>
      <c r="B915" s="50" t="s">
        <v>123</v>
      </c>
      <c r="C915" s="52">
        <f t="shared" ref="C915:N915" si="668">C703*C774</f>
        <v>227.41</v>
      </c>
      <c r="D915" s="52">
        <f t="shared" si="668"/>
        <v>795.86</v>
      </c>
      <c r="E915" s="52">
        <f t="shared" si="668"/>
        <v>344.170000000001</v>
      </c>
      <c r="F915" s="52">
        <f t="shared" si="668"/>
        <v>707.009999999999</v>
      </c>
      <c r="G915" s="52">
        <f t="shared" si="668"/>
        <v>1947.29</v>
      </c>
      <c r="H915" s="52">
        <f t="shared" si="668"/>
        <v>1571.36</v>
      </c>
      <c r="I915" s="52">
        <f t="shared" si="668"/>
        <v>0</v>
      </c>
      <c r="J915" s="52">
        <f t="shared" si="668"/>
        <v>0</v>
      </c>
      <c r="K915" s="52">
        <f t="shared" si="668"/>
        <v>0</v>
      </c>
      <c r="L915" s="52">
        <f t="shared" si="668"/>
        <v>0</v>
      </c>
      <c r="M915" s="52">
        <f t="shared" si="668"/>
        <v>0</v>
      </c>
      <c r="N915" s="52">
        <f t="shared" si="668"/>
        <v>0</v>
      </c>
      <c r="O915" s="131">
        <f ca="1" t="shared" si="661"/>
        <v>5593.1</v>
      </c>
      <c r="P915" s="132"/>
    </row>
    <row r="916" ht="18" customHeight="1" spans="1:17">
      <c r="A916" s="307" t="s">
        <v>187</v>
      </c>
      <c r="B916" s="50" t="s">
        <v>123</v>
      </c>
      <c r="C916" s="52">
        <f t="shared" ref="C916:N916" si="669">C704*C775</f>
        <v>0</v>
      </c>
      <c r="D916" s="52">
        <f t="shared" si="669"/>
        <v>0</v>
      </c>
      <c r="E916" s="52">
        <f t="shared" si="669"/>
        <v>0</v>
      </c>
      <c r="F916" s="52">
        <f t="shared" si="669"/>
        <v>0</v>
      </c>
      <c r="G916" s="52">
        <f t="shared" si="669"/>
        <v>0</v>
      </c>
      <c r="H916" s="52">
        <f t="shared" si="669"/>
        <v>0</v>
      </c>
      <c r="I916" s="52">
        <f t="shared" si="669"/>
        <v>0</v>
      </c>
      <c r="J916" s="52">
        <f t="shared" si="669"/>
        <v>0</v>
      </c>
      <c r="K916" s="52">
        <f t="shared" si="669"/>
        <v>0</v>
      </c>
      <c r="L916" s="52">
        <f t="shared" si="669"/>
        <v>0</v>
      </c>
      <c r="M916" s="52">
        <f t="shared" si="669"/>
        <v>0</v>
      </c>
      <c r="N916" s="52">
        <f t="shared" si="669"/>
        <v>0</v>
      </c>
      <c r="O916" s="131">
        <f ca="1" t="shared" si="661"/>
        <v>0</v>
      </c>
      <c r="P916" s="68"/>
    </row>
    <row r="917" ht="18" customHeight="1" spans="1:17">
      <c r="A917" s="307" t="s">
        <v>188</v>
      </c>
      <c r="B917" s="50"/>
      <c r="C917" s="52">
        <f>C705*C776</f>
        <v>3237.17</v>
      </c>
      <c r="D917" s="52">
        <f t="shared" ref="D917:N917" si="670">D705*D776</f>
        <v>3758.4</v>
      </c>
      <c r="E917" s="52">
        <f t="shared" si="670"/>
        <v>41.16</v>
      </c>
      <c r="F917" s="52">
        <f t="shared" si="670"/>
        <v>315.489999999999</v>
      </c>
      <c r="G917" s="52">
        <f t="shared" si="670"/>
        <v>1097.34</v>
      </c>
      <c r="H917" s="52">
        <f t="shared" si="670"/>
        <v>987.61</v>
      </c>
      <c r="I917" s="52">
        <f t="shared" si="670"/>
        <v>0</v>
      </c>
      <c r="J917" s="52">
        <f t="shared" si="670"/>
        <v>0</v>
      </c>
      <c r="K917" s="52">
        <f t="shared" si="670"/>
        <v>0</v>
      </c>
      <c r="L917" s="52">
        <f t="shared" si="670"/>
        <v>0</v>
      </c>
      <c r="M917" s="52">
        <f t="shared" si="670"/>
        <v>0</v>
      </c>
      <c r="N917" s="52">
        <f t="shared" si="670"/>
        <v>0</v>
      </c>
      <c r="O917" s="131">
        <f ca="1" t="shared" si="661"/>
        <v>9437.17</v>
      </c>
      <c r="P917" s="68"/>
    </row>
    <row r="918" ht="18" customHeight="1" spans="1:17">
      <c r="A918" s="307" t="s">
        <v>189</v>
      </c>
      <c r="B918" s="50"/>
      <c r="C918" s="52">
        <f t="shared" ref="C918:N918" si="671">C706*C777</f>
        <v>0</v>
      </c>
      <c r="D918" s="52">
        <f t="shared" si="671"/>
        <v>0</v>
      </c>
      <c r="E918" s="52">
        <f t="shared" si="671"/>
        <v>0</v>
      </c>
      <c r="F918" s="52">
        <f t="shared" si="671"/>
        <v>274</v>
      </c>
      <c r="G918" s="52">
        <f t="shared" si="671"/>
        <v>821.43</v>
      </c>
      <c r="H918" s="52">
        <f t="shared" si="671"/>
        <v>242.61</v>
      </c>
      <c r="I918" s="52">
        <f t="shared" si="671"/>
        <v>0</v>
      </c>
      <c r="J918" s="52">
        <f t="shared" si="671"/>
        <v>0</v>
      </c>
      <c r="K918" s="52">
        <f t="shared" si="671"/>
        <v>0</v>
      </c>
      <c r="L918" s="52">
        <f t="shared" si="671"/>
        <v>0</v>
      </c>
      <c r="M918" s="52">
        <f t="shared" si="671"/>
        <v>0</v>
      </c>
      <c r="N918" s="52">
        <f t="shared" si="671"/>
        <v>0</v>
      </c>
      <c r="O918" s="131">
        <f ca="1" t="shared" si="661"/>
        <v>1338.04</v>
      </c>
      <c r="P918" s="68"/>
    </row>
    <row r="919" ht="18" customHeight="1" spans="1:17">
      <c r="A919" s="307" t="s">
        <v>190</v>
      </c>
      <c r="B919" s="50"/>
      <c r="C919" s="52">
        <f t="shared" ref="C919:N919" si="672">C707*C778</f>
        <v>0</v>
      </c>
      <c r="D919" s="52">
        <f t="shared" si="672"/>
        <v>0</v>
      </c>
      <c r="E919" s="52">
        <f t="shared" si="672"/>
        <v>0</v>
      </c>
      <c r="F919" s="52">
        <f t="shared" si="672"/>
        <v>0</v>
      </c>
      <c r="G919" s="52">
        <f t="shared" si="672"/>
        <v>4062.18999999999</v>
      </c>
      <c r="H919" s="52">
        <f t="shared" si="672"/>
        <v>2150.2</v>
      </c>
      <c r="I919" s="52">
        <f t="shared" si="672"/>
        <v>0</v>
      </c>
      <c r="J919" s="52">
        <f t="shared" si="672"/>
        <v>0</v>
      </c>
      <c r="K919" s="52">
        <f t="shared" si="672"/>
        <v>0</v>
      </c>
      <c r="L919" s="52">
        <f t="shared" si="672"/>
        <v>0</v>
      </c>
      <c r="M919" s="52">
        <f t="shared" si="672"/>
        <v>0</v>
      </c>
      <c r="N919" s="52">
        <f t="shared" si="672"/>
        <v>0</v>
      </c>
      <c r="O919" s="131">
        <f ca="1" t="shared" si="661"/>
        <v>6212.38999999999</v>
      </c>
      <c r="P919" s="68"/>
    </row>
    <row r="920" customHeight="1" spans="1:17">
      <c r="A920" s="307" t="s">
        <v>191</v>
      </c>
      <c r="B920" s="50" t="s">
        <v>123</v>
      </c>
      <c r="C920" s="52">
        <f t="shared" ref="C920:N920" si="673">C708*C779</f>
        <v>0</v>
      </c>
      <c r="D920" s="52">
        <f t="shared" si="673"/>
        <v>42044.46</v>
      </c>
      <c r="E920" s="52">
        <f t="shared" si="673"/>
        <v>64395.0599999999</v>
      </c>
      <c r="F920" s="52">
        <f t="shared" si="673"/>
        <v>129881.42</v>
      </c>
      <c r="G920" s="52">
        <f t="shared" si="673"/>
        <v>188450.07</v>
      </c>
      <c r="H920" s="52">
        <f t="shared" si="673"/>
        <v>242083.69</v>
      </c>
      <c r="I920" s="52">
        <f t="shared" si="673"/>
        <v>0</v>
      </c>
      <c r="J920" s="52">
        <f t="shared" si="673"/>
        <v>0</v>
      </c>
      <c r="K920" s="52">
        <f t="shared" si="673"/>
        <v>0</v>
      </c>
      <c r="L920" s="52">
        <f t="shared" si="673"/>
        <v>0</v>
      </c>
      <c r="M920" s="52">
        <f t="shared" si="673"/>
        <v>0</v>
      </c>
      <c r="N920" s="52">
        <f t="shared" si="673"/>
        <v>0</v>
      </c>
      <c r="O920" s="131">
        <f ca="1" t="shared" si="661"/>
        <v>666854.7</v>
      </c>
    </row>
    <row r="921" customHeight="1" spans="1:17">
      <c r="A921" s="307" t="s">
        <v>192</v>
      </c>
      <c r="B921" s="50" t="s">
        <v>123</v>
      </c>
      <c r="C921" s="52">
        <f t="shared" ref="C921:N921" si="674">C709*C780</f>
        <v>0</v>
      </c>
      <c r="D921" s="52">
        <f t="shared" si="674"/>
        <v>6892.52</v>
      </c>
      <c r="E921" s="52">
        <f t="shared" si="674"/>
        <v>0</v>
      </c>
      <c r="F921" s="52">
        <f t="shared" si="674"/>
        <v>8941.63</v>
      </c>
      <c r="G921" s="52">
        <f t="shared" si="674"/>
        <v>15081.57</v>
      </c>
      <c r="H921" s="52">
        <f t="shared" si="674"/>
        <v>8508.91</v>
      </c>
      <c r="I921" s="52">
        <f t="shared" si="674"/>
        <v>0</v>
      </c>
      <c r="J921" s="52">
        <f t="shared" si="674"/>
        <v>0</v>
      </c>
      <c r="K921" s="52">
        <f t="shared" si="674"/>
        <v>0</v>
      </c>
      <c r="L921" s="52">
        <f t="shared" si="674"/>
        <v>0</v>
      </c>
      <c r="M921" s="52">
        <f t="shared" si="674"/>
        <v>0</v>
      </c>
      <c r="N921" s="52">
        <f t="shared" si="674"/>
        <v>0</v>
      </c>
      <c r="O921" s="131">
        <f ca="1" t="shared" si="661"/>
        <v>39424.63</v>
      </c>
      <c r="Q921" s="68"/>
    </row>
    <row r="922" customHeight="1" spans="1:17">
      <c r="A922" s="307" t="s">
        <v>193</v>
      </c>
      <c r="B922" s="50" t="s">
        <v>123</v>
      </c>
      <c r="C922" s="52">
        <f t="shared" ref="C922:N922" si="675">C710*C781</f>
        <v>0</v>
      </c>
      <c r="D922" s="52">
        <f t="shared" si="675"/>
        <v>0</v>
      </c>
      <c r="E922" s="52">
        <f t="shared" si="675"/>
        <v>0</v>
      </c>
      <c r="F922" s="52">
        <f t="shared" si="675"/>
        <v>0</v>
      </c>
      <c r="G922" s="52">
        <f t="shared" si="675"/>
        <v>0</v>
      </c>
      <c r="H922" s="52">
        <f t="shared" si="675"/>
        <v>0</v>
      </c>
      <c r="I922" s="52">
        <f t="shared" si="675"/>
        <v>0</v>
      </c>
      <c r="J922" s="52">
        <f t="shared" si="675"/>
        <v>0</v>
      </c>
      <c r="K922" s="52">
        <f t="shared" si="675"/>
        <v>0</v>
      </c>
      <c r="L922" s="52">
        <f t="shared" si="675"/>
        <v>0</v>
      </c>
      <c r="M922" s="52">
        <f t="shared" si="675"/>
        <v>0</v>
      </c>
      <c r="N922" s="52">
        <f t="shared" si="675"/>
        <v>0</v>
      </c>
      <c r="O922" s="131">
        <f ca="1" t="shared" si="661"/>
        <v>0</v>
      </c>
    </row>
    <row r="923" customHeight="1" spans="1:17">
      <c r="A923" s="307" t="s">
        <v>194</v>
      </c>
      <c r="B923" s="50" t="s">
        <v>123</v>
      </c>
      <c r="C923" s="52">
        <f t="shared" ref="C923:N923" si="676">C711*C782</f>
        <v>2556.57</v>
      </c>
      <c r="D923" s="52">
        <f t="shared" si="676"/>
        <v>0</v>
      </c>
      <c r="E923" s="52">
        <f t="shared" si="676"/>
        <v>0</v>
      </c>
      <c r="F923" s="52">
        <f t="shared" si="676"/>
        <v>0</v>
      </c>
      <c r="G923" s="52">
        <f t="shared" si="676"/>
        <v>0</v>
      </c>
      <c r="H923" s="52">
        <f t="shared" si="676"/>
        <v>0</v>
      </c>
      <c r="I923" s="52">
        <f t="shared" si="676"/>
        <v>0</v>
      </c>
      <c r="J923" s="52">
        <f t="shared" si="676"/>
        <v>0</v>
      </c>
      <c r="K923" s="52">
        <f t="shared" si="676"/>
        <v>0</v>
      </c>
      <c r="L923" s="52">
        <f t="shared" si="676"/>
        <v>0</v>
      </c>
      <c r="M923" s="52">
        <f t="shared" si="676"/>
        <v>0</v>
      </c>
      <c r="N923" s="52">
        <f t="shared" si="676"/>
        <v>0</v>
      </c>
      <c r="O923" s="131">
        <f ca="1" t="shared" si="661"/>
        <v>2556.57</v>
      </c>
      <c r="P923" s="68"/>
    </row>
    <row r="924" customHeight="1" spans="1:17">
      <c r="A924" s="307" t="s">
        <v>195</v>
      </c>
      <c r="B924" s="50" t="s">
        <v>123</v>
      </c>
      <c r="C924" s="52">
        <f t="shared" ref="C924:N924" si="677">C712*C783</f>
        <v>0</v>
      </c>
      <c r="D924" s="52">
        <f t="shared" si="677"/>
        <v>0</v>
      </c>
      <c r="E924" s="52">
        <f t="shared" si="677"/>
        <v>0</v>
      </c>
      <c r="F924" s="52">
        <f t="shared" si="677"/>
        <v>441.63</v>
      </c>
      <c r="G924" s="52">
        <f t="shared" si="677"/>
        <v>1323.93</v>
      </c>
      <c r="H924" s="52">
        <f t="shared" si="677"/>
        <v>103.46</v>
      </c>
      <c r="I924" s="52">
        <f t="shared" si="677"/>
        <v>0</v>
      </c>
      <c r="J924" s="52">
        <f t="shared" si="677"/>
        <v>0</v>
      </c>
      <c r="K924" s="52">
        <f t="shared" si="677"/>
        <v>0</v>
      </c>
      <c r="L924" s="52">
        <f t="shared" si="677"/>
        <v>0</v>
      </c>
      <c r="M924" s="52">
        <f t="shared" si="677"/>
        <v>0</v>
      </c>
      <c r="N924" s="52">
        <f t="shared" si="677"/>
        <v>0</v>
      </c>
      <c r="O924" s="131">
        <f ca="1" t="shared" si="661"/>
        <v>1869.02</v>
      </c>
      <c r="P924" s="71"/>
    </row>
    <row r="925" customHeight="1" spans="1:17">
      <c r="A925" s="307" t="s">
        <v>196</v>
      </c>
      <c r="B925" s="50" t="s">
        <v>123</v>
      </c>
      <c r="C925" s="52">
        <f t="shared" ref="C925:N925" si="678">C713*C784</f>
        <v>0</v>
      </c>
      <c r="D925" s="52">
        <f t="shared" si="678"/>
        <v>0</v>
      </c>
      <c r="E925" s="52">
        <f t="shared" si="678"/>
        <v>0</v>
      </c>
      <c r="F925" s="52">
        <f t="shared" si="678"/>
        <v>0</v>
      </c>
      <c r="G925" s="52">
        <f t="shared" si="678"/>
        <v>0</v>
      </c>
      <c r="H925" s="52">
        <f t="shared" si="678"/>
        <v>0</v>
      </c>
      <c r="I925" s="52">
        <f t="shared" si="678"/>
        <v>0</v>
      </c>
      <c r="J925" s="52">
        <f t="shared" si="678"/>
        <v>0</v>
      </c>
      <c r="K925" s="52">
        <f t="shared" si="678"/>
        <v>0</v>
      </c>
      <c r="L925" s="52">
        <f t="shared" si="678"/>
        <v>0</v>
      </c>
      <c r="M925" s="52">
        <f t="shared" si="678"/>
        <v>0</v>
      </c>
      <c r="N925" s="52">
        <f t="shared" si="678"/>
        <v>0</v>
      </c>
      <c r="O925" s="131">
        <f ca="1" t="shared" si="661"/>
        <v>0</v>
      </c>
      <c r="P925" s="71"/>
    </row>
    <row r="926" customHeight="1" spans="1:17">
      <c r="A926" s="307" t="s">
        <v>197</v>
      </c>
      <c r="B926" s="50" t="s">
        <v>123</v>
      </c>
      <c r="C926" s="52">
        <f t="shared" ref="C926:N926" si="679">C714*C785</f>
        <v>0</v>
      </c>
      <c r="D926" s="52">
        <f t="shared" si="679"/>
        <v>0</v>
      </c>
      <c r="E926" s="52">
        <f t="shared" si="679"/>
        <v>0</v>
      </c>
      <c r="F926" s="52">
        <f t="shared" si="679"/>
        <v>0</v>
      </c>
      <c r="G926" s="52">
        <f t="shared" si="679"/>
        <v>0</v>
      </c>
      <c r="H926" s="52">
        <f t="shared" si="679"/>
        <v>0</v>
      </c>
      <c r="I926" s="52">
        <f t="shared" si="679"/>
        <v>0</v>
      </c>
      <c r="J926" s="52">
        <f t="shared" si="679"/>
        <v>0</v>
      </c>
      <c r="K926" s="52">
        <f t="shared" si="679"/>
        <v>0</v>
      </c>
      <c r="L926" s="52">
        <f t="shared" si="679"/>
        <v>0</v>
      </c>
      <c r="M926" s="52">
        <f t="shared" si="679"/>
        <v>0</v>
      </c>
      <c r="N926" s="52">
        <f t="shared" si="679"/>
        <v>0</v>
      </c>
      <c r="O926" s="131">
        <f ca="1" t="shared" si="661"/>
        <v>0</v>
      </c>
      <c r="P926" s="71"/>
    </row>
    <row r="927" customHeight="1" spans="1:17">
      <c r="A927" s="115" t="s">
        <v>198</v>
      </c>
      <c r="B927" s="50" t="s">
        <v>123</v>
      </c>
      <c r="C927" s="52">
        <f t="shared" ref="C927:N927" si="680">C715*C786</f>
        <v>0</v>
      </c>
      <c r="D927" s="52">
        <f t="shared" si="680"/>
        <v>1991.15</v>
      </c>
      <c r="E927" s="52">
        <f t="shared" si="680"/>
        <v>3111.42000000001</v>
      </c>
      <c r="F927" s="52">
        <f t="shared" si="680"/>
        <v>4037.83</v>
      </c>
      <c r="G927" s="52">
        <f t="shared" si="680"/>
        <v>15044.47</v>
      </c>
      <c r="H927" s="52">
        <f t="shared" si="680"/>
        <v>4939.1</v>
      </c>
      <c r="I927" s="52">
        <f t="shared" si="680"/>
        <v>0</v>
      </c>
      <c r="J927" s="52">
        <f t="shared" si="680"/>
        <v>0</v>
      </c>
      <c r="K927" s="52">
        <f t="shared" si="680"/>
        <v>0</v>
      </c>
      <c r="L927" s="52">
        <f t="shared" si="680"/>
        <v>0</v>
      </c>
      <c r="M927" s="52">
        <f t="shared" si="680"/>
        <v>0</v>
      </c>
      <c r="N927" s="52">
        <f t="shared" si="680"/>
        <v>0</v>
      </c>
      <c r="O927" s="131">
        <f ca="1" t="shared" si="661"/>
        <v>29123.97</v>
      </c>
    </row>
    <row r="928" ht="18" customHeight="1" spans="1:17">
      <c r="A928" s="307" t="s">
        <v>199</v>
      </c>
      <c r="B928" s="50" t="s">
        <v>123</v>
      </c>
      <c r="C928" s="52">
        <f t="shared" ref="C928:N928" si="681">C716*C787</f>
        <v>0</v>
      </c>
      <c r="D928" s="52">
        <f t="shared" si="681"/>
        <v>0</v>
      </c>
      <c r="E928" s="52">
        <f t="shared" si="681"/>
        <v>0</v>
      </c>
      <c r="F928" s="52">
        <f t="shared" si="681"/>
        <v>0</v>
      </c>
      <c r="G928" s="52">
        <f t="shared" si="681"/>
        <v>0</v>
      </c>
      <c r="H928" s="52">
        <f t="shared" si="681"/>
        <v>0</v>
      </c>
      <c r="I928" s="52">
        <f t="shared" si="681"/>
        <v>0</v>
      </c>
      <c r="J928" s="52">
        <f t="shared" si="681"/>
        <v>0</v>
      </c>
      <c r="K928" s="52">
        <f t="shared" si="681"/>
        <v>0</v>
      </c>
      <c r="L928" s="52">
        <f t="shared" si="681"/>
        <v>0</v>
      </c>
      <c r="M928" s="52">
        <f t="shared" si="681"/>
        <v>0</v>
      </c>
      <c r="N928" s="52">
        <f t="shared" si="681"/>
        <v>0</v>
      </c>
      <c r="O928" s="131">
        <f ca="1" t="shared" si="661"/>
        <v>0</v>
      </c>
    </row>
    <row r="929" ht="18" customHeight="1" spans="1:16">
      <c r="A929" s="115" t="s">
        <v>200</v>
      </c>
      <c r="B929" s="50" t="s">
        <v>123</v>
      </c>
      <c r="C929" s="52">
        <f t="shared" ref="C929:N929" si="682">C717*C788</f>
        <v>0</v>
      </c>
      <c r="D929" s="52">
        <f t="shared" si="682"/>
        <v>0</v>
      </c>
      <c r="E929" s="52">
        <f t="shared" si="682"/>
        <v>0</v>
      </c>
      <c r="F929" s="52">
        <f t="shared" si="682"/>
        <v>0</v>
      </c>
      <c r="G929" s="52">
        <f t="shared" si="682"/>
        <v>0</v>
      </c>
      <c r="H929" s="52">
        <f t="shared" si="682"/>
        <v>0</v>
      </c>
      <c r="I929" s="52">
        <f t="shared" si="682"/>
        <v>0</v>
      </c>
      <c r="J929" s="52">
        <f t="shared" si="682"/>
        <v>0</v>
      </c>
      <c r="K929" s="52">
        <f t="shared" si="682"/>
        <v>0</v>
      </c>
      <c r="L929" s="52">
        <f t="shared" si="682"/>
        <v>0</v>
      </c>
      <c r="M929" s="52">
        <f t="shared" si="682"/>
        <v>0</v>
      </c>
      <c r="N929" s="52">
        <f t="shared" si="682"/>
        <v>0</v>
      </c>
      <c r="O929" s="131">
        <f ca="1" t="shared" si="661"/>
        <v>0</v>
      </c>
      <c r="P929" s="132"/>
    </row>
    <row r="930" ht="18" customHeight="1" spans="1:16">
      <c r="A930" s="115" t="s">
        <v>205</v>
      </c>
      <c r="B930" s="50" t="s">
        <v>123</v>
      </c>
      <c r="C930" s="52">
        <f t="shared" ref="C930:N930" si="683">C718*C789</f>
        <v>0</v>
      </c>
      <c r="D930" s="52">
        <f t="shared" si="683"/>
        <v>0</v>
      </c>
      <c r="E930" s="52">
        <f t="shared" si="683"/>
        <v>0</v>
      </c>
      <c r="F930" s="52">
        <f t="shared" si="683"/>
        <v>0</v>
      </c>
      <c r="G930" s="52">
        <f t="shared" si="683"/>
        <v>0</v>
      </c>
      <c r="H930" s="52">
        <f t="shared" si="683"/>
        <v>0</v>
      </c>
      <c r="I930" s="52">
        <f t="shared" si="683"/>
        <v>0</v>
      </c>
      <c r="J930" s="52">
        <f t="shared" si="683"/>
        <v>0</v>
      </c>
      <c r="K930" s="52">
        <f t="shared" si="683"/>
        <v>0</v>
      </c>
      <c r="L930" s="52">
        <f t="shared" si="683"/>
        <v>0</v>
      </c>
      <c r="M930" s="52">
        <f t="shared" si="683"/>
        <v>0</v>
      </c>
      <c r="N930" s="52">
        <f t="shared" si="683"/>
        <v>0</v>
      </c>
      <c r="O930" s="131">
        <f ca="1" t="shared" si="661"/>
        <v>0</v>
      </c>
      <c r="P930" s="68"/>
    </row>
    <row r="931" ht="18" customHeight="1" spans="1:16">
      <c r="A931" s="115" t="s">
        <v>203</v>
      </c>
      <c r="B931" s="50"/>
      <c r="C931" s="52">
        <f t="shared" ref="C931:N931" si="684">C719*C790</f>
        <v>0</v>
      </c>
      <c r="D931" s="52">
        <f t="shared" si="684"/>
        <v>0</v>
      </c>
      <c r="E931" s="52">
        <f t="shared" si="684"/>
        <v>0</v>
      </c>
      <c r="F931" s="52">
        <f t="shared" si="684"/>
        <v>0</v>
      </c>
      <c r="G931" s="52">
        <f t="shared" si="684"/>
        <v>-22.9099999999999</v>
      </c>
      <c r="H931" s="52">
        <f t="shared" si="684"/>
        <v>22.91</v>
      </c>
      <c r="I931" s="52">
        <f t="shared" si="684"/>
        <v>0</v>
      </c>
      <c r="J931" s="52">
        <f t="shared" si="684"/>
        <v>0</v>
      </c>
      <c r="K931" s="52">
        <f t="shared" si="684"/>
        <v>0</v>
      </c>
      <c r="L931" s="52">
        <f t="shared" si="684"/>
        <v>0</v>
      </c>
      <c r="M931" s="52">
        <f t="shared" si="684"/>
        <v>0</v>
      </c>
      <c r="N931" s="52">
        <f t="shared" si="684"/>
        <v>0</v>
      </c>
      <c r="O931" s="131">
        <f ca="1" t="shared" si="661"/>
        <v>9.9475983006414e-14</v>
      </c>
      <c r="P931" s="68"/>
    </row>
    <row r="932" ht="18" customHeight="1" spans="1:16">
      <c r="A932" s="115" t="s">
        <v>206</v>
      </c>
      <c r="B932" s="50"/>
      <c r="C932" s="52">
        <f t="shared" ref="C932:N932" si="685">C720*C791</f>
        <v>0</v>
      </c>
      <c r="D932" s="52">
        <f t="shared" si="685"/>
        <v>59249.77</v>
      </c>
      <c r="E932" s="52">
        <f t="shared" si="685"/>
        <v>0</v>
      </c>
      <c r="F932" s="52">
        <f t="shared" si="685"/>
        <v>0</v>
      </c>
      <c r="G932" s="52">
        <f t="shared" si="685"/>
        <v>26662.4</v>
      </c>
      <c r="H932" s="52">
        <f t="shared" si="685"/>
        <v>47399.83</v>
      </c>
      <c r="I932" s="52">
        <f t="shared" si="685"/>
        <v>0</v>
      </c>
      <c r="J932" s="52">
        <f t="shared" si="685"/>
        <v>0</v>
      </c>
      <c r="K932" s="52">
        <f t="shared" si="685"/>
        <v>0</v>
      </c>
      <c r="L932" s="52">
        <f t="shared" si="685"/>
        <v>0</v>
      </c>
      <c r="M932" s="52">
        <f t="shared" si="685"/>
        <v>0</v>
      </c>
      <c r="N932" s="52">
        <f t="shared" si="685"/>
        <v>0</v>
      </c>
      <c r="O932" s="131">
        <f ca="1" t="shared" si="661"/>
        <v>133312</v>
      </c>
      <c r="P932" s="68"/>
    </row>
    <row r="933" ht="18" customHeight="1" spans="1:16">
      <c r="A933" s="115" t="s">
        <v>582</v>
      </c>
      <c r="B933" s="50"/>
      <c r="C933" s="52">
        <f t="shared" ref="C933:N933" si="686">C721*C792</f>
        <v>0</v>
      </c>
      <c r="D933" s="52">
        <f t="shared" si="686"/>
        <v>0</v>
      </c>
      <c r="E933" s="52">
        <f t="shared" si="686"/>
        <v>0</v>
      </c>
      <c r="F933" s="52">
        <f t="shared" si="686"/>
        <v>0</v>
      </c>
      <c r="G933" s="52">
        <f t="shared" si="686"/>
        <v>39.3199999999999</v>
      </c>
      <c r="H933" s="52">
        <f t="shared" si="686"/>
        <v>176.09</v>
      </c>
      <c r="I933" s="52">
        <f t="shared" si="686"/>
        <v>0</v>
      </c>
      <c r="J933" s="52">
        <f t="shared" si="686"/>
        <v>0</v>
      </c>
      <c r="K933" s="52">
        <f t="shared" si="686"/>
        <v>0</v>
      </c>
      <c r="L933" s="52">
        <f t="shared" si="686"/>
        <v>0</v>
      </c>
      <c r="M933" s="52">
        <f t="shared" si="686"/>
        <v>0</v>
      </c>
      <c r="N933" s="52">
        <f t="shared" si="686"/>
        <v>0</v>
      </c>
      <c r="O933" s="131">
        <f ca="1" t="shared" si="661"/>
        <v>215.41</v>
      </c>
      <c r="P933" s="68"/>
    </row>
    <row r="934" customHeight="1" spans="1:16">
      <c r="A934" s="115" t="s">
        <v>351</v>
      </c>
      <c r="B934" s="50"/>
      <c r="C934" s="52">
        <f t="shared" ref="C934:N934" si="687">C722*C793</f>
        <v>38.1</v>
      </c>
      <c r="D934" s="52">
        <f t="shared" si="687"/>
        <v>1605.53</v>
      </c>
      <c r="E934" s="52">
        <f t="shared" si="687"/>
        <v>598.67</v>
      </c>
      <c r="F934" s="52">
        <f t="shared" si="687"/>
        <v>5627.52</v>
      </c>
      <c r="G934" s="52">
        <f t="shared" si="687"/>
        <v>8354.2</v>
      </c>
      <c r="H934" s="52">
        <f t="shared" si="687"/>
        <v>2830.1</v>
      </c>
      <c r="I934" s="52">
        <f t="shared" si="687"/>
        <v>0</v>
      </c>
      <c r="J934" s="52">
        <f t="shared" si="687"/>
        <v>0</v>
      </c>
      <c r="K934" s="52">
        <f t="shared" si="687"/>
        <v>0</v>
      </c>
      <c r="L934" s="52">
        <f t="shared" si="687"/>
        <v>0</v>
      </c>
      <c r="M934" s="52">
        <f t="shared" si="687"/>
        <v>0</v>
      </c>
      <c r="N934" s="52">
        <f t="shared" si="687"/>
        <v>0</v>
      </c>
      <c r="O934" s="131">
        <f ca="1" t="shared" si="661"/>
        <v>19054.12</v>
      </c>
    </row>
    <row r="935" customHeight="1" spans="1:16">
      <c r="A935" s="115" t="s">
        <v>204</v>
      </c>
      <c r="B935" s="50"/>
      <c r="C935" s="52">
        <f t="shared" ref="C935:N935" si="688">C723*C794</f>
        <v>0</v>
      </c>
      <c r="D935" s="52">
        <f t="shared" si="688"/>
        <v>0</v>
      </c>
      <c r="E935" s="52">
        <f t="shared" si="688"/>
        <v>0</v>
      </c>
      <c r="F935" s="52">
        <f t="shared" si="688"/>
        <v>0</v>
      </c>
      <c r="G935" s="52">
        <f t="shared" si="688"/>
        <v>1343.13</v>
      </c>
      <c r="H935" s="52">
        <f t="shared" si="688"/>
        <v>4594.78</v>
      </c>
      <c r="I935" s="52">
        <f t="shared" si="688"/>
        <v>0</v>
      </c>
      <c r="J935" s="52">
        <f t="shared" si="688"/>
        <v>0</v>
      </c>
      <c r="K935" s="52">
        <f t="shared" si="688"/>
        <v>0</v>
      </c>
      <c r="L935" s="52">
        <f t="shared" si="688"/>
        <v>0</v>
      </c>
      <c r="M935" s="52">
        <f t="shared" si="688"/>
        <v>0</v>
      </c>
      <c r="N935" s="52">
        <f t="shared" si="688"/>
        <v>0</v>
      </c>
      <c r="O935" s="131">
        <f ca="1">SUM(OFFSET($C935,0,0,1,mth))</f>
        <v>5937.91</v>
      </c>
    </row>
    <row r="936" customHeight="1" spans="1:16">
      <c r="A936" s="48" t="s">
        <v>232</v>
      </c>
      <c r="B936" s="60" t="s">
        <v>123</v>
      </c>
      <c r="C936" s="367">
        <f t="shared" ref="C936:H936" si="689">SUM(C907:C935)</f>
        <v>68910.83</v>
      </c>
      <c r="D936" s="367">
        <f t="shared" si="689"/>
        <v>201625.54</v>
      </c>
      <c r="E936" s="367">
        <f t="shared" si="689"/>
        <v>73001.16</v>
      </c>
      <c r="F936" s="367">
        <f t="shared" si="689"/>
        <v>267979.39</v>
      </c>
      <c r="G936" s="367">
        <f t="shared" si="689"/>
        <v>468468.8</v>
      </c>
      <c r="H936" s="367">
        <f t="shared" si="689"/>
        <v>449036.98</v>
      </c>
      <c r="I936" s="367">
        <f t="shared" ref="D936:N936" si="690">SUM(I907:I934)</f>
        <v>0</v>
      </c>
      <c r="J936" s="367">
        <f t="shared" si="690"/>
        <v>0</v>
      </c>
      <c r="K936" s="367">
        <f t="shared" si="690"/>
        <v>0</v>
      </c>
      <c r="L936" s="367">
        <f t="shared" si="690"/>
        <v>0</v>
      </c>
      <c r="M936" s="367">
        <f t="shared" si="690"/>
        <v>0</v>
      </c>
      <c r="N936" s="367">
        <f t="shared" si="690"/>
        <v>0</v>
      </c>
      <c r="O936" s="368">
        <f ca="1">SUM(OFFSET($C936,0,0,1,mth))</f>
        <v>1529022.7</v>
      </c>
    </row>
    <row r="937" customHeight="1" spans="1:16">
      <c r="A937" s="227" t="s">
        <v>353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 s="228"/>
    </row>
    <row r="938" customHeight="1" spans="1:16">
      <c r="A938" s="48" t="s">
        <v>354</v>
      </c>
      <c r="B938" s="230" t="s">
        <v>77</v>
      </c>
      <c r="C938" s="48" t="s">
        <v>220</v>
      </c>
      <c r="D938" s="48" t="s">
        <v>221</v>
      </c>
      <c r="E938" s="48" t="s">
        <v>222</v>
      </c>
      <c r="F938" s="48" t="s">
        <v>223</v>
      </c>
      <c r="G938" s="48" t="s">
        <v>224</v>
      </c>
      <c r="H938" s="48" t="s">
        <v>225</v>
      </c>
      <c r="I938" s="48" t="s">
        <v>226</v>
      </c>
      <c r="J938" s="48" t="s">
        <v>227</v>
      </c>
      <c r="K938" s="48" t="s">
        <v>228</v>
      </c>
      <c r="L938" s="48" t="s">
        <v>229</v>
      </c>
      <c r="M938" s="48" t="s">
        <v>230</v>
      </c>
      <c r="N938" s="48" t="s">
        <v>231</v>
      </c>
      <c r="O938" s="72" t="str">
        <f>CONCATENATE("1-"&amp;mth&amp;"月累计")</f>
        <v>1-8月累计</v>
      </c>
    </row>
    <row r="939" customHeight="1" spans="1:16">
      <c r="A939" s="307" t="s">
        <v>178</v>
      </c>
      <c r="B939" s="50" t="s">
        <v>123</v>
      </c>
      <c r="C939" s="52">
        <f>C867*1.13</f>
        <v>0</v>
      </c>
      <c r="D939" s="52">
        <f t="shared" ref="D939:N939" si="691">D867*1.13</f>
        <v>0</v>
      </c>
      <c r="E939" s="52">
        <f t="shared" si="691"/>
        <v>0</v>
      </c>
      <c r="F939" s="52">
        <f t="shared" si="691"/>
        <v>0</v>
      </c>
      <c r="G939" s="52">
        <f t="shared" si="691"/>
        <v>0</v>
      </c>
      <c r="H939" s="52">
        <f t="shared" si="691"/>
        <v>0</v>
      </c>
      <c r="I939" s="52">
        <f t="shared" si="691"/>
        <v>0</v>
      </c>
      <c r="J939" s="52">
        <f t="shared" si="691"/>
        <v>0</v>
      </c>
      <c r="K939" s="52">
        <f t="shared" si="691"/>
        <v>0</v>
      </c>
      <c r="L939" s="52">
        <f t="shared" si="691"/>
        <v>0</v>
      </c>
      <c r="M939" s="52">
        <f t="shared" si="691"/>
        <v>0</v>
      </c>
      <c r="N939" s="52">
        <f t="shared" si="691"/>
        <v>0</v>
      </c>
      <c r="O939" s="131">
        <f ca="1">SUM(OFFSET($C939,0,0,1,mth))</f>
        <v>0</v>
      </c>
    </row>
    <row r="940" customHeight="1" spans="1:16">
      <c r="A940" s="307" t="s">
        <v>179</v>
      </c>
      <c r="B940" s="50" t="s">
        <v>123</v>
      </c>
      <c r="C940" s="52">
        <f t="shared" ref="C940:N940" si="692">C868*1.13</f>
        <v>0</v>
      </c>
      <c r="D940" s="52">
        <f t="shared" si="692"/>
        <v>0</v>
      </c>
      <c r="E940" s="52">
        <f t="shared" si="692"/>
        <v>0</v>
      </c>
      <c r="F940" s="52">
        <f t="shared" si="692"/>
        <v>0</v>
      </c>
      <c r="G940" s="52">
        <f t="shared" si="692"/>
        <v>0</v>
      </c>
      <c r="H940" s="52">
        <f t="shared" si="692"/>
        <v>0</v>
      </c>
      <c r="I940" s="52">
        <f t="shared" si="692"/>
        <v>0</v>
      </c>
      <c r="J940" s="52">
        <f t="shared" si="692"/>
        <v>0</v>
      </c>
      <c r="K940" s="52">
        <f t="shared" si="692"/>
        <v>0</v>
      </c>
      <c r="L940" s="52">
        <f t="shared" si="692"/>
        <v>0</v>
      </c>
      <c r="M940" s="52">
        <f t="shared" si="692"/>
        <v>0</v>
      </c>
      <c r="N940" s="52">
        <f t="shared" si="692"/>
        <v>0</v>
      </c>
      <c r="O940" s="131">
        <f ca="1">SUM(OFFSET($C940,0,0,1,mth))</f>
        <v>0</v>
      </c>
    </row>
    <row r="941" customHeight="1" spans="1:16">
      <c r="A941" s="307" t="s">
        <v>180</v>
      </c>
      <c r="B941" s="50" t="s">
        <v>123</v>
      </c>
      <c r="C941" s="52">
        <f t="shared" ref="C941:N941" si="693">C869*1.13</f>
        <v>0</v>
      </c>
      <c r="D941" s="52">
        <f t="shared" si="693"/>
        <v>0</v>
      </c>
      <c r="E941" s="52">
        <f t="shared" si="693"/>
        <v>0</v>
      </c>
      <c r="F941" s="52">
        <f t="shared" si="693"/>
        <v>0</v>
      </c>
      <c r="G941" s="52">
        <f t="shared" si="693"/>
        <v>0</v>
      </c>
      <c r="H941" s="52">
        <f t="shared" si="693"/>
        <v>0</v>
      </c>
      <c r="I941" s="52">
        <f t="shared" si="693"/>
        <v>0</v>
      </c>
      <c r="J941" s="52">
        <f t="shared" si="693"/>
        <v>0</v>
      </c>
      <c r="K941" s="52">
        <f t="shared" si="693"/>
        <v>0</v>
      </c>
      <c r="L941" s="52">
        <f t="shared" si="693"/>
        <v>0</v>
      </c>
      <c r="M941" s="52">
        <f t="shared" si="693"/>
        <v>0</v>
      </c>
      <c r="N941" s="52">
        <f t="shared" si="693"/>
        <v>0</v>
      </c>
      <c r="O941" s="131">
        <f ca="1">SUM(OFFSET($C941,0,0,1,mth))</f>
        <v>0</v>
      </c>
    </row>
    <row r="942" customHeight="1" spans="1:16">
      <c r="A942" s="307" t="s">
        <v>181</v>
      </c>
      <c r="B942" s="50" t="s">
        <v>123</v>
      </c>
      <c r="C942" s="52">
        <f t="shared" ref="C942:N942" si="694">C870*1.13</f>
        <v>0</v>
      </c>
      <c r="D942" s="52">
        <f t="shared" si="694"/>
        <v>0</v>
      </c>
      <c r="E942" s="52">
        <f t="shared" si="694"/>
        <v>0</v>
      </c>
      <c r="F942" s="52">
        <f t="shared" si="694"/>
        <v>0</v>
      </c>
      <c r="G942" s="52">
        <f t="shared" si="694"/>
        <v>0</v>
      </c>
      <c r="H942" s="52">
        <f t="shared" si="694"/>
        <v>0</v>
      </c>
      <c r="I942" s="52">
        <f t="shared" si="694"/>
        <v>0</v>
      </c>
      <c r="J942" s="52">
        <f t="shared" si="694"/>
        <v>0</v>
      </c>
      <c r="K942" s="52">
        <f t="shared" si="694"/>
        <v>0</v>
      </c>
      <c r="L942" s="52">
        <f t="shared" si="694"/>
        <v>0</v>
      </c>
      <c r="M942" s="52">
        <f t="shared" si="694"/>
        <v>0</v>
      </c>
      <c r="N942" s="52">
        <f t="shared" si="694"/>
        <v>0</v>
      </c>
      <c r="O942" s="131">
        <f ca="1" t="shared" ref="O942:O952" si="695">SUM(OFFSET($C942,0,0,1,mth))</f>
        <v>0</v>
      </c>
    </row>
    <row r="943" customHeight="1" spans="1:16">
      <c r="A943" s="307" t="s">
        <v>182</v>
      </c>
      <c r="B943" s="50" t="s">
        <v>123</v>
      </c>
      <c r="C943" s="52">
        <f t="shared" ref="C943:N943" si="696">C871*1.13</f>
        <v>127495.5835</v>
      </c>
      <c r="D943" s="52">
        <f t="shared" si="696"/>
        <v>53161.1664</v>
      </c>
      <c r="E943" s="52">
        <f t="shared" si="696"/>
        <v>233526.0486</v>
      </c>
      <c r="F943" s="52">
        <f t="shared" si="696"/>
        <v>365321.7115</v>
      </c>
      <c r="G943" s="52">
        <f t="shared" si="696"/>
        <v>332997.9824</v>
      </c>
      <c r="H943" s="52">
        <f t="shared" si="696"/>
        <v>113387.7595</v>
      </c>
      <c r="I943" s="52">
        <f t="shared" si="696"/>
        <v>0</v>
      </c>
      <c r="J943" s="52">
        <f t="shared" si="696"/>
        <v>0</v>
      </c>
      <c r="K943" s="52">
        <f t="shared" si="696"/>
        <v>0</v>
      </c>
      <c r="L943" s="52">
        <f t="shared" si="696"/>
        <v>0</v>
      </c>
      <c r="M943" s="52">
        <f t="shared" si="696"/>
        <v>0</v>
      </c>
      <c r="N943" s="52">
        <f t="shared" si="696"/>
        <v>0</v>
      </c>
      <c r="O943" s="131">
        <f ca="1" t="shared" si="695"/>
        <v>1225890.2519</v>
      </c>
    </row>
    <row r="944" customHeight="1" spans="1:16">
      <c r="A944" s="307" t="s">
        <v>183</v>
      </c>
      <c r="B944" s="50" t="s">
        <v>123</v>
      </c>
      <c r="C944" s="52">
        <f t="shared" ref="C944:N944" si="697">C872*1.13</f>
        <v>0</v>
      </c>
      <c r="D944" s="52">
        <f t="shared" si="697"/>
        <v>0</v>
      </c>
      <c r="E944" s="52">
        <f t="shared" si="697"/>
        <v>0</v>
      </c>
      <c r="F944" s="52">
        <f t="shared" si="697"/>
        <v>0</v>
      </c>
      <c r="G944" s="52">
        <f t="shared" si="697"/>
        <v>0</v>
      </c>
      <c r="H944" s="52">
        <f t="shared" si="697"/>
        <v>0</v>
      </c>
      <c r="I944" s="52">
        <f t="shared" si="697"/>
        <v>0</v>
      </c>
      <c r="J944" s="52">
        <f t="shared" si="697"/>
        <v>0</v>
      </c>
      <c r="K944" s="52">
        <f t="shared" si="697"/>
        <v>0</v>
      </c>
      <c r="L944" s="52">
        <f t="shared" si="697"/>
        <v>0</v>
      </c>
      <c r="M944" s="52">
        <f t="shared" si="697"/>
        <v>0</v>
      </c>
      <c r="N944" s="52">
        <f t="shared" si="697"/>
        <v>0</v>
      </c>
      <c r="O944" s="131">
        <f ca="1" t="shared" si="695"/>
        <v>0</v>
      </c>
    </row>
    <row r="945" customHeight="1" spans="1:16">
      <c r="A945" s="307" t="s">
        <v>184</v>
      </c>
      <c r="B945" s="50" t="s">
        <v>123</v>
      </c>
      <c r="C945" s="52">
        <f t="shared" ref="C945:N945" si="698">C873*1.13</f>
        <v>0</v>
      </c>
      <c r="D945" s="52">
        <f t="shared" si="698"/>
        <v>0</v>
      </c>
      <c r="E945" s="52">
        <f t="shared" si="698"/>
        <v>0</v>
      </c>
      <c r="F945" s="52">
        <f t="shared" si="698"/>
        <v>0</v>
      </c>
      <c r="G945" s="52">
        <f t="shared" si="698"/>
        <v>0</v>
      </c>
      <c r="H945" s="52">
        <f t="shared" si="698"/>
        <v>0</v>
      </c>
      <c r="I945" s="52">
        <f t="shared" si="698"/>
        <v>0</v>
      </c>
      <c r="J945" s="52">
        <f t="shared" si="698"/>
        <v>0</v>
      </c>
      <c r="K945" s="52">
        <f t="shared" si="698"/>
        <v>0</v>
      </c>
      <c r="L945" s="52">
        <f t="shared" si="698"/>
        <v>0</v>
      </c>
      <c r="M945" s="52">
        <f t="shared" si="698"/>
        <v>0</v>
      </c>
      <c r="N945" s="52">
        <f t="shared" si="698"/>
        <v>0</v>
      </c>
      <c r="O945" s="131">
        <f ca="1" t="shared" si="695"/>
        <v>0</v>
      </c>
    </row>
    <row r="946" customHeight="1" spans="1:16">
      <c r="A946" s="307" t="s">
        <v>185</v>
      </c>
      <c r="B946" s="50" t="s">
        <v>123</v>
      </c>
      <c r="C946" s="52">
        <f t="shared" ref="C946:N946" si="699">C874*1.13</f>
        <v>0</v>
      </c>
      <c r="D946" s="52">
        <f t="shared" si="699"/>
        <v>9.831</v>
      </c>
      <c r="E946" s="52">
        <f t="shared" si="699"/>
        <v>0</v>
      </c>
      <c r="F946" s="52">
        <f t="shared" si="699"/>
        <v>0</v>
      </c>
      <c r="G946" s="52">
        <f t="shared" si="699"/>
        <v>16.1138</v>
      </c>
      <c r="H946" s="52">
        <f t="shared" si="699"/>
        <v>0</v>
      </c>
      <c r="I946" s="52">
        <f t="shared" si="699"/>
        <v>0</v>
      </c>
      <c r="J946" s="52">
        <f t="shared" si="699"/>
        <v>0</v>
      </c>
      <c r="K946" s="52">
        <f t="shared" si="699"/>
        <v>0</v>
      </c>
      <c r="L946" s="52">
        <f t="shared" si="699"/>
        <v>0</v>
      </c>
      <c r="M946" s="52">
        <f t="shared" si="699"/>
        <v>0</v>
      </c>
      <c r="N946" s="52">
        <f t="shared" si="699"/>
        <v>0</v>
      </c>
      <c r="O946" s="131">
        <f ca="1" t="shared" si="695"/>
        <v>25.9448</v>
      </c>
    </row>
    <row r="947" customHeight="1" spans="1:16">
      <c r="A947" s="307" t="s">
        <v>186</v>
      </c>
      <c r="B947" s="50" t="s">
        <v>123</v>
      </c>
      <c r="C947" s="52">
        <f t="shared" ref="C947:N947" si="700">C875*1.13</f>
        <v>-256.928099999999</v>
      </c>
      <c r="D947" s="52">
        <f t="shared" si="700"/>
        <v>358.345599999999</v>
      </c>
      <c r="E947" s="52">
        <f t="shared" si="700"/>
        <v>536.478800000001</v>
      </c>
      <c r="F947" s="52">
        <f t="shared" si="700"/>
        <v>1569.3779</v>
      </c>
      <c r="G947" s="52">
        <f t="shared" si="700"/>
        <v>724.250900000001</v>
      </c>
      <c r="H947" s="52">
        <f t="shared" si="700"/>
        <v>1122.8471</v>
      </c>
      <c r="I947" s="52">
        <f t="shared" si="700"/>
        <v>0</v>
      </c>
      <c r="J947" s="52">
        <f t="shared" si="700"/>
        <v>0</v>
      </c>
      <c r="K947" s="52">
        <f t="shared" si="700"/>
        <v>0</v>
      </c>
      <c r="L947" s="52">
        <f t="shared" si="700"/>
        <v>0</v>
      </c>
      <c r="M947" s="52">
        <f t="shared" si="700"/>
        <v>0</v>
      </c>
      <c r="N947" s="52">
        <f t="shared" si="700"/>
        <v>0</v>
      </c>
      <c r="O947" s="131">
        <f ca="1" t="shared" si="695"/>
        <v>4054.3722</v>
      </c>
      <c r="P947" s="68"/>
    </row>
    <row r="948" customHeight="1" spans="1:16">
      <c r="A948" s="307" t="s">
        <v>187</v>
      </c>
      <c r="B948" s="50" t="s">
        <v>123</v>
      </c>
      <c r="C948" s="52">
        <f t="shared" ref="C948:N948" si="701">C876*1.13</f>
        <v>0</v>
      </c>
      <c r="D948" s="52">
        <f t="shared" si="701"/>
        <v>0</v>
      </c>
      <c r="E948" s="52">
        <f t="shared" si="701"/>
        <v>630.0089</v>
      </c>
      <c r="F948" s="52">
        <f t="shared" si="701"/>
        <v>0</v>
      </c>
      <c r="G948" s="52">
        <f t="shared" si="701"/>
        <v>0</v>
      </c>
      <c r="H948" s="52">
        <f t="shared" si="701"/>
        <v>3149.9993</v>
      </c>
      <c r="I948" s="52">
        <f t="shared" si="701"/>
        <v>0</v>
      </c>
      <c r="J948" s="52">
        <f t="shared" si="701"/>
        <v>0</v>
      </c>
      <c r="K948" s="52">
        <f t="shared" si="701"/>
        <v>0</v>
      </c>
      <c r="L948" s="52">
        <f t="shared" si="701"/>
        <v>0</v>
      </c>
      <c r="M948" s="52">
        <f t="shared" si="701"/>
        <v>0</v>
      </c>
      <c r="N948" s="52">
        <f t="shared" si="701"/>
        <v>0</v>
      </c>
      <c r="O948" s="131">
        <f ca="1" t="shared" si="695"/>
        <v>3780.0082</v>
      </c>
    </row>
    <row r="949" customHeight="1" spans="1:16">
      <c r="A949" s="307" t="s">
        <v>188</v>
      </c>
      <c r="B949" s="50"/>
      <c r="C949" s="52">
        <f t="shared" ref="C949:N949" si="702">C877*1.13</f>
        <v>0</v>
      </c>
      <c r="D949" s="52">
        <f t="shared" si="702"/>
        <v>0</v>
      </c>
      <c r="E949" s="52">
        <f t="shared" si="702"/>
        <v>0</v>
      </c>
      <c r="F949" s="52">
        <f t="shared" si="702"/>
        <v>0</v>
      </c>
      <c r="G949" s="52">
        <f t="shared" si="702"/>
        <v>0</v>
      </c>
      <c r="H949" s="52">
        <f t="shared" si="702"/>
        <v>0</v>
      </c>
      <c r="I949" s="52">
        <f t="shared" si="702"/>
        <v>0</v>
      </c>
      <c r="J949" s="52">
        <f t="shared" si="702"/>
        <v>0</v>
      </c>
      <c r="K949" s="52">
        <f t="shared" si="702"/>
        <v>0</v>
      </c>
      <c r="L949" s="52">
        <f t="shared" si="702"/>
        <v>0</v>
      </c>
      <c r="M949" s="52">
        <f t="shared" si="702"/>
        <v>0</v>
      </c>
      <c r="N949" s="52">
        <f t="shared" si="702"/>
        <v>0</v>
      </c>
      <c r="O949" s="131">
        <f ca="1" t="shared" si="695"/>
        <v>0</v>
      </c>
    </row>
    <row r="950" customHeight="1" spans="1:16">
      <c r="A950" s="307" t="s">
        <v>189</v>
      </c>
      <c r="B950" s="50"/>
      <c r="C950" s="52">
        <f t="shared" ref="C950:N950" si="703">C878*1.13</f>
        <v>0</v>
      </c>
      <c r="D950" s="52">
        <f t="shared" si="703"/>
        <v>0</v>
      </c>
      <c r="E950" s="52">
        <f t="shared" si="703"/>
        <v>0</v>
      </c>
      <c r="F950" s="52">
        <f t="shared" si="703"/>
        <v>0</v>
      </c>
      <c r="G950" s="52">
        <f t="shared" si="703"/>
        <v>0</v>
      </c>
      <c r="H950" s="52">
        <f t="shared" si="703"/>
        <v>0</v>
      </c>
      <c r="I950" s="52">
        <f t="shared" si="703"/>
        <v>0</v>
      </c>
      <c r="J950" s="52">
        <f t="shared" si="703"/>
        <v>0</v>
      </c>
      <c r="K950" s="52">
        <f t="shared" si="703"/>
        <v>0</v>
      </c>
      <c r="L950" s="52">
        <f t="shared" si="703"/>
        <v>0</v>
      </c>
      <c r="M950" s="52">
        <f t="shared" si="703"/>
        <v>0</v>
      </c>
      <c r="N950" s="52">
        <f t="shared" si="703"/>
        <v>0</v>
      </c>
      <c r="O950" s="131">
        <f ca="1" t="shared" si="695"/>
        <v>0</v>
      </c>
    </row>
    <row r="951" customHeight="1" spans="1:16">
      <c r="A951" s="307" t="s">
        <v>190</v>
      </c>
      <c r="B951" s="50"/>
      <c r="C951" s="52">
        <f t="shared" ref="C951:N951" si="704">C879*1.13</f>
        <v>0</v>
      </c>
      <c r="D951" s="52">
        <f t="shared" si="704"/>
        <v>0</v>
      </c>
      <c r="E951" s="52">
        <f t="shared" si="704"/>
        <v>0</v>
      </c>
      <c r="F951" s="52">
        <f t="shared" si="704"/>
        <v>0</v>
      </c>
      <c r="G951" s="52">
        <f t="shared" si="704"/>
        <v>0</v>
      </c>
      <c r="H951" s="52">
        <f t="shared" si="704"/>
        <v>0</v>
      </c>
      <c r="I951" s="52">
        <f t="shared" si="704"/>
        <v>0</v>
      </c>
      <c r="J951" s="52">
        <f t="shared" si="704"/>
        <v>0</v>
      </c>
      <c r="K951" s="52">
        <f t="shared" si="704"/>
        <v>0</v>
      </c>
      <c r="L951" s="52">
        <f t="shared" si="704"/>
        <v>0</v>
      </c>
      <c r="M951" s="52">
        <f t="shared" si="704"/>
        <v>0</v>
      </c>
      <c r="N951" s="52">
        <f t="shared" si="704"/>
        <v>0</v>
      </c>
      <c r="O951" s="131">
        <f ca="1" t="shared" si="695"/>
        <v>0</v>
      </c>
    </row>
    <row r="952" customHeight="1" spans="1:16">
      <c r="A952" s="307" t="s">
        <v>191</v>
      </c>
      <c r="B952" s="50" t="s">
        <v>123</v>
      </c>
      <c r="C952" s="52">
        <f t="shared" ref="C952:N952" si="705">C880*1.13</f>
        <v>81853.1885</v>
      </c>
      <c r="D952" s="52">
        <f t="shared" si="705"/>
        <v>26220.8703</v>
      </c>
      <c r="E952" s="52">
        <f t="shared" si="705"/>
        <v>128583.717</v>
      </c>
      <c r="F952" s="52">
        <f t="shared" si="705"/>
        <v>333425.6535</v>
      </c>
      <c r="G952" s="52">
        <f t="shared" si="705"/>
        <v>142951.0794</v>
      </c>
      <c r="H952" s="52">
        <f t="shared" si="705"/>
        <v>104934.4329</v>
      </c>
      <c r="I952" s="52">
        <f t="shared" si="705"/>
        <v>0</v>
      </c>
      <c r="J952" s="52">
        <f t="shared" si="705"/>
        <v>0</v>
      </c>
      <c r="K952" s="52">
        <f t="shared" si="705"/>
        <v>0</v>
      </c>
      <c r="L952" s="52">
        <f t="shared" si="705"/>
        <v>0</v>
      </c>
      <c r="M952" s="52">
        <f t="shared" si="705"/>
        <v>0</v>
      </c>
      <c r="N952" s="52">
        <f t="shared" si="705"/>
        <v>0</v>
      </c>
      <c r="O952" s="131">
        <f ca="1" t="shared" si="695"/>
        <v>817968.9416</v>
      </c>
    </row>
    <row r="953" customHeight="1" spans="1:16">
      <c r="A953" s="307" t="s">
        <v>192</v>
      </c>
      <c r="B953" s="50" t="s">
        <v>123</v>
      </c>
      <c r="C953" s="52">
        <f t="shared" ref="C953:N953" si="706">C881*1.13</f>
        <v>0</v>
      </c>
      <c r="D953" s="52">
        <f t="shared" si="706"/>
        <v>0</v>
      </c>
      <c r="E953" s="52">
        <f t="shared" si="706"/>
        <v>0</v>
      </c>
      <c r="F953" s="52">
        <f t="shared" si="706"/>
        <v>0</v>
      </c>
      <c r="G953" s="52">
        <f t="shared" si="706"/>
        <v>0</v>
      </c>
      <c r="H953" s="52">
        <f t="shared" si="706"/>
        <v>0</v>
      </c>
      <c r="I953" s="52">
        <f t="shared" si="706"/>
        <v>0</v>
      </c>
      <c r="J953" s="52">
        <f t="shared" si="706"/>
        <v>0</v>
      </c>
      <c r="K953" s="52">
        <f t="shared" si="706"/>
        <v>0</v>
      </c>
      <c r="L953" s="52">
        <f t="shared" si="706"/>
        <v>0</v>
      </c>
      <c r="M953" s="52">
        <f t="shared" si="706"/>
        <v>0</v>
      </c>
      <c r="N953" s="52">
        <f t="shared" si="706"/>
        <v>0</v>
      </c>
      <c r="O953" s="131">
        <f ca="1">SUM(OFFSET($C953,0,0,1,mth))</f>
        <v>0</v>
      </c>
    </row>
    <row r="954" customHeight="1" spans="1:16">
      <c r="A954" s="307" t="s">
        <v>193</v>
      </c>
      <c r="B954" s="50" t="s">
        <v>123</v>
      </c>
      <c r="C954" s="52">
        <f t="shared" ref="C954:N954" si="707">C882*1.13</f>
        <v>0</v>
      </c>
      <c r="D954" s="52">
        <f t="shared" si="707"/>
        <v>0</v>
      </c>
      <c r="E954" s="52">
        <f t="shared" si="707"/>
        <v>0</v>
      </c>
      <c r="F954" s="52">
        <f t="shared" si="707"/>
        <v>0</v>
      </c>
      <c r="G954" s="52">
        <f t="shared" si="707"/>
        <v>0</v>
      </c>
      <c r="H954" s="52">
        <f t="shared" si="707"/>
        <v>0</v>
      </c>
      <c r="I954" s="52">
        <f t="shared" si="707"/>
        <v>0</v>
      </c>
      <c r="J954" s="52">
        <f t="shared" si="707"/>
        <v>0</v>
      </c>
      <c r="K954" s="52">
        <f t="shared" si="707"/>
        <v>0</v>
      </c>
      <c r="L954" s="52">
        <f t="shared" si="707"/>
        <v>0</v>
      </c>
      <c r="M954" s="52">
        <f t="shared" si="707"/>
        <v>0</v>
      </c>
      <c r="N954" s="52">
        <f t="shared" si="707"/>
        <v>0</v>
      </c>
      <c r="O954" s="131">
        <f ca="1">SUM(OFFSET($C954,0,0,1,mth))</f>
        <v>0</v>
      </c>
    </row>
    <row r="955" customHeight="1" spans="1:16">
      <c r="A955" s="307" t="s">
        <v>194</v>
      </c>
      <c r="B955" s="50" t="s">
        <v>123</v>
      </c>
      <c r="C955" s="52">
        <f t="shared" ref="C955:N955" si="708">C883*1.13</f>
        <v>0</v>
      </c>
      <c r="D955" s="52">
        <f t="shared" si="708"/>
        <v>0</v>
      </c>
      <c r="E955" s="52">
        <f t="shared" si="708"/>
        <v>0</v>
      </c>
      <c r="F955" s="52">
        <f t="shared" si="708"/>
        <v>0</v>
      </c>
      <c r="G955" s="52">
        <f t="shared" si="708"/>
        <v>0</v>
      </c>
      <c r="H955" s="52">
        <f t="shared" si="708"/>
        <v>0</v>
      </c>
      <c r="I955" s="52">
        <f t="shared" si="708"/>
        <v>0</v>
      </c>
      <c r="J955" s="52">
        <f t="shared" si="708"/>
        <v>0</v>
      </c>
      <c r="K955" s="52">
        <f t="shared" si="708"/>
        <v>0</v>
      </c>
      <c r="L955" s="52">
        <f t="shared" si="708"/>
        <v>0</v>
      </c>
      <c r="M955" s="52">
        <f t="shared" si="708"/>
        <v>0</v>
      </c>
      <c r="N955" s="52">
        <f t="shared" si="708"/>
        <v>0</v>
      </c>
      <c r="O955" s="131">
        <f ca="1">SUM(OFFSET($C955,0,0,1,mth))</f>
        <v>0</v>
      </c>
    </row>
    <row r="956" customHeight="1" spans="1:16">
      <c r="A956" s="307" t="s">
        <v>195</v>
      </c>
      <c r="B956" s="50" t="s">
        <v>123</v>
      </c>
      <c r="C956" s="52">
        <f t="shared" ref="C956:N956" si="709">C884*1.13</f>
        <v>0</v>
      </c>
      <c r="D956" s="52">
        <f t="shared" si="709"/>
        <v>0</v>
      </c>
      <c r="E956" s="52">
        <f t="shared" si="709"/>
        <v>0</v>
      </c>
      <c r="F956" s="52">
        <f t="shared" si="709"/>
        <v>0</v>
      </c>
      <c r="G956" s="52">
        <f t="shared" si="709"/>
        <v>0</v>
      </c>
      <c r="H956" s="52">
        <f t="shared" si="709"/>
        <v>0</v>
      </c>
      <c r="I956" s="52">
        <f t="shared" si="709"/>
        <v>0</v>
      </c>
      <c r="J956" s="52">
        <f t="shared" si="709"/>
        <v>0</v>
      </c>
      <c r="K956" s="52">
        <f t="shared" si="709"/>
        <v>0</v>
      </c>
      <c r="L956" s="52">
        <f t="shared" si="709"/>
        <v>0</v>
      </c>
      <c r="M956" s="52">
        <f t="shared" si="709"/>
        <v>0</v>
      </c>
      <c r="N956" s="52">
        <f t="shared" si="709"/>
        <v>0</v>
      </c>
      <c r="O956" s="131">
        <f ca="1" t="shared" ref="O956:O974" si="710">SUM(OFFSET($C956,0,0,1,mth))</f>
        <v>0</v>
      </c>
    </row>
    <row r="957" customHeight="1" spans="1:16">
      <c r="A957" s="307" t="s">
        <v>196</v>
      </c>
      <c r="B957" s="50" t="s">
        <v>123</v>
      </c>
      <c r="C957" s="52">
        <f t="shared" ref="C957:N957" si="711">C885*1.13</f>
        <v>0</v>
      </c>
      <c r="D957" s="52">
        <f t="shared" si="711"/>
        <v>0</v>
      </c>
      <c r="E957" s="52">
        <f t="shared" si="711"/>
        <v>0</v>
      </c>
      <c r="F957" s="52">
        <f t="shared" si="711"/>
        <v>0</v>
      </c>
      <c r="G957" s="52">
        <f t="shared" si="711"/>
        <v>0</v>
      </c>
      <c r="H957" s="52">
        <f t="shared" si="711"/>
        <v>0</v>
      </c>
      <c r="I957" s="52">
        <f t="shared" si="711"/>
        <v>0</v>
      </c>
      <c r="J957" s="52">
        <f t="shared" si="711"/>
        <v>0</v>
      </c>
      <c r="K957" s="52">
        <f t="shared" si="711"/>
        <v>0</v>
      </c>
      <c r="L957" s="52">
        <f t="shared" si="711"/>
        <v>0</v>
      </c>
      <c r="M957" s="52">
        <f t="shared" si="711"/>
        <v>0</v>
      </c>
      <c r="N957" s="52">
        <f t="shared" si="711"/>
        <v>0</v>
      </c>
      <c r="O957" s="131">
        <f ca="1" t="shared" si="710"/>
        <v>0</v>
      </c>
    </row>
    <row r="958" customHeight="1" spans="1:16">
      <c r="A958" s="307" t="s">
        <v>197</v>
      </c>
      <c r="B958" s="50" t="s">
        <v>123</v>
      </c>
      <c r="C958" s="52">
        <f t="shared" ref="C958:N958" si="712">C886*1.13</f>
        <v>0</v>
      </c>
      <c r="D958" s="52">
        <f t="shared" si="712"/>
        <v>0</v>
      </c>
      <c r="E958" s="52">
        <f t="shared" si="712"/>
        <v>0</v>
      </c>
      <c r="F958" s="52">
        <f t="shared" si="712"/>
        <v>0</v>
      </c>
      <c r="G958" s="52">
        <f t="shared" si="712"/>
        <v>0</v>
      </c>
      <c r="H958" s="52">
        <f t="shared" si="712"/>
        <v>0</v>
      </c>
      <c r="I958" s="52">
        <f t="shared" si="712"/>
        <v>0</v>
      </c>
      <c r="J958" s="52">
        <f t="shared" si="712"/>
        <v>0</v>
      </c>
      <c r="K958" s="52">
        <f t="shared" si="712"/>
        <v>0</v>
      </c>
      <c r="L958" s="52">
        <f t="shared" si="712"/>
        <v>0</v>
      </c>
      <c r="M958" s="52">
        <f t="shared" si="712"/>
        <v>0</v>
      </c>
      <c r="N958" s="52">
        <f t="shared" si="712"/>
        <v>0</v>
      </c>
      <c r="O958" s="131">
        <f ca="1" t="shared" si="710"/>
        <v>0</v>
      </c>
    </row>
    <row r="959" customHeight="1" spans="1:16">
      <c r="A959" s="115" t="s">
        <v>198</v>
      </c>
      <c r="B959" s="50" t="s">
        <v>123</v>
      </c>
      <c r="C959" s="52">
        <f t="shared" ref="C959:N959" si="713">C887*1.13</f>
        <v>0</v>
      </c>
      <c r="D959" s="52">
        <f t="shared" si="713"/>
        <v>0</v>
      </c>
      <c r="E959" s="52">
        <f t="shared" si="713"/>
        <v>234.0908</v>
      </c>
      <c r="F959" s="52">
        <f t="shared" si="713"/>
        <v>192.3034</v>
      </c>
      <c r="G959" s="52">
        <f t="shared" si="713"/>
        <v>389.8048</v>
      </c>
      <c r="H959" s="52">
        <f t="shared" si="713"/>
        <v>200.7784</v>
      </c>
      <c r="I959" s="52">
        <f t="shared" si="713"/>
        <v>0</v>
      </c>
      <c r="J959" s="52">
        <f t="shared" si="713"/>
        <v>0</v>
      </c>
      <c r="K959" s="52">
        <f t="shared" si="713"/>
        <v>0</v>
      </c>
      <c r="L959" s="52">
        <f t="shared" si="713"/>
        <v>0</v>
      </c>
      <c r="M959" s="52">
        <f t="shared" si="713"/>
        <v>0</v>
      </c>
      <c r="N959" s="52">
        <f t="shared" si="713"/>
        <v>0</v>
      </c>
      <c r="O959" s="131">
        <f ca="1" t="shared" si="710"/>
        <v>1016.9774</v>
      </c>
    </row>
    <row r="960" customHeight="1" spans="1:16">
      <c r="A960" s="307" t="s">
        <v>199</v>
      </c>
      <c r="B960" s="50" t="s">
        <v>123</v>
      </c>
      <c r="C960" s="52">
        <f t="shared" ref="C960:N960" si="714">C888*1.13</f>
        <v>0</v>
      </c>
      <c r="D960" s="52">
        <f t="shared" si="714"/>
        <v>0</v>
      </c>
      <c r="E960" s="52">
        <f t="shared" si="714"/>
        <v>0</v>
      </c>
      <c r="F960" s="52">
        <f t="shared" si="714"/>
        <v>0</v>
      </c>
      <c r="G960" s="52">
        <f t="shared" si="714"/>
        <v>0</v>
      </c>
      <c r="H960" s="52">
        <f t="shared" si="714"/>
        <v>0</v>
      </c>
      <c r="I960" s="52">
        <f t="shared" si="714"/>
        <v>0</v>
      </c>
      <c r="J960" s="52">
        <f t="shared" si="714"/>
        <v>0</v>
      </c>
      <c r="K960" s="52">
        <f t="shared" si="714"/>
        <v>0</v>
      </c>
      <c r="L960" s="52">
        <f t="shared" si="714"/>
        <v>0</v>
      </c>
      <c r="M960" s="52">
        <f t="shared" si="714"/>
        <v>0</v>
      </c>
      <c r="N960" s="52">
        <f t="shared" si="714"/>
        <v>0</v>
      </c>
      <c r="O960" s="131">
        <f ca="1" t="shared" si="710"/>
        <v>0</v>
      </c>
    </row>
    <row r="961" customHeight="1" spans="1:16">
      <c r="A961" s="115" t="s">
        <v>200</v>
      </c>
      <c r="B961" s="50" t="s">
        <v>123</v>
      </c>
      <c r="C961" s="52">
        <f t="shared" ref="C961:N961" si="715">C889*1.13</f>
        <v>14306.5797</v>
      </c>
      <c r="D961" s="52">
        <f t="shared" si="715"/>
        <v>-340.7967</v>
      </c>
      <c r="E961" s="52">
        <f t="shared" si="715"/>
        <v>26022.1146</v>
      </c>
      <c r="F961" s="52">
        <f t="shared" si="715"/>
        <v>53679.2149</v>
      </c>
      <c r="G961" s="52">
        <f t="shared" si="715"/>
        <v>24682.3414</v>
      </c>
      <c r="H961" s="52">
        <f t="shared" si="715"/>
        <v>17608.8917</v>
      </c>
      <c r="I961" s="52">
        <f t="shared" si="715"/>
        <v>0</v>
      </c>
      <c r="J961" s="52">
        <f t="shared" si="715"/>
        <v>0</v>
      </c>
      <c r="K961" s="52">
        <f t="shared" si="715"/>
        <v>0</v>
      </c>
      <c r="L961" s="52">
        <f t="shared" si="715"/>
        <v>0</v>
      </c>
      <c r="M961" s="52">
        <f t="shared" si="715"/>
        <v>0</v>
      </c>
      <c r="N961" s="52">
        <f t="shared" si="715"/>
        <v>0</v>
      </c>
      <c r="O961" s="131">
        <f ca="1" t="shared" si="710"/>
        <v>135958.3456</v>
      </c>
      <c r="P961" s="68"/>
    </row>
    <row r="962" customHeight="1" spans="1:16">
      <c r="A962" s="115" t="s">
        <v>201</v>
      </c>
      <c r="B962" s="50" t="s">
        <v>123</v>
      </c>
      <c r="C962" s="52">
        <f t="shared" ref="C962:N962" si="716">C890*1.13</f>
        <v>0</v>
      </c>
      <c r="D962" s="52">
        <f t="shared" si="716"/>
        <v>0</v>
      </c>
      <c r="E962" s="52">
        <f t="shared" si="716"/>
        <v>0</v>
      </c>
      <c r="F962" s="52">
        <f t="shared" si="716"/>
        <v>0</v>
      </c>
      <c r="G962" s="52">
        <f t="shared" si="716"/>
        <v>-126.7521</v>
      </c>
      <c r="H962" s="52">
        <f t="shared" si="716"/>
        <v>126.7521</v>
      </c>
      <c r="I962" s="52">
        <f t="shared" si="716"/>
        <v>0</v>
      </c>
      <c r="J962" s="52">
        <f t="shared" si="716"/>
        <v>0</v>
      </c>
      <c r="K962" s="52">
        <f t="shared" si="716"/>
        <v>0</v>
      </c>
      <c r="L962" s="52">
        <f t="shared" si="716"/>
        <v>0</v>
      </c>
      <c r="M962" s="52">
        <f t="shared" si="716"/>
        <v>0</v>
      </c>
      <c r="N962" s="52">
        <f t="shared" si="716"/>
        <v>0</v>
      </c>
      <c r="O962" s="131">
        <f ca="1" t="shared" si="710"/>
        <v>0</v>
      </c>
    </row>
    <row r="963" customHeight="1" spans="1:16">
      <c r="A963" s="115" t="s">
        <v>202</v>
      </c>
      <c r="B963" s="50"/>
      <c r="C963" s="52">
        <f t="shared" ref="C963:N963" si="717">C891*1.13</f>
        <v>0</v>
      </c>
      <c r="D963" s="52">
        <f t="shared" si="717"/>
        <v>0</v>
      </c>
      <c r="E963" s="52">
        <f t="shared" si="717"/>
        <v>325.225299999999</v>
      </c>
      <c r="F963" s="52">
        <f t="shared" si="717"/>
        <v>1652.0035</v>
      </c>
      <c r="G963" s="52">
        <f t="shared" si="717"/>
        <v>762.4336</v>
      </c>
      <c r="H963" s="52">
        <f t="shared" si="717"/>
        <v>60.3532999999999</v>
      </c>
      <c r="I963" s="52">
        <f t="shared" si="717"/>
        <v>0</v>
      </c>
      <c r="J963" s="52">
        <f t="shared" si="717"/>
        <v>0</v>
      </c>
      <c r="K963" s="52">
        <f t="shared" si="717"/>
        <v>0</v>
      </c>
      <c r="L963" s="52">
        <f t="shared" si="717"/>
        <v>0</v>
      </c>
      <c r="M963" s="52">
        <f t="shared" si="717"/>
        <v>0</v>
      </c>
      <c r="N963" s="52">
        <f t="shared" si="717"/>
        <v>0</v>
      </c>
      <c r="O963" s="131">
        <f ca="1" t="shared" si="710"/>
        <v>2800.0157</v>
      </c>
    </row>
    <row r="964" customHeight="1" spans="1:16">
      <c r="A964" s="115" t="s">
        <v>203</v>
      </c>
      <c r="B964" s="50"/>
      <c r="C964" s="52">
        <f t="shared" ref="C964:N964" si="718">C892*1.13</f>
        <v>0</v>
      </c>
      <c r="D964" s="52">
        <f t="shared" si="718"/>
        <v>0</v>
      </c>
      <c r="E964" s="52">
        <f t="shared" si="718"/>
        <v>0</v>
      </c>
      <c r="F964" s="52">
        <f t="shared" si="718"/>
        <v>0</v>
      </c>
      <c r="G964" s="52">
        <f t="shared" si="718"/>
        <v>0</v>
      </c>
      <c r="H964" s="52">
        <f t="shared" si="718"/>
        <v>0</v>
      </c>
      <c r="I964" s="52">
        <f t="shared" si="718"/>
        <v>0</v>
      </c>
      <c r="J964" s="52">
        <f t="shared" si="718"/>
        <v>0</v>
      </c>
      <c r="K964" s="52">
        <f t="shared" si="718"/>
        <v>0</v>
      </c>
      <c r="L964" s="52">
        <f t="shared" si="718"/>
        <v>0</v>
      </c>
      <c r="M964" s="52">
        <f t="shared" si="718"/>
        <v>0</v>
      </c>
      <c r="N964" s="52">
        <f t="shared" si="718"/>
        <v>0</v>
      </c>
      <c r="O964" s="131">
        <f ca="1" t="shared" si="710"/>
        <v>0</v>
      </c>
    </row>
    <row r="965" customHeight="1" spans="1:16">
      <c r="A965" s="115" t="s">
        <v>204</v>
      </c>
      <c r="B965" s="50"/>
      <c r="C965" s="52">
        <f t="shared" ref="C965:N965" si="719">C893*1.13</f>
        <v>0</v>
      </c>
      <c r="D965" s="52">
        <f t="shared" si="719"/>
        <v>0</v>
      </c>
      <c r="E965" s="52">
        <f t="shared" si="719"/>
        <v>0</v>
      </c>
      <c r="F965" s="52">
        <f t="shared" si="719"/>
        <v>644.066099999999</v>
      </c>
      <c r="G965" s="52">
        <f t="shared" si="719"/>
        <v>607.103800000001</v>
      </c>
      <c r="H965" s="52">
        <f t="shared" si="719"/>
        <v>678.971799999998</v>
      </c>
      <c r="I965" s="52">
        <f t="shared" si="719"/>
        <v>0</v>
      </c>
      <c r="J965" s="52">
        <f t="shared" si="719"/>
        <v>0</v>
      </c>
      <c r="K965" s="52">
        <f t="shared" si="719"/>
        <v>0</v>
      </c>
      <c r="L965" s="52">
        <f t="shared" si="719"/>
        <v>0</v>
      </c>
      <c r="M965" s="52">
        <f t="shared" si="719"/>
        <v>0</v>
      </c>
      <c r="N965" s="52">
        <f t="shared" si="719"/>
        <v>0</v>
      </c>
      <c r="O965" s="131">
        <f ca="1" t="shared" si="710"/>
        <v>1930.1417</v>
      </c>
    </row>
    <row r="966" customHeight="1" spans="1:16">
      <c r="A966" s="115" t="s">
        <v>577</v>
      </c>
      <c r="B966" s="50" t="s">
        <v>123</v>
      </c>
      <c r="C966" s="52">
        <f t="shared" ref="C966:N966" si="720">C894*1.13</f>
        <v>3008.3312</v>
      </c>
      <c r="D966" s="52">
        <f t="shared" si="720"/>
        <v>3060.11910000001</v>
      </c>
      <c r="E966" s="52">
        <f t="shared" si="720"/>
        <v>6069.55770000002</v>
      </c>
      <c r="F966" s="52">
        <f t="shared" si="720"/>
        <v>6083.33239999998</v>
      </c>
      <c r="G966" s="52">
        <f t="shared" si="720"/>
        <v>18373.2576</v>
      </c>
      <c r="H966" s="52">
        <f t="shared" si="720"/>
        <v>0</v>
      </c>
      <c r="I966" s="52">
        <f t="shared" si="720"/>
        <v>0</v>
      </c>
      <c r="J966" s="52">
        <f t="shared" si="720"/>
        <v>0</v>
      </c>
      <c r="K966" s="52">
        <f t="shared" si="720"/>
        <v>0</v>
      </c>
      <c r="L966" s="52">
        <f t="shared" si="720"/>
        <v>0</v>
      </c>
      <c r="M966" s="52">
        <f t="shared" si="720"/>
        <v>0</v>
      </c>
      <c r="N966" s="52">
        <f t="shared" si="720"/>
        <v>0</v>
      </c>
      <c r="O966" s="131">
        <f ca="1" t="shared" si="710"/>
        <v>36594.598</v>
      </c>
    </row>
    <row r="967" customHeight="1" spans="1:16">
      <c r="A967" s="115" t="s">
        <v>578</v>
      </c>
      <c r="B967" s="50" t="s">
        <v>123</v>
      </c>
      <c r="C967" s="52">
        <f t="shared" ref="C967:N967" si="721">C895*1.13</f>
        <v>0</v>
      </c>
      <c r="D967" s="52">
        <f t="shared" si="721"/>
        <v>0</v>
      </c>
      <c r="E967" s="52">
        <f t="shared" si="721"/>
        <v>0</v>
      </c>
      <c r="F967" s="52">
        <f t="shared" si="721"/>
        <v>0</v>
      </c>
      <c r="G967" s="52">
        <f t="shared" si="721"/>
        <v>0</v>
      </c>
      <c r="H967" s="52">
        <f t="shared" si="721"/>
        <v>0</v>
      </c>
      <c r="I967" s="52">
        <f t="shared" si="721"/>
        <v>0</v>
      </c>
      <c r="J967" s="52">
        <f t="shared" si="721"/>
        <v>0</v>
      </c>
      <c r="K967" s="52">
        <f t="shared" si="721"/>
        <v>0</v>
      </c>
      <c r="L967" s="52">
        <f t="shared" si="721"/>
        <v>0</v>
      </c>
      <c r="M967" s="52">
        <f t="shared" si="721"/>
        <v>0</v>
      </c>
      <c r="N967" s="52">
        <f t="shared" si="721"/>
        <v>0</v>
      </c>
      <c r="O967" s="131">
        <f ca="1" t="shared" si="710"/>
        <v>0</v>
      </c>
    </row>
    <row r="968" customHeight="1" spans="1:16">
      <c r="A968" s="115" t="s">
        <v>579</v>
      </c>
      <c r="B968" s="50" t="s">
        <v>123</v>
      </c>
      <c r="C968" s="52">
        <f t="shared" ref="C968:N968" si="722">C896*1.13</f>
        <v>0</v>
      </c>
      <c r="D968" s="52">
        <f t="shared" si="722"/>
        <v>0</v>
      </c>
      <c r="E968" s="52">
        <f t="shared" si="722"/>
        <v>0</v>
      </c>
      <c r="F968" s="52">
        <f t="shared" si="722"/>
        <v>0</v>
      </c>
      <c r="G968" s="52">
        <f t="shared" si="722"/>
        <v>0</v>
      </c>
      <c r="H968" s="52">
        <f t="shared" si="722"/>
        <v>0</v>
      </c>
      <c r="I968" s="52">
        <f t="shared" si="722"/>
        <v>0</v>
      </c>
      <c r="J968" s="52">
        <f t="shared" si="722"/>
        <v>0</v>
      </c>
      <c r="K968" s="52">
        <f t="shared" si="722"/>
        <v>0</v>
      </c>
      <c r="L968" s="52">
        <f t="shared" si="722"/>
        <v>0</v>
      </c>
      <c r="M968" s="52">
        <f t="shared" si="722"/>
        <v>0</v>
      </c>
      <c r="N968" s="52">
        <f t="shared" si="722"/>
        <v>0</v>
      </c>
      <c r="O968" s="131">
        <f ca="1" t="shared" si="710"/>
        <v>0</v>
      </c>
    </row>
    <row r="969" customHeight="1" spans="1:16">
      <c r="A969" s="115" t="s">
        <v>580</v>
      </c>
      <c r="B969" s="50"/>
      <c r="C969" s="52">
        <f t="shared" ref="C969:N969" si="723">C897*1.13</f>
        <v>532.885399999999</v>
      </c>
      <c r="D969" s="52">
        <f t="shared" si="723"/>
        <v>262.0809</v>
      </c>
      <c r="E969" s="52">
        <f t="shared" si="723"/>
        <v>0</v>
      </c>
      <c r="F969" s="52">
        <f t="shared" si="723"/>
        <v>670.0335</v>
      </c>
      <c r="G969" s="52">
        <f t="shared" si="723"/>
        <v>480.905400000001</v>
      </c>
      <c r="H969" s="52">
        <f t="shared" si="723"/>
        <v>0</v>
      </c>
      <c r="I969" s="52">
        <f t="shared" si="723"/>
        <v>0</v>
      </c>
      <c r="J969" s="52">
        <f t="shared" si="723"/>
        <v>0</v>
      </c>
      <c r="K969" s="52">
        <f t="shared" si="723"/>
        <v>0</v>
      </c>
      <c r="L969" s="52">
        <f t="shared" si="723"/>
        <v>0</v>
      </c>
      <c r="M969" s="52">
        <f t="shared" si="723"/>
        <v>0</v>
      </c>
      <c r="N969" s="52">
        <f t="shared" si="723"/>
        <v>0</v>
      </c>
      <c r="O969" s="131">
        <f ca="1" t="shared" si="710"/>
        <v>1945.9052</v>
      </c>
      <c r="P969" s="104"/>
    </row>
    <row r="970" customHeight="1" spans="1:16">
      <c r="A970" s="115" t="s">
        <v>581</v>
      </c>
      <c r="B970" s="50"/>
      <c r="C970" s="52">
        <f>C898*1.13</f>
        <v>372.029900000001</v>
      </c>
      <c r="D970" s="52">
        <f t="shared" ref="D970:N970" si="724">D898*1.13</f>
        <v>0</v>
      </c>
      <c r="E970" s="52">
        <f t="shared" si="724"/>
        <v>0</v>
      </c>
      <c r="F970" s="52">
        <f t="shared" si="724"/>
        <v>417.9644</v>
      </c>
      <c r="G970" s="52">
        <f t="shared" si="724"/>
        <v>0</v>
      </c>
      <c r="H970" s="52">
        <f t="shared" si="724"/>
        <v>62.1951999999999</v>
      </c>
      <c r="I970" s="52">
        <f t="shared" si="724"/>
        <v>0</v>
      </c>
      <c r="J970" s="52">
        <f t="shared" si="724"/>
        <v>0</v>
      </c>
      <c r="K970" s="52">
        <f t="shared" si="724"/>
        <v>0</v>
      </c>
      <c r="L970" s="52">
        <f t="shared" si="724"/>
        <v>0</v>
      </c>
      <c r="M970" s="52">
        <f t="shared" si="724"/>
        <v>0</v>
      </c>
      <c r="N970" s="52">
        <f t="shared" si="724"/>
        <v>0</v>
      </c>
      <c r="O970" s="131">
        <f ca="1" t="shared" si="710"/>
        <v>852.189500000001</v>
      </c>
      <c r="P970" s="104"/>
    </row>
    <row r="971" customHeight="1" spans="1:16">
      <c r="A971" s="115" t="s">
        <v>349</v>
      </c>
      <c r="B971" s="50"/>
      <c r="C971" s="52">
        <f t="shared" ref="C971:N971" si="725">C899*1.13</f>
        <v>0</v>
      </c>
      <c r="D971" s="52">
        <f t="shared" si="725"/>
        <v>1137.8083</v>
      </c>
      <c r="E971" s="52">
        <f t="shared" si="725"/>
        <v>0</v>
      </c>
      <c r="F971" s="52">
        <f t="shared" si="725"/>
        <v>0</v>
      </c>
      <c r="G971" s="52">
        <f t="shared" si="725"/>
        <v>1857.0872</v>
      </c>
      <c r="H971" s="52">
        <f t="shared" si="725"/>
        <v>0</v>
      </c>
      <c r="I971" s="52">
        <f t="shared" si="725"/>
        <v>0</v>
      </c>
      <c r="J971" s="52">
        <f t="shared" si="725"/>
        <v>0</v>
      </c>
      <c r="K971" s="52">
        <f t="shared" si="725"/>
        <v>0</v>
      </c>
      <c r="L971" s="52">
        <f t="shared" si="725"/>
        <v>0</v>
      </c>
      <c r="M971" s="52">
        <f t="shared" si="725"/>
        <v>0</v>
      </c>
      <c r="N971" s="52">
        <f t="shared" si="725"/>
        <v>0</v>
      </c>
      <c r="O971" s="131">
        <f ca="1" t="shared" si="710"/>
        <v>2994.8955</v>
      </c>
      <c r="P971" s="104"/>
    </row>
    <row r="972" customHeight="1" spans="1:16">
      <c r="A972" s="115" t="s">
        <v>206</v>
      </c>
      <c r="B972" s="50"/>
      <c r="C972" s="52">
        <f t="shared" ref="C972:N972" si="726">C900*1.13</f>
        <v>0</v>
      </c>
      <c r="D972" s="52">
        <f t="shared" si="726"/>
        <v>0</v>
      </c>
      <c r="E972" s="52">
        <f t="shared" si="726"/>
        <v>0</v>
      </c>
      <c r="F972" s="52">
        <f t="shared" si="726"/>
        <v>0</v>
      </c>
      <c r="G972" s="52">
        <f t="shared" si="726"/>
        <v>0</v>
      </c>
      <c r="H972" s="52">
        <f t="shared" si="726"/>
        <v>0</v>
      </c>
      <c r="I972" s="52">
        <f t="shared" si="726"/>
        <v>0</v>
      </c>
      <c r="J972" s="52">
        <f t="shared" si="726"/>
        <v>0</v>
      </c>
      <c r="K972" s="52">
        <f t="shared" si="726"/>
        <v>0</v>
      </c>
      <c r="L972" s="52">
        <f t="shared" si="726"/>
        <v>0</v>
      </c>
      <c r="M972" s="52">
        <f t="shared" si="726"/>
        <v>0</v>
      </c>
      <c r="N972" s="52">
        <f t="shared" si="726"/>
        <v>0</v>
      </c>
      <c r="O972" s="131">
        <f ca="1" t="shared" si="710"/>
        <v>0</v>
      </c>
      <c r="P972" s="104"/>
    </row>
    <row r="973" customHeight="1" spans="1:16">
      <c r="A973" s="115" t="s">
        <v>350</v>
      </c>
      <c r="B973" s="50"/>
      <c r="C973" s="52">
        <f t="shared" ref="C973:N973" si="727">C901*1.13</f>
        <v>0</v>
      </c>
      <c r="D973" s="52">
        <f t="shared" si="727"/>
        <v>406.223699999999</v>
      </c>
      <c r="E973" s="52">
        <f t="shared" si="727"/>
        <v>0</v>
      </c>
      <c r="F973" s="52">
        <f t="shared" si="727"/>
        <v>0</v>
      </c>
      <c r="G973" s="52">
        <f t="shared" si="727"/>
        <v>666.191500000002</v>
      </c>
      <c r="H973" s="52">
        <f t="shared" si="727"/>
        <v>0</v>
      </c>
      <c r="I973" s="52">
        <f t="shared" si="727"/>
        <v>0</v>
      </c>
      <c r="J973" s="52">
        <f t="shared" si="727"/>
        <v>0</v>
      </c>
      <c r="K973" s="52">
        <f t="shared" si="727"/>
        <v>0</v>
      </c>
      <c r="L973" s="52">
        <f t="shared" si="727"/>
        <v>0</v>
      </c>
      <c r="M973" s="52">
        <f t="shared" si="727"/>
        <v>0</v>
      </c>
      <c r="N973" s="52">
        <f t="shared" si="727"/>
        <v>0</v>
      </c>
      <c r="O973" s="131">
        <f ca="1" t="shared" si="710"/>
        <v>1072.4152</v>
      </c>
      <c r="P973" s="104"/>
    </row>
    <row r="974" customHeight="1" spans="1:16">
      <c r="A974" s="115" t="s">
        <v>351</v>
      </c>
      <c r="B974" s="50"/>
      <c r="C974" s="52">
        <f t="shared" ref="C974:N974" si="728">C902*1.13</f>
        <v>301.3371</v>
      </c>
      <c r="D974" s="52">
        <f t="shared" si="728"/>
        <v>123.0005</v>
      </c>
      <c r="E974" s="52">
        <f t="shared" si="728"/>
        <v>559.6551</v>
      </c>
      <c r="F974" s="52">
        <f t="shared" si="728"/>
        <v>319.79</v>
      </c>
      <c r="G974" s="52">
        <f t="shared" si="728"/>
        <v>707.255699999999</v>
      </c>
      <c r="H974" s="52">
        <f t="shared" si="728"/>
        <v>387.4544</v>
      </c>
      <c r="I974" s="52">
        <f t="shared" si="728"/>
        <v>0</v>
      </c>
      <c r="J974" s="52">
        <f t="shared" si="728"/>
        <v>0</v>
      </c>
      <c r="K974" s="52">
        <f t="shared" si="728"/>
        <v>0</v>
      </c>
      <c r="L974" s="52">
        <f t="shared" si="728"/>
        <v>0</v>
      </c>
      <c r="M974" s="52">
        <f t="shared" si="728"/>
        <v>0</v>
      </c>
      <c r="N974" s="52">
        <f t="shared" si="728"/>
        <v>0</v>
      </c>
      <c r="O974" s="131">
        <f ca="1" t="shared" si="710"/>
        <v>2398.4928</v>
      </c>
      <c r="P974" s="104"/>
    </row>
    <row r="975" customHeight="1" spans="1:16">
      <c r="A975" s="115" t="s">
        <v>340</v>
      </c>
      <c r="B975" s="50"/>
      <c r="C975" s="52">
        <f t="shared" ref="C975:N975" si="729">C903*1.13</f>
        <v>0</v>
      </c>
      <c r="D975" s="52">
        <f t="shared" si="729"/>
        <v>0</v>
      </c>
      <c r="E975" s="52">
        <f t="shared" si="729"/>
        <v>0</v>
      </c>
      <c r="F975" s="52">
        <f t="shared" si="729"/>
        <v>82.9081</v>
      </c>
      <c r="G975" s="52">
        <f t="shared" si="729"/>
        <v>249.1085</v>
      </c>
      <c r="H975" s="52">
        <f t="shared" si="729"/>
        <v>59.9804000000001</v>
      </c>
      <c r="I975" s="52">
        <f t="shared" si="729"/>
        <v>0</v>
      </c>
      <c r="J975" s="52">
        <f t="shared" si="729"/>
        <v>0</v>
      </c>
      <c r="K975" s="52">
        <f t="shared" si="729"/>
        <v>0</v>
      </c>
      <c r="L975" s="52">
        <f t="shared" si="729"/>
        <v>0</v>
      </c>
      <c r="M975" s="52">
        <f t="shared" si="729"/>
        <v>0</v>
      </c>
      <c r="N975" s="52">
        <f t="shared" si="729"/>
        <v>0</v>
      </c>
      <c r="O975" s="131">
        <f ca="1">SUM(OFFSET($C975,0,0,1,mth))</f>
        <v>391.997</v>
      </c>
      <c r="P975" s="104"/>
    </row>
    <row r="976" customHeight="1" spans="1:16">
      <c r="A976" s="48" t="s">
        <v>232</v>
      </c>
      <c r="B976" s="60" t="s">
        <v>123</v>
      </c>
      <c r="C976" s="367">
        <f t="shared" ref="C976:H976" si="730">SUM(C939:C975)</f>
        <v>227613.0072</v>
      </c>
      <c r="D976" s="367">
        <f t="shared" si="730"/>
        <v>84398.6491</v>
      </c>
      <c r="E976" s="367">
        <f t="shared" si="730"/>
        <v>396486.8968</v>
      </c>
      <c r="F976" s="367">
        <f t="shared" si="730"/>
        <v>764058.3592</v>
      </c>
      <c r="G976" s="367">
        <f t="shared" si="730"/>
        <v>525338.1639</v>
      </c>
      <c r="H976" s="367">
        <f t="shared" si="730"/>
        <v>241780.4161</v>
      </c>
      <c r="I976" s="367">
        <f t="shared" ref="D976:N976" si="731">SUM(I939:I974)</f>
        <v>0</v>
      </c>
      <c r="J976" s="367">
        <f t="shared" si="731"/>
        <v>0</v>
      </c>
      <c r="K976" s="367">
        <f t="shared" si="731"/>
        <v>0</v>
      </c>
      <c r="L976" s="367">
        <f t="shared" si="731"/>
        <v>0</v>
      </c>
      <c r="M976" s="367">
        <f t="shared" si="731"/>
        <v>0</v>
      </c>
      <c r="N976" s="367">
        <f t="shared" si="731"/>
        <v>0</v>
      </c>
      <c r="O976" s="367">
        <f ca="1">SUM(O939:O975)</f>
        <v>2239675.4923</v>
      </c>
    </row>
    <row r="977" customHeight="1" spans="1:16">
      <c r="A977" s="227" t="s">
        <v>355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 s="228"/>
    </row>
    <row r="978" customHeight="1" spans="1:16">
      <c r="A978" s="48" t="s">
        <v>354</v>
      </c>
      <c r="B978" s="230" t="s">
        <v>77</v>
      </c>
      <c r="C978" s="48" t="s">
        <v>220</v>
      </c>
      <c r="D978" s="48" t="s">
        <v>221</v>
      </c>
      <c r="E978" s="48" t="s">
        <v>222</v>
      </c>
      <c r="F978" s="48" t="s">
        <v>223</v>
      </c>
      <c r="G978" s="48" t="s">
        <v>224</v>
      </c>
      <c r="H978" s="48" t="s">
        <v>225</v>
      </c>
      <c r="I978" s="48" t="s">
        <v>226</v>
      </c>
      <c r="J978" s="48" t="s">
        <v>227</v>
      </c>
      <c r="K978" s="48" t="s">
        <v>228</v>
      </c>
      <c r="L978" s="48" t="s">
        <v>229</v>
      </c>
      <c r="M978" s="48" t="s">
        <v>230</v>
      </c>
      <c r="N978" s="48" t="s">
        <v>231</v>
      </c>
      <c r="O978" s="72" t="str">
        <f>CONCATENATE("1-"&amp;mth&amp;"月累计")</f>
        <v>1-8月累计</v>
      </c>
    </row>
    <row r="979" customHeight="1" spans="1:16">
      <c r="A979" s="307" t="s">
        <v>178</v>
      </c>
      <c r="B979" s="50" t="s">
        <v>123</v>
      </c>
      <c r="C979" s="52">
        <f>C907*1.13</f>
        <v>0</v>
      </c>
      <c r="D979" s="52">
        <f t="shared" ref="D979:N979" si="732">D907*1.13</f>
        <v>0</v>
      </c>
      <c r="E979" s="52">
        <f t="shared" si="732"/>
        <v>0</v>
      </c>
      <c r="F979" s="52">
        <f t="shared" si="732"/>
        <v>0</v>
      </c>
      <c r="G979" s="52">
        <f t="shared" si="732"/>
        <v>0</v>
      </c>
      <c r="H979" s="52">
        <f t="shared" si="732"/>
        <v>0</v>
      </c>
      <c r="I979" s="52">
        <f t="shared" si="732"/>
        <v>0</v>
      </c>
      <c r="J979" s="52">
        <f t="shared" si="732"/>
        <v>0</v>
      </c>
      <c r="K979" s="52">
        <f t="shared" si="732"/>
        <v>0</v>
      </c>
      <c r="L979" s="52">
        <f t="shared" si="732"/>
        <v>0</v>
      </c>
      <c r="M979" s="52">
        <f t="shared" si="732"/>
        <v>0</v>
      </c>
      <c r="N979" s="52">
        <f t="shared" si="732"/>
        <v>0</v>
      </c>
      <c r="O979" s="131">
        <f ca="1">SUM(OFFSET($C979,0,0,1,mth))</f>
        <v>0</v>
      </c>
    </row>
    <row r="980" customHeight="1" spans="1:16">
      <c r="A980" s="307" t="s">
        <v>179</v>
      </c>
      <c r="B980" s="50" t="s">
        <v>123</v>
      </c>
      <c r="C980" s="52">
        <f t="shared" ref="C980:N980" si="733">C908*1.13</f>
        <v>0</v>
      </c>
      <c r="D980" s="52">
        <f t="shared" si="733"/>
        <v>389.8952</v>
      </c>
      <c r="E980" s="52">
        <f t="shared" si="733"/>
        <v>153.1715</v>
      </c>
      <c r="F980" s="52">
        <f t="shared" si="733"/>
        <v>1246.6273</v>
      </c>
      <c r="G980" s="52">
        <f t="shared" si="733"/>
        <v>2142.0845</v>
      </c>
      <c r="H980" s="52">
        <f t="shared" si="733"/>
        <v>715.7985</v>
      </c>
      <c r="I980" s="52">
        <f t="shared" si="733"/>
        <v>0</v>
      </c>
      <c r="J980" s="52">
        <f t="shared" si="733"/>
        <v>0</v>
      </c>
      <c r="K980" s="52">
        <f t="shared" si="733"/>
        <v>0</v>
      </c>
      <c r="L980" s="52">
        <f t="shared" si="733"/>
        <v>0</v>
      </c>
      <c r="M980" s="52">
        <f t="shared" si="733"/>
        <v>0</v>
      </c>
      <c r="N980" s="52">
        <f t="shared" si="733"/>
        <v>0</v>
      </c>
      <c r="O980" s="131">
        <f ca="1">SUM(OFFSET($C980,0,0,1,mth))</f>
        <v>4647.577</v>
      </c>
    </row>
    <row r="981" customHeight="1" spans="1:16">
      <c r="A981" s="307" t="s">
        <v>180</v>
      </c>
      <c r="B981" s="50" t="s">
        <v>123</v>
      </c>
      <c r="C981" s="52">
        <f t="shared" ref="C981:N981" si="734">C909*1.13</f>
        <v>0</v>
      </c>
      <c r="D981" s="52">
        <f t="shared" si="734"/>
        <v>0</v>
      </c>
      <c r="E981" s="52">
        <f t="shared" si="734"/>
        <v>0</v>
      </c>
      <c r="F981" s="52">
        <f t="shared" si="734"/>
        <v>0</v>
      </c>
      <c r="G981" s="52">
        <f t="shared" si="734"/>
        <v>0</v>
      </c>
      <c r="H981" s="52">
        <f t="shared" si="734"/>
        <v>0</v>
      </c>
      <c r="I981" s="52">
        <f t="shared" si="734"/>
        <v>0</v>
      </c>
      <c r="J981" s="52">
        <f t="shared" si="734"/>
        <v>0</v>
      </c>
      <c r="K981" s="52">
        <f t="shared" si="734"/>
        <v>0</v>
      </c>
      <c r="L981" s="52">
        <f t="shared" si="734"/>
        <v>0</v>
      </c>
      <c r="M981" s="52">
        <f t="shared" si="734"/>
        <v>0</v>
      </c>
      <c r="N981" s="52">
        <f t="shared" si="734"/>
        <v>0</v>
      </c>
      <c r="O981" s="131">
        <f ca="1">SUM(OFFSET($C981,0,0,1,mth))</f>
        <v>0</v>
      </c>
    </row>
    <row r="982" customHeight="1" spans="1:16">
      <c r="A982" s="307" t="s">
        <v>181</v>
      </c>
      <c r="B982" s="50" t="s">
        <v>123</v>
      </c>
      <c r="C982" s="52">
        <f t="shared" ref="C982:N982" si="735">C910*1.13</f>
        <v>0</v>
      </c>
      <c r="D982" s="52">
        <f t="shared" si="735"/>
        <v>26923.4591</v>
      </c>
      <c r="E982" s="52">
        <f t="shared" si="735"/>
        <v>0</v>
      </c>
      <c r="F982" s="52">
        <f t="shared" si="735"/>
        <v>26906.7916</v>
      </c>
      <c r="G982" s="52">
        <f t="shared" si="735"/>
        <v>55692.3325</v>
      </c>
      <c r="H982" s="52">
        <f t="shared" si="735"/>
        <v>21866.4944</v>
      </c>
      <c r="I982" s="52">
        <f t="shared" si="735"/>
        <v>0</v>
      </c>
      <c r="J982" s="52">
        <f t="shared" si="735"/>
        <v>0</v>
      </c>
      <c r="K982" s="52">
        <f t="shared" si="735"/>
        <v>0</v>
      </c>
      <c r="L982" s="52">
        <f t="shared" si="735"/>
        <v>0</v>
      </c>
      <c r="M982" s="52">
        <f t="shared" si="735"/>
        <v>0</v>
      </c>
      <c r="N982" s="52">
        <f t="shared" si="735"/>
        <v>0</v>
      </c>
      <c r="O982" s="131">
        <f ca="1" t="shared" ref="O982:O992" si="736">SUM(OFFSET($C982,0,0,1,mth))</f>
        <v>131389.0776</v>
      </c>
    </row>
    <row r="983" customHeight="1" spans="1:16">
      <c r="A983" s="307" t="s">
        <v>182</v>
      </c>
      <c r="B983" s="50" t="s">
        <v>123</v>
      </c>
      <c r="C983" s="52">
        <f t="shared" ref="C983:N983" si="737">C911*1.13</f>
        <v>31241.2682</v>
      </c>
      <c r="D983" s="52">
        <f t="shared" si="737"/>
        <v>46058.0994</v>
      </c>
      <c r="E983" s="52">
        <f t="shared" si="737"/>
        <v>4943.8969</v>
      </c>
      <c r="F983" s="52">
        <f t="shared" si="737"/>
        <v>66879.0726</v>
      </c>
      <c r="G983" s="52">
        <f t="shared" si="737"/>
        <v>133782.2142</v>
      </c>
      <c r="H983" s="52">
        <f t="shared" si="737"/>
        <v>76036.4231</v>
      </c>
      <c r="I983" s="52">
        <f t="shared" si="737"/>
        <v>0</v>
      </c>
      <c r="J983" s="52">
        <f t="shared" si="737"/>
        <v>0</v>
      </c>
      <c r="K983" s="52">
        <f t="shared" si="737"/>
        <v>0</v>
      </c>
      <c r="L983" s="52">
        <f t="shared" si="737"/>
        <v>0</v>
      </c>
      <c r="M983" s="52">
        <f t="shared" si="737"/>
        <v>0</v>
      </c>
      <c r="N983" s="52">
        <f t="shared" si="737"/>
        <v>0</v>
      </c>
      <c r="O983" s="131">
        <f ca="1" t="shared" si="736"/>
        <v>358940.9744</v>
      </c>
    </row>
    <row r="984" customHeight="1" spans="1:16">
      <c r="A984" s="307" t="s">
        <v>183</v>
      </c>
      <c r="B984" s="50" t="s">
        <v>123</v>
      </c>
      <c r="C984" s="52">
        <f t="shared" ref="C984:N984" si="738">C912*1.13</f>
        <v>35764.387</v>
      </c>
      <c r="D984" s="52">
        <f t="shared" si="738"/>
        <v>20452.2203</v>
      </c>
      <c r="E984" s="52">
        <f t="shared" si="738"/>
        <v>0</v>
      </c>
      <c r="F984" s="52">
        <f t="shared" si="738"/>
        <v>34087.0489</v>
      </c>
      <c r="G984" s="52">
        <f t="shared" si="738"/>
        <v>34890.6823</v>
      </c>
      <c r="H984" s="52">
        <f t="shared" si="738"/>
        <v>46327.9773</v>
      </c>
      <c r="I984" s="52">
        <f t="shared" si="738"/>
        <v>0</v>
      </c>
      <c r="J984" s="52">
        <f t="shared" si="738"/>
        <v>0</v>
      </c>
      <c r="K984" s="52">
        <f t="shared" si="738"/>
        <v>0</v>
      </c>
      <c r="L984" s="52">
        <f t="shared" si="738"/>
        <v>0</v>
      </c>
      <c r="M984" s="52">
        <f t="shared" si="738"/>
        <v>0</v>
      </c>
      <c r="N984" s="52">
        <f t="shared" si="738"/>
        <v>0</v>
      </c>
      <c r="O984" s="131">
        <f ca="1" t="shared" si="736"/>
        <v>171522.3158</v>
      </c>
    </row>
    <row r="985" customHeight="1" spans="1:16">
      <c r="A985" s="307" t="s">
        <v>184</v>
      </c>
      <c r="B985" s="50" t="s">
        <v>123</v>
      </c>
      <c r="C985" s="52">
        <f t="shared" ref="C985:N985" si="739">C913*1.13</f>
        <v>3627.8424</v>
      </c>
      <c r="D985" s="52">
        <f t="shared" si="739"/>
        <v>2176.22180000001</v>
      </c>
      <c r="E985" s="52">
        <f t="shared" si="739"/>
        <v>0</v>
      </c>
      <c r="F985" s="52">
        <f t="shared" si="739"/>
        <v>3360.69910000001</v>
      </c>
      <c r="G985" s="52">
        <f t="shared" si="739"/>
        <v>3675.03119999999</v>
      </c>
      <c r="H985" s="52">
        <f t="shared" si="739"/>
        <v>5127.5671</v>
      </c>
      <c r="I985" s="52">
        <f t="shared" si="739"/>
        <v>0</v>
      </c>
      <c r="J985" s="52">
        <f t="shared" si="739"/>
        <v>0</v>
      </c>
      <c r="K985" s="52">
        <f t="shared" si="739"/>
        <v>0</v>
      </c>
      <c r="L985" s="52">
        <f t="shared" si="739"/>
        <v>0</v>
      </c>
      <c r="M985" s="52">
        <f t="shared" si="739"/>
        <v>0</v>
      </c>
      <c r="N985" s="52">
        <f t="shared" si="739"/>
        <v>0</v>
      </c>
      <c r="O985" s="131">
        <f ca="1" t="shared" si="736"/>
        <v>17967.3616</v>
      </c>
    </row>
    <row r="986" customHeight="1" spans="1:16">
      <c r="A986" s="307" t="s">
        <v>185</v>
      </c>
      <c r="B986" s="50" t="s">
        <v>123</v>
      </c>
      <c r="C986" s="52">
        <f t="shared" ref="C986:N986" si="740">C914*1.13</f>
        <v>388.7878</v>
      </c>
      <c r="D986" s="52">
        <f t="shared" si="740"/>
        <v>375.3747</v>
      </c>
      <c r="E986" s="52">
        <f t="shared" si="740"/>
        <v>0</v>
      </c>
      <c r="F986" s="52">
        <f t="shared" si="740"/>
        <v>580.4923</v>
      </c>
      <c r="G986" s="52">
        <f t="shared" si="740"/>
        <v>636.393399999999</v>
      </c>
      <c r="H986" s="52">
        <f t="shared" si="740"/>
        <v>697.4925</v>
      </c>
      <c r="I986" s="52">
        <f t="shared" si="740"/>
        <v>0</v>
      </c>
      <c r="J986" s="52">
        <f t="shared" si="740"/>
        <v>0</v>
      </c>
      <c r="K986" s="52">
        <f t="shared" si="740"/>
        <v>0</v>
      </c>
      <c r="L986" s="52">
        <f t="shared" si="740"/>
        <v>0</v>
      </c>
      <c r="M986" s="52">
        <f t="shared" si="740"/>
        <v>0</v>
      </c>
      <c r="N986" s="52">
        <f t="shared" si="740"/>
        <v>0</v>
      </c>
      <c r="O986" s="131">
        <f ca="1" t="shared" si="736"/>
        <v>2678.5407</v>
      </c>
    </row>
    <row r="987" customHeight="1" spans="1:16">
      <c r="A987" s="307" t="s">
        <v>186</v>
      </c>
      <c r="B987" s="50" t="s">
        <v>123</v>
      </c>
      <c r="C987" s="52">
        <f t="shared" ref="C987:N987" si="741">C915*1.13</f>
        <v>256.9733</v>
      </c>
      <c r="D987" s="52">
        <f t="shared" si="741"/>
        <v>899.3218</v>
      </c>
      <c r="E987" s="52">
        <f t="shared" si="741"/>
        <v>388.912100000001</v>
      </c>
      <c r="F987" s="52">
        <f t="shared" si="741"/>
        <v>798.921299999999</v>
      </c>
      <c r="G987" s="52">
        <f t="shared" si="741"/>
        <v>2200.4377</v>
      </c>
      <c r="H987" s="52">
        <f t="shared" si="741"/>
        <v>1775.6368</v>
      </c>
      <c r="I987" s="52">
        <f t="shared" si="741"/>
        <v>0</v>
      </c>
      <c r="J987" s="52">
        <f t="shared" si="741"/>
        <v>0</v>
      </c>
      <c r="K987" s="52">
        <f t="shared" si="741"/>
        <v>0</v>
      </c>
      <c r="L987" s="52">
        <f t="shared" si="741"/>
        <v>0</v>
      </c>
      <c r="M987" s="52">
        <f t="shared" si="741"/>
        <v>0</v>
      </c>
      <c r="N987" s="52">
        <f t="shared" si="741"/>
        <v>0</v>
      </c>
      <c r="O987" s="131">
        <f ca="1" t="shared" si="736"/>
        <v>6320.203</v>
      </c>
      <c r="P987" s="68"/>
    </row>
    <row r="988" customHeight="1" spans="1:16">
      <c r="A988" s="307" t="s">
        <v>187</v>
      </c>
      <c r="B988" s="50" t="s">
        <v>123</v>
      </c>
      <c r="C988" s="52">
        <f t="shared" ref="C988:N988" si="742">C916*1.13</f>
        <v>0</v>
      </c>
      <c r="D988" s="52">
        <f t="shared" si="742"/>
        <v>0</v>
      </c>
      <c r="E988" s="52">
        <f t="shared" si="742"/>
        <v>0</v>
      </c>
      <c r="F988" s="52">
        <f t="shared" si="742"/>
        <v>0</v>
      </c>
      <c r="G988" s="52">
        <f t="shared" si="742"/>
        <v>0</v>
      </c>
      <c r="H988" s="52">
        <f t="shared" si="742"/>
        <v>0</v>
      </c>
      <c r="I988" s="52">
        <f t="shared" si="742"/>
        <v>0</v>
      </c>
      <c r="J988" s="52">
        <f t="shared" si="742"/>
        <v>0</v>
      </c>
      <c r="K988" s="52">
        <f t="shared" si="742"/>
        <v>0</v>
      </c>
      <c r="L988" s="52">
        <f t="shared" si="742"/>
        <v>0</v>
      </c>
      <c r="M988" s="52">
        <f t="shared" si="742"/>
        <v>0</v>
      </c>
      <c r="N988" s="52">
        <f t="shared" si="742"/>
        <v>0</v>
      </c>
      <c r="O988" s="131">
        <f ca="1" t="shared" si="736"/>
        <v>0</v>
      </c>
    </row>
    <row r="989" customHeight="1" spans="1:16">
      <c r="A989" s="307" t="s">
        <v>188</v>
      </c>
      <c r="B989" s="50"/>
      <c r="C989" s="52">
        <f t="shared" ref="C989:N989" si="743">C917*1.13</f>
        <v>3658.0021</v>
      </c>
      <c r="D989" s="52">
        <f t="shared" si="743"/>
        <v>4246.992</v>
      </c>
      <c r="E989" s="52">
        <f t="shared" si="743"/>
        <v>46.5108</v>
      </c>
      <c r="F989" s="52">
        <f t="shared" si="743"/>
        <v>356.503699999999</v>
      </c>
      <c r="G989" s="52">
        <f t="shared" si="743"/>
        <v>1239.9942</v>
      </c>
      <c r="H989" s="52">
        <f t="shared" si="743"/>
        <v>1115.9993</v>
      </c>
      <c r="I989" s="52">
        <f t="shared" si="743"/>
        <v>0</v>
      </c>
      <c r="J989" s="52">
        <f t="shared" si="743"/>
        <v>0</v>
      </c>
      <c r="K989" s="52">
        <f t="shared" si="743"/>
        <v>0</v>
      </c>
      <c r="L989" s="52">
        <f t="shared" si="743"/>
        <v>0</v>
      </c>
      <c r="M989" s="52">
        <f t="shared" si="743"/>
        <v>0</v>
      </c>
      <c r="N989" s="52">
        <f t="shared" si="743"/>
        <v>0</v>
      </c>
      <c r="O989" s="131">
        <f ca="1" t="shared" si="736"/>
        <v>10664.0021</v>
      </c>
    </row>
    <row r="990" customHeight="1" spans="1:16">
      <c r="A990" s="307" t="s">
        <v>189</v>
      </c>
      <c r="B990" s="50"/>
      <c r="C990" s="52">
        <f t="shared" ref="C990:N990" si="744">C918*1.13</f>
        <v>0</v>
      </c>
      <c r="D990" s="52">
        <f t="shared" si="744"/>
        <v>0</v>
      </c>
      <c r="E990" s="52">
        <f t="shared" si="744"/>
        <v>0</v>
      </c>
      <c r="F990" s="52">
        <f t="shared" si="744"/>
        <v>309.62</v>
      </c>
      <c r="G990" s="52">
        <f t="shared" si="744"/>
        <v>928.215899999999</v>
      </c>
      <c r="H990" s="52">
        <f t="shared" si="744"/>
        <v>274.1493</v>
      </c>
      <c r="I990" s="52">
        <f t="shared" si="744"/>
        <v>0</v>
      </c>
      <c r="J990" s="52">
        <f t="shared" si="744"/>
        <v>0</v>
      </c>
      <c r="K990" s="52">
        <f t="shared" si="744"/>
        <v>0</v>
      </c>
      <c r="L990" s="52">
        <f t="shared" si="744"/>
        <v>0</v>
      </c>
      <c r="M990" s="52">
        <f t="shared" si="744"/>
        <v>0</v>
      </c>
      <c r="N990" s="52">
        <f t="shared" si="744"/>
        <v>0</v>
      </c>
      <c r="O990" s="131">
        <f ca="1" t="shared" si="736"/>
        <v>1511.9852</v>
      </c>
    </row>
    <row r="991" customHeight="1" spans="1:16">
      <c r="A991" s="307" t="s">
        <v>190</v>
      </c>
      <c r="B991" s="50"/>
      <c r="C991" s="52">
        <f t="shared" ref="C991:N991" si="745">C919*1.13</f>
        <v>0</v>
      </c>
      <c r="D991" s="52">
        <f t="shared" si="745"/>
        <v>0</v>
      </c>
      <c r="E991" s="52">
        <f t="shared" si="745"/>
        <v>0</v>
      </c>
      <c r="F991" s="52">
        <f t="shared" si="745"/>
        <v>0</v>
      </c>
      <c r="G991" s="52">
        <f t="shared" si="745"/>
        <v>4590.27469999999</v>
      </c>
      <c r="H991" s="52">
        <f t="shared" si="745"/>
        <v>2429.726</v>
      </c>
      <c r="I991" s="52">
        <f t="shared" si="745"/>
        <v>0</v>
      </c>
      <c r="J991" s="52">
        <f t="shared" si="745"/>
        <v>0</v>
      </c>
      <c r="K991" s="52">
        <f t="shared" si="745"/>
        <v>0</v>
      </c>
      <c r="L991" s="52">
        <f t="shared" si="745"/>
        <v>0</v>
      </c>
      <c r="M991" s="52">
        <f t="shared" si="745"/>
        <v>0</v>
      </c>
      <c r="N991" s="52">
        <f t="shared" si="745"/>
        <v>0</v>
      </c>
      <c r="O991" s="131">
        <f ca="1" t="shared" si="736"/>
        <v>7020.00069999999</v>
      </c>
    </row>
    <row r="992" customHeight="1" spans="1:16">
      <c r="A992" s="307" t="s">
        <v>191</v>
      </c>
      <c r="B992" s="50" t="s">
        <v>123</v>
      </c>
      <c r="C992" s="52">
        <f t="shared" ref="C992:N992" si="746">C920*1.13</f>
        <v>0</v>
      </c>
      <c r="D992" s="52">
        <f t="shared" si="746"/>
        <v>47510.2398</v>
      </c>
      <c r="E992" s="52">
        <f t="shared" si="746"/>
        <v>72766.4177999999</v>
      </c>
      <c r="F992" s="52">
        <f t="shared" si="746"/>
        <v>146766.0046</v>
      </c>
      <c r="G992" s="52">
        <f t="shared" si="746"/>
        <v>212948.5791</v>
      </c>
      <c r="H992" s="52">
        <f t="shared" si="746"/>
        <v>273554.5697</v>
      </c>
      <c r="I992" s="52">
        <f t="shared" si="746"/>
        <v>0</v>
      </c>
      <c r="J992" s="52">
        <f t="shared" si="746"/>
        <v>0</v>
      </c>
      <c r="K992" s="52">
        <f t="shared" si="746"/>
        <v>0</v>
      </c>
      <c r="L992" s="52">
        <f t="shared" si="746"/>
        <v>0</v>
      </c>
      <c r="M992" s="52">
        <f t="shared" si="746"/>
        <v>0</v>
      </c>
      <c r="N992" s="52">
        <f t="shared" si="746"/>
        <v>0</v>
      </c>
      <c r="O992" s="131">
        <f ca="1" t="shared" si="736"/>
        <v>753545.811</v>
      </c>
    </row>
    <row r="993" customHeight="1" spans="1:16">
      <c r="A993" s="307" t="s">
        <v>192</v>
      </c>
      <c r="B993" s="50" t="s">
        <v>123</v>
      </c>
      <c r="C993" s="52">
        <f t="shared" ref="C993:N993" si="747">C921*1.13</f>
        <v>0</v>
      </c>
      <c r="D993" s="52">
        <f t="shared" si="747"/>
        <v>7788.5476</v>
      </c>
      <c r="E993" s="52">
        <f t="shared" si="747"/>
        <v>0</v>
      </c>
      <c r="F993" s="52">
        <f t="shared" si="747"/>
        <v>10104.0419</v>
      </c>
      <c r="G993" s="52">
        <f t="shared" si="747"/>
        <v>17042.1741</v>
      </c>
      <c r="H993" s="52">
        <f t="shared" si="747"/>
        <v>9615.0683</v>
      </c>
      <c r="I993" s="52">
        <f t="shared" si="747"/>
        <v>0</v>
      </c>
      <c r="J993" s="52">
        <f t="shared" si="747"/>
        <v>0</v>
      </c>
      <c r="K993" s="52">
        <f t="shared" si="747"/>
        <v>0</v>
      </c>
      <c r="L993" s="52">
        <f t="shared" si="747"/>
        <v>0</v>
      </c>
      <c r="M993" s="52">
        <f t="shared" si="747"/>
        <v>0</v>
      </c>
      <c r="N993" s="52">
        <f t="shared" si="747"/>
        <v>0</v>
      </c>
      <c r="O993" s="131">
        <f ca="1">SUM(OFFSET($C993,0,0,1,mth))</f>
        <v>44549.8319</v>
      </c>
    </row>
    <row r="994" customHeight="1" spans="1:16">
      <c r="A994" s="307" t="s">
        <v>193</v>
      </c>
      <c r="B994" s="50" t="s">
        <v>123</v>
      </c>
      <c r="C994" s="52">
        <f t="shared" ref="C994:N994" si="748">C922*1.13</f>
        <v>0</v>
      </c>
      <c r="D994" s="52">
        <f t="shared" si="748"/>
        <v>0</v>
      </c>
      <c r="E994" s="52">
        <f t="shared" si="748"/>
        <v>0</v>
      </c>
      <c r="F994" s="52">
        <f t="shared" si="748"/>
        <v>0</v>
      </c>
      <c r="G994" s="52">
        <f t="shared" si="748"/>
        <v>0</v>
      </c>
      <c r="H994" s="52">
        <f t="shared" si="748"/>
        <v>0</v>
      </c>
      <c r="I994" s="52">
        <f t="shared" si="748"/>
        <v>0</v>
      </c>
      <c r="J994" s="52">
        <f t="shared" si="748"/>
        <v>0</v>
      </c>
      <c r="K994" s="52">
        <f t="shared" si="748"/>
        <v>0</v>
      </c>
      <c r="L994" s="52">
        <f t="shared" si="748"/>
        <v>0</v>
      </c>
      <c r="M994" s="52">
        <f t="shared" si="748"/>
        <v>0</v>
      </c>
      <c r="N994" s="52">
        <f t="shared" si="748"/>
        <v>0</v>
      </c>
      <c r="O994" s="131">
        <f ca="1">SUM(OFFSET($C994,0,0,1,mth))</f>
        <v>0</v>
      </c>
    </row>
    <row r="995" customHeight="1" spans="1:16">
      <c r="A995" s="307" t="s">
        <v>194</v>
      </c>
      <c r="B995" s="50" t="s">
        <v>123</v>
      </c>
      <c r="C995" s="52">
        <f t="shared" ref="C995:N995" si="749">C923*1.13</f>
        <v>2888.9241</v>
      </c>
      <c r="D995" s="52">
        <f t="shared" si="749"/>
        <v>0</v>
      </c>
      <c r="E995" s="52">
        <f t="shared" si="749"/>
        <v>0</v>
      </c>
      <c r="F995" s="52">
        <f t="shared" si="749"/>
        <v>0</v>
      </c>
      <c r="G995" s="52">
        <f t="shared" si="749"/>
        <v>0</v>
      </c>
      <c r="H995" s="52">
        <f t="shared" si="749"/>
        <v>0</v>
      </c>
      <c r="I995" s="52">
        <f t="shared" si="749"/>
        <v>0</v>
      </c>
      <c r="J995" s="52">
        <f t="shared" si="749"/>
        <v>0</v>
      </c>
      <c r="K995" s="52">
        <f t="shared" si="749"/>
        <v>0</v>
      </c>
      <c r="L995" s="52">
        <f t="shared" si="749"/>
        <v>0</v>
      </c>
      <c r="M995" s="52">
        <f t="shared" si="749"/>
        <v>0</v>
      </c>
      <c r="N995" s="52">
        <f t="shared" si="749"/>
        <v>0</v>
      </c>
      <c r="O995" s="131">
        <f ca="1">SUM(OFFSET($C995,0,0,1,mth))</f>
        <v>2888.9241</v>
      </c>
    </row>
    <row r="996" customHeight="1" spans="1:16">
      <c r="A996" s="307" t="s">
        <v>195</v>
      </c>
      <c r="B996" s="50" t="s">
        <v>123</v>
      </c>
      <c r="C996" s="52">
        <f t="shared" ref="C996:N996" si="750">C924*1.13</f>
        <v>0</v>
      </c>
      <c r="D996" s="52">
        <f t="shared" si="750"/>
        <v>0</v>
      </c>
      <c r="E996" s="52">
        <f t="shared" si="750"/>
        <v>0</v>
      </c>
      <c r="F996" s="52">
        <f t="shared" si="750"/>
        <v>499.0419</v>
      </c>
      <c r="G996" s="52">
        <f t="shared" si="750"/>
        <v>1496.0409</v>
      </c>
      <c r="H996" s="52">
        <f t="shared" si="750"/>
        <v>116.9098</v>
      </c>
      <c r="I996" s="52">
        <f t="shared" si="750"/>
        <v>0</v>
      </c>
      <c r="J996" s="52">
        <f t="shared" si="750"/>
        <v>0</v>
      </c>
      <c r="K996" s="52">
        <f t="shared" si="750"/>
        <v>0</v>
      </c>
      <c r="L996" s="52">
        <f t="shared" si="750"/>
        <v>0</v>
      </c>
      <c r="M996" s="52">
        <f t="shared" si="750"/>
        <v>0</v>
      </c>
      <c r="N996" s="52">
        <f t="shared" si="750"/>
        <v>0</v>
      </c>
      <c r="O996" s="131">
        <f ca="1" t="shared" ref="O996:O1006" si="751">SUM(OFFSET($C996,0,0,1,mth))</f>
        <v>2111.9926</v>
      </c>
    </row>
    <row r="997" customHeight="1" spans="1:16">
      <c r="A997" s="307" t="s">
        <v>196</v>
      </c>
      <c r="B997" s="50" t="s">
        <v>123</v>
      </c>
      <c r="C997" s="52">
        <f t="shared" ref="C997:N997" si="752">C925*1.13</f>
        <v>0</v>
      </c>
      <c r="D997" s="52">
        <f t="shared" si="752"/>
        <v>0</v>
      </c>
      <c r="E997" s="52">
        <f t="shared" si="752"/>
        <v>0</v>
      </c>
      <c r="F997" s="52">
        <f t="shared" si="752"/>
        <v>0</v>
      </c>
      <c r="G997" s="52">
        <f t="shared" si="752"/>
        <v>0</v>
      </c>
      <c r="H997" s="52">
        <f t="shared" si="752"/>
        <v>0</v>
      </c>
      <c r="I997" s="52">
        <f t="shared" si="752"/>
        <v>0</v>
      </c>
      <c r="J997" s="52">
        <f t="shared" si="752"/>
        <v>0</v>
      </c>
      <c r="K997" s="52">
        <f t="shared" si="752"/>
        <v>0</v>
      </c>
      <c r="L997" s="52">
        <f t="shared" si="752"/>
        <v>0</v>
      </c>
      <c r="M997" s="52">
        <f t="shared" si="752"/>
        <v>0</v>
      </c>
      <c r="N997" s="52">
        <f t="shared" si="752"/>
        <v>0</v>
      </c>
      <c r="O997" s="131">
        <f ca="1" t="shared" si="751"/>
        <v>0</v>
      </c>
    </row>
    <row r="998" customHeight="1" spans="1:16">
      <c r="A998" s="307" t="s">
        <v>197</v>
      </c>
      <c r="B998" s="50" t="s">
        <v>123</v>
      </c>
      <c r="C998" s="52">
        <f t="shared" ref="C998:N998" si="753">C926*1.13</f>
        <v>0</v>
      </c>
      <c r="D998" s="52">
        <f t="shared" si="753"/>
        <v>0</v>
      </c>
      <c r="E998" s="52">
        <f t="shared" si="753"/>
        <v>0</v>
      </c>
      <c r="F998" s="52">
        <f t="shared" si="753"/>
        <v>0</v>
      </c>
      <c r="G998" s="52">
        <f t="shared" si="753"/>
        <v>0</v>
      </c>
      <c r="H998" s="52">
        <f t="shared" si="753"/>
        <v>0</v>
      </c>
      <c r="I998" s="52">
        <f t="shared" si="753"/>
        <v>0</v>
      </c>
      <c r="J998" s="52">
        <f t="shared" si="753"/>
        <v>0</v>
      </c>
      <c r="K998" s="52">
        <f t="shared" si="753"/>
        <v>0</v>
      </c>
      <c r="L998" s="52">
        <f t="shared" si="753"/>
        <v>0</v>
      </c>
      <c r="M998" s="52">
        <f t="shared" si="753"/>
        <v>0</v>
      </c>
      <c r="N998" s="52">
        <f t="shared" si="753"/>
        <v>0</v>
      </c>
      <c r="O998" s="131">
        <f ca="1" t="shared" si="751"/>
        <v>0</v>
      </c>
    </row>
    <row r="999" customHeight="1" spans="1:16">
      <c r="A999" s="115" t="s">
        <v>198</v>
      </c>
      <c r="B999" s="50" t="s">
        <v>123</v>
      </c>
      <c r="C999" s="52">
        <f t="shared" ref="C999:N999" si="754">C927*1.13</f>
        <v>0</v>
      </c>
      <c r="D999" s="52">
        <f t="shared" si="754"/>
        <v>2249.9995</v>
      </c>
      <c r="E999" s="52">
        <f t="shared" si="754"/>
        <v>3515.90460000001</v>
      </c>
      <c r="F999" s="52">
        <f t="shared" si="754"/>
        <v>4562.7479</v>
      </c>
      <c r="G999" s="52">
        <f t="shared" si="754"/>
        <v>17000.2511</v>
      </c>
      <c r="H999" s="52">
        <f t="shared" si="754"/>
        <v>5581.183</v>
      </c>
      <c r="I999" s="52">
        <f t="shared" si="754"/>
        <v>0</v>
      </c>
      <c r="J999" s="52">
        <f t="shared" si="754"/>
        <v>0</v>
      </c>
      <c r="K999" s="52">
        <f t="shared" si="754"/>
        <v>0</v>
      </c>
      <c r="L999" s="52">
        <f t="shared" si="754"/>
        <v>0</v>
      </c>
      <c r="M999" s="52">
        <f t="shared" si="754"/>
        <v>0</v>
      </c>
      <c r="N999" s="52">
        <f t="shared" si="754"/>
        <v>0</v>
      </c>
      <c r="O999" s="131">
        <f ca="1" t="shared" si="751"/>
        <v>32910.0861</v>
      </c>
    </row>
    <row r="1000" customHeight="1" spans="1:16">
      <c r="A1000" s="307" t="s">
        <v>199</v>
      </c>
      <c r="B1000" s="50" t="s">
        <v>123</v>
      </c>
      <c r="C1000" s="52">
        <f t="shared" ref="C1000:N1000" si="755">C928*1.13</f>
        <v>0</v>
      </c>
      <c r="D1000" s="52">
        <f t="shared" si="755"/>
        <v>0</v>
      </c>
      <c r="E1000" s="52">
        <f t="shared" si="755"/>
        <v>0</v>
      </c>
      <c r="F1000" s="52">
        <f t="shared" si="755"/>
        <v>0</v>
      </c>
      <c r="G1000" s="52">
        <f t="shared" si="755"/>
        <v>0</v>
      </c>
      <c r="H1000" s="52">
        <f t="shared" si="755"/>
        <v>0</v>
      </c>
      <c r="I1000" s="52">
        <f t="shared" si="755"/>
        <v>0</v>
      </c>
      <c r="J1000" s="52">
        <f t="shared" si="755"/>
        <v>0</v>
      </c>
      <c r="K1000" s="52">
        <f t="shared" si="755"/>
        <v>0</v>
      </c>
      <c r="L1000" s="52">
        <f t="shared" si="755"/>
        <v>0</v>
      </c>
      <c r="M1000" s="52">
        <f t="shared" si="755"/>
        <v>0</v>
      </c>
      <c r="N1000" s="52">
        <f t="shared" si="755"/>
        <v>0</v>
      </c>
      <c r="O1000" s="131">
        <f ca="1" t="shared" si="751"/>
        <v>0</v>
      </c>
    </row>
    <row r="1001" customHeight="1" spans="1:16">
      <c r="A1001" s="115" t="s">
        <v>200</v>
      </c>
      <c r="B1001" s="50" t="s">
        <v>123</v>
      </c>
      <c r="C1001" s="52">
        <f t="shared" ref="C1001:N1001" si="756">C929*1.13</f>
        <v>0</v>
      </c>
      <c r="D1001" s="52">
        <f t="shared" si="756"/>
        <v>0</v>
      </c>
      <c r="E1001" s="52">
        <f t="shared" si="756"/>
        <v>0</v>
      </c>
      <c r="F1001" s="52">
        <f t="shared" si="756"/>
        <v>0</v>
      </c>
      <c r="G1001" s="52">
        <f t="shared" si="756"/>
        <v>0</v>
      </c>
      <c r="H1001" s="52">
        <f t="shared" si="756"/>
        <v>0</v>
      </c>
      <c r="I1001" s="52">
        <f t="shared" si="756"/>
        <v>0</v>
      </c>
      <c r="J1001" s="52">
        <f t="shared" si="756"/>
        <v>0</v>
      </c>
      <c r="K1001" s="52">
        <f t="shared" si="756"/>
        <v>0</v>
      </c>
      <c r="L1001" s="52">
        <f t="shared" si="756"/>
        <v>0</v>
      </c>
      <c r="M1001" s="52">
        <f t="shared" si="756"/>
        <v>0</v>
      </c>
      <c r="N1001" s="52">
        <f t="shared" si="756"/>
        <v>0</v>
      </c>
      <c r="O1001" s="131">
        <f ca="1" t="shared" si="751"/>
        <v>0</v>
      </c>
      <c r="P1001" s="68"/>
    </row>
    <row r="1002" customHeight="1" spans="1:16">
      <c r="A1002" s="115" t="s">
        <v>205</v>
      </c>
      <c r="B1002" s="50" t="s">
        <v>123</v>
      </c>
      <c r="C1002" s="52">
        <f t="shared" ref="C1002:N1002" si="757">C930*1.13</f>
        <v>0</v>
      </c>
      <c r="D1002" s="52">
        <f t="shared" si="757"/>
        <v>0</v>
      </c>
      <c r="E1002" s="52">
        <f t="shared" si="757"/>
        <v>0</v>
      </c>
      <c r="F1002" s="52">
        <f t="shared" si="757"/>
        <v>0</v>
      </c>
      <c r="G1002" s="52">
        <f t="shared" si="757"/>
        <v>0</v>
      </c>
      <c r="H1002" s="52">
        <f t="shared" si="757"/>
        <v>0</v>
      </c>
      <c r="I1002" s="52">
        <f t="shared" si="757"/>
        <v>0</v>
      </c>
      <c r="J1002" s="52">
        <f t="shared" si="757"/>
        <v>0</v>
      </c>
      <c r="K1002" s="52">
        <f t="shared" si="757"/>
        <v>0</v>
      </c>
      <c r="L1002" s="52">
        <f t="shared" si="757"/>
        <v>0</v>
      </c>
      <c r="M1002" s="52">
        <f t="shared" si="757"/>
        <v>0</v>
      </c>
      <c r="N1002" s="52">
        <f t="shared" si="757"/>
        <v>0</v>
      </c>
      <c r="O1002" s="131">
        <f ca="1" t="shared" si="751"/>
        <v>0</v>
      </c>
    </row>
    <row r="1003" customHeight="1" spans="1:16">
      <c r="A1003" s="115" t="s">
        <v>203</v>
      </c>
      <c r="B1003" s="50"/>
      <c r="C1003" s="52">
        <f t="shared" ref="C1003:N1003" si="758">C931*1.13</f>
        <v>0</v>
      </c>
      <c r="D1003" s="52">
        <f t="shared" si="758"/>
        <v>0</v>
      </c>
      <c r="E1003" s="52">
        <f t="shared" si="758"/>
        <v>0</v>
      </c>
      <c r="F1003" s="52">
        <f t="shared" si="758"/>
        <v>0</v>
      </c>
      <c r="G1003" s="52">
        <f t="shared" si="758"/>
        <v>-25.8882999999999</v>
      </c>
      <c r="H1003" s="52">
        <f t="shared" si="758"/>
        <v>25.8883</v>
      </c>
      <c r="I1003" s="52">
        <f t="shared" si="758"/>
        <v>0</v>
      </c>
      <c r="J1003" s="52">
        <f t="shared" si="758"/>
        <v>0</v>
      </c>
      <c r="K1003" s="52">
        <f t="shared" si="758"/>
        <v>0</v>
      </c>
      <c r="L1003" s="52">
        <f t="shared" si="758"/>
        <v>0</v>
      </c>
      <c r="M1003" s="52">
        <f t="shared" si="758"/>
        <v>0</v>
      </c>
      <c r="N1003" s="52">
        <f t="shared" si="758"/>
        <v>0</v>
      </c>
      <c r="O1003" s="131">
        <f ca="1" t="shared" si="751"/>
        <v>9.9475983006414e-14</v>
      </c>
    </row>
    <row r="1004" customHeight="1" spans="1:16">
      <c r="A1004" s="115" t="s">
        <v>206</v>
      </c>
      <c r="B1004" s="50"/>
      <c r="C1004" s="52">
        <f t="shared" ref="C1004:N1004" si="759">C932*1.13</f>
        <v>0</v>
      </c>
      <c r="D1004" s="52">
        <f t="shared" si="759"/>
        <v>66952.2401</v>
      </c>
      <c r="E1004" s="52">
        <f t="shared" si="759"/>
        <v>0</v>
      </c>
      <c r="F1004" s="52">
        <f t="shared" si="759"/>
        <v>0</v>
      </c>
      <c r="G1004" s="52">
        <f t="shared" si="759"/>
        <v>30128.512</v>
      </c>
      <c r="H1004" s="52">
        <f t="shared" si="759"/>
        <v>53561.8079</v>
      </c>
      <c r="I1004" s="52">
        <f t="shared" si="759"/>
        <v>0</v>
      </c>
      <c r="J1004" s="52">
        <f t="shared" si="759"/>
        <v>0</v>
      </c>
      <c r="K1004" s="52">
        <f t="shared" si="759"/>
        <v>0</v>
      </c>
      <c r="L1004" s="52">
        <f t="shared" si="759"/>
        <v>0</v>
      </c>
      <c r="M1004" s="52">
        <f t="shared" si="759"/>
        <v>0</v>
      </c>
      <c r="N1004" s="52">
        <f t="shared" si="759"/>
        <v>0</v>
      </c>
      <c r="O1004" s="131">
        <f ca="1" t="shared" si="751"/>
        <v>150642.56</v>
      </c>
    </row>
    <row r="1005" customHeight="1" spans="1:16">
      <c r="A1005" s="115" t="s">
        <v>582</v>
      </c>
      <c r="B1005" s="50"/>
      <c r="C1005" s="52">
        <f t="shared" ref="C1005:N1005" si="760">C933*1.13</f>
        <v>0</v>
      </c>
      <c r="D1005" s="52">
        <f t="shared" si="760"/>
        <v>0</v>
      </c>
      <c r="E1005" s="52">
        <f t="shared" si="760"/>
        <v>0</v>
      </c>
      <c r="F1005" s="52">
        <f t="shared" si="760"/>
        <v>0</v>
      </c>
      <c r="G1005" s="52">
        <f t="shared" si="760"/>
        <v>44.4315999999998</v>
      </c>
      <c r="H1005" s="52">
        <f t="shared" si="760"/>
        <v>198.9817</v>
      </c>
      <c r="I1005" s="52">
        <f t="shared" si="760"/>
        <v>0</v>
      </c>
      <c r="J1005" s="52">
        <f t="shared" si="760"/>
        <v>0</v>
      </c>
      <c r="K1005" s="52">
        <f t="shared" si="760"/>
        <v>0</v>
      </c>
      <c r="L1005" s="52">
        <f t="shared" si="760"/>
        <v>0</v>
      </c>
      <c r="M1005" s="52">
        <f t="shared" si="760"/>
        <v>0</v>
      </c>
      <c r="N1005" s="52">
        <f t="shared" si="760"/>
        <v>0</v>
      </c>
      <c r="O1005" s="131">
        <f ca="1" t="shared" si="751"/>
        <v>243.4133</v>
      </c>
    </row>
    <row r="1006" customHeight="1" spans="1:16">
      <c r="A1006" s="115" t="s">
        <v>351</v>
      </c>
      <c r="B1006" s="50" t="s">
        <v>123</v>
      </c>
      <c r="C1006" s="52">
        <f t="shared" ref="C1006:N1006" si="761">C934*1.13</f>
        <v>43.053</v>
      </c>
      <c r="D1006" s="52">
        <f t="shared" si="761"/>
        <v>1814.2489</v>
      </c>
      <c r="E1006" s="52">
        <f t="shared" si="761"/>
        <v>676.4971</v>
      </c>
      <c r="F1006" s="52">
        <f t="shared" si="761"/>
        <v>6359.0976</v>
      </c>
      <c r="G1006" s="52">
        <f t="shared" si="761"/>
        <v>9440.24599999999</v>
      </c>
      <c r="H1006" s="52">
        <f t="shared" si="761"/>
        <v>3198.013</v>
      </c>
      <c r="I1006" s="52">
        <f t="shared" si="761"/>
        <v>0</v>
      </c>
      <c r="J1006" s="52">
        <f t="shared" si="761"/>
        <v>0</v>
      </c>
      <c r="K1006" s="52">
        <f t="shared" si="761"/>
        <v>0</v>
      </c>
      <c r="L1006" s="52">
        <f t="shared" si="761"/>
        <v>0</v>
      </c>
      <c r="M1006" s="52">
        <f t="shared" si="761"/>
        <v>0</v>
      </c>
      <c r="N1006" s="52">
        <f t="shared" si="761"/>
        <v>0</v>
      </c>
      <c r="O1006" s="131">
        <f ca="1">SUM(OFFSET($C1006,0,0,1,mth))</f>
        <v>21531.1556</v>
      </c>
    </row>
    <row r="1007" customHeight="1" spans="1:16">
      <c r="A1007" s="115" t="s">
        <v>204</v>
      </c>
      <c r="B1007" s="50"/>
      <c r="C1007" s="52">
        <f t="shared" ref="C1007:N1007" si="762">C935*1.13</f>
        <v>0</v>
      </c>
      <c r="D1007" s="52">
        <f t="shared" si="762"/>
        <v>0</v>
      </c>
      <c r="E1007" s="52">
        <f t="shared" si="762"/>
        <v>0</v>
      </c>
      <c r="F1007" s="52">
        <f t="shared" si="762"/>
        <v>0</v>
      </c>
      <c r="G1007" s="52">
        <f t="shared" si="762"/>
        <v>1517.7369</v>
      </c>
      <c r="H1007" s="52">
        <f t="shared" si="762"/>
        <v>5192.1014</v>
      </c>
      <c r="I1007" s="52">
        <f t="shared" si="762"/>
        <v>0</v>
      </c>
      <c r="J1007" s="52">
        <f t="shared" si="762"/>
        <v>0</v>
      </c>
      <c r="K1007" s="52">
        <f t="shared" si="762"/>
        <v>0</v>
      </c>
      <c r="L1007" s="52">
        <f t="shared" si="762"/>
        <v>0</v>
      </c>
      <c r="M1007" s="52">
        <f t="shared" si="762"/>
        <v>0</v>
      </c>
      <c r="N1007" s="52">
        <f t="shared" si="762"/>
        <v>0</v>
      </c>
      <c r="O1007" s="131">
        <f ca="1">SUM(OFFSET($C1007,0,0,1,mth))</f>
        <v>6709.8383</v>
      </c>
    </row>
    <row r="1008" customHeight="1" spans="1:16">
      <c r="A1008" s="48" t="s">
        <v>232</v>
      </c>
      <c r="B1008" s="60" t="s">
        <v>123</v>
      </c>
      <c r="C1008" s="367">
        <f t="shared" ref="C1008:H1008" si="763">SUM(C979:C1007)</f>
        <v>77869.2379</v>
      </c>
      <c r="D1008" s="367">
        <f t="shared" si="763"/>
        <v>227836.8602</v>
      </c>
      <c r="E1008" s="367">
        <f t="shared" si="763"/>
        <v>82491.3107999999</v>
      </c>
      <c r="F1008" s="367">
        <f t="shared" si="763"/>
        <v>302816.7107</v>
      </c>
      <c r="G1008" s="367">
        <f t="shared" si="763"/>
        <v>529369.744</v>
      </c>
      <c r="H1008" s="367">
        <f t="shared" si="763"/>
        <v>507411.7874</v>
      </c>
      <c r="I1008" s="367">
        <f t="shared" ref="D1008:N1008" si="764">SUM(I979:I1006)</f>
        <v>0</v>
      </c>
      <c r="J1008" s="367">
        <f t="shared" si="764"/>
        <v>0</v>
      </c>
      <c r="K1008" s="367">
        <f t="shared" si="764"/>
        <v>0</v>
      </c>
      <c r="L1008" s="367">
        <f t="shared" si="764"/>
        <v>0</v>
      </c>
      <c r="M1008" s="367">
        <f t="shared" si="764"/>
        <v>0</v>
      </c>
      <c r="N1008" s="367">
        <f t="shared" si="764"/>
        <v>0</v>
      </c>
      <c r="O1008" s="368">
        <f ca="1">SUM(OFFSET($C1008,0,0,1,mth))</f>
        <v>1727795.651</v>
      </c>
    </row>
    <row r="1010" customHeight="1" spans="3:14">
      <c r="C1010" s="68"/>
      <c r="D1010" s="68"/>
      <c r="E1010" s="68"/>
      <c r="F1010" s="68"/>
      <c r="G1010" s="68"/>
      <c r="H1010" s="68"/>
      <c r="I1010" s="68"/>
      <c r="J1010" s="68"/>
      <c r="K1010" s="68"/>
      <c r="L1010" s="68"/>
      <c r="M1010" s="68"/>
      <c r="N1010" s="68"/>
    </row>
  </sheetData>
  <mergeCells count="18">
    <mergeCell ref="A1:B1"/>
    <mergeCell ref="S111:T111"/>
    <mergeCell ref="U111:V111"/>
    <mergeCell ref="W111:X111"/>
    <mergeCell ref="Y111:Z111"/>
    <mergeCell ref="AA111:AB111"/>
    <mergeCell ref="AD111:AE111"/>
    <mergeCell ref="S124:T124"/>
    <mergeCell ref="X124:Y124"/>
    <mergeCell ref="Z124:AA124"/>
    <mergeCell ref="AB124:AC124"/>
    <mergeCell ref="AD124:AE124"/>
    <mergeCell ref="R244:S244"/>
    <mergeCell ref="Q111:Q112"/>
    <mergeCell ref="Q124:Q125"/>
    <mergeCell ref="R111:R112"/>
    <mergeCell ref="R124:R125"/>
    <mergeCell ref="AF124:AF126"/>
  </mergeCells>
  <pageMargins left="0.75" right="0.37" top="0.5" bottom="0.45" header="0.5" footer="0.5"/>
  <pageSetup paperSize="9" orientation="landscape"/>
  <headerFooter alignWithMargins="0"/>
  <ignoredErrors>
    <ignoredError sqref="E798:E831 O797" evalError="1"/>
    <ignoredError sqref="C22:E22 G22:N22 C74 J317 F274:F285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1" name="Scroll Bar 1" r:id="rId4">
              <controlPr defaultSize="0">
                <anchor moveWithCells="1">
                  <from>
                    <xdr:col>0</xdr:col>
                    <xdr:colOff>9525</xdr:colOff>
                    <xdr:row>1</xdr:row>
                    <xdr:rowOff>0</xdr:rowOff>
                  </from>
                  <to>
                    <xdr:col>0</xdr:col>
                    <xdr:colOff>1133475</xdr:colOff>
                    <xdr:row>1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>
    <tabColor rgb="FFC00000"/>
  </sheetPr>
  <dimension ref="A1:AC267"/>
  <sheetViews>
    <sheetView zoomScale="140" zoomScaleNormal="140" workbookViewId="0">
      <pane xSplit="3" ySplit="4" topLeftCell="D107" activePane="bottomRight" state="frozen"/>
      <selection/>
      <selection pane="topRight"/>
      <selection pane="bottomLeft"/>
      <selection pane="bottomRight" activeCell="Q220" sqref="Q220"/>
    </sheetView>
  </sheetViews>
  <sheetFormatPr defaultColWidth="9" defaultRowHeight="15" customHeight="1"/>
  <cols>
    <col min="1" max="1" width="22.6416666666667" style="40" customWidth="1"/>
    <col min="2" max="2" width="7.375" style="40" customWidth="1"/>
    <col min="3" max="3" width="15.125" style="40" customWidth="1"/>
    <col min="4" max="5" width="14.125" style="40" customWidth="1"/>
    <col min="6" max="6" width="15.375" style="40" customWidth="1"/>
    <col min="7" max="8" width="15.125" style="40" customWidth="1"/>
    <col min="9" max="9" width="15.125" style="40" hidden="1" customWidth="1"/>
    <col min="10" max="10" width="13.75" style="40" hidden="1" customWidth="1"/>
    <col min="11" max="11" width="13.625" style="40" hidden="1" customWidth="1"/>
    <col min="12" max="12" width="13.75" style="40" hidden="1" customWidth="1"/>
    <col min="13" max="13" width="12.375" style="40" hidden="1" customWidth="1"/>
    <col min="14" max="14" width="14.125" style="40" hidden="1" customWidth="1"/>
    <col min="15" max="15" width="15.125" style="40" customWidth="1"/>
    <col min="16" max="21" width="12.75" style="41" customWidth="1"/>
    <col min="22" max="27" width="12.75" style="41" hidden="1" customWidth="1"/>
    <col min="28" max="28" width="12.75" style="41" customWidth="1"/>
    <col min="29" max="16384" width="9" style="40"/>
  </cols>
  <sheetData>
    <row r="1" s="38" customFormat="1" ht="21" customHeight="1" spans="1:28">
      <c r="A1" s="42" t="s">
        <v>585</v>
      </c>
      <c r="B1" s="43"/>
      <c r="F1" s="44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="38" customFormat="1" customHeight="1" spans="1:28"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="38" customFormat="1" customHeight="1" spans="1:28">
      <c r="A3" s="46" t="s">
        <v>586</v>
      </c>
      <c r="B3" s="47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s="38" customFormat="1" ht="16.5" customHeight="1" spans="1:28">
      <c r="A4" s="48" t="s">
        <v>587</v>
      </c>
      <c r="B4" s="48"/>
      <c r="C4" s="48" t="s">
        <v>220</v>
      </c>
      <c r="D4" s="48" t="s">
        <v>221</v>
      </c>
      <c r="E4" s="48" t="s">
        <v>222</v>
      </c>
      <c r="F4" s="48" t="s">
        <v>223</v>
      </c>
      <c r="G4" s="48" t="s">
        <v>224</v>
      </c>
      <c r="H4" s="48" t="s">
        <v>225</v>
      </c>
      <c r="I4" s="48" t="s">
        <v>226</v>
      </c>
      <c r="J4" s="48" t="s">
        <v>227</v>
      </c>
      <c r="K4" s="48" t="s">
        <v>228</v>
      </c>
      <c r="L4" s="48" t="s">
        <v>229</v>
      </c>
      <c r="M4" s="48" t="s">
        <v>230</v>
      </c>
      <c r="N4" s="48" t="s">
        <v>231</v>
      </c>
      <c r="O4" s="48" t="str">
        <f>CONCATENATE("1-"&amp;mth&amp;"月累计")</f>
        <v>1-8月累计</v>
      </c>
      <c r="P4" s="49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s="38" customFormat="1" customHeight="1" spans="1:28">
      <c r="A5" s="46" t="s">
        <v>588</v>
      </c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s="38" customFormat="1" ht="16.5" customHeight="1" spans="1:28">
      <c r="A6" s="48" t="s">
        <v>252</v>
      </c>
      <c r="B6" s="50" t="s">
        <v>75</v>
      </c>
      <c r="C6" s="51">
        <f>C7+C8</f>
        <v>6493.81</v>
      </c>
      <c r="D6" s="51">
        <f t="shared" ref="D6:N6" si="0">D7+D8</f>
        <v>6339.325</v>
      </c>
      <c r="E6" s="51">
        <f t="shared" si="0"/>
        <v>8187.865</v>
      </c>
      <c r="F6" s="51">
        <f t="shared" si="0"/>
        <v>8362.335</v>
      </c>
      <c r="G6" s="51">
        <f t="shared" si="0"/>
        <v>8545.635</v>
      </c>
      <c r="H6" s="51">
        <f t="shared" si="0"/>
        <v>11192.27</v>
      </c>
      <c r="I6" s="51">
        <f t="shared" si="0"/>
        <v>0</v>
      </c>
      <c r="J6" s="51">
        <f t="shared" si="0"/>
        <v>0</v>
      </c>
      <c r="K6" s="51">
        <f t="shared" si="0"/>
        <v>0</v>
      </c>
      <c r="L6" s="51">
        <f t="shared" si="0"/>
        <v>0</v>
      </c>
      <c r="M6" s="51">
        <f t="shared" si="0"/>
        <v>0</v>
      </c>
      <c r="N6" s="51">
        <f t="shared" si="0"/>
        <v>0</v>
      </c>
      <c r="O6" s="52">
        <f ca="1">SUM(OFFSET($C6,0,0,1,mth))</f>
        <v>49121.24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="38" customFormat="1" ht="16.5" customHeight="1" spans="1:28">
      <c r="A7" s="53" t="s">
        <v>589</v>
      </c>
      <c r="B7" s="54" t="s">
        <v>75</v>
      </c>
      <c r="C7" s="55">
        <v>6482.02</v>
      </c>
      <c r="D7" s="55">
        <v>6332.545</v>
      </c>
      <c r="E7" s="55">
        <v>8180.215</v>
      </c>
      <c r="F7" s="55">
        <v>8342.22</v>
      </c>
      <c r="G7" s="55">
        <v>8520.945</v>
      </c>
      <c r="H7" s="55">
        <v>11174.12</v>
      </c>
      <c r="I7" s="55"/>
      <c r="J7" s="55"/>
      <c r="K7" s="55"/>
      <c r="L7" s="55"/>
      <c r="M7" s="55"/>
      <c r="N7" s="55"/>
      <c r="O7" s="56">
        <f ca="1" t="shared" ref="O7:O22" si="1">SUM(OFFSET($C7,0,0,1,mth))</f>
        <v>49032.065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="38" customFormat="1" ht="16.5" customHeight="1" spans="1:28">
      <c r="A8" s="53" t="s">
        <v>590</v>
      </c>
      <c r="B8" s="54" t="s">
        <v>75</v>
      </c>
      <c r="C8" s="55">
        <v>11.79</v>
      </c>
      <c r="D8" s="55">
        <v>6.78</v>
      </c>
      <c r="E8" s="55">
        <v>7.65</v>
      </c>
      <c r="F8" s="55">
        <v>20.115</v>
      </c>
      <c r="G8" s="55">
        <v>24.69</v>
      </c>
      <c r="H8" s="55">
        <v>18.15</v>
      </c>
      <c r="I8" s="55"/>
      <c r="J8" s="55"/>
      <c r="K8" s="55"/>
      <c r="L8" s="55"/>
      <c r="M8" s="55"/>
      <c r="N8" s="55"/>
      <c r="O8" s="56">
        <f ca="1" t="shared" si="1"/>
        <v>89.175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="38" customFormat="1" ht="16.5" hidden="1" customHeight="1" spans="1:28">
      <c r="A9" s="57" t="s">
        <v>253</v>
      </c>
      <c r="B9" s="50" t="s">
        <v>75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2">
        <f ca="1" t="shared" si="1"/>
        <v>0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="38" customFormat="1" ht="16.5" hidden="1" customHeight="1" spans="1:28">
      <c r="A10" s="57" t="s">
        <v>254</v>
      </c>
      <c r="B10" s="50" t="s">
        <v>75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>
        <f ca="1" t="shared" si="1"/>
        <v>0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="38" customFormat="1" ht="16.5" customHeight="1" spans="1:28">
      <c r="A11" s="48" t="s">
        <v>256</v>
      </c>
      <c r="B11" s="50" t="s">
        <v>75</v>
      </c>
      <c r="C11" s="51">
        <f>C12+C13</f>
        <v>1073.444</v>
      </c>
      <c r="D11" s="51">
        <f t="shared" ref="D11:N11" si="2">D12+D13</f>
        <v>849.155</v>
      </c>
      <c r="E11" s="51">
        <f t="shared" si="2"/>
        <v>964.583</v>
      </c>
      <c r="F11" s="51">
        <f t="shared" si="2"/>
        <v>1309.39</v>
      </c>
      <c r="G11" s="51">
        <f t="shared" si="2"/>
        <v>1084.376</v>
      </c>
      <c r="H11" s="51">
        <f t="shared" si="2"/>
        <v>1325.294</v>
      </c>
      <c r="I11" s="51">
        <f t="shared" si="2"/>
        <v>0</v>
      </c>
      <c r="J11" s="51">
        <f t="shared" si="2"/>
        <v>0</v>
      </c>
      <c r="K11" s="51">
        <f t="shared" si="2"/>
        <v>0</v>
      </c>
      <c r="L11" s="51">
        <f t="shared" si="2"/>
        <v>0</v>
      </c>
      <c r="M11" s="51">
        <f t="shared" si="2"/>
        <v>0</v>
      </c>
      <c r="N11" s="51">
        <f t="shared" si="2"/>
        <v>0</v>
      </c>
      <c r="O11" s="52">
        <f ca="1" t="shared" si="1"/>
        <v>6606.242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="38" customFormat="1" ht="16.5" customHeight="1" spans="1:28">
      <c r="A12" s="53" t="s">
        <v>591</v>
      </c>
      <c r="B12" s="54" t="s">
        <v>75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>
        <f ca="1" t="shared" si="1"/>
        <v>0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="38" customFormat="1" ht="16.5" customHeight="1" spans="1:28">
      <c r="A13" s="53" t="s">
        <v>592</v>
      </c>
      <c r="B13" s="54" t="s">
        <v>75</v>
      </c>
      <c r="C13" s="55">
        <v>1073.444</v>
      </c>
      <c r="D13" s="55">
        <v>849.155</v>
      </c>
      <c r="E13" s="55">
        <v>964.583</v>
      </c>
      <c r="F13" s="55">
        <v>1309.39</v>
      </c>
      <c r="G13" s="55">
        <v>1084.376</v>
      </c>
      <c r="H13" s="55">
        <v>1325.294</v>
      </c>
      <c r="I13" s="55"/>
      <c r="J13" s="55"/>
      <c r="K13" s="55"/>
      <c r="L13" s="55"/>
      <c r="M13" s="55"/>
      <c r="N13" s="55"/>
      <c r="O13" s="56">
        <f ca="1" t="shared" si="1"/>
        <v>6606.242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="38" customFormat="1" ht="16.5" customHeight="1" spans="1:28">
      <c r="A14" s="48" t="s">
        <v>593</v>
      </c>
      <c r="B14" s="50" t="s">
        <v>75</v>
      </c>
      <c r="C14" s="51">
        <f>C15+C16</f>
        <v>245.215</v>
      </c>
      <c r="D14" s="51">
        <f t="shared" ref="D14:N14" si="3">D15+D16</f>
        <v>280.285</v>
      </c>
      <c r="E14" s="51">
        <f t="shared" si="3"/>
        <v>324.05</v>
      </c>
      <c r="F14" s="51">
        <f t="shared" si="3"/>
        <v>428.76</v>
      </c>
      <c r="G14" s="51">
        <f t="shared" si="3"/>
        <v>328.96</v>
      </c>
      <c r="H14" s="51">
        <f t="shared" si="3"/>
        <v>330.615</v>
      </c>
      <c r="I14" s="51">
        <f t="shared" si="3"/>
        <v>0</v>
      </c>
      <c r="J14" s="51">
        <f t="shared" si="3"/>
        <v>0</v>
      </c>
      <c r="K14" s="51">
        <f t="shared" si="3"/>
        <v>0</v>
      </c>
      <c r="L14" s="51">
        <f t="shared" si="3"/>
        <v>0</v>
      </c>
      <c r="M14" s="51">
        <f t="shared" si="3"/>
        <v>0</v>
      </c>
      <c r="N14" s="51">
        <f t="shared" si="3"/>
        <v>0</v>
      </c>
      <c r="O14" s="52">
        <f ca="1" t="shared" si="1"/>
        <v>1937.885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s="38" customFormat="1" ht="16.5" customHeight="1" spans="1:28">
      <c r="A15" s="53" t="s">
        <v>594</v>
      </c>
      <c r="B15" s="54" t="s">
        <v>75</v>
      </c>
      <c r="C15" s="55"/>
      <c r="D15" s="55"/>
      <c r="E15" s="55"/>
      <c r="F15" s="55"/>
      <c r="G15" s="55"/>
      <c r="H15" s="58"/>
      <c r="I15" s="55"/>
      <c r="J15" s="55"/>
      <c r="K15" s="55"/>
      <c r="L15" s="55"/>
      <c r="M15" s="55"/>
      <c r="N15" s="55"/>
      <c r="O15" s="56">
        <f ca="1" t="shared" si="1"/>
        <v>0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="38" customFormat="1" ht="16.5" customHeight="1" spans="1:28">
      <c r="A16" s="53" t="s">
        <v>595</v>
      </c>
      <c r="B16" s="54" t="s">
        <v>75</v>
      </c>
      <c r="C16" s="55">
        <v>245.215</v>
      </c>
      <c r="D16" s="55">
        <v>280.285</v>
      </c>
      <c r="E16" s="55">
        <v>324.05</v>
      </c>
      <c r="F16" s="55">
        <v>428.76</v>
      </c>
      <c r="G16" s="55">
        <v>328.96</v>
      </c>
      <c r="H16" s="55">
        <v>330.615</v>
      </c>
      <c r="I16" s="55"/>
      <c r="J16" s="55"/>
      <c r="K16" s="55"/>
      <c r="L16" s="55"/>
      <c r="M16" s="55"/>
      <c r="N16" s="55"/>
      <c r="O16" s="56">
        <f ca="1" t="shared" si="1"/>
        <v>1937.885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s="38" customFormat="1" ht="16.5" customHeight="1" spans="1:28">
      <c r="A17" s="48" t="s">
        <v>596</v>
      </c>
      <c r="B17" s="50" t="s">
        <v>75</v>
      </c>
      <c r="C17" s="51"/>
      <c r="D17" s="51"/>
      <c r="E17" s="51">
        <v>30.837</v>
      </c>
      <c r="F17" s="51">
        <v>0</v>
      </c>
      <c r="G17" s="51">
        <v>0</v>
      </c>
      <c r="H17" s="51">
        <v>0</v>
      </c>
      <c r="I17" s="51">
        <f t="shared" ref="C17:N17" si="4">I18+I19</f>
        <v>0</v>
      </c>
      <c r="J17" s="51">
        <f t="shared" si="4"/>
        <v>0</v>
      </c>
      <c r="K17" s="51">
        <f t="shared" si="4"/>
        <v>0</v>
      </c>
      <c r="L17" s="51">
        <f t="shared" si="4"/>
        <v>0</v>
      </c>
      <c r="M17" s="51">
        <f t="shared" si="4"/>
        <v>0</v>
      </c>
      <c r="N17" s="51">
        <f t="shared" si="4"/>
        <v>0</v>
      </c>
      <c r="O17" s="52">
        <f ca="1">SUM(OFFSET($C17,0,0,1,mth))</f>
        <v>30.837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s="38" customFormat="1" ht="16.5" customHeight="1" spans="1:28">
      <c r="A18" s="48" t="s">
        <v>354</v>
      </c>
      <c r="B18" s="50" t="s">
        <v>75</v>
      </c>
      <c r="C18" s="51">
        <v>5516.074</v>
      </c>
      <c r="D18" s="51">
        <v>6144.463</v>
      </c>
      <c r="E18" s="51">
        <v>7760.949</v>
      </c>
      <c r="F18" s="51">
        <v>6104.574</v>
      </c>
      <c r="G18" s="51">
        <v>6189.712</v>
      </c>
      <c r="H18" s="51">
        <v>6442.626</v>
      </c>
      <c r="I18" s="51"/>
      <c r="J18" s="51"/>
      <c r="K18" s="51"/>
      <c r="L18" s="51"/>
      <c r="M18" s="51"/>
      <c r="N18" s="51"/>
      <c r="O18" s="52">
        <f ca="1">SUM(OFFSET($C18,0,0,1,mth))</f>
        <v>38158.398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s="38" customFormat="1" ht="16.5" customHeight="1" spans="1:28">
      <c r="A19" s="53" t="s">
        <v>597</v>
      </c>
      <c r="B19" s="54" t="s">
        <v>75</v>
      </c>
      <c r="C19" s="55">
        <f>C18-C20</f>
        <v>3498.268</v>
      </c>
      <c r="D19" s="55">
        <f>D18-D20</f>
        <v>3955.458</v>
      </c>
      <c r="E19" s="55">
        <f t="shared" ref="E19:N19" si="5">E18-E20</f>
        <v>5195.379</v>
      </c>
      <c r="F19" s="55">
        <f t="shared" si="5"/>
        <v>3375.624</v>
      </c>
      <c r="G19" s="55">
        <f t="shared" si="5"/>
        <v>3962.679</v>
      </c>
      <c r="H19" s="55">
        <f t="shared" si="5"/>
        <v>4197.49</v>
      </c>
      <c r="I19" s="55">
        <f t="shared" si="5"/>
        <v>0</v>
      </c>
      <c r="J19" s="55">
        <f t="shared" si="5"/>
        <v>0</v>
      </c>
      <c r="K19" s="55">
        <f t="shared" si="5"/>
        <v>0</v>
      </c>
      <c r="L19" s="55">
        <f t="shared" si="5"/>
        <v>0</v>
      </c>
      <c r="M19" s="55">
        <f t="shared" si="5"/>
        <v>0</v>
      </c>
      <c r="N19" s="55">
        <f t="shared" si="5"/>
        <v>0</v>
      </c>
      <c r="O19" s="56">
        <f ca="1">SUM(OFFSET($C19,0,0,1,mth))</f>
        <v>24184.898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s="38" customFormat="1" ht="16.5" customHeight="1" spans="1:28">
      <c r="A20" s="53" t="s">
        <v>598</v>
      </c>
      <c r="B20" s="54" t="s">
        <v>75</v>
      </c>
      <c r="C20" s="59">
        <v>2017.806</v>
      </c>
      <c r="D20" s="59">
        <v>2189.005</v>
      </c>
      <c r="E20" s="59">
        <v>2565.57</v>
      </c>
      <c r="F20" s="59">
        <v>2728.95</v>
      </c>
      <c r="G20" s="59">
        <v>2227.033</v>
      </c>
      <c r="H20" s="59">
        <v>2245.136</v>
      </c>
      <c r="I20" s="55"/>
      <c r="J20" s="55"/>
      <c r="K20" s="55"/>
      <c r="L20" s="55"/>
      <c r="M20" s="55"/>
      <c r="N20" s="55"/>
      <c r="O20" s="56">
        <f ca="1">SUM(OFFSET($C20,0,0,1,mth))</f>
        <v>13973.5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s="38" customFormat="1" ht="16.5" customHeight="1" spans="1:28">
      <c r="A21" s="48" t="s">
        <v>599</v>
      </c>
      <c r="B21" s="50" t="s">
        <v>75</v>
      </c>
      <c r="C21" s="51">
        <f t="shared" ref="C21:G21" si="6">C22+C23</f>
        <v>89.361</v>
      </c>
      <c r="D21" s="51">
        <f t="shared" si="6"/>
        <v>88.64</v>
      </c>
      <c r="E21" s="51">
        <f t="shared" si="6"/>
        <v>108.704</v>
      </c>
      <c r="F21" s="51">
        <f t="shared" si="6"/>
        <v>247.836</v>
      </c>
      <c r="G21" s="51">
        <f t="shared" si="6"/>
        <v>177.308</v>
      </c>
      <c r="H21" s="51">
        <f t="shared" ref="H21:N21" si="7">H22+H23</f>
        <v>226.491</v>
      </c>
      <c r="I21" s="51">
        <f t="shared" si="7"/>
        <v>0</v>
      </c>
      <c r="J21" s="51">
        <f t="shared" si="7"/>
        <v>0</v>
      </c>
      <c r="K21" s="51">
        <f t="shared" si="7"/>
        <v>0</v>
      </c>
      <c r="L21" s="51">
        <f t="shared" si="7"/>
        <v>0</v>
      </c>
      <c r="M21" s="51">
        <f t="shared" si="7"/>
        <v>0</v>
      </c>
      <c r="N21" s="51">
        <f t="shared" si="7"/>
        <v>0</v>
      </c>
      <c r="O21" s="52">
        <f ca="1">SUM(OFFSET($C21,0,0,1,mth))</f>
        <v>938.34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s="38" customFormat="1" ht="16.5" customHeight="1" spans="1:28">
      <c r="A22" s="53" t="s">
        <v>308</v>
      </c>
      <c r="B22" s="50" t="s">
        <v>75</v>
      </c>
      <c r="C22" s="55">
        <v>30.635</v>
      </c>
      <c r="D22" s="55">
        <v>31.335</v>
      </c>
      <c r="E22" s="55">
        <v>53.834</v>
      </c>
      <c r="F22" s="55">
        <v>125.552</v>
      </c>
      <c r="G22" s="55">
        <v>84.828</v>
      </c>
      <c r="H22" s="55">
        <v>64.792</v>
      </c>
      <c r="I22" s="55"/>
      <c r="J22" s="55"/>
      <c r="K22" s="55"/>
      <c r="L22" s="55"/>
      <c r="M22" s="55"/>
      <c r="N22" s="55"/>
      <c r="O22" s="56">
        <f ca="1">SUM(OFFSET($C22,0,0,1,mth))</f>
        <v>390.976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s="38" customFormat="1" ht="16.5" customHeight="1" spans="1:28">
      <c r="A23" s="53" t="s">
        <v>359</v>
      </c>
      <c r="B23" s="50" t="s">
        <v>75</v>
      </c>
      <c r="C23" s="55">
        <v>58.726</v>
      </c>
      <c r="D23" s="55">
        <v>57.305</v>
      </c>
      <c r="E23" s="55">
        <v>54.87</v>
      </c>
      <c r="F23" s="55">
        <v>122.284</v>
      </c>
      <c r="G23" s="55">
        <v>92.48</v>
      </c>
      <c r="H23" s="55">
        <v>161.699</v>
      </c>
      <c r="I23" s="55"/>
      <c r="J23" s="55"/>
      <c r="K23" s="55"/>
      <c r="L23" s="55"/>
      <c r="M23" s="55"/>
      <c r="N23" s="55"/>
      <c r="O23" s="56">
        <f ca="1">SUM(OFFSET($C23,0,0,1,mth))</f>
        <v>547.364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s="39" customFormat="1" ht="16.5" customHeight="1" spans="1:28">
      <c r="A24" s="48" t="s">
        <v>232</v>
      </c>
      <c r="B24" s="60"/>
      <c r="C24" s="61">
        <f t="shared" ref="C24:F24" si="8">SUM(C6,C9:C11,C14,C18,C21,C17)</f>
        <v>13417.904</v>
      </c>
      <c r="D24" s="61">
        <f t="shared" si="8"/>
        <v>13701.868</v>
      </c>
      <c r="E24" s="61">
        <f t="shared" si="8"/>
        <v>17376.988</v>
      </c>
      <c r="F24" s="61">
        <f t="shared" si="8"/>
        <v>16452.895</v>
      </c>
      <c r="G24" s="61">
        <f t="shared" ref="G24:O24" si="9">SUM(G6,G9:G11,G14,G18,G21,G17)</f>
        <v>16325.991</v>
      </c>
      <c r="H24" s="61">
        <f t="shared" si="9"/>
        <v>19517.296</v>
      </c>
      <c r="I24" s="61">
        <f t="shared" si="9"/>
        <v>0</v>
      </c>
      <c r="J24" s="61">
        <f t="shared" si="9"/>
        <v>0</v>
      </c>
      <c r="K24" s="61">
        <f t="shared" si="9"/>
        <v>0</v>
      </c>
      <c r="L24" s="61">
        <f t="shared" si="9"/>
        <v>0</v>
      </c>
      <c r="M24" s="61">
        <f t="shared" si="9"/>
        <v>0</v>
      </c>
      <c r="N24" s="61">
        <f t="shared" si="9"/>
        <v>0</v>
      </c>
      <c r="O24" s="61">
        <f ca="1" t="shared" si="9"/>
        <v>96792.942</v>
      </c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</row>
    <row r="25" s="38" customFormat="1" customHeight="1" spans="1:28">
      <c r="A25" s="46" t="s">
        <v>600</v>
      </c>
      <c r="E25" s="64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s="38" customFormat="1" ht="16.5" customHeight="1" spans="1:28">
      <c r="A26" s="48" t="s">
        <v>252</v>
      </c>
      <c r="B26" s="50" t="s">
        <v>123</v>
      </c>
      <c r="C26" s="51">
        <f t="shared" ref="C26:H26" si="10">C27+C28</f>
        <v>17752791.75</v>
      </c>
      <c r="D26" s="51">
        <f t="shared" si="10"/>
        <v>17179077.95</v>
      </c>
      <c r="E26" s="51">
        <f t="shared" si="10"/>
        <v>21972901.5</v>
      </c>
      <c r="F26" s="51">
        <f t="shared" si="10"/>
        <v>22690451.83</v>
      </c>
      <c r="G26" s="51">
        <f t="shared" si="10"/>
        <v>23100995.44</v>
      </c>
      <c r="H26" s="51">
        <f t="shared" si="10"/>
        <v>30559125.96</v>
      </c>
      <c r="I26" s="51"/>
      <c r="J26" s="51"/>
      <c r="K26" s="51"/>
      <c r="L26" s="51"/>
      <c r="M26" s="51"/>
      <c r="N26" s="51"/>
      <c r="O26" s="52">
        <f ca="1">SUM(OFFSET($C26,0,0,1,mth))</f>
        <v>133255344.43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s="38" customFormat="1" ht="16.5" customHeight="1" spans="1:28">
      <c r="A27" s="53" t="s">
        <v>589</v>
      </c>
      <c r="B27" s="54" t="s">
        <v>123</v>
      </c>
      <c r="C27" s="55">
        <v>17697078.96</v>
      </c>
      <c r="D27" s="55">
        <v>17147041.54</v>
      </c>
      <c r="E27" s="55">
        <v>21936912.78</v>
      </c>
      <c r="F27" s="55">
        <v>22602773.12</v>
      </c>
      <c r="G27" s="55">
        <v>22990537.31</v>
      </c>
      <c r="H27" s="55">
        <v>30473515.78</v>
      </c>
      <c r="I27" s="55"/>
      <c r="J27" s="55"/>
      <c r="K27" s="55"/>
      <c r="L27" s="55"/>
      <c r="M27" s="55"/>
      <c r="N27" s="55"/>
      <c r="O27" s="56">
        <f ca="1" t="shared" ref="O27:O42" si="11">SUM(OFFSET($C27,0,0,1,mth))</f>
        <v>132847859.49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s="38" customFormat="1" ht="16.5" customHeight="1" spans="1:28">
      <c r="A28" s="53" t="s">
        <v>590</v>
      </c>
      <c r="B28" s="54" t="s">
        <v>123</v>
      </c>
      <c r="C28" s="55">
        <v>55712.79</v>
      </c>
      <c r="D28" s="55">
        <v>32036.41</v>
      </c>
      <c r="E28" s="55">
        <v>35988.72</v>
      </c>
      <c r="F28" s="55">
        <v>87678.71</v>
      </c>
      <c r="G28" s="55">
        <v>110458.13</v>
      </c>
      <c r="H28" s="55">
        <v>85610.18</v>
      </c>
      <c r="I28" s="55"/>
      <c r="J28" s="55"/>
      <c r="K28" s="55"/>
      <c r="L28" s="55"/>
      <c r="M28" s="55"/>
      <c r="N28" s="55"/>
      <c r="O28" s="56">
        <f ca="1" t="shared" si="11"/>
        <v>407484.94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s="38" customFormat="1" ht="16.5" hidden="1" customHeight="1" spans="1:28">
      <c r="A29" s="57" t="s">
        <v>253</v>
      </c>
      <c r="B29" s="50" t="s">
        <v>123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>
        <f ca="1" t="shared" si="11"/>
        <v>0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="38" customFormat="1" ht="16.5" hidden="1" customHeight="1" spans="1:28">
      <c r="A30" s="57" t="s">
        <v>254</v>
      </c>
      <c r="B30" s="50" t="s">
        <v>123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>
        <f ca="1" t="shared" si="11"/>
        <v>0</v>
      </c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="38" customFormat="1" ht="16.5" customHeight="1" spans="1:28">
      <c r="A31" s="48" t="s">
        <v>256</v>
      </c>
      <c r="B31" s="50" t="s">
        <v>123</v>
      </c>
      <c r="C31" s="51">
        <v>4095803.73</v>
      </c>
      <c r="D31" s="51">
        <v>3320642.48</v>
      </c>
      <c r="E31" s="51">
        <f t="shared" ref="E31:H31" si="12">E32+E33</f>
        <v>3728132.31</v>
      </c>
      <c r="F31" s="51">
        <f t="shared" si="12"/>
        <v>5045590.91</v>
      </c>
      <c r="G31" s="51">
        <f t="shared" si="12"/>
        <v>4167487.97</v>
      </c>
      <c r="H31" s="51">
        <f t="shared" si="12"/>
        <v>5094240.12</v>
      </c>
      <c r="I31" s="51"/>
      <c r="J31" s="51"/>
      <c r="K31" s="51"/>
      <c r="L31" s="51"/>
      <c r="M31" s="51"/>
      <c r="N31" s="51"/>
      <c r="O31" s="52">
        <f ca="1" t="shared" si="11"/>
        <v>25451897.52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s="38" customFormat="1" ht="16.5" customHeight="1" spans="1:28">
      <c r="A32" s="53" t="s">
        <v>591</v>
      </c>
      <c r="B32" s="54" t="s">
        <v>123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>
        <f ca="1" t="shared" si="11"/>
        <v>0</v>
      </c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s="38" customFormat="1" ht="16.5" customHeight="1" spans="1:28">
      <c r="A33" s="53" t="s">
        <v>592</v>
      </c>
      <c r="B33" s="54" t="s">
        <v>123</v>
      </c>
      <c r="C33" s="55">
        <v>4095803.73</v>
      </c>
      <c r="D33" s="55">
        <v>3320642.48</v>
      </c>
      <c r="E33" s="55">
        <v>3728132.31</v>
      </c>
      <c r="F33" s="55">
        <v>5045590.91</v>
      </c>
      <c r="G33" s="55">
        <v>4167487.97</v>
      </c>
      <c r="H33" s="55">
        <v>5094240.12</v>
      </c>
      <c r="I33" s="55"/>
      <c r="J33" s="55"/>
      <c r="K33" s="55"/>
      <c r="L33" s="55"/>
      <c r="M33" s="55"/>
      <c r="N33" s="55"/>
      <c r="O33" s="56">
        <f ca="1" t="shared" si="11"/>
        <v>25451897.52</v>
      </c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s="38" customFormat="1" ht="16.5" customHeight="1" spans="1:28">
      <c r="A34" s="48" t="s">
        <v>593</v>
      </c>
      <c r="B34" s="50" t="s">
        <v>123</v>
      </c>
      <c r="C34" s="51">
        <v>697389</v>
      </c>
      <c r="D34" s="51">
        <v>785000.78</v>
      </c>
      <c r="E34" s="51">
        <f>E35+E36</f>
        <v>909689.35</v>
      </c>
      <c r="F34" s="51">
        <f>F35+F36</f>
        <v>1199729.66</v>
      </c>
      <c r="G34" s="51">
        <f t="shared" ref="G34:N34" si="13">G35+G36</f>
        <v>921314.51</v>
      </c>
      <c r="H34" s="51">
        <f t="shared" si="13"/>
        <v>940694.59</v>
      </c>
      <c r="I34" s="51">
        <f t="shared" si="13"/>
        <v>0</v>
      </c>
      <c r="J34" s="51">
        <f t="shared" si="13"/>
        <v>0</v>
      </c>
      <c r="K34" s="51">
        <f t="shared" si="13"/>
        <v>0</v>
      </c>
      <c r="L34" s="51">
        <f t="shared" si="13"/>
        <v>0</v>
      </c>
      <c r="M34" s="51">
        <f t="shared" si="13"/>
        <v>0</v>
      </c>
      <c r="N34" s="51">
        <f t="shared" si="13"/>
        <v>0</v>
      </c>
      <c r="O34" s="52">
        <f ca="1">SUM(OFFSET($C34,0,0,1,mth))</f>
        <v>5453817.89</v>
      </c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="38" customFormat="1" ht="16.5" customHeight="1" spans="1:28">
      <c r="A35" s="53" t="s">
        <v>594</v>
      </c>
      <c r="B35" s="54" t="s">
        <v>123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6">
        <f ca="1" t="shared" si="11"/>
        <v>0</v>
      </c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="38" customFormat="1" ht="16.5" customHeight="1" spans="1:28">
      <c r="A36" s="53" t="s">
        <v>595</v>
      </c>
      <c r="B36" s="54" t="s">
        <v>123</v>
      </c>
      <c r="C36" s="55">
        <v>697389</v>
      </c>
      <c r="D36" s="55">
        <v>785000.78</v>
      </c>
      <c r="E36" s="55">
        <v>909689.35</v>
      </c>
      <c r="F36" s="55">
        <v>1199729.66</v>
      </c>
      <c r="G36" s="55">
        <v>921314.51</v>
      </c>
      <c r="H36" s="55">
        <v>940694.59</v>
      </c>
      <c r="I36" s="55"/>
      <c r="J36" s="55"/>
      <c r="K36" s="55"/>
      <c r="L36" s="55"/>
      <c r="M36" s="55"/>
      <c r="N36" s="55"/>
      <c r="O36" s="56">
        <f ca="1" t="shared" si="11"/>
        <v>5453817.89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s="38" customFormat="1" ht="16.5" customHeight="1" spans="1:28">
      <c r="A37" s="48" t="s">
        <v>596</v>
      </c>
      <c r="B37" s="50" t="s">
        <v>123</v>
      </c>
      <c r="C37" s="51"/>
      <c r="D37" s="51"/>
      <c r="E37" s="51">
        <v>113471.68</v>
      </c>
      <c r="F37" s="51">
        <v>0</v>
      </c>
      <c r="G37" s="51"/>
      <c r="H37" s="51"/>
      <c r="I37" s="51"/>
      <c r="J37" s="51"/>
      <c r="K37" s="51"/>
      <c r="L37" s="51"/>
      <c r="M37" s="51"/>
      <c r="N37" s="51"/>
      <c r="O37" s="52">
        <f ca="1">SUM(OFFSET($C37,0,0,1,mth))</f>
        <v>113471.68</v>
      </c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s="38" customFormat="1" ht="16.5" customHeight="1" spans="1:28">
      <c r="A38" s="48" t="s">
        <v>354</v>
      </c>
      <c r="B38" s="50" t="s">
        <v>123</v>
      </c>
      <c r="C38" s="51">
        <v>16471592.84</v>
      </c>
      <c r="D38" s="51">
        <v>17933186.94</v>
      </c>
      <c r="E38" s="51">
        <v>22352859.06</v>
      </c>
      <c r="F38" s="51">
        <v>17843100.44</v>
      </c>
      <c r="G38" s="51">
        <v>17817693.98</v>
      </c>
      <c r="H38" s="51">
        <v>18525826.62</v>
      </c>
      <c r="I38" s="51"/>
      <c r="J38" s="51"/>
      <c r="K38" s="51"/>
      <c r="L38" s="51"/>
      <c r="M38" s="51"/>
      <c r="N38" s="51"/>
      <c r="O38" s="52">
        <f ca="1">SUM(OFFSET($C38,0,0,1,mth))</f>
        <v>110944259.88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s="38" customFormat="1" ht="16.5" customHeight="1" spans="1:28">
      <c r="A39" s="53" t="s">
        <v>597</v>
      </c>
      <c r="B39" s="65" t="s">
        <v>123</v>
      </c>
      <c r="C39" s="55">
        <f t="shared" ref="C39:H39" si="14">C38-C40</f>
        <v>10065471.85</v>
      </c>
      <c r="D39" s="55">
        <f t="shared" si="14"/>
        <v>11088338.19</v>
      </c>
      <c r="E39" s="55">
        <f t="shared" si="14"/>
        <v>14369435.73</v>
      </c>
      <c r="F39" s="55">
        <f t="shared" si="14"/>
        <v>9418071.02</v>
      </c>
      <c r="G39" s="55">
        <f t="shared" si="14"/>
        <v>10540903.27</v>
      </c>
      <c r="H39" s="55">
        <f t="shared" si="14"/>
        <v>11582906.76</v>
      </c>
      <c r="I39" s="55"/>
      <c r="J39" s="55"/>
      <c r="K39" s="55"/>
      <c r="L39" s="55"/>
      <c r="M39" s="55"/>
      <c r="N39" s="55"/>
      <c r="O39" s="56">
        <f ca="1">SUM(OFFSET($C39,0,0,1,mth))</f>
        <v>67065126.82</v>
      </c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s="38" customFormat="1" ht="16.5" customHeight="1" spans="1:28">
      <c r="A40" s="53" t="s">
        <v>598</v>
      </c>
      <c r="B40" s="65" t="s">
        <v>123</v>
      </c>
      <c r="C40" s="59">
        <v>6406120.99</v>
      </c>
      <c r="D40" s="59">
        <v>6844848.75</v>
      </c>
      <c r="E40" s="59">
        <v>7983423.33</v>
      </c>
      <c r="F40" s="59">
        <v>8425029.42</v>
      </c>
      <c r="G40" s="59">
        <v>7276790.71</v>
      </c>
      <c r="H40" s="59">
        <v>6942919.86</v>
      </c>
      <c r="I40" s="55"/>
      <c r="J40" s="55"/>
      <c r="K40" s="55"/>
      <c r="L40" s="55"/>
      <c r="M40" s="55"/>
      <c r="N40" s="55"/>
      <c r="O40" s="56">
        <f ca="1">SUM(OFFSET($C40,0,0,1,mth))</f>
        <v>43879133.06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s="38" customFormat="1" ht="16.5" customHeight="1" spans="1:28">
      <c r="A41" s="48" t="s">
        <v>599</v>
      </c>
      <c r="B41" s="50" t="s">
        <v>123</v>
      </c>
      <c r="C41" s="51">
        <f t="shared" ref="C41:K41" si="15">C43+C42</f>
        <v>975968.25</v>
      </c>
      <c r="D41" s="51">
        <f t="shared" si="15"/>
        <v>945646.83</v>
      </c>
      <c r="E41" s="51">
        <f t="shared" si="15"/>
        <v>1293321.59</v>
      </c>
      <c r="F41" s="51">
        <f t="shared" si="15"/>
        <v>2964466.43</v>
      </c>
      <c r="G41" s="51">
        <f t="shared" si="15"/>
        <v>2046624.68</v>
      </c>
      <c r="H41" s="51">
        <f t="shared" si="15"/>
        <v>2128098.13</v>
      </c>
      <c r="I41" s="51">
        <f t="shared" si="15"/>
        <v>0</v>
      </c>
      <c r="J41" s="51">
        <f t="shared" si="15"/>
        <v>0</v>
      </c>
      <c r="K41" s="51">
        <f t="shared" si="15"/>
        <v>0</v>
      </c>
      <c r="L41" s="51">
        <f t="shared" ref="L41:N41" si="16">L43+L42</f>
        <v>0</v>
      </c>
      <c r="M41" s="51">
        <f t="shared" si="16"/>
        <v>0</v>
      </c>
      <c r="N41" s="51">
        <f t="shared" si="16"/>
        <v>0</v>
      </c>
      <c r="O41" s="52">
        <f ca="1">SUM(OFFSET($C41,0,0,1,mth))</f>
        <v>10354125.91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s="38" customFormat="1" ht="16.5" customHeight="1" spans="1:28">
      <c r="A42" s="53" t="s">
        <v>308</v>
      </c>
      <c r="B42" s="50" t="s">
        <v>123</v>
      </c>
      <c r="C42" s="55">
        <v>507364.78</v>
      </c>
      <c r="D42" s="55">
        <v>521171.68</v>
      </c>
      <c r="E42" s="55">
        <v>887213.63</v>
      </c>
      <c r="F42" s="55">
        <v>2102004.42</v>
      </c>
      <c r="G42" s="55">
        <v>1401730.07</v>
      </c>
      <c r="H42" s="55">
        <v>1075890.26</v>
      </c>
      <c r="I42" s="55"/>
      <c r="J42" s="55"/>
      <c r="K42" s="55"/>
      <c r="L42" s="55"/>
      <c r="M42" s="55"/>
      <c r="N42" s="55"/>
      <c r="O42" s="55">
        <f ca="1">SUM(OFFSET($C42,0,0,1,mth))</f>
        <v>6495374.84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s="38" customFormat="1" ht="16.5" customHeight="1" spans="1:28">
      <c r="A43" s="53" t="s">
        <v>359</v>
      </c>
      <c r="B43" s="50" t="s">
        <v>123</v>
      </c>
      <c r="C43" s="55">
        <v>468603.47</v>
      </c>
      <c r="D43" s="55">
        <v>424475.15</v>
      </c>
      <c r="E43" s="55">
        <v>406107.96</v>
      </c>
      <c r="F43" s="55">
        <v>862462.01</v>
      </c>
      <c r="G43" s="55">
        <v>644894.61</v>
      </c>
      <c r="H43" s="55">
        <v>1052207.87</v>
      </c>
      <c r="I43" s="55"/>
      <c r="J43" s="55"/>
      <c r="K43" s="55"/>
      <c r="L43" s="55"/>
      <c r="M43" s="55"/>
      <c r="N43" s="55"/>
      <c r="O43" s="55">
        <f ca="1">SUM(OFFSET($C43,0,0,1,mth))</f>
        <v>3858751.07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s="38" customFormat="1" ht="16.5" customHeight="1" spans="1:28">
      <c r="A44" s="57" t="s">
        <v>232</v>
      </c>
      <c r="B44" s="50"/>
      <c r="C44" s="52">
        <f>SUM(C26,C29:C31,C34,C37,C38,C41)</f>
        <v>39993545.57</v>
      </c>
      <c r="D44" s="52">
        <f>SUM(D26,D29:D31,D34,D37,D38,D41)</f>
        <v>40163554.98</v>
      </c>
      <c r="E44" s="52">
        <f>SUM(E26,E29:E31,E34,E37,E38,E41)</f>
        <v>50370375.49</v>
      </c>
      <c r="F44" s="52">
        <f>SUM(F26,F29:F31,F34,F37,F38,F41)</f>
        <v>49743339.27</v>
      </c>
      <c r="G44" s="52">
        <f t="shared" ref="G44:O44" si="17">SUM(G26,G29:G31,G34,G37,G38,G41)</f>
        <v>48054116.58</v>
      </c>
      <c r="H44" s="52">
        <f t="shared" si="17"/>
        <v>57247985.42</v>
      </c>
      <c r="I44" s="52">
        <f t="shared" si="17"/>
        <v>0</v>
      </c>
      <c r="J44" s="52">
        <f t="shared" si="17"/>
        <v>0</v>
      </c>
      <c r="K44" s="52">
        <f t="shared" si="17"/>
        <v>0</v>
      </c>
      <c r="L44" s="52">
        <f t="shared" si="17"/>
        <v>0</v>
      </c>
      <c r="M44" s="52">
        <f t="shared" si="17"/>
        <v>0</v>
      </c>
      <c r="N44" s="52">
        <f t="shared" si="17"/>
        <v>0</v>
      </c>
      <c r="O44" s="52">
        <f ca="1" t="shared" si="17"/>
        <v>285572917.31</v>
      </c>
      <c r="P44" s="66" t="s">
        <v>601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s="38" customFormat="1" customHeight="1" spans="1:28">
      <c r="A45" s="67" t="s">
        <v>602</v>
      </c>
      <c r="C45" s="68"/>
      <c r="H45" s="64"/>
      <c r="I45" s="64"/>
      <c r="P45" s="45" t="s">
        <v>220</v>
      </c>
      <c r="Q45" s="45" t="s">
        <v>221</v>
      </c>
      <c r="R45" s="45" t="s">
        <v>222</v>
      </c>
      <c r="S45" s="45" t="s">
        <v>223</v>
      </c>
      <c r="T45" s="45" t="s">
        <v>224</v>
      </c>
      <c r="U45" s="45" t="s">
        <v>225</v>
      </c>
      <c r="V45" s="45" t="s">
        <v>226</v>
      </c>
      <c r="W45" s="45" t="s">
        <v>227</v>
      </c>
      <c r="X45" s="45" t="s">
        <v>228</v>
      </c>
      <c r="Y45" s="45" t="s">
        <v>229</v>
      </c>
      <c r="Z45" s="45" t="s">
        <v>230</v>
      </c>
      <c r="AA45" s="45" t="s">
        <v>231</v>
      </c>
      <c r="AB45" s="45" t="s">
        <v>232</v>
      </c>
    </row>
    <row r="46" s="38" customFormat="1" ht="16.5" customHeight="1" spans="1:28">
      <c r="A46" s="48" t="s">
        <v>252</v>
      </c>
      <c r="B46" s="50" t="s">
        <v>123</v>
      </c>
      <c r="C46" s="51">
        <f>C26*1.13</f>
        <v>20060654.6775</v>
      </c>
      <c r="D46" s="51">
        <f>D26*1.13-116961.5*0.13</f>
        <v>19397153.0885</v>
      </c>
      <c r="E46" s="51">
        <f>E26*1.13-116226.9*0.13</f>
        <v>24814269.198</v>
      </c>
      <c r="F46" s="51">
        <f>F26*1.13</f>
        <v>25640210.5679</v>
      </c>
      <c r="G46" s="51">
        <f>G26*1.13-229499.37*0.13</f>
        <v>26074289.9291</v>
      </c>
      <c r="H46" s="51">
        <f>H26*1.13-U46*0.13</f>
        <v>34517517.5907</v>
      </c>
      <c r="I46" s="51"/>
      <c r="J46" s="51"/>
      <c r="K46" s="51"/>
      <c r="L46" s="51"/>
      <c r="M46" s="51"/>
      <c r="N46" s="51"/>
      <c r="O46" s="51">
        <f ca="1">SUM(OFFSET($C46,0,0,1,mth))</f>
        <v>150504095.0517</v>
      </c>
      <c r="P46" s="69">
        <f t="shared" ref="P46:U46" si="18">SUM(P47:P48)</f>
        <v>0</v>
      </c>
      <c r="Q46" s="69">
        <f t="shared" si="18"/>
        <v>116961.5</v>
      </c>
      <c r="R46" s="69">
        <f t="shared" si="18"/>
        <v>116226.9</v>
      </c>
      <c r="S46" s="69">
        <f t="shared" si="18"/>
        <v>0</v>
      </c>
      <c r="T46" s="69">
        <f t="shared" si="18"/>
        <v>229499.37</v>
      </c>
      <c r="U46" s="69">
        <f t="shared" si="18"/>
        <v>109959.57</v>
      </c>
      <c r="V46" s="69"/>
      <c r="W46" s="69"/>
      <c r="X46" s="69"/>
      <c r="Y46" s="69"/>
      <c r="Z46" s="69"/>
      <c r="AA46" s="69"/>
      <c r="AB46" s="45">
        <f>SUM(P46:AA46)</f>
        <v>572647.34</v>
      </c>
    </row>
    <row r="47" s="38" customFormat="1" ht="16.5" customHeight="1" spans="1:28">
      <c r="A47" s="53" t="s">
        <v>589</v>
      </c>
      <c r="B47" s="54" t="s">
        <v>123</v>
      </c>
      <c r="C47" s="55">
        <f t="shared" ref="C47:C57" si="19">C27*1.13</f>
        <v>19997699.2248</v>
      </c>
      <c r="D47" s="55">
        <f>D27*1.13-116961.5*0.13</f>
        <v>19360951.9452</v>
      </c>
      <c r="E47" s="55">
        <f>E46-E48</f>
        <v>24773601.9444</v>
      </c>
      <c r="F47" s="55">
        <f>F46-F48</f>
        <v>25541133.6256</v>
      </c>
      <c r="G47" s="55">
        <f>G46-G48</f>
        <v>25949472.2422</v>
      </c>
      <c r="H47" s="55">
        <f>H27*1.13-U47*0.13</f>
        <v>34420778.0873</v>
      </c>
      <c r="I47" s="55"/>
      <c r="J47" s="55"/>
      <c r="K47" s="55"/>
      <c r="L47" s="55"/>
      <c r="M47" s="55"/>
      <c r="N47" s="55"/>
      <c r="O47" s="55">
        <f ca="1">SUM(OFFSET($C47,0,0,1,mth))</f>
        <v>150043637.0695</v>
      </c>
      <c r="P47" s="45"/>
      <c r="Q47" s="45">
        <v>116961.5</v>
      </c>
      <c r="R47" s="45">
        <v>116226.9</v>
      </c>
      <c r="S47" s="45"/>
      <c r="T47" s="45">
        <v>229499.37</v>
      </c>
      <c r="U47" s="45">
        <v>109959.57</v>
      </c>
      <c r="V47" s="45"/>
      <c r="W47" s="45"/>
      <c r="X47" s="45"/>
      <c r="Y47" s="45"/>
      <c r="Z47" s="45"/>
      <c r="AA47" s="45"/>
      <c r="AB47" s="63">
        <f t="shared" ref="AB47:AB63" si="20">SUM(P47:AA47)</f>
        <v>572647.34</v>
      </c>
    </row>
    <row r="48" s="38" customFormat="1" ht="16.5" customHeight="1" spans="1:28">
      <c r="A48" s="53" t="s">
        <v>590</v>
      </c>
      <c r="B48" s="54" t="s">
        <v>123</v>
      </c>
      <c r="C48" s="55">
        <f t="shared" si="19"/>
        <v>62955.4527</v>
      </c>
      <c r="D48" s="55">
        <f t="shared" ref="D46:D56" si="21">D28*1.13</f>
        <v>36201.1433</v>
      </c>
      <c r="E48" s="55">
        <f>E28*1.13</f>
        <v>40667.2536</v>
      </c>
      <c r="F48" s="55">
        <f>F28*1.13</f>
        <v>99076.9423</v>
      </c>
      <c r="G48" s="55">
        <f>G28*1.13</f>
        <v>124817.6869</v>
      </c>
      <c r="H48" s="55">
        <f>H28*1.13</f>
        <v>96739.5034</v>
      </c>
      <c r="I48" s="55"/>
      <c r="J48" s="55"/>
      <c r="K48" s="55"/>
      <c r="L48" s="55"/>
      <c r="M48" s="55"/>
      <c r="N48" s="55"/>
      <c r="O48" s="55">
        <f ca="1" t="shared" ref="O47:O61" si="22">SUM(OFFSET($C48,0,0,1,mth))</f>
        <v>460457.9822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63">
        <f t="shared" si="20"/>
        <v>0</v>
      </c>
    </row>
    <row r="49" s="38" customFormat="1" ht="16.5" hidden="1" customHeight="1" spans="1:28">
      <c r="A49" s="57" t="s">
        <v>253</v>
      </c>
      <c r="B49" s="50" t="s">
        <v>123</v>
      </c>
      <c r="C49" s="51">
        <f t="shared" si="19"/>
        <v>0</v>
      </c>
      <c r="D49" s="51">
        <f t="shared" si="21"/>
        <v>0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2">
        <f ca="1" t="shared" si="22"/>
        <v>0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63">
        <f t="shared" si="20"/>
        <v>0</v>
      </c>
    </row>
    <row r="50" s="38" customFormat="1" ht="16.5" hidden="1" customHeight="1" spans="1:28">
      <c r="A50" s="57" t="s">
        <v>254</v>
      </c>
      <c r="B50" s="50" t="s">
        <v>123</v>
      </c>
      <c r="C50" s="51">
        <f t="shared" si="19"/>
        <v>0</v>
      </c>
      <c r="D50" s="51">
        <f t="shared" si="21"/>
        <v>0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2">
        <f ca="1" t="shared" si="22"/>
        <v>0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63">
        <f t="shared" si="20"/>
        <v>0</v>
      </c>
    </row>
    <row r="51" s="38" customFormat="1" ht="16.5" customHeight="1" spans="1:28">
      <c r="A51" s="48" t="s">
        <v>256</v>
      </c>
      <c r="B51" s="50" t="s">
        <v>123</v>
      </c>
      <c r="C51" s="51">
        <f t="shared" si="19"/>
        <v>4628258.2149</v>
      </c>
      <c r="D51" s="51">
        <f t="shared" si="21"/>
        <v>3752326.0024</v>
      </c>
      <c r="E51" s="51">
        <f t="shared" ref="E51:E54" si="23">E31*1.13</f>
        <v>4212789.5103</v>
      </c>
      <c r="F51" s="51">
        <f t="shared" ref="F48:F54" si="24">F31*1.13</f>
        <v>5701517.7283</v>
      </c>
      <c r="G51" s="51">
        <f>G31*1.13</f>
        <v>4709261.4061</v>
      </c>
      <c r="H51" s="51">
        <f>H31*1.13</f>
        <v>5756491.3356</v>
      </c>
      <c r="I51" s="51"/>
      <c r="J51" s="51"/>
      <c r="K51" s="51"/>
      <c r="L51" s="51"/>
      <c r="M51" s="51"/>
      <c r="N51" s="51"/>
      <c r="O51" s="51">
        <f ca="1" t="shared" si="22"/>
        <v>28760644.1976</v>
      </c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3">
        <f t="shared" si="20"/>
        <v>0</v>
      </c>
    </row>
    <row r="52" s="38" customFormat="1" ht="16.5" customHeight="1" spans="1:28">
      <c r="A52" s="53" t="s">
        <v>591</v>
      </c>
      <c r="B52" s="54" t="s">
        <v>123</v>
      </c>
      <c r="C52" s="55">
        <f t="shared" si="19"/>
        <v>0</v>
      </c>
      <c r="D52" s="55">
        <f t="shared" si="21"/>
        <v>0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>
        <f ca="1" t="shared" si="22"/>
        <v>0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63">
        <f t="shared" si="20"/>
        <v>0</v>
      </c>
    </row>
    <row r="53" s="38" customFormat="1" ht="16.5" customHeight="1" spans="1:28">
      <c r="A53" s="53" t="s">
        <v>592</v>
      </c>
      <c r="B53" s="54" t="s">
        <v>123</v>
      </c>
      <c r="C53" s="55">
        <f t="shared" si="19"/>
        <v>4628258.2149</v>
      </c>
      <c r="D53" s="55">
        <f t="shared" si="21"/>
        <v>3752326.0024</v>
      </c>
      <c r="E53" s="55">
        <f t="shared" si="23"/>
        <v>4212789.5103</v>
      </c>
      <c r="F53" s="55">
        <f t="shared" si="24"/>
        <v>5701517.7283</v>
      </c>
      <c r="G53" s="55">
        <f>G33*1.13</f>
        <v>4709261.4061</v>
      </c>
      <c r="H53" s="55">
        <f>H33*1.13</f>
        <v>5756491.3356</v>
      </c>
      <c r="I53" s="55"/>
      <c r="J53" s="55"/>
      <c r="K53" s="55"/>
      <c r="L53" s="55"/>
      <c r="M53" s="55"/>
      <c r="N53" s="55"/>
      <c r="O53" s="56">
        <f ca="1" t="shared" si="22"/>
        <v>28760644.1976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63">
        <f t="shared" si="20"/>
        <v>0</v>
      </c>
    </row>
    <row r="54" s="38" customFormat="1" ht="16.5" customHeight="1" spans="1:28">
      <c r="A54" s="48" t="s">
        <v>593</v>
      </c>
      <c r="B54" s="50" t="s">
        <v>123</v>
      </c>
      <c r="C54" s="51">
        <f t="shared" si="19"/>
        <v>788049.57</v>
      </c>
      <c r="D54" s="51">
        <f t="shared" ref="D54:D57" si="25">D34*1.13-123644.2*0.13</f>
        <v>870977.1354</v>
      </c>
      <c r="E54" s="51">
        <f t="shared" si="23"/>
        <v>1027948.9655</v>
      </c>
      <c r="F54" s="51">
        <f t="shared" si="24"/>
        <v>1355694.5158</v>
      </c>
      <c r="G54" s="51">
        <f>G34*1.13</f>
        <v>1041085.3963</v>
      </c>
      <c r="H54" s="51">
        <f>H34*1.13</f>
        <v>1062984.8867</v>
      </c>
      <c r="I54" s="51"/>
      <c r="J54" s="51"/>
      <c r="K54" s="51"/>
      <c r="L54" s="51"/>
      <c r="M54" s="51"/>
      <c r="N54" s="51"/>
      <c r="O54" s="52">
        <f ca="1" t="shared" si="22"/>
        <v>6146740.4697</v>
      </c>
      <c r="P54" s="69"/>
      <c r="Q54" s="69">
        <f>SUM(Q55:Q56)</f>
        <v>123644.2</v>
      </c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3">
        <f t="shared" si="20"/>
        <v>123644.2</v>
      </c>
    </row>
    <row r="55" s="38" customFormat="1" ht="16.5" customHeight="1" spans="1:28">
      <c r="A55" s="53" t="s">
        <v>594</v>
      </c>
      <c r="B55" s="54" t="s">
        <v>123</v>
      </c>
      <c r="C55" s="55">
        <f t="shared" si="19"/>
        <v>0</v>
      </c>
      <c r="D55" s="55">
        <f t="shared" si="21"/>
        <v>0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>
        <f ca="1" t="shared" si="22"/>
        <v>0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63">
        <f t="shared" si="20"/>
        <v>0</v>
      </c>
    </row>
    <row r="56" s="38" customFormat="1" ht="16.5" customHeight="1" spans="1:28">
      <c r="A56" s="53" t="s">
        <v>595</v>
      </c>
      <c r="B56" s="54" t="s">
        <v>123</v>
      </c>
      <c r="C56" s="55">
        <f t="shared" si="19"/>
        <v>788049.57</v>
      </c>
      <c r="D56" s="55">
        <f t="shared" si="25"/>
        <v>870977.1354</v>
      </c>
      <c r="E56" s="55">
        <f>E36*1.13</f>
        <v>1027948.9655</v>
      </c>
      <c r="F56" s="55">
        <f>F36*1.13</f>
        <v>1355694.5158</v>
      </c>
      <c r="G56" s="55">
        <f>G36*1.13</f>
        <v>1041085.3963</v>
      </c>
      <c r="H56" s="55">
        <f>H36*1.13</f>
        <v>1062984.8867</v>
      </c>
      <c r="I56" s="55"/>
      <c r="J56" s="55"/>
      <c r="K56" s="55"/>
      <c r="L56" s="55"/>
      <c r="M56" s="55"/>
      <c r="N56" s="55"/>
      <c r="O56" s="55">
        <f ca="1" t="shared" si="22"/>
        <v>6146740.4697</v>
      </c>
      <c r="P56" s="45"/>
      <c r="Q56" s="45">
        <v>123644.2</v>
      </c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63">
        <f t="shared" si="20"/>
        <v>123644.2</v>
      </c>
    </row>
    <row r="57" s="38" customFormat="1" ht="16.5" customHeight="1" spans="1:28">
      <c r="A57" s="48" t="s">
        <v>596</v>
      </c>
      <c r="B57" s="50" t="s">
        <v>123</v>
      </c>
      <c r="C57" s="51">
        <f t="shared" si="19"/>
        <v>0</v>
      </c>
      <c r="D57" s="51">
        <v>0</v>
      </c>
      <c r="E57" s="51">
        <f>E37*1.13</f>
        <v>128222.9984</v>
      </c>
      <c r="F57" s="51">
        <f>F37*1.13</f>
        <v>0</v>
      </c>
      <c r="G57" s="51"/>
      <c r="H57" s="51"/>
      <c r="I57" s="51"/>
      <c r="J57" s="51"/>
      <c r="K57" s="51"/>
      <c r="L57" s="51"/>
      <c r="M57" s="51"/>
      <c r="N57" s="51"/>
      <c r="O57" s="52">
        <f ca="1">SUM(OFFSET($C57,0,0,1,mth))</f>
        <v>128222.9984</v>
      </c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3">
        <f t="shared" si="20"/>
        <v>0</v>
      </c>
    </row>
    <row r="58" s="38" customFormat="1" ht="16.5" customHeight="1" spans="1:28">
      <c r="A58" s="48" t="s">
        <v>354</v>
      </c>
      <c r="B58" s="50" t="s">
        <v>123</v>
      </c>
      <c r="C58" s="51">
        <f>C38*1.13-1578491.6*0.13</f>
        <v>18407696.0012</v>
      </c>
      <c r="D58" s="51">
        <f>D38*1.13-2627485.51*0.13</f>
        <v>19922928.1259</v>
      </c>
      <c r="E58" s="51">
        <f>E38*1.13-1006883.73*0.13</f>
        <v>25127835.8529</v>
      </c>
      <c r="F58" s="51">
        <f>F38*1.13-1788505.37*0.13</f>
        <v>19930197.7991</v>
      </c>
      <c r="G58" s="51">
        <f>G38*1.13</f>
        <v>20133994.1974</v>
      </c>
      <c r="H58" s="51">
        <f>H38*1.13-U58*0.13</f>
        <v>20784042.567</v>
      </c>
      <c r="I58" s="51"/>
      <c r="J58" s="51"/>
      <c r="K58" s="51"/>
      <c r="L58" s="51"/>
      <c r="M58" s="51"/>
      <c r="N58" s="51"/>
      <c r="O58" s="52">
        <f ca="1">SUM(OFFSET($C58,0,0,1,mth))</f>
        <v>124306694.5435</v>
      </c>
      <c r="P58" s="69">
        <v>1578491.6</v>
      </c>
      <c r="Q58" s="69">
        <v>2627485.51</v>
      </c>
      <c r="R58" s="69">
        <v>1006883.73</v>
      </c>
      <c r="S58" s="69">
        <v>1788505.37</v>
      </c>
      <c r="T58" s="69">
        <f>SUM(T59:T60)</f>
        <v>2765051.15</v>
      </c>
      <c r="U58" s="69">
        <v>1154934.72</v>
      </c>
      <c r="V58" s="69"/>
      <c r="W58" s="69"/>
      <c r="X58" s="69"/>
      <c r="Y58" s="69"/>
      <c r="Z58" s="69"/>
      <c r="AA58" s="69"/>
      <c r="AB58" s="63">
        <f t="shared" si="20"/>
        <v>10921352.08</v>
      </c>
    </row>
    <row r="59" s="38" customFormat="1" ht="16.5" customHeight="1" spans="1:28">
      <c r="A59" s="53" t="s">
        <v>597</v>
      </c>
      <c r="B59" s="65" t="s">
        <v>123</v>
      </c>
      <c r="C59" s="55">
        <f t="shared" ref="C59:G59" si="26">C58-C60</f>
        <v>11208791.4456</v>
      </c>
      <c r="D59" s="55">
        <f t="shared" si="26"/>
        <v>12291934.2356</v>
      </c>
      <c r="E59" s="55">
        <f t="shared" si="26"/>
        <v>16133307.5709</v>
      </c>
      <c r="F59" s="55">
        <f t="shared" si="26"/>
        <v>10494838.5768</v>
      </c>
      <c r="G59" s="55">
        <f t="shared" si="26"/>
        <v>11982035.9188</v>
      </c>
      <c r="H59" s="55">
        <f>H39*1.13-U59*0.13</f>
        <v>12984248.9334</v>
      </c>
      <c r="I59" s="55"/>
      <c r="J59" s="55"/>
      <c r="K59" s="55"/>
      <c r="L59" s="55"/>
      <c r="M59" s="55"/>
      <c r="N59" s="55"/>
      <c r="O59" s="56">
        <f ca="1">SUM(OFFSET($C59,0,0,1,mth))</f>
        <v>75095156.6811</v>
      </c>
      <c r="P59" s="45"/>
      <c r="Q59" s="45"/>
      <c r="R59" s="45">
        <f>R58-R60</f>
        <v>801190.8</v>
      </c>
      <c r="S59" s="45">
        <f>S58-S60</f>
        <v>1135243.66</v>
      </c>
      <c r="T59" s="45">
        <f>2765051.15-T60</f>
        <v>2220318.66</v>
      </c>
      <c r="U59" s="45">
        <f>U58-U60</f>
        <v>803351.58</v>
      </c>
      <c r="V59" s="45"/>
      <c r="W59" s="45"/>
      <c r="X59" s="45"/>
      <c r="Y59" s="45"/>
      <c r="Z59" s="45"/>
      <c r="AA59" s="45"/>
      <c r="AB59" s="63">
        <f t="shared" si="20"/>
        <v>4960104.7</v>
      </c>
    </row>
    <row r="60" s="38" customFormat="1" ht="16.5" customHeight="1" spans="1:28">
      <c r="A60" s="53" t="s">
        <v>598</v>
      </c>
      <c r="B60" s="65" t="s">
        <v>123</v>
      </c>
      <c r="C60" s="59">
        <v>7198904.5556</v>
      </c>
      <c r="D60" s="59">
        <v>7630993.8903</v>
      </c>
      <c r="E60" s="59">
        <v>8994528.282</v>
      </c>
      <c r="F60" s="59">
        <v>9435359.2223</v>
      </c>
      <c r="G60" s="59">
        <v>8151958.2786</v>
      </c>
      <c r="H60" s="59">
        <f>H40*1.13-U60*0.13</f>
        <v>7799793.6336</v>
      </c>
      <c r="I60" s="55"/>
      <c r="J60" s="55"/>
      <c r="K60" s="55"/>
      <c r="L60" s="55"/>
      <c r="M60" s="55"/>
      <c r="N60" s="55"/>
      <c r="O60" s="56">
        <f ca="1">SUM(OFFSET($C60,0,0,1,mth))</f>
        <v>49211537.8624</v>
      </c>
      <c r="P60" s="45"/>
      <c r="Q60" s="45"/>
      <c r="R60" s="45">
        <v>205692.93</v>
      </c>
      <c r="S60" s="45">
        <v>653261.71</v>
      </c>
      <c r="T60" s="45">
        <v>544732.49</v>
      </c>
      <c r="U60" s="45">
        <v>351583.14</v>
      </c>
      <c r="V60" s="45"/>
      <c r="W60" s="45"/>
      <c r="X60" s="45"/>
      <c r="Y60" s="45"/>
      <c r="Z60" s="45"/>
      <c r="AA60" s="45"/>
      <c r="AB60" s="63">
        <f t="shared" si="20"/>
        <v>1755270.27</v>
      </c>
    </row>
    <row r="61" s="38" customFormat="1" ht="16.5" customHeight="1" spans="1:28">
      <c r="A61" s="48" t="s">
        <v>599</v>
      </c>
      <c r="B61" s="50" t="s">
        <v>123</v>
      </c>
      <c r="C61" s="51">
        <f t="shared" ref="C61:L61" si="27">C41*1.13</f>
        <v>1102844.1225</v>
      </c>
      <c r="D61" s="51">
        <f t="shared" si="27"/>
        <v>1068580.9179</v>
      </c>
      <c r="E61" s="51">
        <f t="shared" si="27"/>
        <v>1461453.3967</v>
      </c>
      <c r="F61" s="51">
        <f t="shared" si="27"/>
        <v>3349847.0659</v>
      </c>
      <c r="G61" s="51">
        <f t="shared" si="27"/>
        <v>2312685.8884</v>
      </c>
      <c r="H61" s="51">
        <f t="shared" si="27"/>
        <v>2404750.8869</v>
      </c>
      <c r="I61" s="51">
        <f t="shared" si="27"/>
        <v>0</v>
      </c>
      <c r="J61" s="51">
        <f t="shared" si="27"/>
        <v>0</v>
      </c>
      <c r="K61" s="51">
        <f t="shared" si="27"/>
        <v>0</v>
      </c>
      <c r="L61" s="51">
        <f t="shared" si="27"/>
        <v>0</v>
      </c>
      <c r="M61" s="51">
        <f t="shared" ref="M61:N61" si="28">M41*1.13</f>
        <v>0</v>
      </c>
      <c r="N61" s="51">
        <f t="shared" si="28"/>
        <v>0</v>
      </c>
      <c r="O61" s="52">
        <f ca="1">SUM(OFFSET($C61,0,0,1,mth))</f>
        <v>11700162.2783</v>
      </c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3">
        <f t="shared" si="20"/>
        <v>0</v>
      </c>
    </row>
    <row r="62" s="38" customFormat="1" ht="16.5" customHeight="1" spans="1:28">
      <c r="A62" s="53" t="s">
        <v>308</v>
      </c>
      <c r="B62" s="65" t="s">
        <v>123</v>
      </c>
      <c r="C62" s="55">
        <f>C42*1.13</f>
        <v>573322.2014</v>
      </c>
      <c r="D62" s="55">
        <f t="shared" ref="D62:F62" si="29">D42*1.13</f>
        <v>588923.9984</v>
      </c>
      <c r="E62" s="55">
        <f t="shared" si="29"/>
        <v>1002551.4019</v>
      </c>
      <c r="F62" s="55">
        <f t="shared" si="29"/>
        <v>2375264.9946</v>
      </c>
      <c r="G62" s="55">
        <f t="shared" ref="G62:H62" si="30">G42*1.13</f>
        <v>1583954.9791</v>
      </c>
      <c r="H62" s="55">
        <f t="shared" si="30"/>
        <v>1215755.9938</v>
      </c>
      <c r="I62" s="55">
        <f t="shared" ref="I62:J62" si="31">I42*1.13</f>
        <v>0</v>
      </c>
      <c r="J62" s="55">
        <f t="shared" si="31"/>
        <v>0</v>
      </c>
      <c r="K62" s="55">
        <f t="shared" ref="K62:L62" si="32">K42*1.13</f>
        <v>0</v>
      </c>
      <c r="L62" s="55">
        <f t="shared" si="32"/>
        <v>0</v>
      </c>
      <c r="M62" s="55">
        <f t="shared" ref="M62:N62" si="33">M42*1.13</f>
        <v>0</v>
      </c>
      <c r="N62" s="55">
        <f t="shared" si="33"/>
        <v>0</v>
      </c>
      <c r="O62" s="56">
        <f ca="1">SUM(OFFSET($C62,0,0,1,mth))</f>
        <v>7339773.5692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63">
        <f t="shared" si="20"/>
        <v>0</v>
      </c>
    </row>
    <row r="63" s="38" customFormat="1" ht="16.5" customHeight="1" spans="1:28">
      <c r="A63" s="53" t="s">
        <v>359</v>
      </c>
      <c r="B63" s="65" t="s">
        <v>123</v>
      </c>
      <c r="C63" s="55">
        <f>C43*1.13</f>
        <v>529521.9211</v>
      </c>
      <c r="D63" s="55">
        <f t="shared" ref="D63:F63" si="34">D43*1.13</f>
        <v>479656.9195</v>
      </c>
      <c r="E63" s="55">
        <f t="shared" si="34"/>
        <v>458901.9948</v>
      </c>
      <c r="F63" s="55">
        <f t="shared" si="34"/>
        <v>974582.0713</v>
      </c>
      <c r="G63" s="55">
        <f t="shared" ref="G63:H63" si="35">G43*1.13</f>
        <v>728730.9093</v>
      </c>
      <c r="H63" s="55">
        <f t="shared" si="35"/>
        <v>1188994.8931</v>
      </c>
      <c r="I63" s="55">
        <f t="shared" ref="I63:J63" si="36">I43*1.13</f>
        <v>0</v>
      </c>
      <c r="J63" s="55">
        <f t="shared" si="36"/>
        <v>0</v>
      </c>
      <c r="K63" s="55">
        <f t="shared" ref="K63:L63" si="37">K43*1.13</f>
        <v>0</v>
      </c>
      <c r="L63" s="55">
        <f t="shared" si="37"/>
        <v>0</v>
      </c>
      <c r="M63" s="55">
        <f t="shared" ref="M63:N63" si="38">M43*1.13</f>
        <v>0</v>
      </c>
      <c r="N63" s="55">
        <f t="shared" si="38"/>
        <v>0</v>
      </c>
      <c r="O63" s="56">
        <f ca="1">SUM(OFFSET($C63,0,0,1,mth))</f>
        <v>4360388.7091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63">
        <f t="shared" si="20"/>
        <v>0</v>
      </c>
    </row>
    <row r="64" s="38" customFormat="1" ht="16.5" customHeight="1" spans="1:28">
      <c r="A64" s="57" t="s">
        <v>232</v>
      </c>
      <c r="B64" s="50"/>
      <c r="C64" s="52">
        <f>SUM(C46,C49:C51,C54,C57,C58,C61)</f>
        <v>44987502.5861</v>
      </c>
      <c r="D64" s="52">
        <f t="shared" ref="C64:F64" si="39">SUM(D46,D49:D51,D54,D57,D58,D61)</f>
        <v>45011965.2701</v>
      </c>
      <c r="E64" s="52">
        <f t="shared" si="39"/>
        <v>56772519.9218</v>
      </c>
      <c r="F64" s="52">
        <f t="shared" si="39"/>
        <v>55977467.677</v>
      </c>
      <c r="G64" s="52">
        <f t="shared" ref="D64:O64" si="40">SUM(G46,G49:G51,G54,G58,G61)</f>
        <v>54271316.8173</v>
      </c>
      <c r="H64" s="52">
        <f t="shared" si="40"/>
        <v>64525787.2669</v>
      </c>
      <c r="I64" s="52">
        <f t="shared" si="40"/>
        <v>0</v>
      </c>
      <c r="J64" s="52">
        <f t="shared" si="40"/>
        <v>0</v>
      </c>
      <c r="K64" s="52">
        <f t="shared" si="40"/>
        <v>0</v>
      </c>
      <c r="L64" s="52">
        <f t="shared" si="40"/>
        <v>0</v>
      </c>
      <c r="M64" s="52">
        <f t="shared" si="40"/>
        <v>0</v>
      </c>
      <c r="N64" s="52">
        <f t="shared" si="40"/>
        <v>0</v>
      </c>
      <c r="O64" s="52">
        <f ca="1">SUM(O46,O49:O51,O54,O57,O58,O61)</f>
        <v>321546559.5392</v>
      </c>
      <c r="P64" s="70">
        <f>P46+P51+P54+P57+P58+P61</f>
        <v>1578491.6</v>
      </c>
      <c r="Q64" s="70">
        <f t="shared" ref="Q64:AB64" si="41">Q46+Q51+Q54+Q57+Q58+Q61</f>
        <v>2868091.21</v>
      </c>
      <c r="R64" s="70">
        <f t="shared" si="41"/>
        <v>1123110.63</v>
      </c>
      <c r="S64" s="70">
        <f t="shared" si="41"/>
        <v>1788505.37</v>
      </c>
      <c r="T64" s="70">
        <f t="shared" si="41"/>
        <v>2994550.52</v>
      </c>
      <c r="U64" s="70">
        <f t="shared" si="41"/>
        <v>1264894.29</v>
      </c>
      <c r="V64" s="70">
        <f t="shared" si="41"/>
        <v>0</v>
      </c>
      <c r="W64" s="70">
        <f t="shared" si="41"/>
        <v>0</v>
      </c>
      <c r="X64" s="70">
        <f t="shared" si="41"/>
        <v>0</v>
      </c>
      <c r="Y64" s="70">
        <f t="shared" si="41"/>
        <v>0</v>
      </c>
      <c r="Z64" s="70">
        <f t="shared" si="41"/>
        <v>0</v>
      </c>
      <c r="AA64" s="70">
        <f t="shared" si="41"/>
        <v>0</v>
      </c>
      <c r="AB64" s="63">
        <f t="shared" si="41"/>
        <v>11617643.62</v>
      </c>
    </row>
    <row r="65" s="38" customFormat="1" customHeight="1" spans="1:28">
      <c r="A65" s="46" t="s">
        <v>603</v>
      </c>
      <c r="C65" s="68"/>
      <c r="D65" s="68"/>
      <c r="E65" s="68"/>
      <c r="H65" s="68"/>
      <c r="N65" s="68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s="38" customFormat="1" ht="16.5" customHeight="1" spans="1:28">
      <c r="A66" s="48" t="s">
        <v>252</v>
      </c>
      <c r="B66" s="50" t="s">
        <v>123</v>
      </c>
      <c r="C66" s="52">
        <f t="shared" ref="C66:N66" si="42">IF(ROUND(C6,2)=0,,C26/C6)</f>
        <v>2733.80215158743</v>
      </c>
      <c r="D66" s="52">
        <f t="shared" si="42"/>
        <v>2709.92226301696</v>
      </c>
      <c r="E66" s="52">
        <f t="shared" si="42"/>
        <v>2683.59352529628</v>
      </c>
      <c r="F66" s="52">
        <f t="shared" si="42"/>
        <v>2713.41100661478</v>
      </c>
      <c r="G66" s="52">
        <f t="shared" si="42"/>
        <v>2703.25089241467</v>
      </c>
      <c r="H66" s="52">
        <f t="shared" si="42"/>
        <v>2730.3778375611</v>
      </c>
      <c r="I66" s="52">
        <f t="shared" si="42"/>
        <v>0</v>
      </c>
      <c r="J66" s="52">
        <f t="shared" si="42"/>
        <v>0</v>
      </c>
      <c r="K66" s="52">
        <f t="shared" si="42"/>
        <v>0</v>
      </c>
      <c r="L66" s="52">
        <f t="shared" si="42"/>
        <v>0</v>
      </c>
      <c r="M66" s="52">
        <f t="shared" si="42"/>
        <v>0</v>
      </c>
      <c r="N66" s="52">
        <f t="shared" si="42"/>
        <v>0</v>
      </c>
      <c r="O66" s="52">
        <f ca="1" t="shared" ref="O66:O73" si="43">IF(O6=0,,O26/O6)</f>
        <v>2712.78462086869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="38" customFormat="1" ht="16.5" customHeight="1" spans="1:28">
      <c r="A67" s="53" t="s">
        <v>589</v>
      </c>
      <c r="B67" s="54" t="s">
        <v>123</v>
      </c>
      <c r="C67" s="56">
        <f t="shared" ref="C67:N67" si="44">IF(ROUND(C7,2)=0,,C27/C7)</f>
        <v>2730.17962918967</v>
      </c>
      <c r="D67" s="56">
        <f t="shared" si="44"/>
        <v>2707.76465702178</v>
      </c>
      <c r="E67" s="56">
        <f t="shared" si="44"/>
        <v>2681.70369360708</v>
      </c>
      <c r="F67" s="56">
        <f t="shared" si="44"/>
        <v>2709.44342393272</v>
      </c>
      <c r="G67" s="56">
        <f t="shared" si="44"/>
        <v>2698.12060868836</v>
      </c>
      <c r="H67" s="56">
        <f t="shared" si="44"/>
        <v>2727.15129066092</v>
      </c>
      <c r="I67" s="56">
        <f t="shared" si="44"/>
        <v>0</v>
      </c>
      <c r="J67" s="56">
        <f t="shared" si="44"/>
        <v>0</v>
      </c>
      <c r="K67" s="56">
        <f t="shared" si="44"/>
        <v>0</v>
      </c>
      <c r="L67" s="56">
        <f t="shared" si="44"/>
        <v>0</v>
      </c>
      <c r="M67" s="56">
        <f t="shared" si="44"/>
        <v>0</v>
      </c>
      <c r="N67" s="56">
        <f t="shared" si="44"/>
        <v>0</v>
      </c>
      <c r="O67" s="56">
        <f ca="1" t="shared" si="43"/>
        <v>2709.40780262875</v>
      </c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="38" customFormat="1" ht="16.5" customHeight="1" spans="1:28">
      <c r="A68" s="53" t="s">
        <v>590</v>
      </c>
      <c r="B68" s="54" t="s">
        <v>123</v>
      </c>
      <c r="C68" s="56">
        <f>IF(ROUND(C8,2)=0,,C28/C8)</f>
        <v>4725.42748091603</v>
      </c>
      <c r="D68" s="56">
        <f t="shared" ref="D68:N68" si="45">IF(ROUND(D8,2)=0,,D28/D8)</f>
        <v>4725.13421828909</v>
      </c>
      <c r="E68" s="56">
        <f t="shared" si="45"/>
        <v>4704.40784313725</v>
      </c>
      <c r="F68" s="56">
        <f t="shared" si="45"/>
        <v>4358.87198608004</v>
      </c>
      <c r="G68" s="56">
        <f t="shared" si="45"/>
        <v>4473.80032401782</v>
      </c>
      <c r="H68" s="56">
        <f t="shared" si="45"/>
        <v>4716.81432506887</v>
      </c>
      <c r="I68" s="56">
        <f t="shared" si="45"/>
        <v>0</v>
      </c>
      <c r="J68" s="56">
        <f t="shared" si="45"/>
        <v>0</v>
      </c>
      <c r="K68" s="56">
        <f t="shared" si="45"/>
        <v>0</v>
      </c>
      <c r="L68" s="56">
        <f t="shared" si="45"/>
        <v>0</v>
      </c>
      <c r="M68" s="56">
        <f t="shared" si="45"/>
        <v>0</v>
      </c>
      <c r="N68" s="56">
        <f t="shared" si="45"/>
        <v>0</v>
      </c>
      <c r="O68" s="56">
        <f ca="1" t="shared" si="43"/>
        <v>4569.49750490608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="38" customFormat="1" ht="16.5" hidden="1" customHeight="1" spans="1:28">
      <c r="A69" s="57" t="s">
        <v>253</v>
      </c>
      <c r="B69" s="50" t="s">
        <v>123</v>
      </c>
      <c r="C69" s="52">
        <f t="shared" ref="C69:N69" si="46">IF(ROUND(C9,2)=0,,C29/C9)</f>
        <v>0</v>
      </c>
      <c r="D69" s="52">
        <f t="shared" si="46"/>
        <v>0</v>
      </c>
      <c r="E69" s="52">
        <f t="shared" si="46"/>
        <v>0</v>
      </c>
      <c r="F69" s="52">
        <f t="shared" si="46"/>
        <v>0</v>
      </c>
      <c r="G69" s="52">
        <f t="shared" si="46"/>
        <v>0</v>
      </c>
      <c r="H69" s="52">
        <f t="shared" si="46"/>
        <v>0</v>
      </c>
      <c r="I69" s="52">
        <f t="shared" si="46"/>
        <v>0</v>
      </c>
      <c r="J69" s="52">
        <f t="shared" si="46"/>
        <v>0</v>
      </c>
      <c r="K69" s="52">
        <f t="shared" si="46"/>
        <v>0</v>
      </c>
      <c r="L69" s="52">
        <f t="shared" si="46"/>
        <v>0</v>
      </c>
      <c r="M69" s="52">
        <f t="shared" si="46"/>
        <v>0</v>
      </c>
      <c r="N69" s="52">
        <f t="shared" si="46"/>
        <v>0</v>
      </c>
      <c r="O69" s="52">
        <f ca="1" t="shared" si="43"/>
        <v>0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s="38" customFormat="1" ht="16.5" hidden="1" customHeight="1" spans="1:28">
      <c r="A70" s="57" t="s">
        <v>254</v>
      </c>
      <c r="B70" s="50" t="s">
        <v>123</v>
      </c>
      <c r="C70" s="52">
        <f t="shared" ref="C70:N70" si="47">IF(C10=0,,C30/C10)</f>
        <v>0</v>
      </c>
      <c r="D70" s="52">
        <f t="shared" si="47"/>
        <v>0</v>
      </c>
      <c r="E70" s="52">
        <f t="shared" si="47"/>
        <v>0</v>
      </c>
      <c r="F70" s="52">
        <f t="shared" si="47"/>
        <v>0</v>
      </c>
      <c r="G70" s="52">
        <f t="shared" si="47"/>
        <v>0</v>
      </c>
      <c r="H70" s="52">
        <f t="shared" si="47"/>
        <v>0</v>
      </c>
      <c r="I70" s="52">
        <f t="shared" si="47"/>
        <v>0</v>
      </c>
      <c r="J70" s="52">
        <f t="shared" si="47"/>
        <v>0</v>
      </c>
      <c r="K70" s="52">
        <f t="shared" si="47"/>
        <v>0</v>
      </c>
      <c r="L70" s="52">
        <f t="shared" si="47"/>
        <v>0</v>
      </c>
      <c r="M70" s="52">
        <f t="shared" si="47"/>
        <v>0</v>
      </c>
      <c r="N70" s="52">
        <f t="shared" si="47"/>
        <v>0</v>
      </c>
      <c r="O70" s="52">
        <f ca="1" t="shared" si="43"/>
        <v>0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s="38" customFormat="1" ht="16.5" customHeight="1" spans="1:28">
      <c r="A71" s="48" t="s">
        <v>256</v>
      </c>
      <c r="B71" s="50" t="s">
        <v>123</v>
      </c>
      <c r="C71" s="52">
        <f t="shared" ref="C71:N71" si="48">IF(ROUND(C11,2)=0,,C31/C11)</f>
        <v>3815.57280118944</v>
      </c>
      <c r="D71" s="52">
        <f t="shared" si="48"/>
        <v>3910.52573440656</v>
      </c>
      <c r="E71" s="52">
        <f t="shared" si="48"/>
        <v>3865.01971318176</v>
      </c>
      <c r="F71" s="52">
        <f t="shared" si="48"/>
        <v>3853.39044135055</v>
      </c>
      <c r="G71" s="52">
        <f t="shared" si="48"/>
        <v>3843.21302758453</v>
      </c>
      <c r="H71" s="52">
        <f t="shared" si="48"/>
        <v>3843.85662351146</v>
      </c>
      <c r="I71" s="52">
        <f t="shared" si="48"/>
        <v>0</v>
      </c>
      <c r="J71" s="52">
        <f t="shared" si="48"/>
        <v>0</v>
      </c>
      <c r="K71" s="52">
        <f t="shared" si="48"/>
        <v>0</v>
      </c>
      <c r="L71" s="52">
        <f t="shared" si="48"/>
        <v>0</v>
      </c>
      <c r="M71" s="52">
        <f t="shared" si="48"/>
        <v>0</v>
      </c>
      <c r="N71" s="52">
        <f t="shared" si="48"/>
        <v>0</v>
      </c>
      <c r="O71" s="52">
        <f ca="1" t="shared" si="43"/>
        <v>3852.70438473189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s="38" customFormat="1" ht="16.5" customHeight="1" spans="1:28">
      <c r="A72" s="53" t="s">
        <v>591</v>
      </c>
      <c r="B72" s="54" t="s">
        <v>123</v>
      </c>
      <c r="C72" s="56">
        <f t="shared" ref="C72:N72" si="49">IF(ROUND(C12,2)=0,,C32/C12)</f>
        <v>0</v>
      </c>
      <c r="D72" s="56">
        <f t="shared" si="49"/>
        <v>0</v>
      </c>
      <c r="E72" s="56">
        <f t="shared" si="49"/>
        <v>0</v>
      </c>
      <c r="F72" s="56">
        <f t="shared" si="49"/>
        <v>0</v>
      </c>
      <c r="G72" s="56">
        <f t="shared" si="49"/>
        <v>0</v>
      </c>
      <c r="H72" s="56">
        <f t="shared" si="49"/>
        <v>0</v>
      </c>
      <c r="I72" s="56">
        <f t="shared" si="49"/>
        <v>0</v>
      </c>
      <c r="J72" s="56">
        <f t="shared" si="49"/>
        <v>0</v>
      </c>
      <c r="K72" s="56">
        <f t="shared" si="49"/>
        <v>0</v>
      </c>
      <c r="L72" s="56">
        <f t="shared" si="49"/>
        <v>0</v>
      </c>
      <c r="M72" s="56">
        <f t="shared" si="49"/>
        <v>0</v>
      </c>
      <c r="N72" s="56">
        <f t="shared" si="49"/>
        <v>0</v>
      </c>
      <c r="O72" s="56">
        <f ca="1" t="shared" si="43"/>
        <v>0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 s="38" customFormat="1" ht="16.5" customHeight="1" spans="1:28">
      <c r="A73" s="53" t="s">
        <v>592</v>
      </c>
      <c r="B73" s="54" t="s">
        <v>123</v>
      </c>
      <c r="C73" s="56">
        <f t="shared" ref="C73:N73" si="50">IF(ROUND(C13,2)=0,,C33/C13)</f>
        <v>3815.57280118944</v>
      </c>
      <c r="D73" s="56">
        <f t="shared" si="50"/>
        <v>3910.52573440656</v>
      </c>
      <c r="E73" s="56">
        <f t="shared" si="50"/>
        <v>3865.01971318176</v>
      </c>
      <c r="F73" s="56">
        <f t="shared" si="50"/>
        <v>3853.39044135055</v>
      </c>
      <c r="G73" s="56">
        <f t="shared" si="50"/>
        <v>3843.21302758453</v>
      </c>
      <c r="H73" s="56">
        <f t="shared" si="50"/>
        <v>3843.85662351146</v>
      </c>
      <c r="I73" s="56">
        <f t="shared" si="50"/>
        <v>0</v>
      </c>
      <c r="J73" s="56">
        <f t="shared" si="50"/>
        <v>0</v>
      </c>
      <c r="K73" s="56">
        <f t="shared" si="50"/>
        <v>0</v>
      </c>
      <c r="L73" s="56">
        <f t="shared" si="50"/>
        <v>0</v>
      </c>
      <c r="M73" s="56">
        <f t="shared" si="50"/>
        <v>0</v>
      </c>
      <c r="N73" s="56">
        <f t="shared" si="50"/>
        <v>0</v>
      </c>
      <c r="O73" s="56">
        <f ca="1" t="shared" si="43"/>
        <v>3852.70438473189</v>
      </c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s="38" customFormat="1" ht="16.5" customHeight="1" spans="1:28">
      <c r="A74" s="48" t="s">
        <v>593</v>
      </c>
      <c r="B74" s="50" t="s">
        <v>123</v>
      </c>
      <c r="C74" s="52">
        <f t="shared" ref="C74:N74" si="51">IF(ROUND(C14,2)=0,,C34/C14)</f>
        <v>2843.98996798728</v>
      </c>
      <c r="D74" s="52">
        <f t="shared" si="51"/>
        <v>2800.72347788858</v>
      </c>
      <c r="E74" s="52">
        <f t="shared" si="51"/>
        <v>2807.24996142571</v>
      </c>
      <c r="F74" s="52">
        <f t="shared" si="51"/>
        <v>2798.13802593525</v>
      </c>
      <c r="G74" s="52">
        <f t="shared" si="51"/>
        <v>2800.68856395914</v>
      </c>
      <c r="H74" s="52">
        <f t="shared" si="51"/>
        <v>2845.28708618786</v>
      </c>
      <c r="I74" s="52">
        <f t="shared" si="51"/>
        <v>0</v>
      </c>
      <c r="J74" s="52">
        <f t="shared" si="51"/>
        <v>0</v>
      </c>
      <c r="K74" s="52">
        <f t="shared" si="51"/>
        <v>0</v>
      </c>
      <c r="L74" s="52">
        <f t="shared" si="51"/>
        <v>0</v>
      </c>
      <c r="M74" s="52">
        <f t="shared" si="51"/>
        <v>0</v>
      </c>
      <c r="N74" s="52">
        <f t="shared" si="51"/>
        <v>0</v>
      </c>
      <c r="O74" s="52">
        <f ca="1">IF(O14=0,0,O34/O14)</f>
        <v>2814.31451814736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 s="38" customFormat="1" ht="16.5" customHeight="1" spans="1:28">
      <c r="A75" s="53" t="s">
        <v>594</v>
      </c>
      <c r="B75" s="54" t="s">
        <v>123</v>
      </c>
      <c r="C75" s="56">
        <f t="shared" ref="C75:N75" si="52">IF(ROUND(C15,2)=0,,C35/C15)</f>
        <v>0</v>
      </c>
      <c r="D75" s="56">
        <f t="shared" si="52"/>
        <v>0</v>
      </c>
      <c r="E75" s="56">
        <f t="shared" si="52"/>
        <v>0</v>
      </c>
      <c r="F75" s="56">
        <f t="shared" si="52"/>
        <v>0</v>
      </c>
      <c r="G75" s="56">
        <f t="shared" si="52"/>
        <v>0</v>
      </c>
      <c r="H75" s="56">
        <f t="shared" si="52"/>
        <v>0</v>
      </c>
      <c r="I75" s="56">
        <f t="shared" si="52"/>
        <v>0</v>
      </c>
      <c r="J75" s="56">
        <f t="shared" si="52"/>
        <v>0</v>
      </c>
      <c r="K75" s="56">
        <f t="shared" si="52"/>
        <v>0</v>
      </c>
      <c r="L75" s="56">
        <f t="shared" si="52"/>
        <v>0</v>
      </c>
      <c r="M75" s="56">
        <f t="shared" si="52"/>
        <v>0</v>
      </c>
      <c r="N75" s="56">
        <f t="shared" si="52"/>
        <v>0</v>
      </c>
      <c r="O75" s="56">
        <f ca="1">IF(O15=0,,O35/O15)</f>
        <v>0</v>
      </c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 s="38" customFormat="1" ht="16.5" customHeight="1" spans="1:28">
      <c r="A76" s="53" t="s">
        <v>595</v>
      </c>
      <c r="B76" s="54" t="s">
        <v>123</v>
      </c>
      <c r="C76" s="56">
        <f t="shared" ref="C76:N76" si="53">IF(ROUND(C16,2)=0,,C36/C16)</f>
        <v>2843.98996798728</v>
      </c>
      <c r="D76" s="56">
        <f t="shared" si="53"/>
        <v>2800.72347788858</v>
      </c>
      <c r="E76" s="56">
        <f t="shared" si="53"/>
        <v>2807.24996142571</v>
      </c>
      <c r="F76" s="56">
        <f t="shared" si="53"/>
        <v>2798.13802593525</v>
      </c>
      <c r="G76" s="56">
        <f t="shared" si="53"/>
        <v>2800.68856395914</v>
      </c>
      <c r="H76" s="56">
        <f t="shared" si="53"/>
        <v>2845.28708618786</v>
      </c>
      <c r="I76" s="56">
        <f t="shared" si="53"/>
        <v>0</v>
      </c>
      <c r="J76" s="56">
        <f t="shared" si="53"/>
        <v>0</v>
      </c>
      <c r="K76" s="56">
        <f t="shared" si="53"/>
        <v>0</v>
      </c>
      <c r="L76" s="56">
        <f t="shared" si="53"/>
        <v>0</v>
      </c>
      <c r="M76" s="56">
        <f t="shared" si="53"/>
        <v>0</v>
      </c>
      <c r="N76" s="56">
        <f t="shared" si="53"/>
        <v>0</v>
      </c>
      <c r="O76" s="56">
        <f ca="1">IF(O16=0,,O36/O16)</f>
        <v>2814.31451814736</v>
      </c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 s="38" customFormat="1" ht="16.5" customHeight="1" spans="1:28">
      <c r="A77" s="48" t="s">
        <v>596</v>
      </c>
      <c r="B77" s="50" t="s">
        <v>123</v>
      </c>
      <c r="C77" s="56">
        <f>IF(ROUND(C17,2)=0,,C37/C17)</f>
        <v>0</v>
      </c>
      <c r="D77" s="56">
        <f t="shared" ref="D77:O77" si="54">IF(ROUND(D17,2)=0,,D37/D17)</f>
        <v>0</v>
      </c>
      <c r="E77" s="56">
        <f t="shared" si="54"/>
        <v>3679.725005675</v>
      </c>
      <c r="F77" s="56">
        <f t="shared" si="54"/>
        <v>0</v>
      </c>
      <c r="G77" s="56">
        <f t="shared" si="54"/>
        <v>0</v>
      </c>
      <c r="H77" s="56">
        <f t="shared" si="54"/>
        <v>0</v>
      </c>
      <c r="I77" s="56">
        <f t="shared" si="54"/>
        <v>0</v>
      </c>
      <c r="J77" s="56">
        <f t="shared" si="54"/>
        <v>0</v>
      </c>
      <c r="K77" s="56">
        <f t="shared" si="54"/>
        <v>0</v>
      </c>
      <c r="L77" s="56">
        <f t="shared" si="54"/>
        <v>0</v>
      </c>
      <c r="M77" s="56">
        <f t="shared" si="54"/>
        <v>0</v>
      </c>
      <c r="N77" s="56">
        <f t="shared" si="54"/>
        <v>0</v>
      </c>
      <c r="O77" s="56">
        <f ca="1" t="shared" si="54"/>
        <v>3679.725005675</v>
      </c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 s="38" customFormat="1" ht="16.5" customHeight="1" spans="1:28">
      <c r="A78" s="48" t="s">
        <v>354</v>
      </c>
      <c r="B78" s="50" t="s">
        <v>123</v>
      </c>
      <c r="C78" s="52">
        <f t="shared" ref="C78:N78" si="55">IF(ROUND(C18,2)=0,,C38/C18)</f>
        <v>2986.10802538182</v>
      </c>
      <c r="D78" s="52">
        <f t="shared" si="55"/>
        <v>2918.59303896858</v>
      </c>
      <c r="E78" s="52">
        <f t="shared" si="55"/>
        <v>2880.17084766309</v>
      </c>
      <c r="F78" s="52">
        <f t="shared" si="55"/>
        <v>2922.906731903</v>
      </c>
      <c r="G78" s="52">
        <f t="shared" si="55"/>
        <v>2878.59822557172</v>
      </c>
      <c r="H78" s="52">
        <f t="shared" si="55"/>
        <v>2875.50862334706</v>
      </c>
      <c r="I78" s="52">
        <f t="shared" si="55"/>
        <v>0</v>
      </c>
      <c r="J78" s="52">
        <f t="shared" si="55"/>
        <v>0</v>
      </c>
      <c r="K78" s="52">
        <f t="shared" si="55"/>
        <v>0</v>
      </c>
      <c r="L78" s="52">
        <f t="shared" si="55"/>
        <v>0</v>
      </c>
      <c r="M78" s="52">
        <f t="shared" si="55"/>
        <v>0</v>
      </c>
      <c r="N78" s="52">
        <f t="shared" si="55"/>
        <v>0</v>
      </c>
      <c r="O78" s="52">
        <f ca="1" t="shared" ref="O78:O83" si="56">IF(O18=0,,O38/O18)</f>
        <v>2907.46639520873</v>
      </c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 s="38" customFormat="1" ht="16.5" customHeight="1" spans="1:28">
      <c r="A79" s="53" t="s">
        <v>597</v>
      </c>
      <c r="B79" s="65" t="s">
        <v>123</v>
      </c>
      <c r="C79" s="55">
        <f t="shared" ref="C79:D79" si="57">IF(ROUND(C19,2)=0,,C39/C19)</f>
        <v>2877.27293906585</v>
      </c>
      <c r="D79" s="55">
        <f t="shared" si="57"/>
        <v>2803.30070247238</v>
      </c>
      <c r="E79" s="55">
        <f t="shared" ref="E79:F79" si="58">IF(ROUND(E19,2)=0,,E39/E19)</f>
        <v>2765.81087347044</v>
      </c>
      <c r="F79" s="55">
        <f t="shared" si="58"/>
        <v>2790.02371709645</v>
      </c>
      <c r="G79" s="55">
        <f t="shared" ref="G79:H79" si="59">IF(ROUND(G19,2)=0,,G39/G19)</f>
        <v>2660.04469955805</v>
      </c>
      <c r="H79" s="55">
        <f t="shared" si="59"/>
        <v>2759.48406309485</v>
      </c>
      <c r="I79" s="55">
        <f t="shared" ref="I79:J79" si="60">IF(ROUND(I19,2)=0,,I39/I19)</f>
        <v>0</v>
      </c>
      <c r="J79" s="55">
        <f t="shared" si="60"/>
        <v>0</v>
      </c>
      <c r="K79" s="55">
        <f t="shared" ref="K79:L79" si="61">IF(ROUND(K19,2)=0,,K39/K19)</f>
        <v>0</v>
      </c>
      <c r="L79" s="55">
        <f t="shared" si="61"/>
        <v>0</v>
      </c>
      <c r="M79" s="55">
        <f t="shared" ref="M79:N79" si="62">IF(ROUND(M19,2)=0,,M39/M19)</f>
        <v>0</v>
      </c>
      <c r="N79" s="55">
        <f t="shared" si="62"/>
        <v>0</v>
      </c>
      <c r="O79" s="56">
        <f ca="1" t="shared" si="56"/>
        <v>2773.01673217724</v>
      </c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 s="38" customFormat="1" ht="16.5" customHeight="1" spans="1:28">
      <c r="A80" s="53" t="s">
        <v>598</v>
      </c>
      <c r="B80" s="65" t="s">
        <v>123</v>
      </c>
      <c r="C80" s="55">
        <f>IF(ROUND(C20,2)=0,,C40/C20)</f>
        <v>3174.79529251078</v>
      </c>
      <c r="D80" s="55">
        <f t="shared" ref="D80" si="63">IF(ROUND(D20,2)=0,,D40/D20)</f>
        <v>3126.92239168024</v>
      </c>
      <c r="E80" s="55">
        <f t="shared" ref="E80:F80" si="64">IF(ROUND(E20,2)=0,,E40/E20)</f>
        <v>3111.75424174745</v>
      </c>
      <c r="F80" s="55">
        <f t="shared" si="64"/>
        <v>3087.27877755181</v>
      </c>
      <c r="G80" s="55">
        <f t="shared" ref="G80:H80" si="65">IF(ROUND(G20,2)=0,,G40/G20)</f>
        <v>3267.4822106363</v>
      </c>
      <c r="H80" s="55">
        <f t="shared" si="65"/>
        <v>3092.42730061787</v>
      </c>
      <c r="I80" s="55">
        <f t="shared" ref="I80:J80" si="66">IF(ROUND(I20,2)=0,,I40/I20)</f>
        <v>0</v>
      </c>
      <c r="J80" s="55">
        <f t="shared" si="66"/>
        <v>0</v>
      </c>
      <c r="K80" s="55">
        <f t="shared" ref="K80:L80" si="67">IF(ROUND(K20,2)=0,,K40/K20)</f>
        <v>0</v>
      </c>
      <c r="L80" s="55">
        <f t="shared" si="67"/>
        <v>0</v>
      </c>
      <c r="M80" s="55">
        <f t="shared" ref="M80:N80" si="68">IF(ROUND(M20,2)=0,,M40/M20)</f>
        <v>0</v>
      </c>
      <c r="N80" s="55">
        <f t="shared" si="68"/>
        <v>0</v>
      </c>
      <c r="O80" s="56">
        <f ca="1" t="shared" si="56"/>
        <v>3140.16767882063</v>
      </c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="38" customFormat="1" ht="16.5" customHeight="1" spans="1:28">
      <c r="A81" s="48" t="s">
        <v>599</v>
      </c>
      <c r="B81" s="50" t="s">
        <v>123</v>
      </c>
      <c r="C81" s="52">
        <f t="shared" ref="C81:N81" si="69">IF(ROUND(C21,2)=0,,C41/C21)</f>
        <v>10921.6352771343</v>
      </c>
      <c r="D81" s="52">
        <f t="shared" si="69"/>
        <v>10668.3983528881</v>
      </c>
      <c r="E81" s="52">
        <f t="shared" si="69"/>
        <v>11897.6448888725</v>
      </c>
      <c r="F81" s="52">
        <f t="shared" si="69"/>
        <v>11961.4036298197</v>
      </c>
      <c r="G81" s="52">
        <f t="shared" si="69"/>
        <v>11542.7655830532</v>
      </c>
      <c r="H81" s="52">
        <f t="shared" si="69"/>
        <v>9395.95008190171</v>
      </c>
      <c r="I81" s="52">
        <f t="shared" si="69"/>
        <v>0</v>
      </c>
      <c r="J81" s="52">
        <f t="shared" si="69"/>
        <v>0</v>
      </c>
      <c r="K81" s="52">
        <f t="shared" si="69"/>
        <v>0</v>
      </c>
      <c r="L81" s="52">
        <f t="shared" si="69"/>
        <v>0</v>
      </c>
      <c r="M81" s="52">
        <f t="shared" si="69"/>
        <v>0</v>
      </c>
      <c r="N81" s="52">
        <f t="shared" si="69"/>
        <v>0</v>
      </c>
      <c r="O81" s="52">
        <f ca="1" t="shared" si="56"/>
        <v>11034.5140460814</v>
      </c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 s="38" customFormat="1" ht="16.5" customHeight="1" spans="1:28">
      <c r="A82" s="53" t="s">
        <v>308</v>
      </c>
      <c r="B82" s="65" t="s">
        <v>123</v>
      </c>
      <c r="C82" s="55">
        <f>IF(ROUND(C22,2)=0,,C42/C22)</f>
        <v>16561.605353354</v>
      </c>
      <c r="D82" s="55">
        <f t="shared" ref="D82:F83" si="70">IF(ROUND(D22,2)=0,,D42/D22)</f>
        <v>16632.254029041</v>
      </c>
      <c r="E82" s="55">
        <f t="shared" si="70"/>
        <v>16480.5444514619</v>
      </c>
      <c r="F82" s="55">
        <f t="shared" si="70"/>
        <v>16742.1022365235</v>
      </c>
      <c r="G82" s="55">
        <f t="shared" ref="G82:H82" si="71">IF(ROUND(G22,2)=0,,G42/G22)</f>
        <v>16524.3795680671</v>
      </c>
      <c r="H82" s="55">
        <f t="shared" si="71"/>
        <v>16605.2947894802</v>
      </c>
      <c r="I82" s="55">
        <f t="shared" ref="I82:J82" si="72">IF(ROUND(I22,2)=0,,I42/I22)</f>
        <v>0</v>
      </c>
      <c r="J82" s="55">
        <f t="shared" si="72"/>
        <v>0</v>
      </c>
      <c r="K82" s="55">
        <f t="shared" ref="K82:L82" si="73">IF(ROUND(K22,2)=0,,K42/K22)</f>
        <v>0</v>
      </c>
      <c r="L82" s="55">
        <f t="shared" si="73"/>
        <v>0</v>
      </c>
      <c r="M82" s="55">
        <f t="shared" ref="M82:N82" si="74">IF(ROUND(M22,2)=0,,M42/M22)</f>
        <v>0</v>
      </c>
      <c r="N82" s="55">
        <f t="shared" si="74"/>
        <v>0</v>
      </c>
      <c r="O82" s="56">
        <f ca="1" t="shared" si="56"/>
        <v>16613.231605009</v>
      </c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 s="38" customFormat="1" ht="16.5" customHeight="1" spans="1:28">
      <c r="A83" s="53" t="s">
        <v>359</v>
      </c>
      <c r="B83" s="65" t="s">
        <v>123</v>
      </c>
      <c r="C83" s="55">
        <f>IF(ROUND(C23,2)=0,,C43/C23)</f>
        <v>7979.48898273337</v>
      </c>
      <c r="D83" s="55">
        <f t="shared" si="70"/>
        <v>7407.29691998953</v>
      </c>
      <c r="E83" s="55">
        <f t="shared" si="70"/>
        <v>7401.27501366867</v>
      </c>
      <c r="F83" s="55">
        <f t="shared" si="70"/>
        <v>7052.9424127441</v>
      </c>
      <c r="G83" s="55">
        <f t="shared" ref="G83:H83" si="75">IF(ROUND(G23,2)=0,,G43/G23)</f>
        <v>6973.34137110727</v>
      </c>
      <c r="H83" s="55">
        <f t="shared" si="75"/>
        <v>6507.2008484901</v>
      </c>
      <c r="I83" s="55">
        <f t="shared" ref="I83:J83" si="76">IF(ROUND(I23,2)=0,,I43/I23)</f>
        <v>0</v>
      </c>
      <c r="J83" s="55">
        <f t="shared" si="76"/>
        <v>0</v>
      </c>
      <c r="K83" s="55">
        <f t="shared" ref="K83:L83" si="77">IF(ROUND(K23,2)=0,,K43/K23)</f>
        <v>0</v>
      </c>
      <c r="L83" s="55">
        <f t="shared" si="77"/>
        <v>0</v>
      </c>
      <c r="M83" s="55">
        <f t="shared" ref="M83:N83" si="78">IF(ROUND(M23,2)=0,,M43/M23)</f>
        <v>0</v>
      </c>
      <c r="N83" s="55">
        <f t="shared" si="78"/>
        <v>0</v>
      </c>
      <c r="O83" s="56">
        <f ca="1" t="shared" si="56"/>
        <v>7049.69831775564</v>
      </c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 s="38" customFormat="1" ht="15.75" customHeight="1" spans="1:28">
      <c r="A84" s="46" t="s">
        <v>604</v>
      </c>
      <c r="C84" s="68"/>
      <c r="D84" s="68"/>
      <c r="E84" s="68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 s="38" customFormat="1" ht="16.5" customHeight="1" spans="1:28">
      <c r="A85" s="48" t="s">
        <v>252</v>
      </c>
      <c r="B85" s="50" t="s">
        <v>123</v>
      </c>
      <c r="C85" s="52">
        <f t="shared" ref="C85:N85" si="79">IF(ROUND(C6,2)=0,,C46/C6)</f>
        <v>3089.1964312938</v>
      </c>
      <c r="D85" s="52">
        <f t="shared" si="79"/>
        <v>3059.8136376507</v>
      </c>
      <c r="E85" s="52">
        <f t="shared" si="79"/>
        <v>3030.6153311028</v>
      </c>
      <c r="F85" s="52">
        <f t="shared" si="79"/>
        <v>3066.1544374747</v>
      </c>
      <c r="G85" s="52">
        <f t="shared" si="79"/>
        <v>3051.18226195011</v>
      </c>
      <c r="H85" s="52">
        <f t="shared" si="79"/>
        <v>3084.0497585119</v>
      </c>
      <c r="I85" s="52">
        <f t="shared" si="79"/>
        <v>0</v>
      </c>
      <c r="J85" s="52">
        <f t="shared" si="79"/>
        <v>0</v>
      </c>
      <c r="K85" s="52">
        <f t="shared" si="79"/>
        <v>0</v>
      </c>
      <c r="L85" s="52">
        <f t="shared" si="79"/>
        <v>0</v>
      </c>
      <c r="M85" s="52">
        <f t="shared" si="79"/>
        <v>0</v>
      </c>
      <c r="N85" s="52">
        <f t="shared" si="79"/>
        <v>0</v>
      </c>
      <c r="O85" s="52">
        <f ca="1" t="shared" ref="O85:O101" si="80">IF(O6=0,,O46/O6)</f>
        <v>3063.93110295465</v>
      </c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 s="38" customFormat="1" ht="16.5" customHeight="1" spans="1:28">
      <c r="A86" s="53" t="s">
        <v>589</v>
      </c>
      <c r="B86" s="54" t="s">
        <v>123</v>
      </c>
      <c r="C86" s="56">
        <f t="shared" ref="C86:N86" si="81">IF(ROUND(C7,2)=0,,C47/C7)</f>
        <v>3085.10298098432</v>
      </c>
      <c r="D86" s="56">
        <f t="shared" si="81"/>
        <v>3057.37297487819</v>
      </c>
      <c r="E86" s="56">
        <f t="shared" si="81"/>
        <v>3028.47809555128</v>
      </c>
      <c r="F86" s="56">
        <f t="shared" si="81"/>
        <v>3061.67106904397</v>
      </c>
      <c r="G86" s="56">
        <f t="shared" si="81"/>
        <v>3045.3749252225</v>
      </c>
      <c r="H86" s="56">
        <f t="shared" si="81"/>
        <v>3080.40168597617</v>
      </c>
      <c r="I86" s="56">
        <f t="shared" si="81"/>
        <v>0</v>
      </c>
      <c r="J86" s="56">
        <f t="shared" si="81"/>
        <v>0</v>
      </c>
      <c r="K86" s="56">
        <f t="shared" si="81"/>
        <v>0</v>
      </c>
      <c r="L86" s="56">
        <f t="shared" si="81"/>
        <v>0</v>
      </c>
      <c r="M86" s="56">
        <f t="shared" si="81"/>
        <v>0</v>
      </c>
      <c r="N86" s="56">
        <f t="shared" si="81"/>
        <v>0</v>
      </c>
      <c r="O86" s="56">
        <f ca="1" t="shared" si="80"/>
        <v>3060.11254205794</v>
      </c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s="38" customFormat="1" ht="16.5" customHeight="1" spans="1:28">
      <c r="A87" s="53" t="s">
        <v>590</v>
      </c>
      <c r="B87" s="54" t="s">
        <v>123</v>
      </c>
      <c r="C87" s="56">
        <f t="shared" ref="C87:N87" si="82">IF(ROUND(C8,2)=0,,C48/C8)</f>
        <v>5339.73305343511</v>
      </c>
      <c r="D87" s="56">
        <f t="shared" si="82"/>
        <v>5339.40166666667</v>
      </c>
      <c r="E87" s="56">
        <f t="shared" si="82"/>
        <v>5315.9808627451</v>
      </c>
      <c r="F87" s="56">
        <f t="shared" si="82"/>
        <v>4925.52534427045</v>
      </c>
      <c r="G87" s="56">
        <f t="shared" si="82"/>
        <v>5055.39436614014</v>
      </c>
      <c r="H87" s="56">
        <f t="shared" si="82"/>
        <v>5330.00018732782</v>
      </c>
      <c r="I87" s="56">
        <f t="shared" si="82"/>
        <v>0</v>
      </c>
      <c r="J87" s="56">
        <f t="shared" si="82"/>
        <v>0</v>
      </c>
      <c r="K87" s="56">
        <f t="shared" si="82"/>
        <v>0</v>
      </c>
      <c r="L87" s="56">
        <f t="shared" si="82"/>
        <v>0</v>
      </c>
      <c r="M87" s="56">
        <f t="shared" si="82"/>
        <v>0</v>
      </c>
      <c r="N87" s="56">
        <f t="shared" si="82"/>
        <v>0</v>
      </c>
      <c r="O87" s="56">
        <f ca="1" t="shared" si="80"/>
        <v>5163.53218054388</v>
      </c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 s="38" customFormat="1" ht="16.5" hidden="1" customHeight="1" spans="1:28">
      <c r="A88" s="57" t="s">
        <v>253</v>
      </c>
      <c r="B88" s="50" t="s">
        <v>123</v>
      </c>
      <c r="C88" s="52">
        <f t="shared" ref="C88:N88" si="83">IF(ROUND(C9,2)=0,,C49/C9)</f>
        <v>0</v>
      </c>
      <c r="D88" s="52">
        <f t="shared" si="83"/>
        <v>0</v>
      </c>
      <c r="E88" s="52">
        <f t="shared" si="83"/>
        <v>0</v>
      </c>
      <c r="F88" s="52">
        <f t="shared" si="83"/>
        <v>0</v>
      </c>
      <c r="G88" s="52">
        <f t="shared" si="83"/>
        <v>0</v>
      </c>
      <c r="H88" s="52">
        <f t="shared" si="83"/>
        <v>0</v>
      </c>
      <c r="I88" s="52">
        <f t="shared" si="83"/>
        <v>0</v>
      </c>
      <c r="J88" s="52">
        <f t="shared" si="83"/>
        <v>0</v>
      </c>
      <c r="K88" s="52">
        <f t="shared" si="83"/>
        <v>0</v>
      </c>
      <c r="L88" s="52">
        <f t="shared" si="83"/>
        <v>0</v>
      </c>
      <c r="M88" s="52">
        <f t="shared" si="83"/>
        <v>0</v>
      </c>
      <c r="N88" s="52">
        <f t="shared" si="83"/>
        <v>0</v>
      </c>
      <c r="O88" s="52">
        <f ca="1" t="shared" si="80"/>
        <v>0</v>
      </c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 s="38" customFormat="1" ht="16.5" hidden="1" customHeight="1" spans="1:28">
      <c r="A89" s="57" t="s">
        <v>254</v>
      </c>
      <c r="B89" s="50" t="s">
        <v>123</v>
      </c>
      <c r="C89" s="52">
        <f t="shared" ref="C89:N89" si="84">IF(ROUND(C10,2)=0,,C50/C10)</f>
        <v>0</v>
      </c>
      <c r="D89" s="52">
        <f t="shared" si="84"/>
        <v>0</v>
      </c>
      <c r="E89" s="52">
        <f t="shared" si="84"/>
        <v>0</v>
      </c>
      <c r="F89" s="52">
        <f t="shared" si="84"/>
        <v>0</v>
      </c>
      <c r="G89" s="52">
        <f t="shared" si="84"/>
        <v>0</v>
      </c>
      <c r="H89" s="52">
        <f t="shared" si="84"/>
        <v>0</v>
      </c>
      <c r="I89" s="52">
        <f t="shared" si="84"/>
        <v>0</v>
      </c>
      <c r="J89" s="52">
        <f t="shared" si="84"/>
        <v>0</v>
      </c>
      <c r="K89" s="52">
        <f t="shared" si="84"/>
        <v>0</v>
      </c>
      <c r="L89" s="52">
        <f t="shared" si="84"/>
        <v>0</v>
      </c>
      <c r="M89" s="52">
        <f t="shared" si="84"/>
        <v>0</v>
      </c>
      <c r="N89" s="52">
        <f t="shared" si="84"/>
        <v>0</v>
      </c>
      <c r="O89" s="52">
        <f ca="1" t="shared" si="80"/>
        <v>0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 s="38" customFormat="1" ht="16.5" customHeight="1" spans="1:28">
      <c r="A90" s="48" t="s">
        <v>256</v>
      </c>
      <c r="B90" s="50" t="s">
        <v>123</v>
      </c>
      <c r="C90" s="52">
        <f t="shared" ref="C90:N90" si="85">IF(ROUND(C11,2)=0,,C51/C11)</f>
        <v>4311.59726534407</v>
      </c>
      <c r="D90" s="52">
        <f t="shared" si="85"/>
        <v>4418.89407987941</v>
      </c>
      <c r="E90" s="52">
        <f t="shared" si="85"/>
        <v>4367.47227589539</v>
      </c>
      <c r="F90" s="52">
        <f t="shared" si="85"/>
        <v>4354.33119872612</v>
      </c>
      <c r="G90" s="52">
        <f t="shared" si="85"/>
        <v>4342.83072117052</v>
      </c>
      <c r="H90" s="52">
        <f t="shared" si="85"/>
        <v>4343.55798456795</v>
      </c>
      <c r="I90" s="52">
        <f t="shared" si="85"/>
        <v>0</v>
      </c>
      <c r="J90" s="52">
        <f t="shared" si="85"/>
        <v>0</v>
      </c>
      <c r="K90" s="52">
        <f t="shared" si="85"/>
        <v>0</v>
      </c>
      <c r="L90" s="52">
        <f t="shared" si="85"/>
        <v>0</v>
      </c>
      <c r="M90" s="52">
        <f t="shared" si="85"/>
        <v>0</v>
      </c>
      <c r="N90" s="52">
        <f t="shared" si="85"/>
        <v>0</v>
      </c>
      <c r="O90" s="52">
        <f ca="1" t="shared" si="80"/>
        <v>4353.55595474704</v>
      </c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 s="38" customFormat="1" ht="16.5" customHeight="1" spans="1:28">
      <c r="A91" s="53" t="s">
        <v>591</v>
      </c>
      <c r="B91" s="54" t="s">
        <v>123</v>
      </c>
      <c r="C91" s="56">
        <f t="shared" ref="C91:N91" si="86">IF(ROUND(C12,2)=0,,C52/C12)</f>
        <v>0</v>
      </c>
      <c r="D91" s="56">
        <f t="shared" si="86"/>
        <v>0</v>
      </c>
      <c r="E91" s="56">
        <f t="shared" si="86"/>
        <v>0</v>
      </c>
      <c r="F91" s="56">
        <f t="shared" si="86"/>
        <v>0</v>
      </c>
      <c r="G91" s="56">
        <f t="shared" si="86"/>
        <v>0</v>
      </c>
      <c r="H91" s="56">
        <f t="shared" si="86"/>
        <v>0</v>
      </c>
      <c r="I91" s="56">
        <f t="shared" si="86"/>
        <v>0</v>
      </c>
      <c r="J91" s="56">
        <f t="shared" si="86"/>
        <v>0</v>
      </c>
      <c r="K91" s="56">
        <f t="shared" si="86"/>
        <v>0</v>
      </c>
      <c r="L91" s="56">
        <f t="shared" si="86"/>
        <v>0</v>
      </c>
      <c r="M91" s="56">
        <f t="shared" si="86"/>
        <v>0</v>
      </c>
      <c r="N91" s="56">
        <f t="shared" si="86"/>
        <v>0</v>
      </c>
      <c r="O91" s="56">
        <f ca="1" t="shared" si="80"/>
        <v>0</v>
      </c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 s="38" customFormat="1" ht="16.5" customHeight="1" spans="1:28">
      <c r="A92" s="53" t="s">
        <v>592</v>
      </c>
      <c r="B92" s="54" t="s">
        <v>123</v>
      </c>
      <c r="C92" s="56">
        <f t="shared" ref="C92:N92" si="87">IF(ROUND(C13,2)=0,,C53/C13)</f>
        <v>4311.59726534407</v>
      </c>
      <c r="D92" s="56">
        <f t="shared" si="87"/>
        <v>4418.89407987941</v>
      </c>
      <c r="E92" s="56">
        <f t="shared" si="87"/>
        <v>4367.47227589539</v>
      </c>
      <c r="F92" s="56">
        <f t="shared" si="87"/>
        <v>4354.33119872612</v>
      </c>
      <c r="G92" s="56">
        <f t="shared" si="87"/>
        <v>4342.83072117052</v>
      </c>
      <c r="H92" s="56">
        <f t="shared" si="87"/>
        <v>4343.55798456795</v>
      </c>
      <c r="I92" s="56">
        <f t="shared" si="87"/>
        <v>0</v>
      </c>
      <c r="J92" s="56">
        <f t="shared" si="87"/>
        <v>0</v>
      </c>
      <c r="K92" s="56">
        <f t="shared" si="87"/>
        <v>0</v>
      </c>
      <c r="L92" s="56">
        <f t="shared" si="87"/>
        <v>0</v>
      </c>
      <c r="M92" s="56">
        <f t="shared" si="87"/>
        <v>0</v>
      </c>
      <c r="N92" s="56">
        <f t="shared" si="87"/>
        <v>0</v>
      </c>
      <c r="O92" s="56">
        <f ca="1" t="shared" si="80"/>
        <v>4353.55595474704</v>
      </c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 s="38" customFormat="1" ht="16.5" customHeight="1" spans="1:28">
      <c r="A93" s="48" t="s">
        <v>593</v>
      </c>
      <c r="B93" s="50" t="s">
        <v>123</v>
      </c>
      <c r="C93" s="52">
        <f t="shared" ref="C93:N93" si="88">IF(ROUND(C14,2)=0,,C54/C14)</f>
        <v>3213.70866382562</v>
      </c>
      <c r="D93" s="52">
        <f t="shared" si="88"/>
        <v>3107.46966623258</v>
      </c>
      <c r="E93" s="52">
        <f t="shared" si="88"/>
        <v>3172.19245641105</v>
      </c>
      <c r="F93" s="52">
        <f t="shared" si="88"/>
        <v>3161.89596930684</v>
      </c>
      <c r="G93" s="52">
        <f t="shared" si="88"/>
        <v>3164.77807727383</v>
      </c>
      <c r="H93" s="52">
        <f t="shared" si="88"/>
        <v>3215.17440739228</v>
      </c>
      <c r="I93" s="52">
        <f t="shared" si="88"/>
        <v>0</v>
      </c>
      <c r="J93" s="52">
        <f t="shared" si="88"/>
        <v>0</v>
      </c>
      <c r="K93" s="52">
        <f t="shared" si="88"/>
        <v>0</v>
      </c>
      <c r="L93" s="52">
        <f t="shared" si="88"/>
        <v>0</v>
      </c>
      <c r="M93" s="52">
        <f t="shared" si="88"/>
        <v>0</v>
      </c>
      <c r="N93" s="52">
        <f t="shared" si="88"/>
        <v>0</v>
      </c>
      <c r="O93" s="52">
        <f ca="1" t="shared" si="80"/>
        <v>3171.88092673198</v>
      </c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 s="38" customFormat="1" ht="16.5" customHeight="1" spans="1:28">
      <c r="A94" s="53" t="s">
        <v>594</v>
      </c>
      <c r="B94" s="54" t="s">
        <v>123</v>
      </c>
      <c r="C94" s="56">
        <f>IF(ROUND(C15,2)=0,,C55/C15)</f>
        <v>0</v>
      </c>
      <c r="D94" s="56">
        <f t="shared" ref="C94:N94" si="89">IF(ROUND(D15,2)=0,,D55/D15)</f>
        <v>0</v>
      </c>
      <c r="E94" s="56">
        <f t="shared" si="89"/>
        <v>0</v>
      </c>
      <c r="F94" s="56">
        <f t="shared" si="89"/>
        <v>0</v>
      </c>
      <c r="G94" s="56">
        <f t="shared" si="89"/>
        <v>0</v>
      </c>
      <c r="H94" s="56">
        <f t="shared" si="89"/>
        <v>0</v>
      </c>
      <c r="I94" s="56">
        <f t="shared" si="89"/>
        <v>0</v>
      </c>
      <c r="J94" s="56">
        <f t="shared" si="89"/>
        <v>0</v>
      </c>
      <c r="K94" s="56">
        <f t="shared" si="89"/>
        <v>0</v>
      </c>
      <c r="L94" s="56">
        <f t="shared" si="89"/>
        <v>0</v>
      </c>
      <c r="M94" s="56">
        <f t="shared" si="89"/>
        <v>0</v>
      </c>
      <c r="N94" s="56">
        <f t="shared" si="89"/>
        <v>0</v>
      </c>
      <c r="O94" s="56">
        <f ca="1" t="shared" si="80"/>
        <v>0</v>
      </c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 s="38" customFormat="1" ht="16.5" customHeight="1" spans="1:28">
      <c r="A95" s="53" t="s">
        <v>595</v>
      </c>
      <c r="B95" s="54" t="s">
        <v>123</v>
      </c>
      <c r="C95" s="56">
        <f t="shared" ref="C95:N95" si="90">IF(ROUND(C16,2)=0,,C56/C16)</f>
        <v>3213.70866382562</v>
      </c>
      <c r="D95" s="56">
        <f t="shared" si="90"/>
        <v>3107.46966623258</v>
      </c>
      <c r="E95" s="56">
        <f t="shared" si="90"/>
        <v>3172.19245641105</v>
      </c>
      <c r="F95" s="56">
        <f t="shared" si="90"/>
        <v>3161.89596930684</v>
      </c>
      <c r="G95" s="56">
        <f t="shared" si="90"/>
        <v>3164.77807727383</v>
      </c>
      <c r="H95" s="56">
        <f t="shared" si="90"/>
        <v>3215.17440739228</v>
      </c>
      <c r="I95" s="56">
        <f t="shared" si="90"/>
        <v>0</v>
      </c>
      <c r="J95" s="56">
        <f t="shared" si="90"/>
        <v>0</v>
      </c>
      <c r="K95" s="56">
        <f t="shared" si="90"/>
        <v>0</v>
      </c>
      <c r="L95" s="56">
        <f t="shared" si="90"/>
        <v>0</v>
      </c>
      <c r="M95" s="56">
        <f t="shared" si="90"/>
        <v>0</v>
      </c>
      <c r="N95" s="56">
        <f t="shared" si="90"/>
        <v>0</v>
      </c>
      <c r="O95" s="56">
        <f ca="1" t="shared" si="80"/>
        <v>3171.88092673198</v>
      </c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 s="38" customFormat="1" ht="16.5" customHeight="1" spans="1:28">
      <c r="A96" s="48" t="s">
        <v>596</v>
      </c>
      <c r="B96" s="50" t="s">
        <v>123</v>
      </c>
      <c r="C96" s="52">
        <f>IF(ROUND(C17,2)=0,,C57/C17)</f>
        <v>0</v>
      </c>
      <c r="D96" s="52">
        <f t="shared" ref="D96:O96" si="91">IF(ROUND(D17,2)=0,,D57/D17)</f>
        <v>0</v>
      </c>
      <c r="E96" s="52">
        <f t="shared" si="91"/>
        <v>4158.08925641275</v>
      </c>
      <c r="F96" s="52">
        <f t="shared" si="91"/>
        <v>0</v>
      </c>
      <c r="G96" s="52">
        <f t="shared" si="91"/>
        <v>0</v>
      </c>
      <c r="H96" s="52">
        <f t="shared" si="91"/>
        <v>0</v>
      </c>
      <c r="I96" s="52">
        <f t="shared" si="91"/>
        <v>0</v>
      </c>
      <c r="J96" s="52">
        <f t="shared" si="91"/>
        <v>0</v>
      </c>
      <c r="K96" s="52">
        <f t="shared" si="91"/>
        <v>0</v>
      </c>
      <c r="L96" s="52">
        <f t="shared" si="91"/>
        <v>0</v>
      </c>
      <c r="M96" s="52">
        <f t="shared" si="91"/>
        <v>0</v>
      </c>
      <c r="N96" s="52">
        <f t="shared" si="91"/>
        <v>0</v>
      </c>
      <c r="O96" s="52">
        <f ca="1" t="shared" si="91"/>
        <v>4158.08925641275</v>
      </c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 s="38" customFormat="1" ht="16.5" customHeight="1" spans="1:29">
      <c r="A97" s="48" t="s">
        <v>354</v>
      </c>
      <c r="B97" s="50" t="s">
        <v>123</v>
      </c>
      <c r="C97" s="52">
        <f t="shared" ref="C97:N97" si="92">IF(ROUND(C18,2)=0,,C58/C18)</f>
        <v>3337.10098907303</v>
      </c>
      <c r="D97" s="52">
        <f t="shared" si="92"/>
        <v>3242.41974048831</v>
      </c>
      <c r="E97" s="52">
        <f t="shared" si="92"/>
        <v>3237.72722290792</v>
      </c>
      <c r="F97" s="52">
        <f t="shared" si="92"/>
        <v>3264.79747794031</v>
      </c>
      <c r="G97" s="52">
        <f t="shared" si="92"/>
        <v>3252.81599489605</v>
      </c>
      <c r="H97" s="52">
        <f t="shared" si="92"/>
        <v>3226.02034744839</v>
      </c>
      <c r="I97" s="52">
        <f t="shared" si="92"/>
        <v>0</v>
      </c>
      <c r="J97" s="52">
        <f t="shared" si="92"/>
        <v>0</v>
      </c>
      <c r="K97" s="52">
        <f t="shared" si="92"/>
        <v>0</v>
      </c>
      <c r="L97" s="52">
        <f t="shared" si="92"/>
        <v>0</v>
      </c>
      <c r="M97" s="52">
        <f t="shared" si="92"/>
        <v>0</v>
      </c>
      <c r="N97" s="52">
        <f t="shared" si="92"/>
        <v>0</v>
      </c>
      <c r="O97" s="52">
        <f ca="1" t="shared" ref="O97:O102" si="93">IF(O18=0,,O58/O18)</f>
        <v>3257.64971955846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 s="38" customFormat="1" ht="16.5" customHeight="1" spans="1:29">
      <c r="A98" s="53" t="s">
        <v>597</v>
      </c>
      <c r="B98" s="65" t="s">
        <v>123</v>
      </c>
      <c r="C98" s="55">
        <f>IF(ROUND(C19,2)=0,,C59/C19)</f>
        <v>3204.09741209078</v>
      </c>
      <c r="D98" s="55">
        <f t="shared" ref="D98:E98" si="94">IF(ROUND(D19,2)=0,,D59/D19)</f>
        <v>3107.58810625723</v>
      </c>
      <c r="E98" s="55">
        <f t="shared" si="94"/>
        <v>3105.31870165776</v>
      </c>
      <c r="F98" s="55">
        <f t="shared" ref="F98:G98" si="95">IF(ROUND(F19,2)=0,,F59/F19)</f>
        <v>3109.00697968731</v>
      </c>
      <c r="G98" s="55">
        <f t="shared" si="95"/>
        <v>3023.72105305527</v>
      </c>
      <c r="H98" s="55">
        <f t="shared" ref="H98:I98" si="96">IF(ROUND(H19,2)=0,,H59/H19)</f>
        <v>3093.33647808571</v>
      </c>
      <c r="I98" s="55">
        <f t="shared" si="96"/>
        <v>0</v>
      </c>
      <c r="J98" s="55">
        <f t="shared" ref="J98:K98" si="97">IF(ROUND(J19,2)=0,,J59/J19)</f>
        <v>0</v>
      </c>
      <c r="K98" s="55">
        <f t="shared" si="97"/>
        <v>0</v>
      </c>
      <c r="L98" s="55">
        <f t="shared" ref="L98:M98" si="98">IF(ROUND(L19,2)=0,,L59/L19)</f>
        <v>0</v>
      </c>
      <c r="M98" s="55">
        <f t="shared" si="98"/>
        <v>0</v>
      </c>
      <c r="N98" s="55">
        <f t="shared" ref="N98" si="99">IF(ROUND(N19,2)=0,,N59/N19)</f>
        <v>0</v>
      </c>
      <c r="O98" s="56">
        <f ca="1" t="shared" si="93"/>
        <v>3105.04334899821</v>
      </c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 s="38" customFormat="1" ht="16.5" customHeight="1" spans="1:29">
      <c r="A99" s="53" t="s">
        <v>598</v>
      </c>
      <c r="B99" s="65" t="s">
        <v>123</v>
      </c>
      <c r="C99" s="55">
        <f>IF(ROUND(C20,2)=0,,C60/C20)</f>
        <v>3567.68914137434</v>
      </c>
      <c r="D99" s="55">
        <f t="shared" ref="D99:E99" si="100">IF(ROUND(D20,2)=0,,D60/D20)</f>
        <v>3486.0559433624</v>
      </c>
      <c r="E99" s="55">
        <f t="shared" si="100"/>
        <v>3505.85962651575</v>
      </c>
      <c r="F99" s="55">
        <f t="shared" ref="F99:H99" si="101">IF(ROUND(F20,2)=0,,F60/F20)</f>
        <v>3457.50534905367</v>
      </c>
      <c r="G99" s="55">
        <f t="shared" si="101"/>
        <v>3660.4568852819</v>
      </c>
      <c r="H99" s="55">
        <f t="shared" si="101"/>
        <v>3474.08514833845</v>
      </c>
      <c r="I99" s="55">
        <f t="shared" ref="H99:I99" si="102">IF(ROUND(I20,2)=0,,I60/I20)</f>
        <v>0</v>
      </c>
      <c r="J99" s="55">
        <f t="shared" ref="J99:K99" si="103">IF(ROUND(J20,2)=0,,J60/J20)</f>
        <v>0</v>
      </c>
      <c r="K99" s="55">
        <f t="shared" si="103"/>
        <v>0</v>
      </c>
      <c r="L99" s="55">
        <f t="shared" ref="L99:M99" si="104">IF(ROUND(L20,2)=0,,L60/L20)</f>
        <v>0</v>
      </c>
      <c r="M99" s="55">
        <f t="shared" si="104"/>
        <v>0</v>
      </c>
      <c r="N99" s="55">
        <f t="shared" ref="N99" si="105">IF(ROUND(N20,2)=0,,N60/N20)</f>
        <v>0</v>
      </c>
      <c r="O99" s="56">
        <f ca="1" t="shared" si="93"/>
        <v>3521.77606629692</v>
      </c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 s="38" customFormat="1" ht="16.5" customHeight="1" spans="1:29">
      <c r="A100" s="48" t="s">
        <v>599</v>
      </c>
      <c r="B100" s="50" t="s">
        <v>123</v>
      </c>
      <c r="C100" s="52">
        <f t="shared" ref="C100:N102" si="106">IF(ROUND(C21,2)=0,,C61/C21)</f>
        <v>12341.4478631618</v>
      </c>
      <c r="D100" s="52">
        <f t="shared" si="106"/>
        <v>12055.2901387635</v>
      </c>
      <c r="E100" s="52">
        <f t="shared" si="106"/>
        <v>13444.338724426</v>
      </c>
      <c r="F100" s="52">
        <f t="shared" si="106"/>
        <v>13516.3861016963</v>
      </c>
      <c r="G100" s="52">
        <f t="shared" si="106"/>
        <v>13043.3251088501</v>
      </c>
      <c r="H100" s="52">
        <f t="shared" si="106"/>
        <v>10617.4235925489</v>
      </c>
      <c r="I100" s="52">
        <f t="shared" si="106"/>
        <v>0</v>
      </c>
      <c r="J100" s="52">
        <f t="shared" si="106"/>
        <v>0</v>
      </c>
      <c r="K100" s="52">
        <f t="shared" si="106"/>
        <v>0</v>
      </c>
      <c r="L100" s="52">
        <f t="shared" si="106"/>
        <v>0</v>
      </c>
      <c r="M100" s="52">
        <f t="shared" si="106"/>
        <v>0</v>
      </c>
      <c r="N100" s="52">
        <f t="shared" si="106"/>
        <v>0</v>
      </c>
      <c r="O100" s="52">
        <f ca="1" t="shared" si="93"/>
        <v>12469.000872072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 s="38" customFormat="1" ht="16.5" customHeight="1" spans="1:29">
      <c r="A101" s="53" t="s">
        <v>308</v>
      </c>
      <c r="B101" s="65" t="s">
        <v>123</v>
      </c>
      <c r="C101" s="55">
        <f>IF(ROUND(C22,2)=0,,C62/C22)</f>
        <v>18714.61404929</v>
      </c>
      <c r="D101" s="55">
        <f t="shared" ref="D101:E101" si="107">IF(ROUND(D22,2)=0,,D62/D22)</f>
        <v>18794.4470528163</v>
      </c>
      <c r="E101" s="55">
        <f t="shared" si="107"/>
        <v>18623.0152301519</v>
      </c>
      <c r="F101" s="55">
        <f t="shared" si="106"/>
        <v>18918.5755272716</v>
      </c>
      <c r="G101" s="55">
        <f t="shared" ref="G101:H101" si="108">IF(ROUND(G22,2)=0,,G62/G22)</f>
        <v>18672.5489119159</v>
      </c>
      <c r="H101" s="55">
        <f t="shared" si="108"/>
        <v>18763.9831121126</v>
      </c>
      <c r="I101" s="55">
        <f t="shared" ref="I101:J101" si="109">IF(ROUND(I22,2)=0,,I62/I22)</f>
        <v>0</v>
      </c>
      <c r="J101" s="55">
        <f t="shared" si="109"/>
        <v>0</v>
      </c>
      <c r="K101" s="55">
        <f t="shared" ref="K101:L101" si="110">IF(ROUND(K22,2)=0,,K62/K22)</f>
        <v>0</v>
      </c>
      <c r="L101" s="55">
        <f t="shared" si="110"/>
        <v>0</v>
      </c>
      <c r="M101" s="55">
        <f t="shared" ref="M101:N101" si="111">IF(ROUND(M22,2)=0,,M62/M22)</f>
        <v>0</v>
      </c>
      <c r="N101" s="55">
        <f t="shared" si="111"/>
        <v>0</v>
      </c>
      <c r="O101" s="56">
        <f ca="1" t="shared" si="93"/>
        <v>18772.9517136602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 s="38" customFormat="1" ht="16.5" customHeight="1" spans="1:29">
      <c r="A102" s="53" t="s">
        <v>359</v>
      </c>
      <c r="B102" s="65" t="s">
        <v>123</v>
      </c>
      <c r="C102" s="55">
        <f>IF(ROUND(C23,2)=0,,C63/C23)</f>
        <v>9016.82255048871</v>
      </c>
      <c r="D102" s="55">
        <f t="shared" ref="D102:E102" si="112">IF(ROUND(D23,2)=0,,D63/D23)</f>
        <v>8370.24551958817</v>
      </c>
      <c r="E102" s="55">
        <f t="shared" si="112"/>
        <v>8363.4407654456</v>
      </c>
      <c r="F102" s="55">
        <f t="shared" si="106"/>
        <v>7969.82492640084</v>
      </c>
      <c r="G102" s="55">
        <f t="shared" ref="G102:H102" si="113">IF(ROUND(G23,2)=0,,G63/G23)</f>
        <v>7879.87574935121</v>
      </c>
      <c r="H102" s="55">
        <f t="shared" si="113"/>
        <v>7353.13695879381</v>
      </c>
      <c r="I102" s="55">
        <f t="shared" ref="I102:J102" si="114">IF(ROUND(I23,2)=0,,I63/I23)</f>
        <v>0</v>
      </c>
      <c r="J102" s="55">
        <f t="shared" si="114"/>
        <v>0</v>
      </c>
      <c r="K102" s="55">
        <f t="shared" ref="K102:L102" si="115">IF(ROUND(K23,2)=0,,K63/K23)</f>
        <v>0</v>
      </c>
      <c r="L102" s="55">
        <f t="shared" si="115"/>
        <v>0</v>
      </c>
      <c r="M102" s="55">
        <f t="shared" ref="M102:N102" si="116">IF(ROUND(M23,2)=0,,M63/M23)</f>
        <v>0</v>
      </c>
      <c r="N102" s="55">
        <f t="shared" si="116"/>
        <v>0</v>
      </c>
      <c r="O102" s="56">
        <f ca="1" t="shared" si="93"/>
        <v>7966.15909906388</v>
      </c>
      <c r="P102" s="45" t="s">
        <v>540</v>
      </c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 s="38" customFormat="1" customHeight="1" spans="1:29">
      <c r="A103" s="46" t="s">
        <v>605</v>
      </c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68"/>
      <c r="P103" s="72" t="s">
        <v>220</v>
      </c>
      <c r="Q103" s="72" t="s">
        <v>221</v>
      </c>
      <c r="R103" s="72" t="s">
        <v>222</v>
      </c>
      <c r="S103" s="72" t="s">
        <v>223</v>
      </c>
      <c r="T103" s="72" t="s">
        <v>224</v>
      </c>
      <c r="U103" s="72" t="s">
        <v>225</v>
      </c>
      <c r="V103" s="72" t="s">
        <v>226</v>
      </c>
      <c r="W103" s="72" t="s">
        <v>227</v>
      </c>
      <c r="X103" s="72" t="s">
        <v>228</v>
      </c>
      <c r="Y103" s="72" t="s">
        <v>229</v>
      </c>
      <c r="Z103" s="72" t="s">
        <v>230</v>
      </c>
      <c r="AA103" s="72" t="s">
        <v>231</v>
      </c>
      <c r="AB103" s="72" t="s">
        <v>232</v>
      </c>
    </row>
    <row r="104" s="38" customFormat="1" ht="16.5" customHeight="1" spans="1:29">
      <c r="A104" s="48" t="s">
        <v>252</v>
      </c>
      <c r="B104" s="50" t="s">
        <v>123</v>
      </c>
      <c r="C104" s="51">
        <f t="shared" ref="C104:H104" si="117">P108+P110</f>
        <v>16289947.59</v>
      </c>
      <c r="D104" s="51">
        <f t="shared" si="117"/>
        <v>15957749.02</v>
      </c>
      <c r="E104" s="51">
        <f t="shared" si="117"/>
        <v>20103694.53</v>
      </c>
      <c r="F104" s="51">
        <f t="shared" si="117"/>
        <v>20308748.78</v>
      </c>
      <c r="G104" s="51">
        <f t="shared" si="117"/>
        <v>20930934.93</v>
      </c>
      <c r="H104" s="51">
        <f t="shared" si="117"/>
        <v>27466077.22</v>
      </c>
      <c r="I104" s="51"/>
      <c r="J104" s="51"/>
      <c r="K104" s="51"/>
      <c r="L104" s="51"/>
      <c r="M104" s="51"/>
      <c r="N104" s="51"/>
      <c r="O104" s="52">
        <f ca="1">SUM(OFFSET($C104,0,0,1,mth))</f>
        <v>121057152.07</v>
      </c>
      <c r="P104" s="73">
        <v>399612.07</v>
      </c>
      <c r="Q104" s="73">
        <v>657431.5</v>
      </c>
      <c r="R104" s="73">
        <v>1384351.88</v>
      </c>
      <c r="S104" s="73">
        <v>1180481.2</v>
      </c>
      <c r="T104" s="73">
        <v>1407611.42</v>
      </c>
      <c r="U104" s="73">
        <v>1295585.1</v>
      </c>
      <c r="V104" s="45"/>
      <c r="W104" s="45"/>
      <c r="X104" s="45"/>
      <c r="Y104" s="45"/>
      <c r="Z104" s="45"/>
      <c r="AA104" s="45"/>
      <c r="AB104" s="74">
        <f>SUM(P104:AA104)</f>
        <v>6325073.17</v>
      </c>
    </row>
    <row r="105" s="38" customFormat="1" ht="16.5" hidden="1" customHeight="1" spans="1:29">
      <c r="A105" s="57" t="s">
        <v>606</v>
      </c>
      <c r="B105" s="50" t="s">
        <v>123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2">
        <f ca="1">SUM(OFFSET($C105,0,0,1,mth))</f>
        <v>0</v>
      </c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 s="38" customFormat="1" ht="16.5" customHeight="1" spans="1:29">
      <c r="A106" s="48" t="s">
        <v>256</v>
      </c>
      <c r="B106" s="50" t="s">
        <v>123</v>
      </c>
      <c r="C106" s="51">
        <v>2706383.06</v>
      </c>
      <c r="D106" s="51">
        <v>2109719.5</v>
      </c>
      <c r="E106" s="51">
        <v>2367378.37</v>
      </c>
      <c r="F106" s="51">
        <v>3155927.95</v>
      </c>
      <c r="G106" s="51">
        <v>2618993.73</v>
      </c>
      <c r="H106" s="51">
        <v>3277698.84</v>
      </c>
      <c r="I106" s="51"/>
      <c r="J106" s="51"/>
      <c r="K106" s="51"/>
      <c r="L106" s="51"/>
      <c r="M106" s="51"/>
      <c r="N106" s="51"/>
      <c r="O106" s="52">
        <f ca="1">SUM(OFFSET($C106,0,0,1,mth))</f>
        <v>16236101.45</v>
      </c>
      <c r="P106" s="73">
        <v>15861297.43</v>
      </c>
      <c r="Q106" s="73">
        <v>15283627.76</v>
      </c>
      <c r="R106" s="73">
        <v>18701922.59</v>
      </c>
      <c r="S106" s="73">
        <v>19082188.13</v>
      </c>
      <c r="T106" s="73">
        <v>19466511.61</v>
      </c>
      <c r="U106" s="73">
        <v>26127629.88</v>
      </c>
      <c r="V106" s="73"/>
      <c r="W106" s="73"/>
      <c r="X106" s="73"/>
      <c r="Y106" s="73"/>
      <c r="Z106" s="73"/>
      <c r="AA106" s="73"/>
      <c r="AB106" s="74">
        <f>SUM(P106:AA106)</f>
        <v>114523177.4</v>
      </c>
      <c r="AC106" s="39" t="s">
        <v>607</v>
      </c>
    </row>
    <row r="107" s="38" customFormat="1" ht="16.5" customHeight="1" spans="1:29">
      <c r="A107" s="48" t="s">
        <v>593</v>
      </c>
      <c r="B107" s="50" t="s">
        <v>123</v>
      </c>
      <c r="C107" s="51">
        <v>586906.37</v>
      </c>
      <c r="D107" s="51">
        <v>627274.92</v>
      </c>
      <c r="E107" s="51">
        <v>679957.95</v>
      </c>
      <c r="F107" s="51">
        <v>902735.3</v>
      </c>
      <c r="G107" s="51">
        <v>694585.98</v>
      </c>
      <c r="H107" s="51">
        <v>714684.09</v>
      </c>
      <c r="I107" s="51"/>
      <c r="J107" s="51"/>
      <c r="K107" s="51"/>
      <c r="L107" s="51"/>
      <c r="M107" s="51"/>
      <c r="N107" s="51"/>
      <c r="O107" s="52">
        <f ca="1">SUM(OFFSET($C107,0,0,1,mth))</f>
        <v>4206144.61</v>
      </c>
      <c r="P107" s="45" t="s">
        <v>589</v>
      </c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 s="38" customFormat="1" ht="16.5" customHeight="1" spans="1:29">
      <c r="A108" s="48" t="s">
        <v>596</v>
      </c>
      <c r="B108" s="50" t="s">
        <v>123</v>
      </c>
      <c r="C108" s="51"/>
      <c r="D108" s="51">
        <v>-0.15</v>
      </c>
      <c r="E108" s="51">
        <v>88557.07</v>
      </c>
      <c r="F108" s="51"/>
      <c r="G108" s="51"/>
      <c r="H108" s="51"/>
      <c r="I108" s="51"/>
      <c r="J108" s="51"/>
      <c r="K108" s="51"/>
      <c r="L108" s="51"/>
      <c r="M108" s="51"/>
      <c r="N108" s="51"/>
      <c r="O108" s="52">
        <f ca="1">SUM(OFFSET($C108,0,0,1,mth))</f>
        <v>88556.92</v>
      </c>
      <c r="P108" s="75">
        <f t="shared" ref="P108:AA108" si="118">P104+P106</f>
        <v>16260909.5</v>
      </c>
      <c r="Q108" s="75">
        <f t="shared" si="118"/>
        <v>15941059.26</v>
      </c>
      <c r="R108" s="75">
        <f t="shared" si="118"/>
        <v>20086274.47</v>
      </c>
      <c r="S108" s="75">
        <f t="shared" si="118"/>
        <v>20262669.33</v>
      </c>
      <c r="T108" s="75">
        <f t="shared" si="118"/>
        <v>20874123.03</v>
      </c>
      <c r="U108" s="75">
        <f t="shared" si="118"/>
        <v>27423214.98</v>
      </c>
      <c r="V108" s="75">
        <f t="shared" si="118"/>
        <v>0</v>
      </c>
      <c r="W108" s="75">
        <f t="shared" si="118"/>
        <v>0</v>
      </c>
      <c r="X108" s="75">
        <f t="shared" si="118"/>
        <v>0</v>
      </c>
      <c r="Y108" s="75">
        <f t="shared" si="118"/>
        <v>0</v>
      </c>
      <c r="Z108" s="75">
        <f t="shared" si="118"/>
        <v>0</v>
      </c>
      <c r="AA108" s="75">
        <f t="shared" si="118"/>
        <v>0</v>
      </c>
      <c r="AB108" s="74">
        <f>SUM(P108:AA108)</f>
        <v>120848250.57</v>
      </c>
    </row>
    <row r="109" s="38" customFormat="1" ht="16.5" customHeight="1" spans="1:29">
      <c r="A109" s="48" t="s">
        <v>354</v>
      </c>
      <c r="B109" s="50" t="s">
        <v>123</v>
      </c>
      <c r="C109" s="51">
        <v>14261289.96</v>
      </c>
      <c r="D109" s="51">
        <v>15696339.91</v>
      </c>
      <c r="E109" s="51">
        <v>19040772.63</v>
      </c>
      <c r="F109" s="51">
        <v>15164565.39</v>
      </c>
      <c r="G109" s="51">
        <v>15264352.23</v>
      </c>
      <c r="H109" s="51">
        <v>16392662.54</v>
      </c>
      <c r="I109" s="51"/>
      <c r="J109" s="51"/>
      <c r="K109" s="51"/>
      <c r="L109" s="51"/>
      <c r="M109" s="51"/>
      <c r="N109" s="51"/>
      <c r="O109" s="52">
        <f ca="1">SUM(OFFSET($C109,0,0,1,mth))</f>
        <v>95819982.66</v>
      </c>
      <c r="P109" s="75" t="s">
        <v>590</v>
      </c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45"/>
    </row>
    <row r="110" s="38" customFormat="1" ht="16.5" customHeight="1" spans="1:29">
      <c r="A110" s="48" t="s">
        <v>308</v>
      </c>
      <c r="B110" s="50" t="s">
        <v>123</v>
      </c>
      <c r="C110" s="51">
        <v>176999.31</v>
      </c>
      <c r="D110" s="51">
        <v>176631.47</v>
      </c>
      <c r="E110" s="51">
        <v>328372.7</v>
      </c>
      <c r="F110" s="51">
        <v>653577.55</v>
      </c>
      <c r="G110" s="51">
        <v>451101.86</v>
      </c>
      <c r="H110" s="51">
        <v>336908.96</v>
      </c>
      <c r="I110" s="51"/>
      <c r="J110" s="51"/>
      <c r="K110" s="51"/>
      <c r="L110" s="51"/>
      <c r="M110" s="51"/>
      <c r="N110" s="51"/>
      <c r="O110" s="52">
        <f ca="1">SUM(OFFSET($C110,0,0,1,mth))</f>
        <v>2123591.85</v>
      </c>
      <c r="P110" s="75">
        <v>29038.09</v>
      </c>
      <c r="Q110" s="75">
        <v>16689.76</v>
      </c>
      <c r="R110" s="75">
        <v>17420.06</v>
      </c>
      <c r="S110" s="75">
        <v>46079.45</v>
      </c>
      <c r="T110" s="75">
        <v>56811.9</v>
      </c>
      <c r="U110" s="75">
        <v>42862.24</v>
      </c>
      <c r="V110" s="75"/>
      <c r="W110" s="75"/>
      <c r="X110" s="75"/>
      <c r="Y110" s="75"/>
      <c r="Z110" s="75"/>
      <c r="AA110" s="75"/>
      <c r="AB110" s="74">
        <f>SUM(P110:AA110)</f>
        <v>208901.5</v>
      </c>
    </row>
    <row r="111" s="38" customFormat="1" ht="16.5" customHeight="1" spans="1:29">
      <c r="A111" s="48" t="s">
        <v>359</v>
      </c>
      <c r="B111" s="50" t="s">
        <v>123</v>
      </c>
      <c r="C111" s="51">
        <v>263505.48</v>
      </c>
      <c r="D111" s="51">
        <v>280661.24</v>
      </c>
      <c r="E111" s="51">
        <v>269584.8</v>
      </c>
      <c r="F111" s="51">
        <v>482432.31</v>
      </c>
      <c r="G111" s="51">
        <v>346420.58</v>
      </c>
      <c r="H111" s="51">
        <v>619270.18</v>
      </c>
      <c r="I111" s="51"/>
      <c r="J111" s="51"/>
      <c r="K111" s="51"/>
      <c r="L111" s="51"/>
      <c r="M111" s="51"/>
      <c r="N111" s="51"/>
      <c r="O111" s="52">
        <f ca="1">SUM(OFFSET($C111,0,0,1,mth))</f>
        <v>2261874.59</v>
      </c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 s="38" customFormat="1" ht="16.5" customHeight="1" spans="1:29">
      <c r="A112" s="57" t="s">
        <v>232</v>
      </c>
      <c r="B112" s="50"/>
      <c r="C112" s="52">
        <f>SUM(C104:C111)</f>
        <v>34285031.77</v>
      </c>
      <c r="D112" s="52">
        <f t="shared" ref="D112:N112" si="119">SUM(D104:D111)</f>
        <v>34848375.91</v>
      </c>
      <c r="E112" s="52">
        <f t="shared" si="119"/>
        <v>42878318.05</v>
      </c>
      <c r="F112" s="52">
        <f t="shared" si="119"/>
        <v>40667987.28</v>
      </c>
      <c r="G112" s="52">
        <f t="shared" si="119"/>
        <v>40306389.31</v>
      </c>
      <c r="H112" s="52">
        <f t="shared" si="119"/>
        <v>48807301.83</v>
      </c>
      <c r="I112" s="52">
        <f t="shared" si="119"/>
        <v>0</v>
      </c>
      <c r="J112" s="52">
        <f t="shared" si="119"/>
        <v>0</v>
      </c>
      <c r="K112" s="52">
        <f t="shared" si="119"/>
        <v>0</v>
      </c>
      <c r="L112" s="52">
        <f t="shared" si="119"/>
        <v>0</v>
      </c>
      <c r="M112" s="52">
        <f t="shared" si="119"/>
        <v>0</v>
      </c>
      <c r="N112" s="52">
        <f t="shared" si="119"/>
        <v>0</v>
      </c>
      <c r="O112" s="52">
        <f ca="1">SUM(OFFSET($C112,0,0,1,mth))</f>
        <v>241793404.15</v>
      </c>
      <c r="P112" s="45">
        <f>P104</f>
        <v>399612.07</v>
      </c>
      <c r="Q112" s="45">
        <f t="shared" ref="Q112:AB112" si="120">Q104</f>
        <v>657431.5</v>
      </c>
      <c r="R112" s="45">
        <f t="shared" si="120"/>
        <v>1384351.88</v>
      </c>
      <c r="S112" s="45">
        <f t="shared" si="120"/>
        <v>1180481.2</v>
      </c>
      <c r="T112" s="45">
        <f t="shared" si="120"/>
        <v>1407611.42</v>
      </c>
      <c r="U112" s="45">
        <f t="shared" si="120"/>
        <v>1295585.1</v>
      </c>
      <c r="V112" s="45">
        <f t="shared" si="120"/>
        <v>0</v>
      </c>
      <c r="W112" s="45">
        <f t="shared" si="120"/>
        <v>0</v>
      </c>
      <c r="X112" s="45">
        <f t="shared" si="120"/>
        <v>0</v>
      </c>
      <c r="Y112" s="45">
        <f t="shared" si="120"/>
        <v>0</v>
      </c>
      <c r="Z112" s="45">
        <f t="shared" si="120"/>
        <v>0</v>
      </c>
      <c r="AA112" s="45">
        <f t="shared" si="120"/>
        <v>0</v>
      </c>
      <c r="AB112" s="45">
        <f t="shared" si="120"/>
        <v>6325073.17</v>
      </c>
    </row>
    <row r="113" s="38" customFormat="1" customHeight="1" spans="1:28">
      <c r="A113" s="46" t="s">
        <v>608</v>
      </c>
      <c r="C113" s="71">
        <f>C112-P104</f>
        <v>33885419.7</v>
      </c>
      <c r="D113" s="71">
        <f t="shared" ref="D113:K113" si="121">D112-Q104</f>
        <v>34190944.41</v>
      </c>
      <c r="E113" s="71">
        <f t="shared" si="121"/>
        <v>41493966.17</v>
      </c>
      <c r="F113" s="71">
        <f t="shared" si="121"/>
        <v>39487506.08</v>
      </c>
      <c r="G113" s="71">
        <f t="shared" si="121"/>
        <v>38898777.89</v>
      </c>
      <c r="H113" s="71">
        <f t="shared" si="121"/>
        <v>47511716.73</v>
      </c>
      <c r="I113" s="71">
        <f t="shared" si="121"/>
        <v>0</v>
      </c>
      <c r="J113" s="71">
        <f t="shared" si="121"/>
        <v>0</v>
      </c>
      <c r="K113" s="71">
        <f t="shared" si="121"/>
        <v>0</v>
      </c>
      <c r="L113" s="71">
        <f t="shared" ref="L113:N113" si="122">L112-Y104</f>
        <v>0</v>
      </c>
      <c r="M113" s="71">
        <f t="shared" si="122"/>
        <v>0</v>
      </c>
      <c r="N113" s="71">
        <f t="shared" si="122"/>
        <v>0</v>
      </c>
      <c r="O113" s="64">
        <f ca="1">O112-AB112</f>
        <v>235468330.98</v>
      </c>
      <c r="P113" s="45">
        <f>C112-P112</f>
        <v>33885419.7</v>
      </c>
      <c r="Q113" s="45">
        <f>D112-Q112</f>
        <v>34190944.41</v>
      </c>
      <c r="R113" s="45">
        <f>E112-R112</f>
        <v>41493966.17</v>
      </c>
      <c r="S113" s="45">
        <f>F112-S112</f>
        <v>39487506.08</v>
      </c>
      <c r="T113" s="45">
        <f>G112-T112</f>
        <v>38898777.89</v>
      </c>
      <c r="U113" s="45">
        <f t="shared" ref="S113:V113" si="123">H112-U112</f>
        <v>47511716.73</v>
      </c>
      <c r="V113" s="45">
        <f t="shared" si="123"/>
        <v>0</v>
      </c>
      <c r="W113" s="45">
        <f t="shared" ref="W113:AA113" si="124">J112-W112</f>
        <v>0</v>
      </c>
      <c r="X113" s="45">
        <f t="shared" si="124"/>
        <v>0</v>
      </c>
      <c r="Y113" s="45">
        <f t="shared" si="124"/>
        <v>0</v>
      </c>
      <c r="Z113" s="45">
        <f t="shared" si="124"/>
        <v>0</v>
      </c>
      <c r="AA113" s="45">
        <f t="shared" si="124"/>
        <v>0</v>
      </c>
      <c r="AB113" s="45">
        <f>SUM(P113:AA113)</f>
        <v>235468330.98</v>
      </c>
    </row>
    <row r="114" s="38" customFormat="1" ht="16.5" customHeight="1" spans="1:28">
      <c r="A114" s="48" t="s">
        <v>252</v>
      </c>
      <c r="B114" s="50" t="s">
        <v>123</v>
      </c>
      <c r="C114" s="52">
        <f t="shared" ref="C114:O114" si="125">IF(ROUND(C6,2)=0,,C104/(C6+C10))</f>
        <v>2508.53467994906</v>
      </c>
      <c r="D114" s="52">
        <f t="shared" si="125"/>
        <v>2517.26311870743</v>
      </c>
      <c r="E114" s="52">
        <f t="shared" si="125"/>
        <v>2455.30361455642</v>
      </c>
      <c r="F114" s="52">
        <f t="shared" si="125"/>
        <v>2428.59784737158</v>
      </c>
      <c r="G114" s="52">
        <f t="shared" si="125"/>
        <v>2449.31300365625</v>
      </c>
      <c r="H114" s="52">
        <f t="shared" si="125"/>
        <v>2454.02203663779</v>
      </c>
      <c r="I114" s="52">
        <f t="shared" si="125"/>
        <v>0</v>
      </c>
      <c r="J114" s="52">
        <f t="shared" si="125"/>
        <v>0</v>
      </c>
      <c r="K114" s="52">
        <f t="shared" si="125"/>
        <v>0</v>
      </c>
      <c r="L114" s="52">
        <f t="shared" si="125"/>
        <v>0</v>
      </c>
      <c r="M114" s="52">
        <f t="shared" si="125"/>
        <v>0</v>
      </c>
      <c r="N114" s="52">
        <f t="shared" si="125"/>
        <v>0</v>
      </c>
      <c r="O114" s="52">
        <f ca="1" t="shared" si="125"/>
        <v>2464.45635472557</v>
      </c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 s="38" customFormat="1" ht="16.5" hidden="1" customHeight="1" spans="1:28">
      <c r="A115" s="57" t="s">
        <v>253</v>
      </c>
      <c r="B115" s="50" t="s">
        <v>123</v>
      </c>
      <c r="C115" s="52">
        <f t="shared" ref="C115:N115" si="126">IF(ROUND(C9,2)=0,,C105/C9)</f>
        <v>0</v>
      </c>
      <c r="D115" s="52">
        <f t="shared" si="126"/>
        <v>0</v>
      </c>
      <c r="E115" s="52">
        <f t="shared" si="126"/>
        <v>0</v>
      </c>
      <c r="F115" s="52">
        <f t="shared" si="126"/>
        <v>0</v>
      </c>
      <c r="G115" s="52">
        <f t="shared" si="126"/>
        <v>0</v>
      </c>
      <c r="H115" s="52">
        <f t="shared" si="126"/>
        <v>0</v>
      </c>
      <c r="I115" s="52">
        <f t="shared" si="126"/>
        <v>0</v>
      </c>
      <c r="J115" s="52">
        <f t="shared" si="126"/>
        <v>0</v>
      </c>
      <c r="K115" s="52">
        <f t="shared" si="126"/>
        <v>0</v>
      </c>
      <c r="L115" s="52">
        <f t="shared" si="126"/>
        <v>0</v>
      </c>
      <c r="M115" s="52">
        <f t="shared" si="126"/>
        <v>0</v>
      </c>
      <c r="N115" s="52">
        <f t="shared" si="126"/>
        <v>0</v>
      </c>
      <c r="O115" s="52">
        <f ca="1">IF(O9=0,,O105/O9)</f>
        <v>0</v>
      </c>
      <c r="P115" s="49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 s="38" customFormat="1" ht="16.5" customHeight="1" spans="1:28">
      <c r="A116" s="57" t="s">
        <v>256</v>
      </c>
      <c r="B116" s="50" t="s">
        <v>123</v>
      </c>
      <c r="C116" s="52">
        <f t="shared" ref="C116:N116" si="127">IF(ROUND(C11,2)=0,,C106/C11)</f>
        <v>2521.2149492661</v>
      </c>
      <c r="D116" s="52">
        <f t="shared" si="127"/>
        <v>2484.49281933216</v>
      </c>
      <c r="E116" s="52">
        <f t="shared" si="127"/>
        <v>2454.30239803107</v>
      </c>
      <c r="F116" s="52">
        <f t="shared" si="127"/>
        <v>2410.22762507733</v>
      </c>
      <c r="G116" s="52">
        <f t="shared" si="127"/>
        <v>2415.20812891469</v>
      </c>
      <c r="H116" s="52">
        <f t="shared" si="127"/>
        <v>2473.18620623047</v>
      </c>
      <c r="I116" s="52">
        <f t="shared" si="127"/>
        <v>0</v>
      </c>
      <c r="J116" s="52">
        <f t="shared" si="127"/>
        <v>0</v>
      </c>
      <c r="K116" s="52">
        <f t="shared" si="127"/>
        <v>0</v>
      </c>
      <c r="L116" s="52">
        <f t="shared" si="127"/>
        <v>0</v>
      </c>
      <c r="M116" s="52">
        <f t="shared" si="127"/>
        <v>0</v>
      </c>
      <c r="N116" s="52">
        <f t="shared" si="127"/>
        <v>0</v>
      </c>
      <c r="O116" s="52">
        <f ca="1">IF(O11=0,,O106/O11)</f>
        <v>2457.69099133819</v>
      </c>
      <c r="P116" s="76"/>
      <c r="Q116" s="45"/>
      <c r="R116" s="45"/>
      <c r="S116" s="76"/>
      <c r="T116" s="45"/>
      <c r="U116" s="45"/>
      <c r="V116" s="45"/>
      <c r="W116" s="45"/>
      <c r="X116" s="45"/>
      <c r="Y116" s="45"/>
      <c r="Z116" s="45"/>
      <c r="AA116" s="45"/>
      <c r="AB116" s="45"/>
    </row>
    <row r="117" s="38" customFormat="1" ht="16.5" customHeight="1" spans="1:28">
      <c r="A117" s="48" t="s">
        <v>593</v>
      </c>
      <c r="B117" s="50" t="s">
        <v>123</v>
      </c>
      <c r="C117" s="52">
        <f t="shared" ref="C117:N117" si="128">IF(ROUND(C14,2)=0,,C107/C14)</f>
        <v>2393.43584201619</v>
      </c>
      <c r="D117" s="52">
        <f t="shared" si="128"/>
        <v>2237.98961771054</v>
      </c>
      <c r="E117" s="52">
        <f t="shared" si="128"/>
        <v>2098.31183459343</v>
      </c>
      <c r="F117" s="52">
        <f t="shared" si="128"/>
        <v>2105.45596604161</v>
      </c>
      <c r="G117" s="52">
        <f t="shared" si="128"/>
        <v>2111.46029912451</v>
      </c>
      <c r="H117" s="52">
        <f t="shared" si="128"/>
        <v>2161.68077673427</v>
      </c>
      <c r="I117" s="52">
        <f t="shared" si="128"/>
        <v>0</v>
      </c>
      <c r="J117" s="52">
        <f t="shared" si="128"/>
        <v>0</v>
      </c>
      <c r="K117" s="52">
        <f t="shared" si="128"/>
        <v>0</v>
      </c>
      <c r="L117" s="52">
        <f t="shared" si="128"/>
        <v>0</v>
      </c>
      <c r="M117" s="52">
        <f t="shared" si="128"/>
        <v>0</v>
      </c>
      <c r="N117" s="52">
        <f t="shared" si="128"/>
        <v>0</v>
      </c>
      <c r="O117" s="52">
        <f ca="1">IF(O14=0,,O107/O14)</f>
        <v>2170.48205130851</v>
      </c>
      <c r="P117" s="76"/>
      <c r="Q117" s="45"/>
      <c r="R117" s="45"/>
      <c r="S117" s="76"/>
      <c r="T117" s="45"/>
      <c r="U117" s="45"/>
      <c r="V117" s="45"/>
      <c r="W117" s="45"/>
      <c r="X117" s="45"/>
      <c r="Y117" s="45"/>
      <c r="Z117" s="45"/>
      <c r="AA117" s="45"/>
      <c r="AB117" s="45"/>
    </row>
    <row r="118" s="38" customFormat="1" ht="16.5" customHeight="1" spans="1:28">
      <c r="A118" s="48" t="s">
        <v>596</v>
      </c>
      <c r="B118" s="50" t="s">
        <v>123</v>
      </c>
      <c r="C118" s="52">
        <f>IF(ROUND(C15,2)=0,,C108/C17)</f>
        <v>0</v>
      </c>
      <c r="D118" s="52">
        <f>IF(ROUND(D15,2)=0,,D108/D17)</f>
        <v>0</v>
      </c>
      <c r="E118" s="52">
        <f t="shared" ref="E118:O118" si="129">IF(ROUND(E15,2)=0,,E108/E17)</f>
        <v>0</v>
      </c>
      <c r="F118" s="52">
        <f t="shared" si="129"/>
        <v>0</v>
      </c>
      <c r="G118" s="52">
        <f t="shared" si="129"/>
        <v>0</v>
      </c>
      <c r="H118" s="52">
        <f t="shared" si="129"/>
        <v>0</v>
      </c>
      <c r="I118" s="52">
        <f t="shared" si="129"/>
        <v>0</v>
      </c>
      <c r="J118" s="52">
        <f t="shared" si="129"/>
        <v>0</v>
      </c>
      <c r="K118" s="52">
        <f t="shared" si="129"/>
        <v>0</v>
      </c>
      <c r="L118" s="52">
        <f t="shared" si="129"/>
        <v>0</v>
      </c>
      <c r="M118" s="52">
        <f t="shared" si="129"/>
        <v>0</v>
      </c>
      <c r="N118" s="52">
        <f t="shared" si="129"/>
        <v>0</v>
      </c>
      <c r="O118" s="52">
        <f ca="1" t="shared" si="129"/>
        <v>0</v>
      </c>
      <c r="P118" s="76"/>
      <c r="Q118" s="45"/>
      <c r="R118" s="45"/>
      <c r="S118" s="76"/>
      <c r="T118" s="45"/>
      <c r="U118" s="45"/>
      <c r="V118" s="45"/>
      <c r="W118" s="45"/>
      <c r="X118" s="45"/>
      <c r="Y118" s="45"/>
      <c r="Z118" s="45"/>
      <c r="AA118" s="45"/>
      <c r="AB118" s="45"/>
    </row>
    <row r="119" s="38" customFormat="1" ht="16.5" customHeight="1" spans="1:28">
      <c r="A119" s="48" t="s">
        <v>354</v>
      </c>
      <c r="B119" s="50" t="s">
        <v>123</v>
      </c>
      <c r="C119" s="52">
        <f t="shared" ref="C119:N119" si="130">IF(ROUND(C18,2)=0,,C109/C18)</f>
        <v>2585.40584480919</v>
      </c>
      <c r="D119" s="52">
        <f t="shared" si="130"/>
        <v>2554.5503179041</v>
      </c>
      <c r="E119" s="52">
        <f t="shared" si="130"/>
        <v>2453.40777654898</v>
      </c>
      <c r="F119" s="52">
        <f t="shared" si="130"/>
        <v>2484.13163473815</v>
      </c>
      <c r="G119" s="52">
        <f t="shared" si="130"/>
        <v>2466.08440425015</v>
      </c>
      <c r="H119" s="52">
        <f t="shared" si="130"/>
        <v>2544.40697628576</v>
      </c>
      <c r="I119" s="52">
        <f t="shared" si="130"/>
        <v>0</v>
      </c>
      <c r="J119" s="52">
        <f t="shared" si="130"/>
        <v>0</v>
      </c>
      <c r="K119" s="52">
        <f t="shared" si="130"/>
        <v>0</v>
      </c>
      <c r="L119" s="52">
        <f t="shared" si="130"/>
        <v>0</v>
      </c>
      <c r="M119" s="52">
        <f t="shared" si="130"/>
        <v>0</v>
      </c>
      <c r="N119" s="52">
        <f t="shared" si="130"/>
        <v>0</v>
      </c>
      <c r="O119" s="52">
        <f ca="1">IF(O18=0,,O109/O18)</f>
        <v>2511.11125419888</v>
      </c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 s="38" customFormat="1" ht="16.5" customHeight="1" spans="1:28">
      <c r="A120" s="48" t="s">
        <v>308</v>
      </c>
      <c r="B120" s="50" t="s">
        <v>123</v>
      </c>
      <c r="C120" s="52">
        <f t="shared" ref="C120:N121" si="131">IF(ROUND(C22,2)=0,,C110/C22)</f>
        <v>5777.68271584789</v>
      </c>
      <c r="D120" s="52">
        <f t="shared" si="131"/>
        <v>5636.87474070528</v>
      </c>
      <c r="E120" s="52">
        <f t="shared" si="131"/>
        <v>6099.72693836609</v>
      </c>
      <c r="F120" s="52">
        <f t="shared" si="131"/>
        <v>5205.63232764114</v>
      </c>
      <c r="G120" s="52">
        <f t="shared" si="131"/>
        <v>5317.84151459424</v>
      </c>
      <c r="H120" s="52">
        <f t="shared" si="131"/>
        <v>5199.85430300037</v>
      </c>
      <c r="I120" s="52">
        <f>IF(ROUND(I22,2)=0,,I110/I22)</f>
        <v>0</v>
      </c>
      <c r="J120" s="52">
        <f>IF(ROUND(J22,2)=0,,J110/J22)</f>
        <v>0</v>
      </c>
      <c r="K120" s="52">
        <f>IF(ROUND(K22,2)=0,,K110/K22)</f>
        <v>0</v>
      </c>
      <c r="L120" s="52">
        <f>IF(ROUND(L22,2)=0,,L110/L22)</f>
        <v>0</v>
      </c>
      <c r="M120" s="52">
        <f t="shared" ref="M120:N120" si="132">IF(ROUND(M22,2)=0,,M110/M22)</f>
        <v>0</v>
      </c>
      <c r="N120" s="52">
        <f t="shared" si="132"/>
        <v>0</v>
      </c>
      <c r="O120" s="52">
        <f ca="1">IF(O22=0,,O110/O22)</f>
        <v>5431.51459424619</v>
      </c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 s="38" customFormat="1" ht="16.5" customHeight="1" spans="1:28">
      <c r="A121" s="48" t="s">
        <v>359</v>
      </c>
      <c r="B121" s="50"/>
      <c r="C121" s="52">
        <f t="shared" si="131"/>
        <v>4487.03266015053</v>
      </c>
      <c r="D121" s="52">
        <f t="shared" si="131"/>
        <v>4897.67454846872</v>
      </c>
      <c r="E121" s="52">
        <f t="shared" si="131"/>
        <v>4913.15472936031</v>
      </c>
      <c r="F121" s="52">
        <f t="shared" si="131"/>
        <v>3945.17933662621</v>
      </c>
      <c r="G121" s="52">
        <f t="shared" si="131"/>
        <v>3745.89727508651</v>
      </c>
      <c r="H121" s="52">
        <f t="shared" si="131"/>
        <v>3829.77124162796</v>
      </c>
      <c r="I121" s="52">
        <f t="shared" si="131"/>
        <v>0</v>
      </c>
      <c r="J121" s="52">
        <f t="shared" si="131"/>
        <v>0</v>
      </c>
      <c r="K121" s="52">
        <f t="shared" si="131"/>
        <v>0</v>
      </c>
      <c r="L121" s="52">
        <f t="shared" si="131"/>
        <v>0</v>
      </c>
      <c r="M121" s="52">
        <f t="shared" si="131"/>
        <v>0</v>
      </c>
      <c r="N121" s="52">
        <f t="shared" si="131"/>
        <v>0</v>
      </c>
      <c r="O121" s="52">
        <f ca="1">IF(O23=0,,O111/O23)</f>
        <v>4132.30426188058</v>
      </c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 s="38" customFormat="1" customHeight="1" spans="1:28">
      <c r="A122" s="46" t="s">
        <v>609</v>
      </c>
      <c r="C122" s="68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 s="38" customFormat="1" ht="16.5" customHeight="1" spans="1:28">
      <c r="A123" s="48" t="s">
        <v>252</v>
      </c>
      <c r="B123" s="50" t="s">
        <v>123</v>
      </c>
      <c r="C123" s="52">
        <f>SUM(C124:C125)</f>
        <v>314971.087</v>
      </c>
      <c r="D123" s="52">
        <f>SUM(D124:D125)</f>
        <v>305892.8585</v>
      </c>
      <c r="E123" s="52">
        <f>E124+E125</f>
        <v>418422.2785</v>
      </c>
      <c r="F123" s="52">
        <f>F124+F125</f>
        <v>419749.8876</v>
      </c>
      <c r="G123" s="52">
        <f>G124+G125</f>
        <v>404978.0114</v>
      </c>
      <c r="H123" s="52">
        <f t="shared" ref="H123:N123" si="133">H124+H125</f>
        <v>537217.2147</v>
      </c>
      <c r="I123" s="52">
        <f t="shared" si="133"/>
        <v>0</v>
      </c>
      <c r="J123" s="52">
        <f t="shared" si="133"/>
        <v>0</v>
      </c>
      <c r="K123" s="52">
        <f t="shared" si="133"/>
        <v>0</v>
      </c>
      <c r="L123" s="52">
        <f t="shared" si="133"/>
        <v>0</v>
      </c>
      <c r="M123" s="52">
        <f t="shared" si="133"/>
        <v>0</v>
      </c>
      <c r="N123" s="52">
        <f t="shared" si="133"/>
        <v>0</v>
      </c>
      <c r="O123" s="52">
        <f ca="1" t="shared" ref="O123:O131" si="134">SUM(OFFSET($C123,0,0,1,mth))</f>
        <v>2401231.3377</v>
      </c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 s="38" customFormat="1" ht="16.5" customHeight="1" spans="1:28">
      <c r="A124" s="53" t="s">
        <v>589</v>
      </c>
      <c r="B124" s="54" t="s">
        <v>123</v>
      </c>
      <c r="C124" s="56">
        <f>1.09*287756.03</f>
        <v>313654.0727</v>
      </c>
      <c r="D124" s="56">
        <v>305392.8537</v>
      </c>
      <c r="E124" s="56">
        <f>383414.93*1.09</f>
        <v>417922.2737</v>
      </c>
      <c r="F124" s="56">
        <v>416537.8756</v>
      </c>
      <c r="G124" s="56">
        <v>402303.5002</v>
      </c>
      <c r="H124" s="56">
        <v>536309.7134</v>
      </c>
      <c r="I124" s="56"/>
      <c r="J124" s="56"/>
      <c r="K124" s="56"/>
      <c r="L124" s="56"/>
      <c r="M124" s="56"/>
      <c r="N124" s="56"/>
      <c r="O124" s="56">
        <f ca="1" t="shared" si="134"/>
        <v>2392120.2893</v>
      </c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 s="38" customFormat="1" ht="16.5" customHeight="1" spans="1:28">
      <c r="A125" s="53" t="s">
        <v>590</v>
      </c>
      <c r="B125" s="54" t="s">
        <v>123</v>
      </c>
      <c r="C125" s="56">
        <f>1.09*1208.27</f>
        <v>1317.0143</v>
      </c>
      <c r="D125" s="56">
        <v>500.0048</v>
      </c>
      <c r="E125" s="56">
        <f>458.72*1.09</f>
        <v>500.0048</v>
      </c>
      <c r="F125" s="56">
        <v>3212.012</v>
      </c>
      <c r="G125" s="56">
        <v>2674.5112</v>
      </c>
      <c r="H125" s="56">
        <v>907.5013</v>
      </c>
      <c r="I125" s="56"/>
      <c r="J125" s="56"/>
      <c r="K125" s="56"/>
      <c r="L125" s="56"/>
      <c r="M125" s="56"/>
      <c r="N125" s="56"/>
      <c r="O125" s="56">
        <f ca="1" t="shared" si="134"/>
        <v>9111.0484</v>
      </c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 s="38" customFormat="1" ht="16.5" hidden="1" customHeight="1" spans="1:28">
      <c r="A126" s="57" t="s">
        <v>253</v>
      </c>
      <c r="B126" s="50" t="s">
        <v>123</v>
      </c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>
        <f ca="1" t="shared" si="134"/>
        <v>0</v>
      </c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 s="38" customFormat="1" ht="16.5" hidden="1" customHeight="1" spans="1:28">
      <c r="A127" s="57" t="s">
        <v>254</v>
      </c>
      <c r="B127" s="50" t="s">
        <v>123</v>
      </c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>
        <f ca="1" t="shared" si="134"/>
        <v>0</v>
      </c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 s="38" customFormat="1" ht="16.5" customHeight="1" spans="1:28">
      <c r="A128" s="48" t="s">
        <v>256</v>
      </c>
      <c r="B128" s="50" t="s">
        <v>123</v>
      </c>
      <c r="C128" s="52">
        <f t="shared" ref="C128:G128" si="135">C130</f>
        <v>247121.8352</v>
      </c>
      <c r="D128" s="52">
        <f t="shared" si="135"/>
        <v>184456.7869</v>
      </c>
      <c r="E128" s="52">
        <f t="shared" si="135"/>
        <v>219172.8945</v>
      </c>
      <c r="F128" s="52">
        <f t="shared" si="135"/>
        <v>312734.9956</v>
      </c>
      <c r="G128" s="52">
        <f t="shared" si="135"/>
        <v>253472.9927</v>
      </c>
      <c r="H128" s="52">
        <f t="shared" ref="H128:N128" si="136">H130</f>
        <v>304163.6171</v>
      </c>
      <c r="I128" s="52">
        <f t="shared" si="136"/>
        <v>0</v>
      </c>
      <c r="J128" s="52">
        <f t="shared" si="136"/>
        <v>0</v>
      </c>
      <c r="K128" s="52">
        <f t="shared" si="136"/>
        <v>0</v>
      </c>
      <c r="L128" s="52">
        <f t="shared" si="136"/>
        <v>0</v>
      </c>
      <c r="M128" s="52">
        <f t="shared" si="136"/>
        <v>0</v>
      </c>
      <c r="N128" s="52">
        <f t="shared" si="136"/>
        <v>0</v>
      </c>
      <c r="O128" s="52">
        <f ca="1" t="shared" si="134"/>
        <v>1521123.122</v>
      </c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 s="38" customFormat="1" ht="16.5" customHeight="1" spans="1:28">
      <c r="A129" s="53" t="s">
        <v>591</v>
      </c>
      <c r="B129" s="54" t="s">
        <v>123</v>
      </c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>
        <f ca="1" t="shared" si="134"/>
        <v>0</v>
      </c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 s="38" customFormat="1" ht="16.5" customHeight="1" spans="1:28">
      <c r="A130" s="53" t="s">
        <v>592</v>
      </c>
      <c r="B130" s="54" t="s">
        <v>123</v>
      </c>
      <c r="C130" s="56">
        <f>226717.28*1.09</f>
        <v>247121.8352</v>
      </c>
      <c r="D130" s="56">
        <v>184456.7869</v>
      </c>
      <c r="E130" s="56">
        <f>201076.05*1.09</f>
        <v>219172.8945</v>
      </c>
      <c r="F130" s="56">
        <v>312734.9956</v>
      </c>
      <c r="G130" s="56">
        <v>253472.9927</v>
      </c>
      <c r="H130" s="56">
        <v>304163.6171</v>
      </c>
      <c r="I130" s="56"/>
      <c r="J130" s="56"/>
      <c r="K130" s="56"/>
      <c r="L130" s="56"/>
      <c r="M130" s="56"/>
      <c r="N130" s="56"/>
      <c r="O130" s="56">
        <f ca="1" t="shared" si="134"/>
        <v>1521123.122</v>
      </c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 s="38" customFormat="1" ht="16.5" customHeight="1" spans="1:28">
      <c r="A131" s="48" t="s">
        <v>593</v>
      </c>
      <c r="B131" s="50" t="s">
        <v>123</v>
      </c>
      <c r="C131" s="52">
        <f t="shared" ref="C131:F131" si="137">C133</f>
        <v>10156.2167</v>
      </c>
      <c r="D131" s="52">
        <f t="shared" si="137"/>
        <v>9961.0086</v>
      </c>
      <c r="E131" s="52">
        <f t="shared" si="137"/>
        <v>15066.7321</v>
      </c>
      <c r="F131" s="52">
        <f t="shared" si="137"/>
        <v>16977.9381</v>
      </c>
      <c r="G131" s="52">
        <f t="shared" ref="G131:N131" si="138">G133</f>
        <v>14121.9964</v>
      </c>
      <c r="H131" s="52">
        <f t="shared" si="138"/>
        <v>15688.9586</v>
      </c>
      <c r="I131" s="52">
        <f t="shared" si="138"/>
        <v>0</v>
      </c>
      <c r="J131" s="52">
        <f t="shared" si="138"/>
        <v>0</v>
      </c>
      <c r="K131" s="52">
        <f t="shared" si="138"/>
        <v>0</v>
      </c>
      <c r="L131" s="52">
        <f t="shared" si="138"/>
        <v>0</v>
      </c>
      <c r="M131" s="52">
        <f t="shared" si="138"/>
        <v>0</v>
      </c>
      <c r="N131" s="52">
        <f t="shared" si="138"/>
        <v>0</v>
      </c>
      <c r="O131" s="52">
        <f ca="1" t="shared" si="134"/>
        <v>81972.8505</v>
      </c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 s="38" customFormat="1" ht="16.5" customHeight="1" spans="1:28">
      <c r="A132" s="53" t="s">
        <v>594</v>
      </c>
      <c r="B132" s="54" t="s">
        <v>123</v>
      </c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>
        <f ca="1">SUM(OFFSET($C132,0,0,1,mth))</f>
        <v>0</v>
      </c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 s="38" customFormat="1" ht="16.5" customHeight="1" spans="1:28">
      <c r="A133" s="53" t="s">
        <v>595</v>
      </c>
      <c r="B133" s="54" t="s">
        <v>123</v>
      </c>
      <c r="C133" s="56">
        <f>9317.63*1.09</f>
        <v>10156.2167</v>
      </c>
      <c r="D133" s="56">
        <v>9961.0086</v>
      </c>
      <c r="E133" s="56">
        <f>13822.69*1.09</f>
        <v>15066.7321</v>
      </c>
      <c r="F133" s="56">
        <v>16977.9381</v>
      </c>
      <c r="G133" s="56">
        <v>14121.9964</v>
      </c>
      <c r="H133" s="56">
        <v>15688.9586</v>
      </c>
      <c r="I133" s="56"/>
      <c r="J133" s="56"/>
      <c r="K133" s="56"/>
      <c r="L133" s="56"/>
      <c r="M133" s="56"/>
      <c r="N133" s="56"/>
      <c r="O133" s="56">
        <f ca="1">SUM(OFFSET($C133,0,0,1,mth))</f>
        <v>81972.8505</v>
      </c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 s="38" customFormat="1" ht="16.5" customHeight="1" spans="1:28">
      <c r="A134" s="48" t="s">
        <v>596</v>
      </c>
      <c r="B134" s="50" t="s">
        <v>123</v>
      </c>
      <c r="C134" s="52"/>
      <c r="D134" s="52"/>
      <c r="E134" s="52">
        <f>1655.61*1.09</f>
        <v>1804.6149</v>
      </c>
      <c r="F134" s="52">
        <v>0</v>
      </c>
      <c r="G134" s="52"/>
      <c r="H134" s="52"/>
      <c r="I134" s="52"/>
      <c r="J134" s="52"/>
      <c r="K134" s="52"/>
      <c r="L134" s="52"/>
      <c r="M134" s="52"/>
      <c r="N134" s="52"/>
      <c r="O134" s="52">
        <f ca="1">SUM(OFFSET($C134,0,0,1,mth))</f>
        <v>1804.6149</v>
      </c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 s="38" customFormat="1" ht="16.5" customHeight="1" spans="1:28">
      <c r="A135" s="48" t="s">
        <v>354</v>
      </c>
      <c r="B135" s="50" t="s">
        <v>123</v>
      </c>
      <c r="C135" s="52">
        <f>340455.05*1.09+18661.23</f>
        <v>389757.2345</v>
      </c>
      <c r="D135" s="52">
        <v>373407.5457</v>
      </c>
      <c r="E135" s="52">
        <f>467319.65*1.09</f>
        <v>509378.4185</v>
      </c>
      <c r="F135" s="52">
        <v>370220.3094</v>
      </c>
      <c r="G135" s="52">
        <v>364281.1283</v>
      </c>
      <c r="H135" s="52">
        <v>445861.4916</v>
      </c>
      <c r="I135" s="52"/>
      <c r="J135" s="52"/>
      <c r="K135" s="52"/>
      <c r="L135" s="52"/>
      <c r="M135" s="52"/>
      <c r="N135" s="52"/>
      <c r="O135" s="52">
        <f ca="1" t="shared" ref="O135:O140" si="139">SUM(OFFSET($C135,0,0,1,mth))</f>
        <v>2452906.128</v>
      </c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 s="38" customFormat="1" ht="16.5" customHeight="1" spans="1:28">
      <c r="A136" s="53" t="s">
        <v>597</v>
      </c>
      <c r="B136" s="54" t="s">
        <v>123</v>
      </c>
      <c r="C136" s="56">
        <f t="shared" ref="C136:F136" si="140">C135-C137</f>
        <v>193887.3628</v>
      </c>
      <c r="D136" s="56">
        <f t="shared" si="140"/>
        <v>259600.0026</v>
      </c>
      <c r="E136" s="56">
        <f t="shared" si="140"/>
        <v>324071.9875</v>
      </c>
      <c r="F136" s="56">
        <f t="shared" si="140"/>
        <v>184343.8847</v>
      </c>
      <c r="G136" s="56">
        <f t="shared" ref="G136:N136" si="141">G135-G137</f>
        <v>188734.0341</v>
      </c>
      <c r="H136" s="56">
        <f t="shared" si="141"/>
        <v>264375.9902</v>
      </c>
      <c r="I136" s="56">
        <f t="shared" si="141"/>
        <v>0</v>
      </c>
      <c r="J136" s="56">
        <f t="shared" si="141"/>
        <v>0</v>
      </c>
      <c r="K136" s="56">
        <f t="shared" si="141"/>
        <v>0</v>
      </c>
      <c r="L136" s="56">
        <f t="shared" si="141"/>
        <v>0</v>
      </c>
      <c r="M136" s="56">
        <f t="shared" si="141"/>
        <v>0</v>
      </c>
      <c r="N136" s="56">
        <f t="shared" si="141"/>
        <v>0</v>
      </c>
      <c r="O136" s="56">
        <f ca="1">SUM(OFFSET($C136,0,0,1,mth))</f>
        <v>1415013.2619</v>
      </c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 s="38" customFormat="1" ht="16.5" customHeight="1" spans="1:28">
      <c r="A137" s="53" t="s">
        <v>598</v>
      </c>
      <c r="B137" s="54" t="s">
        <v>123</v>
      </c>
      <c r="C137" s="56">
        <v>195869.8717</v>
      </c>
      <c r="D137" s="56">
        <f>104410.59*1.09</f>
        <v>113807.5431</v>
      </c>
      <c r="E137" s="56">
        <f>170005.9*1.09</f>
        <v>185306.431</v>
      </c>
      <c r="F137" s="56">
        <f>170528.83*1.09</f>
        <v>185876.4247</v>
      </c>
      <c r="G137" s="56">
        <f>161052.38*1.09</f>
        <v>175547.0942</v>
      </c>
      <c r="H137" s="56">
        <f>166500.46*1.09</f>
        <v>181485.5014</v>
      </c>
      <c r="I137" s="56"/>
      <c r="J137" s="56"/>
      <c r="K137" s="56"/>
      <c r="L137" s="56"/>
      <c r="M137" s="56"/>
      <c r="N137" s="56"/>
      <c r="O137" s="56">
        <f ca="1" t="shared" si="139"/>
        <v>1037892.8661</v>
      </c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 s="38" customFormat="1" ht="16.5" customHeight="1" spans="1:28">
      <c r="A138" s="48" t="s">
        <v>599</v>
      </c>
      <c r="B138" s="50" t="s">
        <v>123</v>
      </c>
      <c r="C138" s="52">
        <f>C139+C140</f>
        <v>24415.891</v>
      </c>
      <c r="D138" s="52">
        <f>D139+D140</f>
        <v>20634.245</v>
      </c>
      <c r="E138" s="52">
        <f>E139+E140</f>
        <v>40661.2074</v>
      </c>
      <c r="F138" s="52">
        <f>F139+F140</f>
        <v>82161.4205</v>
      </c>
      <c r="G138" s="52">
        <f t="shared" ref="G138:N138" si="142">G139+G140</f>
        <v>64208.1504</v>
      </c>
      <c r="H138" s="52">
        <f t="shared" si="142"/>
        <v>64113.9308</v>
      </c>
      <c r="I138" s="52">
        <f t="shared" si="142"/>
        <v>0</v>
      </c>
      <c r="J138" s="52">
        <f t="shared" si="142"/>
        <v>0</v>
      </c>
      <c r="K138" s="52">
        <f t="shared" si="142"/>
        <v>0</v>
      </c>
      <c r="L138" s="52">
        <f t="shared" si="142"/>
        <v>0</v>
      </c>
      <c r="M138" s="52">
        <f t="shared" si="142"/>
        <v>0</v>
      </c>
      <c r="N138" s="52">
        <f t="shared" si="142"/>
        <v>0</v>
      </c>
      <c r="O138" s="52">
        <f ca="1" t="shared" si="139"/>
        <v>296194.8451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 s="38" customFormat="1" ht="16.5" customHeight="1" spans="1:28">
      <c r="A139" s="53" t="s">
        <v>308</v>
      </c>
      <c r="B139" s="54" t="s">
        <v>123</v>
      </c>
      <c r="C139" s="56">
        <f>11425.18*1.09</f>
        <v>12453.4462</v>
      </c>
      <c r="D139" s="56">
        <v>10351.7191</v>
      </c>
      <c r="E139" s="56">
        <f>20455.56*1.09</f>
        <v>22296.5604</v>
      </c>
      <c r="F139" s="56">
        <v>50887.0206</v>
      </c>
      <c r="G139" s="56">
        <v>33577.8533</v>
      </c>
      <c r="H139" s="56">
        <v>25064.8116</v>
      </c>
      <c r="I139" s="56"/>
      <c r="J139" s="56"/>
      <c r="K139" s="56"/>
      <c r="L139" s="56"/>
      <c r="M139" s="56"/>
      <c r="N139" s="56"/>
      <c r="O139" s="56">
        <f ca="1" t="shared" si="139"/>
        <v>154631.4112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 s="38" customFormat="1" ht="16.5" customHeight="1" spans="1:28">
      <c r="A140" s="53" t="s">
        <v>359</v>
      </c>
      <c r="B140" s="54" t="s">
        <v>123</v>
      </c>
      <c r="C140" s="56">
        <f>10974.72*1.09</f>
        <v>11962.4448</v>
      </c>
      <c r="D140" s="56">
        <v>10282.5259</v>
      </c>
      <c r="E140" s="56">
        <f>16848.3*1.09</f>
        <v>18364.647</v>
      </c>
      <c r="F140" s="56">
        <v>31274.3999</v>
      </c>
      <c r="G140" s="56">
        <v>30630.2971</v>
      </c>
      <c r="H140" s="56">
        <v>39049.1192</v>
      </c>
      <c r="I140" s="56"/>
      <c r="J140" s="56"/>
      <c r="K140" s="56"/>
      <c r="L140" s="56"/>
      <c r="M140" s="56"/>
      <c r="N140" s="56"/>
      <c r="O140" s="56">
        <f ca="1" t="shared" si="139"/>
        <v>141563.4339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 s="38" customFormat="1" ht="16.5" customHeight="1" spans="1:28">
      <c r="A141" s="77" t="s">
        <v>232</v>
      </c>
      <c r="B141" s="50"/>
      <c r="C141" s="52">
        <f>SUM(C123,C128,C131,C134,C135,C138)</f>
        <v>986422.2644</v>
      </c>
      <c r="D141" s="52">
        <f>SUM(D123,D128,D131,D134,D135,D138)</f>
        <v>894352.4447</v>
      </c>
      <c r="E141" s="52">
        <f>SUM(E123,E128,E131,E134,E135,E138)</f>
        <v>1204506.1459</v>
      </c>
      <c r="F141" s="52">
        <f t="shared" ref="F141:O141" si="143">SUM(F123,F128,F131,F134,F135,F138)</f>
        <v>1201844.5512</v>
      </c>
      <c r="G141" s="52">
        <f t="shared" si="143"/>
        <v>1101062.2792</v>
      </c>
      <c r="H141" s="52">
        <f t="shared" si="143"/>
        <v>1367045.2128</v>
      </c>
      <c r="I141" s="52">
        <f t="shared" si="143"/>
        <v>0</v>
      </c>
      <c r="J141" s="52">
        <f t="shared" si="143"/>
        <v>0</v>
      </c>
      <c r="K141" s="52">
        <f t="shared" si="143"/>
        <v>0</v>
      </c>
      <c r="L141" s="52">
        <f t="shared" si="143"/>
        <v>0</v>
      </c>
      <c r="M141" s="52">
        <f t="shared" si="143"/>
        <v>0</v>
      </c>
      <c r="N141" s="52">
        <f t="shared" si="143"/>
        <v>0</v>
      </c>
      <c r="O141" s="52">
        <f ca="1" t="shared" si="143"/>
        <v>6755232.8982</v>
      </c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 s="38" customFormat="1" customHeight="1" spans="1:28">
      <c r="A142" s="46" t="s">
        <v>610</v>
      </c>
      <c r="N142" s="68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 s="38" customFormat="1" ht="16.5" customHeight="1" spans="1:28">
      <c r="A143" s="48" t="s">
        <v>252</v>
      </c>
      <c r="B143" s="50" t="s">
        <v>123</v>
      </c>
      <c r="C143" s="52">
        <f>SUM(C144:C145)</f>
        <v>0</v>
      </c>
      <c r="D143" s="52">
        <f t="shared" ref="D143:N143" si="144">SUM(D144:D145)</f>
        <v>63265.6038</v>
      </c>
      <c r="E143" s="52">
        <f t="shared" si="144"/>
        <v>57694.3987</v>
      </c>
      <c r="F143" s="52">
        <f t="shared" si="144"/>
        <v>57494.4</v>
      </c>
      <c r="G143" s="52">
        <f t="shared" si="144"/>
        <v>21560.4</v>
      </c>
      <c r="H143" s="52">
        <f t="shared" si="144"/>
        <v>0</v>
      </c>
      <c r="I143" s="52">
        <f t="shared" si="144"/>
        <v>0</v>
      </c>
      <c r="J143" s="52">
        <f t="shared" si="144"/>
        <v>0</v>
      </c>
      <c r="K143" s="52">
        <f t="shared" si="144"/>
        <v>0</v>
      </c>
      <c r="L143" s="52">
        <f t="shared" si="144"/>
        <v>0</v>
      </c>
      <c r="M143" s="52">
        <f t="shared" si="144"/>
        <v>0</v>
      </c>
      <c r="N143" s="52">
        <f t="shared" si="144"/>
        <v>0</v>
      </c>
      <c r="O143" s="52">
        <f ca="1" t="shared" ref="O143:O159" si="145">SUM(OFFSET($C143,0,0,1,mth))</f>
        <v>200014.8025</v>
      </c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 s="38" customFormat="1" ht="16.5" customHeight="1" spans="1:28">
      <c r="A144" s="53" t="s">
        <v>589</v>
      </c>
      <c r="B144" s="54" t="s">
        <v>123</v>
      </c>
      <c r="C144" s="56"/>
      <c r="D144" s="56">
        <v>63265.6038</v>
      </c>
      <c r="E144" s="56">
        <v>57694.3987</v>
      </c>
      <c r="F144" s="56">
        <v>57494.4</v>
      </c>
      <c r="G144" s="56">
        <f>19080*1.13</f>
        <v>21560.4</v>
      </c>
      <c r="H144" s="56"/>
      <c r="I144" s="56"/>
      <c r="J144" s="56"/>
      <c r="K144" s="56"/>
      <c r="L144" s="56"/>
      <c r="M144" s="56"/>
      <c r="N144" s="56"/>
      <c r="O144" s="56">
        <f ca="1">SUM(OFFSET($C144,0,0,1,mth))</f>
        <v>200014.8025</v>
      </c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 s="38" customFormat="1" ht="16.5" customHeight="1" spans="1:28">
      <c r="A145" s="53" t="s">
        <v>590</v>
      </c>
      <c r="B145" s="54" t="s">
        <v>123</v>
      </c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>
        <f ca="1" t="shared" si="145"/>
        <v>0</v>
      </c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 s="38" customFormat="1" ht="16.5" customHeight="1" spans="1:28">
      <c r="A146" s="57" t="s">
        <v>253</v>
      </c>
      <c r="B146" s="50" t="s">
        <v>123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2">
        <f ca="1" t="shared" si="145"/>
        <v>0</v>
      </c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 s="38" customFormat="1" ht="16.5" customHeight="1" spans="1:28">
      <c r="A147" s="57" t="s">
        <v>254</v>
      </c>
      <c r="B147" s="50" t="s">
        <v>123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2">
        <f ca="1" t="shared" si="145"/>
        <v>0</v>
      </c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 s="38" customFormat="1" ht="16.5" customHeight="1" spans="1:28">
      <c r="A148" s="48" t="s">
        <v>256</v>
      </c>
      <c r="B148" s="50" t="s">
        <v>123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2">
        <f ca="1" t="shared" si="145"/>
        <v>0</v>
      </c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 s="38" customFormat="1" ht="16.5" customHeight="1" spans="1:28">
      <c r="A149" s="53" t="s">
        <v>591</v>
      </c>
      <c r="B149" s="54" t="s">
        <v>123</v>
      </c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>
        <f ca="1">SUM(OFFSET($C149,0,0,1,mth))</f>
        <v>0</v>
      </c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 s="38" customFormat="1" ht="16.5" customHeight="1" spans="1:28">
      <c r="A150" s="53" t="s">
        <v>592</v>
      </c>
      <c r="B150" s="54" t="s">
        <v>123</v>
      </c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>
        <f ca="1" t="shared" si="145"/>
        <v>0</v>
      </c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 s="38" customFormat="1" ht="16.5" customHeight="1" spans="1:28">
      <c r="A151" s="48" t="s">
        <v>593</v>
      </c>
      <c r="B151" s="50" t="s">
        <v>123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2">
        <f ca="1" t="shared" si="145"/>
        <v>0</v>
      </c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 s="38" customFormat="1" ht="16.5" customHeight="1" spans="1:28">
      <c r="A152" s="53" t="s">
        <v>594</v>
      </c>
      <c r="B152" s="54" t="s">
        <v>123</v>
      </c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>
        <f ca="1" t="shared" si="145"/>
        <v>0</v>
      </c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 s="38" customFormat="1" ht="16.5" customHeight="1" spans="1:28">
      <c r="A153" s="53" t="s">
        <v>595</v>
      </c>
      <c r="B153" s="54" t="s">
        <v>123</v>
      </c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>
        <f ca="1" t="shared" si="145"/>
        <v>0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 s="38" customFormat="1" ht="16.5" customHeight="1" spans="1:28">
      <c r="A154" s="48" t="s">
        <v>596</v>
      </c>
      <c r="B154" s="50" t="s">
        <v>123</v>
      </c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2">
        <f ca="1">SUM(OFFSET($C154,0,0,1,mth))</f>
        <v>0</v>
      </c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s="38" customFormat="1" ht="16.5" customHeight="1" spans="1:28">
      <c r="A155" s="48" t="s">
        <v>354</v>
      </c>
      <c r="B155" s="50" t="s">
        <v>123</v>
      </c>
      <c r="C155" s="52">
        <f>2697.13*1.13</f>
        <v>3047.7569</v>
      </c>
      <c r="D155" s="52">
        <v>1222.66</v>
      </c>
      <c r="E155" s="51"/>
      <c r="F155" s="51">
        <f>F156+F157</f>
        <v>87.01</v>
      </c>
      <c r="G155" s="51"/>
      <c r="H155" s="51"/>
      <c r="I155" s="51"/>
      <c r="J155" s="51"/>
      <c r="K155" s="51"/>
      <c r="L155" s="51"/>
      <c r="M155" s="51"/>
      <c r="N155" s="51"/>
      <c r="O155" s="52">
        <f ca="1">SUM(OFFSET($C155,0,0,1,mth))</f>
        <v>4357.4269</v>
      </c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 s="38" customFormat="1" ht="16.5" customHeight="1" spans="1:28">
      <c r="A156" s="53" t="s">
        <v>597</v>
      </c>
      <c r="B156" s="54" t="s">
        <v>123</v>
      </c>
      <c r="C156" s="56">
        <f>C155</f>
        <v>3047.7569</v>
      </c>
      <c r="D156" s="56">
        <f>D155</f>
        <v>1222.66</v>
      </c>
      <c r="E156" s="56"/>
      <c r="F156" s="56">
        <v>87.01</v>
      </c>
      <c r="G156" s="56"/>
      <c r="H156" s="56"/>
      <c r="I156" s="56"/>
      <c r="J156" s="56"/>
      <c r="K156" s="56"/>
      <c r="L156" s="56"/>
      <c r="M156" s="56"/>
      <c r="N156" s="56"/>
      <c r="O156" s="56">
        <f ca="1">SUM(OFFSET($C156,0,0,1,mth))</f>
        <v>4357.4269</v>
      </c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 s="38" customFormat="1" ht="16.5" customHeight="1" spans="1:28">
      <c r="A157" s="53" t="s">
        <v>598</v>
      </c>
      <c r="B157" s="54" t="s">
        <v>123</v>
      </c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>
        <f ca="1">SUM(OFFSET($C157,0,0,1,mth))</f>
        <v>0</v>
      </c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 s="38" customFormat="1" ht="16.5" customHeight="1" spans="1:28">
      <c r="A158" s="48" t="s">
        <v>599</v>
      </c>
      <c r="B158" s="50" t="s">
        <v>123</v>
      </c>
      <c r="C158" s="52"/>
      <c r="D158" s="52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2">
        <f ca="1">SUM(OFFSET($C158,0,0,1,mth))</f>
        <v>0</v>
      </c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 s="38" customFormat="1" ht="16.5" customHeight="1" spans="1:28">
      <c r="A159" s="53" t="s">
        <v>308</v>
      </c>
      <c r="B159" s="54" t="s">
        <v>123</v>
      </c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>
        <f ca="1">SUM(OFFSET($C159,0,0,1,mth))</f>
        <v>0</v>
      </c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 s="38" customFormat="1" ht="16.5" customHeight="1" spans="1:28">
      <c r="A160" s="53" t="s">
        <v>359</v>
      </c>
      <c r="B160" s="54" t="s">
        <v>123</v>
      </c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>
        <f ca="1">SUM(OFFSET($C160,0,0,1,mth))</f>
        <v>0</v>
      </c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 s="38" customFormat="1" ht="16.5" customHeight="1" spans="1:28">
      <c r="A161" s="77" t="s">
        <v>232</v>
      </c>
      <c r="B161" s="50"/>
      <c r="C161" s="52">
        <f>SUM(C143,C148,C151,C154,C155,C158)</f>
        <v>3047.7569</v>
      </c>
      <c r="D161" s="52">
        <f>SUM(D143,D148,D151,D154,D155,D158)</f>
        <v>64488.2638</v>
      </c>
      <c r="E161" s="52">
        <f>SUM(E143,E148,E151,E154,E155,E158)</f>
        <v>57694.3987</v>
      </c>
      <c r="F161" s="52">
        <f t="shared" ref="D161:O161" si="146">SUM(F143,F146:F148,F151,F155,F158)</f>
        <v>57581.41</v>
      </c>
      <c r="G161" s="52">
        <f t="shared" si="146"/>
        <v>21560.4</v>
      </c>
      <c r="H161" s="52">
        <f t="shared" si="146"/>
        <v>0</v>
      </c>
      <c r="I161" s="52">
        <f t="shared" si="146"/>
        <v>0</v>
      </c>
      <c r="J161" s="52">
        <f t="shared" si="146"/>
        <v>0</v>
      </c>
      <c r="K161" s="52">
        <f t="shared" si="146"/>
        <v>0</v>
      </c>
      <c r="L161" s="52">
        <f t="shared" si="146"/>
        <v>0</v>
      </c>
      <c r="M161" s="52">
        <f t="shared" si="146"/>
        <v>0</v>
      </c>
      <c r="N161" s="52">
        <f t="shared" si="146"/>
        <v>0</v>
      </c>
      <c r="O161" s="52">
        <f ca="1">SUM(O143,O148,O151,O154,O155,O158)</f>
        <v>204372.2294</v>
      </c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 s="38" customFormat="1" customHeight="1" spans="1:28">
      <c r="A162" s="46" t="s">
        <v>611</v>
      </c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 s="38" customFormat="1" ht="16.5" customHeight="1" spans="1:28">
      <c r="A163" s="48" t="s">
        <v>252</v>
      </c>
      <c r="B163" s="50" t="s">
        <v>123</v>
      </c>
      <c r="C163" s="52">
        <f>SUM(C164:C165)</f>
        <v>32182.9876</v>
      </c>
      <c r="D163" s="52">
        <f>SUM(D164:D165)</f>
        <v>75269.4356</v>
      </c>
      <c r="E163" s="52">
        <f t="shared" ref="E163:K163" si="147">SUM(E164:E165)</f>
        <v>102918.1513</v>
      </c>
      <c r="F163" s="52">
        <f t="shared" si="147"/>
        <v>94586.1302</v>
      </c>
      <c r="G163" s="52">
        <f t="shared" si="147"/>
        <v>112412.0949</v>
      </c>
      <c r="H163" s="52">
        <f t="shared" si="147"/>
        <v>85059.6878</v>
      </c>
      <c r="I163" s="52">
        <f t="shared" si="147"/>
        <v>0</v>
      </c>
      <c r="J163" s="52">
        <f t="shared" si="147"/>
        <v>0</v>
      </c>
      <c r="K163" s="52">
        <f t="shared" si="147"/>
        <v>0</v>
      </c>
      <c r="L163" s="52">
        <f t="shared" ref="L163:N163" si="148">L164+L165</f>
        <v>0</v>
      </c>
      <c r="M163" s="52">
        <f t="shared" si="148"/>
        <v>0</v>
      </c>
      <c r="N163" s="52">
        <f t="shared" si="148"/>
        <v>0</v>
      </c>
      <c r="O163" s="52">
        <f ca="1" t="shared" ref="O163:O177" si="149">SUM(OFFSET($C163,0,0,1,mth))</f>
        <v>502428.4874</v>
      </c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 s="38" customFormat="1" ht="16.5" customHeight="1" spans="1:28">
      <c r="A164" s="53" t="s">
        <v>589</v>
      </c>
      <c r="B164" s="54" t="s">
        <v>123</v>
      </c>
      <c r="C164" s="56">
        <f>18824.17*1.13</f>
        <v>21271.3121</v>
      </c>
      <c r="D164" s="56">
        <v>68626.3803</v>
      </c>
      <c r="E164" s="56">
        <v>95834.8819</v>
      </c>
      <c r="F164" s="56">
        <v>78231.482</v>
      </c>
      <c r="G164" s="56">
        <v>91304.9266</v>
      </c>
      <c r="H164" s="56">
        <v>67894.0047</v>
      </c>
      <c r="I164" s="56"/>
      <c r="J164" s="56"/>
      <c r="K164" s="56"/>
      <c r="L164" s="56"/>
      <c r="M164" s="56"/>
      <c r="N164" s="56"/>
      <c r="O164" s="56">
        <f ca="1" t="shared" si="149"/>
        <v>423162.9876</v>
      </c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 s="38" customFormat="1" ht="16.5" customHeight="1" spans="1:28">
      <c r="A165" s="53" t="s">
        <v>590</v>
      </c>
      <c r="B165" s="54" t="s">
        <v>123</v>
      </c>
      <c r="C165" s="56">
        <f>9656.35*1.13</f>
        <v>10911.6755</v>
      </c>
      <c r="D165" s="56">
        <v>6643.0553</v>
      </c>
      <c r="E165" s="56">
        <v>7083.2694</v>
      </c>
      <c r="F165" s="56">
        <v>16354.6482</v>
      </c>
      <c r="G165" s="56">
        <v>21107.1683</v>
      </c>
      <c r="H165" s="56">
        <v>17165.6831</v>
      </c>
      <c r="I165" s="56"/>
      <c r="J165" s="56"/>
      <c r="K165" s="56"/>
      <c r="L165" s="56"/>
      <c r="M165" s="56"/>
      <c r="N165" s="56"/>
      <c r="O165" s="56">
        <f ca="1" t="shared" si="149"/>
        <v>79265.4998</v>
      </c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s="38" customFormat="1" ht="16.5" hidden="1" customHeight="1" spans="1:28">
      <c r="A166" s="57" t="s">
        <v>253</v>
      </c>
      <c r="B166" s="50" t="s">
        <v>123</v>
      </c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>
        <f ca="1" t="shared" si="149"/>
        <v>0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 s="38" customFormat="1" ht="16.5" hidden="1" customHeight="1" spans="1:28">
      <c r="A167" s="57" t="s">
        <v>254</v>
      </c>
      <c r="B167" s="50" t="s">
        <v>123</v>
      </c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>
        <f ca="1" t="shared" si="149"/>
        <v>0</v>
      </c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 s="38" customFormat="1" ht="16.5" customHeight="1" spans="1:28">
      <c r="A168" s="48" t="s">
        <v>256</v>
      </c>
      <c r="B168" s="50" t="s">
        <v>123</v>
      </c>
      <c r="C168" s="52">
        <f>C170</f>
        <v>576400.5248</v>
      </c>
      <c r="D168" s="52">
        <v>501331.7659</v>
      </c>
      <c r="E168" s="52">
        <f t="shared" ref="E168:H168" si="150">E169+E170</f>
        <v>559908.9884</v>
      </c>
      <c r="F168" s="52">
        <f t="shared" si="150"/>
        <v>741603.7789</v>
      </c>
      <c r="G168" s="52">
        <f t="shared" si="150"/>
        <v>672102.2023</v>
      </c>
      <c r="H168" s="52">
        <f t="shared" si="150"/>
        <v>752161.7418</v>
      </c>
      <c r="I168" s="52"/>
      <c r="J168" s="52"/>
      <c r="K168" s="52"/>
      <c r="L168" s="52"/>
      <c r="M168" s="52"/>
      <c r="N168" s="52"/>
      <c r="O168" s="52">
        <f ca="1">SUM(OFFSET($C168,0,0,1,mth))</f>
        <v>3803509.0021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 s="38" customFormat="1" ht="16.5" customHeight="1" spans="1:28">
      <c r="A169" s="53" t="s">
        <v>591</v>
      </c>
      <c r="B169" s="54" t="s">
        <v>123</v>
      </c>
      <c r="C169" s="56"/>
      <c r="D169" s="56"/>
      <c r="E169" s="56"/>
      <c r="F169" s="56"/>
      <c r="G169" s="56"/>
      <c r="H169" s="56"/>
      <c r="I169" s="56"/>
      <c r="J169" s="56"/>
      <c r="K169" s="56"/>
      <c r="L169" s="78"/>
      <c r="M169" s="79"/>
      <c r="N169" s="56"/>
      <c r="O169" s="56">
        <f ca="1" t="shared" si="149"/>
        <v>0</v>
      </c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s="38" customFormat="1" ht="16.5" customHeight="1" spans="1:28">
      <c r="A170" s="53" t="s">
        <v>592</v>
      </c>
      <c r="B170" s="54" t="s">
        <v>123</v>
      </c>
      <c r="C170" s="56">
        <f>510088.96*1.13</f>
        <v>576400.5248</v>
      </c>
      <c r="D170" s="56">
        <v>501331.7659</v>
      </c>
      <c r="E170" s="56">
        <v>559908.9884</v>
      </c>
      <c r="F170" s="56">
        <v>741603.7789</v>
      </c>
      <c r="G170" s="56">
        <v>672102.2023</v>
      </c>
      <c r="H170" s="56">
        <v>752161.7418</v>
      </c>
      <c r="I170" s="56"/>
      <c r="J170" s="56"/>
      <c r="K170" s="56"/>
      <c r="L170" s="56"/>
      <c r="M170" s="56"/>
      <c r="N170" s="56"/>
      <c r="O170" s="56">
        <f ca="1" t="shared" si="149"/>
        <v>3803509.0021</v>
      </c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 s="38" customFormat="1" ht="16.5" customHeight="1" spans="1:28">
      <c r="A171" s="48" t="s">
        <v>593</v>
      </c>
      <c r="B171" s="50" t="s">
        <v>123</v>
      </c>
      <c r="C171" s="52">
        <f t="shared" ref="C171:F171" si="151">C173</f>
        <v>5836.0319</v>
      </c>
      <c r="D171" s="52">
        <f t="shared" si="151"/>
        <v>9369.7679</v>
      </c>
      <c r="E171" s="52">
        <f t="shared" si="151"/>
        <v>7745.7771</v>
      </c>
      <c r="F171" s="52">
        <f t="shared" si="151"/>
        <v>8384.6339</v>
      </c>
      <c r="G171" s="52">
        <f t="shared" ref="G171:N171" si="152">G173</f>
        <v>3592.0892</v>
      </c>
      <c r="H171" s="52">
        <f t="shared" si="152"/>
        <v>15843.617</v>
      </c>
      <c r="I171" s="52">
        <f t="shared" si="152"/>
        <v>0</v>
      </c>
      <c r="J171" s="52">
        <f t="shared" si="152"/>
        <v>0</v>
      </c>
      <c r="K171" s="52">
        <f t="shared" si="152"/>
        <v>0</v>
      </c>
      <c r="L171" s="52">
        <f t="shared" si="152"/>
        <v>0</v>
      </c>
      <c r="M171" s="52">
        <f t="shared" si="152"/>
        <v>0</v>
      </c>
      <c r="N171" s="52">
        <f t="shared" si="152"/>
        <v>0</v>
      </c>
      <c r="O171" s="52">
        <f ca="1" t="shared" si="149"/>
        <v>50771.917</v>
      </c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 s="38" customFormat="1" ht="16.5" customHeight="1" spans="1:28">
      <c r="A172" s="53" t="s">
        <v>594</v>
      </c>
      <c r="B172" s="54" t="s">
        <v>123</v>
      </c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>
        <f ca="1">SUM(OFFSET($C172,0,0,1,mth))</f>
        <v>0</v>
      </c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 s="38" customFormat="1" ht="16.5" customHeight="1" spans="1:28">
      <c r="A173" s="53" t="s">
        <v>595</v>
      </c>
      <c r="B173" s="54" t="s">
        <v>123</v>
      </c>
      <c r="C173" s="56">
        <f>5164.63*1.13</f>
        <v>5836.0319</v>
      </c>
      <c r="D173" s="56">
        <v>9369.7679</v>
      </c>
      <c r="E173" s="56">
        <v>7745.7771</v>
      </c>
      <c r="F173" s="56">
        <v>8384.6339</v>
      </c>
      <c r="G173" s="56">
        <v>3592.0892</v>
      </c>
      <c r="H173" s="56">
        <v>15843.617</v>
      </c>
      <c r="I173" s="56"/>
      <c r="J173" s="56"/>
      <c r="K173" s="56"/>
      <c r="L173" s="56"/>
      <c r="M173" s="56"/>
      <c r="N173" s="56"/>
      <c r="O173" s="56">
        <f ca="1">SUM(OFFSET($C173,0,0,1,mth))</f>
        <v>50771.917</v>
      </c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 s="38" customFormat="1" ht="16.5" customHeight="1" spans="1:28">
      <c r="A174" s="48" t="s">
        <v>596</v>
      </c>
      <c r="B174" s="50" t="s">
        <v>123</v>
      </c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2">
        <f ca="1">SUM(OFFSET($C174,0,0,1,mth))</f>
        <v>0</v>
      </c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 s="38" customFormat="1" ht="16.5" customHeight="1" spans="1:28">
      <c r="A175" s="48" t="s">
        <v>354</v>
      </c>
      <c r="B175" s="50" t="s">
        <v>123</v>
      </c>
      <c r="C175" s="52">
        <f>49043.9*1.13</f>
        <v>55419.607</v>
      </c>
      <c r="D175" s="52">
        <v>102147.3105</v>
      </c>
      <c r="E175" s="52">
        <v>56822.9879</v>
      </c>
      <c r="F175" s="52">
        <v>69027.067</v>
      </c>
      <c r="G175" s="52">
        <v>95251.655</v>
      </c>
      <c r="H175" s="52">
        <v>50118.7205</v>
      </c>
      <c r="I175" s="52"/>
      <c r="J175" s="52"/>
      <c r="K175" s="52"/>
      <c r="L175" s="52"/>
      <c r="M175" s="52"/>
      <c r="N175" s="52"/>
      <c r="O175" s="52">
        <f ca="1">SUM(OFFSET($C175,0,0,1,mth))</f>
        <v>428787.3479</v>
      </c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 s="38" customFormat="1" ht="16.5" customHeight="1" spans="1:28">
      <c r="A176" s="53" t="s">
        <v>597</v>
      </c>
      <c r="B176" s="54" t="s">
        <v>123</v>
      </c>
      <c r="C176" s="56"/>
      <c r="D176" s="56"/>
      <c r="E176" s="56">
        <f>E175-E177</f>
        <v>8915.5305</v>
      </c>
      <c r="F176" s="56">
        <f>F175-F177</f>
        <v>13881.7562</v>
      </c>
      <c r="G176" s="56">
        <f>G175-G177</f>
        <v>12219.2437</v>
      </c>
      <c r="H176" s="56">
        <f>H175-H177</f>
        <v>13392.4436</v>
      </c>
      <c r="I176" s="56"/>
      <c r="J176" s="56"/>
      <c r="K176" s="56"/>
      <c r="L176" s="56"/>
      <c r="M176" s="56"/>
      <c r="N176" s="56"/>
      <c r="O176" s="56">
        <f ca="1">SUM(OFFSET($C176,0,0,1,mth))</f>
        <v>48408.974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 s="38" customFormat="1" ht="16.5" customHeight="1" spans="1:28">
      <c r="A177" s="53" t="s">
        <v>598</v>
      </c>
      <c r="B177" s="54" t="s">
        <v>123</v>
      </c>
      <c r="C177" s="56">
        <v>55419.607</v>
      </c>
      <c r="D177" s="56">
        <f>90395.85*1.13</f>
        <v>102147.3105</v>
      </c>
      <c r="E177" s="56">
        <f>42395.98*1.13</f>
        <v>47907.4574</v>
      </c>
      <c r="F177" s="56">
        <v>55145.3108</v>
      </c>
      <c r="G177" s="56">
        <f>73480.01*1.13</f>
        <v>83032.4113</v>
      </c>
      <c r="H177" s="56">
        <f>32501.13*1.13</f>
        <v>36726.2769</v>
      </c>
      <c r="I177" s="56"/>
      <c r="J177" s="56"/>
      <c r="K177" s="56"/>
      <c r="L177" s="56"/>
      <c r="M177" s="56"/>
      <c r="N177" s="56"/>
      <c r="O177" s="56">
        <f ca="1">SUM(OFFSET($C177,0,0,1,mth))</f>
        <v>380378.3739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 s="38" customFormat="1" ht="16.5" customHeight="1" spans="1:28">
      <c r="A178" s="48" t="s">
        <v>599</v>
      </c>
      <c r="B178" s="50" t="s">
        <v>123</v>
      </c>
      <c r="C178" s="52">
        <f t="shared" ref="C178:H178" si="153">C179+C180</f>
        <v>156638.9615</v>
      </c>
      <c r="D178" s="52">
        <f t="shared" si="153"/>
        <v>158966.592</v>
      </c>
      <c r="E178" s="52">
        <f t="shared" si="153"/>
        <v>200035.9787</v>
      </c>
      <c r="F178" s="52">
        <f t="shared" si="153"/>
        <v>431836.9693</v>
      </c>
      <c r="G178" s="52">
        <f t="shared" si="153"/>
        <v>350500.9366</v>
      </c>
      <c r="H178" s="52">
        <f t="shared" si="153"/>
        <v>283123.6357</v>
      </c>
      <c r="I178" s="52">
        <f t="shared" ref="I178:N178" si="154">I179+I180</f>
        <v>0</v>
      </c>
      <c r="J178" s="52">
        <f t="shared" si="154"/>
        <v>0</v>
      </c>
      <c r="K178" s="52">
        <f t="shared" si="154"/>
        <v>0</v>
      </c>
      <c r="L178" s="52">
        <f t="shared" si="154"/>
        <v>0</v>
      </c>
      <c r="M178" s="52">
        <f t="shared" si="154"/>
        <v>0</v>
      </c>
      <c r="N178" s="52">
        <f t="shared" si="154"/>
        <v>0</v>
      </c>
      <c r="O178" s="52">
        <f ca="1">SUM(OFFSET($C178,0,0,1,mth))</f>
        <v>1581103.0738</v>
      </c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 s="38" customFormat="1" ht="16.5" customHeight="1" spans="1:28">
      <c r="A179" s="53" t="s">
        <v>308</v>
      </c>
      <c r="B179" s="54" t="s">
        <v>123</v>
      </c>
      <c r="C179" s="56">
        <f>62960.74*1.13</f>
        <v>71145.6362</v>
      </c>
      <c r="D179" s="56">
        <v>78643.0619</v>
      </c>
      <c r="E179" s="56">
        <v>127225.8073</v>
      </c>
      <c r="F179" s="56">
        <v>285153.1722</v>
      </c>
      <c r="G179" s="56">
        <v>201022.2201</v>
      </c>
      <c r="H179" s="56">
        <v>149811.9196</v>
      </c>
      <c r="I179" s="56"/>
      <c r="J179" s="56"/>
      <c r="K179" s="56"/>
      <c r="L179" s="56"/>
      <c r="M179" s="56"/>
      <c r="N179" s="56"/>
      <c r="O179" s="56">
        <f ca="1">SUM(OFFSET($C179,0,0,1,mth))</f>
        <v>913001.8173</v>
      </c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 s="38" customFormat="1" ht="16.5" customHeight="1" spans="1:28">
      <c r="A180" s="53" t="s">
        <v>359</v>
      </c>
      <c r="B180" s="54" t="s">
        <v>123</v>
      </c>
      <c r="C180" s="56">
        <f>75657.81*1.13</f>
        <v>85493.3253</v>
      </c>
      <c r="D180" s="56">
        <v>80323.5301</v>
      </c>
      <c r="E180" s="56">
        <v>72810.1714</v>
      </c>
      <c r="F180" s="56">
        <v>146683.7971</v>
      </c>
      <c r="G180" s="56">
        <v>149478.7165</v>
      </c>
      <c r="H180" s="56">
        <v>133311.7161</v>
      </c>
      <c r="I180" s="56"/>
      <c r="J180" s="56"/>
      <c r="K180" s="56"/>
      <c r="L180" s="56"/>
      <c r="M180" s="56"/>
      <c r="N180" s="56"/>
      <c r="O180" s="56">
        <f ca="1">SUM(OFFSET($C180,0,0,1,mth))</f>
        <v>668101.2565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 s="38" customFormat="1" ht="16.5" customHeight="1" spans="1:28">
      <c r="A181" s="77" t="s">
        <v>232</v>
      </c>
      <c r="B181" s="50"/>
      <c r="C181" s="52">
        <f>SUM(C163,C168,C171,C174,C175,C178)</f>
        <v>826478.1128</v>
      </c>
      <c r="D181" s="52">
        <f>SUM(D163,D168,D171,D174,D175,D178)</f>
        <v>847084.8719</v>
      </c>
      <c r="E181" s="52">
        <f>SUM(E163,E168,E171,E174,E175,E178)</f>
        <v>927431.8834</v>
      </c>
      <c r="F181" s="52">
        <f t="shared" ref="E181:O181" si="155">SUM(F163,F166:F168,F171,F175,F178)</f>
        <v>1345438.5793</v>
      </c>
      <c r="G181" s="52">
        <f t="shared" si="155"/>
        <v>1233858.978</v>
      </c>
      <c r="H181" s="52">
        <f t="shared" si="155"/>
        <v>1186307.4028</v>
      </c>
      <c r="I181" s="52">
        <f t="shared" si="155"/>
        <v>0</v>
      </c>
      <c r="J181" s="52">
        <f t="shared" si="155"/>
        <v>0</v>
      </c>
      <c r="K181" s="52">
        <f t="shared" si="155"/>
        <v>0</v>
      </c>
      <c r="L181" s="52">
        <f t="shared" si="155"/>
        <v>0</v>
      </c>
      <c r="M181" s="52">
        <f t="shared" si="155"/>
        <v>0</v>
      </c>
      <c r="N181" s="52">
        <f t="shared" si="155"/>
        <v>0</v>
      </c>
      <c r="O181" s="52">
        <f ca="1">SUM(O163,O168,O171,O174,O175,O178)</f>
        <v>6366599.8282</v>
      </c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 s="38" customFormat="1" customHeight="1" spans="1:28">
      <c r="A182" s="46" t="s">
        <v>612</v>
      </c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 s="38" customFormat="1" ht="18" customHeight="1" spans="1:28">
      <c r="A183" s="57" t="s">
        <v>252</v>
      </c>
      <c r="B183" s="50" t="s">
        <v>387</v>
      </c>
      <c r="C183" s="52">
        <f t="shared" ref="C183:O183" si="156">IF(ROUND(C6,2)=0,,(C123+C143+C163)/C6)</f>
        <v>53.4592288040457</v>
      </c>
      <c r="D183" s="52">
        <f t="shared" si="156"/>
        <v>70.1065015439341</v>
      </c>
      <c r="E183" s="52">
        <f t="shared" si="156"/>
        <v>70.7186584659127</v>
      </c>
      <c r="F183" s="52">
        <f t="shared" si="156"/>
        <v>68.3816682541419</v>
      </c>
      <c r="G183" s="52">
        <f t="shared" si="156"/>
        <v>63.0673444746938</v>
      </c>
      <c r="H183" s="52">
        <f t="shared" si="156"/>
        <v>55.5988108310468</v>
      </c>
      <c r="I183" s="52">
        <f t="shared" si="156"/>
        <v>0</v>
      </c>
      <c r="J183" s="52">
        <f t="shared" si="156"/>
        <v>0</v>
      </c>
      <c r="K183" s="52">
        <f t="shared" si="156"/>
        <v>0</v>
      </c>
      <c r="L183" s="52">
        <f t="shared" si="156"/>
        <v>0</v>
      </c>
      <c r="M183" s="52">
        <f t="shared" si="156"/>
        <v>0</v>
      </c>
      <c r="N183" s="52">
        <f t="shared" si="156"/>
        <v>0</v>
      </c>
      <c r="O183" s="52">
        <f ca="1" t="shared" si="156"/>
        <v>63.1839633445735</v>
      </c>
      <c r="P183" s="45"/>
      <c r="Q183" s="45"/>
      <c r="R183" s="80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 s="38" customFormat="1" ht="18" customHeight="1" spans="1:28">
      <c r="A184" s="53" t="s">
        <v>589</v>
      </c>
      <c r="B184" s="54" t="s">
        <v>387</v>
      </c>
      <c r="C184" s="65">
        <f t="shared" ref="C184:O184" si="157">IF(ROUND(C7,2)=0,,(C124+C144+C164)/C7)</f>
        <v>51.6699091949732</v>
      </c>
      <c r="D184" s="65">
        <f t="shared" si="157"/>
        <v>69.0535697417073</v>
      </c>
      <c r="E184" s="65">
        <f t="shared" si="157"/>
        <v>69.8577671002535</v>
      </c>
      <c r="F184" s="65">
        <f t="shared" si="157"/>
        <v>66.2010541078993</v>
      </c>
      <c r="G184" s="65">
        <f t="shared" si="157"/>
        <v>60.4591188888087</v>
      </c>
      <c r="H184" s="65">
        <f t="shared" si="157"/>
        <v>54.0717048053896</v>
      </c>
      <c r="I184" s="65">
        <f t="shared" si="157"/>
        <v>0</v>
      </c>
      <c r="J184" s="65">
        <f t="shared" si="157"/>
        <v>0</v>
      </c>
      <c r="K184" s="65">
        <f t="shared" si="157"/>
        <v>0</v>
      </c>
      <c r="L184" s="65">
        <f t="shared" si="157"/>
        <v>0</v>
      </c>
      <c r="M184" s="65">
        <f t="shared" si="157"/>
        <v>0</v>
      </c>
      <c r="N184" s="65">
        <f t="shared" si="157"/>
        <v>0</v>
      </c>
      <c r="O184" s="65">
        <f ca="1" t="shared" si="157"/>
        <v>61.496452972152</v>
      </c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 s="38" customFormat="1" ht="18" customHeight="1" spans="1:28">
      <c r="A185" s="53" t="s">
        <v>590</v>
      </c>
      <c r="B185" s="54" t="s">
        <v>387</v>
      </c>
      <c r="C185" s="65">
        <f t="shared" ref="C185:O185" si="158">IF(ROUND(C8,2)=0,,(C125+C145+C165)/C8)</f>
        <v>1037.20863443596</v>
      </c>
      <c r="D185" s="65">
        <f t="shared" si="158"/>
        <v>1053.54868731563</v>
      </c>
      <c r="E185" s="65">
        <f t="shared" si="158"/>
        <v>991.277673202614</v>
      </c>
      <c r="F185" s="65">
        <f t="shared" si="158"/>
        <v>972.739756400696</v>
      </c>
      <c r="G185" s="65">
        <f t="shared" si="158"/>
        <v>963.2109963548</v>
      </c>
      <c r="H185" s="65">
        <f t="shared" si="158"/>
        <v>995.76773553719</v>
      </c>
      <c r="I185" s="65">
        <f t="shared" si="158"/>
        <v>0</v>
      </c>
      <c r="J185" s="65">
        <f t="shared" si="158"/>
        <v>0</v>
      </c>
      <c r="K185" s="65">
        <f t="shared" si="158"/>
        <v>0</v>
      </c>
      <c r="L185" s="65">
        <f t="shared" si="158"/>
        <v>0</v>
      </c>
      <c r="M185" s="65">
        <f t="shared" si="158"/>
        <v>0</v>
      </c>
      <c r="N185" s="65">
        <f t="shared" si="158"/>
        <v>0</v>
      </c>
      <c r="O185" s="65">
        <f ca="1" t="shared" si="158"/>
        <v>991.046237174096</v>
      </c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 s="38" customFormat="1" ht="18" customHeight="1" spans="1:28">
      <c r="A186" s="57" t="s">
        <v>253</v>
      </c>
      <c r="B186" s="50" t="s">
        <v>387</v>
      </c>
      <c r="C186" s="52">
        <f>IF(ROUND(C9,2)=0,,(C126+C146+C166)/C9)</f>
        <v>0</v>
      </c>
      <c r="D186" s="52">
        <f t="shared" ref="C186:O186" si="159">IF(ROUND(D9,2)=0,,(D126+D146+D166)/D9)</f>
        <v>0</v>
      </c>
      <c r="E186" s="52">
        <f t="shared" si="159"/>
        <v>0</v>
      </c>
      <c r="F186" s="52">
        <f t="shared" si="159"/>
        <v>0</v>
      </c>
      <c r="G186" s="52">
        <f t="shared" si="159"/>
        <v>0</v>
      </c>
      <c r="H186" s="52">
        <f t="shared" si="159"/>
        <v>0</v>
      </c>
      <c r="I186" s="52">
        <f t="shared" si="159"/>
        <v>0</v>
      </c>
      <c r="J186" s="52">
        <f t="shared" si="159"/>
        <v>0</v>
      </c>
      <c r="K186" s="52">
        <f t="shared" si="159"/>
        <v>0</v>
      </c>
      <c r="L186" s="52">
        <f t="shared" si="159"/>
        <v>0</v>
      </c>
      <c r="M186" s="52">
        <f t="shared" si="159"/>
        <v>0</v>
      </c>
      <c r="N186" s="52">
        <f t="shared" si="159"/>
        <v>0</v>
      </c>
      <c r="O186" s="52">
        <f ca="1" t="shared" si="159"/>
        <v>0</v>
      </c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 s="38" customFormat="1" ht="18" customHeight="1" spans="1:28">
      <c r="A187" s="57" t="s">
        <v>254</v>
      </c>
      <c r="B187" s="50" t="s">
        <v>387</v>
      </c>
      <c r="C187" s="52">
        <f t="shared" ref="C187:O187" si="160">IF(ROUND(C10,2)=0,,(C127+C147+C167)/C10)</f>
        <v>0</v>
      </c>
      <c r="D187" s="52">
        <f t="shared" si="160"/>
        <v>0</v>
      </c>
      <c r="E187" s="52">
        <f t="shared" si="160"/>
        <v>0</v>
      </c>
      <c r="F187" s="52">
        <f t="shared" si="160"/>
        <v>0</v>
      </c>
      <c r="G187" s="52">
        <f t="shared" si="160"/>
        <v>0</v>
      </c>
      <c r="H187" s="52">
        <f t="shared" si="160"/>
        <v>0</v>
      </c>
      <c r="I187" s="52">
        <f t="shared" si="160"/>
        <v>0</v>
      </c>
      <c r="J187" s="52">
        <f t="shared" si="160"/>
        <v>0</v>
      </c>
      <c r="K187" s="52">
        <f t="shared" si="160"/>
        <v>0</v>
      </c>
      <c r="L187" s="52">
        <f t="shared" si="160"/>
        <v>0</v>
      </c>
      <c r="M187" s="52">
        <f t="shared" si="160"/>
        <v>0</v>
      </c>
      <c r="N187" s="52">
        <f t="shared" si="160"/>
        <v>0</v>
      </c>
      <c r="O187" s="52">
        <f ca="1" t="shared" si="160"/>
        <v>0</v>
      </c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 s="38" customFormat="1" ht="18" customHeight="1" spans="1:28">
      <c r="A188" s="48" t="s">
        <v>256</v>
      </c>
      <c r="B188" s="50" t="s">
        <v>387</v>
      </c>
      <c r="C188" s="52">
        <f t="shared" ref="C188:O188" si="161">IF(ROUND(C11,2)=0,,(C128+C148+C168)/C11)</f>
        <v>767.177756827557</v>
      </c>
      <c r="D188" s="52">
        <f t="shared" si="161"/>
        <v>807.612924377764</v>
      </c>
      <c r="E188" s="52">
        <f t="shared" si="161"/>
        <v>807.687760306786</v>
      </c>
      <c r="F188" s="52">
        <f t="shared" si="161"/>
        <v>805.213706000504</v>
      </c>
      <c r="G188" s="52">
        <f t="shared" si="161"/>
        <v>853.555588651907</v>
      </c>
      <c r="H188" s="52">
        <f t="shared" si="161"/>
        <v>797.049831131809</v>
      </c>
      <c r="I188" s="52">
        <f t="shared" si="161"/>
        <v>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ca="1" t="shared" si="161"/>
        <v>806.000162285911</v>
      </c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 s="38" customFormat="1" ht="18" customHeight="1" spans="1:28">
      <c r="A189" s="53" t="s">
        <v>591</v>
      </c>
      <c r="B189" s="54" t="s">
        <v>387</v>
      </c>
      <c r="C189" s="65">
        <f t="shared" ref="C189:O189" si="162">IF(ROUND(C12,2)=0,,(C129+C149+C169)/C12)</f>
        <v>0</v>
      </c>
      <c r="D189" s="65">
        <f t="shared" si="162"/>
        <v>0</v>
      </c>
      <c r="E189" s="65">
        <f t="shared" si="162"/>
        <v>0</v>
      </c>
      <c r="F189" s="65">
        <f t="shared" si="162"/>
        <v>0</v>
      </c>
      <c r="G189" s="65">
        <f t="shared" si="162"/>
        <v>0</v>
      </c>
      <c r="H189" s="65">
        <f t="shared" si="162"/>
        <v>0</v>
      </c>
      <c r="I189" s="65">
        <f t="shared" si="162"/>
        <v>0</v>
      </c>
      <c r="J189" s="65">
        <f t="shared" si="162"/>
        <v>0</v>
      </c>
      <c r="K189" s="65">
        <f t="shared" si="162"/>
        <v>0</v>
      </c>
      <c r="L189" s="65">
        <f t="shared" si="162"/>
        <v>0</v>
      </c>
      <c r="M189" s="65">
        <f t="shared" si="162"/>
        <v>0</v>
      </c>
      <c r="N189" s="65">
        <f t="shared" si="162"/>
        <v>0</v>
      </c>
      <c r="O189" s="65">
        <f ca="1" t="shared" si="162"/>
        <v>0</v>
      </c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 s="38" customFormat="1" ht="18" customHeight="1" spans="1:28">
      <c r="A190" s="53" t="s">
        <v>592</v>
      </c>
      <c r="B190" s="54" t="s">
        <v>387</v>
      </c>
      <c r="C190" s="65">
        <f t="shared" ref="C190:O190" si="163">IF(ROUND(C13,2)=0,,(C130+C150+C170)/C13)</f>
        <v>767.177756827557</v>
      </c>
      <c r="D190" s="65">
        <f t="shared" si="163"/>
        <v>807.612924377764</v>
      </c>
      <c r="E190" s="65">
        <f t="shared" si="163"/>
        <v>807.687760306786</v>
      </c>
      <c r="F190" s="65">
        <f t="shared" si="163"/>
        <v>805.213706000504</v>
      </c>
      <c r="G190" s="65">
        <f t="shared" si="163"/>
        <v>853.555588651907</v>
      </c>
      <c r="H190" s="65">
        <f t="shared" si="163"/>
        <v>797.049831131809</v>
      </c>
      <c r="I190" s="65">
        <f t="shared" si="163"/>
        <v>0</v>
      </c>
      <c r="J190" s="65">
        <f t="shared" si="163"/>
        <v>0</v>
      </c>
      <c r="K190" s="65">
        <f t="shared" si="163"/>
        <v>0</v>
      </c>
      <c r="L190" s="65">
        <f t="shared" si="163"/>
        <v>0</v>
      </c>
      <c r="M190" s="65">
        <f t="shared" si="163"/>
        <v>0</v>
      </c>
      <c r="N190" s="65">
        <f t="shared" si="163"/>
        <v>0</v>
      </c>
      <c r="O190" s="65">
        <f ca="1" t="shared" si="163"/>
        <v>806.000162285911</v>
      </c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 s="38" customFormat="1" ht="18" customHeight="1" spans="1:28">
      <c r="A191" s="48" t="s">
        <v>593</v>
      </c>
      <c r="B191" s="50" t="s">
        <v>387</v>
      </c>
      <c r="C191" s="52">
        <f t="shared" ref="C191:O191" si="164">IF(ROUND(C14,2)=0,,(C131+C151+C171)/C14)</f>
        <v>65.2172526150521</v>
      </c>
      <c r="D191" s="52">
        <f t="shared" si="164"/>
        <v>68.9682876357993</v>
      </c>
      <c r="E191" s="52">
        <f t="shared" si="164"/>
        <v>70.3981151056936</v>
      </c>
      <c r="F191" s="52">
        <f t="shared" si="164"/>
        <v>59.1533072114936</v>
      </c>
      <c r="G191" s="52">
        <f t="shared" si="164"/>
        <v>53.8487524319066</v>
      </c>
      <c r="H191" s="52">
        <f t="shared" si="164"/>
        <v>95.3755141176293</v>
      </c>
      <c r="I191" s="52">
        <f t="shared" si="164"/>
        <v>0</v>
      </c>
      <c r="J191" s="52">
        <f t="shared" si="164"/>
        <v>0</v>
      </c>
      <c r="K191" s="52">
        <f t="shared" si="164"/>
        <v>0</v>
      </c>
      <c r="L191" s="52">
        <f t="shared" si="164"/>
        <v>0</v>
      </c>
      <c r="M191" s="52">
        <f t="shared" si="164"/>
        <v>0</v>
      </c>
      <c r="N191" s="52">
        <f t="shared" si="164"/>
        <v>0</v>
      </c>
      <c r="O191" s="52">
        <f ca="1" t="shared" si="164"/>
        <v>68.4998168105951</v>
      </c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 s="38" customFormat="1" ht="18" customHeight="1" spans="1:28">
      <c r="A192" s="53" t="s">
        <v>594</v>
      </c>
      <c r="B192" s="54" t="s">
        <v>387</v>
      </c>
      <c r="C192" s="65">
        <f t="shared" ref="C192:O192" si="165">IF(ROUND(C15,2)=0,,(C132+C152+C172)/C15)</f>
        <v>0</v>
      </c>
      <c r="D192" s="65">
        <f t="shared" si="165"/>
        <v>0</v>
      </c>
      <c r="E192" s="65">
        <f t="shared" si="165"/>
        <v>0</v>
      </c>
      <c r="F192" s="65">
        <f t="shared" si="165"/>
        <v>0</v>
      </c>
      <c r="G192" s="65">
        <f t="shared" si="165"/>
        <v>0</v>
      </c>
      <c r="H192" s="65">
        <f t="shared" si="165"/>
        <v>0</v>
      </c>
      <c r="I192" s="65">
        <f t="shared" si="165"/>
        <v>0</v>
      </c>
      <c r="J192" s="65">
        <f t="shared" si="165"/>
        <v>0</v>
      </c>
      <c r="K192" s="65">
        <f t="shared" si="165"/>
        <v>0</v>
      </c>
      <c r="L192" s="65">
        <f t="shared" si="165"/>
        <v>0</v>
      </c>
      <c r="M192" s="65">
        <f t="shared" si="165"/>
        <v>0</v>
      </c>
      <c r="N192" s="65">
        <f t="shared" si="165"/>
        <v>0</v>
      </c>
      <c r="O192" s="65">
        <f ca="1" t="shared" si="165"/>
        <v>0</v>
      </c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 s="38" customFormat="1" ht="18" customHeight="1" spans="1:28">
      <c r="A193" s="53" t="s">
        <v>595</v>
      </c>
      <c r="B193" s="54" t="s">
        <v>387</v>
      </c>
      <c r="C193" s="65">
        <f t="shared" ref="C193:O193" si="166">IF(ROUND(C16,2)=0,,(C133+C153+C173)/C16)</f>
        <v>65.2172526150521</v>
      </c>
      <c r="D193" s="65">
        <f t="shared" si="166"/>
        <v>68.9682876357993</v>
      </c>
      <c r="E193" s="65">
        <f t="shared" si="166"/>
        <v>70.3981151056936</v>
      </c>
      <c r="F193" s="65">
        <f t="shared" si="166"/>
        <v>59.1533072114936</v>
      </c>
      <c r="G193" s="65">
        <f t="shared" si="166"/>
        <v>53.8487524319066</v>
      </c>
      <c r="H193" s="65">
        <f t="shared" si="166"/>
        <v>95.3755141176293</v>
      </c>
      <c r="I193" s="65">
        <f t="shared" si="166"/>
        <v>0</v>
      </c>
      <c r="J193" s="65">
        <f t="shared" si="166"/>
        <v>0</v>
      </c>
      <c r="K193" s="65">
        <f t="shared" si="166"/>
        <v>0</v>
      </c>
      <c r="L193" s="65">
        <f t="shared" si="166"/>
        <v>0</v>
      </c>
      <c r="M193" s="65">
        <f t="shared" si="166"/>
        <v>0</v>
      </c>
      <c r="N193" s="65">
        <f t="shared" si="166"/>
        <v>0</v>
      </c>
      <c r="O193" s="65">
        <f ca="1" t="shared" si="166"/>
        <v>68.4998168105951</v>
      </c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 s="38" customFormat="1" ht="18" customHeight="1" spans="1:28">
      <c r="A194" s="48" t="s">
        <v>596</v>
      </c>
      <c r="B194" s="50" t="s">
        <v>387</v>
      </c>
      <c r="C194" s="52">
        <f>IF(ROUND(C17,2)=0,,(C134+C154+C174)/C17)</f>
        <v>0</v>
      </c>
      <c r="D194" s="52">
        <f t="shared" ref="C194:O194" si="167">IF(ROUND(D17,2)=0,,(D134+D154+D174)/D17)</f>
        <v>0</v>
      </c>
      <c r="E194" s="52">
        <f t="shared" si="167"/>
        <v>58.5210915458702</v>
      </c>
      <c r="F194" s="52">
        <f t="shared" si="167"/>
        <v>0</v>
      </c>
      <c r="G194" s="52">
        <f t="shared" si="167"/>
        <v>0</v>
      </c>
      <c r="H194" s="52">
        <f t="shared" si="167"/>
        <v>0</v>
      </c>
      <c r="I194" s="52">
        <f t="shared" si="167"/>
        <v>0</v>
      </c>
      <c r="J194" s="52">
        <f t="shared" si="167"/>
        <v>0</v>
      </c>
      <c r="K194" s="52">
        <f t="shared" si="167"/>
        <v>0</v>
      </c>
      <c r="L194" s="52">
        <f t="shared" si="167"/>
        <v>0</v>
      </c>
      <c r="M194" s="52">
        <f t="shared" si="167"/>
        <v>0</v>
      </c>
      <c r="N194" s="52">
        <f t="shared" si="167"/>
        <v>0</v>
      </c>
      <c r="O194" s="52">
        <f ca="1" t="shared" si="167"/>
        <v>58.5210915458702</v>
      </c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 s="38" customFormat="1" ht="18" customHeight="1" spans="1:28">
      <c r="A195" s="48" t="s">
        <v>354</v>
      </c>
      <c r="B195" s="50" t="s">
        <v>387</v>
      </c>
      <c r="C195" s="52">
        <f>IF(ROUND(C18,2)=0,,(C135+C155+C175)/C18)</f>
        <v>81.2579016162582</v>
      </c>
      <c r="D195" s="52">
        <f>IF(ROUND(D18,2)=0,,(D135+D155+D175)/D18)</f>
        <v>77.5946598099785</v>
      </c>
      <c r="E195" s="52">
        <f t="shared" ref="C195:O195" si="168">IF(ROUND(E18,2)=0,,(E135+E155+E175)/E18)</f>
        <v>72.9551767960336</v>
      </c>
      <c r="F195" s="52">
        <f t="shared" si="168"/>
        <v>71.9680663056915</v>
      </c>
      <c r="G195" s="52">
        <f t="shared" si="168"/>
        <v>74.2413836540375</v>
      </c>
      <c r="H195" s="52">
        <f t="shared" si="168"/>
        <v>76.9841695141081</v>
      </c>
      <c r="I195" s="52">
        <f t="shared" si="168"/>
        <v>0</v>
      </c>
      <c r="J195" s="52">
        <f t="shared" si="168"/>
        <v>0</v>
      </c>
      <c r="K195" s="52">
        <f t="shared" si="168"/>
        <v>0</v>
      </c>
      <c r="L195" s="52">
        <f t="shared" si="168"/>
        <v>0</v>
      </c>
      <c r="M195" s="52">
        <f t="shared" si="168"/>
        <v>0</v>
      </c>
      <c r="N195" s="52">
        <f t="shared" si="168"/>
        <v>0</v>
      </c>
      <c r="O195" s="52">
        <f ca="1" t="shared" si="168"/>
        <v>75.6334399258585</v>
      </c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 s="38" customFormat="1" ht="18" customHeight="1" spans="1:28">
      <c r="A196" s="53" t="s">
        <v>597</v>
      </c>
      <c r="B196" s="54" t="s">
        <v>387</v>
      </c>
      <c r="C196" s="56">
        <f>IF(ROUND(C19,2)=0,,(C136+C156+C176)/C19)</f>
        <v>56.2950350573484</v>
      </c>
      <c r="D196" s="56">
        <f t="shared" ref="C196:O196" si="169">IF(ROUND(D19,2)=0,,(D136+D156+D176)/D19)</f>
        <v>65.9399398502019</v>
      </c>
      <c r="E196" s="56">
        <f t="shared" si="169"/>
        <v>64.0930176605018</v>
      </c>
      <c r="F196" s="56">
        <f t="shared" si="169"/>
        <v>58.7484420361983</v>
      </c>
      <c r="G196" s="56">
        <f t="shared" si="169"/>
        <v>50.711470144314</v>
      </c>
      <c r="H196" s="56">
        <f t="shared" si="169"/>
        <v>66.1748887549464</v>
      </c>
      <c r="I196" s="56">
        <f t="shared" si="169"/>
        <v>0</v>
      </c>
      <c r="J196" s="56">
        <f t="shared" si="169"/>
        <v>0</v>
      </c>
      <c r="K196" s="56">
        <f t="shared" si="169"/>
        <v>0</v>
      </c>
      <c r="L196" s="56">
        <f t="shared" si="169"/>
        <v>0</v>
      </c>
      <c r="M196" s="56">
        <f t="shared" si="169"/>
        <v>0</v>
      </c>
      <c r="N196" s="56">
        <f t="shared" si="169"/>
        <v>0</v>
      </c>
      <c r="O196" s="56">
        <f ca="1" t="shared" si="169"/>
        <v>60.6899257048758</v>
      </c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 s="38" customFormat="1" ht="18" customHeight="1" spans="1:28">
      <c r="A197" s="53" t="s">
        <v>598</v>
      </c>
      <c r="B197" s="54" t="s">
        <v>387</v>
      </c>
      <c r="C197" s="56">
        <f t="shared" ref="C197:O197" si="170">IF(ROUND(C20,2)=0,,(C137+C157+C177)/C20)</f>
        <v>124.535995383104</v>
      </c>
      <c r="D197" s="56">
        <f t="shared" si="170"/>
        <v>98.654344599487</v>
      </c>
      <c r="E197" s="56">
        <f t="shared" si="170"/>
        <v>90.9013936084379</v>
      </c>
      <c r="F197" s="56">
        <f t="shared" si="170"/>
        <v>88.3203193535975</v>
      </c>
      <c r="G197" s="56">
        <f t="shared" si="170"/>
        <v>116.10941800144</v>
      </c>
      <c r="H197" s="56">
        <f t="shared" si="170"/>
        <v>97.1931225101731</v>
      </c>
      <c r="I197" s="56">
        <f t="shared" si="170"/>
        <v>0</v>
      </c>
      <c r="J197" s="56">
        <f t="shared" si="170"/>
        <v>0</v>
      </c>
      <c r="K197" s="56">
        <f t="shared" si="170"/>
        <v>0</v>
      </c>
      <c r="L197" s="56">
        <f t="shared" si="170"/>
        <v>0</v>
      </c>
      <c r="M197" s="56">
        <f t="shared" si="170"/>
        <v>0</v>
      </c>
      <c r="N197" s="56">
        <f t="shared" si="170"/>
        <v>0</v>
      </c>
      <c r="O197" s="56">
        <f ca="1" t="shared" si="170"/>
        <v>101.497208287115</v>
      </c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 s="38" customFormat="1" ht="18" customHeight="1" spans="1:28">
      <c r="A198" s="48" t="s">
        <v>599</v>
      </c>
      <c r="B198" s="50" t="s">
        <v>387</v>
      </c>
      <c r="C198" s="52">
        <f t="shared" ref="C198:O198" si="171">IF(ROUND(C21,2)=0,,(C138+C158+C178)/C21)</f>
        <v>2026.10593547521</v>
      </c>
      <c r="D198" s="52">
        <f t="shared" si="171"/>
        <v>2026.18272788809</v>
      </c>
      <c r="E198" s="52">
        <f t="shared" si="171"/>
        <v>2214.24405817633</v>
      </c>
      <c r="F198" s="52">
        <f t="shared" si="171"/>
        <v>2073.94563259575</v>
      </c>
      <c r="G198" s="52">
        <f t="shared" si="171"/>
        <v>2338.91920838315</v>
      </c>
      <c r="H198" s="52">
        <f t="shared" si="171"/>
        <v>1533.11860736188</v>
      </c>
      <c r="I198" s="52">
        <f t="shared" si="171"/>
        <v>0</v>
      </c>
      <c r="J198" s="52">
        <f t="shared" si="171"/>
        <v>0</v>
      </c>
      <c r="K198" s="52">
        <f t="shared" si="171"/>
        <v>0</v>
      </c>
      <c r="L198" s="52">
        <f t="shared" si="171"/>
        <v>0</v>
      </c>
      <c r="M198" s="52">
        <f t="shared" si="171"/>
        <v>0</v>
      </c>
      <c r="N198" s="52">
        <f t="shared" si="171"/>
        <v>0</v>
      </c>
      <c r="O198" s="52">
        <f ca="1" t="shared" si="171"/>
        <v>2000.65852345632</v>
      </c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 s="38" customFormat="1" ht="18" customHeight="1" spans="1:28">
      <c r="A199" s="53" t="s">
        <v>308</v>
      </c>
      <c r="B199" s="54" t="s">
        <v>387</v>
      </c>
      <c r="C199" s="56">
        <f t="shared" ref="C199:O199" si="172">IF(ROUND(C22,2)=0,,(C139+C159+C179)/C22)</f>
        <v>2728.87489472825</v>
      </c>
      <c r="D199" s="56">
        <f t="shared" si="172"/>
        <v>2840.10789851604</v>
      </c>
      <c r="E199" s="56">
        <f t="shared" si="172"/>
        <v>2777.47088642865</v>
      </c>
      <c r="F199" s="56">
        <f t="shared" si="172"/>
        <v>2676.50210908627</v>
      </c>
      <c r="G199" s="56">
        <f t="shared" si="172"/>
        <v>2765.5971306644</v>
      </c>
      <c r="H199" s="56">
        <f t="shared" si="172"/>
        <v>2699.04820348191</v>
      </c>
      <c r="I199" s="56">
        <f t="shared" si="172"/>
        <v>0</v>
      </c>
      <c r="J199" s="56">
        <f t="shared" si="172"/>
        <v>0</v>
      </c>
      <c r="K199" s="56">
        <f t="shared" si="172"/>
        <v>0</v>
      </c>
      <c r="L199" s="56">
        <f t="shared" si="172"/>
        <v>0</v>
      </c>
      <c r="M199" s="56">
        <f t="shared" si="172"/>
        <v>0</v>
      </c>
      <c r="N199" s="56">
        <f t="shared" si="172"/>
        <v>0</v>
      </c>
      <c r="O199" s="56">
        <f ca="1" t="shared" si="172"/>
        <v>2730.68737850917</v>
      </c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 s="38" customFormat="1" ht="18" customHeight="1" spans="1:28">
      <c r="A200" s="53" t="s">
        <v>359</v>
      </c>
      <c r="B200" s="54" t="s">
        <v>387</v>
      </c>
      <c r="C200" s="56">
        <f t="shared" ref="C200:O200" si="173">IF(ROUND(C23,2)=0,,(C140+C160+C180)/C23)</f>
        <v>1659.49954194054</v>
      </c>
      <c r="D200" s="56">
        <f t="shared" si="173"/>
        <v>1581.1195532676</v>
      </c>
      <c r="E200" s="56">
        <f t="shared" si="173"/>
        <v>1661.65151084381</v>
      </c>
      <c r="F200" s="56">
        <f t="shared" si="173"/>
        <v>1455.28603087894</v>
      </c>
      <c r="G200" s="56">
        <f t="shared" si="173"/>
        <v>1947.54556228374</v>
      </c>
      <c r="H200" s="56">
        <f t="shared" si="173"/>
        <v>1065.93630943914</v>
      </c>
      <c r="I200" s="56">
        <f t="shared" si="173"/>
        <v>0</v>
      </c>
      <c r="J200" s="56">
        <f t="shared" si="173"/>
        <v>0</v>
      </c>
      <c r="K200" s="56">
        <f t="shared" si="173"/>
        <v>0</v>
      </c>
      <c r="L200" s="56">
        <f t="shared" si="173"/>
        <v>0</v>
      </c>
      <c r="M200" s="56">
        <f t="shared" si="173"/>
        <v>0</v>
      </c>
      <c r="N200" s="56">
        <f t="shared" si="173"/>
        <v>0</v>
      </c>
      <c r="O200" s="56">
        <f ca="1" t="shared" si="173"/>
        <v>1479.20705490314</v>
      </c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 s="38" customFormat="1" ht="18" customHeight="1" spans="1:28">
      <c r="A201" s="57" t="s">
        <v>613</v>
      </c>
      <c r="B201" s="50" t="s">
        <v>387</v>
      </c>
      <c r="C201" s="52">
        <f t="shared" ref="C201:O201" si="174">IF(ROUND(C24,2)=0,,(C141+C161+C181)/C24)</f>
        <v>135.337690156376</v>
      </c>
      <c r="D201" s="52">
        <f t="shared" si="174"/>
        <v>131.80141425972</v>
      </c>
      <c r="E201" s="52">
        <f t="shared" si="174"/>
        <v>126.007592800317</v>
      </c>
      <c r="F201" s="52">
        <f t="shared" si="174"/>
        <v>158.322565147349</v>
      </c>
      <c r="G201" s="52">
        <f t="shared" si="174"/>
        <v>144.339272096867</v>
      </c>
      <c r="H201" s="52">
        <f t="shared" si="174"/>
        <v>130.825121246304</v>
      </c>
      <c r="I201" s="52">
        <f t="shared" si="174"/>
        <v>0</v>
      </c>
      <c r="J201" s="52">
        <f t="shared" si="174"/>
        <v>0</v>
      </c>
      <c r="K201" s="52">
        <f t="shared" si="174"/>
        <v>0</v>
      </c>
      <c r="L201" s="52">
        <f t="shared" si="174"/>
        <v>0</v>
      </c>
      <c r="M201" s="52">
        <f t="shared" si="174"/>
        <v>0</v>
      </c>
      <c r="N201" s="52">
        <f t="shared" si="174"/>
        <v>0</v>
      </c>
      <c r="O201" s="52">
        <f ca="1" t="shared" si="174"/>
        <v>137.677445074456</v>
      </c>
      <c r="P201" s="45"/>
      <c r="Q201" s="45"/>
      <c r="R201" s="41"/>
      <c r="S201" s="41"/>
      <c r="T201" s="41"/>
      <c r="U201" s="41"/>
      <c r="V201" s="41"/>
      <c r="W201" s="41"/>
      <c r="X201" s="41"/>
      <c r="Y201" s="41"/>
      <c r="Z201" s="41"/>
      <c r="AA201" s="45"/>
      <c r="AB201" s="45"/>
    </row>
    <row r="202" s="38" customFormat="1" customHeight="1" spans="1:28">
      <c r="A202" s="46" t="s">
        <v>614</v>
      </c>
      <c r="P202" s="45"/>
      <c r="Q202" s="45"/>
      <c r="R202" s="41"/>
      <c r="S202" s="41"/>
      <c r="T202" s="41"/>
      <c r="U202" s="41"/>
      <c r="V202" s="41"/>
      <c r="W202" s="41"/>
      <c r="X202" s="41"/>
      <c r="Y202" s="41"/>
      <c r="Z202" s="41"/>
      <c r="AA202" s="45"/>
      <c r="AB202" s="45"/>
    </row>
    <row r="203" s="38" customFormat="1" customHeight="1" spans="1:28">
      <c r="A203" s="48" t="s">
        <v>252</v>
      </c>
      <c r="B203" s="50" t="s">
        <v>387</v>
      </c>
      <c r="C203" s="52">
        <f t="shared" ref="C203:O203" si="175">IF(ROUND(C6,2)=0,,C46/C6)-C183</f>
        <v>3035.73720248975</v>
      </c>
      <c r="D203" s="52">
        <f t="shared" si="175"/>
        <v>2989.70713610676</v>
      </c>
      <c r="E203" s="52">
        <f t="shared" si="175"/>
        <v>2959.89667263688</v>
      </c>
      <c r="F203" s="52">
        <f t="shared" si="175"/>
        <v>2997.77276922056</v>
      </c>
      <c r="G203" s="52">
        <f t="shared" si="175"/>
        <v>2988.11491747541</v>
      </c>
      <c r="H203" s="52">
        <f t="shared" si="175"/>
        <v>3028.45094768085</v>
      </c>
      <c r="I203" s="52">
        <f t="shared" si="175"/>
        <v>0</v>
      </c>
      <c r="J203" s="52">
        <f t="shared" si="175"/>
        <v>0</v>
      </c>
      <c r="K203" s="52">
        <f t="shared" si="175"/>
        <v>0</v>
      </c>
      <c r="L203" s="52">
        <f t="shared" si="175"/>
        <v>0</v>
      </c>
      <c r="M203" s="52">
        <f t="shared" si="175"/>
        <v>0</v>
      </c>
      <c r="N203" s="52">
        <f t="shared" si="175"/>
        <v>0</v>
      </c>
      <c r="O203" s="52">
        <f ca="1" t="shared" si="175"/>
        <v>3000.74713961007</v>
      </c>
      <c r="P203" s="81"/>
      <c r="Q203" s="81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 s="38" customFormat="1" customHeight="1" spans="1:28">
      <c r="A204" s="53" t="s">
        <v>589</v>
      </c>
      <c r="B204" s="54" t="s">
        <v>387</v>
      </c>
      <c r="C204" s="56">
        <f t="shared" ref="C204:O204" si="176">IF(ROUND(C7,2)=0,,C47/C7)-C184</f>
        <v>3033.43307178935</v>
      </c>
      <c r="D204" s="56">
        <f t="shared" si="176"/>
        <v>2988.31940513648</v>
      </c>
      <c r="E204" s="56">
        <f t="shared" si="176"/>
        <v>2958.62032845102</v>
      </c>
      <c r="F204" s="56">
        <f t="shared" si="176"/>
        <v>2995.47001493607</v>
      </c>
      <c r="G204" s="56">
        <f t="shared" si="176"/>
        <v>2984.91580633369</v>
      </c>
      <c r="H204" s="56">
        <f t="shared" si="176"/>
        <v>3026.32998117078</v>
      </c>
      <c r="I204" s="56">
        <f t="shared" si="176"/>
        <v>0</v>
      </c>
      <c r="J204" s="56">
        <f t="shared" si="176"/>
        <v>0</v>
      </c>
      <c r="K204" s="56">
        <f t="shared" si="176"/>
        <v>0</v>
      </c>
      <c r="L204" s="56">
        <f t="shared" si="176"/>
        <v>0</v>
      </c>
      <c r="M204" s="56">
        <f t="shared" si="176"/>
        <v>0</v>
      </c>
      <c r="N204" s="56">
        <f t="shared" si="176"/>
        <v>0</v>
      </c>
      <c r="O204" s="56">
        <f ca="1" t="shared" si="176"/>
        <v>2998.61608908579</v>
      </c>
      <c r="P204" s="81"/>
      <c r="Q204" s="81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 s="38" customFormat="1" customHeight="1" spans="1:28">
      <c r="A205" s="53" t="s">
        <v>590</v>
      </c>
      <c r="B205" s="54" t="s">
        <v>387</v>
      </c>
      <c r="C205" s="56">
        <f t="shared" ref="C205:O205" si="177">IF(ROUND(C8,2)=0,,C48/C8)-C185</f>
        <v>4302.52441899915</v>
      </c>
      <c r="D205" s="56">
        <f t="shared" si="177"/>
        <v>4285.85297935103</v>
      </c>
      <c r="E205" s="56">
        <f t="shared" si="177"/>
        <v>4324.70318954248</v>
      </c>
      <c r="F205" s="56">
        <f t="shared" si="177"/>
        <v>3952.78558786975</v>
      </c>
      <c r="G205" s="56">
        <f t="shared" si="177"/>
        <v>4092.18336978534</v>
      </c>
      <c r="H205" s="56">
        <f t="shared" si="177"/>
        <v>4334.23245179063</v>
      </c>
      <c r="I205" s="56">
        <f t="shared" si="177"/>
        <v>0</v>
      </c>
      <c r="J205" s="56">
        <f t="shared" si="177"/>
        <v>0</v>
      </c>
      <c r="K205" s="56">
        <f t="shared" si="177"/>
        <v>0</v>
      </c>
      <c r="L205" s="56">
        <f t="shared" si="177"/>
        <v>0</v>
      </c>
      <c r="M205" s="56">
        <f t="shared" si="177"/>
        <v>0</v>
      </c>
      <c r="N205" s="56">
        <f t="shared" si="177"/>
        <v>0</v>
      </c>
      <c r="O205" s="56">
        <f ca="1" t="shared" si="177"/>
        <v>4172.48594336978</v>
      </c>
      <c r="P205" s="74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 customHeight="1" spans="1:28">
      <c r="A206" s="57" t="s">
        <v>253</v>
      </c>
      <c r="B206" s="50" t="s">
        <v>387</v>
      </c>
      <c r="C206" s="52">
        <f t="shared" ref="C206:O206" si="178">IF(ROUND(C9,2)=0,,C49/C9)-C186</f>
        <v>0</v>
      </c>
      <c r="D206" s="52">
        <f t="shared" si="178"/>
        <v>0</v>
      </c>
      <c r="E206" s="52">
        <f t="shared" si="178"/>
        <v>0</v>
      </c>
      <c r="F206" s="52">
        <f t="shared" si="178"/>
        <v>0</v>
      </c>
      <c r="G206" s="52">
        <f t="shared" si="178"/>
        <v>0</v>
      </c>
      <c r="H206" s="52">
        <f t="shared" si="178"/>
        <v>0</v>
      </c>
      <c r="I206" s="52">
        <f t="shared" si="178"/>
        <v>0</v>
      </c>
      <c r="J206" s="52">
        <f t="shared" si="178"/>
        <v>0</v>
      </c>
      <c r="K206" s="52">
        <f t="shared" si="178"/>
        <v>0</v>
      </c>
      <c r="L206" s="52">
        <f t="shared" si="178"/>
        <v>0</v>
      </c>
      <c r="M206" s="52">
        <f t="shared" si="178"/>
        <v>0</v>
      </c>
      <c r="N206" s="52">
        <f t="shared" si="178"/>
        <v>0</v>
      </c>
      <c r="O206" s="52">
        <f ca="1" t="shared" si="178"/>
        <v>0</v>
      </c>
      <c r="P206" s="74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customHeight="1" spans="1:28">
      <c r="A207" s="57" t="s">
        <v>254</v>
      </c>
      <c r="B207" s="50" t="s">
        <v>387</v>
      </c>
      <c r="C207" s="52">
        <f t="shared" ref="C207:O207" si="179">IF(ROUND(C10,2)=0,,C50/C10)-C187</f>
        <v>0</v>
      </c>
      <c r="D207" s="52">
        <f t="shared" si="179"/>
        <v>0</v>
      </c>
      <c r="E207" s="52">
        <f t="shared" si="179"/>
        <v>0</v>
      </c>
      <c r="F207" s="52">
        <f t="shared" si="179"/>
        <v>0</v>
      </c>
      <c r="G207" s="52">
        <f t="shared" si="179"/>
        <v>0</v>
      </c>
      <c r="H207" s="52">
        <f t="shared" si="179"/>
        <v>0</v>
      </c>
      <c r="I207" s="52">
        <f t="shared" si="179"/>
        <v>0</v>
      </c>
      <c r="J207" s="52">
        <f t="shared" si="179"/>
        <v>0</v>
      </c>
      <c r="K207" s="52">
        <f t="shared" si="179"/>
        <v>0</v>
      </c>
      <c r="L207" s="52">
        <f t="shared" si="179"/>
        <v>0</v>
      </c>
      <c r="M207" s="52">
        <f t="shared" si="179"/>
        <v>0</v>
      </c>
      <c r="N207" s="52">
        <f t="shared" si="179"/>
        <v>0</v>
      </c>
      <c r="O207" s="52">
        <f ca="1" t="shared" si="179"/>
        <v>0</v>
      </c>
      <c r="P207" s="74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customHeight="1" spans="1:28">
      <c r="A208" s="48" t="s">
        <v>256</v>
      </c>
      <c r="B208" s="50" t="s">
        <v>387</v>
      </c>
      <c r="C208" s="52">
        <f t="shared" ref="C208:O208" si="180">IF(ROUND(C11,2)=0,,C51/C11)-C188</f>
        <v>3544.41950851651</v>
      </c>
      <c r="D208" s="52">
        <f t="shared" si="180"/>
        <v>3611.28115550165</v>
      </c>
      <c r="E208" s="52">
        <f t="shared" si="180"/>
        <v>3559.7845155886</v>
      </c>
      <c r="F208" s="52">
        <f t="shared" si="180"/>
        <v>3549.11749272562</v>
      </c>
      <c r="G208" s="52">
        <f t="shared" si="180"/>
        <v>3489.27513251861</v>
      </c>
      <c r="H208" s="52">
        <f t="shared" si="180"/>
        <v>3546.50815343614</v>
      </c>
      <c r="I208" s="52">
        <f t="shared" si="180"/>
        <v>0</v>
      </c>
      <c r="J208" s="52">
        <f t="shared" si="180"/>
        <v>0</v>
      </c>
      <c r="K208" s="52">
        <f t="shared" si="180"/>
        <v>0</v>
      </c>
      <c r="L208" s="52">
        <f t="shared" si="180"/>
        <v>0</v>
      </c>
      <c r="M208" s="52">
        <f t="shared" si="180"/>
        <v>0</v>
      </c>
      <c r="N208" s="52">
        <f t="shared" si="180"/>
        <v>0</v>
      </c>
      <c r="O208" s="52">
        <f ca="1" t="shared" si="180"/>
        <v>3547.55579246113</v>
      </c>
      <c r="W208" s="45"/>
      <c r="X208" s="45"/>
    </row>
    <row r="209" s="38" customFormat="1" customHeight="1" spans="1:28">
      <c r="A209" s="53" t="s">
        <v>591</v>
      </c>
      <c r="B209" s="54" t="s">
        <v>387</v>
      </c>
      <c r="C209" s="56">
        <f t="shared" ref="C209:O209" si="181">IF(ROUND(C12,2)=0,,C52/C12)-C189</f>
        <v>0</v>
      </c>
      <c r="D209" s="56">
        <f t="shared" si="181"/>
        <v>0</v>
      </c>
      <c r="E209" s="56">
        <f t="shared" si="181"/>
        <v>0</v>
      </c>
      <c r="F209" s="56">
        <f t="shared" si="181"/>
        <v>0</v>
      </c>
      <c r="G209" s="56">
        <f t="shared" si="181"/>
        <v>0</v>
      </c>
      <c r="H209" s="56">
        <f t="shared" si="181"/>
        <v>0</v>
      </c>
      <c r="I209" s="56">
        <f t="shared" si="181"/>
        <v>0</v>
      </c>
      <c r="J209" s="56">
        <f t="shared" si="181"/>
        <v>0</v>
      </c>
      <c r="K209" s="56">
        <f t="shared" si="181"/>
        <v>0</v>
      </c>
      <c r="L209" s="56">
        <f t="shared" si="181"/>
        <v>0</v>
      </c>
      <c r="M209" s="56">
        <f t="shared" si="181"/>
        <v>0</v>
      </c>
      <c r="N209" s="56">
        <f t="shared" si="181"/>
        <v>0</v>
      </c>
      <c r="O209" s="56">
        <f ca="1" t="shared" si="181"/>
        <v>0</v>
      </c>
      <c r="P209" s="81"/>
      <c r="Q209" s="81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 s="38" customFormat="1" ht="16" customHeight="1" spans="1:28">
      <c r="A210" s="53" t="s">
        <v>592</v>
      </c>
      <c r="B210" s="54" t="s">
        <v>387</v>
      </c>
      <c r="C210" s="56">
        <f t="shared" ref="C210:O210" si="182">IF(ROUND(C13,2)=0,,C53/C13)-C190</f>
        <v>3544.41950851651</v>
      </c>
      <c r="D210" s="56">
        <f t="shared" si="182"/>
        <v>3611.28115550165</v>
      </c>
      <c r="E210" s="56">
        <f t="shared" si="182"/>
        <v>3559.7845155886</v>
      </c>
      <c r="F210" s="56">
        <f t="shared" si="182"/>
        <v>3549.11749272562</v>
      </c>
      <c r="G210" s="56">
        <f t="shared" si="182"/>
        <v>3489.27513251861</v>
      </c>
      <c r="H210" s="56">
        <f t="shared" si="182"/>
        <v>3546.50815343614</v>
      </c>
      <c r="I210" s="56">
        <f t="shared" si="182"/>
        <v>0</v>
      </c>
      <c r="J210" s="56">
        <f t="shared" si="182"/>
        <v>0</v>
      </c>
      <c r="K210" s="56">
        <f t="shared" si="182"/>
        <v>0</v>
      </c>
      <c r="L210" s="56">
        <f t="shared" si="182"/>
        <v>0</v>
      </c>
      <c r="M210" s="56">
        <f t="shared" si="182"/>
        <v>0</v>
      </c>
      <c r="N210" s="56">
        <f t="shared" si="182"/>
        <v>0</v>
      </c>
      <c r="O210" s="56">
        <f ca="1" t="shared" si="182"/>
        <v>3547.55579246113</v>
      </c>
      <c r="P210" s="74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 s="38" customFormat="1" customHeight="1" spans="1:28">
      <c r="A211" s="48" t="s">
        <v>593</v>
      </c>
      <c r="B211" s="50" t="s">
        <v>387</v>
      </c>
      <c r="C211" s="52">
        <f t="shared" ref="C211:O211" si="183">IF(ROUND(C14,2)=0,,C54/C14)-C191</f>
        <v>3148.49141121057</v>
      </c>
      <c r="D211" s="52">
        <f t="shared" si="183"/>
        <v>3038.50137859679</v>
      </c>
      <c r="E211" s="52">
        <f t="shared" si="183"/>
        <v>3101.79434130535</v>
      </c>
      <c r="F211" s="52">
        <f t="shared" si="183"/>
        <v>3102.74266209534</v>
      </c>
      <c r="G211" s="52">
        <f t="shared" si="183"/>
        <v>3110.92932484193</v>
      </c>
      <c r="H211" s="52">
        <f t="shared" si="183"/>
        <v>3119.79889327465</v>
      </c>
      <c r="I211" s="52">
        <f t="shared" si="183"/>
        <v>0</v>
      </c>
      <c r="J211" s="52">
        <f t="shared" si="183"/>
        <v>0</v>
      </c>
      <c r="K211" s="52">
        <f t="shared" si="183"/>
        <v>0</v>
      </c>
      <c r="L211" s="52">
        <f t="shared" si="183"/>
        <v>0</v>
      </c>
      <c r="M211" s="52">
        <f t="shared" si="183"/>
        <v>0</v>
      </c>
      <c r="N211" s="52">
        <f t="shared" si="183"/>
        <v>0</v>
      </c>
      <c r="O211" s="52">
        <f ca="1" t="shared" si="183"/>
        <v>3103.38110992138</v>
      </c>
      <c r="P211" s="45"/>
      <c r="Q211" s="45"/>
      <c r="R211" s="41"/>
      <c r="S211" s="41"/>
      <c r="T211" s="41"/>
      <c r="U211" s="41"/>
      <c r="V211" s="41"/>
      <c r="W211" s="45"/>
      <c r="X211" s="45"/>
      <c r="Y211" s="41"/>
      <c r="Z211" s="41"/>
      <c r="AA211" s="45"/>
      <c r="AB211" s="45"/>
    </row>
    <row r="212" s="38" customFormat="1" customHeight="1" spans="1:28">
      <c r="A212" s="53" t="s">
        <v>594</v>
      </c>
      <c r="B212" s="54" t="s">
        <v>387</v>
      </c>
      <c r="C212" s="56">
        <f t="shared" ref="C212:O212" si="184">IF(ROUND(C15,2)=0,,C55/C15)-C192</f>
        <v>0</v>
      </c>
      <c r="D212" s="56">
        <f t="shared" si="184"/>
        <v>0</v>
      </c>
      <c r="E212" s="56">
        <f t="shared" si="184"/>
        <v>0</v>
      </c>
      <c r="F212" s="56">
        <f t="shared" si="184"/>
        <v>0</v>
      </c>
      <c r="G212" s="56">
        <f t="shared" si="184"/>
        <v>0</v>
      </c>
      <c r="H212" s="56">
        <f t="shared" si="184"/>
        <v>0</v>
      </c>
      <c r="I212" s="56">
        <f t="shared" si="184"/>
        <v>0</v>
      </c>
      <c r="J212" s="56">
        <f t="shared" si="184"/>
        <v>0</v>
      </c>
      <c r="K212" s="56">
        <f t="shared" si="184"/>
        <v>0</v>
      </c>
      <c r="L212" s="56">
        <f t="shared" si="184"/>
        <v>0</v>
      </c>
      <c r="M212" s="56">
        <f t="shared" si="184"/>
        <v>0</v>
      </c>
      <c r="N212" s="56">
        <f t="shared" si="184"/>
        <v>0</v>
      </c>
      <c r="O212" s="56">
        <f ca="1" t="shared" si="184"/>
        <v>0</v>
      </c>
      <c r="P212" s="81"/>
      <c r="Q212" s="81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 s="38" customFormat="1" customHeight="1" spans="1:28">
      <c r="A213" s="53" t="s">
        <v>595</v>
      </c>
      <c r="B213" s="54" t="s">
        <v>387</v>
      </c>
      <c r="C213" s="56">
        <f t="shared" ref="C213:O213" si="185">IF(ROUND(C16,2)=0,,C56/C16)-C193</f>
        <v>3148.49141121057</v>
      </c>
      <c r="D213" s="56">
        <f t="shared" si="185"/>
        <v>3038.50137859679</v>
      </c>
      <c r="E213" s="56">
        <f t="shared" si="185"/>
        <v>3101.79434130535</v>
      </c>
      <c r="F213" s="56">
        <f t="shared" si="185"/>
        <v>3102.74266209534</v>
      </c>
      <c r="G213" s="56">
        <f t="shared" si="185"/>
        <v>3110.92932484193</v>
      </c>
      <c r="H213" s="56">
        <f t="shared" si="185"/>
        <v>3119.79889327465</v>
      </c>
      <c r="I213" s="56">
        <f t="shared" si="185"/>
        <v>0</v>
      </c>
      <c r="J213" s="56">
        <f t="shared" si="185"/>
        <v>0</v>
      </c>
      <c r="K213" s="56">
        <f t="shared" si="185"/>
        <v>0</v>
      </c>
      <c r="L213" s="56">
        <f t="shared" si="185"/>
        <v>0</v>
      </c>
      <c r="M213" s="56">
        <f t="shared" si="185"/>
        <v>0</v>
      </c>
      <c r="N213" s="56">
        <f t="shared" si="185"/>
        <v>0</v>
      </c>
      <c r="O213" s="56">
        <f ca="1" t="shared" si="185"/>
        <v>3103.38110992138</v>
      </c>
      <c r="P213" s="81"/>
      <c r="Q213" s="81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 s="38" customFormat="1" customHeight="1" spans="1:28">
      <c r="A214" s="48" t="s">
        <v>596</v>
      </c>
      <c r="B214" s="50" t="s">
        <v>387</v>
      </c>
      <c r="C214" s="52">
        <f>IF(ROUND(C17,2)=0,,C57/C17)-C194</f>
        <v>0</v>
      </c>
      <c r="D214" s="52">
        <f t="shared" ref="C214:O214" si="186">IF(ROUND(D17,2)=0,,D57/D17)-D194</f>
        <v>0</v>
      </c>
      <c r="E214" s="52">
        <f t="shared" si="186"/>
        <v>4099.56816486688</v>
      </c>
      <c r="F214" s="52">
        <f t="shared" si="186"/>
        <v>0</v>
      </c>
      <c r="G214" s="52">
        <f t="shared" si="186"/>
        <v>0</v>
      </c>
      <c r="H214" s="52">
        <f t="shared" si="186"/>
        <v>0</v>
      </c>
      <c r="I214" s="52">
        <f t="shared" si="186"/>
        <v>0</v>
      </c>
      <c r="J214" s="52">
        <f t="shared" si="186"/>
        <v>0</v>
      </c>
      <c r="K214" s="52">
        <f t="shared" si="186"/>
        <v>0</v>
      </c>
      <c r="L214" s="52">
        <f t="shared" si="186"/>
        <v>0</v>
      </c>
      <c r="M214" s="52">
        <f t="shared" si="186"/>
        <v>0</v>
      </c>
      <c r="N214" s="52">
        <f t="shared" si="186"/>
        <v>0</v>
      </c>
      <c r="O214" s="52">
        <f ca="1" t="shared" si="186"/>
        <v>4099.56816486688</v>
      </c>
      <c r="P214" s="45"/>
      <c r="Q214" s="45"/>
      <c r="R214" s="41"/>
      <c r="S214" s="41"/>
      <c r="T214" s="41"/>
      <c r="U214" s="41"/>
      <c r="V214" s="41"/>
      <c r="W214" s="45"/>
      <c r="X214" s="45"/>
      <c r="Y214" s="41"/>
      <c r="Z214" s="41"/>
      <c r="AA214" s="45"/>
      <c r="AB214" s="45"/>
    </row>
    <row r="215" s="38" customFormat="1" customHeight="1" spans="1:28">
      <c r="A215" s="48" t="s">
        <v>354</v>
      </c>
      <c r="B215" s="50" t="s">
        <v>387</v>
      </c>
      <c r="C215" s="52">
        <f t="shared" ref="C215:O215" si="187">IF(ROUND(C18,2)=0,,C58/C18)-C195</f>
        <v>3255.84308745677</v>
      </c>
      <c r="D215" s="52">
        <f t="shared" si="187"/>
        <v>3164.82508067833</v>
      </c>
      <c r="E215" s="52">
        <f t="shared" si="187"/>
        <v>3164.77204611189</v>
      </c>
      <c r="F215" s="52">
        <f t="shared" si="187"/>
        <v>3192.82941163462</v>
      </c>
      <c r="G215" s="52">
        <f t="shared" si="187"/>
        <v>3178.57461124201</v>
      </c>
      <c r="H215" s="52">
        <f t="shared" si="187"/>
        <v>3149.03617793428</v>
      </c>
      <c r="I215" s="52">
        <f t="shared" si="187"/>
        <v>0</v>
      </c>
      <c r="J215" s="52">
        <f t="shared" si="187"/>
        <v>0</v>
      </c>
      <c r="K215" s="52">
        <f t="shared" si="187"/>
        <v>0</v>
      </c>
      <c r="L215" s="52">
        <f t="shared" si="187"/>
        <v>0</v>
      </c>
      <c r="M215" s="52">
        <f t="shared" si="187"/>
        <v>0</v>
      </c>
      <c r="N215" s="52">
        <f t="shared" si="187"/>
        <v>0</v>
      </c>
      <c r="O215" s="52">
        <f ca="1" t="shared" si="187"/>
        <v>3182.0162796326</v>
      </c>
      <c r="P215" s="45"/>
      <c r="Q215" s="45"/>
      <c r="R215" s="41"/>
      <c r="S215" s="41"/>
      <c r="T215" s="41"/>
      <c r="U215" s="41"/>
      <c r="V215" s="41"/>
      <c r="W215" s="45"/>
      <c r="X215" s="45"/>
      <c r="Y215" s="41"/>
      <c r="Z215" s="41"/>
      <c r="AA215" s="45"/>
      <c r="AB215" s="45"/>
    </row>
    <row r="216" s="38" customFormat="1" customHeight="1" spans="1:28">
      <c r="A216" s="53" t="s">
        <v>597</v>
      </c>
      <c r="B216" s="54" t="s">
        <v>387</v>
      </c>
      <c r="C216" s="56">
        <f t="shared" ref="C216:O216" si="188">IF(ROUND(C19,2)=0,,C59/C19)-C196</f>
        <v>3147.80237703344</v>
      </c>
      <c r="D216" s="56">
        <f t="shared" si="188"/>
        <v>3041.64816640703</v>
      </c>
      <c r="E216" s="56">
        <f t="shared" si="188"/>
        <v>3041.22568399726</v>
      </c>
      <c r="F216" s="56">
        <f t="shared" si="188"/>
        <v>3050.25853765111</v>
      </c>
      <c r="G216" s="56">
        <f t="shared" si="188"/>
        <v>2973.00958291095</v>
      </c>
      <c r="H216" s="56">
        <f t="shared" si="188"/>
        <v>3027.16158933077</v>
      </c>
      <c r="I216" s="56">
        <f t="shared" si="188"/>
        <v>0</v>
      </c>
      <c r="J216" s="56">
        <f t="shared" si="188"/>
        <v>0</v>
      </c>
      <c r="K216" s="56">
        <f t="shared" si="188"/>
        <v>0</v>
      </c>
      <c r="L216" s="56">
        <f t="shared" si="188"/>
        <v>0</v>
      </c>
      <c r="M216" s="56">
        <f t="shared" si="188"/>
        <v>0</v>
      </c>
      <c r="N216" s="56">
        <f t="shared" si="188"/>
        <v>0</v>
      </c>
      <c r="O216" s="56">
        <f ca="1" t="shared" si="188"/>
        <v>3044.35342329333</v>
      </c>
      <c r="P216" s="45"/>
      <c r="Q216" s="45"/>
      <c r="R216" s="41"/>
      <c r="S216" s="41"/>
      <c r="T216" s="41"/>
      <c r="U216" s="41"/>
      <c r="V216" s="41"/>
      <c r="W216" s="45"/>
      <c r="X216" s="45"/>
      <c r="Y216" s="41"/>
      <c r="Z216" s="41"/>
      <c r="AA216" s="45"/>
      <c r="AB216" s="45"/>
    </row>
    <row r="217" s="38" customFormat="1" customHeight="1" spans="1:28">
      <c r="A217" s="53" t="s">
        <v>598</v>
      </c>
      <c r="B217" s="54" t="s">
        <v>387</v>
      </c>
      <c r="C217" s="56">
        <f t="shared" ref="C217:O217" si="189">IF(ROUND(C20,2)=0,,C60/C20)-C197</f>
        <v>3443.15314599124</v>
      </c>
      <c r="D217" s="56">
        <f t="shared" si="189"/>
        <v>3387.40159876291</v>
      </c>
      <c r="E217" s="56">
        <f t="shared" si="189"/>
        <v>3414.95823290731</v>
      </c>
      <c r="F217" s="56">
        <f t="shared" si="189"/>
        <v>3369.18502970007</v>
      </c>
      <c r="G217" s="56">
        <f t="shared" si="189"/>
        <v>3544.34746728046</v>
      </c>
      <c r="H217" s="56">
        <f t="shared" si="189"/>
        <v>3376.89202582828</v>
      </c>
      <c r="I217" s="56">
        <f t="shared" si="189"/>
        <v>0</v>
      </c>
      <c r="J217" s="56">
        <f t="shared" si="189"/>
        <v>0</v>
      </c>
      <c r="K217" s="56">
        <f t="shared" si="189"/>
        <v>0</v>
      </c>
      <c r="L217" s="56">
        <f t="shared" si="189"/>
        <v>0</v>
      </c>
      <c r="M217" s="56">
        <f t="shared" si="189"/>
        <v>0</v>
      </c>
      <c r="N217" s="56">
        <f t="shared" si="189"/>
        <v>0</v>
      </c>
      <c r="O217" s="56">
        <f ca="1" t="shared" si="189"/>
        <v>3420.2788580098</v>
      </c>
      <c r="P217" s="45"/>
      <c r="Q217" s="45"/>
      <c r="R217" s="41"/>
      <c r="S217" s="41"/>
      <c r="T217" s="41"/>
      <c r="U217" s="41"/>
      <c r="V217" s="41"/>
      <c r="W217" s="45"/>
      <c r="X217" s="45"/>
      <c r="Y217" s="41"/>
      <c r="Z217" s="41"/>
      <c r="AA217" s="45"/>
      <c r="AB217" s="45"/>
    </row>
    <row r="218" s="38" customFormat="1" customHeight="1" spans="1:28">
      <c r="A218" s="48" t="s">
        <v>599</v>
      </c>
      <c r="B218" s="50" t="s">
        <v>387</v>
      </c>
      <c r="C218" s="52">
        <f t="shared" ref="C218:O218" si="190">IF(ROUND(C21,2)=0,,C61/C21)-C198</f>
        <v>10315.3419276866</v>
      </c>
      <c r="D218" s="52">
        <f t="shared" si="190"/>
        <v>10029.1074108755</v>
      </c>
      <c r="E218" s="52">
        <f t="shared" si="190"/>
        <v>11230.0946662496</v>
      </c>
      <c r="F218" s="52">
        <f t="shared" si="190"/>
        <v>11442.4404691005</v>
      </c>
      <c r="G218" s="52">
        <f t="shared" si="190"/>
        <v>10704.405900467</v>
      </c>
      <c r="H218" s="52">
        <f t="shared" si="190"/>
        <v>9084.30498518705</v>
      </c>
      <c r="I218" s="52">
        <f t="shared" si="190"/>
        <v>0</v>
      </c>
      <c r="J218" s="52">
        <f t="shared" si="190"/>
        <v>0</v>
      </c>
      <c r="K218" s="52">
        <f t="shared" si="190"/>
        <v>0</v>
      </c>
      <c r="L218" s="52">
        <f t="shared" si="190"/>
        <v>0</v>
      </c>
      <c r="M218" s="52">
        <f t="shared" si="190"/>
        <v>0</v>
      </c>
      <c r="N218" s="52">
        <f t="shared" si="190"/>
        <v>0</v>
      </c>
      <c r="O218" s="52">
        <f ca="1" t="shared" si="190"/>
        <v>10468.3423486156</v>
      </c>
      <c r="P218" s="45"/>
      <c r="Q218" s="45"/>
      <c r="R218" s="41"/>
      <c r="S218" s="41"/>
      <c r="T218" s="41"/>
      <c r="U218" s="41"/>
      <c r="V218" s="41"/>
      <c r="W218" s="45"/>
      <c r="X218" s="45"/>
      <c r="Y218" s="41"/>
      <c r="Z218" s="41"/>
      <c r="AA218" s="45"/>
      <c r="AB218" s="45"/>
    </row>
    <row r="219" s="38" customFormat="1" customHeight="1" spans="1:28">
      <c r="A219" s="53" t="s">
        <v>308</v>
      </c>
      <c r="B219" s="54" t="s">
        <v>387</v>
      </c>
      <c r="C219" s="56">
        <f t="shared" ref="C219:O219" si="191">IF(ROUND(C22,2)=0,,C62/C22)-C199</f>
        <v>15985.7391545618</v>
      </c>
      <c r="D219" s="56">
        <f t="shared" si="191"/>
        <v>15954.3391543003</v>
      </c>
      <c r="E219" s="56">
        <f t="shared" si="191"/>
        <v>15845.5443437233</v>
      </c>
      <c r="F219" s="56">
        <f t="shared" si="191"/>
        <v>16242.0734181853</v>
      </c>
      <c r="G219" s="56">
        <f t="shared" si="191"/>
        <v>15906.9517812515</v>
      </c>
      <c r="H219" s="56">
        <f t="shared" si="191"/>
        <v>16064.9349086307</v>
      </c>
      <c r="I219" s="56">
        <f t="shared" si="191"/>
        <v>0</v>
      </c>
      <c r="J219" s="56">
        <f t="shared" si="191"/>
        <v>0</v>
      </c>
      <c r="K219" s="56">
        <f t="shared" si="191"/>
        <v>0</v>
      </c>
      <c r="L219" s="56">
        <f t="shared" si="191"/>
        <v>0</v>
      </c>
      <c r="M219" s="56">
        <f t="shared" si="191"/>
        <v>0</v>
      </c>
      <c r="N219" s="56">
        <f t="shared" si="191"/>
        <v>0</v>
      </c>
      <c r="O219" s="56">
        <f ca="1" t="shared" si="191"/>
        <v>16042.264335151</v>
      </c>
      <c r="P219" s="45"/>
      <c r="Q219" s="45"/>
      <c r="R219" s="41"/>
      <c r="S219" s="41"/>
      <c r="T219" s="41"/>
      <c r="U219" s="41"/>
      <c r="V219" s="41"/>
      <c r="W219" s="45"/>
      <c r="X219" s="45"/>
      <c r="Y219" s="41"/>
      <c r="Z219" s="41"/>
      <c r="AA219" s="45"/>
      <c r="AB219" s="45"/>
    </row>
    <row r="220" s="38" customFormat="1" customHeight="1" spans="1:28">
      <c r="A220" s="53" t="s">
        <v>359</v>
      </c>
      <c r="B220" s="54" t="s">
        <v>387</v>
      </c>
      <c r="C220" s="56">
        <f t="shared" ref="C220:O220" si="192">IF(ROUND(C23,2)=0,,C63/C23)-C200</f>
        <v>7357.32300854817</v>
      </c>
      <c r="D220" s="56">
        <f t="shared" si="192"/>
        <v>6789.12596632057</v>
      </c>
      <c r="E220" s="56">
        <f t="shared" si="192"/>
        <v>6701.78925460179</v>
      </c>
      <c r="F220" s="56">
        <f t="shared" si="192"/>
        <v>6514.5388955219</v>
      </c>
      <c r="G220" s="56">
        <f t="shared" si="192"/>
        <v>5932.33018706747</v>
      </c>
      <c r="H220" s="56">
        <f t="shared" si="192"/>
        <v>6287.20064935467</v>
      </c>
      <c r="I220" s="56">
        <f t="shared" si="192"/>
        <v>0</v>
      </c>
      <c r="J220" s="56">
        <f t="shared" si="192"/>
        <v>0</v>
      </c>
      <c r="K220" s="56">
        <f t="shared" si="192"/>
        <v>0</v>
      </c>
      <c r="L220" s="56">
        <f t="shared" si="192"/>
        <v>0</v>
      </c>
      <c r="M220" s="56">
        <f t="shared" si="192"/>
        <v>0</v>
      </c>
      <c r="N220" s="56">
        <f t="shared" si="192"/>
        <v>0</v>
      </c>
      <c r="O220" s="56">
        <f ca="1" t="shared" si="192"/>
        <v>6486.95204416074</v>
      </c>
      <c r="P220" s="45"/>
      <c r="Q220" s="45"/>
      <c r="R220" s="41"/>
      <c r="S220" s="41"/>
      <c r="T220" s="41"/>
      <c r="U220" s="41"/>
      <c r="V220" s="41"/>
      <c r="W220" s="45"/>
      <c r="X220" s="45"/>
      <c r="Y220" s="41"/>
      <c r="Z220" s="41"/>
      <c r="AA220" s="45"/>
      <c r="AB220" s="45"/>
    </row>
    <row r="221" customHeight="1" spans="1:28">
      <c r="D221" s="82"/>
      <c r="E221" s="82"/>
      <c r="F221" s="82"/>
      <c r="G221" s="82"/>
      <c r="H221" s="82"/>
      <c r="I221" s="82"/>
      <c r="J221" s="82"/>
      <c r="O221" s="83" t="s">
        <v>615</v>
      </c>
      <c r="W221" s="45"/>
      <c r="X221" s="45"/>
    </row>
    <row r="222" customHeight="1" spans="1:28">
      <c r="A222" s="84" t="s">
        <v>616</v>
      </c>
      <c r="B222" s="85"/>
      <c r="C222" s="86">
        <f>SUM(C223:C226)</f>
        <v>1640609.08</v>
      </c>
      <c r="D222" s="86">
        <f>SUM(D223:D226)</f>
        <v>1627208.72</v>
      </c>
      <c r="E222" s="86">
        <f>SUM(E223:E226)</f>
        <v>1976844.68</v>
      </c>
      <c r="F222" s="86">
        <f>SUM(F223:F226)</f>
        <v>2344220.29</v>
      </c>
      <c r="G222" s="86">
        <v>2121139.48</v>
      </c>
      <c r="H222" s="86">
        <f>2556391.22-252391.74</f>
        <v>2303999.48</v>
      </c>
      <c r="I222" s="86"/>
      <c r="J222" s="86"/>
      <c r="K222" s="86"/>
      <c r="L222" s="86"/>
      <c r="M222" s="86"/>
      <c r="N222" s="86"/>
      <c r="O222" s="61">
        <f ca="1" t="shared" ref="O222:O226" si="193">SUM(OFFSET($C222,0,0,1,mth))</f>
        <v>12014021.73</v>
      </c>
      <c r="P222" s="41">
        <v>252391.74</v>
      </c>
      <c r="W222" s="45"/>
      <c r="X222" s="45"/>
    </row>
    <row r="223" ht="15.75" customHeight="1" spans="1:28">
      <c r="A223" s="87" t="s">
        <v>617</v>
      </c>
      <c r="B223" s="85"/>
      <c r="C223" s="88">
        <v>906515.39</v>
      </c>
      <c r="D223" s="88">
        <v>820506.83</v>
      </c>
      <c r="E223" s="88">
        <v>1105051.51</v>
      </c>
      <c r="F223" s="88">
        <v>1102609.68</v>
      </c>
      <c r="G223" s="88">
        <v>1010148.88</v>
      </c>
      <c r="H223" s="88">
        <f>1506561.66-252391.74</f>
        <v>1254169.92</v>
      </c>
      <c r="I223" s="88"/>
      <c r="J223" s="88"/>
      <c r="K223" s="88"/>
      <c r="L223" s="88"/>
      <c r="M223" s="88"/>
      <c r="N223" s="88"/>
      <c r="O223" s="52">
        <f ca="1" t="shared" si="193"/>
        <v>6199002.21</v>
      </c>
      <c r="W223" s="45"/>
      <c r="X223" s="45"/>
    </row>
    <row r="224" customHeight="1" spans="1:28">
      <c r="A224" s="87" t="s">
        <v>618</v>
      </c>
      <c r="B224" s="85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52">
        <f ca="1" t="shared" si="193"/>
        <v>0</v>
      </c>
      <c r="W224" s="89"/>
      <c r="X224" s="89"/>
    </row>
    <row r="225" customHeight="1" spans="1:18">
      <c r="A225" s="87" t="s">
        <v>619</v>
      </c>
      <c r="B225" s="85"/>
      <c r="C225" s="88">
        <v>731396.56</v>
      </c>
      <c r="D225" s="88">
        <v>749632.63</v>
      </c>
      <c r="E225" s="88">
        <v>820736.18</v>
      </c>
      <c r="F225" s="88">
        <v>1190653.61</v>
      </c>
      <c r="G225" s="88">
        <v>1091910.6</v>
      </c>
      <c r="H225" s="88">
        <v>1049829.56</v>
      </c>
      <c r="I225" s="88"/>
      <c r="J225" s="88"/>
      <c r="K225" s="88"/>
      <c r="L225" s="88"/>
      <c r="M225" s="88"/>
      <c r="N225" s="88"/>
      <c r="O225" s="52">
        <f ca="1" t="shared" si="193"/>
        <v>5634159.14</v>
      </c>
    </row>
    <row r="226" customHeight="1" spans="1:18">
      <c r="A226" s="87" t="s">
        <v>620</v>
      </c>
      <c r="B226" s="85"/>
      <c r="C226" s="88">
        <v>2697.13</v>
      </c>
      <c r="D226" s="88">
        <v>57069.26</v>
      </c>
      <c r="E226" s="88">
        <v>51056.99</v>
      </c>
      <c r="F226" s="88">
        <v>50957</v>
      </c>
      <c r="G226" s="88">
        <v>19080</v>
      </c>
      <c r="H226" s="88"/>
      <c r="I226" s="88"/>
      <c r="J226" s="88"/>
      <c r="K226" s="88"/>
      <c r="L226" s="88"/>
      <c r="M226" s="88"/>
      <c r="N226" s="90"/>
      <c r="O226" s="52">
        <f ca="1" t="shared" si="193"/>
        <v>180860.38</v>
      </c>
    </row>
    <row r="227" ht="12" customHeight="1" spans="1:18">
      <c r="C227" s="91"/>
    </row>
    <row r="228" customHeight="1" spans="1:18">
      <c r="A228" s="46" t="s">
        <v>621</v>
      </c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</row>
    <row r="229" customHeight="1" spans="1:18">
      <c r="A229" s="48" t="s">
        <v>252</v>
      </c>
      <c r="B229" s="50" t="s">
        <v>123</v>
      </c>
      <c r="C229" s="61">
        <f>SUM(C230:C233)</f>
        <v>317444.82</v>
      </c>
      <c r="D229" s="61">
        <f>SUM(D230:D231)</f>
        <v>403233.03</v>
      </c>
      <c r="E229" s="61">
        <f>SUM(E230:E231)</f>
        <v>526008.65</v>
      </c>
      <c r="F229" s="61">
        <f t="shared" ref="C229:K229" si="194">SUM(F230:F231)</f>
        <v>519676.18</v>
      </c>
      <c r="G229" s="61">
        <f t="shared" si="194"/>
        <v>490099.19</v>
      </c>
      <c r="H229" s="61">
        <f t="shared" si="194"/>
        <v>568133.89</v>
      </c>
      <c r="I229" s="52">
        <f t="shared" si="194"/>
        <v>0</v>
      </c>
      <c r="J229" s="52">
        <f t="shared" si="194"/>
        <v>0</v>
      </c>
      <c r="K229" s="52">
        <f t="shared" si="194"/>
        <v>0</v>
      </c>
      <c r="L229" s="52">
        <f t="shared" ref="L229:N229" si="195">L230+L231</f>
        <v>0</v>
      </c>
      <c r="M229" s="52">
        <f t="shared" si="195"/>
        <v>0</v>
      </c>
      <c r="N229" s="52">
        <f t="shared" si="195"/>
        <v>0</v>
      </c>
      <c r="O229" s="61">
        <f ca="1">SUM(OFFSET($C229,0,0,1,mth))</f>
        <v>2824595.76</v>
      </c>
      <c r="Q229" s="92"/>
      <c r="R229" s="92"/>
    </row>
    <row r="230" customHeight="1" spans="1:18">
      <c r="A230" s="53" t="s">
        <v>589</v>
      </c>
      <c r="B230" s="54" t="s">
        <v>123</v>
      </c>
      <c r="C230" s="56">
        <v>306580.2</v>
      </c>
      <c r="D230" s="56">
        <v>396895.5</v>
      </c>
      <c r="E230" s="56">
        <v>519281.55</v>
      </c>
      <c r="F230" s="56">
        <v>502256.24</v>
      </c>
      <c r="G230" s="56">
        <v>468966.6</v>
      </c>
      <c r="H230" s="56">
        <v>552110.45</v>
      </c>
      <c r="I230" s="56"/>
      <c r="J230" s="56"/>
      <c r="K230" s="56"/>
      <c r="L230" s="56"/>
      <c r="M230" s="56"/>
      <c r="N230" s="56"/>
      <c r="O230" s="56">
        <f ca="1">SUM(OFFSET($C230,0,0,1,mth))</f>
        <v>2746090.54</v>
      </c>
      <c r="P230" s="92"/>
      <c r="Q230" s="92"/>
      <c r="R230" s="92"/>
    </row>
    <row r="231" customHeight="1" spans="1:18">
      <c r="A231" s="53" t="s">
        <v>590</v>
      </c>
      <c r="B231" s="54" t="s">
        <v>123</v>
      </c>
      <c r="C231" s="56">
        <v>10864.62</v>
      </c>
      <c r="D231" s="56">
        <v>6337.53</v>
      </c>
      <c r="E231" s="56">
        <v>6727.1</v>
      </c>
      <c r="F231" s="56">
        <v>17419.94</v>
      </c>
      <c r="G231" s="56">
        <v>21132.59</v>
      </c>
      <c r="H231" s="56">
        <v>16023.44</v>
      </c>
      <c r="I231" s="56"/>
      <c r="J231" s="56"/>
      <c r="K231" s="56"/>
      <c r="L231" s="56"/>
      <c r="M231" s="56"/>
      <c r="N231" s="56"/>
      <c r="O231" s="56">
        <f ca="1">SUM(OFFSET($C231,0,0,1,mth))</f>
        <v>78505.22</v>
      </c>
      <c r="P231" s="92"/>
      <c r="Q231" s="92"/>
      <c r="R231" s="92"/>
    </row>
    <row r="232" customHeight="1" spans="1:18">
      <c r="A232" s="57" t="s">
        <v>253</v>
      </c>
      <c r="B232" s="50" t="s">
        <v>123</v>
      </c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>
        <f ca="1">SUM(OFFSET($C232,0,0,1,mth))</f>
        <v>0</v>
      </c>
    </row>
    <row r="233" customHeight="1" spans="1:18">
      <c r="A233" s="57" t="s">
        <v>254</v>
      </c>
      <c r="B233" s="50" t="s">
        <v>123</v>
      </c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>
        <f ca="1">SUM(OFFSET($C233,0,0,1,mth))</f>
        <v>0</v>
      </c>
    </row>
    <row r="234" customHeight="1" spans="1:18">
      <c r="A234" s="48" t="s">
        <v>256</v>
      </c>
      <c r="B234" s="50" t="s">
        <v>123</v>
      </c>
      <c r="C234" s="61">
        <f>C235+C236</f>
        <v>736806.24</v>
      </c>
      <c r="D234" s="61">
        <f>D235+D236</f>
        <v>612882.84</v>
      </c>
      <c r="E234" s="61">
        <f>E235+E236</f>
        <v>696570.73</v>
      </c>
      <c r="F234" s="61">
        <f>F236</f>
        <v>943199.37</v>
      </c>
      <c r="G234" s="61">
        <f>G236</f>
        <v>827324.74</v>
      </c>
      <c r="H234" s="61">
        <f>H236</f>
        <v>944679.05</v>
      </c>
      <c r="I234" s="52"/>
      <c r="J234" s="52"/>
      <c r="K234" s="52"/>
      <c r="L234" s="52"/>
      <c r="M234" s="52"/>
      <c r="N234" s="52"/>
      <c r="O234" s="61">
        <f ca="1">SUM(OFFSET($C234,0,0,1,mth))</f>
        <v>4761462.97</v>
      </c>
    </row>
    <row r="235" customHeight="1" spans="1:18">
      <c r="A235" s="53" t="s">
        <v>591</v>
      </c>
      <c r="B235" s="54" t="s">
        <v>123</v>
      </c>
      <c r="C235" s="56"/>
      <c r="D235" s="56"/>
      <c r="E235" s="56"/>
      <c r="F235" s="56"/>
      <c r="G235" s="56"/>
      <c r="H235" s="56"/>
      <c r="I235" s="56"/>
      <c r="J235" s="56"/>
      <c r="K235" s="56"/>
      <c r="L235" s="78"/>
      <c r="M235" s="79"/>
      <c r="N235" s="56"/>
      <c r="O235" s="56">
        <f ca="1">SUM(OFFSET($C235,0,0,1,mth))</f>
        <v>0</v>
      </c>
    </row>
    <row r="236" customHeight="1" spans="1:18">
      <c r="A236" s="53" t="s">
        <v>592</v>
      </c>
      <c r="B236" s="54" t="s">
        <v>123</v>
      </c>
      <c r="C236" s="56">
        <v>736806.24</v>
      </c>
      <c r="D236" s="56">
        <v>612882.84</v>
      </c>
      <c r="E236" s="56">
        <v>696570.73</v>
      </c>
      <c r="F236" s="56">
        <v>943199.37</v>
      </c>
      <c r="G236" s="56">
        <v>827324.74</v>
      </c>
      <c r="H236" s="56">
        <v>944679.05</v>
      </c>
      <c r="I236" s="56"/>
      <c r="J236" s="56"/>
      <c r="K236" s="56"/>
      <c r="L236" s="56"/>
      <c r="M236" s="56"/>
      <c r="N236" s="56"/>
      <c r="O236" s="56">
        <f ca="1">SUM(OFFSET($C236,0,0,1,mth))</f>
        <v>4761462.97</v>
      </c>
    </row>
    <row r="237" customHeight="1" spans="1:18">
      <c r="A237" s="48" t="s">
        <v>593</v>
      </c>
      <c r="B237" s="50" t="s">
        <v>123</v>
      </c>
      <c r="C237" s="61">
        <f t="shared" ref="C237:H237" si="196">C239</f>
        <v>14482.26</v>
      </c>
      <c r="D237" s="61">
        <f t="shared" si="196"/>
        <v>17430.37</v>
      </c>
      <c r="E237" s="61">
        <f t="shared" si="196"/>
        <v>20677.36</v>
      </c>
      <c r="F237" s="61">
        <f t="shared" si="196"/>
        <v>22996.12</v>
      </c>
      <c r="G237" s="61">
        <f t="shared" si="196"/>
        <v>16134.8</v>
      </c>
      <c r="H237" s="61">
        <f t="shared" si="196"/>
        <v>28414.44</v>
      </c>
      <c r="I237" s="52"/>
      <c r="J237" s="52"/>
      <c r="K237" s="52"/>
      <c r="L237" s="52"/>
      <c r="M237" s="52"/>
      <c r="N237" s="52"/>
      <c r="O237" s="61">
        <f ca="1">SUM(OFFSET($C237,0,0,1,mth))</f>
        <v>120135.35</v>
      </c>
    </row>
    <row r="238" customHeight="1" spans="1:18">
      <c r="A238" s="53" t="s">
        <v>594</v>
      </c>
      <c r="B238" s="54" t="s">
        <v>123</v>
      </c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>
        <f ca="1">SUM(OFFSET($C238,0,0,1,mth))</f>
        <v>0</v>
      </c>
    </row>
    <row r="239" customHeight="1" spans="1:18">
      <c r="A239" s="53" t="s">
        <v>595</v>
      </c>
      <c r="B239" s="54" t="s">
        <v>123</v>
      </c>
      <c r="C239" s="56">
        <v>14482.26</v>
      </c>
      <c r="D239" s="56">
        <v>17430.37</v>
      </c>
      <c r="E239" s="56">
        <v>20677.36</v>
      </c>
      <c r="F239" s="56">
        <v>22996.12</v>
      </c>
      <c r="G239" s="56">
        <v>16134.8</v>
      </c>
      <c r="H239" s="56">
        <v>28414.44</v>
      </c>
      <c r="I239" s="56"/>
      <c r="J239" s="56"/>
      <c r="K239" s="56"/>
      <c r="L239" s="56"/>
      <c r="M239" s="56"/>
      <c r="N239" s="56"/>
      <c r="O239" s="56">
        <f ca="1">SUM(OFFSET($C239,0,0,1,mth))</f>
        <v>120135.35</v>
      </c>
    </row>
    <row r="240" customHeight="1" spans="1:18">
      <c r="A240" s="48" t="s">
        <v>596</v>
      </c>
      <c r="B240" s="50" t="s">
        <v>123</v>
      </c>
      <c r="C240" s="93"/>
      <c r="D240" s="93"/>
      <c r="E240" s="93">
        <v>1655.61</v>
      </c>
      <c r="F240" s="93"/>
      <c r="G240" s="51"/>
      <c r="H240" s="51"/>
      <c r="I240" s="51"/>
      <c r="J240" s="51"/>
      <c r="K240" s="51"/>
      <c r="L240" s="51"/>
      <c r="M240" s="51"/>
      <c r="N240" s="51"/>
      <c r="O240" s="61">
        <f ca="1">SUM(OFFSET($C240,0,0,1,mth))</f>
        <v>1655.61</v>
      </c>
    </row>
    <row r="241" customHeight="1" spans="1:15">
      <c r="A241" s="48" t="s">
        <v>354</v>
      </c>
      <c r="B241" s="50" t="s">
        <v>123</v>
      </c>
      <c r="C241" s="61">
        <v>410857.31</v>
      </c>
      <c r="D241" s="61">
        <v>434053.58</v>
      </c>
      <c r="E241" s="61">
        <v>517605.48</v>
      </c>
      <c r="F241" s="61">
        <v>400814.56</v>
      </c>
      <c r="G241" s="61">
        <v>418496.37</v>
      </c>
      <c r="H241" s="61">
        <v>453400.09</v>
      </c>
      <c r="I241" s="52"/>
      <c r="J241" s="52"/>
      <c r="K241" s="52"/>
      <c r="L241" s="52"/>
      <c r="M241" s="52"/>
      <c r="N241" s="52"/>
      <c r="O241" s="61">
        <f ca="1">SUM(OFFSET($C241,0,0,1,mth))</f>
        <v>2635227.39</v>
      </c>
    </row>
    <row r="242" customHeight="1" spans="1:15">
      <c r="A242" s="53" t="s">
        <v>597</v>
      </c>
      <c r="B242" s="54" t="s">
        <v>123</v>
      </c>
      <c r="C242" s="56">
        <f t="shared" ref="C242:H242" si="197">C241-C243</f>
        <v>182116.28</v>
      </c>
      <c r="D242" s="56">
        <f t="shared" si="197"/>
        <v>239247.14</v>
      </c>
      <c r="E242" s="56">
        <f t="shared" si="197"/>
        <v>305203.6</v>
      </c>
      <c r="F242" s="56">
        <f t="shared" si="197"/>
        <v>181484.57</v>
      </c>
      <c r="G242" s="56">
        <f t="shared" si="197"/>
        <v>183963.98</v>
      </c>
      <c r="H242" s="56">
        <f t="shared" si="197"/>
        <v>254398.5</v>
      </c>
      <c r="I242" s="56"/>
      <c r="J242" s="56"/>
      <c r="K242" s="56"/>
      <c r="L242" s="56"/>
      <c r="M242" s="56"/>
      <c r="N242" s="56"/>
      <c r="O242" s="56">
        <f ca="1">SUM(OFFSET($C242,0,0,1,mth))</f>
        <v>1346414.07</v>
      </c>
    </row>
    <row r="243" customHeight="1" spans="1:15">
      <c r="A243" s="53" t="s">
        <v>598</v>
      </c>
      <c r="B243" s="54" t="s">
        <v>123</v>
      </c>
      <c r="C243" s="56">
        <f t="shared" ref="C243:H243" si="198">C137/1.09+C157/1.13+C177/1.13</f>
        <v>228741.03</v>
      </c>
      <c r="D243" s="56">
        <f t="shared" si="198"/>
        <v>194806.44</v>
      </c>
      <c r="E243" s="56">
        <f t="shared" si="198"/>
        <v>212401.88</v>
      </c>
      <c r="F243" s="56">
        <f t="shared" si="198"/>
        <v>219329.99</v>
      </c>
      <c r="G243" s="56">
        <f t="shared" si="198"/>
        <v>234532.39</v>
      </c>
      <c r="H243" s="56">
        <f t="shared" si="198"/>
        <v>199001.59</v>
      </c>
      <c r="I243" s="56"/>
      <c r="J243" s="56"/>
      <c r="K243" s="56"/>
      <c r="L243" s="56"/>
      <c r="M243" s="56"/>
      <c r="N243" s="56"/>
      <c r="O243" s="56">
        <f ca="1">SUM(OFFSET($C243,0,0,1,mth))</f>
        <v>1288813.32</v>
      </c>
    </row>
    <row r="244" customHeight="1" spans="1:15">
      <c r="A244" s="48" t="s">
        <v>599</v>
      </c>
      <c r="B244" s="50" t="s">
        <v>123</v>
      </c>
      <c r="C244" s="61">
        <f>C245+C246</f>
        <v>161018.45</v>
      </c>
      <c r="D244" s="61">
        <f>D245+D246</f>
        <v>159608.9</v>
      </c>
      <c r="E244" s="61">
        <f>E245+E246</f>
        <v>214326.85</v>
      </c>
      <c r="F244" s="61">
        <f t="shared" ref="C244:N244" si="199">F245+F246</f>
        <v>457534.06</v>
      </c>
      <c r="G244" s="61">
        <f t="shared" si="199"/>
        <v>369084.38</v>
      </c>
      <c r="H244" s="61">
        <f t="shared" si="199"/>
        <v>311441.5816</v>
      </c>
      <c r="I244" s="52">
        <f t="shared" si="199"/>
        <v>0</v>
      </c>
      <c r="J244" s="52">
        <f t="shared" si="199"/>
        <v>0</v>
      </c>
      <c r="K244" s="52">
        <f t="shared" si="199"/>
        <v>0</v>
      </c>
      <c r="L244" s="52">
        <f t="shared" si="199"/>
        <v>0</v>
      </c>
      <c r="M244" s="52">
        <f t="shared" si="199"/>
        <v>0</v>
      </c>
      <c r="N244" s="52">
        <f t="shared" si="199"/>
        <v>0</v>
      </c>
      <c r="O244" s="61">
        <f ca="1">SUM(OFFSET($C244,0,0,1,mth))</f>
        <v>1673014.2216</v>
      </c>
    </row>
    <row r="245" customHeight="1" spans="1:15">
      <c r="A245" s="53" t="s">
        <v>308</v>
      </c>
      <c r="B245" s="54" t="s">
        <v>123</v>
      </c>
      <c r="C245" s="56">
        <v>84662.96</v>
      </c>
      <c r="D245" s="56">
        <v>79092.62</v>
      </c>
      <c r="E245" s="56">
        <v>133044.77</v>
      </c>
      <c r="F245" s="56">
        <v>299033.28</v>
      </c>
      <c r="G245" s="56">
        <v>208701.14</v>
      </c>
      <c r="H245" s="56">
        <v>157641.7316</v>
      </c>
      <c r="I245" s="56"/>
      <c r="J245" s="56"/>
      <c r="K245" s="56"/>
      <c r="L245" s="56"/>
      <c r="M245" s="56"/>
      <c r="N245" s="56"/>
      <c r="O245" s="56">
        <f ca="1">SUM(OFFSET($C245,0,0,1,mth))</f>
        <v>962176.5016</v>
      </c>
    </row>
    <row r="246" customHeight="1" spans="1:15">
      <c r="A246" s="53" t="s">
        <v>359</v>
      </c>
      <c r="B246" s="54" t="s">
        <v>123</v>
      </c>
      <c r="C246" s="56">
        <v>76355.49</v>
      </c>
      <c r="D246" s="56">
        <v>80516.28</v>
      </c>
      <c r="E246" s="56">
        <v>81282.08</v>
      </c>
      <c r="F246" s="56">
        <v>158500.78</v>
      </c>
      <c r="G246" s="56">
        <v>160383.24</v>
      </c>
      <c r="H246" s="56">
        <v>153799.85</v>
      </c>
      <c r="I246" s="56"/>
      <c r="J246" s="56"/>
      <c r="K246" s="56"/>
      <c r="L246" s="56"/>
      <c r="M246" s="56"/>
      <c r="N246" s="56"/>
      <c r="O246" s="56">
        <f ca="1">SUM(OFFSET($C246,0,0,1,mth))</f>
        <v>710837.72</v>
      </c>
    </row>
    <row r="247" customHeight="1" spans="1:15">
      <c r="A247" s="77" t="s">
        <v>232</v>
      </c>
      <c r="B247" s="50"/>
      <c r="C247" s="61">
        <f>SUM(C229,C234,C237,C240,C241,C244)</f>
        <v>1640609.08</v>
      </c>
      <c r="D247" s="61">
        <f>SUM(D229,D234,D237,D240,D241,D244)</f>
        <v>1627208.72</v>
      </c>
      <c r="E247" s="61">
        <f>SUM(E229,E234,E237,E240,E241,E244)</f>
        <v>1976844.68</v>
      </c>
      <c r="F247" s="61">
        <f t="shared" ref="F247:N247" si="200">SUM(F229,F232:F234,F237,F241,F244)</f>
        <v>2344220.29</v>
      </c>
      <c r="G247" s="61">
        <f t="shared" si="200"/>
        <v>2121139.48</v>
      </c>
      <c r="H247" s="61">
        <f t="shared" si="200"/>
        <v>2306069.0516</v>
      </c>
      <c r="I247" s="61">
        <f t="shared" si="200"/>
        <v>0</v>
      </c>
      <c r="J247" s="61">
        <f t="shared" si="200"/>
        <v>0</v>
      </c>
      <c r="K247" s="61">
        <f t="shared" si="200"/>
        <v>0</v>
      </c>
      <c r="L247" s="61">
        <f t="shared" si="200"/>
        <v>0</v>
      </c>
      <c r="M247" s="61">
        <f t="shared" si="200"/>
        <v>0</v>
      </c>
      <c r="N247" s="61">
        <f t="shared" si="200"/>
        <v>0</v>
      </c>
      <c r="O247" s="61">
        <f ca="1">SUM(O229,O234,O237,O240,O241,O244)</f>
        <v>12016091.3016</v>
      </c>
    </row>
    <row r="248" customHeight="1" spans="1:15">
      <c r="A248" s="46" t="s">
        <v>622</v>
      </c>
    </row>
    <row r="249" customHeight="1" spans="1:15">
      <c r="A249" s="48" t="s">
        <v>252</v>
      </c>
      <c r="B249" s="50" t="s">
        <v>123</v>
      </c>
      <c r="C249" s="61">
        <f t="shared" ref="C249:F249" si="201">C229+C104</f>
        <v>16607392.41</v>
      </c>
      <c r="D249" s="61">
        <f t="shared" si="201"/>
        <v>16360982.05</v>
      </c>
      <c r="E249" s="61">
        <f t="shared" si="201"/>
        <v>20629703.18</v>
      </c>
      <c r="F249" s="61">
        <f t="shared" si="201"/>
        <v>20828424.96</v>
      </c>
      <c r="G249" s="61">
        <f t="shared" ref="C249:K249" si="202">SUM(G250:G251)</f>
        <v>21421034.12</v>
      </c>
      <c r="H249" s="61">
        <f t="shared" si="202"/>
        <v>28034211.11</v>
      </c>
      <c r="I249" s="52">
        <f t="shared" si="202"/>
        <v>0</v>
      </c>
      <c r="J249" s="52">
        <f t="shared" si="202"/>
        <v>0</v>
      </c>
      <c r="K249" s="52">
        <f t="shared" si="202"/>
        <v>0</v>
      </c>
      <c r="L249" s="52">
        <f t="shared" ref="L249:N249" si="203">L250+L251</f>
        <v>0</v>
      </c>
      <c r="M249" s="52">
        <f t="shared" si="203"/>
        <v>0</v>
      </c>
      <c r="N249" s="52">
        <f t="shared" si="203"/>
        <v>0</v>
      </c>
      <c r="O249" s="61">
        <f ca="1">SUM(OFFSET($C249,0,0,1,mth))</f>
        <v>123881747.83</v>
      </c>
    </row>
    <row r="250" customHeight="1" spans="1:15">
      <c r="A250" s="53" t="s">
        <v>589</v>
      </c>
      <c r="B250" s="54" t="s">
        <v>123</v>
      </c>
      <c r="C250" s="56">
        <f t="shared" ref="C250:H250" si="204">C230+P108</f>
        <v>16567489.7</v>
      </c>
      <c r="D250" s="56">
        <f t="shared" si="204"/>
        <v>16337954.76</v>
      </c>
      <c r="E250" s="56">
        <f t="shared" si="204"/>
        <v>20605556.02</v>
      </c>
      <c r="F250" s="56">
        <f t="shared" si="204"/>
        <v>20764925.57</v>
      </c>
      <c r="G250" s="56">
        <f t="shared" si="204"/>
        <v>21343089.63</v>
      </c>
      <c r="H250" s="56">
        <f t="shared" si="204"/>
        <v>27975325.43</v>
      </c>
      <c r="I250" s="56"/>
      <c r="J250" s="56"/>
      <c r="K250" s="56"/>
      <c r="L250" s="56"/>
      <c r="M250" s="56"/>
      <c r="N250" s="56"/>
      <c r="O250" s="56">
        <f ca="1">SUM(OFFSET($C250,0,0,1,mth))</f>
        <v>123594341.11</v>
      </c>
    </row>
    <row r="251" customHeight="1" spans="1:15">
      <c r="A251" s="53" t="s">
        <v>590</v>
      </c>
      <c r="B251" s="54" t="s">
        <v>123</v>
      </c>
      <c r="C251" s="56">
        <f t="shared" ref="C251:H251" si="205">C231+P110</f>
        <v>39902.71</v>
      </c>
      <c r="D251" s="56">
        <f t="shared" si="205"/>
        <v>23027.29</v>
      </c>
      <c r="E251" s="56">
        <f t="shared" si="205"/>
        <v>24147.16</v>
      </c>
      <c r="F251" s="56">
        <f t="shared" si="205"/>
        <v>63499.39</v>
      </c>
      <c r="G251" s="56">
        <f t="shared" si="205"/>
        <v>77944.49</v>
      </c>
      <c r="H251" s="56">
        <f t="shared" si="205"/>
        <v>58885.68</v>
      </c>
      <c r="I251" s="56"/>
      <c r="J251" s="56"/>
      <c r="K251" s="56"/>
      <c r="L251" s="56"/>
      <c r="M251" s="56"/>
      <c r="N251" s="56"/>
      <c r="O251" s="56">
        <f ca="1">SUM(OFFSET($C251,0,0,1,mth))</f>
        <v>287406.72</v>
      </c>
    </row>
    <row r="252" customHeight="1" spans="1:15">
      <c r="A252" s="57" t="s">
        <v>253</v>
      </c>
      <c r="B252" s="50" t="s">
        <v>123</v>
      </c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>
        <f ca="1">SUM(OFFSET($C252,0,0,1,mth))</f>
        <v>0</v>
      </c>
    </row>
    <row r="253" customHeight="1" spans="1:15">
      <c r="A253" s="57" t="s">
        <v>254</v>
      </c>
      <c r="B253" s="50" t="s">
        <v>123</v>
      </c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>
        <f ca="1">SUM(OFFSET($C253,0,0,1,mth))</f>
        <v>0</v>
      </c>
    </row>
    <row r="254" customHeight="1" spans="1:15">
      <c r="A254" s="48" t="s">
        <v>256</v>
      </c>
      <c r="B254" s="50" t="s">
        <v>123</v>
      </c>
      <c r="C254" s="61">
        <f t="shared" ref="C254:H254" si="206">C234+C106</f>
        <v>3443189.3</v>
      </c>
      <c r="D254" s="61">
        <f t="shared" si="206"/>
        <v>2722602.34</v>
      </c>
      <c r="E254" s="61">
        <f t="shared" si="206"/>
        <v>3063949.1</v>
      </c>
      <c r="F254" s="61">
        <f t="shared" si="206"/>
        <v>4099127.32</v>
      </c>
      <c r="G254" s="61">
        <f t="shared" si="206"/>
        <v>3446318.47</v>
      </c>
      <c r="H254" s="61">
        <f t="shared" si="206"/>
        <v>4222377.89</v>
      </c>
      <c r="I254" s="52"/>
      <c r="J254" s="52"/>
      <c r="K254" s="52"/>
      <c r="L254" s="52"/>
      <c r="M254" s="52"/>
      <c r="N254" s="52"/>
      <c r="O254" s="61">
        <f ca="1">SUM(OFFSET($C254,0,0,1,mth))</f>
        <v>20997564.42</v>
      </c>
    </row>
    <row r="255" customHeight="1" spans="1:15">
      <c r="A255" s="53" t="s">
        <v>591</v>
      </c>
      <c r="B255" s="54" t="s">
        <v>123</v>
      </c>
      <c r="C255" s="56"/>
      <c r="D255" s="56"/>
      <c r="E255" s="56"/>
      <c r="F255" s="56"/>
      <c r="G255" s="56"/>
      <c r="H255" s="56"/>
      <c r="I255" s="56"/>
      <c r="J255" s="56"/>
      <c r="K255" s="56"/>
      <c r="L255" s="78"/>
      <c r="M255" s="79"/>
      <c r="N255" s="56"/>
      <c r="O255" s="56">
        <f ca="1">SUM(OFFSET($C255,0,0,1,mth))</f>
        <v>0</v>
      </c>
    </row>
    <row r="256" customHeight="1" spans="1:15">
      <c r="A256" s="53" t="s">
        <v>592</v>
      </c>
      <c r="B256" s="54" t="s">
        <v>123</v>
      </c>
      <c r="C256" s="56">
        <f t="shared" ref="C256:H256" si="207">C254</f>
        <v>3443189.3</v>
      </c>
      <c r="D256" s="56">
        <f t="shared" si="207"/>
        <v>2722602.34</v>
      </c>
      <c r="E256" s="56">
        <f t="shared" si="207"/>
        <v>3063949.1</v>
      </c>
      <c r="F256" s="56">
        <f t="shared" si="207"/>
        <v>4099127.32</v>
      </c>
      <c r="G256" s="56">
        <f t="shared" si="207"/>
        <v>3446318.47</v>
      </c>
      <c r="H256" s="56">
        <f t="shared" si="207"/>
        <v>4222377.89</v>
      </c>
      <c r="I256" s="56"/>
      <c r="J256" s="56"/>
      <c r="K256" s="56"/>
      <c r="L256" s="56"/>
      <c r="M256" s="56"/>
      <c r="N256" s="56"/>
      <c r="O256" s="56">
        <f ca="1">SUM(OFFSET($C256,0,0,1,mth))</f>
        <v>20997564.42</v>
      </c>
    </row>
    <row r="257" customHeight="1" spans="1:15">
      <c r="A257" s="48" t="s">
        <v>593</v>
      </c>
      <c r="B257" s="50" t="s">
        <v>123</v>
      </c>
      <c r="C257" s="61">
        <f t="shared" ref="C257:H257" si="208">C237+C107</f>
        <v>601388.63</v>
      </c>
      <c r="D257" s="61">
        <f t="shared" si="208"/>
        <v>644705.29</v>
      </c>
      <c r="E257" s="61">
        <f t="shared" si="208"/>
        <v>700635.31</v>
      </c>
      <c r="F257" s="61">
        <f t="shared" si="208"/>
        <v>925731.42</v>
      </c>
      <c r="G257" s="61">
        <f t="shared" si="208"/>
        <v>710720.78</v>
      </c>
      <c r="H257" s="61">
        <f t="shared" si="208"/>
        <v>743098.53</v>
      </c>
      <c r="I257" s="52"/>
      <c r="J257" s="52"/>
      <c r="K257" s="52"/>
      <c r="L257" s="52"/>
      <c r="M257" s="52"/>
      <c r="N257" s="52"/>
      <c r="O257" s="61">
        <f ca="1">SUM(OFFSET($C257,0,0,1,mth))</f>
        <v>4326279.96</v>
      </c>
    </row>
    <row r="258" customHeight="1" spans="1:15">
      <c r="A258" s="53" t="s">
        <v>594</v>
      </c>
      <c r="B258" s="54" t="s">
        <v>123</v>
      </c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>
        <f ca="1">SUM(OFFSET($C258,0,0,1,mth))</f>
        <v>0</v>
      </c>
    </row>
    <row r="259" customHeight="1" spans="1:15">
      <c r="A259" s="53" t="s">
        <v>595</v>
      </c>
      <c r="B259" s="54" t="s">
        <v>123</v>
      </c>
      <c r="C259" s="56">
        <f t="shared" ref="C259:H259" si="209">C257</f>
        <v>601388.63</v>
      </c>
      <c r="D259" s="56">
        <f t="shared" si="209"/>
        <v>644705.29</v>
      </c>
      <c r="E259" s="56">
        <f t="shared" si="209"/>
        <v>700635.31</v>
      </c>
      <c r="F259" s="56">
        <f t="shared" si="209"/>
        <v>925731.42</v>
      </c>
      <c r="G259" s="56">
        <f t="shared" si="209"/>
        <v>710720.78</v>
      </c>
      <c r="H259" s="56">
        <f t="shared" si="209"/>
        <v>743098.53</v>
      </c>
      <c r="I259" s="56"/>
      <c r="J259" s="56"/>
      <c r="K259" s="56"/>
      <c r="L259" s="56"/>
      <c r="M259" s="56"/>
      <c r="N259" s="56"/>
      <c r="O259" s="56">
        <f ca="1">SUM(OFFSET($C259,0,0,1,mth))</f>
        <v>4326279.96</v>
      </c>
    </row>
    <row r="260" customHeight="1" spans="1:15">
      <c r="A260" s="48" t="s">
        <v>596</v>
      </c>
      <c r="B260" s="50" t="s">
        <v>123</v>
      </c>
      <c r="C260" s="93">
        <f t="shared" ref="C260:H260" si="210">C240+C108</f>
        <v>0</v>
      </c>
      <c r="D260" s="93">
        <f t="shared" si="210"/>
        <v>-0.15</v>
      </c>
      <c r="E260" s="93">
        <f t="shared" si="210"/>
        <v>90212.68</v>
      </c>
      <c r="F260" s="93">
        <f t="shared" si="210"/>
        <v>0</v>
      </c>
      <c r="G260" s="93">
        <f t="shared" si="210"/>
        <v>0</v>
      </c>
      <c r="H260" s="93">
        <f t="shared" si="210"/>
        <v>0</v>
      </c>
      <c r="I260" s="51"/>
      <c r="J260" s="51"/>
      <c r="K260" s="51"/>
      <c r="L260" s="51"/>
      <c r="M260" s="51"/>
      <c r="N260" s="51"/>
      <c r="O260" s="61">
        <f ca="1">SUM(OFFSET($C260,0,0,1,mth))</f>
        <v>90212.53</v>
      </c>
    </row>
    <row r="261" customHeight="1" spans="1:15">
      <c r="A261" s="48" t="s">
        <v>354</v>
      </c>
      <c r="B261" s="50" t="s">
        <v>123</v>
      </c>
      <c r="C261" s="61">
        <f>C241+C109</f>
        <v>14672147.27</v>
      </c>
      <c r="D261" s="61">
        <f t="shared" ref="C261:H261" si="211">D241+D109</f>
        <v>16130393.49</v>
      </c>
      <c r="E261" s="61">
        <f t="shared" si="211"/>
        <v>19558378.11</v>
      </c>
      <c r="F261" s="61">
        <f t="shared" si="211"/>
        <v>15565379.95</v>
      </c>
      <c r="G261" s="61">
        <f t="shared" si="211"/>
        <v>15682848.6</v>
      </c>
      <c r="H261" s="61">
        <f t="shared" si="211"/>
        <v>16846062.63</v>
      </c>
      <c r="I261" s="52"/>
      <c r="J261" s="52"/>
      <c r="K261" s="52"/>
      <c r="L261" s="52"/>
      <c r="M261" s="52"/>
      <c r="N261" s="52"/>
      <c r="O261" s="61">
        <f ca="1">SUM(OFFSET($C261,0,0,1,mth))</f>
        <v>98455210.05</v>
      </c>
    </row>
    <row r="262" customHeight="1" spans="1:15">
      <c r="A262" s="53" t="s">
        <v>597</v>
      </c>
      <c r="B262" s="54" t="s">
        <v>123</v>
      </c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>
        <f ca="1">SUM(OFFSET($C262,0,0,1,mth))</f>
        <v>0</v>
      </c>
    </row>
    <row r="263" customHeight="1" spans="1:15">
      <c r="A263" s="53" t="s">
        <v>598</v>
      </c>
      <c r="B263" s="54" t="s">
        <v>123</v>
      </c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>
        <f ca="1">SUM(OFFSET($C263,0,0,1,mth))</f>
        <v>0</v>
      </c>
    </row>
    <row r="264" customHeight="1" spans="1:15">
      <c r="A264" s="48" t="s">
        <v>599</v>
      </c>
      <c r="B264" s="50" t="s">
        <v>123</v>
      </c>
      <c r="C264" s="61">
        <f>C265+C266</f>
        <v>601523.24</v>
      </c>
      <c r="D264" s="61">
        <f t="shared" ref="C264:N264" si="212">D265+D266</f>
        <v>616901.61</v>
      </c>
      <c r="E264" s="61">
        <f t="shared" si="212"/>
        <v>812284.35</v>
      </c>
      <c r="F264" s="61">
        <f t="shared" si="212"/>
        <v>1593543.92</v>
      </c>
      <c r="G264" s="61">
        <f t="shared" si="212"/>
        <v>1166606.82</v>
      </c>
      <c r="H264" s="61">
        <f t="shared" si="212"/>
        <v>1267620.7216</v>
      </c>
      <c r="I264" s="52">
        <f t="shared" si="212"/>
        <v>0</v>
      </c>
      <c r="J264" s="52">
        <f t="shared" si="212"/>
        <v>0</v>
      </c>
      <c r="K264" s="52">
        <f t="shared" si="212"/>
        <v>0</v>
      </c>
      <c r="L264" s="52">
        <f t="shared" si="212"/>
        <v>0</v>
      </c>
      <c r="M264" s="52">
        <f t="shared" si="212"/>
        <v>0</v>
      </c>
      <c r="N264" s="52">
        <f t="shared" si="212"/>
        <v>0</v>
      </c>
      <c r="O264" s="61">
        <f ca="1">SUM(OFFSET($C264,0,0,1,mth))</f>
        <v>6058480.6616</v>
      </c>
    </row>
    <row r="265" customHeight="1" spans="1:15">
      <c r="A265" s="53" t="s">
        <v>308</v>
      </c>
      <c r="B265" s="54" t="s">
        <v>123</v>
      </c>
      <c r="C265" s="56">
        <f t="shared" ref="C265:H265" si="213">C245+C110</f>
        <v>261662.27</v>
      </c>
      <c r="D265" s="56">
        <f t="shared" si="213"/>
        <v>255724.09</v>
      </c>
      <c r="E265" s="56">
        <f t="shared" si="213"/>
        <v>461417.47</v>
      </c>
      <c r="F265" s="56">
        <f t="shared" si="213"/>
        <v>952610.83</v>
      </c>
      <c r="G265" s="56">
        <f t="shared" si="213"/>
        <v>659803</v>
      </c>
      <c r="H265" s="56">
        <f t="shared" si="213"/>
        <v>494550.6916</v>
      </c>
      <c r="I265" s="56"/>
      <c r="J265" s="56"/>
      <c r="K265" s="56"/>
      <c r="L265" s="56"/>
      <c r="M265" s="56"/>
      <c r="N265" s="56"/>
      <c r="O265" s="56">
        <f ca="1">SUM(OFFSET($C265,0,0,1,mth))</f>
        <v>3085768.3516</v>
      </c>
    </row>
    <row r="266" customHeight="1" spans="1:15">
      <c r="A266" s="53" t="s">
        <v>359</v>
      </c>
      <c r="B266" s="54" t="s">
        <v>123</v>
      </c>
      <c r="C266" s="56">
        <f t="shared" ref="C266:H266" si="214">C246+C111</f>
        <v>339860.97</v>
      </c>
      <c r="D266" s="56">
        <f t="shared" si="214"/>
        <v>361177.52</v>
      </c>
      <c r="E266" s="56">
        <f t="shared" si="214"/>
        <v>350866.88</v>
      </c>
      <c r="F266" s="56">
        <f t="shared" si="214"/>
        <v>640933.09</v>
      </c>
      <c r="G266" s="56">
        <f t="shared" si="214"/>
        <v>506803.82</v>
      </c>
      <c r="H266" s="56">
        <f t="shared" si="214"/>
        <v>773070.03</v>
      </c>
      <c r="I266" s="56"/>
      <c r="J266" s="56"/>
      <c r="K266" s="56"/>
      <c r="L266" s="56"/>
      <c r="M266" s="56"/>
      <c r="N266" s="56"/>
      <c r="O266" s="56">
        <f ca="1">SUM(OFFSET($C266,0,0,1,mth))</f>
        <v>2972712.31</v>
      </c>
    </row>
    <row r="267" customHeight="1" spans="1:15">
      <c r="A267" s="77" t="s">
        <v>232</v>
      </c>
      <c r="B267" s="50"/>
      <c r="C267" s="61">
        <f t="shared" ref="C267:H267" si="215">SUM(C249,C254,C257,C260,C261,C264)</f>
        <v>35925640.85</v>
      </c>
      <c r="D267" s="61">
        <f t="shared" si="215"/>
        <v>36475584.63</v>
      </c>
      <c r="E267" s="61">
        <f t="shared" si="215"/>
        <v>44855162.73</v>
      </c>
      <c r="F267" s="61">
        <f t="shared" si="215"/>
        <v>43012207.57</v>
      </c>
      <c r="G267" s="61">
        <f t="shared" si="215"/>
        <v>42427528.79</v>
      </c>
      <c r="H267" s="61">
        <f t="shared" si="215"/>
        <v>51113370.8816</v>
      </c>
      <c r="I267" s="61">
        <f t="shared" ref="F267:N267" si="216">SUM(I249,I252:I254,I257,I261,I264)</f>
        <v>0</v>
      </c>
      <c r="J267" s="61">
        <f t="shared" si="216"/>
        <v>0</v>
      </c>
      <c r="K267" s="61">
        <f t="shared" si="216"/>
        <v>0</v>
      </c>
      <c r="L267" s="61">
        <f t="shared" si="216"/>
        <v>0</v>
      </c>
      <c r="M267" s="61">
        <f t="shared" si="216"/>
        <v>0</v>
      </c>
      <c r="N267" s="61">
        <f t="shared" si="216"/>
        <v>0</v>
      </c>
      <c r="O267" s="61">
        <f ca="1">SUM(O249,O254,O257,O260,O261,O264)</f>
        <v>253809495.4516</v>
      </c>
    </row>
  </sheetData>
  <mergeCells count="2">
    <mergeCell ref="A1:B1"/>
    <mergeCell ref="A4:B4"/>
  </mergeCells>
  <pageMargins left="0.75" right="0.75" top="1" bottom="1" header="0.5" footer="0.5"/>
  <pageSetup paperSize="9" orientation="portrait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name="Scroll Bar 1" r:id="rId4">
              <controlPr defaultSize="0">
                <anchor moveWithCells="1">
                  <from>
                    <xdr:col>0</xdr:col>
                    <xdr:colOff>38100</xdr:colOff>
                    <xdr:row>1</xdr:row>
                    <xdr:rowOff>9525</xdr:rowOff>
                  </from>
                  <to>
                    <xdr:col>0</xdr:col>
                    <xdr:colOff>990600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9" name="Scroll Bar 13" r:id="rId5">
              <controlPr defaultSize="0">
                <anchor moveWithCells="1">
                  <from>
                    <xdr:col>0</xdr:col>
                    <xdr:colOff>38100</xdr:colOff>
                    <xdr:row>1</xdr:row>
                    <xdr:rowOff>9525</xdr:rowOff>
                  </from>
                  <to>
                    <xdr:col>0</xdr:col>
                    <xdr:colOff>990600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>
    <tabColor rgb="FFC00000"/>
  </sheetPr>
  <dimension ref="A1:AH205"/>
  <sheetViews>
    <sheetView zoomScale="120" zoomScaleNormal="120" workbookViewId="0">
      <selection activeCell="T207" sqref="T207"/>
    </sheetView>
  </sheetViews>
  <sheetFormatPr defaultColWidth="9" defaultRowHeight="15.75"/>
  <cols>
    <col min="1" max="1" width="9" style="17"/>
    <col min="2" max="3" width="9.625" style="17" customWidth="1"/>
    <col min="4" max="13" width="9.125" style="17" customWidth="1"/>
    <col min="14" max="14" width="9.625" style="17" customWidth="1"/>
    <col min="15" max="16" width="9" style="17"/>
    <col min="17" max="17" width="5.25" style="17" customWidth="1"/>
    <col min="18" max="18" width="12.25" style="17" customWidth="1"/>
    <col min="19" max="19" width="10.5" style="17" customWidth="1"/>
    <col min="20" max="20" width="12.125" style="17" customWidth="1"/>
    <col min="21" max="21" width="6.75" style="17" customWidth="1"/>
    <col min="22" max="22" width="23.125" style="17" customWidth="1"/>
    <col min="23" max="23" width="29.375" style="17" customWidth="1"/>
    <col min="24" max="24" width="8" style="17" customWidth="1"/>
    <col min="25" max="25" width="4.75" style="17" customWidth="1"/>
    <col min="26" max="26" width="9.625" style="17" customWidth="1"/>
    <col min="27" max="27" width="10.125" style="17" customWidth="1"/>
    <col min="28" max="28" width="4.875" style="17" customWidth="1"/>
    <col min="29" max="30" width="8" style="17" customWidth="1"/>
    <col min="31" max="31" width="9.875" style="18" customWidth="1"/>
    <col min="32" max="32" width="11.375" style="19" customWidth="1"/>
    <col min="33" max="33" width="9" style="17"/>
    <col min="34" max="34" width="9.625" style="17" customWidth="1"/>
    <col min="35" max="16384" width="9" style="17"/>
  </cols>
  <sheetData>
    <row r="1" spans="1:34">
      <c r="A1" s="20" t="s">
        <v>623</v>
      </c>
      <c r="B1" s="17">
        <v>202501</v>
      </c>
      <c r="C1" s="17">
        <v>202502</v>
      </c>
      <c r="D1" s="17">
        <v>202503</v>
      </c>
      <c r="E1" s="17">
        <v>202504</v>
      </c>
      <c r="F1" s="17">
        <v>202505</v>
      </c>
      <c r="G1" s="17">
        <v>202506</v>
      </c>
      <c r="H1" s="17">
        <v>202507</v>
      </c>
      <c r="I1" s="17">
        <v>202508</v>
      </c>
      <c r="J1" s="17">
        <v>202509</v>
      </c>
      <c r="K1" s="17">
        <v>202510</v>
      </c>
      <c r="L1" s="17">
        <v>202511</v>
      </c>
      <c r="M1" s="17">
        <v>202512</v>
      </c>
      <c r="N1" s="20" t="s">
        <v>232</v>
      </c>
      <c r="P1" s="21" t="s">
        <v>623</v>
      </c>
      <c r="Q1" s="21" t="s">
        <v>624</v>
      </c>
      <c r="R1" s="21" t="s">
        <v>625</v>
      </c>
      <c r="S1" s="21" t="s">
        <v>626</v>
      </c>
      <c r="T1" s="21" t="s">
        <v>627</v>
      </c>
      <c r="U1" s="21" t="s">
        <v>628</v>
      </c>
      <c r="V1" s="21" t="s">
        <v>629</v>
      </c>
      <c r="W1" s="21" t="s">
        <v>630</v>
      </c>
      <c r="X1" s="21" t="s">
        <v>631</v>
      </c>
      <c r="Y1" s="21" t="s">
        <v>77</v>
      </c>
      <c r="Z1" s="21" t="s">
        <v>632</v>
      </c>
      <c r="AA1" s="21" t="s">
        <v>82</v>
      </c>
      <c r="AB1" s="21" t="s">
        <v>633</v>
      </c>
      <c r="AC1" s="21" t="s">
        <v>634</v>
      </c>
      <c r="AD1" s="21" t="s">
        <v>635</v>
      </c>
      <c r="AE1" s="22" t="s">
        <v>636</v>
      </c>
      <c r="AF1" s="23" t="s">
        <v>637</v>
      </c>
      <c r="AH1" s="24"/>
    </row>
    <row r="2" spans="1:34">
      <c r="A2" s="20" t="s">
        <v>359</v>
      </c>
      <c r="B2" s="25">
        <f>SUMIFS($AF:$AF,$U:$U,B$1,$P:$P,$A$2)</f>
        <v>10009.5872186354</v>
      </c>
      <c r="C2" s="25">
        <f>SUMIFS($AF:$AF,$U:$U,C$1,$P:$P,$A$2)</f>
        <v>14033.6956372357</v>
      </c>
      <c r="D2" s="25">
        <f t="shared" ref="C2:M2" si="0">SUMIFS($AF:$AF,$U:$U,D$1,$P:$P,$A$2)</f>
        <v>2352.9128328757</v>
      </c>
      <c r="E2" s="25">
        <f t="shared" si="0"/>
        <v>9007.87755130713</v>
      </c>
      <c r="F2" s="25">
        <f t="shared" si="0"/>
        <v>14207.7413468045</v>
      </c>
      <c r="G2" s="25">
        <f t="shared" si="0"/>
        <v>14696.5013096706</v>
      </c>
      <c r="H2" s="25">
        <f t="shared" si="0"/>
        <v>0</v>
      </c>
      <c r="I2" s="25">
        <f t="shared" si="0"/>
        <v>0</v>
      </c>
      <c r="J2" s="25">
        <f t="shared" si="0"/>
        <v>0</v>
      </c>
      <c r="K2" s="25">
        <f t="shared" si="0"/>
        <v>0</v>
      </c>
      <c r="L2" s="25">
        <f t="shared" si="0"/>
        <v>0</v>
      </c>
      <c r="M2" s="25">
        <f t="shared" si="0"/>
        <v>0</v>
      </c>
      <c r="N2" s="25">
        <f ca="1">SUM(OFFSET(B2,0,0,1,mth))</f>
        <v>64308.315896529</v>
      </c>
      <c r="P2" s="20" t="s">
        <v>359</v>
      </c>
      <c r="Q2" s="17" t="s">
        <v>638</v>
      </c>
      <c r="R2" s="17" t="s">
        <v>639</v>
      </c>
      <c r="S2" s="17" t="s">
        <v>640</v>
      </c>
      <c r="T2" s="17">
        <v>248454</v>
      </c>
      <c r="U2" s="26">
        <v>202502</v>
      </c>
      <c r="V2" s="17" t="s">
        <v>641</v>
      </c>
      <c r="W2" s="17" t="s">
        <v>642</v>
      </c>
      <c r="X2" s="27">
        <v>7.545</v>
      </c>
      <c r="Y2" s="17" t="s">
        <v>643</v>
      </c>
      <c r="Z2" s="28">
        <v>4827.63</v>
      </c>
      <c r="AA2" s="27">
        <v>36424.468</v>
      </c>
      <c r="AB2" s="17" t="s">
        <v>644</v>
      </c>
      <c r="AC2" s="17" t="s">
        <v>645</v>
      </c>
      <c r="AD2" s="17" t="s">
        <v>646</v>
      </c>
    </row>
    <row r="3" spans="1:34">
      <c r="A3" s="20" t="s">
        <v>308</v>
      </c>
      <c r="B3" s="25">
        <f>SUMIFS($AF:$AF,$U:$U,B$1,$P:$P,$A$3)</f>
        <v>3326.78649952867</v>
      </c>
      <c r="C3" s="25">
        <f>SUMIFS($AF:$AF,$U:$U,C$1,$P:$P,$A$3)</f>
        <v>4127.01835380625</v>
      </c>
      <c r="D3" s="25">
        <f t="shared" ref="C3:M3" si="1">SUMIFS($AF:$AF,$U:$U,D$1,$P:$P,$A$3)</f>
        <v>1219.11371499559</v>
      </c>
      <c r="E3" s="25">
        <f t="shared" si="1"/>
        <v>3470.18110147762</v>
      </c>
      <c r="F3" s="25">
        <f t="shared" si="1"/>
        <v>4130.05170354417</v>
      </c>
      <c r="G3" s="25">
        <f t="shared" si="1"/>
        <v>1776.46904415692</v>
      </c>
      <c r="H3" s="25">
        <f t="shared" si="1"/>
        <v>0</v>
      </c>
      <c r="I3" s="25">
        <f t="shared" si="1"/>
        <v>0</v>
      </c>
      <c r="J3" s="25">
        <f t="shared" si="1"/>
        <v>0</v>
      </c>
      <c r="K3" s="25">
        <f t="shared" si="1"/>
        <v>0</v>
      </c>
      <c r="L3" s="25">
        <f t="shared" si="1"/>
        <v>0</v>
      </c>
      <c r="M3" s="25">
        <f t="shared" si="1"/>
        <v>0</v>
      </c>
      <c r="N3" s="25">
        <f ca="1">SUM(OFFSET(B3,0,0,1,mth))</f>
        <v>18049.6204175092</v>
      </c>
      <c r="P3" s="20" t="s">
        <v>359</v>
      </c>
      <c r="Q3" s="17" t="s">
        <v>638</v>
      </c>
      <c r="R3" s="17" t="s">
        <v>639</v>
      </c>
      <c r="S3" s="17" t="s">
        <v>647</v>
      </c>
      <c r="T3" s="17">
        <v>248455</v>
      </c>
      <c r="U3" s="26">
        <v>202502</v>
      </c>
      <c r="V3" s="17" t="s">
        <v>648</v>
      </c>
      <c r="W3" s="17" t="s">
        <v>649</v>
      </c>
      <c r="X3" s="27">
        <v>-7.41</v>
      </c>
      <c r="Y3" s="17" t="s">
        <v>643</v>
      </c>
      <c r="Z3" s="28">
        <v>4915.58</v>
      </c>
      <c r="AA3" s="27">
        <v>-36424.468</v>
      </c>
      <c r="AB3" s="17" t="s">
        <v>644</v>
      </c>
      <c r="AC3" s="17" t="s">
        <v>645</v>
      </c>
      <c r="AD3" s="17" t="s">
        <v>646</v>
      </c>
      <c r="AE3" s="18">
        <f>1+(X3/X2)</f>
        <v>0.0178926441351889</v>
      </c>
      <c r="AF3" s="19">
        <f>AE3*-AA3</f>
        <v>651.730043737575</v>
      </c>
    </row>
    <row r="4" spans="1:34">
      <c r="P4" s="20" t="s">
        <v>359</v>
      </c>
      <c r="Q4" s="17" t="s">
        <v>638</v>
      </c>
      <c r="R4" s="17" t="s">
        <v>650</v>
      </c>
      <c r="S4" s="17" t="s">
        <v>640</v>
      </c>
      <c r="T4" s="17">
        <v>248452</v>
      </c>
      <c r="U4" s="26">
        <v>202502</v>
      </c>
      <c r="V4" s="17" t="s">
        <v>641</v>
      </c>
      <c r="W4" s="17" t="s">
        <v>651</v>
      </c>
      <c r="X4" s="27">
        <v>3.942</v>
      </c>
      <c r="Y4" s="17" t="s">
        <v>643</v>
      </c>
      <c r="Z4" s="28">
        <v>3455.4399</v>
      </c>
      <c r="AA4" s="27">
        <v>13621.344</v>
      </c>
      <c r="AB4" s="17" t="s">
        <v>644</v>
      </c>
      <c r="AC4" s="17" t="s">
        <v>645</v>
      </c>
      <c r="AD4" s="17" t="s">
        <v>646</v>
      </c>
    </row>
    <row r="5" spans="1:34">
      <c r="P5" s="20" t="s">
        <v>359</v>
      </c>
      <c r="Q5" s="17" t="s">
        <v>638</v>
      </c>
      <c r="R5" s="17" t="s">
        <v>650</v>
      </c>
      <c r="S5" s="17" t="s">
        <v>647</v>
      </c>
      <c r="T5" s="17">
        <v>248453</v>
      </c>
      <c r="U5" s="26">
        <v>202502</v>
      </c>
      <c r="V5" s="17" t="s">
        <v>648</v>
      </c>
      <c r="W5" s="17" t="s">
        <v>652</v>
      </c>
      <c r="X5" s="27">
        <v>-3.915</v>
      </c>
      <c r="Y5" s="17" t="s">
        <v>643</v>
      </c>
      <c r="Z5" s="28">
        <v>3479.27</v>
      </c>
      <c r="AA5" s="27">
        <v>-13621.344</v>
      </c>
      <c r="AB5" s="17" t="s">
        <v>644</v>
      </c>
      <c r="AC5" s="17" t="s">
        <v>645</v>
      </c>
      <c r="AD5" s="17" t="s">
        <v>646</v>
      </c>
      <c r="AE5" s="18">
        <f>1+(X5/X4)</f>
        <v>0.00684931506849318</v>
      </c>
      <c r="AF5" s="19">
        <f>AE5*-AA5</f>
        <v>93.2968767123291</v>
      </c>
    </row>
    <row r="6" spans="1:34">
      <c r="P6" s="20" t="s">
        <v>359</v>
      </c>
      <c r="Q6" s="17" t="s">
        <v>638</v>
      </c>
      <c r="R6" s="17" t="s">
        <v>653</v>
      </c>
      <c r="S6" s="17" t="s">
        <v>640</v>
      </c>
      <c r="T6" s="17">
        <v>258053</v>
      </c>
      <c r="U6" s="26">
        <v>202502</v>
      </c>
      <c r="V6" s="17" t="s">
        <v>641</v>
      </c>
      <c r="W6" s="17" t="s">
        <v>654</v>
      </c>
      <c r="X6" s="27">
        <v>0.045</v>
      </c>
      <c r="Y6" s="17" t="s">
        <v>643</v>
      </c>
      <c r="Z6" s="28">
        <v>3643.6667</v>
      </c>
      <c r="AA6" s="27">
        <v>163.965</v>
      </c>
      <c r="AB6" s="17" t="s">
        <v>644</v>
      </c>
      <c r="AC6" s="17" t="s">
        <v>645</v>
      </c>
      <c r="AD6" s="17" t="s">
        <v>646</v>
      </c>
    </row>
    <row r="7" spans="1:34">
      <c r="P7" s="20" t="s">
        <v>359</v>
      </c>
      <c r="Q7" s="17" t="s">
        <v>638</v>
      </c>
      <c r="R7" s="17" t="s">
        <v>653</v>
      </c>
      <c r="S7" s="17" t="s">
        <v>647</v>
      </c>
      <c r="T7" s="17">
        <v>258054</v>
      </c>
      <c r="U7" s="26">
        <v>202502</v>
      </c>
      <c r="V7" s="17" t="s">
        <v>648</v>
      </c>
      <c r="W7" s="17" t="s">
        <v>655</v>
      </c>
      <c r="X7" s="27">
        <v>-0.045</v>
      </c>
      <c r="Y7" s="17" t="s">
        <v>643</v>
      </c>
      <c r="Z7" s="28">
        <v>3643.67</v>
      </c>
      <c r="AA7" s="27">
        <v>-163.965</v>
      </c>
      <c r="AB7" s="17" t="s">
        <v>644</v>
      </c>
      <c r="AC7" s="17" t="s">
        <v>645</v>
      </c>
      <c r="AD7" s="17" t="s">
        <v>646</v>
      </c>
      <c r="AE7" s="18">
        <f>1+(X7/X6)</f>
        <v>0</v>
      </c>
      <c r="AF7" s="19">
        <f>AE7*-AA7</f>
        <v>0</v>
      </c>
    </row>
    <row r="8" spans="1:34">
      <c r="P8" s="20" t="s">
        <v>359</v>
      </c>
      <c r="Q8" s="17" t="s">
        <v>638</v>
      </c>
      <c r="R8" s="17" t="s">
        <v>656</v>
      </c>
      <c r="S8" s="17" t="s">
        <v>640</v>
      </c>
      <c r="T8" s="17">
        <v>263276</v>
      </c>
      <c r="U8" s="26">
        <v>202502</v>
      </c>
      <c r="V8" s="17" t="s">
        <v>641</v>
      </c>
      <c r="W8" s="17" t="s">
        <v>657</v>
      </c>
      <c r="X8" s="27">
        <v>33.486</v>
      </c>
      <c r="Y8" s="17" t="s">
        <v>643</v>
      </c>
      <c r="Z8" s="28">
        <v>4001.9</v>
      </c>
      <c r="AA8" s="27">
        <v>134007.623</v>
      </c>
      <c r="AB8" s="17" t="s">
        <v>644</v>
      </c>
      <c r="AC8" s="17" t="s">
        <v>645</v>
      </c>
      <c r="AD8" s="17" t="s">
        <v>646</v>
      </c>
    </row>
    <row r="9" spans="1:34">
      <c r="P9" s="20" t="s">
        <v>359</v>
      </c>
      <c r="Q9" s="17" t="s">
        <v>638</v>
      </c>
      <c r="R9" s="17" t="s">
        <v>656</v>
      </c>
      <c r="S9" s="17" t="s">
        <v>647</v>
      </c>
      <c r="T9" s="17">
        <v>263277</v>
      </c>
      <c r="U9" s="26">
        <v>202502</v>
      </c>
      <c r="V9" s="17" t="s">
        <v>648</v>
      </c>
      <c r="W9" s="17" t="s">
        <v>658</v>
      </c>
      <c r="X9" s="27">
        <v>-31.498</v>
      </c>
      <c r="Y9" s="17" t="s">
        <v>643</v>
      </c>
      <c r="Z9" s="28">
        <v>4254.48</v>
      </c>
      <c r="AA9" s="27">
        <v>-134007.623</v>
      </c>
      <c r="AB9" s="17" t="s">
        <v>644</v>
      </c>
      <c r="AC9" s="17" t="s">
        <v>645</v>
      </c>
      <c r="AD9" s="17" t="s">
        <v>646</v>
      </c>
      <c r="AE9" s="18">
        <f>1+(X9/X8)</f>
        <v>0.0593680941288895</v>
      </c>
      <c r="AF9" s="19">
        <f>AE9*-AA9</f>
        <v>7955.77717625274</v>
      </c>
    </row>
    <row r="10" spans="1:34">
      <c r="P10" s="20" t="s">
        <v>359</v>
      </c>
      <c r="Q10" s="17" t="s">
        <v>638</v>
      </c>
      <c r="R10" s="17" t="s">
        <v>659</v>
      </c>
      <c r="S10" s="17" t="s">
        <v>640</v>
      </c>
      <c r="T10" s="17">
        <v>290284</v>
      </c>
      <c r="U10" s="26">
        <v>202502</v>
      </c>
      <c r="V10" s="17" t="s">
        <v>641</v>
      </c>
      <c r="W10" s="17" t="s">
        <v>660</v>
      </c>
      <c r="X10" s="27">
        <v>1.384</v>
      </c>
      <c r="Y10" s="17" t="s">
        <v>643</v>
      </c>
      <c r="Z10" s="28">
        <v>4127.9603</v>
      </c>
      <c r="AA10" s="27">
        <v>5713.097</v>
      </c>
      <c r="AB10" s="17" t="s">
        <v>644</v>
      </c>
      <c r="AC10" s="17" t="s">
        <v>645</v>
      </c>
      <c r="AD10" s="17" t="s">
        <v>646</v>
      </c>
    </row>
    <row r="11" spans="1:34">
      <c r="P11" s="20" t="s">
        <v>359</v>
      </c>
      <c r="Q11" s="17" t="s">
        <v>638</v>
      </c>
      <c r="R11" s="17" t="s">
        <v>659</v>
      </c>
      <c r="S11" s="17" t="s">
        <v>647</v>
      </c>
      <c r="T11" s="17">
        <v>290285</v>
      </c>
      <c r="U11" s="26">
        <v>202502</v>
      </c>
      <c r="V11" s="17" t="s">
        <v>648</v>
      </c>
      <c r="W11" s="17" t="s">
        <v>661</v>
      </c>
      <c r="X11" s="27">
        <v>-1.284</v>
      </c>
      <c r="Y11" s="17" t="s">
        <v>643</v>
      </c>
      <c r="Z11" s="28">
        <v>4449.45</v>
      </c>
      <c r="AA11" s="27">
        <v>-5713.097</v>
      </c>
      <c r="AB11" s="17" t="s">
        <v>644</v>
      </c>
      <c r="AC11" s="17" t="s">
        <v>645</v>
      </c>
      <c r="AD11" s="17" t="s">
        <v>646</v>
      </c>
      <c r="AE11" s="18">
        <f>1+(X11/X10)</f>
        <v>0.0722543352601155</v>
      </c>
      <c r="AF11" s="19">
        <f>AE11*-AA11</f>
        <v>412.79602601156</v>
      </c>
    </row>
    <row r="12" spans="1:34">
      <c r="P12" s="20" t="s">
        <v>359</v>
      </c>
      <c r="Q12" s="17" t="s">
        <v>638</v>
      </c>
      <c r="R12" s="17" t="s">
        <v>662</v>
      </c>
      <c r="S12" s="17" t="s">
        <v>640</v>
      </c>
      <c r="T12" s="17">
        <v>291457</v>
      </c>
      <c r="U12" s="26">
        <v>202502</v>
      </c>
      <c r="V12" s="17" t="s">
        <v>641</v>
      </c>
      <c r="W12" s="17" t="s">
        <v>663</v>
      </c>
      <c r="X12" s="27">
        <v>3.807</v>
      </c>
      <c r="Y12" s="17" t="s">
        <v>643</v>
      </c>
      <c r="Z12" s="28">
        <v>4797.6701</v>
      </c>
      <c r="AA12" s="27">
        <v>18264.73</v>
      </c>
      <c r="AB12" s="17" t="s">
        <v>644</v>
      </c>
      <c r="AC12" s="17" t="s">
        <v>645</v>
      </c>
      <c r="AD12" s="17" t="s">
        <v>646</v>
      </c>
    </row>
    <row r="13" spans="1:34">
      <c r="P13" s="20" t="s">
        <v>359</v>
      </c>
      <c r="Q13" s="17" t="s">
        <v>638</v>
      </c>
      <c r="R13" s="17" t="s">
        <v>662</v>
      </c>
      <c r="S13" s="17" t="s">
        <v>647</v>
      </c>
      <c r="T13" s="17">
        <v>291458</v>
      </c>
      <c r="U13" s="26">
        <v>202502</v>
      </c>
      <c r="V13" s="17" t="s">
        <v>648</v>
      </c>
      <c r="W13" s="17" t="s">
        <v>664</v>
      </c>
      <c r="X13" s="27">
        <v>-3.69</v>
      </c>
      <c r="Y13" s="17" t="s">
        <v>643</v>
      </c>
      <c r="Z13" s="28">
        <v>4949.79</v>
      </c>
      <c r="AA13" s="27">
        <v>-18264.73</v>
      </c>
      <c r="AB13" s="17" t="s">
        <v>644</v>
      </c>
      <c r="AC13" s="17" t="s">
        <v>645</v>
      </c>
      <c r="AD13" s="17" t="s">
        <v>646</v>
      </c>
      <c r="AE13" s="18">
        <f>1+(X13/X12)</f>
        <v>0.0307328605200946</v>
      </c>
      <c r="AF13" s="19">
        <f>AE13*-AA13</f>
        <v>561.327399527188</v>
      </c>
    </row>
    <row r="14" spans="1:34">
      <c r="P14" s="20" t="s">
        <v>359</v>
      </c>
      <c r="Q14" s="17" t="s">
        <v>638</v>
      </c>
      <c r="R14" s="17" t="s">
        <v>665</v>
      </c>
      <c r="S14" s="17" t="s">
        <v>640</v>
      </c>
      <c r="T14" s="17">
        <v>291459</v>
      </c>
      <c r="U14" s="26">
        <v>202502</v>
      </c>
      <c r="V14" s="17" t="s">
        <v>641</v>
      </c>
      <c r="W14" s="17" t="s">
        <v>666</v>
      </c>
      <c r="X14" s="27">
        <v>6.843</v>
      </c>
      <c r="Y14" s="17" t="s">
        <v>643</v>
      </c>
      <c r="Z14" s="28">
        <v>4235.03</v>
      </c>
      <c r="AA14" s="27">
        <v>28980.31</v>
      </c>
      <c r="AB14" s="17" t="s">
        <v>644</v>
      </c>
      <c r="AC14" s="17" t="s">
        <v>645</v>
      </c>
      <c r="AD14" s="17" t="s">
        <v>646</v>
      </c>
    </row>
    <row r="15" spans="1:34">
      <c r="P15" s="20" t="s">
        <v>359</v>
      </c>
      <c r="Q15" s="17" t="s">
        <v>638</v>
      </c>
      <c r="R15" s="17" t="s">
        <v>665</v>
      </c>
      <c r="S15" s="17" t="s">
        <v>647</v>
      </c>
      <c r="T15" s="17">
        <v>291460</v>
      </c>
      <c r="U15" s="26">
        <v>202502</v>
      </c>
      <c r="V15" s="17" t="s">
        <v>648</v>
      </c>
      <c r="W15" s="17" t="s">
        <v>667</v>
      </c>
      <c r="X15" s="27">
        <v>-6.465</v>
      </c>
      <c r="Y15" s="17" t="s">
        <v>643</v>
      </c>
      <c r="Z15" s="28">
        <v>4482.65</v>
      </c>
      <c r="AA15" s="27">
        <v>-28980.31</v>
      </c>
      <c r="AB15" s="17" t="s">
        <v>644</v>
      </c>
      <c r="AC15" s="17" t="s">
        <v>645</v>
      </c>
      <c r="AD15" s="17" t="s">
        <v>646</v>
      </c>
      <c r="AE15" s="18">
        <f>1+(X15/X14)</f>
        <v>0.0552389302937308</v>
      </c>
      <c r="AF15" s="19">
        <f>AE15*-AA15</f>
        <v>1600.84132398071</v>
      </c>
    </row>
    <row r="16" spans="1:34">
      <c r="P16" s="20" t="s">
        <v>359</v>
      </c>
      <c r="Q16" s="17" t="s">
        <v>638</v>
      </c>
      <c r="R16" s="17" t="s">
        <v>668</v>
      </c>
      <c r="S16" s="17" t="s">
        <v>640</v>
      </c>
      <c r="T16" s="17">
        <v>304073</v>
      </c>
      <c r="U16" s="26">
        <v>202502</v>
      </c>
      <c r="V16" s="17" t="s">
        <v>641</v>
      </c>
      <c r="W16" s="17" t="s">
        <v>669</v>
      </c>
      <c r="X16" s="27">
        <v>0.613</v>
      </c>
      <c r="Y16" s="17" t="s">
        <v>643</v>
      </c>
      <c r="Z16" s="28">
        <v>4014.1697</v>
      </c>
      <c r="AA16" s="27">
        <v>2460.686</v>
      </c>
      <c r="AB16" s="17" t="s">
        <v>644</v>
      </c>
      <c r="AC16" s="17" t="s">
        <v>645</v>
      </c>
      <c r="AD16" s="17" t="s">
        <v>646</v>
      </c>
    </row>
    <row r="17" spans="16:32">
      <c r="P17" s="20" t="s">
        <v>359</v>
      </c>
      <c r="Q17" s="17" t="s">
        <v>638</v>
      </c>
      <c r="R17" s="17" t="s">
        <v>668</v>
      </c>
      <c r="S17" s="17" t="s">
        <v>647</v>
      </c>
      <c r="T17" s="17">
        <v>304074</v>
      </c>
      <c r="U17" s="26">
        <v>202502</v>
      </c>
      <c r="V17" s="17" t="s">
        <v>648</v>
      </c>
      <c r="W17" s="17" t="s">
        <v>670</v>
      </c>
      <c r="X17" s="27">
        <v>-0.531</v>
      </c>
      <c r="Y17" s="17" t="s">
        <v>643</v>
      </c>
      <c r="Z17" s="28">
        <v>4634.06</v>
      </c>
      <c r="AA17" s="27">
        <v>-2460.686</v>
      </c>
      <c r="AB17" s="17" t="s">
        <v>644</v>
      </c>
      <c r="AC17" s="17" t="s">
        <v>645</v>
      </c>
      <c r="AD17" s="17" t="s">
        <v>646</v>
      </c>
      <c r="AE17" s="18">
        <f>1+(X17/X16)</f>
        <v>0.133768352365416</v>
      </c>
      <c r="AF17" s="19">
        <f>AE17*-AA17</f>
        <v>329.161911908646</v>
      </c>
    </row>
    <row r="18" spans="16:32">
      <c r="P18" s="20" t="s">
        <v>359</v>
      </c>
      <c r="Q18" s="17" t="s">
        <v>638</v>
      </c>
      <c r="R18" s="17" t="s">
        <v>671</v>
      </c>
      <c r="S18" s="17" t="s">
        <v>640</v>
      </c>
      <c r="T18" s="17">
        <v>302195</v>
      </c>
      <c r="U18" s="26">
        <v>202502</v>
      </c>
      <c r="V18" s="17" t="s">
        <v>641</v>
      </c>
      <c r="W18" s="17" t="s">
        <v>672</v>
      </c>
      <c r="X18" s="27">
        <v>9.99</v>
      </c>
      <c r="Y18" s="17" t="s">
        <v>643</v>
      </c>
      <c r="Z18" s="28">
        <v>9473.67</v>
      </c>
      <c r="AA18" s="27">
        <v>94641.963</v>
      </c>
      <c r="AB18" s="17" t="s">
        <v>644</v>
      </c>
      <c r="AC18" s="17" t="s">
        <v>645</v>
      </c>
      <c r="AD18" s="17" t="s">
        <v>646</v>
      </c>
    </row>
    <row r="19" spans="16:32">
      <c r="P19" s="20" t="s">
        <v>359</v>
      </c>
      <c r="Q19" s="17" t="s">
        <v>638</v>
      </c>
      <c r="R19" s="17" t="s">
        <v>671</v>
      </c>
      <c r="S19" s="17" t="s">
        <v>647</v>
      </c>
      <c r="T19" s="17">
        <v>302196</v>
      </c>
      <c r="U19" s="26">
        <v>202502</v>
      </c>
      <c r="V19" s="17" t="s">
        <v>648</v>
      </c>
      <c r="W19" s="17" t="s">
        <v>673</v>
      </c>
      <c r="X19" s="27">
        <v>-9.785</v>
      </c>
      <c r="Y19" s="17" t="s">
        <v>643</v>
      </c>
      <c r="Z19" s="28">
        <v>9672.15</v>
      </c>
      <c r="AA19" s="27">
        <v>-94641.963</v>
      </c>
      <c r="AB19" s="17" t="s">
        <v>644</v>
      </c>
      <c r="AC19" s="17" t="s">
        <v>645</v>
      </c>
      <c r="AD19" s="17" t="s">
        <v>646</v>
      </c>
      <c r="AE19" s="18">
        <f>1+(X19/X18)</f>
        <v>0.0205205205205206</v>
      </c>
      <c r="AF19" s="19">
        <f>AE19*-AA19</f>
        <v>1942.10234384385</v>
      </c>
    </row>
    <row r="20" spans="16:32">
      <c r="P20" s="20" t="s">
        <v>359</v>
      </c>
      <c r="Q20" s="17" t="s">
        <v>638</v>
      </c>
      <c r="R20" s="17" t="s">
        <v>674</v>
      </c>
      <c r="S20" s="17" t="s">
        <v>640</v>
      </c>
      <c r="T20" s="17">
        <v>292645</v>
      </c>
      <c r="U20" s="26">
        <v>202502</v>
      </c>
      <c r="V20" s="17" t="s">
        <v>641</v>
      </c>
      <c r="W20" s="17" t="s">
        <v>675</v>
      </c>
      <c r="X20" s="17">
        <v>9.614</v>
      </c>
      <c r="Y20" s="17" t="s">
        <v>643</v>
      </c>
      <c r="Z20" s="17">
        <v>3631.81</v>
      </c>
      <c r="AA20" s="17">
        <v>34916.221</v>
      </c>
      <c r="AB20" s="17" t="s">
        <v>644</v>
      </c>
      <c r="AC20" s="17" t="s">
        <v>645</v>
      </c>
      <c r="AD20" s="17" t="s">
        <v>646</v>
      </c>
    </row>
    <row r="21" spans="16:32">
      <c r="P21" s="20" t="s">
        <v>359</v>
      </c>
      <c r="Q21" s="17" t="s">
        <v>638</v>
      </c>
      <c r="R21" s="17" t="s">
        <v>674</v>
      </c>
      <c r="S21" s="17" t="s">
        <v>647</v>
      </c>
      <c r="T21" s="17">
        <v>292646</v>
      </c>
      <c r="U21" s="26">
        <v>202502</v>
      </c>
      <c r="V21" s="17" t="s">
        <v>648</v>
      </c>
      <c r="W21" s="17" t="s">
        <v>676</v>
      </c>
      <c r="X21" s="17">
        <v>-9.48</v>
      </c>
      <c r="Y21" s="17" t="s">
        <v>643</v>
      </c>
      <c r="Z21" s="17">
        <v>3683.15</v>
      </c>
      <c r="AA21" s="17">
        <v>-34916.221</v>
      </c>
      <c r="AB21" s="17" t="s">
        <v>644</v>
      </c>
      <c r="AC21" s="17" t="s">
        <v>645</v>
      </c>
      <c r="AD21" s="17" t="s">
        <v>646</v>
      </c>
      <c r="AE21" s="18">
        <f>1+(X21/X20)</f>
        <v>0.0139380070730185</v>
      </c>
      <c r="AF21" s="19">
        <f>AE21*-AA21</f>
        <v>486.662535261077</v>
      </c>
    </row>
    <row r="22" spans="16:32">
      <c r="P22" s="20" t="s">
        <v>359</v>
      </c>
      <c r="Q22" s="17" t="s">
        <v>638</v>
      </c>
      <c r="R22" s="17" t="s">
        <v>677</v>
      </c>
      <c r="S22" s="17" t="s">
        <v>640</v>
      </c>
      <c r="T22" s="17">
        <v>300310</v>
      </c>
      <c r="U22" s="26">
        <v>202502</v>
      </c>
      <c r="V22" s="17" t="s">
        <v>641</v>
      </c>
      <c r="W22" s="17" t="s">
        <v>678</v>
      </c>
      <c r="X22" s="17">
        <v>4.26</v>
      </c>
      <c r="Y22" s="17" t="s">
        <v>643</v>
      </c>
      <c r="Z22" s="17">
        <v>3632.7899</v>
      </c>
      <c r="AA22" s="17">
        <v>15475.685</v>
      </c>
      <c r="AB22" s="17" t="s">
        <v>644</v>
      </c>
      <c r="AC22" s="17" t="s">
        <v>645</v>
      </c>
      <c r="AD22" s="17" t="s">
        <v>646</v>
      </c>
    </row>
    <row r="23" spans="16:32">
      <c r="P23" s="20" t="s">
        <v>359</v>
      </c>
      <c r="Q23" s="17" t="s">
        <v>638</v>
      </c>
      <c r="R23" s="17" t="s">
        <v>677</v>
      </c>
      <c r="S23" s="17" t="s">
        <v>647</v>
      </c>
      <c r="T23" s="17">
        <v>300311</v>
      </c>
      <c r="U23" s="26">
        <v>202502</v>
      </c>
      <c r="V23" s="17" t="s">
        <v>648</v>
      </c>
      <c r="W23" s="17" t="s">
        <v>679</v>
      </c>
      <c r="X23" s="17">
        <v>-4.26</v>
      </c>
      <c r="Y23" s="17" t="s">
        <v>643</v>
      </c>
      <c r="Z23" s="17">
        <v>3632.79</v>
      </c>
      <c r="AA23" s="17">
        <v>-15475.685</v>
      </c>
      <c r="AB23" s="17" t="s">
        <v>644</v>
      </c>
      <c r="AC23" s="17" t="s">
        <v>645</v>
      </c>
      <c r="AD23" s="17" t="s">
        <v>646</v>
      </c>
      <c r="AE23" s="18">
        <f>1+(X23/X22)</f>
        <v>0</v>
      </c>
      <c r="AF23" s="19">
        <f>AE23*-AA23</f>
        <v>0</v>
      </c>
    </row>
    <row r="24" spans="16:32">
      <c r="P24" s="20" t="s">
        <v>308</v>
      </c>
      <c r="Q24" s="17" t="s">
        <v>638</v>
      </c>
      <c r="R24" s="17" t="s">
        <v>680</v>
      </c>
      <c r="S24" s="17" t="s">
        <v>640</v>
      </c>
      <c r="T24" s="17">
        <v>276228</v>
      </c>
      <c r="U24" s="26">
        <v>202502</v>
      </c>
      <c r="V24" s="17" t="s">
        <v>641</v>
      </c>
      <c r="W24" s="17" t="s">
        <v>681</v>
      </c>
      <c r="X24" s="17">
        <v>1.024</v>
      </c>
      <c r="Y24" s="17" t="s">
        <v>643</v>
      </c>
      <c r="Z24" s="17">
        <v>5329.0898</v>
      </c>
      <c r="AA24" s="17">
        <v>5456.988</v>
      </c>
      <c r="AB24" s="17" t="s">
        <v>644</v>
      </c>
      <c r="AC24" s="17" t="s">
        <v>645</v>
      </c>
      <c r="AD24" s="17" t="s">
        <v>646</v>
      </c>
    </row>
    <row r="25" spans="16:32">
      <c r="P25" s="20" t="s">
        <v>308</v>
      </c>
      <c r="Q25" s="17" t="s">
        <v>638</v>
      </c>
      <c r="R25" s="17" t="s">
        <v>680</v>
      </c>
      <c r="S25" s="17" t="s">
        <v>647</v>
      </c>
      <c r="T25" s="17">
        <v>276229</v>
      </c>
      <c r="U25" s="26">
        <v>202502</v>
      </c>
      <c r="V25" s="17" t="s">
        <v>648</v>
      </c>
      <c r="W25" s="17" t="s">
        <v>682</v>
      </c>
      <c r="X25" s="17">
        <v>-0.985</v>
      </c>
      <c r="Y25" s="17" t="s">
        <v>643</v>
      </c>
      <c r="Z25" s="17">
        <v>5540.09</v>
      </c>
      <c r="AA25" s="17">
        <v>-5456.988</v>
      </c>
      <c r="AB25" s="17" t="s">
        <v>644</v>
      </c>
      <c r="AC25" s="17" t="s">
        <v>645</v>
      </c>
      <c r="AD25" s="17" t="s">
        <v>646</v>
      </c>
      <c r="AE25" s="18">
        <f>1+(X25/X24)</f>
        <v>0.0380859375</v>
      </c>
      <c r="AF25" s="19">
        <f>AE25*-AA25</f>
        <v>207.83450390625</v>
      </c>
    </row>
    <row r="26" spans="16:32">
      <c r="P26" s="20" t="s">
        <v>308</v>
      </c>
      <c r="Q26" s="17" t="s">
        <v>638</v>
      </c>
      <c r="R26" s="17" t="s">
        <v>683</v>
      </c>
      <c r="S26" s="17" t="s">
        <v>640</v>
      </c>
      <c r="T26" s="17">
        <v>299667</v>
      </c>
      <c r="U26" s="26">
        <v>202502</v>
      </c>
      <c r="V26" s="17" t="s">
        <v>641</v>
      </c>
      <c r="W26" s="17" t="s">
        <v>684</v>
      </c>
      <c r="X26" s="17">
        <v>2.608</v>
      </c>
      <c r="Y26" s="17" t="s">
        <v>643</v>
      </c>
      <c r="Z26" s="17">
        <v>4408.8401</v>
      </c>
      <c r="AA26" s="17">
        <v>11498.255</v>
      </c>
      <c r="AB26" s="17" t="s">
        <v>644</v>
      </c>
      <c r="AC26" s="17" t="s">
        <v>645</v>
      </c>
      <c r="AD26" s="17" t="s">
        <v>646</v>
      </c>
    </row>
    <row r="27" spans="16:32">
      <c r="P27" s="20" t="s">
        <v>308</v>
      </c>
      <c r="Q27" s="17" t="s">
        <v>638</v>
      </c>
      <c r="R27" s="17" t="s">
        <v>683</v>
      </c>
      <c r="S27" s="17" t="s">
        <v>647</v>
      </c>
      <c r="T27" s="17">
        <v>299668</v>
      </c>
      <c r="U27" s="26">
        <v>202502</v>
      </c>
      <c r="V27" s="17" t="s">
        <v>648</v>
      </c>
      <c r="W27" s="17" t="s">
        <v>685</v>
      </c>
      <c r="X27" s="17">
        <v>-2.556</v>
      </c>
      <c r="Y27" s="17" t="s">
        <v>643</v>
      </c>
      <c r="Z27" s="17">
        <v>4498.53</v>
      </c>
      <c r="AA27" s="17">
        <v>-11498.255</v>
      </c>
      <c r="AB27" s="17" t="s">
        <v>644</v>
      </c>
      <c r="AC27" s="17" t="s">
        <v>645</v>
      </c>
      <c r="AD27" s="17" t="s">
        <v>646</v>
      </c>
      <c r="AE27" s="18">
        <f>1+(X27/X26)</f>
        <v>0.0199386503067485</v>
      </c>
      <c r="AF27" s="19">
        <f>AE27*-AA27</f>
        <v>229.259685582822</v>
      </c>
    </row>
    <row r="28" spans="16:32">
      <c r="P28" s="20" t="s">
        <v>308</v>
      </c>
      <c r="Q28" s="17" t="s">
        <v>638</v>
      </c>
      <c r="R28" s="17" t="s">
        <v>686</v>
      </c>
      <c r="S28" s="17" t="s">
        <v>640</v>
      </c>
      <c r="T28" s="17">
        <v>297474</v>
      </c>
      <c r="U28" s="26">
        <v>202502</v>
      </c>
      <c r="V28" s="17" t="s">
        <v>641</v>
      </c>
      <c r="W28" s="17" t="s">
        <v>687</v>
      </c>
      <c r="X28" s="17">
        <v>0.908</v>
      </c>
      <c r="Y28" s="17" t="s">
        <v>643</v>
      </c>
      <c r="Z28" s="17">
        <v>5478.4703</v>
      </c>
      <c r="AA28" s="17">
        <v>4974.451</v>
      </c>
      <c r="AB28" s="17" t="s">
        <v>644</v>
      </c>
      <c r="AC28" s="17" t="s">
        <v>645</v>
      </c>
      <c r="AD28" s="17" t="s">
        <v>646</v>
      </c>
    </row>
    <row r="29" spans="16:32">
      <c r="P29" s="20" t="s">
        <v>308</v>
      </c>
      <c r="Q29" s="17" t="s">
        <v>638</v>
      </c>
      <c r="R29" s="17" t="s">
        <v>686</v>
      </c>
      <c r="S29" s="17" t="s">
        <v>647</v>
      </c>
      <c r="T29" s="17">
        <v>297475</v>
      </c>
      <c r="U29" s="26">
        <v>202502</v>
      </c>
      <c r="V29" s="17" t="s">
        <v>648</v>
      </c>
      <c r="W29" s="17" t="s">
        <v>688</v>
      </c>
      <c r="X29" s="17">
        <v>-0.816</v>
      </c>
      <c r="Y29" s="17" t="s">
        <v>643</v>
      </c>
      <c r="Z29" s="17">
        <v>6096.14</v>
      </c>
      <c r="AA29" s="17">
        <v>-4974.451</v>
      </c>
      <c r="AB29" s="17" t="s">
        <v>644</v>
      </c>
      <c r="AC29" s="17" t="s">
        <v>645</v>
      </c>
      <c r="AD29" s="17" t="s">
        <v>646</v>
      </c>
      <c r="AE29" s="18">
        <f t="shared" ref="AE29:AE33" si="2">1+(X29/X28)</f>
        <v>0.101321585903084</v>
      </c>
      <c r="AF29" s="19">
        <f t="shared" ref="AF29:AF33" si="3">AE29*-AA29</f>
        <v>504.019264317181</v>
      </c>
    </row>
    <row r="30" spans="16:32">
      <c r="P30" s="20" t="s">
        <v>308</v>
      </c>
      <c r="Q30" s="17" t="s">
        <v>638</v>
      </c>
      <c r="R30" s="17" t="s">
        <v>689</v>
      </c>
      <c r="S30" s="17" t="s">
        <v>640</v>
      </c>
      <c r="T30" s="17">
        <v>292653</v>
      </c>
      <c r="U30" s="26">
        <v>202502</v>
      </c>
      <c r="V30" s="17" t="s">
        <v>641</v>
      </c>
      <c r="W30" s="17" t="s">
        <v>690</v>
      </c>
      <c r="X30" s="17">
        <v>4.344</v>
      </c>
      <c r="Y30" s="17" t="s">
        <v>643</v>
      </c>
      <c r="Z30" s="17">
        <v>4916.1899</v>
      </c>
      <c r="AA30" s="17">
        <v>21355.929</v>
      </c>
      <c r="AB30" s="17" t="s">
        <v>644</v>
      </c>
      <c r="AC30" s="17" t="s">
        <v>645</v>
      </c>
      <c r="AD30" s="17" t="s">
        <v>646</v>
      </c>
    </row>
    <row r="31" spans="16:32">
      <c r="P31" s="20" t="s">
        <v>308</v>
      </c>
      <c r="Q31" s="17" t="s">
        <v>638</v>
      </c>
      <c r="R31" s="17" t="s">
        <v>689</v>
      </c>
      <c r="S31" s="17" t="s">
        <v>647</v>
      </c>
      <c r="T31" s="17">
        <v>292654</v>
      </c>
      <c r="U31" s="26">
        <v>202502</v>
      </c>
      <c r="V31" s="17" t="s">
        <v>648</v>
      </c>
      <c r="W31" s="17" t="s">
        <v>691</v>
      </c>
      <c r="X31" s="17">
        <v>-4.344</v>
      </c>
      <c r="Y31" s="17" t="s">
        <v>643</v>
      </c>
      <c r="Z31" s="17">
        <v>4916.19</v>
      </c>
      <c r="AA31" s="17">
        <v>-21355.929</v>
      </c>
      <c r="AB31" s="17" t="s">
        <v>644</v>
      </c>
      <c r="AC31" s="17" t="s">
        <v>645</v>
      </c>
      <c r="AD31" s="17" t="s">
        <v>646</v>
      </c>
      <c r="AE31" s="18">
        <f t="shared" si="2"/>
        <v>0</v>
      </c>
      <c r="AF31" s="19">
        <f t="shared" si="3"/>
        <v>0</v>
      </c>
    </row>
    <row r="32" spans="16:32">
      <c r="P32" s="17" t="s">
        <v>308</v>
      </c>
      <c r="Q32" s="17" t="s">
        <v>638</v>
      </c>
      <c r="R32" s="17" t="s">
        <v>692</v>
      </c>
      <c r="S32" s="17" t="s">
        <v>640</v>
      </c>
      <c r="T32" s="17">
        <v>290939</v>
      </c>
      <c r="U32" s="26">
        <v>202502</v>
      </c>
      <c r="V32" s="17" t="s">
        <v>641</v>
      </c>
      <c r="W32" s="17" t="s">
        <v>693</v>
      </c>
      <c r="X32" s="17">
        <v>12.5</v>
      </c>
      <c r="Y32" s="17" t="s">
        <v>643</v>
      </c>
      <c r="Z32" s="17">
        <v>4270.65</v>
      </c>
      <c r="AA32" s="17">
        <v>53383.125</v>
      </c>
      <c r="AB32" s="17" t="s">
        <v>644</v>
      </c>
      <c r="AC32" s="17" t="s">
        <v>645</v>
      </c>
      <c r="AD32" s="17" t="s">
        <v>646</v>
      </c>
    </row>
    <row r="33" spans="16:32">
      <c r="P33" s="17" t="s">
        <v>308</v>
      </c>
      <c r="Q33" s="17" t="s">
        <v>638</v>
      </c>
      <c r="R33" s="17" t="s">
        <v>692</v>
      </c>
      <c r="S33" s="17" t="s">
        <v>647</v>
      </c>
      <c r="T33" s="17">
        <v>290940</v>
      </c>
      <c r="U33" s="26">
        <v>202502</v>
      </c>
      <c r="V33" s="17" t="s">
        <v>648</v>
      </c>
      <c r="W33" s="17" t="s">
        <v>694</v>
      </c>
      <c r="X33" s="17">
        <v>-11.754</v>
      </c>
      <c r="Y33" s="17" t="s">
        <v>643</v>
      </c>
      <c r="Z33" s="17">
        <v>4541.7</v>
      </c>
      <c r="AA33" s="17">
        <v>-53383.125</v>
      </c>
      <c r="AB33" s="17" t="s">
        <v>644</v>
      </c>
      <c r="AC33" s="17" t="s">
        <v>645</v>
      </c>
      <c r="AD33" s="17" t="s">
        <v>646</v>
      </c>
      <c r="AE33" s="18">
        <f t="shared" si="2"/>
        <v>0.0596800000000001</v>
      </c>
      <c r="AF33" s="19">
        <f t="shared" si="3"/>
        <v>3185.9049</v>
      </c>
    </row>
    <row r="34" spans="16:32">
      <c r="P34" s="20" t="s">
        <v>359</v>
      </c>
      <c r="Q34" s="17" t="s">
        <v>638</v>
      </c>
      <c r="R34" s="17" t="s">
        <v>695</v>
      </c>
      <c r="S34" s="17" t="s">
        <v>640</v>
      </c>
      <c r="T34" s="17">
        <v>248454</v>
      </c>
      <c r="U34" s="26">
        <v>202501</v>
      </c>
      <c r="V34" s="17" t="s">
        <v>641</v>
      </c>
      <c r="W34" s="17" t="s">
        <v>642</v>
      </c>
      <c r="X34" s="27">
        <v>13.316</v>
      </c>
      <c r="Y34" s="17" t="s">
        <v>643</v>
      </c>
      <c r="Z34" s="28">
        <v>5183.58</v>
      </c>
      <c r="AA34" s="27">
        <v>69024.551</v>
      </c>
      <c r="AB34" s="17" t="s">
        <v>644</v>
      </c>
      <c r="AC34" s="17" t="s">
        <v>645</v>
      </c>
      <c r="AD34" s="17" t="s">
        <v>646</v>
      </c>
    </row>
    <row r="35" spans="16:32">
      <c r="P35" s="20" t="s">
        <v>359</v>
      </c>
      <c r="Q35" s="17" t="s">
        <v>638</v>
      </c>
      <c r="R35" s="17" t="s">
        <v>695</v>
      </c>
      <c r="S35" s="17" t="s">
        <v>647</v>
      </c>
      <c r="T35" s="17">
        <v>248455</v>
      </c>
      <c r="U35" s="26">
        <v>202501</v>
      </c>
      <c r="V35" s="17" t="s">
        <v>648</v>
      </c>
      <c r="W35" s="17" t="s">
        <v>649</v>
      </c>
      <c r="X35" s="27">
        <v>-12.9</v>
      </c>
      <c r="Y35" s="17" t="s">
        <v>643</v>
      </c>
      <c r="Z35" s="28">
        <v>5350.74</v>
      </c>
      <c r="AA35" s="27">
        <v>-69024.551</v>
      </c>
      <c r="AB35" s="17" t="s">
        <v>644</v>
      </c>
      <c r="AC35" s="17" t="s">
        <v>645</v>
      </c>
      <c r="AD35" s="17" t="s">
        <v>646</v>
      </c>
      <c r="AE35" s="18">
        <f t="shared" ref="AE35:AE39" si="4">1+(X35/X34)</f>
        <v>0.0312406127966357</v>
      </c>
      <c r="AF35" s="19">
        <f t="shared" ref="AF35:AF39" si="5">AE35*-AA35</f>
        <v>2156.36927125263</v>
      </c>
    </row>
    <row r="36" spans="16:32">
      <c r="P36" s="20" t="s">
        <v>359</v>
      </c>
      <c r="Q36" s="17" t="s">
        <v>638</v>
      </c>
      <c r="R36" s="17" t="s">
        <v>696</v>
      </c>
      <c r="S36" s="17" t="s">
        <v>640</v>
      </c>
      <c r="T36" s="17">
        <v>248452</v>
      </c>
      <c r="U36" s="26">
        <v>202501</v>
      </c>
      <c r="V36" s="17" t="s">
        <v>641</v>
      </c>
      <c r="W36" s="17" t="s">
        <v>651</v>
      </c>
      <c r="X36" s="27">
        <v>5.691</v>
      </c>
      <c r="Y36" s="17" t="s">
        <v>643</v>
      </c>
      <c r="Z36" s="28">
        <v>3459.45</v>
      </c>
      <c r="AA36" s="27">
        <v>19687.73</v>
      </c>
      <c r="AB36" s="17" t="s">
        <v>644</v>
      </c>
      <c r="AC36" s="17" t="s">
        <v>645</v>
      </c>
      <c r="AD36" s="17" t="s">
        <v>646</v>
      </c>
    </row>
    <row r="37" spans="16:32">
      <c r="P37" s="20" t="s">
        <v>359</v>
      </c>
      <c r="Q37" s="17" t="s">
        <v>638</v>
      </c>
      <c r="R37" s="17" t="s">
        <v>696</v>
      </c>
      <c r="S37" s="17" t="s">
        <v>647</v>
      </c>
      <c r="T37" s="17">
        <v>248453</v>
      </c>
      <c r="U37" s="26">
        <v>202501</v>
      </c>
      <c r="V37" s="17" t="s">
        <v>648</v>
      </c>
      <c r="W37" s="17" t="s">
        <v>652</v>
      </c>
      <c r="X37" s="27">
        <v>-5.565</v>
      </c>
      <c r="Y37" s="17" t="s">
        <v>643</v>
      </c>
      <c r="Z37" s="28">
        <v>3537.78</v>
      </c>
      <c r="AA37" s="27">
        <v>-19687.73</v>
      </c>
      <c r="AB37" s="17" t="s">
        <v>644</v>
      </c>
      <c r="AC37" s="17" t="s">
        <v>645</v>
      </c>
      <c r="AD37" s="17" t="s">
        <v>646</v>
      </c>
      <c r="AE37" s="18">
        <f t="shared" si="4"/>
        <v>0.0221402214022139</v>
      </c>
      <c r="AF37" s="19">
        <f t="shared" si="5"/>
        <v>435.89070110701</v>
      </c>
    </row>
    <row r="38" spans="16:32">
      <c r="P38" s="20" t="s">
        <v>359</v>
      </c>
      <c r="Q38" s="17" t="s">
        <v>638</v>
      </c>
      <c r="R38" s="17" t="s">
        <v>697</v>
      </c>
      <c r="S38" s="17" t="s">
        <v>640</v>
      </c>
      <c r="T38" s="17">
        <v>263276</v>
      </c>
      <c r="U38" s="26">
        <v>202501</v>
      </c>
      <c r="V38" s="17" t="s">
        <v>641</v>
      </c>
      <c r="W38" s="17" t="s">
        <v>657</v>
      </c>
      <c r="X38" s="27">
        <v>9.919</v>
      </c>
      <c r="Y38" s="17" t="s">
        <v>643</v>
      </c>
      <c r="Z38" s="28">
        <v>4083.14</v>
      </c>
      <c r="AA38" s="27">
        <v>40500.666</v>
      </c>
      <c r="AB38" s="17" t="s">
        <v>644</v>
      </c>
      <c r="AC38" s="17" t="s">
        <v>645</v>
      </c>
      <c r="AD38" s="17" t="s">
        <v>646</v>
      </c>
    </row>
    <row r="39" spans="16:32">
      <c r="P39" s="20" t="s">
        <v>359</v>
      </c>
      <c r="Q39" s="17" t="s">
        <v>638</v>
      </c>
      <c r="R39" s="17" t="s">
        <v>697</v>
      </c>
      <c r="S39" s="17" t="s">
        <v>647</v>
      </c>
      <c r="T39" s="17">
        <v>263277</v>
      </c>
      <c r="U39" s="26">
        <v>202501</v>
      </c>
      <c r="V39" s="17" t="s">
        <v>648</v>
      </c>
      <c r="W39" s="17" t="s">
        <v>658</v>
      </c>
      <c r="X39" s="27">
        <v>-9.179</v>
      </c>
      <c r="Y39" s="17" t="s">
        <v>643</v>
      </c>
      <c r="Z39" s="28">
        <v>4412.32</v>
      </c>
      <c r="AA39" s="27">
        <v>-40500.666</v>
      </c>
      <c r="AB39" s="17" t="s">
        <v>644</v>
      </c>
      <c r="AC39" s="17" t="s">
        <v>645</v>
      </c>
      <c r="AD39" s="17" t="s">
        <v>646</v>
      </c>
      <c r="AE39" s="18">
        <f t="shared" si="4"/>
        <v>0.0746042947877811</v>
      </c>
      <c r="AF39" s="19">
        <f t="shared" si="5"/>
        <v>3021.52362536546</v>
      </c>
    </row>
    <row r="40" spans="16:32">
      <c r="P40" s="20" t="s">
        <v>359</v>
      </c>
      <c r="Q40" s="17" t="s">
        <v>638</v>
      </c>
      <c r="R40" s="17" t="s">
        <v>698</v>
      </c>
      <c r="S40" s="17" t="s">
        <v>640</v>
      </c>
      <c r="T40" s="17">
        <v>290284</v>
      </c>
      <c r="U40" s="26">
        <v>202501</v>
      </c>
      <c r="V40" s="17" t="s">
        <v>641</v>
      </c>
      <c r="W40" s="17" t="s">
        <v>660</v>
      </c>
      <c r="X40" s="27">
        <v>1.2</v>
      </c>
      <c r="Y40" s="17" t="s">
        <v>643</v>
      </c>
      <c r="Z40" s="28">
        <v>5365.48</v>
      </c>
      <c r="AA40" s="27">
        <v>6438.576</v>
      </c>
      <c r="AB40" s="17" t="s">
        <v>644</v>
      </c>
      <c r="AC40" s="17" t="s">
        <v>645</v>
      </c>
      <c r="AD40" s="17" t="s">
        <v>646</v>
      </c>
    </row>
    <row r="41" spans="16:32">
      <c r="P41" s="20" t="s">
        <v>359</v>
      </c>
      <c r="Q41" s="17" t="s">
        <v>638</v>
      </c>
      <c r="R41" s="17" t="s">
        <v>698</v>
      </c>
      <c r="S41" s="17" t="s">
        <v>647</v>
      </c>
      <c r="T41" s="17">
        <v>290285</v>
      </c>
      <c r="U41" s="26">
        <v>202501</v>
      </c>
      <c r="V41" s="17" t="s">
        <v>648</v>
      </c>
      <c r="W41" s="17" t="s">
        <v>661</v>
      </c>
      <c r="X41" s="27">
        <v>-1.2</v>
      </c>
      <c r="Y41" s="17" t="s">
        <v>643</v>
      </c>
      <c r="Z41" s="28">
        <v>5365.48</v>
      </c>
      <c r="AA41" s="27">
        <v>-6438.576</v>
      </c>
      <c r="AB41" s="17" t="s">
        <v>644</v>
      </c>
      <c r="AC41" s="17" t="s">
        <v>645</v>
      </c>
      <c r="AD41" s="17" t="s">
        <v>646</v>
      </c>
      <c r="AE41" s="18">
        <f t="shared" ref="AE41:AE45" si="6">1+(X41/X40)</f>
        <v>0</v>
      </c>
      <c r="AF41" s="19">
        <f t="shared" ref="AF41:AF45" si="7">AE41*-AA41</f>
        <v>0</v>
      </c>
    </row>
    <row r="42" spans="16:32">
      <c r="P42" s="20" t="s">
        <v>359</v>
      </c>
      <c r="Q42" s="17" t="s">
        <v>638</v>
      </c>
      <c r="R42" s="17" t="s">
        <v>699</v>
      </c>
      <c r="S42" s="17" t="s">
        <v>640</v>
      </c>
      <c r="T42" s="17">
        <v>291457</v>
      </c>
      <c r="U42" s="26">
        <v>202501</v>
      </c>
      <c r="V42" s="17" t="s">
        <v>641</v>
      </c>
      <c r="W42" s="17" t="s">
        <v>663</v>
      </c>
      <c r="X42" s="27">
        <v>2.028</v>
      </c>
      <c r="Y42" s="17" t="s">
        <v>643</v>
      </c>
      <c r="Z42" s="28">
        <v>6033.2801</v>
      </c>
      <c r="AA42" s="27">
        <v>12235.492</v>
      </c>
      <c r="AB42" s="17" t="s">
        <v>644</v>
      </c>
      <c r="AC42" s="17" t="s">
        <v>645</v>
      </c>
      <c r="AD42" s="17" t="s">
        <v>646</v>
      </c>
    </row>
    <row r="43" spans="16:32">
      <c r="P43" s="20" t="s">
        <v>359</v>
      </c>
      <c r="Q43" s="17" t="s">
        <v>638</v>
      </c>
      <c r="R43" s="17" t="s">
        <v>699</v>
      </c>
      <c r="S43" s="17" t="s">
        <v>647</v>
      </c>
      <c r="T43" s="17">
        <v>291458</v>
      </c>
      <c r="U43" s="26">
        <v>202501</v>
      </c>
      <c r="V43" s="17" t="s">
        <v>648</v>
      </c>
      <c r="W43" s="17" t="s">
        <v>664</v>
      </c>
      <c r="X43" s="27">
        <v>-1.845</v>
      </c>
      <c r="Y43" s="17" t="s">
        <v>643</v>
      </c>
      <c r="Z43" s="28">
        <v>6631.7</v>
      </c>
      <c r="AA43" s="27">
        <v>-12235.492</v>
      </c>
      <c r="AB43" s="17" t="s">
        <v>644</v>
      </c>
      <c r="AC43" s="17" t="s">
        <v>645</v>
      </c>
      <c r="AD43" s="17" t="s">
        <v>646</v>
      </c>
      <c r="AE43" s="18">
        <f t="shared" si="6"/>
        <v>0.0902366863905326</v>
      </c>
      <c r="AF43" s="19">
        <f t="shared" si="7"/>
        <v>1104.09025443787</v>
      </c>
    </row>
    <row r="44" spans="16:32">
      <c r="P44" s="20" t="s">
        <v>359</v>
      </c>
      <c r="Q44" s="17" t="s">
        <v>638</v>
      </c>
      <c r="R44" s="17" t="s">
        <v>700</v>
      </c>
      <c r="S44" s="17" t="s">
        <v>640</v>
      </c>
      <c r="T44" s="17">
        <v>305647</v>
      </c>
      <c r="U44" s="26">
        <v>202501</v>
      </c>
      <c r="V44" s="17" t="s">
        <v>641</v>
      </c>
      <c r="W44" s="17" t="s">
        <v>701</v>
      </c>
      <c r="X44" s="27">
        <v>10.303</v>
      </c>
      <c r="Y44" s="17" t="s">
        <v>643</v>
      </c>
      <c r="Z44" s="28">
        <v>3602.53</v>
      </c>
      <c r="AA44" s="27">
        <v>37116.867</v>
      </c>
      <c r="AB44" s="17" t="s">
        <v>644</v>
      </c>
      <c r="AC44" s="17" t="s">
        <v>645</v>
      </c>
      <c r="AD44" s="17" t="s">
        <v>646</v>
      </c>
    </row>
    <row r="45" spans="16:32">
      <c r="P45" s="20" t="s">
        <v>359</v>
      </c>
      <c r="Q45" s="17" t="s">
        <v>638</v>
      </c>
      <c r="R45" s="17" t="s">
        <v>700</v>
      </c>
      <c r="S45" s="17" t="s">
        <v>647</v>
      </c>
      <c r="T45" s="17">
        <v>305646</v>
      </c>
      <c r="U45" s="26">
        <v>202501</v>
      </c>
      <c r="V45" s="17" t="s">
        <v>648</v>
      </c>
      <c r="W45" s="17" t="s">
        <v>702</v>
      </c>
      <c r="X45" s="27">
        <v>-10.04</v>
      </c>
      <c r="Y45" s="17" t="s">
        <v>643</v>
      </c>
      <c r="Z45" s="28">
        <v>3696.9</v>
      </c>
      <c r="AA45" s="27">
        <v>-37116.867</v>
      </c>
      <c r="AB45" s="17" t="s">
        <v>644</v>
      </c>
      <c r="AC45" s="17" t="s">
        <v>645</v>
      </c>
      <c r="AD45" s="17" t="s">
        <v>646</v>
      </c>
      <c r="AE45" s="18">
        <f t="shared" si="6"/>
        <v>0.025526545666311</v>
      </c>
      <c r="AF45" s="19">
        <f t="shared" si="7"/>
        <v>947.46540046589</v>
      </c>
    </row>
    <row r="46" spans="16:32">
      <c r="P46" s="20" t="s">
        <v>359</v>
      </c>
      <c r="Q46" s="17" t="s">
        <v>638</v>
      </c>
      <c r="R46" s="17" t="s">
        <v>703</v>
      </c>
      <c r="S46" s="17" t="s">
        <v>640</v>
      </c>
      <c r="T46" s="17">
        <v>271872</v>
      </c>
      <c r="U46" s="26">
        <v>202501</v>
      </c>
      <c r="V46" s="17" t="s">
        <v>641</v>
      </c>
      <c r="W46" s="17" t="s">
        <v>704</v>
      </c>
      <c r="X46" s="27">
        <v>4.13</v>
      </c>
      <c r="Y46" s="17" t="s">
        <v>643</v>
      </c>
      <c r="Z46" s="28">
        <v>5115.06</v>
      </c>
      <c r="AA46" s="27">
        <v>21125.198</v>
      </c>
      <c r="AB46" s="17" t="s">
        <v>644</v>
      </c>
      <c r="AC46" s="17" t="s">
        <v>645</v>
      </c>
      <c r="AD46" s="17" t="s">
        <v>646</v>
      </c>
    </row>
    <row r="47" spans="16:32">
      <c r="P47" s="20" t="s">
        <v>359</v>
      </c>
      <c r="Q47" s="17" t="s">
        <v>638</v>
      </c>
      <c r="R47" s="17" t="s">
        <v>703</v>
      </c>
      <c r="S47" s="17" t="s">
        <v>647</v>
      </c>
      <c r="T47" s="17">
        <v>271873</v>
      </c>
      <c r="U47" s="26">
        <v>202501</v>
      </c>
      <c r="V47" s="17" t="s">
        <v>648</v>
      </c>
      <c r="W47" s="17" t="s">
        <v>705</v>
      </c>
      <c r="X47" s="27">
        <v>-3.96</v>
      </c>
      <c r="Y47" s="17" t="s">
        <v>643</v>
      </c>
      <c r="Z47" s="28">
        <v>5334.65</v>
      </c>
      <c r="AA47" s="27">
        <v>-21125.198</v>
      </c>
      <c r="AB47" s="17" t="s">
        <v>644</v>
      </c>
      <c r="AC47" s="17" t="s">
        <v>645</v>
      </c>
      <c r="AD47" s="17" t="s">
        <v>646</v>
      </c>
      <c r="AE47" s="18">
        <f t="shared" ref="AE47:AE51" si="8">1+(X47/X46)</f>
        <v>0.0411622276029056</v>
      </c>
      <c r="AF47" s="19">
        <f t="shared" ref="AF47:AF51" si="9">AE47*-AA47</f>
        <v>869.560208232445</v>
      </c>
    </row>
    <row r="48" spans="16:32">
      <c r="P48" s="20" t="s">
        <v>359</v>
      </c>
      <c r="Q48" s="17" t="s">
        <v>638</v>
      </c>
      <c r="R48" s="17" t="s">
        <v>706</v>
      </c>
      <c r="S48" s="17" t="s">
        <v>640</v>
      </c>
      <c r="T48" s="17">
        <v>285671</v>
      </c>
      <c r="U48" s="26">
        <v>202501</v>
      </c>
      <c r="V48" s="17" t="s">
        <v>641</v>
      </c>
      <c r="W48" s="17" t="s">
        <v>707</v>
      </c>
      <c r="X48" s="27">
        <v>4.888</v>
      </c>
      <c r="Y48" s="17" t="s">
        <v>643</v>
      </c>
      <c r="Z48" s="28">
        <v>3738.41</v>
      </c>
      <c r="AA48" s="27">
        <v>18273.348</v>
      </c>
      <c r="AB48" s="17" t="s">
        <v>644</v>
      </c>
      <c r="AC48" s="17" t="s">
        <v>645</v>
      </c>
      <c r="AD48" s="17" t="s">
        <v>646</v>
      </c>
    </row>
    <row r="49" spans="16:32">
      <c r="P49" s="20" t="s">
        <v>359</v>
      </c>
      <c r="Q49" s="17" t="s">
        <v>638</v>
      </c>
      <c r="R49" s="17" t="s">
        <v>706</v>
      </c>
      <c r="S49" s="17" t="s">
        <v>647</v>
      </c>
      <c r="T49" s="17">
        <v>285670</v>
      </c>
      <c r="U49" s="26">
        <v>202501</v>
      </c>
      <c r="V49" s="17" t="s">
        <v>648</v>
      </c>
      <c r="W49" s="17" t="s">
        <v>708</v>
      </c>
      <c r="X49" s="27">
        <v>-4.752</v>
      </c>
      <c r="Y49" s="17" t="s">
        <v>643</v>
      </c>
      <c r="Z49" s="28">
        <v>3845.4</v>
      </c>
      <c r="AA49" s="27">
        <v>-18273.348</v>
      </c>
      <c r="AB49" s="17" t="s">
        <v>644</v>
      </c>
      <c r="AC49" s="17" t="s">
        <v>645</v>
      </c>
      <c r="AD49" s="17" t="s">
        <v>646</v>
      </c>
      <c r="AE49" s="18">
        <f t="shared" si="8"/>
        <v>0.0278232405891981</v>
      </c>
      <c r="AF49" s="19">
        <f t="shared" si="9"/>
        <v>508.423757774141</v>
      </c>
    </row>
    <row r="50" spans="16:32">
      <c r="P50" s="20" t="s">
        <v>359</v>
      </c>
      <c r="Q50" s="17" t="s">
        <v>638</v>
      </c>
      <c r="R50" s="17" t="s">
        <v>709</v>
      </c>
      <c r="S50" s="17" t="s">
        <v>640</v>
      </c>
      <c r="T50" s="17">
        <v>292647</v>
      </c>
      <c r="U50" s="26">
        <v>202501</v>
      </c>
      <c r="V50" s="17" t="s">
        <v>641</v>
      </c>
      <c r="W50" s="17" t="s">
        <v>710</v>
      </c>
      <c r="X50" s="27">
        <v>1.148</v>
      </c>
      <c r="Y50" s="17" t="s">
        <v>643</v>
      </c>
      <c r="Z50" s="28">
        <v>6357</v>
      </c>
      <c r="AA50" s="27">
        <v>7297.836</v>
      </c>
      <c r="AB50" s="17" t="s">
        <v>644</v>
      </c>
      <c r="AC50" s="17" t="s">
        <v>645</v>
      </c>
      <c r="AD50" s="17" t="s">
        <v>646</v>
      </c>
    </row>
    <row r="51" spans="16:32">
      <c r="P51" s="20" t="s">
        <v>359</v>
      </c>
      <c r="Q51" s="17" t="s">
        <v>638</v>
      </c>
      <c r="R51" s="17" t="s">
        <v>709</v>
      </c>
      <c r="S51" s="17" t="s">
        <v>647</v>
      </c>
      <c r="T51" s="17">
        <v>292648</v>
      </c>
      <c r="U51" s="26">
        <v>202501</v>
      </c>
      <c r="V51" s="17" t="s">
        <v>648</v>
      </c>
      <c r="W51" s="17" t="s">
        <v>711</v>
      </c>
      <c r="X51" s="27">
        <v>-0.996</v>
      </c>
      <c r="Y51" s="17" t="s">
        <v>643</v>
      </c>
      <c r="Z51" s="28">
        <v>7327.14</v>
      </c>
      <c r="AA51" s="27">
        <v>-7297.836</v>
      </c>
      <c r="AB51" s="17" t="s">
        <v>644</v>
      </c>
      <c r="AC51" s="17" t="s">
        <v>645</v>
      </c>
      <c r="AD51" s="17" t="s">
        <v>646</v>
      </c>
      <c r="AE51" s="18">
        <f t="shared" si="8"/>
        <v>0.132404181184669</v>
      </c>
      <c r="AF51" s="19">
        <f t="shared" si="9"/>
        <v>966.263999999999</v>
      </c>
    </row>
    <row r="52" spans="16:32">
      <c r="P52" s="20" t="s">
        <v>308</v>
      </c>
      <c r="Q52" s="17" t="s">
        <v>638</v>
      </c>
      <c r="R52" s="17" t="s">
        <v>712</v>
      </c>
      <c r="S52" s="17" t="s">
        <v>640</v>
      </c>
      <c r="T52" s="17">
        <v>292657</v>
      </c>
      <c r="U52" s="26">
        <v>202501</v>
      </c>
      <c r="V52" s="17" t="s">
        <v>641</v>
      </c>
      <c r="W52" s="17" t="s">
        <v>713</v>
      </c>
      <c r="X52" s="17">
        <v>1.541</v>
      </c>
      <c r="Y52" s="17" t="s">
        <v>643</v>
      </c>
      <c r="Z52" s="17">
        <v>4244.2998</v>
      </c>
      <c r="AA52" s="17">
        <v>6540.466</v>
      </c>
      <c r="AB52" s="17" t="s">
        <v>644</v>
      </c>
      <c r="AC52" s="17" t="s">
        <v>645</v>
      </c>
      <c r="AD52" s="17" t="s">
        <v>646</v>
      </c>
    </row>
    <row r="53" spans="16:32">
      <c r="P53" s="20" t="s">
        <v>308</v>
      </c>
      <c r="Q53" s="17" t="s">
        <v>638</v>
      </c>
      <c r="R53" s="17" t="s">
        <v>712</v>
      </c>
      <c r="S53" s="17" t="s">
        <v>647</v>
      </c>
      <c r="T53" s="17">
        <v>292658</v>
      </c>
      <c r="U53" s="26">
        <v>202501</v>
      </c>
      <c r="V53" s="17" t="s">
        <v>648</v>
      </c>
      <c r="W53" s="17" t="s">
        <v>714</v>
      </c>
      <c r="X53" s="17">
        <v>-1.476</v>
      </c>
      <c r="Y53" s="17" t="s">
        <v>643</v>
      </c>
      <c r="Z53" s="17">
        <v>4431.21</v>
      </c>
      <c r="AA53" s="17">
        <v>-6540.466</v>
      </c>
      <c r="AB53" s="17" t="s">
        <v>644</v>
      </c>
      <c r="AC53" s="17" t="s">
        <v>645</v>
      </c>
      <c r="AD53" s="17" t="s">
        <v>646</v>
      </c>
      <c r="AE53" s="18">
        <f t="shared" ref="AE53:AE57" si="10">1+(X53/X52)</f>
        <v>0.0421804023361453</v>
      </c>
      <c r="AF53" s="19">
        <f t="shared" ref="AF53:AF57" si="11">AE53*-AA53</f>
        <v>275.879487345879</v>
      </c>
    </row>
    <row r="54" spans="16:32">
      <c r="P54" s="20" t="s">
        <v>308</v>
      </c>
      <c r="Q54" s="17" t="s">
        <v>638</v>
      </c>
      <c r="R54" s="17" t="s">
        <v>715</v>
      </c>
      <c r="S54" s="17" t="s">
        <v>640</v>
      </c>
      <c r="T54" s="17">
        <v>299667</v>
      </c>
      <c r="U54" s="26">
        <v>202501</v>
      </c>
      <c r="V54" s="17" t="s">
        <v>641</v>
      </c>
      <c r="W54" s="17" t="s">
        <v>684</v>
      </c>
      <c r="X54" s="17">
        <v>2.507</v>
      </c>
      <c r="Y54" s="17" t="s">
        <v>643</v>
      </c>
      <c r="Z54" s="17">
        <v>4408.84</v>
      </c>
      <c r="AA54" s="17">
        <v>11052.962</v>
      </c>
      <c r="AB54" s="17" t="s">
        <v>644</v>
      </c>
      <c r="AC54" s="17" t="s">
        <v>645</v>
      </c>
      <c r="AD54" s="17" t="s">
        <v>646</v>
      </c>
    </row>
    <row r="55" spans="16:32">
      <c r="P55" s="20" t="s">
        <v>308</v>
      </c>
      <c r="Q55" s="17" t="s">
        <v>638</v>
      </c>
      <c r="R55" s="17" t="s">
        <v>715</v>
      </c>
      <c r="S55" s="17" t="s">
        <v>647</v>
      </c>
      <c r="T55" s="17">
        <v>299668</v>
      </c>
      <c r="U55" s="26">
        <v>202501</v>
      </c>
      <c r="V55" s="17" t="s">
        <v>648</v>
      </c>
      <c r="W55" s="17" t="s">
        <v>685</v>
      </c>
      <c r="X55" s="17">
        <v>-2.46</v>
      </c>
      <c r="Y55" s="17" t="s">
        <v>643</v>
      </c>
      <c r="Z55" s="17">
        <v>4493.07</v>
      </c>
      <c r="AA55" s="17">
        <v>-11052.962</v>
      </c>
      <c r="AB55" s="17" t="s">
        <v>644</v>
      </c>
      <c r="AC55" s="17" t="s">
        <v>645</v>
      </c>
      <c r="AD55" s="17" t="s">
        <v>646</v>
      </c>
      <c r="AE55" s="18">
        <f t="shared" si="10"/>
        <v>0.0187475069804548</v>
      </c>
      <c r="AF55" s="19">
        <f t="shared" si="11"/>
        <v>207.215482249702</v>
      </c>
    </row>
    <row r="56" spans="16:32">
      <c r="P56" s="20" t="s">
        <v>308</v>
      </c>
      <c r="Q56" s="17" t="s">
        <v>638</v>
      </c>
      <c r="R56" s="17" t="s">
        <v>716</v>
      </c>
      <c r="S56" s="17" t="s">
        <v>640</v>
      </c>
      <c r="T56" s="17">
        <v>292653</v>
      </c>
      <c r="U56" s="26">
        <v>202501</v>
      </c>
      <c r="V56" s="17" t="s">
        <v>641</v>
      </c>
      <c r="W56" s="17" t="s">
        <v>690</v>
      </c>
      <c r="X56" s="17">
        <v>6.58</v>
      </c>
      <c r="Y56" s="17" t="s">
        <v>643</v>
      </c>
      <c r="Z56" s="17">
        <v>5033.5299</v>
      </c>
      <c r="AA56" s="17">
        <v>33120.627</v>
      </c>
      <c r="AB56" s="17" t="s">
        <v>644</v>
      </c>
      <c r="AC56" s="17" t="s">
        <v>645</v>
      </c>
      <c r="AD56" s="17" t="s">
        <v>646</v>
      </c>
    </row>
    <row r="57" spans="16:32">
      <c r="P57" s="20" t="s">
        <v>308</v>
      </c>
      <c r="Q57" s="17" t="s">
        <v>638</v>
      </c>
      <c r="R57" s="17" t="s">
        <v>716</v>
      </c>
      <c r="S57" s="17" t="s">
        <v>647</v>
      </c>
      <c r="T57" s="17">
        <v>292654</v>
      </c>
      <c r="U57" s="26">
        <v>202501</v>
      </c>
      <c r="V57" s="17" t="s">
        <v>648</v>
      </c>
      <c r="W57" s="17" t="s">
        <v>691</v>
      </c>
      <c r="X57" s="17">
        <v>-6.468</v>
      </c>
      <c r="Y57" s="17" t="s">
        <v>643</v>
      </c>
      <c r="Z57" s="17">
        <v>5120.69</v>
      </c>
      <c r="AA57" s="17">
        <v>-33120.627</v>
      </c>
      <c r="AB57" s="17" t="s">
        <v>644</v>
      </c>
      <c r="AC57" s="17" t="s">
        <v>645</v>
      </c>
      <c r="AD57" s="17" t="s">
        <v>646</v>
      </c>
      <c r="AE57" s="18">
        <f t="shared" si="10"/>
        <v>0.0170212765957447</v>
      </c>
      <c r="AF57" s="19">
        <f t="shared" si="11"/>
        <v>563.75535319149</v>
      </c>
    </row>
    <row r="58" spans="16:32">
      <c r="P58" s="20" t="s">
        <v>308</v>
      </c>
      <c r="Q58" s="17" t="s">
        <v>638</v>
      </c>
      <c r="R58" s="17" t="s">
        <v>717</v>
      </c>
      <c r="S58" s="17" t="s">
        <v>640</v>
      </c>
      <c r="T58" s="17">
        <v>300300</v>
      </c>
      <c r="U58" s="26">
        <v>202501</v>
      </c>
      <c r="V58" s="17" t="s">
        <v>641</v>
      </c>
      <c r="W58" s="17" t="s">
        <v>718</v>
      </c>
      <c r="X58" s="17">
        <v>0.794</v>
      </c>
      <c r="Y58" s="17" t="s">
        <v>643</v>
      </c>
      <c r="Z58" s="17">
        <v>4766.5101</v>
      </c>
      <c r="AA58" s="17">
        <v>3784.609</v>
      </c>
      <c r="AB58" s="17" t="s">
        <v>644</v>
      </c>
      <c r="AC58" s="17" t="s">
        <v>645</v>
      </c>
      <c r="AD58" s="17" t="s">
        <v>646</v>
      </c>
    </row>
    <row r="59" spans="16:32">
      <c r="P59" s="20" t="s">
        <v>308</v>
      </c>
      <c r="Q59" s="17" t="s">
        <v>638</v>
      </c>
      <c r="R59" s="17" t="s">
        <v>717</v>
      </c>
      <c r="S59" s="17" t="s">
        <v>647</v>
      </c>
      <c r="T59" s="17">
        <v>300301</v>
      </c>
      <c r="U59" s="26">
        <v>202501</v>
      </c>
      <c r="V59" s="17" t="s">
        <v>648</v>
      </c>
      <c r="W59" s="17" t="s">
        <v>719</v>
      </c>
      <c r="X59" s="17">
        <v>-0.648</v>
      </c>
      <c r="Y59" s="17" t="s">
        <v>643</v>
      </c>
      <c r="Z59" s="17">
        <v>5840.45</v>
      </c>
      <c r="AA59" s="17">
        <v>-3784.609</v>
      </c>
      <c r="AB59" s="17" t="s">
        <v>644</v>
      </c>
      <c r="AC59" s="17" t="s">
        <v>645</v>
      </c>
      <c r="AD59" s="17" t="s">
        <v>646</v>
      </c>
      <c r="AE59" s="18">
        <f t="shared" ref="AE59:AE63" si="12">1+(X59/X58)</f>
        <v>0.183879093198992</v>
      </c>
      <c r="AF59" s="19">
        <f t="shared" ref="AF59:AF63" si="13">AE59*-AA59</f>
        <v>695.910471032745</v>
      </c>
    </row>
    <row r="60" spans="16:32">
      <c r="P60" s="20" t="s">
        <v>308</v>
      </c>
      <c r="Q60" s="17" t="s">
        <v>638</v>
      </c>
      <c r="R60" s="17" t="s">
        <v>720</v>
      </c>
      <c r="S60" s="17" t="s">
        <v>640</v>
      </c>
      <c r="T60" s="17">
        <v>290939</v>
      </c>
      <c r="U60" s="26">
        <v>202501</v>
      </c>
      <c r="V60" s="17" t="s">
        <v>641</v>
      </c>
      <c r="W60" s="17" t="s">
        <v>693</v>
      </c>
      <c r="X60" s="17">
        <v>40.202</v>
      </c>
      <c r="Y60" s="17" t="s">
        <v>643</v>
      </c>
      <c r="Z60" s="17">
        <v>4662.46</v>
      </c>
      <c r="AA60" s="17">
        <v>187440.217</v>
      </c>
      <c r="AB60" s="17" t="s">
        <v>644</v>
      </c>
      <c r="AC60" s="17" t="s">
        <v>645</v>
      </c>
      <c r="AD60" s="17" t="s">
        <v>646</v>
      </c>
    </row>
    <row r="61" spans="16:32">
      <c r="P61" s="20" t="s">
        <v>308</v>
      </c>
      <c r="Q61" s="17" t="s">
        <v>638</v>
      </c>
      <c r="R61" s="17" t="s">
        <v>720</v>
      </c>
      <c r="S61" s="17" t="s">
        <v>647</v>
      </c>
      <c r="T61" s="17">
        <v>290940</v>
      </c>
      <c r="U61" s="26">
        <v>202501</v>
      </c>
      <c r="V61" s="17" t="s">
        <v>648</v>
      </c>
      <c r="W61" s="17" t="s">
        <v>694</v>
      </c>
      <c r="X61" s="17">
        <v>-39.912</v>
      </c>
      <c r="Y61" s="17" t="s">
        <v>643</v>
      </c>
      <c r="Z61" s="17">
        <v>4696.34</v>
      </c>
      <c r="AA61" s="17">
        <v>-187440.217</v>
      </c>
      <c r="AB61" s="17" t="s">
        <v>644</v>
      </c>
      <c r="AC61" s="17" t="s">
        <v>645</v>
      </c>
      <c r="AD61" s="17" t="s">
        <v>646</v>
      </c>
      <c r="AE61" s="18">
        <f t="shared" si="12"/>
        <v>0.00721357146410628</v>
      </c>
      <c r="AF61" s="19">
        <f>AE61*-AA61</f>
        <v>1352.11340057709</v>
      </c>
    </row>
    <row r="62" spans="16:32">
      <c r="P62" s="20" t="s">
        <v>308</v>
      </c>
      <c r="Q62" s="17" t="s">
        <v>638</v>
      </c>
      <c r="R62" s="17" t="s">
        <v>721</v>
      </c>
      <c r="S62" s="17" t="s">
        <v>640</v>
      </c>
      <c r="T62" s="17">
        <v>304087</v>
      </c>
      <c r="U62" s="26">
        <v>202501</v>
      </c>
      <c r="V62" s="17" t="s">
        <v>641</v>
      </c>
      <c r="W62" s="17" t="s">
        <v>722</v>
      </c>
      <c r="X62" s="17">
        <v>1.442</v>
      </c>
      <c r="Y62" s="17" t="s">
        <v>643</v>
      </c>
      <c r="Z62" s="17">
        <v>3133.9501</v>
      </c>
      <c r="AA62" s="17">
        <v>4519.156</v>
      </c>
      <c r="AB62" s="17" t="s">
        <v>644</v>
      </c>
      <c r="AC62" s="17" t="s">
        <v>645</v>
      </c>
      <c r="AD62" s="17" t="s">
        <v>646</v>
      </c>
    </row>
    <row r="63" spans="16:32">
      <c r="P63" s="20" t="s">
        <v>308</v>
      </c>
      <c r="Q63" s="17" t="s">
        <v>638</v>
      </c>
      <c r="R63" s="17" t="s">
        <v>721</v>
      </c>
      <c r="S63" s="17" t="s">
        <v>647</v>
      </c>
      <c r="T63" s="17">
        <v>304088</v>
      </c>
      <c r="U63" s="26">
        <v>202501</v>
      </c>
      <c r="V63" s="17" t="s">
        <v>648</v>
      </c>
      <c r="W63" s="17" t="s">
        <v>723</v>
      </c>
      <c r="X63" s="17">
        <v>-1.368</v>
      </c>
      <c r="Y63" s="17" t="s">
        <v>643</v>
      </c>
      <c r="Z63" s="17">
        <v>3303.48</v>
      </c>
      <c r="AA63" s="17">
        <v>-4519.156</v>
      </c>
      <c r="AB63" s="17" t="s">
        <v>644</v>
      </c>
      <c r="AC63" s="17" t="s">
        <v>645</v>
      </c>
      <c r="AD63" s="17" t="s">
        <v>646</v>
      </c>
      <c r="AE63" s="18">
        <f t="shared" si="12"/>
        <v>0.0513176144244104</v>
      </c>
      <c r="AF63" s="19">
        <f t="shared" si="13"/>
        <v>231.912305131761</v>
      </c>
    </row>
    <row r="64" spans="16:32">
      <c r="P64" s="29" t="s">
        <v>359</v>
      </c>
      <c r="Q64" s="30" t="s">
        <v>638</v>
      </c>
      <c r="R64" s="30" t="s">
        <v>724</v>
      </c>
      <c r="S64" s="30" t="s">
        <v>640</v>
      </c>
      <c r="T64" s="31">
        <v>248454</v>
      </c>
      <c r="U64" s="30" t="s">
        <v>725</v>
      </c>
      <c r="V64" s="30" t="s">
        <v>641</v>
      </c>
      <c r="W64" s="30" t="s">
        <v>642</v>
      </c>
      <c r="X64" s="32">
        <v>0.6</v>
      </c>
      <c r="Y64" s="30" t="s">
        <v>643</v>
      </c>
      <c r="Z64" s="33">
        <v>4827.63</v>
      </c>
      <c r="AA64" s="34">
        <v>2896.578</v>
      </c>
      <c r="AB64" s="30" t="s">
        <v>644</v>
      </c>
      <c r="AC64" s="30" t="s">
        <v>645</v>
      </c>
      <c r="AD64" s="30" t="s">
        <v>646</v>
      </c>
      <c r="AE64" s="35"/>
      <c r="AF64" s="36"/>
    </row>
    <row r="65" spans="16:32">
      <c r="P65" s="29" t="s">
        <v>359</v>
      </c>
      <c r="Q65" s="30" t="s">
        <v>638</v>
      </c>
      <c r="R65" s="30" t="s">
        <v>724</v>
      </c>
      <c r="S65" s="30" t="s">
        <v>647</v>
      </c>
      <c r="T65" s="31">
        <v>248455</v>
      </c>
      <c r="U65" s="30" t="s">
        <v>725</v>
      </c>
      <c r="V65" s="30" t="s">
        <v>648</v>
      </c>
      <c r="W65" s="30" t="s">
        <v>649</v>
      </c>
      <c r="X65" s="32">
        <v>-0.48</v>
      </c>
      <c r="Y65" s="30" t="s">
        <v>643</v>
      </c>
      <c r="Z65" s="33">
        <v>6034.54</v>
      </c>
      <c r="AA65" s="34">
        <v>-2896.578</v>
      </c>
      <c r="AB65" s="30" t="s">
        <v>644</v>
      </c>
      <c r="AC65" s="30" t="s">
        <v>645</v>
      </c>
      <c r="AD65" s="30" t="s">
        <v>646</v>
      </c>
      <c r="AE65" s="18">
        <f t="shared" ref="AE65:AE69" si="14">1+(X65/X64)</f>
        <v>0.2</v>
      </c>
      <c r="AF65" s="19">
        <f t="shared" ref="AF65:AF69" si="15">AE65*-AA65</f>
        <v>579.3156</v>
      </c>
    </row>
    <row r="66" spans="16:32">
      <c r="P66" s="29" t="s">
        <v>359</v>
      </c>
      <c r="Q66" s="30" t="s">
        <v>638</v>
      </c>
      <c r="R66" s="30" t="s">
        <v>726</v>
      </c>
      <c r="S66" s="30" t="s">
        <v>640</v>
      </c>
      <c r="T66" s="31">
        <v>263276</v>
      </c>
      <c r="U66" s="30" t="s">
        <v>725</v>
      </c>
      <c r="V66" s="30" t="s">
        <v>641</v>
      </c>
      <c r="W66" s="30" t="s">
        <v>657</v>
      </c>
      <c r="X66" s="32">
        <v>0.6</v>
      </c>
      <c r="Y66" s="30" t="s">
        <v>643</v>
      </c>
      <c r="Z66" s="33">
        <v>3654.68</v>
      </c>
      <c r="AA66" s="34">
        <v>2192.808</v>
      </c>
      <c r="AB66" s="30" t="s">
        <v>644</v>
      </c>
      <c r="AC66" s="30" t="s">
        <v>645</v>
      </c>
      <c r="AD66" s="30" t="s">
        <v>646</v>
      </c>
      <c r="AE66" s="35"/>
      <c r="AF66" s="36"/>
    </row>
    <row r="67" spans="16:32">
      <c r="P67" s="29" t="s">
        <v>359</v>
      </c>
      <c r="Q67" s="30" t="s">
        <v>638</v>
      </c>
      <c r="R67" s="30" t="s">
        <v>726</v>
      </c>
      <c r="S67" s="30" t="s">
        <v>647</v>
      </c>
      <c r="T67" s="31">
        <v>263277</v>
      </c>
      <c r="U67" s="30" t="s">
        <v>725</v>
      </c>
      <c r="V67" s="30" t="s">
        <v>648</v>
      </c>
      <c r="W67" s="30" t="s">
        <v>658</v>
      </c>
      <c r="X67" s="32">
        <v>-0.592</v>
      </c>
      <c r="Y67" s="30" t="s">
        <v>643</v>
      </c>
      <c r="Z67" s="33">
        <v>3704.07</v>
      </c>
      <c r="AA67" s="34">
        <v>-2192.808</v>
      </c>
      <c r="AB67" s="30" t="s">
        <v>644</v>
      </c>
      <c r="AC67" s="30" t="s">
        <v>645</v>
      </c>
      <c r="AD67" s="30" t="s">
        <v>646</v>
      </c>
      <c r="AE67" s="18">
        <f t="shared" si="14"/>
        <v>0.0133333333333333</v>
      </c>
      <c r="AF67" s="19">
        <f t="shared" si="15"/>
        <v>29.2374399999999</v>
      </c>
    </row>
    <row r="68" spans="16:32">
      <c r="P68" s="29" t="s">
        <v>359</v>
      </c>
      <c r="Q68" s="30" t="s">
        <v>638</v>
      </c>
      <c r="R68" s="30" t="s">
        <v>727</v>
      </c>
      <c r="S68" s="30" t="s">
        <v>640</v>
      </c>
      <c r="T68" s="31">
        <v>290284</v>
      </c>
      <c r="U68" s="30" t="s">
        <v>725</v>
      </c>
      <c r="V68" s="30" t="s">
        <v>641</v>
      </c>
      <c r="W68" s="30" t="s">
        <v>660</v>
      </c>
      <c r="X68" s="32">
        <v>2.4</v>
      </c>
      <c r="Y68" s="30" t="s">
        <v>643</v>
      </c>
      <c r="Z68" s="33">
        <v>4127.96</v>
      </c>
      <c r="AA68" s="34">
        <v>9907.104</v>
      </c>
      <c r="AB68" s="30" t="s">
        <v>644</v>
      </c>
      <c r="AC68" s="30" t="s">
        <v>645</v>
      </c>
      <c r="AD68" s="30" t="s">
        <v>646</v>
      </c>
      <c r="AE68" s="35"/>
      <c r="AF68" s="36"/>
    </row>
    <row r="69" spans="16:32">
      <c r="P69" s="29" t="s">
        <v>359</v>
      </c>
      <c r="Q69" s="30" t="s">
        <v>638</v>
      </c>
      <c r="R69" s="30" t="s">
        <v>727</v>
      </c>
      <c r="S69" s="30" t="s">
        <v>647</v>
      </c>
      <c r="T69" s="31">
        <v>290285</v>
      </c>
      <c r="U69" s="30" t="s">
        <v>725</v>
      </c>
      <c r="V69" s="30" t="s">
        <v>648</v>
      </c>
      <c r="W69" s="30" t="s">
        <v>661</v>
      </c>
      <c r="X69" s="32">
        <v>-2.4</v>
      </c>
      <c r="Y69" s="30" t="s">
        <v>643</v>
      </c>
      <c r="Z69" s="33">
        <v>4127.96</v>
      </c>
      <c r="AA69" s="34">
        <v>-9907.104</v>
      </c>
      <c r="AB69" s="30" t="s">
        <v>644</v>
      </c>
      <c r="AC69" s="30" t="s">
        <v>645</v>
      </c>
      <c r="AD69" s="30" t="s">
        <v>646</v>
      </c>
      <c r="AE69" s="18">
        <f t="shared" si="14"/>
        <v>0</v>
      </c>
      <c r="AF69" s="19">
        <f t="shared" si="15"/>
        <v>0</v>
      </c>
    </row>
    <row r="70" spans="16:32">
      <c r="P70" s="29" t="s">
        <v>359</v>
      </c>
      <c r="Q70" s="30" t="s">
        <v>638</v>
      </c>
      <c r="R70" s="30" t="s">
        <v>728</v>
      </c>
      <c r="S70" s="30" t="s">
        <v>640</v>
      </c>
      <c r="T70" s="31">
        <v>291457</v>
      </c>
      <c r="U70" s="30" t="s">
        <v>725</v>
      </c>
      <c r="V70" s="30" t="s">
        <v>641</v>
      </c>
      <c r="W70" s="30" t="s">
        <v>663</v>
      </c>
      <c r="X70" s="32">
        <v>0.6</v>
      </c>
      <c r="Y70" s="30" t="s">
        <v>643</v>
      </c>
      <c r="Z70" s="33">
        <v>4411.2</v>
      </c>
      <c r="AA70" s="34">
        <v>2646.72</v>
      </c>
      <c r="AB70" s="30" t="s">
        <v>644</v>
      </c>
      <c r="AC70" s="30" t="s">
        <v>645</v>
      </c>
      <c r="AD70" s="30" t="s">
        <v>646</v>
      </c>
      <c r="AE70" s="35"/>
      <c r="AF70" s="36"/>
    </row>
    <row r="71" spans="16:32">
      <c r="P71" s="29" t="s">
        <v>359</v>
      </c>
      <c r="Q71" s="30" t="s">
        <v>638</v>
      </c>
      <c r="R71" s="30" t="s">
        <v>728</v>
      </c>
      <c r="S71" s="30" t="s">
        <v>647</v>
      </c>
      <c r="T71" s="31">
        <v>291458</v>
      </c>
      <c r="U71" s="30" t="s">
        <v>725</v>
      </c>
      <c r="V71" s="30" t="s">
        <v>648</v>
      </c>
      <c r="W71" s="30" t="s">
        <v>664</v>
      </c>
      <c r="X71" s="32">
        <v>-0.6</v>
      </c>
      <c r="Y71" s="30" t="s">
        <v>643</v>
      </c>
      <c r="Z71" s="33">
        <v>4411.2</v>
      </c>
      <c r="AA71" s="34">
        <v>-2646.72</v>
      </c>
      <c r="AB71" s="30" t="s">
        <v>644</v>
      </c>
      <c r="AC71" s="30" t="s">
        <v>645</v>
      </c>
      <c r="AD71" s="30" t="s">
        <v>646</v>
      </c>
      <c r="AE71" s="18">
        <f t="shared" ref="AE71:AE75" si="16">1+(X71/X70)</f>
        <v>0</v>
      </c>
      <c r="AF71" s="19">
        <f t="shared" ref="AF71:AF75" si="17">AE71*-AA71</f>
        <v>0</v>
      </c>
    </row>
    <row r="72" spans="16:32">
      <c r="P72" s="29" t="s">
        <v>359</v>
      </c>
      <c r="Q72" s="30" t="s">
        <v>638</v>
      </c>
      <c r="R72" s="30" t="s">
        <v>729</v>
      </c>
      <c r="S72" s="30" t="s">
        <v>640</v>
      </c>
      <c r="T72" s="31">
        <v>291459</v>
      </c>
      <c r="U72" s="30" t="s">
        <v>725</v>
      </c>
      <c r="V72" s="30" t="s">
        <v>641</v>
      </c>
      <c r="W72" s="30" t="s">
        <v>666</v>
      </c>
      <c r="X72" s="32">
        <v>5.286</v>
      </c>
      <c r="Y72" s="30" t="s">
        <v>643</v>
      </c>
      <c r="Z72" s="33">
        <v>4235.03007945516</v>
      </c>
      <c r="AA72" s="34">
        <v>22386.369</v>
      </c>
      <c r="AB72" s="30" t="s">
        <v>644</v>
      </c>
      <c r="AC72" s="30" t="s">
        <v>645</v>
      </c>
      <c r="AD72" s="30" t="s">
        <v>646</v>
      </c>
      <c r="AE72" s="35"/>
      <c r="AF72" s="36"/>
    </row>
    <row r="73" spans="16:32">
      <c r="P73" s="29" t="s">
        <v>359</v>
      </c>
      <c r="Q73" s="30" t="s">
        <v>638</v>
      </c>
      <c r="R73" s="30" t="s">
        <v>729</v>
      </c>
      <c r="S73" s="30" t="s">
        <v>647</v>
      </c>
      <c r="T73" s="31">
        <v>291460</v>
      </c>
      <c r="U73" s="30" t="s">
        <v>725</v>
      </c>
      <c r="V73" s="30" t="s">
        <v>648</v>
      </c>
      <c r="W73" s="30" t="s">
        <v>667</v>
      </c>
      <c r="X73" s="32">
        <v>-5.01</v>
      </c>
      <c r="Y73" s="30" t="s">
        <v>643</v>
      </c>
      <c r="Z73" s="33">
        <v>4468.34</v>
      </c>
      <c r="AA73" s="34">
        <v>-22386.369</v>
      </c>
      <c r="AB73" s="30" t="s">
        <v>644</v>
      </c>
      <c r="AC73" s="30" t="s">
        <v>645</v>
      </c>
      <c r="AD73" s="30" t="s">
        <v>646</v>
      </c>
      <c r="AE73" s="18">
        <f t="shared" si="16"/>
        <v>0.0522133938706018</v>
      </c>
      <c r="AF73" s="19">
        <f t="shared" si="17"/>
        <v>1168.86830192963</v>
      </c>
    </row>
    <row r="74" spans="16:32">
      <c r="P74" s="29" t="s">
        <v>308</v>
      </c>
      <c r="Q74" s="30" t="s">
        <v>638</v>
      </c>
      <c r="R74" s="30" t="s">
        <v>730</v>
      </c>
      <c r="S74" s="30" t="s">
        <v>640</v>
      </c>
      <c r="T74" s="31">
        <v>292657</v>
      </c>
      <c r="U74" s="30" t="s">
        <v>725</v>
      </c>
      <c r="V74" s="30" t="s">
        <v>641</v>
      </c>
      <c r="W74" s="30" t="s">
        <v>713</v>
      </c>
      <c r="X74" s="32">
        <v>2.554</v>
      </c>
      <c r="Y74" s="30" t="s">
        <v>643</v>
      </c>
      <c r="Z74" s="33">
        <v>4281.4201</v>
      </c>
      <c r="AA74" s="34">
        <v>10934.747</v>
      </c>
      <c r="AB74" s="30" t="s">
        <v>644</v>
      </c>
      <c r="AC74" s="30" t="s">
        <v>645</v>
      </c>
      <c r="AD74" s="30" t="s">
        <v>646</v>
      </c>
      <c r="AE74" s="35"/>
      <c r="AF74" s="36"/>
    </row>
    <row r="75" spans="16:32">
      <c r="P75" s="29" t="s">
        <v>308</v>
      </c>
      <c r="Q75" s="30" t="s">
        <v>638</v>
      </c>
      <c r="R75" s="30" t="s">
        <v>730</v>
      </c>
      <c r="S75" s="30" t="s">
        <v>647</v>
      </c>
      <c r="T75" s="31">
        <v>292658</v>
      </c>
      <c r="U75" s="30" t="s">
        <v>725</v>
      </c>
      <c r="V75" s="30" t="s">
        <v>648</v>
      </c>
      <c r="W75" s="30" t="s">
        <v>714</v>
      </c>
      <c r="X75" s="32">
        <v>-2.475</v>
      </c>
      <c r="Y75" s="30" t="s">
        <v>643</v>
      </c>
      <c r="Z75" s="33">
        <v>4418.08</v>
      </c>
      <c r="AA75" s="34">
        <v>-10934.747</v>
      </c>
      <c r="AB75" s="30" t="s">
        <v>644</v>
      </c>
      <c r="AC75" s="30" t="s">
        <v>645</v>
      </c>
      <c r="AD75" s="30" t="s">
        <v>646</v>
      </c>
      <c r="AE75" s="18">
        <f t="shared" si="16"/>
        <v>0.0309318715740015</v>
      </c>
      <c r="AF75" s="19">
        <f t="shared" si="17"/>
        <v>338.232189898198</v>
      </c>
    </row>
    <row r="76" spans="16:32">
      <c r="P76" s="29" t="s">
        <v>308</v>
      </c>
      <c r="Q76" s="30" t="s">
        <v>638</v>
      </c>
      <c r="R76" s="30" t="s">
        <v>731</v>
      </c>
      <c r="S76" s="30" t="s">
        <v>640</v>
      </c>
      <c r="T76" s="31">
        <v>299667</v>
      </c>
      <c r="U76" s="30" t="s">
        <v>725</v>
      </c>
      <c r="V76" s="30" t="s">
        <v>641</v>
      </c>
      <c r="W76" s="30" t="s">
        <v>684</v>
      </c>
      <c r="X76" s="32">
        <v>5.202</v>
      </c>
      <c r="Y76" s="30" t="s">
        <v>643</v>
      </c>
      <c r="Z76" s="33">
        <v>4503.7601</v>
      </c>
      <c r="AA76" s="34">
        <v>23428.56</v>
      </c>
      <c r="AB76" s="30" t="s">
        <v>644</v>
      </c>
      <c r="AC76" s="30" t="s">
        <v>645</v>
      </c>
      <c r="AD76" s="30" t="s">
        <v>646</v>
      </c>
      <c r="AE76" s="35"/>
      <c r="AF76" s="36"/>
    </row>
    <row r="77" spans="16:32">
      <c r="P77" s="29" t="s">
        <v>308</v>
      </c>
      <c r="Q77" s="30" t="s">
        <v>638</v>
      </c>
      <c r="R77" s="30" t="s">
        <v>731</v>
      </c>
      <c r="S77" s="30" t="s">
        <v>647</v>
      </c>
      <c r="T77" s="31">
        <v>299668</v>
      </c>
      <c r="U77" s="30" t="s">
        <v>725</v>
      </c>
      <c r="V77" s="30" t="s">
        <v>648</v>
      </c>
      <c r="W77" s="30" t="s">
        <v>685</v>
      </c>
      <c r="X77" s="32">
        <v>-5.136</v>
      </c>
      <c r="Y77" s="30" t="s">
        <v>643</v>
      </c>
      <c r="Z77" s="33">
        <v>4561.64</v>
      </c>
      <c r="AA77" s="34">
        <v>-23428.56</v>
      </c>
      <c r="AB77" s="30" t="s">
        <v>644</v>
      </c>
      <c r="AC77" s="30" t="s">
        <v>645</v>
      </c>
      <c r="AD77" s="30" t="s">
        <v>646</v>
      </c>
      <c r="AE77" s="18">
        <f t="shared" ref="AE77:AE81" si="18">1+(X77/X76)</f>
        <v>0.0126874279123413</v>
      </c>
      <c r="AF77" s="19">
        <f t="shared" ref="AF77:AF81" si="19">AE77*-AA77</f>
        <v>297.248166089964</v>
      </c>
    </row>
    <row r="78" spans="16:32">
      <c r="P78" s="29" t="s">
        <v>308</v>
      </c>
      <c r="Q78" s="30" t="s">
        <v>638</v>
      </c>
      <c r="R78" s="30" t="s">
        <v>732</v>
      </c>
      <c r="S78" s="30" t="s">
        <v>640</v>
      </c>
      <c r="T78" s="31">
        <v>292653</v>
      </c>
      <c r="U78" s="30" t="s">
        <v>725</v>
      </c>
      <c r="V78" s="30" t="s">
        <v>641</v>
      </c>
      <c r="W78" s="30" t="s">
        <v>690</v>
      </c>
      <c r="X78" s="32">
        <v>14.712</v>
      </c>
      <c r="Y78" s="30" t="s">
        <v>643</v>
      </c>
      <c r="Z78" s="33">
        <v>4741.4699564981</v>
      </c>
      <c r="AA78" s="34">
        <v>69756.506</v>
      </c>
      <c r="AB78" s="30" t="s">
        <v>644</v>
      </c>
      <c r="AC78" s="30" t="s">
        <v>645</v>
      </c>
      <c r="AD78" s="30" t="s">
        <v>646</v>
      </c>
      <c r="AE78" s="35"/>
      <c r="AF78" s="36"/>
    </row>
    <row r="79" spans="16:32">
      <c r="P79" s="29" t="s">
        <v>308</v>
      </c>
      <c r="Q79" s="30" t="s">
        <v>638</v>
      </c>
      <c r="R79" s="30" t="s">
        <v>732</v>
      </c>
      <c r="S79" s="30" t="s">
        <v>647</v>
      </c>
      <c r="T79" s="31">
        <v>292654</v>
      </c>
      <c r="U79" s="30" t="s">
        <v>725</v>
      </c>
      <c r="V79" s="30" t="s">
        <v>648</v>
      </c>
      <c r="W79" s="30" t="s">
        <v>691</v>
      </c>
      <c r="X79" s="32">
        <v>-14.712</v>
      </c>
      <c r="Y79" s="30" t="s">
        <v>643</v>
      </c>
      <c r="Z79" s="33">
        <v>4741.47</v>
      </c>
      <c r="AA79" s="34">
        <v>-69756.506</v>
      </c>
      <c r="AB79" s="30" t="s">
        <v>644</v>
      </c>
      <c r="AC79" s="30" t="s">
        <v>645</v>
      </c>
      <c r="AD79" s="30" t="s">
        <v>646</v>
      </c>
      <c r="AE79" s="18">
        <f t="shared" si="18"/>
        <v>0</v>
      </c>
      <c r="AF79" s="19">
        <f t="shared" si="19"/>
        <v>0</v>
      </c>
    </row>
    <row r="80" spans="16:32">
      <c r="P80" s="29" t="s">
        <v>359</v>
      </c>
      <c r="Q80" s="30" t="s">
        <v>638</v>
      </c>
      <c r="R80" s="30" t="s">
        <v>733</v>
      </c>
      <c r="S80" s="30" t="s">
        <v>640</v>
      </c>
      <c r="T80" s="31">
        <v>300310</v>
      </c>
      <c r="U80" s="30" t="s">
        <v>725</v>
      </c>
      <c r="V80" s="30" t="s">
        <v>641</v>
      </c>
      <c r="W80" s="30" t="s">
        <v>678</v>
      </c>
      <c r="X80" s="32">
        <v>12.735</v>
      </c>
      <c r="Y80" s="30" t="s">
        <v>643</v>
      </c>
      <c r="Z80" s="33">
        <v>3661.59002748331</v>
      </c>
      <c r="AA80" s="34">
        <v>46630.349</v>
      </c>
      <c r="AB80" s="30" t="s">
        <v>644</v>
      </c>
      <c r="AC80" s="30" t="s">
        <v>645</v>
      </c>
      <c r="AD80" s="30" t="s">
        <v>646</v>
      </c>
      <c r="AE80" s="35"/>
      <c r="AF80" s="36"/>
    </row>
    <row r="81" spans="16:32">
      <c r="P81" s="29" t="s">
        <v>359</v>
      </c>
      <c r="Q81" s="30" t="s">
        <v>638</v>
      </c>
      <c r="R81" s="30" t="s">
        <v>733</v>
      </c>
      <c r="S81" s="30" t="s">
        <v>647</v>
      </c>
      <c r="T81" s="31">
        <v>300311</v>
      </c>
      <c r="U81" s="30" t="s">
        <v>725</v>
      </c>
      <c r="V81" s="30" t="s">
        <v>648</v>
      </c>
      <c r="W81" s="30" t="s">
        <v>679</v>
      </c>
      <c r="X81" s="32">
        <v>-12.735</v>
      </c>
      <c r="Y81" s="30" t="s">
        <v>643</v>
      </c>
      <c r="Z81" s="33">
        <v>3661.59</v>
      </c>
      <c r="AA81" s="34">
        <v>-46630.349</v>
      </c>
      <c r="AB81" s="30" t="s">
        <v>644</v>
      </c>
      <c r="AC81" s="30" t="s">
        <v>645</v>
      </c>
      <c r="AD81" s="30" t="s">
        <v>646</v>
      </c>
      <c r="AE81" s="18">
        <f t="shared" si="18"/>
        <v>0</v>
      </c>
      <c r="AF81" s="19">
        <f t="shared" si="19"/>
        <v>0</v>
      </c>
    </row>
    <row r="82" spans="16:32">
      <c r="P82" s="29" t="s">
        <v>308</v>
      </c>
      <c r="Q82" s="30" t="s">
        <v>638</v>
      </c>
      <c r="R82" s="30" t="s">
        <v>734</v>
      </c>
      <c r="S82" s="30" t="s">
        <v>640</v>
      </c>
      <c r="T82" s="31">
        <v>300300</v>
      </c>
      <c r="U82" s="30" t="s">
        <v>725</v>
      </c>
      <c r="V82" s="30" t="s">
        <v>641</v>
      </c>
      <c r="W82" s="30" t="s">
        <v>718</v>
      </c>
      <c r="X82" s="32">
        <v>1.727</v>
      </c>
      <c r="Y82" s="30" t="s">
        <v>643</v>
      </c>
      <c r="Z82" s="33">
        <v>2997.89</v>
      </c>
      <c r="AA82" s="34">
        <v>5177.356</v>
      </c>
      <c r="AB82" s="30" t="s">
        <v>644</v>
      </c>
      <c r="AC82" s="30" t="s">
        <v>645</v>
      </c>
      <c r="AD82" s="30" t="s">
        <v>646</v>
      </c>
      <c r="AE82" s="35"/>
      <c r="AF82" s="36"/>
    </row>
    <row r="83" spans="16:32">
      <c r="P83" s="29" t="s">
        <v>308</v>
      </c>
      <c r="Q83" s="30" t="s">
        <v>638</v>
      </c>
      <c r="R83" s="30" t="s">
        <v>734</v>
      </c>
      <c r="S83" s="30" t="s">
        <v>647</v>
      </c>
      <c r="T83" s="31">
        <v>300301</v>
      </c>
      <c r="U83" s="30" t="s">
        <v>725</v>
      </c>
      <c r="V83" s="30" t="s">
        <v>648</v>
      </c>
      <c r="W83" s="30" t="s">
        <v>719</v>
      </c>
      <c r="X83" s="32">
        <v>-1.656</v>
      </c>
      <c r="Y83" s="30" t="s">
        <v>643</v>
      </c>
      <c r="Z83" s="33">
        <v>3126.42</v>
      </c>
      <c r="AA83" s="34">
        <v>-5177.356</v>
      </c>
      <c r="AB83" s="30" t="s">
        <v>644</v>
      </c>
      <c r="AC83" s="30" t="s">
        <v>645</v>
      </c>
      <c r="AD83" s="30" t="s">
        <v>646</v>
      </c>
      <c r="AE83" s="18">
        <f t="shared" ref="AE83:AE87" si="20">1+(X83/X82)</f>
        <v>0.0411117544875508</v>
      </c>
      <c r="AF83" s="19">
        <f t="shared" ref="AF83:AF87" si="21">AE83*-AA83</f>
        <v>212.850188766648</v>
      </c>
    </row>
    <row r="84" spans="16:32">
      <c r="P84" s="29" t="s">
        <v>308</v>
      </c>
      <c r="Q84" s="30" t="s">
        <v>638</v>
      </c>
      <c r="R84" s="30" t="s">
        <v>735</v>
      </c>
      <c r="S84" s="30" t="s">
        <v>640</v>
      </c>
      <c r="T84" s="31">
        <v>302652</v>
      </c>
      <c r="U84" s="30" t="s">
        <v>725</v>
      </c>
      <c r="V84" s="30" t="s">
        <v>641</v>
      </c>
      <c r="W84" s="30" t="s">
        <v>736</v>
      </c>
      <c r="X84" s="32">
        <v>1.505</v>
      </c>
      <c r="Y84" s="30" t="s">
        <v>643</v>
      </c>
      <c r="Z84" s="33">
        <v>4443.7601</v>
      </c>
      <c r="AA84" s="34">
        <v>6687.859</v>
      </c>
      <c r="AB84" s="30" t="s">
        <v>644</v>
      </c>
      <c r="AC84" s="30" t="s">
        <v>645</v>
      </c>
      <c r="AD84" s="30" t="s">
        <v>646</v>
      </c>
      <c r="AE84" s="35"/>
      <c r="AF84" s="36"/>
    </row>
    <row r="85" spans="16:32">
      <c r="P85" s="29" t="s">
        <v>308</v>
      </c>
      <c r="Q85" s="30" t="s">
        <v>638</v>
      </c>
      <c r="R85" s="30" t="s">
        <v>735</v>
      </c>
      <c r="S85" s="30" t="s">
        <v>647</v>
      </c>
      <c r="T85" s="31">
        <v>302653</v>
      </c>
      <c r="U85" s="30" t="s">
        <v>725</v>
      </c>
      <c r="V85" s="30" t="s">
        <v>648</v>
      </c>
      <c r="W85" s="30" t="s">
        <v>737</v>
      </c>
      <c r="X85" s="32">
        <v>-1.428</v>
      </c>
      <c r="Y85" s="30" t="s">
        <v>643</v>
      </c>
      <c r="Z85" s="33">
        <v>4683.37</v>
      </c>
      <c r="AA85" s="34">
        <v>-6687.859</v>
      </c>
      <c r="AB85" s="30" t="s">
        <v>644</v>
      </c>
      <c r="AC85" s="30" t="s">
        <v>645</v>
      </c>
      <c r="AD85" s="30" t="s">
        <v>646</v>
      </c>
      <c r="AE85" s="18">
        <f t="shared" si="20"/>
        <v>0.0511627906976744</v>
      </c>
      <c r="AF85" s="19">
        <f t="shared" si="21"/>
        <v>342.169530232558</v>
      </c>
    </row>
    <row r="86" spans="16:32">
      <c r="P86" s="29" t="s">
        <v>308</v>
      </c>
      <c r="Q86" s="30" t="s">
        <v>638</v>
      </c>
      <c r="R86" s="30" t="s">
        <v>738</v>
      </c>
      <c r="S86" s="30" t="s">
        <v>640</v>
      </c>
      <c r="T86" s="31">
        <v>290939</v>
      </c>
      <c r="U86" s="30" t="s">
        <v>725</v>
      </c>
      <c r="V86" s="30" t="s">
        <v>641</v>
      </c>
      <c r="W86" s="30" t="s">
        <v>693</v>
      </c>
      <c r="X86" s="32">
        <v>58.218</v>
      </c>
      <c r="Y86" s="30" t="s">
        <v>643</v>
      </c>
      <c r="Z86" s="33">
        <v>4768.94000137415</v>
      </c>
      <c r="AA86" s="34">
        <v>277638.149</v>
      </c>
      <c r="AB86" s="30" t="s">
        <v>644</v>
      </c>
      <c r="AC86" s="30" t="s">
        <v>645</v>
      </c>
      <c r="AD86" s="30" t="s">
        <v>646</v>
      </c>
      <c r="AE86" s="35"/>
      <c r="AF86" s="36"/>
    </row>
    <row r="87" spans="16:32">
      <c r="P87" s="29" t="s">
        <v>308</v>
      </c>
      <c r="Q87" s="30" t="s">
        <v>638</v>
      </c>
      <c r="R87" s="30" t="s">
        <v>738</v>
      </c>
      <c r="S87" s="30" t="s">
        <v>647</v>
      </c>
      <c r="T87" s="31">
        <v>290940</v>
      </c>
      <c r="U87" s="30" t="s">
        <v>725</v>
      </c>
      <c r="V87" s="30" t="s">
        <v>648</v>
      </c>
      <c r="W87" s="30" t="s">
        <v>694</v>
      </c>
      <c r="X87" s="32">
        <v>-58.212</v>
      </c>
      <c r="Y87" s="30" t="s">
        <v>643</v>
      </c>
      <c r="Z87" s="33">
        <v>4769.43</v>
      </c>
      <c r="AA87" s="34">
        <v>-277638.149</v>
      </c>
      <c r="AB87" s="30" t="s">
        <v>644</v>
      </c>
      <c r="AC87" s="30" t="s">
        <v>645</v>
      </c>
      <c r="AD87" s="30" t="s">
        <v>646</v>
      </c>
      <c r="AE87" s="18">
        <f t="shared" si="20"/>
        <v>0.000103060908997143</v>
      </c>
      <c r="AF87" s="19">
        <f t="shared" si="21"/>
        <v>28.6136400082244</v>
      </c>
    </row>
    <row r="88" spans="16:32">
      <c r="P88" s="29" t="s">
        <v>359</v>
      </c>
      <c r="Q88" s="30" t="s">
        <v>638</v>
      </c>
      <c r="R88" s="30" t="s">
        <v>739</v>
      </c>
      <c r="S88" s="30" t="s">
        <v>640</v>
      </c>
      <c r="T88" s="31">
        <v>304073</v>
      </c>
      <c r="U88" s="30" t="s">
        <v>725</v>
      </c>
      <c r="V88" s="30" t="s">
        <v>641</v>
      </c>
      <c r="W88" s="30" t="s">
        <v>669</v>
      </c>
      <c r="X88" s="32">
        <v>1.013</v>
      </c>
      <c r="Y88" s="30" t="s">
        <v>643</v>
      </c>
      <c r="Z88" s="33">
        <v>4014.16979269497</v>
      </c>
      <c r="AA88" s="34">
        <v>4066.354</v>
      </c>
      <c r="AB88" s="30" t="s">
        <v>644</v>
      </c>
      <c r="AC88" s="30" t="s">
        <v>645</v>
      </c>
      <c r="AD88" s="30" t="s">
        <v>646</v>
      </c>
      <c r="AE88" s="35"/>
      <c r="AF88" s="36"/>
    </row>
    <row r="89" spans="16:32">
      <c r="P89" s="29" t="s">
        <v>359</v>
      </c>
      <c r="Q89" s="30" t="s">
        <v>638</v>
      </c>
      <c r="R89" s="30" t="s">
        <v>739</v>
      </c>
      <c r="S89" s="30" t="s">
        <v>647</v>
      </c>
      <c r="T89" s="31">
        <v>304074</v>
      </c>
      <c r="U89" s="30" t="s">
        <v>725</v>
      </c>
      <c r="V89" s="30" t="s">
        <v>648</v>
      </c>
      <c r="W89" s="30" t="s">
        <v>670</v>
      </c>
      <c r="X89" s="32">
        <v>-0.924</v>
      </c>
      <c r="Y89" s="30" t="s">
        <v>643</v>
      </c>
      <c r="Z89" s="33">
        <v>4400.82</v>
      </c>
      <c r="AA89" s="34">
        <v>-4066.354</v>
      </c>
      <c r="AB89" s="30" t="s">
        <v>644</v>
      </c>
      <c r="AC89" s="30" t="s">
        <v>645</v>
      </c>
      <c r="AD89" s="30" t="s">
        <v>646</v>
      </c>
      <c r="AE89" s="18">
        <f t="shared" ref="AE89:AE93" si="22">1+(X89/X88)</f>
        <v>0.0878578479763079</v>
      </c>
      <c r="AF89" s="19">
        <f t="shared" ref="AF89:AF93" si="23">AE89*-AA89</f>
        <v>357.261111549852</v>
      </c>
    </row>
    <row r="90" spans="16:32">
      <c r="P90" s="29" t="s">
        <v>359</v>
      </c>
      <c r="Q90" s="30" t="s">
        <v>638</v>
      </c>
      <c r="R90" s="30" t="s">
        <v>740</v>
      </c>
      <c r="S90" s="30" t="s">
        <v>640</v>
      </c>
      <c r="T90" s="31">
        <v>305647</v>
      </c>
      <c r="U90" s="30" t="s">
        <v>725</v>
      </c>
      <c r="V90" s="30" t="s">
        <v>641</v>
      </c>
      <c r="W90" s="30" t="s">
        <v>701</v>
      </c>
      <c r="X90" s="32">
        <v>1.5</v>
      </c>
      <c r="Y90" s="30" t="s">
        <v>643</v>
      </c>
      <c r="Z90" s="33">
        <v>3515.2</v>
      </c>
      <c r="AA90" s="34">
        <v>5272.8</v>
      </c>
      <c r="AB90" s="30" t="s">
        <v>644</v>
      </c>
      <c r="AC90" s="30" t="s">
        <v>645</v>
      </c>
      <c r="AD90" s="30" t="s">
        <v>646</v>
      </c>
      <c r="AE90" s="35"/>
      <c r="AF90" s="36"/>
    </row>
    <row r="91" spans="16:32">
      <c r="P91" s="29" t="s">
        <v>359</v>
      </c>
      <c r="Q91" s="30" t="s">
        <v>638</v>
      </c>
      <c r="R91" s="30" t="s">
        <v>740</v>
      </c>
      <c r="S91" s="30" t="s">
        <v>647</v>
      </c>
      <c r="T91" s="31">
        <v>305646</v>
      </c>
      <c r="U91" s="30" t="s">
        <v>725</v>
      </c>
      <c r="V91" s="30" t="s">
        <v>648</v>
      </c>
      <c r="W91" s="30" t="s">
        <v>702</v>
      </c>
      <c r="X91" s="32">
        <v>-1.5</v>
      </c>
      <c r="Y91" s="30" t="s">
        <v>643</v>
      </c>
      <c r="Z91" s="33">
        <v>3515.2</v>
      </c>
      <c r="AA91" s="34">
        <v>-5272.8</v>
      </c>
      <c r="AB91" s="30" t="s">
        <v>644</v>
      </c>
      <c r="AC91" s="30" t="s">
        <v>645</v>
      </c>
      <c r="AD91" s="30" t="s">
        <v>646</v>
      </c>
      <c r="AE91" s="18">
        <f t="shared" si="22"/>
        <v>0</v>
      </c>
      <c r="AF91" s="19">
        <f t="shared" si="23"/>
        <v>0</v>
      </c>
    </row>
    <row r="92" spans="16:32">
      <c r="P92" s="29" t="s">
        <v>359</v>
      </c>
      <c r="Q92" s="30" t="s">
        <v>638</v>
      </c>
      <c r="R92" s="30" t="s">
        <v>741</v>
      </c>
      <c r="S92" s="30" t="s">
        <v>640</v>
      </c>
      <c r="T92" s="31">
        <v>292645</v>
      </c>
      <c r="U92" s="30" t="s">
        <v>725</v>
      </c>
      <c r="V92" s="30" t="s">
        <v>641</v>
      </c>
      <c r="W92" s="30" t="s">
        <v>675</v>
      </c>
      <c r="X92" s="32">
        <v>29.315</v>
      </c>
      <c r="Y92" s="30" t="s">
        <v>643</v>
      </c>
      <c r="Z92" s="33">
        <v>3698.82</v>
      </c>
      <c r="AA92" s="34">
        <v>108430.908</v>
      </c>
      <c r="AB92" s="30" t="s">
        <v>644</v>
      </c>
      <c r="AC92" s="30" t="s">
        <v>645</v>
      </c>
      <c r="AD92" s="30" t="s">
        <v>646</v>
      </c>
      <c r="AE92" s="35"/>
      <c r="AF92" s="36"/>
    </row>
    <row r="93" spans="16:32">
      <c r="P93" s="29" t="s">
        <v>359</v>
      </c>
      <c r="Q93" s="30" t="s">
        <v>638</v>
      </c>
      <c r="R93" s="30" t="s">
        <v>741</v>
      </c>
      <c r="S93" s="30" t="s">
        <v>647</v>
      </c>
      <c r="T93" s="31">
        <v>292646</v>
      </c>
      <c r="U93" s="30" t="s">
        <v>725</v>
      </c>
      <c r="V93" s="30" t="s">
        <v>648</v>
      </c>
      <c r="W93" s="30" t="s">
        <v>676</v>
      </c>
      <c r="X93" s="32">
        <v>-29.256</v>
      </c>
      <c r="Y93" s="30" t="s">
        <v>643</v>
      </c>
      <c r="Z93" s="33">
        <v>3706.28</v>
      </c>
      <c r="AA93" s="34">
        <v>-108430.908</v>
      </c>
      <c r="AB93" s="30" t="s">
        <v>644</v>
      </c>
      <c r="AC93" s="30" t="s">
        <v>645</v>
      </c>
      <c r="AD93" s="30" t="s">
        <v>646</v>
      </c>
      <c r="AE93" s="18">
        <f t="shared" si="22"/>
        <v>0.00201262152481674</v>
      </c>
      <c r="AF93" s="19">
        <f t="shared" si="23"/>
        <v>218.230379396223</v>
      </c>
    </row>
    <row r="94" spans="16:32">
      <c r="P94" s="29" t="s">
        <v>359</v>
      </c>
      <c r="Q94" s="30" t="s">
        <v>638</v>
      </c>
      <c r="R94" s="30" t="s">
        <v>742</v>
      </c>
      <c r="S94" s="30" t="s">
        <v>640</v>
      </c>
      <c r="T94" s="31">
        <v>248454</v>
      </c>
      <c r="U94" s="30" t="s">
        <v>743</v>
      </c>
      <c r="V94" s="30" t="s">
        <v>641</v>
      </c>
      <c r="W94" s="30" t="s">
        <v>642</v>
      </c>
      <c r="X94" s="32">
        <v>15.524</v>
      </c>
      <c r="Y94" s="30" t="s">
        <v>643</v>
      </c>
      <c r="Z94" s="33">
        <v>4477.55</v>
      </c>
      <c r="AA94" s="34">
        <v>69509.486</v>
      </c>
      <c r="AB94" s="30" t="s">
        <v>644</v>
      </c>
      <c r="AC94" s="30" t="s">
        <v>645</v>
      </c>
      <c r="AD94" s="30" t="s">
        <v>646</v>
      </c>
      <c r="AE94" s="35"/>
      <c r="AF94" s="36"/>
    </row>
    <row r="95" spans="16:32">
      <c r="P95" s="29" t="s">
        <v>359</v>
      </c>
      <c r="Q95" s="30" t="s">
        <v>638</v>
      </c>
      <c r="R95" s="30" t="s">
        <v>742</v>
      </c>
      <c r="S95" s="30" t="s">
        <v>647</v>
      </c>
      <c r="T95" s="31">
        <v>248455</v>
      </c>
      <c r="U95" s="30" t="s">
        <v>743</v>
      </c>
      <c r="V95" s="30" t="s">
        <v>648</v>
      </c>
      <c r="W95" s="30" t="s">
        <v>649</v>
      </c>
      <c r="X95" s="32">
        <v>-15.075</v>
      </c>
      <c r="Y95" s="30" t="s">
        <v>643</v>
      </c>
      <c r="Z95" s="33">
        <v>4610.91</v>
      </c>
      <c r="AA95" s="34">
        <v>-69509.486</v>
      </c>
      <c r="AB95" s="30" t="s">
        <v>644</v>
      </c>
      <c r="AC95" s="30" t="s">
        <v>645</v>
      </c>
      <c r="AD95" s="30" t="s">
        <v>646</v>
      </c>
      <c r="AE95" s="18">
        <f t="shared" ref="AE95:AE99" si="24">1+(X95/X94)</f>
        <v>0.0289229580005154</v>
      </c>
      <c r="AF95" s="19">
        <f t="shared" ref="AF95:AF99" si="25">AE95*-AA95</f>
        <v>2010.41994421541</v>
      </c>
    </row>
    <row r="96" spans="16:32">
      <c r="P96" s="29" t="s">
        <v>359</v>
      </c>
      <c r="Q96" s="30" t="s">
        <v>638</v>
      </c>
      <c r="R96" s="30" t="s">
        <v>744</v>
      </c>
      <c r="S96" s="30" t="s">
        <v>640</v>
      </c>
      <c r="T96" s="31">
        <v>248452</v>
      </c>
      <c r="U96" s="30" t="s">
        <v>743</v>
      </c>
      <c r="V96" s="30" t="s">
        <v>641</v>
      </c>
      <c r="W96" s="30" t="s">
        <v>651</v>
      </c>
      <c r="X96" s="32">
        <v>4.082</v>
      </c>
      <c r="Y96" s="30" t="s">
        <v>643</v>
      </c>
      <c r="Z96" s="33">
        <v>3455.44</v>
      </c>
      <c r="AA96" s="34">
        <v>14105.106</v>
      </c>
      <c r="AB96" s="30" t="s">
        <v>644</v>
      </c>
      <c r="AC96" s="30" t="s">
        <v>645</v>
      </c>
      <c r="AD96" s="30" t="s">
        <v>646</v>
      </c>
      <c r="AE96" s="35"/>
      <c r="AF96" s="36"/>
    </row>
    <row r="97" spans="16:32">
      <c r="P97" s="29" t="s">
        <v>359</v>
      </c>
      <c r="Q97" s="30" t="s">
        <v>638</v>
      </c>
      <c r="R97" s="30" t="s">
        <v>744</v>
      </c>
      <c r="S97" s="30" t="s">
        <v>647</v>
      </c>
      <c r="T97" s="31">
        <v>248453</v>
      </c>
      <c r="U97" s="30" t="s">
        <v>743</v>
      </c>
      <c r="V97" s="30" t="s">
        <v>648</v>
      </c>
      <c r="W97" s="30" t="s">
        <v>652</v>
      </c>
      <c r="X97" s="32">
        <v>-3.96</v>
      </c>
      <c r="Y97" s="30" t="s">
        <v>643</v>
      </c>
      <c r="Z97" s="33">
        <v>3561.9</v>
      </c>
      <c r="AA97" s="34">
        <v>-14105.106</v>
      </c>
      <c r="AB97" s="30" t="s">
        <v>644</v>
      </c>
      <c r="AC97" s="30" t="s">
        <v>645</v>
      </c>
      <c r="AD97" s="30" t="s">
        <v>646</v>
      </c>
      <c r="AE97" s="18">
        <f t="shared" si="24"/>
        <v>0.0298873101420872</v>
      </c>
      <c r="AF97" s="19">
        <f t="shared" si="25"/>
        <v>421.563677609015</v>
      </c>
    </row>
    <row r="98" spans="16:32">
      <c r="P98" s="20" t="s">
        <v>359</v>
      </c>
      <c r="Q98" s="30" t="s">
        <v>638</v>
      </c>
      <c r="R98" s="30" t="s">
        <v>745</v>
      </c>
      <c r="S98" s="30" t="s">
        <v>640</v>
      </c>
      <c r="T98" s="31">
        <v>258053</v>
      </c>
      <c r="U98" s="30" t="s">
        <v>743</v>
      </c>
      <c r="V98" s="30" t="s">
        <v>641</v>
      </c>
      <c r="W98" s="30" t="s">
        <v>654</v>
      </c>
      <c r="X98" s="34">
        <v>0.06</v>
      </c>
      <c r="Y98" s="30" t="s">
        <v>643</v>
      </c>
      <c r="Z98" s="33">
        <v>3643.6333</v>
      </c>
      <c r="AA98" s="34">
        <v>218.618</v>
      </c>
      <c r="AB98" s="30" t="s">
        <v>644</v>
      </c>
      <c r="AC98" s="30" t="s">
        <v>645</v>
      </c>
      <c r="AD98" s="30" t="s">
        <v>646</v>
      </c>
    </row>
    <row r="99" spans="16:32">
      <c r="P99" s="17" t="s">
        <v>359</v>
      </c>
      <c r="Q99" s="17" t="s">
        <v>638</v>
      </c>
      <c r="R99" s="17" t="s">
        <v>745</v>
      </c>
      <c r="S99" s="17" t="s">
        <v>647</v>
      </c>
      <c r="T99" s="17">
        <v>258054</v>
      </c>
      <c r="U99" s="17" t="s">
        <v>743</v>
      </c>
      <c r="V99" s="17" t="s">
        <v>648</v>
      </c>
      <c r="W99" s="17" t="s">
        <v>655</v>
      </c>
      <c r="X99" s="17">
        <v>-0.06</v>
      </c>
      <c r="Y99" s="17" t="s">
        <v>643</v>
      </c>
      <c r="Z99" s="17">
        <v>3643.63</v>
      </c>
      <c r="AA99" s="17">
        <v>-218.618</v>
      </c>
      <c r="AB99" s="17" t="s">
        <v>644</v>
      </c>
      <c r="AC99" s="17" t="s">
        <v>645</v>
      </c>
      <c r="AD99" s="17" t="s">
        <v>646</v>
      </c>
      <c r="AE99" s="18">
        <f t="shared" si="24"/>
        <v>0</v>
      </c>
      <c r="AF99" s="19">
        <f t="shared" si="25"/>
        <v>0</v>
      </c>
    </row>
    <row r="100" spans="16:32">
      <c r="P100" s="17" t="s">
        <v>359</v>
      </c>
      <c r="Q100" s="17" t="s">
        <v>638</v>
      </c>
      <c r="R100" s="17" t="s">
        <v>746</v>
      </c>
      <c r="S100" s="17" t="s">
        <v>640</v>
      </c>
      <c r="T100" s="17">
        <v>263276</v>
      </c>
      <c r="U100" s="17" t="s">
        <v>743</v>
      </c>
      <c r="V100" s="17" t="s">
        <v>641</v>
      </c>
      <c r="W100" s="17" t="s">
        <v>657</v>
      </c>
      <c r="X100" s="17">
        <v>2.104</v>
      </c>
      <c r="Y100" s="17" t="s">
        <v>643</v>
      </c>
      <c r="Z100" s="17">
        <v>3818.0599</v>
      </c>
      <c r="AA100" s="17">
        <v>8033.198</v>
      </c>
      <c r="AB100" s="17" t="s">
        <v>644</v>
      </c>
      <c r="AC100" s="17" t="s">
        <v>645</v>
      </c>
      <c r="AD100" s="17" t="s">
        <v>646</v>
      </c>
    </row>
    <row r="101" spans="16:32">
      <c r="P101" s="17" t="s">
        <v>359</v>
      </c>
      <c r="Q101" s="17" t="s">
        <v>638</v>
      </c>
      <c r="R101" s="17" t="s">
        <v>746</v>
      </c>
      <c r="S101" s="17" t="s">
        <v>647</v>
      </c>
      <c r="T101" s="17">
        <v>263277</v>
      </c>
      <c r="U101" s="17" t="s">
        <v>743</v>
      </c>
      <c r="V101" s="17" t="s">
        <v>648</v>
      </c>
      <c r="W101" s="17" t="s">
        <v>658</v>
      </c>
      <c r="X101" s="17">
        <v>-2.01</v>
      </c>
      <c r="Y101" s="17" t="s">
        <v>643</v>
      </c>
      <c r="Z101" s="17">
        <v>3996.62</v>
      </c>
      <c r="AA101" s="17">
        <v>-8033.198</v>
      </c>
      <c r="AB101" s="17" t="s">
        <v>644</v>
      </c>
      <c r="AC101" s="17" t="s">
        <v>645</v>
      </c>
      <c r="AD101" s="17" t="s">
        <v>646</v>
      </c>
      <c r="AE101" s="18">
        <f t="shared" ref="AE101:AE105" si="26">1+(X101/X100)</f>
        <v>0.0446768060836503</v>
      </c>
      <c r="AF101" s="19">
        <f t="shared" ref="AF101:AF105" si="27">AE101*-AA101</f>
        <v>358.897629277568</v>
      </c>
    </row>
    <row r="102" spans="16:32">
      <c r="P102" s="17" t="s">
        <v>308</v>
      </c>
      <c r="Q102" s="17" t="s">
        <v>638</v>
      </c>
      <c r="R102" s="17" t="s">
        <v>747</v>
      </c>
      <c r="S102" s="17" t="s">
        <v>640</v>
      </c>
      <c r="T102" s="17">
        <v>295305</v>
      </c>
      <c r="U102" s="17" t="s">
        <v>743</v>
      </c>
      <c r="V102" s="17" t="s">
        <v>641</v>
      </c>
      <c r="W102" s="17" t="s">
        <v>748</v>
      </c>
      <c r="X102" s="17">
        <v>1.411</v>
      </c>
      <c r="Y102" s="17" t="s">
        <v>643</v>
      </c>
      <c r="Z102" s="17">
        <v>4271.8703</v>
      </c>
      <c r="AA102" s="17">
        <v>6027.609</v>
      </c>
      <c r="AB102" s="17" t="s">
        <v>644</v>
      </c>
      <c r="AC102" s="17" t="s">
        <v>645</v>
      </c>
      <c r="AD102" s="17" t="s">
        <v>646</v>
      </c>
    </row>
    <row r="103" spans="16:32">
      <c r="P103" s="17" t="s">
        <v>308</v>
      </c>
      <c r="Q103" s="17" t="s">
        <v>638</v>
      </c>
      <c r="R103" s="17" t="s">
        <v>747</v>
      </c>
      <c r="S103" s="17" t="s">
        <v>647</v>
      </c>
      <c r="T103" s="17">
        <v>295306</v>
      </c>
      <c r="U103" s="17" t="s">
        <v>743</v>
      </c>
      <c r="V103" s="17" t="s">
        <v>648</v>
      </c>
      <c r="W103" s="17" t="s">
        <v>749</v>
      </c>
      <c r="X103" s="17">
        <v>-1.347</v>
      </c>
      <c r="Y103" s="17" t="s">
        <v>643</v>
      </c>
      <c r="Z103" s="17">
        <v>4474.84</v>
      </c>
      <c r="AA103" s="17">
        <v>-6027.609</v>
      </c>
      <c r="AB103" s="17" t="s">
        <v>644</v>
      </c>
      <c r="AC103" s="17" t="s">
        <v>645</v>
      </c>
      <c r="AD103" s="17" t="s">
        <v>646</v>
      </c>
      <c r="AE103" s="18">
        <f t="shared" si="26"/>
        <v>0.0453579021970234</v>
      </c>
      <c r="AF103" s="19">
        <f t="shared" si="27"/>
        <v>273.399699503898</v>
      </c>
    </row>
    <row r="104" spans="16:32">
      <c r="P104" s="17" t="s">
        <v>359</v>
      </c>
      <c r="Q104" s="17" t="s">
        <v>638</v>
      </c>
      <c r="R104" s="17" t="s">
        <v>750</v>
      </c>
      <c r="S104" s="17" t="s">
        <v>640</v>
      </c>
      <c r="T104" s="17">
        <v>290284</v>
      </c>
      <c r="U104" s="17" t="s">
        <v>743</v>
      </c>
      <c r="V104" s="17" t="s">
        <v>641</v>
      </c>
      <c r="W104" s="17" t="s">
        <v>660</v>
      </c>
      <c r="X104" s="17">
        <v>2.4</v>
      </c>
      <c r="Y104" s="17" t="s">
        <v>643</v>
      </c>
      <c r="Z104" s="17">
        <v>3981.67</v>
      </c>
      <c r="AA104" s="17">
        <v>9556.008</v>
      </c>
      <c r="AB104" s="17" t="s">
        <v>644</v>
      </c>
      <c r="AC104" s="17" t="s">
        <v>645</v>
      </c>
      <c r="AD104" s="17" t="s">
        <v>646</v>
      </c>
    </row>
    <row r="105" spans="16:32">
      <c r="P105" s="17" t="s">
        <v>359</v>
      </c>
      <c r="Q105" s="17" t="s">
        <v>638</v>
      </c>
      <c r="R105" s="17" t="s">
        <v>750</v>
      </c>
      <c r="S105" s="17" t="s">
        <v>647</v>
      </c>
      <c r="T105" s="17">
        <v>290285</v>
      </c>
      <c r="U105" s="17" t="s">
        <v>743</v>
      </c>
      <c r="V105" s="17" t="s">
        <v>648</v>
      </c>
      <c r="W105" s="17" t="s">
        <v>661</v>
      </c>
      <c r="X105" s="17">
        <v>-2.4</v>
      </c>
      <c r="Y105" s="17" t="s">
        <v>643</v>
      </c>
      <c r="Z105" s="17">
        <v>3981.67</v>
      </c>
      <c r="AA105" s="17">
        <v>-9556.008</v>
      </c>
      <c r="AB105" s="17" t="s">
        <v>644</v>
      </c>
      <c r="AC105" s="17" t="s">
        <v>645</v>
      </c>
      <c r="AD105" s="17" t="s">
        <v>646</v>
      </c>
      <c r="AE105" s="18">
        <f t="shared" si="26"/>
        <v>0</v>
      </c>
      <c r="AF105" s="19">
        <f t="shared" si="27"/>
        <v>0</v>
      </c>
    </row>
    <row r="106" spans="16:32">
      <c r="P106" s="17" t="s">
        <v>359</v>
      </c>
      <c r="Q106" s="17" t="s">
        <v>638</v>
      </c>
      <c r="R106" s="17" t="s">
        <v>751</v>
      </c>
      <c r="S106" s="17" t="s">
        <v>640</v>
      </c>
      <c r="T106" s="17">
        <v>291457</v>
      </c>
      <c r="U106" s="17" t="s">
        <v>743</v>
      </c>
      <c r="V106" s="17" t="s">
        <v>641</v>
      </c>
      <c r="W106" s="17" t="s">
        <v>663</v>
      </c>
      <c r="X106" s="17">
        <v>3.635</v>
      </c>
      <c r="Y106" s="17" t="s">
        <v>643</v>
      </c>
      <c r="Z106" s="17">
        <v>3793.1301</v>
      </c>
      <c r="AA106" s="17">
        <v>13788.028</v>
      </c>
      <c r="AB106" s="17" t="s">
        <v>644</v>
      </c>
      <c r="AC106" s="17" t="s">
        <v>645</v>
      </c>
      <c r="AD106" s="17" t="s">
        <v>646</v>
      </c>
    </row>
    <row r="107" spans="16:32">
      <c r="P107" s="17" t="s">
        <v>359</v>
      </c>
      <c r="Q107" s="17" t="s">
        <v>638</v>
      </c>
      <c r="R107" s="17" t="s">
        <v>751</v>
      </c>
      <c r="S107" s="17" t="s">
        <v>647</v>
      </c>
      <c r="T107" s="17">
        <v>291458</v>
      </c>
      <c r="U107" s="17" t="s">
        <v>743</v>
      </c>
      <c r="V107" s="17" t="s">
        <v>648</v>
      </c>
      <c r="W107" s="17" t="s">
        <v>664</v>
      </c>
      <c r="X107" s="17">
        <v>-3.15</v>
      </c>
      <c r="Y107" s="17" t="s">
        <v>643</v>
      </c>
      <c r="Z107" s="17">
        <v>4377.15</v>
      </c>
      <c r="AA107" s="17">
        <v>-13788.028</v>
      </c>
      <c r="AB107" s="17" t="s">
        <v>644</v>
      </c>
      <c r="AC107" s="17" t="s">
        <v>645</v>
      </c>
      <c r="AD107" s="17" t="s">
        <v>646</v>
      </c>
      <c r="AE107" s="18">
        <f t="shared" ref="AE107:AE111" si="28">1+(X107/X106)</f>
        <v>0.133425034387895</v>
      </c>
      <c r="AF107" s="19">
        <f t="shared" ref="AF107:AF111" si="29">AE107*-AA107</f>
        <v>1839.66811004127</v>
      </c>
    </row>
    <row r="108" spans="16:32">
      <c r="P108" s="17" t="s">
        <v>359</v>
      </c>
      <c r="Q108" s="17" t="s">
        <v>638</v>
      </c>
      <c r="R108" s="17" t="s">
        <v>752</v>
      </c>
      <c r="S108" s="17" t="s">
        <v>640</v>
      </c>
      <c r="T108" s="17">
        <v>291459</v>
      </c>
      <c r="U108" s="17" t="s">
        <v>743</v>
      </c>
      <c r="V108" s="17" t="s">
        <v>641</v>
      </c>
      <c r="W108" s="17" t="s">
        <v>666</v>
      </c>
      <c r="X108" s="17">
        <v>12.518</v>
      </c>
      <c r="Y108" s="17" t="s">
        <v>643</v>
      </c>
      <c r="Z108" s="17">
        <v>4036.08</v>
      </c>
      <c r="AA108" s="17">
        <v>50523.649</v>
      </c>
      <c r="AB108" s="17" t="s">
        <v>644</v>
      </c>
      <c r="AC108" s="17" t="s">
        <v>645</v>
      </c>
      <c r="AD108" s="17" t="s">
        <v>646</v>
      </c>
    </row>
    <row r="109" spans="16:32">
      <c r="P109" s="17" t="s">
        <v>359</v>
      </c>
      <c r="Q109" s="17" t="s">
        <v>638</v>
      </c>
      <c r="R109" s="17" t="s">
        <v>752</v>
      </c>
      <c r="S109" s="17" t="s">
        <v>647</v>
      </c>
      <c r="T109" s="17">
        <v>291460</v>
      </c>
      <c r="U109" s="17" t="s">
        <v>743</v>
      </c>
      <c r="V109" s="17" t="s">
        <v>648</v>
      </c>
      <c r="W109" s="17" t="s">
        <v>667</v>
      </c>
      <c r="X109" s="17">
        <v>-12.345</v>
      </c>
      <c r="Y109" s="17" t="s">
        <v>643</v>
      </c>
      <c r="Z109" s="17">
        <v>4092.64</v>
      </c>
      <c r="AA109" s="17">
        <v>-50523.649</v>
      </c>
      <c r="AB109" s="17" t="s">
        <v>644</v>
      </c>
      <c r="AC109" s="17" t="s">
        <v>645</v>
      </c>
      <c r="AD109" s="17" t="s">
        <v>646</v>
      </c>
      <c r="AE109" s="18">
        <f t="shared" si="28"/>
        <v>0.0138200990573574</v>
      </c>
      <c r="AF109" s="19">
        <f t="shared" si="29"/>
        <v>698.241833919155</v>
      </c>
    </row>
    <row r="110" spans="16:32">
      <c r="P110" s="17" t="s">
        <v>359</v>
      </c>
      <c r="Q110" s="17" t="s">
        <v>638</v>
      </c>
      <c r="R110" s="17" t="s">
        <v>753</v>
      </c>
      <c r="S110" s="17" t="s">
        <v>640</v>
      </c>
      <c r="T110" s="17">
        <v>293165</v>
      </c>
      <c r="U110" s="17" t="s">
        <v>743</v>
      </c>
      <c r="V110" s="17" t="s">
        <v>641</v>
      </c>
      <c r="W110" s="17" t="s">
        <v>754</v>
      </c>
      <c r="X110" s="17">
        <v>5.12</v>
      </c>
      <c r="Y110" s="17" t="s">
        <v>643</v>
      </c>
      <c r="Z110" s="17">
        <v>3265.7</v>
      </c>
      <c r="AA110" s="17">
        <v>16720.384</v>
      </c>
      <c r="AB110" s="17" t="s">
        <v>644</v>
      </c>
      <c r="AC110" s="17" t="s">
        <v>645</v>
      </c>
      <c r="AD110" s="17" t="s">
        <v>646</v>
      </c>
    </row>
    <row r="111" spans="16:32">
      <c r="P111" s="17" t="s">
        <v>359</v>
      </c>
      <c r="Q111" s="17" t="s">
        <v>638</v>
      </c>
      <c r="R111" s="17" t="s">
        <v>753</v>
      </c>
      <c r="S111" s="17" t="s">
        <v>647</v>
      </c>
      <c r="T111" s="17">
        <v>293166</v>
      </c>
      <c r="U111" s="17" t="s">
        <v>743</v>
      </c>
      <c r="V111" s="17" t="s">
        <v>648</v>
      </c>
      <c r="W111" s="17" t="s">
        <v>755</v>
      </c>
      <c r="X111" s="17">
        <v>-4.995</v>
      </c>
      <c r="Y111" s="17" t="s">
        <v>643</v>
      </c>
      <c r="Z111" s="17">
        <v>3347.42</v>
      </c>
      <c r="AA111" s="17">
        <v>-16720.384</v>
      </c>
      <c r="AB111" s="17" t="s">
        <v>644</v>
      </c>
      <c r="AC111" s="17" t="s">
        <v>645</v>
      </c>
      <c r="AD111" s="17" t="s">
        <v>646</v>
      </c>
      <c r="AE111" s="18">
        <f t="shared" si="28"/>
        <v>0.0244140625</v>
      </c>
      <c r="AF111" s="19">
        <f t="shared" si="29"/>
        <v>408.2125</v>
      </c>
    </row>
    <row r="112" spans="16:32">
      <c r="P112" s="17" t="s">
        <v>308</v>
      </c>
      <c r="Q112" s="17" t="s">
        <v>638</v>
      </c>
      <c r="R112" s="17" t="s">
        <v>756</v>
      </c>
      <c r="S112" s="17" t="s">
        <v>640</v>
      </c>
      <c r="T112" s="17">
        <v>299667</v>
      </c>
      <c r="U112" s="17" t="s">
        <v>743</v>
      </c>
      <c r="V112" s="17" t="s">
        <v>641</v>
      </c>
      <c r="W112" s="17" t="s">
        <v>684</v>
      </c>
      <c r="X112" s="17">
        <v>5.128</v>
      </c>
      <c r="Y112" s="17" t="s">
        <v>643</v>
      </c>
      <c r="Z112" s="17">
        <v>4361.86</v>
      </c>
      <c r="AA112" s="17">
        <v>22367.618</v>
      </c>
      <c r="AB112" s="17" t="s">
        <v>644</v>
      </c>
      <c r="AC112" s="17" t="s">
        <v>645</v>
      </c>
      <c r="AD112" s="17" t="s">
        <v>646</v>
      </c>
    </row>
    <row r="113" spans="16:32">
      <c r="P113" s="17" t="s">
        <v>308</v>
      </c>
      <c r="Q113" s="17" t="s">
        <v>638</v>
      </c>
      <c r="R113" s="17" t="s">
        <v>756</v>
      </c>
      <c r="S113" s="17" t="s">
        <v>647</v>
      </c>
      <c r="T113" s="17">
        <v>299668</v>
      </c>
      <c r="U113" s="17" t="s">
        <v>743</v>
      </c>
      <c r="V113" s="17" t="s">
        <v>648</v>
      </c>
      <c r="W113" s="17" t="s">
        <v>685</v>
      </c>
      <c r="X113" s="17">
        <v>-5.064</v>
      </c>
      <c r="Y113" s="17" t="s">
        <v>643</v>
      </c>
      <c r="Z113" s="17">
        <v>4416.99</v>
      </c>
      <c r="AA113" s="17">
        <v>-22367.618</v>
      </c>
      <c r="AB113" s="17" t="s">
        <v>644</v>
      </c>
      <c r="AC113" s="17" t="s">
        <v>645</v>
      </c>
      <c r="AD113" s="17" t="s">
        <v>646</v>
      </c>
      <c r="AE113" s="18">
        <f t="shared" ref="AE113:AE117" si="30">1+(X113/X112)</f>
        <v>0.0124804992199689</v>
      </c>
      <c r="AF113" s="19">
        <f t="shared" ref="AF113:AF117" si="31">AE113*-AA113</f>
        <v>279.159039001561</v>
      </c>
    </row>
    <row r="114" spans="16:32">
      <c r="P114" s="17" t="s">
        <v>308</v>
      </c>
      <c r="Q114" s="17" t="s">
        <v>638</v>
      </c>
      <c r="R114" s="17" t="s">
        <v>757</v>
      </c>
      <c r="S114" s="17" t="s">
        <v>640</v>
      </c>
      <c r="T114" s="17">
        <v>297474</v>
      </c>
      <c r="U114" s="17" t="s">
        <v>743</v>
      </c>
      <c r="V114" s="17" t="s">
        <v>641</v>
      </c>
      <c r="W114" s="17" t="s">
        <v>687</v>
      </c>
      <c r="X114" s="17">
        <v>0.652</v>
      </c>
      <c r="Y114" s="17" t="s">
        <v>643</v>
      </c>
      <c r="Z114" s="17">
        <v>5478.4801</v>
      </c>
      <c r="AA114" s="17">
        <v>3571.969</v>
      </c>
      <c r="AB114" s="17" t="s">
        <v>644</v>
      </c>
      <c r="AC114" s="17" t="s">
        <v>645</v>
      </c>
      <c r="AD114" s="17" t="s">
        <v>646</v>
      </c>
    </row>
    <row r="115" spans="16:32">
      <c r="P115" s="17" t="s">
        <v>308</v>
      </c>
      <c r="Q115" s="17" t="s">
        <v>638</v>
      </c>
      <c r="R115" s="17" t="s">
        <v>757</v>
      </c>
      <c r="S115" s="17" t="s">
        <v>647</v>
      </c>
      <c r="T115" s="17">
        <v>297475</v>
      </c>
      <c r="U115" s="17" t="s">
        <v>743</v>
      </c>
      <c r="V115" s="17" t="s">
        <v>648</v>
      </c>
      <c r="W115" s="17" t="s">
        <v>688</v>
      </c>
      <c r="X115" s="17">
        <v>-0.6</v>
      </c>
      <c r="Y115" s="17" t="s">
        <v>643</v>
      </c>
      <c r="Z115" s="17">
        <v>5953.28</v>
      </c>
      <c r="AA115" s="17">
        <v>-3571.969</v>
      </c>
      <c r="AB115" s="17" t="s">
        <v>644</v>
      </c>
      <c r="AC115" s="17" t="s">
        <v>645</v>
      </c>
      <c r="AD115" s="17" t="s">
        <v>646</v>
      </c>
      <c r="AE115" s="18">
        <f t="shared" si="30"/>
        <v>0.079754601226994</v>
      </c>
      <c r="AF115" s="19">
        <f t="shared" si="31"/>
        <v>284.880963190184</v>
      </c>
    </row>
    <row r="116" spans="16:32">
      <c r="P116" s="17" t="s">
        <v>308</v>
      </c>
      <c r="Q116" s="17" t="s">
        <v>638</v>
      </c>
      <c r="R116" s="17" t="s">
        <v>758</v>
      </c>
      <c r="S116" s="17" t="s">
        <v>640</v>
      </c>
      <c r="T116" s="17">
        <v>292653</v>
      </c>
      <c r="U116" s="17" t="s">
        <v>743</v>
      </c>
      <c r="V116" s="17" t="s">
        <v>641</v>
      </c>
      <c r="W116" s="17" t="s">
        <v>690</v>
      </c>
      <c r="X116" s="17">
        <v>10.92</v>
      </c>
      <c r="Y116" s="17" t="s">
        <v>643</v>
      </c>
      <c r="Z116" s="17">
        <v>4768.66</v>
      </c>
      <c r="AA116" s="17">
        <v>52073.767</v>
      </c>
      <c r="AB116" s="17" t="s">
        <v>644</v>
      </c>
      <c r="AC116" s="17" t="s">
        <v>645</v>
      </c>
      <c r="AD116" s="17" t="s">
        <v>646</v>
      </c>
    </row>
    <row r="117" spans="16:32">
      <c r="P117" s="17" t="s">
        <v>308</v>
      </c>
      <c r="Q117" s="17" t="s">
        <v>638</v>
      </c>
      <c r="R117" s="17" t="s">
        <v>758</v>
      </c>
      <c r="S117" s="17" t="s">
        <v>647</v>
      </c>
      <c r="T117" s="17">
        <v>292654</v>
      </c>
      <c r="U117" s="17" t="s">
        <v>743</v>
      </c>
      <c r="V117" s="17" t="s">
        <v>648</v>
      </c>
      <c r="W117" s="17" t="s">
        <v>691</v>
      </c>
      <c r="X117" s="17">
        <v>-10.92</v>
      </c>
      <c r="Y117" s="17" t="s">
        <v>643</v>
      </c>
      <c r="Z117" s="17">
        <v>4768.66</v>
      </c>
      <c r="AA117" s="17">
        <v>-52073.767</v>
      </c>
      <c r="AB117" s="17" t="s">
        <v>644</v>
      </c>
      <c r="AC117" s="17" t="s">
        <v>645</v>
      </c>
      <c r="AD117" s="17" t="s">
        <v>646</v>
      </c>
      <c r="AE117" s="18">
        <f t="shared" si="30"/>
        <v>0</v>
      </c>
      <c r="AF117" s="19">
        <f t="shared" si="31"/>
        <v>0</v>
      </c>
    </row>
    <row r="118" spans="16:32">
      <c r="P118" s="17" t="s">
        <v>359</v>
      </c>
      <c r="Q118" s="17" t="s">
        <v>638</v>
      </c>
      <c r="R118" s="17" t="s">
        <v>759</v>
      </c>
      <c r="S118" s="17" t="s">
        <v>640</v>
      </c>
      <c r="T118" s="17">
        <v>300310</v>
      </c>
      <c r="U118" s="17" t="s">
        <v>743</v>
      </c>
      <c r="V118" s="17" t="s">
        <v>641</v>
      </c>
      <c r="W118" s="17" t="s">
        <v>678</v>
      </c>
      <c r="X118" s="17">
        <v>39.542</v>
      </c>
      <c r="Y118" s="17" t="s">
        <v>643</v>
      </c>
      <c r="Z118" s="17">
        <v>3306.79</v>
      </c>
      <c r="AA118" s="17">
        <v>130757.09</v>
      </c>
      <c r="AB118" s="17" t="s">
        <v>644</v>
      </c>
      <c r="AC118" s="17" t="s">
        <v>645</v>
      </c>
      <c r="AD118" s="17" t="s">
        <v>646</v>
      </c>
    </row>
    <row r="119" spans="16:32">
      <c r="P119" s="17" t="s">
        <v>359</v>
      </c>
      <c r="Q119" s="17" t="s">
        <v>638</v>
      </c>
      <c r="R119" s="17" t="s">
        <v>759</v>
      </c>
      <c r="S119" s="17" t="s">
        <v>647</v>
      </c>
      <c r="T119" s="17">
        <v>300311</v>
      </c>
      <c r="U119" s="17" t="s">
        <v>743</v>
      </c>
      <c r="V119" s="17" t="s">
        <v>648</v>
      </c>
      <c r="W119" s="17" t="s">
        <v>679</v>
      </c>
      <c r="X119" s="17">
        <v>-38.67</v>
      </c>
      <c r="Y119" s="17" t="s">
        <v>643</v>
      </c>
      <c r="Z119" s="17">
        <v>3381.36</v>
      </c>
      <c r="AA119" s="17">
        <v>-130757.09</v>
      </c>
      <c r="AB119" s="17" t="s">
        <v>644</v>
      </c>
      <c r="AC119" s="17" t="s">
        <v>645</v>
      </c>
      <c r="AD119" s="17" t="s">
        <v>646</v>
      </c>
      <c r="AE119" s="18">
        <f t="shared" ref="AE119:AE123" si="32">1+(X119/X118)</f>
        <v>0.0220525011380305</v>
      </c>
      <c r="AF119" s="19">
        <f t="shared" ref="AF119:AF123" si="33">AE119*-AA119</f>
        <v>2883.52087603055</v>
      </c>
    </row>
    <row r="120" spans="16:32">
      <c r="P120" s="17" t="s">
        <v>308</v>
      </c>
      <c r="Q120" s="17" t="s">
        <v>638</v>
      </c>
      <c r="R120" s="17" t="s">
        <v>760</v>
      </c>
      <c r="S120" s="17" t="s">
        <v>640</v>
      </c>
      <c r="T120" s="17">
        <v>300300</v>
      </c>
      <c r="U120" s="17" t="s">
        <v>743</v>
      </c>
      <c r="V120" s="17" t="s">
        <v>641</v>
      </c>
      <c r="W120" s="17" t="s">
        <v>718</v>
      </c>
      <c r="X120" s="17">
        <v>1.101</v>
      </c>
      <c r="Y120" s="17" t="s">
        <v>643</v>
      </c>
      <c r="Z120" s="17">
        <v>2508.05</v>
      </c>
      <c r="AA120" s="17">
        <v>2761.363</v>
      </c>
      <c r="AB120" s="17" t="s">
        <v>644</v>
      </c>
      <c r="AC120" s="17" t="s">
        <v>645</v>
      </c>
      <c r="AD120" s="17" t="s">
        <v>646</v>
      </c>
    </row>
    <row r="121" spans="16:32">
      <c r="P121" s="17" t="s">
        <v>308</v>
      </c>
      <c r="Q121" s="17" t="s">
        <v>638</v>
      </c>
      <c r="R121" s="17" t="s">
        <v>760</v>
      </c>
      <c r="S121" s="17" t="s">
        <v>647</v>
      </c>
      <c r="T121" s="17">
        <v>300301</v>
      </c>
      <c r="U121" s="17" t="s">
        <v>743</v>
      </c>
      <c r="V121" s="17" t="s">
        <v>648</v>
      </c>
      <c r="W121" s="17" t="s">
        <v>719</v>
      </c>
      <c r="X121" s="17">
        <v>-0.876</v>
      </c>
      <c r="Y121" s="17" t="s">
        <v>643</v>
      </c>
      <c r="Z121" s="17">
        <v>3152.24</v>
      </c>
      <c r="AA121" s="17">
        <v>-2761.363</v>
      </c>
      <c r="AB121" s="17" t="s">
        <v>644</v>
      </c>
      <c r="AC121" s="17" t="s">
        <v>645</v>
      </c>
      <c r="AD121" s="17" t="s">
        <v>646</v>
      </c>
      <c r="AE121" s="18">
        <f t="shared" si="32"/>
        <v>0.204359673024523</v>
      </c>
      <c r="AF121" s="19">
        <f t="shared" si="33"/>
        <v>564.311239782016</v>
      </c>
    </row>
    <row r="122" spans="16:32">
      <c r="P122" s="17" t="s">
        <v>308</v>
      </c>
      <c r="Q122" s="17" t="s">
        <v>638</v>
      </c>
      <c r="R122" s="17" t="s">
        <v>761</v>
      </c>
      <c r="S122" s="17" t="s">
        <v>640</v>
      </c>
      <c r="T122" s="17">
        <v>290939</v>
      </c>
      <c r="U122" s="17" t="s">
        <v>743</v>
      </c>
      <c r="V122" s="17" t="s">
        <v>641</v>
      </c>
      <c r="W122" s="17" t="s">
        <v>693</v>
      </c>
      <c r="X122" s="17">
        <v>142.7</v>
      </c>
      <c r="Y122" s="17" t="s">
        <v>643</v>
      </c>
      <c r="Z122" s="17">
        <v>4538.22</v>
      </c>
      <c r="AA122" s="17">
        <v>647603.994</v>
      </c>
      <c r="AB122" s="17" t="s">
        <v>644</v>
      </c>
      <c r="AC122" s="17" t="s">
        <v>645</v>
      </c>
      <c r="AD122" s="17" t="s">
        <v>646</v>
      </c>
    </row>
    <row r="123" spans="16:32">
      <c r="P123" s="17" t="s">
        <v>308</v>
      </c>
      <c r="Q123" s="17" t="s">
        <v>638</v>
      </c>
      <c r="R123" s="17" t="s">
        <v>761</v>
      </c>
      <c r="S123" s="17" t="s">
        <v>647</v>
      </c>
      <c r="T123" s="17">
        <v>290940</v>
      </c>
      <c r="U123" s="17" t="s">
        <v>743</v>
      </c>
      <c r="V123" s="17" t="s">
        <v>648</v>
      </c>
      <c r="W123" s="17" t="s">
        <v>694</v>
      </c>
      <c r="X123" s="17">
        <v>-142.302</v>
      </c>
      <c r="Y123" s="17" t="s">
        <v>643</v>
      </c>
      <c r="Z123" s="17">
        <v>4550.91</v>
      </c>
      <c r="AA123" s="17">
        <v>-647603.994</v>
      </c>
      <c r="AB123" s="17" t="s">
        <v>644</v>
      </c>
      <c r="AC123" s="17" t="s">
        <v>645</v>
      </c>
      <c r="AD123" s="17" t="s">
        <v>646</v>
      </c>
      <c r="AE123" s="18">
        <f t="shared" si="32"/>
        <v>0.00278906797477219</v>
      </c>
      <c r="AF123" s="19">
        <f t="shared" si="33"/>
        <v>1806.21155999996</v>
      </c>
    </row>
    <row r="124" spans="16:32">
      <c r="P124" s="17" t="s">
        <v>308</v>
      </c>
      <c r="Q124" s="17" t="s">
        <v>638</v>
      </c>
      <c r="R124" s="17" t="s">
        <v>762</v>
      </c>
      <c r="S124" s="17" t="s">
        <v>640</v>
      </c>
      <c r="T124" s="17">
        <v>304087</v>
      </c>
      <c r="U124" s="17" t="s">
        <v>743</v>
      </c>
      <c r="V124" s="17" t="s">
        <v>641</v>
      </c>
      <c r="W124" s="17" t="s">
        <v>722</v>
      </c>
      <c r="X124" s="17">
        <v>1.62</v>
      </c>
      <c r="Y124" s="17" t="s">
        <v>643</v>
      </c>
      <c r="Z124" s="17">
        <v>3121.65</v>
      </c>
      <c r="AA124" s="17">
        <v>5057.073</v>
      </c>
      <c r="AB124" s="17" t="s">
        <v>644</v>
      </c>
      <c r="AC124" s="17" t="s">
        <v>645</v>
      </c>
      <c r="AD124" s="17" t="s">
        <v>646</v>
      </c>
    </row>
    <row r="125" spans="16:32">
      <c r="P125" s="17" t="s">
        <v>308</v>
      </c>
      <c r="Q125" s="17" t="s">
        <v>638</v>
      </c>
      <c r="R125" s="17" t="s">
        <v>762</v>
      </c>
      <c r="S125" s="17" t="s">
        <v>647</v>
      </c>
      <c r="T125" s="17">
        <v>304088</v>
      </c>
      <c r="U125" s="17" t="s">
        <v>743</v>
      </c>
      <c r="V125" s="17" t="s">
        <v>648</v>
      </c>
      <c r="W125" s="17" t="s">
        <v>723</v>
      </c>
      <c r="X125" s="17">
        <v>-1.536</v>
      </c>
      <c r="Y125" s="17" t="s">
        <v>643</v>
      </c>
      <c r="Z125" s="17">
        <v>3292.37</v>
      </c>
      <c r="AA125" s="17">
        <v>-5057.073</v>
      </c>
      <c r="AB125" s="17" t="s">
        <v>644</v>
      </c>
      <c r="AC125" s="17" t="s">
        <v>645</v>
      </c>
      <c r="AD125" s="17" t="s">
        <v>646</v>
      </c>
      <c r="AE125" s="18">
        <f t="shared" ref="AE125:AE129" si="34">1+(X125/X124)</f>
        <v>0.0518518518518519</v>
      </c>
      <c r="AF125" s="19">
        <f t="shared" ref="AF125:AF129" si="35">AE125*-AA125</f>
        <v>262.2186</v>
      </c>
    </row>
    <row r="126" spans="16:32">
      <c r="P126" s="17" t="s">
        <v>359</v>
      </c>
      <c r="Q126" s="17" t="s">
        <v>638</v>
      </c>
      <c r="R126" s="17" t="s">
        <v>763</v>
      </c>
      <c r="S126" s="17" t="s">
        <v>640</v>
      </c>
      <c r="T126" s="17">
        <v>292645</v>
      </c>
      <c r="U126" s="17" t="s">
        <v>743</v>
      </c>
      <c r="V126" s="17" t="s">
        <v>641</v>
      </c>
      <c r="W126" s="17" t="s">
        <v>675</v>
      </c>
      <c r="X126" s="17">
        <v>58.83</v>
      </c>
      <c r="Y126" s="17" t="s">
        <v>643</v>
      </c>
      <c r="Z126" s="17">
        <v>3074.23</v>
      </c>
      <c r="AA126" s="17">
        <v>180856.951</v>
      </c>
      <c r="AB126" s="17" t="s">
        <v>644</v>
      </c>
      <c r="AC126" s="17" t="s">
        <v>645</v>
      </c>
      <c r="AD126" s="17" t="s">
        <v>646</v>
      </c>
    </row>
    <row r="127" spans="16:32">
      <c r="P127" s="17" t="s">
        <v>359</v>
      </c>
      <c r="Q127" s="17" t="s">
        <v>638</v>
      </c>
      <c r="R127" s="17" t="s">
        <v>763</v>
      </c>
      <c r="S127" s="17" t="s">
        <v>647</v>
      </c>
      <c r="T127" s="17">
        <v>292646</v>
      </c>
      <c r="U127" s="17" t="s">
        <v>743</v>
      </c>
      <c r="V127" s="17" t="s">
        <v>648</v>
      </c>
      <c r="W127" s="17" t="s">
        <v>676</v>
      </c>
      <c r="X127" s="17">
        <v>-58.704</v>
      </c>
      <c r="Y127" s="17" t="s">
        <v>643</v>
      </c>
      <c r="Z127" s="17">
        <v>3080.83</v>
      </c>
      <c r="AA127" s="17">
        <v>-180856.951</v>
      </c>
      <c r="AB127" s="17" t="s">
        <v>644</v>
      </c>
      <c r="AC127" s="17" t="s">
        <v>645</v>
      </c>
      <c r="AD127" s="17" t="s">
        <v>646</v>
      </c>
      <c r="AE127" s="18">
        <f t="shared" si="34"/>
        <v>0.00214176440591529</v>
      </c>
      <c r="AF127" s="19">
        <f t="shared" si="35"/>
        <v>387.352980214166</v>
      </c>
    </row>
    <row r="128" spans="16:32">
      <c r="P128" s="37" t="s">
        <v>359</v>
      </c>
      <c r="Q128" s="30" t="s">
        <v>638</v>
      </c>
      <c r="R128" s="30" t="s">
        <v>764</v>
      </c>
      <c r="S128" s="30" t="s">
        <v>640</v>
      </c>
      <c r="T128" s="31">
        <v>248454</v>
      </c>
      <c r="U128" s="30" t="s">
        <v>765</v>
      </c>
      <c r="V128" s="30" t="s">
        <v>641</v>
      </c>
      <c r="W128" s="30" t="s">
        <v>642</v>
      </c>
      <c r="X128" s="34">
        <v>11.323</v>
      </c>
      <c r="Y128" s="30" t="s">
        <v>643</v>
      </c>
      <c r="Z128" s="33">
        <v>5072.23</v>
      </c>
      <c r="AA128" s="34">
        <v>57432.86</v>
      </c>
      <c r="AB128" s="30" t="s">
        <v>644</v>
      </c>
      <c r="AC128" s="30" t="s">
        <v>645</v>
      </c>
      <c r="AD128" s="30" t="s">
        <v>766</v>
      </c>
    </row>
    <row r="129" spans="16:32">
      <c r="P129" s="37" t="s">
        <v>359</v>
      </c>
      <c r="Q129" s="30" t="s">
        <v>638</v>
      </c>
      <c r="R129" s="30" t="s">
        <v>764</v>
      </c>
      <c r="S129" s="30" t="s">
        <v>647</v>
      </c>
      <c r="T129" s="31">
        <v>248455</v>
      </c>
      <c r="U129" s="30" t="s">
        <v>765</v>
      </c>
      <c r="V129" s="30" t="s">
        <v>648</v>
      </c>
      <c r="W129" s="30" t="s">
        <v>649</v>
      </c>
      <c r="X129" s="34">
        <v>-10.977</v>
      </c>
      <c r="Y129" s="30" t="s">
        <v>643</v>
      </c>
      <c r="Z129" s="33">
        <v>5232.11</v>
      </c>
      <c r="AA129" s="34">
        <v>-57432.86</v>
      </c>
      <c r="AB129" s="30" t="s">
        <v>644</v>
      </c>
      <c r="AC129" s="30" t="s">
        <v>645</v>
      </c>
      <c r="AD129" s="30" t="s">
        <v>766</v>
      </c>
      <c r="AE129" s="18">
        <f t="shared" si="34"/>
        <v>0.0305572728075598</v>
      </c>
      <c r="AF129" s="19">
        <f t="shared" si="35"/>
        <v>1754.99157113839</v>
      </c>
    </row>
    <row r="130" spans="16:32">
      <c r="P130" s="37" t="s">
        <v>359</v>
      </c>
      <c r="Q130" s="30" t="s">
        <v>638</v>
      </c>
      <c r="R130" s="30" t="s">
        <v>767</v>
      </c>
      <c r="S130" s="30" t="s">
        <v>640</v>
      </c>
      <c r="T130" s="31">
        <v>248452</v>
      </c>
      <c r="U130" s="30" t="s">
        <v>765</v>
      </c>
      <c r="V130" s="30" t="s">
        <v>641</v>
      </c>
      <c r="W130" s="30" t="s">
        <v>651</v>
      </c>
      <c r="X130" s="34">
        <v>6.807</v>
      </c>
      <c r="Y130" s="30" t="s">
        <v>643</v>
      </c>
      <c r="Z130" s="33">
        <v>3329.95</v>
      </c>
      <c r="AA130" s="34">
        <v>22666.97</v>
      </c>
      <c r="AB130" s="30" t="s">
        <v>644</v>
      </c>
      <c r="AC130" s="30" t="s">
        <v>645</v>
      </c>
      <c r="AD130" s="30" t="s">
        <v>766</v>
      </c>
    </row>
    <row r="131" spans="16:32">
      <c r="P131" s="37" t="s">
        <v>359</v>
      </c>
      <c r="Q131" s="30" t="s">
        <v>638</v>
      </c>
      <c r="R131" s="30" t="s">
        <v>767</v>
      </c>
      <c r="S131" s="30" t="s">
        <v>647</v>
      </c>
      <c r="T131" s="31">
        <v>248453</v>
      </c>
      <c r="U131" s="30" t="s">
        <v>765</v>
      </c>
      <c r="V131" s="30" t="s">
        <v>648</v>
      </c>
      <c r="W131" s="30" t="s">
        <v>652</v>
      </c>
      <c r="X131" s="34">
        <v>-6.585</v>
      </c>
      <c r="Y131" s="30" t="s">
        <v>643</v>
      </c>
      <c r="Z131" s="33">
        <v>3442.21</v>
      </c>
      <c r="AA131" s="34">
        <v>-22666.97</v>
      </c>
      <c r="AB131" s="30" t="s">
        <v>644</v>
      </c>
      <c r="AC131" s="30" t="s">
        <v>645</v>
      </c>
      <c r="AD131" s="30" t="s">
        <v>766</v>
      </c>
      <c r="AE131" s="18">
        <f t="shared" ref="AE131:AE135" si="36">1+(X131/X130)</f>
        <v>0.0326134861172324</v>
      </c>
      <c r="AF131" s="19">
        <f t="shared" ref="AF131:AF135" si="37">AE131*-AA131</f>
        <v>739.248911414722</v>
      </c>
    </row>
    <row r="132" spans="16:32">
      <c r="P132" s="37" t="s">
        <v>359</v>
      </c>
      <c r="Q132" s="30" t="s">
        <v>638</v>
      </c>
      <c r="R132" s="30" t="s">
        <v>768</v>
      </c>
      <c r="S132" s="30" t="s">
        <v>640</v>
      </c>
      <c r="T132" s="31">
        <v>263276</v>
      </c>
      <c r="U132" s="30" t="s">
        <v>765</v>
      </c>
      <c r="V132" s="30" t="s">
        <v>641</v>
      </c>
      <c r="W132" s="30" t="s">
        <v>657</v>
      </c>
      <c r="X132" s="34">
        <v>10.164</v>
      </c>
      <c r="Y132" s="30" t="s">
        <v>643</v>
      </c>
      <c r="Z132" s="33">
        <v>3705.93</v>
      </c>
      <c r="AA132" s="34">
        <v>37667.073</v>
      </c>
      <c r="AB132" s="30" t="s">
        <v>644</v>
      </c>
      <c r="AC132" s="30" t="s">
        <v>645</v>
      </c>
      <c r="AD132" s="30" t="s">
        <v>766</v>
      </c>
    </row>
    <row r="133" spans="16:32">
      <c r="P133" s="37" t="s">
        <v>359</v>
      </c>
      <c r="Q133" s="30" t="s">
        <v>638</v>
      </c>
      <c r="R133" s="30" t="s">
        <v>768</v>
      </c>
      <c r="S133" s="30" t="s">
        <v>647</v>
      </c>
      <c r="T133" s="31">
        <v>263277</v>
      </c>
      <c r="U133" s="30" t="s">
        <v>765</v>
      </c>
      <c r="V133" s="30" t="s">
        <v>648</v>
      </c>
      <c r="W133" s="30" t="s">
        <v>658</v>
      </c>
      <c r="X133" s="34">
        <v>-9.697</v>
      </c>
      <c r="Y133" s="30" t="s">
        <v>643</v>
      </c>
      <c r="Z133" s="33">
        <v>3884.4</v>
      </c>
      <c r="AA133" s="34">
        <v>-37667.073</v>
      </c>
      <c r="AB133" s="30" t="s">
        <v>644</v>
      </c>
      <c r="AC133" s="30" t="s">
        <v>645</v>
      </c>
      <c r="AD133" s="30" t="s">
        <v>766</v>
      </c>
      <c r="AE133" s="18">
        <f t="shared" si="36"/>
        <v>0.0459464777646597</v>
      </c>
      <c r="AF133" s="19">
        <f t="shared" si="37"/>
        <v>1730.66933205431</v>
      </c>
    </row>
    <row r="134" spans="16:32">
      <c r="P134" s="37" t="s">
        <v>359</v>
      </c>
      <c r="Q134" s="30" t="s">
        <v>638</v>
      </c>
      <c r="R134" s="30" t="s">
        <v>769</v>
      </c>
      <c r="S134" s="30" t="s">
        <v>640</v>
      </c>
      <c r="T134" s="31">
        <v>248450</v>
      </c>
      <c r="U134" s="30" t="s">
        <v>765</v>
      </c>
      <c r="V134" s="30" t="s">
        <v>641</v>
      </c>
      <c r="W134" s="30" t="s">
        <v>770</v>
      </c>
      <c r="X134" s="34">
        <v>0.582</v>
      </c>
      <c r="Y134" s="30" t="s">
        <v>643</v>
      </c>
      <c r="Z134" s="33">
        <v>4180.76</v>
      </c>
      <c r="AA134" s="34">
        <v>2433.202</v>
      </c>
      <c r="AB134" s="30" t="s">
        <v>644</v>
      </c>
      <c r="AC134" s="30" t="s">
        <v>645</v>
      </c>
      <c r="AD134" s="30" t="s">
        <v>766</v>
      </c>
    </row>
    <row r="135" spans="16:32">
      <c r="P135" s="37" t="s">
        <v>359</v>
      </c>
      <c r="Q135" s="30" t="s">
        <v>638</v>
      </c>
      <c r="R135" s="30" t="s">
        <v>769</v>
      </c>
      <c r="S135" s="30" t="s">
        <v>647</v>
      </c>
      <c r="T135" s="31">
        <v>248451</v>
      </c>
      <c r="U135" s="30" t="s">
        <v>765</v>
      </c>
      <c r="V135" s="30" t="s">
        <v>648</v>
      </c>
      <c r="W135" s="30" t="s">
        <v>771</v>
      </c>
      <c r="X135" s="34">
        <v>-0.45</v>
      </c>
      <c r="Y135" s="30" t="s">
        <v>643</v>
      </c>
      <c r="Z135" s="33">
        <v>5407.12</v>
      </c>
      <c r="AA135" s="34">
        <v>-2433.202</v>
      </c>
      <c r="AB135" s="30" t="s">
        <v>644</v>
      </c>
      <c r="AC135" s="30" t="s">
        <v>645</v>
      </c>
      <c r="AD135" s="30" t="s">
        <v>766</v>
      </c>
      <c r="AE135" s="18">
        <f t="shared" si="36"/>
        <v>0.22680412371134</v>
      </c>
      <c r="AF135" s="19">
        <f t="shared" si="37"/>
        <v>551.86024742268</v>
      </c>
    </row>
    <row r="136" spans="16:32">
      <c r="P136" s="37" t="s">
        <v>308</v>
      </c>
      <c r="Q136" s="30" t="s">
        <v>638</v>
      </c>
      <c r="R136" s="30" t="s">
        <v>772</v>
      </c>
      <c r="S136" s="30" t="s">
        <v>640</v>
      </c>
      <c r="T136" s="31">
        <v>276228</v>
      </c>
      <c r="U136" s="30" t="s">
        <v>765</v>
      </c>
      <c r="V136" s="30" t="s">
        <v>641</v>
      </c>
      <c r="W136" s="30" t="s">
        <v>681</v>
      </c>
      <c r="X136" s="34">
        <v>1.296</v>
      </c>
      <c r="Y136" s="30" t="s">
        <v>643</v>
      </c>
      <c r="Z136" s="33">
        <v>5329.1</v>
      </c>
      <c r="AA136" s="34">
        <v>6906.514</v>
      </c>
      <c r="AB136" s="30" t="s">
        <v>644</v>
      </c>
      <c r="AC136" s="30" t="s">
        <v>645</v>
      </c>
      <c r="AD136" s="30" t="s">
        <v>766</v>
      </c>
    </row>
    <row r="137" spans="16:32">
      <c r="P137" s="37" t="s">
        <v>308</v>
      </c>
      <c r="Q137" s="30" t="s">
        <v>638</v>
      </c>
      <c r="R137" s="30" t="s">
        <v>772</v>
      </c>
      <c r="S137" s="30" t="s">
        <v>647</v>
      </c>
      <c r="T137" s="31">
        <v>276229</v>
      </c>
      <c r="U137" s="30" t="s">
        <v>765</v>
      </c>
      <c r="V137" s="30" t="s">
        <v>648</v>
      </c>
      <c r="W137" s="30" t="s">
        <v>682</v>
      </c>
      <c r="X137" s="34">
        <v>-1.296</v>
      </c>
      <c r="Y137" s="30" t="s">
        <v>643</v>
      </c>
      <c r="Z137" s="33">
        <v>5329.1</v>
      </c>
      <c r="AA137" s="34">
        <v>-6906.514</v>
      </c>
      <c r="AB137" s="30" t="s">
        <v>644</v>
      </c>
      <c r="AC137" s="30" t="s">
        <v>645</v>
      </c>
      <c r="AD137" s="30" t="s">
        <v>766</v>
      </c>
      <c r="AE137" s="18">
        <f t="shared" ref="AE137:AE141" si="38">1+(X137/X136)</f>
        <v>0</v>
      </c>
      <c r="AF137" s="19">
        <f t="shared" ref="AF137:AF141" si="39">AE137*-AA137</f>
        <v>0</v>
      </c>
    </row>
    <row r="138" spans="16:32">
      <c r="P138" s="37" t="s">
        <v>359</v>
      </c>
      <c r="Q138" s="30" t="s">
        <v>638</v>
      </c>
      <c r="R138" s="30" t="s">
        <v>773</v>
      </c>
      <c r="S138" s="30" t="s">
        <v>640</v>
      </c>
      <c r="T138" s="31">
        <v>290284</v>
      </c>
      <c r="U138" s="30" t="s">
        <v>765</v>
      </c>
      <c r="V138" s="30" t="s">
        <v>641</v>
      </c>
      <c r="W138" s="30" t="s">
        <v>660</v>
      </c>
      <c r="X138" s="34">
        <v>2.4</v>
      </c>
      <c r="Y138" s="30" t="s">
        <v>643</v>
      </c>
      <c r="Z138" s="33">
        <v>4885.32</v>
      </c>
      <c r="AA138" s="34">
        <v>11724.768</v>
      </c>
      <c r="AB138" s="30" t="s">
        <v>644</v>
      </c>
      <c r="AC138" s="30" t="s">
        <v>645</v>
      </c>
      <c r="AD138" s="30" t="s">
        <v>766</v>
      </c>
    </row>
    <row r="139" spans="16:32">
      <c r="P139" s="37" t="s">
        <v>359</v>
      </c>
      <c r="Q139" s="30" t="s">
        <v>638</v>
      </c>
      <c r="R139" s="30" t="s">
        <v>773</v>
      </c>
      <c r="S139" s="30" t="s">
        <v>647</v>
      </c>
      <c r="T139" s="31">
        <v>290285</v>
      </c>
      <c r="U139" s="30" t="s">
        <v>765</v>
      </c>
      <c r="V139" s="30" t="s">
        <v>648</v>
      </c>
      <c r="W139" s="30" t="s">
        <v>661</v>
      </c>
      <c r="X139" s="34">
        <v>-2.4</v>
      </c>
      <c r="Y139" s="30" t="s">
        <v>643</v>
      </c>
      <c r="Z139" s="33">
        <v>4885.32</v>
      </c>
      <c r="AA139" s="34">
        <v>-11724.768</v>
      </c>
      <c r="AB139" s="30" t="s">
        <v>644</v>
      </c>
      <c r="AC139" s="30" t="s">
        <v>645</v>
      </c>
      <c r="AD139" s="30" t="s">
        <v>766</v>
      </c>
      <c r="AE139" s="18">
        <f t="shared" si="38"/>
        <v>0</v>
      </c>
      <c r="AF139" s="19">
        <f t="shared" si="39"/>
        <v>0</v>
      </c>
    </row>
    <row r="140" spans="16:32">
      <c r="P140" s="37" t="s">
        <v>359</v>
      </c>
      <c r="Q140" s="30" t="s">
        <v>638</v>
      </c>
      <c r="R140" s="30" t="s">
        <v>774</v>
      </c>
      <c r="S140" s="30" t="s">
        <v>640</v>
      </c>
      <c r="T140" s="31">
        <v>291457</v>
      </c>
      <c r="U140" s="30" t="s">
        <v>765</v>
      </c>
      <c r="V140" s="30" t="s">
        <v>641</v>
      </c>
      <c r="W140" s="30" t="s">
        <v>663</v>
      </c>
      <c r="X140" s="34">
        <v>15.27</v>
      </c>
      <c r="Y140" s="30" t="s">
        <v>643</v>
      </c>
      <c r="Z140" s="33">
        <v>5185.17</v>
      </c>
      <c r="AA140" s="34">
        <v>79177.546</v>
      </c>
      <c r="AB140" s="30" t="s">
        <v>644</v>
      </c>
      <c r="AC140" s="30" t="s">
        <v>645</v>
      </c>
      <c r="AD140" s="30" t="s">
        <v>766</v>
      </c>
    </row>
    <row r="141" spans="16:32">
      <c r="P141" s="37" t="s">
        <v>359</v>
      </c>
      <c r="Q141" s="30" t="s">
        <v>638</v>
      </c>
      <c r="R141" s="30" t="s">
        <v>774</v>
      </c>
      <c r="S141" s="30" t="s">
        <v>647</v>
      </c>
      <c r="T141" s="31">
        <v>291458</v>
      </c>
      <c r="U141" s="30" t="s">
        <v>765</v>
      </c>
      <c r="V141" s="30" t="s">
        <v>648</v>
      </c>
      <c r="W141" s="30" t="s">
        <v>664</v>
      </c>
      <c r="X141" s="34">
        <v>-15.27</v>
      </c>
      <c r="Y141" s="30" t="s">
        <v>643</v>
      </c>
      <c r="Z141" s="33">
        <v>5185.17</v>
      </c>
      <c r="AA141" s="34">
        <v>-79177.546</v>
      </c>
      <c r="AB141" s="30" t="s">
        <v>644</v>
      </c>
      <c r="AC141" s="30" t="s">
        <v>645</v>
      </c>
      <c r="AD141" s="30" t="s">
        <v>766</v>
      </c>
      <c r="AE141" s="18">
        <f t="shared" si="38"/>
        <v>0</v>
      </c>
      <c r="AF141" s="19">
        <f t="shared" si="39"/>
        <v>0</v>
      </c>
    </row>
    <row r="142" spans="16:32">
      <c r="P142" s="37" t="s">
        <v>359</v>
      </c>
      <c r="Q142" s="30" t="s">
        <v>638</v>
      </c>
      <c r="R142" s="30" t="s">
        <v>775</v>
      </c>
      <c r="S142" s="30" t="s">
        <v>640</v>
      </c>
      <c r="T142" s="31">
        <v>291459</v>
      </c>
      <c r="U142" s="30" t="s">
        <v>765</v>
      </c>
      <c r="V142" s="30" t="s">
        <v>641</v>
      </c>
      <c r="W142" s="30" t="s">
        <v>666</v>
      </c>
      <c r="X142" s="34">
        <v>22.564</v>
      </c>
      <c r="Y142" s="30" t="s">
        <v>643</v>
      </c>
      <c r="Z142" s="33">
        <v>4332.37</v>
      </c>
      <c r="AA142" s="34">
        <v>97755.597</v>
      </c>
      <c r="AB142" s="30" t="s">
        <v>644</v>
      </c>
      <c r="AC142" s="30" t="s">
        <v>645</v>
      </c>
      <c r="AD142" s="30" t="s">
        <v>766</v>
      </c>
    </row>
    <row r="143" spans="16:32">
      <c r="P143" s="37" t="s">
        <v>359</v>
      </c>
      <c r="Q143" s="30" t="s">
        <v>638</v>
      </c>
      <c r="R143" s="30" t="s">
        <v>775</v>
      </c>
      <c r="S143" s="30" t="s">
        <v>647</v>
      </c>
      <c r="T143" s="31">
        <v>291460</v>
      </c>
      <c r="U143" s="30" t="s">
        <v>765</v>
      </c>
      <c r="V143" s="30" t="s">
        <v>648</v>
      </c>
      <c r="W143" s="30" t="s">
        <v>667</v>
      </c>
      <c r="X143" s="34">
        <v>-21.765</v>
      </c>
      <c r="Y143" s="30" t="s">
        <v>643</v>
      </c>
      <c r="Z143" s="33">
        <v>4491.41</v>
      </c>
      <c r="AA143" s="34">
        <v>-97755.597</v>
      </c>
      <c r="AB143" s="30" t="s">
        <v>644</v>
      </c>
      <c r="AC143" s="30" t="s">
        <v>645</v>
      </c>
      <c r="AD143" s="30" t="s">
        <v>766</v>
      </c>
      <c r="AE143" s="18">
        <f t="shared" ref="AE143:AE147" si="40">1+(X143/X142)</f>
        <v>0.0354103882290374</v>
      </c>
      <c r="AF143" s="19">
        <f t="shared" ref="AF143:AF147" si="41">AE143*-AA143</f>
        <v>3461.56364133133</v>
      </c>
    </row>
    <row r="144" spans="16:32">
      <c r="P144" s="37" t="s">
        <v>308</v>
      </c>
      <c r="Q144" s="30" t="s">
        <v>638</v>
      </c>
      <c r="R144" s="30" t="s">
        <v>776</v>
      </c>
      <c r="S144" s="30" t="s">
        <v>640</v>
      </c>
      <c r="T144" s="31">
        <v>299667</v>
      </c>
      <c r="U144" s="30" t="s">
        <v>765</v>
      </c>
      <c r="V144" s="30" t="s">
        <v>641</v>
      </c>
      <c r="W144" s="30" t="s">
        <v>684</v>
      </c>
      <c r="X144" s="34">
        <v>10.394</v>
      </c>
      <c r="Y144" s="30" t="s">
        <v>643</v>
      </c>
      <c r="Z144" s="33">
        <v>5452.67</v>
      </c>
      <c r="AA144" s="34">
        <v>56675.052</v>
      </c>
      <c r="AB144" s="30" t="s">
        <v>644</v>
      </c>
      <c r="AC144" s="30" t="s">
        <v>645</v>
      </c>
      <c r="AD144" s="30" t="s">
        <v>766</v>
      </c>
    </row>
    <row r="145" spans="16:32">
      <c r="P145" s="37" t="s">
        <v>308</v>
      </c>
      <c r="Q145" s="30" t="s">
        <v>638</v>
      </c>
      <c r="R145" s="30" t="s">
        <v>776</v>
      </c>
      <c r="S145" s="30" t="s">
        <v>647</v>
      </c>
      <c r="T145" s="31">
        <v>299668</v>
      </c>
      <c r="U145" s="30" t="s">
        <v>765</v>
      </c>
      <c r="V145" s="30" t="s">
        <v>648</v>
      </c>
      <c r="W145" s="30" t="s">
        <v>685</v>
      </c>
      <c r="X145" s="34">
        <v>-10.248</v>
      </c>
      <c r="Y145" s="30" t="s">
        <v>643</v>
      </c>
      <c r="Z145" s="33">
        <v>5530.35</v>
      </c>
      <c r="AA145" s="34">
        <v>-56675.052</v>
      </c>
      <c r="AB145" s="30" t="s">
        <v>644</v>
      </c>
      <c r="AC145" s="30" t="s">
        <v>645</v>
      </c>
      <c r="AD145" s="30" t="s">
        <v>766</v>
      </c>
      <c r="AE145" s="18">
        <f t="shared" si="40"/>
        <v>0.0140465653261498</v>
      </c>
      <c r="AF145" s="19">
        <f t="shared" si="41"/>
        <v>796.089820280936</v>
      </c>
    </row>
    <row r="146" spans="16:32">
      <c r="P146" s="37" t="s">
        <v>308</v>
      </c>
      <c r="Q146" s="30" t="s">
        <v>638</v>
      </c>
      <c r="R146" s="30" t="s">
        <v>777</v>
      </c>
      <c r="S146" s="30" t="s">
        <v>640</v>
      </c>
      <c r="T146" s="31">
        <v>297474</v>
      </c>
      <c r="U146" s="30" t="s">
        <v>765</v>
      </c>
      <c r="V146" s="30" t="s">
        <v>641</v>
      </c>
      <c r="W146" s="30" t="s">
        <v>687</v>
      </c>
      <c r="X146" s="34">
        <v>1.958</v>
      </c>
      <c r="Y146" s="30" t="s">
        <v>643</v>
      </c>
      <c r="Z146" s="33">
        <v>7451.05</v>
      </c>
      <c r="AA146" s="34">
        <v>14589.156</v>
      </c>
      <c r="AB146" s="30" t="s">
        <v>644</v>
      </c>
      <c r="AC146" s="30" t="s">
        <v>645</v>
      </c>
      <c r="AD146" s="30" t="s">
        <v>766</v>
      </c>
    </row>
    <row r="147" spans="16:32">
      <c r="P147" s="37" t="s">
        <v>308</v>
      </c>
      <c r="Q147" s="30" t="s">
        <v>638</v>
      </c>
      <c r="R147" s="30" t="s">
        <v>777</v>
      </c>
      <c r="S147" s="30" t="s">
        <v>647</v>
      </c>
      <c r="T147" s="31">
        <v>297475</v>
      </c>
      <c r="U147" s="30" t="s">
        <v>765</v>
      </c>
      <c r="V147" s="30" t="s">
        <v>648</v>
      </c>
      <c r="W147" s="30" t="s">
        <v>688</v>
      </c>
      <c r="X147" s="34">
        <v>-1.8</v>
      </c>
      <c r="Y147" s="30" t="s">
        <v>643</v>
      </c>
      <c r="Z147" s="33">
        <v>8105.09</v>
      </c>
      <c r="AA147" s="34">
        <v>-14589.156</v>
      </c>
      <c r="AB147" s="30" t="s">
        <v>644</v>
      </c>
      <c r="AC147" s="30" t="s">
        <v>645</v>
      </c>
      <c r="AD147" s="30" t="s">
        <v>766</v>
      </c>
      <c r="AE147" s="18">
        <f t="shared" si="40"/>
        <v>0.0806945863125638</v>
      </c>
      <c r="AF147" s="19">
        <f t="shared" si="41"/>
        <v>1177.26590806946</v>
      </c>
    </row>
    <row r="148" spans="16:32">
      <c r="P148" s="37" t="s">
        <v>308</v>
      </c>
      <c r="Q148" s="30" t="s">
        <v>638</v>
      </c>
      <c r="R148" s="30" t="s">
        <v>778</v>
      </c>
      <c r="S148" s="30" t="s">
        <v>640</v>
      </c>
      <c r="T148" s="31">
        <v>292653</v>
      </c>
      <c r="U148" s="30" t="s">
        <v>765</v>
      </c>
      <c r="V148" s="30" t="s">
        <v>641</v>
      </c>
      <c r="W148" s="30" t="s">
        <v>690</v>
      </c>
      <c r="X148" s="34">
        <v>35.606</v>
      </c>
      <c r="Y148" s="30" t="s">
        <v>643</v>
      </c>
      <c r="Z148" s="33">
        <v>5013.27</v>
      </c>
      <c r="AA148" s="34">
        <v>178502.492</v>
      </c>
      <c r="AB148" s="30" t="s">
        <v>644</v>
      </c>
      <c r="AC148" s="30" t="s">
        <v>645</v>
      </c>
      <c r="AD148" s="30" t="s">
        <v>766</v>
      </c>
    </row>
    <row r="149" spans="16:32">
      <c r="P149" s="37" t="s">
        <v>308</v>
      </c>
      <c r="Q149" s="30" t="s">
        <v>638</v>
      </c>
      <c r="R149" s="30" t="s">
        <v>778</v>
      </c>
      <c r="S149" s="30" t="s">
        <v>647</v>
      </c>
      <c r="T149" s="31">
        <v>292654</v>
      </c>
      <c r="U149" s="30" t="s">
        <v>765</v>
      </c>
      <c r="V149" s="30" t="s">
        <v>648</v>
      </c>
      <c r="W149" s="30" t="s">
        <v>691</v>
      </c>
      <c r="X149" s="34">
        <v>-35.328</v>
      </c>
      <c r="Y149" s="30" t="s">
        <v>643</v>
      </c>
      <c r="Z149" s="33">
        <v>5052.72</v>
      </c>
      <c r="AA149" s="34">
        <v>-178502.492</v>
      </c>
      <c r="AB149" s="30" t="s">
        <v>644</v>
      </c>
      <c r="AC149" s="30" t="s">
        <v>645</v>
      </c>
      <c r="AD149" s="30" t="s">
        <v>766</v>
      </c>
      <c r="AE149" s="18">
        <f t="shared" ref="AE149:AE153" si="42">1+(X149/X148)</f>
        <v>0.00780767286412398</v>
      </c>
      <c r="AF149" s="19">
        <f t="shared" ref="AF149:AF153" si="43">AE149*-AA149</f>
        <v>1393.68906296691</v>
      </c>
    </row>
    <row r="150" spans="16:32">
      <c r="P150" s="37" t="s">
        <v>359</v>
      </c>
      <c r="Q150" s="30" t="s">
        <v>638</v>
      </c>
      <c r="R150" s="30" t="s">
        <v>779</v>
      </c>
      <c r="S150" s="30" t="s">
        <v>640</v>
      </c>
      <c r="T150" s="31">
        <v>300310</v>
      </c>
      <c r="U150" s="30" t="s">
        <v>765</v>
      </c>
      <c r="V150" s="30" t="s">
        <v>641</v>
      </c>
      <c r="W150" s="30" t="s">
        <v>678</v>
      </c>
      <c r="X150" s="34">
        <v>69.393</v>
      </c>
      <c r="Y150" s="30" t="s">
        <v>643</v>
      </c>
      <c r="Z150" s="33">
        <v>3753.97</v>
      </c>
      <c r="AA150" s="34">
        <v>260499.24</v>
      </c>
      <c r="AB150" s="30" t="s">
        <v>644</v>
      </c>
      <c r="AC150" s="30" t="s">
        <v>645</v>
      </c>
      <c r="AD150" s="30" t="s">
        <v>766</v>
      </c>
    </row>
    <row r="151" spans="16:32">
      <c r="P151" s="37" t="s">
        <v>359</v>
      </c>
      <c r="Q151" s="30" t="s">
        <v>638</v>
      </c>
      <c r="R151" s="30" t="s">
        <v>779</v>
      </c>
      <c r="S151" s="30" t="s">
        <v>647</v>
      </c>
      <c r="T151" s="31">
        <v>300311</v>
      </c>
      <c r="U151" s="30" t="s">
        <v>765</v>
      </c>
      <c r="V151" s="30" t="s">
        <v>648</v>
      </c>
      <c r="W151" s="30" t="s">
        <v>679</v>
      </c>
      <c r="X151" s="34">
        <v>-69.393</v>
      </c>
      <c r="Y151" s="30" t="s">
        <v>643</v>
      </c>
      <c r="Z151" s="33">
        <v>3753.97</v>
      </c>
      <c r="AA151" s="34">
        <v>-260499.24</v>
      </c>
      <c r="AB151" s="30" t="s">
        <v>644</v>
      </c>
      <c r="AC151" s="30" t="s">
        <v>645</v>
      </c>
      <c r="AD151" s="30" t="s">
        <v>766</v>
      </c>
      <c r="AE151" s="18">
        <f t="shared" si="42"/>
        <v>0</v>
      </c>
      <c r="AF151" s="19">
        <f t="shared" si="43"/>
        <v>0</v>
      </c>
    </row>
    <row r="152" spans="16:32">
      <c r="P152" s="37" t="s">
        <v>308</v>
      </c>
      <c r="Q152" s="30" t="s">
        <v>638</v>
      </c>
      <c r="R152" s="30" t="s">
        <v>780</v>
      </c>
      <c r="S152" s="30" t="s">
        <v>640</v>
      </c>
      <c r="T152" s="31">
        <v>300300</v>
      </c>
      <c r="U152" s="30" t="s">
        <v>765</v>
      </c>
      <c r="V152" s="30" t="s">
        <v>641</v>
      </c>
      <c r="W152" s="30" t="s">
        <v>718</v>
      </c>
      <c r="X152" s="34">
        <v>0.656</v>
      </c>
      <c r="Y152" s="30" t="s">
        <v>643</v>
      </c>
      <c r="Z152" s="33">
        <v>2508.04</v>
      </c>
      <c r="AA152" s="34">
        <v>1645.274</v>
      </c>
      <c r="AB152" s="30" t="s">
        <v>644</v>
      </c>
      <c r="AC152" s="30" t="s">
        <v>645</v>
      </c>
      <c r="AD152" s="30" t="s">
        <v>766</v>
      </c>
    </row>
    <row r="153" spans="16:32">
      <c r="P153" s="37" t="s">
        <v>308</v>
      </c>
      <c r="Q153" s="30" t="s">
        <v>638</v>
      </c>
      <c r="R153" s="30" t="s">
        <v>780</v>
      </c>
      <c r="S153" s="30" t="s">
        <v>647</v>
      </c>
      <c r="T153" s="31">
        <v>300301</v>
      </c>
      <c r="U153" s="30" t="s">
        <v>765</v>
      </c>
      <c r="V153" s="30" t="s">
        <v>648</v>
      </c>
      <c r="W153" s="30" t="s">
        <v>719</v>
      </c>
      <c r="X153" s="34">
        <v>-0.564</v>
      </c>
      <c r="Y153" s="30" t="s">
        <v>643</v>
      </c>
      <c r="Z153" s="33">
        <v>2917.15</v>
      </c>
      <c r="AA153" s="34">
        <v>-1645.274</v>
      </c>
      <c r="AB153" s="30" t="s">
        <v>644</v>
      </c>
      <c r="AC153" s="30" t="s">
        <v>645</v>
      </c>
      <c r="AD153" s="30" t="s">
        <v>766</v>
      </c>
      <c r="AE153" s="18">
        <f t="shared" si="42"/>
        <v>0.140243902439025</v>
      </c>
      <c r="AF153" s="19">
        <f t="shared" si="43"/>
        <v>230.739646341464</v>
      </c>
    </row>
    <row r="154" spans="16:32">
      <c r="P154" s="37" t="s">
        <v>308</v>
      </c>
      <c r="Q154" s="30" t="s">
        <v>638</v>
      </c>
      <c r="R154" s="30" t="s">
        <v>781</v>
      </c>
      <c r="S154" s="30" t="s">
        <v>640</v>
      </c>
      <c r="T154" s="31">
        <v>302652</v>
      </c>
      <c r="U154" s="30" t="s">
        <v>765</v>
      </c>
      <c r="V154" s="30" t="s">
        <v>641</v>
      </c>
      <c r="W154" s="30" t="s">
        <v>736</v>
      </c>
      <c r="X154" s="34">
        <v>1.307</v>
      </c>
      <c r="Y154" s="30" t="s">
        <v>643</v>
      </c>
      <c r="Z154" s="33">
        <v>6350.95</v>
      </c>
      <c r="AA154" s="34">
        <v>8300.692</v>
      </c>
      <c r="AB154" s="30" t="s">
        <v>644</v>
      </c>
      <c r="AC154" s="30" t="s">
        <v>645</v>
      </c>
      <c r="AD154" s="30" t="s">
        <v>766</v>
      </c>
    </row>
    <row r="155" spans="16:32">
      <c r="P155" s="37" t="s">
        <v>308</v>
      </c>
      <c r="Q155" s="30" t="s">
        <v>638</v>
      </c>
      <c r="R155" s="30" t="s">
        <v>781</v>
      </c>
      <c r="S155" s="30" t="s">
        <v>647</v>
      </c>
      <c r="T155" s="31">
        <v>302653</v>
      </c>
      <c r="U155" s="30" t="s">
        <v>765</v>
      </c>
      <c r="V155" s="30" t="s">
        <v>648</v>
      </c>
      <c r="W155" s="30" t="s">
        <v>737</v>
      </c>
      <c r="X155" s="34">
        <v>-1.248</v>
      </c>
      <c r="Y155" s="30" t="s">
        <v>643</v>
      </c>
      <c r="Z155" s="33">
        <v>6651.2</v>
      </c>
      <c r="AA155" s="34">
        <v>-8300.692</v>
      </c>
      <c r="AB155" s="30" t="s">
        <v>644</v>
      </c>
      <c r="AC155" s="30" t="s">
        <v>645</v>
      </c>
      <c r="AD155" s="30" t="s">
        <v>766</v>
      </c>
      <c r="AE155" s="18">
        <f t="shared" ref="AE155:AE159" si="44">1+(X155/X154)</f>
        <v>0.045141545524101</v>
      </c>
      <c r="AF155" s="19">
        <f t="shared" ref="AF155:AF159" si="45">AE155*-AA155</f>
        <v>374.706065799541</v>
      </c>
    </row>
    <row r="156" spans="16:32">
      <c r="P156" s="37" t="s">
        <v>308</v>
      </c>
      <c r="Q156" s="30" t="s">
        <v>638</v>
      </c>
      <c r="R156" s="30" t="s">
        <v>782</v>
      </c>
      <c r="S156" s="30" t="s">
        <v>640</v>
      </c>
      <c r="T156" s="31">
        <v>290939</v>
      </c>
      <c r="U156" s="30" t="s">
        <v>765</v>
      </c>
      <c r="V156" s="30" t="s">
        <v>641</v>
      </c>
      <c r="W156" s="30" t="s">
        <v>693</v>
      </c>
      <c r="X156" s="34">
        <v>69.87</v>
      </c>
      <c r="Y156" s="30" t="s">
        <v>643</v>
      </c>
      <c r="Z156" s="33">
        <v>5252.04</v>
      </c>
      <c r="AA156" s="34">
        <v>366960.035</v>
      </c>
      <c r="AB156" s="30" t="s">
        <v>644</v>
      </c>
      <c r="AC156" s="30" t="s">
        <v>645</v>
      </c>
      <c r="AD156" s="30" t="s">
        <v>766</v>
      </c>
    </row>
    <row r="157" spans="16:32">
      <c r="P157" s="37" t="s">
        <v>308</v>
      </c>
      <c r="Q157" s="30" t="s">
        <v>638</v>
      </c>
      <c r="R157" s="30" t="s">
        <v>782</v>
      </c>
      <c r="S157" s="30" t="s">
        <v>647</v>
      </c>
      <c r="T157" s="31">
        <v>290940</v>
      </c>
      <c r="U157" s="30" t="s">
        <v>765</v>
      </c>
      <c r="V157" s="30" t="s">
        <v>648</v>
      </c>
      <c r="W157" s="30" t="s">
        <v>694</v>
      </c>
      <c r="X157" s="34">
        <v>-69.84</v>
      </c>
      <c r="Y157" s="30" t="s">
        <v>643</v>
      </c>
      <c r="Z157" s="33">
        <v>5254.3</v>
      </c>
      <c r="AA157" s="34">
        <v>-366960.035</v>
      </c>
      <c r="AB157" s="30" t="s">
        <v>644</v>
      </c>
      <c r="AC157" s="30" t="s">
        <v>645</v>
      </c>
      <c r="AD157" s="30" t="s">
        <v>766</v>
      </c>
      <c r="AE157" s="18">
        <f t="shared" si="44"/>
        <v>0.000429368827823073</v>
      </c>
      <c r="AF157" s="19">
        <f t="shared" si="45"/>
        <v>157.561200085864</v>
      </c>
    </row>
    <row r="158" spans="16:32">
      <c r="P158" s="37" t="s">
        <v>359</v>
      </c>
      <c r="Q158" s="30" t="s">
        <v>638</v>
      </c>
      <c r="R158" s="30" t="s">
        <v>783</v>
      </c>
      <c r="S158" s="30" t="s">
        <v>640</v>
      </c>
      <c r="T158" s="31">
        <v>304073</v>
      </c>
      <c r="U158" s="30" t="s">
        <v>765</v>
      </c>
      <c r="V158" s="30" t="s">
        <v>641</v>
      </c>
      <c r="W158" s="30" t="s">
        <v>669</v>
      </c>
      <c r="X158" s="34">
        <v>2.599</v>
      </c>
      <c r="Y158" s="30" t="s">
        <v>643</v>
      </c>
      <c r="Z158" s="33">
        <v>4714.34</v>
      </c>
      <c r="AA158" s="34">
        <v>12252.57</v>
      </c>
      <c r="AB158" s="30" t="s">
        <v>644</v>
      </c>
      <c r="AC158" s="30" t="s">
        <v>645</v>
      </c>
      <c r="AD158" s="30" t="s">
        <v>766</v>
      </c>
    </row>
    <row r="159" spans="16:32">
      <c r="P159" s="37" t="s">
        <v>359</v>
      </c>
      <c r="Q159" s="30" t="s">
        <v>638</v>
      </c>
      <c r="R159" s="30" t="s">
        <v>783</v>
      </c>
      <c r="S159" s="30" t="s">
        <v>647</v>
      </c>
      <c r="T159" s="31">
        <v>304074</v>
      </c>
      <c r="U159" s="30" t="s">
        <v>765</v>
      </c>
      <c r="V159" s="30" t="s">
        <v>648</v>
      </c>
      <c r="W159" s="30" t="s">
        <v>670</v>
      </c>
      <c r="X159" s="34">
        <v>-2.433</v>
      </c>
      <c r="Y159" s="30" t="s">
        <v>643</v>
      </c>
      <c r="Z159" s="33">
        <v>5035.99</v>
      </c>
      <c r="AA159" s="34">
        <v>-12252.57</v>
      </c>
      <c r="AB159" s="30" t="s">
        <v>644</v>
      </c>
      <c r="AC159" s="30" t="s">
        <v>645</v>
      </c>
      <c r="AD159" s="30" t="s">
        <v>766</v>
      </c>
      <c r="AE159" s="18">
        <f t="shared" si="44"/>
        <v>0.063870719507503</v>
      </c>
      <c r="AF159" s="19">
        <f t="shared" si="45"/>
        <v>782.580461716046</v>
      </c>
    </row>
    <row r="160" spans="16:32">
      <c r="P160" s="37" t="s">
        <v>359</v>
      </c>
      <c r="Q160" s="30" t="s">
        <v>638</v>
      </c>
      <c r="R160" s="30" t="s">
        <v>784</v>
      </c>
      <c r="S160" s="30" t="s">
        <v>640</v>
      </c>
      <c r="T160" s="31">
        <v>302195</v>
      </c>
      <c r="U160" s="30" t="s">
        <v>765</v>
      </c>
      <c r="V160" s="30" t="s">
        <v>641</v>
      </c>
      <c r="W160" s="30" t="s">
        <v>672</v>
      </c>
      <c r="X160" s="34">
        <v>7.37</v>
      </c>
      <c r="Y160" s="30" t="s">
        <v>643</v>
      </c>
      <c r="Z160" s="33">
        <v>8492.38</v>
      </c>
      <c r="AA160" s="34">
        <v>62588.841</v>
      </c>
      <c r="AB160" s="30" t="s">
        <v>644</v>
      </c>
      <c r="AC160" s="30" t="s">
        <v>645</v>
      </c>
      <c r="AD160" s="30" t="s">
        <v>766</v>
      </c>
    </row>
    <row r="161" spans="16:32">
      <c r="P161" s="37" t="s">
        <v>359</v>
      </c>
      <c r="Q161" s="30" t="s">
        <v>638</v>
      </c>
      <c r="R161" s="30" t="s">
        <v>784</v>
      </c>
      <c r="S161" s="30" t="s">
        <v>647</v>
      </c>
      <c r="T161" s="31">
        <v>302196</v>
      </c>
      <c r="U161" s="30" t="s">
        <v>765</v>
      </c>
      <c r="V161" s="30" t="s">
        <v>648</v>
      </c>
      <c r="W161" s="30" t="s">
        <v>673</v>
      </c>
      <c r="X161" s="34">
        <v>-7.05</v>
      </c>
      <c r="Y161" s="30" t="s">
        <v>643</v>
      </c>
      <c r="Z161" s="33">
        <v>8877.85</v>
      </c>
      <c r="AA161" s="34">
        <v>-62588.841</v>
      </c>
      <c r="AB161" s="30" t="s">
        <v>644</v>
      </c>
      <c r="AC161" s="30" t="s">
        <v>645</v>
      </c>
      <c r="AD161" s="30" t="s">
        <v>766</v>
      </c>
      <c r="AE161" s="18">
        <f t="shared" ref="AE161:AE165" si="46">1+(X161/X160)</f>
        <v>0.0434192672998643</v>
      </c>
      <c r="AF161" s="19">
        <f t="shared" ref="AF161:AF165" si="47">AE161*-AA161</f>
        <v>2717.56161736771</v>
      </c>
    </row>
    <row r="162" spans="16:32">
      <c r="P162" s="37" t="s">
        <v>359</v>
      </c>
      <c r="Q162" s="30" t="s">
        <v>638</v>
      </c>
      <c r="R162" s="30" t="s">
        <v>785</v>
      </c>
      <c r="S162" s="30" t="s">
        <v>640</v>
      </c>
      <c r="T162" s="31">
        <v>305647</v>
      </c>
      <c r="U162" s="30" t="s">
        <v>765</v>
      </c>
      <c r="V162" s="30" t="s">
        <v>641</v>
      </c>
      <c r="W162" s="30" t="s">
        <v>701</v>
      </c>
      <c r="X162" s="34">
        <v>22.188</v>
      </c>
      <c r="Y162" s="30" t="s">
        <v>643</v>
      </c>
      <c r="Z162" s="33">
        <v>3450.71</v>
      </c>
      <c r="AA162" s="34">
        <v>76564.353</v>
      </c>
      <c r="AB162" s="30" t="s">
        <v>644</v>
      </c>
      <c r="AC162" s="30" t="s">
        <v>645</v>
      </c>
      <c r="AD162" s="30" t="s">
        <v>766</v>
      </c>
    </row>
    <row r="163" spans="16:32">
      <c r="P163" s="37" t="s">
        <v>359</v>
      </c>
      <c r="Q163" s="30" t="s">
        <v>638</v>
      </c>
      <c r="R163" s="30" t="s">
        <v>785</v>
      </c>
      <c r="S163" s="30" t="s">
        <v>647</v>
      </c>
      <c r="T163" s="31">
        <v>305646</v>
      </c>
      <c r="U163" s="30" t="s">
        <v>765</v>
      </c>
      <c r="V163" s="30" t="s">
        <v>648</v>
      </c>
      <c r="W163" s="30" t="s">
        <v>702</v>
      </c>
      <c r="X163" s="34">
        <v>-22.188</v>
      </c>
      <c r="Y163" s="30" t="s">
        <v>643</v>
      </c>
      <c r="Z163" s="33">
        <v>3450.71</v>
      </c>
      <c r="AA163" s="34">
        <v>-76564.353</v>
      </c>
      <c r="AB163" s="30" t="s">
        <v>644</v>
      </c>
      <c r="AC163" s="30" t="s">
        <v>645</v>
      </c>
      <c r="AD163" s="30" t="s">
        <v>766</v>
      </c>
      <c r="AE163" s="18">
        <f t="shared" si="46"/>
        <v>0</v>
      </c>
      <c r="AF163" s="19">
        <f t="shared" si="47"/>
        <v>0</v>
      </c>
    </row>
    <row r="164" spans="16:32">
      <c r="P164" s="37" t="s">
        <v>359</v>
      </c>
      <c r="Q164" s="30" t="s">
        <v>638</v>
      </c>
      <c r="R164" s="30" t="s">
        <v>786</v>
      </c>
      <c r="S164" s="30" t="s">
        <v>640</v>
      </c>
      <c r="T164" s="31">
        <v>292645</v>
      </c>
      <c r="U164" s="30" t="s">
        <v>765</v>
      </c>
      <c r="V164" s="30" t="s">
        <v>641</v>
      </c>
      <c r="W164" s="30" t="s">
        <v>675</v>
      </c>
      <c r="X164" s="34">
        <v>75.221</v>
      </c>
      <c r="Y164" s="30" t="s">
        <v>643</v>
      </c>
      <c r="Z164" s="33">
        <v>3720.5</v>
      </c>
      <c r="AA164" s="34">
        <v>279859.731</v>
      </c>
      <c r="AB164" s="30" t="s">
        <v>644</v>
      </c>
      <c r="AC164" s="30" t="s">
        <v>645</v>
      </c>
      <c r="AD164" s="30" t="s">
        <v>766</v>
      </c>
    </row>
    <row r="165" spans="16:32">
      <c r="P165" s="37" t="s">
        <v>359</v>
      </c>
      <c r="Q165" s="30" t="s">
        <v>638</v>
      </c>
      <c r="R165" s="30" t="s">
        <v>786</v>
      </c>
      <c r="S165" s="30" t="s">
        <v>647</v>
      </c>
      <c r="T165" s="31">
        <v>292646</v>
      </c>
      <c r="U165" s="30" t="s">
        <v>765</v>
      </c>
      <c r="V165" s="30" t="s">
        <v>648</v>
      </c>
      <c r="W165" s="30" t="s">
        <v>676</v>
      </c>
      <c r="X165" s="34">
        <v>-75.12</v>
      </c>
      <c r="Y165" s="30" t="s">
        <v>643</v>
      </c>
      <c r="Z165" s="33">
        <v>3725.5</v>
      </c>
      <c r="AA165" s="34">
        <v>-279859.731</v>
      </c>
      <c r="AB165" s="30" t="s">
        <v>644</v>
      </c>
      <c r="AC165" s="30" t="s">
        <v>645</v>
      </c>
      <c r="AD165" s="30" t="s">
        <v>766</v>
      </c>
      <c r="AE165" s="18">
        <f t="shared" si="46"/>
        <v>0.00134271014743226</v>
      </c>
      <c r="AF165" s="19">
        <f t="shared" si="47"/>
        <v>375.770500671362</v>
      </c>
    </row>
    <row r="166" spans="16:32">
      <c r="P166" s="37" t="s">
        <v>359</v>
      </c>
      <c r="Q166" s="30" t="s">
        <v>638</v>
      </c>
      <c r="R166" s="30" t="s">
        <v>787</v>
      </c>
      <c r="S166" s="30" t="s">
        <v>640</v>
      </c>
      <c r="T166" s="31">
        <v>271872</v>
      </c>
      <c r="U166" s="30" t="s">
        <v>765</v>
      </c>
      <c r="V166" s="30" t="s">
        <v>641</v>
      </c>
      <c r="W166" s="30" t="s">
        <v>704</v>
      </c>
      <c r="X166" s="34">
        <v>2.887</v>
      </c>
      <c r="Y166" s="30" t="s">
        <v>643</v>
      </c>
      <c r="Z166" s="33">
        <v>4660.69</v>
      </c>
      <c r="AA166" s="34">
        <v>13455.412</v>
      </c>
      <c r="AB166" s="30" t="s">
        <v>644</v>
      </c>
      <c r="AC166" s="30" t="s">
        <v>645</v>
      </c>
      <c r="AD166" s="30" t="s">
        <v>766</v>
      </c>
    </row>
    <row r="167" spans="16:32">
      <c r="P167" s="37" t="s">
        <v>359</v>
      </c>
      <c r="Q167" s="30" t="s">
        <v>638</v>
      </c>
      <c r="R167" s="30" t="s">
        <v>787</v>
      </c>
      <c r="S167" s="30" t="s">
        <v>647</v>
      </c>
      <c r="T167" s="31">
        <v>271873</v>
      </c>
      <c r="U167" s="30" t="s">
        <v>765</v>
      </c>
      <c r="V167" s="30" t="s">
        <v>648</v>
      </c>
      <c r="W167" s="30" t="s">
        <v>705</v>
      </c>
      <c r="X167" s="34">
        <v>-2.568</v>
      </c>
      <c r="Y167" s="30" t="s">
        <v>643</v>
      </c>
      <c r="Z167" s="33">
        <v>5239.65</v>
      </c>
      <c r="AA167" s="34">
        <v>-13455.412</v>
      </c>
      <c r="AB167" s="30" t="s">
        <v>644</v>
      </c>
      <c r="AC167" s="30" t="s">
        <v>645</v>
      </c>
      <c r="AD167" s="30" t="s">
        <v>766</v>
      </c>
      <c r="AE167" s="18">
        <f t="shared" ref="AE167:AE171" si="48">1+(X167/X166)</f>
        <v>0.110495323865604</v>
      </c>
      <c r="AF167" s="19">
        <f t="shared" ref="AF167:AF171" si="49">AE167*-AA167</f>
        <v>1486.76010668513</v>
      </c>
    </row>
    <row r="168" spans="16:32">
      <c r="P168" s="37" t="s">
        <v>359</v>
      </c>
      <c r="Q168" s="30" t="s">
        <v>638</v>
      </c>
      <c r="R168" s="30" t="s">
        <v>788</v>
      </c>
      <c r="S168" s="30" t="s">
        <v>640</v>
      </c>
      <c r="T168" s="31">
        <v>285671</v>
      </c>
      <c r="U168" s="30" t="s">
        <v>765</v>
      </c>
      <c r="V168" s="30" t="s">
        <v>641</v>
      </c>
      <c r="W168" s="30" t="s">
        <v>707</v>
      </c>
      <c r="X168" s="34">
        <v>3.977</v>
      </c>
      <c r="Y168" s="30" t="s">
        <v>643</v>
      </c>
      <c r="Z168" s="33">
        <v>3768.54</v>
      </c>
      <c r="AA168" s="34">
        <v>14987.484</v>
      </c>
      <c r="AB168" s="30" t="s">
        <v>644</v>
      </c>
      <c r="AC168" s="30" t="s">
        <v>645</v>
      </c>
      <c r="AD168" s="30" t="s">
        <v>766</v>
      </c>
    </row>
    <row r="169" spans="16:32">
      <c r="P169" s="37" t="s">
        <v>359</v>
      </c>
      <c r="Q169" s="30" t="s">
        <v>638</v>
      </c>
      <c r="R169" s="30" t="s">
        <v>788</v>
      </c>
      <c r="S169" s="30" t="s">
        <v>647</v>
      </c>
      <c r="T169" s="31">
        <v>285670</v>
      </c>
      <c r="U169" s="30" t="s">
        <v>765</v>
      </c>
      <c r="V169" s="30" t="s">
        <v>648</v>
      </c>
      <c r="W169" s="30" t="s">
        <v>708</v>
      </c>
      <c r="X169" s="34">
        <v>-3.816</v>
      </c>
      <c r="Y169" s="30" t="s">
        <v>643</v>
      </c>
      <c r="Z169" s="33">
        <v>3927.54</v>
      </c>
      <c r="AA169" s="34">
        <v>-14987.484</v>
      </c>
      <c r="AB169" s="30" t="s">
        <v>644</v>
      </c>
      <c r="AC169" s="30" t="s">
        <v>645</v>
      </c>
      <c r="AD169" s="30" t="s">
        <v>766</v>
      </c>
      <c r="AE169" s="18">
        <f t="shared" si="48"/>
        <v>0.0404827759617803</v>
      </c>
      <c r="AF169" s="19">
        <f t="shared" si="49"/>
        <v>606.734957002767</v>
      </c>
    </row>
    <row r="170" spans="16:32">
      <c r="P170" s="30" t="s">
        <v>359</v>
      </c>
      <c r="Q170" s="30" t="s">
        <v>638</v>
      </c>
      <c r="R170" s="30" t="s">
        <v>789</v>
      </c>
      <c r="S170" s="30" t="s">
        <v>640</v>
      </c>
      <c r="T170" s="31">
        <v>248454</v>
      </c>
      <c r="U170" s="30" t="s">
        <v>790</v>
      </c>
      <c r="V170" s="30" t="s">
        <v>641</v>
      </c>
      <c r="W170" s="30" t="s">
        <v>642</v>
      </c>
      <c r="X170" s="34">
        <v>17.117</v>
      </c>
      <c r="Y170" s="30" t="s">
        <v>643</v>
      </c>
      <c r="Z170" s="33">
        <v>4577.48</v>
      </c>
      <c r="AA170" s="34">
        <v>78352.725</v>
      </c>
      <c r="AB170" s="30" t="s">
        <v>644</v>
      </c>
      <c r="AC170" s="30" t="s">
        <v>645</v>
      </c>
      <c r="AD170" s="30" t="s">
        <v>646</v>
      </c>
    </row>
    <row r="171" spans="16:32">
      <c r="P171" s="30" t="s">
        <v>359</v>
      </c>
      <c r="Q171" s="30" t="s">
        <v>638</v>
      </c>
      <c r="R171" s="30" t="s">
        <v>789</v>
      </c>
      <c r="S171" s="30" t="s">
        <v>647</v>
      </c>
      <c r="T171" s="31">
        <v>248455</v>
      </c>
      <c r="U171" s="30" t="s">
        <v>790</v>
      </c>
      <c r="V171" s="30" t="s">
        <v>648</v>
      </c>
      <c r="W171" s="30" t="s">
        <v>649</v>
      </c>
      <c r="X171" s="34">
        <v>-16.422</v>
      </c>
      <c r="Y171" s="30" t="s">
        <v>643</v>
      </c>
      <c r="Z171" s="33">
        <v>4771.2</v>
      </c>
      <c r="AA171" s="34">
        <v>-78352.725</v>
      </c>
      <c r="AB171" s="30" t="s">
        <v>644</v>
      </c>
      <c r="AC171" s="30" t="s">
        <v>645</v>
      </c>
      <c r="AD171" s="30" t="s">
        <v>646</v>
      </c>
      <c r="AE171" s="18">
        <f t="shared" si="48"/>
        <v>0.0406029093883276</v>
      </c>
      <c r="AF171" s="19">
        <f t="shared" si="49"/>
        <v>3181.34859350355</v>
      </c>
    </row>
    <row r="172" spans="16:32">
      <c r="P172" s="30" t="s">
        <v>359</v>
      </c>
      <c r="Q172" s="30" t="s">
        <v>638</v>
      </c>
      <c r="R172" s="30" t="s">
        <v>791</v>
      </c>
      <c r="S172" s="30" t="s">
        <v>640</v>
      </c>
      <c r="T172" s="31">
        <v>248452</v>
      </c>
      <c r="U172" s="30" t="s">
        <v>790</v>
      </c>
      <c r="V172" s="30" t="s">
        <v>641</v>
      </c>
      <c r="W172" s="30" t="s">
        <v>651</v>
      </c>
      <c r="X172" s="34">
        <v>7.143</v>
      </c>
      <c r="Y172" s="30" t="s">
        <v>643</v>
      </c>
      <c r="Z172" s="33">
        <v>3193.17</v>
      </c>
      <c r="AA172" s="34">
        <v>22808.813</v>
      </c>
      <c r="AB172" s="30" t="s">
        <v>644</v>
      </c>
      <c r="AC172" s="30" t="s">
        <v>645</v>
      </c>
      <c r="AD172" s="30" t="s">
        <v>646</v>
      </c>
    </row>
    <row r="173" spans="16:32">
      <c r="P173" s="30" t="s">
        <v>359</v>
      </c>
      <c r="Q173" s="30" t="s">
        <v>638</v>
      </c>
      <c r="R173" s="30" t="s">
        <v>791</v>
      </c>
      <c r="S173" s="30" t="s">
        <v>647</v>
      </c>
      <c r="T173" s="31">
        <v>248453</v>
      </c>
      <c r="U173" s="30" t="s">
        <v>790</v>
      </c>
      <c r="V173" s="30" t="s">
        <v>648</v>
      </c>
      <c r="W173" s="30" t="s">
        <v>652</v>
      </c>
      <c r="X173" s="34">
        <v>-7.035</v>
      </c>
      <c r="Y173" s="30" t="s">
        <v>643</v>
      </c>
      <c r="Z173" s="33">
        <v>3242.19</v>
      </c>
      <c r="AA173" s="34">
        <v>-22808.813</v>
      </c>
      <c r="AB173" s="30" t="s">
        <v>644</v>
      </c>
      <c r="AC173" s="30" t="s">
        <v>645</v>
      </c>
      <c r="AD173" s="30" t="s">
        <v>646</v>
      </c>
      <c r="AE173" s="18">
        <f t="shared" ref="AE173:AE177" si="50">1+(X173/X172)</f>
        <v>0.0151196976060478</v>
      </c>
      <c r="AF173" s="19">
        <f t="shared" ref="AF173:AF177" si="51">AE173*-AA173</f>
        <v>344.862355312892</v>
      </c>
    </row>
    <row r="174" spans="16:32">
      <c r="P174" s="30" t="s">
        <v>359</v>
      </c>
      <c r="Q174" s="30" t="s">
        <v>638</v>
      </c>
      <c r="R174" s="30" t="s">
        <v>792</v>
      </c>
      <c r="S174" s="30" t="s">
        <v>640</v>
      </c>
      <c r="T174" s="31">
        <v>263276</v>
      </c>
      <c r="U174" s="30" t="s">
        <v>790</v>
      </c>
      <c r="V174" s="30" t="s">
        <v>641</v>
      </c>
      <c r="W174" s="30" t="s">
        <v>657</v>
      </c>
      <c r="X174" s="34">
        <v>10.146</v>
      </c>
      <c r="Y174" s="30" t="s">
        <v>643</v>
      </c>
      <c r="Z174" s="33">
        <v>3577.87</v>
      </c>
      <c r="AA174" s="34">
        <v>36301.069</v>
      </c>
      <c r="AB174" s="30" t="s">
        <v>644</v>
      </c>
      <c r="AC174" s="30" t="s">
        <v>645</v>
      </c>
      <c r="AD174" s="30" t="s">
        <v>646</v>
      </c>
    </row>
    <row r="175" spans="16:32">
      <c r="P175" s="30" t="s">
        <v>359</v>
      </c>
      <c r="Q175" s="30" t="s">
        <v>638</v>
      </c>
      <c r="R175" s="30" t="s">
        <v>792</v>
      </c>
      <c r="S175" s="30" t="s">
        <v>647</v>
      </c>
      <c r="T175" s="31">
        <v>263277</v>
      </c>
      <c r="U175" s="30" t="s">
        <v>790</v>
      </c>
      <c r="V175" s="30" t="s">
        <v>648</v>
      </c>
      <c r="W175" s="30" t="s">
        <v>658</v>
      </c>
      <c r="X175" s="34">
        <v>-9.543</v>
      </c>
      <c r="Y175" s="30" t="s">
        <v>643</v>
      </c>
      <c r="Z175" s="33">
        <v>3803.95</v>
      </c>
      <c r="AA175" s="34">
        <v>-36301.069</v>
      </c>
      <c r="AB175" s="30" t="s">
        <v>644</v>
      </c>
      <c r="AC175" s="30" t="s">
        <v>645</v>
      </c>
      <c r="AD175" s="30" t="s">
        <v>646</v>
      </c>
      <c r="AE175" s="18">
        <f t="shared" si="50"/>
        <v>0.0594322885866353</v>
      </c>
      <c r="AF175" s="19">
        <f t="shared" si="51"/>
        <v>2157.45560881136</v>
      </c>
    </row>
    <row r="176" spans="16:32">
      <c r="P176" s="30" t="s">
        <v>359</v>
      </c>
      <c r="Q176" s="30" t="s">
        <v>638</v>
      </c>
      <c r="R176" s="30" t="s">
        <v>793</v>
      </c>
      <c r="S176" s="30" t="s">
        <v>640</v>
      </c>
      <c r="T176" s="31">
        <v>265604</v>
      </c>
      <c r="U176" s="30" t="s">
        <v>790</v>
      </c>
      <c r="V176" s="30" t="s">
        <v>641</v>
      </c>
      <c r="W176" s="30" t="s">
        <v>794</v>
      </c>
      <c r="X176" s="34">
        <v>0.612</v>
      </c>
      <c r="Y176" s="30" t="s">
        <v>643</v>
      </c>
      <c r="Z176" s="33">
        <v>4499.8905</v>
      </c>
      <c r="AA176" s="34">
        <v>2753.933</v>
      </c>
      <c r="AB176" s="30" t="s">
        <v>644</v>
      </c>
      <c r="AC176" s="30" t="s">
        <v>645</v>
      </c>
      <c r="AD176" s="30" t="s">
        <v>646</v>
      </c>
    </row>
    <row r="177" spans="16:32">
      <c r="P177" s="30" t="s">
        <v>359</v>
      </c>
      <c r="Q177" s="30" t="s">
        <v>638</v>
      </c>
      <c r="R177" s="30" t="s">
        <v>793</v>
      </c>
      <c r="S177" s="30" t="s">
        <v>647</v>
      </c>
      <c r="T177" s="31">
        <v>265605</v>
      </c>
      <c r="U177" s="30" t="s">
        <v>790</v>
      </c>
      <c r="V177" s="30" t="s">
        <v>648</v>
      </c>
      <c r="W177" s="30" t="s">
        <v>795</v>
      </c>
      <c r="X177" s="34">
        <v>-0.528</v>
      </c>
      <c r="Y177" s="30" t="s">
        <v>643</v>
      </c>
      <c r="Z177" s="33">
        <v>5215.78</v>
      </c>
      <c r="AA177" s="34">
        <v>-2753.933</v>
      </c>
      <c r="AB177" s="30" t="s">
        <v>644</v>
      </c>
      <c r="AC177" s="30" t="s">
        <v>645</v>
      </c>
      <c r="AD177" s="30" t="s">
        <v>646</v>
      </c>
      <c r="AE177" s="18">
        <f t="shared" si="50"/>
        <v>0.137254901960784</v>
      </c>
      <c r="AF177" s="19">
        <f t="shared" si="51"/>
        <v>377.990803921568</v>
      </c>
    </row>
    <row r="178" spans="16:32">
      <c r="P178" s="30" t="s">
        <v>359</v>
      </c>
      <c r="Q178" s="30" t="s">
        <v>638</v>
      </c>
      <c r="R178" s="30" t="s">
        <v>796</v>
      </c>
      <c r="S178" s="30" t="s">
        <v>640</v>
      </c>
      <c r="T178" s="31">
        <v>290284</v>
      </c>
      <c r="U178" s="30" t="s">
        <v>790</v>
      </c>
      <c r="V178" s="30" t="s">
        <v>641</v>
      </c>
      <c r="W178" s="30" t="s">
        <v>660</v>
      </c>
      <c r="X178" s="34">
        <v>2.587</v>
      </c>
      <c r="Y178" s="30" t="s">
        <v>643</v>
      </c>
      <c r="Z178" s="33">
        <v>3910.38</v>
      </c>
      <c r="AA178" s="34">
        <v>10116.153</v>
      </c>
      <c r="AB178" s="30" t="s">
        <v>644</v>
      </c>
      <c r="AC178" s="30" t="s">
        <v>645</v>
      </c>
      <c r="AD178" s="30" t="s">
        <v>646</v>
      </c>
    </row>
    <row r="179" spans="16:32">
      <c r="P179" s="30" t="s">
        <v>359</v>
      </c>
      <c r="Q179" s="30" t="s">
        <v>638</v>
      </c>
      <c r="R179" s="30" t="s">
        <v>796</v>
      </c>
      <c r="S179" s="30" t="s">
        <v>647</v>
      </c>
      <c r="T179" s="31">
        <v>290285</v>
      </c>
      <c r="U179" s="30" t="s">
        <v>790</v>
      </c>
      <c r="V179" s="30" t="s">
        <v>648</v>
      </c>
      <c r="W179" s="30" t="s">
        <v>661</v>
      </c>
      <c r="X179" s="34">
        <v>-2.4</v>
      </c>
      <c r="Y179" s="30" t="s">
        <v>643</v>
      </c>
      <c r="Z179" s="33">
        <v>4215.06</v>
      </c>
      <c r="AA179" s="34">
        <v>-10116.153</v>
      </c>
      <c r="AB179" s="30" t="s">
        <v>644</v>
      </c>
      <c r="AC179" s="30" t="s">
        <v>645</v>
      </c>
      <c r="AD179" s="30" t="s">
        <v>646</v>
      </c>
      <c r="AE179" s="18">
        <f t="shared" ref="AE179:AE183" si="52">1+(X179/X178)</f>
        <v>0.0722844994201779</v>
      </c>
      <c r="AF179" s="19">
        <f t="shared" ref="AF179:AF183" si="53">AE179*-AA179</f>
        <v>731.241055662931</v>
      </c>
    </row>
    <row r="180" spans="16:32">
      <c r="P180" s="30" t="s">
        <v>359</v>
      </c>
      <c r="Q180" s="30" t="s">
        <v>638</v>
      </c>
      <c r="R180" s="30" t="s">
        <v>797</v>
      </c>
      <c r="S180" s="30" t="s">
        <v>640</v>
      </c>
      <c r="T180" s="31">
        <v>291459</v>
      </c>
      <c r="U180" s="30" t="s">
        <v>790</v>
      </c>
      <c r="V180" s="30" t="s">
        <v>641</v>
      </c>
      <c r="W180" s="30" t="s">
        <v>666</v>
      </c>
      <c r="X180" s="34">
        <v>8.654</v>
      </c>
      <c r="Y180" s="30" t="s">
        <v>643</v>
      </c>
      <c r="Z180" s="33">
        <v>4059.09</v>
      </c>
      <c r="AA180" s="34">
        <v>35127.365</v>
      </c>
      <c r="AB180" s="30" t="s">
        <v>644</v>
      </c>
      <c r="AC180" s="30" t="s">
        <v>645</v>
      </c>
      <c r="AD180" s="30" t="s">
        <v>646</v>
      </c>
    </row>
    <row r="181" spans="16:32">
      <c r="P181" s="30" t="s">
        <v>359</v>
      </c>
      <c r="Q181" s="30" t="s">
        <v>638</v>
      </c>
      <c r="R181" s="30" t="s">
        <v>797</v>
      </c>
      <c r="S181" s="30" t="s">
        <v>647</v>
      </c>
      <c r="T181" s="31">
        <v>291460</v>
      </c>
      <c r="U181" s="30" t="s">
        <v>790</v>
      </c>
      <c r="V181" s="30" t="s">
        <v>648</v>
      </c>
      <c r="W181" s="30" t="s">
        <v>667</v>
      </c>
      <c r="X181" s="34">
        <v>-8.283</v>
      </c>
      <c r="Y181" s="30" t="s">
        <v>643</v>
      </c>
      <c r="Z181" s="33">
        <v>4240.9</v>
      </c>
      <c r="AA181" s="34">
        <v>-35127.365</v>
      </c>
      <c r="AB181" s="30" t="s">
        <v>644</v>
      </c>
      <c r="AC181" s="30" t="s">
        <v>645</v>
      </c>
      <c r="AD181" s="30" t="s">
        <v>646</v>
      </c>
      <c r="AE181" s="18">
        <f t="shared" si="52"/>
        <v>0.0428703489715739</v>
      </c>
      <c r="AF181" s="19">
        <f t="shared" si="53"/>
        <v>1505.92239600185</v>
      </c>
    </row>
    <row r="182" spans="16:32">
      <c r="P182" s="30" t="s">
        <v>359</v>
      </c>
      <c r="Q182" s="30" t="s">
        <v>638</v>
      </c>
      <c r="R182" s="30" t="s">
        <v>798</v>
      </c>
      <c r="S182" s="30" t="s">
        <v>640</v>
      </c>
      <c r="T182" s="31">
        <v>293165</v>
      </c>
      <c r="U182" s="30" t="s">
        <v>790</v>
      </c>
      <c r="V182" s="30" t="s">
        <v>641</v>
      </c>
      <c r="W182" s="30" t="s">
        <v>754</v>
      </c>
      <c r="X182" s="34">
        <v>4.684</v>
      </c>
      <c r="Y182" s="30" t="s">
        <v>643</v>
      </c>
      <c r="Z182" s="33">
        <v>3467.68</v>
      </c>
      <c r="AA182" s="34">
        <v>16242.613</v>
      </c>
      <c r="AB182" s="30" t="s">
        <v>644</v>
      </c>
      <c r="AC182" s="30" t="s">
        <v>645</v>
      </c>
      <c r="AD182" s="30" t="s">
        <v>646</v>
      </c>
    </row>
    <row r="183" spans="16:32">
      <c r="P183" s="30" t="s">
        <v>359</v>
      </c>
      <c r="Q183" s="30" t="s">
        <v>638</v>
      </c>
      <c r="R183" s="30" t="s">
        <v>798</v>
      </c>
      <c r="S183" s="30" t="s">
        <v>647</v>
      </c>
      <c r="T183" s="31">
        <v>293166</v>
      </c>
      <c r="U183" s="30" t="s">
        <v>790</v>
      </c>
      <c r="V183" s="30" t="s">
        <v>648</v>
      </c>
      <c r="W183" s="30" t="s">
        <v>755</v>
      </c>
      <c r="X183" s="34">
        <v>-4.35</v>
      </c>
      <c r="Y183" s="30" t="s">
        <v>643</v>
      </c>
      <c r="Z183" s="33">
        <v>3733.93</v>
      </c>
      <c r="AA183" s="34">
        <v>-16242.613</v>
      </c>
      <c r="AB183" s="30" t="s">
        <v>644</v>
      </c>
      <c r="AC183" s="30" t="s">
        <v>645</v>
      </c>
      <c r="AD183" s="30" t="s">
        <v>646</v>
      </c>
      <c r="AE183" s="18">
        <f t="shared" si="52"/>
        <v>0.0713065755764305</v>
      </c>
      <c r="AF183" s="19">
        <f t="shared" si="53"/>
        <v>1158.20511144321</v>
      </c>
    </row>
    <row r="184" spans="16:32">
      <c r="P184" s="30" t="s">
        <v>308</v>
      </c>
      <c r="Q184" s="30" t="s">
        <v>638</v>
      </c>
      <c r="R184" s="30" t="s">
        <v>799</v>
      </c>
      <c r="S184" s="30" t="s">
        <v>640</v>
      </c>
      <c r="T184" s="31">
        <v>292653</v>
      </c>
      <c r="U184" s="30" t="s">
        <v>790</v>
      </c>
      <c r="V184" s="30" t="s">
        <v>641</v>
      </c>
      <c r="W184" s="30" t="s">
        <v>690</v>
      </c>
      <c r="X184" s="34">
        <v>0.012</v>
      </c>
      <c r="Y184" s="30" t="s">
        <v>643</v>
      </c>
      <c r="Z184" s="33">
        <v>4875.8333</v>
      </c>
      <c r="AA184" s="34">
        <v>58.51</v>
      </c>
      <c r="AB184" s="30" t="s">
        <v>644</v>
      </c>
      <c r="AC184" s="30" t="s">
        <v>645</v>
      </c>
      <c r="AD184" s="30" t="s">
        <v>646</v>
      </c>
    </row>
    <row r="185" spans="16:32">
      <c r="P185" s="30" t="s">
        <v>308</v>
      </c>
      <c r="Q185" s="30" t="s">
        <v>638</v>
      </c>
      <c r="R185" s="30" t="s">
        <v>799</v>
      </c>
      <c r="S185" s="30" t="s">
        <v>647</v>
      </c>
      <c r="T185" s="31">
        <v>292654</v>
      </c>
      <c r="U185" s="30" t="s">
        <v>790</v>
      </c>
      <c r="V185" s="30" t="s">
        <v>648</v>
      </c>
      <c r="W185" s="30" t="s">
        <v>691</v>
      </c>
      <c r="X185" s="34">
        <v>-0.012</v>
      </c>
      <c r="Y185" s="30" t="s">
        <v>643</v>
      </c>
      <c r="Z185" s="33">
        <v>4875.83</v>
      </c>
      <c r="AA185" s="34">
        <v>-58.51</v>
      </c>
      <c r="AB185" s="30" t="s">
        <v>644</v>
      </c>
      <c r="AC185" s="30" t="s">
        <v>645</v>
      </c>
      <c r="AD185" s="30" t="s">
        <v>646</v>
      </c>
      <c r="AE185" s="18">
        <f t="shared" ref="AE185:AE189" si="54">1+(X185/X184)</f>
        <v>0</v>
      </c>
      <c r="AF185" s="19">
        <f t="shared" ref="AF185:AF189" si="55">AE185*-AA185</f>
        <v>0</v>
      </c>
    </row>
    <row r="186" spans="16:32">
      <c r="P186" s="30" t="s">
        <v>359</v>
      </c>
      <c r="Q186" s="30" t="s">
        <v>638</v>
      </c>
      <c r="R186" s="30" t="s">
        <v>800</v>
      </c>
      <c r="S186" s="30" t="s">
        <v>640</v>
      </c>
      <c r="T186" s="31">
        <v>300310</v>
      </c>
      <c r="U186" s="30" t="s">
        <v>790</v>
      </c>
      <c r="V186" s="30" t="s">
        <v>641</v>
      </c>
      <c r="W186" s="30" t="s">
        <v>678</v>
      </c>
      <c r="X186" s="34">
        <v>20.466</v>
      </c>
      <c r="Y186" s="30" t="s">
        <v>643</v>
      </c>
      <c r="Z186" s="33">
        <v>3500.24</v>
      </c>
      <c r="AA186" s="34">
        <v>71635.912</v>
      </c>
      <c r="AB186" s="30" t="s">
        <v>644</v>
      </c>
      <c r="AC186" s="30" t="s">
        <v>645</v>
      </c>
      <c r="AD186" s="30" t="s">
        <v>646</v>
      </c>
    </row>
    <row r="187" spans="16:32">
      <c r="P187" s="30" t="s">
        <v>359</v>
      </c>
      <c r="Q187" s="30" t="s">
        <v>638</v>
      </c>
      <c r="R187" s="30" t="s">
        <v>800</v>
      </c>
      <c r="S187" s="30" t="s">
        <v>647</v>
      </c>
      <c r="T187" s="31">
        <v>300311</v>
      </c>
      <c r="U187" s="30" t="s">
        <v>790</v>
      </c>
      <c r="V187" s="30" t="s">
        <v>648</v>
      </c>
      <c r="W187" s="30" t="s">
        <v>679</v>
      </c>
      <c r="X187" s="34">
        <v>-20.466</v>
      </c>
      <c r="Y187" s="30" t="s">
        <v>643</v>
      </c>
      <c r="Z187" s="33">
        <v>3500.24</v>
      </c>
      <c r="AA187" s="34">
        <v>-71635.912</v>
      </c>
      <c r="AB187" s="30" t="s">
        <v>644</v>
      </c>
      <c r="AC187" s="30" t="s">
        <v>645</v>
      </c>
      <c r="AD187" s="30" t="s">
        <v>646</v>
      </c>
      <c r="AE187" s="18">
        <f t="shared" si="54"/>
        <v>0</v>
      </c>
      <c r="AF187" s="19">
        <f t="shared" si="55"/>
        <v>0</v>
      </c>
    </row>
    <row r="188" spans="16:32">
      <c r="P188" s="30" t="s">
        <v>308</v>
      </c>
      <c r="Q188" s="30" t="s">
        <v>638</v>
      </c>
      <c r="R188" s="30" t="s">
        <v>801</v>
      </c>
      <c r="S188" s="30" t="s">
        <v>640</v>
      </c>
      <c r="T188" s="31">
        <v>300300</v>
      </c>
      <c r="U188" s="30" t="s">
        <v>790</v>
      </c>
      <c r="V188" s="30" t="s">
        <v>641</v>
      </c>
      <c r="W188" s="30" t="s">
        <v>718</v>
      </c>
      <c r="X188" s="34">
        <v>1.889</v>
      </c>
      <c r="Y188" s="30" t="s">
        <v>643</v>
      </c>
      <c r="Z188" s="33">
        <v>3724.5701</v>
      </c>
      <c r="AA188" s="34">
        <v>7035.713</v>
      </c>
      <c r="AB188" s="30" t="s">
        <v>644</v>
      </c>
      <c r="AC188" s="30" t="s">
        <v>645</v>
      </c>
      <c r="AD188" s="30" t="s">
        <v>646</v>
      </c>
    </row>
    <row r="189" spans="16:32">
      <c r="P189" s="30" t="s">
        <v>308</v>
      </c>
      <c r="Q189" s="30" t="s">
        <v>638</v>
      </c>
      <c r="R189" s="30" t="s">
        <v>801</v>
      </c>
      <c r="S189" s="30" t="s">
        <v>647</v>
      </c>
      <c r="T189" s="31">
        <v>300301</v>
      </c>
      <c r="U189" s="30" t="s">
        <v>790</v>
      </c>
      <c r="V189" s="30" t="s">
        <v>648</v>
      </c>
      <c r="W189" s="30" t="s">
        <v>719</v>
      </c>
      <c r="X189" s="34">
        <v>-1.812</v>
      </c>
      <c r="Y189" s="30" t="s">
        <v>643</v>
      </c>
      <c r="Z189" s="33">
        <v>3882.84</v>
      </c>
      <c r="AA189" s="34">
        <v>-7035.713</v>
      </c>
      <c r="AB189" s="30" t="s">
        <v>644</v>
      </c>
      <c r="AC189" s="30" t="s">
        <v>645</v>
      </c>
      <c r="AD189" s="30" t="s">
        <v>646</v>
      </c>
      <c r="AE189" s="18">
        <f t="shared" si="54"/>
        <v>0.0407623080995235</v>
      </c>
      <c r="AF189" s="19">
        <f t="shared" si="55"/>
        <v>286.791901005823</v>
      </c>
    </row>
    <row r="190" spans="16:32">
      <c r="P190" s="30" t="s">
        <v>308</v>
      </c>
      <c r="Q190" s="30" t="s">
        <v>638</v>
      </c>
      <c r="R190" s="30" t="s">
        <v>802</v>
      </c>
      <c r="S190" s="30" t="s">
        <v>640</v>
      </c>
      <c r="T190" s="31">
        <v>302652</v>
      </c>
      <c r="U190" s="30" t="s">
        <v>790</v>
      </c>
      <c r="V190" s="30" t="s">
        <v>641</v>
      </c>
      <c r="W190" s="30" t="s">
        <v>736</v>
      </c>
      <c r="X190" s="34">
        <v>1.244</v>
      </c>
      <c r="Y190" s="30" t="s">
        <v>643</v>
      </c>
      <c r="Z190" s="33">
        <v>4258.3103</v>
      </c>
      <c r="AA190" s="34">
        <v>5297.338</v>
      </c>
      <c r="AB190" s="30" t="s">
        <v>644</v>
      </c>
      <c r="AC190" s="30" t="s">
        <v>645</v>
      </c>
      <c r="AD190" s="30" t="s">
        <v>646</v>
      </c>
    </row>
    <row r="191" spans="16:32">
      <c r="P191" s="30" t="s">
        <v>308</v>
      </c>
      <c r="Q191" s="30" t="s">
        <v>638</v>
      </c>
      <c r="R191" s="30" t="s">
        <v>802</v>
      </c>
      <c r="S191" s="30" t="s">
        <v>647</v>
      </c>
      <c r="T191" s="31">
        <v>302653</v>
      </c>
      <c r="U191" s="30" t="s">
        <v>790</v>
      </c>
      <c r="V191" s="30" t="s">
        <v>648</v>
      </c>
      <c r="W191" s="30" t="s">
        <v>737</v>
      </c>
      <c r="X191" s="34">
        <v>-1.164</v>
      </c>
      <c r="Y191" s="30" t="s">
        <v>643</v>
      </c>
      <c r="Z191" s="33">
        <v>4550.98</v>
      </c>
      <c r="AA191" s="34">
        <v>-5297.338</v>
      </c>
      <c r="AB191" s="30" t="s">
        <v>644</v>
      </c>
      <c r="AC191" s="30" t="s">
        <v>645</v>
      </c>
      <c r="AD191" s="30" t="s">
        <v>646</v>
      </c>
      <c r="AE191" s="18">
        <f t="shared" ref="AE191:AE195" si="56">1+(X191/X190)</f>
        <v>0.0643086816720257</v>
      </c>
      <c r="AF191" s="19">
        <f t="shared" ref="AF191:AF195" si="57">AE191*-AA191</f>
        <v>340.664823151126</v>
      </c>
    </row>
    <row r="192" spans="16:32">
      <c r="P192" s="30" t="s">
        <v>308</v>
      </c>
      <c r="Q192" s="30" t="s">
        <v>638</v>
      </c>
      <c r="R192" s="30" t="s">
        <v>803</v>
      </c>
      <c r="S192" s="30" t="s">
        <v>640</v>
      </c>
      <c r="T192" s="31">
        <v>290939</v>
      </c>
      <c r="U192" s="30" t="s">
        <v>790</v>
      </c>
      <c r="V192" s="30" t="s">
        <v>641</v>
      </c>
      <c r="W192" s="30" t="s">
        <v>693</v>
      </c>
      <c r="X192" s="34">
        <v>50.9</v>
      </c>
      <c r="Y192" s="30" t="s">
        <v>643</v>
      </c>
      <c r="Z192" s="33">
        <v>4224.31</v>
      </c>
      <c r="AA192" s="34">
        <v>215017.379</v>
      </c>
      <c r="AB192" s="30" t="s">
        <v>644</v>
      </c>
      <c r="AC192" s="30" t="s">
        <v>645</v>
      </c>
      <c r="AD192" s="30" t="s">
        <v>646</v>
      </c>
    </row>
    <row r="193" spans="16:32">
      <c r="P193" s="30" t="s">
        <v>308</v>
      </c>
      <c r="Q193" s="30" t="s">
        <v>638</v>
      </c>
      <c r="R193" s="30" t="s">
        <v>803</v>
      </c>
      <c r="S193" s="30" t="s">
        <v>647</v>
      </c>
      <c r="T193" s="31">
        <v>290940</v>
      </c>
      <c r="U193" s="30" t="s">
        <v>790</v>
      </c>
      <c r="V193" s="30" t="s">
        <v>648</v>
      </c>
      <c r="W193" s="30" t="s">
        <v>694</v>
      </c>
      <c r="X193" s="34">
        <v>-50.628</v>
      </c>
      <c r="Y193" s="30" t="s">
        <v>643</v>
      </c>
      <c r="Z193" s="33">
        <v>4247.01</v>
      </c>
      <c r="AA193" s="34">
        <v>-215017.379</v>
      </c>
      <c r="AB193" s="30" t="s">
        <v>644</v>
      </c>
      <c r="AC193" s="30" t="s">
        <v>645</v>
      </c>
      <c r="AD193" s="30" t="s">
        <v>646</v>
      </c>
      <c r="AE193" s="18">
        <f t="shared" si="56"/>
        <v>0.00534381139489182</v>
      </c>
      <c r="AF193" s="19">
        <f t="shared" si="57"/>
        <v>1149.01231999997</v>
      </c>
    </row>
    <row r="194" spans="16:32">
      <c r="P194" s="30" t="s">
        <v>359</v>
      </c>
      <c r="Q194" s="30" t="s">
        <v>638</v>
      </c>
      <c r="R194" s="30" t="s">
        <v>804</v>
      </c>
      <c r="S194" s="30" t="s">
        <v>640</v>
      </c>
      <c r="T194" s="31">
        <v>302195</v>
      </c>
      <c r="U194" s="30" t="s">
        <v>790</v>
      </c>
      <c r="V194" s="30" t="s">
        <v>641</v>
      </c>
      <c r="W194" s="30" t="s">
        <v>672</v>
      </c>
      <c r="X194" s="34">
        <v>10</v>
      </c>
      <c r="Y194" s="30" t="s">
        <v>643</v>
      </c>
      <c r="Z194" s="33">
        <v>8258.33</v>
      </c>
      <c r="AA194" s="34">
        <v>82583.3</v>
      </c>
      <c r="AB194" s="30" t="s">
        <v>644</v>
      </c>
      <c r="AC194" s="30" t="s">
        <v>645</v>
      </c>
      <c r="AD194" s="30" t="s">
        <v>646</v>
      </c>
    </row>
    <row r="195" spans="16:32">
      <c r="P195" s="30" t="s">
        <v>359</v>
      </c>
      <c r="Q195" s="30" t="s">
        <v>638</v>
      </c>
      <c r="R195" s="30" t="s">
        <v>804</v>
      </c>
      <c r="S195" s="30" t="s">
        <v>647</v>
      </c>
      <c r="T195" s="31">
        <v>302196</v>
      </c>
      <c r="U195" s="30" t="s">
        <v>790</v>
      </c>
      <c r="V195" s="30" t="s">
        <v>648</v>
      </c>
      <c r="W195" s="30" t="s">
        <v>673</v>
      </c>
      <c r="X195" s="34">
        <v>-9.87</v>
      </c>
      <c r="Y195" s="30" t="s">
        <v>643</v>
      </c>
      <c r="Z195" s="33">
        <v>8367.1</v>
      </c>
      <c r="AA195" s="34">
        <v>-82583.3</v>
      </c>
      <c r="AB195" s="30" t="s">
        <v>644</v>
      </c>
      <c r="AC195" s="30" t="s">
        <v>645</v>
      </c>
      <c r="AD195" s="30" t="s">
        <v>646</v>
      </c>
      <c r="AE195" s="18">
        <f t="shared" si="56"/>
        <v>0.0130000000000001</v>
      </c>
      <c r="AF195" s="19">
        <f t="shared" si="57"/>
        <v>1073.58290000001</v>
      </c>
    </row>
    <row r="196" spans="16:32">
      <c r="P196" s="30" t="s">
        <v>359</v>
      </c>
      <c r="Q196" s="30" t="s">
        <v>638</v>
      </c>
      <c r="R196" s="30" t="s">
        <v>805</v>
      </c>
      <c r="S196" s="30" t="s">
        <v>640</v>
      </c>
      <c r="T196" s="31">
        <v>305647</v>
      </c>
      <c r="U196" s="30" t="s">
        <v>790</v>
      </c>
      <c r="V196" s="30" t="s">
        <v>641</v>
      </c>
      <c r="W196" s="30" t="s">
        <v>701</v>
      </c>
      <c r="X196" s="34">
        <v>10.824</v>
      </c>
      <c r="Y196" s="30" t="s">
        <v>643</v>
      </c>
      <c r="Z196" s="33">
        <v>3339.56</v>
      </c>
      <c r="AA196" s="34">
        <v>36147.397</v>
      </c>
      <c r="AB196" s="30" t="s">
        <v>644</v>
      </c>
      <c r="AC196" s="30" t="s">
        <v>645</v>
      </c>
      <c r="AD196" s="30" t="s">
        <v>646</v>
      </c>
    </row>
    <row r="197" spans="16:32">
      <c r="P197" s="30" t="s">
        <v>359</v>
      </c>
      <c r="Q197" s="30" t="s">
        <v>638</v>
      </c>
      <c r="R197" s="30" t="s">
        <v>805</v>
      </c>
      <c r="S197" s="30" t="s">
        <v>647</v>
      </c>
      <c r="T197" s="31">
        <v>305646</v>
      </c>
      <c r="U197" s="30" t="s">
        <v>790</v>
      </c>
      <c r="V197" s="30" t="s">
        <v>648</v>
      </c>
      <c r="W197" s="30" t="s">
        <v>702</v>
      </c>
      <c r="X197" s="34">
        <v>-10.824</v>
      </c>
      <c r="Y197" s="30" t="s">
        <v>643</v>
      </c>
      <c r="Z197" s="33">
        <v>3339.56</v>
      </c>
      <c r="AA197" s="34">
        <v>-36147.397</v>
      </c>
      <c r="AB197" s="30" t="s">
        <v>644</v>
      </c>
      <c r="AC197" s="30" t="s">
        <v>645</v>
      </c>
      <c r="AD197" s="30" t="s">
        <v>646</v>
      </c>
      <c r="AE197" s="18">
        <f t="shared" ref="AE197:AE201" si="58">1+(X197/X196)</f>
        <v>0</v>
      </c>
      <c r="AF197" s="19">
        <f t="shared" ref="AF197:AF201" si="59">AE197*-AA197</f>
        <v>0</v>
      </c>
    </row>
    <row r="198" spans="16:32">
      <c r="P198" s="30" t="s">
        <v>359</v>
      </c>
      <c r="Q198" s="30" t="s">
        <v>638</v>
      </c>
      <c r="R198" s="30" t="s">
        <v>806</v>
      </c>
      <c r="S198" s="30" t="s">
        <v>640</v>
      </c>
      <c r="T198" s="31">
        <v>292645</v>
      </c>
      <c r="U198" s="30" t="s">
        <v>790</v>
      </c>
      <c r="V198" s="30" t="s">
        <v>641</v>
      </c>
      <c r="W198" s="30" t="s">
        <v>675</v>
      </c>
      <c r="X198" s="34">
        <v>92.293</v>
      </c>
      <c r="Y198" s="30" t="s">
        <v>643</v>
      </c>
      <c r="Z198" s="33">
        <v>3408.76</v>
      </c>
      <c r="AA198" s="34">
        <v>314604.687</v>
      </c>
      <c r="AB198" s="30" t="s">
        <v>644</v>
      </c>
      <c r="AC198" s="30" t="s">
        <v>645</v>
      </c>
      <c r="AD198" s="30" t="s">
        <v>646</v>
      </c>
    </row>
    <row r="199" spans="16:32">
      <c r="P199" s="30" t="s">
        <v>359</v>
      </c>
      <c r="Q199" s="30" t="s">
        <v>638</v>
      </c>
      <c r="R199" s="30" t="s">
        <v>806</v>
      </c>
      <c r="S199" s="30" t="s">
        <v>647</v>
      </c>
      <c r="T199" s="31">
        <v>292646</v>
      </c>
      <c r="U199" s="30" t="s">
        <v>790</v>
      </c>
      <c r="V199" s="30" t="s">
        <v>648</v>
      </c>
      <c r="W199" s="30" t="s">
        <v>676</v>
      </c>
      <c r="X199" s="34">
        <v>-91.32</v>
      </c>
      <c r="Y199" s="30" t="s">
        <v>643</v>
      </c>
      <c r="Z199" s="33">
        <v>3445.08</v>
      </c>
      <c r="AA199" s="34">
        <v>-314604.687</v>
      </c>
      <c r="AB199" s="30" t="s">
        <v>644</v>
      </c>
      <c r="AC199" s="30" t="s">
        <v>645</v>
      </c>
      <c r="AD199" s="30" t="s">
        <v>646</v>
      </c>
      <c r="AE199" s="18">
        <f t="shared" si="58"/>
        <v>0.0105425113497233</v>
      </c>
      <c r="AF199" s="19">
        <f t="shared" si="59"/>
        <v>3316.72348337364</v>
      </c>
    </row>
    <row r="200" spans="16:32">
      <c r="P200" s="30" t="s">
        <v>359</v>
      </c>
      <c r="Q200" s="30" t="s">
        <v>638</v>
      </c>
      <c r="R200" s="30" t="s">
        <v>807</v>
      </c>
      <c r="S200" s="30" t="s">
        <v>640</v>
      </c>
      <c r="T200" s="31">
        <v>231953</v>
      </c>
      <c r="U200" s="30" t="s">
        <v>790</v>
      </c>
      <c r="V200" s="30" t="s">
        <v>641</v>
      </c>
      <c r="W200" s="30" t="s">
        <v>808</v>
      </c>
      <c r="X200" s="34">
        <v>5.566</v>
      </c>
      <c r="Y200" s="30" t="s">
        <v>643</v>
      </c>
      <c r="Z200" s="33">
        <v>3249.0199</v>
      </c>
      <c r="AA200" s="34">
        <v>18084.045</v>
      </c>
      <c r="AB200" s="30" t="s">
        <v>644</v>
      </c>
      <c r="AC200" s="30" t="s">
        <v>645</v>
      </c>
      <c r="AD200" s="30" t="s">
        <v>646</v>
      </c>
    </row>
    <row r="201" spans="16:32">
      <c r="P201" s="30" t="s">
        <v>359</v>
      </c>
      <c r="Q201" s="30" t="s">
        <v>638</v>
      </c>
      <c r="R201" s="30" t="s">
        <v>807</v>
      </c>
      <c r="S201" s="30" t="s">
        <v>647</v>
      </c>
      <c r="T201" s="31">
        <v>231954</v>
      </c>
      <c r="U201" s="30" t="s">
        <v>790</v>
      </c>
      <c r="V201" s="30" t="s">
        <v>648</v>
      </c>
      <c r="W201" s="30" t="s">
        <v>809</v>
      </c>
      <c r="X201" s="34">
        <v>-5.535</v>
      </c>
      <c r="Y201" s="30" t="s">
        <v>643</v>
      </c>
      <c r="Z201" s="33">
        <v>3267.22</v>
      </c>
      <c r="AA201" s="34">
        <v>-18084.045</v>
      </c>
      <c r="AB201" s="30" t="s">
        <v>644</v>
      </c>
      <c r="AC201" s="30" t="s">
        <v>645</v>
      </c>
      <c r="AD201" s="30" t="s">
        <v>646</v>
      </c>
      <c r="AE201" s="18">
        <f t="shared" si="58"/>
        <v>0.00556952928494425</v>
      </c>
      <c r="AF201" s="19">
        <f t="shared" si="59"/>
        <v>100.71961821775</v>
      </c>
    </row>
    <row r="202" spans="16:32">
      <c r="P202" s="30" t="s">
        <v>308</v>
      </c>
      <c r="Q202" s="30" t="s">
        <v>638</v>
      </c>
      <c r="R202" s="30" t="s">
        <v>810</v>
      </c>
      <c r="S202" s="30" t="s">
        <v>640</v>
      </c>
      <c r="T202" s="31">
        <v>314272</v>
      </c>
      <c r="U202" s="30" t="s">
        <v>790</v>
      </c>
      <c r="V202" s="30" t="s">
        <v>641</v>
      </c>
      <c r="W202" s="30" t="s">
        <v>811</v>
      </c>
      <c r="X202" s="34">
        <v>1.08</v>
      </c>
      <c r="Y202" s="30" t="s">
        <v>643</v>
      </c>
      <c r="Z202" s="33">
        <v>9447.9398</v>
      </c>
      <c r="AA202" s="34">
        <v>10203.775</v>
      </c>
      <c r="AB202" s="30" t="s">
        <v>644</v>
      </c>
      <c r="AC202" s="30" t="s">
        <v>645</v>
      </c>
      <c r="AD202" s="30" t="s">
        <v>646</v>
      </c>
    </row>
    <row r="203" spans="16:32">
      <c r="P203" s="30" t="s">
        <v>308</v>
      </c>
      <c r="Q203" s="30" t="s">
        <v>638</v>
      </c>
      <c r="R203" s="30" t="s">
        <v>810</v>
      </c>
      <c r="S203" s="30" t="s">
        <v>647</v>
      </c>
      <c r="T203" s="31">
        <v>314273</v>
      </c>
      <c r="U203" s="30" t="s">
        <v>790</v>
      </c>
      <c r="V203" s="30" t="s">
        <v>648</v>
      </c>
      <c r="W203" s="30" t="s">
        <v>812</v>
      </c>
      <c r="X203" s="34">
        <v>-1.08</v>
      </c>
      <c r="Y203" s="30" t="s">
        <v>643</v>
      </c>
      <c r="Z203" s="33">
        <v>9447.94</v>
      </c>
      <c r="AA203" s="34">
        <v>-10203.775</v>
      </c>
      <c r="AB203" s="30" t="s">
        <v>644</v>
      </c>
      <c r="AC203" s="30" t="s">
        <v>645</v>
      </c>
      <c r="AD203" s="30" t="s">
        <v>646</v>
      </c>
      <c r="AE203" s="18">
        <f>1+(X203/X202)</f>
        <v>0</v>
      </c>
      <c r="AF203" s="19">
        <f>AE203*-AA203</f>
        <v>0</v>
      </c>
    </row>
    <row r="204" spans="16:32">
      <c r="P204" s="30" t="s">
        <v>359</v>
      </c>
      <c r="Q204" s="30" t="s">
        <v>638</v>
      </c>
      <c r="R204" s="30" t="s">
        <v>813</v>
      </c>
      <c r="S204" s="30" t="s">
        <v>640</v>
      </c>
      <c r="T204" s="31">
        <v>314885</v>
      </c>
      <c r="U204" s="30" t="s">
        <v>790</v>
      </c>
      <c r="V204" s="30" t="s">
        <v>641</v>
      </c>
      <c r="W204" s="30" t="s">
        <v>814</v>
      </c>
      <c r="X204" s="34">
        <v>2.449</v>
      </c>
      <c r="Y204" s="30" t="s">
        <v>643</v>
      </c>
      <c r="Z204" s="33">
        <v>5161.7199</v>
      </c>
      <c r="AA204" s="34">
        <v>12641.052</v>
      </c>
      <c r="AB204" s="30" t="s">
        <v>644</v>
      </c>
      <c r="AC204" s="30" t="s">
        <v>645</v>
      </c>
      <c r="AD204" s="30" t="s">
        <v>646</v>
      </c>
    </row>
    <row r="205" spans="16:32">
      <c r="P205" s="30" t="s">
        <v>359</v>
      </c>
      <c r="Q205" s="30" t="s">
        <v>638</v>
      </c>
      <c r="R205" s="30" t="s">
        <v>813</v>
      </c>
      <c r="S205" s="30" t="s">
        <v>647</v>
      </c>
      <c r="T205" s="31">
        <v>314886</v>
      </c>
      <c r="U205" s="30" t="s">
        <v>790</v>
      </c>
      <c r="V205" s="30" t="s">
        <v>648</v>
      </c>
      <c r="W205" s="30" t="s">
        <v>815</v>
      </c>
      <c r="X205" s="34">
        <v>-2.304</v>
      </c>
      <c r="Y205" s="30" t="s">
        <v>643</v>
      </c>
      <c r="Z205" s="33">
        <v>5486.57</v>
      </c>
      <c r="AA205" s="34">
        <v>-12641.052</v>
      </c>
      <c r="AB205" s="30" t="s">
        <v>644</v>
      </c>
      <c r="AC205" s="30" t="s">
        <v>645</v>
      </c>
      <c r="AD205" s="30" t="s">
        <v>646</v>
      </c>
      <c r="AE205" s="18">
        <f>1+(X205/X204)</f>
        <v>0.0592078399346673</v>
      </c>
      <c r="AF205" s="19">
        <f>AE205*-AA205</f>
        <v>748.449383421806</v>
      </c>
    </row>
  </sheetData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7"/>
  <dimension ref="A1:P41"/>
  <sheetViews>
    <sheetView workbookViewId="0">
      <selection activeCell="G9" sqref="G9"/>
    </sheetView>
  </sheetViews>
  <sheetFormatPr defaultColWidth="9" defaultRowHeight="15.75"/>
  <cols>
    <col min="1" max="1" width="18.375" customWidth="1"/>
    <col min="2" max="2" width="6.5" customWidth="1"/>
    <col min="3" max="3" width="8.5" customWidth="1"/>
    <col min="4" max="4" width="9.5" style="1" customWidth="1"/>
    <col min="5" max="5" width="6.5" customWidth="1"/>
    <col min="6" max="6" width="8.5" customWidth="1"/>
    <col min="7" max="7" width="9.5" style="1" customWidth="1"/>
    <col min="8" max="8" width="6.5" customWidth="1"/>
    <col min="9" max="9" width="8.5" customWidth="1"/>
    <col min="10" max="10" width="9.5" style="1" customWidth="1"/>
    <col min="11" max="11" width="11.625" customWidth="1"/>
    <col min="12" max="12" width="8.5" customWidth="1"/>
    <col min="13" max="13" width="9.5" style="1" customWidth="1"/>
    <col min="14" max="14" width="11.625" customWidth="1"/>
    <col min="15" max="15" width="8.5" customWidth="1"/>
    <col min="16" max="16" width="9.5" style="1" customWidth="1"/>
  </cols>
  <sheetData>
    <row r="1" spans="1:16">
      <c r="A1" s="2" t="s">
        <v>20</v>
      </c>
      <c r="B1" s="3" t="s">
        <v>816</v>
      </c>
      <c r="C1" s="4"/>
      <c r="D1" s="5"/>
      <c r="E1" s="3" t="s">
        <v>354</v>
      </c>
      <c r="F1" s="4"/>
      <c r="G1" s="5"/>
      <c r="H1" s="3" t="s">
        <v>817</v>
      </c>
      <c r="I1" s="4"/>
      <c r="J1" s="5"/>
      <c r="K1" s="3" t="s">
        <v>308</v>
      </c>
      <c r="L1" s="4"/>
      <c r="M1" s="5"/>
      <c r="N1" s="3" t="s">
        <v>359</v>
      </c>
      <c r="O1" s="4"/>
      <c r="P1" s="5"/>
    </row>
    <row r="2" spans="1:16">
      <c r="A2" s="2"/>
      <c r="B2" s="2" t="s">
        <v>78</v>
      </c>
      <c r="C2" s="2" t="s">
        <v>79</v>
      </c>
      <c r="D2" s="6" t="s">
        <v>80</v>
      </c>
      <c r="E2" s="2" t="s">
        <v>78</v>
      </c>
      <c r="F2" s="2" t="s">
        <v>79</v>
      </c>
      <c r="G2" s="6" t="s">
        <v>80</v>
      </c>
      <c r="H2" s="2" t="s">
        <v>78</v>
      </c>
      <c r="I2" s="2" t="s">
        <v>79</v>
      </c>
      <c r="J2" s="6" t="s">
        <v>80</v>
      </c>
      <c r="K2" s="2" t="s">
        <v>78</v>
      </c>
      <c r="L2" s="2" t="s">
        <v>79</v>
      </c>
      <c r="M2" s="6" t="s">
        <v>80</v>
      </c>
      <c r="N2" s="2" t="s">
        <v>78</v>
      </c>
      <c r="O2" s="2" t="s">
        <v>79</v>
      </c>
      <c r="P2" s="6" t="s">
        <v>80</v>
      </c>
    </row>
    <row r="3" spans="1:16">
      <c r="A3" s="7" t="s">
        <v>818</v>
      </c>
      <c r="B3" s="8"/>
      <c r="C3" s="8"/>
      <c r="D3" s="9">
        <f ca="1">'F55-含税-pt'!F3</f>
        <v>0</v>
      </c>
      <c r="E3" s="8"/>
      <c r="F3" s="8"/>
      <c r="G3" s="9">
        <f ca="1">'专用糖-含税-pt'!F3</f>
        <v>0</v>
      </c>
      <c r="H3" s="8"/>
      <c r="I3" s="8"/>
      <c r="J3" s="9">
        <f ca="1">'果糖小包装-含税-pt'!F3</f>
        <v>0</v>
      </c>
      <c r="K3" s="8"/>
      <c r="L3" s="8"/>
      <c r="M3" s="9">
        <f ca="1">'风味糖-含税-pt'!F3</f>
        <v>0</v>
      </c>
      <c r="N3" s="8"/>
      <c r="O3" s="8"/>
      <c r="P3" s="9">
        <f ca="1">'调味糖-含税-pt'!F3</f>
        <v>0</v>
      </c>
    </row>
    <row r="4" spans="1:16">
      <c r="A4" s="7" t="s">
        <v>83</v>
      </c>
      <c r="B4" s="8"/>
      <c r="C4" s="8"/>
      <c r="D4" s="9">
        <f ca="1">'F55-含税-pt'!E5</f>
        <v>0</v>
      </c>
      <c r="E4" s="8"/>
      <c r="F4" s="8"/>
      <c r="G4" s="9">
        <f ca="1">'专用糖-含税-pt'!E5</f>
        <v>0</v>
      </c>
      <c r="H4" s="8"/>
      <c r="I4" s="8"/>
      <c r="J4" s="9" t="e">
        <f ca="1">'果糖小包装-含税-pt'!E5</f>
        <v>#DIV/0!</v>
      </c>
      <c r="K4" s="8"/>
      <c r="L4" s="8"/>
      <c r="M4" s="9">
        <f ca="1">'风味糖-含税-pt'!E5</f>
        <v>0</v>
      </c>
      <c r="N4" s="8"/>
      <c r="O4" s="8"/>
      <c r="P4" s="9">
        <f ca="1">'调味糖-含税-pt'!E5</f>
        <v>0</v>
      </c>
    </row>
    <row r="5" spans="1:16">
      <c r="A5" s="7" t="s">
        <v>88</v>
      </c>
      <c r="B5" s="8"/>
      <c r="C5" s="8"/>
      <c r="D5" s="9" t="e">
        <f ca="1">'F55-含税-pt'!E10</f>
        <v>#DIV/0!</v>
      </c>
      <c r="E5" s="8"/>
      <c r="F5" s="8"/>
      <c r="G5" s="9" t="e">
        <f ca="1">'专用糖-含税-pt'!E10</f>
        <v>#DIV/0!</v>
      </c>
      <c r="H5" s="8"/>
      <c r="I5" s="8"/>
      <c r="J5" s="9" t="e">
        <f ca="1">'果糖小包装-含税-pt'!E10</f>
        <v>#DIV/0!</v>
      </c>
      <c r="K5" s="8"/>
      <c r="L5" s="8"/>
      <c r="M5" s="9" t="e">
        <f ca="1">'风味糖-含税-pt'!E10</f>
        <v>#DIV/0!</v>
      </c>
      <c r="N5" s="8"/>
      <c r="O5" s="8"/>
      <c r="P5" s="9" t="e">
        <f ca="1">'调味糖-含税-pt'!E10</f>
        <v>#DIV/0!</v>
      </c>
    </row>
    <row r="6" spans="1:16">
      <c r="A6" s="7" t="s">
        <v>819</v>
      </c>
      <c r="B6" s="10">
        <f ca="1">'F55-含税-pt'!C12</f>
        <v>0</v>
      </c>
      <c r="C6" s="11">
        <f ca="1">'F55-含税-pt'!D12</f>
        <v>0</v>
      </c>
      <c r="D6" s="9">
        <f ca="1">'F55-含税-pt'!E12</f>
        <v>0</v>
      </c>
      <c r="E6" s="10">
        <f ca="1">'专用糖-含税-pt'!C12</f>
        <v>0</v>
      </c>
      <c r="F6" s="11">
        <f ca="1">'专用糖-含税-pt'!D12</f>
        <v>0</v>
      </c>
      <c r="G6" s="9">
        <f ca="1">'专用糖-含税-pt'!E12</f>
        <v>0</v>
      </c>
      <c r="H6" s="10" t="e">
        <f ca="1">'果糖小包装-含税-pt'!C12</f>
        <v>#DIV/0!</v>
      </c>
      <c r="I6" s="11" t="e">
        <f ca="1">'果糖小包装-含税-pt'!D12</f>
        <v>#DIV/0!</v>
      </c>
      <c r="J6" s="9" t="e">
        <f ca="1">'果糖小包装-含税-pt'!E12</f>
        <v>#DIV/0!</v>
      </c>
      <c r="K6" s="10">
        <f ca="1">'风味糖-含税-pt'!C11</f>
        <v>0</v>
      </c>
      <c r="L6" s="11">
        <f ca="1">'风味糖-含税-pt'!D11</f>
        <v>0</v>
      </c>
      <c r="M6" s="9" t="e">
        <f ca="1">'风味糖-含税-pt'!E11</f>
        <v>#DIV/0!</v>
      </c>
      <c r="N6" s="12">
        <f ca="1">'调味糖-含税-pt'!C11</f>
        <v>0</v>
      </c>
      <c r="O6" s="13">
        <f ca="1">'调味糖-含税-pt'!D11</f>
        <v>0</v>
      </c>
      <c r="P6" s="9" t="e">
        <f ca="1">'调味糖-含税-pt'!E11</f>
        <v>#DIV/0!</v>
      </c>
    </row>
    <row r="7" spans="1:16">
      <c r="A7" s="7" t="s">
        <v>820</v>
      </c>
      <c r="B7" s="8"/>
      <c r="C7" s="8"/>
      <c r="D7" s="9">
        <f ca="1">'F55-含税-pt'!E13</f>
        <v>0</v>
      </c>
      <c r="E7" s="8"/>
      <c r="F7" s="8"/>
      <c r="G7" s="9">
        <f ca="1">'专用糖-含税-pt'!E13</f>
        <v>0</v>
      </c>
      <c r="H7" s="8"/>
      <c r="I7" s="8"/>
      <c r="J7" s="9" t="e">
        <f ca="1">'果糖小包装-含税-pt'!E13</f>
        <v>#DIV/0!</v>
      </c>
      <c r="K7" s="8"/>
      <c r="L7" s="8"/>
      <c r="M7" s="9">
        <f ca="1">'风味糖-含税-pt'!E20</f>
        <v>0</v>
      </c>
      <c r="N7" s="8"/>
      <c r="O7" s="8"/>
      <c r="P7" s="9">
        <f ca="1">'调味糖-含税-pt'!E20</f>
        <v>0</v>
      </c>
    </row>
    <row r="8" spans="1:16">
      <c r="A8" s="7" t="s">
        <v>821</v>
      </c>
      <c r="B8" s="8"/>
      <c r="C8" s="8"/>
      <c r="D8" s="9">
        <f ca="1">'F55-含税-pt'!E25</f>
        <v>0</v>
      </c>
      <c r="E8" s="8"/>
      <c r="F8" s="8"/>
      <c r="G8" s="9">
        <f ca="1">'专用糖-含税-pt'!E27</f>
        <v>0</v>
      </c>
      <c r="H8" s="8"/>
      <c r="I8" s="8"/>
      <c r="J8" s="9" t="e">
        <f ca="1">'果糖小包装-含税-pt'!E25</f>
        <v>#DIV/0!</v>
      </c>
      <c r="K8" s="8"/>
      <c r="L8" s="8"/>
      <c r="M8" s="9">
        <f ca="1">'风味糖-含税-pt'!E57</f>
        <v>0</v>
      </c>
      <c r="N8" s="8"/>
      <c r="O8" s="8"/>
      <c r="P8" s="9">
        <f ca="1">'调味糖-含税-pt'!E49</f>
        <v>0</v>
      </c>
    </row>
    <row r="9" spans="1:16">
      <c r="A9" s="7" t="s">
        <v>822</v>
      </c>
      <c r="B9" s="8"/>
      <c r="C9" s="8"/>
      <c r="D9" s="9">
        <f ca="1">'F55-含税-pt'!E31</f>
        <v>0</v>
      </c>
      <c r="E9" s="8"/>
      <c r="F9" s="8"/>
      <c r="G9" s="9">
        <f ca="1">'专用糖-含税-pt'!E33</f>
        <v>0</v>
      </c>
      <c r="H9" s="8"/>
      <c r="I9" s="8"/>
      <c r="J9" s="9" t="e">
        <f ca="1">'果糖小包装-含税-pt'!E31</f>
        <v>#DIV/0!</v>
      </c>
      <c r="K9" s="8"/>
      <c r="L9" s="8"/>
      <c r="M9" s="9">
        <f ca="1">'风味糖-含税-pt'!E63</f>
        <v>0</v>
      </c>
      <c r="N9" s="8"/>
      <c r="O9" s="8"/>
      <c r="P9" s="9">
        <f ca="1">'调味糖-含税-pt'!E55</f>
        <v>0</v>
      </c>
    </row>
    <row r="10" spans="1:16">
      <c r="A10" s="7" t="s">
        <v>823</v>
      </c>
      <c r="B10" s="8"/>
      <c r="C10" s="8"/>
      <c r="D10" s="9">
        <f ca="1">'F55-含税-pt'!E32</f>
        <v>0</v>
      </c>
      <c r="E10" s="8"/>
      <c r="F10" s="8"/>
      <c r="G10" s="9">
        <f ca="1">'专用糖-含税-pt'!E34</f>
        <v>0</v>
      </c>
      <c r="H10" s="8"/>
      <c r="I10" s="8"/>
      <c r="J10" s="9" t="e">
        <f ca="1">'果糖小包装-含税-pt'!E32</f>
        <v>#DIV/0!</v>
      </c>
      <c r="K10" s="8"/>
      <c r="L10" s="8"/>
      <c r="M10" s="9">
        <f ca="1">'风味糖-含税-pt'!E64</f>
        <v>0</v>
      </c>
      <c r="N10" s="8"/>
      <c r="O10" s="8"/>
      <c r="P10" s="9">
        <f ca="1">'调味糖-含税-pt'!E56</f>
        <v>0</v>
      </c>
    </row>
    <row r="11" spans="1:16">
      <c r="A11" s="7" t="s">
        <v>824</v>
      </c>
      <c r="B11" s="8"/>
      <c r="C11" s="8"/>
      <c r="D11" s="9" t="e">
        <f ca="1">'F55-含税-pt'!E33</f>
        <v>#DIV/0!</v>
      </c>
      <c r="E11" s="8"/>
      <c r="F11" s="8"/>
      <c r="G11" s="9" t="e">
        <f ca="1">'专用糖-含税-pt'!E35</f>
        <v>#DIV/0!</v>
      </c>
      <c r="H11" s="8"/>
      <c r="I11" s="8"/>
      <c r="J11" s="9" t="e">
        <f ca="1">'果糖小包装-含税-pt'!E33</f>
        <v>#DIV/0!</v>
      </c>
      <c r="K11" s="8"/>
      <c r="L11" s="8"/>
      <c r="M11" s="9">
        <f ca="1">'风味糖-含税-pt'!E65</f>
        <v>0</v>
      </c>
      <c r="N11" s="8"/>
      <c r="O11" s="8"/>
      <c r="P11" s="9">
        <f ca="1">'调味糖-含税-pt'!E57</f>
        <v>0</v>
      </c>
    </row>
    <row r="12" spans="1:16">
      <c r="A12" s="14" t="s">
        <v>105</v>
      </c>
      <c r="B12" s="15"/>
      <c r="C12" s="15"/>
      <c r="D12" s="16" t="e">
        <f ca="1">D4-D5</f>
        <v>#DIV/0!</v>
      </c>
      <c r="E12" s="15"/>
      <c r="F12" s="15"/>
      <c r="G12" s="16" t="e">
        <f ca="1">G4-G5</f>
        <v>#DIV/0!</v>
      </c>
      <c r="H12" s="15"/>
      <c r="I12" s="15"/>
      <c r="J12" s="16" t="e">
        <f ca="1">J4-J5</f>
        <v>#DIV/0!</v>
      </c>
      <c r="K12" s="15"/>
      <c r="L12" s="15"/>
      <c r="M12" s="16" t="e">
        <f ca="1">M4-M5</f>
        <v>#DIV/0!</v>
      </c>
      <c r="N12" s="15"/>
      <c r="O12" s="15"/>
      <c r="P12" s="16" t="e">
        <f ca="1">P4-P5</f>
        <v>#DIV/0!</v>
      </c>
    </row>
    <row r="13" spans="1:16">
      <c r="A13" s="7" t="s">
        <v>106</v>
      </c>
      <c r="B13" s="8"/>
      <c r="C13" s="8"/>
      <c r="D13" s="9">
        <f ca="1">D14+D15</f>
        <v>0</v>
      </c>
      <c r="E13" s="8"/>
      <c r="F13" s="8"/>
      <c r="G13" s="9">
        <f ca="1">G14+G15</f>
        <v>0</v>
      </c>
      <c r="H13" s="8"/>
      <c r="I13" s="8"/>
      <c r="J13" s="9">
        <f>J14+J15</f>
        <v>257</v>
      </c>
      <c r="K13" s="8"/>
      <c r="L13" s="8"/>
      <c r="M13" s="9">
        <f ca="1">M14+M15</f>
        <v>0</v>
      </c>
      <c r="N13" s="8"/>
      <c r="O13" s="8"/>
      <c r="P13" s="9">
        <f ca="1">P14+P15</f>
        <v>0</v>
      </c>
    </row>
    <row r="14" spans="1:16">
      <c r="A14" s="7" t="s">
        <v>825</v>
      </c>
      <c r="B14" s="8"/>
      <c r="C14" s="8"/>
      <c r="D14" s="9">
        <f ca="1">'F55-含税-pt'!E36</f>
        <v>0</v>
      </c>
      <c r="E14" s="8"/>
      <c r="F14" s="8"/>
      <c r="G14" s="9">
        <f ca="1">'专用糖-含税-pt'!E38</f>
        <v>0</v>
      </c>
      <c r="H14" s="8"/>
      <c r="I14" s="8"/>
      <c r="J14" s="9">
        <v>70</v>
      </c>
      <c r="K14" s="8"/>
      <c r="L14" s="8"/>
      <c r="M14" s="9">
        <f ca="1">'风味糖-含税-pt'!E68</f>
        <v>0</v>
      </c>
      <c r="N14" s="8"/>
      <c r="O14" s="8"/>
      <c r="P14" s="9">
        <f ca="1">'调味糖-含税-pt'!E60</f>
        <v>0</v>
      </c>
    </row>
    <row r="15" spans="1:16">
      <c r="A15" s="7" t="s">
        <v>826</v>
      </c>
      <c r="B15" s="8"/>
      <c r="C15" s="8"/>
      <c r="D15" s="9">
        <f ca="1">SUM('F55-含税-pt'!E37:E41)</f>
        <v>0</v>
      </c>
      <c r="E15" s="8"/>
      <c r="F15" s="8"/>
      <c r="G15" s="9">
        <f ca="1">SUM('专用糖-含税-pt'!E39:E43)</f>
        <v>0</v>
      </c>
      <c r="H15" s="8"/>
      <c r="I15" s="8"/>
      <c r="J15" s="9">
        <v>187</v>
      </c>
      <c r="K15" s="8"/>
      <c r="L15" s="8"/>
      <c r="M15" s="9">
        <f ca="1">SUM('风味糖-含税-pt'!E69:E73)</f>
        <v>0</v>
      </c>
      <c r="N15" s="8"/>
      <c r="O15" s="8"/>
      <c r="P15" s="9">
        <f ca="1">SUM('调味糖-含税-pt'!E61:E65)</f>
        <v>0</v>
      </c>
    </row>
    <row r="16" spans="1:16">
      <c r="A16" s="14" t="s">
        <v>827</v>
      </c>
      <c r="B16" s="15"/>
      <c r="C16" s="15"/>
      <c r="D16" s="16" t="e">
        <f ca="1">D12-D13</f>
        <v>#DIV/0!</v>
      </c>
      <c r="E16" s="15"/>
      <c r="F16" s="15"/>
      <c r="G16" s="16" t="e">
        <f ca="1">G12-G13</f>
        <v>#DIV/0!</v>
      </c>
      <c r="H16" s="15"/>
      <c r="I16" s="15"/>
      <c r="J16" s="16" t="e">
        <f ca="1">J12-J13</f>
        <v>#DIV/0!</v>
      </c>
      <c r="K16" s="15"/>
      <c r="L16" s="15"/>
      <c r="M16" s="16" t="e">
        <f ca="1">M12-M13</f>
        <v>#DIV/0!</v>
      </c>
      <c r="N16" s="15"/>
      <c r="O16" s="15"/>
      <c r="P16" s="16" t="e">
        <f ca="1">P12-P13</f>
        <v>#DIV/0!</v>
      </c>
    </row>
    <row r="17" spans="1:16">
      <c r="A17" s="14" t="s">
        <v>828</v>
      </c>
      <c r="B17" s="15"/>
      <c r="C17" s="15"/>
      <c r="D17" s="16" t="e">
        <f ca="1">D16+D14</f>
        <v>#DIV/0!</v>
      </c>
      <c r="E17" s="15"/>
      <c r="F17" s="15"/>
      <c r="G17" s="16" t="e">
        <f ca="1">G16+G14</f>
        <v>#DIV/0!</v>
      </c>
      <c r="H17" s="15"/>
      <c r="I17" s="15"/>
      <c r="J17" s="16" t="e">
        <f ca="1">J16+J14</f>
        <v>#DIV/0!</v>
      </c>
      <c r="K17" s="15"/>
      <c r="L17" s="15"/>
      <c r="M17" s="16" t="e">
        <f ca="1">M16+M14</f>
        <v>#DIV/0!</v>
      </c>
      <c r="N17" s="15"/>
      <c r="O17" s="15"/>
      <c r="P17" s="16" t="e">
        <f ca="1">P16+P14</f>
        <v>#DIV/0!</v>
      </c>
    </row>
    <row r="18" spans="1:16">
      <c r="A18" s="14" t="s">
        <v>829</v>
      </c>
      <c r="B18" s="15"/>
      <c r="C18" s="15"/>
      <c r="D18" s="16" t="e">
        <f ca="1">D5+D13</f>
        <v>#DIV/0!</v>
      </c>
      <c r="E18" s="15"/>
      <c r="F18" s="15"/>
      <c r="G18" s="16" t="e">
        <f ca="1">G5+G13</f>
        <v>#DIV/0!</v>
      </c>
      <c r="H18" s="15"/>
      <c r="I18" s="15"/>
      <c r="J18" s="16" t="e">
        <f ca="1">J5+J13</f>
        <v>#DIV/0!</v>
      </c>
      <c r="K18" s="15"/>
      <c r="L18" s="15"/>
      <c r="M18" s="16" t="e">
        <f ca="1">M5+M13</f>
        <v>#DIV/0!</v>
      </c>
      <c r="N18" s="15"/>
      <c r="O18" s="15"/>
      <c r="P18" s="16" t="e">
        <f ca="1">P5+P13</f>
        <v>#DIV/0!</v>
      </c>
    </row>
    <row r="19" spans="1:16">
      <c r="A19" s="14" t="s">
        <v>830</v>
      </c>
      <c r="B19" s="15"/>
      <c r="C19" s="15"/>
      <c r="D19" s="16" t="e">
        <f ca="1">D5-D6+D13</f>
        <v>#DIV/0!</v>
      </c>
      <c r="E19" s="15"/>
      <c r="F19" s="15"/>
      <c r="G19" s="16" t="e">
        <f ca="1">G5-G6+G13</f>
        <v>#DIV/0!</v>
      </c>
      <c r="H19" s="15"/>
      <c r="I19" s="15"/>
      <c r="J19" s="16" t="e">
        <f ca="1">J5-J6+J13</f>
        <v>#DIV/0!</v>
      </c>
      <c r="K19" s="15"/>
      <c r="L19" s="15"/>
      <c r="M19" s="16" t="e">
        <f ca="1">M5-M6+M13</f>
        <v>#DIV/0!</v>
      </c>
      <c r="N19" s="15"/>
      <c r="O19" s="15"/>
      <c r="P19" s="16" t="e">
        <f ca="1">P5-P6+P13</f>
        <v>#DIV/0!</v>
      </c>
    </row>
    <row r="23" ht="18" customHeight="1" spans="1:16">
      <c r="A23" s="2" t="s">
        <v>20</v>
      </c>
      <c r="B23" s="3" t="s">
        <v>816</v>
      </c>
      <c r="C23" s="4"/>
      <c r="D23" s="5"/>
      <c r="E23" s="3" t="s">
        <v>354</v>
      </c>
      <c r="F23" s="4"/>
      <c r="G23" s="5"/>
      <c r="H23" s="3" t="s">
        <v>817</v>
      </c>
      <c r="I23" s="4"/>
      <c r="J23" s="5"/>
      <c r="K23" s="3" t="s">
        <v>308</v>
      </c>
      <c r="L23" s="4"/>
      <c r="M23" s="5"/>
      <c r="N23" s="3" t="s">
        <v>359</v>
      </c>
      <c r="O23" s="4"/>
      <c r="P23" s="5"/>
    </row>
    <row r="24" ht="18" customHeight="1" spans="1:16">
      <c r="A24" s="2"/>
      <c r="B24" s="2" t="s">
        <v>78</v>
      </c>
      <c r="C24" s="2" t="s">
        <v>79</v>
      </c>
      <c r="D24" s="6" t="s">
        <v>80</v>
      </c>
      <c r="E24" s="2" t="s">
        <v>78</v>
      </c>
      <c r="F24" s="2" t="s">
        <v>79</v>
      </c>
      <c r="G24" s="6" t="s">
        <v>80</v>
      </c>
      <c r="H24" s="2" t="s">
        <v>78</v>
      </c>
      <c r="I24" s="2" t="s">
        <v>79</v>
      </c>
      <c r="J24" s="6" t="s">
        <v>80</v>
      </c>
      <c r="K24" s="2" t="s">
        <v>78</v>
      </c>
      <c r="L24" s="2" t="s">
        <v>79</v>
      </c>
      <c r="M24" s="6" t="s">
        <v>80</v>
      </c>
      <c r="N24" s="2" t="s">
        <v>78</v>
      </c>
      <c r="O24" s="2" t="s">
        <v>79</v>
      </c>
      <c r="P24" s="6" t="s">
        <v>80</v>
      </c>
    </row>
    <row r="25" ht="18" customHeight="1" spans="1:16">
      <c r="A25" s="7" t="s">
        <v>831</v>
      </c>
      <c r="B25" s="8"/>
      <c r="C25" s="8"/>
      <c r="D25" s="9">
        <f ca="1">'F55-含税-pt'!N3</f>
        <v>49280.176</v>
      </c>
      <c r="E25" s="8"/>
      <c r="F25" s="8"/>
      <c r="G25" s="9">
        <f ca="1">'专用糖-含税-pt'!N3</f>
        <v>38999.431</v>
      </c>
      <c r="H25" s="8"/>
      <c r="I25" s="8"/>
      <c r="J25" s="9">
        <f ca="1">'果糖小包装-含税-pt'!N3</f>
        <v>8857.893</v>
      </c>
      <c r="K25" s="8"/>
      <c r="L25" s="8"/>
      <c r="M25" s="9">
        <f ca="1">'风味糖-含税-pt'!N3</f>
        <v>415.896777777777</v>
      </c>
      <c r="N25" s="8"/>
      <c r="O25" s="8"/>
      <c r="P25" s="9">
        <f ca="1">'调味糖-含税-pt'!N3</f>
        <v>773.711055555555</v>
      </c>
    </row>
    <row r="26" ht="18" customHeight="1" spans="1:16">
      <c r="A26" s="7" t="s">
        <v>83</v>
      </c>
      <c r="B26" s="8"/>
      <c r="C26" s="8"/>
      <c r="D26" s="9">
        <f ca="1">'F55-含税-pt'!M5</f>
        <v>3000.74713961007</v>
      </c>
      <c r="E26" s="8"/>
      <c r="F26" s="8"/>
      <c r="G26" s="9">
        <f ca="1">'专用糖-含税-pt'!M5</f>
        <v>3182.0162796326</v>
      </c>
      <c r="H26" s="8"/>
      <c r="I26" s="8"/>
      <c r="J26" s="9">
        <f ca="1">'果糖小包装-含税-pt'!M5</f>
        <v>3457.38541151079</v>
      </c>
      <c r="K26" s="8"/>
      <c r="L26" s="8"/>
      <c r="M26" s="9">
        <f ca="1">'风味糖-含税-pt'!M5</f>
        <v>16042.264335151</v>
      </c>
      <c r="N26" s="8"/>
      <c r="O26" s="8"/>
      <c r="P26" s="9">
        <f ca="1">'调味糖-含税-pt'!M5</f>
        <v>6486.95204416074</v>
      </c>
    </row>
    <row r="27" ht="18" customHeight="1" spans="1:16">
      <c r="A27" s="7" t="s">
        <v>88</v>
      </c>
      <c r="B27" s="8"/>
      <c r="C27" s="8"/>
      <c r="D27" s="9" t="e">
        <f ca="1">'F55-含税-pt'!M10</f>
        <v>#DIV/0!</v>
      </c>
      <c r="E27" s="8"/>
      <c r="F27" s="8"/>
      <c r="G27" s="9" t="e">
        <f ca="1">'专用糖-含税-pt'!M10</f>
        <v>#DIV/0!</v>
      </c>
      <c r="H27" s="8"/>
      <c r="I27" s="8"/>
      <c r="J27" s="9" t="e">
        <f ca="1">'果糖小包装-含税-pt'!M10</f>
        <v>#DIV/0!</v>
      </c>
      <c r="K27" s="8"/>
      <c r="L27" s="8"/>
      <c r="M27" s="9" t="e">
        <f ca="1">'风味糖-含税-pt'!M10</f>
        <v>#DIV/0!</v>
      </c>
      <c r="N27" s="8"/>
      <c r="O27" s="8"/>
      <c r="P27" s="9" t="e">
        <f ca="1">'调味糖-含税-pt'!M10</f>
        <v>#DIV/0!</v>
      </c>
    </row>
    <row r="28" ht="18" customHeight="1" spans="1:16">
      <c r="A28" s="7" t="s">
        <v>819</v>
      </c>
      <c r="B28" s="10">
        <f ca="1">'F55-含税-pt'!K12</f>
        <v>2824.36837726118</v>
      </c>
      <c r="C28" s="11">
        <f ca="1">'F55-含税-pt'!L12</f>
        <v>0.848770030048684</v>
      </c>
      <c r="D28" s="9">
        <f ca="1">'F55-含税-pt'!M12</f>
        <v>2397.23923243652</v>
      </c>
      <c r="E28" s="10">
        <f ca="1">'专用糖-含税-pt'!K12</f>
        <v>2823.08272508011</v>
      </c>
      <c r="F28" s="11">
        <f ca="1">'专用糖-含税-pt'!L12</f>
        <v>0.849257156349613</v>
      </c>
      <c r="G28" s="9">
        <f ca="1">'专用糖-含税-pt'!M12</f>
        <v>2397.52320724125</v>
      </c>
      <c r="H28" s="10">
        <f ca="1">'果糖小包装-含税-pt'!K12</f>
        <v>2824.27018054899</v>
      </c>
      <c r="I28" s="11">
        <f ca="1">'果糖小包装-含税-pt'!L12</f>
        <v>0.827083808658001</v>
      </c>
      <c r="J28" s="9">
        <f ca="1">'果糖小包装-含税-pt'!M12</f>
        <v>2296.37898031146</v>
      </c>
      <c r="K28" s="12">
        <f ca="1">'风味糖-含税-pt'!K11</f>
        <v>5325.89375644722</v>
      </c>
      <c r="L28" s="13">
        <f ca="1">'风味糖-含税-pt'!L11</f>
        <v>0.0214476294999481</v>
      </c>
      <c r="M28" s="9">
        <f ca="1">'风味糖-含税-pt'!M11</f>
        <v>114.227796044367</v>
      </c>
      <c r="N28" s="10">
        <f ca="1">'调味糖-含税-pt'!K11</f>
        <v>2872.34010868174</v>
      </c>
      <c r="O28" s="11">
        <f ca="1">'调味糖-含税-pt'!L11</f>
        <v>0.524645469500924</v>
      </c>
      <c r="P28" s="9">
        <f ca="1">'调味糖-含税-pt'!M11</f>
        <v>1506.96022488567</v>
      </c>
    </row>
    <row r="29" ht="18" customHeight="1" spans="1:16">
      <c r="A29" s="7" t="s">
        <v>820</v>
      </c>
      <c r="B29" s="8"/>
      <c r="C29" s="8"/>
      <c r="D29" s="9" t="e">
        <f ca="1">'F55-含税-pt'!M13</f>
        <v>#DIV/0!</v>
      </c>
      <c r="E29" s="8"/>
      <c r="F29" s="8"/>
      <c r="G29" s="9">
        <f ca="1">'专用糖-含税-pt'!M13</f>
        <v>50.9589346034305</v>
      </c>
      <c r="H29" s="8"/>
      <c r="I29" s="8"/>
      <c r="J29" s="9" t="e">
        <f ca="1">'果糖小包装-含税-pt'!M13</f>
        <v>#DIV/0!</v>
      </c>
      <c r="K29" s="8"/>
      <c r="L29" s="8"/>
      <c r="M29" s="9">
        <f ca="1">'风味糖-含税-pt'!M20</f>
        <v>5385.17154248477</v>
      </c>
      <c r="N29" s="8"/>
      <c r="O29" s="8"/>
      <c r="P29" s="9">
        <f ca="1">'调味糖-含税-pt'!M20</f>
        <v>2233.12777889593</v>
      </c>
    </row>
    <row r="30" ht="18" customHeight="1" spans="1:16">
      <c r="A30" s="7" t="s">
        <v>821</v>
      </c>
      <c r="B30" s="8"/>
      <c r="C30" s="8"/>
      <c r="D30" s="9" t="e">
        <f ca="1">'F55-含税-pt'!M25</f>
        <v>#DIV/0!</v>
      </c>
      <c r="E30" s="8"/>
      <c r="F30" s="8"/>
      <c r="G30" s="9" t="e">
        <f ca="1">'专用糖-含税-pt'!M27</f>
        <v>#DIV/0!</v>
      </c>
      <c r="H30" s="8"/>
      <c r="I30" s="8"/>
      <c r="J30" s="9" t="e">
        <f ca="1">'果糖小包装-含税-pt'!M25</f>
        <v>#DIV/0!</v>
      </c>
      <c r="K30" s="8"/>
      <c r="L30" s="8"/>
      <c r="M30" s="9" t="e">
        <f ca="1">'风味糖-含税-pt'!M57</f>
        <v>#DIV/0!</v>
      </c>
      <c r="N30" s="8"/>
      <c r="O30" s="8"/>
      <c r="P30" s="9" t="e">
        <f ca="1">'调味糖-含税-pt'!M49</f>
        <v>#DIV/0!</v>
      </c>
    </row>
    <row r="31" ht="18" customHeight="1" spans="1:16">
      <c r="A31" s="7" t="s">
        <v>822</v>
      </c>
      <c r="B31" s="8"/>
      <c r="C31" s="8"/>
      <c r="D31" s="9" t="e">
        <f ca="1">'F55-含税-pt'!M31</f>
        <v>#DIV/0!</v>
      </c>
      <c r="E31" s="8"/>
      <c r="F31" s="8"/>
      <c r="G31" s="9" t="e">
        <f ca="1">'专用糖-含税-pt'!M33</f>
        <v>#DIV/0!</v>
      </c>
      <c r="H31" s="8"/>
      <c r="I31" s="8"/>
      <c r="J31" s="9" t="e">
        <f ca="1">'果糖小包装-含税-pt'!M31</f>
        <v>#DIV/0!</v>
      </c>
      <c r="K31" s="8"/>
      <c r="L31" s="8"/>
      <c r="M31" s="9" t="e">
        <f ca="1">'风味糖-含税-pt'!M63</f>
        <v>#DIV/0!</v>
      </c>
      <c r="N31" s="8"/>
      <c r="O31" s="8"/>
      <c r="P31" s="9" t="e">
        <f ca="1">'调味糖-含税-pt'!M55</f>
        <v>#DIV/0!</v>
      </c>
    </row>
    <row r="32" ht="18" customHeight="1" spans="1:16">
      <c r="A32" s="7" t="s">
        <v>823</v>
      </c>
      <c r="B32" s="8"/>
      <c r="C32" s="8"/>
      <c r="D32" s="9" t="e">
        <f ca="1">'F55-含税-pt'!M32</f>
        <v>#DIV/0!</v>
      </c>
      <c r="E32" s="8"/>
      <c r="F32" s="8"/>
      <c r="G32" s="9" t="e">
        <f ca="1">'专用糖-含税-pt'!M34</f>
        <v>#DIV/0!</v>
      </c>
      <c r="H32" s="8"/>
      <c r="I32" s="8"/>
      <c r="J32" s="9" t="e">
        <f ca="1">'果糖小包装-含税-pt'!M32</f>
        <v>#DIV/0!</v>
      </c>
      <c r="K32" s="8"/>
      <c r="L32" s="8"/>
      <c r="M32" s="9" t="e">
        <f ca="1">'风味糖-含税-pt'!M64</f>
        <v>#DIV/0!</v>
      </c>
      <c r="N32" s="8"/>
      <c r="O32" s="8"/>
      <c r="P32" s="9" t="e">
        <f ca="1">'调味糖-含税-pt'!M56</f>
        <v>#DIV/0!</v>
      </c>
    </row>
    <row r="33" ht="18" customHeight="1" spans="1:16">
      <c r="A33" s="7" t="s">
        <v>824</v>
      </c>
      <c r="B33" s="8"/>
      <c r="C33" s="8"/>
      <c r="D33" s="9" t="e">
        <f ca="1">'F55-含税-pt'!M33</f>
        <v>#DIV/0!</v>
      </c>
      <c r="E33" s="8"/>
      <c r="F33" s="8"/>
      <c r="G33" s="9" t="e">
        <f ca="1">'专用糖-含税-pt'!M35</f>
        <v>#DIV/0!</v>
      </c>
      <c r="H33" s="8"/>
      <c r="I33" s="8"/>
      <c r="J33" s="9" t="e">
        <f ca="1">'果糖小包装-含税-pt'!M33</f>
        <v>#DIV/0!</v>
      </c>
      <c r="K33" s="8"/>
      <c r="L33" s="8"/>
      <c r="M33" s="9" t="e">
        <f ca="1">'风味糖-含税-pt'!M65</f>
        <v>#DIV/0!</v>
      </c>
      <c r="N33" s="8"/>
      <c r="O33" s="8"/>
      <c r="P33" s="9" t="e">
        <f ca="1">'调味糖-含税-pt'!M57</f>
        <v>#DIV/0!</v>
      </c>
    </row>
    <row r="34" ht="18" customHeight="1" spans="1:16">
      <c r="A34" s="14" t="s">
        <v>105</v>
      </c>
      <c r="B34" s="15"/>
      <c r="C34" s="15"/>
      <c r="D34" s="16" t="e">
        <f ca="1">D26-D27</f>
        <v>#DIV/0!</v>
      </c>
      <c r="E34" s="15"/>
      <c r="F34" s="15"/>
      <c r="G34" s="16" t="e">
        <f ca="1">G26-G27</f>
        <v>#DIV/0!</v>
      </c>
      <c r="H34" s="15"/>
      <c r="I34" s="15"/>
      <c r="J34" s="16" t="e">
        <f ca="1">J26-J27</f>
        <v>#DIV/0!</v>
      </c>
      <c r="K34" s="15"/>
      <c r="L34" s="15"/>
      <c r="M34" s="16" t="e">
        <f ca="1">M26-M27</f>
        <v>#DIV/0!</v>
      </c>
      <c r="N34" s="15"/>
      <c r="O34" s="15"/>
      <c r="P34" s="16" t="e">
        <f ca="1">P26-P27</f>
        <v>#DIV/0!</v>
      </c>
    </row>
    <row r="35" ht="18" customHeight="1" spans="1:16">
      <c r="A35" s="7" t="s">
        <v>106</v>
      </c>
      <c r="B35" s="8"/>
      <c r="C35" s="8"/>
      <c r="D35" s="9" t="e">
        <f ca="1">D36+D37</f>
        <v>#DIV/0!</v>
      </c>
      <c r="E35" s="8"/>
      <c r="F35" s="8"/>
      <c r="G35" s="9" t="e">
        <f ca="1">G36+G37</f>
        <v>#DIV/0!</v>
      </c>
      <c r="H35" s="8"/>
      <c r="I35" s="8"/>
      <c r="J35" s="9" t="e">
        <f ca="1">J36+J37</f>
        <v>#DIV/0!</v>
      </c>
      <c r="K35" s="8"/>
      <c r="L35" s="8"/>
      <c r="M35" s="9" t="e">
        <f ca="1">M36+M37</f>
        <v>#DIV/0!</v>
      </c>
      <c r="N35" s="8"/>
      <c r="O35" s="8"/>
      <c r="P35" s="9" t="e">
        <f ca="1">P36+P37</f>
        <v>#DIV/0!</v>
      </c>
    </row>
    <row r="36" ht="18" customHeight="1" spans="1:16">
      <c r="A36" s="7" t="s">
        <v>825</v>
      </c>
      <c r="B36" s="8"/>
      <c r="C36" s="8"/>
      <c r="D36" s="9" t="e">
        <f ca="1">'F55-含税-pt'!M36</f>
        <v>#DIV/0!</v>
      </c>
      <c r="E36" s="8"/>
      <c r="F36" s="8"/>
      <c r="G36" s="9" t="e">
        <f ca="1">'专用糖-含税-pt'!M38</f>
        <v>#DIV/0!</v>
      </c>
      <c r="H36" s="8"/>
      <c r="I36" s="8"/>
      <c r="J36" s="9" t="e">
        <f ca="1">'果糖小包装-含税-pt'!M36</f>
        <v>#DIV/0!</v>
      </c>
      <c r="K36" s="8"/>
      <c r="L36" s="8"/>
      <c r="M36" s="9" t="e">
        <f ca="1">'风味糖-含税-pt'!M68</f>
        <v>#DIV/0!</v>
      </c>
      <c r="N36" s="8"/>
      <c r="O36" s="8"/>
      <c r="P36" s="9" t="e">
        <f ca="1">'调味糖-含税-pt'!M60</f>
        <v>#DIV/0!</v>
      </c>
    </row>
    <row r="37" ht="18" customHeight="1" spans="1:16">
      <c r="A37" s="7" t="s">
        <v>826</v>
      </c>
      <c r="B37" s="8"/>
      <c r="C37" s="8"/>
      <c r="D37" s="9" t="e">
        <f ca="1">SUM('F55-含税-pt'!M37:M41)</f>
        <v>#DIV/0!</v>
      </c>
      <c r="E37" s="8"/>
      <c r="F37" s="8"/>
      <c r="G37" s="9" t="e">
        <f ca="1">SUM('专用糖-含税-pt'!M39:M43)</f>
        <v>#DIV/0!</v>
      </c>
      <c r="H37" s="8"/>
      <c r="I37" s="8"/>
      <c r="J37" s="9" t="e">
        <f ca="1">SUM('果糖小包装-含税-pt'!M37:M41)</f>
        <v>#DIV/0!</v>
      </c>
      <c r="K37" s="8"/>
      <c r="L37" s="8"/>
      <c r="M37" s="9" t="e">
        <f ca="1">SUM('风味糖-含税-pt'!M69:M73)</f>
        <v>#DIV/0!</v>
      </c>
      <c r="N37" s="8"/>
      <c r="O37" s="8"/>
      <c r="P37" s="9" t="e">
        <f ca="1">SUM('调味糖-含税-pt'!M61:M65)</f>
        <v>#DIV/0!</v>
      </c>
    </row>
    <row r="38" ht="18" customHeight="1" spans="1:16">
      <c r="A38" s="14" t="s">
        <v>827</v>
      </c>
      <c r="B38" s="15"/>
      <c r="C38" s="15"/>
      <c r="D38" s="16" t="e">
        <f ca="1">D34-D35</f>
        <v>#DIV/0!</v>
      </c>
      <c r="E38" s="15"/>
      <c r="F38" s="15"/>
      <c r="G38" s="16" t="e">
        <f ca="1">G34-G35</f>
        <v>#DIV/0!</v>
      </c>
      <c r="H38" s="15"/>
      <c r="I38" s="15"/>
      <c r="J38" s="16" t="e">
        <f ca="1">J34-J35</f>
        <v>#DIV/0!</v>
      </c>
      <c r="K38" s="15"/>
      <c r="L38" s="15"/>
      <c r="M38" s="16" t="e">
        <f ca="1">M34-M35</f>
        <v>#DIV/0!</v>
      </c>
      <c r="N38" s="15"/>
      <c r="O38" s="15"/>
      <c r="P38" s="16" t="e">
        <f ca="1">P34-P35</f>
        <v>#DIV/0!</v>
      </c>
    </row>
    <row r="39" ht="18" customHeight="1" spans="1:16">
      <c r="A39" s="14" t="s">
        <v>828</v>
      </c>
      <c r="B39" s="15"/>
      <c r="C39" s="15"/>
      <c r="D39" s="16" t="e">
        <f ca="1">D38+D36</f>
        <v>#DIV/0!</v>
      </c>
      <c r="E39" s="15"/>
      <c r="F39" s="15"/>
      <c r="G39" s="16" t="e">
        <f ca="1">G38+G36</f>
        <v>#DIV/0!</v>
      </c>
      <c r="H39" s="15"/>
      <c r="I39" s="15"/>
      <c r="J39" s="16" t="e">
        <f ca="1">J38+J36</f>
        <v>#DIV/0!</v>
      </c>
      <c r="K39" s="15"/>
      <c r="L39" s="15"/>
      <c r="M39" s="16" t="e">
        <f ca="1">M38+M36</f>
        <v>#DIV/0!</v>
      </c>
      <c r="N39" s="15"/>
      <c r="O39" s="15"/>
      <c r="P39" s="16" t="e">
        <f ca="1">P38+P36</f>
        <v>#DIV/0!</v>
      </c>
    </row>
    <row r="40" ht="18" customHeight="1" spans="1:16">
      <c r="A40" s="14" t="s">
        <v>829</v>
      </c>
      <c r="B40" s="15"/>
      <c r="C40" s="15"/>
      <c r="D40" s="16" t="e">
        <f ca="1">D27+D35</f>
        <v>#DIV/0!</v>
      </c>
      <c r="E40" s="15"/>
      <c r="F40" s="15"/>
      <c r="G40" s="16" t="e">
        <f ca="1">G27+G35</f>
        <v>#DIV/0!</v>
      </c>
      <c r="H40" s="15"/>
      <c r="I40" s="15"/>
      <c r="J40" s="16" t="e">
        <f ca="1">J27+J35</f>
        <v>#DIV/0!</v>
      </c>
      <c r="K40" s="15"/>
      <c r="L40" s="15"/>
      <c r="M40" s="16" t="e">
        <f ca="1">M27+M35</f>
        <v>#DIV/0!</v>
      </c>
      <c r="N40" s="15"/>
      <c r="O40" s="15"/>
      <c r="P40" s="16" t="e">
        <f ca="1">P27+P35</f>
        <v>#DIV/0!</v>
      </c>
    </row>
    <row r="41" ht="18" customHeight="1" spans="1:16">
      <c r="A41" s="14" t="s">
        <v>830</v>
      </c>
      <c r="B41" s="15"/>
      <c r="C41" s="15"/>
      <c r="D41" s="16" t="e">
        <f ca="1">D27-D28+D35</f>
        <v>#DIV/0!</v>
      </c>
      <c r="E41" s="15"/>
      <c r="F41" s="15"/>
      <c r="G41" s="16" t="e">
        <f ca="1">G27-G28+G35</f>
        <v>#DIV/0!</v>
      </c>
      <c r="H41" s="15"/>
      <c r="I41" s="15"/>
      <c r="J41" s="16" t="e">
        <f ca="1">J27-J28+J35</f>
        <v>#DIV/0!</v>
      </c>
      <c r="K41" s="15"/>
      <c r="L41" s="15"/>
      <c r="M41" s="16" t="e">
        <f ca="1">M27-M28+M35</f>
        <v>#DIV/0!</v>
      </c>
      <c r="N41" s="15"/>
      <c r="O41" s="15"/>
      <c r="P41" s="16" t="e">
        <f ca="1">P27-P28+P35</f>
        <v>#DIV/0!</v>
      </c>
    </row>
  </sheetData>
  <mergeCells count="10">
    <mergeCell ref="B1:D1"/>
    <mergeCell ref="E1:G1"/>
    <mergeCell ref="H1:J1"/>
    <mergeCell ref="K1:M1"/>
    <mergeCell ref="N1:P1"/>
    <mergeCell ref="B23:D23"/>
    <mergeCell ref="E23:G23"/>
    <mergeCell ref="H23:J23"/>
    <mergeCell ref="K23:M23"/>
    <mergeCell ref="N23:P23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目录</vt:lpstr>
      <vt:lpstr>说明</vt:lpstr>
      <vt:lpstr>装置汇总</vt:lpstr>
      <vt:lpstr>装置汇总-含税</vt:lpstr>
      <vt:lpstr>F60</vt:lpstr>
      <vt:lpstr>F55</vt:lpstr>
      <vt:lpstr>果糖汇总</vt:lpstr>
      <vt:lpstr>专用糖</vt:lpstr>
      <vt:lpstr>F90</vt:lpstr>
      <vt:lpstr>果糖汇总-含税</vt:lpstr>
      <vt:lpstr>专用糖-含税</vt:lpstr>
      <vt:lpstr>风味糖-含税</vt:lpstr>
      <vt:lpstr>调味糖-含税</vt:lpstr>
      <vt:lpstr>F42-含税</vt:lpstr>
      <vt:lpstr>F55-含税</vt:lpstr>
      <vt:lpstr>F60-含税</vt:lpstr>
      <vt:lpstr>F90-含税 </vt:lpstr>
      <vt:lpstr>F55小包装-含税 </vt:lpstr>
      <vt:lpstr>果糖汇总-含税-pt</vt:lpstr>
      <vt:lpstr>专用糖-含税-pt</vt:lpstr>
      <vt:lpstr>风味糖-含税-pt</vt:lpstr>
      <vt:lpstr>调味糖</vt:lpstr>
      <vt:lpstr>调味糖-含税-pt</vt:lpstr>
      <vt:lpstr>F42-含税-pt</vt:lpstr>
      <vt:lpstr>F55-含税-pt</vt:lpstr>
      <vt:lpstr>F60-含税-pt</vt:lpstr>
      <vt:lpstr>F90-含税-pt</vt:lpstr>
      <vt:lpstr>果糖小包装-含税-pt</vt:lpstr>
      <vt:lpstr>F55小包装</vt:lpstr>
      <vt:lpstr>F42</vt:lpstr>
      <vt:lpstr>风味糖</vt:lpstr>
      <vt:lpstr>分配表</vt:lpstr>
      <vt:lpstr>基础表</vt:lpstr>
      <vt:lpstr>销售收入及运费</vt:lpstr>
      <vt:lpstr>调+风灌装损耗</vt:lpstr>
      <vt:lpstr>PPT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快乐</dc:creator>
  <cp:lastModifiedBy>huangxijun</cp:lastModifiedBy>
  <dcterms:created xsi:type="dcterms:W3CDTF">2008-05-09T10:04:00Z</dcterms:created>
  <cp:lastPrinted>2024-06-06T09:05:00Z</cp:lastPrinted>
  <dcterms:modified xsi:type="dcterms:W3CDTF">2026-08-22T10:40:23Z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A8DC41C2572A459A97D97EDB549D316D_13</vt:lpwstr>
  </property>
  <property fmtid="{D5CDD505-2E9C-101B-9397-08002B2CF9AE}" pid="5" name="KSOProductBuildVer">
    <vt:lpwstr>2052-12.1.2.24730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