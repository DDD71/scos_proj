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30万吨F55果糖 " sheetId="16" r:id="rId1"/>
  </sheets>
  <definedNames>
    <definedName name="_xlnm._FilterDatabase" localSheetId="0" hidden="1">'30万吨F55果糖 '!$A$3:$L$196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1C509377B30545A1AD44F7680327333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635"/>
          <a:ext cx="366395" cy="36639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<sst xmlns="http://schemas.openxmlformats.org/spreadsheetml/2006/main" count="1079" uniqueCount="542">
  <si>
    <t>欧尚元智能装备有限公司</t>
  </si>
  <si>
    <t>项目名称</t>
  </si>
  <si>
    <t>年产30万吨F55果糖项目</t>
  </si>
  <si>
    <t>设         备        表</t>
  </si>
  <si>
    <t>序号</t>
  </si>
  <si>
    <t>设备位号</t>
  </si>
  <si>
    <t>设备类别</t>
  </si>
  <si>
    <t>设备名称</t>
  </si>
  <si>
    <t>规格型号</t>
  </si>
  <si>
    <t>规格</t>
  </si>
  <si>
    <t>数量</t>
  </si>
  <si>
    <t>材质</t>
  </si>
  <si>
    <t>功率
总功率</t>
  </si>
  <si>
    <t>备注</t>
  </si>
  <si>
    <t>单机</t>
  </si>
  <si>
    <t>总功率</t>
  </si>
  <si>
    <t>（二）</t>
  </si>
  <si>
    <t>液化糖化</t>
  </si>
  <si>
    <t>VO2O1</t>
  </si>
  <si>
    <t>罐</t>
  </si>
  <si>
    <t>果糖甜水罐</t>
  </si>
  <si>
    <r>
      <rPr>
        <sz val="10"/>
        <rFont val="仿宋"/>
        <charset val="134"/>
      </rPr>
      <t>φ3000*4000 V=28m</t>
    </r>
    <r>
      <rPr>
        <sz val="10"/>
        <rFont val="Times New Roman"/>
        <charset val="134"/>
      </rPr>
      <t>³</t>
    </r>
  </si>
  <si>
    <t>锥顶锥底</t>
  </si>
  <si>
    <t>台</t>
  </si>
  <si>
    <t>P0202</t>
  </si>
  <si>
    <t>泵</t>
  </si>
  <si>
    <t>果糖甜水泵</t>
  </si>
  <si>
    <r>
      <rPr>
        <sz val="10"/>
        <rFont val="仿宋"/>
        <charset val="134"/>
      </rPr>
      <t>Q=20m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/h，H=30m</t>
    </r>
  </si>
  <si>
    <t>V0203</t>
  </si>
  <si>
    <t>果糖淀粉乳接收罐</t>
  </si>
  <si>
    <r>
      <rPr>
        <sz val="10"/>
        <rFont val="仿宋"/>
        <charset val="134"/>
      </rPr>
      <t>φ2000*4000 V=12.6m</t>
    </r>
    <r>
      <rPr>
        <sz val="10"/>
        <rFont val="Times New Roman"/>
        <charset val="134"/>
      </rPr>
      <t>³</t>
    </r>
  </si>
  <si>
    <t>AV0203</t>
  </si>
  <si>
    <t>搅拌</t>
  </si>
  <si>
    <t>果糖淀粉乳接收罐搅拌</t>
  </si>
  <si>
    <t xml:space="preserve">φ2000*4000 </t>
  </si>
  <si>
    <t>中心搅拌</t>
  </si>
  <si>
    <t>P0204</t>
  </si>
  <si>
    <t>果糖调浆泵</t>
  </si>
  <si>
    <r>
      <rPr>
        <sz val="10"/>
        <rFont val="仿宋"/>
        <charset val="134"/>
      </rPr>
      <t>Q=70m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/h，H=30m</t>
    </r>
  </si>
  <si>
    <t>V0205</t>
  </si>
  <si>
    <t>加碱罐</t>
  </si>
  <si>
    <r>
      <rPr>
        <sz val="10"/>
        <rFont val="仿宋"/>
        <charset val="134"/>
      </rPr>
      <t>φ1000*2000 V=1.5m</t>
    </r>
    <r>
      <rPr>
        <sz val="10"/>
        <rFont val="Times New Roman"/>
        <charset val="134"/>
      </rPr>
      <t>³</t>
    </r>
  </si>
  <si>
    <t>P0206</t>
  </si>
  <si>
    <t>计量泵</t>
  </si>
  <si>
    <t>果糖加碱泵</t>
  </si>
  <si>
    <t>Q=30L/h,H=4bar VFD</t>
  </si>
  <si>
    <t>316L</t>
  </si>
  <si>
    <t>F0207A/B</t>
  </si>
  <si>
    <t>过滤</t>
  </si>
  <si>
    <t>果糖调浆拦式过滤器</t>
  </si>
  <si>
    <r>
      <rPr>
        <sz val="10"/>
        <rFont val="仿宋"/>
        <charset val="134"/>
      </rPr>
      <t>Q=80m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 xml:space="preserve">，60目 </t>
    </r>
  </si>
  <si>
    <t>MX0208</t>
  </si>
  <si>
    <t>混合</t>
  </si>
  <si>
    <t>果糖调浆混合器</t>
  </si>
  <si>
    <r>
      <rPr>
        <sz val="10"/>
        <rFont val="仿宋"/>
        <charset val="134"/>
      </rPr>
      <t>75m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</t>
    </r>
  </si>
  <si>
    <t>V0209</t>
  </si>
  <si>
    <t>果糖一次加酶桶</t>
  </si>
  <si>
    <t>φ400*800 V=100L</t>
  </si>
  <si>
    <t>平顶平底</t>
  </si>
  <si>
    <t>PMMA</t>
  </si>
  <si>
    <t>P0210</t>
  </si>
  <si>
    <t>果糖一次加酶泵</t>
  </si>
  <si>
    <t xml:space="preserve">Q=5L/h,H=5bar </t>
  </si>
  <si>
    <t>ZH</t>
  </si>
  <si>
    <t>WI0211</t>
  </si>
  <si>
    <t>计量称</t>
  </si>
  <si>
    <t>果糖一次加酶秤</t>
  </si>
  <si>
    <t>L=150KG</t>
  </si>
  <si>
    <t>MX0212</t>
  </si>
  <si>
    <t>果糖加酶混合器</t>
  </si>
  <si>
    <t>V0213</t>
  </si>
  <si>
    <t>果糖一次喷射前罐</t>
  </si>
  <si>
    <r>
      <rPr>
        <sz val="10"/>
        <rFont val="仿宋"/>
        <charset val="134"/>
      </rPr>
      <t>φ2000*4000 V=13m</t>
    </r>
    <r>
      <rPr>
        <sz val="10"/>
        <rFont val="Times New Roman"/>
        <charset val="134"/>
      </rPr>
      <t>³</t>
    </r>
  </si>
  <si>
    <t>AV0213</t>
  </si>
  <si>
    <t>果糖一次喷射前罐搅拌</t>
  </si>
  <si>
    <t>P0214</t>
  </si>
  <si>
    <t>果糖一喷泵</t>
  </si>
  <si>
    <r>
      <rPr>
        <sz val="10"/>
        <rFont val="仿宋"/>
        <charset val="134"/>
      </rPr>
      <t>Q=75m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/h，H=65m VFD</t>
    </r>
  </si>
  <si>
    <t>VJ0215</t>
  </si>
  <si>
    <t>喷射器</t>
  </si>
  <si>
    <t>果糖一次喷射器</t>
  </si>
  <si>
    <r>
      <rPr>
        <sz val="10"/>
        <rFont val="仿宋"/>
        <charset val="134"/>
      </rPr>
      <t>Q=45~75m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</t>
    </r>
  </si>
  <si>
    <t>V0216</t>
  </si>
  <si>
    <t>果糖一次闪蒸罐</t>
  </si>
  <si>
    <r>
      <rPr>
        <sz val="10"/>
        <rFont val="仿宋"/>
        <charset val="134"/>
      </rPr>
      <t>φ1800*6000 V=15m</t>
    </r>
    <r>
      <rPr>
        <sz val="10"/>
        <rFont val="Times New Roman"/>
        <charset val="134"/>
      </rPr>
      <t>³</t>
    </r>
  </si>
  <si>
    <t>上下封头</t>
  </si>
  <si>
    <t>蒸发器厂家提供</t>
  </si>
  <si>
    <t>V0217</t>
  </si>
  <si>
    <t>果糖二次加酶桶</t>
  </si>
  <si>
    <t>P0218</t>
  </si>
  <si>
    <t>果糖二次加酶泵</t>
  </si>
  <si>
    <t xml:space="preserve">Q=10L/h,H=5bar </t>
  </si>
  <si>
    <t>WI0219</t>
  </si>
  <si>
    <t>果糖二次加酶秤</t>
  </si>
  <si>
    <t>P0220</t>
  </si>
  <si>
    <t>果糖一闪泵</t>
  </si>
  <si>
    <r>
      <rPr>
        <sz val="10"/>
        <rFont val="仿宋"/>
        <charset val="134"/>
      </rPr>
      <t>Q=75m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/h，H=50m VFD</t>
    </r>
  </si>
  <si>
    <t>转子泵</t>
  </si>
  <si>
    <t>MX0221</t>
  </si>
  <si>
    <t>果糖二次加酶混合器</t>
  </si>
  <si>
    <t>V0222A/O</t>
  </si>
  <si>
    <t>果糖层流柱</t>
  </si>
  <si>
    <r>
      <rPr>
        <sz val="10"/>
        <rFont val="仿宋"/>
        <charset val="134"/>
      </rPr>
      <t>φ800~1500*8000  V=129m</t>
    </r>
    <r>
      <rPr>
        <sz val="10"/>
        <rFont val="Times New Roman"/>
        <charset val="134"/>
      </rPr>
      <t>³</t>
    </r>
  </si>
  <si>
    <t>上锥下倒锥</t>
  </si>
  <si>
    <t>P0235</t>
  </si>
  <si>
    <t>果糖层流罐出料泵</t>
  </si>
  <si>
    <r>
      <rPr>
        <sz val="10"/>
        <rFont val="仿宋"/>
        <charset val="134"/>
      </rPr>
      <t>Q=75m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 xml:space="preserve">/h，H=40m </t>
    </r>
  </si>
  <si>
    <t>V0223</t>
  </si>
  <si>
    <t>果糖二闪罐</t>
  </si>
  <si>
    <t>P0224</t>
  </si>
  <si>
    <t>果糖糖化进料泵</t>
  </si>
  <si>
    <t>E0225</t>
  </si>
  <si>
    <t>换热器</t>
  </si>
  <si>
    <t>果糖糖化进料换热器1</t>
  </si>
  <si>
    <t>E0226</t>
  </si>
  <si>
    <t>果糖糖化进料换热器2</t>
  </si>
  <si>
    <t>E0227</t>
  </si>
  <si>
    <t>果糖糖化进料换热器3</t>
  </si>
  <si>
    <t>E0239</t>
  </si>
  <si>
    <t>果糖糖化进料换热器4</t>
  </si>
  <si>
    <t>V0228</t>
  </si>
  <si>
    <t>果糖糖化加酸罐</t>
  </si>
  <si>
    <r>
      <rPr>
        <sz val="10"/>
        <rFont val="仿宋"/>
        <charset val="134"/>
      </rPr>
      <t>φ1500*2000 V=3.5m</t>
    </r>
    <r>
      <rPr>
        <sz val="10"/>
        <rFont val="Times New Roman"/>
        <charset val="134"/>
      </rPr>
      <t>³</t>
    </r>
  </si>
  <si>
    <t>上锥下斜底</t>
  </si>
  <si>
    <t>玻璃钢</t>
  </si>
  <si>
    <t>玻璃钢厂家提供</t>
  </si>
  <si>
    <t>P0229</t>
  </si>
  <si>
    <t>果糖糖化加酸泵</t>
  </si>
  <si>
    <t>Q=350L/h,H=5bar VFD</t>
  </si>
  <si>
    <t>衬氟</t>
  </si>
  <si>
    <t>MX0230</t>
  </si>
  <si>
    <t>果糖糖化加酸混合器</t>
  </si>
  <si>
    <t>304 衬氟</t>
  </si>
  <si>
    <t>V0231</t>
  </si>
  <si>
    <t>果糖糖化加酶桶</t>
  </si>
  <si>
    <t>φ500*800 V=157L</t>
  </si>
  <si>
    <t>P0232</t>
  </si>
  <si>
    <t>果糖糖化加酶泵</t>
  </si>
  <si>
    <t>Q=30L/h,H=5bar</t>
  </si>
  <si>
    <t>WI0233</t>
  </si>
  <si>
    <t>果糖糖化加酶秤</t>
  </si>
  <si>
    <t>MX0234</t>
  </si>
  <si>
    <t>果糖糖化加酶混合器</t>
  </si>
  <si>
    <t>V0235A/L</t>
  </si>
  <si>
    <t>果糖糖化罐</t>
  </si>
  <si>
    <r>
      <rPr>
        <sz val="10"/>
        <rFont val="仿宋"/>
        <charset val="134"/>
      </rPr>
      <t>φ6000*14000  V=396m</t>
    </r>
    <r>
      <rPr>
        <sz val="10"/>
        <rFont val="Times New Roman"/>
        <charset val="134"/>
      </rPr>
      <t>³</t>
    </r>
  </si>
  <si>
    <t>AV0235A/L</t>
  </si>
  <si>
    <t>果糖糖化罐搅拌</t>
  </si>
  <si>
    <t>φ6000*14000</t>
  </si>
  <si>
    <t>偏心搅拌</t>
  </si>
  <si>
    <t>P0236</t>
  </si>
  <si>
    <t>果糖糖化出料清液泵</t>
  </si>
  <si>
    <r>
      <rPr>
        <sz val="10"/>
        <rFont val="仿宋"/>
        <charset val="134"/>
      </rPr>
      <t>Q=65m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/h，H=40m VFD</t>
    </r>
  </si>
  <si>
    <t>P0237</t>
  </si>
  <si>
    <t>果糖糖化灭酶泵</t>
  </si>
  <si>
    <r>
      <rPr>
        <sz val="10"/>
        <rFont val="仿宋"/>
        <charset val="134"/>
      </rPr>
      <t>Q=75m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 xml:space="preserve">/h，H=30m </t>
    </r>
  </si>
  <si>
    <t>P0238</t>
  </si>
  <si>
    <t>果糖糖化出料浊液泵</t>
  </si>
  <si>
    <r>
      <rPr>
        <sz val="10"/>
        <rFont val="仿宋"/>
        <charset val="134"/>
      </rPr>
      <t>Q=40m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 xml:space="preserve">/h，H=40m </t>
    </r>
  </si>
  <si>
    <t>（三）</t>
  </si>
  <si>
    <t>果糖过滤</t>
  </si>
  <si>
    <t>V0301A/B</t>
  </si>
  <si>
    <t>果糖过滤前罐</t>
  </si>
  <si>
    <t>AV0301A/B</t>
  </si>
  <si>
    <t>果糖过滤前罐搅拌</t>
  </si>
  <si>
    <t>φ3000*4000</t>
  </si>
  <si>
    <t>P0302</t>
  </si>
  <si>
    <t>果糖除渣过滤泵</t>
  </si>
  <si>
    <r>
      <rPr>
        <sz val="10"/>
        <rFont val="仿宋"/>
        <charset val="134"/>
      </rPr>
      <t>Q=45m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 xml:space="preserve">/h，H=40m </t>
    </r>
  </si>
  <si>
    <t>F0303A/B</t>
  </si>
  <si>
    <t>卧螺</t>
  </si>
  <si>
    <t>果糖三相卧螺离心机</t>
  </si>
  <si>
    <r>
      <rPr>
        <sz val="10"/>
        <rFont val="仿宋"/>
        <charset val="134"/>
      </rPr>
      <t>15m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</t>
    </r>
  </si>
  <si>
    <t>F0304</t>
  </si>
  <si>
    <t>果糖双锥卧螺离心机</t>
  </si>
  <si>
    <t>V0305</t>
  </si>
  <si>
    <t>果糖双锥进料罐</t>
  </si>
  <si>
    <t>AV0305</t>
  </si>
  <si>
    <t>果糖双锥进料罐搅拌</t>
  </si>
  <si>
    <t>P0306</t>
  </si>
  <si>
    <t>果糖双锥进料泵</t>
  </si>
  <si>
    <t>CVL0307</t>
  </si>
  <si>
    <t>绞龙</t>
  </si>
  <si>
    <t>糖渣绞龙</t>
  </si>
  <si>
    <t>φ350*20000 V型</t>
  </si>
  <si>
    <t>V0308A/B</t>
  </si>
  <si>
    <t>果糖膜进料罐</t>
  </si>
  <si>
    <t>F0309</t>
  </si>
  <si>
    <t>膜</t>
  </si>
  <si>
    <t>果糖膜过滤系统</t>
  </si>
  <si>
    <r>
      <rPr>
        <sz val="10"/>
        <rFont val="仿宋"/>
        <charset val="134"/>
      </rPr>
      <t>进料流量67m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/h，浓度43%</t>
    </r>
  </si>
  <si>
    <t>套</t>
  </si>
  <si>
    <t>膜厂家提供</t>
  </si>
  <si>
    <t>V0310A/B</t>
  </si>
  <si>
    <t>果糖膜清液罐</t>
  </si>
  <si>
    <t>P0311</t>
  </si>
  <si>
    <t>果糖膜清液泵</t>
  </si>
  <si>
    <r>
      <rPr>
        <sz val="10"/>
        <rFont val="仿宋"/>
        <charset val="134"/>
      </rPr>
      <t>Q=75m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/h，H=40m</t>
    </r>
  </si>
  <si>
    <t>(四）</t>
  </si>
  <si>
    <t>F00脱色</t>
  </si>
  <si>
    <t>FM0401A/B</t>
  </si>
  <si>
    <t>系统</t>
  </si>
  <si>
    <t>F00脱色炭柱</t>
  </si>
  <si>
    <r>
      <rPr>
        <sz val="10"/>
        <rFont val="仿宋"/>
        <charset val="134"/>
      </rPr>
      <t>φ3600*6000  V=61m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 xml:space="preserve">  </t>
    </r>
  </si>
  <si>
    <t>炭柱厂家提供</t>
  </si>
  <si>
    <t>V0402A/B</t>
  </si>
  <si>
    <t>F00脱色后罐</t>
  </si>
  <si>
    <t>P0403</t>
  </si>
  <si>
    <t>F00脱色后泵</t>
  </si>
  <si>
    <t>F0404A/C</t>
  </si>
  <si>
    <t>F00密闭过滤器</t>
  </si>
  <si>
    <t>52m2/台</t>
  </si>
  <si>
    <t>V0405</t>
  </si>
  <si>
    <t>果糖预涂罐</t>
  </si>
  <si>
    <r>
      <rPr>
        <sz val="10"/>
        <rFont val="仿宋"/>
        <charset val="134"/>
      </rPr>
      <t>φ2500*2500 V=12.2m</t>
    </r>
    <r>
      <rPr>
        <sz val="10"/>
        <rFont val="Times New Roman"/>
        <charset val="134"/>
      </rPr>
      <t>³</t>
    </r>
  </si>
  <si>
    <t>AV0405</t>
  </si>
  <si>
    <t>果糖预涂罐搅拌</t>
  </si>
  <si>
    <t xml:space="preserve">φ2500*2500 </t>
  </si>
  <si>
    <t>P0407</t>
  </si>
  <si>
    <t>果糖预涂泵</t>
  </si>
  <si>
    <t>V0408</t>
  </si>
  <si>
    <t>F00废土罐</t>
  </si>
  <si>
    <r>
      <rPr>
        <sz val="10"/>
        <rFont val="仿宋"/>
        <charset val="134"/>
      </rPr>
      <t>φ2500*2000 V=9.8m</t>
    </r>
    <r>
      <rPr>
        <sz val="10"/>
        <rFont val="Times New Roman"/>
        <charset val="134"/>
      </rPr>
      <t>³</t>
    </r>
  </si>
  <si>
    <t>锥顶斜底</t>
  </si>
  <si>
    <t>AV0408</t>
  </si>
  <si>
    <t>F00废土罐搅拌</t>
  </si>
  <si>
    <t xml:space="preserve">φ2500*2000 </t>
  </si>
  <si>
    <t>P0409</t>
  </si>
  <si>
    <t>F00废土泵</t>
  </si>
  <si>
    <r>
      <rPr>
        <sz val="10"/>
        <rFont val="仿宋"/>
        <charset val="134"/>
      </rPr>
      <t>Q=20m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/h，H=40m</t>
    </r>
  </si>
  <si>
    <t>(五）</t>
  </si>
  <si>
    <t>F00离交</t>
  </si>
  <si>
    <t>V0501</t>
  </si>
  <si>
    <t>F00离交前罐</t>
  </si>
  <si>
    <t>P0502</t>
  </si>
  <si>
    <t>F00离交前泵</t>
  </si>
  <si>
    <t>F0503A/C</t>
  </si>
  <si>
    <t>F00离交过滤器</t>
  </si>
  <si>
    <t>3㎡，10μm</t>
  </si>
  <si>
    <t>E0504</t>
  </si>
  <si>
    <t>F00离交进料料换热器</t>
  </si>
  <si>
    <t>E0505</t>
  </si>
  <si>
    <t>F00离交进料水换热器</t>
  </si>
  <si>
    <t>F0506</t>
  </si>
  <si>
    <t>离交</t>
  </si>
  <si>
    <t>F00离交系统</t>
  </si>
  <si>
    <r>
      <rPr>
        <sz val="10"/>
        <rFont val="仿宋"/>
        <charset val="134"/>
      </rPr>
      <t>进料流量68m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  浓度42.1%</t>
    </r>
  </si>
  <si>
    <t>CS+RUB</t>
  </si>
  <si>
    <t>离交厂家提供</t>
  </si>
  <si>
    <t>V0507A/B</t>
  </si>
  <si>
    <t>F00阳/阴树脂反洗罐</t>
  </si>
  <si>
    <r>
      <rPr>
        <sz val="10"/>
        <rFont val="仿宋"/>
        <charset val="134"/>
      </rPr>
      <t>φ1500*3500 V=6m</t>
    </r>
    <r>
      <rPr>
        <sz val="10"/>
        <rFont val="Times New Roman"/>
        <charset val="134"/>
      </rPr>
      <t>³</t>
    </r>
  </si>
  <si>
    <t>P0508A/B</t>
  </si>
  <si>
    <t>F00阳/阴树脂泵</t>
  </si>
  <si>
    <r>
      <rPr>
        <sz val="10"/>
        <rFont val="仿宋"/>
        <charset val="134"/>
      </rPr>
      <t>Q=10m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/h，H=30m</t>
    </r>
  </si>
  <si>
    <t>P0509</t>
  </si>
  <si>
    <t>F00离交中转泵</t>
  </si>
  <si>
    <r>
      <rPr>
        <sz val="10"/>
        <rFont val="仿宋"/>
        <charset val="134"/>
      </rPr>
      <t>Q=75m</t>
    </r>
    <r>
      <rPr>
        <sz val="10"/>
        <rFont val="宋体"/>
        <charset val="134"/>
      </rPr>
      <t>³</t>
    </r>
    <r>
      <rPr>
        <sz val="10"/>
        <rFont val="仿宋"/>
        <charset val="134"/>
      </rPr>
      <t>/h，H=30m VFD</t>
    </r>
  </si>
  <si>
    <t>V0510A/B</t>
  </si>
  <si>
    <t>F00离交后罐</t>
  </si>
  <si>
    <t>AV0510A/B</t>
  </si>
  <si>
    <t>F00离交后罐搅拌</t>
  </si>
  <si>
    <t>P0511</t>
  </si>
  <si>
    <t>F00离交后泵</t>
  </si>
  <si>
    <r>
      <rPr>
        <sz val="10"/>
        <rFont val="仿宋"/>
        <charset val="134"/>
      </rPr>
      <t>Q=120m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/h，H=40m</t>
    </r>
  </si>
  <si>
    <t>F0512A/C</t>
  </si>
  <si>
    <t>F00离交后过滤器</t>
  </si>
  <si>
    <t>4㎡，10μm</t>
  </si>
  <si>
    <t>V0513</t>
  </si>
  <si>
    <t>阳床水罐</t>
  </si>
  <si>
    <t>P0514</t>
  </si>
  <si>
    <t>阳床水泵</t>
  </si>
  <si>
    <r>
      <rPr>
        <sz val="10"/>
        <rFont val="仿宋"/>
        <charset val="134"/>
      </rPr>
      <t>Q=50m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/h，H=40m</t>
    </r>
  </si>
  <si>
    <t>(六）</t>
  </si>
  <si>
    <t>F00蒸发器</t>
  </si>
  <si>
    <t>E0601</t>
  </si>
  <si>
    <t>F00蒸发进出料换热器</t>
  </si>
  <si>
    <t>F00蒸发进出料换热</t>
  </si>
  <si>
    <t>E0602</t>
  </si>
  <si>
    <t>F00蒸发进料与水换热器</t>
  </si>
  <si>
    <t>与F00蒸发冷凝水换热</t>
  </si>
  <si>
    <t>E0603</t>
  </si>
  <si>
    <t>F00蒸发进料与不凝气换热器</t>
  </si>
  <si>
    <t>与不凝气换热(列管）</t>
  </si>
  <si>
    <t>F0604</t>
  </si>
  <si>
    <t>蒸发器</t>
  </si>
  <si>
    <t>F00蒸发系统</t>
  </si>
  <si>
    <t>MVR蒸发器，蒸发量40T/h</t>
  </si>
  <si>
    <t>（七）</t>
  </si>
  <si>
    <t>异构</t>
  </si>
  <si>
    <t>V0701</t>
  </si>
  <si>
    <t>果糖异构前罐</t>
  </si>
  <si>
    <t>P0702</t>
  </si>
  <si>
    <t>果糖异构进料泵</t>
  </si>
  <si>
    <r>
      <rPr>
        <sz val="10"/>
        <rFont val="仿宋"/>
        <charset val="134"/>
      </rPr>
      <t>Q=80m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/h，H=30m</t>
    </r>
  </si>
  <si>
    <t>P0704</t>
  </si>
  <si>
    <t>果糖异构配药泵</t>
  </si>
  <si>
    <r>
      <rPr>
        <sz val="10"/>
        <rFont val="仿宋"/>
        <charset val="134"/>
      </rPr>
      <t>Q=15m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/h，H=25m</t>
    </r>
  </si>
  <si>
    <t>P0705</t>
  </si>
  <si>
    <t>果糖异构加碱泵</t>
  </si>
  <si>
    <t>Q=10L/h,H=5bar VFD</t>
  </si>
  <si>
    <t>V0706</t>
  </si>
  <si>
    <t>果糖异构配药罐</t>
  </si>
  <si>
    <r>
      <rPr>
        <sz val="10"/>
        <rFont val="仿宋"/>
        <charset val="134"/>
      </rPr>
      <t>φ1800*1500 V=3.8m</t>
    </r>
    <r>
      <rPr>
        <sz val="10"/>
        <rFont val="Times New Roman"/>
        <charset val="134"/>
      </rPr>
      <t>³</t>
    </r>
  </si>
  <si>
    <t>锥顶平底</t>
  </si>
  <si>
    <t>AV0706</t>
  </si>
  <si>
    <t>果糖异构配药罐搅拌</t>
  </si>
  <si>
    <t>φ1800*1500</t>
  </si>
  <si>
    <t>V0707</t>
  </si>
  <si>
    <t>果糖异构加药罐</t>
  </si>
  <si>
    <t>AV0707</t>
  </si>
  <si>
    <t>果糖异构加药罐搅拌</t>
  </si>
  <si>
    <t>P0708</t>
  </si>
  <si>
    <t>果糖异构加药泵</t>
  </si>
  <si>
    <t>Q=500L/h,H=5bar VFD</t>
  </si>
  <si>
    <t>MX0709</t>
  </si>
  <si>
    <t>果糖加药混合器</t>
  </si>
  <si>
    <r>
      <rPr>
        <sz val="10"/>
        <rFont val="仿宋"/>
        <charset val="134"/>
      </rPr>
      <t>80m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</t>
    </r>
  </si>
  <si>
    <t>F0710A/C</t>
  </si>
  <si>
    <t>果糖异构前过滤器</t>
  </si>
  <si>
    <t>V0711A/L</t>
  </si>
  <si>
    <t>果糖异构柱</t>
  </si>
  <si>
    <r>
      <rPr>
        <sz val="10"/>
        <rFont val="仿宋"/>
        <charset val="134"/>
      </rPr>
      <t>φ1600*5000 V=10m</t>
    </r>
    <r>
      <rPr>
        <sz val="10"/>
        <rFont val="Times New Roman"/>
        <charset val="134"/>
      </rPr>
      <t>³</t>
    </r>
  </si>
  <si>
    <t>E0712A/L</t>
  </si>
  <si>
    <t>果糖异构换热器</t>
  </si>
  <si>
    <t>(八）</t>
  </si>
  <si>
    <t>F42脱色</t>
  </si>
  <si>
    <t>V0801A/B</t>
  </si>
  <si>
    <t>F42炭柱进料罐</t>
  </si>
  <si>
    <t>P0802</t>
  </si>
  <si>
    <t>F42炭柱进料泵</t>
  </si>
  <si>
    <r>
      <rPr>
        <sz val="10"/>
        <rFont val="仿宋"/>
        <charset val="134"/>
      </rPr>
      <t>Q=80m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/h，H=40m</t>
    </r>
  </si>
  <si>
    <t>P0803</t>
  </si>
  <si>
    <t>F42炭柱进料加酸泵</t>
  </si>
  <si>
    <t>Q=50L/h,H=5bar VFD</t>
  </si>
  <si>
    <t>MX0804</t>
  </si>
  <si>
    <t>F42炭柱加酸混合器</t>
  </si>
  <si>
    <t>F0805A/B</t>
  </si>
  <si>
    <t>F42脱色炭柱</t>
  </si>
  <si>
    <t>V0806A/B</t>
  </si>
  <si>
    <t>F42脱色后罐</t>
  </si>
  <si>
    <t>P0807</t>
  </si>
  <si>
    <t>F42脱色后泵</t>
  </si>
  <si>
    <t>F0808A/C</t>
  </si>
  <si>
    <t>F42密闭过滤器</t>
  </si>
  <si>
    <t>（九）</t>
  </si>
  <si>
    <t xml:space="preserve"> F42离交</t>
  </si>
  <si>
    <t>V0901</t>
  </si>
  <si>
    <t>F42离交前罐</t>
  </si>
  <si>
    <t>P0902</t>
  </si>
  <si>
    <t>F42离交进料泵</t>
  </si>
  <si>
    <r>
      <rPr>
        <sz val="10"/>
        <rFont val="仿宋"/>
        <charset val="134"/>
      </rPr>
      <t>Q=80m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/h，H=50m VFD</t>
    </r>
  </si>
  <si>
    <t>F0903A/C</t>
  </si>
  <si>
    <t>F42离交进料过滤器</t>
  </si>
  <si>
    <t>E0904</t>
  </si>
  <si>
    <t>F42离交进料换热器1</t>
  </si>
  <si>
    <t>E0905</t>
  </si>
  <si>
    <t>F42离交进料换热器2</t>
  </si>
  <si>
    <t>F0906</t>
  </si>
  <si>
    <t>F42离交系统</t>
  </si>
  <si>
    <r>
      <rPr>
        <sz val="10"/>
        <rFont val="仿宋"/>
        <charset val="134"/>
      </rPr>
      <t>进料流量72m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  浓度51.5%</t>
    </r>
  </si>
  <si>
    <t>V0907A/B</t>
  </si>
  <si>
    <t>F42阳/阴树脂反洗罐</t>
  </si>
  <si>
    <t>P0908A/B</t>
  </si>
  <si>
    <t>F42阳/阴树脂泵</t>
  </si>
  <si>
    <t>P0909</t>
  </si>
  <si>
    <t>F42离交中转泵</t>
  </si>
  <si>
    <r>
      <rPr>
        <sz val="10"/>
        <rFont val="仿宋"/>
        <charset val="134"/>
      </rPr>
      <t>Q=80m</t>
    </r>
    <r>
      <rPr>
        <sz val="10"/>
        <rFont val="宋体"/>
        <charset val="134"/>
      </rPr>
      <t>³</t>
    </r>
    <r>
      <rPr>
        <sz val="10"/>
        <rFont val="仿宋"/>
        <charset val="134"/>
      </rPr>
      <t>/h，H=30m VFD</t>
    </r>
  </si>
  <si>
    <t>(十）</t>
  </si>
  <si>
    <t>F42蒸发</t>
  </si>
  <si>
    <t>V1001</t>
  </si>
  <si>
    <t>F42离交后罐</t>
  </si>
  <si>
    <t>P1002</t>
  </si>
  <si>
    <t>F42离交后泵</t>
  </si>
  <si>
    <t>F1003A/C</t>
  </si>
  <si>
    <t>F42离交后过滤器</t>
  </si>
  <si>
    <t>E1004</t>
  </si>
  <si>
    <t>F42蒸发系统</t>
  </si>
  <si>
    <t>蒸发量7T/h，</t>
  </si>
  <si>
    <t>（十一）</t>
  </si>
  <si>
    <t>色谱</t>
  </si>
  <si>
    <t>V1101</t>
  </si>
  <si>
    <t>色谱进料罐</t>
  </si>
  <si>
    <t>P1102</t>
  </si>
  <si>
    <t>色谱进料泵</t>
  </si>
  <si>
    <r>
      <rPr>
        <sz val="10"/>
        <rFont val="仿宋"/>
        <charset val="134"/>
      </rPr>
      <t>Q=90m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/h，H=30m VFD</t>
    </r>
  </si>
  <si>
    <t>色谱厂家提供</t>
  </si>
  <si>
    <t>V1103</t>
  </si>
  <si>
    <t>色谱进水罐</t>
  </si>
  <si>
    <t>P1104</t>
  </si>
  <si>
    <t>色谱进水泵</t>
  </si>
  <si>
    <t>C1105A/B</t>
  </si>
  <si>
    <t>色谱系统</t>
  </si>
  <si>
    <r>
      <rPr>
        <sz val="10"/>
        <rFont val="仿宋"/>
        <charset val="134"/>
      </rPr>
      <t>进料流量28.4m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 2套 直径5200*2400</t>
    </r>
  </si>
  <si>
    <t>P1106A/H</t>
  </si>
  <si>
    <t>色谱循环泵</t>
  </si>
  <si>
    <r>
      <rPr>
        <sz val="10"/>
        <rFont val="仿宋"/>
        <charset val="134"/>
      </rPr>
      <t>Q=90m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/h，H=30m   VFD</t>
    </r>
  </si>
  <si>
    <t>V1107A/B</t>
  </si>
  <si>
    <t>色谱提取液罐</t>
  </si>
  <si>
    <t>AV1107A/B</t>
  </si>
  <si>
    <t>色谱提取液罐搅拌</t>
  </si>
  <si>
    <t xml:space="preserve">φ3000*4000 </t>
  </si>
  <si>
    <t>P1108</t>
  </si>
  <si>
    <t>色谱F90混配泵</t>
  </si>
  <si>
    <r>
      <rPr>
        <sz val="10"/>
        <rFont val="仿宋"/>
        <charset val="134"/>
      </rPr>
      <t>Q=25m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/h，H=20m</t>
    </r>
  </si>
  <si>
    <t>V1109A/B</t>
  </si>
  <si>
    <t>色谱提余液罐</t>
  </si>
  <si>
    <t>AV1109A/B</t>
  </si>
  <si>
    <t>色谱提余液罐搅拌</t>
  </si>
  <si>
    <t>P1110</t>
  </si>
  <si>
    <t>色谱提余液泵</t>
  </si>
  <si>
    <r>
      <rPr>
        <sz val="10"/>
        <rFont val="仿宋"/>
        <charset val="134"/>
      </rPr>
      <t>Q=50m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/h，H=20m</t>
    </r>
  </si>
  <si>
    <t>V1111</t>
  </si>
  <si>
    <t>色谱树脂反洗罐</t>
  </si>
  <si>
    <r>
      <rPr>
        <sz val="10"/>
        <rFont val="仿宋"/>
        <charset val="134"/>
      </rPr>
      <t>φ3500*9000  V=86.5m</t>
    </r>
    <r>
      <rPr>
        <sz val="10"/>
        <rFont val="Times New Roman"/>
        <charset val="134"/>
      </rPr>
      <t>³</t>
    </r>
  </si>
  <si>
    <t>P1112</t>
  </si>
  <si>
    <t>色谱树脂泵</t>
  </si>
  <si>
    <t>E1113</t>
  </si>
  <si>
    <t>色谱水与冷凝水换热器</t>
  </si>
  <si>
    <t>（十二）</t>
  </si>
  <si>
    <t>F55混配、混床</t>
  </si>
  <si>
    <t>V1201</t>
  </si>
  <si>
    <t>F55混床进料罐</t>
  </si>
  <si>
    <t>AV1201</t>
  </si>
  <si>
    <t>F55混床进料罐搅拌</t>
  </si>
  <si>
    <t>P1202</t>
  </si>
  <si>
    <t>F55混床进料泵</t>
  </si>
  <si>
    <r>
      <rPr>
        <sz val="10"/>
        <rFont val="仿宋"/>
        <charset val="134"/>
      </rPr>
      <t>Q=65m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/h，H=40m</t>
    </r>
  </si>
  <si>
    <t>E1203</t>
  </si>
  <si>
    <t>F55混床进料换热器1</t>
  </si>
  <si>
    <t>E1204</t>
  </si>
  <si>
    <t>F55混床进料换热器2</t>
  </si>
  <si>
    <t>E1205</t>
  </si>
  <si>
    <t>F55混床进料水换热器</t>
  </si>
  <si>
    <t>F1206A/C</t>
  </si>
  <si>
    <t>F55混床前过滤器</t>
  </si>
  <si>
    <t>3㎡，5μm</t>
  </si>
  <si>
    <t>F1207A/D</t>
  </si>
  <si>
    <t>F55混床系统</t>
  </si>
  <si>
    <t>φ2300*5000 一套混床系统，两用两备。共4柱运行</t>
  </si>
  <si>
    <t>衬胶</t>
  </si>
  <si>
    <t>混床厂家提供</t>
  </si>
  <si>
    <t>V1211</t>
  </si>
  <si>
    <t>果糖回收水罐</t>
  </si>
  <si>
    <t>P1212</t>
  </si>
  <si>
    <t>果糖回收水泵</t>
  </si>
  <si>
    <t>MX1213</t>
  </si>
  <si>
    <t>F55混配混合器</t>
  </si>
  <si>
    <r>
      <rPr>
        <sz val="10"/>
        <rFont val="仿宋"/>
        <charset val="134"/>
      </rPr>
      <t>Q=65m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</t>
    </r>
  </si>
  <si>
    <t>(十三）</t>
  </si>
  <si>
    <t>F55蒸发</t>
  </si>
  <si>
    <t>V1301A/B</t>
  </si>
  <si>
    <t>F55蒸发进料罐</t>
  </si>
  <si>
    <t>P1302</t>
  </si>
  <si>
    <t>F55蒸发进料泵</t>
  </si>
  <si>
    <r>
      <rPr>
        <sz val="10"/>
        <rFont val="仿宋"/>
        <charset val="134"/>
      </rPr>
      <t>Q=65m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/h，H=45m</t>
    </r>
  </si>
  <si>
    <t>F1303A/C</t>
  </si>
  <si>
    <t>F55蒸发1级袋式过滤器</t>
  </si>
  <si>
    <t>F1303D/F</t>
  </si>
  <si>
    <t>F55蒸发2级袋式过滤器</t>
  </si>
  <si>
    <t>3㎡，1μm</t>
  </si>
  <si>
    <t>F1304A/L</t>
  </si>
  <si>
    <t>F55蒸发膜墩过滤器</t>
  </si>
  <si>
    <t>20㎡，0.45μm</t>
  </si>
  <si>
    <t>E1305</t>
  </si>
  <si>
    <t>F55预蒸发系统</t>
  </si>
  <si>
    <t>MVR蒸发器，蒸发量20t/h，</t>
  </si>
  <si>
    <t>E1306</t>
  </si>
  <si>
    <t>F55废热蒸发系统</t>
  </si>
  <si>
    <t>蒸发量11t/h,</t>
  </si>
  <si>
    <t>蒸发器厂家提供，含色谱水闪蒸罐及泵</t>
  </si>
  <si>
    <t>E1307</t>
  </si>
  <si>
    <t>F55蒸发出料换热器1</t>
  </si>
  <si>
    <t>E1308</t>
  </si>
  <si>
    <t>F55蒸发出料换热器2</t>
  </si>
  <si>
    <t>E1309</t>
  </si>
  <si>
    <t>F55蒸发出料换热器3</t>
  </si>
  <si>
    <t>（十四）</t>
  </si>
  <si>
    <t>成品</t>
  </si>
  <si>
    <t>V1401A/E</t>
  </si>
  <si>
    <t>F55QC罐</t>
  </si>
  <si>
    <r>
      <rPr>
        <sz val="10"/>
        <rFont val="仿宋"/>
        <charset val="134"/>
      </rPr>
      <t>φ4000*8000 V=100m</t>
    </r>
    <r>
      <rPr>
        <sz val="10"/>
        <rFont val="Times New Roman"/>
        <charset val="134"/>
      </rPr>
      <t>³</t>
    </r>
  </si>
  <si>
    <t>304L</t>
  </si>
  <si>
    <t>AV1401A/E</t>
  </si>
  <si>
    <t>F55QC罐搅拌</t>
  </si>
  <si>
    <t xml:space="preserve">φ4000*8000 </t>
  </si>
  <si>
    <t>P1402</t>
  </si>
  <si>
    <t>F55QC罐出料泵</t>
  </si>
  <si>
    <r>
      <rPr>
        <sz val="10"/>
        <rFont val="仿宋"/>
        <charset val="134"/>
      </rPr>
      <t>Q=90m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/h，H=40m   VFD</t>
    </r>
  </si>
  <si>
    <t>V1419A/E</t>
  </si>
  <si>
    <t>果糖小包装成品罐</t>
  </si>
  <si>
    <t>P1420A/C</t>
  </si>
  <si>
    <t>果糖小包装成品泵</t>
  </si>
  <si>
    <r>
      <rPr>
        <sz val="10"/>
        <rFont val="仿宋"/>
        <charset val="134"/>
      </rPr>
      <t>Q=30m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/h，H=40m</t>
    </r>
  </si>
  <si>
    <t>V1404A/O</t>
  </si>
  <si>
    <t>果糖成品罐</t>
  </si>
  <si>
    <r>
      <rPr>
        <sz val="10"/>
        <rFont val="仿宋"/>
        <charset val="134"/>
      </rPr>
      <t>φ8000*16000  V=804m</t>
    </r>
    <r>
      <rPr>
        <sz val="10"/>
        <rFont val="Times New Roman"/>
        <charset val="134"/>
      </rPr>
      <t>³</t>
    </r>
  </si>
  <si>
    <t>P1405</t>
  </si>
  <si>
    <t>果糖灌装泵1</t>
  </si>
  <si>
    <r>
      <rPr>
        <sz val="10"/>
        <rFont val="仿宋"/>
        <charset val="134"/>
      </rPr>
      <t>Q=45m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/h，H=50m  VFD</t>
    </r>
  </si>
  <si>
    <t>E1406</t>
  </si>
  <si>
    <t>果糖发货板换1</t>
  </si>
  <si>
    <t>P1407</t>
  </si>
  <si>
    <t>果糖灌装泵2</t>
  </si>
  <si>
    <t>E1408</t>
  </si>
  <si>
    <t>果糖发货板换2</t>
  </si>
  <si>
    <t>F1409A/C</t>
  </si>
  <si>
    <t>果糖发货过滤器</t>
  </si>
  <si>
    <t>300目，2㎡</t>
  </si>
  <si>
    <t>V1414</t>
  </si>
  <si>
    <t>灌装回收水罐</t>
  </si>
  <si>
    <t>P1415</t>
  </si>
  <si>
    <t>灌装回收水泵</t>
  </si>
  <si>
    <r>
      <rPr>
        <sz val="10"/>
        <rFont val="仿宋"/>
        <charset val="134"/>
      </rPr>
      <t>Q=30m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/h，H=25m</t>
    </r>
  </si>
  <si>
    <t>T1416A/C</t>
  </si>
  <si>
    <t>地磅</t>
  </si>
  <si>
    <t>果糖罐车地磅</t>
  </si>
  <si>
    <t>100T</t>
  </si>
  <si>
    <t>V1417A/C</t>
  </si>
  <si>
    <t>灌装回收水缓冲罐</t>
  </si>
  <si>
    <r>
      <rPr>
        <sz val="10"/>
        <rFont val="仿宋"/>
        <charset val="134"/>
      </rPr>
      <t>φ1500*1000 V=1.7m</t>
    </r>
    <r>
      <rPr>
        <sz val="10"/>
        <rFont val="Times New Roman"/>
        <charset val="134"/>
      </rPr>
      <t>³</t>
    </r>
  </si>
  <si>
    <t>P1418A/C</t>
  </si>
  <si>
    <t>灌装回收水缓冲泵</t>
  </si>
  <si>
    <t>V1419</t>
  </si>
  <si>
    <t>灌装甜水罐</t>
  </si>
  <si>
    <t>P1420</t>
  </si>
  <si>
    <t>灌装甜水泵</t>
  </si>
  <si>
    <t>V1421A/C</t>
  </si>
  <si>
    <t>灌装甜水缓冲罐</t>
  </si>
  <si>
    <t>P1422A/C</t>
  </si>
  <si>
    <t>灌装甜水缓冲泵</t>
  </si>
  <si>
    <t>（十五）</t>
  </si>
  <si>
    <t>公共系统</t>
  </si>
  <si>
    <t>V1501</t>
  </si>
  <si>
    <t>果糖密封水罐</t>
  </si>
  <si>
    <r>
      <rPr>
        <sz val="10"/>
        <rFont val="仿宋"/>
        <charset val="134"/>
      </rPr>
      <t>φ2000*4000  V=12.6m</t>
    </r>
    <r>
      <rPr>
        <sz val="10"/>
        <rFont val="Times New Roman"/>
        <charset val="134"/>
      </rPr>
      <t>³</t>
    </r>
  </si>
  <si>
    <t>P1502A/B</t>
  </si>
  <si>
    <t>果糖密封水泵</t>
  </si>
  <si>
    <r>
      <rPr>
        <sz val="10"/>
        <rFont val="仿宋"/>
        <charset val="134"/>
      </rPr>
      <t>Q=30m</t>
    </r>
    <r>
      <rPr>
        <sz val="10"/>
        <rFont val="Times New Roman"/>
        <charset val="134"/>
      </rPr>
      <t>³</t>
    </r>
    <r>
      <rPr>
        <sz val="10"/>
        <rFont val="仿宋"/>
        <charset val="134"/>
      </rPr>
      <t>/h，H=30m</t>
    </r>
  </si>
  <si>
    <t>F1503A/B</t>
  </si>
  <si>
    <t>果糖密封水过滤器</t>
  </si>
  <si>
    <t>2㎡,5μm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</si>
</sst>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0"/>
      <name val="仿宋"/>
      <charset val="134"/>
    </font>
    <font>
      <b/>
      <sz val="10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Times New Roman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23" applyNumberFormat="0" applyAlignment="0" applyProtection="0">
      <alignment vertical="center"/>
    </xf>
    <xf numFmtId="0" fontId="14" fillId="5" borderId="24" applyNumberFormat="0" applyAlignment="0" applyProtection="0">
      <alignment vertical="center"/>
    </xf>
    <xf numFmtId="0" fontId="15" fillId="5" borderId="23" applyNumberFormat="0" applyAlignment="0" applyProtection="0">
      <alignment vertical="center"/>
    </xf>
    <xf numFmtId="0" fontId="16" fillId="6" borderId="25" applyNumberFormat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49" fontId="2" fillId="0" borderId="11" xfId="0" applyNumberFormat="1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6"/>
  <sheetViews>
    <sheetView tabSelected="1" zoomScale="160" zoomScaleNormal="160" workbookViewId="0">
      <pane ySplit="4" topLeftCell="A132" activePane="bottomLeft" state="frozen"/>
      <selection/>
      <selection pane="bottomLeft" activeCell="A181" sqref="A181:A192"/>
    </sheetView>
  </sheetViews>
  <sheetFormatPr defaultColWidth="9.44166666666667" defaultRowHeight="12"/>
  <cols>
    <col min="1" max="1" width="9.44166666666667" style="1" customWidth="1"/>
    <col min="2" max="2" width="11.2666666666667" style="1" customWidth="1"/>
    <col min="3" max="3" width="9.44166666666667" style="1" customWidth="1"/>
    <col min="4" max="4" width="24.075" style="1" customWidth="1"/>
    <col min="5" max="5" width="26.4083333333333" style="1" customWidth="1"/>
    <col min="6" max="6" width="11.4416666666667" style="1" customWidth="1"/>
    <col min="7" max="7" width="5" style="1" customWidth="1"/>
    <col min="8" max="8" width="2.775" style="1" customWidth="1"/>
    <col min="9" max="9" width="8.75" style="1" customWidth="1"/>
    <col min="10" max="10" width="5.66666666666667" style="1" customWidth="1"/>
    <col min="11" max="11" width="7.10833333333333" style="1" customWidth="1"/>
    <col min="12" max="12" width="22.1416666666667" style="1" customWidth="1"/>
    <col min="13" max="32" width="9.44166666666667" style="1" customWidth="1"/>
    <col min="33" max="16384" width="28.5" style="1" customWidth="1"/>
  </cols>
  <sheetData>
    <row r="1" ht="14.25" spans="1:12">
      <c r="A1" s="3" t="str">
        <f>_xlfn.DISPIMG("ID_1C509377B30545A1AD44F76803273333",1)</f>
        <v>=DISPIMG("ID_1C509377B30545A1AD44F76803273333",1)</v>
      </c>
      <c r="B1" s="4" t="s">
        <v>0</v>
      </c>
      <c r="C1" s="4"/>
      <c r="D1" s="5"/>
      <c r="E1" s="6" t="s">
        <v>1</v>
      </c>
      <c r="F1" s="7" t="s">
        <v>2</v>
      </c>
      <c r="G1" s="8"/>
      <c r="H1" s="8"/>
      <c r="I1" s="8"/>
      <c r="J1" s="8"/>
      <c r="K1" s="8"/>
      <c r="L1" s="21"/>
    </row>
    <row r="2" spans="1:12">
      <c r="A2" s="9"/>
      <c r="B2" s="10"/>
      <c r="C2" s="10"/>
      <c r="D2" s="11"/>
      <c r="E2" s="12" t="s">
        <v>3</v>
      </c>
      <c r="F2" s="13"/>
      <c r="G2" s="13"/>
      <c r="H2" s="13"/>
      <c r="I2" s="13"/>
      <c r="J2" s="13"/>
      <c r="K2" s="13"/>
      <c r="L2" s="22"/>
    </row>
    <row r="3" spans="1:12">
      <c r="A3" s="14" t="s">
        <v>4</v>
      </c>
      <c r="B3" s="14" t="s">
        <v>5</v>
      </c>
      <c r="C3" s="14" t="s">
        <v>6</v>
      </c>
      <c r="D3" s="14" t="s">
        <v>7</v>
      </c>
      <c r="E3" s="14" t="s">
        <v>8</v>
      </c>
      <c r="F3" s="15" t="s">
        <v>9</v>
      </c>
      <c r="G3" s="14" t="s">
        <v>10</v>
      </c>
      <c r="H3" s="14"/>
      <c r="I3" s="14" t="s">
        <v>11</v>
      </c>
      <c r="J3" s="23" t="s">
        <v>12</v>
      </c>
      <c r="K3" s="24"/>
      <c r="L3" s="14" t="s">
        <v>13</v>
      </c>
    </row>
    <row r="4" spans="1:12">
      <c r="A4" s="14"/>
      <c r="B4" s="14" t="s">
        <v>5</v>
      </c>
      <c r="C4" s="14" t="s">
        <v>6</v>
      </c>
      <c r="D4" s="14" t="s">
        <v>7</v>
      </c>
      <c r="E4" s="14" t="s">
        <v>8</v>
      </c>
      <c r="F4" s="16"/>
      <c r="G4" s="14" t="s">
        <v>10</v>
      </c>
      <c r="H4" s="14"/>
      <c r="I4" s="14" t="s">
        <v>11</v>
      </c>
      <c r="J4" s="14" t="s">
        <v>14</v>
      </c>
      <c r="K4" s="14" t="s">
        <v>15</v>
      </c>
      <c r="L4" s="14" t="s">
        <v>13</v>
      </c>
    </row>
    <row r="5" spans="1:12">
      <c r="A5" s="14" t="s">
        <v>16</v>
      </c>
      <c r="B5" s="17" t="s">
        <v>17</v>
      </c>
      <c r="C5" s="14"/>
      <c r="D5" s="14"/>
      <c r="E5" s="14"/>
      <c r="F5" s="14"/>
      <c r="G5" s="14"/>
      <c r="H5" s="14"/>
      <c r="I5" s="14"/>
      <c r="J5" s="14"/>
      <c r="K5" s="14"/>
      <c r="L5" s="14"/>
    </row>
    <row r="6" s="1" customFormat="1" ht="12.75" spans="1:12">
      <c r="A6" s="18">
        <f>SUBTOTAL(103,$C$6:C6)</f>
        <v>1</v>
      </c>
      <c r="B6" s="18" t="s">
        <v>18</v>
      </c>
      <c r="C6" s="18" t="s">
        <v>19</v>
      </c>
      <c r="D6" s="18" t="s">
        <v>20</v>
      </c>
      <c r="E6" s="19" t="s">
        <v>21</v>
      </c>
      <c r="F6" s="19" t="s">
        <v>22</v>
      </c>
      <c r="G6" s="18">
        <v>1</v>
      </c>
      <c r="H6" s="18" t="s">
        <v>23</v>
      </c>
      <c r="I6" s="18">
        <v>304</v>
      </c>
      <c r="J6" s="18"/>
      <c r="K6" s="18"/>
      <c r="L6" s="18"/>
    </row>
    <row r="7" s="1" customFormat="1" ht="12.75" spans="1:12">
      <c r="A7" s="18">
        <f>SUBTOTAL(103,$C$6:C7)</f>
        <v>2</v>
      </c>
      <c r="B7" s="18" t="s">
        <v>24</v>
      </c>
      <c r="C7" s="18" t="s">
        <v>25</v>
      </c>
      <c r="D7" s="18" t="s">
        <v>26</v>
      </c>
      <c r="E7" s="19" t="s">
        <v>27</v>
      </c>
      <c r="F7" s="19"/>
      <c r="G7" s="18">
        <v>1</v>
      </c>
      <c r="H7" s="18" t="s">
        <v>23</v>
      </c>
      <c r="I7" s="18">
        <v>2205</v>
      </c>
      <c r="J7" s="18">
        <v>3</v>
      </c>
      <c r="K7" s="18">
        <f>J7*G7</f>
        <v>3</v>
      </c>
      <c r="L7" s="18"/>
    </row>
    <row r="8" s="1" customFormat="1" ht="12.75" spans="1:12">
      <c r="A8" s="18">
        <f>SUBTOTAL(103,$C$6:C8)</f>
        <v>3</v>
      </c>
      <c r="B8" s="18" t="s">
        <v>28</v>
      </c>
      <c r="C8" s="18" t="s">
        <v>19</v>
      </c>
      <c r="D8" s="18" t="s">
        <v>29</v>
      </c>
      <c r="E8" s="19" t="s">
        <v>30</v>
      </c>
      <c r="F8" s="19" t="s">
        <v>22</v>
      </c>
      <c r="G8" s="18">
        <v>1</v>
      </c>
      <c r="H8" s="18" t="s">
        <v>23</v>
      </c>
      <c r="I8" s="18">
        <v>304</v>
      </c>
      <c r="J8" s="18"/>
      <c r="K8" s="18"/>
      <c r="L8" s="18"/>
    </row>
    <row r="9" s="1" customFormat="1" spans="1:12">
      <c r="A9" s="18">
        <f>SUBTOTAL(103,$C$6:C9)</f>
        <v>4</v>
      </c>
      <c r="B9" s="18" t="s">
        <v>31</v>
      </c>
      <c r="C9" s="18" t="s">
        <v>32</v>
      </c>
      <c r="D9" s="18" t="s">
        <v>33</v>
      </c>
      <c r="E9" s="19" t="s">
        <v>34</v>
      </c>
      <c r="F9" s="19" t="s">
        <v>35</v>
      </c>
      <c r="G9" s="18">
        <v>1</v>
      </c>
      <c r="H9" s="18" t="s">
        <v>23</v>
      </c>
      <c r="I9" s="18">
        <v>304</v>
      </c>
      <c r="J9" s="18">
        <v>2.2</v>
      </c>
      <c r="K9" s="18">
        <f>J9*G9</f>
        <v>2.2</v>
      </c>
      <c r="L9" s="18"/>
    </row>
    <row r="10" s="1" customFormat="1" ht="12.75" spans="1:12">
      <c r="A10" s="18">
        <f>SUBTOTAL(103,$C$6:C10)</f>
        <v>5</v>
      </c>
      <c r="B10" s="18" t="s">
        <v>36</v>
      </c>
      <c r="C10" s="18" t="s">
        <v>25</v>
      </c>
      <c r="D10" s="18" t="s">
        <v>37</v>
      </c>
      <c r="E10" s="18" t="s">
        <v>38</v>
      </c>
      <c r="F10" s="18"/>
      <c r="G10" s="18">
        <v>1</v>
      </c>
      <c r="H10" s="18" t="s">
        <v>23</v>
      </c>
      <c r="I10" s="18">
        <v>2205</v>
      </c>
      <c r="J10" s="18">
        <v>15</v>
      </c>
      <c r="K10" s="18">
        <f>J10*G10</f>
        <v>15</v>
      </c>
      <c r="L10" s="18"/>
    </row>
    <row r="11" s="1" customFormat="1" ht="12.75" spans="1:12">
      <c r="A11" s="18">
        <f>SUBTOTAL(103,$C$6:C11)</f>
        <v>6</v>
      </c>
      <c r="B11" s="18" t="s">
        <v>39</v>
      </c>
      <c r="C11" s="18" t="s">
        <v>19</v>
      </c>
      <c r="D11" s="18" t="s">
        <v>40</v>
      </c>
      <c r="E11" s="18" t="s">
        <v>41</v>
      </c>
      <c r="F11" s="19" t="s">
        <v>22</v>
      </c>
      <c r="G11" s="18">
        <v>1</v>
      </c>
      <c r="H11" s="18" t="s">
        <v>23</v>
      </c>
      <c r="I11" s="18">
        <v>304</v>
      </c>
      <c r="J11" s="18"/>
      <c r="K11" s="18"/>
      <c r="L11" s="18"/>
    </row>
    <row r="12" s="1" customFormat="1" spans="1:12">
      <c r="A12" s="18">
        <f>SUBTOTAL(103,$C$6:C12)</f>
        <v>7</v>
      </c>
      <c r="B12" s="18" t="s">
        <v>42</v>
      </c>
      <c r="C12" s="18" t="s">
        <v>43</v>
      </c>
      <c r="D12" s="18" t="s">
        <v>44</v>
      </c>
      <c r="E12" s="18" t="s">
        <v>45</v>
      </c>
      <c r="F12" s="18"/>
      <c r="G12" s="18">
        <v>1</v>
      </c>
      <c r="H12" s="18" t="s">
        <v>23</v>
      </c>
      <c r="I12" s="18" t="s">
        <v>46</v>
      </c>
      <c r="J12" s="18">
        <v>0.37</v>
      </c>
      <c r="K12" s="18">
        <f>J12*G12</f>
        <v>0.37</v>
      </c>
      <c r="L12" s="18"/>
    </row>
    <row r="13" s="1" customFormat="1" ht="12.75" spans="1:12">
      <c r="A13" s="18">
        <f>SUBTOTAL(103,$C$6:C13)</f>
        <v>8</v>
      </c>
      <c r="B13" s="18" t="s">
        <v>47</v>
      </c>
      <c r="C13" s="18" t="s">
        <v>48</v>
      </c>
      <c r="D13" s="18" t="s">
        <v>49</v>
      </c>
      <c r="E13" s="18" t="s">
        <v>50</v>
      </c>
      <c r="F13" s="18"/>
      <c r="G13" s="18">
        <v>2</v>
      </c>
      <c r="H13" s="18" t="s">
        <v>23</v>
      </c>
      <c r="I13" s="18">
        <v>304</v>
      </c>
      <c r="J13" s="18"/>
      <c r="K13" s="18"/>
      <c r="L13" s="18"/>
    </row>
    <row r="14" s="1" customFormat="1" ht="12.75" spans="1:12">
      <c r="A14" s="18">
        <f>SUBTOTAL(103,$C$6:C14)</f>
        <v>9</v>
      </c>
      <c r="B14" s="18" t="s">
        <v>51</v>
      </c>
      <c r="C14" s="18" t="s">
        <v>52</v>
      </c>
      <c r="D14" s="18" t="s">
        <v>53</v>
      </c>
      <c r="E14" s="1" t="s">
        <v>54</v>
      </c>
      <c r="G14" s="18">
        <v>1</v>
      </c>
      <c r="H14" s="18" t="s">
        <v>23</v>
      </c>
      <c r="I14" s="18" t="s">
        <v>46</v>
      </c>
      <c r="J14" s="18"/>
      <c r="K14" s="18"/>
      <c r="L14" s="18"/>
    </row>
    <row r="15" s="1" customFormat="1" spans="1:12">
      <c r="A15" s="18">
        <f>SUBTOTAL(103,$C$6:C15)</f>
        <v>10</v>
      </c>
      <c r="B15" s="18" t="s">
        <v>55</v>
      </c>
      <c r="C15" s="18" t="s">
        <v>19</v>
      </c>
      <c r="D15" s="18" t="s">
        <v>56</v>
      </c>
      <c r="E15" s="18" t="s">
        <v>57</v>
      </c>
      <c r="F15" s="18" t="s">
        <v>58</v>
      </c>
      <c r="G15" s="18">
        <v>1</v>
      </c>
      <c r="H15" s="18" t="s">
        <v>23</v>
      </c>
      <c r="I15" s="18" t="s">
        <v>59</v>
      </c>
      <c r="J15" s="18"/>
      <c r="K15" s="18"/>
      <c r="L15" s="18"/>
    </row>
    <row r="16" s="1" customFormat="1" spans="1:12">
      <c r="A16" s="18">
        <f>SUBTOTAL(103,$C$6:C16)</f>
        <v>11</v>
      </c>
      <c r="B16" s="18" t="s">
        <v>60</v>
      </c>
      <c r="C16" s="18" t="s">
        <v>43</v>
      </c>
      <c r="D16" s="18" t="s">
        <v>61</v>
      </c>
      <c r="E16" s="18" t="s">
        <v>62</v>
      </c>
      <c r="F16" s="18"/>
      <c r="G16" s="18">
        <v>1</v>
      </c>
      <c r="H16" s="18" t="s">
        <v>23</v>
      </c>
      <c r="I16" s="18" t="s">
        <v>63</v>
      </c>
      <c r="J16" s="18">
        <v>0.37</v>
      </c>
      <c r="K16" s="18">
        <f t="shared" ref="K16:K21" si="0">J16*G16</f>
        <v>0.37</v>
      </c>
      <c r="L16" s="18"/>
    </row>
    <row r="17" s="1" customFormat="1" spans="1:12">
      <c r="A17" s="18">
        <f>SUBTOTAL(103,$C$6:C17)</f>
        <v>12</v>
      </c>
      <c r="B17" s="18" t="s">
        <v>64</v>
      </c>
      <c r="C17" s="18" t="s">
        <v>65</v>
      </c>
      <c r="D17" s="18" t="s">
        <v>66</v>
      </c>
      <c r="E17" s="18" t="s">
        <v>67</v>
      </c>
      <c r="F17" s="18"/>
      <c r="G17" s="18">
        <v>1</v>
      </c>
      <c r="H17" s="18" t="s">
        <v>23</v>
      </c>
      <c r="I17" s="18" t="s">
        <v>63</v>
      </c>
      <c r="J17" s="18">
        <v>0.37</v>
      </c>
      <c r="K17" s="18">
        <f t="shared" si="0"/>
        <v>0.37</v>
      </c>
      <c r="L17" s="18"/>
    </row>
    <row r="18" s="1" customFormat="1" ht="12.75" spans="1:12">
      <c r="A18" s="18">
        <f>SUBTOTAL(103,$C$6:C18)</f>
        <v>13</v>
      </c>
      <c r="B18" s="18" t="s">
        <v>68</v>
      </c>
      <c r="C18" s="18" t="s">
        <v>52</v>
      </c>
      <c r="D18" s="18" t="s">
        <v>69</v>
      </c>
      <c r="E18" s="18" t="s">
        <v>54</v>
      </c>
      <c r="F18" s="18"/>
      <c r="G18" s="18">
        <v>1</v>
      </c>
      <c r="H18" s="18" t="s">
        <v>23</v>
      </c>
      <c r="I18" s="18" t="s">
        <v>46</v>
      </c>
      <c r="J18" s="18"/>
      <c r="K18" s="18"/>
      <c r="L18" s="18"/>
    </row>
    <row r="19" s="1" customFormat="1" ht="12.75" spans="1:12">
      <c r="A19" s="18">
        <f>SUBTOTAL(103,$C$6:C19)</f>
        <v>14</v>
      </c>
      <c r="B19" s="18" t="s">
        <v>70</v>
      </c>
      <c r="C19" s="18" t="s">
        <v>19</v>
      </c>
      <c r="D19" s="18" t="s">
        <v>71</v>
      </c>
      <c r="E19" s="19" t="s">
        <v>72</v>
      </c>
      <c r="F19" s="19" t="s">
        <v>22</v>
      </c>
      <c r="G19" s="18">
        <v>1</v>
      </c>
      <c r="H19" s="18" t="s">
        <v>23</v>
      </c>
      <c r="I19" s="18">
        <v>304</v>
      </c>
      <c r="J19" s="18"/>
      <c r="K19" s="18"/>
      <c r="L19" s="18"/>
    </row>
    <row r="20" s="1" customFormat="1" spans="1:12">
      <c r="A20" s="18">
        <f>SUBTOTAL(103,$C$6:C20)</f>
        <v>15</v>
      </c>
      <c r="B20" s="18" t="s">
        <v>73</v>
      </c>
      <c r="C20" s="18" t="s">
        <v>32</v>
      </c>
      <c r="D20" s="18" t="s">
        <v>74</v>
      </c>
      <c r="E20" s="19" t="s">
        <v>34</v>
      </c>
      <c r="F20" s="19" t="s">
        <v>35</v>
      </c>
      <c r="G20" s="18">
        <v>1</v>
      </c>
      <c r="H20" s="18" t="s">
        <v>23</v>
      </c>
      <c r="I20" s="18">
        <v>304</v>
      </c>
      <c r="J20" s="18">
        <v>2.2</v>
      </c>
      <c r="K20" s="18">
        <f t="shared" si="0"/>
        <v>2.2</v>
      </c>
      <c r="L20" s="18"/>
    </row>
    <row r="21" s="1" customFormat="1" ht="12.75" spans="1:12">
      <c r="A21" s="18">
        <f>SUBTOTAL(103,$C$6:C21)</f>
        <v>16</v>
      </c>
      <c r="B21" s="18" t="s">
        <v>75</v>
      </c>
      <c r="C21" s="18" t="s">
        <v>25</v>
      </c>
      <c r="D21" s="18" t="s">
        <v>76</v>
      </c>
      <c r="E21" s="18" t="s">
        <v>77</v>
      </c>
      <c r="F21" s="18"/>
      <c r="G21" s="18">
        <v>1</v>
      </c>
      <c r="H21" s="18" t="s">
        <v>23</v>
      </c>
      <c r="I21" s="18">
        <v>2205</v>
      </c>
      <c r="J21" s="18">
        <v>30</v>
      </c>
      <c r="K21" s="18">
        <f t="shared" si="0"/>
        <v>30</v>
      </c>
      <c r="L21" s="18"/>
    </row>
    <row r="22" s="1" customFormat="1" ht="12.75" spans="1:12">
      <c r="A22" s="18">
        <f>SUBTOTAL(103,$C$6:C22)</f>
        <v>17</v>
      </c>
      <c r="B22" s="18" t="s">
        <v>78</v>
      </c>
      <c r="C22" s="18" t="s">
        <v>79</v>
      </c>
      <c r="D22" s="18" t="s">
        <v>80</v>
      </c>
      <c r="E22" s="18" t="s">
        <v>81</v>
      </c>
      <c r="F22" s="18"/>
      <c r="G22" s="18">
        <v>1</v>
      </c>
      <c r="H22" s="18" t="s">
        <v>23</v>
      </c>
      <c r="I22" s="18" t="s">
        <v>46</v>
      </c>
      <c r="J22" s="18"/>
      <c r="K22" s="18"/>
      <c r="L22" s="18"/>
    </row>
    <row r="23" s="1" customFormat="1" ht="12.75" spans="1:12">
      <c r="A23" s="18">
        <f>SUBTOTAL(103,$C$6:C23)</f>
        <v>18</v>
      </c>
      <c r="B23" s="18" t="s">
        <v>82</v>
      </c>
      <c r="C23" s="18" t="s">
        <v>19</v>
      </c>
      <c r="D23" s="18" t="s">
        <v>83</v>
      </c>
      <c r="E23" s="18" t="s">
        <v>84</v>
      </c>
      <c r="F23" s="18" t="s">
        <v>85</v>
      </c>
      <c r="G23" s="18">
        <v>1</v>
      </c>
      <c r="H23" s="18" t="s">
        <v>23</v>
      </c>
      <c r="I23" s="18">
        <v>304</v>
      </c>
      <c r="J23" s="18"/>
      <c r="K23" s="18"/>
      <c r="L23" s="18" t="s">
        <v>86</v>
      </c>
    </row>
    <row r="24" s="1" customFormat="1" spans="1:12">
      <c r="A24" s="18">
        <f>SUBTOTAL(103,$C$6:C24)</f>
        <v>19</v>
      </c>
      <c r="B24" s="18" t="s">
        <v>87</v>
      </c>
      <c r="C24" s="18" t="s">
        <v>19</v>
      </c>
      <c r="D24" s="18" t="s">
        <v>88</v>
      </c>
      <c r="E24" s="18" t="s">
        <v>57</v>
      </c>
      <c r="F24" s="18" t="s">
        <v>58</v>
      </c>
      <c r="G24" s="18">
        <v>1</v>
      </c>
      <c r="H24" s="18" t="s">
        <v>23</v>
      </c>
      <c r="I24" s="18" t="s">
        <v>59</v>
      </c>
      <c r="J24" s="18"/>
      <c r="K24" s="18"/>
      <c r="L24" s="18"/>
    </row>
    <row r="25" s="1" customFormat="1" spans="1:12">
      <c r="A25" s="18">
        <f>SUBTOTAL(103,$C$6:C25)</f>
        <v>20</v>
      </c>
      <c r="B25" s="18" t="s">
        <v>89</v>
      </c>
      <c r="C25" s="18" t="s">
        <v>43</v>
      </c>
      <c r="D25" s="18" t="s">
        <v>90</v>
      </c>
      <c r="E25" s="18" t="s">
        <v>91</v>
      </c>
      <c r="F25" s="18"/>
      <c r="G25" s="18">
        <v>1</v>
      </c>
      <c r="H25" s="18" t="s">
        <v>23</v>
      </c>
      <c r="I25" s="18" t="s">
        <v>63</v>
      </c>
      <c r="J25" s="18">
        <v>0.37</v>
      </c>
      <c r="K25" s="18">
        <f t="shared" ref="K25:K30" si="1">J25*G25</f>
        <v>0.37</v>
      </c>
      <c r="L25" s="18"/>
    </row>
    <row r="26" s="1" customFormat="1" spans="1:12">
      <c r="A26" s="18">
        <f>SUBTOTAL(103,$C$6:C26)</f>
        <v>21</v>
      </c>
      <c r="B26" s="18" t="s">
        <v>92</v>
      </c>
      <c r="C26" s="18" t="s">
        <v>65</v>
      </c>
      <c r="D26" s="18" t="s">
        <v>93</v>
      </c>
      <c r="E26" s="18" t="s">
        <v>67</v>
      </c>
      <c r="F26" s="18"/>
      <c r="G26" s="18">
        <v>1</v>
      </c>
      <c r="H26" s="18" t="s">
        <v>23</v>
      </c>
      <c r="I26" s="18">
        <v>304</v>
      </c>
      <c r="J26" s="18">
        <v>0.37</v>
      </c>
      <c r="K26" s="18">
        <f t="shared" si="1"/>
        <v>0.37</v>
      </c>
      <c r="L26" s="18"/>
    </row>
    <row r="27" s="1" customFormat="1" ht="12.75" spans="1:12">
      <c r="A27" s="18">
        <f>SUBTOTAL(103,$C$6:C27)</f>
        <v>22</v>
      </c>
      <c r="B27" s="18" t="s">
        <v>94</v>
      </c>
      <c r="C27" s="18" t="s">
        <v>25</v>
      </c>
      <c r="D27" s="18" t="s">
        <v>95</v>
      </c>
      <c r="E27" s="18" t="s">
        <v>96</v>
      </c>
      <c r="F27" s="18" t="s">
        <v>97</v>
      </c>
      <c r="G27" s="18">
        <v>1</v>
      </c>
      <c r="H27" s="18" t="s">
        <v>23</v>
      </c>
      <c r="I27" s="18">
        <v>304</v>
      </c>
      <c r="J27" s="18">
        <v>22</v>
      </c>
      <c r="K27" s="18">
        <f t="shared" si="1"/>
        <v>22</v>
      </c>
      <c r="L27" s="18" t="s">
        <v>86</v>
      </c>
    </row>
    <row r="28" s="1" customFormat="1" ht="12.75" spans="1:12">
      <c r="A28" s="18">
        <f>SUBTOTAL(103,$C$6:C28)</f>
        <v>23</v>
      </c>
      <c r="B28" s="18" t="s">
        <v>98</v>
      </c>
      <c r="C28" s="18" t="s">
        <v>52</v>
      </c>
      <c r="D28" s="18" t="s">
        <v>99</v>
      </c>
      <c r="E28" s="18" t="s">
        <v>54</v>
      </c>
      <c r="F28" s="18"/>
      <c r="G28" s="18">
        <v>1</v>
      </c>
      <c r="H28" s="18" t="s">
        <v>23</v>
      </c>
      <c r="I28" s="18" t="s">
        <v>46</v>
      </c>
      <c r="J28" s="18"/>
      <c r="K28" s="18"/>
      <c r="L28" s="18"/>
    </row>
    <row r="29" ht="12.75" spans="1:12">
      <c r="A29" s="18">
        <f>SUBTOTAL(103,$C$6:C29)</f>
        <v>24</v>
      </c>
      <c r="B29" s="18" t="s">
        <v>100</v>
      </c>
      <c r="C29" s="18" t="s">
        <v>19</v>
      </c>
      <c r="D29" s="18" t="s">
        <v>101</v>
      </c>
      <c r="E29" s="18" t="s">
        <v>102</v>
      </c>
      <c r="F29" s="18" t="s">
        <v>103</v>
      </c>
      <c r="G29" s="18">
        <v>15</v>
      </c>
      <c r="H29" s="18" t="s">
        <v>23</v>
      </c>
      <c r="I29" s="18">
        <v>304</v>
      </c>
      <c r="J29" s="18"/>
      <c r="K29" s="18"/>
      <c r="L29" s="18"/>
    </row>
    <row r="30" ht="12.75" spans="1:12">
      <c r="A30" s="18">
        <f>SUBTOTAL(103,$C$6:C30)</f>
        <v>25</v>
      </c>
      <c r="B30" s="18" t="s">
        <v>104</v>
      </c>
      <c r="C30" s="18" t="s">
        <v>25</v>
      </c>
      <c r="D30" s="18" t="s">
        <v>105</v>
      </c>
      <c r="E30" s="18" t="s">
        <v>106</v>
      </c>
      <c r="F30" s="18"/>
      <c r="G30" s="18">
        <v>1</v>
      </c>
      <c r="H30" s="18" t="s">
        <v>23</v>
      </c>
      <c r="I30" s="18">
        <v>2205</v>
      </c>
      <c r="J30" s="18">
        <v>22</v>
      </c>
      <c r="K30" s="18">
        <f t="shared" si="1"/>
        <v>22</v>
      </c>
      <c r="L30" s="18"/>
    </row>
    <row r="31" ht="12.75" spans="1:12">
      <c r="A31" s="18">
        <f>SUBTOTAL(103,$C$6:C31)</f>
        <v>26</v>
      </c>
      <c r="B31" s="18" t="s">
        <v>107</v>
      </c>
      <c r="C31" s="18" t="s">
        <v>19</v>
      </c>
      <c r="D31" s="18" t="s">
        <v>108</v>
      </c>
      <c r="E31" s="18" t="s">
        <v>84</v>
      </c>
      <c r="F31" s="18" t="s">
        <v>85</v>
      </c>
      <c r="G31" s="18">
        <v>1</v>
      </c>
      <c r="H31" s="18" t="s">
        <v>23</v>
      </c>
      <c r="I31" s="18">
        <v>304</v>
      </c>
      <c r="J31" s="18"/>
      <c r="K31" s="18"/>
      <c r="L31" s="18" t="s">
        <v>86</v>
      </c>
    </row>
    <row r="32" ht="12.75" spans="1:12">
      <c r="A32" s="18">
        <f>SUBTOTAL(103,$C$6:C32)</f>
        <v>27</v>
      </c>
      <c r="B32" s="18" t="s">
        <v>109</v>
      </c>
      <c r="C32" s="18" t="s">
        <v>25</v>
      </c>
      <c r="D32" s="18" t="s">
        <v>110</v>
      </c>
      <c r="E32" s="18" t="s">
        <v>96</v>
      </c>
      <c r="F32" s="18"/>
      <c r="G32" s="18">
        <v>1</v>
      </c>
      <c r="H32" s="18" t="s">
        <v>23</v>
      </c>
      <c r="I32" s="18">
        <v>2205</v>
      </c>
      <c r="J32" s="18">
        <v>22</v>
      </c>
      <c r="K32" s="18">
        <f>J32*G32</f>
        <v>22</v>
      </c>
      <c r="L32" s="18" t="s">
        <v>86</v>
      </c>
    </row>
    <row r="33" s="1" customFormat="1" spans="1:12">
      <c r="A33" s="18">
        <f>SUBTOTAL(103,$C$6:C33)</f>
        <v>28</v>
      </c>
      <c r="B33" s="18" t="s">
        <v>111</v>
      </c>
      <c r="C33" s="18" t="s">
        <v>112</v>
      </c>
      <c r="D33" s="18" t="s">
        <v>113</v>
      </c>
      <c r="E33" s="18"/>
      <c r="F33" s="18"/>
      <c r="G33" s="18">
        <v>1</v>
      </c>
      <c r="H33" s="18" t="s">
        <v>23</v>
      </c>
      <c r="I33" s="18" t="s">
        <v>46</v>
      </c>
      <c r="J33" s="18"/>
      <c r="K33" s="18"/>
      <c r="L33" s="18"/>
    </row>
    <row r="34" s="1" customFormat="1" spans="1:12">
      <c r="A34" s="18">
        <f>SUBTOTAL(103,$C$6:C34)</f>
        <v>29</v>
      </c>
      <c r="B34" s="18" t="s">
        <v>114</v>
      </c>
      <c r="C34" s="18" t="s">
        <v>112</v>
      </c>
      <c r="D34" s="18" t="s">
        <v>115</v>
      </c>
      <c r="E34" s="18"/>
      <c r="F34" s="18"/>
      <c r="G34" s="18">
        <v>1</v>
      </c>
      <c r="H34" s="18" t="s">
        <v>23</v>
      </c>
      <c r="I34" s="18" t="s">
        <v>46</v>
      </c>
      <c r="J34" s="18"/>
      <c r="K34" s="18"/>
      <c r="L34" s="18"/>
    </row>
    <row r="35" s="1" customFormat="1" spans="1:12">
      <c r="A35" s="18">
        <f>SUBTOTAL(103,$C$6:C35)</f>
        <v>30</v>
      </c>
      <c r="B35" s="18" t="s">
        <v>116</v>
      </c>
      <c r="C35" s="18" t="s">
        <v>112</v>
      </c>
      <c r="D35" s="18" t="s">
        <v>117</v>
      </c>
      <c r="E35" s="18"/>
      <c r="F35" s="18"/>
      <c r="G35" s="18">
        <v>1</v>
      </c>
      <c r="H35" s="18" t="s">
        <v>23</v>
      </c>
      <c r="I35" s="18" t="s">
        <v>46</v>
      </c>
      <c r="J35" s="18"/>
      <c r="K35" s="18"/>
      <c r="L35" s="18"/>
    </row>
    <row r="36" s="1" customFormat="1" spans="1:12">
      <c r="A36" s="18">
        <v>31</v>
      </c>
      <c r="B36" s="20" t="s">
        <v>118</v>
      </c>
      <c r="C36" s="18" t="s">
        <v>112</v>
      </c>
      <c r="D36" s="18" t="s">
        <v>119</v>
      </c>
      <c r="E36" s="18"/>
      <c r="F36" s="18"/>
      <c r="G36" s="18">
        <v>1</v>
      </c>
      <c r="H36" s="18" t="s">
        <v>23</v>
      </c>
      <c r="I36" s="18" t="s">
        <v>46</v>
      </c>
      <c r="J36" s="18"/>
      <c r="K36" s="18"/>
      <c r="L36" s="18"/>
    </row>
    <row r="37" s="1" customFormat="1" ht="12.75" spans="1:12">
      <c r="A37" s="18">
        <f>SUBTOTAL(103,$C$6:C37)</f>
        <v>32</v>
      </c>
      <c r="B37" s="18" t="s">
        <v>120</v>
      </c>
      <c r="C37" s="18" t="s">
        <v>19</v>
      </c>
      <c r="D37" s="18" t="s">
        <v>121</v>
      </c>
      <c r="E37" s="18" t="s">
        <v>122</v>
      </c>
      <c r="F37" s="18" t="s">
        <v>123</v>
      </c>
      <c r="G37" s="18">
        <v>1</v>
      </c>
      <c r="H37" s="18" t="s">
        <v>23</v>
      </c>
      <c r="I37" s="18" t="s">
        <v>124</v>
      </c>
      <c r="J37" s="18"/>
      <c r="K37" s="18"/>
      <c r="L37" s="18" t="s">
        <v>125</v>
      </c>
    </row>
    <row r="38" s="1" customFormat="1" spans="1:12">
      <c r="A38" s="18">
        <f>SUBTOTAL(103,$C$6:C38)</f>
        <v>33</v>
      </c>
      <c r="B38" s="18" t="s">
        <v>126</v>
      </c>
      <c r="C38" s="18" t="s">
        <v>43</v>
      </c>
      <c r="D38" s="18" t="s">
        <v>127</v>
      </c>
      <c r="E38" s="18" t="s">
        <v>128</v>
      </c>
      <c r="F38" s="18"/>
      <c r="G38" s="18">
        <v>1</v>
      </c>
      <c r="H38" s="18" t="s">
        <v>23</v>
      </c>
      <c r="I38" s="18" t="s">
        <v>129</v>
      </c>
      <c r="J38" s="18">
        <v>0.37</v>
      </c>
      <c r="K38" s="18">
        <f t="shared" ref="K38:K42" si="2">J38*G38</f>
        <v>0.37</v>
      </c>
      <c r="L38" s="18"/>
    </row>
    <row r="39" s="1" customFormat="1" customHeight="1" spans="1:12">
      <c r="A39" s="18">
        <f>SUBTOTAL(103,$C$6:C39)</f>
        <v>34</v>
      </c>
      <c r="B39" s="18" t="s">
        <v>130</v>
      </c>
      <c r="C39" s="18" t="s">
        <v>52</v>
      </c>
      <c r="D39" s="18" t="s">
        <v>131</v>
      </c>
      <c r="E39" s="18" t="s">
        <v>54</v>
      </c>
      <c r="F39" s="18"/>
      <c r="G39" s="18">
        <v>1</v>
      </c>
      <c r="H39" s="18" t="s">
        <v>23</v>
      </c>
      <c r="I39" s="18" t="s">
        <v>132</v>
      </c>
      <c r="J39" s="18"/>
      <c r="K39" s="18"/>
      <c r="L39" s="18"/>
    </row>
    <row r="40" s="1" customFormat="1" spans="1:12">
      <c r="A40" s="18">
        <f>SUBTOTAL(103,$C$6:C40)</f>
        <v>35</v>
      </c>
      <c r="B40" s="18" t="s">
        <v>133</v>
      </c>
      <c r="C40" s="18" t="s">
        <v>19</v>
      </c>
      <c r="D40" s="18" t="s">
        <v>134</v>
      </c>
      <c r="E40" s="18" t="s">
        <v>135</v>
      </c>
      <c r="F40" s="18" t="s">
        <v>58</v>
      </c>
      <c r="G40" s="18">
        <v>1</v>
      </c>
      <c r="H40" s="18" t="s">
        <v>23</v>
      </c>
      <c r="I40" s="18" t="s">
        <v>59</v>
      </c>
      <c r="J40" s="18"/>
      <c r="K40" s="18"/>
      <c r="L40" s="18"/>
    </row>
    <row r="41" s="1" customFormat="1" spans="1:12">
      <c r="A41" s="18">
        <f>SUBTOTAL(103,$C$6:C41)</f>
        <v>36</v>
      </c>
      <c r="B41" s="18" t="s">
        <v>136</v>
      </c>
      <c r="C41" s="18" t="s">
        <v>43</v>
      </c>
      <c r="D41" s="18" t="s">
        <v>137</v>
      </c>
      <c r="E41" s="18" t="s">
        <v>138</v>
      </c>
      <c r="F41" s="18"/>
      <c r="G41" s="18">
        <v>1</v>
      </c>
      <c r="H41" s="18" t="s">
        <v>23</v>
      </c>
      <c r="I41" s="18" t="s">
        <v>63</v>
      </c>
      <c r="J41" s="18">
        <v>0.37</v>
      </c>
      <c r="K41" s="18">
        <f t="shared" si="2"/>
        <v>0.37</v>
      </c>
      <c r="L41" s="18"/>
    </row>
    <row r="42" s="1" customFormat="1" spans="1:12">
      <c r="A42" s="18">
        <f>SUBTOTAL(103,$C$6:C42)</f>
        <v>37</v>
      </c>
      <c r="B42" s="18" t="s">
        <v>139</v>
      </c>
      <c r="C42" s="18" t="s">
        <v>65</v>
      </c>
      <c r="D42" s="18" t="s">
        <v>140</v>
      </c>
      <c r="E42" s="18" t="s">
        <v>67</v>
      </c>
      <c r="F42" s="18"/>
      <c r="G42" s="18">
        <v>1</v>
      </c>
      <c r="H42" s="18" t="s">
        <v>23</v>
      </c>
      <c r="I42" s="18">
        <v>304</v>
      </c>
      <c r="J42" s="18">
        <v>0.37</v>
      </c>
      <c r="K42" s="18">
        <f t="shared" si="2"/>
        <v>0.37</v>
      </c>
      <c r="L42" s="18"/>
    </row>
    <row r="43" s="1" customFormat="1" ht="12.75" spans="1:12">
      <c r="A43" s="18">
        <f>SUBTOTAL(103,$C$6:C43)</f>
        <v>38</v>
      </c>
      <c r="B43" s="18" t="s">
        <v>141</v>
      </c>
      <c r="C43" s="18" t="s">
        <v>52</v>
      </c>
      <c r="D43" s="18" t="s">
        <v>142</v>
      </c>
      <c r="E43" s="18" t="s">
        <v>54</v>
      </c>
      <c r="F43" s="18"/>
      <c r="G43" s="18">
        <v>1</v>
      </c>
      <c r="H43" s="18" t="s">
        <v>23</v>
      </c>
      <c r="I43" s="18" t="s">
        <v>46</v>
      </c>
      <c r="J43" s="18"/>
      <c r="K43" s="18"/>
      <c r="L43" s="18"/>
    </row>
    <row r="44" s="1" customFormat="1" ht="12.75" spans="1:12">
      <c r="A44" s="18">
        <f>SUBTOTAL(103,$C$6:C44)</f>
        <v>39</v>
      </c>
      <c r="B44" s="18" t="s">
        <v>143</v>
      </c>
      <c r="C44" s="18" t="s">
        <v>19</v>
      </c>
      <c r="D44" s="18" t="s">
        <v>144</v>
      </c>
      <c r="E44" s="18" t="s">
        <v>145</v>
      </c>
      <c r="F44" s="18" t="s">
        <v>123</v>
      </c>
      <c r="G44" s="18">
        <v>12</v>
      </c>
      <c r="H44" s="18" t="s">
        <v>23</v>
      </c>
      <c r="I44" s="18">
        <v>304</v>
      </c>
      <c r="J44" s="18"/>
      <c r="K44" s="18"/>
      <c r="L44" s="18"/>
    </row>
    <row r="45" s="1" customFormat="1" spans="1:12">
      <c r="A45" s="18">
        <f>SUBTOTAL(103,$C$6:C45)</f>
        <v>40</v>
      </c>
      <c r="B45" s="18" t="s">
        <v>146</v>
      </c>
      <c r="C45" s="18" t="s">
        <v>32</v>
      </c>
      <c r="D45" s="18" t="s">
        <v>147</v>
      </c>
      <c r="E45" s="18" t="s">
        <v>148</v>
      </c>
      <c r="F45" s="19" t="s">
        <v>149</v>
      </c>
      <c r="G45" s="18">
        <v>12</v>
      </c>
      <c r="H45" s="18" t="s">
        <v>23</v>
      </c>
      <c r="I45" s="18">
        <v>304</v>
      </c>
      <c r="J45" s="18">
        <v>7.5</v>
      </c>
      <c r="K45" s="18">
        <f t="shared" ref="K45:K48" si="3">J45*G45</f>
        <v>90</v>
      </c>
      <c r="L45" s="18"/>
    </row>
    <row r="46" ht="12.75" spans="1:12">
      <c r="A46" s="18">
        <f>SUBTOTAL(103,$C$6:C46)</f>
        <v>41</v>
      </c>
      <c r="B46" s="18" t="s">
        <v>150</v>
      </c>
      <c r="C46" s="18" t="s">
        <v>25</v>
      </c>
      <c r="D46" s="18" t="s">
        <v>151</v>
      </c>
      <c r="E46" s="18" t="s">
        <v>152</v>
      </c>
      <c r="F46" s="18"/>
      <c r="G46" s="18">
        <v>1</v>
      </c>
      <c r="H46" s="18" t="s">
        <v>23</v>
      </c>
      <c r="I46" s="18">
        <v>2205</v>
      </c>
      <c r="J46" s="18">
        <v>22</v>
      </c>
      <c r="K46" s="18">
        <f t="shared" si="3"/>
        <v>22</v>
      </c>
      <c r="L46" s="18"/>
    </row>
    <row r="47" ht="12.75" spans="1:12">
      <c r="A47" s="18">
        <f>SUBTOTAL(103,$C$6:C47)</f>
        <v>42</v>
      </c>
      <c r="B47" s="18" t="s">
        <v>153</v>
      </c>
      <c r="C47" s="18" t="s">
        <v>25</v>
      </c>
      <c r="D47" s="18" t="s">
        <v>154</v>
      </c>
      <c r="E47" s="18" t="s">
        <v>155</v>
      </c>
      <c r="F47" s="18"/>
      <c r="G47" s="18">
        <v>1</v>
      </c>
      <c r="H47" s="18" t="s">
        <v>23</v>
      </c>
      <c r="I47" s="18">
        <v>2205</v>
      </c>
      <c r="J47" s="18">
        <v>15</v>
      </c>
      <c r="K47" s="18">
        <f t="shared" si="3"/>
        <v>15</v>
      </c>
      <c r="L47" s="18"/>
    </row>
    <row r="48" ht="12.75" spans="1:12">
      <c r="A48" s="18">
        <f>SUBTOTAL(103,$C$6:C48)</f>
        <v>43</v>
      </c>
      <c r="B48" s="18" t="s">
        <v>156</v>
      </c>
      <c r="C48" s="18" t="s">
        <v>25</v>
      </c>
      <c r="D48" s="18" t="s">
        <v>157</v>
      </c>
      <c r="E48" s="18" t="s">
        <v>158</v>
      </c>
      <c r="F48" s="18"/>
      <c r="G48" s="18">
        <v>1</v>
      </c>
      <c r="H48" s="18" t="s">
        <v>23</v>
      </c>
      <c r="I48" s="18">
        <v>2205</v>
      </c>
      <c r="J48" s="18">
        <v>11</v>
      </c>
      <c r="K48" s="18">
        <f t="shared" si="3"/>
        <v>11</v>
      </c>
      <c r="L48" s="18"/>
    </row>
    <row r="49" spans="1:12">
      <c r="A49" s="14" t="s">
        <v>159</v>
      </c>
      <c r="B49" s="14" t="s">
        <v>160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s="1" customFormat="1" ht="12.75" spans="1:12">
      <c r="A50" s="18">
        <v>1</v>
      </c>
      <c r="B50" s="18" t="s">
        <v>161</v>
      </c>
      <c r="C50" s="18" t="s">
        <v>19</v>
      </c>
      <c r="D50" s="18" t="s">
        <v>162</v>
      </c>
      <c r="E50" s="19" t="s">
        <v>21</v>
      </c>
      <c r="F50" s="19" t="s">
        <v>22</v>
      </c>
      <c r="G50" s="18">
        <v>2</v>
      </c>
      <c r="H50" s="18" t="s">
        <v>23</v>
      </c>
      <c r="I50" s="18">
        <v>304</v>
      </c>
      <c r="J50" s="18"/>
      <c r="K50" s="18"/>
      <c r="L50" s="18"/>
    </row>
    <row r="51" s="1" customFormat="1" spans="1:12">
      <c r="A51" s="18">
        <v>2</v>
      </c>
      <c r="B51" s="18" t="s">
        <v>163</v>
      </c>
      <c r="C51" s="18" t="s">
        <v>32</v>
      </c>
      <c r="D51" s="18" t="s">
        <v>164</v>
      </c>
      <c r="E51" s="19" t="s">
        <v>165</v>
      </c>
      <c r="F51" s="19" t="s">
        <v>149</v>
      </c>
      <c r="G51" s="18">
        <v>2</v>
      </c>
      <c r="H51" s="18" t="s">
        <v>23</v>
      </c>
      <c r="I51" s="18">
        <v>304</v>
      </c>
      <c r="J51" s="18">
        <v>1.5</v>
      </c>
      <c r="K51" s="18">
        <f>J51*G51</f>
        <v>3</v>
      </c>
      <c r="L51" s="18"/>
    </row>
    <row r="52" s="1" customFormat="1" ht="12.75" spans="1:12">
      <c r="A52" s="18">
        <v>3</v>
      </c>
      <c r="B52" s="18" t="s">
        <v>166</v>
      </c>
      <c r="C52" s="18" t="s">
        <v>25</v>
      </c>
      <c r="D52" s="18" t="s">
        <v>167</v>
      </c>
      <c r="E52" s="18" t="s">
        <v>168</v>
      </c>
      <c r="F52" s="18"/>
      <c r="G52" s="18">
        <v>1</v>
      </c>
      <c r="H52" s="18" t="s">
        <v>23</v>
      </c>
      <c r="I52" s="18">
        <v>2205</v>
      </c>
      <c r="J52" s="18">
        <v>11</v>
      </c>
      <c r="K52" s="18">
        <f>J52*G52</f>
        <v>11</v>
      </c>
      <c r="L52" s="18"/>
    </row>
    <row r="53" ht="12.75" spans="1:12">
      <c r="A53" s="18">
        <v>4</v>
      </c>
      <c r="B53" s="18" t="s">
        <v>169</v>
      </c>
      <c r="C53" s="18" t="s">
        <v>170</v>
      </c>
      <c r="D53" s="18" t="s">
        <v>171</v>
      </c>
      <c r="E53" s="18" t="s">
        <v>172</v>
      </c>
      <c r="F53" s="18"/>
      <c r="G53" s="18">
        <v>2</v>
      </c>
      <c r="H53" s="18" t="s">
        <v>23</v>
      </c>
      <c r="I53" s="18">
        <v>304</v>
      </c>
      <c r="J53" s="18">
        <v>93.5</v>
      </c>
      <c r="K53" s="18">
        <f>J53*G53</f>
        <v>187</v>
      </c>
      <c r="L53" s="18"/>
    </row>
    <row r="54" s="2" customFormat="1" ht="12.75" spans="1:12">
      <c r="A54" s="18">
        <v>5</v>
      </c>
      <c r="B54" s="18" t="s">
        <v>173</v>
      </c>
      <c r="C54" s="18" t="s">
        <v>170</v>
      </c>
      <c r="D54" s="18" t="s">
        <v>174</v>
      </c>
      <c r="E54" s="18" t="s">
        <v>172</v>
      </c>
      <c r="F54" s="18"/>
      <c r="G54" s="18">
        <v>1</v>
      </c>
      <c r="H54" s="18" t="s">
        <v>23</v>
      </c>
      <c r="I54" s="18">
        <v>304</v>
      </c>
      <c r="J54" s="18">
        <v>108</v>
      </c>
      <c r="K54" s="18">
        <f>J54*G54</f>
        <v>108</v>
      </c>
      <c r="L54" s="18"/>
    </row>
    <row r="55" s="1" customFormat="1" ht="12.75" spans="1:12">
      <c r="A55" s="18">
        <v>6</v>
      </c>
      <c r="B55" s="18" t="s">
        <v>175</v>
      </c>
      <c r="C55" s="18" t="s">
        <v>19</v>
      </c>
      <c r="D55" s="18" t="s">
        <v>176</v>
      </c>
      <c r="E55" s="19" t="s">
        <v>21</v>
      </c>
      <c r="F55" s="19" t="s">
        <v>22</v>
      </c>
      <c r="G55" s="18">
        <v>1</v>
      </c>
      <c r="H55" s="18" t="s">
        <v>23</v>
      </c>
      <c r="I55" s="18">
        <v>304</v>
      </c>
      <c r="J55" s="18"/>
      <c r="K55" s="18"/>
      <c r="L55" s="18"/>
    </row>
    <row r="56" s="1" customFormat="1" spans="1:12">
      <c r="A56" s="18">
        <v>7</v>
      </c>
      <c r="B56" s="18" t="s">
        <v>177</v>
      </c>
      <c r="C56" s="18" t="s">
        <v>32</v>
      </c>
      <c r="D56" s="18" t="s">
        <v>178</v>
      </c>
      <c r="E56" s="19" t="s">
        <v>165</v>
      </c>
      <c r="F56" s="19" t="s">
        <v>149</v>
      </c>
      <c r="G56" s="18">
        <v>1</v>
      </c>
      <c r="H56" s="18" t="s">
        <v>23</v>
      </c>
      <c r="I56" s="18">
        <v>304</v>
      </c>
      <c r="J56" s="18">
        <v>1.5</v>
      </c>
      <c r="K56" s="18">
        <f t="shared" ref="K56:K60" si="4">J56*G56</f>
        <v>1.5</v>
      </c>
      <c r="L56" s="18"/>
    </row>
    <row r="57" s="1" customFormat="1" ht="12.75" spans="1:12">
      <c r="A57" s="18">
        <v>8</v>
      </c>
      <c r="B57" s="18" t="s">
        <v>179</v>
      </c>
      <c r="C57" s="18" t="s">
        <v>25</v>
      </c>
      <c r="D57" s="18" t="s">
        <v>180</v>
      </c>
      <c r="E57" s="18" t="s">
        <v>168</v>
      </c>
      <c r="F57" s="18"/>
      <c r="G57" s="18">
        <v>1</v>
      </c>
      <c r="H57" s="18" t="s">
        <v>23</v>
      </c>
      <c r="I57" s="18">
        <v>2205</v>
      </c>
      <c r="J57" s="18">
        <v>15</v>
      </c>
      <c r="K57" s="18">
        <f t="shared" si="4"/>
        <v>15</v>
      </c>
      <c r="L57" s="18"/>
    </row>
    <row r="58" spans="1:12">
      <c r="A58" s="18">
        <v>9</v>
      </c>
      <c r="B58" s="18" t="s">
        <v>181</v>
      </c>
      <c r="C58" s="18" t="s">
        <v>182</v>
      </c>
      <c r="D58" s="18" t="s">
        <v>183</v>
      </c>
      <c r="E58" s="18" t="s">
        <v>184</v>
      </c>
      <c r="F58" s="18"/>
      <c r="G58" s="18">
        <v>1</v>
      </c>
      <c r="H58" s="18" t="s">
        <v>23</v>
      </c>
      <c r="I58" s="18">
        <v>304</v>
      </c>
      <c r="J58" s="18">
        <v>5.5</v>
      </c>
      <c r="K58" s="18">
        <f t="shared" si="4"/>
        <v>5.5</v>
      </c>
      <c r="L58" s="18"/>
    </row>
    <row r="59" ht="12.75" spans="1:12">
      <c r="A59" s="18">
        <v>10</v>
      </c>
      <c r="B59" s="18" t="s">
        <v>185</v>
      </c>
      <c r="C59" s="18" t="s">
        <v>19</v>
      </c>
      <c r="D59" s="18" t="s">
        <v>186</v>
      </c>
      <c r="E59" s="19" t="s">
        <v>21</v>
      </c>
      <c r="F59" s="19" t="s">
        <v>22</v>
      </c>
      <c r="G59" s="18">
        <v>2</v>
      </c>
      <c r="H59" s="18" t="s">
        <v>23</v>
      </c>
      <c r="I59" s="18">
        <v>304</v>
      </c>
      <c r="J59" s="18"/>
      <c r="K59" s="18"/>
      <c r="L59" s="18"/>
    </row>
    <row r="60" ht="12.75" spans="1:12">
      <c r="A60" s="18">
        <v>11</v>
      </c>
      <c r="B60" s="18" t="s">
        <v>187</v>
      </c>
      <c r="C60" s="18" t="s">
        <v>188</v>
      </c>
      <c r="D60" s="18" t="s">
        <v>189</v>
      </c>
      <c r="E60" s="18" t="s">
        <v>190</v>
      </c>
      <c r="F60" s="18"/>
      <c r="G60" s="18">
        <v>1</v>
      </c>
      <c r="H60" s="18" t="s">
        <v>191</v>
      </c>
      <c r="I60" s="18" t="s">
        <v>46</v>
      </c>
      <c r="J60" s="18">
        <v>620</v>
      </c>
      <c r="K60" s="18">
        <f t="shared" si="4"/>
        <v>620</v>
      </c>
      <c r="L60" s="18" t="s">
        <v>192</v>
      </c>
    </row>
    <row r="61" ht="12.75" spans="1:12">
      <c r="A61" s="18">
        <v>12</v>
      </c>
      <c r="B61" s="18" t="s">
        <v>193</v>
      </c>
      <c r="C61" s="18" t="s">
        <v>19</v>
      </c>
      <c r="D61" s="18" t="s">
        <v>194</v>
      </c>
      <c r="E61" s="19" t="s">
        <v>21</v>
      </c>
      <c r="F61" s="19" t="s">
        <v>22</v>
      </c>
      <c r="G61" s="18">
        <v>2</v>
      </c>
      <c r="H61" s="18" t="s">
        <v>23</v>
      </c>
      <c r="I61" s="18">
        <v>304</v>
      </c>
      <c r="J61" s="18"/>
      <c r="K61" s="18"/>
      <c r="L61" s="25"/>
    </row>
    <row r="62" ht="12.75" spans="1:12">
      <c r="A62" s="18">
        <v>13</v>
      </c>
      <c r="B62" s="18" t="s">
        <v>195</v>
      </c>
      <c r="C62" s="18" t="s">
        <v>25</v>
      </c>
      <c r="D62" s="18" t="s">
        <v>196</v>
      </c>
      <c r="E62" s="18" t="s">
        <v>197</v>
      </c>
      <c r="F62" s="18"/>
      <c r="G62" s="18">
        <v>1</v>
      </c>
      <c r="H62" s="18" t="s">
        <v>23</v>
      </c>
      <c r="I62" s="18">
        <v>2205</v>
      </c>
      <c r="J62" s="18">
        <v>18.5</v>
      </c>
      <c r="K62" s="18">
        <f>J62*G62</f>
        <v>18.5</v>
      </c>
      <c r="L62" s="18"/>
    </row>
    <row r="63" spans="1:12">
      <c r="A63" s="14" t="s">
        <v>198</v>
      </c>
      <c r="B63" s="14" t="s">
        <v>199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ht="12.75" spans="1:12">
      <c r="A64" s="18">
        <v>1</v>
      </c>
      <c r="B64" s="18" t="s">
        <v>200</v>
      </c>
      <c r="C64" s="18" t="s">
        <v>201</v>
      </c>
      <c r="D64" s="18" t="s">
        <v>202</v>
      </c>
      <c r="E64" s="19" t="s">
        <v>203</v>
      </c>
      <c r="F64" s="19" t="s">
        <v>22</v>
      </c>
      <c r="G64" s="18">
        <v>2</v>
      </c>
      <c r="H64" s="18" t="s">
        <v>23</v>
      </c>
      <c r="I64" s="18">
        <v>304</v>
      </c>
      <c r="J64" s="18"/>
      <c r="K64" s="18"/>
      <c r="L64" s="26" t="s">
        <v>204</v>
      </c>
    </row>
    <row r="65" ht="12.75" spans="1:12">
      <c r="A65" s="18">
        <v>2</v>
      </c>
      <c r="B65" s="18" t="s">
        <v>205</v>
      </c>
      <c r="C65" s="18" t="s">
        <v>19</v>
      </c>
      <c r="D65" s="18" t="s">
        <v>206</v>
      </c>
      <c r="E65" s="19" t="s">
        <v>21</v>
      </c>
      <c r="F65" s="19" t="s">
        <v>22</v>
      </c>
      <c r="G65" s="18">
        <v>2</v>
      </c>
      <c r="H65" s="18" t="s">
        <v>23</v>
      </c>
      <c r="I65" s="18" t="s">
        <v>46</v>
      </c>
      <c r="J65" s="18"/>
      <c r="K65" s="18"/>
      <c r="L65" s="18"/>
    </row>
    <row r="66" ht="12.75" spans="1:12">
      <c r="A66" s="18">
        <v>3</v>
      </c>
      <c r="B66" s="18" t="s">
        <v>207</v>
      </c>
      <c r="C66" s="18" t="s">
        <v>25</v>
      </c>
      <c r="D66" s="18" t="s">
        <v>208</v>
      </c>
      <c r="E66" s="18" t="s">
        <v>197</v>
      </c>
      <c r="F66" s="18"/>
      <c r="G66" s="18">
        <v>1</v>
      </c>
      <c r="H66" s="18" t="s">
        <v>23</v>
      </c>
      <c r="I66" s="18">
        <v>2205</v>
      </c>
      <c r="J66" s="18">
        <v>18.5</v>
      </c>
      <c r="K66" s="18">
        <f>J66*G66</f>
        <v>18.5</v>
      </c>
      <c r="L66" s="18"/>
    </row>
    <row r="67" ht="11" customHeight="1" spans="1:12">
      <c r="A67" s="18">
        <v>4</v>
      </c>
      <c r="B67" s="18" t="s">
        <v>209</v>
      </c>
      <c r="C67" s="18" t="s">
        <v>48</v>
      </c>
      <c r="D67" s="18" t="s">
        <v>210</v>
      </c>
      <c r="E67" s="18" t="s">
        <v>211</v>
      </c>
      <c r="F67" s="18"/>
      <c r="G67" s="18">
        <v>3</v>
      </c>
      <c r="H67" s="18" t="s">
        <v>23</v>
      </c>
      <c r="I67" s="18">
        <v>304</v>
      </c>
      <c r="J67" s="18">
        <f>1.1+0.75</f>
        <v>1.85</v>
      </c>
      <c r="K67" s="18">
        <f>J67*G67</f>
        <v>5.55</v>
      </c>
      <c r="L67" s="18"/>
    </row>
    <row r="68" ht="12.75" spans="1:12">
      <c r="A68" s="18">
        <v>5</v>
      </c>
      <c r="B68" s="18" t="s">
        <v>212</v>
      </c>
      <c r="C68" s="18" t="s">
        <v>19</v>
      </c>
      <c r="D68" s="18" t="s">
        <v>213</v>
      </c>
      <c r="E68" s="18" t="s">
        <v>214</v>
      </c>
      <c r="F68" s="19" t="s">
        <v>58</v>
      </c>
      <c r="G68" s="18">
        <v>1</v>
      </c>
      <c r="H68" s="18" t="s">
        <v>23</v>
      </c>
      <c r="I68" s="18">
        <v>304</v>
      </c>
      <c r="J68" s="18"/>
      <c r="K68" s="18"/>
      <c r="L68" s="18"/>
    </row>
    <row r="69" spans="1:12">
      <c r="A69" s="18">
        <v>6</v>
      </c>
      <c r="B69" s="18" t="s">
        <v>215</v>
      </c>
      <c r="C69" s="18" t="s">
        <v>32</v>
      </c>
      <c r="D69" s="18" t="s">
        <v>216</v>
      </c>
      <c r="E69" s="18" t="s">
        <v>217</v>
      </c>
      <c r="F69" s="19" t="s">
        <v>149</v>
      </c>
      <c r="G69" s="18">
        <v>1</v>
      </c>
      <c r="H69" s="18" t="s">
        <v>23</v>
      </c>
      <c r="I69" s="18">
        <v>304</v>
      </c>
      <c r="J69" s="18">
        <v>1.5</v>
      </c>
      <c r="K69" s="18">
        <f>J69*G69</f>
        <v>1.5</v>
      </c>
      <c r="L69" s="18"/>
    </row>
    <row r="70" ht="12.75" spans="1:12">
      <c r="A70" s="18">
        <v>7</v>
      </c>
      <c r="B70" s="18" t="s">
        <v>218</v>
      </c>
      <c r="C70" s="18" t="s">
        <v>25</v>
      </c>
      <c r="D70" s="18" t="s">
        <v>219</v>
      </c>
      <c r="E70" s="18" t="s">
        <v>27</v>
      </c>
      <c r="F70" s="18"/>
      <c r="G70" s="18">
        <v>1</v>
      </c>
      <c r="H70" s="18" t="s">
        <v>23</v>
      </c>
      <c r="I70" s="18">
        <v>2205</v>
      </c>
      <c r="J70" s="18">
        <v>5.5</v>
      </c>
      <c r="K70" s="18">
        <f>J70*G70</f>
        <v>5.5</v>
      </c>
      <c r="L70" s="18"/>
    </row>
    <row r="71" s="2" customFormat="1" ht="12.75" spans="1:12">
      <c r="A71" s="18">
        <v>8</v>
      </c>
      <c r="B71" s="18" t="s">
        <v>220</v>
      </c>
      <c r="C71" s="18" t="s">
        <v>19</v>
      </c>
      <c r="D71" s="18" t="s">
        <v>221</v>
      </c>
      <c r="E71" s="18" t="s">
        <v>222</v>
      </c>
      <c r="F71" s="19" t="s">
        <v>223</v>
      </c>
      <c r="G71" s="18">
        <v>1</v>
      </c>
      <c r="H71" s="18" t="s">
        <v>23</v>
      </c>
      <c r="I71" s="18">
        <v>304</v>
      </c>
      <c r="J71" s="18"/>
      <c r="K71" s="18"/>
      <c r="L71" s="18"/>
    </row>
    <row r="72" s="2" customFormat="1" spans="1:12">
      <c r="A72" s="18">
        <v>9</v>
      </c>
      <c r="B72" s="18" t="s">
        <v>224</v>
      </c>
      <c r="C72" s="18" t="s">
        <v>32</v>
      </c>
      <c r="D72" s="18" t="s">
        <v>225</v>
      </c>
      <c r="E72" s="18" t="s">
        <v>226</v>
      </c>
      <c r="F72" s="19" t="s">
        <v>149</v>
      </c>
      <c r="G72" s="18">
        <v>1</v>
      </c>
      <c r="H72" s="18" t="s">
        <v>23</v>
      </c>
      <c r="I72" s="18">
        <v>304</v>
      </c>
      <c r="J72" s="18">
        <v>1.1</v>
      </c>
      <c r="K72" s="18">
        <f>J72*G72</f>
        <v>1.1</v>
      </c>
      <c r="L72" s="18"/>
    </row>
    <row r="73" s="2" customFormat="1" ht="12.75" spans="1:12">
      <c r="A73" s="18">
        <v>10</v>
      </c>
      <c r="B73" s="18" t="s">
        <v>227</v>
      </c>
      <c r="C73" s="18" t="s">
        <v>25</v>
      </c>
      <c r="D73" s="18" t="s">
        <v>228</v>
      </c>
      <c r="E73" s="18" t="s">
        <v>229</v>
      </c>
      <c r="F73" s="18"/>
      <c r="G73" s="18">
        <v>1</v>
      </c>
      <c r="H73" s="18" t="s">
        <v>23</v>
      </c>
      <c r="I73" s="18">
        <v>2205</v>
      </c>
      <c r="J73" s="18">
        <v>7.5</v>
      </c>
      <c r="K73" s="18">
        <f>J73*G73</f>
        <v>7.5</v>
      </c>
      <c r="L73" s="18"/>
    </row>
    <row r="74" s="1" customFormat="1" spans="1:12">
      <c r="A74" s="14" t="s">
        <v>230</v>
      </c>
      <c r="B74" s="14" t="s">
        <v>231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 ht="12.75" spans="1:12">
      <c r="A75" s="18">
        <v>1</v>
      </c>
      <c r="B75" s="18" t="s">
        <v>232</v>
      </c>
      <c r="C75" s="18" t="s">
        <v>19</v>
      </c>
      <c r="D75" s="18" t="s">
        <v>233</v>
      </c>
      <c r="E75" s="19" t="s">
        <v>21</v>
      </c>
      <c r="F75" s="19" t="s">
        <v>22</v>
      </c>
      <c r="G75" s="18">
        <v>1</v>
      </c>
      <c r="H75" s="18" t="s">
        <v>23</v>
      </c>
      <c r="I75" s="18">
        <v>304</v>
      </c>
      <c r="J75" s="18"/>
      <c r="K75" s="18"/>
      <c r="L75" s="18"/>
    </row>
    <row r="76" ht="12.75" spans="1:12">
      <c r="A76" s="18">
        <v>2</v>
      </c>
      <c r="B76" s="18" t="s">
        <v>234</v>
      </c>
      <c r="C76" s="18" t="s">
        <v>25</v>
      </c>
      <c r="D76" s="18" t="s">
        <v>235</v>
      </c>
      <c r="E76" s="18" t="s">
        <v>96</v>
      </c>
      <c r="F76" s="18"/>
      <c r="G76" s="18">
        <v>1</v>
      </c>
      <c r="H76" s="18" t="s">
        <v>23</v>
      </c>
      <c r="I76" s="18">
        <v>2205</v>
      </c>
      <c r="J76" s="18">
        <v>22</v>
      </c>
      <c r="K76" s="18">
        <f>J76*G76</f>
        <v>22</v>
      </c>
      <c r="L76" s="18"/>
    </row>
    <row r="77" s="2" customFormat="1" spans="1:12">
      <c r="A77" s="18">
        <v>3</v>
      </c>
      <c r="B77" s="18" t="s">
        <v>236</v>
      </c>
      <c r="C77" s="18" t="s">
        <v>48</v>
      </c>
      <c r="D77" s="18" t="s">
        <v>237</v>
      </c>
      <c r="E77" s="18" t="s">
        <v>238</v>
      </c>
      <c r="F77" s="18"/>
      <c r="G77" s="18">
        <v>3</v>
      </c>
      <c r="H77" s="18" t="s">
        <v>23</v>
      </c>
      <c r="I77" s="18">
        <v>304</v>
      </c>
      <c r="J77" s="18"/>
      <c r="K77" s="18"/>
      <c r="L77" s="18"/>
    </row>
    <row r="78" s="1" customFormat="1" spans="1:12">
      <c r="A78" s="18">
        <v>4</v>
      </c>
      <c r="B78" s="18" t="s">
        <v>239</v>
      </c>
      <c r="C78" s="18" t="s">
        <v>112</v>
      </c>
      <c r="D78" s="18" t="s">
        <v>240</v>
      </c>
      <c r="E78" s="18"/>
      <c r="F78" s="18"/>
      <c r="G78" s="18">
        <v>1</v>
      </c>
      <c r="H78" s="18" t="s">
        <v>23</v>
      </c>
      <c r="I78" s="18" t="s">
        <v>46</v>
      </c>
      <c r="J78" s="18"/>
      <c r="K78" s="18"/>
      <c r="L78" s="18"/>
    </row>
    <row r="79" s="1" customFormat="1" spans="1:12">
      <c r="A79" s="18">
        <v>5</v>
      </c>
      <c r="B79" s="18" t="s">
        <v>241</v>
      </c>
      <c r="C79" s="18" t="s">
        <v>112</v>
      </c>
      <c r="D79" s="18" t="s">
        <v>242</v>
      </c>
      <c r="E79" s="18"/>
      <c r="F79" s="18"/>
      <c r="G79" s="18">
        <v>1</v>
      </c>
      <c r="H79" s="18" t="s">
        <v>23</v>
      </c>
      <c r="I79" s="18" t="s">
        <v>46</v>
      </c>
      <c r="J79" s="18"/>
      <c r="K79" s="18"/>
      <c r="L79" s="18"/>
    </row>
    <row r="80" s="1" customFormat="1" ht="12.75" spans="1:12">
      <c r="A80" s="18">
        <v>6</v>
      </c>
      <c r="B80" s="18" t="s">
        <v>243</v>
      </c>
      <c r="C80" s="18" t="s">
        <v>244</v>
      </c>
      <c r="D80" s="18" t="s">
        <v>245</v>
      </c>
      <c r="E80" s="18" t="s">
        <v>246</v>
      </c>
      <c r="F80" s="18"/>
      <c r="G80" s="18">
        <v>1</v>
      </c>
      <c r="H80" s="18" t="s">
        <v>191</v>
      </c>
      <c r="I80" s="18" t="s">
        <v>247</v>
      </c>
      <c r="J80" s="18"/>
      <c r="K80" s="18"/>
      <c r="L80" s="18" t="s">
        <v>248</v>
      </c>
    </row>
    <row r="81" s="1" customFormat="1" ht="12.75" spans="1:12">
      <c r="A81" s="18">
        <v>7</v>
      </c>
      <c r="B81" s="18" t="s">
        <v>249</v>
      </c>
      <c r="C81" s="18" t="s">
        <v>19</v>
      </c>
      <c r="D81" s="18" t="s">
        <v>250</v>
      </c>
      <c r="E81" s="19" t="s">
        <v>251</v>
      </c>
      <c r="F81" s="18"/>
      <c r="G81" s="18">
        <v>2</v>
      </c>
      <c r="H81" s="18" t="s">
        <v>23</v>
      </c>
      <c r="I81" s="18" t="s">
        <v>247</v>
      </c>
      <c r="J81" s="18"/>
      <c r="K81" s="18"/>
      <c r="L81" s="18" t="s">
        <v>248</v>
      </c>
    </row>
    <row r="82" s="1" customFormat="1" ht="12.75" spans="1:12">
      <c r="A82" s="18">
        <v>8</v>
      </c>
      <c r="B82" s="18" t="s">
        <v>252</v>
      </c>
      <c r="C82" s="18" t="s">
        <v>25</v>
      </c>
      <c r="D82" s="18" t="s">
        <v>253</v>
      </c>
      <c r="E82" s="18" t="s">
        <v>254</v>
      </c>
      <c r="F82" s="18"/>
      <c r="G82" s="18">
        <v>2</v>
      </c>
      <c r="H82" s="18" t="s">
        <v>23</v>
      </c>
      <c r="I82" s="18">
        <v>2205</v>
      </c>
      <c r="J82" s="18">
        <v>4</v>
      </c>
      <c r="K82" s="18">
        <f>J82*G82</f>
        <v>8</v>
      </c>
      <c r="L82" s="18" t="s">
        <v>248</v>
      </c>
    </row>
    <row r="83" s="1" customFormat="1" spans="1:12">
      <c r="A83" s="18">
        <v>9</v>
      </c>
      <c r="B83" s="18" t="s">
        <v>255</v>
      </c>
      <c r="C83" s="18" t="s">
        <v>25</v>
      </c>
      <c r="D83" s="18" t="s">
        <v>256</v>
      </c>
      <c r="E83" s="18" t="s">
        <v>257</v>
      </c>
      <c r="F83" s="18"/>
      <c r="G83" s="18">
        <v>1</v>
      </c>
      <c r="H83" s="18" t="s">
        <v>23</v>
      </c>
      <c r="I83" s="18">
        <v>2205</v>
      </c>
      <c r="J83" s="18">
        <v>15</v>
      </c>
      <c r="K83" s="18">
        <f>J83*G83</f>
        <v>15</v>
      </c>
      <c r="L83" s="18" t="s">
        <v>248</v>
      </c>
    </row>
    <row r="84" ht="12.75" spans="1:12">
      <c r="A84" s="18">
        <v>10</v>
      </c>
      <c r="B84" s="18" t="s">
        <v>258</v>
      </c>
      <c r="C84" s="18" t="s">
        <v>19</v>
      </c>
      <c r="D84" s="18" t="s">
        <v>259</v>
      </c>
      <c r="E84" s="19" t="s">
        <v>21</v>
      </c>
      <c r="F84" s="19" t="s">
        <v>22</v>
      </c>
      <c r="G84" s="18">
        <v>2</v>
      </c>
      <c r="H84" s="18" t="s">
        <v>23</v>
      </c>
      <c r="I84" s="18">
        <v>304</v>
      </c>
      <c r="J84" s="18"/>
      <c r="K84" s="18"/>
      <c r="L84" s="18"/>
    </row>
    <row r="85" spans="1:12">
      <c r="A85" s="18">
        <v>11</v>
      </c>
      <c r="B85" s="18" t="s">
        <v>260</v>
      </c>
      <c r="C85" s="18" t="s">
        <v>32</v>
      </c>
      <c r="D85" s="18" t="s">
        <v>261</v>
      </c>
      <c r="E85" s="19" t="s">
        <v>165</v>
      </c>
      <c r="F85" s="19" t="s">
        <v>149</v>
      </c>
      <c r="G85" s="18">
        <v>2</v>
      </c>
      <c r="H85" s="18" t="s">
        <v>23</v>
      </c>
      <c r="I85" s="18">
        <v>304</v>
      </c>
      <c r="J85" s="18">
        <v>2.2</v>
      </c>
      <c r="K85" s="18">
        <f>J85*G85</f>
        <v>4.4</v>
      </c>
      <c r="L85" s="18"/>
    </row>
    <row r="86" ht="12.75" spans="1:12">
      <c r="A86" s="18">
        <v>12</v>
      </c>
      <c r="B86" s="18" t="s">
        <v>262</v>
      </c>
      <c r="C86" s="18" t="s">
        <v>25</v>
      </c>
      <c r="D86" s="18" t="s">
        <v>263</v>
      </c>
      <c r="E86" s="18" t="s">
        <v>264</v>
      </c>
      <c r="F86" s="18"/>
      <c r="G86" s="18">
        <v>1</v>
      </c>
      <c r="H86" s="18" t="s">
        <v>23</v>
      </c>
      <c r="I86" s="18">
        <v>2205</v>
      </c>
      <c r="J86" s="18">
        <v>30</v>
      </c>
      <c r="K86" s="18">
        <f>J86*G86</f>
        <v>30</v>
      </c>
      <c r="L86" s="18"/>
    </row>
    <row r="87" spans="1:12">
      <c r="A87" s="18">
        <v>13</v>
      </c>
      <c r="B87" s="18" t="s">
        <v>265</v>
      </c>
      <c r="C87" s="18" t="s">
        <v>48</v>
      </c>
      <c r="D87" s="18" t="s">
        <v>266</v>
      </c>
      <c r="E87" s="18" t="s">
        <v>267</v>
      </c>
      <c r="F87" s="18"/>
      <c r="G87" s="18">
        <v>3</v>
      </c>
      <c r="H87" s="18" t="s">
        <v>23</v>
      </c>
      <c r="I87" s="18">
        <v>304</v>
      </c>
      <c r="J87" s="18"/>
      <c r="K87" s="18"/>
      <c r="L87" s="18"/>
    </row>
    <row r="88" ht="12.75" spans="1:12">
      <c r="A88" s="18">
        <v>14</v>
      </c>
      <c r="B88" s="18" t="s">
        <v>268</v>
      </c>
      <c r="C88" s="18" t="s">
        <v>19</v>
      </c>
      <c r="D88" s="18" t="s">
        <v>269</v>
      </c>
      <c r="E88" s="19" t="s">
        <v>21</v>
      </c>
      <c r="F88" s="19" t="s">
        <v>22</v>
      </c>
      <c r="G88" s="18">
        <v>1</v>
      </c>
      <c r="H88" s="18" t="s">
        <v>23</v>
      </c>
      <c r="I88" s="18" t="s">
        <v>46</v>
      </c>
      <c r="J88" s="18"/>
      <c r="K88" s="18"/>
      <c r="L88" s="18"/>
    </row>
    <row r="89" ht="12.75" spans="1:12">
      <c r="A89" s="18">
        <v>15</v>
      </c>
      <c r="B89" s="18" t="s">
        <v>270</v>
      </c>
      <c r="C89" s="18" t="s">
        <v>25</v>
      </c>
      <c r="D89" s="18" t="s">
        <v>271</v>
      </c>
      <c r="E89" s="18" t="s">
        <v>272</v>
      </c>
      <c r="F89" s="18"/>
      <c r="G89" s="18">
        <v>1</v>
      </c>
      <c r="H89" s="18" t="s">
        <v>23</v>
      </c>
      <c r="I89" s="18">
        <v>2205</v>
      </c>
      <c r="J89" s="18">
        <v>11</v>
      </c>
      <c r="K89" s="18">
        <f>J89*G89</f>
        <v>11</v>
      </c>
      <c r="L89" s="18"/>
    </row>
    <row r="90" spans="1:12">
      <c r="A90" s="14" t="s">
        <v>273</v>
      </c>
      <c r="B90" s="14" t="s">
        <v>274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spans="1:12">
      <c r="A91" s="18">
        <v>1</v>
      </c>
      <c r="B91" s="18" t="s">
        <v>275</v>
      </c>
      <c r="C91" s="18" t="s">
        <v>112</v>
      </c>
      <c r="D91" s="18" t="s">
        <v>276</v>
      </c>
      <c r="E91" s="18" t="s">
        <v>277</v>
      </c>
      <c r="F91" s="18"/>
      <c r="G91" s="18">
        <v>1</v>
      </c>
      <c r="H91" s="18" t="s">
        <v>23</v>
      </c>
      <c r="I91" s="18" t="s">
        <v>46</v>
      </c>
      <c r="J91" s="18"/>
      <c r="K91" s="18"/>
      <c r="L91" s="18" t="s">
        <v>86</v>
      </c>
    </row>
    <row r="92" spans="1:12">
      <c r="A92" s="18">
        <v>2</v>
      </c>
      <c r="B92" s="18" t="s">
        <v>278</v>
      </c>
      <c r="C92" s="18" t="s">
        <v>112</v>
      </c>
      <c r="D92" s="18" t="s">
        <v>279</v>
      </c>
      <c r="E92" s="18" t="s">
        <v>280</v>
      </c>
      <c r="F92" s="18"/>
      <c r="G92" s="18">
        <v>1</v>
      </c>
      <c r="H92" s="18" t="s">
        <v>23</v>
      </c>
      <c r="I92" s="18" t="s">
        <v>46</v>
      </c>
      <c r="J92" s="18"/>
      <c r="K92" s="18"/>
      <c r="L92" s="18"/>
    </row>
    <row r="93" ht="15" customHeight="1" spans="1:12">
      <c r="A93" s="18">
        <v>3</v>
      </c>
      <c r="B93" s="18" t="s">
        <v>281</v>
      </c>
      <c r="C93" s="18" t="s">
        <v>112</v>
      </c>
      <c r="D93" s="18" t="s">
        <v>282</v>
      </c>
      <c r="E93" s="18" t="s">
        <v>283</v>
      </c>
      <c r="F93" s="18"/>
      <c r="G93" s="18">
        <v>1</v>
      </c>
      <c r="H93" s="18" t="s">
        <v>23</v>
      </c>
      <c r="I93" s="18" t="s">
        <v>46</v>
      </c>
      <c r="J93" s="18"/>
      <c r="K93" s="18"/>
      <c r="L93" s="18"/>
    </row>
    <row r="94" spans="1:12">
      <c r="A94" s="18">
        <v>4</v>
      </c>
      <c r="B94" s="18" t="s">
        <v>284</v>
      </c>
      <c r="C94" s="18" t="s">
        <v>285</v>
      </c>
      <c r="D94" s="18" t="s">
        <v>286</v>
      </c>
      <c r="E94" s="18" t="s">
        <v>287</v>
      </c>
      <c r="F94" s="18"/>
      <c r="G94" s="18">
        <v>1</v>
      </c>
      <c r="H94" s="18" t="s">
        <v>191</v>
      </c>
      <c r="I94" s="18">
        <v>304</v>
      </c>
      <c r="J94" s="18">
        <v>94.2</v>
      </c>
      <c r="K94" s="18">
        <f>J94*G94</f>
        <v>94.2</v>
      </c>
      <c r="L94" s="18"/>
    </row>
    <row r="95" spans="1:12">
      <c r="A95" s="14" t="s">
        <v>288</v>
      </c>
      <c r="B95" s="18" t="s">
        <v>289</v>
      </c>
      <c r="C95" s="18"/>
      <c r="D95" s="18"/>
      <c r="E95" s="19"/>
      <c r="F95" s="19"/>
      <c r="G95" s="18"/>
      <c r="H95" s="18"/>
      <c r="I95" s="18"/>
      <c r="J95" s="18"/>
      <c r="K95" s="18"/>
      <c r="L95" s="26"/>
    </row>
    <row r="96" ht="12.75" spans="1:12">
      <c r="A96" s="18">
        <v>1</v>
      </c>
      <c r="B96" s="18" t="s">
        <v>290</v>
      </c>
      <c r="C96" s="18" t="s">
        <v>19</v>
      </c>
      <c r="D96" s="18" t="s">
        <v>291</v>
      </c>
      <c r="E96" s="19" t="s">
        <v>21</v>
      </c>
      <c r="F96" s="19" t="s">
        <v>22</v>
      </c>
      <c r="G96" s="18">
        <v>1</v>
      </c>
      <c r="H96" s="18" t="s">
        <v>23</v>
      </c>
      <c r="I96" s="18">
        <v>304</v>
      </c>
      <c r="J96" s="18"/>
      <c r="K96" s="18"/>
      <c r="L96" s="18"/>
    </row>
    <row r="97" ht="12.75" spans="1:12">
      <c r="A97" s="18">
        <v>2</v>
      </c>
      <c r="B97" s="18" t="s">
        <v>292</v>
      </c>
      <c r="C97" s="18" t="s">
        <v>25</v>
      </c>
      <c r="D97" s="18" t="s">
        <v>293</v>
      </c>
      <c r="E97" s="18" t="s">
        <v>294</v>
      </c>
      <c r="F97" s="18"/>
      <c r="G97" s="18">
        <v>1</v>
      </c>
      <c r="H97" s="18" t="s">
        <v>23</v>
      </c>
      <c r="I97" s="18">
        <v>2205</v>
      </c>
      <c r="J97" s="18">
        <v>18.5</v>
      </c>
      <c r="K97" s="18">
        <f>J97*G97</f>
        <v>18.5</v>
      </c>
      <c r="L97" s="18"/>
    </row>
    <row r="98" ht="12.75" spans="1:12">
      <c r="A98" s="18">
        <v>3</v>
      </c>
      <c r="B98" s="18" t="s">
        <v>295</v>
      </c>
      <c r="C98" s="18" t="s">
        <v>25</v>
      </c>
      <c r="D98" s="18" t="s">
        <v>296</v>
      </c>
      <c r="E98" s="18" t="s">
        <v>297</v>
      </c>
      <c r="F98" s="18"/>
      <c r="G98" s="18">
        <v>1</v>
      </c>
      <c r="H98" s="18" t="s">
        <v>23</v>
      </c>
      <c r="I98" s="18">
        <v>2205</v>
      </c>
      <c r="J98" s="18">
        <v>3</v>
      </c>
      <c r="K98" s="18">
        <f>J98*G98</f>
        <v>3</v>
      </c>
      <c r="L98" s="18"/>
    </row>
    <row r="99" spans="1:12">
      <c r="A99" s="18">
        <v>4</v>
      </c>
      <c r="B99" s="18" t="s">
        <v>298</v>
      </c>
      <c r="C99" s="18" t="s">
        <v>43</v>
      </c>
      <c r="D99" s="18" t="s">
        <v>299</v>
      </c>
      <c r="E99" s="18" t="s">
        <v>300</v>
      </c>
      <c r="F99" s="18"/>
      <c r="G99" s="18">
        <v>1</v>
      </c>
      <c r="H99" s="18" t="s">
        <v>23</v>
      </c>
      <c r="I99" s="18" t="s">
        <v>46</v>
      </c>
      <c r="J99" s="18">
        <v>0.37</v>
      </c>
      <c r="K99" s="18">
        <f t="shared" ref="K99:K104" si="5">J99*G99</f>
        <v>0.37</v>
      </c>
      <c r="L99" s="18"/>
    </row>
    <row r="100" ht="12.75" spans="1:12">
      <c r="A100" s="18">
        <v>5</v>
      </c>
      <c r="B100" s="18" t="s">
        <v>301</v>
      </c>
      <c r="C100" s="18" t="s">
        <v>19</v>
      </c>
      <c r="D100" s="18" t="s">
        <v>302</v>
      </c>
      <c r="E100" s="18" t="s">
        <v>303</v>
      </c>
      <c r="F100" s="19" t="s">
        <v>304</v>
      </c>
      <c r="G100" s="18">
        <v>1</v>
      </c>
      <c r="H100" s="18" t="s">
        <v>23</v>
      </c>
      <c r="I100" s="18">
        <v>304</v>
      </c>
      <c r="J100" s="18"/>
      <c r="K100" s="18"/>
      <c r="L100" s="18"/>
    </row>
    <row r="101" spans="1:12">
      <c r="A101" s="18">
        <v>6</v>
      </c>
      <c r="B101" s="18" t="s">
        <v>305</v>
      </c>
      <c r="C101" s="18" t="s">
        <v>32</v>
      </c>
      <c r="D101" s="18" t="s">
        <v>306</v>
      </c>
      <c r="E101" s="18" t="s">
        <v>307</v>
      </c>
      <c r="F101" s="18" t="s">
        <v>149</v>
      </c>
      <c r="G101" s="18">
        <v>1</v>
      </c>
      <c r="H101" s="18" t="s">
        <v>23</v>
      </c>
      <c r="I101" s="18" t="s">
        <v>46</v>
      </c>
      <c r="J101" s="18">
        <v>1.1</v>
      </c>
      <c r="K101" s="18">
        <f t="shared" si="5"/>
        <v>1.1</v>
      </c>
      <c r="L101" s="18"/>
    </row>
    <row r="102" ht="12.75" spans="1:12">
      <c r="A102" s="18">
        <v>7</v>
      </c>
      <c r="B102" s="18" t="s">
        <v>308</v>
      </c>
      <c r="C102" s="18" t="s">
        <v>19</v>
      </c>
      <c r="D102" s="18" t="s">
        <v>309</v>
      </c>
      <c r="E102" s="18" t="s">
        <v>303</v>
      </c>
      <c r="F102" s="19" t="s">
        <v>22</v>
      </c>
      <c r="G102" s="18">
        <v>1</v>
      </c>
      <c r="H102" s="18" t="s">
        <v>23</v>
      </c>
      <c r="I102" s="18">
        <v>304</v>
      </c>
      <c r="J102" s="18"/>
      <c r="K102" s="18"/>
      <c r="L102" s="18"/>
    </row>
    <row r="103" spans="1:12">
      <c r="A103" s="18">
        <v>8</v>
      </c>
      <c r="B103" s="18" t="s">
        <v>310</v>
      </c>
      <c r="C103" s="18" t="s">
        <v>32</v>
      </c>
      <c r="D103" s="18" t="s">
        <v>311</v>
      </c>
      <c r="E103" s="18" t="s">
        <v>307</v>
      </c>
      <c r="F103" s="18" t="s">
        <v>149</v>
      </c>
      <c r="G103" s="18">
        <v>1</v>
      </c>
      <c r="H103" s="18" t="s">
        <v>23</v>
      </c>
      <c r="I103" s="18" t="s">
        <v>46</v>
      </c>
      <c r="J103" s="18">
        <v>1.1</v>
      </c>
      <c r="K103" s="18">
        <f t="shared" si="5"/>
        <v>1.1</v>
      </c>
      <c r="L103" s="18"/>
    </row>
    <row r="104" spans="1:12">
      <c r="A104" s="18">
        <v>9</v>
      </c>
      <c r="B104" s="18" t="s">
        <v>312</v>
      </c>
      <c r="C104" s="18" t="s">
        <v>43</v>
      </c>
      <c r="D104" s="18" t="s">
        <v>313</v>
      </c>
      <c r="E104" s="18" t="s">
        <v>314</v>
      </c>
      <c r="F104" s="18"/>
      <c r="G104" s="18">
        <v>1</v>
      </c>
      <c r="H104" s="18" t="s">
        <v>23</v>
      </c>
      <c r="I104" s="18" t="s">
        <v>46</v>
      </c>
      <c r="J104" s="18">
        <v>0.37</v>
      </c>
      <c r="K104" s="18">
        <f t="shared" si="5"/>
        <v>0.37</v>
      </c>
      <c r="L104" s="18"/>
    </row>
    <row r="105" ht="12.75" spans="1:12">
      <c r="A105" s="18">
        <v>10</v>
      </c>
      <c r="B105" s="18" t="s">
        <v>315</v>
      </c>
      <c r="C105" s="18" t="s">
        <v>52</v>
      </c>
      <c r="D105" s="18" t="s">
        <v>316</v>
      </c>
      <c r="E105" s="18" t="s">
        <v>317</v>
      </c>
      <c r="F105" s="18"/>
      <c r="G105" s="18">
        <v>1</v>
      </c>
      <c r="H105" s="18" t="s">
        <v>23</v>
      </c>
      <c r="I105" s="18" t="s">
        <v>46</v>
      </c>
      <c r="J105" s="18"/>
      <c r="K105" s="18"/>
      <c r="L105" s="18"/>
    </row>
    <row r="106" spans="1:12">
      <c r="A106" s="18">
        <v>11</v>
      </c>
      <c r="B106" s="18" t="s">
        <v>318</v>
      </c>
      <c r="C106" s="18" t="s">
        <v>48</v>
      </c>
      <c r="D106" s="18" t="s">
        <v>319</v>
      </c>
      <c r="E106" s="18" t="s">
        <v>238</v>
      </c>
      <c r="F106" s="18"/>
      <c r="G106" s="18">
        <v>3</v>
      </c>
      <c r="H106" s="18" t="s">
        <v>23</v>
      </c>
      <c r="I106" s="18">
        <v>304</v>
      </c>
      <c r="J106" s="18"/>
      <c r="K106" s="18"/>
      <c r="L106" s="18"/>
    </row>
    <row r="107" ht="12.75" spans="1:12">
      <c r="A107" s="18">
        <v>12</v>
      </c>
      <c r="B107" s="18" t="s">
        <v>320</v>
      </c>
      <c r="C107" s="18" t="s">
        <v>19</v>
      </c>
      <c r="D107" s="18" t="s">
        <v>321</v>
      </c>
      <c r="E107" s="18" t="s">
        <v>322</v>
      </c>
      <c r="F107" s="18" t="s">
        <v>85</v>
      </c>
      <c r="G107" s="18">
        <v>12</v>
      </c>
      <c r="H107" s="18" t="s">
        <v>23</v>
      </c>
      <c r="I107" s="18">
        <v>304</v>
      </c>
      <c r="J107" s="18"/>
      <c r="K107" s="18"/>
      <c r="L107" s="18"/>
    </row>
    <row r="108" spans="1:12">
      <c r="A108" s="18">
        <v>13</v>
      </c>
      <c r="B108" s="18" t="s">
        <v>323</v>
      </c>
      <c r="C108" s="18" t="s">
        <v>112</v>
      </c>
      <c r="D108" s="18" t="s">
        <v>324</v>
      </c>
      <c r="E108" s="18"/>
      <c r="F108" s="18"/>
      <c r="G108" s="18">
        <v>12</v>
      </c>
      <c r="H108" s="18" t="s">
        <v>23</v>
      </c>
      <c r="I108" s="18" t="s">
        <v>46</v>
      </c>
      <c r="J108" s="18"/>
      <c r="K108" s="18"/>
      <c r="L108" s="18"/>
    </row>
    <row r="109" spans="1:12">
      <c r="A109" s="14" t="s">
        <v>325</v>
      </c>
      <c r="B109" s="14" t="s">
        <v>326</v>
      </c>
      <c r="C109" s="18"/>
      <c r="D109" s="18"/>
      <c r="E109" s="19"/>
      <c r="F109" s="19"/>
      <c r="G109" s="18"/>
      <c r="H109" s="18"/>
      <c r="I109" s="18"/>
      <c r="J109" s="18"/>
      <c r="K109" s="18"/>
      <c r="L109" s="18"/>
    </row>
    <row r="110" ht="12.75" spans="1:12">
      <c r="A110" s="18">
        <v>1</v>
      </c>
      <c r="B110" s="18" t="s">
        <v>327</v>
      </c>
      <c r="C110" s="18" t="s">
        <v>19</v>
      </c>
      <c r="D110" s="18" t="s">
        <v>328</v>
      </c>
      <c r="E110" s="19" t="s">
        <v>21</v>
      </c>
      <c r="F110" s="19" t="s">
        <v>22</v>
      </c>
      <c r="G110" s="18">
        <v>2</v>
      </c>
      <c r="H110" s="18" t="s">
        <v>23</v>
      </c>
      <c r="I110" s="18">
        <v>304</v>
      </c>
      <c r="J110" s="18"/>
      <c r="K110" s="18"/>
      <c r="L110" s="18"/>
    </row>
    <row r="111" ht="12.75" spans="1:12">
      <c r="A111" s="18">
        <v>2</v>
      </c>
      <c r="B111" s="18" t="s">
        <v>329</v>
      </c>
      <c r="C111" s="18" t="s">
        <v>25</v>
      </c>
      <c r="D111" s="18" t="s">
        <v>330</v>
      </c>
      <c r="E111" s="18" t="s">
        <v>331</v>
      </c>
      <c r="F111" s="18"/>
      <c r="G111" s="18">
        <v>1</v>
      </c>
      <c r="H111" s="18" t="s">
        <v>23</v>
      </c>
      <c r="I111" s="18">
        <v>2205</v>
      </c>
      <c r="J111" s="18">
        <v>18.5</v>
      </c>
      <c r="K111" s="18">
        <f>J111*G111</f>
        <v>18.5</v>
      </c>
      <c r="L111" s="18"/>
    </row>
    <row r="112" spans="1:12">
      <c r="A112" s="18">
        <v>3</v>
      </c>
      <c r="B112" s="18" t="s">
        <v>332</v>
      </c>
      <c r="C112" s="18" t="s">
        <v>43</v>
      </c>
      <c r="D112" s="18" t="s">
        <v>333</v>
      </c>
      <c r="E112" s="18" t="s">
        <v>334</v>
      </c>
      <c r="F112" s="18"/>
      <c r="G112" s="18">
        <v>1</v>
      </c>
      <c r="H112" s="18" t="s">
        <v>23</v>
      </c>
      <c r="I112" s="18" t="s">
        <v>129</v>
      </c>
      <c r="J112" s="18">
        <v>0.37</v>
      </c>
      <c r="K112" s="18">
        <f t="shared" ref="K112:K117" si="6">J112*G112</f>
        <v>0.37</v>
      </c>
      <c r="L112" s="18"/>
    </row>
    <row r="113" ht="12.75" spans="1:12">
      <c r="A113" s="18">
        <v>4</v>
      </c>
      <c r="B113" s="18" t="s">
        <v>335</v>
      </c>
      <c r="C113" s="18" t="s">
        <v>52</v>
      </c>
      <c r="D113" s="18" t="s">
        <v>336</v>
      </c>
      <c r="E113" s="18" t="s">
        <v>317</v>
      </c>
      <c r="F113" s="18"/>
      <c r="G113" s="18">
        <v>1</v>
      </c>
      <c r="H113" s="18" t="s">
        <v>23</v>
      </c>
      <c r="I113" s="18" t="s">
        <v>132</v>
      </c>
      <c r="J113" s="18"/>
      <c r="K113" s="18"/>
      <c r="L113" s="18"/>
    </row>
    <row r="114" ht="12.75" spans="1:12">
      <c r="A114" s="18">
        <v>5</v>
      </c>
      <c r="B114" s="18" t="s">
        <v>337</v>
      </c>
      <c r="C114" s="18" t="s">
        <v>201</v>
      </c>
      <c r="D114" s="18" t="s">
        <v>338</v>
      </c>
      <c r="E114" s="19" t="s">
        <v>203</v>
      </c>
      <c r="F114" s="19"/>
      <c r="G114" s="18">
        <v>2</v>
      </c>
      <c r="H114" s="18" t="s">
        <v>23</v>
      </c>
      <c r="I114" s="18">
        <v>304</v>
      </c>
      <c r="J114" s="18"/>
      <c r="K114" s="18"/>
      <c r="L114" s="18" t="s">
        <v>204</v>
      </c>
    </row>
    <row r="115" ht="12.75" spans="1:12">
      <c r="A115" s="18">
        <v>6</v>
      </c>
      <c r="B115" s="18" t="s">
        <v>339</v>
      </c>
      <c r="C115" s="18" t="s">
        <v>19</v>
      </c>
      <c r="D115" s="18" t="s">
        <v>340</v>
      </c>
      <c r="E115" s="19" t="s">
        <v>21</v>
      </c>
      <c r="F115" s="19" t="s">
        <v>22</v>
      </c>
      <c r="G115" s="18">
        <v>2</v>
      </c>
      <c r="H115" s="18" t="s">
        <v>23</v>
      </c>
      <c r="I115" s="18" t="s">
        <v>46</v>
      </c>
      <c r="J115" s="18"/>
      <c r="K115" s="18"/>
      <c r="L115" s="18"/>
    </row>
    <row r="116" ht="12.75" spans="1:12">
      <c r="A116" s="18">
        <v>7</v>
      </c>
      <c r="B116" s="18" t="s">
        <v>341</v>
      </c>
      <c r="C116" s="18" t="s">
        <v>25</v>
      </c>
      <c r="D116" s="18" t="s">
        <v>342</v>
      </c>
      <c r="E116" s="18" t="s">
        <v>331</v>
      </c>
      <c r="F116" s="18"/>
      <c r="G116" s="18">
        <v>1</v>
      </c>
      <c r="H116" s="18" t="s">
        <v>23</v>
      </c>
      <c r="I116" s="18">
        <v>2205</v>
      </c>
      <c r="J116" s="18">
        <v>18.5</v>
      </c>
      <c r="K116" s="18">
        <f t="shared" si="6"/>
        <v>18.5</v>
      </c>
      <c r="L116" s="18"/>
    </row>
    <row r="117" spans="1:12">
      <c r="A117" s="18">
        <v>8</v>
      </c>
      <c r="B117" s="18" t="s">
        <v>343</v>
      </c>
      <c r="C117" s="18" t="s">
        <v>48</v>
      </c>
      <c r="D117" s="18" t="s">
        <v>344</v>
      </c>
      <c r="E117" s="18" t="s">
        <v>211</v>
      </c>
      <c r="F117" s="18"/>
      <c r="G117" s="18">
        <v>3</v>
      </c>
      <c r="H117" s="18" t="s">
        <v>23</v>
      </c>
      <c r="I117" s="18">
        <v>304</v>
      </c>
      <c r="J117" s="18">
        <f>1.1+0.75</f>
        <v>1.85</v>
      </c>
      <c r="K117" s="18">
        <f t="shared" si="6"/>
        <v>5.55</v>
      </c>
      <c r="L117" s="18"/>
    </row>
    <row r="118" spans="1:12">
      <c r="A118" s="14" t="s">
        <v>345</v>
      </c>
      <c r="B118" s="14" t="s">
        <v>346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</row>
    <row r="119" ht="12.75" spans="1:12">
      <c r="A119" s="18">
        <v>1</v>
      </c>
      <c r="B119" s="18" t="s">
        <v>347</v>
      </c>
      <c r="C119" s="18" t="s">
        <v>19</v>
      </c>
      <c r="D119" s="18" t="s">
        <v>348</v>
      </c>
      <c r="E119" s="19" t="s">
        <v>21</v>
      </c>
      <c r="F119" s="19" t="s">
        <v>22</v>
      </c>
      <c r="G119" s="18">
        <v>1</v>
      </c>
      <c r="H119" s="18" t="s">
        <v>23</v>
      </c>
      <c r="I119" s="18">
        <v>304</v>
      </c>
      <c r="J119" s="18"/>
      <c r="K119" s="18"/>
      <c r="L119" s="18"/>
    </row>
    <row r="120" ht="12.75" spans="1:12">
      <c r="A120" s="18">
        <v>2</v>
      </c>
      <c r="B120" s="18" t="s">
        <v>349</v>
      </c>
      <c r="C120" s="18" t="s">
        <v>25</v>
      </c>
      <c r="D120" s="18" t="s">
        <v>350</v>
      </c>
      <c r="E120" s="18" t="s">
        <v>351</v>
      </c>
      <c r="F120" s="18"/>
      <c r="G120" s="18">
        <v>1</v>
      </c>
      <c r="H120" s="18" t="s">
        <v>23</v>
      </c>
      <c r="I120" s="18">
        <v>2205</v>
      </c>
      <c r="J120" s="18">
        <v>22</v>
      </c>
      <c r="K120" s="18">
        <f>J120*G120</f>
        <v>22</v>
      </c>
      <c r="L120" s="18"/>
    </row>
    <row r="121" s="2" customFormat="1" spans="1:12">
      <c r="A121" s="18">
        <v>3</v>
      </c>
      <c r="B121" s="18" t="s">
        <v>352</v>
      </c>
      <c r="C121" s="18" t="s">
        <v>48</v>
      </c>
      <c r="D121" s="18" t="s">
        <v>353</v>
      </c>
      <c r="E121" s="18" t="s">
        <v>238</v>
      </c>
      <c r="F121" s="18"/>
      <c r="G121" s="18">
        <v>3</v>
      </c>
      <c r="H121" s="18" t="s">
        <v>23</v>
      </c>
      <c r="I121" s="18">
        <v>304</v>
      </c>
      <c r="J121" s="18"/>
      <c r="K121" s="18"/>
      <c r="L121" s="18"/>
    </row>
    <row r="122" s="1" customFormat="1" spans="1:12">
      <c r="A122" s="18">
        <v>4</v>
      </c>
      <c r="B122" s="18" t="s">
        <v>354</v>
      </c>
      <c r="C122" s="18" t="s">
        <v>112</v>
      </c>
      <c r="D122" s="18" t="s">
        <v>355</v>
      </c>
      <c r="E122" s="18"/>
      <c r="F122" s="18"/>
      <c r="G122" s="18">
        <v>1</v>
      </c>
      <c r="H122" s="18" t="s">
        <v>23</v>
      </c>
      <c r="I122" s="18" t="s">
        <v>46</v>
      </c>
      <c r="J122" s="18"/>
      <c r="K122" s="18"/>
      <c r="L122" s="18"/>
    </row>
    <row r="123" s="1" customFormat="1" spans="1:12">
      <c r="A123" s="18">
        <v>5</v>
      </c>
      <c r="B123" s="18" t="s">
        <v>356</v>
      </c>
      <c r="C123" s="18" t="s">
        <v>112</v>
      </c>
      <c r="D123" s="18" t="s">
        <v>357</v>
      </c>
      <c r="E123" s="18"/>
      <c r="F123" s="18"/>
      <c r="G123" s="18">
        <v>1</v>
      </c>
      <c r="H123" s="18" t="s">
        <v>23</v>
      </c>
      <c r="I123" s="18" t="s">
        <v>46</v>
      </c>
      <c r="J123" s="18"/>
      <c r="K123" s="18"/>
      <c r="L123" s="18"/>
    </row>
    <row r="124" s="1" customFormat="1" ht="12.75" spans="1:12">
      <c r="A124" s="18">
        <v>6</v>
      </c>
      <c r="B124" s="14" t="s">
        <v>358</v>
      </c>
      <c r="C124" s="18" t="s">
        <v>244</v>
      </c>
      <c r="D124" s="18" t="s">
        <v>359</v>
      </c>
      <c r="E124" s="18" t="s">
        <v>360</v>
      </c>
      <c r="F124" s="18"/>
      <c r="G124" s="18">
        <v>1</v>
      </c>
      <c r="H124" s="18" t="s">
        <v>191</v>
      </c>
      <c r="I124" s="18" t="s">
        <v>247</v>
      </c>
      <c r="J124" s="18"/>
      <c r="K124" s="18"/>
      <c r="L124" s="27" t="s">
        <v>248</v>
      </c>
    </row>
    <row r="125" s="1" customFormat="1" ht="12.75" spans="1:12">
      <c r="A125" s="18">
        <v>7</v>
      </c>
      <c r="B125" s="14" t="s">
        <v>361</v>
      </c>
      <c r="C125" s="18" t="s">
        <v>19</v>
      </c>
      <c r="D125" s="18" t="s">
        <v>362</v>
      </c>
      <c r="E125" s="19" t="s">
        <v>251</v>
      </c>
      <c r="F125" s="18"/>
      <c r="G125" s="18">
        <v>2</v>
      </c>
      <c r="H125" s="18" t="s">
        <v>23</v>
      </c>
      <c r="I125" s="18" t="s">
        <v>247</v>
      </c>
      <c r="J125" s="18"/>
      <c r="K125" s="18"/>
      <c r="L125" s="28"/>
    </row>
    <row r="126" s="1" customFormat="1" ht="12.75" spans="1:12">
      <c r="A126" s="18">
        <v>8</v>
      </c>
      <c r="B126" s="18" t="s">
        <v>363</v>
      </c>
      <c r="C126" s="18" t="s">
        <v>25</v>
      </c>
      <c r="D126" s="18" t="s">
        <v>364</v>
      </c>
      <c r="E126" s="18" t="s">
        <v>254</v>
      </c>
      <c r="F126" s="18"/>
      <c r="G126" s="18">
        <v>2</v>
      </c>
      <c r="H126" s="18" t="s">
        <v>23</v>
      </c>
      <c r="I126" s="18">
        <v>2205</v>
      </c>
      <c r="J126" s="18">
        <v>4</v>
      </c>
      <c r="K126" s="18">
        <f>J126*G126</f>
        <v>8</v>
      </c>
      <c r="L126" s="28"/>
    </row>
    <row r="127" s="1" customFormat="1" spans="1:12">
      <c r="A127" s="18">
        <v>9</v>
      </c>
      <c r="B127" s="18" t="s">
        <v>365</v>
      </c>
      <c r="C127" s="18" t="s">
        <v>25</v>
      </c>
      <c r="D127" s="18" t="s">
        <v>366</v>
      </c>
      <c r="E127" s="18" t="s">
        <v>367</v>
      </c>
      <c r="F127" s="18"/>
      <c r="G127" s="18">
        <v>1</v>
      </c>
      <c r="H127" s="18" t="s">
        <v>23</v>
      </c>
      <c r="I127" s="18">
        <v>2205</v>
      </c>
      <c r="J127" s="18">
        <v>15</v>
      </c>
      <c r="K127" s="18">
        <f t="shared" ref="K127:K132" si="7">J127*G127</f>
        <v>15</v>
      </c>
      <c r="L127" s="29"/>
    </row>
    <row r="128" spans="1:12">
      <c r="A128" s="14" t="s">
        <v>368</v>
      </c>
      <c r="B128" s="14" t="s">
        <v>369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</row>
    <row r="129" ht="12.75" spans="1:12">
      <c r="A129" s="18">
        <v>1</v>
      </c>
      <c r="B129" s="18" t="s">
        <v>370</v>
      </c>
      <c r="C129" s="18" t="s">
        <v>19</v>
      </c>
      <c r="D129" s="18" t="s">
        <v>371</v>
      </c>
      <c r="E129" s="19" t="s">
        <v>21</v>
      </c>
      <c r="F129" s="19" t="s">
        <v>22</v>
      </c>
      <c r="G129" s="18">
        <v>1</v>
      </c>
      <c r="H129" s="18" t="s">
        <v>23</v>
      </c>
      <c r="I129" s="18">
        <v>304</v>
      </c>
      <c r="J129" s="18"/>
      <c r="K129" s="18"/>
      <c r="L129" s="31"/>
    </row>
    <row r="130" ht="12.75" spans="1:12">
      <c r="A130" s="18">
        <v>2</v>
      </c>
      <c r="B130" s="18" t="s">
        <v>372</v>
      </c>
      <c r="C130" s="18" t="s">
        <v>25</v>
      </c>
      <c r="D130" s="18" t="s">
        <v>373</v>
      </c>
      <c r="E130" s="18" t="s">
        <v>331</v>
      </c>
      <c r="F130" s="18"/>
      <c r="G130" s="18">
        <v>1</v>
      </c>
      <c r="H130" s="18" t="s">
        <v>23</v>
      </c>
      <c r="I130" s="18">
        <v>2205</v>
      </c>
      <c r="J130" s="18">
        <v>18.5</v>
      </c>
      <c r="K130" s="18">
        <f t="shared" si="7"/>
        <v>18.5</v>
      </c>
      <c r="L130" s="31"/>
    </row>
    <row r="131" spans="1:12">
      <c r="A131" s="18">
        <v>3</v>
      </c>
      <c r="B131" s="18" t="s">
        <v>374</v>
      </c>
      <c r="C131" s="18" t="s">
        <v>48</v>
      </c>
      <c r="D131" s="18" t="s">
        <v>375</v>
      </c>
      <c r="E131" s="18" t="s">
        <v>238</v>
      </c>
      <c r="F131" s="18"/>
      <c r="G131" s="18">
        <v>3</v>
      </c>
      <c r="H131" s="18" t="s">
        <v>23</v>
      </c>
      <c r="I131" s="18">
        <v>304</v>
      </c>
      <c r="J131" s="18"/>
      <c r="K131" s="18"/>
      <c r="L131" s="31"/>
    </row>
    <row r="132" spans="1:12">
      <c r="A132" s="18">
        <v>4</v>
      </c>
      <c r="B132" s="18" t="s">
        <v>376</v>
      </c>
      <c r="C132" s="18" t="s">
        <v>285</v>
      </c>
      <c r="D132" s="18" t="s">
        <v>377</v>
      </c>
      <c r="E132" s="18" t="s">
        <v>378</v>
      </c>
      <c r="F132" s="18"/>
      <c r="G132" s="18">
        <v>1</v>
      </c>
      <c r="H132" s="18" t="s">
        <v>191</v>
      </c>
      <c r="I132" s="18">
        <v>304</v>
      </c>
      <c r="J132" s="18">
        <v>59.7</v>
      </c>
      <c r="K132" s="18">
        <f t="shared" si="7"/>
        <v>59.7</v>
      </c>
      <c r="L132" s="31" t="s">
        <v>86</v>
      </c>
    </row>
    <row r="133" spans="1:12">
      <c r="A133" s="14" t="s">
        <v>379</v>
      </c>
      <c r="B133" s="14" t="s">
        <v>380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</row>
    <row r="134" s="1" customFormat="1" ht="12.75" spans="1:12">
      <c r="A134" s="18">
        <v>1</v>
      </c>
      <c r="B134" s="18" t="s">
        <v>381</v>
      </c>
      <c r="C134" s="18" t="s">
        <v>19</v>
      </c>
      <c r="D134" s="18" t="s">
        <v>382</v>
      </c>
      <c r="E134" s="19" t="s">
        <v>21</v>
      </c>
      <c r="F134" s="19" t="s">
        <v>22</v>
      </c>
      <c r="G134" s="18">
        <v>1</v>
      </c>
      <c r="H134" s="18" t="s">
        <v>23</v>
      </c>
      <c r="I134" s="18">
        <v>304</v>
      </c>
      <c r="J134" s="18"/>
      <c r="K134" s="18"/>
      <c r="L134" s="18"/>
    </row>
    <row r="135" ht="12.75" spans="1:12">
      <c r="A135" s="18">
        <v>2</v>
      </c>
      <c r="B135" s="18" t="s">
        <v>383</v>
      </c>
      <c r="C135" s="18" t="s">
        <v>25</v>
      </c>
      <c r="D135" s="18" t="s">
        <v>384</v>
      </c>
      <c r="E135" s="18" t="s">
        <v>385</v>
      </c>
      <c r="F135" s="18"/>
      <c r="G135" s="18">
        <v>1</v>
      </c>
      <c r="H135" s="18" t="s">
        <v>23</v>
      </c>
      <c r="I135" s="18">
        <v>2205</v>
      </c>
      <c r="J135" s="18">
        <v>18.5</v>
      </c>
      <c r="K135" s="18">
        <f>J135*G135</f>
        <v>18.5</v>
      </c>
      <c r="L135" s="18" t="s">
        <v>386</v>
      </c>
    </row>
    <row r="136" s="1" customFormat="1" ht="12.75" spans="1:12">
      <c r="A136" s="18">
        <v>3</v>
      </c>
      <c r="B136" s="18" t="s">
        <v>387</v>
      </c>
      <c r="C136" s="18" t="s">
        <v>19</v>
      </c>
      <c r="D136" s="18" t="s">
        <v>388</v>
      </c>
      <c r="E136" s="19" t="s">
        <v>21</v>
      </c>
      <c r="F136" s="19" t="s">
        <v>22</v>
      </c>
      <c r="G136" s="18">
        <v>1</v>
      </c>
      <c r="H136" s="18" t="s">
        <v>23</v>
      </c>
      <c r="I136" s="18">
        <v>304</v>
      </c>
      <c r="J136" s="18"/>
      <c r="K136" s="18"/>
      <c r="L136" s="18"/>
    </row>
    <row r="137" ht="12.75" spans="1:12">
      <c r="A137" s="18">
        <v>4</v>
      </c>
      <c r="B137" s="18" t="s">
        <v>389</v>
      </c>
      <c r="C137" s="18" t="s">
        <v>25</v>
      </c>
      <c r="D137" s="18" t="s">
        <v>390</v>
      </c>
      <c r="E137" s="18" t="s">
        <v>385</v>
      </c>
      <c r="F137" s="18"/>
      <c r="G137" s="18">
        <v>1</v>
      </c>
      <c r="H137" s="18" t="s">
        <v>23</v>
      </c>
      <c r="I137" s="18">
        <v>2205</v>
      </c>
      <c r="J137" s="18">
        <v>18.5</v>
      </c>
      <c r="K137" s="18">
        <f>J137*G137</f>
        <v>18.5</v>
      </c>
      <c r="L137" s="18" t="s">
        <v>386</v>
      </c>
    </row>
    <row r="138" ht="24.75" spans="1:12">
      <c r="A138" s="18">
        <v>5</v>
      </c>
      <c r="B138" s="18" t="s">
        <v>391</v>
      </c>
      <c r="C138" s="18" t="s">
        <v>380</v>
      </c>
      <c r="D138" s="18" t="s">
        <v>392</v>
      </c>
      <c r="E138" s="18" t="s">
        <v>393</v>
      </c>
      <c r="F138" s="18"/>
      <c r="G138" s="18">
        <v>2</v>
      </c>
      <c r="H138" s="18" t="s">
        <v>191</v>
      </c>
      <c r="I138" s="18">
        <v>304</v>
      </c>
      <c r="J138" s="18"/>
      <c r="K138" s="18"/>
      <c r="L138" s="18" t="s">
        <v>386</v>
      </c>
    </row>
    <row r="139" ht="12.75" spans="1:12">
      <c r="A139" s="18">
        <v>6</v>
      </c>
      <c r="B139" s="18" t="s">
        <v>394</v>
      </c>
      <c r="C139" s="18" t="s">
        <v>25</v>
      </c>
      <c r="D139" s="18" t="s">
        <v>395</v>
      </c>
      <c r="E139" s="18" t="s">
        <v>396</v>
      </c>
      <c r="F139" s="18"/>
      <c r="G139" s="18">
        <v>8</v>
      </c>
      <c r="H139" s="18" t="s">
        <v>23</v>
      </c>
      <c r="I139" s="18">
        <v>2205</v>
      </c>
      <c r="J139" s="18">
        <v>18.5</v>
      </c>
      <c r="K139" s="18">
        <f>J139*G139</f>
        <v>148</v>
      </c>
      <c r="L139" s="18" t="s">
        <v>386</v>
      </c>
    </row>
    <row r="140" ht="12.75" spans="1:12">
      <c r="A140" s="18">
        <v>7</v>
      </c>
      <c r="B140" s="25" t="s">
        <v>397</v>
      </c>
      <c r="C140" s="19" t="s">
        <v>19</v>
      </c>
      <c r="D140" s="19" t="s">
        <v>398</v>
      </c>
      <c r="E140" s="19" t="s">
        <v>21</v>
      </c>
      <c r="F140" s="19" t="s">
        <v>22</v>
      </c>
      <c r="G140" s="18">
        <v>2</v>
      </c>
      <c r="H140" s="18" t="s">
        <v>23</v>
      </c>
      <c r="I140" s="18">
        <v>304</v>
      </c>
      <c r="J140" s="18"/>
      <c r="K140" s="18"/>
      <c r="L140" s="18"/>
    </row>
    <row r="141" spans="1:12">
      <c r="A141" s="18">
        <v>8</v>
      </c>
      <c r="B141" s="25" t="s">
        <v>399</v>
      </c>
      <c r="C141" s="19" t="s">
        <v>32</v>
      </c>
      <c r="D141" s="19" t="s">
        <v>400</v>
      </c>
      <c r="E141" s="19" t="s">
        <v>401</v>
      </c>
      <c r="F141" s="19" t="s">
        <v>149</v>
      </c>
      <c r="G141" s="18">
        <v>2</v>
      </c>
      <c r="H141" s="18" t="s">
        <v>23</v>
      </c>
      <c r="I141" s="18">
        <v>304</v>
      </c>
      <c r="J141" s="18">
        <v>1.5</v>
      </c>
      <c r="K141" s="18">
        <f t="shared" ref="K141:K144" si="8">J141*G141</f>
        <v>3</v>
      </c>
      <c r="L141" s="18"/>
    </row>
    <row r="142" ht="12.75" spans="1:12">
      <c r="A142" s="18">
        <v>9</v>
      </c>
      <c r="B142" s="25" t="s">
        <v>402</v>
      </c>
      <c r="C142" s="18" t="s">
        <v>25</v>
      </c>
      <c r="D142" s="19" t="s">
        <v>403</v>
      </c>
      <c r="E142" s="18" t="s">
        <v>404</v>
      </c>
      <c r="F142" s="18"/>
      <c r="G142" s="18">
        <v>1</v>
      </c>
      <c r="H142" s="18" t="s">
        <v>23</v>
      </c>
      <c r="I142" s="18">
        <v>2205</v>
      </c>
      <c r="J142" s="18">
        <v>4</v>
      </c>
      <c r="K142" s="18">
        <f t="shared" si="8"/>
        <v>4</v>
      </c>
      <c r="L142" s="18"/>
    </row>
    <row r="143" ht="12.75" spans="1:12">
      <c r="A143" s="18">
        <v>10</v>
      </c>
      <c r="B143" s="25" t="s">
        <v>405</v>
      </c>
      <c r="C143" s="19" t="s">
        <v>19</v>
      </c>
      <c r="D143" s="19" t="s">
        <v>406</v>
      </c>
      <c r="E143" s="19" t="s">
        <v>21</v>
      </c>
      <c r="F143" s="19" t="s">
        <v>22</v>
      </c>
      <c r="G143" s="18">
        <v>2</v>
      </c>
      <c r="H143" s="18" t="s">
        <v>23</v>
      </c>
      <c r="I143" s="18">
        <v>304</v>
      </c>
      <c r="J143" s="18"/>
      <c r="K143" s="18"/>
      <c r="L143" s="18"/>
    </row>
    <row r="144" spans="1:12">
      <c r="A144" s="18">
        <v>11</v>
      </c>
      <c r="B144" s="25" t="s">
        <v>407</v>
      </c>
      <c r="C144" s="19" t="s">
        <v>32</v>
      </c>
      <c r="D144" s="19" t="s">
        <v>408</v>
      </c>
      <c r="E144" s="19" t="s">
        <v>401</v>
      </c>
      <c r="F144" s="19" t="s">
        <v>149</v>
      </c>
      <c r="G144" s="18">
        <v>2</v>
      </c>
      <c r="H144" s="18" t="s">
        <v>23</v>
      </c>
      <c r="I144" s="18">
        <v>304</v>
      </c>
      <c r="J144" s="18">
        <v>1.5</v>
      </c>
      <c r="K144" s="18">
        <f>J144*G144</f>
        <v>3</v>
      </c>
      <c r="L144" s="18"/>
    </row>
    <row r="145" ht="12.75" spans="1:12">
      <c r="A145" s="18">
        <v>12</v>
      </c>
      <c r="B145" s="25" t="s">
        <v>409</v>
      </c>
      <c r="C145" s="18" t="s">
        <v>25</v>
      </c>
      <c r="D145" s="18" t="s">
        <v>410</v>
      </c>
      <c r="E145" s="18" t="s">
        <v>411</v>
      </c>
      <c r="F145" s="19"/>
      <c r="G145" s="18">
        <v>1</v>
      </c>
      <c r="H145" s="18" t="s">
        <v>23</v>
      </c>
      <c r="I145" s="18">
        <v>2205</v>
      </c>
      <c r="J145" s="18">
        <v>7.5</v>
      </c>
      <c r="K145" s="18">
        <f>J145*G145</f>
        <v>7.5</v>
      </c>
      <c r="L145" s="18"/>
    </row>
    <row r="146" ht="12.75" spans="1:12">
      <c r="A146" s="18">
        <v>13</v>
      </c>
      <c r="B146" s="25" t="s">
        <v>412</v>
      </c>
      <c r="C146" s="19" t="s">
        <v>19</v>
      </c>
      <c r="D146" s="1" t="s">
        <v>413</v>
      </c>
      <c r="E146" s="19" t="s">
        <v>414</v>
      </c>
      <c r="F146" s="18"/>
      <c r="G146" s="18">
        <v>1</v>
      </c>
      <c r="H146" s="18" t="s">
        <v>23</v>
      </c>
      <c r="I146" s="1">
        <v>304</v>
      </c>
      <c r="L146" s="18" t="s">
        <v>386</v>
      </c>
    </row>
    <row r="147" ht="12.75" spans="1:12">
      <c r="A147" s="18">
        <v>14</v>
      </c>
      <c r="B147" s="25" t="s">
        <v>415</v>
      </c>
      <c r="C147" s="18" t="s">
        <v>25</v>
      </c>
      <c r="D147" s="18" t="s">
        <v>416</v>
      </c>
      <c r="E147" s="18" t="s">
        <v>411</v>
      </c>
      <c r="F147" s="18"/>
      <c r="G147" s="18">
        <v>1</v>
      </c>
      <c r="H147" s="18" t="s">
        <v>23</v>
      </c>
      <c r="I147" s="18">
        <v>2205</v>
      </c>
      <c r="J147" s="18">
        <v>7.5</v>
      </c>
      <c r="K147" s="18">
        <f>J147*G147</f>
        <v>7.5</v>
      </c>
      <c r="L147" s="18" t="s">
        <v>386</v>
      </c>
    </row>
    <row r="148" spans="1:12">
      <c r="A148" s="18">
        <v>15</v>
      </c>
      <c r="B148" s="18" t="s">
        <v>417</v>
      </c>
      <c r="C148" s="18" t="s">
        <v>112</v>
      </c>
      <c r="D148" s="18" t="s">
        <v>418</v>
      </c>
      <c r="E148" s="25"/>
      <c r="F148" s="25"/>
      <c r="G148" s="18">
        <v>1</v>
      </c>
      <c r="H148" s="18" t="s">
        <v>23</v>
      </c>
      <c r="I148" s="18" t="s">
        <v>46</v>
      </c>
      <c r="J148" s="18"/>
      <c r="K148" s="18"/>
      <c r="L148" s="18"/>
    </row>
    <row r="149" ht="24" spans="1:12">
      <c r="A149" s="14" t="s">
        <v>419</v>
      </c>
      <c r="B149" s="16" t="s">
        <v>420</v>
      </c>
      <c r="C149" s="18"/>
      <c r="D149" s="19"/>
      <c r="E149" s="25"/>
      <c r="F149" s="25"/>
      <c r="G149" s="18"/>
      <c r="H149" s="18"/>
      <c r="I149" s="18"/>
      <c r="J149" s="18"/>
      <c r="K149" s="18"/>
      <c r="L149" s="18"/>
    </row>
    <row r="150" ht="12.75" spans="1:12">
      <c r="A150" s="18">
        <v>1</v>
      </c>
      <c r="B150" s="25" t="s">
        <v>421</v>
      </c>
      <c r="C150" s="18" t="s">
        <v>19</v>
      </c>
      <c r="D150" s="19" t="s">
        <v>422</v>
      </c>
      <c r="E150" s="19" t="s">
        <v>21</v>
      </c>
      <c r="F150" s="19" t="s">
        <v>22</v>
      </c>
      <c r="G150" s="18">
        <v>1</v>
      </c>
      <c r="H150" s="18" t="s">
        <v>23</v>
      </c>
      <c r="I150" s="18">
        <v>304</v>
      </c>
      <c r="J150" s="18"/>
      <c r="K150" s="18"/>
      <c r="L150" s="18"/>
    </row>
    <row r="151" spans="1:12">
      <c r="A151" s="18">
        <v>2</v>
      </c>
      <c r="B151" s="25" t="s">
        <v>423</v>
      </c>
      <c r="C151" s="19" t="s">
        <v>32</v>
      </c>
      <c r="D151" s="19" t="s">
        <v>424</v>
      </c>
      <c r="E151" s="19" t="s">
        <v>401</v>
      </c>
      <c r="F151" s="19" t="s">
        <v>149</v>
      </c>
      <c r="G151" s="18">
        <v>1</v>
      </c>
      <c r="H151" s="18" t="s">
        <v>23</v>
      </c>
      <c r="I151" s="18">
        <v>304</v>
      </c>
      <c r="J151" s="18">
        <v>1.5</v>
      </c>
      <c r="K151" s="18">
        <f>J151*G151</f>
        <v>1.5</v>
      </c>
      <c r="L151" s="18"/>
    </row>
    <row r="152" ht="12.75" spans="1:12">
      <c r="A152" s="18">
        <v>3</v>
      </c>
      <c r="B152" s="25" t="s">
        <v>425</v>
      </c>
      <c r="C152" s="18" t="s">
        <v>25</v>
      </c>
      <c r="D152" s="19" t="s">
        <v>426</v>
      </c>
      <c r="E152" s="25" t="s">
        <v>427</v>
      </c>
      <c r="F152" s="25"/>
      <c r="G152" s="18">
        <v>1</v>
      </c>
      <c r="H152" s="18" t="s">
        <v>23</v>
      </c>
      <c r="I152" s="18">
        <v>2205</v>
      </c>
      <c r="J152" s="18">
        <v>15</v>
      </c>
      <c r="K152" s="18">
        <f>J152*G152</f>
        <v>15</v>
      </c>
      <c r="L152" s="18"/>
    </row>
    <row r="153" spans="1:12">
      <c r="A153" s="18">
        <v>4</v>
      </c>
      <c r="B153" s="25" t="s">
        <v>428</v>
      </c>
      <c r="C153" s="18" t="s">
        <v>112</v>
      </c>
      <c r="D153" s="19" t="s">
        <v>429</v>
      </c>
      <c r="E153" s="25"/>
      <c r="F153" s="25"/>
      <c r="G153" s="18">
        <v>1</v>
      </c>
      <c r="H153" s="18" t="s">
        <v>23</v>
      </c>
      <c r="I153" s="18" t="s">
        <v>46</v>
      </c>
      <c r="J153" s="18"/>
      <c r="K153" s="18"/>
      <c r="L153" s="18"/>
    </row>
    <row r="154" spans="1:12">
      <c r="A154" s="18">
        <v>5</v>
      </c>
      <c r="B154" s="25" t="s">
        <v>430</v>
      </c>
      <c r="C154" s="18" t="s">
        <v>112</v>
      </c>
      <c r="D154" s="19" t="s">
        <v>431</v>
      </c>
      <c r="E154" s="25"/>
      <c r="F154" s="25"/>
      <c r="G154" s="18">
        <v>1</v>
      </c>
      <c r="H154" s="18" t="s">
        <v>23</v>
      </c>
      <c r="I154" s="18" t="s">
        <v>46</v>
      </c>
      <c r="J154" s="18"/>
      <c r="K154" s="18"/>
      <c r="L154" s="18"/>
    </row>
    <row r="155" spans="1:12">
      <c r="A155" s="18">
        <v>6</v>
      </c>
      <c r="B155" s="25" t="s">
        <v>432</v>
      </c>
      <c r="C155" s="18" t="s">
        <v>112</v>
      </c>
      <c r="D155" s="19" t="s">
        <v>433</v>
      </c>
      <c r="E155" s="25"/>
      <c r="F155" s="25"/>
      <c r="G155" s="18">
        <v>1</v>
      </c>
      <c r="H155" s="18" t="s">
        <v>23</v>
      </c>
      <c r="I155" s="18" t="s">
        <v>46</v>
      </c>
      <c r="J155" s="18"/>
      <c r="K155" s="18"/>
      <c r="L155" s="18"/>
    </row>
    <row r="156" spans="1:12">
      <c r="A156" s="18">
        <v>7</v>
      </c>
      <c r="B156" s="25" t="s">
        <v>434</v>
      </c>
      <c r="C156" s="18" t="s">
        <v>48</v>
      </c>
      <c r="D156" s="19" t="s">
        <v>435</v>
      </c>
      <c r="E156" s="18" t="s">
        <v>436</v>
      </c>
      <c r="F156" s="25"/>
      <c r="G156" s="18">
        <v>3</v>
      </c>
      <c r="H156" s="18" t="s">
        <v>23</v>
      </c>
      <c r="I156" s="18">
        <v>304</v>
      </c>
      <c r="J156" s="18"/>
      <c r="K156" s="18"/>
      <c r="L156" s="18"/>
    </row>
    <row r="157" ht="15" customHeight="1" spans="1:12">
      <c r="A157" s="18">
        <v>8</v>
      </c>
      <c r="B157" s="25" t="s">
        <v>437</v>
      </c>
      <c r="C157" s="18" t="s">
        <v>244</v>
      </c>
      <c r="D157" s="19" t="s">
        <v>438</v>
      </c>
      <c r="E157" s="25" t="s">
        <v>439</v>
      </c>
      <c r="F157" s="25" t="s">
        <v>85</v>
      </c>
      <c r="G157" s="18">
        <v>4</v>
      </c>
      <c r="H157" s="18" t="s">
        <v>23</v>
      </c>
      <c r="I157" s="18" t="s">
        <v>440</v>
      </c>
      <c r="J157" s="18"/>
      <c r="K157" s="18"/>
      <c r="L157" s="31" t="s">
        <v>441</v>
      </c>
    </row>
    <row r="158" ht="12.75" spans="1:12">
      <c r="A158" s="18">
        <v>9</v>
      </c>
      <c r="B158" s="25" t="s">
        <v>442</v>
      </c>
      <c r="C158" s="18" t="s">
        <v>19</v>
      </c>
      <c r="D158" s="19" t="s">
        <v>443</v>
      </c>
      <c r="E158" s="19" t="s">
        <v>21</v>
      </c>
      <c r="F158" s="19" t="s">
        <v>22</v>
      </c>
      <c r="G158" s="18">
        <v>1</v>
      </c>
      <c r="H158" s="18" t="s">
        <v>23</v>
      </c>
      <c r="I158" s="18">
        <v>304</v>
      </c>
      <c r="J158" s="18"/>
      <c r="K158" s="18"/>
      <c r="L158" s="31"/>
    </row>
    <row r="159" ht="12.75" spans="1:12">
      <c r="A159" s="18">
        <v>10</v>
      </c>
      <c r="B159" s="25" t="s">
        <v>444</v>
      </c>
      <c r="C159" s="18" t="s">
        <v>25</v>
      </c>
      <c r="D159" s="19" t="s">
        <v>445</v>
      </c>
      <c r="E159" s="25" t="s">
        <v>427</v>
      </c>
      <c r="F159" s="25"/>
      <c r="G159" s="18">
        <v>1</v>
      </c>
      <c r="H159" s="18" t="s">
        <v>23</v>
      </c>
      <c r="I159" s="18">
        <v>2205</v>
      </c>
      <c r="J159" s="18">
        <v>15</v>
      </c>
      <c r="K159" s="18">
        <f>J159*G159</f>
        <v>15</v>
      </c>
      <c r="L159" s="31"/>
    </row>
    <row r="160" ht="12.75" spans="1:12">
      <c r="A160" s="18">
        <v>11</v>
      </c>
      <c r="B160" s="25" t="s">
        <v>446</v>
      </c>
      <c r="C160" s="18" t="s">
        <v>52</v>
      </c>
      <c r="D160" s="19" t="s">
        <v>447</v>
      </c>
      <c r="E160" s="25" t="s">
        <v>448</v>
      </c>
      <c r="F160" s="19"/>
      <c r="G160" s="18">
        <v>1</v>
      </c>
      <c r="H160" s="18" t="s">
        <v>23</v>
      </c>
      <c r="I160" s="18">
        <v>304</v>
      </c>
      <c r="J160" s="18"/>
      <c r="K160" s="18"/>
      <c r="L160" s="31"/>
    </row>
    <row r="161" spans="1:12">
      <c r="A161" s="14" t="s">
        <v>449</v>
      </c>
      <c r="B161" s="16" t="s">
        <v>450</v>
      </c>
      <c r="C161" s="18"/>
      <c r="D161" s="19"/>
      <c r="E161" s="19"/>
      <c r="F161" s="19"/>
      <c r="G161" s="18"/>
      <c r="H161" s="18"/>
      <c r="I161" s="18"/>
      <c r="J161" s="18"/>
      <c r="K161" s="18"/>
      <c r="L161" s="18"/>
    </row>
    <row r="162" ht="12.75" spans="1:12">
      <c r="A162" s="18">
        <v>1</v>
      </c>
      <c r="B162" s="18" t="s">
        <v>451</v>
      </c>
      <c r="C162" s="18" t="s">
        <v>19</v>
      </c>
      <c r="D162" s="18" t="s">
        <v>452</v>
      </c>
      <c r="E162" s="19" t="s">
        <v>21</v>
      </c>
      <c r="F162" s="19" t="s">
        <v>22</v>
      </c>
      <c r="G162" s="18">
        <v>2</v>
      </c>
      <c r="H162" s="18" t="s">
        <v>23</v>
      </c>
      <c r="I162" s="18">
        <v>304</v>
      </c>
      <c r="J162" s="18"/>
      <c r="K162" s="18"/>
      <c r="L162" s="18"/>
    </row>
    <row r="163" ht="12.75" spans="1:12">
      <c r="A163" s="18">
        <v>2</v>
      </c>
      <c r="B163" s="18" t="s">
        <v>453</v>
      </c>
      <c r="C163" s="18" t="s">
        <v>25</v>
      </c>
      <c r="D163" s="18" t="s">
        <v>454</v>
      </c>
      <c r="E163" s="18" t="s">
        <v>455</v>
      </c>
      <c r="F163" s="18"/>
      <c r="G163" s="18">
        <v>1</v>
      </c>
      <c r="H163" s="18" t="s">
        <v>23</v>
      </c>
      <c r="I163" s="18">
        <v>2205</v>
      </c>
      <c r="J163" s="18">
        <v>15</v>
      </c>
      <c r="K163" s="18">
        <f>J163*G163</f>
        <v>15</v>
      </c>
      <c r="L163" s="18"/>
    </row>
    <row r="164" s="1" customFormat="1" spans="1:12">
      <c r="A164" s="18">
        <v>3</v>
      </c>
      <c r="B164" s="18" t="s">
        <v>456</v>
      </c>
      <c r="C164" s="18" t="s">
        <v>48</v>
      </c>
      <c r="D164" s="18" t="s">
        <v>457</v>
      </c>
      <c r="E164" s="18" t="s">
        <v>436</v>
      </c>
      <c r="F164" s="18"/>
      <c r="G164" s="18">
        <v>3</v>
      </c>
      <c r="H164" s="18" t="s">
        <v>23</v>
      </c>
      <c r="I164" s="18">
        <v>304</v>
      </c>
      <c r="J164" s="18"/>
      <c r="K164" s="18"/>
      <c r="L164" s="18"/>
    </row>
    <row r="165" s="1" customFormat="1" spans="1:12">
      <c r="A165" s="18">
        <v>4</v>
      </c>
      <c r="B165" s="18" t="s">
        <v>458</v>
      </c>
      <c r="C165" s="18" t="s">
        <v>48</v>
      </c>
      <c r="D165" s="18" t="s">
        <v>459</v>
      </c>
      <c r="E165" s="18" t="s">
        <v>460</v>
      </c>
      <c r="F165" s="18"/>
      <c r="G165" s="18">
        <v>3</v>
      </c>
      <c r="H165" s="18" t="s">
        <v>23</v>
      </c>
      <c r="I165" s="18">
        <v>304</v>
      </c>
      <c r="J165" s="18"/>
      <c r="K165" s="18"/>
      <c r="L165" s="18"/>
    </row>
    <row r="166" spans="1:12">
      <c r="A166" s="18">
        <v>5</v>
      </c>
      <c r="B166" s="18" t="s">
        <v>461</v>
      </c>
      <c r="C166" s="18" t="s">
        <v>48</v>
      </c>
      <c r="D166" s="18" t="s">
        <v>462</v>
      </c>
      <c r="E166" s="18" t="s">
        <v>463</v>
      </c>
      <c r="F166" s="18"/>
      <c r="G166" s="18">
        <v>15</v>
      </c>
      <c r="H166" s="18" t="s">
        <v>23</v>
      </c>
      <c r="I166" s="18">
        <v>304</v>
      </c>
      <c r="J166" s="18"/>
      <c r="K166" s="18"/>
      <c r="L166" s="18"/>
    </row>
    <row r="167" spans="1:12">
      <c r="A167" s="18">
        <v>6</v>
      </c>
      <c r="B167" s="18" t="s">
        <v>464</v>
      </c>
      <c r="C167" s="18" t="s">
        <v>285</v>
      </c>
      <c r="D167" s="18" t="s">
        <v>465</v>
      </c>
      <c r="E167" s="18" t="s">
        <v>466</v>
      </c>
      <c r="F167" s="18"/>
      <c r="G167" s="18">
        <v>1</v>
      </c>
      <c r="H167" s="18" t="s">
        <v>191</v>
      </c>
      <c r="I167" s="18">
        <v>304</v>
      </c>
      <c r="J167" s="31">
        <v>743.8</v>
      </c>
      <c r="K167" s="31">
        <v>94.2</v>
      </c>
      <c r="L167" s="18" t="s">
        <v>86</v>
      </c>
    </row>
    <row r="168" ht="24" spans="1:12">
      <c r="A168" s="18">
        <v>7</v>
      </c>
      <c r="B168" s="18" t="s">
        <v>467</v>
      </c>
      <c r="C168" s="18" t="s">
        <v>285</v>
      </c>
      <c r="D168" s="18" t="s">
        <v>468</v>
      </c>
      <c r="E168" s="18" t="s">
        <v>469</v>
      </c>
      <c r="F168" s="18"/>
      <c r="G168" s="18">
        <v>1</v>
      </c>
      <c r="H168" s="18" t="s">
        <v>191</v>
      </c>
      <c r="I168" s="18">
        <v>304</v>
      </c>
      <c r="J168" s="25"/>
      <c r="K168" s="25"/>
      <c r="L168" s="18" t="s">
        <v>470</v>
      </c>
    </row>
    <row r="169" spans="1:12">
      <c r="A169" s="18">
        <v>8</v>
      </c>
      <c r="B169" s="18" t="s">
        <v>471</v>
      </c>
      <c r="C169" s="18" t="s">
        <v>112</v>
      </c>
      <c r="D169" s="18" t="s">
        <v>472</v>
      </c>
      <c r="E169" s="18"/>
      <c r="F169" s="18"/>
      <c r="G169" s="18">
        <v>1</v>
      </c>
      <c r="H169" s="18" t="s">
        <v>23</v>
      </c>
      <c r="I169" s="18" t="s">
        <v>46</v>
      </c>
      <c r="J169" s="18"/>
      <c r="K169" s="18"/>
      <c r="L169" s="18"/>
    </row>
    <row r="170" spans="1:12">
      <c r="A170" s="18">
        <v>9</v>
      </c>
      <c r="B170" s="18" t="s">
        <v>473</v>
      </c>
      <c r="C170" s="18" t="s">
        <v>112</v>
      </c>
      <c r="D170" s="18" t="s">
        <v>474</v>
      </c>
      <c r="E170" s="18"/>
      <c r="F170" s="18"/>
      <c r="G170" s="18">
        <v>1</v>
      </c>
      <c r="H170" s="18" t="s">
        <v>23</v>
      </c>
      <c r="I170" s="18" t="s">
        <v>46</v>
      </c>
      <c r="J170" s="18"/>
      <c r="K170" s="18"/>
      <c r="L170" s="18"/>
    </row>
    <row r="171" spans="1:12">
      <c r="A171" s="18">
        <v>10</v>
      </c>
      <c r="B171" s="18" t="s">
        <v>475</v>
      </c>
      <c r="C171" s="18" t="s">
        <v>112</v>
      </c>
      <c r="D171" s="18" t="s">
        <v>476</v>
      </c>
      <c r="E171" s="18"/>
      <c r="F171" s="18"/>
      <c r="G171" s="18">
        <v>1</v>
      </c>
      <c r="H171" s="18" t="s">
        <v>23</v>
      </c>
      <c r="I171" s="18" t="s">
        <v>46</v>
      </c>
      <c r="J171" s="18"/>
      <c r="K171" s="18"/>
      <c r="L171" s="18"/>
    </row>
    <row r="172" spans="1:12">
      <c r="A172" s="14" t="s">
        <v>477</v>
      </c>
      <c r="B172" s="14" t="s">
        <v>478</v>
      </c>
      <c r="C172" s="30"/>
      <c r="D172" s="30"/>
      <c r="E172" s="30"/>
      <c r="F172" s="30"/>
      <c r="G172" s="18"/>
      <c r="H172" s="18"/>
      <c r="I172" s="18"/>
      <c r="J172" s="18"/>
      <c r="K172" s="18"/>
      <c r="L172" s="18"/>
    </row>
    <row r="173" ht="12.75" spans="1:12">
      <c r="A173" s="14">
        <v>1</v>
      </c>
      <c r="B173" s="18" t="s">
        <v>479</v>
      </c>
      <c r="C173" s="18" t="s">
        <v>19</v>
      </c>
      <c r="D173" s="18" t="s">
        <v>480</v>
      </c>
      <c r="E173" s="18" t="s">
        <v>481</v>
      </c>
      <c r="F173" s="19" t="s">
        <v>223</v>
      </c>
      <c r="G173" s="18">
        <v>5</v>
      </c>
      <c r="H173" s="18" t="s">
        <v>23</v>
      </c>
      <c r="I173" s="18" t="s">
        <v>482</v>
      </c>
      <c r="J173" s="18"/>
      <c r="K173" s="18"/>
      <c r="L173" s="18"/>
    </row>
    <row r="174" spans="1:12">
      <c r="A174" s="14">
        <v>2</v>
      </c>
      <c r="B174" s="18" t="s">
        <v>483</v>
      </c>
      <c r="C174" s="18" t="s">
        <v>32</v>
      </c>
      <c r="D174" s="18" t="s">
        <v>484</v>
      </c>
      <c r="E174" s="18" t="s">
        <v>485</v>
      </c>
      <c r="F174" s="18" t="s">
        <v>149</v>
      </c>
      <c r="G174" s="18">
        <v>5</v>
      </c>
      <c r="H174" s="18" t="s">
        <v>23</v>
      </c>
      <c r="I174" s="18" t="s">
        <v>482</v>
      </c>
      <c r="J174" s="18">
        <v>7.5</v>
      </c>
      <c r="K174" s="18">
        <f>J174*G174</f>
        <v>37.5</v>
      </c>
      <c r="L174" s="18"/>
    </row>
    <row r="175" ht="12.75" spans="1:12">
      <c r="A175" s="14">
        <v>3</v>
      </c>
      <c r="B175" s="18" t="s">
        <v>486</v>
      </c>
      <c r="C175" s="18" t="s">
        <v>25</v>
      </c>
      <c r="D175" s="18" t="s">
        <v>487</v>
      </c>
      <c r="E175" s="18" t="s">
        <v>488</v>
      </c>
      <c r="F175" s="18" t="s">
        <v>97</v>
      </c>
      <c r="G175" s="18">
        <v>1</v>
      </c>
      <c r="H175" s="18" t="s">
        <v>23</v>
      </c>
      <c r="I175" s="18" t="s">
        <v>482</v>
      </c>
      <c r="J175" s="18">
        <v>30</v>
      </c>
      <c r="K175" s="18">
        <f>J175*G175</f>
        <v>30</v>
      </c>
      <c r="L175" s="18"/>
    </row>
    <row r="176" ht="12.75" spans="1:12">
      <c r="A176" s="14">
        <v>4</v>
      </c>
      <c r="B176" s="25" t="s">
        <v>489</v>
      </c>
      <c r="C176" s="19" t="s">
        <v>19</v>
      </c>
      <c r="D176" s="25" t="s">
        <v>490</v>
      </c>
      <c r="E176" s="19" t="s">
        <v>481</v>
      </c>
      <c r="F176" s="19" t="s">
        <v>223</v>
      </c>
      <c r="G176" s="18">
        <v>5</v>
      </c>
      <c r="H176" s="18" t="s">
        <v>23</v>
      </c>
      <c r="I176" s="18" t="s">
        <v>482</v>
      </c>
      <c r="J176" s="18"/>
      <c r="K176" s="18"/>
      <c r="L176" s="18"/>
    </row>
    <row r="177" ht="12.75" spans="1:12">
      <c r="A177" s="14">
        <v>5</v>
      </c>
      <c r="B177" s="25" t="s">
        <v>491</v>
      </c>
      <c r="C177" s="19" t="s">
        <v>25</v>
      </c>
      <c r="D177" s="25" t="s">
        <v>492</v>
      </c>
      <c r="E177" s="19" t="s">
        <v>493</v>
      </c>
      <c r="F177" s="18" t="s">
        <v>97</v>
      </c>
      <c r="G177" s="18">
        <v>3</v>
      </c>
      <c r="H177" s="18" t="s">
        <v>23</v>
      </c>
      <c r="I177" s="18" t="s">
        <v>482</v>
      </c>
      <c r="J177" s="18">
        <v>7.5</v>
      </c>
      <c r="K177" s="18">
        <f>J177*G177</f>
        <v>22.5</v>
      </c>
      <c r="L177" s="18"/>
    </row>
    <row r="178" ht="12.75" spans="1:12">
      <c r="A178" s="14">
        <v>6</v>
      </c>
      <c r="B178" s="25" t="s">
        <v>494</v>
      </c>
      <c r="C178" s="19" t="s">
        <v>19</v>
      </c>
      <c r="D178" s="19" t="s">
        <v>495</v>
      </c>
      <c r="E178" s="19" t="s">
        <v>496</v>
      </c>
      <c r="F178" s="19" t="s">
        <v>223</v>
      </c>
      <c r="G178" s="18">
        <v>15</v>
      </c>
      <c r="H178" s="18" t="s">
        <v>23</v>
      </c>
      <c r="I178" s="18" t="s">
        <v>482</v>
      </c>
      <c r="J178" s="18"/>
      <c r="K178" s="18"/>
      <c r="L178" s="18"/>
    </row>
    <row r="179" ht="12.75" spans="1:12">
      <c r="A179" s="14">
        <v>7</v>
      </c>
      <c r="B179" s="25" t="s">
        <v>497</v>
      </c>
      <c r="C179" s="19" t="s">
        <v>25</v>
      </c>
      <c r="D179" s="19" t="s">
        <v>498</v>
      </c>
      <c r="E179" s="19" t="s">
        <v>499</v>
      </c>
      <c r="F179" s="18" t="s">
        <v>97</v>
      </c>
      <c r="G179" s="18">
        <v>1</v>
      </c>
      <c r="H179" s="18" t="s">
        <v>23</v>
      </c>
      <c r="I179" s="18" t="s">
        <v>482</v>
      </c>
      <c r="J179" s="18">
        <v>18.5</v>
      </c>
      <c r="K179" s="18">
        <f>J179*G179</f>
        <v>18.5</v>
      </c>
      <c r="L179" s="18"/>
    </row>
    <row r="180" spans="1:12">
      <c r="A180" s="14">
        <v>8</v>
      </c>
      <c r="B180" s="25" t="s">
        <v>500</v>
      </c>
      <c r="C180" s="19" t="s">
        <v>112</v>
      </c>
      <c r="D180" s="19" t="s">
        <v>501</v>
      </c>
      <c r="E180" s="19"/>
      <c r="F180" s="19"/>
      <c r="G180" s="18">
        <v>1</v>
      </c>
      <c r="H180" s="18" t="s">
        <v>23</v>
      </c>
      <c r="I180" s="18" t="s">
        <v>46</v>
      </c>
      <c r="J180" s="18"/>
      <c r="K180" s="18"/>
      <c r="L180" s="18"/>
    </row>
    <row r="181" ht="12.75" spans="1:12">
      <c r="A181" s="14">
        <v>9</v>
      </c>
      <c r="B181" s="25" t="s">
        <v>502</v>
      </c>
      <c r="C181" s="19" t="s">
        <v>25</v>
      </c>
      <c r="D181" s="19" t="s">
        <v>503</v>
      </c>
      <c r="E181" s="19" t="s">
        <v>499</v>
      </c>
      <c r="F181" s="18" t="s">
        <v>97</v>
      </c>
      <c r="G181" s="18">
        <v>1</v>
      </c>
      <c r="H181" s="18" t="s">
        <v>23</v>
      </c>
      <c r="I181" s="18" t="s">
        <v>482</v>
      </c>
      <c r="J181" s="18">
        <v>18.5</v>
      </c>
      <c r="K181" s="18">
        <f>J181*G181</f>
        <v>18.5</v>
      </c>
      <c r="L181" s="18"/>
    </row>
    <row r="182" spans="1:12">
      <c r="A182" s="14">
        <v>10</v>
      </c>
      <c r="B182" s="25" t="s">
        <v>504</v>
      </c>
      <c r="C182" s="19" t="s">
        <v>112</v>
      </c>
      <c r="D182" s="19" t="s">
        <v>505</v>
      </c>
      <c r="E182" s="19"/>
      <c r="F182" s="19"/>
      <c r="G182" s="18">
        <v>1</v>
      </c>
      <c r="H182" s="18" t="s">
        <v>23</v>
      </c>
      <c r="I182" s="18" t="s">
        <v>46</v>
      </c>
      <c r="J182" s="18"/>
      <c r="K182" s="18"/>
      <c r="L182" s="18"/>
    </row>
    <row r="183" spans="1:12">
      <c r="A183" s="14">
        <v>11</v>
      </c>
      <c r="B183" s="25" t="s">
        <v>506</v>
      </c>
      <c r="C183" s="19" t="s">
        <v>48</v>
      </c>
      <c r="D183" s="19" t="s">
        <v>507</v>
      </c>
      <c r="E183" s="19" t="s">
        <v>508</v>
      </c>
      <c r="F183" s="19"/>
      <c r="G183" s="18">
        <v>3</v>
      </c>
      <c r="H183" s="18" t="s">
        <v>23</v>
      </c>
      <c r="I183" s="18" t="s">
        <v>482</v>
      </c>
      <c r="J183" s="18"/>
      <c r="K183" s="18"/>
      <c r="L183" s="18"/>
    </row>
    <row r="184" ht="12.75" spans="1:12">
      <c r="A184" s="14">
        <v>12</v>
      </c>
      <c r="B184" s="25" t="s">
        <v>509</v>
      </c>
      <c r="C184" s="19" t="s">
        <v>19</v>
      </c>
      <c r="D184" s="19" t="s">
        <v>510</v>
      </c>
      <c r="E184" s="19" t="s">
        <v>72</v>
      </c>
      <c r="F184" s="19" t="s">
        <v>58</v>
      </c>
      <c r="G184" s="18">
        <v>1</v>
      </c>
      <c r="H184" s="18" t="s">
        <v>23</v>
      </c>
      <c r="I184" s="18" t="s">
        <v>482</v>
      </c>
      <c r="J184" s="18"/>
      <c r="K184" s="18"/>
      <c r="L184" s="18"/>
    </row>
    <row r="185" ht="12.75" spans="1:12">
      <c r="A185" s="14">
        <v>13</v>
      </c>
      <c r="B185" s="25" t="s">
        <v>511</v>
      </c>
      <c r="C185" s="19" t="s">
        <v>25</v>
      </c>
      <c r="D185" s="19" t="s">
        <v>512</v>
      </c>
      <c r="E185" s="19" t="s">
        <v>513</v>
      </c>
      <c r="F185" s="19"/>
      <c r="G185" s="18">
        <v>1</v>
      </c>
      <c r="H185" s="18" t="s">
        <v>23</v>
      </c>
      <c r="I185" s="18">
        <v>2205</v>
      </c>
      <c r="J185" s="18">
        <v>4</v>
      </c>
      <c r="K185" s="18">
        <f t="shared" ref="K185:K190" si="9">J185*G185</f>
        <v>4</v>
      </c>
      <c r="L185" s="18"/>
    </row>
    <row r="186" spans="1:12">
      <c r="A186" s="14">
        <v>14</v>
      </c>
      <c r="B186" s="25" t="s">
        <v>514</v>
      </c>
      <c r="C186" s="19" t="s">
        <v>515</v>
      </c>
      <c r="D186" s="19" t="s">
        <v>516</v>
      </c>
      <c r="E186" s="19" t="s">
        <v>517</v>
      </c>
      <c r="F186" s="19"/>
      <c r="G186" s="18">
        <v>3</v>
      </c>
      <c r="H186" s="18" t="s">
        <v>23</v>
      </c>
      <c r="I186" s="18"/>
      <c r="J186" s="18"/>
      <c r="K186" s="18"/>
      <c r="L186" s="18"/>
    </row>
    <row r="187" ht="12.75" spans="1:12">
      <c r="A187" s="14">
        <v>15</v>
      </c>
      <c r="B187" s="25" t="s">
        <v>518</v>
      </c>
      <c r="C187" s="19" t="s">
        <v>19</v>
      </c>
      <c r="D187" s="19" t="s">
        <v>519</v>
      </c>
      <c r="E187" s="19" t="s">
        <v>520</v>
      </c>
      <c r="F187" s="19" t="s">
        <v>58</v>
      </c>
      <c r="G187" s="18">
        <v>3</v>
      </c>
      <c r="H187" s="18" t="s">
        <v>23</v>
      </c>
      <c r="I187" s="18" t="s">
        <v>482</v>
      </c>
      <c r="J187" s="18"/>
      <c r="K187" s="18"/>
      <c r="L187" s="18"/>
    </row>
    <row r="188" ht="12.75" spans="1:12">
      <c r="A188" s="14">
        <v>16</v>
      </c>
      <c r="B188" s="25" t="s">
        <v>521</v>
      </c>
      <c r="C188" s="19" t="s">
        <v>25</v>
      </c>
      <c r="D188" s="19" t="s">
        <v>522</v>
      </c>
      <c r="E188" s="19" t="s">
        <v>513</v>
      </c>
      <c r="F188" s="19"/>
      <c r="G188" s="18">
        <v>3</v>
      </c>
      <c r="H188" s="18" t="s">
        <v>23</v>
      </c>
      <c r="I188" s="18">
        <v>2205</v>
      </c>
      <c r="J188" s="18">
        <v>4</v>
      </c>
      <c r="K188" s="18">
        <f t="shared" si="9"/>
        <v>12</v>
      </c>
      <c r="L188" s="18"/>
    </row>
    <row r="189" ht="12.75" spans="1:12">
      <c r="A189" s="14">
        <v>17</v>
      </c>
      <c r="B189" s="25" t="s">
        <v>523</v>
      </c>
      <c r="C189" s="19" t="s">
        <v>19</v>
      </c>
      <c r="D189" s="19" t="s">
        <v>524</v>
      </c>
      <c r="E189" s="19" t="s">
        <v>72</v>
      </c>
      <c r="F189" s="19" t="s">
        <v>58</v>
      </c>
      <c r="G189" s="18">
        <v>1</v>
      </c>
      <c r="H189" s="18" t="s">
        <v>23</v>
      </c>
      <c r="I189" s="18" t="s">
        <v>482</v>
      </c>
      <c r="J189" s="18"/>
      <c r="K189" s="18"/>
      <c r="L189" s="18"/>
    </row>
    <row r="190" ht="12.75" spans="1:12">
      <c r="A190" s="14">
        <v>18</v>
      </c>
      <c r="B190" s="25" t="s">
        <v>525</v>
      </c>
      <c r="C190" s="19" t="s">
        <v>25</v>
      </c>
      <c r="D190" s="19" t="s">
        <v>526</v>
      </c>
      <c r="E190" s="19" t="s">
        <v>513</v>
      </c>
      <c r="F190" s="19"/>
      <c r="G190" s="18">
        <v>1</v>
      </c>
      <c r="H190" s="18" t="s">
        <v>23</v>
      </c>
      <c r="I190" s="18">
        <v>2205</v>
      </c>
      <c r="J190" s="18">
        <v>4</v>
      </c>
      <c r="K190" s="18">
        <f t="shared" si="9"/>
        <v>4</v>
      </c>
      <c r="L190" s="18"/>
    </row>
    <row r="191" ht="12.75" spans="1:12">
      <c r="A191" s="14">
        <v>19</v>
      </c>
      <c r="B191" s="25" t="s">
        <v>527</v>
      </c>
      <c r="C191" s="19" t="s">
        <v>19</v>
      </c>
      <c r="D191" s="19" t="s">
        <v>528</v>
      </c>
      <c r="E191" s="19" t="s">
        <v>520</v>
      </c>
      <c r="F191" s="19" t="s">
        <v>58</v>
      </c>
      <c r="G191" s="18">
        <v>3</v>
      </c>
      <c r="H191" s="18" t="s">
        <v>23</v>
      </c>
      <c r="I191" s="18" t="s">
        <v>482</v>
      </c>
      <c r="J191" s="18"/>
      <c r="K191" s="18"/>
      <c r="L191" s="18"/>
    </row>
    <row r="192" ht="12.75" spans="1:12">
      <c r="A192" s="14">
        <v>20</v>
      </c>
      <c r="B192" s="25" t="s">
        <v>529</v>
      </c>
      <c r="C192" s="19" t="s">
        <v>25</v>
      </c>
      <c r="D192" s="19" t="s">
        <v>530</v>
      </c>
      <c r="E192" s="19" t="s">
        <v>513</v>
      </c>
      <c r="F192" s="19"/>
      <c r="G192" s="18">
        <v>3</v>
      </c>
      <c r="H192" s="18" t="s">
        <v>23</v>
      </c>
      <c r="I192" s="18">
        <v>2205</v>
      </c>
      <c r="J192" s="18">
        <v>4</v>
      </c>
      <c r="K192" s="18">
        <f>J192*G192</f>
        <v>12</v>
      </c>
      <c r="L192" s="18"/>
    </row>
    <row r="193" spans="1:12">
      <c r="A193" s="14" t="s">
        <v>531</v>
      </c>
      <c r="B193" s="14" t="s">
        <v>532</v>
      </c>
      <c r="C193" s="19"/>
      <c r="D193" s="19"/>
      <c r="E193" s="19"/>
      <c r="F193" s="19"/>
      <c r="G193" s="18"/>
      <c r="H193" s="18"/>
      <c r="I193" s="18"/>
      <c r="J193" s="18"/>
      <c r="K193" s="18"/>
      <c r="L193" s="18"/>
    </row>
    <row r="194" ht="12.75" spans="1:12">
      <c r="A194" s="18">
        <v>1</v>
      </c>
      <c r="B194" s="25" t="s">
        <v>533</v>
      </c>
      <c r="C194" s="19" t="s">
        <v>19</v>
      </c>
      <c r="D194" s="19" t="s">
        <v>534</v>
      </c>
      <c r="E194" s="19" t="s">
        <v>535</v>
      </c>
      <c r="F194" s="19" t="s">
        <v>22</v>
      </c>
      <c r="G194" s="18">
        <v>1</v>
      </c>
      <c r="H194" s="18" t="s">
        <v>23</v>
      </c>
      <c r="I194" s="18">
        <v>304</v>
      </c>
      <c r="J194" s="18"/>
      <c r="K194" s="18"/>
      <c r="L194" s="18"/>
    </row>
    <row r="195" ht="12.75" spans="1:12">
      <c r="A195" s="18">
        <v>2</v>
      </c>
      <c r="B195" s="25" t="s">
        <v>536</v>
      </c>
      <c r="C195" s="19" t="s">
        <v>25</v>
      </c>
      <c r="D195" s="19" t="s">
        <v>537</v>
      </c>
      <c r="E195" s="19" t="s">
        <v>538</v>
      </c>
      <c r="F195" s="19"/>
      <c r="G195" s="18">
        <v>2</v>
      </c>
      <c r="H195" s="18" t="s">
        <v>23</v>
      </c>
      <c r="I195" s="18">
        <v>2205</v>
      </c>
      <c r="J195" s="18">
        <v>5.5</v>
      </c>
      <c r="K195" s="18">
        <f>J195*G195</f>
        <v>11</v>
      </c>
      <c r="L195" s="18"/>
    </row>
    <row r="196" spans="1:12">
      <c r="A196" s="18">
        <v>3</v>
      </c>
      <c r="B196" s="25" t="s">
        <v>539</v>
      </c>
      <c r="C196" s="19" t="s">
        <v>48</v>
      </c>
      <c r="D196" s="19" t="s">
        <v>540</v>
      </c>
      <c r="E196" s="18" t="s">
        <v>541</v>
      </c>
      <c r="F196" s="18"/>
      <c r="G196" s="18">
        <v>2</v>
      </c>
      <c r="H196" s="18" t="s">
        <v>23</v>
      </c>
      <c r="I196" s="18">
        <v>304</v>
      </c>
      <c r="J196" s="18"/>
      <c r="K196" s="18"/>
      <c r="L196" s="18"/>
    </row>
  </sheetData>
  <autoFilter xmlns:etc="http://www.wps.cn/officeDocument/2017/etCustomData" ref="A3:L196" etc:filterBottomFollowUsedRange="0">
    <extLst/>
  </autoFilter>
  <mergeCells count="18">
    <mergeCell ref="F1:L1"/>
    <mergeCell ref="E2:L2"/>
    <mergeCell ref="J3:K3"/>
    <mergeCell ref="A1:A2"/>
    <mergeCell ref="A3:A4"/>
    <mergeCell ref="B3:B4"/>
    <mergeCell ref="C3:C4"/>
    <mergeCell ref="D3:D4"/>
    <mergeCell ref="E3:E4"/>
    <mergeCell ref="F3:F4"/>
    <mergeCell ref="G3:G4"/>
    <mergeCell ref="I3:I4"/>
    <mergeCell ref="J167:J168"/>
    <mergeCell ref="K167:K168"/>
    <mergeCell ref="L3:L4"/>
    <mergeCell ref="L91:L94"/>
    <mergeCell ref="L124:L127"/>
    <mergeCell ref="B1:D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30万吨F55果糖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欧銘庄李</dc:creator>
  <cp:lastModifiedBy>李永强</cp:lastModifiedBy>
  <dcterms:created xsi:type="dcterms:W3CDTF">2021-10-21T03:22:00Z</dcterms:created>
  <dcterms:modified xsi:type="dcterms:W3CDTF">2025-07-19T07:47:24Z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8E6DAF673AE84E7E8FCDA32A05AC7A14_13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