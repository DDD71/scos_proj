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作\（二）项目相关\（25）太仓中粮项目\（2）设备清单\"/>
    </mc:Choice>
  </mc:AlternateContent>
  <bookViews>
    <workbookView xWindow="0" yWindow="0" windowWidth="27948" windowHeight="12384"/>
  </bookViews>
  <sheets>
    <sheet name="10万吨75%麦芽糖" sheetId="1" r:id="rId1"/>
    <sheet name="5万吨75%麦芽糖" sheetId="2" r:id="rId2"/>
    <sheet name="5万吨84%麦芽糖" sheetId="4" r:id="rId3"/>
  </sheets>
  <definedNames>
    <definedName name="_xlnm._FilterDatabase" localSheetId="0" hidden="1">'10万吨75%麦芽糖'!$D$1:$D$121</definedName>
    <definedName name="_xlnm._FilterDatabase" localSheetId="1" hidden="1">'5万吨75%麦芽糖'!$D$1:$D$98</definedName>
    <definedName name="_xlnm._FilterDatabase" localSheetId="2" hidden="1">'5万吨84%麦芽糖'!$D$1:$D$92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6" i="1" l="1"/>
  <c r="J83" i="1" l="1"/>
  <c r="K85" i="1" l="1"/>
  <c r="K46" i="1" l="1"/>
  <c r="K19" i="1"/>
  <c r="K17" i="1"/>
  <c r="K14" i="4" l="1"/>
  <c r="K14" i="2"/>
  <c r="K83" i="1" l="1"/>
  <c r="K78" i="1"/>
  <c r="K77" i="1"/>
  <c r="K51" i="4" l="1"/>
  <c r="K56" i="4" l="1"/>
  <c r="J50" i="4"/>
  <c r="K50" i="4" s="1"/>
  <c r="J52" i="2"/>
  <c r="J68" i="1"/>
  <c r="K46" i="4"/>
  <c r="K45" i="4"/>
  <c r="J43" i="4"/>
  <c r="K43" i="4" s="1"/>
  <c r="J45" i="2"/>
  <c r="K45" i="2" s="1"/>
  <c r="K48" i="2"/>
  <c r="K47" i="2"/>
  <c r="K64" i="1"/>
  <c r="K63" i="1"/>
  <c r="K59" i="2"/>
  <c r="K74" i="1"/>
  <c r="K75" i="1"/>
  <c r="J61" i="1"/>
  <c r="K15" i="1" l="1"/>
  <c r="K88" i="4" l="1"/>
  <c r="K86" i="4"/>
  <c r="K85" i="4"/>
  <c r="K81" i="4"/>
  <c r="K79" i="4"/>
  <c r="K74" i="4"/>
  <c r="K68" i="4"/>
  <c r="K66" i="4"/>
  <c r="K65" i="4"/>
  <c r="K59" i="4"/>
  <c r="K55" i="4"/>
  <c r="K48" i="4"/>
  <c r="K42" i="4"/>
  <c r="K41" i="4"/>
  <c r="K38" i="4"/>
  <c r="K36" i="4"/>
  <c r="K35" i="4"/>
  <c r="K31" i="4"/>
  <c r="K29" i="4"/>
  <c r="K26" i="4"/>
  <c r="K22" i="4"/>
  <c r="K21" i="4"/>
  <c r="K15" i="4"/>
  <c r="K11" i="4"/>
  <c r="K6" i="4"/>
  <c r="K4" i="4"/>
  <c r="K94" i="2"/>
  <c r="K92" i="2"/>
  <c r="K91" i="2"/>
  <c r="K86" i="2"/>
  <c r="K84" i="2"/>
  <c r="K78" i="2"/>
  <c r="K72" i="2"/>
  <c r="K70" i="2"/>
  <c r="K69" i="2"/>
  <c r="K63" i="2"/>
  <c r="K58" i="2"/>
  <c r="K52" i="2"/>
  <c r="K50" i="2"/>
  <c r="K53" i="2"/>
  <c r="K44" i="2"/>
  <c r="K43" i="2"/>
  <c r="K38" i="2"/>
  <c r="K36" i="2"/>
  <c r="K35" i="2"/>
  <c r="K31" i="2"/>
  <c r="K29" i="2"/>
  <c r="K26" i="2"/>
  <c r="K22" i="2"/>
  <c r="K21" i="2"/>
  <c r="K15" i="2"/>
  <c r="K11" i="2"/>
  <c r="K6" i="2"/>
  <c r="K4" i="2"/>
  <c r="K119" i="1"/>
  <c r="K113" i="1"/>
  <c r="K111" i="1"/>
  <c r="K110" i="1"/>
  <c r="K104" i="1"/>
  <c r="K97" i="1"/>
  <c r="K95" i="1"/>
  <c r="K94" i="1"/>
  <c r="K88" i="1"/>
  <c r="K82" i="1"/>
  <c r="K80" i="1"/>
  <c r="K70" i="1"/>
  <c r="K68" i="1"/>
  <c r="K66" i="1"/>
  <c r="K69" i="1"/>
  <c r="K61" i="1"/>
  <c r="K60" i="1"/>
  <c r="K59" i="1"/>
  <c r="K55" i="1"/>
  <c r="K53" i="1"/>
  <c r="K52" i="1"/>
  <c r="K48" i="1"/>
  <c r="K43" i="1"/>
  <c r="K42" i="1"/>
  <c r="K36" i="1"/>
  <c r="K35" i="1"/>
  <c r="K32" i="1"/>
  <c r="K27" i="1"/>
  <c r="K25" i="1"/>
  <c r="K23" i="1"/>
  <c r="K22" i="1"/>
  <c r="K14" i="1"/>
  <c r="K11" i="1"/>
  <c r="K8" i="1"/>
  <c r="K7" i="1"/>
  <c r="K98" i="2" l="1"/>
  <c r="K92" i="4"/>
  <c r="K121" i="1"/>
</calcChain>
</file>

<file path=xl/sharedStrings.xml><?xml version="1.0" encoding="utf-8"?>
<sst xmlns="http://schemas.openxmlformats.org/spreadsheetml/2006/main" count="1717" uniqueCount="784">
  <si>
    <t>年产10万吨75%麦芽糖设备清单</t>
  </si>
  <si>
    <t>序号</t>
  </si>
  <si>
    <t>设备名称</t>
  </si>
  <si>
    <t>位号</t>
  </si>
  <si>
    <t>类别</t>
  </si>
  <si>
    <t>规格及技术参数</t>
  </si>
  <si>
    <t>结构型式</t>
  </si>
  <si>
    <t>材质</t>
  </si>
  <si>
    <t>数量</t>
  </si>
  <si>
    <t>单位</t>
  </si>
  <si>
    <t>电机功率</t>
  </si>
  <si>
    <t>功率总额</t>
  </si>
  <si>
    <t>备注</t>
  </si>
  <si>
    <t>（一）</t>
  </si>
  <si>
    <t>调浆</t>
  </si>
  <si>
    <t>ZH</t>
  </si>
  <si>
    <t>套</t>
  </si>
  <si>
    <t>台</t>
  </si>
  <si>
    <t>淀粉投料罐</t>
  </si>
  <si>
    <t>罐</t>
  </si>
  <si>
    <t>平顶锥底</t>
  </si>
  <si>
    <t>淀粉投料罐搅拌</t>
  </si>
  <si>
    <t>搅拌</t>
  </si>
  <si>
    <t>φ2500×2000</t>
  </si>
  <si>
    <t>淀粉投料泵</t>
  </si>
  <si>
    <t>泵</t>
  </si>
  <si>
    <t>淀粉乳罐</t>
  </si>
  <si>
    <t>锥顶锥底</t>
  </si>
  <si>
    <t>淀粉乳罐搅拌</t>
  </si>
  <si>
    <t>淀粉乳输送泵</t>
  </si>
  <si>
    <t>（二）</t>
  </si>
  <si>
    <t>液化糖化</t>
  </si>
  <si>
    <t>V2201</t>
  </si>
  <si>
    <t>AG2201</t>
  </si>
  <si>
    <t>φ2000×4000</t>
  </si>
  <si>
    <t>M1调浆泵</t>
  </si>
  <si>
    <t>P2202</t>
  </si>
  <si>
    <t>M1调浆水混合器</t>
  </si>
  <si>
    <t>MX2203</t>
  </si>
  <si>
    <t>混合器</t>
  </si>
  <si>
    <t>DN40</t>
  </si>
  <si>
    <t>M1加碱计量泵</t>
  </si>
  <si>
    <t>P2204</t>
  </si>
  <si>
    <t>计量泵</t>
  </si>
  <si>
    <t>316L</t>
  </si>
  <si>
    <t>M甜水罐</t>
  </si>
  <si>
    <t>V2205</t>
  </si>
  <si>
    <t>麦芽糖线共用</t>
  </si>
  <si>
    <t>M甜水泵</t>
  </si>
  <si>
    <t>P2206</t>
  </si>
  <si>
    <t>M1调浆过滤器</t>
  </si>
  <si>
    <t>F2207A/B</t>
  </si>
  <si>
    <t>过滤器</t>
  </si>
  <si>
    <t>自动清洗</t>
  </si>
  <si>
    <t>M1液化调浆混合器</t>
  </si>
  <si>
    <t>MX2208</t>
  </si>
  <si>
    <t>M1一次加酶罐</t>
  </si>
  <si>
    <t>V2209</t>
  </si>
  <si>
    <t>φ400×800，V=100L</t>
  </si>
  <si>
    <t>平头平底</t>
  </si>
  <si>
    <t>PMMA</t>
  </si>
  <si>
    <t>M1液化酶计量称</t>
  </si>
  <si>
    <t>WI2210</t>
  </si>
  <si>
    <t>计量秤</t>
  </si>
  <si>
    <t>150kg</t>
  </si>
  <si>
    <t>M1液化一次加酶泵</t>
  </si>
  <si>
    <t>P2211</t>
  </si>
  <si>
    <t>M1液化加酶混合器</t>
  </si>
  <si>
    <t>MX2212</t>
  </si>
  <si>
    <t>M1喷射前罐</t>
  </si>
  <si>
    <t>V2213</t>
  </si>
  <si>
    <t>M1喷射前罐搅拌</t>
  </si>
  <si>
    <t>AG2213</t>
  </si>
  <si>
    <t>M1一次喷射泵</t>
  </si>
  <si>
    <t>P2214</t>
  </si>
  <si>
    <t>M1淀粉乳预热板换</t>
  </si>
  <si>
    <t>E2215</t>
  </si>
  <si>
    <t>换热器</t>
  </si>
  <si>
    <t>40㎡</t>
  </si>
  <si>
    <t>M1一次喷射器</t>
  </si>
  <si>
    <t>VJ2216</t>
  </si>
  <si>
    <t>喷射器</t>
  </si>
  <si>
    <t>M1一闪罐</t>
  </si>
  <si>
    <t>V2217</t>
  </si>
  <si>
    <t>上椭圆下椭圆</t>
  </si>
  <si>
    <t>M1二次加酶罐</t>
  </si>
  <si>
    <t>V2218</t>
  </si>
  <si>
    <t>M1二次加酶计量称</t>
  </si>
  <si>
    <t>WI2219</t>
  </si>
  <si>
    <t>M1液化二次加酶泵</t>
  </si>
  <si>
    <t>P2220</t>
  </si>
  <si>
    <t>M1一闪泵</t>
  </si>
  <si>
    <t>P2221</t>
  </si>
  <si>
    <t>M1二次加酶混合器</t>
  </si>
  <si>
    <t>MX2222</t>
  </si>
  <si>
    <t>M1层流罐</t>
  </si>
  <si>
    <t>V2223A/J</t>
  </si>
  <si>
    <t>M1二闪罐</t>
  </si>
  <si>
    <t>V2224</t>
  </si>
  <si>
    <t>M1糖化进料泵</t>
  </si>
  <si>
    <t>P2225</t>
  </si>
  <si>
    <t>M1液化液降温板换1#</t>
  </si>
  <si>
    <t>E2226</t>
  </si>
  <si>
    <t>M1液化液降温板换2#</t>
  </si>
  <si>
    <t>E2227</t>
  </si>
  <si>
    <t>M1糖化罐</t>
  </si>
  <si>
    <t>V2228A/J</t>
  </si>
  <si>
    <t>锥顶下椭圆</t>
  </si>
  <si>
    <t>M1糖化罐搅拌</t>
  </si>
  <si>
    <t>AG2228A/J</t>
  </si>
  <si>
    <t>φ3600×12000</t>
  </si>
  <si>
    <t>M1糖化灭酶泵</t>
  </si>
  <si>
    <t>P2229</t>
  </si>
  <si>
    <t>M1糖化灭酶列管</t>
  </si>
  <si>
    <t>E2230</t>
  </si>
  <si>
    <t>60㎡</t>
  </si>
  <si>
    <t>M1糖化出料泵</t>
  </si>
  <si>
    <t>P2231</t>
  </si>
  <si>
    <t>M计量称</t>
  </si>
  <si>
    <t>WI2232</t>
  </si>
  <si>
    <t>100kg</t>
  </si>
  <si>
    <t>（三）</t>
  </si>
  <si>
    <t>过滤</t>
  </si>
  <si>
    <t>M1除渣进料罐</t>
  </si>
  <si>
    <t>V2301</t>
  </si>
  <si>
    <t>M1除渣进料罐搅拌</t>
  </si>
  <si>
    <t>AG2301</t>
  </si>
  <si>
    <t>φ3000×4000</t>
  </si>
  <si>
    <t>M1除渣进料泵</t>
  </si>
  <si>
    <t>P2302</t>
  </si>
  <si>
    <t>M1除渣板框</t>
  </si>
  <si>
    <t>板框</t>
  </si>
  <si>
    <t>80㎡</t>
  </si>
  <si>
    <t>A3</t>
  </si>
  <si>
    <t>M1糖渣绞龙</t>
  </si>
  <si>
    <t>绞龙</t>
  </si>
  <si>
    <t>φ350×14000，V型</t>
  </si>
  <si>
    <t>M1除渣清液罐</t>
  </si>
  <si>
    <t>M1除渣清液泵</t>
  </si>
  <si>
    <t>M1清液袋式过滤器</t>
  </si>
  <si>
    <t>M1洗板水泵</t>
  </si>
  <si>
    <t>洗布机</t>
  </si>
  <si>
    <t>300kg，3000*2000</t>
  </si>
  <si>
    <t>车间共用</t>
  </si>
  <si>
    <t>（四）</t>
  </si>
  <si>
    <t>脱色</t>
  </si>
  <si>
    <t>M1脱色炭柱</t>
  </si>
  <si>
    <t>FM2401</t>
  </si>
  <si>
    <t>炭柱</t>
  </si>
  <si>
    <t>CS+RUB</t>
  </si>
  <si>
    <t>M1脱色后罐</t>
  </si>
  <si>
    <t>V2402</t>
  </si>
  <si>
    <t>P2403</t>
  </si>
  <si>
    <t>锥顶斜底</t>
  </si>
  <si>
    <t>M预涂罐</t>
  </si>
  <si>
    <t>M预涂罐搅拌</t>
  </si>
  <si>
    <t>M预涂泵</t>
  </si>
  <si>
    <t>（五）</t>
  </si>
  <si>
    <t>离交混床</t>
  </si>
  <si>
    <t>M1离交前罐</t>
  </si>
  <si>
    <t>V2501</t>
  </si>
  <si>
    <t>M1离交进料泵</t>
  </si>
  <si>
    <t>P2502</t>
  </si>
  <si>
    <t>M1离交袋式过滤器</t>
  </si>
  <si>
    <t>F2503A/B</t>
  </si>
  <si>
    <t>M1离交料料板换</t>
  </si>
  <si>
    <t>E2504</t>
  </si>
  <si>
    <t>45㎡</t>
  </si>
  <si>
    <t>M1离交料水板换</t>
  </si>
  <si>
    <t>E2505</t>
  </si>
  <si>
    <t>25㎡</t>
  </si>
  <si>
    <t>M1离交系统</t>
  </si>
  <si>
    <t>FM2506</t>
  </si>
  <si>
    <t>离交</t>
  </si>
  <si>
    <t>M1离交树脂反洗罐</t>
  </si>
  <si>
    <t>V2507A/B</t>
  </si>
  <si>
    <t>φ1200×3500</t>
  </si>
  <si>
    <t>离交系统配套</t>
  </si>
  <si>
    <t>M1离交树脂泵</t>
  </si>
  <si>
    <t>M1离交中转泵</t>
  </si>
  <si>
    <t>P2509</t>
  </si>
  <si>
    <t>M1离交后罐</t>
  </si>
  <si>
    <t>V2510</t>
  </si>
  <si>
    <t>M1混床进料泵</t>
  </si>
  <si>
    <t>P2511</t>
  </si>
  <si>
    <t>M1混床袋式过滤器</t>
  </si>
  <si>
    <t>F2512A/B</t>
  </si>
  <si>
    <t>M1混床料料板换</t>
  </si>
  <si>
    <t>E2513</t>
  </si>
  <si>
    <t>M1混床料水板换</t>
  </si>
  <si>
    <t>E2514</t>
  </si>
  <si>
    <t>35㎡</t>
  </si>
  <si>
    <t>M1混床系统</t>
  </si>
  <si>
    <t>FM2515</t>
  </si>
  <si>
    <t>（六）</t>
  </si>
  <si>
    <t>蒸发</t>
  </si>
  <si>
    <t>M1蒸发进料罐</t>
  </si>
  <si>
    <t>V2601</t>
  </si>
  <si>
    <t>M1蒸发进料泵</t>
  </si>
  <si>
    <t>P2602</t>
  </si>
  <si>
    <t>F2603A/B</t>
  </si>
  <si>
    <t>E2604</t>
  </si>
  <si>
    <t>12t/h</t>
  </si>
  <si>
    <t>304/316L</t>
  </si>
  <si>
    <t>（七）</t>
  </si>
  <si>
    <t>成品</t>
  </si>
  <si>
    <t>（M1）QC罐</t>
  </si>
  <si>
    <t>V2701A/F</t>
  </si>
  <si>
    <t>304L</t>
  </si>
  <si>
    <t>（M1）QC罐搅拌</t>
  </si>
  <si>
    <t>AG2701A/F</t>
  </si>
  <si>
    <t>转子泵</t>
  </si>
  <si>
    <t>M1麦芽糖成品罐</t>
  </si>
  <si>
    <t>M1灌装泵</t>
  </si>
  <si>
    <t>M1成品板换</t>
  </si>
  <si>
    <t>M1发货过滤器</t>
  </si>
  <si>
    <t>（八）</t>
  </si>
  <si>
    <t>公用系统</t>
  </si>
  <si>
    <t>M密封水罐</t>
  </si>
  <si>
    <t>V2801</t>
  </si>
  <si>
    <t>M密封水泵</t>
  </si>
  <si>
    <t>M密封水过滤器</t>
  </si>
  <si>
    <t>F2803A/B</t>
  </si>
  <si>
    <t>年产5万吨75%麦芽糖设备清单</t>
  </si>
  <si>
    <t>M2调浆泵</t>
  </si>
  <si>
    <t>P3202</t>
  </si>
  <si>
    <t>M2调浆水混合器</t>
  </si>
  <si>
    <t>DN32</t>
  </si>
  <si>
    <t>M2加碱计量泵</t>
  </si>
  <si>
    <t>P3204</t>
  </si>
  <si>
    <t>M2调浆过滤器</t>
  </si>
  <si>
    <t>F3205A/B</t>
  </si>
  <si>
    <t>M2液化调浆混合器</t>
  </si>
  <si>
    <t>MX3206</t>
  </si>
  <si>
    <t>M2一次加酶罐</t>
  </si>
  <si>
    <t>V3207</t>
  </si>
  <si>
    <t>M2液化酶计量称</t>
  </si>
  <si>
    <t>WI3208</t>
  </si>
  <si>
    <t>M2液化一次加酶泵</t>
  </si>
  <si>
    <t>P3209</t>
  </si>
  <si>
    <t>M2液化加酶混合器</t>
  </si>
  <si>
    <t>MX3210</t>
  </si>
  <si>
    <t>M2喷射前罐</t>
  </si>
  <si>
    <t>V3211</t>
  </si>
  <si>
    <t>M2喷射前罐搅拌</t>
  </si>
  <si>
    <t>AG3211</t>
  </si>
  <si>
    <t>M2一次喷射泵</t>
  </si>
  <si>
    <t>P3212</t>
  </si>
  <si>
    <t>M2淀粉乳预热板换</t>
  </si>
  <si>
    <t>E3213</t>
  </si>
  <si>
    <t>20㎡</t>
  </si>
  <si>
    <t>M2一次喷射器</t>
  </si>
  <si>
    <t>VJ3214</t>
  </si>
  <si>
    <t>M2一闪罐</t>
  </si>
  <si>
    <t>V3215</t>
  </si>
  <si>
    <t>M2二次加酶罐</t>
  </si>
  <si>
    <t>V3216</t>
  </si>
  <si>
    <t>M2二次加酶计量称</t>
  </si>
  <si>
    <t>WI3217</t>
  </si>
  <si>
    <t>M2液化二次加酶泵</t>
  </si>
  <si>
    <t>P3218</t>
  </si>
  <si>
    <t>M2一闪泵</t>
  </si>
  <si>
    <t>P3219</t>
  </si>
  <si>
    <t>M2二次加酶混合器</t>
  </si>
  <si>
    <t>MX3220</t>
  </si>
  <si>
    <t>M2层流罐</t>
  </si>
  <si>
    <t>V3221A/H</t>
  </si>
  <si>
    <t>M2二次喷射进料罐</t>
  </si>
  <si>
    <t>V3222</t>
  </si>
  <si>
    <t>M2二次喷射泵</t>
  </si>
  <si>
    <t>P3223</t>
  </si>
  <si>
    <t>M2二次喷射器</t>
  </si>
  <si>
    <t>VJ3224</t>
  </si>
  <si>
    <t>M2二闪罐</t>
  </si>
  <si>
    <t>V3225</t>
  </si>
  <si>
    <t>M2二闪泵</t>
  </si>
  <si>
    <t>P3226</t>
  </si>
  <si>
    <t>M2三闪罐</t>
  </si>
  <si>
    <t>V3227</t>
  </si>
  <si>
    <t>M2糖化进料泵</t>
  </si>
  <si>
    <t>P3228</t>
  </si>
  <si>
    <t>M2液化液降温板换1#</t>
  </si>
  <si>
    <t>E3229</t>
  </si>
  <si>
    <t>M2液化液降温板换2#</t>
  </si>
  <si>
    <t>E3230</t>
  </si>
  <si>
    <t>M2糖化罐</t>
  </si>
  <si>
    <t>V3231A/F</t>
  </si>
  <si>
    <t>M2糖化罐搅拌</t>
  </si>
  <si>
    <t>AG3231A/F</t>
  </si>
  <si>
    <t>φ3000×12000</t>
  </si>
  <si>
    <t>M2糖化灭酶泵</t>
  </si>
  <si>
    <t>P3232</t>
  </si>
  <si>
    <t>M2糖化灭酶列管</t>
  </si>
  <si>
    <t>E3233</t>
  </si>
  <si>
    <t>列管</t>
  </si>
  <si>
    <t>M2糖化出料泵</t>
  </si>
  <si>
    <t>P3234</t>
  </si>
  <si>
    <t>M稀酸罐</t>
  </si>
  <si>
    <t>V3235</t>
  </si>
  <si>
    <t>M2除渣进料罐</t>
  </si>
  <si>
    <t>V3301</t>
  </si>
  <si>
    <t>M2除渣进料罐搅拌</t>
  </si>
  <si>
    <t>AG3301</t>
  </si>
  <si>
    <t>M2除渣进料泵</t>
  </si>
  <si>
    <t>P3302</t>
  </si>
  <si>
    <t>M2除渣板框</t>
  </si>
  <si>
    <t>M2除渣清液罐</t>
  </si>
  <si>
    <t>M2除渣清液泵</t>
  </si>
  <si>
    <t>M2清液袋式过滤器</t>
  </si>
  <si>
    <t>M2脱色炭柱</t>
  </si>
  <si>
    <t>FM3401</t>
  </si>
  <si>
    <t>M2脱色后罐</t>
  </si>
  <si>
    <t>V3402</t>
  </si>
  <si>
    <t>P3403</t>
  </si>
  <si>
    <t>M2离交前罐</t>
  </si>
  <si>
    <t>V3501</t>
  </si>
  <si>
    <t>M2离交进料泵</t>
  </si>
  <si>
    <t>P3502</t>
  </si>
  <si>
    <t>M2离交袋式过滤器</t>
  </si>
  <si>
    <t>F3503A/B</t>
  </si>
  <si>
    <t>M2离交料料板换</t>
  </si>
  <si>
    <t>E3504</t>
  </si>
  <si>
    <t>M2离交料水板换</t>
  </si>
  <si>
    <t>E3505</t>
  </si>
  <si>
    <t>M2离交系统</t>
  </si>
  <si>
    <t>FM3506</t>
  </si>
  <si>
    <t>M2离交树脂反洗罐</t>
  </si>
  <si>
    <t>V3507A/B</t>
  </si>
  <si>
    <t>φ1000×3500</t>
  </si>
  <si>
    <t>M2离交树脂泵</t>
  </si>
  <si>
    <t>M2离交中转泵</t>
  </si>
  <si>
    <t>P3509</t>
  </si>
  <si>
    <t>M2离交后罐</t>
  </si>
  <si>
    <t>V3510</t>
  </si>
  <si>
    <t>M2混床进料泵</t>
  </si>
  <si>
    <t>P3511</t>
  </si>
  <si>
    <t>M2混床袋式过滤器</t>
  </si>
  <si>
    <t>F3512A/B</t>
  </si>
  <si>
    <t>M2混床料料板换</t>
  </si>
  <si>
    <t>E3513</t>
  </si>
  <si>
    <t>M2混床料水板换</t>
  </si>
  <si>
    <t>E3514</t>
  </si>
  <si>
    <t>M2混床系统</t>
  </si>
  <si>
    <t>FM3515</t>
  </si>
  <si>
    <t>M2混床出料罐</t>
  </si>
  <si>
    <t>V3516</t>
  </si>
  <si>
    <t>M2脱味进料泵</t>
  </si>
  <si>
    <t>P3517</t>
  </si>
  <si>
    <t>M2脱味系统</t>
  </si>
  <si>
    <t>FM3518</t>
  </si>
  <si>
    <t>M2蒸发进料罐</t>
  </si>
  <si>
    <t>V3601</t>
  </si>
  <si>
    <t>M2蒸发进料泵</t>
  </si>
  <si>
    <t>P3602</t>
  </si>
  <si>
    <t>F3603A/B</t>
  </si>
  <si>
    <t>M2多效废热蒸发系统</t>
  </si>
  <si>
    <t>E3604</t>
  </si>
  <si>
    <t>V3701A/C</t>
  </si>
  <si>
    <t>AG3701A/C</t>
  </si>
  <si>
    <t>φ3200×4000</t>
  </si>
  <si>
    <t>M2麦芽糖成品罐</t>
  </si>
  <si>
    <t>M2灌装泵</t>
  </si>
  <si>
    <t>M2成品板换</t>
  </si>
  <si>
    <t>M2发货过滤器</t>
  </si>
  <si>
    <t>年产5万吨84%麦芽糖设备清单</t>
  </si>
  <si>
    <t>M3调浆泵</t>
  </si>
  <si>
    <t>P4202</t>
  </si>
  <si>
    <t>M3调浆水混合器</t>
  </si>
  <si>
    <t>MX4203</t>
  </si>
  <si>
    <t>M3加碱计量泵</t>
  </si>
  <si>
    <t>P4204</t>
  </si>
  <si>
    <t>M3调浆过滤器</t>
  </si>
  <si>
    <t>F4205A/B</t>
  </si>
  <si>
    <t>M3液化调浆混合器</t>
  </si>
  <si>
    <t>MX4206</t>
  </si>
  <si>
    <t>M3一次加酶罐</t>
  </si>
  <si>
    <t>V4207</t>
  </si>
  <si>
    <t>M3液化酶计量称</t>
  </si>
  <si>
    <t>WI4208</t>
  </si>
  <si>
    <t>计量称</t>
  </si>
  <si>
    <t>M3液化一次加酶泵</t>
  </si>
  <si>
    <t>P4209</t>
  </si>
  <si>
    <t>M3液化加酶混合器</t>
  </si>
  <si>
    <t>MX4210</t>
  </si>
  <si>
    <t>M3喷射前罐</t>
  </si>
  <si>
    <t>V4211</t>
  </si>
  <si>
    <t>M3喷射前罐搅拌</t>
  </si>
  <si>
    <t>AG4211</t>
  </si>
  <si>
    <t>M3一次喷射泵</t>
  </si>
  <si>
    <t>P4212</t>
  </si>
  <si>
    <t>M3淀粉乳预热板换</t>
  </si>
  <si>
    <t>E4213</t>
  </si>
  <si>
    <t>M3一次喷射器</t>
  </si>
  <si>
    <t>VJ4214</t>
  </si>
  <si>
    <t>M3一闪罐</t>
  </si>
  <si>
    <t>V4215</t>
  </si>
  <si>
    <t>M3二次加酶罐</t>
  </si>
  <si>
    <t>V4216</t>
  </si>
  <si>
    <t>M3二次加酶计量称</t>
  </si>
  <si>
    <t>WI4217</t>
  </si>
  <si>
    <t>M3液化二次加酶泵</t>
  </si>
  <si>
    <t>P4218</t>
  </si>
  <si>
    <t>M3一闪泵</t>
  </si>
  <si>
    <t>P4219</t>
  </si>
  <si>
    <t>M3二次加酶混合器</t>
  </si>
  <si>
    <t>MX4220</t>
  </si>
  <si>
    <t>M3层流罐</t>
  </si>
  <si>
    <t>V4221A/H</t>
  </si>
  <si>
    <t>M3二次喷射进料罐</t>
  </si>
  <si>
    <t>V4222</t>
  </si>
  <si>
    <t>M3二次喷射泵</t>
  </si>
  <si>
    <t>P4223</t>
  </si>
  <si>
    <t>M3二次喷射器</t>
  </si>
  <si>
    <t>VJ4224</t>
  </si>
  <si>
    <t>M3二闪罐</t>
  </si>
  <si>
    <t>V4225</t>
  </si>
  <si>
    <t>M3二闪泵</t>
  </si>
  <si>
    <t>P4226</t>
  </si>
  <si>
    <t>M3三闪罐</t>
  </si>
  <si>
    <t>V4227</t>
  </si>
  <si>
    <t>M3糖化进料泵</t>
  </si>
  <si>
    <t>P4228</t>
  </si>
  <si>
    <t>M3液化液降温板换1#</t>
  </si>
  <si>
    <t>E4229</t>
  </si>
  <si>
    <t>M3液化液降温板换2#</t>
  </si>
  <si>
    <t>E4230</t>
  </si>
  <si>
    <t>M3糖化罐</t>
  </si>
  <si>
    <t>V4231A/F</t>
  </si>
  <si>
    <t>M3糖化罐搅拌</t>
  </si>
  <si>
    <t>AG4231A/F</t>
  </si>
  <si>
    <t>M3糖化灭酶泵</t>
  </si>
  <si>
    <t>P4232</t>
  </si>
  <si>
    <t>M3糖化灭酶列管</t>
  </si>
  <si>
    <t>E4233</t>
  </si>
  <si>
    <t>M3糖化出料泵</t>
  </si>
  <si>
    <t>P4234</t>
  </si>
  <si>
    <t>M3除渣进料罐</t>
  </si>
  <si>
    <t>V4301</t>
  </si>
  <si>
    <t>M3除渣进料罐搅拌</t>
  </si>
  <si>
    <t>AG4301</t>
  </si>
  <si>
    <t>M3除渣进料泵</t>
  </si>
  <si>
    <t>P4302</t>
  </si>
  <si>
    <t>M3除渣板框</t>
  </si>
  <si>
    <t>M3除渣清液罐</t>
  </si>
  <si>
    <t>M3除渣清液泵</t>
  </si>
  <si>
    <t>M3清液袋式过滤器</t>
  </si>
  <si>
    <t>M3脱色炭柱</t>
  </si>
  <si>
    <t>FM4401</t>
  </si>
  <si>
    <t>M3脱色后罐</t>
  </si>
  <si>
    <t>V4402</t>
  </si>
  <si>
    <t>P4403</t>
  </si>
  <si>
    <t>M3离交前罐</t>
  </si>
  <si>
    <t>V4501</t>
  </si>
  <si>
    <t>M3离交进料泵</t>
  </si>
  <si>
    <t>P4502</t>
  </si>
  <si>
    <t>M3离交袋式过滤器</t>
  </si>
  <si>
    <t>F4503A/B</t>
  </si>
  <si>
    <t>M3离交料料板换</t>
  </si>
  <si>
    <t>E4504</t>
  </si>
  <si>
    <t>M3离交料水板换</t>
  </si>
  <si>
    <t>E4505</t>
  </si>
  <si>
    <t>M3离交系统</t>
  </si>
  <si>
    <t>FM4506</t>
  </si>
  <si>
    <t>M3离交树脂反洗罐</t>
  </si>
  <si>
    <t>V4507A/B</t>
  </si>
  <si>
    <t>M3离交树脂泵</t>
  </si>
  <si>
    <t>M3离交中转泵</t>
  </si>
  <si>
    <t>P4509</t>
  </si>
  <si>
    <t>M3离交后罐</t>
  </si>
  <si>
    <t>V4510</t>
  </si>
  <si>
    <t>M3混床进料泵</t>
  </si>
  <si>
    <t>P4511</t>
  </si>
  <si>
    <t>M3混床袋式过滤器</t>
  </si>
  <si>
    <t>F4512A/B</t>
  </si>
  <si>
    <t>M3混床料料板换</t>
  </si>
  <si>
    <t>E4513</t>
  </si>
  <si>
    <t>M3混床料水板换</t>
  </si>
  <si>
    <t>E4514</t>
  </si>
  <si>
    <t>M3混床系统</t>
  </si>
  <si>
    <t>FM4515</t>
  </si>
  <si>
    <t>M3混床出料罐</t>
  </si>
  <si>
    <t>V4516</t>
  </si>
  <si>
    <t>M3脱味进料泵</t>
  </si>
  <si>
    <t>P4517</t>
  </si>
  <si>
    <t>M3脱味系统</t>
  </si>
  <si>
    <t>FM4518</t>
  </si>
  <si>
    <t>M3蒸发进料罐</t>
  </si>
  <si>
    <t>V4601</t>
  </si>
  <si>
    <t>M3蒸发进料泵</t>
  </si>
  <si>
    <t>P4602</t>
  </si>
  <si>
    <t>F4603A/B</t>
  </si>
  <si>
    <t>E4604</t>
  </si>
  <si>
    <t>V4701A/C</t>
  </si>
  <si>
    <t>AG4701A/C</t>
  </si>
  <si>
    <t>M3麦芽糖成品罐</t>
  </si>
  <si>
    <t>M3灌装泵</t>
  </si>
  <si>
    <t>M3成品板换</t>
  </si>
  <si>
    <t>M3发货过滤器</t>
  </si>
  <si>
    <t>φ2500×2500</t>
    <phoneticPr fontId="5" type="noConversion"/>
  </si>
  <si>
    <t>M1地磅</t>
    <phoneticPr fontId="5" type="noConversion"/>
  </si>
  <si>
    <t>地磅</t>
    <phoneticPr fontId="5" type="noConversion"/>
  </si>
  <si>
    <t>100T</t>
    <phoneticPr fontId="5" type="noConversion"/>
  </si>
  <si>
    <t>ZH</t>
    <phoneticPr fontId="5" type="noConversion"/>
  </si>
  <si>
    <t>M2地磅</t>
    <phoneticPr fontId="5" type="noConversion"/>
  </si>
  <si>
    <t>M3地磅</t>
    <phoneticPr fontId="5" type="noConversion"/>
  </si>
  <si>
    <t>P3702A/B</t>
    <phoneticPr fontId="5" type="noConversion"/>
  </si>
  <si>
    <t>P3508A/B</t>
    <phoneticPr fontId="5" type="noConversion"/>
  </si>
  <si>
    <t>P4508A/B</t>
    <phoneticPr fontId="5" type="noConversion"/>
  </si>
  <si>
    <t>P2508A/B</t>
    <phoneticPr fontId="5" type="noConversion"/>
  </si>
  <si>
    <t>车间共用、防尘防爆</t>
    <phoneticPr fontId="5" type="noConversion"/>
  </si>
  <si>
    <t>车间共用、防尘防爆</t>
    <phoneticPr fontId="5" type="noConversion"/>
  </si>
  <si>
    <t>车间共用、防尘防爆</t>
    <phoneticPr fontId="5" type="noConversion"/>
  </si>
  <si>
    <t>MX3203</t>
    <phoneticPr fontId="5" type="noConversion"/>
  </si>
  <si>
    <t>20㎡</t>
    <phoneticPr fontId="5" type="noConversion"/>
  </si>
  <si>
    <t>20㎡</t>
    <phoneticPr fontId="5" type="noConversion"/>
  </si>
  <si>
    <t>25㎡</t>
    <phoneticPr fontId="5" type="noConversion"/>
  </si>
  <si>
    <t>25㎡</t>
    <phoneticPr fontId="5" type="noConversion"/>
  </si>
  <si>
    <t>25㎡</t>
    <phoneticPr fontId="5" type="noConversion"/>
  </si>
  <si>
    <t>15㎡</t>
    <phoneticPr fontId="5" type="noConversion"/>
  </si>
  <si>
    <t>15㎡</t>
    <phoneticPr fontId="5" type="noConversion"/>
  </si>
  <si>
    <t>（M2）QC罐</t>
    <phoneticPr fontId="5" type="noConversion"/>
  </si>
  <si>
    <t>（M2）QC罐搅拌</t>
    <phoneticPr fontId="5" type="noConversion"/>
  </si>
  <si>
    <t>5万吨麦芽糖共用</t>
    <phoneticPr fontId="5" type="noConversion"/>
  </si>
  <si>
    <t>M3多效废热蒸发系统</t>
    <phoneticPr fontId="5" type="noConversion"/>
  </si>
  <si>
    <t>（M3）QC罐出料泵</t>
    <phoneticPr fontId="5" type="noConversion"/>
  </si>
  <si>
    <t>（M3）QC罐</t>
    <phoneticPr fontId="5" type="noConversion"/>
  </si>
  <si>
    <t>（M3）QC罐搅拌</t>
    <phoneticPr fontId="5" type="noConversion"/>
  </si>
  <si>
    <t>台</t>
    <phoneticPr fontId="5" type="noConversion"/>
  </si>
  <si>
    <r>
      <t>φ2500×2000，V=11.3m</t>
    </r>
    <r>
      <rPr>
        <sz val="10"/>
        <rFont val="Times New Roman"/>
        <family val="1"/>
      </rPr>
      <t>³</t>
    </r>
  </si>
  <si>
    <r>
      <t>φ2000×4000，V=13.6m</t>
    </r>
    <r>
      <rPr>
        <sz val="10"/>
        <rFont val="Times New Roman"/>
        <family val="1"/>
      </rPr>
      <t>³</t>
    </r>
  </si>
  <si>
    <r>
      <t>φ3000×4000，V=31.8m</t>
    </r>
    <r>
      <rPr>
        <sz val="10"/>
        <rFont val="Times New Roman"/>
        <family val="1"/>
      </rPr>
      <t>³</t>
    </r>
  </si>
  <si>
    <r>
      <t>φ1400×3500，V=6.1m</t>
    </r>
    <r>
      <rPr>
        <sz val="10"/>
        <rFont val="Times New Roman"/>
        <family val="1"/>
      </rPr>
      <t>³</t>
    </r>
  </si>
  <si>
    <r>
      <t>φ1000×3000，V=2.6m</t>
    </r>
    <r>
      <rPr>
        <sz val="10"/>
        <rFont val="Times New Roman"/>
        <family val="1"/>
      </rPr>
      <t>³</t>
    </r>
  </si>
  <si>
    <r>
      <t>φ3600×12000，V=128m</t>
    </r>
    <r>
      <rPr>
        <sz val="10"/>
        <rFont val="Times New Roman"/>
        <family val="1"/>
      </rPr>
      <t>³</t>
    </r>
  </si>
  <si>
    <r>
      <t>Q=14m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/h，H=396m</t>
    </r>
  </si>
  <si>
    <r>
      <t>Q=10m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/h，H=30m</t>
    </r>
  </si>
  <si>
    <r>
      <t>Q=50m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/h，H=50m，VFD</t>
    </r>
  </si>
  <si>
    <r>
      <t>Q=45m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/h，H=50m，VFD</t>
    </r>
  </si>
  <si>
    <r>
      <t>Q=45m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/h，H=30m</t>
    </r>
  </si>
  <si>
    <r>
      <t>Q=45m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/h，25μm</t>
    </r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</si>
  <si>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/h，H=25m</t>
    </r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</si>
  <si>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/h，60目</t>
    </r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</si>
  <si>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/h，DN50</t>
    </r>
  </si>
  <si>
    <r>
      <t>Q=12-18m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</t>
    </r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</si>
  <si>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/h，H=50m</t>
    </r>
  </si>
  <si>
    <r>
      <t>φ1200×3000，V=3.6m</t>
    </r>
    <r>
      <rPr>
        <sz val="10"/>
        <rFont val="Times New Roman"/>
        <family val="1"/>
      </rPr>
      <t>³</t>
    </r>
  </si>
  <si>
    <r>
      <t>φ3000×12000，V=88m</t>
    </r>
    <r>
      <rPr>
        <sz val="10"/>
        <rFont val="Times New Roman"/>
        <family val="1"/>
      </rPr>
      <t>³</t>
    </r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</si>
  <si>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/h，H=40m</t>
    </r>
  </si>
  <si>
    <r>
      <t>φ1000×1500，V=1.4m</t>
    </r>
    <r>
      <rPr>
        <sz val="10"/>
        <rFont val="Times New Roman"/>
        <family val="1"/>
      </rPr>
      <t>³</t>
    </r>
  </si>
  <si>
    <r>
      <t>Q=25m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/h，H=40m，VFD</t>
    </r>
    <phoneticPr fontId="5" type="noConversion"/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</si>
  <si>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/h，2㎡，10μm</t>
    </r>
    <phoneticPr fontId="5" type="noConversion"/>
  </si>
  <si>
    <r>
      <t>浓度34.5%，15m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</t>
    </r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</si>
  <si>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/h，H=30m</t>
    </r>
  </si>
  <si>
    <r>
      <t>浓度34%，15m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</t>
    </r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</si>
  <si>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/h，2㎡，5μm</t>
    </r>
  </si>
  <si>
    <r>
      <t>φ3200×4000，V=36.4m</t>
    </r>
    <r>
      <rPr>
        <sz val="10"/>
        <rFont val="Times New Roman"/>
        <family val="1"/>
      </rPr>
      <t>³</t>
    </r>
  </si>
  <si>
    <r>
      <t>Q=35m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/h，H=50m，VFD</t>
    </r>
  </si>
  <si>
    <t xml:space="preserve">V2109A/B </t>
    <phoneticPr fontId="5" type="noConversion"/>
  </si>
  <si>
    <t>AG2109A/B</t>
    <phoneticPr fontId="5" type="noConversion"/>
  </si>
  <si>
    <t>P2110A</t>
    <phoneticPr fontId="5" type="noConversion"/>
  </si>
  <si>
    <t>P2110B</t>
    <phoneticPr fontId="5" type="noConversion"/>
  </si>
  <si>
    <t>台</t>
    <phoneticPr fontId="5" type="noConversion"/>
  </si>
  <si>
    <t>φ3500×5000</t>
    <phoneticPr fontId="5" type="noConversion"/>
  </si>
  <si>
    <t>蓝式过滤器</t>
    <phoneticPr fontId="5" type="noConversion"/>
  </si>
  <si>
    <t>过滤器</t>
    <phoneticPr fontId="5" type="noConversion"/>
  </si>
  <si>
    <t>罐</t>
    <phoneticPr fontId="5" type="noConversion"/>
  </si>
  <si>
    <t>BM2303A/D</t>
    <phoneticPr fontId="5" type="noConversion"/>
  </si>
  <si>
    <t>120㎡</t>
    <phoneticPr fontId="5" type="noConversion"/>
  </si>
  <si>
    <t>WI2708</t>
    <phoneticPr fontId="5" type="noConversion"/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</si>
  <si>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/h，H=50m，VFD</t>
    </r>
    <phoneticPr fontId="5" type="noConversion"/>
  </si>
  <si>
    <t>M2洗板水泵</t>
    <phoneticPr fontId="5" type="noConversion"/>
  </si>
  <si>
    <t>板框</t>
    <phoneticPr fontId="5" type="noConversion"/>
  </si>
  <si>
    <t>M1除渣中转罐</t>
    <phoneticPr fontId="5" type="noConversion"/>
  </si>
  <si>
    <t>M1除渣中转罐搅拌</t>
    <phoneticPr fontId="5" type="noConversion"/>
  </si>
  <si>
    <t>M1除渣中转泵</t>
    <phoneticPr fontId="5" type="noConversion"/>
  </si>
  <si>
    <t>X2311</t>
    <phoneticPr fontId="5" type="noConversion"/>
  </si>
  <si>
    <t>M2除渣中转罐搅拌</t>
    <phoneticPr fontId="5" type="noConversion"/>
  </si>
  <si>
    <t>M2除渣中转泵</t>
    <phoneticPr fontId="5" type="noConversion"/>
  </si>
  <si>
    <t>BM3303A/D</t>
    <phoneticPr fontId="5" type="noConversion"/>
  </si>
  <si>
    <t>BM4303A/D</t>
    <phoneticPr fontId="5" type="noConversion"/>
  </si>
  <si>
    <t>M3除渣中转罐</t>
    <phoneticPr fontId="5" type="noConversion"/>
  </si>
  <si>
    <t>M3除渣中转罐搅拌</t>
    <phoneticPr fontId="5" type="noConversion"/>
  </si>
  <si>
    <t>M3除渣中转泵</t>
    <phoneticPr fontId="5" type="noConversion"/>
  </si>
  <si>
    <t>V4304</t>
    <phoneticPr fontId="5" type="noConversion"/>
  </si>
  <si>
    <t>AG4304</t>
    <phoneticPr fontId="5" type="noConversion"/>
  </si>
  <si>
    <t>P4305</t>
    <phoneticPr fontId="5" type="noConversion"/>
  </si>
  <si>
    <t>V4306</t>
    <phoneticPr fontId="5" type="noConversion"/>
  </si>
  <si>
    <t>P4307</t>
    <phoneticPr fontId="5" type="noConversion"/>
  </si>
  <si>
    <t>F4308A/B</t>
    <phoneticPr fontId="5" type="noConversion"/>
  </si>
  <si>
    <t>M2除渣中转罐</t>
    <phoneticPr fontId="5" type="noConversion"/>
  </si>
  <si>
    <t>V2304</t>
    <phoneticPr fontId="5" type="noConversion"/>
  </si>
  <si>
    <t>AG2304</t>
    <phoneticPr fontId="5" type="noConversion"/>
  </si>
  <si>
    <t>P2305</t>
    <phoneticPr fontId="5" type="noConversion"/>
  </si>
  <si>
    <t>V2306</t>
    <phoneticPr fontId="5" type="noConversion"/>
  </si>
  <si>
    <t>P2307</t>
    <phoneticPr fontId="5" type="noConversion"/>
  </si>
  <si>
    <t>F2308A/B</t>
    <phoneticPr fontId="5" type="noConversion"/>
  </si>
  <si>
    <t>P2309</t>
    <phoneticPr fontId="5" type="noConversion"/>
  </si>
  <si>
    <t>CVL2310</t>
    <phoneticPr fontId="5" type="noConversion"/>
  </si>
  <si>
    <t>V3304</t>
    <phoneticPr fontId="5" type="noConversion"/>
  </si>
  <si>
    <t>AG3304</t>
    <phoneticPr fontId="5" type="noConversion"/>
  </si>
  <si>
    <t>P3305</t>
    <phoneticPr fontId="5" type="noConversion"/>
  </si>
  <si>
    <t>V3306</t>
    <phoneticPr fontId="5" type="noConversion"/>
  </si>
  <si>
    <t>P3307</t>
    <phoneticPr fontId="5" type="noConversion"/>
  </si>
  <si>
    <t>F3308A/B</t>
    <phoneticPr fontId="5" type="noConversion"/>
  </si>
  <si>
    <t>P3309</t>
    <phoneticPr fontId="5" type="noConversion"/>
  </si>
  <si>
    <t>CVL3310</t>
    <phoneticPr fontId="5" type="noConversion"/>
  </si>
  <si>
    <t>M3洗板水泵</t>
    <phoneticPr fontId="5" type="noConversion"/>
  </si>
  <si>
    <t>P4309</t>
    <phoneticPr fontId="5" type="noConversion"/>
  </si>
  <si>
    <t>V3703A/J</t>
    <phoneticPr fontId="5" type="noConversion"/>
  </si>
  <si>
    <t>P3704A/E</t>
    <phoneticPr fontId="5" type="noConversion"/>
  </si>
  <si>
    <t>E3706A/E</t>
    <phoneticPr fontId="5" type="noConversion"/>
  </si>
  <si>
    <t>WI3708</t>
    <phoneticPr fontId="5" type="noConversion"/>
  </si>
  <si>
    <t>V4703A/J</t>
    <phoneticPr fontId="5" type="noConversion"/>
  </si>
  <si>
    <t>P4704A/E</t>
    <phoneticPr fontId="5" type="noConversion"/>
  </si>
  <si>
    <t>E4706A/E</t>
    <phoneticPr fontId="5" type="noConversion"/>
  </si>
  <si>
    <t>WI4708</t>
    <phoneticPr fontId="5" type="noConversion"/>
  </si>
  <si>
    <t>M淀粉乳接收罐</t>
    <phoneticPr fontId="5" type="noConversion"/>
  </si>
  <si>
    <t>M淀粉乳接收罐搅拌</t>
    <phoneticPr fontId="5" type="noConversion"/>
  </si>
  <si>
    <t>M2糖渣绞龙</t>
    <phoneticPr fontId="5" type="noConversion"/>
  </si>
  <si>
    <t>M3糖渣绞龙</t>
    <phoneticPr fontId="5" type="noConversion"/>
  </si>
  <si>
    <t>CVL4310</t>
    <phoneticPr fontId="5" type="noConversion"/>
  </si>
  <si>
    <t>M2密闭过滤机进料泵</t>
    <phoneticPr fontId="5" type="noConversion"/>
  </si>
  <si>
    <t>M2密闭过滤机</t>
    <phoneticPr fontId="5" type="noConversion"/>
  </si>
  <si>
    <t>F3404A/B</t>
    <phoneticPr fontId="5" type="noConversion"/>
  </si>
  <si>
    <t>过滤器</t>
    <phoneticPr fontId="5" type="noConversion"/>
  </si>
  <si>
    <r>
      <t>φ2500×2000，V=10.7m</t>
    </r>
    <r>
      <rPr>
        <sz val="10"/>
        <rFont val="Times New Roman"/>
        <family val="1"/>
      </rPr>
      <t>³</t>
    </r>
  </si>
  <si>
    <t>M3密闭过滤机进料泵</t>
    <phoneticPr fontId="5" type="noConversion"/>
  </si>
  <si>
    <t>M3密闭过滤机</t>
    <phoneticPr fontId="5" type="noConversion"/>
  </si>
  <si>
    <t>F4404A/B</t>
    <phoneticPr fontId="5" type="noConversion"/>
  </si>
  <si>
    <t>M1密闭过滤机进料泵</t>
    <phoneticPr fontId="5" type="noConversion"/>
  </si>
  <si>
    <t>M1密闭过滤机</t>
    <phoneticPr fontId="5" type="noConversion"/>
  </si>
  <si>
    <t>过滤器</t>
    <phoneticPr fontId="5" type="noConversion"/>
  </si>
  <si>
    <t>F2404A/C</t>
    <phoneticPr fontId="5" type="noConversion"/>
  </si>
  <si>
    <t>M1废土罐</t>
  </si>
  <si>
    <t>M1废土罐搅拌</t>
    <phoneticPr fontId="5" type="noConversion"/>
  </si>
  <si>
    <t>M1废土泵</t>
    <phoneticPr fontId="5" type="noConversion"/>
  </si>
  <si>
    <t>废土板框</t>
    <phoneticPr fontId="5" type="noConversion"/>
  </si>
  <si>
    <t>V2406</t>
    <phoneticPr fontId="5" type="noConversion"/>
  </si>
  <si>
    <t>AG2406</t>
    <phoneticPr fontId="5" type="noConversion"/>
  </si>
  <si>
    <t>P2407</t>
    <phoneticPr fontId="5" type="noConversion"/>
  </si>
  <si>
    <t>P2410</t>
    <phoneticPr fontId="5" type="noConversion"/>
  </si>
  <si>
    <t>BM2413</t>
    <phoneticPr fontId="5" type="noConversion"/>
  </si>
  <si>
    <t>40㎡</t>
    <phoneticPr fontId="5" type="noConversion"/>
  </si>
  <si>
    <t>M1层流罐出料泵</t>
    <phoneticPr fontId="5" type="noConversion"/>
  </si>
  <si>
    <t>P2233</t>
    <phoneticPr fontId="5" type="noConversion"/>
  </si>
  <si>
    <t>泵</t>
    <phoneticPr fontId="5" type="noConversion"/>
  </si>
  <si>
    <t>果糖投料水罐</t>
    <phoneticPr fontId="5" type="noConversion"/>
  </si>
  <si>
    <t>果糖投料水泵</t>
    <phoneticPr fontId="5" type="noConversion"/>
  </si>
  <si>
    <t>麦芽糖投料水罐</t>
    <phoneticPr fontId="5" type="noConversion"/>
  </si>
  <si>
    <t>麦芽糖投料水泵</t>
    <phoneticPr fontId="5" type="noConversion"/>
  </si>
  <si>
    <t>V2119</t>
    <phoneticPr fontId="5" type="noConversion"/>
  </si>
  <si>
    <t>P2120</t>
    <phoneticPr fontId="5" type="noConversion"/>
  </si>
  <si>
    <t>V2121</t>
    <phoneticPr fontId="5" type="noConversion"/>
  </si>
  <si>
    <t>P2122</t>
    <phoneticPr fontId="5" type="noConversion"/>
  </si>
  <si>
    <t>M1蒸发前袋式过滤器</t>
    <phoneticPr fontId="5" type="noConversion"/>
  </si>
  <si>
    <t>304L</t>
    <phoneticPr fontId="5" type="noConversion"/>
  </si>
  <si>
    <t>M3蒸发前袋式过滤器</t>
    <phoneticPr fontId="5" type="noConversion"/>
  </si>
  <si>
    <t>过滤回收水泵</t>
    <phoneticPr fontId="5" type="noConversion"/>
  </si>
  <si>
    <t>V2408</t>
    <phoneticPr fontId="5" type="noConversion"/>
  </si>
  <si>
    <t>AG2408</t>
    <phoneticPr fontId="5" type="noConversion"/>
  </si>
  <si>
    <t>V2409</t>
    <phoneticPr fontId="5" type="noConversion"/>
  </si>
  <si>
    <t>过滤回收水罐</t>
    <phoneticPr fontId="5" type="noConversion"/>
  </si>
  <si>
    <t>V2415</t>
    <phoneticPr fontId="5" type="noConversion"/>
  </si>
  <si>
    <t>P2416</t>
    <phoneticPr fontId="5" type="noConversion"/>
  </si>
  <si>
    <t>φ400×800</t>
    <phoneticPr fontId="5" type="noConversion"/>
  </si>
  <si>
    <t>台</t>
    <phoneticPr fontId="5" type="noConversion"/>
  </si>
  <si>
    <t>锥顶斜底</t>
    <phoneticPr fontId="5" type="noConversion"/>
  </si>
  <si>
    <t>M预涂自吸罐</t>
    <phoneticPr fontId="5" type="noConversion"/>
  </si>
  <si>
    <t>Q=50m³/h，20目</t>
    <phoneticPr fontId="5" type="noConversion"/>
  </si>
  <si>
    <t>P2702A/C</t>
    <phoneticPr fontId="5" type="noConversion"/>
  </si>
  <si>
    <t>P4702A/C</t>
    <phoneticPr fontId="5" type="noConversion"/>
  </si>
  <si>
    <t>M2蒸发前袋式过滤器</t>
    <phoneticPr fontId="5" type="noConversion"/>
  </si>
  <si>
    <t>φ3500×5000</t>
    <phoneticPr fontId="5" type="noConversion"/>
  </si>
  <si>
    <t>φ700~φ1150×8000</t>
    <phoneticPr fontId="5" type="noConversion"/>
  </si>
  <si>
    <t>φ600~φ950×8000</t>
    <phoneticPr fontId="5" type="noConversion"/>
  </si>
  <si>
    <t>φ600~φ950×8000</t>
    <phoneticPr fontId="5" type="noConversion"/>
  </si>
  <si>
    <t>φ3600×6000</t>
    <phoneticPr fontId="5" type="noConversion"/>
  </si>
  <si>
    <t>120㎡</t>
    <phoneticPr fontId="5" type="noConversion"/>
  </si>
  <si>
    <t>φ1800×6000</t>
    <phoneticPr fontId="5" type="noConversion"/>
  </si>
  <si>
    <r>
      <t>φ3500×8000，V=76m</t>
    </r>
    <r>
      <rPr>
        <sz val="10"/>
        <rFont val="Times New Roman"/>
        <family val="1"/>
      </rPr>
      <t>³</t>
    </r>
    <phoneticPr fontId="5" type="noConversion"/>
  </si>
  <si>
    <t>PP</t>
    <phoneticPr fontId="5" type="noConversion"/>
  </si>
  <si>
    <t>锥顶平底</t>
    <phoneticPr fontId="5" type="noConversion"/>
  </si>
  <si>
    <t>淀粉乳蓝式过滤器</t>
    <phoneticPr fontId="5" type="noConversion"/>
  </si>
  <si>
    <t>F2123A/B</t>
    <phoneticPr fontId="5" type="noConversion"/>
  </si>
  <si>
    <t>Q=80m³/h，20目</t>
    <phoneticPr fontId="5" type="noConversion"/>
  </si>
  <si>
    <t>F2123C/D</t>
    <phoneticPr fontId="5" type="noConversion"/>
  </si>
  <si>
    <t>Q=60m³/h，20目</t>
    <phoneticPr fontId="5" type="noConversion"/>
  </si>
  <si>
    <t>M1蒸发降温板换</t>
    <phoneticPr fontId="5" type="noConversion"/>
  </si>
  <si>
    <t>E2606</t>
    <phoneticPr fontId="5" type="noConversion"/>
  </si>
  <si>
    <t>P2704A/D</t>
    <phoneticPr fontId="5" type="noConversion"/>
  </si>
  <si>
    <t>V2703A/L</t>
    <phoneticPr fontId="5" type="noConversion"/>
  </si>
  <si>
    <t>E2706A/D</t>
    <phoneticPr fontId="5" type="noConversion"/>
  </si>
  <si>
    <t>E3605</t>
    <phoneticPr fontId="5" type="noConversion"/>
  </si>
  <si>
    <t>20㎡</t>
    <phoneticPr fontId="5" type="noConversion"/>
  </si>
  <si>
    <t>M2蒸发降温板换</t>
    <phoneticPr fontId="5" type="noConversion"/>
  </si>
  <si>
    <t>M3蒸发降温板换</t>
    <phoneticPr fontId="5" type="noConversion"/>
  </si>
  <si>
    <t>E4605</t>
    <phoneticPr fontId="5" type="noConversion"/>
  </si>
  <si>
    <t>（M2）QC罐出料泵</t>
    <phoneticPr fontId="5" type="noConversion"/>
  </si>
  <si>
    <t>（M1）QC罐出料泵</t>
    <phoneticPr fontId="5" type="noConversion"/>
  </si>
  <si>
    <t>10㎡</t>
    <phoneticPr fontId="5" type="noConversion"/>
  </si>
  <si>
    <t>P2802A/B</t>
    <phoneticPr fontId="5" type="noConversion"/>
  </si>
  <si>
    <t>F2707A/D</t>
    <phoneticPr fontId="5" type="noConversion"/>
  </si>
  <si>
    <t>F3707A/E</t>
    <phoneticPr fontId="5" type="noConversion"/>
  </si>
  <si>
    <t>F4707A/E</t>
    <phoneticPr fontId="5" type="noConversion"/>
  </si>
  <si>
    <t>30L/h，6bar，VFD</t>
    <phoneticPr fontId="5" type="noConversion"/>
  </si>
  <si>
    <t>30L/h，6bar，VFD</t>
    <phoneticPr fontId="5" type="noConversion"/>
  </si>
  <si>
    <t>30L/h，6bar，VFD</t>
    <phoneticPr fontId="5" type="noConversion"/>
  </si>
  <si>
    <r>
      <t>Q=25m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/h，H=30m</t>
    </r>
    <phoneticPr fontId="5" type="noConversion"/>
  </si>
  <si>
    <r>
      <t>φ3500×5000，V=53.6m</t>
    </r>
    <r>
      <rPr>
        <sz val="10"/>
        <rFont val="Times New Roman"/>
        <family val="1"/>
      </rPr>
      <t>³</t>
    </r>
    <phoneticPr fontId="5" type="noConversion"/>
  </si>
  <si>
    <r>
      <t>φ2000×4000，V=13.6m</t>
    </r>
    <r>
      <rPr>
        <sz val="10"/>
        <rFont val="Times New Roman"/>
        <family val="1"/>
      </rPr>
      <t>³</t>
    </r>
    <phoneticPr fontId="5" type="noConversion"/>
  </si>
  <si>
    <r>
      <t>Q=20m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/h，H=25m</t>
    </r>
    <phoneticPr fontId="5" type="noConversion"/>
  </si>
  <si>
    <r>
      <t>Q=50m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/h，H=25m</t>
    </r>
    <phoneticPr fontId="5" type="noConversion"/>
  </si>
  <si>
    <r>
      <t>Q=45m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/h，H=40m，VFD</t>
    </r>
    <phoneticPr fontId="5" type="noConversion"/>
  </si>
  <si>
    <r>
      <t>φ2500×2500，V=13.2m</t>
    </r>
    <r>
      <rPr>
        <sz val="10"/>
        <rFont val="Times New Roman"/>
        <family val="1"/>
      </rPr>
      <t>³</t>
    </r>
    <phoneticPr fontId="5" type="noConversion"/>
  </si>
  <si>
    <r>
      <t>Q=20m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/h，H=40m，VFD</t>
    </r>
    <phoneticPr fontId="5" type="noConversion"/>
  </si>
  <si>
    <r>
      <t>Q=20m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/h，H=25m</t>
    </r>
    <phoneticPr fontId="5" type="noConversion"/>
  </si>
  <si>
    <r>
      <t>φ4000×8000，V=103m</t>
    </r>
    <r>
      <rPr>
        <sz val="10"/>
        <rFont val="Times New Roman"/>
        <family val="1"/>
      </rPr>
      <t>³</t>
    </r>
    <phoneticPr fontId="5" type="noConversion"/>
  </si>
  <si>
    <r>
      <t>Q=45m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/h，3㎡，300目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</si>
  <si>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/h，H=25m</t>
    </r>
    <phoneticPr fontId="5" type="noConversion"/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</si>
  <si>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/h，H=65m，VFD</t>
    </r>
    <phoneticPr fontId="5" type="noConversion"/>
  </si>
  <si>
    <r>
      <t>Q=12-18m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</t>
    </r>
    <phoneticPr fontId="5" type="noConversion"/>
  </si>
  <si>
    <r>
      <t>φ1000×3000，V=2.6m</t>
    </r>
    <r>
      <rPr>
        <sz val="10"/>
        <rFont val="Times New Roman"/>
        <family val="1"/>
      </rPr>
      <t>³</t>
    </r>
    <phoneticPr fontId="5" type="noConversion"/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</si>
  <si>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/h，H=25m</t>
    </r>
    <phoneticPr fontId="5" type="noConversion"/>
  </si>
  <si>
    <r>
      <t>φ2000×4000，V=13.6m</t>
    </r>
    <r>
      <rPr>
        <sz val="10"/>
        <rFont val="Times New Roman"/>
        <family val="1"/>
      </rPr>
      <t>³</t>
    </r>
    <phoneticPr fontId="5" type="noConversion"/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</si>
  <si>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/h，H=50m,VFD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</si>
  <si>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/h，H=25m</t>
    </r>
    <phoneticPr fontId="5" type="noConversion"/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</si>
  <si>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/h，H=25m</t>
    </r>
    <phoneticPr fontId="5" type="noConversion"/>
  </si>
  <si>
    <r>
      <t>Q=25m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/h，H=40m，VFD</t>
    </r>
    <phoneticPr fontId="5" type="noConversion"/>
  </si>
  <si>
    <r>
      <t>Q=18m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/h，2㎡，10μm</t>
    </r>
    <phoneticPr fontId="5" type="noConversion"/>
  </si>
  <si>
    <r>
      <t>φ3500×8000，V=76m</t>
    </r>
    <r>
      <rPr>
        <sz val="10"/>
        <rFont val="Times New Roman"/>
        <family val="1"/>
      </rPr>
      <t>³</t>
    </r>
    <phoneticPr fontId="5" type="noConversion"/>
  </si>
  <si>
    <r>
      <t>Q=50m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/h，H=20m，VFD</t>
    </r>
    <phoneticPr fontId="5" type="noConversion"/>
  </si>
  <si>
    <r>
      <t>φ3500×5000，V=53.6m</t>
    </r>
    <r>
      <rPr>
        <sz val="10"/>
        <rFont val="Times New Roman"/>
        <family val="1"/>
      </rPr>
      <t>³</t>
    </r>
    <phoneticPr fontId="5" type="noConversion"/>
  </si>
  <si>
    <r>
      <t>Q=80m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/h，H=30m,VFD</t>
    </r>
    <phoneticPr fontId="5" type="noConversion"/>
  </si>
  <si>
    <r>
      <t>Q=60m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/h，H=30m,VFD</t>
    </r>
    <phoneticPr fontId="5" type="noConversion"/>
  </si>
  <si>
    <r>
      <t>Q=50m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/h，H=20m</t>
    </r>
    <phoneticPr fontId="5" type="noConversion"/>
  </si>
  <si>
    <r>
      <t>Q=40m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/h，H=20m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</si>
  <si>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/h，H=25m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</si>
  <si>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/h，60目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</si>
  <si>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/h，DN80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</si>
  <si>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/h，DN80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</si>
  <si>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/h，H=65m，VFD</t>
    </r>
    <phoneticPr fontId="5" type="noConversion"/>
  </si>
  <si>
    <r>
      <t>Q=20-30m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</si>
  <si>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/h，H=50m，VFD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</si>
  <si>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/h，H=25m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</si>
  <si>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/h，H=50m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</si>
  <si>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/h，H=35m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</si>
  <si>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/h，3㎡，10μm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</si>
  <si>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/h，H=40m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</si>
  <si>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/h，H=30m</t>
    </r>
    <phoneticPr fontId="5" type="noConversion"/>
  </si>
  <si>
    <r>
      <t>浓度36%，26m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</t>
    </r>
    <phoneticPr fontId="5" type="noConversion"/>
  </si>
  <si>
    <r>
      <t>Q=30m</t>
    </r>
    <r>
      <rPr>
        <sz val="10"/>
        <rFont val="Times New Roman"/>
        <family val="1"/>
      </rPr>
      <t>³</t>
    </r>
    <r>
      <rPr>
        <sz val="10"/>
        <rFont val="仿宋"/>
        <family val="3"/>
        <charset val="134"/>
      </rPr>
      <t>/h，3㎡，5μm</t>
    </r>
    <phoneticPr fontId="5" type="noConversion"/>
  </si>
  <si>
    <t>M2脱味袋式过滤器</t>
    <phoneticPr fontId="5" type="noConversion"/>
  </si>
  <si>
    <t>过滤器</t>
    <phoneticPr fontId="5" type="noConversion"/>
  </si>
  <si>
    <t>台</t>
    <phoneticPr fontId="5" type="noConversion"/>
  </si>
  <si>
    <t>2025.06.30新增</t>
    <phoneticPr fontId="5" type="noConversion"/>
  </si>
  <si>
    <t>M3脱味袋式过滤器</t>
    <phoneticPr fontId="5" type="noConversion"/>
  </si>
  <si>
    <t>F4519A/B</t>
    <phoneticPr fontId="5" type="noConversion"/>
  </si>
  <si>
    <t>2025.6.30新增</t>
    <phoneticPr fontId="5" type="noConversion"/>
  </si>
  <si>
    <t>F3519A/B</t>
    <phoneticPr fontId="5" type="noConversion"/>
  </si>
  <si>
    <t>V2103A/D</t>
    <phoneticPr fontId="5" type="noConversion"/>
  </si>
  <si>
    <t>AG2103A/D</t>
    <phoneticPr fontId="5" type="noConversion"/>
  </si>
  <si>
    <t>P2104A/D</t>
    <phoneticPr fontId="5" type="noConversion"/>
  </si>
  <si>
    <t>F2105A/H</t>
    <phoneticPr fontId="5" type="noConversion"/>
  </si>
  <si>
    <t>淀粉拆包系统</t>
    <phoneticPr fontId="5" type="noConversion"/>
  </si>
  <si>
    <t>成套设备</t>
    <phoneticPr fontId="5" type="noConversion"/>
  </si>
  <si>
    <t>X2101</t>
    <phoneticPr fontId="5" type="noConversion"/>
  </si>
  <si>
    <t>套</t>
    <phoneticPr fontId="5" type="noConversion"/>
  </si>
  <si>
    <t>ZH</t>
    <phoneticPr fontId="5" type="noConversion"/>
  </si>
  <si>
    <t>淀粉料仓系统</t>
    <phoneticPr fontId="5" type="noConversion"/>
  </si>
  <si>
    <t>X2102</t>
    <phoneticPr fontId="5" type="noConversion"/>
  </si>
  <si>
    <t>5L/h，6bar</t>
    <phoneticPr fontId="5" type="noConversion"/>
  </si>
  <si>
    <t>3L/h，6bar</t>
    <phoneticPr fontId="5" type="noConversion"/>
  </si>
  <si>
    <t>3L/h，6bar</t>
    <phoneticPr fontId="5" type="noConversion"/>
  </si>
  <si>
    <t>2025.7.9修改</t>
    <phoneticPr fontId="5" type="noConversion"/>
  </si>
  <si>
    <t>5L/h，6bar</t>
    <phoneticPr fontId="5" type="noConversion"/>
  </si>
  <si>
    <t>蒸发系统配套</t>
    <phoneticPr fontId="5" type="noConversion"/>
  </si>
  <si>
    <t>转子泵，蒸发系统配套</t>
    <phoneticPr fontId="5" type="noConversion"/>
  </si>
  <si>
    <t>转子泵,蒸发系统配套</t>
    <phoneticPr fontId="5" type="noConversion"/>
  </si>
  <si>
    <t>转子泵，蒸发系统配套</t>
    <phoneticPr fontId="5" type="noConversion"/>
  </si>
  <si>
    <t>M1蒸发系统</t>
    <phoneticPr fontId="5" type="noConversion"/>
  </si>
  <si>
    <t>放置在罐区，注意重复</t>
    <phoneticPr fontId="5" type="noConversion"/>
  </si>
  <si>
    <t>15.8t/h</t>
    <phoneticPr fontId="5" type="noConversion"/>
  </si>
  <si>
    <t>8.8t/h</t>
    <phoneticPr fontId="5" type="noConversion"/>
  </si>
  <si>
    <t>麦芽糖线共用,2025.7.18修改扬程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</si>
</sst>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10"/>
      <name val="仿宋"/>
      <family val="3"/>
      <charset val="134"/>
    </font>
    <font>
      <b/>
      <sz val="14"/>
      <name val="仿宋"/>
      <family val="3"/>
      <charset val="134"/>
    </font>
    <font>
      <b/>
      <sz val="10"/>
      <name val="仿宋"/>
      <family val="3"/>
      <charset val="134"/>
    </font>
    <font>
      <sz val="10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rgb="FFFF0000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Normal="100" workbookViewId="0">
      <pane ySplit="2" topLeftCell="A3" activePane="bottomLeft" state="frozen"/>
      <selection pane="bottomLeft" activeCell="O20" sqref="O20"/>
    </sheetView>
  </sheetViews>
  <sheetFormatPr defaultColWidth="12.34765625" defaultRowHeight="12.9" x14ac:dyDescent="0.5"/>
  <cols>
    <col min="1" max="1" width="8" style="1" customWidth="1"/>
    <col min="2" max="2" width="20.8984375" style="1" customWidth="1"/>
    <col min="3" max="3" width="11.8984375" style="1" customWidth="1"/>
    <col min="4" max="4" width="7.6484375" style="1" customWidth="1"/>
    <col min="5" max="5" width="24.44921875" style="1" customWidth="1"/>
    <col min="6" max="6" width="14.09765625" style="1" customWidth="1"/>
    <col min="7" max="7" width="9.6484375" style="1" customWidth="1"/>
    <col min="8" max="9" width="5.8984375" style="1" customWidth="1"/>
    <col min="10" max="11" width="10.09765625" style="1" customWidth="1"/>
    <col min="12" max="12" width="27.1484375" style="1" bestFit="1" customWidth="1"/>
    <col min="13" max="16384" width="12.34765625" style="1"/>
  </cols>
  <sheetData>
    <row r="1" spans="1:12" ht="18.3" x14ac:dyDescent="0.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5">
      <c r="A3" s="2" t="s">
        <v>13</v>
      </c>
      <c r="B3" s="2" t="s">
        <v>14</v>
      </c>
      <c r="C3" s="8"/>
      <c r="D3" s="9"/>
      <c r="E3" s="9"/>
      <c r="F3" s="9"/>
      <c r="G3" s="9"/>
      <c r="H3" s="9"/>
      <c r="I3" s="9"/>
      <c r="J3" s="9"/>
      <c r="K3" s="9"/>
      <c r="L3" s="10"/>
    </row>
    <row r="4" spans="1:12" x14ac:dyDescent="0.5">
      <c r="A4" s="3">
        <v>1</v>
      </c>
      <c r="B4" s="3" t="s">
        <v>763</v>
      </c>
      <c r="C4" s="3" t="s">
        <v>765</v>
      </c>
      <c r="D4" s="3" t="s">
        <v>764</v>
      </c>
      <c r="E4" s="3"/>
      <c r="F4" s="3"/>
      <c r="G4" s="3" t="s">
        <v>767</v>
      </c>
      <c r="H4" s="3">
        <v>1</v>
      </c>
      <c r="I4" s="3" t="s">
        <v>766</v>
      </c>
      <c r="J4" s="3"/>
      <c r="K4" s="3"/>
      <c r="L4" s="3" t="s">
        <v>509</v>
      </c>
    </row>
    <row r="5" spans="1:12" x14ac:dyDescent="0.5">
      <c r="A5" s="3">
        <v>2</v>
      </c>
      <c r="B5" s="3" t="s">
        <v>768</v>
      </c>
      <c r="C5" s="3" t="s">
        <v>769</v>
      </c>
      <c r="D5" s="3" t="s">
        <v>764</v>
      </c>
      <c r="E5" s="3"/>
      <c r="F5" s="3"/>
      <c r="G5" s="3" t="s">
        <v>767</v>
      </c>
      <c r="H5" s="3">
        <v>1</v>
      </c>
      <c r="I5" s="3" t="s">
        <v>766</v>
      </c>
      <c r="J5" s="3"/>
      <c r="K5" s="3"/>
      <c r="L5" s="3" t="s">
        <v>509</v>
      </c>
    </row>
    <row r="6" spans="1:12" x14ac:dyDescent="0.5">
      <c r="A6" s="3">
        <v>3</v>
      </c>
      <c r="B6" s="3" t="s">
        <v>18</v>
      </c>
      <c r="C6" s="3" t="s">
        <v>759</v>
      </c>
      <c r="D6" s="3" t="s">
        <v>19</v>
      </c>
      <c r="E6" s="3" t="s">
        <v>528</v>
      </c>
      <c r="F6" s="3" t="s">
        <v>20</v>
      </c>
      <c r="G6" s="3">
        <v>304</v>
      </c>
      <c r="H6" s="3">
        <v>4</v>
      </c>
      <c r="I6" s="3" t="s">
        <v>17</v>
      </c>
      <c r="J6" s="3"/>
      <c r="K6" s="3"/>
      <c r="L6" s="3" t="s">
        <v>510</v>
      </c>
    </row>
    <row r="7" spans="1:12" x14ac:dyDescent="0.5">
      <c r="A7" s="3">
        <v>4</v>
      </c>
      <c r="B7" s="3" t="s">
        <v>21</v>
      </c>
      <c r="C7" s="3" t="s">
        <v>760</v>
      </c>
      <c r="D7" s="3" t="s">
        <v>22</v>
      </c>
      <c r="E7" s="3" t="s">
        <v>23</v>
      </c>
      <c r="F7" s="3" t="s">
        <v>20</v>
      </c>
      <c r="G7" s="3">
        <v>304</v>
      </c>
      <c r="H7" s="3">
        <v>4</v>
      </c>
      <c r="I7" s="3" t="s">
        <v>17</v>
      </c>
      <c r="J7" s="3">
        <v>7.5</v>
      </c>
      <c r="K7" s="3">
        <f>H7*J7</f>
        <v>30</v>
      </c>
      <c r="L7" s="3" t="s">
        <v>511</v>
      </c>
    </row>
    <row r="8" spans="1:12" x14ac:dyDescent="0.5">
      <c r="A8" s="3">
        <v>5</v>
      </c>
      <c r="B8" s="3" t="s">
        <v>24</v>
      </c>
      <c r="C8" s="3" t="s">
        <v>761</v>
      </c>
      <c r="D8" s="3" t="s">
        <v>25</v>
      </c>
      <c r="E8" s="3" t="s">
        <v>730</v>
      </c>
      <c r="F8" s="3"/>
      <c r="G8" s="3">
        <v>304</v>
      </c>
      <c r="H8" s="3">
        <v>4</v>
      </c>
      <c r="I8" s="3" t="s">
        <v>17</v>
      </c>
      <c r="J8" s="3">
        <v>7.5</v>
      </c>
      <c r="K8" s="3">
        <f>J8*H8</f>
        <v>30</v>
      </c>
      <c r="L8" s="3" t="s">
        <v>511</v>
      </c>
    </row>
    <row r="9" spans="1:12" x14ac:dyDescent="0.5">
      <c r="A9" s="3">
        <v>6</v>
      </c>
      <c r="B9" s="3" t="s">
        <v>563</v>
      </c>
      <c r="C9" s="3" t="s">
        <v>762</v>
      </c>
      <c r="D9" s="3" t="s">
        <v>564</v>
      </c>
      <c r="E9" s="3" t="s">
        <v>668</v>
      </c>
      <c r="F9" s="3"/>
      <c r="G9" s="3">
        <v>304</v>
      </c>
      <c r="H9" s="3">
        <v>8</v>
      </c>
      <c r="I9" s="3" t="s">
        <v>561</v>
      </c>
      <c r="J9" s="3"/>
      <c r="K9" s="3"/>
      <c r="L9" s="3" t="s">
        <v>511</v>
      </c>
    </row>
    <row r="10" spans="1:12" x14ac:dyDescent="0.5">
      <c r="A10" s="3">
        <v>7</v>
      </c>
      <c r="B10" s="3" t="s">
        <v>26</v>
      </c>
      <c r="C10" s="3" t="s">
        <v>557</v>
      </c>
      <c r="D10" s="3" t="s">
        <v>19</v>
      </c>
      <c r="E10" s="3" t="s">
        <v>731</v>
      </c>
      <c r="F10" s="3" t="s">
        <v>27</v>
      </c>
      <c r="G10" s="3">
        <v>304</v>
      </c>
      <c r="H10" s="3">
        <v>2</v>
      </c>
      <c r="I10" s="3" t="s">
        <v>17</v>
      </c>
      <c r="J10" s="3"/>
      <c r="K10" s="3"/>
      <c r="L10" s="3" t="s">
        <v>510</v>
      </c>
    </row>
    <row r="11" spans="1:12" x14ac:dyDescent="0.5">
      <c r="A11" s="3">
        <v>8</v>
      </c>
      <c r="B11" s="3" t="s">
        <v>28</v>
      </c>
      <c r="C11" s="3" t="s">
        <v>558</v>
      </c>
      <c r="D11" s="3" t="s">
        <v>22</v>
      </c>
      <c r="E11" s="3" t="s">
        <v>562</v>
      </c>
      <c r="F11" s="3" t="s">
        <v>27</v>
      </c>
      <c r="G11" s="3">
        <v>304</v>
      </c>
      <c r="H11" s="3">
        <v>2</v>
      </c>
      <c r="I11" s="3" t="s">
        <v>17</v>
      </c>
      <c r="J11" s="3">
        <v>3</v>
      </c>
      <c r="K11" s="3">
        <f>H11*J11</f>
        <v>6</v>
      </c>
      <c r="L11" s="3" t="s">
        <v>511</v>
      </c>
    </row>
    <row r="12" spans="1:12" x14ac:dyDescent="0.5">
      <c r="A12" s="3">
        <v>9</v>
      </c>
      <c r="B12" s="3" t="s">
        <v>682</v>
      </c>
      <c r="C12" s="3" t="s">
        <v>683</v>
      </c>
      <c r="D12" s="3" t="s">
        <v>564</v>
      </c>
      <c r="E12" s="3" t="s">
        <v>684</v>
      </c>
      <c r="F12" s="3"/>
      <c r="G12" s="3">
        <v>304</v>
      </c>
      <c r="H12" s="3">
        <v>2</v>
      </c>
      <c r="I12" s="3" t="s">
        <v>17</v>
      </c>
      <c r="J12" s="3"/>
      <c r="K12" s="3"/>
      <c r="L12" s="3" t="s">
        <v>509</v>
      </c>
    </row>
    <row r="13" spans="1:12" x14ac:dyDescent="0.5">
      <c r="A13" s="3">
        <v>10</v>
      </c>
      <c r="B13" s="3" t="s">
        <v>682</v>
      </c>
      <c r="C13" s="3" t="s">
        <v>685</v>
      </c>
      <c r="D13" s="3" t="s">
        <v>564</v>
      </c>
      <c r="E13" s="3" t="s">
        <v>686</v>
      </c>
      <c r="F13" s="3"/>
      <c r="G13" s="3">
        <v>304</v>
      </c>
      <c r="H13" s="3">
        <v>2</v>
      </c>
      <c r="I13" s="3" t="s">
        <v>17</v>
      </c>
      <c r="J13" s="3"/>
      <c r="K13" s="3"/>
      <c r="L13" s="3" t="s">
        <v>509</v>
      </c>
    </row>
    <row r="14" spans="1:12" x14ac:dyDescent="0.5">
      <c r="A14" s="3">
        <v>11</v>
      </c>
      <c r="B14" s="3" t="s">
        <v>29</v>
      </c>
      <c r="C14" s="3" t="s">
        <v>559</v>
      </c>
      <c r="D14" s="3" t="s">
        <v>25</v>
      </c>
      <c r="E14" s="3" t="s">
        <v>732</v>
      </c>
      <c r="F14" s="3"/>
      <c r="G14" s="3">
        <v>304</v>
      </c>
      <c r="H14" s="3">
        <v>1</v>
      </c>
      <c r="I14" s="3" t="s">
        <v>17</v>
      </c>
      <c r="J14" s="3">
        <v>15</v>
      </c>
      <c r="K14" s="3">
        <f>H14*J14</f>
        <v>15</v>
      </c>
      <c r="L14" s="3" t="s">
        <v>511</v>
      </c>
    </row>
    <row r="15" spans="1:12" x14ac:dyDescent="0.5">
      <c r="A15" s="3">
        <v>12</v>
      </c>
      <c r="B15" s="3" t="s">
        <v>29</v>
      </c>
      <c r="C15" s="3" t="s">
        <v>560</v>
      </c>
      <c r="D15" s="3" t="s">
        <v>25</v>
      </c>
      <c r="E15" s="3" t="s">
        <v>733</v>
      </c>
      <c r="F15" s="3"/>
      <c r="G15" s="3">
        <v>304</v>
      </c>
      <c r="H15" s="3">
        <v>1</v>
      </c>
      <c r="I15" s="3" t="s">
        <v>561</v>
      </c>
      <c r="J15" s="3">
        <v>11</v>
      </c>
      <c r="K15" s="3">
        <f>H15*J15</f>
        <v>11</v>
      </c>
      <c r="L15" s="3" t="s">
        <v>511</v>
      </c>
    </row>
    <row r="16" spans="1:12" x14ac:dyDescent="0.5">
      <c r="A16" s="3">
        <v>13</v>
      </c>
      <c r="B16" s="3" t="s">
        <v>646</v>
      </c>
      <c r="C16" s="3" t="s">
        <v>650</v>
      </c>
      <c r="D16" s="3" t="s">
        <v>565</v>
      </c>
      <c r="E16" s="3" t="s">
        <v>731</v>
      </c>
      <c r="F16" s="3" t="s">
        <v>27</v>
      </c>
      <c r="G16" s="3">
        <v>304</v>
      </c>
      <c r="H16" s="3">
        <v>1</v>
      </c>
      <c r="I16" s="3" t="s">
        <v>527</v>
      </c>
      <c r="J16" s="3"/>
      <c r="K16" s="3"/>
      <c r="L16" s="3" t="s">
        <v>509</v>
      </c>
    </row>
    <row r="17" spans="1:12" x14ac:dyDescent="0.5">
      <c r="A17" s="3">
        <v>14</v>
      </c>
      <c r="B17" s="3" t="s">
        <v>647</v>
      </c>
      <c r="C17" s="3" t="s">
        <v>651</v>
      </c>
      <c r="D17" s="3" t="s">
        <v>25</v>
      </c>
      <c r="E17" s="3" t="s">
        <v>734</v>
      </c>
      <c r="F17" s="3"/>
      <c r="G17" s="3">
        <v>304</v>
      </c>
      <c r="H17" s="3">
        <v>1</v>
      </c>
      <c r="I17" s="3" t="s">
        <v>527</v>
      </c>
      <c r="J17" s="3">
        <v>5.5</v>
      </c>
      <c r="K17" s="3">
        <f>H17*J17</f>
        <v>5.5</v>
      </c>
      <c r="L17" s="3" t="s">
        <v>509</v>
      </c>
    </row>
    <row r="18" spans="1:12" x14ac:dyDescent="0.5">
      <c r="A18" s="3">
        <v>15</v>
      </c>
      <c r="B18" s="3" t="s">
        <v>648</v>
      </c>
      <c r="C18" s="3" t="s">
        <v>652</v>
      </c>
      <c r="D18" s="3" t="s">
        <v>565</v>
      </c>
      <c r="E18" s="3" t="s">
        <v>731</v>
      </c>
      <c r="F18" s="3" t="s">
        <v>27</v>
      </c>
      <c r="G18" s="3">
        <v>304</v>
      </c>
      <c r="H18" s="3">
        <v>1</v>
      </c>
      <c r="I18" s="3" t="s">
        <v>527</v>
      </c>
      <c r="J18" s="3"/>
      <c r="K18" s="3"/>
      <c r="L18" s="3" t="s">
        <v>509</v>
      </c>
    </row>
    <row r="19" spans="1:12" x14ac:dyDescent="0.5">
      <c r="A19" s="3">
        <v>16</v>
      </c>
      <c r="B19" s="3" t="s">
        <v>649</v>
      </c>
      <c r="C19" s="3" t="s">
        <v>653</v>
      </c>
      <c r="D19" s="3" t="s">
        <v>25</v>
      </c>
      <c r="E19" s="3" t="s">
        <v>735</v>
      </c>
      <c r="F19" s="3"/>
      <c r="G19" s="3">
        <v>304</v>
      </c>
      <c r="H19" s="3">
        <v>1</v>
      </c>
      <c r="I19" s="3" t="s">
        <v>527</v>
      </c>
      <c r="J19" s="3">
        <v>4</v>
      </c>
      <c r="K19" s="3">
        <f>H19*J19</f>
        <v>4</v>
      </c>
      <c r="L19" s="3" t="s">
        <v>509</v>
      </c>
    </row>
    <row r="20" spans="1:12" x14ac:dyDescent="0.5">
      <c r="A20" s="2" t="s">
        <v>30</v>
      </c>
      <c r="B20" s="2" t="s">
        <v>31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5">
      <c r="A21" s="3">
        <v>1</v>
      </c>
      <c r="B21" s="3" t="s">
        <v>616</v>
      </c>
      <c r="C21" s="3" t="s">
        <v>32</v>
      </c>
      <c r="D21" s="3" t="s">
        <v>19</v>
      </c>
      <c r="E21" s="3" t="s">
        <v>709</v>
      </c>
      <c r="F21" s="3" t="s">
        <v>27</v>
      </c>
      <c r="G21" s="3">
        <v>304</v>
      </c>
      <c r="H21" s="3">
        <v>1</v>
      </c>
      <c r="I21" s="3" t="s">
        <v>17</v>
      </c>
      <c r="J21" s="3"/>
      <c r="K21" s="3"/>
      <c r="L21" s="3"/>
    </row>
    <row r="22" spans="1:12" x14ac:dyDescent="0.5">
      <c r="A22" s="3">
        <v>2</v>
      </c>
      <c r="B22" s="3" t="s">
        <v>617</v>
      </c>
      <c r="C22" s="3" t="s">
        <v>33</v>
      </c>
      <c r="D22" s="3" t="s">
        <v>22</v>
      </c>
      <c r="E22" s="3" t="s">
        <v>34</v>
      </c>
      <c r="F22" s="3" t="s">
        <v>27</v>
      </c>
      <c r="G22" s="3">
        <v>304</v>
      </c>
      <c r="H22" s="3">
        <v>1</v>
      </c>
      <c r="I22" s="3" t="s">
        <v>17</v>
      </c>
      <c r="J22" s="3">
        <v>2.2000000000000002</v>
      </c>
      <c r="K22" s="3">
        <f>H22*J22</f>
        <v>2.2000000000000002</v>
      </c>
      <c r="L22" s="3"/>
    </row>
    <row r="23" spans="1:12" x14ac:dyDescent="0.5">
      <c r="A23" s="3">
        <v>3</v>
      </c>
      <c r="B23" s="3" t="s">
        <v>35</v>
      </c>
      <c r="C23" s="3" t="s">
        <v>36</v>
      </c>
      <c r="D23" s="3" t="s">
        <v>25</v>
      </c>
      <c r="E23" s="3" t="s">
        <v>736</v>
      </c>
      <c r="F23" s="3"/>
      <c r="G23" s="3">
        <v>304</v>
      </c>
      <c r="H23" s="3">
        <v>1</v>
      </c>
      <c r="I23" s="3" t="s">
        <v>17</v>
      </c>
      <c r="J23" s="3">
        <v>7.5</v>
      </c>
      <c r="K23" s="3">
        <f>J23*H23</f>
        <v>7.5</v>
      </c>
      <c r="L23" s="3"/>
    </row>
    <row r="24" spans="1:12" x14ac:dyDescent="0.5">
      <c r="A24" s="3">
        <v>4</v>
      </c>
      <c r="B24" s="3" t="s">
        <v>37</v>
      </c>
      <c r="C24" s="3" t="s">
        <v>38</v>
      </c>
      <c r="D24" s="3" t="s">
        <v>39</v>
      </c>
      <c r="E24" s="3" t="s">
        <v>40</v>
      </c>
      <c r="F24" s="3"/>
      <c r="G24" s="3">
        <v>304</v>
      </c>
      <c r="H24" s="3">
        <v>1</v>
      </c>
      <c r="I24" s="3" t="s">
        <v>17</v>
      </c>
      <c r="J24" s="3"/>
      <c r="K24" s="3"/>
      <c r="L24" s="3"/>
    </row>
    <row r="25" spans="1:12" x14ac:dyDescent="0.5">
      <c r="A25" s="3">
        <v>5</v>
      </c>
      <c r="B25" s="3" t="s">
        <v>41</v>
      </c>
      <c r="C25" s="3" t="s">
        <v>42</v>
      </c>
      <c r="D25" s="3" t="s">
        <v>43</v>
      </c>
      <c r="E25" s="3" t="s">
        <v>704</v>
      </c>
      <c r="F25" s="3"/>
      <c r="G25" s="3" t="s">
        <v>44</v>
      </c>
      <c r="H25" s="3">
        <v>1</v>
      </c>
      <c r="I25" s="3" t="s">
        <v>17</v>
      </c>
      <c r="J25" s="3">
        <v>0.37</v>
      </c>
      <c r="K25" s="3">
        <f>J25*H25</f>
        <v>0.37</v>
      </c>
      <c r="L25" s="3"/>
    </row>
    <row r="26" spans="1:12" x14ac:dyDescent="0.5">
      <c r="A26" s="3">
        <v>6</v>
      </c>
      <c r="B26" s="3" t="s">
        <v>45</v>
      </c>
      <c r="C26" s="3" t="s">
        <v>46</v>
      </c>
      <c r="D26" s="3" t="s">
        <v>19</v>
      </c>
      <c r="E26" s="3" t="s">
        <v>530</v>
      </c>
      <c r="F26" s="3" t="s">
        <v>27</v>
      </c>
      <c r="G26" s="3">
        <v>304</v>
      </c>
      <c r="H26" s="3">
        <v>1</v>
      </c>
      <c r="I26" s="3" t="s">
        <v>17</v>
      </c>
      <c r="J26" s="3"/>
      <c r="K26" s="3"/>
      <c r="L26" s="3" t="s">
        <v>47</v>
      </c>
    </row>
    <row r="27" spans="1:12" x14ac:dyDescent="0.5">
      <c r="A27" s="3">
        <v>7</v>
      </c>
      <c r="B27" s="3" t="s">
        <v>48</v>
      </c>
      <c r="C27" s="3" t="s">
        <v>49</v>
      </c>
      <c r="D27" s="3" t="s">
        <v>25</v>
      </c>
      <c r="E27" s="3" t="s">
        <v>710</v>
      </c>
      <c r="F27" s="3"/>
      <c r="G27" s="3">
        <v>304</v>
      </c>
      <c r="H27" s="3">
        <v>1</v>
      </c>
      <c r="I27" s="3" t="s">
        <v>17</v>
      </c>
      <c r="J27" s="3">
        <v>4</v>
      </c>
      <c r="K27" s="3">
        <f>J27*H27</f>
        <v>4</v>
      </c>
      <c r="L27" s="3" t="s">
        <v>47</v>
      </c>
    </row>
    <row r="28" spans="1:12" x14ac:dyDescent="0.5">
      <c r="A28" s="3">
        <v>8</v>
      </c>
      <c r="B28" s="3" t="s">
        <v>50</v>
      </c>
      <c r="C28" s="3" t="s">
        <v>51</v>
      </c>
      <c r="D28" s="3" t="s">
        <v>52</v>
      </c>
      <c r="E28" s="3" t="s">
        <v>737</v>
      </c>
      <c r="F28" s="3"/>
      <c r="G28" s="3">
        <v>304</v>
      </c>
      <c r="H28" s="3">
        <v>2</v>
      </c>
      <c r="I28" s="3" t="s">
        <v>17</v>
      </c>
      <c r="J28" s="3"/>
      <c r="K28" s="3"/>
      <c r="L28" s="3" t="s">
        <v>53</v>
      </c>
    </row>
    <row r="29" spans="1:12" x14ac:dyDescent="0.5">
      <c r="A29" s="3">
        <v>9</v>
      </c>
      <c r="B29" s="3" t="s">
        <v>54</v>
      </c>
      <c r="C29" s="3" t="s">
        <v>55</v>
      </c>
      <c r="D29" s="3" t="s">
        <v>39</v>
      </c>
      <c r="E29" s="3" t="s">
        <v>738</v>
      </c>
      <c r="F29" s="3"/>
      <c r="G29" s="3">
        <v>304</v>
      </c>
      <c r="H29" s="3">
        <v>1</v>
      </c>
      <c r="I29" s="3" t="s">
        <v>17</v>
      </c>
      <c r="J29" s="3"/>
      <c r="K29" s="3"/>
      <c r="L29" s="3"/>
    </row>
    <row r="30" spans="1:12" x14ac:dyDescent="0.5">
      <c r="A30" s="3">
        <v>10</v>
      </c>
      <c r="B30" s="3" t="s">
        <v>56</v>
      </c>
      <c r="C30" s="3" t="s">
        <v>57</v>
      </c>
      <c r="D30" s="3" t="s">
        <v>19</v>
      </c>
      <c r="E30" s="3" t="s">
        <v>58</v>
      </c>
      <c r="F30" s="3" t="s">
        <v>59</v>
      </c>
      <c r="G30" s="3" t="s">
        <v>60</v>
      </c>
      <c r="H30" s="3">
        <v>1</v>
      </c>
      <c r="I30" s="3" t="s">
        <v>17</v>
      </c>
      <c r="J30" s="3"/>
      <c r="K30" s="3"/>
      <c r="L30" s="3"/>
    </row>
    <row r="31" spans="1:12" x14ac:dyDescent="0.5">
      <c r="A31" s="3">
        <v>11</v>
      </c>
      <c r="B31" s="3" t="s">
        <v>61</v>
      </c>
      <c r="C31" s="3" t="s">
        <v>62</v>
      </c>
      <c r="D31" s="3" t="s">
        <v>63</v>
      </c>
      <c r="E31" s="3" t="s">
        <v>64</v>
      </c>
      <c r="F31" s="3"/>
      <c r="G31" s="3" t="s">
        <v>15</v>
      </c>
      <c r="H31" s="3">
        <v>1</v>
      </c>
      <c r="I31" s="3" t="s">
        <v>17</v>
      </c>
      <c r="J31" s="3"/>
      <c r="K31" s="3"/>
      <c r="L31" s="3"/>
    </row>
    <row r="32" spans="1:12" x14ac:dyDescent="0.5">
      <c r="A32" s="3">
        <v>12</v>
      </c>
      <c r="B32" s="3" t="s">
        <v>65</v>
      </c>
      <c r="C32" s="3" t="s">
        <v>66</v>
      </c>
      <c r="D32" s="3" t="s">
        <v>43</v>
      </c>
      <c r="E32" s="5" t="s">
        <v>774</v>
      </c>
      <c r="F32" s="3"/>
      <c r="G32" s="3" t="s">
        <v>15</v>
      </c>
      <c r="H32" s="3">
        <v>1</v>
      </c>
      <c r="I32" s="3" t="s">
        <v>17</v>
      </c>
      <c r="J32" s="3">
        <v>0.02</v>
      </c>
      <c r="K32" s="3">
        <f>J32*H32</f>
        <v>0.02</v>
      </c>
      <c r="L32" s="5" t="s">
        <v>773</v>
      </c>
    </row>
    <row r="33" spans="1:12" x14ac:dyDescent="0.5">
      <c r="A33" s="3">
        <v>13</v>
      </c>
      <c r="B33" s="3" t="s">
        <v>67</v>
      </c>
      <c r="C33" s="3" t="s">
        <v>68</v>
      </c>
      <c r="D33" s="3" t="s">
        <v>39</v>
      </c>
      <c r="E33" s="3" t="s">
        <v>739</v>
      </c>
      <c r="F33" s="3"/>
      <c r="G33" s="3">
        <v>304</v>
      </c>
      <c r="H33" s="3">
        <v>1</v>
      </c>
      <c r="I33" s="3" t="s">
        <v>17</v>
      </c>
      <c r="J33" s="3"/>
      <c r="K33" s="3"/>
      <c r="L33" s="3"/>
    </row>
    <row r="34" spans="1:12" x14ac:dyDescent="0.5">
      <c r="A34" s="3">
        <v>14</v>
      </c>
      <c r="B34" s="3" t="s">
        <v>69</v>
      </c>
      <c r="C34" s="3" t="s">
        <v>70</v>
      </c>
      <c r="D34" s="3" t="s">
        <v>19</v>
      </c>
      <c r="E34" s="3" t="s">
        <v>709</v>
      </c>
      <c r="F34" s="3" t="s">
        <v>27</v>
      </c>
      <c r="G34" s="3">
        <v>304</v>
      </c>
      <c r="H34" s="3">
        <v>1</v>
      </c>
      <c r="I34" s="3" t="s">
        <v>17</v>
      </c>
      <c r="J34" s="3"/>
      <c r="K34" s="3"/>
      <c r="L34" s="3"/>
    </row>
    <row r="35" spans="1:12" x14ac:dyDescent="0.5">
      <c r="A35" s="3">
        <v>15</v>
      </c>
      <c r="B35" s="3" t="s">
        <v>71</v>
      </c>
      <c r="C35" s="3" t="s">
        <v>72</v>
      </c>
      <c r="D35" s="3" t="s">
        <v>22</v>
      </c>
      <c r="E35" s="3" t="s">
        <v>34</v>
      </c>
      <c r="F35" s="3" t="s">
        <v>27</v>
      </c>
      <c r="G35" s="3">
        <v>304</v>
      </c>
      <c r="H35" s="3">
        <v>1</v>
      </c>
      <c r="I35" s="3" t="s">
        <v>17</v>
      </c>
      <c r="J35" s="3">
        <v>2.2000000000000002</v>
      </c>
      <c r="K35" s="3">
        <f>H35*J35</f>
        <v>2.2000000000000002</v>
      </c>
      <c r="L35" s="3"/>
    </row>
    <row r="36" spans="1:12" x14ac:dyDescent="0.5">
      <c r="A36" s="3">
        <v>16</v>
      </c>
      <c r="B36" s="3" t="s">
        <v>73</v>
      </c>
      <c r="C36" s="3" t="s">
        <v>74</v>
      </c>
      <c r="D36" s="3" t="s">
        <v>25</v>
      </c>
      <c r="E36" s="3" t="s">
        <v>740</v>
      </c>
      <c r="F36" s="3"/>
      <c r="G36" s="3">
        <v>304</v>
      </c>
      <c r="H36" s="3">
        <v>1</v>
      </c>
      <c r="I36" s="3" t="s">
        <v>17</v>
      </c>
      <c r="J36" s="3">
        <v>18.5</v>
      </c>
      <c r="K36" s="3">
        <f>J36*H36</f>
        <v>18.5</v>
      </c>
      <c r="L36" s="3"/>
    </row>
    <row r="37" spans="1:12" x14ac:dyDescent="0.5">
      <c r="A37" s="3">
        <v>17</v>
      </c>
      <c r="B37" s="3" t="s">
        <v>75</v>
      </c>
      <c r="C37" s="3" t="s">
        <v>76</v>
      </c>
      <c r="D37" s="3" t="s">
        <v>77</v>
      </c>
      <c r="E37" s="3" t="s">
        <v>78</v>
      </c>
      <c r="F37" s="3"/>
      <c r="G37" s="3">
        <v>304</v>
      </c>
      <c r="H37" s="3">
        <v>1</v>
      </c>
      <c r="I37" s="3" t="s">
        <v>17</v>
      </c>
      <c r="J37" s="3"/>
      <c r="K37" s="3"/>
      <c r="L37" s="3"/>
    </row>
    <row r="38" spans="1:12" x14ac:dyDescent="0.5">
      <c r="A38" s="3">
        <v>18</v>
      </c>
      <c r="B38" s="3" t="s">
        <v>79</v>
      </c>
      <c r="C38" s="3" t="s">
        <v>80</v>
      </c>
      <c r="D38" s="3" t="s">
        <v>81</v>
      </c>
      <c r="E38" s="3" t="s">
        <v>741</v>
      </c>
      <c r="F38" s="3"/>
      <c r="G38" s="3" t="s">
        <v>44</v>
      </c>
      <c r="H38" s="3">
        <v>1</v>
      </c>
      <c r="I38" s="3" t="s">
        <v>17</v>
      </c>
      <c r="J38" s="3"/>
      <c r="K38" s="3"/>
      <c r="L38" s="3"/>
    </row>
    <row r="39" spans="1:12" x14ac:dyDescent="0.5">
      <c r="A39" s="3">
        <v>19</v>
      </c>
      <c r="B39" s="3" t="s">
        <v>82</v>
      </c>
      <c r="C39" s="3" t="s">
        <v>83</v>
      </c>
      <c r="D39" s="3" t="s">
        <v>19</v>
      </c>
      <c r="E39" s="3" t="s">
        <v>531</v>
      </c>
      <c r="F39" s="3" t="s">
        <v>84</v>
      </c>
      <c r="G39" s="3">
        <v>304</v>
      </c>
      <c r="H39" s="3">
        <v>1</v>
      </c>
      <c r="I39" s="3" t="s">
        <v>17</v>
      </c>
      <c r="J39" s="3"/>
      <c r="K39" s="3"/>
      <c r="L39" s="5" t="s">
        <v>775</v>
      </c>
    </row>
    <row r="40" spans="1:12" x14ac:dyDescent="0.5">
      <c r="A40" s="3">
        <v>20</v>
      </c>
      <c r="B40" s="3" t="s">
        <v>85</v>
      </c>
      <c r="C40" s="3" t="s">
        <v>86</v>
      </c>
      <c r="D40" s="3" t="s">
        <v>19</v>
      </c>
      <c r="E40" s="3" t="s">
        <v>58</v>
      </c>
      <c r="F40" s="3" t="s">
        <v>59</v>
      </c>
      <c r="G40" s="3" t="s">
        <v>60</v>
      </c>
      <c r="H40" s="3">
        <v>1</v>
      </c>
      <c r="I40" s="3" t="s">
        <v>17</v>
      </c>
      <c r="J40" s="3"/>
      <c r="K40" s="3"/>
      <c r="L40" s="3"/>
    </row>
    <row r="41" spans="1:12" x14ac:dyDescent="0.5">
      <c r="A41" s="3">
        <v>21</v>
      </c>
      <c r="B41" s="3" t="s">
        <v>87</v>
      </c>
      <c r="C41" s="3" t="s">
        <v>88</v>
      </c>
      <c r="D41" s="3" t="s">
        <v>63</v>
      </c>
      <c r="E41" s="3" t="s">
        <v>64</v>
      </c>
      <c r="F41" s="3"/>
      <c r="G41" s="3" t="s">
        <v>15</v>
      </c>
      <c r="H41" s="3">
        <v>1</v>
      </c>
      <c r="I41" s="3" t="s">
        <v>17</v>
      </c>
      <c r="J41" s="3"/>
      <c r="K41" s="3"/>
      <c r="L41" s="3"/>
    </row>
    <row r="42" spans="1:12" x14ac:dyDescent="0.5">
      <c r="A42" s="3">
        <v>22</v>
      </c>
      <c r="B42" s="3" t="s">
        <v>89</v>
      </c>
      <c r="C42" s="3" t="s">
        <v>90</v>
      </c>
      <c r="D42" s="3" t="s">
        <v>43</v>
      </c>
      <c r="E42" s="5" t="s">
        <v>770</v>
      </c>
      <c r="F42" s="3"/>
      <c r="G42" s="3" t="s">
        <v>15</v>
      </c>
      <c r="H42" s="3">
        <v>1</v>
      </c>
      <c r="I42" s="3" t="s">
        <v>17</v>
      </c>
      <c r="J42" s="3">
        <v>0.02</v>
      </c>
      <c r="K42" s="3">
        <f>J42*H42</f>
        <v>0.02</v>
      </c>
      <c r="L42" s="5" t="s">
        <v>773</v>
      </c>
    </row>
    <row r="43" spans="1:12" x14ac:dyDescent="0.5">
      <c r="A43" s="3">
        <v>23</v>
      </c>
      <c r="B43" s="3" t="s">
        <v>91</v>
      </c>
      <c r="C43" s="3" t="s">
        <v>92</v>
      </c>
      <c r="D43" s="3" t="s">
        <v>25</v>
      </c>
      <c r="E43" s="3" t="s">
        <v>742</v>
      </c>
      <c r="F43" s="3"/>
      <c r="G43" s="3">
        <v>304</v>
      </c>
      <c r="H43" s="3">
        <v>1</v>
      </c>
      <c r="I43" s="3" t="s">
        <v>17</v>
      </c>
      <c r="J43" s="3">
        <v>15</v>
      </c>
      <c r="K43" s="3">
        <f>J43*H43</f>
        <v>15</v>
      </c>
      <c r="L43" s="5" t="s">
        <v>778</v>
      </c>
    </row>
    <row r="44" spans="1:12" x14ac:dyDescent="0.5">
      <c r="A44" s="3">
        <v>24</v>
      </c>
      <c r="B44" s="3" t="s">
        <v>93</v>
      </c>
      <c r="C44" s="3" t="s">
        <v>94</v>
      </c>
      <c r="D44" s="3" t="s">
        <v>39</v>
      </c>
      <c r="E44" s="3" t="s">
        <v>738</v>
      </c>
      <c r="F44" s="3"/>
      <c r="G44" s="3">
        <v>304</v>
      </c>
      <c r="H44" s="3">
        <v>1</v>
      </c>
      <c r="I44" s="3" t="s">
        <v>17</v>
      </c>
      <c r="J44" s="3"/>
      <c r="K44" s="3"/>
      <c r="L44" s="3"/>
    </row>
    <row r="45" spans="1:12" x14ac:dyDescent="0.5">
      <c r="A45" s="3">
        <v>25</v>
      </c>
      <c r="B45" s="3" t="s">
        <v>95</v>
      </c>
      <c r="C45" s="3" t="s">
        <v>96</v>
      </c>
      <c r="D45" s="3" t="s">
        <v>19</v>
      </c>
      <c r="E45" s="3" t="s">
        <v>673</v>
      </c>
      <c r="F45" s="3" t="s">
        <v>27</v>
      </c>
      <c r="G45" s="3">
        <v>304</v>
      </c>
      <c r="H45" s="3">
        <v>10</v>
      </c>
      <c r="I45" s="3" t="s">
        <v>17</v>
      </c>
      <c r="J45" s="3"/>
      <c r="K45" s="3"/>
      <c r="L45" s="3"/>
    </row>
    <row r="46" spans="1:12" x14ac:dyDescent="0.5">
      <c r="A46" s="3">
        <v>26</v>
      </c>
      <c r="B46" s="3" t="s">
        <v>643</v>
      </c>
      <c r="C46" s="3" t="s">
        <v>644</v>
      </c>
      <c r="D46" s="3" t="s">
        <v>645</v>
      </c>
      <c r="E46" s="3" t="s">
        <v>743</v>
      </c>
      <c r="F46" s="3"/>
      <c r="G46" s="3">
        <v>304</v>
      </c>
      <c r="H46" s="3">
        <v>1</v>
      </c>
      <c r="I46" s="3" t="s">
        <v>17</v>
      </c>
      <c r="J46" s="3">
        <v>7.5</v>
      </c>
      <c r="K46" s="3">
        <f>J46*H46</f>
        <v>7.5</v>
      </c>
      <c r="L46" s="3"/>
    </row>
    <row r="47" spans="1:12" x14ac:dyDescent="0.5">
      <c r="A47" s="3">
        <v>27</v>
      </c>
      <c r="B47" s="3" t="s">
        <v>97</v>
      </c>
      <c r="C47" s="3" t="s">
        <v>98</v>
      </c>
      <c r="D47" s="3" t="s">
        <v>19</v>
      </c>
      <c r="E47" s="3" t="s">
        <v>532</v>
      </c>
      <c r="F47" s="3" t="s">
        <v>84</v>
      </c>
      <c r="G47" s="3">
        <v>304</v>
      </c>
      <c r="H47" s="3">
        <v>1</v>
      </c>
      <c r="I47" s="3" t="s">
        <v>17</v>
      </c>
      <c r="J47" s="3"/>
      <c r="K47" s="3"/>
      <c r="L47" s="5" t="s">
        <v>775</v>
      </c>
    </row>
    <row r="48" spans="1:12" x14ac:dyDescent="0.5">
      <c r="A48" s="3">
        <v>28</v>
      </c>
      <c r="B48" s="3" t="s">
        <v>99</v>
      </c>
      <c r="C48" s="3" t="s">
        <v>100</v>
      </c>
      <c r="D48" s="3" t="s">
        <v>25</v>
      </c>
      <c r="E48" s="3" t="s">
        <v>744</v>
      </c>
      <c r="F48" s="3"/>
      <c r="G48" s="3">
        <v>304</v>
      </c>
      <c r="H48" s="3">
        <v>1</v>
      </c>
      <c r="I48" s="3" t="s">
        <v>17</v>
      </c>
      <c r="J48" s="3">
        <v>15</v>
      </c>
      <c r="K48" s="3">
        <f>J48*H48</f>
        <v>15</v>
      </c>
      <c r="L48" s="5" t="s">
        <v>775</v>
      </c>
    </row>
    <row r="49" spans="1:12" x14ac:dyDescent="0.5">
      <c r="A49" s="3">
        <v>29</v>
      </c>
      <c r="B49" s="3" t="s">
        <v>101</v>
      </c>
      <c r="C49" s="3" t="s">
        <v>102</v>
      </c>
      <c r="D49" s="3" t="s">
        <v>77</v>
      </c>
      <c r="E49" s="3" t="s">
        <v>78</v>
      </c>
      <c r="F49" s="3"/>
      <c r="G49" s="3">
        <v>304</v>
      </c>
      <c r="H49" s="3">
        <v>1</v>
      </c>
      <c r="I49" s="3" t="s">
        <v>17</v>
      </c>
      <c r="J49" s="3"/>
      <c r="K49" s="3"/>
      <c r="L49" s="3"/>
    </row>
    <row r="50" spans="1:12" x14ac:dyDescent="0.5">
      <c r="A50" s="3">
        <v>30</v>
      </c>
      <c r="B50" s="3" t="s">
        <v>103</v>
      </c>
      <c r="C50" s="3" t="s">
        <v>104</v>
      </c>
      <c r="D50" s="3" t="s">
        <v>77</v>
      </c>
      <c r="E50" s="3" t="s">
        <v>78</v>
      </c>
      <c r="F50" s="3"/>
      <c r="G50" s="3">
        <v>304</v>
      </c>
      <c r="H50" s="3">
        <v>1</v>
      </c>
      <c r="I50" s="3" t="s">
        <v>17</v>
      </c>
      <c r="J50" s="3"/>
      <c r="K50" s="3"/>
      <c r="L50" s="3"/>
    </row>
    <row r="51" spans="1:12" x14ac:dyDescent="0.5">
      <c r="A51" s="3">
        <v>31</v>
      </c>
      <c r="B51" s="3" t="s">
        <v>105</v>
      </c>
      <c r="C51" s="3" t="s">
        <v>106</v>
      </c>
      <c r="D51" s="3" t="s">
        <v>19</v>
      </c>
      <c r="E51" s="3" t="s">
        <v>533</v>
      </c>
      <c r="F51" s="3" t="s">
        <v>107</v>
      </c>
      <c r="G51" s="3">
        <v>304</v>
      </c>
      <c r="H51" s="3">
        <v>10</v>
      </c>
      <c r="I51" s="3" t="s">
        <v>17</v>
      </c>
      <c r="J51" s="3"/>
      <c r="K51" s="3"/>
      <c r="L51" s="3"/>
    </row>
    <row r="52" spans="1:12" x14ac:dyDescent="0.5">
      <c r="A52" s="3">
        <v>32</v>
      </c>
      <c r="B52" s="3" t="s">
        <v>108</v>
      </c>
      <c r="C52" s="3" t="s">
        <v>109</v>
      </c>
      <c r="D52" s="3" t="s">
        <v>22</v>
      </c>
      <c r="E52" s="3" t="s">
        <v>110</v>
      </c>
      <c r="F52" s="3" t="s">
        <v>107</v>
      </c>
      <c r="G52" s="3">
        <v>304</v>
      </c>
      <c r="H52" s="3">
        <v>10</v>
      </c>
      <c r="I52" s="3" t="s">
        <v>17</v>
      </c>
      <c r="J52" s="3">
        <v>3</v>
      </c>
      <c r="K52" s="3">
        <f>H52*J52</f>
        <v>30</v>
      </c>
      <c r="L52" s="3"/>
    </row>
    <row r="53" spans="1:12" x14ac:dyDescent="0.5">
      <c r="A53" s="3">
        <v>33</v>
      </c>
      <c r="B53" s="3" t="s">
        <v>111</v>
      </c>
      <c r="C53" s="3" t="s">
        <v>112</v>
      </c>
      <c r="D53" s="3" t="s">
        <v>25</v>
      </c>
      <c r="E53" s="3" t="s">
        <v>711</v>
      </c>
      <c r="F53" s="3"/>
      <c r="G53" s="3">
        <v>304</v>
      </c>
      <c r="H53" s="3">
        <v>1</v>
      </c>
      <c r="I53" s="3" t="s">
        <v>17</v>
      </c>
      <c r="J53" s="3">
        <v>7.5</v>
      </c>
      <c r="K53" s="3">
        <f>J53*H53</f>
        <v>7.5</v>
      </c>
      <c r="L53" s="3"/>
    </row>
    <row r="54" spans="1:12" x14ac:dyDescent="0.5">
      <c r="A54" s="3">
        <v>34</v>
      </c>
      <c r="B54" s="3" t="s">
        <v>113</v>
      </c>
      <c r="C54" s="3" t="s">
        <v>114</v>
      </c>
      <c r="D54" s="3" t="s">
        <v>77</v>
      </c>
      <c r="E54" s="3" t="s">
        <v>115</v>
      </c>
      <c r="F54" s="3"/>
      <c r="G54" s="3">
        <v>304</v>
      </c>
      <c r="H54" s="3">
        <v>1</v>
      </c>
      <c r="I54" s="3" t="s">
        <v>17</v>
      </c>
      <c r="J54" s="3"/>
      <c r="K54" s="3"/>
      <c r="L54" s="3"/>
    </row>
    <row r="55" spans="1:12" x14ac:dyDescent="0.5">
      <c r="A55" s="3">
        <v>35</v>
      </c>
      <c r="B55" s="3" t="s">
        <v>116</v>
      </c>
      <c r="C55" s="3" t="s">
        <v>117</v>
      </c>
      <c r="D55" s="3" t="s">
        <v>25</v>
      </c>
      <c r="E55" s="3" t="s">
        <v>718</v>
      </c>
      <c r="F55" s="3"/>
      <c r="G55" s="3">
        <v>304</v>
      </c>
      <c r="H55" s="3">
        <v>1</v>
      </c>
      <c r="I55" s="3" t="s">
        <v>17</v>
      </c>
      <c r="J55" s="3">
        <v>7.5</v>
      </c>
      <c r="K55" s="3">
        <f>J55*H55</f>
        <v>7.5</v>
      </c>
      <c r="L55" s="3"/>
    </row>
    <row r="56" spans="1:12" x14ac:dyDescent="0.5">
      <c r="A56" s="3">
        <v>36</v>
      </c>
      <c r="B56" s="3" t="s">
        <v>118</v>
      </c>
      <c r="C56" s="3" t="s">
        <v>119</v>
      </c>
      <c r="D56" s="3" t="s">
        <v>63</v>
      </c>
      <c r="E56" s="3" t="s">
        <v>120</v>
      </c>
      <c r="F56" s="3"/>
      <c r="G56" s="3" t="s">
        <v>15</v>
      </c>
      <c r="H56" s="3">
        <v>1</v>
      </c>
      <c r="I56" s="3" t="s">
        <v>17</v>
      </c>
      <c r="J56" s="3"/>
      <c r="K56" s="3"/>
      <c r="L56" s="3" t="s">
        <v>47</v>
      </c>
    </row>
    <row r="57" spans="1:12" x14ac:dyDescent="0.5">
      <c r="A57" s="2" t="s">
        <v>121</v>
      </c>
      <c r="B57" s="2" t="s">
        <v>122</v>
      </c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5">
      <c r="A58" s="3">
        <v>1</v>
      </c>
      <c r="B58" s="3" t="s">
        <v>123</v>
      </c>
      <c r="C58" s="3" t="s">
        <v>124</v>
      </c>
      <c r="D58" s="3" t="s">
        <v>19</v>
      </c>
      <c r="E58" s="3" t="s">
        <v>530</v>
      </c>
      <c r="F58" s="3" t="s">
        <v>27</v>
      </c>
      <c r="G58" s="3">
        <v>304</v>
      </c>
      <c r="H58" s="3">
        <v>1</v>
      </c>
      <c r="I58" s="3" t="s">
        <v>17</v>
      </c>
      <c r="J58" s="3"/>
      <c r="K58" s="3"/>
      <c r="L58" s="3"/>
    </row>
    <row r="59" spans="1:12" x14ac:dyDescent="0.5">
      <c r="A59" s="3">
        <v>2</v>
      </c>
      <c r="B59" s="3" t="s">
        <v>125</v>
      </c>
      <c r="C59" s="3" t="s">
        <v>126</v>
      </c>
      <c r="D59" s="3" t="s">
        <v>22</v>
      </c>
      <c r="E59" s="3" t="s">
        <v>127</v>
      </c>
      <c r="F59" s="3" t="s">
        <v>27</v>
      </c>
      <c r="G59" s="3">
        <v>304</v>
      </c>
      <c r="H59" s="3">
        <v>1</v>
      </c>
      <c r="I59" s="3" t="s">
        <v>17</v>
      </c>
      <c r="J59" s="3">
        <v>3</v>
      </c>
      <c r="K59" s="3">
        <f>H59*J59</f>
        <v>3</v>
      </c>
      <c r="L59" s="3"/>
    </row>
    <row r="60" spans="1:12" x14ac:dyDescent="0.5">
      <c r="A60" s="3">
        <v>3</v>
      </c>
      <c r="B60" s="3" t="s">
        <v>128</v>
      </c>
      <c r="C60" s="3" t="s">
        <v>129</v>
      </c>
      <c r="D60" s="3" t="s">
        <v>25</v>
      </c>
      <c r="E60" s="3" t="s">
        <v>712</v>
      </c>
      <c r="F60" s="3"/>
      <c r="G60" s="3">
        <v>304</v>
      </c>
      <c r="H60" s="3">
        <v>1</v>
      </c>
      <c r="I60" s="3" t="s">
        <v>17</v>
      </c>
      <c r="J60" s="3">
        <v>15</v>
      </c>
      <c r="K60" s="3">
        <f>H60*J60</f>
        <v>15</v>
      </c>
      <c r="L60" s="3"/>
    </row>
    <row r="61" spans="1:12" x14ac:dyDescent="0.5">
      <c r="A61" s="3">
        <v>4</v>
      </c>
      <c r="B61" s="3" t="s">
        <v>130</v>
      </c>
      <c r="C61" s="3" t="s">
        <v>566</v>
      </c>
      <c r="D61" s="3" t="s">
        <v>131</v>
      </c>
      <c r="E61" s="3" t="s">
        <v>567</v>
      </c>
      <c r="F61" s="3"/>
      <c r="G61" s="3" t="s">
        <v>133</v>
      </c>
      <c r="H61" s="3">
        <v>4</v>
      </c>
      <c r="I61" s="3" t="s">
        <v>17</v>
      </c>
      <c r="J61" s="3">
        <f>5.5+2.2+0.75+1.1+0.75</f>
        <v>10.299999999999999</v>
      </c>
      <c r="K61" s="3">
        <f>H61*J61</f>
        <v>41.199999999999996</v>
      </c>
      <c r="L61" s="3" t="s">
        <v>53</v>
      </c>
    </row>
    <row r="62" spans="1:12" x14ac:dyDescent="0.5">
      <c r="A62" s="3">
        <v>5</v>
      </c>
      <c r="B62" s="3" t="s">
        <v>572</v>
      </c>
      <c r="C62" s="3" t="s">
        <v>590</v>
      </c>
      <c r="D62" s="3" t="s">
        <v>19</v>
      </c>
      <c r="E62" s="3" t="s">
        <v>530</v>
      </c>
      <c r="F62" s="3" t="s">
        <v>27</v>
      </c>
      <c r="G62" s="3">
        <v>304</v>
      </c>
      <c r="H62" s="3">
        <v>1</v>
      </c>
      <c r="I62" s="3" t="s">
        <v>17</v>
      </c>
      <c r="J62" s="3"/>
      <c r="K62" s="3"/>
      <c r="L62" s="3"/>
    </row>
    <row r="63" spans="1:12" x14ac:dyDescent="0.5">
      <c r="A63" s="3">
        <v>6</v>
      </c>
      <c r="B63" s="3" t="s">
        <v>573</v>
      </c>
      <c r="C63" s="3" t="s">
        <v>591</v>
      </c>
      <c r="D63" s="3" t="s">
        <v>22</v>
      </c>
      <c r="E63" s="3" t="s">
        <v>127</v>
      </c>
      <c r="F63" s="3" t="s">
        <v>27</v>
      </c>
      <c r="G63" s="3">
        <v>304</v>
      </c>
      <c r="H63" s="3">
        <v>1</v>
      </c>
      <c r="I63" s="3" t="s">
        <v>17</v>
      </c>
      <c r="J63" s="3">
        <v>3</v>
      </c>
      <c r="K63" s="3">
        <f>H63*J63</f>
        <v>3</v>
      </c>
      <c r="L63" s="3"/>
    </row>
    <row r="64" spans="1:12" x14ac:dyDescent="0.5">
      <c r="A64" s="3">
        <v>7</v>
      </c>
      <c r="B64" s="3" t="s">
        <v>574</v>
      </c>
      <c r="C64" s="3" t="s">
        <v>592</v>
      </c>
      <c r="D64" s="3" t="s">
        <v>25</v>
      </c>
      <c r="E64" s="3" t="s">
        <v>712</v>
      </c>
      <c r="F64" s="3"/>
      <c r="G64" s="3">
        <v>304</v>
      </c>
      <c r="H64" s="3">
        <v>1</v>
      </c>
      <c r="I64" s="3" t="s">
        <v>17</v>
      </c>
      <c r="J64" s="3">
        <v>15</v>
      </c>
      <c r="K64" s="3">
        <f>H64*J64</f>
        <v>15</v>
      </c>
      <c r="L64" s="3"/>
    </row>
    <row r="65" spans="1:12" x14ac:dyDescent="0.5">
      <c r="A65" s="3">
        <v>8</v>
      </c>
      <c r="B65" s="3" t="s">
        <v>137</v>
      </c>
      <c r="C65" s="3" t="s">
        <v>593</v>
      </c>
      <c r="D65" s="3" t="s">
        <v>19</v>
      </c>
      <c r="E65" s="3" t="s">
        <v>530</v>
      </c>
      <c r="F65" s="3" t="s">
        <v>27</v>
      </c>
      <c r="G65" s="3">
        <v>304</v>
      </c>
      <c r="H65" s="3">
        <v>1</v>
      </c>
      <c r="I65" s="3" t="s">
        <v>17</v>
      </c>
      <c r="J65" s="3"/>
      <c r="K65" s="3"/>
      <c r="L65" s="3"/>
    </row>
    <row r="66" spans="1:12" x14ac:dyDescent="0.5">
      <c r="A66" s="3">
        <v>9</v>
      </c>
      <c r="B66" s="3" t="s">
        <v>138</v>
      </c>
      <c r="C66" s="3" t="s">
        <v>594</v>
      </c>
      <c r="D66" s="3" t="s">
        <v>25</v>
      </c>
      <c r="E66" s="3" t="s">
        <v>745</v>
      </c>
      <c r="F66" s="3"/>
      <c r="G66" s="3">
        <v>304</v>
      </c>
      <c r="H66" s="3">
        <v>1</v>
      </c>
      <c r="I66" s="3" t="s">
        <v>17</v>
      </c>
      <c r="J66" s="3">
        <v>7.5</v>
      </c>
      <c r="K66" s="3">
        <f>J66*H66</f>
        <v>7.5</v>
      </c>
      <c r="L66" s="3"/>
    </row>
    <row r="67" spans="1:12" x14ac:dyDescent="0.5">
      <c r="A67" s="3">
        <v>10</v>
      </c>
      <c r="B67" s="3" t="s">
        <v>139</v>
      </c>
      <c r="C67" s="3" t="s">
        <v>595</v>
      </c>
      <c r="D67" s="3" t="s">
        <v>52</v>
      </c>
      <c r="E67" s="3" t="s">
        <v>746</v>
      </c>
      <c r="F67" s="3"/>
      <c r="G67" s="3">
        <v>304</v>
      </c>
      <c r="H67" s="3">
        <v>2</v>
      </c>
      <c r="I67" s="3" t="s">
        <v>17</v>
      </c>
      <c r="J67" s="3"/>
      <c r="K67" s="3"/>
      <c r="L67" s="3"/>
    </row>
    <row r="68" spans="1:12" x14ac:dyDescent="0.5">
      <c r="A68" s="3">
        <v>11</v>
      </c>
      <c r="B68" s="3" t="s">
        <v>140</v>
      </c>
      <c r="C68" s="3" t="s">
        <v>596</v>
      </c>
      <c r="D68" s="3" t="s">
        <v>25</v>
      </c>
      <c r="E68" s="3" t="s">
        <v>534</v>
      </c>
      <c r="F68" s="3"/>
      <c r="G68" s="3">
        <v>304</v>
      </c>
      <c r="H68" s="3">
        <v>1</v>
      </c>
      <c r="I68" s="3" t="s">
        <v>17</v>
      </c>
      <c r="J68" s="3">
        <f>15+15</f>
        <v>30</v>
      </c>
      <c r="K68" s="3">
        <f>H68*J68</f>
        <v>30</v>
      </c>
      <c r="L68" s="5" t="s">
        <v>780</v>
      </c>
    </row>
    <row r="69" spans="1:12" x14ac:dyDescent="0.5">
      <c r="A69" s="3">
        <v>12</v>
      </c>
      <c r="B69" s="3" t="s">
        <v>134</v>
      </c>
      <c r="C69" s="3" t="s">
        <v>597</v>
      </c>
      <c r="D69" s="3" t="s">
        <v>135</v>
      </c>
      <c r="E69" s="3" t="s">
        <v>136</v>
      </c>
      <c r="F69" s="3"/>
      <c r="G69" s="3">
        <v>304</v>
      </c>
      <c r="H69" s="3">
        <v>1</v>
      </c>
      <c r="I69" s="3" t="s">
        <v>17</v>
      </c>
      <c r="J69" s="3">
        <v>5.5</v>
      </c>
      <c r="K69" s="3">
        <f>H69*J69</f>
        <v>5.5</v>
      </c>
      <c r="L69" s="3"/>
    </row>
    <row r="70" spans="1:12" x14ac:dyDescent="0.5">
      <c r="A70" s="3">
        <v>13</v>
      </c>
      <c r="B70" s="3" t="s">
        <v>141</v>
      </c>
      <c r="C70" s="3" t="s">
        <v>575</v>
      </c>
      <c r="D70" s="3" t="s">
        <v>141</v>
      </c>
      <c r="E70" s="3" t="s">
        <v>142</v>
      </c>
      <c r="F70" s="3"/>
      <c r="G70" s="3">
        <v>304</v>
      </c>
      <c r="H70" s="3">
        <v>1</v>
      </c>
      <c r="I70" s="3" t="s">
        <v>17</v>
      </c>
      <c r="J70" s="3">
        <v>11</v>
      </c>
      <c r="K70" s="3">
        <f>J70*H70</f>
        <v>11</v>
      </c>
      <c r="L70" s="3" t="s">
        <v>143</v>
      </c>
    </row>
    <row r="71" spans="1:12" x14ac:dyDescent="0.5">
      <c r="A71" s="2" t="s">
        <v>144</v>
      </c>
      <c r="B71" s="2" t="s">
        <v>145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5">
      <c r="A72" s="3">
        <v>1</v>
      </c>
      <c r="B72" s="3" t="s">
        <v>146</v>
      </c>
      <c r="C72" s="3" t="s">
        <v>147</v>
      </c>
      <c r="D72" s="3" t="s">
        <v>148</v>
      </c>
      <c r="E72" s="3" t="s">
        <v>676</v>
      </c>
      <c r="F72" s="3" t="s">
        <v>27</v>
      </c>
      <c r="G72" s="3" t="s">
        <v>149</v>
      </c>
      <c r="H72" s="3">
        <v>1</v>
      </c>
      <c r="I72" s="3" t="s">
        <v>17</v>
      </c>
      <c r="J72" s="3"/>
      <c r="K72" s="3"/>
      <c r="L72" s="3"/>
    </row>
    <row r="73" spans="1:12" x14ac:dyDescent="0.5">
      <c r="A73" s="3">
        <v>2</v>
      </c>
      <c r="B73" s="3" t="s">
        <v>150</v>
      </c>
      <c r="C73" s="3" t="s">
        <v>151</v>
      </c>
      <c r="D73" s="3" t="s">
        <v>19</v>
      </c>
      <c r="E73" s="3" t="s">
        <v>530</v>
      </c>
      <c r="F73" s="3" t="s">
        <v>27</v>
      </c>
      <c r="G73" s="3" t="s">
        <v>44</v>
      </c>
      <c r="H73" s="3">
        <v>1</v>
      </c>
      <c r="I73" s="3" t="s">
        <v>17</v>
      </c>
      <c r="J73" s="3"/>
      <c r="K73" s="3"/>
      <c r="L73" s="3"/>
    </row>
    <row r="74" spans="1:12" x14ac:dyDescent="0.5">
      <c r="A74" s="3">
        <v>3</v>
      </c>
      <c r="B74" s="3" t="s">
        <v>629</v>
      </c>
      <c r="C74" s="3" t="s">
        <v>152</v>
      </c>
      <c r="D74" s="3" t="s">
        <v>25</v>
      </c>
      <c r="E74" s="3" t="s">
        <v>747</v>
      </c>
      <c r="F74" s="3"/>
      <c r="G74" s="3" t="s">
        <v>44</v>
      </c>
      <c r="H74" s="3">
        <v>1</v>
      </c>
      <c r="I74" s="3" t="s">
        <v>17</v>
      </c>
      <c r="J74" s="3">
        <v>11</v>
      </c>
      <c r="K74" s="3">
        <f>J74*H74</f>
        <v>11</v>
      </c>
      <c r="L74" s="3"/>
    </row>
    <row r="75" spans="1:12" x14ac:dyDescent="0.5">
      <c r="A75" s="3">
        <v>4</v>
      </c>
      <c r="B75" s="3" t="s">
        <v>630</v>
      </c>
      <c r="C75" s="3" t="s">
        <v>632</v>
      </c>
      <c r="D75" s="3" t="s">
        <v>624</v>
      </c>
      <c r="E75" s="3" t="s">
        <v>642</v>
      </c>
      <c r="F75" s="3"/>
      <c r="G75" s="3" t="s">
        <v>44</v>
      </c>
      <c r="H75" s="3">
        <v>3</v>
      </c>
      <c r="I75" s="3" t="s">
        <v>17</v>
      </c>
      <c r="J75" s="3"/>
      <c r="K75" s="3">
        <f>H75*J75</f>
        <v>0</v>
      </c>
      <c r="L75" s="3"/>
    </row>
    <row r="76" spans="1:12" x14ac:dyDescent="0.5">
      <c r="A76" s="3">
        <v>5</v>
      </c>
      <c r="B76" s="3" t="s">
        <v>633</v>
      </c>
      <c r="C76" s="3" t="s">
        <v>637</v>
      </c>
      <c r="D76" s="3" t="s">
        <v>19</v>
      </c>
      <c r="E76" s="3" t="s">
        <v>625</v>
      </c>
      <c r="F76" s="3" t="s">
        <v>153</v>
      </c>
      <c r="G76" s="3">
        <v>304</v>
      </c>
      <c r="H76" s="3">
        <v>1</v>
      </c>
      <c r="I76" s="3" t="s">
        <v>17</v>
      </c>
      <c r="J76" s="3"/>
      <c r="K76" s="3"/>
      <c r="L76" s="5" t="s">
        <v>47</v>
      </c>
    </row>
    <row r="77" spans="1:12" x14ac:dyDescent="0.5">
      <c r="A77" s="3">
        <v>6</v>
      </c>
      <c r="B77" s="3" t="s">
        <v>634</v>
      </c>
      <c r="C77" s="3" t="s">
        <v>638</v>
      </c>
      <c r="D77" s="3" t="s">
        <v>22</v>
      </c>
      <c r="E77" s="3" t="s">
        <v>23</v>
      </c>
      <c r="F77" s="3" t="s">
        <v>153</v>
      </c>
      <c r="G77" s="3">
        <v>304</v>
      </c>
      <c r="H77" s="3">
        <v>1</v>
      </c>
      <c r="I77" s="3" t="s">
        <v>17</v>
      </c>
      <c r="J77" s="3">
        <v>2.2000000000000002</v>
      </c>
      <c r="K77" s="3">
        <f>H77*J77</f>
        <v>2.2000000000000002</v>
      </c>
      <c r="L77" s="5" t="s">
        <v>47</v>
      </c>
    </row>
    <row r="78" spans="1:12" x14ac:dyDescent="0.5">
      <c r="A78" s="3">
        <v>7</v>
      </c>
      <c r="B78" s="3" t="s">
        <v>635</v>
      </c>
      <c r="C78" s="3" t="s">
        <v>639</v>
      </c>
      <c r="D78" s="3" t="s">
        <v>25</v>
      </c>
      <c r="E78" s="3" t="s">
        <v>714</v>
      </c>
      <c r="F78" s="3"/>
      <c r="G78" s="3">
        <v>304</v>
      </c>
      <c r="H78" s="3">
        <v>1</v>
      </c>
      <c r="I78" s="3" t="s">
        <v>17</v>
      </c>
      <c r="J78" s="3">
        <v>7.5</v>
      </c>
      <c r="K78" s="3">
        <f>J78*H78</f>
        <v>7.5</v>
      </c>
      <c r="L78" s="5" t="s">
        <v>783</v>
      </c>
    </row>
    <row r="79" spans="1:12" x14ac:dyDescent="0.5">
      <c r="A79" s="3">
        <v>8</v>
      </c>
      <c r="B79" s="3" t="s">
        <v>154</v>
      </c>
      <c r="C79" s="3" t="s">
        <v>658</v>
      </c>
      <c r="D79" s="3" t="s">
        <v>19</v>
      </c>
      <c r="E79" s="3" t="s">
        <v>713</v>
      </c>
      <c r="F79" s="3" t="s">
        <v>666</v>
      </c>
      <c r="G79" s="3">
        <v>304</v>
      </c>
      <c r="H79" s="3">
        <v>1</v>
      </c>
      <c r="I79" s="3" t="s">
        <v>17</v>
      </c>
      <c r="J79" s="3"/>
      <c r="K79" s="3"/>
      <c r="L79" s="3" t="s">
        <v>47</v>
      </c>
    </row>
    <row r="80" spans="1:12" x14ac:dyDescent="0.5">
      <c r="A80" s="3">
        <v>9</v>
      </c>
      <c r="B80" s="3" t="s">
        <v>155</v>
      </c>
      <c r="C80" s="3" t="s">
        <v>659</v>
      </c>
      <c r="D80" s="3" t="s">
        <v>22</v>
      </c>
      <c r="E80" s="3" t="s">
        <v>498</v>
      </c>
      <c r="F80" s="3" t="s">
        <v>153</v>
      </c>
      <c r="G80" s="3">
        <v>304</v>
      </c>
      <c r="H80" s="3">
        <v>1</v>
      </c>
      <c r="I80" s="3" t="s">
        <v>17</v>
      </c>
      <c r="J80" s="3">
        <v>2.2000000000000002</v>
      </c>
      <c r="K80" s="3">
        <f>H80*J80</f>
        <v>2.2000000000000002</v>
      </c>
      <c r="L80" s="3" t="s">
        <v>47</v>
      </c>
    </row>
    <row r="81" spans="1:12" x14ac:dyDescent="0.5">
      <c r="A81" s="3">
        <v>10</v>
      </c>
      <c r="B81" s="3" t="s">
        <v>667</v>
      </c>
      <c r="C81" s="3" t="s">
        <v>660</v>
      </c>
      <c r="D81" s="3" t="s">
        <v>19</v>
      </c>
      <c r="E81" s="3" t="s">
        <v>664</v>
      </c>
      <c r="F81" s="3" t="s">
        <v>59</v>
      </c>
      <c r="G81" s="3">
        <v>304</v>
      </c>
      <c r="H81" s="3">
        <v>1</v>
      </c>
      <c r="I81" s="3" t="s">
        <v>17</v>
      </c>
      <c r="J81" s="3"/>
      <c r="K81" s="3"/>
      <c r="L81" s="3" t="s">
        <v>47</v>
      </c>
    </row>
    <row r="82" spans="1:12" x14ac:dyDescent="0.5">
      <c r="A82" s="3">
        <v>11</v>
      </c>
      <c r="B82" s="3" t="s">
        <v>156</v>
      </c>
      <c r="C82" s="3" t="s">
        <v>640</v>
      </c>
      <c r="D82" s="3" t="s">
        <v>25</v>
      </c>
      <c r="E82" s="3" t="s">
        <v>707</v>
      </c>
      <c r="F82" s="3"/>
      <c r="G82" s="3">
        <v>304</v>
      </c>
      <c r="H82" s="3">
        <v>1</v>
      </c>
      <c r="I82" s="3" t="s">
        <v>17</v>
      </c>
      <c r="J82" s="3">
        <v>5.5</v>
      </c>
      <c r="K82" s="3">
        <f>J82*H82</f>
        <v>5.5</v>
      </c>
      <c r="L82" s="3" t="s">
        <v>47</v>
      </c>
    </row>
    <row r="83" spans="1:12" x14ac:dyDescent="0.5">
      <c r="A83" s="3">
        <v>12</v>
      </c>
      <c r="B83" s="3" t="s">
        <v>636</v>
      </c>
      <c r="C83" s="3" t="s">
        <v>641</v>
      </c>
      <c r="D83" s="3" t="s">
        <v>131</v>
      </c>
      <c r="E83" s="3" t="s">
        <v>677</v>
      </c>
      <c r="F83" s="3"/>
      <c r="G83" s="3" t="s">
        <v>133</v>
      </c>
      <c r="H83" s="3">
        <v>1</v>
      </c>
      <c r="I83" s="3" t="s">
        <v>17</v>
      </c>
      <c r="J83" s="3">
        <f>5.5+2.2+0.75+1.1+0.75</f>
        <v>10.299999999999999</v>
      </c>
      <c r="K83" s="3">
        <f>J83*H83</f>
        <v>10.299999999999999</v>
      </c>
      <c r="L83" s="3" t="s">
        <v>143</v>
      </c>
    </row>
    <row r="84" spans="1:12" x14ac:dyDescent="0.5">
      <c r="A84" s="3">
        <v>13</v>
      </c>
      <c r="B84" s="3" t="s">
        <v>661</v>
      </c>
      <c r="C84" s="3" t="s">
        <v>662</v>
      </c>
      <c r="D84" s="3" t="s">
        <v>19</v>
      </c>
      <c r="E84" s="3" t="s">
        <v>529</v>
      </c>
      <c r="F84" s="3" t="s">
        <v>27</v>
      </c>
      <c r="G84" s="3">
        <v>304</v>
      </c>
      <c r="H84" s="3">
        <v>1</v>
      </c>
      <c r="I84" s="3" t="s">
        <v>17</v>
      </c>
      <c r="J84" s="3"/>
      <c r="K84" s="3"/>
      <c r="L84" s="3"/>
    </row>
    <row r="85" spans="1:12" x14ac:dyDescent="0.5">
      <c r="A85" s="3">
        <v>14</v>
      </c>
      <c r="B85" s="3" t="s">
        <v>657</v>
      </c>
      <c r="C85" s="3" t="s">
        <v>663</v>
      </c>
      <c r="D85" s="3" t="s">
        <v>25</v>
      </c>
      <c r="E85" s="3" t="s">
        <v>715</v>
      </c>
      <c r="F85" s="3"/>
      <c r="G85" s="3">
        <v>304</v>
      </c>
      <c r="H85" s="3">
        <v>1</v>
      </c>
      <c r="I85" s="3" t="s">
        <v>665</v>
      </c>
      <c r="J85" s="3">
        <v>4</v>
      </c>
      <c r="K85" s="3">
        <f>J85*H85</f>
        <v>4</v>
      </c>
      <c r="L85" s="3"/>
    </row>
    <row r="86" spans="1:12" x14ac:dyDescent="0.5">
      <c r="A86" s="2" t="s">
        <v>157</v>
      </c>
      <c r="B86" s="2" t="s">
        <v>158</v>
      </c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x14ac:dyDescent="0.5">
      <c r="A87" s="3">
        <v>1</v>
      </c>
      <c r="B87" s="3" t="s">
        <v>159</v>
      </c>
      <c r="C87" s="3" t="s">
        <v>160</v>
      </c>
      <c r="D87" s="3" t="s">
        <v>19</v>
      </c>
      <c r="E87" s="3" t="s">
        <v>530</v>
      </c>
      <c r="F87" s="3" t="s">
        <v>27</v>
      </c>
      <c r="G87" s="3">
        <v>304</v>
      </c>
      <c r="H87" s="3">
        <v>1</v>
      </c>
      <c r="I87" s="3" t="s">
        <v>17</v>
      </c>
      <c r="J87" s="3"/>
      <c r="K87" s="3"/>
      <c r="L87" s="3"/>
    </row>
    <row r="88" spans="1:12" x14ac:dyDescent="0.5">
      <c r="A88" s="3">
        <v>2</v>
      </c>
      <c r="B88" s="3" t="s">
        <v>161</v>
      </c>
      <c r="C88" s="3" t="s">
        <v>162</v>
      </c>
      <c r="D88" s="3" t="s">
        <v>25</v>
      </c>
      <c r="E88" s="3" t="s">
        <v>744</v>
      </c>
      <c r="F88" s="3"/>
      <c r="G88" s="3">
        <v>304</v>
      </c>
      <c r="H88" s="3">
        <v>1</v>
      </c>
      <c r="I88" s="3" t="s">
        <v>17</v>
      </c>
      <c r="J88" s="3">
        <v>15</v>
      </c>
      <c r="K88" s="3">
        <f>J88*H88</f>
        <v>15</v>
      </c>
      <c r="L88" s="3"/>
    </row>
    <row r="89" spans="1:12" x14ac:dyDescent="0.5">
      <c r="A89" s="3">
        <v>3</v>
      </c>
      <c r="B89" s="3" t="s">
        <v>163</v>
      </c>
      <c r="C89" s="3" t="s">
        <v>164</v>
      </c>
      <c r="D89" s="3" t="s">
        <v>52</v>
      </c>
      <c r="E89" s="3" t="s">
        <v>746</v>
      </c>
      <c r="F89" s="3"/>
      <c r="G89" s="3">
        <v>304</v>
      </c>
      <c r="H89" s="3">
        <v>2</v>
      </c>
      <c r="I89" s="3" t="s">
        <v>17</v>
      </c>
      <c r="J89" s="3"/>
      <c r="K89" s="3"/>
      <c r="L89" s="3"/>
    </row>
    <row r="90" spans="1:12" x14ac:dyDescent="0.5">
      <c r="A90" s="3">
        <v>4</v>
      </c>
      <c r="B90" s="3" t="s">
        <v>165</v>
      </c>
      <c r="C90" s="3" t="s">
        <v>166</v>
      </c>
      <c r="D90" s="3" t="s">
        <v>77</v>
      </c>
      <c r="E90" s="3" t="s">
        <v>167</v>
      </c>
      <c r="F90" s="3"/>
      <c r="G90" s="3">
        <v>304</v>
      </c>
      <c r="H90" s="3">
        <v>1</v>
      </c>
      <c r="I90" s="3" t="s">
        <v>17</v>
      </c>
      <c r="J90" s="3"/>
      <c r="K90" s="3"/>
      <c r="L90" s="3"/>
    </row>
    <row r="91" spans="1:12" x14ac:dyDescent="0.5">
      <c r="A91" s="3">
        <v>5</v>
      </c>
      <c r="B91" s="3" t="s">
        <v>168</v>
      </c>
      <c r="C91" s="3" t="s">
        <v>169</v>
      </c>
      <c r="D91" s="3" t="s">
        <v>77</v>
      </c>
      <c r="E91" s="3" t="s">
        <v>170</v>
      </c>
      <c r="F91" s="3"/>
      <c r="G91" s="3">
        <v>304</v>
      </c>
      <c r="H91" s="3">
        <v>1</v>
      </c>
      <c r="I91" s="3" t="s">
        <v>17</v>
      </c>
      <c r="J91" s="3"/>
      <c r="K91" s="3"/>
      <c r="L91" s="3"/>
    </row>
    <row r="92" spans="1:12" x14ac:dyDescent="0.5">
      <c r="A92" s="3">
        <v>6</v>
      </c>
      <c r="B92" s="3" t="s">
        <v>171</v>
      </c>
      <c r="C92" s="3" t="s">
        <v>172</v>
      </c>
      <c r="D92" s="3" t="s">
        <v>173</v>
      </c>
      <c r="E92" s="3" t="s">
        <v>749</v>
      </c>
      <c r="F92" s="3"/>
      <c r="G92" s="3" t="s">
        <v>149</v>
      </c>
      <c r="H92" s="3">
        <v>1</v>
      </c>
      <c r="I92" s="3" t="s">
        <v>16</v>
      </c>
      <c r="J92" s="3"/>
      <c r="K92" s="3"/>
      <c r="L92" s="3"/>
    </row>
    <row r="93" spans="1:12" x14ac:dyDescent="0.5">
      <c r="A93" s="3">
        <v>7</v>
      </c>
      <c r="B93" s="3" t="s">
        <v>174</v>
      </c>
      <c r="C93" s="3" t="s">
        <v>175</v>
      </c>
      <c r="D93" s="3" t="s">
        <v>19</v>
      </c>
      <c r="E93" s="3" t="s">
        <v>176</v>
      </c>
      <c r="F93" s="3"/>
      <c r="G93" s="3" t="s">
        <v>149</v>
      </c>
      <c r="H93" s="3">
        <v>2</v>
      </c>
      <c r="I93" s="3" t="s">
        <v>17</v>
      </c>
      <c r="J93" s="3"/>
      <c r="K93" s="3"/>
      <c r="L93" s="3" t="s">
        <v>177</v>
      </c>
    </row>
    <row r="94" spans="1:12" x14ac:dyDescent="0.5">
      <c r="A94" s="3">
        <v>8</v>
      </c>
      <c r="B94" s="3" t="s">
        <v>178</v>
      </c>
      <c r="C94" s="3" t="s">
        <v>508</v>
      </c>
      <c r="D94" s="3" t="s">
        <v>25</v>
      </c>
      <c r="E94" s="3" t="s">
        <v>535</v>
      </c>
      <c r="F94" s="3"/>
      <c r="G94" s="3">
        <v>304</v>
      </c>
      <c r="H94" s="3">
        <v>2</v>
      </c>
      <c r="I94" s="3" t="s">
        <v>17</v>
      </c>
      <c r="J94" s="3">
        <v>4</v>
      </c>
      <c r="K94" s="3">
        <f>J94*H94</f>
        <v>8</v>
      </c>
      <c r="L94" s="3" t="s">
        <v>177</v>
      </c>
    </row>
    <row r="95" spans="1:12" x14ac:dyDescent="0.5">
      <c r="A95" s="3">
        <v>9</v>
      </c>
      <c r="B95" s="3" t="s">
        <v>179</v>
      </c>
      <c r="C95" s="3" t="s">
        <v>180</v>
      </c>
      <c r="D95" s="3" t="s">
        <v>25</v>
      </c>
      <c r="E95" s="3" t="s">
        <v>748</v>
      </c>
      <c r="F95" s="3"/>
      <c r="G95" s="3">
        <v>304</v>
      </c>
      <c r="H95" s="3">
        <v>1</v>
      </c>
      <c r="I95" s="3" t="s">
        <v>17</v>
      </c>
      <c r="J95" s="3">
        <v>7.5</v>
      </c>
      <c r="K95" s="3">
        <f>J95*H95</f>
        <v>7.5</v>
      </c>
      <c r="L95" s="3" t="s">
        <v>177</v>
      </c>
    </row>
    <row r="96" spans="1:12" x14ac:dyDescent="0.5">
      <c r="A96" s="3">
        <v>10</v>
      </c>
      <c r="B96" s="3" t="s">
        <v>181</v>
      </c>
      <c r="C96" s="3" t="s">
        <v>182</v>
      </c>
      <c r="D96" s="3" t="s">
        <v>19</v>
      </c>
      <c r="E96" s="3" t="s">
        <v>530</v>
      </c>
      <c r="F96" s="3" t="s">
        <v>27</v>
      </c>
      <c r="G96" s="3">
        <v>304</v>
      </c>
      <c r="H96" s="3">
        <v>1</v>
      </c>
      <c r="I96" s="3" t="s">
        <v>17</v>
      </c>
      <c r="J96" s="3"/>
      <c r="K96" s="3"/>
      <c r="L96" s="3"/>
    </row>
    <row r="97" spans="1:12" x14ac:dyDescent="0.5">
      <c r="A97" s="3">
        <v>11</v>
      </c>
      <c r="B97" s="3" t="s">
        <v>183</v>
      </c>
      <c r="C97" s="3" t="s">
        <v>184</v>
      </c>
      <c r="D97" s="3" t="s">
        <v>25</v>
      </c>
      <c r="E97" s="3" t="s">
        <v>747</v>
      </c>
      <c r="F97" s="3"/>
      <c r="G97" s="3">
        <v>304</v>
      </c>
      <c r="H97" s="3">
        <v>1</v>
      </c>
      <c r="I97" s="3" t="s">
        <v>17</v>
      </c>
      <c r="J97" s="3">
        <v>11</v>
      </c>
      <c r="K97" s="3">
        <f>J97*H97</f>
        <v>11</v>
      </c>
      <c r="L97" s="3"/>
    </row>
    <row r="98" spans="1:12" x14ac:dyDescent="0.5">
      <c r="A98" s="3">
        <v>12</v>
      </c>
      <c r="B98" s="3" t="s">
        <v>185</v>
      </c>
      <c r="C98" s="3" t="s">
        <v>186</v>
      </c>
      <c r="D98" s="3" t="s">
        <v>52</v>
      </c>
      <c r="E98" s="3" t="s">
        <v>746</v>
      </c>
      <c r="F98" s="3"/>
      <c r="G98" s="3">
        <v>304</v>
      </c>
      <c r="H98" s="3">
        <v>2</v>
      </c>
      <c r="I98" s="3" t="s">
        <v>17</v>
      </c>
      <c r="J98" s="3"/>
      <c r="K98" s="3"/>
      <c r="L98" s="3"/>
    </row>
    <row r="99" spans="1:12" x14ac:dyDescent="0.5">
      <c r="A99" s="3">
        <v>13</v>
      </c>
      <c r="B99" s="3" t="s">
        <v>187</v>
      </c>
      <c r="C99" s="3" t="s">
        <v>188</v>
      </c>
      <c r="D99" s="3" t="s">
        <v>77</v>
      </c>
      <c r="E99" s="3" t="s">
        <v>167</v>
      </c>
      <c r="F99" s="3"/>
      <c r="G99" s="3">
        <v>304</v>
      </c>
      <c r="H99" s="3">
        <v>1</v>
      </c>
      <c r="I99" s="3" t="s">
        <v>17</v>
      </c>
      <c r="J99" s="3"/>
      <c r="K99" s="3"/>
      <c r="L99" s="3"/>
    </row>
    <row r="100" spans="1:12" x14ac:dyDescent="0.5">
      <c r="A100" s="3">
        <v>14</v>
      </c>
      <c r="B100" s="3" t="s">
        <v>189</v>
      </c>
      <c r="C100" s="3" t="s">
        <v>190</v>
      </c>
      <c r="D100" s="3" t="s">
        <v>77</v>
      </c>
      <c r="E100" s="3" t="s">
        <v>191</v>
      </c>
      <c r="F100" s="3"/>
      <c r="G100" s="3">
        <v>304</v>
      </c>
      <c r="H100" s="3">
        <v>1</v>
      </c>
      <c r="I100" s="3" t="s">
        <v>17</v>
      </c>
      <c r="J100" s="3"/>
      <c r="K100" s="3"/>
      <c r="L100" s="3"/>
    </row>
    <row r="101" spans="1:12" x14ac:dyDescent="0.5">
      <c r="A101" s="3">
        <v>15</v>
      </c>
      <c r="B101" s="3" t="s">
        <v>192</v>
      </c>
      <c r="C101" s="3" t="s">
        <v>193</v>
      </c>
      <c r="D101" s="3" t="s">
        <v>173</v>
      </c>
      <c r="E101" s="3" t="s">
        <v>749</v>
      </c>
      <c r="F101" s="3"/>
      <c r="G101" s="3" t="s">
        <v>149</v>
      </c>
      <c r="H101" s="3">
        <v>1</v>
      </c>
      <c r="I101" s="3" t="s">
        <v>16</v>
      </c>
      <c r="J101" s="3"/>
      <c r="K101" s="3"/>
      <c r="L101" s="3"/>
    </row>
    <row r="102" spans="1:12" x14ac:dyDescent="0.5">
      <c r="A102" s="2" t="s">
        <v>194</v>
      </c>
      <c r="B102" s="2" t="s">
        <v>195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5">
      <c r="A103" s="3">
        <v>1</v>
      </c>
      <c r="B103" s="3" t="s">
        <v>196</v>
      </c>
      <c r="C103" s="3" t="s">
        <v>197</v>
      </c>
      <c r="D103" s="3" t="s">
        <v>19</v>
      </c>
      <c r="E103" s="3" t="s">
        <v>530</v>
      </c>
      <c r="F103" s="3" t="s">
        <v>27</v>
      </c>
      <c r="G103" s="3">
        <v>304</v>
      </c>
      <c r="H103" s="3">
        <v>1</v>
      </c>
      <c r="I103" s="3" t="s">
        <v>17</v>
      </c>
      <c r="J103" s="3"/>
      <c r="K103" s="3"/>
      <c r="L103" s="3"/>
    </row>
    <row r="104" spans="1:12" x14ac:dyDescent="0.5">
      <c r="A104" s="3">
        <v>2</v>
      </c>
      <c r="B104" s="3" t="s">
        <v>198</v>
      </c>
      <c r="C104" s="3" t="s">
        <v>199</v>
      </c>
      <c r="D104" s="3" t="s">
        <v>25</v>
      </c>
      <c r="E104" s="3" t="s">
        <v>747</v>
      </c>
      <c r="F104" s="3"/>
      <c r="G104" s="3">
        <v>304</v>
      </c>
      <c r="H104" s="3">
        <v>1</v>
      </c>
      <c r="I104" s="3" t="s">
        <v>17</v>
      </c>
      <c r="J104" s="3">
        <v>11</v>
      </c>
      <c r="K104" s="3">
        <f>J104*H104</f>
        <v>11</v>
      </c>
      <c r="L104" s="3"/>
    </row>
    <row r="105" spans="1:12" x14ac:dyDescent="0.5">
      <c r="A105" s="3">
        <v>3</v>
      </c>
      <c r="B105" s="3" t="s">
        <v>654</v>
      </c>
      <c r="C105" s="3" t="s">
        <v>200</v>
      </c>
      <c r="D105" s="3" t="s">
        <v>52</v>
      </c>
      <c r="E105" s="3" t="s">
        <v>750</v>
      </c>
      <c r="F105" s="3"/>
      <c r="G105" s="3">
        <v>304</v>
      </c>
      <c r="H105" s="3">
        <v>2</v>
      </c>
      <c r="I105" s="3" t="s">
        <v>17</v>
      </c>
      <c r="J105" s="3"/>
      <c r="K105" s="3"/>
      <c r="L105" s="3"/>
    </row>
    <row r="106" spans="1:12" x14ac:dyDescent="0.5">
      <c r="A106" s="3">
        <v>4</v>
      </c>
      <c r="B106" s="3" t="s">
        <v>779</v>
      </c>
      <c r="C106" s="3" t="s">
        <v>201</v>
      </c>
      <c r="D106" s="3" t="s">
        <v>195</v>
      </c>
      <c r="E106" s="5" t="s">
        <v>781</v>
      </c>
      <c r="F106" s="3"/>
      <c r="G106" s="3">
        <v>304</v>
      </c>
      <c r="H106" s="3">
        <v>1</v>
      </c>
      <c r="I106" s="3" t="s">
        <v>16</v>
      </c>
      <c r="J106" s="6">
        <v>281.5</v>
      </c>
      <c r="K106" s="6">
        <f>J106</f>
        <v>281.5</v>
      </c>
      <c r="L106" s="3"/>
    </row>
    <row r="107" spans="1:12" x14ac:dyDescent="0.5">
      <c r="A107" s="3">
        <v>5</v>
      </c>
      <c r="B107" s="3" t="s">
        <v>687</v>
      </c>
      <c r="C107" s="3" t="s">
        <v>688</v>
      </c>
      <c r="D107" s="3" t="s">
        <v>77</v>
      </c>
      <c r="E107" s="3" t="s">
        <v>693</v>
      </c>
      <c r="F107" s="3"/>
      <c r="G107" s="3" t="s">
        <v>655</v>
      </c>
      <c r="H107" s="3">
        <v>1</v>
      </c>
      <c r="I107" s="3" t="s">
        <v>17</v>
      </c>
      <c r="J107" s="3"/>
      <c r="K107" s="3"/>
      <c r="L107" s="3"/>
    </row>
    <row r="108" spans="1:12" x14ac:dyDescent="0.5">
      <c r="A108" s="2" t="s">
        <v>204</v>
      </c>
      <c r="B108" s="2" t="s">
        <v>205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5">
      <c r="A109" s="3">
        <v>1</v>
      </c>
      <c r="B109" s="3" t="s">
        <v>206</v>
      </c>
      <c r="C109" s="3" t="s">
        <v>207</v>
      </c>
      <c r="D109" s="3" t="s">
        <v>19</v>
      </c>
      <c r="E109" s="3" t="s">
        <v>708</v>
      </c>
      <c r="F109" s="3" t="s">
        <v>27</v>
      </c>
      <c r="G109" s="3" t="s">
        <v>208</v>
      </c>
      <c r="H109" s="3">
        <v>6</v>
      </c>
      <c r="I109" s="3" t="s">
        <v>17</v>
      </c>
      <c r="J109" s="3"/>
      <c r="K109" s="3"/>
      <c r="L109" s="3"/>
    </row>
    <row r="110" spans="1:12" x14ac:dyDescent="0.5">
      <c r="A110" s="3">
        <v>2</v>
      </c>
      <c r="B110" s="3" t="s">
        <v>209</v>
      </c>
      <c r="C110" s="3" t="s">
        <v>210</v>
      </c>
      <c r="D110" s="3" t="s">
        <v>22</v>
      </c>
      <c r="E110" s="3" t="s">
        <v>672</v>
      </c>
      <c r="F110" s="3" t="s">
        <v>27</v>
      </c>
      <c r="G110" s="3" t="s">
        <v>208</v>
      </c>
      <c r="H110" s="3">
        <v>6</v>
      </c>
      <c r="I110" s="3" t="s">
        <v>17</v>
      </c>
      <c r="J110" s="3">
        <v>7.5</v>
      </c>
      <c r="K110" s="3">
        <f>H110*J110</f>
        <v>45</v>
      </c>
      <c r="L110" s="3"/>
    </row>
    <row r="111" spans="1:12" x14ac:dyDescent="0.5">
      <c r="A111" s="3">
        <v>3</v>
      </c>
      <c r="B111" s="3" t="s">
        <v>698</v>
      </c>
      <c r="C111" s="3" t="s">
        <v>669</v>
      </c>
      <c r="D111" s="3" t="s">
        <v>25</v>
      </c>
      <c r="E111" s="3" t="s">
        <v>536</v>
      </c>
      <c r="F111" s="3"/>
      <c r="G111" s="3" t="s">
        <v>208</v>
      </c>
      <c r="H111" s="3">
        <v>3</v>
      </c>
      <c r="I111" s="3" t="s">
        <v>17</v>
      </c>
      <c r="J111" s="3">
        <v>30</v>
      </c>
      <c r="K111" s="3">
        <f t="shared" ref="K111" si="0">J111*H111</f>
        <v>90</v>
      </c>
      <c r="L111" s="3" t="s">
        <v>211</v>
      </c>
    </row>
    <row r="112" spans="1:12" x14ac:dyDescent="0.5">
      <c r="A112" s="3">
        <v>4</v>
      </c>
      <c r="B112" s="3" t="s">
        <v>212</v>
      </c>
      <c r="C112" s="3" t="s">
        <v>690</v>
      </c>
      <c r="D112" s="3" t="s">
        <v>19</v>
      </c>
      <c r="E112" s="3" t="s">
        <v>716</v>
      </c>
      <c r="F112" s="3" t="s">
        <v>153</v>
      </c>
      <c r="G112" s="3" t="s">
        <v>208</v>
      </c>
      <c r="H112" s="3">
        <v>12</v>
      </c>
      <c r="I112" s="3" t="s">
        <v>17</v>
      </c>
      <c r="J112" s="3"/>
      <c r="K112" s="3"/>
      <c r="L112" s="3"/>
    </row>
    <row r="113" spans="1:12" x14ac:dyDescent="0.5">
      <c r="A113" s="3">
        <v>5</v>
      </c>
      <c r="B113" s="3" t="s">
        <v>213</v>
      </c>
      <c r="C113" s="3" t="s">
        <v>689</v>
      </c>
      <c r="D113" s="3" t="s">
        <v>25</v>
      </c>
      <c r="E113" s="3" t="s">
        <v>537</v>
      </c>
      <c r="F113" s="3"/>
      <c r="G113" s="3" t="s">
        <v>208</v>
      </c>
      <c r="H113" s="3">
        <v>4</v>
      </c>
      <c r="I113" s="3" t="s">
        <v>17</v>
      </c>
      <c r="J113" s="3">
        <v>18.5</v>
      </c>
      <c r="K113" s="3">
        <f>J113*H113</f>
        <v>74</v>
      </c>
      <c r="L113" s="3" t="s">
        <v>211</v>
      </c>
    </row>
    <row r="114" spans="1:12" x14ac:dyDescent="0.5">
      <c r="A114" s="3">
        <v>6</v>
      </c>
      <c r="B114" s="3" t="s">
        <v>214</v>
      </c>
      <c r="C114" s="3" t="s">
        <v>691</v>
      </c>
      <c r="D114" s="3" t="s">
        <v>77</v>
      </c>
      <c r="E114" s="3" t="s">
        <v>132</v>
      </c>
      <c r="F114" s="3"/>
      <c r="G114" s="3" t="s">
        <v>208</v>
      </c>
      <c r="H114" s="3">
        <v>4</v>
      </c>
      <c r="I114" s="3" t="s">
        <v>17</v>
      </c>
      <c r="J114" s="3"/>
      <c r="K114" s="3"/>
      <c r="L114" s="3"/>
    </row>
    <row r="115" spans="1:12" x14ac:dyDescent="0.5">
      <c r="A115" s="3">
        <v>7</v>
      </c>
      <c r="B115" s="3" t="s">
        <v>215</v>
      </c>
      <c r="C115" s="3" t="s">
        <v>701</v>
      </c>
      <c r="D115" s="3" t="s">
        <v>52</v>
      </c>
      <c r="E115" s="3" t="s">
        <v>717</v>
      </c>
      <c r="F115" s="3"/>
      <c r="G115" s="3" t="s">
        <v>208</v>
      </c>
      <c r="H115" s="3">
        <v>4</v>
      </c>
      <c r="I115" s="3" t="s">
        <v>17</v>
      </c>
      <c r="J115" s="3"/>
      <c r="K115" s="3"/>
      <c r="L115" s="3"/>
    </row>
    <row r="116" spans="1:12" x14ac:dyDescent="0.5">
      <c r="A116" s="3">
        <v>8</v>
      </c>
      <c r="B116" s="3" t="s">
        <v>499</v>
      </c>
      <c r="C116" s="3" t="s">
        <v>568</v>
      </c>
      <c r="D116" s="3" t="s">
        <v>500</v>
      </c>
      <c r="E116" s="3" t="s">
        <v>501</v>
      </c>
      <c r="F116" s="3"/>
      <c r="G116" s="3" t="s">
        <v>502</v>
      </c>
      <c r="H116" s="3">
        <v>1</v>
      </c>
      <c r="I116" s="3" t="s">
        <v>17</v>
      </c>
      <c r="J116" s="3"/>
      <c r="K116" s="3"/>
      <c r="L116" s="3"/>
    </row>
    <row r="117" spans="1:12" x14ac:dyDescent="0.5">
      <c r="A117" s="2" t="s">
        <v>216</v>
      </c>
      <c r="B117" s="2" t="s">
        <v>217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5">
      <c r="A118" s="3">
        <v>1</v>
      </c>
      <c r="B118" s="3" t="s">
        <v>218</v>
      </c>
      <c r="C118" s="3" t="s">
        <v>219</v>
      </c>
      <c r="D118" s="3" t="s">
        <v>19</v>
      </c>
      <c r="E118" s="3" t="s">
        <v>529</v>
      </c>
      <c r="F118" s="3" t="s">
        <v>27</v>
      </c>
      <c r="G118" s="3">
        <v>304</v>
      </c>
      <c r="H118" s="3">
        <v>1</v>
      </c>
      <c r="I118" s="3" t="s">
        <v>17</v>
      </c>
      <c r="J118" s="3"/>
      <c r="K118" s="3"/>
      <c r="L118" s="3" t="s">
        <v>47</v>
      </c>
    </row>
    <row r="119" spans="1:12" x14ac:dyDescent="0.5">
      <c r="A119" s="3">
        <v>2</v>
      </c>
      <c r="B119" s="3" t="s">
        <v>220</v>
      </c>
      <c r="C119" s="3" t="s">
        <v>700</v>
      </c>
      <c r="D119" s="3" t="s">
        <v>25</v>
      </c>
      <c r="E119" s="3" t="s">
        <v>538</v>
      </c>
      <c r="F119" s="3"/>
      <c r="G119" s="3">
        <v>304</v>
      </c>
      <c r="H119" s="3">
        <v>2</v>
      </c>
      <c r="I119" s="3" t="s">
        <v>17</v>
      </c>
      <c r="J119" s="3">
        <v>7.5</v>
      </c>
      <c r="K119" s="3">
        <f>J119*H119</f>
        <v>15</v>
      </c>
      <c r="L119" s="3" t="s">
        <v>47</v>
      </c>
    </row>
    <row r="120" spans="1:12" x14ac:dyDescent="0.5">
      <c r="A120" s="3">
        <v>3</v>
      </c>
      <c r="B120" s="3" t="s">
        <v>221</v>
      </c>
      <c r="C120" s="3" t="s">
        <v>222</v>
      </c>
      <c r="D120" s="3" t="s">
        <v>52</v>
      </c>
      <c r="E120" s="3" t="s">
        <v>539</v>
      </c>
      <c r="F120" s="3"/>
      <c r="G120" s="3">
        <v>304</v>
      </c>
      <c r="H120" s="3">
        <v>2</v>
      </c>
      <c r="I120" s="3" t="s">
        <v>17</v>
      </c>
      <c r="J120" s="3"/>
      <c r="K120" s="3"/>
      <c r="L120" s="3" t="s">
        <v>47</v>
      </c>
    </row>
    <row r="121" spans="1:12" x14ac:dyDescent="0.5">
      <c r="K121" s="4">
        <f>SUM(K3:K120)</f>
        <v>950.71</v>
      </c>
    </row>
  </sheetData>
  <mergeCells count="2">
    <mergeCell ref="A1:L1"/>
    <mergeCell ref="C3:L3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workbookViewId="0">
      <pane ySplit="2" topLeftCell="A3" activePane="bottomLeft" state="frozen"/>
      <selection pane="bottomLeft" activeCell="F41" sqref="F41"/>
    </sheetView>
  </sheetViews>
  <sheetFormatPr defaultColWidth="12.34765625" defaultRowHeight="12.9" x14ac:dyDescent="0.5"/>
  <cols>
    <col min="1" max="1" width="8" style="1" customWidth="1"/>
    <col min="2" max="2" width="20.8984375" style="1" customWidth="1"/>
    <col min="3" max="3" width="10.796875" style="1" customWidth="1"/>
    <col min="4" max="4" width="7.6484375" style="1" customWidth="1"/>
    <col min="5" max="5" width="24.44921875" style="1" customWidth="1"/>
    <col min="6" max="6" width="14.09765625" style="1" customWidth="1"/>
    <col min="7" max="7" width="9.6484375" style="1" customWidth="1"/>
    <col min="8" max="9" width="5.8984375" style="1" customWidth="1"/>
    <col min="10" max="11" width="10.09765625" style="1" customWidth="1"/>
    <col min="12" max="12" width="18.25" style="1" bestFit="1" customWidth="1"/>
    <col min="13" max="16384" width="12.34765625" style="1"/>
  </cols>
  <sheetData>
    <row r="1" spans="1:12" ht="18.3" x14ac:dyDescent="0.5">
      <c r="A1" s="7" t="s">
        <v>223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5">
      <c r="A3" s="2" t="s">
        <v>30</v>
      </c>
      <c r="B3" s="2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5">
      <c r="A4" s="3">
        <v>1</v>
      </c>
      <c r="B4" s="3" t="s">
        <v>224</v>
      </c>
      <c r="C4" s="3" t="s">
        <v>225</v>
      </c>
      <c r="D4" s="3" t="s">
        <v>25</v>
      </c>
      <c r="E4" s="3" t="s">
        <v>540</v>
      </c>
      <c r="F4" s="3"/>
      <c r="G4" s="3">
        <v>304</v>
      </c>
      <c r="H4" s="3">
        <v>1</v>
      </c>
      <c r="I4" s="3" t="s">
        <v>17</v>
      </c>
      <c r="J4" s="3">
        <v>4</v>
      </c>
      <c r="K4" s="3">
        <f>H4*J4</f>
        <v>4</v>
      </c>
      <c r="L4" s="3"/>
    </row>
    <row r="5" spans="1:12" x14ac:dyDescent="0.5">
      <c r="A5" s="3">
        <v>2</v>
      </c>
      <c r="B5" s="3" t="s">
        <v>226</v>
      </c>
      <c r="C5" s="3" t="s">
        <v>512</v>
      </c>
      <c r="D5" s="3" t="s">
        <v>39</v>
      </c>
      <c r="E5" s="3" t="s">
        <v>227</v>
      </c>
      <c r="F5" s="3"/>
      <c r="G5" s="3">
        <v>304</v>
      </c>
      <c r="H5" s="3">
        <v>1</v>
      </c>
      <c r="I5" s="3" t="s">
        <v>17</v>
      </c>
      <c r="J5" s="3"/>
      <c r="K5" s="3"/>
      <c r="L5" s="3"/>
    </row>
    <row r="6" spans="1:12" x14ac:dyDescent="0.5">
      <c r="A6" s="3">
        <v>3</v>
      </c>
      <c r="B6" s="3" t="s">
        <v>228</v>
      </c>
      <c r="C6" s="3" t="s">
        <v>229</v>
      </c>
      <c r="D6" s="3" t="s">
        <v>43</v>
      </c>
      <c r="E6" s="3" t="s">
        <v>705</v>
      </c>
      <c r="F6" s="3"/>
      <c r="G6" s="3" t="s">
        <v>44</v>
      </c>
      <c r="H6" s="3">
        <v>1</v>
      </c>
      <c r="I6" s="3" t="s">
        <v>17</v>
      </c>
      <c r="J6" s="3">
        <v>0.37</v>
      </c>
      <c r="K6" s="3">
        <f>H6*J6</f>
        <v>0.37</v>
      </c>
      <c r="L6" s="3"/>
    </row>
    <row r="7" spans="1:12" x14ac:dyDescent="0.5">
      <c r="A7" s="3">
        <v>4</v>
      </c>
      <c r="B7" s="3" t="s">
        <v>230</v>
      </c>
      <c r="C7" s="3" t="s">
        <v>231</v>
      </c>
      <c r="D7" s="3" t="s">
        <v>52</v>
      </c>
      <c r="E7" s="3" t="s">
        <v>541</v>
      </c>
      <c r="F7" s="3"/>
      <c r="G7" s="3">
        <v>304</v>
      </c>
      <c r="H7" s="3">
        <v>2</v>
      </c>
      <c r="I7" s="3" t="s">
        <v>17</v>
      </c>
      <c r="J7" s="3"/>
      <c r="K7" s="3"/>
      <c r="L7" s="3" t="s">
        <v>53</v>
      </c>
    </row>
    <row r="8" spans="1:12" x14ac:dyDescent="0.5">
      <c r="A8" s="3">
        <v>5</v>
      </c>
      <c r="B8" s="3" t="s">
        <v>232</v>
      </c>
      <c r="C8" s="3" t="s">
        <v>233</v>
      </c>
      <c r="D8" s="3" t="s">
        <v>39</v>
      </c>
      <c r="E8" s="3" t="s">
        <v>542</v>
      </c>
      <c r="F8" s="3"/>
      <c r="G8" s="3">
        <v>304</v>
      </c>
      <c r="H8" s="3">
        <v>1</v>
      </c>
      <c r="I8" s="3" t="s">
        <v>17</v>
      </c>
      <c r="J8" s="3"/>
      <c r="K8" s="3"/>
      <c r="L8" s="3"/>
    </row>
    <row r="9" spans="1:12" x14ac:dyDescent="0.5">
      <c r="A9" s="3">
        <v>6</v>
      </c>
      <c r="B9" s="3" t="s">
        <v>234</v>
      </c>
      <c r="C9" s="3" t="s">
        <v>235</v>
      </c>
      <c r="D9" s="3" t="s">
        <v>19</v>
      </c>
      <c r="E9" s="3" t="s">
        <v>58</v>
      </c>
      <c r="F9" s="3" t="s">
        <v>59</v>
      </c>
      <c r="G9" s="3" t="s">
        <v>60</v>
      </c>
      <c r="H9" s="3">
        <v>1</v>
      </c>
      <c r="I9" s="3" t="s">
        <v>17</v>
      </c>
      <c r="J9" s="3"/>
      <c r="K9" s="3"/>
      <c r="L9" s="3"/>
    </row>
    <row r="10" spans="1:12" x14ac:dyDescent="0.5">
      <c r="A10" s="3">
        <v>7</v>
      </c>
      <c r="B10" s="3" t="s">
        <v>236</v>
      </c>
      <c r="C10" s="3" t="s">
        <v>237</v>
      </c>
      <c r="D10" s="3" t="s">
        <v>63</v>
      </c>
      <c r="E10" s="3" t="s">
        <v>64</v>
      </c>
      <c r="F10" s="3"/>
      <c r="G10" s="3" t="s">
        <v>15</v>
      </c>
      <c r="H10" s="3">
        <v>1</v>
      </c>
      <c r="I10" s="3" t="s">
        <v>17</v>
      </c>
      <c r="J10" s="3"/>
      <c r="K10" s="3"/>
      <c r="L10" s="3"/>
    </row>
    <row r="11" spans="1:12" x14ac:dyDescent="0.5">
      <c r="A11" s="3">
        <v>8</v>
      </c>
      <c r="B11" s="3" t="s">
        <v>238</v>
      </c>
      <c r="C11" s="3" t="s">
        <v>239</v>
      </c>
      <c r="D11" s="3" t="s">
        <v>43</v>
      </c>
      <c r="E11" s="5" t="s">
        <v>771</v>
      </c>
      <c r="F11" s="3"/>
      <c r="G11" s="3" t="s">
        <v>15</v>
      </c>
      <c r="H11" s="3">
        <v>1</v>
      </c>
      <c r="I11" s="3" t="s">
        <v>17</v>
      </c>
      <c r="J11" s="3">
        <v>0.02</v>
      </c>
      <c r="K11" s="3">
        <f>H11*J11</f>
        <v>0.02</v>
      </c>
      <c r="L11" s="5" t="s">
        <v>773</v>
      </c>
    </row>
    <row r="12" spans="1:12" x14ac:dyDescent="0.5">
      <c r="A12" s="3">
        <v>9</v>
      </c>
      <c r="B12" s="3" t="s">
        <v>240</v>
      </c>
      <c r="C12" s="3" t="s">
        <v>241</v>
      </c>
      <c r="D12" s="3" t="s">
        <v>39</v>
      </c>
      <c r="E12" s="3" t="s">
        <v>542</v>
      </c>
      <c r="F12" s="3"/>
      <c r="G12" s="3">
        <v>304</v>
      </c>
      <c r="H12" s="3">
        <v>1</v>
      </c>
      <c r="I12" s="3" t="s">
        <v>17</v>
      </c>
      <c r="J12" s="3"/>
      <c r="K12" s="3"/>
      <c r="L12" s="3"/>
    </row>
    <row r="13" spans="1:12" x14ac:dyDescent="0.5">
      <c r="A13" s="3">
        <v>10</v>
      </c>
      <c r="B13" s="3" t="s">
        <v>242</v>
      </c>
      <c r="C13" s="3" t="s">
        <v>243</v>
      </c>
      <c r="D13" s="3" t="s">
        <v>19</v>
      </c>
      <c r="E13" s="3" t="s">
        <v>709</v>
      </c>
      <c r="F13" s="3" t="s">
        <v>27</v>
      </c>
      <c r="G13" s="3">
        <v>304</v>
      </c>
      <c r="H13" s="3">
        <v>1</v>
      </c>
      <c r="I13" s="3" t="s">
        <v>17</v>
      </c>
      <c r="J13" s="3"/>
      <c r="K13" s="3"/>
      <c r="L13" s="3"/>
    </row>
    <row r="14" spans="1:12" x14ac:dyDescent="0.5">
      <c r="A14" s="3">
        <v>11</v>
      </c>
      <c r="B14" s="3" t="s">
        <v>244</v>
      </c>
      <c r="C14" s="3" t="s">
        <v>245</v>
      </c>
      <c r="D14" s="3" t="s">
        <v>22</v>
      </c>
      <c r="E14" s="3" t="s">
        <v>34</v>
      </c>
      <c r="F14" s="3" t="s">
        <v>27</v>
      </c>
      <c r="G14" s="3">
        <v>304</v>
      </c>
      <c r="H14" s="3">
        <v>1</v>
      </c>
      <c r="I14" s="3" t="s">
        <v>17</v>
      </c>
      <c r="J14" s="3">
        <v>2.2000000000000002</v>
      </c>
      <c r="K14" s="3">
        <f>H14*J14</f>
        <v>2.2000000000000002</v>
      </c>
      <c r="L14" s="3"/>
    </row>
    <row r="15" spans="1:12" x14ac:dyDescent="0.5">
      <c r="A15" s="3">
        <v>12</v>
      </c>
      <c r="B15" s="3" t="s">
        <v>246</v>
      </c>
      <c r="C15" s="3" t="s">
        <v>247</v>
      </c>
      <c r="D15" s="3" t="s">
        <v>25</v>
      </c>
      <c r="E15" s="3" t="s">
        <v>719</v>
      </c>
      <c r="F15" s="3"/>
      <c r="G15" s="3">
        <v>304</v>
      </c>
      <c r="H15" s="3">
        <v>1</v>
      </c>
      <c r="I15" s="3" t="s">
        <v>17</v>
      </c>
      <c r="J15" s="3">
        <v>15</v>
      </c>
      <c r="K15" s="3">
        <f>H15*J15</f>
        <v>15</v>
      </c>
      <c r="L15" s="3"/>
    </row>
    <row r="16" spans="1:12" x14ac:dyDescent="0.5">
      <c r="A16" s="3">
        <v>13</v>
      </c>
      <c r="B16" s="3" t="s">
        <v>248</v>
      </c>
      <c r="C16" s="3" t="s">
        <v>249</v>
      </c>
      <c r="D16" s="3" t="s">
        <v>77</v>
      </c>
      <c r="E16" s="3" t="s">
        <v>250</v>
      </c>
      <c r="F16" s="3"/>
      <c r="G16" s="3">
        <v>304</v>
      </c>
      <c r="H16" s="3">
        <v>1</v>
      </c>
      <c r="I16" s="3" t="s">
        <v>17</v>
      </c>
      <c r="J16" s="3"/>
      <c r="K16" s="3"/>
      <c r="L16" s="3"/>
    </row>
    <row r="17" spans="1:12" x14ac:dyDescent="0.5">
      <c r="A17" s="3">
        <v>14</v>
      </c>
      <c r="B17" s="3" t="s">
        <v>251</v>
      </c>
      <c r="C17" s="3" t="s">
        <v>252</v>
      </c>
      <c r="D17" s="3" t="s">
        <v>81</v>
      </c>
      <c r="E17" s="3" t="s">
        <v>543</v>
      </c>
      <c r="F17" s="3"/>
      <c r="G17" s="3" t="s">
        <v>44</v>
      </c>
      <c r="H17" s="3">
        <v>1</v>
      </c>
      <c r="I17" s="3" t="s">
        <v>17</v>
      </c>
      <c r="J17" s="3"/>
      <c r="K17" s="3"/>
      <c r="L17" s="3"/>
    </row>
    <row r="18" spans="1:12" x14ac:dyDescent="0.5">
      <c r="A18" s="3">
        <v>15</v>
      </c>
      <c r="B18" s="3" t="s">
        <v>253</v>
      </c>
      <c r="C18" s="3" t="s">
        <v>254</v>
      </c>
      <c r="D18" s="3" t="s">
        <v>19</v>
      </c>
      <c r="E18" s="3" t="s">
        <v>532</v>
      </c>
      <c r="F18" s="3" t="s">
        <v>84</v>
      </c>
      <c r="G18" s="3">
        <v>304</v>
      </c>
      <c r="H18" s="3">
        <v>1</v>
      </c>
      <c r="I18" s="3" t="s">
        <v>17</v>
      </c>
      <c r="J18" s="3"/>
      <c r="K18" s="3"/>
      <c r="L18" s="5" t="s">
        <v>775</v>
      </c>
    </row>
    <row r="19" spans="1:12" x14ac:dyDescent="0.5">
      <c r="A19" s="3">
        <v>16</v>
      </c>
      <c r="B19" s="3" t="s">
        <v>255</v>
      </c>
      <c r="C19" s="3" t="s">
        <v>256</v>
      </c>
      <c r="D19" s="3" t="s">
        <v>19</v>
      </c>
      <c r="E19" s="3" t="s">
        <v>58</v>
      </c>
      <c r="F19" s="3" t="s">
        <v>59</v>
      </c>
      <c r="G19" s="3" t="s">
        <v>60</v>
      </c>
      <c r="H19" s="3">
        <v>1</v>
      </c>
      <c r="I19" s="3" t="s">
        <v>17</v>
      </c>
      <c r="J19" s="3"/>
      <c r="K19" s="3"/>
      <c r="L19" s="3"/>
    </row>
    <row r="20" spans="1:12" x14ac:dyDescent="0.5">
      <c r="A20" s="3">
        <v>17</v>
      </c>
      <c r="B20" s="3" t="s">
        <v>257</v>
      </c>
      <c r="C20" s="3" t="s">
        <v>258</v>
      </c>
      <c r="D20" s="3" t="s">
        <v>63</v>
      </c>
      <c r="E20" s="3" t="s">
        <v>64</v>
      </c>
      <c r="F20" s="3"/>
      <c r="G20" s="3" t="s">
        <v>15</v>
      </c>
      <c r="H20" s="3">
        <v>1</v>
      </c>
      <c r="I20" s="3" t="s">
        <v>17</v>
      </c>
      <c r="J20" s="3"/>
      <c r="K20" s="3"/>
      <c r="L20" s="3"/>
    </row>
    <row r="21" spans="1:12" x14ac:dyDescent="0.5">
      <c r="A21" s="3">
        <v>18</v>
      </c>
      <c r="B21" s="3" t="s">
        <v>259</v>
      </c>
      <c r="C21" s="3" t="s">
        <v>260</v>
      </c>
      <c r="D21" s="3" t="s">
        <v>43</v>
      </c>
      <c r="E21" s="5" t="s">
        <v>771</v>
      </c>
      <c r="F21" s="3"/>
      <c r="G21" s="3" t="s">
        <v>15</v>
      </c>
      <c r="H21" s="3">
        <v>1</v>
      </c>
      <c r="I21" s="3" t="s">
        <v>17</v>
      </c>
      <c r="J21" s="3">
        <v>0.02</v>
      </c>
      <c r="K21" s="3">
        <f>H21*J21</f>
        <v>0.02</v>
      </c>
      <c r="L21" s="5" t="s">
        <v>773</v>
      </c>
    </row>
    <row r="22" spans="1:12" x14ac:dyDescent="0.5">
      <c r="A22" s="3">
        <v>19</v>
      </c>
      <c r="B22" s="3" t="s">
        <v>261</v>
      </c>
      <c r="C22" s="3" t="s">
        <v>262</v>
      </c>
      <c r="D22" s="3" t="s">
        <v>25</v>
      </c>
      <c r="E22" s="3" t="s">
        <v>569</v>
      </c>
      <c r="F22" s="3"/>
      <c r="G22" s="3">
        <v>304</v>
      </c>
      <c r="H22" s="3">
        <v>1</v>
      </c>
      <c r="I22" s="3" t="s">
        <v>17</v>
      </c>
      <c r="J22" s="3">
        <v>11</v>
      </c>
      <c r="K22" s="3">
        <f>H22*J22</f>
        <v>11</v>
      </c>
      <c r="L22" s="5" t="s">
        <v>777</v>
      </c>
    </row>
    <row r="23" spans="1:12" x14ac:dyDescent="0.5">
      <c r="A23" s="3">
        <v>20</v>
      </c>
      <c r="B23" s="3" t="s">
        <v>263</v>
      </c>
      <c r="C23" s="3" t="s">
        <v>264</v>
      </c>
      <c r="D23" s="3" t="s">
        <v>39</v>
      </c>
      <c r="E23" s="3" t="s">
        <v>542</v>
      </c>
      <c r="F23" s="3"/>
      <c r="G23" s="3">
        <v>304</v>
      </c>
      <c r="H23" s="3">
        <v>1</v>
      </c>
      <c r="I23" s="3" t="s">
        <v>17</v>
      </c>
      <c r="J23" s="3"/>
      <c r="K23" s="3"/>
      <c r="L23" s="3"/>
    </row>
    <row r="24" spans="1:12" x14ac:dyDescent="0.5">
      <c r="A24" s="3">
        <v>21</v>
      </c>
      <c r="B24" s="3" t="s">
        <v>265</v>
      </c>
      <c r="C24" s="3" t="s">
        <v>266</v>
      </c>
      <c r="D24" s="3" t="s">
        <v>19</v>
      </c>
      <c r="E24" s="3" t="s">
        <v>674</v>
      </c>
      <c r="F24" s="3" t="s">
        <v>27</v>
      </c>
      <c r="G24" s="3">
        <v>304</v>
      </c>
      <c r="H24" s="3">
        <v>8</v>
      </c>
      <c r="I24" s="3" t="s">
        <v>17</v>
      </c>
      <c r="J24" s="3"/>
      <c r="K24" s="3"/>
      <c r="L24" s="3"/>
    </row>
    <row r="25" spans="1:12" x14ac:dyDescent="0.5">
      <c r="A25" s="3">
        <v>22</v>
      </c>
      <c r="B25" s="3" t="s">
        <v>267</v>
      </c>
      <c r="C25" s="3" t="s">
        <v>268</v>
      </c>
      <c r="D25" s="3" t="s">
        <v>19</v>
      </c>
      <c r="E25" s="3" t="s">
        <v>545</v>
      </c>
      <c r="F25" s="3" t="s">
        <v>27</v>
      </c>
      <c r="G25" s="3">
        <v>304</v>
      </c>
      <c r="H25" s="3">
        <v>1</v>
      </c>
      <c r="I25" s="3" t="s">
        <v>17</v>
      </c>
      <c r="J25" s="3"/>
      <c r="K25" s="3"/>
      <c r="L25" s="3"/>
    </row>
    <row r="26" spans="1:12" x14ac:dyDescent="0.5">
      <c r="A26" s="3">
        <v>23</v>
      </c>
      <c r="B26" s="3" t="s">
        <v>269</v>
      </c>
      <c r="C26" s="3" t="s">
        <v>270</v>
      </c>
      <c r="D26" s="3" t="s">
        <v>25</v>
      </c>
      <c r="E26" s="3" t="s">
        <v>719</v>
      </c>
      <c r="F26" s="3"/>
      <c r="G26" s="3">
        <v>304</v>
      </c>
      <c r="H26" s="3">
        <v>1</v>
      </c>
      <c r="I26" s="3" t="s">
        <v>17</v>
      </c>
      <c r="J26" s="3">
        <v>15</v>
      </c>
      <c r="K26" s="3">
        <f>H26*J26</f>
        <v>15</v>
      </c>
      <c r="L26" s="3"/>
    </row>
    <row r="27" spans="1:12" x14ac:dyDescent="0.5">
      <c r="A27" s="3">
        <v>24</v>
      </c>
      <c r="B27" s="3" t="s">
        <v>271</v>
      </c>
      <c r="C27" s="3" t="s">
        <v>272</v>
      </c>
      <c r="D27" s="3" t="s">
        <v>81</v>
      </c>
      <c r="E27" s="3" t="s">
        <v>720</v>
      </c>
      <c r="F27" s="3"/>
      <c r="G27" s="3" t="s">
        <v>44</v>
      </c>
      <c r="H27" s="3">
        <v>1</v>
      </c>
      <c r="I27" s="3" t="s">
        <v>17</v>
      </c>
      <c r="J27" s="3"/>
      <c r="K27" s="3"/>
      <c r="L27" s="3"/>
    </row>
    <row r="28" spans="1:12" x14ac:dyDescent="0.5">
      <c r="A28" s="3">
        <v>25</v>
      </c>
      <c r="B28" s="3" t="s">
        <v>273</v>
      </c>
      <c r="C28" s="3" t="s">
        <v>274</v>
      </c>
      <c r="D28" s="3" t="s">
        <v>19</v>
      </c>
      <c r="E28" s="3" t="s">
        <v>531</v>
      </c>
      <c r="F28" s="3" t="s">
        <v>84</v>
      </c>
      <c r="G28" s="3">
        <v>304</v>
      </c>
      <c r="H28" s="3">
        <v>1</v>
      </c>
      <c r="I28" s="3" t="s">
        <v>17</v>
      </c>
      <c r="J28" s="3"/>
      <c r="K28" s="3"/>
      <c r="L28" s="5" t="s">
        <v>775</v>
      </c>
    </row>
    <row r="29" spans="1:12" x14ac:dyDescent="0.5">
      <c r="A29" s="3">
        <v>26</v>
      </c>
      <c r="B29" s="3" t="s">
        <v>275</v>
      </c>
      <c r="C29" s="3" t="s">
        <v>276</v>
      </c>
      <c r="D29" s="3" t="s">
        <v>25</v>
      </c>
      <c r="E29" s="3" t="s">
        <v>540</v>
      </c>
      <c r="F29" s="3"/>
      <c r="G29" s="3">
        <v>304</v>
      </c>
      <c r="H29" s="3">
        <v>1</v>
      </c>
      <c r="I29" s="3" t="s">
        <v>17</v>
      </c>
      <c r="J29" s="3">
        <v>4</v>
      </c>
      <c r="K29" s="3">
        <f>H29*J29</f>
        <v>4</v>
      </c>
      <c r="L29" s="5" t="s">
        <v>775</v>
      </c>
    </row>
    <row r="30" spans="1:12" x14ac:dyDescent="0.5">
      <c r="A30" s="3">
        <v>27</v>
      </c>
      <c r="B30" s="3" t="s">
        <v>277</v>
      </c>
      <c r="C30" s="3" t="s">
        <v>278</v>
      </c>
      <c r="D30" s="3" t="s">
        <v>19</v>
      </c>
      <c r="E30" s="3" t="s">
        <v>721</v>
      </c>
      <c r="F30" s="3" t="s">
        <v>84</v>
      </c>
      <c r="G30" s="3">
        <v>304</v>
      </c>
      <c r="H30" s="3">
        <v>1</v>
      </c>
      <c r="I30" s="3" t="s">
        <v>17</v>
      </c>
      <c r="J30" s="3"/>
      <c r="K30" s="3"/>
      <c r="L30" s="5" t="s">
        <v>775</v>
      </c>
    </row>
    <row r="31" spans="1:12" x14ac:dyDescent="0.5">
      <c r="A31" s="3">
        <v>28</v>
      </c>
      <c r="B31" s="3" t="s">
        <v>279</v>
      </c>
      <c r="C31" s="3" t="s">
        <v>280</v>
      </c>
      <c r="D31" s="3" t="s">
        <v>25</v>
      </c>
      <c r="E31" s="3" t="s">
        <v>544</v>
      </c>
      <c r="F31" s="3"/>
      <c r="G31" s="3">
        <v>304</v>
      </c>
      <c r="H31" s="3">
        <v>1</v>
      </c>
      <c r="I31" s="3" t="s">
        <v>17</v>
      </c>
      <c r="J31" s="3">
        <v>11</v>
      </c>
      <c r="K31" s="3">
        <f>H31*J31</f>
        <v>11</v>
      </c>
      <c r="L31" s="5" t="s">
        <v>775</v>
      </c>
    </row>
    <row r="32" spans="1:12" x14ac:dyDescent="0.5">
      <c r="A32" s="3">
        <v>29</v>
      </c>
      <c r="B32" s="3" t="s">
        <v>281</v>
      </c>
      <c r="C32" s="3" t="s">
        <v>282</v>
      </c>
      <c r="D32" s="3" t="s">
        <v>77</v>
      </c>
      <c r="E32" s="3" t="s">
        <v>250</v>
      </c>
      <c r="F32" s="3"/>
      <c r="G32" s="3">
        <v>304</v>
      </c>
      <c r="H32" s="3">
        <v>1</v>
      </c>
      <c r="I32" s="3" t="s">
        <v>17</v>
      </c>
      <c r="J32" s="3"/>
      <c r="K32" s="3"/>
      <c r="L32" s="3"/>
    </row>
    <row r="33" spans="1:12" x14ac:dyDescent="0.5">
      <c r="A33" s="3">
        <v>30</v>
      </c>
      <c r="B33" s="3" t="s">
        <v>283</v>
      </c>
      <c r="C33" s="3" t="s">
        <v>284</v>
      </c>
      <c r="D33" s="3" t="s">
        <v>77</v>
      </c>
      <c r="E33" s="3" t="s">
        <v>250</v>
      </c>
      <c r="F33" s="3"/>
      <c r="G33" s="3">
        <v>304</v>
      </c>
      <c r="H33" s="3">
        <v>1</v>
      </c>
      <c r="I33" s="3" t="s">
        <v>17</v>
      </c>
      <c r="J33" s="3"/>
      <c r="K33" s="3"/>
      <c r="L33" s="3"/>
    </row>
    <row r="34" spans="1:12" x14ac:dyDescent="0.5">
      <c r="A34" s="3">
        <v>31</v>
      </c>
      <c r="B34" s="3" t="s">
        <v>285</v>
      </c>
      <c r="C34" s="3" t="s">
        <v>286</v>
      </c>
      <c r="D34" s="3" t="s">
        <v>19</v>
      </c>
      <c r="E34" s="3" t="s">
        <v>546</v>
      </c>
      <c r="F34" s="3" t="s">
        <v>107</v>
      </c>
      <c r="G34" s="3">
        <v>304</v>
      </c>
      <c r="H34" s="3">
        <v>6</v>
      </c>
      <c r="I34" s="3" t="s">
        <v>17</v>
      </c>
      <c r="J34" s="3"/>
      <c r="K34" s="3"/>
      <c r="L34" s="3"/>
    </row>
    <row r="35" spans="1:12" x14ac:dyDescent="0.5">
      <c r="A35" s="3">
        <v>32</v>
      </c>
      <c r="B35" s="3" t="s">
        <v>287</v>
      </c>
      <c r="C35" s="3" t="s">
        <v>288</v>
      </c>
      <c r="D35" s="3" t="s">
        <v>22</v>
      </c>
      <c r="E35" s="3" t="s">
        <v>289</v>
      </c>
      <c r="F35" s="3" t="s">
        <v>107</v>
      </c>
      <c r="G35" s="3">
        <v>304</v>
      </c>
      <c r="H35" s="3">
        <v>6</v>
      </c>
      <c r="I35" s="3" t="s">
        <v>17</v>
      </c>
      <c r="J35" s="3">
        <v>2.2000000000000002</v>
      </c>
      <c r="K35" s="3">
        <f>H35*J35</f>
        <v>13.200000000000001</v>
      </c>
      <c r="L35" s="3"/>
    </row>
    <row r="36" spans="1:12" x14ac:dyDescent="0.5">
      <c r="A36" s="3">
        <v>33</v>
      </c>
      <c r="B36" s="3" t="s">
        <v>290</v>
      </c>
      <c r="C36" s="3" t="s">
        <v>291</v>
      </c>
      <c r="D36" s="3" t="s">
        <v>25</v>
      </c>
      <c r="E36" s="3" t="s">
        <v>718</v>
      </c>
      <c r="F36" s="3"/>
      <c r="G36" s="3">
        <v>304</v>
      </c>
      <c r="H36" s="3">
        <v>1</v>
      </c>
      <c r="I36" s="3" t="s">
        <v>17</v>
      </c>
      <c r="J36" s="3">
        <v>5.5</v>
      </c>
      <c r="K36" s="3">
        <f>H36*J36</f>
        <v>5.5</v>
      </c>
      <c r="L36" s="3"/>
    </row>
    <row r="37" spans="1:12" x14ac:dyDescent="0.5">
      <c r="A37" s="3">
        <v>34</v>
      </c>
      <c r="B37" s="3" t="s">
        <v>292</v>
      </c>
      <c r="C37" s="3" t="s">
        <v>293</v>
      </c>
      <c r="D37" s="3" t="s">
        <v>294</v>
      </c>
      <c r="E37" s="3" t="s">
        <v>167</v>
      </c>
      <c r="F37" s="3"/>
      <c r="G37" s="3">
        <v>304</v>
      </c>
      <c r="H37" s="3">
        <v>1</v>
      </c>
      <c r="I37" s="3" t="s">
        <v>17</v>
      </c>
      <c r="J37" s="3"/>
      <c r="K37" s="3"/>
      <c r="L37" s="3"/>
    </row>
    <row r="38" spans="1:12" x14ac:dyDescent="0.5">
      <c r="A38" s="3">
        <v>35</v>
      </c>
      <c r="B38" s="3" t="s">
        <v>295</v>
      </c>
      <c r="C38" s="3" t="s">
        <v>296</v>
      </c>
      <c r="D38" s="3" t="s">
        <v>25</v>
      </c>
      <c r="E38" s="3" t="s">
        <v>722</v>
      </c>
      <c r="F38" s="3"/>
      <c r="G38" s="3">
        <v>304</v>
      </c>
      <c r="H38" s="3">
        <v>1</v>
      </c>
      <c r="I38" s="3" t="s">
        <v>17</v>
      </c>
      <c r="J38" s="3">
        <v>4</v>
      </c>
      <c r="K38" s="3">
        <f>H38*J38</f>
        <v>4</v>
      </c>
      <c r="L38" s="3"/>
    </row>
    <row r="39" spans="1:12" x14ac:dyDescent="0.5">
      <c r="A39" s="3">
        <v>36</v>
      </c>
      <c r="B39" s="3" t="s">
        <v>297</v>
      </c>
      <c r="C39" s="3" t="s">
        <v>298</v>
      </c>
      <c r="D39" s="3" t="s">
        <v>19</v>
      </c>
      <c r="E39" s="3" t="s">
        <v>548</v>
      </c>
      <c r="F39" s="3" t="s">
        <v>681</v>
      </c>
      <c r="G39" s="3" t="s">
        <v>680</v>
      </c>
      <c r="H39" s="3">
        <v>1</v>
      </c>
      <c r="I39" s="3" t="s">
        <v>17</v>
      </c>
      <c r="J39" s="3"/>
      <c r="K39" s="3"/>
      <c r="L39" s="3" t="s">
        <v>522</v>
      </c>
    </row>
    <row r="40" spans="1:12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5">
      <c r="A41" s="2" t="s">
        <v>121</v>
      </c>
      <c r="B41" s="2" t="s">
        <v>122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5">
      <c r="A42" s="3">
        <v>1</v>
      </c>
      <c r="B42" s="3" t="s">
        <v>299</v>
      </c>
      <c r="C42" s="3" t="s">
        <v>300</v>
      </c>
      <c r="D42" s="3" t="s">
        <v>19</v>
      </c>
      <c r="E42" s="3" t="s">
        <v>529</v>
      </c>
      <c r="F42" s="3" t="s">
        <v>27</v>
      </c>
      <c r="G42" s="3">
        <v>304</v>
      </c>
      <c r="H42" s="3">
        <v>1</v>
      </c>
      <c r="I42" s="3" t="s">
        <v>17</v>
      </c>
      <c r="J42" s="3"/>
      <c r="K42" s="3"/>
      <c r="L42" s="3"/>
    </row>
    <row r="43" spans="1:12" x14ac:dyDescent="0.5">
      <c r="A43" s="3">
        <v>2</v>
      </c>
      <c r="B43" s="3" t="s">
        <v>301</v>
      </c>
      <c r="C43" s="3" t="s">
        <v>302</v>
      </c>
      <c r="D43" s="3" t="s">
        <v>22</v>
      </c>
      <c r="E43" s="3" t="s">
        <v>34</v>
      </c>
      <c r="F43" s="3" t="s">
        <v>27</v>
      </c>
      <c r="G43" s="3">
        <v>304</v>
      </c>
      <c r="H43" s="3">
        <v>1</v>
      </c>
      <c r="I43" s="3" t="s">
        <v>17</v>
      </c>
      <c r="J43" s="3">
        <v>2.2000000000000002</v>
      </c>
      <c r="K43" s="3">
        <f>H43*J43</f>
        <v>2.2000000000000002</v>
      </c>
      <c r="L43" s="3"/>
    </row>
    <row r="44" spans="1:12" x14ac:dyDescent="0.5">
      <c r="A44" s="3">
        <v>3</v>
      </c>
      <c r="B44" s="3" t="s">
        <v>303</v>
      </c>
      <c r="C44" s="3" t="s">
        <v>304</v>
      </c>
      <c r="D44" s="3" t="s">
        <v>25</v>
      </c>
      <c r="E44" s="3" t="s">
        <v>549</v>
      </c>
      <c r="F44" s="3"/>
      <c r="G44" s="3">
        <v>304</v>
      </c>
      <c r="H44" s="3">
        <v>1</v>
      </c>
      <c r="I44" s="3" t="s">
        <v>17</v>
      </c>
      <c r="J44" s="3">
        <v>7.5</v>
      </c>
      <c r="K44" s="3">
        <f>H44*J44</f>
        <v>7.5</v>
      </c>
      <c r="L44" s="3"/>
    </row>
    <row r="45" spans="1:12" x14ac:dyDescent="0.5">
      <c r="A45" s="3">
        <v>4</v>
      </c>
      <c r="B45" s="3" t="s">
        <v>305</v>
      </c>
      <c r="C45" s="3" t="s">
        <v>578</v>
      </c>
      <c r="D45" s="3" t="s">
        <v>571</v>
      </c>
      <c r="E45" s="3" t="s">
        <v>132</v>
      </c>
      <c r="F45" s="3"/>
      <c r="G45" s="3" t="s">
        <v>133</v>
      </c>
      <c r="H45" s="3">
        <v>4</v>
      </c>
      <c r="I45" s="3" t="s">
        <v>17</v>
      </c>
      <c r="J45" s="3">
        <f>5.5+2.2+0.75+1.1+0.75</f>
        <v>10.299999999999999</v>
      </c>
      <c r="K45" s="3">
        <f>H45*J45</f>
        <v>41.199999999999996</v>
      </c>
      <c r="L45" s="3" t="s">
        <v>53</v>
      </c>
    </row>
    <row r="46" spans="1:12" x14ac:dyDescent="0.5">
      <c r="A46" s="3">
        <v>5</v>
      </c>
      <c r="B46" s="3" t="s">
        <v>589</v>
      </c>
      <c r="C46" s="3" t="s">
        <v>598</v>
      </c>
      <c r="D46" s="3" t="s">
        <v>19</v>
      </c>
      <c r="E46" s="3" t="s">
        <v>529</v>
      </c>
      <c r="F46" s="3" t="s">
        <v>27</v>
      </c>
      <c r="G46" s="3">
        <v>304</v>
      </c>
      <c r="H46" s="3">
        <v>1</v>
      </c>
      <c r="I46" s="3" t="s">
        <v>17</v>
      </c>
      <c r="J46" s="3"/>
      <c r="K46" s="3"/>
      <c r="L46" s="3"/>
    </row>
    <row r="47" spans="1:12" x14ac:dyDescent="0.5">
      <c r="A47" s="3">
        <v>6</v>
      </c>
      <c r="B47" s="3" t="s">
        <v>576</v>
      </c>
      <c r="C47" s="3" t="s">
        <v>599</v>
      </c>
      <c r="D47" s="3" t="s">
        <v>22</v>
      </c>
      <c r="E47" s="3" t="s">
        <v>34</v>
      </c>
      <c r="F47" s="3" t="s">
        <v>27</v>
      </c>
      <c r="G47" s="3">
        <v>304</v>
      </c>
      <c r="H47" s="3">
        <v>1</v>
      </c>
      <c r="I47" s="3" t="s">
        <v>17</v>
      </c>
      <c r="J47" s="3">
        <v>2.2000000000000002</v>
      </c>
      <c r="K47" s="3">
        <f>H47*J47</f>
        <v>2.2000000000000002</v>
      </c>
      <c r="L47" s="3"/>
    </row>
    <row r="48" spans="1:12" x14ac:dyDescent="0.5">
      <c r="A48" s="3">
        <v>7</v>
      </c>
      <c r="B48" s="3" t="s">
        <v>577</v>
      </c>
      <c r="C48" s="3" t="s">
        <v>600</v>
      </c>
      <c r="D48" s="3" t="s">
        <v>25</v>
      </c>
      <c r="E48" s="3" t="s">
        <v>549</v>
      </c>
      <c r="F48" s="3"/>
      <c r="G48" s="3">
        <v>304</v>
      </c>
      <c r="H48" s="3">
        <v>1</v>
      </c>
      <c r="I48" s="3" t="s">
        <v>17</v>
      </c>
      <c r="J48" s="3">
        <v>7.5</v>
      </c>
      <c r="K48" s="3">
        <f>H48*J48</f>
        <v>7.5</v>
      </c>
      <c r="L48" s="3"/>
    </row>
    <row r="49" spans="1:12" x14ac:dyDescent="0.5">
      <c r="A49" s="3">
        <v>8</v>
      </c>
      <c r="B49" s="3" t="s">
        <v>306</v>
      </c>
      <c r="C49" s="3" t="s">
        <v>601</v>
      </c>
      <c r="D49" s="3" t="s">
        <v>19</v>
      </c>
      <c r="E49" s="3" t="s">
        <v>530</v>
      </c>
      <c r="F49" s="3" t="s">
        <v>27</v>
      </c>
      <c r="G49" s="3">
        <v>304</v>
      </c>
      <c r="H49" s="3">
        <v>1</v>
      </c>
      <c r="I49" s="3" t="s">
        <v>17</v>
      </c>
      <c r="J49" s="3"/>
      <c r="K49" s="3"/>
      <c r="L49" s="3"/>
    </row>
    <row r="50" spans="1:12" x14ac:dyDescent="0.5">
      <c r="A50" s="3">
        <v>9</v>
      </c>
      <c r="B50" s="3" t="s">
        <v>307</v>
      </c>
      <c r="C50" s="3" t="s">
        <v>602</v>
      </c>
      <c r="D50" s="3" t="s">
        <v>25</v>
      </c>
      <c r="E50" s="3" t="s">
        <v>547</v>
      </c>
      <c r="F50" s="3"/>
      <c r="G50" s="3">
        <v>304</v>
      </c>
      <c r="H50" s="3">
        <v>1</v>
      </c>
      <c r="I50" s="3" t="s">
        <v>17</v>
      </c>
      <c r="J50" s="3">
        <v>7.5</v>
      </c>
      <c r="K50" s="3">
        <f>H50*J50</f>
        <v>7.5</v>
      </c>
      <c r="L50" s="3"/>
    </row>
    <row r="51" spans="1:12" x14ac:dyDescent="0.5">
      <c r="A51" s="3">
        <v>10</v>
      </c>
      <c r="B51" s="3" t="s">
        <v>308</v>
      </c>
      <c r="C51" s="3" t="s">
        <v>603</v>
      </c>
      <c r="D51" s="3" t="s">
        <v>52</v>
      </c>
      <c r="E51" s="3" t="s">
        <v>550</v>
      </c>
      <c r="F51" s="3"/>
      <c r="G51" s="3">
        <v>304</v>
      </c>
      <c r="H51" s="3">
        <v>2</v>
      </c>
      <c r="I51" s="3" t="s">
        <v>17</v>
      </c>
      <c r="J51" s="3"/>
      <c r="K51" s="3"/>
      <c r="L51" s="3"/>
    </row>
    <row r="52" spans="1:12" x14ac:dyDescent="0.5">
      <c r="A52" s="3">
        <v>11</v>
      </c>
      <c r="B52" s="3" t="s">
        <v>570</v>
      </c>
      <c r="C52" s="3" t="s">
        <v>604</v>
      </c>
      <c r="D52" s="3" t="s">
        <v>25</v>
      </c>
      <c r="E52" s="3" t="s">
        <v>534</v>
      </c>
      <c r="F52" s="3"/>
      <c r="G52" s="3">
        <v>304</v>
      </c>
      <c r="H52" s="3">
        <v>1</v>
      </c>
      <c r="I52" s="3" t="s">
        <v>17</v>
      </c>
      <c r="J52" s="3">
        <f>15+15</f>
        <v>30</v>
      </c>
      <c r="K52" s="3">
        <f>H52*J52</f>
        <v>30</v>
      </c>
      <c r="L52" s="5" t="s">
        <v>780</v>
      </c>
    </row>
    <row r="53" spans="1:12" x14ac:dyDescent="0.5">
      <c r="A53" s="3">
        <v>12</v>
      </c>
      <c r="B53" s="3" t="s">
        <v>618</v>
      </c>
      <c r="C53" s="3" t="s">
        <v>605</v>
      </c>
      <c r="D53" s="3" t="s">
        <v>135</v>
      </c>
      <c r="E53" s="3" t="s">
        <v>136</v>
      </c>
      <c r="F53" s="3"/>
      <c r="G53" s="3">
        <v>304</v>
      </c>
      <c r="H53" s="3">
        <v>1</v>
      </c>
      <c r="I53" s="3" t="s">
        <v>17</v>
      </c>
      <c r="J53" s="3">
        <v>5.5</v>
      </c>
      <c r="K53" s="3">
        <f>H53*J53</f>
        <v>5.5</v>
      </c>
      <c r="L53" s="3"/>
    </row>
    <row r="54" spans="1:12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5">
      <c r="A55" s="2" t="s">
        <v>144</v>
      </c>
      <c r="B55" s="2" t="s">
        <v>145</v>
      </c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5">
      <c r="A56" s="3">
        <v>1</v>
      </c>
      <c r="B56" s="3" t="s">
        <v>309</v>
      </c>
      <c r="C56" s="3" t="s">
        <v>310</v>
      </c>
      <c r="D56" s="3" t="s">
        <v>148</v>
      </c>
      <c r="E56" s="3" t="s">
        <v>678</v>
      </c>
      <c r="F56" s="3" t="s">
        <v>27</v>
      </c>
      <c r="G56" s="3" t="s">
        <v>149</v>
      </c>
      <c r="H56" s="3">
        <v>4</v>
      </c>
      <c r="I56" s="3" t="s">
        <v>17</v>
      </c>
      <c r="J56" s="3"/>
      <c r="K56" s="3"/>
      <c r="L56" s="3"/>
    </row>
    <row r="57" spans="1:12" x14ac:dyDescent="0.5">
      <c r="A57" s="3">
        <v>2</v>
      </c>
      <c r="B57" s="3" t="s">
        <v>311</v>
      </c>
      <c r="C57" s="3" t="s">
        <v>312</v>
      </c>
      <c r="D57" s="3" t="s">
        <v>19</v>
      </c>
      <c r="E57" s="3" t="s">
        <v>529</v>
      </c>
      <c r="F57" s="3" t="s">
        <v>27</v>
      </c>
      <c r="G57" s="3" t="s">
        <v>44</v>
      </c>
      <c r="H57" s="3">
        <v>1</v>
      </c>
      <c r="I57" s="3" t="s">
        <v>17</v>
      </c>
      <c r="J57" s="3"/>
      <c r="K57" s="3"/>
      <c r="L57" s="3"/>
    </row>
    <row r="58" spans="1:12" x14ac:dyDescent="0.5">
      <c r="A58" s="3">
        <v>3</v>
      </c>
      <c r="B58" s="3" t="s">
        <v>621</v>
      </c>
      <c r="C58" s="3" t="s">
        <v>313</v>
      </c>
      <c r="D58" s="3" t="s">
        <v>25</v>
      </c>
      <c r="E58" s="3" t="s">
        <v>547</v>
      </c>
      <c r="F58" s="3"/>
      <c r="G58" s="3" t="s">
        <v>44</v>
      </c>
      <c r="H58" s="3">
        <v>1</v>
      </c>
      <c r="I58" s="3" t="s">
        <v>17</v>
      </c>
      <c r="J58" s="3">
        <v>7.5</v>
      </c>
      <c r="K58" s="3">
        <f>H58*J58</f>
        <v>7.5</v>
      </c>
      <c r="L58" s="3"/>
    </row>
    <row r="59" spans="1:12" x14ac:dyDescent="0.5">
      <c r="A59" s="3">
        <v>4</v>
      </c>
      <c r="B59" s="3" t="s">
        <v>622</v>
      </c>
      <c r="C59" s="3" t="s">
        <v>623</v>
      </c>
      <c r="D59" s="3" t="s">
        <v>624</v>
      </c>
      <c r="E59" s="3" t="s">
        <v>642</v>
      </c>
      <c r="F59" s="3"/>
      <c r="G59" s="3" t="s">
        <v>44</v>
      </c>
      <c r="H59" s="3">
        <v>2</v>
      </c>
      <c r="I59" s="3" t="s">
        <v>17</v>
      </c>
      <c r="J59" s="3"/>
      <c r="K59" s="3">
        <f>H59*J59</f>
        <v>0</v>
      </c>
      <c r="L59" s="3"/>
    </row>
    <row r="60" spans="1:12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5">
      <c r="A61" s="2" t="s">
        <v>157</v>
      </c>
      <c r="B61" s="2" t="s">
        <v>158</v>
      </c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5">
      <c r="A62" s="3">
        <v>1</v>
      </c>
      <c r="B62" s="3" t="s">
        <v>314</v>
      </c>
      <c r="C62" s="3" t="s">
        <v>315</v>
      </c>
      <c r="D62" s="3" t="s">
        <v>19</v>
      </c>
      <c r="E62" s="3" t="s">
        <v>529</v>
      </c>
      <c r="F62" s="3" t="s">
        <v>27</v>
      </c>
      <c r="G62" s="3">
        <v>304</v>
      </c>
      <c r="H62" s="3">
        <v>1</v>
      </c>
      <c r="I62" s="3" t="s">
        <v>17</v>
      </c>
      <c r="J62" s="3"/>
      <c r="K62" s="3"/>
      <c r="L62" s="3"/>
    </row>
    <row r="63" spans="1:12" x14ac:dyDescent="0.5">
      <c r="A63" s="3">
        <v>2</v>
      </c>
      <c r="B63" s="3" t="s">
        <v>316</v>
      </c>
      <c r="C63" s="3" t="s">
        <v>317</v>
      </c>
      <c r="D63" s="3" t="s">
        <v>25</v>
      </c>
      <c r="E63" s="3" t="s">
        <v>544</v>
      </c>
      <c r="F63" s="3"/>
      <c r="G63" s="3">
        <v>304</v>
      </c>
      <c r="H63" s="3">
        <v>1</v>
      </c>
      <c r="I63" s="3" t="s">
        <v>17</v>
      </c>
      <c r="J63" s="3">
        <v>11</v>
      </c>
      <c r="K63" s="3">
        <f>H63*J63</f>
        <v>11</v>
      </c>
      <c r="L63" s="3"/>
    </row>
    <row r="64" spans="1:12" x14ac:dyDescent="0.5">
      <c r="A64" s="3">
        <v>3</v>
      </c>
      <c r="B64" s="3" t="s">
        <v>318</v>
      </c>
      <c r="C64" s="3" t="s">
        <v>319</v>
      </c>
      <c r="D64" s="3" t="s">
        <v>52</v>
      </c>
      <c r="E64" s="3" t="s">
        <v>550</v>
      </c>
      <c r="F64" s="3"/>
      <c r="G64" s="3">
        <v>304</v>
      </c>
      <c r="H64" s="3">
        <v>2</v>
      </c>
      <c r="I64" s="3" t="s">
        <v>17</v>
      </c>
      <c r="J64" s="3"/>
      <c r="K64" s="3"/>
      <c r="L64" s="3"/>
    </row>
    <row r="65" spans="1:12" x14ac:dyDescent="0.5">
      <c r="A65" s="3">
        <v>4</v>
      </c>
      <c r="B65" s="3" t="s">
        <v>320</v>
      </c>
      <c r="C65" s="3" t="s">
        <v>321</v>
      </c>
      <c r="D65" s="3" t="s">
        <v>77</v>
      </c>
      <c r="E65" s="3" t="s">
        <v>513</v>
      </c>
      <c r="F65" s="3"/>
      <c r="G65" s="3">
        <v>304</v>
      </c>
      <c r="H65" s="3">
        <v>1</v>
      </c>
      <c r="I65" s="3" t="s">
        <v>17</v>
      </c>
      <c r="J65" s="3"/>
      <c r="K65" s="3"/>
      <c r="L65" s="3"/>
    </row>
    <row r="66" spans="1:12" x14ac:dyDescent="0.5">
      <c r="A66" s="3">
        <v>5</v>
      </c>
      <c r="B66" s="3" t="s">
        <v>322</v>
      </c>
      <c r="C66" s="3" t="s">
        <v>323</v>
      </c>
      <c r="D66" s="3" t="s">
        <v>77</v>
      </c>
      <c r="E66" s="3" t="s">
        <v>519</v>
      </c>
      <c r="F66" s="3"/>
      <c r="G66" s="3">
        <v>304</v>
      </c>
      <c r="H66" s="3">
        <v>1</v>
      </c>
      <c r="I66" s="3" t="s">
        <v>17</v>
      </c>
      <c r="J66" s="3"/>
      <c r="K66" s="3"/>
      <c r="L66" s="3"/>
    </row>
    <row r="67" spans="1:12" x14ac:dyDescent="0.5">
      <c r="A67" s="3">
        <v>6</v>
      </c>
      <c r="B67" s="3" t="s">
        <v>324</v>
      </c>
      <c r="C67" s="3" t="s">
        <v>325</v>
      </c>
      <c r="D67" s="3" t="s">
        <v>173</v>
      </c>
      <c r="E67" s="3" t="s">
        <v>551</v>
      </c>
      <c r="F67" s="3"/>
      <c r="G67" s="3" t="s">
        <v>149</v>
      </c>
      <c r="H67" s="3">
        <v>1</v>
      </c>
      <c r="I67" s="3" t="s">
        <v>16</v>
      </c>
      <c r="J67" s="3"/>
      <c r="K67" s="3"/>
      <c r="L67" s="3"/>
    </row>
    <row r="68" spans="1:12" x14ac:dyDescent="0.5">
      <c r="A68" s="3">
        <v>7</v>
      </c>
      <c r="B68" s="3" t="s">
        <v>326</v>
      </c>
      <c r="C68" s="3" t="s">
        <v>327</v>
      </c>
      <c r="D68" s="3" t="s">
        <v>19</v>
      </c>
      <c r="E68" s="3" t="s">
        <v>328</v>
      </c>
      <c r="F68" s="3"/>
      <c r="G68" s="3" t="s">
        <v>149</v>
      </c>
      <c r="H68" s="3">
        <v>2</v>
      </c>
      <c r="I68" s="3" t="s">
        <v>17</v>
      </c>
      <c r="J68" s="3"/>
      <c r="K68" s="3"/>
      <c r="L68" s="3" t="s">
        <v>177</v>
      </c>
    </row>
    <row r="69" spans="1:12" x14ac:dyDescent="0.5">
      <c r="A69" s="3">
        <v>8</v>
      </c>
      <c r="B69" s="3" t="s">
        <v>329</v>
      </c>
      <c r="C69" s="3" t="s">
        <v>506</v>
      </c>
      <c r="D69" s="3" t="s">
        <v>25</v>
      </c>
      <c r="E69" s="3" t="s">
        <v>535</v>
      </c>
      <c r="F69" s="3"/>
      <c r="G69" s="3">
        <v>304</v>
      </c>
      <c r="H69" s="3">
        <v>2</v>
      </c>
      <c r="I69" s="3" t="s">
        <v>17</v>
      </c>
      <c r="J69" s="3">
        <v>4</v>
      </c>
      <c r="K69" s="3">
        <f>J69*H69</f>
        <v>8</v>
      </c>
      <c r="L69" s="3" t="s">
        <v>177</v>
      </c>
    </row>
    <row r="70" spans="1:12" x14ac:dyDescent="0.5">
      <c r="A70" s="3">
        <v>9</v>
      </c>
      <c r="B70" s="3" t="s">
        <v>330</v>
      </c>
      <c r="C70" s="3" t="s">
        <v>331</v>
      </c>
      <c r="D70" s="3" t="s">
        <v>25</v>
      </c>
      <c r="E70" s="3" t="s">
        <v>552</v>
      </c>
      <c r="F70" s="3"/>
      <c r="G70" s="3">
        <v>304</v>
      </c>
      <c r="H70" s="3">
        <v>1</v>
      </c>
      <c r="I70" s="3" t="s">
        <v>17</v>
      </c>
      <c r="J70" s="3">
        <v>5.5</v>
      </c>
      <c r="K70" s="3">
        <f>H70*J70</f>
        <v>5.5</v>
      </c>
      <c r="L70" s="3" t="s">
        <v>177</v>
      </c>
    </row>
    <row r="71" spans="1:12" x14ac:dyDescent="0.5">
      <c r="A71" s="3">
        <v>10</v>
      </c>
      <c r="B71" s="3" t="s">
        <v>332</v>
      </c>
      <c r="C71" s="3" t="s">
        <v>333</v>
      </c>
      <c r="D71" s="3" t="s">
        <v>19</v>
      </c>
      <c r="E71" s="3" t="s">
        <v>529</v>
      </c>
      <c r="F71" s="3" t="s">
        <v>27</v>
      </c>
      <c r="G71" s="3">
        <v>304</v>
      </c>
      <c r="H71" s="3">
        <v>1</v>
      </c>
      <c r="I71" s="3" t="s">
        <v>17</v>
      </c>
      <c r="J71" s="3"/>
      <c r="K71" s="3"/>
      <c r="L71" s="3"/>
    </row>
    <row r="72" spans="1:12" x14ac:dyDescent="0.5">
      <c r="A72" s="3">
        <v>11</v>
      </c>
      <c r="B72" s="3" t="s">
        <v>334</v>
      </c>
      <c r="C72" s="3" t="s">
        <v>335</v>
      </c>
      <c r="D72" s="3" t="s">
        <v>25</v>
      </c>
      <c r="E72" s="3" t="s">
        <v>547</v>
      </c>
      <c r="F72" s="3"/>
      <c r="G72" s="3">
        <v>304</v>
      </c>
      <c r="H72" s="3">
        <v>1</v>
      </c>
      <c r="I72" s="3" t="s">
        <v>17</v>
      </c>
      <c r="J72" s="3">
        <v>7.5</v>
      </c>
      <c r="K72" s="3">
        <f>H72*J72</f>
        <v>7.5</v>
      </c>
      <c r="L72" s="3"/>
    </row>
    <row r="73" spans="1:12" x14ac:dyDescent="0.5">
      <c r="A73" s="3">
        <v>12</v>
      </c>
      <c r="B73" s="3" t="s">
        <v>336</v>
      </c>
      <c r="C73" s="3" t="s">
        <v>337</v>
      </c>
      <c r="D73" s="3" t="s">
        <v>52</v>
      </c>
      <c r="E73" s="3" t="s">
        <v>550</v>
      </c>
      <c r="F73" s="3"/>
      <c r="G73" s="3">
        <v>304</v>
      </c>
      <c r="H73" s="3">
        <v>2</v>
      </c>
      <c r="I73" s="3" t="s">
        <v>17</v>
      </c>
      <c r="J73" s="3"/>
      <c r="K73" s="3"/>
      <c r="L73" s="3"/>
    </row>
    <row r="74" spans="1:12" x14ac:dyDescent="0.5">
      <c r="A74" s="3">
        <v>13</v>
      </c>
      <c r="B74" s="3" t="s">
        <v>338</v>
      </c>
      <c r="C74" s="3" t="s">
        <v>339</v>
      </c>
      <c r="D74" s="3" t="s">
        <v>77</v>
      </c>
      <c r="E74" s="3" t="s">
        <v>514</v>
      </c>
      <c r="F74" s="3"/>
      <c r="G74" s="3">
        <v>304</v>
      </c>
      <c r="H74" s="3">
        <v>1</v>
      </c>
      <c r="I74" s="3" t="s">
        <v>17</v>
      </c>
      <c r="J74" s="3"/>
      <c r="K74" s="3"/>
      <c r="L74" s="3"/>
    </row>
    <row r="75" spans="1:12" x14ac:dyDescent="0.5">
      <c r="A75" s="3">
        <v>14</v>
      </c>
      <c r="B75" s="3" t="s">
        <v>340</v>
      </c>
      <c r="C75" s="3" t="s">
        <v>341</v>
      </c>
      <c r="D75" s="3" t="s">
        <v>77</v>
      </c>
      <c r="E75" s="3" t="s">
        <v>514</v>
      </c>
      <c r="F75" s="3"/>
      <c r="G75" s="3">
        <v>304</v>
      </c>
      <c r="H75" s="3">
        <v>1</v>
      </c>
      <c r="I75" s="3" t="s">
        <v>17</v>
      </c>
      <c r="J75" s="3"/>
      <c r="K75" s="3"/>
      <c r="L75" s="3"/>
    </row>
    <row r="76" spans="1:12" x14ac:dyDescent="0.5">
      <c r="A76" s="3">
        <v>15</v>
      </c>
      <c r="B76" s="3" t="s">
        <v>342</v>
      </c>
      <c r="C76" s="3" t="s">
        <v>343</v>
      </c>
      <c r="D76" s="3" t="s">
        <v>173</v>
      </c>
      <c r="E76" s="3" t="s">
        <v>553</v>
      </c>
      <c r="F76" s="3"/>
      <c r="G76" s="3" t="s">
        <v>149</v>
      </c>
      <c r="H76" s="3">
        <v>1</v>
      </c>
      <c r="I76" s="3" t="s">
        <v>16</v>
      </c>
      <c r="J76" s="3"/>
      <c r="K76" s="3"/>
      <c r="L76" s="3"/>
    </row>
    <row r="77" spans="1:12" x14ac:dyDescent="0.5">
      <c r="A77" s="3">
        <v>16</v>
      </c>
      <c r="B77" s="3" t="s">
        <v>344</v>
      </c>
      <c r="C77" s="3" t="s">
        <v>345</v>
      </c>
      <c r="D77" s="3" t="s">
        <v>19</v>
      </c>
      <c r="E77" s="3" t="s">
        <v>529</v>
      </c>
      <c r="F77" s="3" t="s">
        <v>27</v>
      </c>
      <c r="G77" s="3">
        <v>304</v>
      </c>
      <c r="H77" s="3">
        <v>1</v>
      </c>
      <c r="I77" s="3" t="s">
        <v>17</v>
      </c>
      <c r="J77" s="3"/>
      <c r="K77" s="3"/>
      <c r="L77" s="3"/>
    </row>
    <row r="78" spans="1:12" x14ac:dyDescent="0.5">
      <c r="A78" s="3">
        <v>17</v>
      </c>
      <c r="B78" s="3" t="s">
        <v>346</v>
      </c>
      <c r="C78" s="3" t="s">
        <v>347</v>
      </c>
      <c r="D78" s="3" t="s">
        <v>25</v>
      </c>
      <c r="E78" s="3" t="s">
        <v>547</v>
      </c>
      <c r="F78" s="3"/>
      <c r="G78" s="3">
        <v>304</v>
      </c>
      <c r="H78" s="3">
        <v>1</v>
      </c>
      <c r="I78" s="3" t="s">
        <v>17</v>
      </c>
      <c r="J78" s="3">
        <v>7.5</v>
      </c>
      <c r="K78" s="3">
        <f>H78*J78</f>
        <v>7.5</v>
      </c>
      <c r="L78" s="3"/>
    </row>
    <row r="79" spans="1:12" x14ac:dyDescent="0.5">
      <c r="A79" s="3">
        <v>18</v>
      </c>
      <c r="B79" s="3" t="s">
        <v>751</v>
      </c>
      <c r="C79" s="3" t="s">
        <v>758</v>
      </c>
      <c r="D79" s="3" t="s">
        <v>752</v>
      </c>
      <c r="E79" s="3" t="s">
        <v>550</v>
      </c>
      <c r="F79" s="3"/>
      <c r="G79" s="3">
        <v>304</v>
      </c>
      <c r="H79" s="3">
        <v>2</v>
      </c>
      <c r="I79" s="3" t="s">
        <v>753</v>
      </c>
      <c r="J79" s="3"/>
      <c r="K79" s="3"/>
      <c r="L79" s="5" t="s">
        <v>754</v>
      </c>
    </row>
    <row r="80" spans="1:12" x14ac:dyDescent="0.5">
      <c r="A80" s="3">
        <v>19</v>
      </c>
      <c r="B80" s="3" t="s">
        <v>348</v>
      </c>
      <c r="C80" s="3" t="s">
        <v>349</v>
      </c>
      <c r="D80" s="3" t="s">
        <v>173</v>
      </c>
      <c r="E80" s="3" t="s">
        <v>553</v>
      </c>
      <c r="F80" s="3"/>
      <c r="G80" s="3" t="s">
        <v>149</v>
      </c>
      <c r="H80" s="3">
        <v>1</v>
      </c>
      <c r="I80" s="3" t="s">
        <v>16</v>
      </c>
      <c r="J80" s="3"/>
      <c r="K80" s="3"/>
      <c r="L80" s="3"/>
    </row>
    <row r="81" spans="1:12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x14ac:dyDescent="0.5">
      <c r="A82" s="2" t="s">
        <v>194</v>
      </c>
      <c r="B82" s="2" t="s">
        <v>195</v>
      </c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5">
      <c r="A83" s="3">
        <v>1</v>
      </c>
      <c r="B83" s="3" t="s">
        <v>350</v>
      </c>
      <c r="C83" s="3" t="s">
        <v>351</v>
      </c>
      <c r="D83" s="3" t="s">
        <v>19</v>
      </c>
      <c r="E83" s="3" t="s">
        <v>529</v>
      </c>
      <c r="F83" s="3" t="s">
        <v>27</v>
      </c>
      <c r="G83" s="3">
        <v>304</v>
      </c>
      <c r="H83" s="3">
        <v>1</v>
      </c>
      <c r="I83" s="3" t="s">
        <v>17</v>
      </c>
      <c r="J83" s="3"/>
      <c r="K83" s="3"/>
      <c r="L83" s="3"/>
    </row>
    <row r="84" spans="1:12" x14ac:dyDescent="0.5">
      <c r="A84" s="3">
        <v>2</v>
      </c>
      <c r="B84" s="3" t="s">
        <v>352</v>
      </c>
      <c r="C84" s="3" t="s">
        <v>353</v>
      </c>
      <c r="D84" s="3" t="s">
        <v>25</v>
      </c>
      <c r="E84" s="3" t="s">
        <v>547</v>
      </c>
      <c r="F84" s="3"/>
      <c r="G84" s="3">
        <v>304</v>
      </c>
      <c r="H84" s="3">
        <v>1</v>
      </c>
      <c r="I84" s="3" t="s">
        <v>17</v>
      </c>
      <c r="J84" s="3">
        <v>7.5</v>
      </c>
      <c r="K84" s="3">
        <f>H84*J84</f>
        <v>7.5</v>
      </c>
      <c r="L84" s="3"/>
    </row>
    <row r="85" spans="1:12" x14ac:dyDescent="0.5">
      <c r="A85" s="3">
        <v>3</v>
      </c>
      <c r="B85" s="3" t="s">
        <v>671</v>
      </c>
      <c r="C85" s="3" t="s">
        <v>354</v>
      </c>
      <c r="D85" s="3" t="s">
        <v>52</v>
      </c>
      <c r="E85" s="3" t="s">
        <v>554</v>
      </c>
      <c r="F85" s="3"/>
      <c r="G85" s="3">
        <v>304</v>
      </c>
      <c r="H85" s="3">
        <v>2</v>
      </c>
      <c r="I85" s="3" t="s">
        <v>17</v>
      </c>
      <c r="J85" s="3"/>
      <c r="K85" s="3"/>
      <c r="L85" s="3"/>
    </row>
    <row r="86" spans="1:12" x14ac:dyDescent="0.5">
      <c r="A86" s="3">
        <v>4</v>
      </c>
      <c r="B86" s="3" t="s">
        <v>355</v>
      </c>
      <c r="C86" s="3" t="s">
        <v>356</v>
      </c>
      <c r="D86" s="3" t="s">
        <v>195</v>
      </c>
      <c r="E86" s="5" t="s">
        <v>782</v>
      </c>
      <c r="F86" s="3"/>
      <c r="G86" s="3" t="s">
        <v>203</v>
      </c>
      <c r="H86" s="3">
        <v>1</v>
      </c>
      <c r="I86" s="3" t="s">
        <v>16</v>
      </c>
      <c r="J86" s="3">
        <v>59.2</v>
      </c>
      <c r="K86" s="3">
        <f>H86*J86</f>
        <v>59.2</v>
      </c>
      <c r="L86" s="3"/>
    </row>
    <row r="87" spans="1:12" x14ac:dyDescent="0.5">
      <c r="A87" s="3">
        <v>5</v>
      </c>
      <c r="B87" s="3" t="s">
        <v>694</v>
      </c>
      <c r="C87" s="3" t="s">
        <v>692</v>
      </c>
      <c r="D87" s="3" t="s">
        <v>77</v>
      </c>
      <c r="E87" s="3" t="s">
        <v>699</v>
      </c>
      <c r="F87" s="3"/>
      <c r="G87" s="3" t="s">
        <v>655</v>
      </c>
      <c r="H87" s="3">
        <v>1</v>
      </c>
      <c r="I87" s="3" t="s">
        <v>17</v>
      </c>
      <c r="J87" s="3"/>
      <c r="K87" s="3"/>
      <c r="L87" s="3"/>
    </row>
    <row r="88" spans="1:12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x14ac:dyDescent="0.5">
      <c r="A89" s="2" t="s">
        <v>204</v>
      </c>
      <c r="B89" s="2" t="s">
        <v>205</v>
      </c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x14ac:dyDescent="0.5">
      <c r="A90" s="3">
        <v>1</v>
      </c>
      <c r="B90" s="3" t="s">
        <v>520</v>
      </c>
      <c r="C90" s="3" t="s">
        <v>357</v>
      </c>
      <c r="D90" s="3" t="s">
        <v>19</v>
      </c>
      <c r="E90" s="3" t="s">
        <v>555</v>
      </c>
      <c r="F90" s="3" t="s">
        <v>27</v>
      </c>
      <c r="G90" s="3" t="s">
        <v>208</v>
      </c>
      <c r="H90" s="3">
        <v>3</v>
      </c>
      <c r="I90" s="3" t="s">
        <v>17</v>
      </c>
      <c r="J90" s="3"/>
      <c r="K90" s="3"/>
      <c r="L90" s="3"/>
    </row>
    <row r="91" spans="1:12" x14ac:dyDescent="0.5">
      <c r="A91" s="3">
        <v>2</v>
      </c>
      <c r="B91" s="3" t="s">
        <v>521</v>
      </c>
      <c r="C91" s="3" t="s">
        <v>358</v>
      </c>
      <c r="D91" s="3" t="s">
        <v>22</v>
      </c>
      <c r="E91" s="3" t="s">
        <v>359</v>
      </c>
      <c r="F91" s="3" t="s">
        <v>27</v>
      </c>
      <c r="G91" s="3" t="s">
        <v>208</v>
      </c>
      <c r="H91" s="3">
        <v>3</v>
      </c>
      <c r="I91" s="3" t="s">
        <v>17</v>
      </c>
      <c r="J91" s="3">
        <v>5.5</v>
      </c>
      <c r="K91" s="3">
        <f>H91*J91</f>
        <v>16.5</v>
      </c>
      <c r="L91" s="3"/>
    </row>
    <row r="92" spans="1:12" x14ac:dyDescent="0.5">
      <c r="A92" s="3">
        <v>3</v>
      </c>
      <c r="B92" s="3" t="s">
        <v>697</v>
      </c>
      <c r="C92" s="3" t="s">
        <v>505</v>
      </c>
      <c r="D92" s="3" t="s">
        <v>25</v>
      </c>
      <c r="E92" s="3" t="s">
        <v>556</v>
      </c>
      <c r="F92" s="3"/>
      <c r="G92" s="3" t="s">
        <v>208</v>
      </c>
      <c r="H92" s="3">
        <v>2</v>
      </c>
      <c r="I92" s="3" t="s">
        <v>17</v>
      </c>
      <c r="J92" s="3">
        <v>18.5</v>
      </c>
      <c r="K92" s="3">
        <f t="shared" ref="K92" si="0">H92*J92</f>
        <v>37</v>
      </c>
      <c r="L92" s="3" t="s">
        <v>211</v>
      </c>
    </row>
    <row r="93" spans="1:12" x14ac:dyDescent="0.5">
      <c r="A93" s="3">
        <v>4</v>
      </c>
      <c r="B93" s="3" t="s">
        <v>360</v>
      </c>
      <c r="C93" s="3" t="s">
        <v>608</v>
      </c>
      <c r="D93" s="3" t="s">
        <v>19</v>
      </c>
      <c r="E93" s="3" t="s">
        <v>679</v>
      </c>
      <c r="F93" s="3" t="s">
        <v>153</v>
      </c>
      <c r="G93" s="3" t="s">
        <v>208</v>
      </c>
      <c r="H93" s="3">
        <v>10</v>
      </c>
      <c r="I93" s="3" t="s">
        <v>17</v>
      </c>
      <c r="J93" s="3"/>
      <c r="K93" s="3"/>
      <c r="L93" s="3"/>
    </row>
    <row r="94" spans="1:12" x14ac:dyDescent="0.5">
      <c r="A94" s="3">
        <v>5</v>
      </c>
      <c r="B94" s="3" t="s">
        <v>361</v>
      </c>
      <c r="C94" s="3" t="s">
        <v>609</v>
      </c>
      <c r="D94" s="3" t="s">
        <v>25</v>
      </c>
      <c r="E94" s="3" t="s">
        <v>537</v>
      </c>
      <c r="F94" s="3"/>
      <c r="G94" s="3" t="s">
        <v>208</v>
      </c>
      <c r="H94" s="3">
        <v>5</v>
      </c>
      <c r="I94" s="3" t="s">
        <v>17</v>
      </c>
      <c r="J94" s="3">
        <v>18.5</v>
      </c>
      <c r="K94" s="3">
        <f>H94*J94</f>
        <v>92.5</v>
      </c>
      <c r="L94" s="3" t="s">
        <v>211</v>
      </c>
    </row>
    <row r="95" spans="1:12" x14ac:dyDescent="0.5">
      <c r="A95" s="3">
        <v>6</v>
      </c>
      <c r="B95" s="3" t="s">
        <v>362</v>
      </c>
      <c r="C95" s="3" t="s">
        <v>610</v>
      </c>
      <c r="D95" s="3" t="s">
        <v>77</v>
      </c>
      <c r="E95" s="3" t="s">
        <v>132</v>
      </c>
      <c r="F95" s="3"/>
      <c r="G95" s="3" t="s">
        <v>208</v>
      </c>
      <c r="H95" s="3">
        <v>5</v>
      </c>
      <c r="I95" s="3" t="s">
        <v>17</v>
      </c>
      <c r="J95" s="3"/>
      <c r="K95" s="3"/>
      <c r="L95" s="3"/>
    </row>
    <row r="96" spans="1:12" x14ac:dyDescent="0.5">
      <c r="A96" s="3">
        <v>7</v>
      </c>
      <c r="B96" s="3" t="s">
        <v>363</v>
      </c>
      <c r="C96" s="3" t="s">
        <v>702</v>
      </c>
      <c r="D96" s="3" t="s">
        <v>52</v>
      </c>
      <c r="E96" s="3" t="s">
        <v>717</v>
      </c>
      <c r="F96" s="3"/>
      <c r="G96" s="3" t="s">
        <v>208</v>
      </c>
      <c r="H96" s="3">
        <v>5</v>
      </c>
      <c r="I96" s="3" t="s">
        <v>17</v>
      </c>
      <c r="J96" s="3"/>
      <c r="K96" s="3"/>
      <c r="L96" s="3"/>
    </row>
    <row r="97" spans="1:12" x14ac:dyDescent="0.5">
      <c r="A97" s="3">
        <v>8</v>
      </c>
      <c r="B97" s="3" t="s">
        <v>503</v>
      </c>
      <c r="C97" s="3" t="s">
        <v>611</v>
      </c>
      <c r="D97" s="3" t="s">
        <v>500</v>
      </c>
      <c r="E97" s="3" t="s">
        <v>501</v>
      </c>
      <c r="F97" s="3"/>
      <c r="G97" s="3" t="s">
        <v>502</v>
      </c>
      <c r="H97" s="3">
        <v>1</v>
      </c>
      <c r="I97" s="3" t="s">
        <v>17</v>
      </c>
      <c r="J97" s="3"/>
      <c r="K97" s="3"/>
      <c r="L97" s="3"/>
    </row>
    <row r="98" spans="1:12" x14ac:dyDescent="0.5">
      <c r="K98" s="1">
        <f>SUM(K3:K96)</f>
        <v>448.61</v>
      </c>
    </row>
  </sheetData>
  <mergeCells count="1">
    <mergeCell ref="A1:L1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workbookViewId="0">
      <pane ySplit="2" topLeftCell="A3" activePane="bottomLeft" state="frozen"/>
      <selection pane="bottomLeft" activeCell="E88" sqref="E88"/>
    </sheetView>
  </sheetViews>
  <sheetFormatPr defaultColWidth="12.34765625" defaultRowHeight="12.9" x14ac:dyDescent="0.5"/>
  <cols>
    <col min="1" max="1" width="8" style="1" customWidth="1"/>
    <col min="2" max="2" width="20.8984375" style="1" customWidth="1"/>
    <col min="3" max="3" width="10.796875" style="1" customWidth="1"/>
    <col min="4" max="4" width="7.6484375" style="1" customWidth="1"/>
    <col min="5" max="5" width="24.44921875" style="1" customWidth="1"/>
    <col min="6" max="6" width="14.09765625" style="1" customWidth="1"/>
    <col min="7" max="7" width="9.6484375" style="1" customWidth="1"/>
    <col min="8" max="9" width="5.8984375" style="1" customWidth="1"/>
    <col min="10" max="11" width="10.09765625" style="1" customWidth="1"/>
    <col min="12" max="12" width="18.25" style="1" bestFit="1" customWidth="1"/>
    <col min="13" max="16384" width="12.34765625" style="1"/>
  </cols>
  <sheetData>
    <row r="1" spans="1:12" ht="18.3" x14ac:dyDescent="0.5">
      <c r="A1" s="7" t="s">
        <v>364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5">
      <c r="A3" s="2" t="s">
        <v>30</v>
      </c>
      <c r="B3" s="2" t="s">
        <v>31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5">
      <c r="A4" s="3">
        <v>1</v>
      </c>
      <c r="B4" s="3" t="s">
        <v>365</v>
      </c>
      <c r="C4" s="3" t="s">
        <v>366</v>
      </c>
      <c r="D4" s="3" t="s">
        <v>25</v>
      </c>
      <c r="E4" s="3" t="s">
        <v>540</v>
      </c>
      <c r="F4" s="3"/>
      <c r="G4" s="3">
        <v>304</v>
      </c>
      <c r="H4" s="3">
        <v>1</v>
      </c>
      <c r="I4" s="3" t="s">
        <v>17</v>
      </c>
      <c r="J4" s="3">
        <v>4</v>
      </c>
      <c r="K4" s="3">
        <f>H4*J4</f>
        <v>4</v>
      </c>
      <c r="L4" s="3"/>
    </row>
    <row r="5" spans="1:12" x14ac:dyDescent="0.5">
      <c r="A5" s="3">
        <v>2</v>
      </c>
      <c r="B5" s="3" t="s">
        <v>367</v>
      </c>
      <c r="C5" s="3" t="s">
        <v>368</v>
      </c>
      <c r="D5" s="3" t="s">
        <v>39</v>
      </c>
      <c r="E5" s="3" t="s">
        <v>227</v>
      </c>
      <c r="F5" s="3"/>
      <c r="G5" s="3">
        <v>304</v>
      </c>
      <c r="H5" s="3">
        <v>1</v>
      </c>
      <c r="I5" s="3" t="s">
        <v>17</v>
      </c>
      <c r="J5" s="3"/>
      <c r="K5" s="3"/>
      <c r="L5" s="3"/>
    </row>
    <row r="6" spans="1:12" x14ac:dyDescent="0.5">
      <c r="A6" s="3">
        <v>3</v>
      </c>
      <c r="B6" s="3" t="s">
        <v>369</v>
      </c>
      <c r="C6" s="3" t="s">
        <v>370</v>
      </c>
      <c r="D6" s="3" t="s">
        <v>43</v>
      </c>
      <c r="E6" s="3" t="s">
        <v>706</v>
      </c>
      <c r="F6" s="3"/>
      <c r="G6" s="3" t="s">
        <v>44</v>
      </c>
      <c r="H6" s="3">
        <v>1</v>
      </c>
      <c r="I6" s="3" t="s">
        <v>17</v>
      </c>
      <c r="J6" s="3">
        <v>0.37</v>
      </c>
      <c r="K6" s="3">
        <f>H6*J6</f>
        <v>0.37</v>
      </c>
      <c r="L6" s="3"/>
    </row>
    <row r="7" spans="1:12" x14ac:dyDescent="0.5">
      <c r="A7" s="3">
        <v>4</v>
      </c>
      <c r="B7" s="3" t="s">
        <v>371</v>
      </c>
      <c r="C7" s="3" t="s">
        <v>372</v>
      </c>
      <c r="D7" s="3" t="s">
        <v>52</v>
      </c>
      <c r="E7" s="3" t="s">
        <v>541</v>
      </c>
      <c r="F7" s="3"/>
      <c r="G7" s="3">
        <v>304</v>
      </c>
      <c r="H7" s="3">
        <v>2</v>
      </c>
      <c r="I7" s="3" t="s">
        <v>17</v>
      </c>
      <c r="J7" s="3"/>
      <c r="K7" s="3"/>
      <c r="L7" s="3" t="s">
        <v>53</v>
      </c>
    </row>
    <row r="8" spans="1:12" x14ac:dyDescent="0.5">
      <c r="A8" s="3">
        <v>5</v>
      </c>
      <c r="B8" s="3" t="s">
        <v>373</v>
      </c>
      <c r="C8" s="3" t="s">
        <v>374</v>
      </c>
      <c r="D8" s="3" t="s">
        <v>39</v>
      </c>
      <c r="E8" s="3" t="s">
        <v>542</v>
      </c>
      <c r="F8" s="3"/>
      <c r="G8" s="3">
        <v>304</v>
      </c>
      <c r="H8" s="3">
        <v>1</v>
      </c>
      <c r="I8" s="3" t="s">
        <v>17</v>
      </c>
      <c r="J8" s="3"/>
      <c r="K8" s="3"/>
      <c r="L8" s="3"/>
    </row>
    <row r="9" spans="1:12" x14ac:dyDescent="0.5">
      <c r="A9" s="3">
        <v>6</v>
      </c>
      <c r="B9" s="3" t="s">
        <v>375</v>
      </c>
      <c r="C9" s="3" t="s">
        <v>376</v>
      </c>
      <c r="D9" s="3" t="s">
        <v>19</v>
      </c>
      <c r="E9" s="3" t="s">
        <v>58</v>
      </c>
      <c r="F9" s="3" t="s">
        <v>59</v>
      </c>
      <c r="G9" s="3" t="s">
        <v>60</v>
      </c>
      <c r="H9" s="3">
        <v>1</v>
      </c>
      <c r="I9" s="3" t="s">
        <v>17</v>
      </c>
      <c r="J9" s="3"/>
      <c r="K9" s="3"/>
      <c r="L9" s="3"/>
    </row>
    <row r="10" spans="1:12" x14ac:dyDescent="0.5">
      <c r="A10" s="3">
        <v>7</v>
      </c>
      <c r="B10" s="3" t="s">
        <v>377</v>
      </c>
      <c r="C10" s="3" t="s">
        <v>378</v>
      </c>
      <c r="D10" s="3" t="s">
        <v>379</v>
      </c>
      <c r="E10" s="3" t="s">
        <v>64</v>
      </c>
      <c r="F10" s="3"/>
      <c r="G10" s="3" t="s">
        <v>15</v>
      </c>
      <c r="H10" s="3">
        <v>1</v>
      </c>
      <c r="I10" s="3" t="s">
        <v>17</v>
      </c>
      <c r="J10" s="3"/>
      <c r="K10" s="3"/>
      <c r="L10" s="3"/>
    </row>
    <row r="11" spans="1:12" x14ac:dyDescent="0.5">
      <c r="A11" s="3">
        <v>8</v>
      </c>
      <c r="B11" s="3" t="s">
        <v>380</v>
      </c>
      <c r="C11" s="3" t="s">
        <v>381</v>
      </c>
      <c r="D11" s="3" t="s">
        <v>43</v>
      </c>
      <c r="E11" s="5" t="s">
        <v>771</v>
      </c>
      <c r="F11" s="3"/>
      <c r="G11" s="3" t="s">
        <v>15</v>
      </c>
      <c r="H11" s="3">
        <v>1</v>
      </c>
      <c r="I11" s="3" t="s">
        <v>17</v>
      </c>
      <c r="J11" s="3">
        <v>0.02</v>
      </c>
      <c r="K11" s="3">
        <f>H11*J11</f>
        <v>0.02</v>
      </c>
      <c r="L11" s="5" t="s">
        <v>773</v>
      </c>
    </row>
    <row r="12" spans="1:12" x14ac:dyDescent="0.5">
      <c r="A12" s="3">
        <v>9</v>
      </c>
      <c r="B12" s="3" t="s">
        <v>382</v>
      </c>
      <c r="C12" s="3" t="s">
        <v>383</v>
      </c>
      <c r="D12" s="3" t="s">
        <v>39</v>
      </c>
      <c r="E12" s="3" t="s">
        <v>542</v>
      </c>
      <c r="F12" s="3"/>
      <c r="G12" s="3">
        <v>304</v>
      </c>
      <c r="H12" s="3">
        <v>1</v>
      </c>
      <c r="I12" s="3" t="s">
        <v>17</v>
      </c>
      <c r="J12" s="3"/>
      <c r="K12" s="3"/>
      <c r="L12" s="3"/>
    </row>
    <row r="13" spans="1:12" x14ac:dyDescent="0.5">
      <c r="A13" s="3">
        <v>10</v>
      </c>
      <c r="B13" s="3" t="s">
        <v>384</v>
      </c>
      <c r="C13" s="3" t="s">
        <v>385</v>
      </c>
      <c r="D13" s="3" t="s">
        <v>19</v>
      </c>
      <c r="E13" s="3" t="s">
        <v>723</v>
      </c>
      <c r="F13" s="3" t="s">
        <v>27</v>
      </c>
      <c r="G13" s="3">
        <v>304</v>
      </c>
      <c r="H13" s="3">
        <v>1</v>
      </c>
      <c r="I13" s="3" t="s">
        <v>17</v>
      </c>
      <c r="J13" s="3"/>
      <c r="K13" s="3"/>
      <c r="L13" s="3"/>
    </row>
    <row r="14" spans="1:12" x14ac:dyDescent="0.5">
      <c r="A14" s="3">
        <v>11</v>
      </c>
      <c r="B14" s="3" t="s">
        <v>386</v>
      </c>
      <c r="C14" s="3" t="s">
        <v>387</v>
      </c>
      <c r="D14" s="3" t="s">
        <v>22</v>
      </c>
      <c r="E14" s="3" t="s">
        <v>34</v>
      </c>
      <c r="F14" s="3" t="s">
        <v>27</v>
      </c>
      <c r="G14" s="3">
        <v>304</v>
      </c>
      <c r="H14" s="3">
        <v>1</v>
      </c>
      <c r="I14" s="3" t="s">
        <v>17</v>
      </c>
      <c r="J14" s="3">
        <v>2.2000000000000002</v>
      </c>
      <c r="K14" s="3">
        <f>H14*J14</f>
        <v>2.2000000000000002</v>
      </c>
      <c r="L14" s="3"/>
    </row>
    <row r="15" spans="1:12" x14ac:dyDescent="0.5">
      <c r="A15" s="3">
        <v>12</v>
      </c>
      <c r="B15" s="3" t="s">
        <v>388</v>
      </c>
      <c r="C15" s="3" t="s">
        <v>389</v>
      </c>
      <c r="D15" s="3" t="s">
        <v>25</v>
      </c>
      <c r="E15" s="3" t="s">
        <v>719</v>
      </c>
      <c r="F15" s="3"/>
      <c r="G15" s="3">
        <v>304</v>
      </c>
      <c r="H15" s="3">
        <v>1</v>
      </c>
      <c r="I15" s="3" t="s">
        <v>17</v>
      </c>
      <c r="J15" s="3">
        <v>15</v>
      </c>
      <c r="K15" s="3">
        <f>H15*J15</f>
        <v>15</v>
      </c>
      <c r="L15" s="3"/>
    </row>
    <row r="16" spans="1:12" x14ac:dyDescent="0.5">
      <c r="A16" s="3">
        <v>13</v>
      </c>
      <c r="B16" s="3" t="s">
        <v>390</v>
      </c>
      <c r="C16" s="3" t="s">
        <v>391</v>
      </c>
      <c r="D16" s="3" t="s">
        <v>77</v>
      </c>
      <c r="E16" s="3" t="s">
        <v>517</v>
      </c>
      <c r="F16" s="3"/>
      <c r="G16" s="3">
        <v>304</v>
      </c>
      <c r="H16" s="3">
        <v>1</v>
      </c>
      <c r="I16" s="3" t="s">
        <v>17</v>
      </c>
      <c r="J16" s="3"/>
      <c r="K16" s="3"/>
      <c r="L16" s="3"/>
    </row>
    <row r="17" spans="1:12" x14ac:dyDescent="0.5">
      <c r="A17" s="3">
        <v>14</v>
      </c>
      <c r="B17" s="3" t="s">
        <v>392</v>
      </c>
      <c r="C17" s="3" t="s">
        <v>393</v>
      </c>
      <c r="D17" s="3" t="s">
        <v>81</v>
      </c>
      <c r="E17" s="3" t="s">
        <v>543</v>
      </c>
      <c r="F17" s="3"/>
      <c r="G17" s="3" t="s">
        <v>44</v>
      </c>
      <c r="H17" s="3">
        <v>1</v>
      </c>
      <c r="I17" s="3" t="s">
        <v>17</v>
      </c>
      <c r="J17" s="3"/>
      <c r="K17" s="3"/>
      <c r="L17" s="3"/>
    </row>
    <row r="18" spans="1:12" x14ac:dyDescent="0.5">
      <c r="A18" s="3">
        <v>15</v>
      </c>
      <c r="B18" s="3" t="s">
        <v>394</v>
      </c>
      <c r="C18" s="3" t="s">
        <v>395</v>
      </c>
      <c r="D18" s="3" t="s">
        <v>19</v>
      </c>
      <c r="E18" s="3" t="s">
        <v>532</v>
      </c>
      <c r="F18" s="3" t="s">
        <v>84</v>
      </c>
      <c r="G18" s="3">
        <v>304</v>
      </c>
      <c r="H18" s="3">
        <v>1</v>
      </c>
      <c r="I18" s="3" t="s">
        <v>17</v>
      </c>
      <c r="J18" s="3"/>
      <c r="K18" s="3"/>
      <c r="L18" s="5" t="s">
        <v>775</v>
      </c>
    </row>
    <row r="19" spans="1:12" x14ac:dyDescent="0.5">
      <c r="A19" s="3">
        <v>16</v>
      </c>
      <c r="B19" s="3" t="s">
        <v>396</v>
      </c>
      <c r="C19" s="3" t="s">
        <v>397</v>
      </c>
      <c r="D19" s="3" t="s">
        <v>19</v>
      </c>
      <c r="E19" s="3" t="s">
        <v>58</v>
      </c>
      <c r="F19" s="3" t="s">
        <v>59</v>
      </c>
      <c r="G19" s="3" t="s">
        <v>60</v>
      </c>
      <c r="H19" s="3">
        <v>1</v>
      </c>
      <c r="I19" s="3" t="s">
        <v>17</v>
      </c>
      <c r="J19" s="3"/>
      <c r="K19" s="3"/>
      <c r="L19" s="3"/>
    </row>
    <row r="20" spans="1:12" x14ac:dyDescent="0.5">
      <c r="A20" s="3">
        <v>17</v>
      </c>
      <c r="B20" s="3" t="s">
        <v>398</v>
      </c>
      <c r="C20" s="3" t="s">
        <v>399</v>
      </c>
      <c r="D20" s="3" t="s">
        <v>379</v>
      </c>
      <c r="E20" s="3" t="s">
        <v>64</v>
      </c>
      <c r="F20" s="3"/>
      <c r="G20" s="3" t="s">
        <v>15</v>
      </c>
      <c r="H20" s="3">
        <v>1</v>
      </c>
      <c r="I20" s="3" t="s">
        <v>17</v>
      </c>
      <c r="J20" s="3"/>
      <c r="K20" s="3"/>
      <c r="L20" s="3"/>
    </row>
    <row r="21" spans="1:12" x14ac:dyDescent="0.5">
      <c r="A21" s="3">
        <v>18</v>
      </c>
      <c r="B21" s="3" t="s">
        <v>400</v>
      </c>
      <c r="C21" s="3" t="s">
        <v>401</v>
      </c>
      <c r="D21" s="3" t="s">
        <v>43</v>
      </c>
      <c r="E21" s="5" t="s">
        <v>772</v>
      </c>
      <c r="F21" s="3"/>
      <c r="G21" s="3" t="s">
        <v>15</v>
      </c>
      <c r="H21" s="3">
        <v>1</v>
      </c>
      <c r="I21" s="3" t="s">
        <v>17</v>
      </c>
      <c r="J21" s="3">
        <v>0.02</v>
      </c>
      <c r="K21" s="3">
        <f t="shared" ref="K21:K22" si="0">H21*J21</f>
        <v>0.02</v>
      </c>
      <c r="L21" s="5" t="s">
        <v>773</v>
      </c>
    </row>
    <row r="22" spans="1:12" x14ac:dyDescent="0.5">
      <c r="A22" s="3">
        <v>19</v>
      </c>
      <c r="B22" s="3" t="s">
        <v>402</v>
      </c>
      <c r="C22" s="3" t="s">
        <v>403</v>
      </c>
      <c r="D22" s="3" t="s">
        <v>25</v>
      </c>
      <c r="E22" s="3" t="s">
        <v>724</v>
      </c>
      <c r="F22" s="3"/>
      <c r="G22" s="3">
        <v>304</v>
      </c>
      <c r="H22" s="3">
        <v>1</v>
      </c>
      <c r="I22" s="3" t="s">
        <v>17</v>
      </c>
      <c r="J22" s="3">
        <v>11</v>
      </c>
      <c r="K22" s="3">
        <f t="shared" si="0"/>
        <v>11</v>
      </c>
      <c r="L22" s="5" t="s">
        <v>776</v>
      </c>
    </row>
    <row r="23" spans="1:12" x14ac:dyDescent="0.5">
      <c r="A23" s="3">
        <v>20</v>
      </c>
      <c r="B23" s="3" t="s">
        <v>404</v>
      </c>
      <c r="C23" s="3" t="s">
        <v>405</v>
      </c>
      <c r="D23" s="3" t="s">
        <v>39</v>
      </c>
      <c r="E23" s="3" t="s">
        <v>542</v>
      </c>
      <c r="F23" s="3"/>
      <c r="G23" s="3">
        <v>304</v>
      </c>
      <c r="H23" s="3">
        <v>1</v>
      </c>
      <c r="I23" s="3" t="s">
        <v>17</v>
      </c>
      <c r="J23" s="3"/>
      <c r="K23" s="3"/>
      <c r="L23" s="3"/>
    </row>
    <row r="24" spans="1:12" x14ac:dyDescent="0.5">
      <c r="A24" s="3">
        <v>21</v>
      </c>
      <c r="B24" s="3" t="s">
        <v>406</v>
      </c>
      <c r="C24" s="3" t="s">
        <v>407</v>
      </c>
      <c r="D24" s="3" t="s">
        <v>19</v>
      </c>
      <c r="E24" s="3" t="s">
        <v>675</v>
      </c>
      <c r="F24" s="3" t="s">
        <v>27</v>
      </c>
      <c r="G24" s="3">
        <v>304</v>
      </c>
      <c r="H24" s="3">
        <v>8</v>
      </c>
      <c r="I24" s="3" t="s">
        <v>17</v>
      </c>
      <c r="J24" s="3"/>
      <c r="K24" s="3"/>
      <c r="L24" s="3"/>
    </row>
    <row r="25" spans="1:12" x14ac:dyDescent="0.5">
      <c r="A25" s="3">
        <v>22</v>
      </c>
      <c r="B25" s="3" t="s">
        <v>408</v>
      </c>
      <c r="C25" s="3" t="s">
        <v>409</v>
      </c>
      <c r="D25" s="3" t="s">
        <v>19</v>
      </c>
      <c r="E25" s="3" t="s">
        <v>545</v>
      </c>
      <c r="F25" s="3" t="s">
        <v>27</v>
      </c>
      <c r="G25" s="3">
        <v>304</v>
      </c>
      <c r="H25" s="3">
        <v>1</v>
      </c>
      <c r="I25" s="3" t="s">
        <v>17</v>
      </c>
      <c r="J25" s="3"/>
      <c r="K25" s="3"/>
      <c r="L25" s="3"/>
    </row>
    <row r="26" spans="1:12" x14ac:dyDescent="0.5">
      <c r="A26" s="3">
        <v>23</v>
      </c>
      <c r="B26" s="3" t="s">
        <v>410</v>
      </c>
      <c r="C26" s="3" t="s">
        <v>411</v>
      </c>
      <c r="D26" s="3" t="s">
        <v>25</v>
      </c>
      <c r="E26" s="3" t="s">
        <v>719</v>
      </c>
      <c r="F26" s="3"/>
      <c r="G26" s="3">
        <v>304</v>
      </c>
      <c r="H26" s="3">
        <v>1</v>
      </c>
      <c r="I26" s="3" t="s">
        <v>17</v>
      </c>
      <c r="J26" s="3">
        <v>15</v>
      </c>
      <c r="K26" s="3">
        <f>H26*J26</f>
        <v>15</v>
      </c>
      <c r="L26" s="3"/>
    </row>
    <row r="27" spans="1:12" x14ac:dyDescent="0.5">
      <c r="A27" s="3">
        <v>24</v>
      </c>
      <c r="B27" s="3" t="s">
        <v>412</v>
      </c>
      <c r="C27" s="3" t="s">
        <v>413</v>
      </c>
      <c r="D27" s="3" t="s">
        <v>81</v>
      </c>
      <c r="E27" s="3" t="s">
        <v>543</v>
      </c>
      <c r="F27" s="3"/>
      <c r="G27" s="3" t="s">
        <v>44</v>
      </c>
      <c r="H27" s="3">
        <v>1</v>
      </c>
      <c r="I27" s="3" t="s">
        <v>17</v>
      </c>
      <c r="J27" s="3"/>
      <c r="K27" s="3"/>
      <c r="L27" s="3"/>
    </row>
    <row r="28" spans="1:12" x14ac:dyDescent="0.5">
      <c r="A28" s="3">
        <v>25</v>
      </c>
      <c r="B28" s="3" t="s">
        <v>414</v>
      </c>
      <c r="C28" s="3" t="s">
        <v>415</v>
      </c>
      <c r="D28" s="3" t="s">
        <v>19</v>
      </c>
      <c r="E28" s="3" t="s">
        <v>531</v>
      </c>
      <c r="F28" s="3" t="s">
        <v>84</v>
      </c>
      <c r="G28" s="3">
        <v>304</v>
      </c>
      <c r="H28" s="3">
        <v>1</v>
      </c>
      <c r="I28" s="3" t="s">
        <v>17</v>
      </c>
      <c r="J28" s="3"/>
      <c r="K28" s="3"/>
      <c r="L28" s="5" t="s">
        <v>775</v>
      </c>
    </row>
    <row r="29" spans="1:12" x14ac:dyDescent="0.5">
      <c r="A29" s="3">
        <v>26</v>
      </c>
      <c r="B29" s="3" t="s">
        <v>416</v>
      </c>
      <c r="C29" s="3" t="s">
        <v>417</v>
      </c>
      <c r="D29" s="3" t="s">
        <v>25</v>
      </c>
      <c r="E29" s="3" t="s">
        <v>540</v>
      </c>
      <c r="F29" s="3"/>
      <c r="G29" s="3">
        <v>304</v>
      </c>
      <c r="H29" s="3">
        <v>1</v>
      </c>
      <c r="I29" s="3" t="s">
        <v>17</v>
      </c>
      <c r="J29" s="3">
        <v>4</v>
      </c>
      <c r="K29" s="3">
        <f>H29*J29</f>
        <v>4</v>
      </c>
      <c r="L29" s="5" t="s">
        <v>775</v>
      </c>
    </row>
    <row r="30" spans="1:12" x14ac:dyDescent="0.5">
      <c r="A30" s="3">
        <v>27</v>
      </c>
      <c r="B30" s="3" t="s">
        <v>418</v>
      </c>
      <c r="C30" s="3" t="s">
        <v>419</v>
      </c>
      <c r="D30" s="3" t="s">
        <v>19</v>
      </c>
      <c r="E30" s="3" t="s">
        <v>532</v>
      </c>
      <c r="F30" s="3" t="s">
        <v>84</v>
      </c>
      <c r="G30" s="3">
        <v>304</v>
      </c>
      <c r="H30" s="3">
        <v>1</v>
      </c>
      <c r="I30" s="3" t="s">
        <v>17</v>
      </c>
      <c r="J30" s="3"/>
      <c r="K30" s="3"/>
      <c r="L30" s="5" t="s">
        <v>775</v>
      </c>
    </row>
    <row r="31" spans="1:12" x14ac:dyDescent="0.5">
      <c r="A31" s="3">
        <v>28</v>
      </c>
      <c r="B31" s="3" t="s">
        <v>420</v>
      </c>
      <c r="C31" s="3" t="s">
        <v>421</v>
      </c>
      <c r="D31" s="3" t="s">
        <v>25</v>
      </c>
      <c r="E31" s="3" t="s">
        <v>544</v>
      </c>
      <c r="F31" s="3"/>
      <c r="G31" s="3">
        <v>304</v>
      </c>
      <c r="H31" s="3">
        <v>1</v>
      </c>
      <c r="I31" s="3" t="s">
        <v>17</v>
      </c>
      <c r="J31" s="3">
        <v>11</v>
      </c>
      <c r="K31" s="3">
        <f>H31*J31</f>
        <v>11</v>
      </c>
      <c r="L31" s="5" t="s">
        <v>775</v>
      </c>
    </row>
    <row r="32" spans="1:12" x14ac:dyDescent="0.5">
      <c r="A32" s="3">
        <v>29</v>
      </c>
      <c r="B32" s="3" t="s">
        <v>422</v>
      </c>
      <c r="C32" s="3" t="s">
        <v>423</v>
      </c>
      <c r="D32" s="3" t="s">
        <v>77</v>
      </c>
      <c r="E32" s="3" t="s">
        <v>515</v>
      </c>
      <c r="F32" s="3"/>
      <c r="G32" s="3">
        <v>304</v>
      </c>
      <c r="H32" s="3">
        <v>1</v>
      </c>
      <c r="I32" s="3" t="s">
        <v>17</v>
      </c>
      <c r="J32" s="3"/>
      <c r="K32" s="3"/>
      <c r="L32" s="3"/>
    </row>
    <row r="33" spans="1:12" x14ac:dyDescent="0.5">
      <c r="A33" s="3">
        <v>30</v>
      </c>
      <c r="B33" s="3" t="s">
        <v>424</v>
      </c>
      <c r="C33" s="3" t="s">
        <v>425</v>
      </c>
      <c r="D33" s="3" t="s">
        <v>77</v>
      </c>
      <c r="E33" s="3" t="s">
        <v>516</v>
      </c>
      <c r="F33" s="3"/>
      <c r="G33" s="3">
        <v>304</v>
      </c>
      <c r="H33" s="3">
        <v>1</v>
      </c>
      <c r="I33" s="3" t="s">
        <v>17</v>
      </c>
      <c r="J33" s="3"/>
      <c r="K33" s="3"/>
      <c r="L33" s="3"/>
    </row>
    <row r="34" spans="1:12" x14ac:dyDescent="0.5">
      <c r="A34" s="3">
        <v>31</v>
      </c>
      <c r="B34" s="3" t="s">
        <v>426</v>
      </c>
      <c r="C34" s="3" t="s">
        <v>427</v>
      </c>
      <c r="D34" s="3" t="s">
        <v>19</v>
      </c>
      <c r="E34" s="3" t="s">
        <v>546</v>
      </c>
      <c r="F34" s="3" t="s">
        <v>107</v>
      </c>
      <c r="G34" s="3">
        <v>304</v>
      </c>
      <c r="H34" s="3">
        <v>6</v>
      </c>
      <c r="I34" s="3" t="s">
        <v>17</v>
      </c>
      <c r="J34" s="3"/>
      <c r="K34" s="3"/>
      <c r="L34" s="3"/>
    </row>
    <row r="35" spans="1:12" x14ac:dyDescent="0.5">
      <c r="A35" s="3">
        <v>32</v>
      </c>
      <c r="B35" s="3" t="s">
        <v>428</v>
      </c>
      <c r="C35" s="3" t="s">
        <v>429</v>
      </c>
      <c r="D35" s="3" t="s">
        <v>22</v>
      </c>
      <c r="E35" s="3" t="s">
        <v>289</v>
      </c>
      <c r="F35" s="3" t="s">
        <v>107</v>
      </c>
      <c r="G35" s="3">
        <v>304</v>
      </c>
      <c r="H35" s="3">
        <v>6</v>
      </c>
      <c r="I35" s="3" t="s">
        <v>17</v>
      </c>
      <c r="J35" s="3">
        <v>2.2000000000000002</v>
      </c>
      <c r="K35" s="3">
        <f>H35*J35</f>
        <v>13.200000000000001</v>
      </c>
      <c r="L35" s="3"/>
    </row>
    <row r="36" spans="1:12" x14ac:dyDescent="0.5">
      <c r="A36" s="3">
        <v>33</v>
      </c>
      <c r="B36" s="3" t="s">
        <v>430</v>
      </c>
      <c r="C36" s="3" t="s">
        <v>431</v>
      </c>
      <c r="D36" s="3" t="s">
        <v>25</v>
      </c>
      <c r="E36" s="3" t="s">
        <v>725</v>
      </c>
      <c r="F36" s="3"/>
      <c r="G36" s="3">
        <v>304</v>
      </c>
      <c r="H36" s="3">
        <v>1</v>
      </c>
      <c r="I36" s="3" t="s">
        <v>17</v>
      </c>
      <c r="J36" s="3">
        <v>5.5</v>
      </c>
      <c r="K36" s="3">
        <f>H36*J36</f>
        <v>5.5</v>
      </c>
      <c r="L36" s="3"/>
    </row>
    <row r="37" spans="1:12" x14ac:dyDescent="0.5">
      <c r="A37" s="3">
        <v>34</v>
      </c>
      <c r="B37" s="3" t="s">
        <v>432</v>
      </c>
      <c r="C37" s="3" t="s">
        <v>433</v>
      </c>
      <c r="D37" s="3" t="s">
        <v>294</v>
      </c>
      <c r="E37" s="3" t="s">
        <v>167</v>
      </c>
      <c r="F37" s="3"/>
      <c r="G37" s="3">
        <v>304</v>
      </c>
      <c r="H37" s="3">
        <v>1</v>
      </c>
      <c r="I37" s="3" t="s">
        <v>17</v>
      </c>
      <c r="J37" s="3"/>
      <c r="K37" s="3"/>
      <c r="L37" s="3"/>
    </row>
    <row r="38" spans="1:12" x14ac:dyDescent="0.5">
      <c r="A38" s="3">
        <v>35</v>
      </c>
      <c r="B38" s="3" t="s">
        <v>434</v>
      </c>
      <c r="C38" s="3" t="s">
        <v>435</v>
      </c>
      <c r="D38" s="3" t="s">
        <v>25</v>
      </c>
      <c r="E38" s="3" t="s">
        <v>726</v>
      </c>
      <c r="F38" s="3"/>
      <c r="G38" s="3">
        <v>304</v>
      </c>
      <c r="H38" s="3">
        <v>1</v>
      </c>
      <c r="I38" s="3" t="s">
        <v>17</v>
      </c>
      <c r="J38" s="3">
        <v>4</v>
      </c>
      <c r="K38" s="3">
        <f>H38*J38</f>
        <v>4</v>
      </c>
      <c r="L38" s="3"/>
    </row>
    <row r="39" spans="1:12" x14ac:dyDescent="0.5">
      <c r="A39" s="2" t="s">
        <v>121</v>
      </c>
      <c r="B39" s="2" t="s">
        <v>122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5">
      <c r="A40" s="3">
        <v>1</v>
      </c>
      <c r="B40" s="3" t="s">
        <v>436</v>
      </c>
      <c r="C40" s="3" t="s">
        <v>437</v>
      </c>
      <c r="D40" s="3" t="s">
        <v>19</v>
      </c>
      <c r="E40" s="3" t="s">
        <v>529</v>
      </c>
      <c r="F40" s="3" t="s">
        <v>27</v>
      </c>
      <c r="G40" s="3">
        <v>304</v>
      </c>
      <c r="H40" s="3">
        <v>1</v>
      </c>
      <c r="I40" s="3" t="s">
        <v>17</v>
      </c>
      <c r="J40" s="3"/>
      <c r="K40" s="3"/>
      <c r="L40" s="3"/>
    </row>
    <row r="41" spans="1:12" x14ac:dyDescent="0.5">
      <c r="A41" s="3">
        <v>2</v>
      </c>
      <c r="B41" s="3" t="s">
        <v>438</v>
      </c>
      <c r="C41" s="3" t="s">
        <v>439</v>
      </c>
      <c r="D41" s="3" t="s">
        <v>22</v>
      </c>
      <c r="E41" s="3" t="s">
        <v>34</v>
      </c>
      <c r="F41" s="3" t="s">
        <v>27</v>
      </c>
      <c r="G41" s="3">
        <v>304</v>
      </c>
      <c r="H41" s="3">
        <v>1</v>
      </c>
      <c r="I41" s="3" t="s">
        <v>17</v>
      </c>
      <c r="J41" s="3">
        <v>2.2000000000000002</v>
      </c>
      <c r="K41" s="3">
        <f>H41*J41</f>
        <v>2.2000000000000002</v>
      </c>
      <c r="L41" s="3"/>
    </row>
    <row r="42" spans="1:12" x14ac:dyDescent="0.5">
      <c r="A42" s="3">
        <v>3</v>
      </c>
      <c r="B42" s="3" t="s">
        <v>440</v>
      </c>
      <c r="C42" s="3" t="s">
        <v>441</v>
      </c>
      <c r="D42" s="3" t="s">
        <v>25</v>
      </c>
      <c r="E42" s="3" t="s">
        <v>727</v>
      </c>
      <c r="F42" s="3"/>
      <c r="G42" s="3">
        <v>304</v>
      </c>
      <c r="H42" s="3">
        <v>1</v>
      </c>
      <c r="I42" s="3" t="s">
        <v>17</v>
      </c>
      <c r="J42" s="3">
        <v>7.5</v>
      </c>
      <c r="K42" s="3">
        <f>H42*J42</f>
        <v>7.5</v>
      </c>
      <c r="L42" s="3"/>
    </row>
    <row r="43" spans="1:12" x14ac:dyDescent="0.5">
      <c r="A43" s="3">
        <v>4</v>
      </c>
      <c r="B43" s="3" t="s">
        <v>442</v>
      </c>
      <c r="C43" s="3" t="s">
        <v>579</v>
      </c>
      <c r="D43" s="3" t="s">
        <v>131</v>
      </c>
      <c r="E43" s="3" t="s">
        <v>132</v>
      </c>
      <c r="F43" s="3"/>
      <c r="G43" s="3" t="s">
        <v>133</v>
      </c>
      <c r="H43" s="3">
        <v>4</v>
      </c>
      <c r="I43" s="3" t="s">
        <v>17</v>
      </c>
      <c r="J43" s="3">
        <f>5.5+2.2+0.75+1.1+0.75</f>
        <v>10.299999999999999</v>
      </c>
      <c r="K43" s="3">
        <f>H43*J43</f>
        <v>41.199999999999996</v>
      </c>
      <c r="L43" s="3" t="s">
        <v>53</v>
      </c>
    </row>
    <row r="44" spans="1:12" x14ac:dyDescent="0.5">
      <c r="A44" s="3">
        <v>5</v>
      </c>
      <c r="B44" s="3" t="s">
        <v>580</v>
      </c>
      <c r="C44" s="3" t="s">
        <v>583</v>
      </c>
      <c r="D44" s="3" t="s">
        <v>19</v>
      </c>
      <c r="E44" s="3" t="s">
        <v>529</v>
      </c>
      <c r="F44" s="3" t="s">
        <v>27</v>
      </c>
      <c r="G44" s="3">
        <v>304</v>
      </c>
      <c r="H44" s="3">
        <v>1</v>
      </c>
      <c r="I44" s="3" t="s">
        <v>17</v>
      </c>
      <c r="J44" s="3"/>
      <c r="K44" s="3"/>
      <c r="L44" s="3"/>
    </row>
    <row r="45" spans="1:12" x14ac:dyDescent="0.5">
      <c r="A45" s="3">
        <v>6</v>
      </c>
      <c r="B45" s="3" t="s">
        <v>581</v>
      </c>
      <c r="C45" s="3" t="s">
        <v>584</v>
      </c>
      <c r="D45" s="3" t="s">
        <v>22</v>
      </c>
      <c r="E45" s="3" t="s">
        <v>34</v>
      </c>
      <c r="F45" s="3" t="s">
        <v>27</v>
      </c>
      <c r="G45" s="3">
        <v>304</v>
      </c>
      <c r="H45" s="3">
        <v>1</v>
      </c>
      <c r="I45" s="3" t="s">
        <v>17</v>
      </c>
      <c r="J45" s="3">
        <v>2.2000000000000002</v>
      </c>
      <c r="K45" s="3">
        <f>H45*J45</f>
        <v>2.2000000000000002</v>
      </c>
      <c r="L45" s="3"/>
    </row>
    <row r="46" spans="1:12" x14ac:dyDescent="0.5">
      <c r="A46" s="3">
        <v>7</v>
      </c>
      <c r="B46" s="3" t="s">
        <v>582</v>
      </c>
      <c r="C46" s="3" t="s">
        <v>585</v>
      </c>
      <c r="D46" s="3" t="s">
        <v>25</v>
      </c>
      <c r="E46" s="3" t="s">
        <v>549</v>
      </c>
      <c r="F46" s="3"/>
      <c r="G46" s="3">
        <v>304</v>
      </c>
      <c r="H46" s="3">
        <v>1</v>
      </c>
      <c r="I46" s="3" t="s">
        <v>17</v>
      </c>
      <c r="J46" s="3">
        <v>7.5</v>
      </c>
      <c r="K46" s="3">
        <f>H46*J46</f>
        <v>7.5</v>
      </c>
      <c r="L46" s="3"/>
    </row>
    <row r="47" spans="1:12" x14ac:dyDescent="0.5">
      <c r="A47" s="3">
        <v>8</v>
      </c>
      <c r="B47" s="3" t="s">
        <v>443</v>
      </c>
      <c r="C47" s="3" t="s">
        <v>586</v>
      </c>
      <c r="D47" s="3" t="s">
        <v>19</v>
      </c>
      <c r="E47" s="3" t="s">
        <v>530</v>
      </c>
      <c r="F47" s="3" t="s">
        <v>27</v>
      </c>
      <c r="G47" s="3">
        <v>304</v>
      </c>
      <c r="H47" s="3">
        <v>1</v>
      </c>
      <c r="I47" s="3" t="s">
        <v>17</v>
      </c>
      <c r="J47" s="3"/>
      <c r="K47" s="3"/>
      <c r="L47" s="3"/>
    </row>
    <row r="48" spans="1:12" x14ac:dyDescent="0.5">
      <c r="A48" s="3">
        <v>9</v>
      </c>
      <c r="B48" s="3" t="s">
        <v>444</v>
      </c>
      <c r="C48" s="3" t="s">
        <v>587</v>
      </c>
      <c r="D48" s="3" t="s">
        <v>25</v>
      </c>
      <c r="E48" s="3" t="s">
        <v>547</v>
      </c>
      <c r="F48" s="3"/>
      <c r="G48" s="3">
        <v>304</v>
      </c>
      <c r="H48" s="3">
        <v>1</v>
      </c>
      <c r="I48" s="3" t="s">
        <v>17</v>
      </c>
      <c r="J48" s="3">
        <v>7.5</v>
      </c>
      <c r="K48" s="3">
        <f>H48*J48</f>
        <v>7.5</v>
      </c>
      <c r="L48" s="3"/>
    </row>
    <row r="49" spans="1:12" x14ac:dyDescent="0.5">
      <c r="A49" s="3">
        <v>10</v>
      </c>
      <c r="B49" s="3" t="s">
        <v>445</v>
      </c>
      <c r="C49" s="3" t="s">
        <v>588</v>
      </c>
      <c r="D49" s="3" t="s">
        <v>52</v>
      </c>
      <c r="E49" s="3" t="s">
        <v>728</v>
      </c>
      <c r="F49" s="3"/>
      <c r="G49" s="3">
        <v>304</v>
      </c>
      <c r="H49" s="3">
        <v>2</v>
      </c>
      <c r="I49" s="3" t="s">
        <v>17</v>
      </c>
      <c r="J49" s="3"/>
      <c r="K49" s="3"/>
      <c r="L49" s="3"/>
    </row>
    <row r="50" spans="1:12" x14ac:dyDescent="0.5">
      <c r="A50" s="3">
        <v>11</v>
      </c>
      <c r="B50" s="3" t="s">
        <v>606</v>
      </c>
      <c r="C50" s="3" t="s">
        <v>607</v>
      </c>
      <c r="D50" s="3" t="s">
        <v>25</v>
      </c>
      <c r="E50" s="3" t="s">
        <v>534</v>
      </c>
      <c r="F50" s="3"/>
      <c r="G50" s="3">
        <v>304</v>
      </c>
      <c r="H50" s="3">
        <v>1</v>
      </c>
      <c r="I50" s="3" t="s">
        <v>17</v>
      </c>
      <c r="J50" s="3">
        <f>15+15</f>
        <v>30</v>
      </c>
      <c r="K50" s="3">
        <f>H50*J50</f>
        <v>30</v>
      </c>
      <c r="L50" s="5" t="s">
        <v>780</v>
      </c>
    </row>
    <row r="51" spans="1:12" x14ac:dyDescent="0.5">
      <c r="A51" s="3">
        <v>12</v>
      </c>
      <c r="B51" s="3" t="s">
        <v>619</v>
      </c>
      <c r="C51" s="3" t="s">
        <v>620</v>
      </c>
      <c r="D51" s="3" t="s">
        <v>135</v>
      </c>
      <c r="E51" s="3" t="s">
        <v>136</v>
      </c>
      <c r="F51" s="3"/>
      <c r="G51" s="3">
        <v>304</v>
      </c>
      <c r="H51" s="3">
        <v>1</v>
      </c>
      <c r="I51" s="3" t="s">
        <v>17</v>
      </c>
      <c r="J51" s="3">
        <v>5.5</v>
      </c>
      <c r="K51" s="3">
        <f>H51*J51</f>
        <v>5.5</v>
      </c>
      <c r="L51" s="3"/>
    </row>
    <row r="52" spans="1:12" x14ac:dyDescent="0.5">
      <c r="A52" s="2" t="s">
        <v>144</v>
      </c>
      <c r="B52" s="2" t="s">
        <v>145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5">
      <c r="A53" s="3">
        <v>1</v>
      </c>
      <c r="B53" s="3" t="s">
        <v>446</v>
      </c>
      <c r="C53" s="3" t="s">
        <v>447</v>
      </c>
      <c r="D53" s="3" t="s">
        <v>148</v>
      </c>
      <c r="E53" s="3" t="s">
        <v>678</v>
      </c>
      <c r="F53" s="3" t="s">
        <v>27</v>
      </c>
      <c r="G53" s="3" t="s">
        <v>149</v>
      </c>
      <c r="H53" s="3">
        <v>4</v>
      </c>
      <c r="I53" s="3" t="s">
        <v>17</v>
      </c>
      <c r="J53" s="3"/>
      <c r="K53" s="3"/>
      <c r="L53" s="3"/>
    </row>
    <row r="54" spans="1:12" x14ac:dyDescent="0.5">
      <c r="A54" s="3">
        <v>2</v>
      </c>
      <c r="B54" s="3" t="s">
        <v>448</v>
      </c>
      <c r="C54" s="3" t="s">
        <v>449</v>
      </c>
      <c r="D54" s="3" t="s">
        <v>19</v>
      </c>
      <c r="E54" s="3" t="s">
        <v>529</v>
      </c>
      <c r="F54" s="3" t="s">
        <v>27</v>
      </c>
      <c r="G54" s="3" t="s">
        <v>44</v>
      </c>
      <c r="H54" s="3">
        <v>1</v>
      </c>
      <c r="I54" s="3" t="s">
        <v>17</v>
      </c>
      <c r="J54" s="3"/>
      <c r="K54" s="3"/>
      <c r="L54" s="3"/>
    </row>
    <row r="55" spans="1:12" x14ac:dyDescent="0.5">
      <c r="A55" s="3">
        <v>3</v>
      </c>
      <c r="B55" s="3" t="s">
        <v>626</v>
      </c>
      <c r="C55" s="3" t="s">
        <v>450</v>
      </c>
      <c r="D55" s="3" t="s">
        <v>25</v>
      </c>
      <c r="E55" s="3" t="s">
        <v>547</v>
      </c>
      <c r="F55" s="3"/>
      <c r="G55" s="3" t="s">
        <v>44</v>
      </c>
      <c r="H55" s="3">
        <v>1</v>
      </c>
      <c r="I55" s="3" t="s">
        <v>17</v>
      </c>
      <c r="J55" s="3">
        <v>7.5</v>
      </c>
      <c r="K55" s="3">
        <f>H55*J55</f>
        <v>7.5</v>
      </c>
      <c r="L55" s="3"/>
    </row>
    <row r="56" spans="1:12" x14ac:dyDescent="0.5">
      <c r="A56" s="3">
        <v>4</v>
      </c>
      <c r="B56" s="3" t="s">
        <v>627</v>
      </c>
      <c r="C56" s="3" t="s">
        <v>628</v>
      </c>
      <c r="D56" s="3" t="s">
        <v>631</v>
      </c>
      <c r="E56" s="3" t="s">
        <v>642</v>
      </c>
      <c r="F56" s="3"/>
      <c r="G56" s="3" t="s">
        <v>44</v>
      </c>
      <c r="H56" s="3">
        <v>2</v>
      </c>
      <c r="I56" s="3" t="s">
        <v>17</v>
      </c>
      <c r="J56" s="3"/>
      <c r="K56" s="3">
        <f>H56*J56</f>
        <v>0</v>
      </c>
      <c r="L56" s="3"/>
    </row>
    <row r="57" spans="1:12" x14ac:dyDescent="0.5">
      <c r="A57" s="2" t="s">
        <v>157</v>
      </c>
      <c r="B57" s="2" t="s">
        <v>158</v>
      </c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5">
      <c r="A58" s="3">
        <v>1</v>
      </c>
      <c r="B58" s="3" t="s">
        <v>451</v>
      </c>
      <c r="C58" s="3" t="s">
        <v>452</v>
      </c>
      <c r="D58" s="3" t="s">
        <v>19</v>
      </c>
      <c r="E58" s="3" t="s">
        <v>529</v>
      </c>
      <c r="F58" s="3" t="s">
        <v>27</v>
      </c>
      <c r="G58" s="3">
        <v>304</v>
      </c>
      <c r="H58" s="3">
        <v>1</v>
      </c>
      <c r="I58" s="3" t="s">
        <v>17</v>
      </c>
      <c r="J58" s="3"/>
      <c r="K58" s="3"/>
      <c r="L58" s="3"/>
    </row>
    <row r="59" spans="1:12" x14ac:dyDescent="0.5">
      <c r="A59" s="3">
        <v>2</v>
      </c>
      <c r="B59" s="3" t="s">
        <v>453</v>
      </c>
      <c r="C59" s="3" t="s">
        <v>454</v>
      </c>
      <c r="D59" s="3" t="s">
        <v>25</v>
      </c>
      <c r="E59" s="3" t="s">
        <v>544</v>
      </c>
      <c r="F59" s="3"/>
      <c r="G59" s="3">
        <v>304</v>
      </c>
      <c r="H59" s="3">
        <v>1</v>
      </c>
      <c r="I59" s="3" t="s">
        <v>17</v>
      </c>
      <c r="J59" s="3">
        <v>11</v>
      </c>
      <c r="K59" s="3">
        <f>H59*J59</f>
        <v>11</v>
      </c>
      <c r="L59" s="3"/>
    </row>
    <row r="60" spans="1:12" x14ac:dyDescent="0.5">
      <c r="A60" s="3">
        <v>3</v>
      </c>
      <c r="B60" s="3" t="s">
        <v>455</v>
      </c>
      <c r="C60" s="3" t="s">
        <v>456</v>
      </c>
      <c r="D60" s="3" t="s">
        <v>52</v>
      </c>
      <c r="E60" s="3" t="s">
        <v>728</v>
      </c>
      <c r="F60" s="3"/>
      <c r="G60" s="3">
        <v>304</v>
      </c>
      <c r="H60" s="3">
        <v>2</v>
      </c>
      <c r="I60" s="3" t="s">
        <v>17</v>
      </c>
      <c r="J60" s="3"/>
      <c r="K60" s="3"/>
      <c r="L60" s="3"/>
    </row>
    <row r="61" spans="1:12" x14ac:dyDescent="0.5">
      <c r="A61" s="3">
        <v>4</v>
      </c>
      <c r="B61" s="3" t="s">
        <v>457</v>
      </c>
      <c r="C61" s="3" t="s">
        <v>458</v>
      </c>
      <c r="D61" s="3" t="s">
        <v>77</v>
      </c>
      <c r="E61" s="3" t="s">
        <v>516</v>
      </c>
      <c r="F61" s="3"/>
      <c r="G61" s="3">
        <v>304</v>
      </c>
      <c r="H61" s="3">
        <v>1</v>
      </c>
      <c r="I61" s="3" t="s">
        <v>17</v>
      </c>
      <c r="J61" s="3"/>
      <c r="K61" s="3"/>
      <c r="L61" s="3"/>
    </row>
    <row r="62" spans="1:12" x14ac:dyDescent="0.5">
      <c r="A62" s="3">
        <v>5</v>
      </c>
      <c r="B62" s="3" t="s">
        <v>459</v>
      </c>
      <c r="C62" s="3" t="s">
        <v>460</v>
      </c>
      <c r="D62" s="3" t="s">
        <v>77</v>
      </c>
      <c r="E62" s="3" t="s">
        <v>518</v>
      </c>
      <c r="F62" s="3"/>
      <c r="G62" s="3">
        <v>304</v>
      </c>
      <c r="H62" s="3">
        <v>1</v>
      </c>
      <c r="I62" s="3" t="s">
        <v>17</v>
      </c>
      <c r="J62" s="3"/>
      <c r="K62" s="3"/>
      <c r="L62" s="3"/>
    </row>
    <row r="63" spans="1:12" x14ac:dyDescent="0.5">
      <c r="A63" s="3">
        <v>6</v>
      </c>
      <c r="B63" s="3" t="s">
        <v>461</v>
      </c>
      <c r="C63" s="3" t="s">
        <v>462</v>
      </c>
      <c r="D63" s="3" t="s">
        <v>173</v>
      </c>
      <c r="E63" s="3" t="s">
        <v>551</v>
      </c>
      <c r="F63" s="3"/>
      <c r="G63" s="3" t="s">
        <v>149</v>
      </c>
      <c r="H63" s="3">
        <v>1</v>
      </c>
      <c r="I63" s="3" t="s">
        <v>16</v>
      </c>
      <c r="J63" s="3"/>
      <c r="K63" s="3"/>
      <c r="L63" s="3"/>
    </row>
    <row r="64" spans="1:12" x14ac:dyDescent="0.5">
      <c r="A64" s="3">
        <v>7</v>
      </c>
      <c r="B64" s="3" t="s">
        <v>463</v>
      </c>
      <c r="C64" s="3" t="s">
        <v>464</v>
      </c>
      <c r="D64" s="3" t="s">
        <v>19</v>
      </c>
      <c r="E64" s="3" t="s">
        <v>328</v>
      </c>
      <c r="F64" s="3"/>
      <c r="G64" s="3" t="s">
        <v>149</v>
      </c>
      <c r="H64" s="3">
        <v>2</v>
      </c>
      <c r="I64" s="3" t="s">
        <v>17</v>
      </c>
      <c r="J64" s="3"/>
      <c r="K64" s="3"/>
      <c r="L64" s="3" t="s">
        <v>177</v>
      </c>
    </row>
    <row r="65" spans="1:12" x14ac:dyDescent="0.5">
      <c r="A65" s="3">
        <v>8</v>
      </c>
      <c r="B65" s="3" t="s">
        <v>465</v>
      </c>
      <c r="C65" s="3" t="s">
        <v>507</v>
      </c>
      <c r="D65" s="3" t="s">
        <v>25</v>
      </c>
      <c r="E65" s="3" t="s">
        <v>535</v>
      </c>
      <c r="F65" s="3"/>
      <c r="G65" s="3">
        <v>304</v>
      </c>
      <c r="H65" s="3">
        <v>2</v>
      </c>
      <c r="I65" s="3" t="s">
        <v>17</v>
      </c>
      <c r="J65" s="3">
        <v>4</v>
      </c>
      <c r="K65" s="3">
        <f>J65*H65</f>
        <v>8</v>
      </c>
      <c r="L65" s="3" t="s">
        <v>177</v>
      </c>
    </row>
    <row r="66" spans="1:12" x14ac:dyDescent="0.5">
      <c r="A66" s="3">
        <v>9</v>
      </c>
      <c r="B66" s="3" t="s">
        <v>466</v>
      </c>
      <c r="C66" s="3" t="s">
        <v>467</v>
      </c>
      <c r="D66" s="3" t="s">
        <v>25</v>
      </c>
      <c r="E66" s="3" t="s">
        <v>552</v>
      </c>
      <c r="F66" s="3"/>
      <c r="G66" s="3">
        <v>304</v>
      </c>
      <c r="H66" s="3">
        <v>1</v>
      </c>
      <c r="I66" s="3" t="s">
        <v>17</v>
      </c>
      <c r="J66" s="3">
        <v>5.5</v>
      </c>
      <c r="K66" s="3">
        <f>H66*J66</f>
        <v>5.5</v>
      </c>
      <c r="L66" s="3" t="s">
        <v>177</v>
      </c>
    </row>
    <row r="67" spans="1:12" x14ac:dyDescent="0.5">
      <c r="A67" s="3">
        <v>10</v>
      </c>
      <c r="B67" s="3" t="s">
        <v>468</v>
      </c>
      <c r="C67" s="3" t="s">
        <v>469</v>
      </c>
      <c r="D67" s="3" t="s">
        <v>19</v>
      </c>
      <c r="E67" s="3" t="s">
        <v>529</v>
      </c>
      <c r="F67" s="3" t="s">
        <v>27</v>
      </c>
      <c r="G67" s="3">
        <v>304</v>
      </c>
      <c r="H67" s="3">
        <v>1</v>
      </c>
      <c r="I67" s="3" t="s">
        <v>17</v>
      </c>
      <c r="J67" s="3"/>
      <c r="K67" s="3"/>
      <c r="L67" s="3"/>
    </row>
    <row r="68" spans="1:12" x14ac:dyDescent="0.5">
      <c r="A68" s="3">
        <v>11</v>
      </c>
      <c r="B68" s="3" t="s">
        <v>470</v>
      </c>
      <c r="C68" s="3" t="s">
        <v>471</v>
      </c>
      <c r="D68" s="3" t="s">
        <v>25</v>
      </c>
      <c r="E68" s="3" t="s">
        <v>547</v>
      </c>
      <c r="F68" s="3"/>
      <c r="G68" s="3">
        <v>304</v>
      </c>
      <c r="H68" s="3">
        <v>1</v>
      </c>
      <c r="I68" s="3" t="s">
        <v>17</v>
      </c>
      <c r="J68" s="3">
        <v>7.5</v>
      </c>
      <c r="K68" s="3">
        <f>H68*J68</f>
        <v>7.5</v>
      </c>
      <c r="L68" s="3"/>
    </row>
    <row r="69" spans="1:12" x14ac:dyDescent="0.5">
      <c r="A69" s="3">
        <v>12</v>
      </c>
      <c r="B69" s="3" t="s">
        <v>472</v>
      </c>
      <c r="C69" s="3" t="s">
        <v>473</v>
      </c>
      <c r="D69" s="3" t="s">
        <v>52</v>
      </c>
      <c r="E69" s="3" t="s">
        <v>550</v>
      </c>
      <c r="F69" s="3"/>
      <c r="G69" s="3">
        <v>304</v>
      </c>
      <c r="H69" s="3">
        <v>2</v>
      </c>
      <c r="I69" s="3" t="s">
        <v>17</v>
      </c>
      <c r="J69" s="3"/>
      <c r="K69" s="3"/>
      <c r="L69" s="3"/>
    </row>
    <row r="70" spans="1:12" x14ac:dyDescent="0.5">
      <c r="A70" s="3">
        <v>13</v>
      </c>
      <c r="B70" s="3" t="s">
        <v>474</v>
      </c>
      <c r="C70" s="3" t="s">
        <v>475</v>
      </c>
      <c r="D70" s="3" t="s">
        <v>77</v>
      </c>
      <c r="E70" s="3" t="s">
        <v>515</v>
      </c>
      <c r="F70" s="3"/>
      <c r="G70" s="3">
        <v>304</v>
      </c>
      <c r="H70" s="3">
        <v>1</v>
      </c>
      <c r="I70" s="3" t="s">
        <v>17</v>
      </c>
      <c r="J70" s="3"/>
      <c r="K70" s="3"/>
      <c r="L70" s="3"/>
    </row>
    <row r="71" spans="1:12" x14ac:dyDescent="0.5">
      <c r="A71" s="3">
        <v>14</v>
      </c>
      <c r="B71" s="3" t="s">
        <v>476</v>
      </c>
      <c r="C71" s="3" t="s">
        <v>477</v>
      </c>
      <c r="D71" s="3" t="s">
        <v>77</v>
      </c>
      <c r="E71" s="3" t="s">
        <v>514</v>
      </c>
      <c r="F71" s="3"/>
      <c r="G71" s="3">
        <v>304</v>
      </c>
      <c r="H71" s="3">
        <v>1</v>
      </c>
      <c r="I71" s="3" t="s">
        <v>17</v>
      </c>
      <c r="J71" s="3"/>
      <c r="K71" s="3"/>
      <c r="L71" s="3"/>
    </row>
    <row r="72" spans="1:12" x14ac:dyDescent="0.5">
      <c r="A72" s="3">
        <v>15</v>
      </c>
      <c r="B72" s="3" t="s">
        <v>478</v>
      </c>
      <c r="C72" s="3" t="s">
        <v>479</v>
      </c>
      <c r="D72" s="3" t="s">
        <v>173</v>
      </c>
      <c r="E72" s="3" t="s">
        <v>553</v>
      </c>
      <c r="F72" s="3"/>
      <c r="G72" s="3" t="s">
        <v>149</v>
      </c>
      <c r="H72" s="3">
        <v>1</v>
      </c>
      <c r="I72" s="3" t="s">
        <v>16</v>
      </c>
      <c r="J72" s="3"/>
      <c r="K72" s="3"/>
      <c r="L72" s="3"/>
    </row>
    <row r="73" spans="1:12" x14ac:dyDescent="0.5">
      <c r="A73" s="3">
        <v>16</v>
      </c>
      <c r="B73" s="3" t="s">
        <v>480</v>
      </c>
      <c r="C73" s="3" t="s">
        <v>481</v>
      </c>
      <c r="D73" s="3" t="s">
        <v>19</v>
      </c>
      <c r="E73" s="3" t="s">
        <v>529</v>
      </c>
      <c r="F73" s="3" t="s">
        <v>27</v>
      </c>
      <c r="G73" s="3">
        <v>304</v>
      </c>
      <c r="H73" s="3">
        <v>1</v>
      </c>
      <c r="I73" s="3" t="s">
        <v>17</v>
      </c>
      <c r="J73" s="3"/>
      <c r="K73" s="3"/>
      <c r="L73" s="3"/>
    </row>
    <row r="74" spans="1:12" x14ac:dyDescent="0.5">
      <c r="A74" s="3">
        <v>17</v>
      </c>
      <c r="B74" s="3" t="s">
        <v>482</v>
      </c>
      <c r="C74" s="3" t="s">
        <v>483</v>
      </c>
      <c r="D74" s="3" t="s">
        <v>25</v>
      </c>
      <c r="E74" s="3" t="s">
        <v>547</v>
      </c>
      <c r="F74" s="3"/>
      <c r="G74" s="3">
        <v>304</v>
      </c>
      <c r="H74" s="3">
        <v>1</v>
      </c>
      <c r="I74" s="3" t="s">
        <v>17</v>
      </c>
      <c r="J74" s="3">
        <v>7.5</v>
      </c>
      <c r="K74" s="3">
        <f>H74*J74</f>
        <v>7.5</v>
      </c>
      <c r="L74" s="3"/>
    </row>
    <row r="75" spans="1:12" x14ac:dyDescent="0.5">
      <c r="A75" s="3">
        <v>18</v>
      </c>
      <c r="B75" s="3" t="s">
        <v>755</v>
      </c>
      <c r="C75" s="3" t="s">
        <v>756</v>
      </c>
      <c r="D75" s="3" t="s">
        <v>752</v>
      </c>
      <c r="E75" s="3" t="s">
        <v>550</v>
      </c>
      <c r="F75" s="3"/>
      <c r="G75" s="3">
        <v>304</v>
      </c>
      <c r="H75" s="3">
        <v>2</v>
      </c>
      <c r="I75" s="3" t="s">
        <v>17</v>
      </c>
      <c r="J75" s="3"/>
      <c r="K75" s="3"/>
      <c r="L75" s="5" t="s">
        <v>757</v>
      </c>
    </row>
    <row r="76" spans="1:12" x14ac:dyDescent="0.5">
      <c r="A76" s="3">
        <v>19</v>
      </c>
      <c r="B76" s="3" t="s">
        <v>484</v>
      </c>
      <c r="C76" s="3" t="s">
        <v>485</v>
      </c>
      <c r="D76" s="3" t="s">
        <v>173</v>
      </c>
      <c r="E76" s="3" t="s">
        <v>553</v>
      </c>
      <c r="F76" s="3"/>
      <c r="G76" s="3" t="s">
        <v>149</v>
      </c>
      <c r="H76" s="3">
        <v>1</v>
      </c>
      <c r="I76" s="3" t="s">
        <v>16</v>
      </c>
      <c r="J76" s="3"/>
      <c r="K76" s="3"/>
      <c r="L76" s="3"/>
    </row>
    <row r="77" spans="1:12" x14ac:dyDescent="0.5">
      <c r="A77" s="2" t="s">
        <v>194</v>
      </c>
      <c r="B77" s="2" t="s">
        <v>195</v>
      </c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x14ac:dyDescent="0.5">
      <c r="A78" s="3">
        <v>1</v>
      </c>
      <c r="B78" s="3" t="s">
        <v>486</v>
      </c>
      <c r="C78" s="3" t="s">
        <v>487</v>
      </c>
      <c r="D78" s="3" t="s">
        <v>19</v>
      </c>
      <c r="E78" s="3" t="s">
        <v>529</v>
      </c>
      <c r="F78" s="3" t="s">
        <v>27</v>
      </c>
      <c r="G78" s="3">
        <v>304</v>
      </c>
      <c r="H78" s="3">
        <v>1</v>
      </c>
      <c r="I78" s="3" t="s">
        <v>17</v>
      </c>
      <c r="J78" s="3"/>
      <c r="K78" s="3"/>
      <c r="L78" s="3"/>
    </row>
    <row r="79" spans="1:12" x14ac:dyDescent="0.5">
      <c r="A79" s="3">
        <v>2</v>
      </c>
      <c r="B79" s="3" t="s">
        <v>488</v>
      </c>
      <c r="C79" s="3" t="s">
        <v>489</v>
      </c>
      <c r="D79" s="3" t="s">
        <v>25</v>
      </c>
      <c r="E79" s="3" t="s">
        <v>547</v>
      </c>
      <c r="F79" s="3"/>
      <c r="G79" s="3">
        <v>304</v>
      </c>
      <c r="H79" s="3">
        <v>1</v>
      </c>
      <c r="I79" s="3" t="s">
        <v>17</v>
      </c>
      <c r="J79" s="3">
        <v>7.5</v>
      </c>
      <c r="K79" s="3">
        <f>H79*J79</f>
        <v>7.5</v>
      </c>
      <c r="L79" s="3"/>
    </row>
    <row r="80" spans="1:12" x14ac:dyDescent="0.5">
      <c r="A80" s="3">
        <v>3</v>
      </c>
      <c r="B80" s="3" t="s">
        <v>656</v>
      </c>
      <c r="C80" s="3" t="s">
        <v>490</v>
      </c>
      <c r="D80" s="3" t="s">
        <v>52</v>
      </c>
      <c r="E80" s="3" t="s">
        <v>554</v>
      </c>
      <c r="F80" s="3"/>
      <c r="G80" s="3">
        <v>304</v>
      </c>
      <c r="H80" s="3">
        <v>2</v>
      </c>
      <c r="I80" s="3" t="s">
        <v>17</v>
      </c>
      <c r="J80" s="3"/>
      <c r="K80" s="3"/>
      <c r="L80" s="3"/>
    </row>
    <row r="81" spans="1:12" x14ac:dyDescent="0.5">
      <c r="A81" s="3">
        <v>4</v>
      </c>
      <c r="B81" s="3" t="s">
        <v>523</v>
      </c>
      <c r="C81" s="3" t="s">
        <v>491</v>
      </c>
      <c r="D81" s="3" t="s">
        <v>195</v>
      </c>
      <c r="E81" s="3" t="s">
        <v>202</v>
      </c>
      <c r="F81" s="3"/>
      <c r="G81" s="3" t="s">
        <v>203</v>
      </c>
      <c r="H81" s="3">
        <v>1</v>
      </c>
      <c r="I81" s="3" t="s">
        <v>16</v>
      </c>
      <c r="J81" s="3">
        <v>78.2</v>
      </c>
      <c r="K81" s="3">
        <f>H81*J81</f>
        <v>78.2</v>
      </c>
      <c r="L81" s="3"/>
    </row>
    <row r="82" spans="1:12" x14ac:dyDescent="0.5">
      <c r="A82" s="3">
        <v>5</v>
      </c>
      <c r="B82" s="3" t="s">
        <v>695</v>
      </c>
      <c r="C82" s="3" t="s">
        <v>696</v>
      </c>
      <c r="D82" s="3" t="s">
        <v>77</v>
      </c>
      <c r="E82" s="3" t="s">
        <v>699</v>
      </c>
      <c r="F82" s="3"/>
      <c r="G82" s="3" t="s">
        <v>655</v>
      </c>
      <c r="H82" s="3">
        <v>1</v>
      </c>
      <c r="I82" s="3" t="s">
        <v>17</v>
      </c>
      <c r="J82" s="3"/>
      <c r="K82" s="3"/>
      <c r="L82" s="3"/>
    </row>
    <row r="83" spans="1:12" x14ac:dyDescent="0.5">
      <c r="A83" s="2" t="s">
        <v>204</v>
      </c>
      <c r="B83" s="2" t="s">
        <v>205</v>
      </c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x14ac:dyDescent="0.5">
      <c r="A84" s="3">
        <v>1</v>
      </c>
      <c r="B84" s="3" t="s">
        <v>525</v>
      </c>
      <c r="C84" s="3" t="s">
        <v>492</v>
      </c>
      <c r="D84" s="3" t="s">
        <v>19</v>
      </c>
      <c r="E84" s="3" t="s">
        <v>555</v>
      </c>
      <c r="F84" s="3" t="s">
        <v>27</v>
      </c>
      <c r="G84" s="3" t="s">
        <v>208</v>
      </c>
      <c r="H84" s="3">
        <v>3</v>
      </c>
      <c r="I84" s="3" t="s">
        <v>17</v>
      </c>
      <c r="J84" s="3"/>
      <c r="K84" s="3"/>
      <c r="L84" s="3"/>
    </row>
    <row r="85" spans="1:12" x14ac:dyDescent="0.5">
      <c r="A85" s="3">
        <v>2</v>
      </c>
      <c r="B85" s="3" t="s">
        <v>526</v>
      </c>
      <c r="C85" s="3" t="s">
        <v>493</v>
      </c>
      <c r="D85" s="3" t="s">
        <v>22</v>
      </c>
      <c r="E85" s="3" t="s">
        <v>359</v>
      </c>
      <c r="F85" s="3" t="s">
        <v>27</v>
      </c>
      <c r="G85" s="3" t="s">
        <v>208</v>
      </c>
      <c r="H85" s="3">
        <v>3</v>
      </c>
      <c r="I85" s="3" t="s">
        <v>17</v>
      </c>
      <c r="J85" s="3">
        <v>5.5</v>
      </c>
      <c r="K85" s="3">
        <f>H85*J85</f>
        <v>16.5</v>
      </c>
      <c r="L85" s="3"/>
    </row>
    <row r="86" spans="1:12" x14ac:dyDescent="0.5">
      <c r="A86" s="3">
        <v>3</v>
      </c>
      <c r="B86" s="3" t="s">
        <v>524</v>
      </c>
      <c r="C86" s="3" t="s">
        <v>670</v>
      </c>
      <c r="D86" s="3" t="s">
        <v>25</v>
      </c>
      <c r="E86" s="3" t="s">
        <v>556</v>
      </c>
      <c r="F86" s="3"/>
      <c r="G86" s="3" t="s">
        <v>208</v>
      </c>
      <c r="H86" s="3">
        <v>3</v>
      </c>
      <c r="I86" s="3" t="s">
        <v>17</v>
      </c>
      <c r="J86" s="3">
        <v>18.5</v>
      </c>
      <c r="K86" s="3">
        <f t="shared" ref="K86" si="1">H86*J86</f>
        <v>55.5</v>
      </c>
      <c r="L86" s="3" t="s">
        <v>211</v>
      </c>
    </row>
    <row r="87" spans="1:12" x14ac:dyDescent="0.5">
      <c r="A87" s="3">
        <v>4</v>
      </c>
      <c r="B87" s="3" t="s">
        <v>494</v>
      </c>
      <c r="C87" s="3" t="s">
        <v>612</v>
      </c>
      <c r="D87" s="3" t="s">
        <v>19</v>
      </c>
      <c r="E87" s="3" t="s">
        <v>729</v>
      </c>
      <c r="F87" s="3" t="s">
        <v>153</v>
      </c>
      <c r="G87" s="3" t="s">
        <v>208</v>
      </c>
      <c r="H87" s="3">
        <v>10</v>
      </c>
      <c r="I87" s="3" t="s">
        <v>17</v>
      </c>
      <c r="J87" s="3"/>
      <c r="K87" s="3"/>
      <c r="L87" s="3"/>
    </row>
    <row r="88" spans="1:12" x14ac:dyDescent="0.5">
      <c r="A88" s="3">
        <v>5</v>
      </c>
      <c r="B88" s="3" t="s">
        <v>495</v>
      </c>
      <c r="C88" s="3" t="s">
        <v>613</v>
      </c>
      <c r="D88" s="3" t="s">
        <v>25</v>
      </c>
      <c r="E88" s="3" t="s">
        <v>537</v>
      </c>
      <c r="F88" s="3"/>
      <c r="G88" s="3" t="s">
        <v>208</v>
      </c>
      <c r="H88" s="3">
        <v>5</v>
      </c>
      <c r="I88" s="3" t="s">
        <v>17</v>
      </c>
      <c r="J88" s="3">
        <v>18.5</v>
      </c>
      <c r="K88" s="3">
        <f>H88*J88</f>
        <v>92.5</v>
      </c>
      <c r="L88" s="3" t="s">
        <v>211</v>
      </c>
    </row>
    <row r="89" spans="1:12" x14ac:dyDescent="0.5">
      <c r="A89" s="3">
        <v>6</v>
      </c>
      <c r="B89" s="3" t="s">
        <v>496</v>
      </c>
      <c r="C89" s="3" t="s">
        <v>614</v>
      </c>
      <c r="D89" s="3" t="s">
        <v>77</v>
      </c>
      <c r="E89" s="3" t="s">
        <v>132</v>
      </c>
      <c r="F89" s="3"/>
      <c r="G89" s="3" t="s">
        <v>208</v>
      </c>
      <c r="H89" s="3">
        <v>5</v>
      </c>
      <c r="I89" s="3" t="s">
        <v>17</v>
      </c>
      <c r="J89" s="3"/>
      <c r="K89" s="3"/>
      <c r="L89" s="3"/>
    </row>
    <row r="90" spans="1:12" x14ac:dyDescent="0.5">
      <c r="A90" s="3">
        <v>7</v>
      </c>
      <c r="B90" s="3" t="s">
        <v>497</v>
      </c>
      <c r="C90" s="3" t="s">
        <v>703</v>
      </c>
      <c r="D90" s="3" t="s">
        <v>52</v>
      </c>
      <c r="E90" s="3" t="s">
        <v>717</v>
      </c>
      <c r="F90" s="3"/>
      <c r="G90" s="3" t="s">
        <v>208</v>
      </c>
      <c r="H90" s="3">
        <v>5</v>
      </c>
      <c r="I90" s="3" t="s">
        <v>17</v>
      </c>
      <c r="J90" s="3"/>
      <c r="K90" s="3"/>
      <c r="L90" s="3"/>
    </row>
    <row r="91" spans="1:12" x14ac:dyDescent="0.5">
      <c r="A91" s="3">
        <v>8</v>
      </c>
      <c r="B91" s="3" t="s">
        <v>504</v>
      </c>
      <c r="C91" s="3" t="s">
        <v>615</v>
      </c>
      <c r="D91" s="3" t="s">
        <v>500</v>
      </c>
      <c r="E91" s="3" t="s">
        <v>501</v>
      </c>
      <c r="F91" s="3"/>
      <c r="G91" s="3" t="s">
        <v>502</v>
      </c>
      <c r="H91" s="3">
        <v>1</v>
      </c>
      <c r="I91" s="3" t="s">
        <v>17</v>
      </c>
      <c r="J91" s="3"/>
      <c r="K91" s="3"/>
      <c r="L91" s="3"/>
    </row>
    <row r="92" spans="1:12" x14ac:dyDescent="0.5">
      <c r="K92" s="1">
        <f>SUM(K3:K90)</f>
        <v>486.11</v>
      </c>
    </row>
  </sheetData>
  <mergeCells count="1">
    <mergeCell ref="A1:L1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10万吨75%麦芽糖</vt:lpstr>
      <vt:lpstr>5万吨75%麦芽糖</vt:lpstr>
      <vt:lpstr>5万吨84%麦芽糖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JZ X</cp:lastModifiedBy>
  <dcterms:created xsi:type="dcterms:W3CDTF">2015-06-05T18:19:00Z</dcterms:created>
  <dcterms:modified xsi:type="dcterms:W3CDTF">2025-07-19T05:50:53Z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3DDEF8EF8F444A3F921C7D48DFDCD5D4_12</vt:lpwstr>
  </property>
  <property fmtid="{D5CDD505-2E9C-101B-9397-08002B2CF9AE}" pid="3" name="KSOProductBuildVer">
    <vt:lpwstr>2052-12.1.0.20784</vt:lpwstr>
  </property>
</Properties>
</file>