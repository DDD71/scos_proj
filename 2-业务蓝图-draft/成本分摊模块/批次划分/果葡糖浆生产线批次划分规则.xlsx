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460" activeTab="1"/>
  </bookViews>
  <sheets>
    <sheet name="批次划分规则1" sheetId="1" r:id="rId1"/>
    <sheet name="批次信息详表" sheetId="3" r:id="rId2"/>
    <sheet name="Sheet2" sheetId="4" r:id="rId3"/>
    <sheet name="Sheet3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<sst xmlns="http://schemas.openxmlformats.org/spreadsheetml/2006/main" count="1566" uniqueCount="952">
  <si>
    <t>层级</t>
  </si>
  <si>
    <t>名称</t>
  </si>
  <si>
    <t>划分物理起点与终点</t>
  </si>
  <si>
    <t>编码格式</t>
  </si>
  <si>
    <t>示例</t>
  </si>
  <si>
    <t>说明</t>
  </si>
  <si>
    <r>
      <rPr>
        <sz val="12"/>
        <color theme="1"/>
        <rFont val="宋体"/>
        <charset val="134"/>
        <scheme val="minor"/>
      </rPr>
      <t>第</t>
    </r>
    <r>
      <rPr>
        <sz val="12"/>
        <color theme="1"/>
        <rFont val="Calibri"/>
        <charset val="134"/>
      </rPr>
      <t>1</t>
    </r>
    <r>
      <rPr>
        <sz val="12"/>
        <color theme="1"/>
        <rFont val="宋体"/>
        <charset val="134"/>
        <scheme val="minor"/>
      </rPr>
      <t>层</t>
    </r>
  </si>
  <si>
    <t>供应商原料批次</t>
  </si>
  <si>
    <t>供应商自行划分，并提供原料出厂数据（包装规格、质量数据、生产日期）</t>
  </si>
  <si>
    <t>——</t>
  </si>
  <si>
    <t>编号说明：印刷在袋子上、纸质单子（包括供应商名称、规格、质检数据、生产日期等）。</t>
  </si>
  <si>
    <t>车辆入厂与原料卸货：
 1、TMS通知卸车人员，入平面库库位编号，卸车人员识别袋子物料批次，按要求送入相应批次库位；不同批次分开库位堆放。
 2、仓储物流岗位负责取样时负责录入供应商物料信息（日期、规格、供应商名称等）；WMS自动关联库位与物料批次信息。</t>
  </si>
  <si>
    <t>第 2 层</t>
  </si>
  <si>
    <t>入厂原料批次</t>
  </si>
  <si>
    <t>根据车辆入厂日期、车次划分、供应商ID号</t>
  </si>
  <si>
    <r>
      <rPr>
        <sz val="12"/>
        <color theme="1"/>
        <rFont val="Calibri"/>
        <charset val="134"/>
      </rPr>
      <t>YYMMDD-</t>
    </r>
    <r>
      <rPr>
        <sz val="12"/>
        <color theme="1"/>
        <rFont val="宋体"/>
        <charset val="134"/>
        <scheme val="minor"/>
      </rPr>
      <t>序号</t>
    </r>
    <r>
      <rPr>
        <sz val="12"/>
        <color theme="1"/>
        <rFont val="Calibri"/>
        <charset val="134"/>
      </rPr>
      <t>-</t>
    </r>
    <r>
      <rPr>
        <sz val="12"/>
        <color theme="1"/>
        <rFont val="宋体-简"/>
        <charset val="134"/>
      </rPr>
      <t>供应商</t>
    </r>
    <r>
      <rPr>
        <sz val="12"/>
        <color theme="1"/>
        <rFont val="Calibri"/>
        <charset val="134"/>
      </rPr>
      <t>ID</t>
    </r>
    <r>
      <rPr>
        <sz val="12"/>
        <color theme="1"/>
        <rFont val="宋体-简"/>
        <charset val="134"/>
      </rPr>
      <t>号</t>
    </r>
  </si>
  <si>
    <t>260801-001-XXX</t>
  </si>
  <si>
    <t>1、根据仓储物流管理人员录入的信息关联供应商批次信息。
2、如果原料直接卸货到线边则与线边批次关联。</t>
  </si>
  <si>
    <t>平面库库位批次</t>
  </si>
  <si>
    <t>根据叉车入平面库库位划分</t>
  </si>
  <si>
    <r>
      <rPr>
        <sz val="12"/>
        <color theme="1"/>
        <rFont val="Calibri"/>
        <charset val="134"/>
      </rPr>
      <t>YYMMDD-</t>
    </r>
    <r>
      <rPr>
        <sz val="12"/>
        <color theme="1"/>
        <rFont val="宋体"/>
        <charset val="134"/>
        <scheme val="minor"/>
      </rPr>
      <t>序号</t>
    </r>
    <r>
      <rPr>
        <sz val="12"/>
        <color theme="1"/>
        <rFont val="Calibri"/>
        <charset val="134"/>
      </rPr>
      <t>-K</t>
    </r>
    <r>
      <rPr>
        <sz val="12"/>
        <color theme="1"/>
        <rFont val="宋体-简"/>
        <charset val="134"/>
      </rPr>
      <t>库位号</t>
    </r>
  </si>
  <si>
    <t>260801-001-K001</t>
  </si>
  <si>
    <t>指定卸货叉车入库库位，库位直接关联入厂原料批次。</t>
  </si>
  <si>
    <t>线边投料原料批次</t>
  </si>
  <si>
    <t>指定移库叉车线边工位。</t>
  </si>
  <si>
    <r>
      <rPr>
        <sz val="12"/>
        <color theme="1"/>
        <rFont val="Calibri"/>
        <charset val="134"/>
      </rPr>
      <t>YYMMDD-</t>
    </r>
    <r>
      <rPr>
        <sz val="12"/>
        <color theme="1"/>
        <rFont val="宋体"/>
        <charset val="134"/>
        <scheme val="minor"/>
      </rPr>
      <t>序号</t>
    </r>
    <r>
      <rPr>
        <sz val="12"/>
        <color theme="1"/>
        <rFont val="Calibri"/>
        <charset val="134"/>
      </rPr>
      <t>-XB</t>
    </r>
    <r>
      <rPr>
        <sz val="12"/>
        <color theme="1"/>
        <rFont val="宋体-简"/>
        <charset val="134"/>
      </rPr>
      <t>线边工位号</t>
    </r>
  </si>
  <si>
    <t>260801-001-XB01</t>
  </si>
  <si>
    <t>关联平面库库位批次</t>
  </si>
  <si>
    <t>第 3 层</t>
  </si>
  <si>
    <t>投料批次</t>
  </si>
  <si>
    <r>
      <t>时间窗口；以投料口作为起点，液化液入糖化罐口阀作为终点切分，糖化酶、糖化罐酸添加计入相应糖化罐。</t>
    </r>
    <r>
      <rPr>
        <sz val="12"/>
        <color rgb="FFC00000"/>
        <rFont val="宋体"/>
        <charset val="134"/>
        <scheme val="minor"/>
      </rPr>
      <t>时间窗口Tw小时</t>
    </r>
  </si>
  <si>
    <t>YYMMDD-W-HHMM</t>
  </si>
  <si>
    <t>260801-W-0800</t>
  </si>
  <si>
    <t>覆盖拆包、溶粉、液化，绑定原料批次</t>
  </si>
  <si>
    <t>第 4 层</t>
  </si>
  <si>
    <t>糖化批次</t>
  </si>
  <si>
    <r>
      <rPr>
        <sz val="12"/>
        <color theme="1"/>
        <rFont val="Calibri"/>
        <charset val="134"/>
      </rPr>
      <t>12</t>
    </r>
    <r>
      <rPr>
        <sz val="12"/>
        <color theme="1"/>
        <rFont val="宋体"/>
        <charset val="134"/>
        <scheme val="minor"/>
      </rPr>
      <t>个糖化罐独立出料。以糖化罐出口阀为切分点。</t>
    </r>
  </si>
  <si>
    <r>
      <rPr>
        <sz val="12"/>
        <color theme="1"/>
        <rFont val="Calibri"/>
        <charset val="134"/>
      </rPr>
      <t>YYMMDD-TH</t>
    </r>
    <r>
      <rPr>
        <sz val="12"/>
        <color theme="1"/>
        <rFont val="宋体"/>
        <charset val="134"/>
        <scheme val="minor"/>
      </rPr>
      <t>罐号</t>
    </r>
    <r>
      <rPr>
        <sz val="12"/>
        <color theme="1"/>
        <rFont val="Calibri"/>
        <charset val="134"/>
      </rPr>
      <t>-</t>
    </r>
    <r>
      <rPr>
        <sz val="12"/>
        <color theme="1"/>
        <rFont val="宋体"/>
        <charset val="134"/>
        <scheme val="minor"/>
      </rPr>
      <t>序号</t>
    </r>
  </si>
  <si>
    <t>260801-TH03-001</t>
  </si>
  <si>
    <t>第一个物理切分点。覆盖糖化工序。</t>
  </si>
  <si>
    <t>第 5 层</t>
  </si>
  <si>
    <r>
      <t>F42</t>
    </r>
    <r>
      <rPr>
        <sz val="12"/>
        <color theme="1"/>
        <rFont val="宋体"/>
        <charset val="134"/>
        <scheme val="minor"/>
      </rPr>
      <t>中间品批次</t>
    </r>
  </si>
  <si>
    <r>
      <t>F42</t>
    </r>
    <r>
      <rPr>
        <sz val="12"/>
        <color theme="1"/>
        <rFont val="宋体"/>
        <charset val="134"/>
        <scheme val="minor"/>
      </rPr>
      <t>装置产出段（分叉点）；以糖化罐出口阀为起点，离交出料流量计（</t>
    </r>
    <r>
      <rPr>
        <sz val="12"/>
        <color theme="1"/>
        <rFont val="Calibri"/>
        <charset val="134"/>
      </rPr>
      <t>FT120101</t>
    </r>
    <r>
      <rPr>
        <sz val="12"/>
        <color theme="1"/>
        <rFont val="宋体-简"/>
        <charset val="134"/>
      </rPr>
      <t>）为终点物理切分，用时间进行切片划分</t>
    </r>
    <r>
      <rPr>
        <sz val="12"/>
        <color theme="1"/>
        <rFont val="宋体"/>
        <charset val="134"/>
        <scheme val="minor"/>
      </rPr>
      <t>。</t>
    </r>
    <r>
      <rPr>
        <sz val="12"/>
        <color rgb="FFC00000"/>
        <rFont val="宋体"/>
        <charset val="134"/>
        <scheme val="minor"/>
      </rPr>
      <t>时间窗口</t>
    </r>
    <r>
      <rPr>
        <sz val="12"/>
        <color rgb="FFC00000"/>
        <rFont val="Calibri"/>
        <charset val="134"/>
      </rPr>
      <t>Tf42X</t>
    </r>
    <r>
      <rPr>
        <sz val="12"/>
        <color rgb="FFC00000"/>
        <rFont val="宋体-简"/>
        <charset val="134"/>
      </rPr>
      <t>小时</t>
    </r>
  </si>
  <si>
    <t>YYMMDD-F42-HHMM</t>
  </si>
  <si>
    <t>260801-F42-0800</t>
  </si>
  <si>
    <t>所有产品的共同前体，分叉点。覆盖过滤、F00脱色、密闭过滤、袋式过滤、换热、F00离交、换热/F00蒸发、袋式过滤、换热、异构、F42脱色、密闭过滤 、换热、F42离交工序。</t>
  </si>
  <si>
    <t>第 6 层</t>
  </si>
  <si>
    <t>色谱分离批次</t>
  </si>
  <si>
    <r>
      <t>进入色谱分离的</t>
    </r>
    <r>
      <rPr>
        <sz val="12"/>
        <color theme="1"/>
        <rFont val="Calibri"/>
        <charset val="134"/>
      </rPr>
      <t>F90</t>
    </r>
    <r>
      <rPr>
        <sz val="12"/>
        <color theme="1"/>
        <rFont val="宋体"/>
        <charset val="134"/>
        <scheme val="minor"/>
      </rPr>
      <t>产出；以离交出料流量计（FT出料流量计FT120103为起点，入F55混合器调节阀为终点进行物理切分，用时间进行切片划分。</t>
    </r>
    <r>
      <rPr>
        <sz val="12"/>
        <color rgb="FFC00000"/>
        <rFont val="宋体"/>
        <charset val="134"/>
        <scheme val="minor"/>
      </rPr>
      <t>时间窗口Tf90X小时</t>
    </r>
  </si>
  <si>
    <t>YYMMDD-F90-HHMM</t>
  </si>
  <si>
    <t>260801-F90-0800</t>
  </si>
  <si>
    <t>F90糖浆批次，对应一部分F42中间品。覆盖F42蒸发、色谱分离。</t>
  </si>
  <si>
    <t>第 7 层</t>
  </si>
  <si>
    <r>
      <rPr>
        <sz val="12"/>
        <color theme="1"/>
        <rFont val="Calibri"/>
        <charset val="134"/>
      </rPr>
      <t>F55</t>
    </r>
    <r>
      <rPr>
        <sz val="12"/>
        <color theme="1"/>
        <rFont val="宋体"/>
        <charset val="134"/>
        <scheme val="minor"/>
      </rPr>
      <t>混合批次</t>
    </r>
  </si>
  <si>
    <r>
      <t>两路汇合</t>
    </r>
    <r>
      <rPr>
        <sz val="12"/>
        <color theme="1"/>
        <rFont val="Calibri"/>
        <charset val="134"/>
      </rPr>
      <t>+</t>
    </r>
    <r>
      <rPr>
        <sz val="12"/>
        <color theme="1"/>
        <rFont val="宋体"/>
        <charset val="134"/>
        <scheme val="minor"/>
      </rPr>
      <t>配方执行（汇合点）；以F55混合器为起点，QC罐进罐阀为终点进行物理划分，用时间进行切片划分。</t>
    </r>
    <r>
      <rPr>
        <sz val="12"/>
        <color rgb="FFC00000"/>
        <rFont val="宋体"/>
        <charset val="134"/>
        <scheme val="minor"/>
      </rPr>
      <t>时间窗口ThX小时</t>
    </r>
  </si>
  <si>
    <t>YYMMDD-H-HHMM</t>
  </si>
  <si>
    <t>260801-H-0800</t>
  </si>
  <si>
    <t>汇合点，配方切换时生成新批次。覆盖F55混合、冰水换热、混床、密闭过滤、减菌过滤、F55蒸发。</t>
  </si>
  <si>
    <t>第 8 层</t>
  </si>
  <si>
    <r>
      <t>QC</t>
    </r>
    <r>
      <rPr>
        <sz val="12"/>
        <color theme="1"/>
        <rFont val="宋体"/>
        <charset val="134"/>
        <scheme val="minor"/>
      </rPr>
      <t>罐批次</t>
    </r>
  </si>
  <si>
    <r>
      <t>QC</t>
    </r>
    <r>
      <rPr>
        <sz val="12"/>
        <color theme="1"/>
        <rFont val="宋体"/>
        <charset val="134"/>
        <scheme val="minor"/>
      </rPr>
      <t>罐独立进料；以</t>
    </r>
    <r>
      <rPr>
        <sz val="12"/>
        <color theme="1"/>
        <rFont val="Calibri"/>
        <charset val="134"/>
      </rPr>
      <t>QC</t>
    </r>
    <r>
      <rPr>
        <sz val="12"/>
        <color theme="1"/>
        <rFont val="宋体-简"/>
        <charset val="134"/>
      </rPr>
      <t>罐进料阀为起点，出料阀为终点进行物理划分。</t>
    </r>
  </si>
  <si>
    <r>
      <t>YYMMDD-Q</t>
    </r>
    <r>
      <rPr>
        <sz val="12"/>
        <color theme="1"/>
        <rFont val="宋体"/>
        <charset val="134"/>
        <scheme val="minor"/>
      </rPr>
      <t>罐号</t>
    </r>
    <r>
      <rPr>
        <sz val="12"/>
        <color theme="1"/>
        <rFont val="Calibri"/>
        <charset val="134"/>
      </rPr>
      <t>-</t>
    </r>
    <r>
      <rPr>
        <sz val="12"/>
        <color theme="1"/>
        <rFont val="宋体-简"/>
        <charset val="134"/>
      </rPr>
      <t>进料序号</t>
    </r>
  </si>
  <si>
    <t>260801-Q01-01</t>
  </si>
  <si>
    <t>QC罐。</t>
  </si>
  <si>
    <t>第 9 层</t>
  </si>
  <si>
    <t>成品罐批次</t>
  </si>
  <si>
    <t>按产品分罐，按进罐时间切分；以成品罐进料阀为起点出口阀为终点物理划分。</t>
  </si>
  <si>
    <r>
      <t>YYMMDD-F</t>
    </r>
    <r>
      <rPr>
        <sz val="12"/>
        <color theme="1"/>
        <rFont val="宋体"/>
        <charset val="134"/>
        <scheme val="minor"/>
      </rPr>
      <t>罐号</t>
    </r>
  </si>
  <si>
    <t>260801-F001</t>
  </si>
  <si>
    <t>成品各自独立存放。</t>
  </si>
  <si>
    <t>第10层</t>
  </si>
  <si>
    <t>车次批次</t>
  </si>
  <si>
    <t>每车独立。以成品罐出料阀为起点，绑定车号。</t>
  </si>
  <si>
    <r>
      <t>YYMMDD-F</t>
    </r>
    <r>
      <rPr>
        <sz val="12"/>
        <color theme="1"/>
        <rFont val="宋体"/>
        <charset val="134"/>
        <scheme val="minor"/>
      </rPr>
      <t>罐号</t>
    </r>
    <r>
      <rPr>
        <sz val="12"/>
        <color theme="1"/>
        <rFont val="Calibri"/>
        <charset val="134"/>
      </rPr>
      <t>-</t>
    </r>
    <r>
      <rPr>
        <sz val="12"/>
        <color theme="1"/>
        <rFont val="宋体-简"/>
        <charset val="134"/>
      </rPr>
      <t>装车</t>
    </r>
    <r>
      <rPr>
        <sz val="12"/>
        <color theme="1"/>
        <rFont val="宋体"/>
        <charset val="134"/>
        <scheme val="minor"/>
      </rPr>
      <t>序号</t>
    </r>
  </si>
  <si>
    <t>260801-F001-01</t>
  </si>
  <si>
    <t>最终给客户的批次号</t>
  </si>
  <si>
    <t>批次切片时间设置</t>
  </si>
  <si>
    <t>切片批次</t>
  </si>
  <si>
    <t>切片时间长度计算公式</t>
  </si>
  <si>
    <t>投料批次时间切片长度</t>
  </si>
  <si>
    <r>
      <t xml:space="preserve">Tw=投料口至糖化罐入口阀管道及设备有效容积 </t>
    </r>
    <r>
      <rPr>
        <sz val="12"/>
        <color theme="1"/>
        <rFont val="Arial"/>
        <charset val="134"/>
      </rPr>
      <t>÷</t>
    </r>
    <r>
      <rPr>
        <sz val="12"/>
        <color theme="1"/>
        <rFont val="宋体"/>
        <charset val="134"/>
        <scheme val="minor"/>
      </rPr>
      <t xml:space="preserve"> 淀粉乳流量（质量流量计）</t>
    </r>
  </si>
  <si>
    <t>上一个批次的结束时间为下一个批次的开始时间</t>
  </si>
  <si>
    <t>F42中间品批次时间切片长度</t>
  </si>
  <si>
    <r>
      <t xml:space="preserve">Tf42=糖化罐出口阀至离交出料流量计（FT120101）管道及设备有效容积 </t>
    </r>
    <r>
      <rPr>
        <sz val="12"/>
        <color theme="1"/>
        <rFont val="Arial"/>
        <charset val="134"/>
      </rPr>
      <t>÷</t>
    </r>
    <r>
      <rPr>
        <sz val="12"/>
        <color theme="1"/>
        <rFont val="宋体"/>
        <charset val="134"/>
        <scheme val="minor"/>
      </rPr>
      <t xml:space="preserve"> 流量（FT120101）（质量流量计）</t>
    </r>
  </si>
  <si>
    <t>色谱分离批次时间切片长度</t>
  </si>
  <si>
    <r>
      <t xml:space="preserve">Tf90=离交出料流量计FT120103至F55混合器调节阀管道及设备有效容积 </t>
    </r>
    <r>
      <rPr>
        <sz val="12"/>
        <color theme="1"/>
        <rFont val="Arial"/>
        <charset val="134"/>
      </rPr>
      <t>÷</t>
    </r>
    <r>
      <rPr>
        <sz val="12"/>
        <color theme="1"/>
        <rFont val="宋体"/>
        <charset val="134"/>
        <scheme val="minor"/>
      </rPr>
      <t xml:space="preserve"> 流量（FT120103）（质量流量计）</t>
    </r>
  </si>
  <si>
    <t>混合批次时间切片长度</t>
  </si>
  <si>
    <r>
      <t xml:space="preserve">Th=F55混合器调节阀至F55蒸发器出口流量计管道及设备有效容积 </t>
    </r>
    <r>
      <rPr>
        <sz val="12"/>
        <color theme="1"/>
        <rFont val="Arial"/>
        <charset val="134"/>
      </rPr>
      <t>÷</t>
    </r>
    <r>
      <rPr>
        <sz val="12"/>
        <color theme="1"/>
        <rFont val="宋体"/>
        <charset val="134"/>
        <scheme val="minor"/>
      </rPr>
      <t xml:space="preserve"> 流量（F55蒸发器出口流量计）（质量流量计）</t>
    </r>
  </si>
  <si>
    <t>这套追溯体系能够支撑精细化成本核算的核心设计。每个层级的成本完全由上游成本叠加本层新增成本构成，层层传递，直到最终产品。这种设计有以下几个优点：
1、逻辑清晰，可追溯：任何一批成品的成本都可以沿着批次链路向上游层层追溯，直到玉米淀粉批次
2、符合财务核算规则：与实际成本流转过程一致
3、便于差异分析：当某批次成本异常时，可以逐层定位是在哪个环节、哪个层级产生的偏差
4、是一种“精益成本核算”方法。它的核心优点在于：成本随物料实际流动而流转，与物理流程完全一致，确保了成本核算的真实性和可追溯性。</t>
  </si>
  <si>
    <t>第10层：车次批号信息：成本核算、质量追溯、客户投诉处理、财务结算</t>
  </si>
  <si>
    <t>1、基本信息</t>
  </si>
  <si>
    <t>2、关联上游字段</t>
  </si>
  <si>
    <t>3、物流信息</t>
  </si>
  <si>
    <t>4、订单与客户信息</t>
  </si>
  <si>
    <t>5、质量信息</t>
  </si>
  <si>
    <t>6、签收信息</t>
  </si>
  <si>
    <t>7、成本信息</t>
  </si>
  <si>
    <t>字段</t>
  </si>
  <si>
    <t>车次批次号</t>
  </si>
  <si>
    <t>唯一标识</t>
  </si>
  <si>
    <t>260810-F001-01</t>
  </si>
  <si>
    <t>关联成品罐批次号</t>
  </si>
  <si>
    <t>该车货来源的成品罐批次</t>
  </si>
  <si>
    <t>车牌号</t>
  </si>
  <si>
    <t>罐车车牌号</t>
  </si>
  <si>
    <t>苏E-12345</t>
  </si>
  <si>
    <t>订单号</t>
  </si>
  <si>
    <t>销售订单编号</t>
  </si>
  <si>
    <t>SO-20260810-001</t>
  </si>
  <si>
    <t>出厂检验报告编号</t>
  </si>
  <si>
    <t>该车货的质量检验报告</t>
  </si>
  <si>
    <t>QA-20260810-001</t>
  </si>
  <si>
    <t>签收时间</t>
  </si>
  <si>
    <t>客户签收确认时间</t>
  </si>
  <si>
    <t>2026-08-10 20:30:00</t>
  </si>
  <si>
    <r>
      <t>单位成本（元</t>
    </r>
    <r>
      <rPr>
        <sz val="12"/>
        <color theme="1"/>
        <rFont val="Calibri"/>
        <charset val="134"/>
      </rPr>
      <t>/</t>
    </r>
    <r>
      <rPr>
        <sz val="12"/>
        <color theme="1"/>
        <rFont val="宋体"/>
        <charset val="134"/>
        <scheme val="minor"/>
      </rPr>
      <t>吨）</t>
    </r>
  </si>
  <si>
    <t>继承自成品罐批次单位成本</t>
  </si>
  <si>
    <t>装车时间</t>
  </si>
  <si>
    <t>装车开始时间</t>
  </si>
  <si>
    <t>成品罐进料批次</t>
  </si>
  <si>
    <t>关联成品罐的进料批次信息</t>
  </si>
  <si>
    <t>继承自成品罐批次</t>
  </si>
  <si>
    <t>承运商</t>
  </si>
  <si>
    <t>运输公司名称</t>
  </si>
  <si>
    <t>XX物流公司</t>
  </si>
  <si>
    <t>客户名称</t>
  </si>
  <si>
    <t>收货客户</t>
  </si>
  <si>
    <t>XX食品有限公司</t>
  </si>
  <si>
    <t>检验结果</t>
  </si>
  <si>
    <t>合格 / 不合格</t>
  </si>
  <si>
    <t>合格</t>
  </si>
  <si>
    <t>签收人</t>
  </si>
  <si>
    <t>客户签收人姓名</t>
  </si>
  <si>
    <t>赵六</t>
  </si>
  <si>
    <t>生产成本（元）</t>
  </si>
  <si>
    <r>
      <t>装车量</t>
    </r>
    <r>
      <rPr>
        <sz val="12"/>
        <color theme="1"/>
        <rFont val="Calibri"/>
        <charset val="134"/>
      </rPr>
      <t xml:space="preserve"> × </t>
    </r>
    <r>
      <rPr>
        <sz val="12"/>
        <color theme="1"/>
        <rFont val="宋体"/>
        <charset val="134"/>
        <scheme val="minor"/>
      </rPr>
      <t>单位成本</t>
    </r>
  </si>
  <si>
    <t>成品罐编号</t>
  </si>
  <si>
    <t>从哪个成品罐装的</t>
  </si>
  <si>
    <t>F001</t>
  </si>
  <si>
    <t>8、与上游关联逻辑</t>
  </si>
  <si>
    <t>司机姓名</t>
  </si>
  <si>
    <t>李四</t>
  </si>
  <si>
    <t>客户工厂地址</t>
  </si>
  <si>
    <t>交货地址</t>
  </si>
  <si>
    <t>XX市XX区XX路XX号</t>
  </si>
  <si>
    <t>放行确认人</t>
  </si>
  <si>
    <t>质量放行人</t>
  </si>
  <si>
    <t>王五</t>
  </si>
  <si>
    <t>签收重量（吨）</t>
  </si>
  <si>
    <t>客户实际签收吨数</t>
  </si>
  <si>
    <t>运输费用（元）</t>
  </si>
  <si>
    <t>本车运费</t>
  </si>
  <si>
    <t>装车序号</t>
  </si>
  <si>
    <t>该罐当天第几车</t>
  </si>
  <si>
    <t>通过装车时间与DCS成品罐出口阀门状态，关联成品罐编号及相应时间对应的批号。</t>
  </si>
  <si>
    <t>铅封号</t>
  </si>
  <si>
    <t>罐车铅封编号</t>
  </si>
  <si>
    <t>SEAL-20260810-001</t>
  </si>
  <si>
    <t>运输方式</t>
  </si>
  <si>
    <t>槽车 / 吨箱</t>
  </si>
  <si>
    <t>槽车</t>
  </si>
  <si>
    <t>签收状态</t>
  </si>
  <si>
    <t>已签收 / 拒收 / 部分签收</t>
  </si>
  <si>
    <t>已签收</t>
  </si>
  <si>
    <t>总成本（元）</t>
  </si>
  <si>
    <r>
      <t>生产成本</t>
    </r>
    <r>
      <rPr>
        <sz val="12"/>
        <color theme="1"/>
        <rFont val="Calibri"/>
        <charset val="134"/>
      </rPr>
      <t xml:space="preserve"> + </t>
    </r>
    <r>
      <rPr>
        <sz val="12"/>
        <color theme="1"/>
        <rFont val="宋体"/>
        <charset val="134"/>
        <scheme val="minor"/>
      </rPr>
      <t>运输费用</t>
    </r>
  </si>
  <si>
    <t>槽罐清洗、高温消毒</t>
  </si>
  <si>
    <t>装车管道清洗记录</t>
  </si>
  <si>
    <t>装车前管道是否清洗</t>
  </si>
  <si>
    <t>已清洗 / 未清洗</t>
  </si>
  <si>
    <t>运输费用</t>
  </si>
  <si>
    <t>备注</t>
  </si>
  <si>
    <t>异常情况说明</t>
  </si>
  <si>
    <t>无</t>
  </si>
  <si>
    <r>
      <t>销售单价（元</t>
    </r>
    <r>
      <rPr>
        <sz val="12"/>
        <color theme="1"/>
        <rFont val="Calibri"/>
        <charset val="134"/>
      </rPr>
      <t>/</t>
    </r>
    <r>
      <rPr>
        <sz val="12"/>
        <color theme="1"/>
        <rFont val="宋体"/>
        <charset val="134"/>
        <scheme val="minor"/>
      </rPr>
      <t>吨）</t>
    </r>
  </si>
  <si>
    <t>该订单销售单价</t>
  </si>
  <si>
    <t>装车结束时间</t>
  </si>
  <si>
    <t>结束装车时间</t>
  </si>
  <si>
    <t>挂车号</t>
  </si>
  <si>
    <t>销售收入（元）</t>
  </si>
  <si>
    <r>
      <t>装车量</t>
    </r>
    <r>
      <rPr>
        <sz val="12"/>
        <color theme="1"/>
        <rFont val="Calibri"/>
        <charset val="134"/>
      </rPr>
      <t xml:space="preserve"> × </t>
    </r>
    <r>
      <rPr>
        <sz val="12"/>
        <color theme="1"/>
        <rFont val="宋体"/>
        <charset val="134"/>
        <scheme val="minor"/>
      </rPr>
      <t>销售单价</t>
    </r>
  </si>
  <si>
    <t>装车量（单位：吨）</t>
  </si>
  <si>
    <t>装了多少吨</t>
  </si>
  <si>
    <t>槽罐号</t>
  </si>
  <si>
    <t>毛利（元）</t>
  </si>
  <si>
    <r>
      <t>销售收入</t>
    </r>
    <r>
      <rPr>
        <sz val="12"/>
        <color theme="1"/>
        <rFont val="Calibri"/>
        <charset val="134"/>
      </rPr>
      <t xml:space="preserve"> - </t>
    </r>
    <r>
      <rPr>
        <sz val="12"/>
        <color theme="1"/>
        <rFont val="宋体"/>
        <charset val="134"/>
        <scheme val="minor"/>
      </rPr>
      <t>总成本</t>
    </r>
  </si>
  <si>
    <t>装车温度（℃）</t>
  </si>
  <si>
    <t>装车时糖浆温度</t>
  </si>
  <si>
    <t>毛利率</t>
  </si>
  <si>
    <r>
      <t>毛利</t>
    </r>
    <r>
      <rPr>
        <sz val="12"/>
        <color theme="1"/>
        <rFont val="Calibri"/>
        <charset val="134"/>
      </rPr>
      <t xml:space="preserve"> ÷ </t>
    </r>
    <r>
      <rPr>
        <sz val="12"/>
        <color theme="1"/>
        <rFont val="宋体"/>
        <charset val="134"/>
        <scheme val="minor"/>
      </rPr>
      <t xml:space="preserve">销售收入 </t>
    </r>
    <r>
      <rPr>
        <sz val="12"/>
        <color theme="1"/>
        <rFont val="Calibri"/>
        <charset val="134"/>
      </rPr>
      <t>× 100%</t>
    </r>
  </si>
  <si>
    <t>操作人员</t>
  </si>
  <si>
    <t>装车操作人员</t>
  </si>
  <si>
    <t>张三</t>
  </si>
  <si>
    <t>第9层：成品罐批次信息：成本归集、质量追溯、库存管理、车次关联</t>
  </si>
  <si>
    <t>2、关联上下游字段</t>
  </si>
  <si>
    <t>3、质量信息</t>
  </si>
  <si>
    <t>4、库存信息</t>
  </si>
  <si>
    <t>5、成本信息</t>
  </si>
  <si>
    <t>冻结说明</t>
  </si>
  <si>
    <t>冻结场景</t>
  </si>
  <si>
    <t>说明
示例</t>
  </si>
  <si>
    <t>成品罐批次号</t>
  </si>
  <si>
    <t>260810-F001</t>
  </si>
  <si>
    <t>来源QC罐批次清单</t>
  </si>
  <si>
    <t>该成品罐的物料来自哪些QC罐批次</t>
  </si>
  <si>
    <t>Q01～Q08</t>
  </si>
  <si>
    <t>取样时间</t>
  </si>
  <si>
    <t>质量检验取样时间</t>
  </si>
  <si>
    <t>存储位置</t>
  </si>
  <si>
    <t>罐区位置编号</t>
  </si>
  <si>
    <r>
      <t>成品罐区</t>
    </r>
    <r>
      <rPr>
        <sz val="12"/>
        <color theme="1"/>
        <rFont val="Calibri"/>
        <charset val="134"/>
      </rPr>
      <t>A-01</t>
    </r>
  </si>
  <si>
    <t>该成品罐批次的全部成本 = Σ各QC罐批次成本</t>
  </si>
  <si>
    <t>质量冻结</t>
  </si>
  <si>
    <t>该批次产品检验不合格，或存在质量风险，系统自动锁定该批次数据，不允许继续流转</t>
  </si>
  <si>
    <t>哪个成品罐</t>
  </si>
  <si>
    <t>进罐阀门切换记录ID</t>
  </si>
  <si>
    <t>DCS进罐阀门开关记录</t>
  </si>
  <si>
    <t>合格/不合格</t>
  </si>
  <si>
    <r>
      <t>进罐前液位（</t>
    </r>
    <r>
      <rPr>
        <sz val="12"/>
        <color theme="1"/>
        <rFont val="Calibri"/>
        <charset val="134"/>
      </rPr>
      <t>%</t>
    </r>
    <r>
      <rPr>
        <sz val="12"/>
        <color theme="1"/>
        <rFont val="宋体"/>
        <charset val="134"/>
        <scheme val="minor"/>
      </rPr>
      <t>）</t>
    </r>
  </si>
  <si>
    <t>进罐前罐内液位</t>
  </si>
  <si>
    <t>单位成本（元/吨）</t>
  </si>
  <si>
    <t>总成本 ÷ 进罐总量</t>
  </si>
  <si>
    <t>成本冻结</t>
  </si>
  <si>
    <t>该批次成本已确认入账，为防止后续数据篡改影响财务数据，系统锁定该批次</t>
  </si>
  <si>
    <t>产品类型</t>
  </si>
  <si>
    <t>F42/F55/F60</t>
  </si>
  <si>
    <t>F55</t>
  </si>
  <si>
    <t>关联车次批次清单</t>
  </si>
  <si>
    <t>该成品罐批次对应的车次批次列表</t>
  </si>
  <si>
    <t>20260810-T01-01、-02、-03、-04</t>
  </si>
  <si>
    <t>检验报告编号</t>
  </si>
  <si>
    <t>关联QMS系统检验报告</t>
  </si>
  <si>
    <t>TANK-20260810-001</t>
  </si>
  <si>
    <r>
      <t>进罐后液位（</t>
    </r>
    <r>
      <rPr>
        <sz val="12"/>
        <color theme="1"/>
        <rFont val="Calibri"/>
        <charset val="134"/>
      </rPr>
      <t>%</t>
    </r>
    <r>
      <rPr>
        <sz val="12"/>
        <color theme="1"/>
        <rFont val="宋体"/>
        <charset val="134"/>
        <scheme val="minor"/>
      </rPr>
      <t>）</t>
    </r>
  </si>
  <si>
    <t>进罐完成后罐内液位</t>
  </si>
  <si>
    <t>成本构成</t>
  </si>
  <si>
    <t>按QC罐批次明细</t>
  </si>
  <si>
    <t>审计冻结</t>
  </si>
  <si>
    <t>该批次涉及客户投诉或审计调查，需要保留原始数据，锁定防止修改</t>
  </si>
  <si>
    <t>进料开始时间</t>
  </si>
  <si>
    <t>该批次首次进料时间</t>
  </si>
  <si>
    <t>6、与上游关联逻辑</t>
  </si>
  <si>
    <t>检验结论确认人</t>
  </si>
  <si>
    <t>确认合格的质检人员</t>
  </si>
  <si>
    <r>
      <t>出罐前液位（</t>
    </r>
    <r>
      <rPr>
        <sz val="12"/>
        <color theme="1"/>
        <rFont val="Calibri"/>
        <charset val="134"/>
      </rPr>
      <t>%</t>
    </r>
    <r>
      <rPr>
        <sz val="12"/>
        <color theme="1"/>
        <rFont val="宋体"/>
        <charset val="134"/>
        <scheme val="minor"/>
      </rPr>
      <t>）</t>
    </r>
  </si>
  <si>
    <t>出罐前罐内液位</t>
  </si>
  <si>
    <t>进料结束时间</t>
  </si>
  <si>
    <t>该批次最后一次进料时间（出料前）</t>
  </si>
  <si>
    <t>通过进罐时间与DCS QC罐进口阀门状态，关联QC罐编号及相应时间对应的批号。</t>
  </si>
  <si>
    <t>QC罐倒成品罐倒糖过程记录</t>
  </si>
  <si>
    <t>操作人（生产部门），核对人（质量部门），关联QMS、MES</t>
  </si>
  <si>
    <t>张三、李四</t>
  </si>
  <si>
    <r>
      <t>出罐后液位（</t>
    </r>
    <r>
      <rPr>
        <sz val="12"/>
        <color theme="1"/>
        <rFont val="Calibri"/>
        <charset val="134"/>
      </rPr>
      <t>%</t>
    </r>
    <r>
      <rPr>
        <sz val="12"/>
        <color theme="1"/>
        <rFont val="宋体"/>
        <charset val="134"/>
        <scheme val="minor"/>
      </rPr>
      <t>）</t>
    </r>
  </si>
  <si>
    <t>出罐完成后罐内液位</t>
  </si>
  <si>
    <t>进料总量</t>
  </si>
  <si>
    <t>该批次累计进料吨数</t>
  </si>
  <si>
    <t>100.0吨</t>
  </si>
  <si>
    <t>进罐状态</t>
  </si>
  <si>
    <t>进罐中/已完成</t>
  </si>
  <si>
    <t>已完成</t>
  </si>
  <si>
    <t>质检状态</t>
  </si>
  <si>
    <t>待检/检验中/合格/不合格</t>
  </si>
  <si>
    <t>第8层：QC罐：成本归集、质量追溯、质量检验</t>
  </si>
  <si>
    <t>2、与上下游的关联字段</t>
  </si>
  <si>
    <t>3、QC罐批次的时间线</t>
  </si>
  <si>
    <t>4、质量信息</t>
  </si>
  <si>
    <t>时间点</t>
  </si>
  <si>
    <t>动作</t>
  </si>
  <si>
    <t>记录内容</t>
  </si>
  <si>
    <t>QC罐批次号</t>
  </si>
  <si>
    <t>260810-Q03</t>
  </si>
  <si>
    <t>来源F55混合批次号</t>
  </si>
  <si>
    <t>该QC罐的物料来自哪个F55混合批次</t>
  </si>
  <si>
    <t>20260810-H001</t>
  </si>
  <si>
    <t>进罐开始</t>
  </si>
  <si>
    <t>QC罐进料阀打开</t>
  </si>
  <si>
    <t>记录进罐开始时间</t>
  </si>
  <si>
    <t>该QC罐批次的全部成本</t>
  </si>
  <si>
    <t>QC罐编号</t>
  </si>
  <si>
    <t>QC罐编号（如Q01-Q08）</t>
  </si>
  <si>
    <t>Q03</t>
  </si>
  <si>
    <t>DCS阀门切换记录编号</t>
  </si>
  <si>
    <t>DCS-VLV-20260810-0799</t>
  </si>
  <si>
    <t>进罐结束</t>
  </si>
  <si>
    <t>QC罐进料阀关闭</t>
  </si>
  <si>
    <t>记录进罐结束时间</t>
  </si>
  <si>
    <t>F42 / F55 / F60</t>
  </si>
  <si>
    <t>出罐阀门切换记录ID</t>
  </si>
  <si>
    <t>DCS-VLV-20260810-1029</t>
  </si>
  <si>
    <t>检验期间</t>
  </si>
  <si>
    <t>取样检验，等待结果</t>
  </si>
  <si>
    <t>记录检验结果</t>
  </si>
  <si>
    <t>QC-20260810-Q01</t>
  </si>
  <si>
    <t>按来源F55混合批次明细</t>
  </si>
  <si>
    <t>H-0800（30吨，114,000元）、H-1000（20吨，76,000元）</t>
  </si>
  <si>
    <t>进罐开始时间</t>
  </si>
  <si>
    <t>物料开始进入QC罐的时间</t>
  </si>
  <si>
    <t>去向大罐号</t>
  </si>
  <si>
    <t>出罐时确定，关联大罐批次</t>
  </si>
  <si>
    <t>20260810-D01</t>
  </si>
  <si>
    <t>出罐开始</t>
  </si>
  <si>
    <t>确定去向大罐，打开出料阀</t>
  </si>
  <si>
    <t>记录去向大罐号、出罐开始时间</t>
  </si>
  <si>
    <t>进罐结束时间</t>
  </si>
  <si>
    <t>物料停止进入QC罐的时间</t>
  </si>
  <si>
    <t>出罐前液位（%）</t>
  </si>
  <si>
    <t>出罐结束</t>
  </si>
  <si>
    <t>QC罐出料阀关闭</t>
  </si>
  <si>
    <t>记录出罐结束时间</t>
  </si>
  <si>
    <t>进罐总量</t>
  </si>
  <si>
    <t>该批次累计进罐吨数</t>
  </si>
  <si>
    <t>20.0吨</t>
  </si>
  <si>
    <t>出罐后液位（%）</t>
  </si>
  <si>
    <t>7、QC罐跨批次进料</t>
  </si>
  <si>
    <t>出罐时填写，该QC罐出料进入哪个大罐</t>
  </si>
  <si>
    <t>20260810-F001</t>
  </si>
  <si>
    <t>场景</t>
  </si>
  <si>
    <t>成本核算时的处理</t>
  </si>
  <si>
    <t>质量追溯</t>
  </si>
  <si>
    <t>出罐开始时间</t>
  </si>
  <si>
    <t>物料开始出QC罐的时间（出罐时记录）</t>
  </si>
  <si>
    <t>通过进罐时间与F55混合批次过程时间倒推混合器入口的起点时间窗口，根据时间窗口关联相应F55混合批次编号。</t>
  </si>
  <si>
    <t>QC罐进料跨越F55混合两个批次切</t>
  </si>
  <si>
    <t>QC罐进料时间窗口（如8:30-10:30），跨越两个批次</t>
  </si>
  <si>
    <t>QC罐Q01从08:30开始进料，到10:30结束进料，H-0800和H-1000在10:00发生切换，因此Q01同时关联H-0800（08:30-10:00，进料30吨）和H-1000（10:00-10:30，进料20吨）</t>
  </si>
  <si>
    <t>关联F55混合批次清单</t>
  </si>
  <si>
    <t>该QC罐涉及的所有F55混合批次号</t>
  </si>
  <si>
    <t>[H-0800, H-1000]</t>
  </si>
  <si>
    <t>QC罐批次成本 = Σ（各F55混合批次单位成本 × 对应进罐量）</t>
  </si>
  <si>
    <t>追溯所有关联批次</t>
  </si>
  <si>
    <t>出罐结束时间</t>
  </si>
  <si>
    <t>物料完全出QC罐的时间</t>
  </si>
  <si>
    <t>各批次进罐量（吨）</t>
  </si>
  <si>
    <t>每个F55混合批次进入该QC罐的量</t>
  </si>
  <si>
    <t>[H-0800:30吨, H-1000:20吨]</t>
  </si>
  <si>
    <t>如果QC罐只关联一个F55混合批次，成本 = 该批次单位成本 × 进罐总量</t>
  </si>
  <si>
    <t>出罐总量</t>
  </si>
  <si>
    <t>该批次累计出罐吨数</t>
  </si>
  <si>
    <t>各批次进罐时间窗口</t>
  </si>
  <si>
    <t>每个批次进入该QC罐的时间段</t>
  </si>
  <si>
    <t>[08:30-10:00, 10:00-10:30]</t>
  </si>
  <si>
    <t>如果QC罐关联多个F55混合批次，成本 = 各批次成本之和</t>
  </si>
  <si>
    <t>第7层：F55混合批次信息：成本归集、质量追溯、配方管理、排程决策</t>
  </si>
  <si>
    <t>3、配方执行字段</t>
  </si>
  <si>
    <t>4、状态字段</t>
  </si>
  <si>
    <t>6、冻结说明</t>
  </si>
  <si>
    <t>7、质量信息</t>
  </si>
  <si>
    <t>F55混合批次号</t>
  </si>
  <si>
    <t>20260810-H-0800</t>
  </si>
  <si>
    <t>第一路来源：F90糖浆（来自色谱分离）</t>
  </si>
  <si>
    <t>配方编号</t>
  </si>
  <si>
    <t>关联配方管理系统的配方号</t>
  </si>
  <si>
    <t>FRM-F55-001</t>
  </si>
  <si>
    <t>混合状态</t>
  </si>
  <si>
    <t>进行中 / 已完成</t>
  </si>
  <si>
    <t>进行中=物料正在经过F55混合批次段；已完成=全部物料已离开该段，进入QC罐。</t>
  </si>
  <si>
    <t>F90糖浆成本（元）</t>
  </si>
  <si>
    <t>本批次消耗的F90糖浆总成本</t>
  </si>
  <si>
    <t>混合后取样点</t>
  </si>
  <si>
    <t>质量检验取样位置（F55蒸发器出口或QC罐前）</t>
  </si>
  <si>
    <t>F55蒸发器出口</t>
  </si>
  <si>
    <t>配方类型</t>
  </si>
  <si>
    <t>执行的配方类型</t>
  </si>
  <si>
    <t>来源F90批次号</t>
  </si>
  <si>
    <t>进入F55混合器的F90糖浆批次</t>
  </si>
  <si>
    <t>20260810-F90-0800</t>
  </si>
  <si>
    <t>配方版本</t>
  </si>
  <si>
    <t>配方版本号</t>
  </si>
  <si>
    <t>V2.0</t>
  </si>
  <si>
    <t>配方执行状态</t>
  </si>
  <si>
    <t>已确认 / 未确认</t>
  </si>
  <si>
    <t>配方是否已确认执行</t>
  </si>
  <si>
    <t>F42中间品成本（元）</t>
  </si>
  <si>
    <t>本批次消耗的F42中间品总成本</t>
  </si>
  <si>
    <t>配方执行后产出的产品</t>
  </si>
  <si>
    <t>F90投入量（吨）</t>
  </si>
  <si>
    <t>本批次消耗的F90糖浆吨数</t>
  </si>
  <si>
    <t>配方切换时间</t>
  </si>
  <si>
    <t>配方切换的记录时间（如从F55切换为F42）</t>
  </si>
  <si>
    <t>批次状态</t>
  </si>
  <si>
    <t>进行中 / 已完成 / 已冻结</t>
  </si>
  <si>
    <t>该批次在整条生产链中的生命周期状态</t>
  </si>
  <si>
    <t>F55混合环节附加成本（元）</t>
  </si>
  <si>
    <t>该环节的能耗、人工等</t>
  </si>
  <si>
    <t>干物质（°Bx）</t>
  </si>
  <si>
    <t>糖浆浓度</t>
  </si>
  <si>
    <t>时间窗口起点</t>
  </si>
  <si>
    <t>该批次启动时间（系统切片起点）=上个批次结束时间</t>
  </si>
  <si>
    <t>第二路来源：F42中间品（直接路径）</t>
  </si>
  <si>
    <t>配方执行确认人</t>
  </si>
  <si>
    <t>确认配方执行的操作人员</t>
  </si>
  <si>
    <t>F90糖浆成本 + F42中间品成本 + 附加成本</t>
  </si>
  <si>
    <t>果糖含量（%）</t>
  </si>
  <si>
    <t>果糖占干物质比例（F42为42%，F55为55%）</t>
  </si>
  <si>
    <t>时间窗口终点</t>
  </si>
  <si>
    <t>该批次启动时间 + 过程时间（动态计算）</t>
  </si>
  <si>
    <t>来源F42中间品批次号</t>
  </si>
  <si>
    <t>直接进入F55混合器的F42中间品批次</t>
  </si>
  <si>
    <t>20260810-F42中间-0600</t>
  </si>
  <si>
    <t>新配方下达</t>
  </si>
  <si>
    <t>重新做批次起点划分时间窗口</t>
  </si>
  <si>
    <t>总成本 ÷ 总产出量</t>
  </si>
  <si>
    <t>色值（IU）</t>
  </si>
  <si>
    <t>糖浆色值</t>
  </si>
  <si>
    <t>≤25</t>
  </si>
  <si>
    <t>批次总产出量（吨）</t>
  </si>
  <si>
    <t>F55蒸发器出口的总产出量</t>
  </si>
  <si>
    <t>F42中间品投入量（吨）</t>
  </si>
  <si>
    <t>本批次消耗的F42中间品吨数</t>
  </si>
  <si>
    <r>
      <t>9、 切割规则（批次号的归属）： 以物料进入F55混合器的入口时间为准，按时间窗口（默认</t>
    </r>
    <r>
      <rPr>
        <sz val="12"/>
        <color rgb="FFC00000"/>
        <rFont val="宋体"/>
        <charset val="134"/>
        <scheme val="minor"/>
      </rPr>
      <t>2</t>
    </r>
    <r>
      <rPr>
        <sz val="12"/>
        <color rgb="FF0F1115"/>
        <rFont val="宋体"/>
        <charset val="134"/>
        <scheme val="minor"/>
      </rPr>
      <t>小时）切分批次。物料一旦进入混合器，其批次归属即确定，不因混合段内部的物理混合而改变。QC罐关联时，通过反推入口时间匹配对应的批次号。</t>
    </r>
  </si>
  <si>
    <t>pH值</t>
  </si>
  <si>
    <t>糖浆酸碱度</t>
  </si>
  <si>
    <t>5.0-5.5</t>
  </si>
  <si>
    <t>8、上下游关联方式</t>
  </si>
  <si>
    <t>混合比例确认</t>
  </si>
  <si>
    <r>
      <t>（1）08:00-10:00进入F55混合器的所有物料属于 </t>
    </r>
    <r>
      <rPr>
        <sz val="10.5"/>
        <color rgb="FF0F1115"/>
        <rFont val="var(--ds-font-family-code)"/>
        <charset val="134"/>
      </rPr>
      <t>20260810-H001</t>
    </r>
  </si>
  <si>
    <t>10、 在系统设计层面</t>
  </si>
  <si>
    <t>电导率（μS/cm）</t>
  </si>
  <si>
    <t>糖浆电导率</t>
  </si>
  <si>
    <t>≤20</t>
  </si>
  <si>
    <t>关键点</t>
  </si>
  <si>
    <t>混合比例</t>
  </si>
  <si>
    <t>F90 : F42中间品</t>
  </si>
  <si>
    <t>60:40</t>
  </si>
  <si>
    <r>
      <t>（2）10:00之后进入的物料属于 </t>
    </r>
    <r>
      <rPr>
        <sz val="10.5"/>
        <color rgb="FF0F1115"/>
        <rFont val="var(--ds-font-family-code)"/>
        <charset val="134"/>
      </rPr>
      <t>20260810-H002</t>
    </r>
  </si>
  <si>
    <t>做法</t>
  </si>
  <si>
    <t>微生物指标</t>
  </si>
  <si>
    <t>菌落总数等</t>
  </si>
  <si>
    <t>入口记录</t>
  </si>
  <si>
    <t>DCS记录每批物料进入F55混合器的开始时间</t>
  </si>
  <si>
    <t>下游字段：F55混合批次QC罐相关</t>
  </si>
  <si>
    <t>时间</t>
  </si>
  <si>
    <t>批次归属</t>
  </si>
  <si>
    <t>入口时间记录</t>
  </si>
  <si>
    <t>DCS记录每批物料进入F55混合器的时间，作为批次归属的依据。</t>
  </si>
  <si>
    <t>出口记录</t>
  </si>
  <si>
    <t>DCS记录QC罐进罐的开始时间和结束时间</t>
  </si>
  <si>
    <r>
      <t>去向</t>
    </r>
    <r>
      <rPr>
        <sz val="10.5"/>
        <color theme="1"/>
        <rFont val="Calibri"/>
        <charset val="134"/>
      </rPr>
      <t>QC</t>
    </r>
    <r>
      <rPr>
        <sz val="10.5"/>
        <color theme="1"/>
        <rFont val="宋体"/>
        <charset val="134"/>
        <scheme val="minor"/>
      </rPr>
      <t>罐批次号</t>
    </r>
  </si>
  <si>
    <r>
      <t>该</t>
    </r>
    <r>
      <rPr>
        <sz val="10.5"/>
        <color theme="1"/>
        <rFont val="Calibri"/>
        <charset val="134"/>
      </rPr>
      <t>F55</t>
    </r>
    <r>
      <rPr>
        <sz val="10.5"/>
        <color theme="1"/>
        <rFont val="宋体"/>
        <charset val="134"/>
        <scheme val="minor"/>
      </rPr>
      <t>混合批次产出进入哪个</t>
    </r>
    <r>
      <rPr>
        <sz val="10.5"/>
        <color theme="1"/>
        <rFont val="Calibri"/>
        <charset val="134"/>
      </rPr>
      <t>QC</t>
    </r>
    <r>
      <rPr>
        <sz val="10.5"/>
        <color theme="1"/>
        <rFont val="宋体"/>
        <charset val="134"/>
        <scheme val="minor"/>
      </rPr>
      <t>罐</t>
    </r>
  </si>
  <si>
    <t>20260810-Q01</t>
  </si>
  <si>
    <t>08:00-10:00</t>
  </si>
  <si>
    <t>H001</t>
  </si>
  <si>
    <t>该时间窗口内进入F55混合器的物料（系统划分批次）</t>
  </si>
  <si>
    <t>时间切片</t>
  </si>
  <si>
    <t>系统按配置的切片时长（默认2小时）自动切分批次号。</t>
  </si>
  <si>
    <t>QC-20260810-001</t>
  </si>
  <si>
    <t>混合批次段过程时间</t>
  </si>
  <si>
    <t>F55混合批次段的总过程时间（F55混合器→F55蒸发器出口）。</t>
  </si>
  <si>
    <r>
      <t>进入</t>
    </r>
    <r>
      <rPr>
        <sz val="10.5"/>
        <color theme="1"/>
        <rFont val="Calibri"/>
        <charset val="134"/>
      </rPr>
      <t>QC</t>
    </r>
    <r>
      <rPr>
        <sz val="10.5"/>
        <color theme="1"/>
        <rFont val="宋体"/>
        <charset val="134"/>
        <scheme val="minor"/>
      </rPr>
      <t>罐时间</t>
    </r>
  </si>
  <si>
    <r>
      <t>物料开始进入</t>
    </r>
    <r>
      <rPr>
        <sz val="10.5"/>
        <color theme="1"/>
        <rFont val="Calibri"/>
        <charset val="134"/>
      </rPr>
      <t>QC</t>
    </r>
    <r>
      <rPr>
        <sz val="10.5"/>
        <color theme="1"/>
        <rFont val="宋体"/>
        <charset val="134"/>
        <scheme val="minor"/>
      </rPr>
      <t>罐的时间</t>
    </r>
  </si>
  <si>
    <t>10:00-12:00</t>
  </si>
  <si>
    <t>H002</t>
  </si>
  <si>
    <t>批次号切换为H002</t>
  </si>
  <si>
    <t>出口总量记录</t>
  </si>
  <si>
    <t>F55蒸发器出口记录总产出量，按入口时间比例拆分为对应批次（如H001占60%，H002占40%）。</t>
  </si>
  <si>
    <t>时间窗口匹配逻辑（下游）</t>
  </si>
  <si>
    <t>QC罐进罐时间 - 过程时间 = 对应的F55混合器入口时间窗口，该入口时间窗口为F55混合相应批次编号。</t>
  </si>
  <si>
    <r>
      <t>进入</t>
    </r>
    <r>
      <rPr>
        <sz val="10.5"/>
        <color theme="1"/>
        <rFont val="Calibri"/>
        <charset val="134"/>
      </rPr>
      <t>QC</t>
    </r>
    <r>
      <rPr>
        <sz val="10.5"/>
        <color theme="1"/>
        <rFont val="宋体"/>
        <charset val="134"/>
        <scheme val="minor"/>
      </rPr>
      <t>罐量（单位：吨）</t>
    </r>
  </si>
  <si>
    <r>
      <t>该批次进入</t>
    </r>
    <r>
      <rPr>
        <sz val="10.5"/>
        <color theme="1"/>
        <rFont val="Calibri"/>
        <charset val="134"/>
      </rPr>
      <t>QC</t>
    </r>
    <r>
      <rPr>
        <sz val="10.5"/>
        <color theme="1"/>
        <rFont val="宋体"/>
        <charset val="134"/>
        <scheme val="minor"/>
      </rPr>
      <t>罐的吨数</t>
    </r>
  </si>
  <si>
    <t>10:00后</t>
  </si>
  <si>
    <t>物料02批次进入F55混合器</t>
  </si>
  <si>
    <t>下一个时间窗口内进入的物料</t>
  </si>
  <si>
    <t>成本核算</t>
  </si>
  <si>
    <t>批次成本按入口时间切片归集，出口总量按比例拆分后分别计入对应批次。</t>
  </si>
  <si>
    <t>时间窗口匹配逻辑（上游-色谱分离）</t>
  </si>
  <si>
    <t>F55混合批次时间起点 - 色谱分离过程时间 = 对应的色谱分离入口时间窗口，该入口时间窗口为色谱分离相应批次编号。</t>
  </si>
  <si>
    <r>
      <t>出</t>
    </r>
    <r>
      <rPr>
        <sz val="10.5"/>
        <color theme="1"/>
        <rFont val="Calibri"/>
        <charset val="134"/>
      </rPr>
      <t>F55</t>
    </r>
    <r>
      <rPr>
        <sz val="10.5"/>
        <color theme="1"/>
        <rFont val="宋体"/>
        <charset val="134"/>
        <scheme val="minor"/>
      </rPr>
      <t>蒸发器时间</t>
    </r>
  </si>
  <si>
    <r>
      <t>物料离开</t>
    </r>
    <r>
      <rPr>
        <sz val="10.5"/>
        <color theme="1"/>
        <rFont val="Calibri"/>
        <charset val="134"/>
      </rPr>
      <t>F55</t>
    </r>
    <r>
      <rPr>
        <sz val="10.5"/>
        <color theme="1"/>
        <rFont val="宋体"/>
        <charset val="134"/>
        <scheme val="minor"/>
      </rPr>
      <t>蒸发器的时间</t>
    </r>
  </si>
  <si>
    <t>系统按时间窗口（如2小时）作为一个“批次时间段”。在这个时间段内进入F55混合器的所有物料，系统统一赋予同一个批次号。下一个时间段开始后，系统赋予新的批次号。</t>
  </si>
  <si>
    <t>时间窗口匹配逻辑（上游-F42中间品）</t>
  </si>
  <si>
    <t>F55混合批次时间起点 - F42中间品过程时间 = 对应的F42中间品入口时间窗口，入口时间窗口为F42中间品相应批次编号。</t>
  </si>
  <si>
    <t>12、色谱分离、F42中间品批次段过程时间计算逻辑</t>
  </si>
  <si>
    <t>F55混合批次段是一个连续流动系统，前后批次的物料在管道中首尾相接，不存在物理上的精确切断。混合段出口总量按入口时间比例拆分为对应批次</t>
  </si>
  <si>
    <t>11、F55批次段过程时间计算逻辑</t>
  </si>
  <si>
    <t>过程时间 = 设备有效容积 ÷ 平均流量</t>
  </si>
  <si>
    <t>第6层：色谱分离批次信息：成本归集、质量追溯、物料平衡、上下游关联</t>
  </si>
  <si>
    <t>6、质量信息</t>
  </si>
  <si>
    <t>8、状态字</t>
  </si>
  <si>
    <t>色谱分离批次的质量追溯字段</t>
  </si>
  <si>
    <t>色谱分离批次号</t>
  </si>
  <si>
    <t>20260801-F90-0800</t>
  </si>
  <si>
    <t>进入色谱分离的F42中间品批次</t>
  </si>
  <si>
    <t>20260801-F42-0800</t>
  </si>
  <si>
    <t>来源F42中间品成本（元）</t>
  </si>
  <si>
    <t>待检 / 检验中 / 合格 / 不合格</t>
  </si>
  <si>
    <t>质量检验状态</t>
  </si>
  <si>
    <t>该批次产出的产品类型</t>
  </si>
  <si>
    <t>F90糖浆</t>
  </si>
  <si>
    <t>果糖占干物质比例（F90约为90%）</t>
  </si>
  <si>
    <t>色谱分离环节附加成本（元）</t>
  </si>
  <si>
    <t>该环节的能耗、人工、树脂损耗等</t>
  </si>
  <si>
    <t>锁定状态</t>
  </si>
  <si>
    <t>正常 / 已冻结</t>
  </si>
  <si>
    <t>数据是否被锁定，防止修改</t>
  </si>
  <si>
    <t>追溯上游</t>
  </si>
  <si>
    <t>系统设定的该批次开始时间（系统切片）</t>
  </si>
  <si>
    <t>色谱分离进料流量计（FT120103）</t>
  </si>
  <si>
    <t>进料流量计编号</t>
  </si>
  <si>
    <t>FT120103</t>
  </si>
  <si>
    <t>来源F42中间品成本 + 附加成本</t>
  </si>
  <si>
    <t>有效</t>
  </si>
  <si>
    <t>该批次的数据完整、可用，可参与追溯和成本核算</t>
  </si>
  <si>
    <t>正常生产批次，所有数据已记录完整</t>
  </si>
  <si>
    <t>去向F55混合批次号</t>
  </si>
  <si>
    <t>追溯下游</t>
  </si>
  <si>
    <t>20260801-H-0800</t>
  </si>
  <si>
    <t>系统设定的该批次结束时间（系统切片）</t>
  </si>
  <si>
    <t>入F55混合器调节阀</t>
  </si>
  <si>
    <t>出料调节阀编号</t>
  </si>
  <si>
    <t>XV-1001</t>
  </si>
  <si>
    <t>总成本 ÷ 批次总产出量</t>
  </si>
  <si>
    <t>无效</t>
  </si>
  <si>
    <t>该批次的数据存在异常，不参与追溯和成本核算</t>
  </si>
  <si>
    <t>因设备故障、质量异常、数据采集错误等原因被标记为无效，追溯时跳过该批次</t>
  </si>
  <si>
    <t>关联投料批次清单</t>
  </si>
  <si>
    <t>间接关联的投料批次</t>
  </si>
  <si>
    <t>W-0800</t>
  </si>
  <si>
    <t>该批次产出的F90糖浆总量</t>
  </si>
  <si>
    <t>3、关联下游字段</t>
  </si>
  <si>
    <t>关联原料批次</t>
  </si>
  <si>
    <t>间接关联的原料批次</t>
  </si>
  <si>
    <t>20260801-001-XXX</t>
  </si>
  <si>
    <t>该F90糖浆进入哪个F55混合批次</t>
  </si>
  <si>
    <t>葡萄糖含量（%）</t>
  </si>
  <si>
    <t>葡萄糖占干物质比例</t>
  </si>
  <si>
    <t>色谱分离工序设备编号</t>
  </si>
  <si>
    <t>该批次经过的设备</t>
  </si>
  <si>
    <t>CC-01</t>
  </si>
  <si>
    <t>5、色谱分离批次与 F55混合批次的关联逻辑</t>
  </si>
  <si>
    <t>入F55混合器量（吨）</t>
  </si>
  <si>
    <t>该批次进入F55混合器的吨数</t>
  </si>
  <si>
    <t>低聚糖含量（%）</t>
  </si>
  <si>
    <t>低聚糖占干物质比例</t>
  </si>
  <si>
    <t>色谱分离工序运行参数</t>
  </si>
  <si>
    <t>温度、压力、流量等</t>
  </si>
  <si>
    <t>温度：60℃，压力：0.3MPa</t>
  </si>
  <si>
    <t>关联项</t>
  </si>
  <si>
    <t>4、关联关系</t>
  </si>
  <si>
    <t>树脂批次号</t>
  </si>
  <si>
    <t>该批次使用的色谱分离树脂批次</t>
  </si>
  <si>
    <t>RESIN-20260701</t>
  </si>
  <si>
    <t>关联方式</t>
  </si>
  <si>
    <t>色谱分离批次段的出口直接对接F55混合批次段的入口</t>
  </si>
  <si>
    <t>关联方向</t>
  </si>
  <si>
    <t>QC-20260810-F90</t>
  </si>
  <si>
    <t>树脂使用周期</t>
  </si>
  <si>
    <t>该树脂已使用的周期数</t>
  </si>
  <si>
    <t>第125周期</t>
  </si>
  <si>
    <t>时间对应</t>
  </si>
  <si>
    <t>色谱分离批次的出口时间 + 过程时间 = F55混合批次的入口时间</t>
  </si>
  <si>
    <t>第5层 F42中间品 → 第6层 色谱分离</t>
  </si>
  <si>
    <t>F42中间品出料 → 阀门切换 → 色谱分离进料</t>
  </si>
  <si>
    <t>进料量（吨）</t>
  </si>
  <si>
    <t>该批次投入量</t>
  </si>
  <si>
    <t>批次对应</t>
  </si>
  <si>
    <t>色谱分离批次的出口物料，直接进入F55混合批次段，按F55混合批次的入口时间窗口归属</t>
  </si>
  <si>
    <t>第6层 色谱分离 → 第7层 F55混合</t>
  </si>
  <si>
    <t>色谱分离出料（F90）→ 入F55混合器调节阀</t>
  </si>
  <si>
    <t>产出量（吨）</t>
  </si>
  <si>
    <t>该批次产出量</t>
  </si>
  <si>
    <t>收率（%）</t>
  </si>
  <si>
    <t>产出量 ÷ 进料量</t>
  </si>
  <si>
    <t>异常事件记录</t>
  </si>
  <si>
    <t>该批次生产过程中的异常事件</t>
  </si>
  <si>
    <t>无 / 设备故障 / 参数波动</t>
  </si>
  <si>
    <t>第5层：F42中间品批次：成本归集、质量追溯、分流管理、上下游关联</t>
  </si>
  <si>
    <t>编码格式： YYMMDD-F42-HHMM
说明： F42中间品批次是所有产品的共同前体（分叉点），覆盖从糖化出料至F42装置产出的全部工序。</t>
  </si>
  <si>
    <t>6、状态字</t>
  </si>
  <si>
    <t>F42中间品批次号</t>
  </si>
  <si>
    <t>260810-F42-0800</t>
  </si>
  <si>
    <t>来源糖化批次清单</t>
  </si>
  <si>
    <t>该F42中间品批次包含的糖化批次</t>
  </si>
  <si>
    <t>TH03-001（40吨）、TH04-001（35吨）、TH05-001（25吨）</t>
  </si>
  <si>
    <t>来源糖化批次成本</t>
  </si>
  <si>
    <t>各糖化批次传递的成本</t>
  </si>
  <si>
    <t>有效 / 无效</t>
  </si>
  <si>
    <t>有效=数据完整可追溯；无效=数据异常不参与追溯</t>
  </si>
  <si>
    <t>该批次启动时间（系统切片起点）</t>
  </si>
  <si>
    <t>各糖化批次占比（%）</t>
  </si>
  <si>
    <t>各糖化批次在F42中间品批次中的占比</t>
  </si>
  <si>
    <t>TH03-001:40%、TH04-001:35%、TH05-001:25%</t>
  </si>
  <si>
    <t>F42装置环节附加成本</t>
  </si>
  <si>
    <r>
      <t>该环节的能耗、</t>
    </r>
    <r>
      <rPr>
        <sz val="12"/>
        <color rgb="FFC00000"/>
        <rFont val="Songti SC Regular"/>
        <charset val="134"/>
      </rPr>
      <t>人工、制造费</t>
    </r>
    <r>
      <rPr>
        <sz val="12"/>
        <color rgb="FF0F1115"/>
        <rFont val="Songti SC Regular"/>
        <charset val="134"/>
      </rPr>
      <t>用等</t>
    </r>
  </si>
  <si>
    <t>来源糖化批次成本 + 附加成本</t>
  </si>
  <si>
    <t>过程时间（小时）</t>
  </si>
  <si>
    <t>设备有效容积 ÷ 批次启动时的平均流量</t>
  </si>
  <si>
    <t>F42装置出口的总产出量</t>
  </si>
  <si>
    <t>去向色谱分离批次号</t>
  </si>
  <si>
    <t>该F42中间品批次进入色谱分离的批次</t>
  </si>
  <si>
    <t>260810-F90-0800</t>
  </si>
  <si>
    <t>7、切分粒度说明</t>
  </si>
  <si>
    <t>该F42中间品批次直接进入F55混合的批次</t>
  </si>
  <si>
    <t>260810-H-0800</t>
  </si>
  <si>
    <t>DE值</t>
  </si>
  <si>
    <t>葡萄糖值</t>
  </si>
  <si>
    <t>95-98</t>
  </si>
  <si>
    <t>规则项</t>
  </si>
  <si>
    <t>内容</t>
  </si>
  <si>
    <t>分流比例（%）</t>
  </si>
  <si>
    <t>F42中间品在两路的分流比例</t>
  </si>
  <si>
    <t>色谱分离:60%、直接F55混合:40%</t>
  </si>
  <si>
    <t>切分粒度</t>
  </si>
  <si>
    <t>时间窗口长度 = 过程时间（动态计算），首尾相接</t>
  </si>
  <si>
    <t>QC-20260810-F42</t>
  </si>
  <si>
    <t>过程时间</t>
  </si>
  <si>
    <t>窗口起点</t>
  </si>
  <si>
    <t>上一批次窗口终点（系统自动滚动）</t>
  </si>
  <si>
    <t>以进入F42装置段的入口时间为准，按动态时间窗口切片确定批次归属</t>
  </si>
  <si>
    <t>第4层：糖化批次：成本归集、质量追溯、物理分界、上下游关联</t>
  </si>
  <si>
    <t>编码格式： YYMMDD-TH罐号-序号；示例： 20260810-TH03-001
说明： 12个糖化罐独立出料，以糖化罐进口至出口阀为切分点。糖化批次是第一个物理切分点，覆盖糖化工序。</t>
  </si>
  <si>
    <t>10、成本传递链条</t>
  </si>
  <si>
    <t>糖化批次号</t>
  </si>
  <si>
    <t>260810-TH03-001</t>
  </si>
  <si>
    <t>来源投料批次号</t>
  </si>
  <si>
    <t>进入该糖化罐的投料批次</t>
  </si>
  <si>
    <t>260810-W-0800</t>
  </si>
  <si>
    <t>来源投料成本（元）</t>
  </si>
  <si>
    <t>从投料批次传递，覆盖玉米淀粉、拆包、溶粉、液化环节的全部成本</t>
  </si>
  <si>
    <t>进罐中 / 已完成</t>
  </si>
  <si>
    <t>该批次进罐是否完成</t>
  </si>
  <si>
    <t>第3层 投料批次</t>
  </si>
  <si>
    <t>玉米淀粉 → 液化液（覆盖拆包、溶粉、液化）</t>
  </si>
  <si>
    <t>糖化罐编号</t>
  </si>
  <si>
    <t>TH01-TH12</t>
  </si>
  <si>
    <t>TH03</t>
  </si>
  <si>
    <t>DCS进罐阀门切换记录编号</t>
  </si>
  <si>
    <t>DCS-VLV-20260810-0600</t>
  </si>
  <si>
    <t>糖化液葡萄糖值</t>
  </si>
  <si>
    <t>辅料成本（元）</t>
  </si>
  <si>
    <t>酶、酸等辅料消耗成本</t>
  </si>
  <si>
    <t>出罐状态</t>
  </si>
  <si>
    <t>待出罐 / 出罐中 / 已完成</t>
  </si>
  <si>
    <t>该批次出罐进度</t>
  </si>
  <si>
    <t>第4层 糖化批次</t>
  </si>
  <si>
    <t>液化液（承接）+ 辅料（酶、酸）+ 附加成本（能耗、人工）</t>
  </si>
  <si>
    <t>该罐出料序号</t>
  </si>
  <si>
    <t>同罐同日内按出料顺序从001开始递增</t>
  </si>
  <si>
    <t>糖化液浓度（°Bx）</t>
  </si>
  <si>
    <t>糖化液浓度</t>
  </si>
  <si>
    <t>糖化环节附加成本（元）</t>
  </si>
  <si>
    <t>该罐的能耗、人工等制造费用</t>
  </si>
  <si>
    <t>第5层 F42中间品批次</t>
  </si>
  <si>
    <t>糖化液（承接）+ F42装置附加成本</t>
  </si>
  <si>
    <t>物料开始进入该糖化罐的时间</t>
  </si>
  <si>
    <t>糖化液pH值</t>
  </si>
  <si>
    <t>来源投料成本 + 辅料成本 + 附加成本</t>
  </si>
  <si>
    <t>数据是否可用于追溯</t>
  </si>
  <si>
    <t>物料停止进入该糖化罐的时间</t>
  </si>
  <si>
    <t>去向F42中间品批次号</t>
  </si>
  <si>
    <t>该糖化批次出料进入哪个F42中间品批次</t>
  </si>
  <si>
    <t>糖化液色值</t>
  </si>
  <si>
    <t>≤50</t>
  </si>
  <si>
    <t>总成本 ÷ 出罐量</t>
  </si>
  <si>
    <t>物料开始离开该糖化罐的时间</t>
  </si>
  <si>
    <t>出罐总量（吨）</t>
  </si>
  <si>
    <t>1250.5吨</t>
  </si>
  <si>
    <t>密度（吨/m³）</t>
  </si>
  <si>
    <t>出罐前糖化液密度</t>
  </si>
  <si>
    <t>物料完全离开该糖化罐的时间</t>
  </si>
  <si>
    <t>8、辅料成本的数据来源</t>
  </si>
  <si>
    <t>出罐前液位高度（m）</t>
  </si>
  <si>
    <t>DCS液位计读数</t>
  </si>
  <si>
    <t>辅料</t>
  </si>
  <si>
    <t>消耗量来源</t>
  </si>
  <si>
    <t>单价来源</t>
  </si>
  <si>
    <t>切分方式</t>
  </si>
  <si>
    <r>
      <t>以</t>
    </r>
    <r>
      <rPr>
        <sz val="12"/>
        <color rgb="FF0F1115"/>
        <rFont val="var(--dsw-font-markdown-table)"/>
        <charset val="134"/>
      </rPr>
      <t>糖化罐出口阀</t>
    </r>
    <r>
      <rPr>
        <sz val="12"/>
        <color rgb="FF0F1115"/>
        <rFont val="var(--dsw-font-markdown-table)"/>
        <charset val="134"/>
      </rPr>
      <t>为切分点，每个糖化罐独立出料，每次完整的出料过程为一个独立批次</t>
    </r>
  </si>
  <si>
    <t>出罐前液位对应体积（m³）</t>
  </si>
  <si>
    <t>罐体几何结构计算，必须进行标定</t>
  </si>
  <si>
    <t>糖化酶</t>
  </si>
  <si>
    <t>DCS记录该糖化罐的实际投加量</t>
  </si>
  <si>
    <t>采购单价（SAP）</t>
  </si>
  <si>
    <t>以糖化罐出料为物理分界，不依赖时间窗口</t>
  </si>
  <si>
    <t>出罐糖液密度（吨/吨）</t>
  </si>
  <si>
    <t>化验室检测值，由QMS提供</t>
  </si>
  <si>
    <t>酸</t>
  </si>
  <si>
    <t>出罐物料重量（吨）</t>
  </si>
  <si>
    <t>液位对应体积 × 密度</t>
  </si>
  <si>
    <t>9、体积计算方法</t>
  </si>
  <si>
    <t>糖化时间（小时）</t>
  </si>
  <si>
    <t>出罐开始时间 - 进罐开始时间</t>
  </si>
  <si>
    <t>底部半球体积（高度h ≤ 半球半径R 时）：V = π × h² × (R - h/3)</t>
  </si>
  <si>
    <t>糖化温度（℃）</t>
  </si>
  <si>
    <t>糖化过程温度</t>
  </si>
  <si>
    <t>筒身圆柱体积（高度h &gt; 半球半径R 时）：V = 2/3 × π × R³ + π × R² × (h - R)</t>
  </si>
  <si>
    <t>糖化过程pH值</t>
  </si>
  <si>
    <t>4.5-5.0</t>
  </si>
  <si>
    <t>糖化液DE值</t>
  </si>
  <si>
    <t>第3 层：投料批次：成本归集、质量追溯、原料绑定、上下游关联</t>
  </si>
  <si>
    <t>编码格式： YYMMDD-W-HHMM；示例： 260810-W-0800
说明： 投料批次覆盖拆包、溶粉、液化工序，以投料口为起点，液化液入糖化罐口阀为终点。糖化酶、糖化罐酸添加计入相应糖化罐，不在此层处理。时间窗口长度动态计算，首尾相接。</t>
  </si>
  <si>
    <t>6、状态字段</t>
  </si>
  <si>
    <t>投料批次号</t>
  </si>
  <si>
    <t>20260810-W-0800</t>
  </si>
  <si>
    <t>关联线边原料批次号</t>
  </si>
  <si>
    <t>该投料批次绑定的线边玉米淀粉批次</t>
  </si>
  <si>
    <t>原料成本（元）</t>
  </si>
  <si>
    <t>该批次投入的玉米淀粉成本</t>
  </si>
  <si>
    <t>该批次启动时间（系统切片起点，由DCS启动时间）</t>
  </si>
  <si>
    <t>投料量（吨）</t>
  </si>
  <si>
    <t>该批次投入的玉米淀粉总吨数</t>
  </si>
  <si>
    <t>液化液DE值</t>
  </si>
  <si>
    <t>液化液葡萄糖值</t>
  </si>
  <si>
    <t>15-20</t>
  </si>
  <si>
    <t>拆包、溶粉、液化环节附加成本（元）</t>
  </si>
  <si>
    <t>投料开始时间</t>
  </si>
  <si>
    <t>DCS记录的投料开始时间</t>
  </si>
  <si>
    <t>液化液浓度（°Bx）</t>
  </si>
  <si>
    <t>液化液浓度</t>
  </si>
  <si>
    <t>原料成本 + 附加成本</t>
  </si>
  <si>
    <t>设备有效容积 ÷ 批次启动时的平均流量（质量流量计）</t>
  </si>
  <si>
    <t>投料结束时间</t>
  </si>
  <si>
    <t>DCS记录的投料结束时间</t>
  </si>
  <si>
    <t>液化液pH值</t>
  </si>
  <si>
    <t>5.5-6.0</t>
  </si>
  <si>
    <t>该批次液化液的总产出量，淀粉乳液罐A液位达到平衡以后的淀粉乳质量流量计计量。</t>
  </si>
  <si>
    <t>4、线边批次到投料批次的关联方式</t>
  </si>
  <si>
    <t>过程时间与窗口规则</t>
  </si>
  <si>
    <t>线边原料批次是投料批次的上游</t>
  </si>
  <si>
    <t>投料时，操作工或系统选择当前使用的线边原料批次号，绑定到投料批次</t>
  </si>
  <si>
    <t>去向糖化批次号</t>
  </si>
  <si>
    <t>该投料批次的液化液进入哪个糖化罐</t>
  </si>
  <si>
    <t>20260810-TH03-001</t>
  </si>
  <si>
    <t>Tw = 投料口至糖化罐入口阀管道及设备有效容积 ÷ 淀粉乳流量（质量流量计），流量取批次启动时的平均流量</t>
  </si>
  <si>
    <t>数据来源</t>
  </si>
  <si>
    <t>两种选择：
1、线边工位号由WMS自动绑定第2.1层批号；
2、线边工位号由WMS自动绑定第2.2层批号；</t>
  </si>
  <si>
    <t>液化液入糖化罐阀门位号</t>
  </si>
  <si>
    <t>液化液进入糖化罐的阀门位号与进料字段。进料时间。</t>
  </si>
  <si>
    <t>DCS-VLV-20260810-0600；
2026/8/10 12:00:00</t>
  </si>
  <si>
    <t>第一次以DCS投料启动信号为准，过程时间预设5小时，淀粉乳液质量流量计稳定后，重新计算过程时间，后续为上一批次窗口终点（系统自动滚动）</t>
  </si>
  <si>
    <t>窗口终点</t>
  </si>
  <si>
    <t>当前批次启动时间 + 过程时间</t>
  </si>
  <si>
    <t>以进入投料口的入口时间为准</t>
  </si>
  <si>
    <t>第2 层：入厂原料批次：成本归集、库存管理、先进先出、追溯关联</t>
  </si>
  <si>
    <t>编码格式： YYMMDD-序号-供应商ID号；示例： 260810-001-XXX
说明： 入厂原料批次是玉米淀粉进入工厂后的第一批次记录，由仓储物流岗位根据车辆入厂信息创建，关联供应商批次信息。</t>
  </si>
  <si>
    <t>6、入库去向的两种场景</t>
  </si>
  <si>
    <t>入库去向类型</t>
  </si>
  <si>
    <t>去向库位/工位号</t>
  </si>
  <si>
    <t>后续关联</t>
  </si>
  <si>
    <t>入厂原料批次号</t>
  </si>
  <si>
    <t>260810-001-XXX</t>
  </si>
  <si>
    <t>供应商批次号</t>
  </si>
  <si>
    <t>供应商提供的原料批次编号</t>
  </si>
  <si>
    <t>SUP-20260801-A</t>
  </si>
  <si>
    <t>卸货状态</t>
  </si>
  <si>
    <t>待卸货 / 卸货中 / 已卸货</t>
  </si>
  <si>
    <t>原料卸货进度</t>
  </si>
  <si>
    <t>卸货入平面库</t>
  </si>
  <si>
    <t>平面库</t>
  </si>
  <si>
    <t>K001</t>
  </si>
  <si>
    <t>关联至2.1层 平面库库位批次</t>
  </si>
  <si>
    <t>供应商ID号</t>
  </si>
  <si>
    <t>供应商唯一标识</t>
  </si>
  <si>
    <t>XXX</t>
  </si>
  <si>
    <t>供应商名称</t>
  </si>
  <si>
    <t>供应商全称</t>
  </si>
  <si>
    <t>XX淀粉有限公司</t>
  </si>
  <si>
    <t>质量状态</t>
  </si>
  <si>
    <t>卸货到线边</t>
  </si>
  <si>
    <t>线边</t>
  </si>
  <si>
    <t>XB01</t>
  </si>
  <si>
    <t>关联至2.2层 线边投料原料批次</t>
  </si>
  <si>
    <t>供应商生产日期</t>
  </si>
  <si>
    <t>原料的生产日期（供应商提供）</t>
  </si>
  <si>
    <t>7、入库去向处理逻辑</t>
  </si>
  <si>
    <t>供应商质检报告编号</t>
  </si>
  <si>
    <t>供应商提供的质检报告</t>
  </si>
  <si>
    <t>QA-SUP-20260801</t>
  </si>
  <si>
    <t>处理方式</t>
  </si>
  <si>
    <t>入厂日期</t>
  </si>
  <si>
    <t>车辆入厂日期</t>
  </si>
  <si>
    <t>供应商质检结论</t>
  </si>
  <si>
    <t>供应商自检结论</t>
  </si>
  <si>
    <t>入平面库</t>
  </si>
  <si>
    <t>仓储物流人员录入“入库去向类型=平面库”、“去向库位/工位号=K001”→系统自动创建2.1层平面库库位批次，继承入厂原料批次信息</t>
  </si>
  <si>
    <t>入厂时间</t>
  </si>
  <si>
    <t>车辆入厂具体时间</t>
  </si>
  <si>
    <t>原料生产批次（供应商端）</t>
  </si>
  <si>
    <t>供应商端的生产批次标识</t>
  </si>
  <si>
    <t>BATCH-20260728-01</t>
  </si>
  <si>
    <t>水分（%）</t>
  </si>
  <si>
    <t>原料水分含量</t>
  </si>
  <si>
    <t>到线边</t>
  </si>
  <si>
    <t>仓储物流人员录入“入库去向类型=线边”、“去向库位/工位号=XB01”→系统自动创建2.2层线边投料原料批次，继承入厂原料批次信息</t>
  </si>
  <si>
    <t>车次序号</t>
  </si>
  <si>
    <t>当天车辆入厂顺序号，从001开始递增</t>
  </si>
  <si>
    <t>细度（%）</t>
  </si>
  <si>
    <t>原料细度</t>
  </si>
  <si>
    <t>8、成本信息</t>
  </si>
  <si>
    <t>运输车辆车牌</t>
  </si>
  <si>
    <t>白度</t>
  </si>
  <si>
    <t>原料白度</t>
  </si>
  <si>
    <t>原料名称</t>
  </si>
  <si>
    <t>玉米淀粉</t>
  </si>
  <si>
    <t>去向线边原料批次号</t>
  </si>
  <si>
    <t>移库至线边的原料批次</t>
  </si>
  <si>
    <t>20260810-001-XB01</t>
  </si>
  <si>
    <t>蛋白质（%）</t>
  </si>
  <si>
    <t>原料蛋白质含量</t>
  </si>
  <si>
    <t>采购单价（元/吨）</t>
  </si>
  <si>
    <t>该批次原料的采购单价</t>
  </si>
  <si>
    <t>包装规格（kg/袋）</t>
  </si>
  <si>
    <t>每袋重量</t>
  </si>
  <si>
    <t>去向投料批次号</t>
  </si>
  <si>
    <t>直接参与投料的批次</t>
  </si>
  <si>
    <t>灰分（%）</t>
  </si>
  <si>
    <t>原料灰分含量</t>
  </si>
  <si>
    <t>采购总价（元）</t>
  </si>
  <si>
    <t>总重量 × 采购单价</t>
  </si>
  <si>
    <t>总袋数</t>
  </si>
  <si>
    <t>本车总袋数</t>
  </si>
  <si>
    <t>斑点（个/cm²）</t>
  </si>
  <si>
    <t>原料斑点</t>
  </si>
  <si>
    <t>该批次原料的运输费用</t>
  </si>
  <si>
    <t>总重量（吨）</t>
  </si>
  <si>
    <t>本车原料总重量（袋数×规格）</t>
  </si>
  <si>
    <t>二氧化硫（ppm）</t>
  </si>
  <si>
    <t>原料二氧化硫含量</t>
  </si>
  <si>
    <t>≤30</t>
  </si>
  <si>
    <t>其他费用（元）</t>
  </si>
  <si>
    <t>装卸费、保险费等</t>
  </si>
  <si>
    <t>车辆称重重量（吨）</t>
  </si>
  <si>
    <t>地磅称重重量</t>
  </si>
  <si>
    <t>质量检验结论</t>
  </si>
  <si>
    <t>采购总价 + 运输费用 + 其他费用</t>
  </si>
  <si>
    <t>磅差（吨）</t>
  </si>
  <si>
    <t>称重重量 - 计算重量</t>
  </si>
  <si>
    <t>总成本 ÷ 总重量</t>
  </si>
  <si>
    <t>外观检验</t>
  </si>
  <si>
    <t>外观是否合格</t>
  </si>
  <si>
    <t>平面库 / 线边</t>
  </si>
  <si>
    <t>平面库库位号或线边工位号</t>
  </si>
  <si>
    <t>上游</t>
  </si>
  <si>
    <t>入库时间</t>
  </si>
  <si>
    <t>物料入库完成时间</t>
  </si>
  <si>
    <t>原料的生产日期</t>
  </si>
  <si>
    <t>仓储物流岗位取样时间</t>
  </si>
  <si>
    <t>取样人</t>
  </si>
  <si>
    <t>取样操作人员</t>
  </si>
  <si>
    <t>下游</t>
  </si>
  <si>
    <r>
      <t>去向库位</t>
    </r>
    <r>
      <rPr>
        <sz val="10.5"/>
        <color theme="1"/>
        <rFont val="Calibri"/>
        <charset val="134"/>
      </rPr>
      <t>/</t>
    </r>
    <r>
      <rPr>
        <sz val="10.5"/>
        <color theme="1"/>
        <rFont val="宋体"/>
        <charset val="134"/>
        <scheme val="minor"/>
      </rPr>
      <t>工位号</t>
    </r>
  </si>
  <si>
    <t>入库去向（平面库库位或线边工位）</t>
  </si>
  <si>
    <t>K001 / XB01</t>
  </si>
  <si>
    <t>到货状态</t>
  </si>
  <si>
    <t>已卸货</t>
  </si>
  <si>
    <t>第2.1 层：平面库库位批次信息：库存管理、先进先出、追溯关联</t>
  </si>
  <si>
    <t>编码格式： YYMMDD-序号-K库位号；示例： 260810-001-K001
说明： 入厂原料卸货至平面库后，按库位划分的批次，直接关联入厂原料批次。</t>
  </si>
  <si>
    <t>4、成本信息</t>
  </si>
  <si>
    <t>平面库库位批次号</t>
  </si>
  <si>
    <t>260810-001-K001</t>
  </si>
  <si>
    <t>关联入厂原料批次号</t>
  </si>
  <si>
    <t>关联的入厂批次</t>
  </si>
  <si>
    <t>来源入厂批次总成本（元）</t>
  </si>
  <si>
    <t>关联的入厂原料批次总成本</t>
  </si>
  <si>
    <t>入库重量（吨）</t>
  </si>
  <si>
    <t>该库位批次入库重量</t>
  </si>
  <si>
    <t>库位号</t>
  </si>
  <si>
    <t>平面库具体库位编号</t>
  </si>
  <si>
    <t>来源入厂批次总成本 ÷ 入库重量</t>
  </si>
  <si>
    <t>入库叉车编号</t>
  </si>
  <si>
    <t>执行入库操作的叉车</t>
  </si>
  <si>
    <t>FC-01</t>
  </si>
  <si>
    <t>移库出库重量（吨）</t>
  </si>
  <si>
    <t>已移库至线边的重量</t>
  </si>
  <si>
    <t>物料入库时间</t>
  </si>
  <si>
    <t>260810-001-XB01</t>
  </si>
  <si>
    <t>移库出库成本（元）</t>
  </si>
  <si>
    <t>移库出库重量 × 单位成本</t>
  </si>
  <si>
    <t>入库袋数</t>
  </si>
  <si>
    <t>入库总袋数</t>
  </si>
  <si>
    <t>当前库存重量（吨）</t>
  </si>
  <si>
    <t>该库位批次剩余重量</t>
  </si>
  <si>
    <t>入库总重量</t>
  </si>
  <si>
    <t>当前库存成本（元）</t>
  </si>
  <si>
    <t>当前库存重量 × 单位成本</t>
  </si>
  <si>
    <t>当前库存袋数</t>
  </si>
  <si>
    <t>当前剩余袋数</t>
  </si>
  <si>
    <t>当前剩余重量</t>
  </si>
  <si>
    <t>第2.2层：线边工位批次信息：投料准备、成本传递、追溯关联</t>
  </si>
  <si>
    <t>编码格式： YYMMDD-序号-XB线边工位号；示例： 20260810-001-XB01
说明： 平面库物料移库至生产线边工位后生成的批次，关联平面库库位批次，是投料批次的上游来源。</t>
  </si>
  <si>
    <t>线边原料批次号</t>
  </si>
  <si>
    <t>来源平面库批次总成本（元）</t>
  </si>
  <si>
    <t>关联的平面库库位批次总成本</t>
  </si>
  <si>
    <t>关联平面库库位批次号</t>
  </si>
  <si>
    <t>关联的库位批次</t>
  </si>
  <si>
    <t>20260810-001-K001</t>
  </si>
  <si>
    <t>移库重量（吨）</t>
  </si>
  <si>
    <t>该线边批次移库重量</t>
  </si>
  <si>
    <t>20260810-001-XXX</t>
  </si>
  <si>
    <t>来源平面库批次总成本 ÷ 移库重量</t>
  </si>
  <si>
    <t>线边工位号</t>
  </si>
  <si>
    <t>生产线边工位编号</t>
  </si>
  <si>
    <t>投料消耗重量（吨）</t>
  </si>
  <si>
    <t>已投料消耗的重量</t>
  </si>
  <si>
    <t>移库叉车编号</t>
  </si>
  <si>
    <t>执行移库操作的叉车</t>
  </si>
  <si>
    <t>FC-02</t>
  </si>
  <si>
    <t>该线边原料参与哪些投料批次</t>
  </si>
  <si>
    <t>投料消耗成本（元）</t>
  </si>
  <si>
    <t>投料消耗重量 × 单位成本</t>
  </si>
  <si>
    <t>移库时间</t>
  </si>
  <si>
    <t>物料移至线边的时间</t>
  </si>
  <si>
    <t>投料消耗量（吨）</t>
  </si>
  <si>
    <t>线边剩余重量（吨）</t>
  </si>
  <si>
    <t>线边当前剩余重量</t>
  </si>
  <si>
    <t>移库袋数</t>
  </si>
  <si>
    <t>移库总袋数</t>
  </si>
  <si>
    <t>剩余重量（吨）</t>
  </si>
  <si>
    <t>线边剩余未投料重量</t>
  </si>
  <si>
    <t>线边剩余成本（元）</t>
  </si>
  <si>
    <t>线边剩余重量 × 单位成本</t>
  </si>
  <si>
    <t>各层级成本信息汇总</t>
  </si>
  <si>
    <t>总成本构成</t>
  </si>
  <si>
    <t>单位成本计算</t>
  </si>
  <si>
    <t>当前库存总成本</t>
  </si>
  <si>
    <t>第2层 入厂原料批次</t>
  </si>
  <si>
    <t>第2.1层 平面库库位批次</t>
  </si>
  <si>
    <t>来源入厂批次总成本（按入库重量继承）</t>
  </si>
  <si>
    <t>第2.2层 线边投料原料批次</t>
  </si>
  <si>
    <t>来源平面库批次总成本（按移库重量继承）</t>
  </si>
  <si>
    <t>第1层：供应商信息：质量追溯起点、入厂关联、供应商评估</t>
  </si>
  <si>
    <t>供应商原料批次
供应商自行划分，并提供原料出厂数据（包装规格、质量数据、生产日期）
编号说明：印刷在袋子上、纸质单子（包括供应商名称、规格、质检数据、生产日期等）。</t>
  </si>
  <si>
    <t>2、供应商质量信息</t>
  </si>
  <si>
    <t>3、关联字段</t>
  </si>
  <si>
    <t>供应商提供的批次编号（印刷在袋子上或纸质单子）</t>
  </si>
  <si>
    <t>供应商检测的水分含量</t>
  </si>
  <si>
    <t>该供应商批次对应的入厂批次</t>
  </si>
  <si>
    <t>数据状态</t>
  </si>
  <si>
    <t>待录入 / 已录入 / 已确认</t>
  </si>
  <si>
    <t>数据录入状态</t>
  </si>
  <si>
    <t>供应商检测的细度</t>
  </si>
  <si>
    <t>供应商代码</t>
  </si>
  <si>
    <t>供应商唯一编码（系统内）</t>
  </si>
  <si>
    <t>S-001</t>
  </si>
  <si>
    <t>供应商检测的白度</t>
  </si>
  <si>
    <t>供应商检测的蛋白质含量</t>
  </si>
  <si>
    <t>原料规格</t>
  </si>
  <si>
    <t>原料等级/规格</t>
  </si>
  <si>
    <t>一级品</t>
  </si>
  <si>
    <t>供应商检测的灰分含量</t>
  </si>
  <si>
    <t>生产日期</t>
  </si>
  <si>
    <t>原料生产日期（供应商提供）</t>
  </si>
  <si>
    <t>供应商检测的斑点</t>
  </si>
  <si>
    <t>保质期</t>
  </si>
  <si>
    <t>原料保质期</t>
  </si>
  <si>
    <t>12个月</t>
  </si>
  <si>
    <t>供应商检测的二氧化硫含量</t>
  </si>
  <si>
    <t>本批次总袋数</t>
  </si>
  <si>
    <t>供应商提供的质检报告编号</t>
  </si>
  <si>
    <t>本批次原料总重量</t>
  </si>
  <si>
    <r>
      <t xml:space="preserve">费用池：公共成本月底分摊到批次，对批次成本进行修正，最后汇总归集。
</t>
    </r>
    <r>
      <rPr>
        <b/>
        <sz val="16"/>
        <color rgb="FFC00000"/>
        <rFont val="宋体"/>
        <charset val="134"/>
        <scheme val="minor"/>
      </rPr>
      <t>公共成本归集</t>
    </r>
  </si>
  <si>
    <t>人力成本预设，月底根据最终支出修正批次成本，最后汇总归集。</t>
  </si>
  <si>
    <t>字段 说明 示例
车次批次号 唯一标识 20260810-T01-01
装车日期 装车当日日期 2026-08-10
成品罐编号 从哪个成品罐装车 T01
装车序号 该罐当天第几车 01
装车开始时间 开始装车时间 2026-08-10 14:30:00
装车结束时间 结束装车时间 2026-08-10 15:00:00
装车量（吨） 本车装载吨数 25.00
装车温度（℃） 装车时糖浆温度 45.0
操作人 装车操作人员 张三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</si>
</sst>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1">
    <font>
      <sz val="11"/>
      <color theme="1"/>
      <name val="宋体"/>
      <charset val="134"/>
      <scheme val="minor"/>
    </font>
    <font>
      <b/>
      <sz val="12"/>
      <color rgb="FF0F1115"/>
      <name val="var(--dsw-font-markdown-table-head)"/>
      <charset val="134"/>
    </font>
    <font>
      <sz val="12"/>
      <color rgb="FF0F1115"/>
      <name val="var(--dsw-font-markdown-table)"/>
      <charset val="134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.05"/>
      <color rgb="FF0F1115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Calibri"/>
      <charset val="134"/>
    </font>
    <font>
      <sz val="10.5"/>
      <color theme="1"/>
      <name val="宋体"/>
      <charset val="134"/>
      <scheme val="minor"/>
    </font>
    <font>
      <b/>
      <sz val="12"/>
      <color theme="1"/>
      <name val="Calibri"/>
      <charset val="134"/>
    </font>
    <font>
      <sz val="12"/>
      <color rgb="FF0F1115"/>
      <name val="Songti SC Regular"/>
      <charset val="134"/>
    </font>
    <font>
      <sz val="12"/>
      <color rgb="FF0F1115"/>
      <name val="宋体"/>
      <charset val="134"/>
      <scheme val="minor"/>
    </font>
    <font>
      <sz val="14"/>
      <name val="Songti SC Regular"/>
      <charset val="134"/>
    </font>
    <font>
      <b/>
      <sz val="11"/>
      <color theme="1"/>
      <name val="var(--dsw-font-markdown-table-head)"/>
      <charset val="134"/>
    </font>
    <font>
      <sz val="11"/>
      <color theme="1"/>
      <name val="var(--dsw-font-markdown-table)"/>
      <charset val="134"/>
    </font>
    <font>
      <sz val="10.5"/>
      <color theme="1"/>
      <name val="Calibri"/>
      <charset val="134"/>
    </font>
    <font>
      <sz val="10.5"/>
      <name val="var(--dsw-font-markdown-base)"/>
      <charset val="134"/>
    </font>
    <font>
      <sz val="12"/>
      <color theme="1"/>
      <name val="Songti SC Regular"/>
      <charset val="134"/>
    </font>
    <font>
      <sz val="10.5"/>
      <color rgb="FF800080"/>
      <name val="var(--dsw-font-markdown-base)"/>
      <charset val="134"/>
    </font>
    <font>
      <sz val="12"/>
      <color rgb="FFC00000"/>
      <name val="宋体"/>
      <charset val="134"/>
      <scheme val="minor"/>
    </font>
    <font>
      <sz val="12"/>
      <color rgb="FFC00000"/>
      <name val="var(--dsw-font-markdown-table)"/>
      <charset val="134"/>
    </font>
    <font>
      <b/>
      <sz val="10.5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宋体-简"/>
      <charset val="134"/>
    </font>
    <font>
      <sz val="14"/>
      <color rgb="FF0F111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Arial"/>
      <charset val="134"/>
    </font>
    <font>
      <b/>
      <sz val="16"/>
      <color rgb="FFC00000"/>
      <name val="宋体"/>
      <charset val="134"/>
      <scheme val="minor"/>
    </font>
    <font>
      <sz val="12"/>
      <color rgb="FFC00000"/>
      <name val="Songti SC Regular"/>
      <charset val="134"/>
    </font>
    <font>
      <sz val="10.5"/>
      <color rgb="FF0F1115"/>
      <name val="var(--ds-font-family-code)"/>
      <charset val="134"/>
    </font>
    <font>
      <sz val="12"/>
      <color rgb="FFC00000"/>
      <name val="Calibri"/>
      <charset val="134"/>
    </font>
    <font>
      <sz val="12"/>
      <color rgb="FFC00000"/>
      <name val="宋体-简"/>
      <charset val="134"/>
    </font>
  </fonts>
  <fills count="4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10" borderId="12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1" borderId="15" applyNumberFormat="0" applyAlignment="0" applyProtection="0">
      <alignment vertical="center"/>
    </xf>
    <xf numFmtId="0" fontId="35" fillId="12" borderId="16" applyNumberFormat="0" applyAlignment="0" applyProtection="0">
      <alignment vertical="center"/>
    </xf>
    <xf numFmtId="0" fontId="36" fillId="12" borderId="15" applyNumberFormat="0" applyAlignment="0" applyProtection="0">
      <alignment vertical="center"/>
    </xf>
    <xf numFmtId="0" fontId="37" fillId="13" borderId="17" applyNumberFormat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</cellStyleXfs>
  <cellXfs count="19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22" fontId="2" fillId="0" borderId="1" xfId="0" applyNumberFormat="1" applyFont="1" applyBorder="1" applyAlignment="1">
      <alignment horizontal="left" vertical="center" wrapText="1"/>
    </xf>
    <xf numFmtId="0" fontId="0" fillId="0" borderId="0" xfId="0" applyFill="1">
      <alignment vertical="center"/>
    </xf>
    <xf numFmtId="0" fontId="3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4" fontId="8" fillId="0" borderId="4" xfId="0" applyNumberFormat="1" applyFont="1" applyBorder="1" applyAlignment="1">
      <alignment horizontal="right" vertical="center" wrapText="1"/>
    </xf>
    <xf numFmtId="22" fontId="3" fillId="0" borderId="1" xfId="0" applyNumberFormat="1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22" fontId="9" fillId="0" borderId="1" xfId="0" applyNumberFormat="1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4" fontId="10" fillId="0" borderId="4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22" fontId="9" fillId="0" borderId="0" xfId="0" applyNumberFormat="1" applyFont="1" applyBorder="1" applyAlignment="1">
      <alignment horizontal="left" vertical="center" wrapText="1"/>
    </xf>
    <xf numFmtId="10" fontId="8" fillId="0" borderId="4" xfId="0" applyNumberFormat="1" applyFont="1" applyBorder="1" applyAlignment="1">
      <alignment horizontal="right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22" fontId="3" fillId="0" borderId="1" xfId="0" applyNumberFormat="1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10" fontId="8" fillId="0" borderId="1" xfId="0" applyNumberFormat="1" applyFont="1" applyBorder="1" applyAlignment="1">
      <alignment horizontal="left" vertical="center" wrapText="1"/>
    </xf>
    <xf numFmtId="10" fontId="10" fillId="0" borderId="1" xfId="0" applyNumberFormat="1" applyFont="1" applyBorder="1" applyAlignment="1">
      <alignment horizontal="left" vertical="center" wrapText="1"/>
    </xf>
    <xf numFmtId="22" fontId="11" fillId="0" borderId="1" xfId="0" applyNumberFormat="1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22" fontId="3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4" fontId="2" fillId="0" borderId="8" xfId="0" applyNumberFormat="1" applyFont="1" applyBorder="1" applyAlignment="1">
      <alignment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22" fontId="16" fillId="0" borderId="1" xfId="0" applyNumberFormat="1" applyFont="1" applyBorder="1" applyAlignment="1">
      <alignment horizontal="center" vertical="center" wrapText="1"/>
    </xf>
    <xf numFmtId="20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15" fillId="0" borderId="8" xfId="0" applyFont="1" applyBorder="1" applyAlignment="1">
      <alignment vertical="center" wrapText="1"/>
    </xf>
    <xf numFmtId="0" fontId="15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17" fillId="0" borderId="0" xfId="0" applyFont="1" applyAlignment="1">
      <alignment vertical="center" wrapText="1"/>
    </xf>
    <xf numFmtId="0" fontId="18" fillId="0" borderId="1" xfId="0" applyFont="1" applyBorder="1" applyAlignment="1">
      <alignment horizontal="left" vertical="center" wrapText="1"/>
    </xf>
    <xf numFmtId="22" fontId="18" fillId="0" borderId="1" xfId="0" applyNumberFormat="1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4" fontId="11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4" fontId="11" fillId="0" borderId="8" xfId="0" applyNumberFormat="1" applyFont="1" applyBorder="1" applyAlignment="1">
      <alignment horizontal="left" vertical="center" wrapText="1"/>
    </xf>
    <xf numFmtId="0" fontId="18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1" fillId="0" borderId="1" xfId="0" applyFont="1" applyBorder="1" applyAlignment="1">
      <alignment vertical="center" wrapText="1"/>
    </xf>
    <xf numFmtId="22" fontId="2" fillId="0" borderId="1" xfId="0" applyNumberFormat="1" applyFont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4" fontId="15" fillId="0" borderId="1" xfId="0" applyNumberFormat="1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left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4" fontId="16" fillId="0" borderId="1" xfId="0" applyNumberFormat="1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 wrapText="1"/>
    </xf>
    <xf numFmtId="22" fontId="15" fillId="0" borderId="1" xfId="0" applyNumberFormat="1" applyFont="1" applyBorder="1" applyAlignment="1">
      <alignment horizontal="left" vertical="center" wrapText="1"/>
    </xf>
    <xf numFmtId="3" fontId="15" fillId="0" borderId="1" xfId="0" applyNumberFormat="1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15" fillId="0" borderId="8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2" borderId="1" xfId="0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 wrapText="1"/>
    </xf>
    <xf numFmtId="0" fontId="23" fillId="3" borderId="1" xfId="0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left" vertical="center" wrapText="1"/>
    </xf>
    <xf numFmtId="0" fontId="3" fillId="0" borderId="0" xfId="0" applyFont="1">
      <alignment vertical="center"/>
    </xf>
    <xf numFmtId="0" fontId="23" fillId="5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24" fillId="3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center" vertical="center" wrapText="1"/>
    </xf>
    <xf numFmtId="0" fontId="24" fillId="0" borderId="0" xfId="0" applyFont="1" applyFill="1" applyAlignment="1">
      <alignment horizontal="left" vertical="center" wrapText="1"/>
    </xf>
    <xf numFmtId="0" fontId="23" fillId="9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0" fontId="25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28"/>
  <sheetViews>
    <sheetView zoomScale="94" zoomScaleNormal="94" workbookViewId="0">
      <selection activeCell="A3" sqref="A3:F3"/>
    </sheetView>
  </sheetViews>
  <sheetFormatPr defaultColWidth="9.23076923076923" defaultRowHeight="28" customHeight="1" outlineLevelCol="5"/>
  <cols>
    <col min="2" max="2" width="33.2403846153846" customWidth="1"/>
    <col min="3" max="3" width="54.9326923076923" customWidth="1"/>
    <col min="4" max="4" width="38.1442307692308" customWidth="1"/>
    <col min="5" max="5" width="37.0865384615385" customWidth="1"/>
    <col min="6" max="6" width="69.5096153846154" customWidth="1"/>
  </cols>
  <sheetData>
    <row r="2" ht="42" customHeight="1" spans="1:6">
      <c r="A2" s="175" t="s">
        <v>0</v>
      </c>
      <c r="B2" s="175" t="s">
        <v>1</v>
      </c>
      <c r="C2" s="175" t="s">
        <v>2</v>
      </c>
      <c r="D2" s="175" t="s">
        <v>3</v>
      </c>
      <c r="E2" s="175" t="s">
        <v>4</v>
      </c>
      <c r="F2" s="175" t="s">
        <v>5</v>
      </c>
    </row>
    <row r="3" s="174" customFormat="1" ht="68" customHeight="1" spans="1:6">
      <c r="A3" s="176" t="s">
        <v>6</v>
      </c>
      <c r="B3" s="176" t="s">
        <v>7</v>
      </c>
      <c r="C3" s="177" t="s">
        <v>8</v>
      </c>
      <c r="D3" s="176" t="s">
        <v>9</v>
      </c>
      <c r="E3" s="176" t="s">
        <v>9</v>
      </c>
      <c r="F3" s="177" t="s">
        <v>10</v>
      </c>
    </row>
    <row r="4" s="174" customFormat="1" ht="78" customHeight="1" spans="1:6">
      <c r="A4" s="177" t="s">
        <v>11</v>
      </c>
      <c r="B4" s="177"/>
      <c r="C4" s="177"/>
      <c r="D4" s="177"/>
      <c r="E4" s="177"/>
      <c r="F4" s="177"/>
    </row>
    <row r="5" s="174" customFormat="1" ht="66" customHeight="1" spans="1:6">
      <c r="A5" s="178" t="s">
        <v>12</v>
      </c>
      <c r="B5" s="178" t="s">
        <v>13</v>
      </c>
      <c r="C5" s="179" t="s">
        <v>14</v>
      </c>
      <c r="D5" s="180" t="s">
        <v>15</v>
      </c>
      <c r="E5" s="180" t="s">
        <v>16</v>
      </c>
      <c r="F5" s="179" t="s">
        <v>17</v>
      </c>
    </row>
    <row r="6" s="174" customFormat="1" ht="57" customHeight="1" spans="1:6">
      <c r="A6" s="181">
        <v>2.1</v>
      </c>
      <c r="B6" s="181" t="s">
        <v>18</v>
      </c>
      <c r="C6" s="182" t="s">
        <v>19</v>
      </c>
      <c r="D6" s="183" t="s">
        <v>20</v>
      </c>
      <c r="E6" s="183" t="s">
        <v>21</v>
      </c>
      <c r="F6" s="182" t="s">
        <v>22</v>
      </c>
    </row>
    <row r="7" s="174" customFormat="1" ht="50" customHeight="1" spans="1:6">
      <c r="A7" s="181">
        <v>2.2</v>
      </c>
      <c r="B7" s="181" t="s">
        <v>23</v>
      </c>
      <c r="C7" s="182" t="s">
        <v>24</v>
      </c>
      <c r="D7" s="183" t="s">
        <v>25</v>
      </c>
      <c r="E7" s="183" t="s">
        <v>26</v>
      </c>
      <c r="F7" s="182" t="s">
        <v>27</v>
      </c>
    </row>
    <row r="8" ht="67" customHeight="1" spans="1:6">
      <c r="A8" s="181" t="s">
        <v>28</v>
      </c>
      <c r="B8" s="181" t="s">
        <v>29</v>
      </c>
      <c r="C8" s="182" t="s">
        <v>30</v>
      </c>
      <c r="D8" s="183" t="s">
        <v>31</v>
      </c>
      <c r="E8" s="183" t="s">
        <v>32</v>
      </c>
      <c r="F8" s="184" t="s">
        <v>33</v>
      </c>
    </row>
    <row r="9" ht="54" customHeight="1" spans="1:6">
      <c r="A9" s="181" t="s">
        <v>34</v>
      </c>
      <c r="B9" s="181" t="s">
        <v>35</v>
      </c>
      <c r="C9" s="185" t="s">
        <v>36</v>
      </c>
      <c r="D9" s="183" t="s">
        <v>37</v>
      </c>
      <c r="E9" s="183" t="s">
        <v>38</v>
      </c>
      <c r="F9" s="184" t="s">
        <v>39</v>
      </c>
    </row>
    <row r="10" ht="90" customHeight="1" spans="1:6">
      <c r="A10" s="181" t="s">
        <v>40</v>
      </c>
      <c r="B10" s="183" t="s">
        <v>41</v>
      </c>
      <c r="C10" s="185" t="s">
        <v>42</v>
      </c>
      <c r="D10" s="183" t="s">
        <v>43</v>
      </c>
      <c r="E10" s="183" t="s">
        <v>44</v>
      </c>
      <c r="F10" s="184" t="s">
        <v>45</v>
      </c>
    </row>
    <row r="11" ht="72" customHeight="1" spans="1:6">
      <c r="A11" s="181" t="s">
        <v>46</v>
      </c>
      <c r="B11" s="181" t="s">
        <v>47</v>
      </c>
      <c r="C11" s="182" t="s">
        <v>48</v>
      </c>
      <c r="D11" s="183" t="s">
        <v>49</v>
      </c>
      <c r="E11" s="183" t="s">
        <v>50</v>
      </c>
      <c r="F11" s="184" t="s">
        <v>51</v>
      </c>
    </row>
    <row r="12" ht="60" customHeight="1" spans="1:6">
      <c r="A12" s="181" t="s">
        <v>52</v>
      </c>
      <c r="B12" s="183" t="s">
        <v>53</v>
      </c>
      <c r="C12" s="182" t="s">
        <v>54</v>
      </c>
      <c r="D12" s="183" t="s">
        <v>55</v>
      </c>
      <c r="E12" s="183" t="s">
        <v>56</v>
      </c>
      <c r="F12" s="184" t="s">
        <v>57</v>
      </c>
    </row>
    <row r="13" ht="43" customHeight="1" spans="1:6">
      <c r="A13" s="181" t="s">
        <v>58</v>
      </c>
      <c r="B13" s="183" t="s">
        <v>59</v>
      </c>
      <c r="C13" s="185" t="s">
        <v>60</v>
      </c>
      <c r="D13" s="183" t="s">
        <v>61</v>
      </c>
      <c r="E13" s="183" t="s">
        <v>62</v>
      </c>
      <c r="F13" s="184" t="s">
        <v>63</v>
      </c>
    </row>
    <row r="14" ht="51" customHeight="1" spans="1:6">
      <c r="A14" s="181" t="s">
        <v>64</v>
      </c>
      <c r="B14" s="181" t="s">
        <v>65</v>
      </c>
      <c r="C14" s="182" t="s">
        <v>66</v>
      </c>
      <c r="D14" s="183" t="s">
        <v>67</v>
      </c>
      <c r="E14" s="183" t="s">
        <v>68</v>
      </c>
      <c r="F14" s="184" t="s">
        <v>69</v>
      </c>
    </row>
    <row r="15" ht="65" customHeight="1" spans="1:6">
      <c r="A15" s="178" t="s">
        <v>70</v>
      </c>
      <c r="B15" s="178" t="s">
        <v>71</v>
      </c>
      <c r="C15" s="179" t="s">
        <v>72</v>
      </c>
      <c r="D15" s="180" t="s">
        <v>73</v>
      </c>
      <c r="E15" s="180" t="s">
        <v>74</v>
      </c>
      <c r="F15" s="186" t="s">
        <v>75</v>
      </c>
    </row>
    <row r="16" ht="35" customHeight="1" spans="1:6">
      <c r="A16" s="187"/>
      <c r="B16" s="187"/>
      <c r="C16" s="188"/>
      <c r="D16" s="189"/>
      <c r="E16" s="189"/>
      <c r="F16" s="190"/>
    </row>
    <row r="17" customHeight="1" spans="1:6">
      <c r="A17" s="191" t="s">
        <v>76</v>
      </c>
      <c r="B17" s="191"/>
      <c r="C17" s="191"/>
      <c r="D17" s="191"/>
      <c r="E17" s="191"/>
      <c r="F17" s="191"/>
    </row>
    <row r="18" customHeight="1" spans="1:6">
      <c r="A18" s="192"/>
      <c r="B18" s="193" t="s">
        <v>77</v>
      </c>
      <c r="C18" s="193" t="s">
        <v>78</v>
      </c>
      <c r="D18" s="193"/>
      <c r="E18" s="193"/>
      <c r="F18" s="193" t="s">
        <v>5</v>
      </c>
    </row>
    <row r="19" s="5" customFormat="1" customHeight="1" spans="1:6">
      <c r="A19" s="79">
        <v>1</v>
      </c>
      <c r="B19" s="112" t="s">
        <v>79</v>
      </c>
      <c r="C19" s="112" t="s">
        <v>80</v>
      </c>
      <c r="D19" s="112"/>
      <c r="E19" s="112"/>
      <c r="F19" s="194" t="s">
        <v>81</v>
      </c>
    </row>
    <row r="20" customHeight="1" spans="1:6">
      <c r="A20" s="79">
        <v>2</v>
      </c>
      <c r="B20" s="112" t="s">
        <v>82</v>
      </c>
      <c r="C20" s="112" t="s">
        <v>83</v>
      </c>
      <c r="D20" s="112"/>
      <c r="E20" s="112"/>
      <c r="F20" s="195"/>
    </row>
    <row r="21" customHeight="1" spans="1:6">
      <c r="A21" s="79">
        <v>3</v>
      </c>
      <c r="B21" s="112" t="s">
        <v>84</v>
      </c>
      <c r="C21" s="112" t="s">
        <v>85</v>
      </c>
      <c r="D21" s="112"/>
      <c r="E21" s="112"/>
      <c r="F21" s="195"/>
    </row>
    <row r="22" customHeight="1" spans="1:6">
      <c r="A22" s="79">
        <v>4</v>
      </c>
      <c r="B22" s="112" t="s">
        <v>86</v>
      </c>
      <c r="C22" s="112" t="s">
        <v>87</v>
      </c>
      <c r="D22" s="112"/>
      <c r="E22" s="112"/>
      <c r="F22" s="195"/>
    </row>
    <row r="23" customHeight="1" spans="1:6">
      <c r="A23" s="5"/>
      <c r="B23" s="5"/>
      <c r="C23" s="5"/>
      <c r="D23" s="5"/>
      <c r="E23" s="5"/>
      <c r="F23" s="5"/>
    </row>
    <row r="24" customHeight="1" spans="1:6">
      <c r="A24" s="196" t="s">
        <v>88</v>
      </c>
      <c r="B24" s="197"/>
      <c r="C24" s="197"/>
      <c r="D24" s="197"/>
      <c r="E24" s="197"/>
      <c r="F24" s="197"/>
    </row>
    <row r="25" customHeight="1" spans="1:6">
      <c r="A25" s="197"/>
      <c r="B25" s="197"/>
      <c r="C25" s="197"/>
      <c r="D25" s="197"/>
      <c r="E25" s="197"/>
      <c r="F25" s="197"/>
    </row>
    <row r="26" customHeight="1" spans="1:6">
      <c r="A26" s="197"/>
      <c r="B26" s="197"/>
      <c r="C26" s="197"/>
      <c r="D26" s="197"/>
      <c r="E26" s="197"/>
      <c r="F26" s="197"/>
    </row>
    <row r="27" ht="15" customHeight="1" spans="1:6">
      <c r="A27" s="197"/>
      <c r="B27" s="197"/>
      <c r="C27" s="197"/>
      <c r="D27" s="197"/>
      <c r="E27" s="197"/>
      <c r="F27" s="197"/>
    </row>
    <row r="28" ht="18" customHeight="1" spans="1:6">
      <c r="A28" s="197"/>
      <c r="B28" s="197"/>
      <c r="C28" s="197"/>
      <c r="D28" s="197"/>
      <c r="E28" s="197"/>
      <c r="F28" s="197"/>
    </row>
  </sheetData>
  <mergeCells count="9">
    <mergeCell ref="A4:F4"/>
    <mergeCell ref="A17:F17"/>
    <mergeCell ref="C18:E18"/>
    <mergeCell ref="C19:E19"/>
    <mergeCell ref="C20:E20"/>
    <mergeCell ref="C21:E21"/>
    <mergeCell ref="C22:E22"/>
    <mergeCell ref="F19:F22"/>
    <mergeCell ref="A24:F2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B207"/>
  <sheetViews>
    <sheetView tabSelected="1" zoomScale="111" zoomScaleNormal="111" topLeftCell="A189" workbookViewId="0">
      <selection activeCell="J213" sqref="J213"/>
    </sheetView>
  </sheetViews>
  <sheetFormatPr defaultColWidth="9.23076923076923" defaultRowHeight="16.8"/>
  <cols>
    <col min="1" max="1" width="1.75961538461538" customWidth="1"/>
    <col min="2" max="2" width="22.4326923076923" customWidth="1"/>
    <col min="3" max="3" width="19.7019230769231" customWidth="1"/>
    <col min="4" max="4" width="24.2019230769231" customWidth="1"/>
    <col min="5" max="5" width="1.43269230769231" customWidth="1"/>
    <col min="6" max="6" width="22.4326923076923" customWidth="1"/>
    <col min="7" max="7" width="18.1057692307692" customWidth="1"/>
    <col min="8" max="8" width="21.0384615384615" customWidth="1"/>
    <col min="9" max="9" width="1.58653846153846" customWidth="1"/>
    <col min="10" max="10" width="12.6538461538462" customWidth="1"/>
    <col min="11" max="11" width="15.7019230769231" customWidth="1"/>
    <col min="12" max="12" width="21.6346153846154" customWidth="1"/>
    <col min="13" max="13" width="1.26923076923077" customWidth="1"/>
    <col min="14" max="14" width="14.7403846153846" customWidth="1"/>
    <col min="15" max="15" width="17.625" customWidth="1"/>
    <col min="16" max="16" width="20.3557692307692" customWidth="1"/>
    <col min="17" max="17" width="1.11538461538462" customWidth="1"/>
    <col min="18" max="18" width="20.9903846153846" customWidth="1"/>
    <col min="19" max="19" width="15.0576923076923" customWidth="1"/>
    <col min="20" max="20" width="19.8653846153846" customWidth="1"/>
    <col min="21" max="21" width="1.58653846153846" customWidth="1"/>
    <col min="22" max="22" width="16.6538461538462" customWidth="1"/>
    <col min="23" max="23" width="20.8365384615385" customWidth="1"/>
    <col min="24" max="24" width="18.75" customWidth="1"/>
    <col min="25" max="25" width="1.43269230769231" customWidth="1"/>
    <col min="26" max="26" width="19.3846153846154" customWidth="1"/>
    <col min="27" max="27" width="18.1057692307692" customWidth="1"/>
    <col min="28" max="28" width="20.0288461538462" customWidth="1"/>
  </cols>
  <sheetData>
    <row r="1" ht="34" customHeight="1" spans="2:28">
      <c r="B1" s="6" t="s">
        <v>89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28" customHeight="1" spans="2:28">
      <c r="B2" s="7" t="s">
        <v>90</v>
      </c>
      <c r="C2" s="7"/>
      <c r="D2" s="7"/>
      <c r="F2" s="8" t="s">
        <v>91</v>
      </c>
      <c r="G2" s="8"/>
      <c r="H2" s="8"/>
      <c r="J2" s="9" t="s">
        <v>92</v>
      </c>
      <c r="K2" s="9"/>
      <c r="L2" s="9"/>
      <c r="N2" s="9" t="s">
        <v>93</v>
      </c>
      <c r="O2" s="9"/>
      <c r="P2" s="9"/>
      <c r="R2" s="9" t="s">
        <v>94</v>
      </c>
      <c r="S2" s="9"/>
      <c r="T2" s="9"/>
      <c r="V2" s="9" t="s">
        <v>95</v>
      </c>
      <c r="W2" s="9"/>
      <c r="X2" s="9"/>
      <c r="Z2" s="9" t="s">
        <v>96</v>
      </c>
      <c r="AA2" s="9"/>
      <c r="AB2" s="9"/>
    </row>
    <row r="3" ht="25" customHeight="1" spans="2:28">
      <c r="B3" s="10" t="s">
        <v>97</v>
      </c>
      <c r="C3" s="10" t="s">
        <v>5</v>
      </c>
      <c r="D3" s="10" t="s">
        <v>4</v>
      </c>
      <c r="F3" s="10" t="s">
        <v>97</v>
      </c>
      <c r="G3" s="10" t="s">
        <v>5</v>
      </c>
      <c r="H3" s="10" t="s">
        <v>4</v>
      </c>
      <c r="J3" s="10" t="s">
        <v>97</v>
      </c>
      <c r="K3" s="10" t="s">
        <v>5</v>
      </c>
      <c r="L3" s="10" t="s">
        <v>4</v>
      </c>
      <c r="N3" s="10" t="s">
        <v>97</v>
      </c>
      <c r="O3" s="10" t="s">
        <v>5</v>
      </c>
      <c r="P3" s="10" t="s">
        <v>4</v>
      </c>
      <c r="R3" s="10" t="s">
        <v>97</v>
      </c>
      <c r="S3" s="10" t="s">
        <v>5</v>
      </c>
      <c r="T3" s="10" t="s">
        <v>4</v>
      </c>
      <c r="V3" s="10" t="s">
        <v>97</v>
      </c>
      <c r="W3" s="10" t="s">
        <v>5</v>
      </c>
      <c r="X3" s="10" t="s">
        <v>4</v>
      </c>
      <c r="Z3" s="10" t="s">
        <v>97</v>
      </c>
      <c r="AA3" s="10" t="s">
        <v>5</v>
      </c>
      <c r="AB3" s="10" t="s">
        <v>4</v>
      </c>
    </row>
    <row r="4" ht="36.75" spans="2:28">
      <c r="B4" s="11" t="s">
        <v>98</v>
      </c>
      <c r="C4" s="12" t="s">
        <v>99</v>
      </c>
      <c r="D4" s="11" t="s">
        <v>100</v>
      </c>
      <c r="F4" s="11" t="s">
        <v>101</v>
      </c>
      <c r="G4" s="12" t="s">
        <v>102</v>
      </c>
      <c r="H4" s="11" t="s">
        <v>100</v>
      </c>
      <c r="J4" s="11" t="s">
        <v>103</v>
      </c>
      <c r="K4" s="11" t="s">
        <v>104</v>
      </c>
      <c r="L4" s="11" t="s">
        <v>105</v>
      </c>
      <c r="N4" s="11" t="s">
        <v>106</v>
      </c>
      <c r="O4" s="11" t="s">
        <v>107</v>
      </c>
      <c r="P4" s="11" t="s">
        <v>108</v>
      </c>
      <c r="R4" s="11" t="s">
        <v>109</v>
      </c>
      <c r="S4" s="11" t="s">
        <v>110</v>
      </c>
      <c r="T4" s="11" t="s">
        <v>111</v>
      </c>
      <c r="V4" s="11" t="s">
        <v>112</v>
      </c>
      <c r="W4" s="11" t="s">
        <v>113</v>
      </c>
      <c r="X4" s="13" t="s">
        <v>114</v>
      </c>
      <c r="Z4" s="14" t="s">
        <v>115</v>
      </c>
      <c r="AA4" s="15" t="s">
        <v>116</v>
      </c>
      <c r="AB4" s="16">
        <v>3800</v>
      </c>
    </row>
    <row r="5" ht="36.75" spans="2:28">
      <c r="B5" s="11" t="s">
        <v>117</v>
      </c>
      <c r="C5" s="12" t="s">
        <v>118</v>
      </c>
      <c r="D5" s="17">
        <v>46244.3958333333</v>
      </c>
      <c r="F5" s="11" t="s">
        <v>119</v>
      </c>
      <c r="G5" s="12" t="s">
        <v>120</v>
      </c>
      <c r="H5" s="11" t="s">
        <v>121</v>
      </c>
      <c r="J5" s="11" t="s">
        <v>122</v>
      </c>
      <c r="K5" s="11" t="s">
        <v>123</v>
      </c>
      <c r="L5" s="11" t="s">
        <v>124</v>
      </c>
      <c r="N5" s="11" t="s">
        <v>125</v>
      </c>
      <c r="O5" s="11" t="s">
        <v>126</v>
      </c>
      <c r="P5" s="11" t="s">
        <v>127</v>
      </c>
      <c r="R5" s="11" t="s">
        <v>128</v>
      </c>
      <c r="S5" s="11" t="s">
        <v>129</v>
      </c>
      <c r="T5" s="11" t="s">
        <v>130</v>
      </c>
      <c r="V5" s="11" t="s">
        <v>131</v>
      </c>
      <c r="W5" s="11" t="s">
        <v>132</v>
      </c>
      <c r="X5" s="11" t="s">
        <v>133</v>
      </c>
      <c r="Z5" s="14" t="s">
        <v>134</v>
      </c>
      <c r="AA5" s="15" t="s">
        <v>135</v>
      </c>
      <c r="AB5" s="16">
        <v>95000</v>
      </c>
    </row>
    <row r="6" ht="36.75" spans="2:28">
      <c r="B6" s="11" t="s">
        <v>136</v>
      </c>
      <c r="C6" s="12" t="s">
        <v>137</v>
      </c>
      <c r="D6" s="11" t="s">
        <v>138</v>
      </c>
      <c r="F6" s="8" t="s">
        <v>139</v>
      </c>
      <c r="G6" s="8"/>
      <c r="H6" s="8"/>
      <c r="J6" s="11" t="s">
        <v>140</v>
      </c>
      <c r="K6" s="11" t="s">
        <v>140</v>
      </c>
      <c r="L6" s="11" t="s">
        <v>141</v>
      </c>
      <c r="N6" s="18" t="s">
        <v>142</v>
      </c>
      <c r="O6" s="18" t="s">
        <v>143</v>
      </c>
      <c r="P6" s="18" t="s">
        <v>144</v>
      </c>
      <c r="R6" s="11" t="s">
        <v>145</v>
      </c>
      <c r="S6" s="11" t="s">
        <v>146</v>
      </c>
      <c r="T6" s="11" t="s">
        <v>147</v>
      </c>
      <c r="V6" s="11" t="s">
        <v>148</v>
      </c>
      <c r="W6" s="11" t="s">
        <v>149</v>
      </c>
      <c r="X6" s="11">
        <v>24.98</v>
      </c>
      <c r="Z6" s="14" t="s">
        <v>150</v>
      </c>
      <c r="AA6" s="15" t="s">
        <v>151</v>
      </c>
      <c r="AB6" s="16">
        <v>2000</v>
      </c>
    </row>
    <row r="7" ht="36.75" spans="2:28">
      <c r="B7" s="11" t="s">
        <v>152</v>
      </c>
      <c r="C7" s="12" t="s">
        <v>153</v>
      </c>
      <c r="D7" s="11">
        <v>1</v>
      </c>
      <c r="F7" s="19" t="s">
        <v>154</v>
      </c>
      <c r="G7" s="19"/>
      <c r="H7" s="19"/>
      <c r="J7" s="11" t="s">
        <v>155</v>
      </c>
      <c r="K7" s="11" t="s">
        <v>156</v>
      </c>
      <c r="L7" s="11" t="s">
        <v>157</v>
      </c>
      <c r="N7" s="11" t="s">
        <v>158</v>
      </c>
      <c r="O7" s="11" t="s">
        <v>159</v>
      </c>
      <c r="P7" s="11" t="s">
        <v>160</v>
      </c>
      <c r="V7" s="11" t="s">
        <v>161</v>
      </c>
      <c r="W7" s="11" t="s">
        <v>162</v>
      </c>
      <c r="X7" s="11" t="s">
        <v>163</v>
      </c>
      <c r="Z7" s="14" t="s">
        <v>164</v>
      </c>
      <c r="AA7" s="15" t="s">
        <v>165</v>
      </c>
      <c r="AB7" s="16">
        <v>97000</v>
      </c>
    </row>
    <row r="8" ht="36.75" spans="2:28">
      <c r="B8" s="20" t="s">
        <v>166</v>
      </c>
      <c r="C8" s="21"/>
      <c r="D8" s="22"/>
      <c r="F8" s="23"/>
      <c r="G8" s="24"/>
      <c r="H8" s="24"/>
      <c r="J8" s="11" t="s">
        <v>167</v>
      </c>
      <c r="K8" s="11" t="s">
        <v>168</v>
      </c>
      <c r="L8" s="11" t="s">
        <v>169</v>
      </c>
      <c r="N8" s="11" t="s">
        <v>170</v>
      </c>
      <c r="O8" s="11" t="s">
        <v>151</v>
      </c>
      <c r="P8" s="11">
        <v>2000</v>
      </c>
      <c r="V8" s="11" t="s">
        <v>171</v>
      </c>
      <c r="W8" s="11" t="s">
        <v>172</v>
      </c>
      <c r="X8" s="11" t="s">
        <v>173</v>
      </c>
      <c r="Z8" s="14" t="s">
        <v>174</v>
      </c>
      <c r="AA8" s="15" t="s">
        <v>175</v>
      </c>
      <c r="AB8" s="16">
        <v>4200</v>
      </c>
    </row>
    <row r="9" ht="36.75" spans="2:28">
      <c r="B9" s="20" t="s">
        <v>176</v>
      </c>
      <c r="C9" s="21" t="s">
        <v>177</v>
      </c>
      <c r="D9" s="22">
        <v>46244.625</v>
      </c>
      <c r="F9" s="23"/>
      <c r="G9" s="24"/>
      <c r="H9" s="24"/>
      <c r="J9" s="25" t="s">
        <v>178</v>
      </c>
      <c r="K9" s="25"/>
      <c r="L9" s="25"/>
      <c r="Z9" s="14" t="s">
        <v>179</v>
      </c>
      <c r="AA9" s="15" t="s">
        <v>180</v>
      </c>
      <c r="AB9" s="26">
        <v>105000</v>
      </c>
    </row>
    <row r="10" ht="36.75" spans="2:28">
      <c r="B10" s="11" t="s">
        <v>181</v>
      </c>
      <c r="C10" s="12" t="s">
        <v>182</v>
      </c>
      <c r="D10" s="27">
        <v>20</v>
      </c>
      <c r="F10" s="23"/>
      <c r="G10" s="24"/>
      <c r="H10" s="24"/>
      <c r="J10" s="25" t="s">
        <v>183</v>
      </c>
      <c r="K10" s="25"/>
      <c r="L10" s="25"/>
      <c r="Z10" s="14" t="s">
        <v>184</v>
      </c>
      <c r="AA10" s="15" t="s">
        <v>185</v>
      </c>
      <c r="AB10" s="16">
        <v>8000</v>
      </c>
    </row>
    <row r="11" ht="36.75" spans="2:28">
      <c r="B11" s="11" t="s">
        <v>186</v>
      </c>
      <c r="C11" s="12" t="s">
        <v>187</v>
      </c>
      <c r="D11" s="11">
        <v>25</v>
      </c>
      <c r="F11" s="23"/>
      <c r="G11" s="24"/>
      <c r="H11" s="28"/>
      <c r="Z11" s="14" t="s">
        <v>188</v>
      </c>
      <c r="AA11" s="15" t="s">
        <v>189</v>
      </c>
      <c r="AB11" s="29">
        <v>0.076</v>
      </c>
    </row>
    <row r="12" ht="22" customHeight="1" spans="2:28">
      <c r="B12" s="11" t="s">
        <v>190</v>
      </c>
      <c r="C12" s="12" t="s">
        <v>191</v>
      </c>
      <c r="D12" s="11" t="s">
        <v>192</v>
      </c>
      <c r="F12" s="23"/>
      <c r="G12" s="24"/>
      <c r="H12" s="28"/>
    </row>
    <row r="13" s="4" customFormat="1" ht="7" customHeight="1" spans="2:28">
      <c r="B13" s="30"/>
      <c r="C13" s="30"/>
      <c r="D13" s="30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2"/>
      <c r="V13" s="32"/>
      <c r="W13" s="32"/>
      <c r="X13" s="32"/>
      <c r="Y13" s="32"/>
      <c r="Z13" s="32"/>
      <c r="AA13" s="32"/>
      <c r="AB13" s="32"/>
    </row>
    <row r="14" ht="34" customHeight="1" spans="2:28">
      <c r="B14" s="6" t="s">
        <v>193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33"/>
      <c r="Z14" s="33"/>
      <c r="AA14" s="33"/>
      <c r="AB14" s="33"/>
    </row>
    <row r="15" ht="25" customHeight="1" spans="2:28">
      <c r="B15" s="7" t="s">
        <v>90</v>
      </c>
      <c r="C15" s="7"/>
      <c r="D15" s="7"/>
      <c r="F15" s="8" t="s">
        <v>194</v>
      </c>
      <c r="G15" s="8"/>
      <c r="H15" s="8"/>
      <c r="J15" s="9" t="s">
        <v>195</v>
      </c>
      <c r="K15" s="9"/>
      <c r="L15" s="9"/>
      <c r="N15" s="9" t="s">
        <v>196</v>
      </c>
      <c r="O15" s="9"/>
      <c r="P15" s="9"/>
      <c r="R15" s="9" t="s">
        <v>197</v>
      </c>
      <c r="S15" s="9"/>
      <c r="T15" s="9"/>
      <c r="V15" s="9" t="s">
        <v>198</v>
      </c>
      <c r="W15" s="9"/>
      <c r="X15" s="9"/>
    </row>
    <row r="16" ht="18" spans="2:28">
      <c r="B16" s="1" t="s">
        <v>97</v>
      </c>
      <c r="C16" s="1" t="s">
        <v>5</v>
      </c>
      <c r="D16" s="1" t="s">
        <v>4</v>
      </c>
      <c r="F16" s="1" t="s">
        <v>97</v>
      </c>
      <c r="G16" s="1" t="s">
        <v>5</v>
      </c>
      <c r="H16" s="1" t="s">
        <v>4</v>
      </c>
      <c r="J16" s="1" t="s">
        <v>97</v>
      </c>
      <c r="K16" s="1" t="s">
        <v>5</v>
      </c>
      <c r="L16" s="1" t="s">
        <v>4</v>
      </c>
      <c r="N16" s="1" t="s">
        <v>97</v>
      </c>
      <c r="O16" s="1" t="s">
        <v>5</v>
      </c>
      <c r="P16" s="1" t="s">
        <v>4</v>
      </c>
      <c r="R16" s="1" t="s">
        <v>97</v>
      </c>
      <c r="S16" s="1" t="s">
        <v>5</v>
      </c>
      <c r="T16" s="1" t="s">
        <v>4</v>
      </c>
      <c r="V16" s="1" t="s">
        <v>199</v>
      </c>
      <c r="W16" s="34" t="s">
        <v>200</v>
      </c>
      <c r="X16" s="35"/>
    </row>
    <row r="17" ht="71" spans="2:28">
      <c r="B17" s="36" t="s">
        <v>201</v>
      </c>
      <c r="C17" s="36" t="s">
        <v>99</v>
      </c>
      <c r="D17" s="36" t="s">
        <v>202</v>
      </c>
      <c r="E17" s="5"/>
      <c r="F17" s="37" t="s">
        <v>203</v>
      </c>
      <c r="G17" s="38" t="s">
        <v>204</v>
      </c>
      <c r="H17" s="36" t="s">
        <v>205</v>
      </c>
      <c r="J17" s="38" t="s">
        <v>206</v>
      </c>
      <c r="K17" s="38" t="s">
        <v>207</v>
      </c>
      <c r="L17" s="39">
        <v>46244.5833333333</v>
      </c>
      <c r="M17" s="5"/>
      <c r="N17" s="11" t="s">
        <v>208</v>
      </c>
      <c r="O17" s="11" t="s">
        <v>209</v>
      </c>
      <c r="P17" s="11" t="s">
        <v>210</v>
      </c>
      <c r="Q17" s="5"/>
      <c r="R17" s="38" t="s">
        <v>164</v>
      </c>
      <c r="S17" s="38" t="s">
        <v>211</v>
      </c>
      <c r="T17" s="40"/>
      <c r="U17" s="5"/>
      <c r="V17" s="41" t="s">
        <v>212</v>
      </c>
      <c r="W17" s="42" t="s">
        <v>213</v>
      </c>
      <c r="X17" s="42"/>
    </row>
    <row r="18" ht="36" spans="2:28">
      <c r="B18" s="36" t="s">
        <v>136</v>
      </c>
      <c r="C18" s="36" t="s">
        <v>214</v>
      </c>
      <c r="D18" s="36" t="s">
        <v>138</v>
      </c>
      <c r="E18" s="5"/>
      <c r="F18" s="40" t="s">
        <v>215</v>
      </c>
      <c r="G18" s="43" t="s">
        <v>216</v>
      </c>
      <c r="H18" s="40"/>
      <c r="J18" s="38" t="s">
        <v>128</v>
      </c>
      <c r="K18" s="38" t="s">
        <v>217</v>
      </c>
      <c r="L18" s="37" t="s">
        <v>130</v>
      </c>
      <c r="M18" s="5"/>
      <c r="N18" s="11" t="s">
        <v>218</v>
      </c>
      <c r="O18" s="11" t="s">
        <v>219</v>
      </c>
      <c r="P18" s="44">
        <v>0.05</v>
      </c>
      <c r="Q18" s="5"/>
      <c r="R18" s="38" t="s">
        <v>220</v>
      </c>
      <c r="S18" s="38" t="s">
        <v>221</v>
      </c>
      <c r="T18" s="40"/>
      <c r="U18" s="5"/>
      <c r="V18" s="41" t="s">
        <v>222</v>
      </c>
      <c r="W18" s="42" t="s">
        <v>223</v>
      </c>
      <c r="X18" s="42"/>
    </row>
    <row r="19" ht="53" spans="2:28">
      <c r="B19" s="36" t="s">
        <v>224</v>
      </c>
      <c r="C19" s="36" t="s">
        <v>225</v>
      </c>
      <c r="D19" s="36" t="s">
        <v>226</v>
      </c>
      <c r="E19" s="5"/>
      <c r="F19" s="40" t="s">
        <v>227</v>
      </c>
      <c r="G19" s="43" t="s">
        <v>228</v>
      </c>
      <c r="H19" s="43" t="s">
        <v>229</v>
      </c>
      <c r="J19" s="38" t="s">
        <v>230</v>
      </c>
      <c r="K19" s="38" t="s">
        <v>231</v>
      </c>
      <c r="L19" s="37" t="s">
        <v>232</v>
      </c>
      <c r="M19" s="5"/>
      <c r="N19" s="11" t="s">
        <v>233</v>
      </c>
      <c r="O19" s="11" t="s">
        <v>234</v>
      </c>
      <c r="P19" s="45">
        <v>0.85</v>
      </c>
      <c r="Q19" s="5"/>
      <c r="R19" s="37" t="s">
        <v>235</v>
      </c>
      <c r="S19" s="38" t="s">
        <v>236</v>
      </c>
      <c r="T19" s="40"/>
      <c r="U19" s="5"/>
      <c r="V19" s="41" t="s">
        <v>237</v>
      </c>
      <c r="W19" s="42" t="s">
        <v>238</v>
      </c>
      <c r="X19" s="42"/>
    </row>
    <row r="20" ht="36" spans="2:28">
      <c r="B20" s="36" t="s">
        <v>239</v>
      </c>
      <c r="C20" s="36" t="s">
        <v>240</v>
      </c>
      <c r="D20" s="46">
        <v>46244.25</v>
      </c>
      <c r="E20" s="5"/>
      <c r="F20" s="47" t="s">
        <v>241</v>
      </c>
      <c r="G20" s="47"/>
      <c r="H20" s="47"/>
      <c r="J20" s="38" t="s">
        <v>242</v>
      </c>
      <c r="K20" s="38" t="s">
        <v>243</v>
      </c>
      <c r="L20" s="37" t="s">
        <v>192</v>
      </c>
      <c r="M20" s="5"/>
      <c r="N20" s="11" t="s">
        <v>244</v>
      </c>
      <c r="O20" s="11" t="s">
        <v>245</v>
      </c>
      <c r="P20" s="45">
        <v>0.85</v>
      </c>
      <c r="Q20" s="5"/>
      <c r="R20" s="5"/>
      <c r="S20" s="5"/>
      <c r="T20" s="5"/>
      <c r="U20" s="5"/>
      <c r="V20" s="5"/>
      <c r="W20" s="5"/>
      <c r="X20" s="5"/>
    </row>
    <row r="21" ht="88" spans="2:28">
      <c r="B21" s="36" t="s">
        <v>246</v>
      </c>
      <c r="C21" s="36" t="s">
        <v>247</v>
      </c>
      <c r="D21" s="46">
        <v>46244.5833333333</v>
      </c>
      <c r="E21" s="5"/>
      <c r="F21" s="48" t="s">
        <v>248</v>
      </c>
      <c r="G21" s="49"/>
      <c r="H21" s="49"/>
      <c r="J21" s="38" t="s">
        <v>249</v>
      </c>
      <c r="K21" s="38" t="s">
        <v>250</v>
      </c>
      <c r="L21" s="37" t="s">
        <v>251</v>
      </c>
      <c r="M21" s="5"/>
      <c r="N21" s="11" t="s">
        <v>252</v>
      </c>
      <c r="O21" s="11" t="s">
        <v>253</v>
      </c>
      <c r="P21" s="44">
        <v>0.05</v>
      </c>
      <c r="Q21" s="5"/>
      <c r="R21" s="5"/>
      <c r="S21" s="5"/>
      <c r="T21" s="5"/>
      <c r="U21" s="5"/>
      <c r="V21" s="5"/>
      <c r="W21" s="5"/>
      <c r="X21" s="5"/>
    </row>
    <row r="22" ht="36" spans="2:28">
      <c r="B22" s="36" t="s">
        <v>254</v>
      </c>
      <c r="C22" s="36" t="s">
        <v>255</v>
      </c>
      <c r="D22" s="36" t="s">
        <v>256</v>
      </c>
      <c r="E22" s="5"/>
      <c r="F22" s="5"/>
      <c r="G22" s="5"/>
      <c r="H22" s="5"/>
    </row>
    <row r="23" ht="30" customHeight="1" spans="2:28">
      <c r="B23" s="36" t="s">
        <v>257</v>
      </c>
      <c r="C23" s="36" t="s">
        <v>258</v>
      </c>
      <c r="D23" s="36" t="s">
        <v>259</v>
      </c>
      <c r="E23" s="5"/>
      <c r="F23" s="50"/>
      <c r="G23" s="50"/>
      <c r="H23" s="50"/>
      <c r="Z23" s="50"/>
      <c r="AA23" s="50"/>
      <c r="AB23" s="50"/>
    </row>
    <row r="24" ht="42" customHeight="1" spans="2:28">
      <c r="B24" s="36" t="s">
        <v>260</v>
      </c>
      <c r="C24" s="36" t="s">
        <v>261</v>
      </c>
      <c r="D24" s="36" t="s">
        <v>130</v>
      </c>
      <c r="E24" s="5"/>
      <c r="F24" s="5"/>
      <c r="G24" s="5"/>
      <c r="H24" s="5"/>
      <c r="Z24" s="50"/>
      <c r="AA24" s="50"/>
      <c r="AB24" s="50"/>
    </row>
    <row r="25" ht="7" customHeight="1" spans="2:28">
      <c r="B25" s="50"/>
      <c r="C25" s="50"/>
      <c r="D25" s="50"/>
    </row>
    <row r="26" ht="35" customHeight="1" spans="2:28">
      <c r="B26" s="6" t="s">
        <v>262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ht="33" customHeight="1" spans="2:28">
      <c r="B27" s="51" t="s">
        <v>90</v>
      </c>
      <c r="C27" s="51"/>
      <c r="D27" s="51"/>
      <c r="F27" s="51" t="s">
        <v>263</v>
      </c>
      <c r="G27" s="51"/>
      <c r="H27" s="51"/>
      <c r="J27" s="51" t="s">
        <v>264</v>
      </c>
      <c r="K27" s="51"/>
      <c r="L27" s="51"/>
      <c r="M27" s="52"/>
      <c r="N27" s="9" t="s">
        <v>265</v>
      </c>
      <c r="O27" s="9"/>
      <c r="P27" s="9"/>
      <c r="R27" s="9" t="s">
        <v>197</v>
      </c>
      <c r="S27" s="9"/>
      <c r="T27" s="9"/>
      <c r="V27" s="9" t="s">
        <v>198</v>
      </c>
      <c r="W27" s="9"/>
      <c r="X27" s="9"/>
    </row>
    <row r="28" ht="18" spans="2:28">
      <c r="B28" s="1" t="s">
        <v>97</v>
      </c>
      <c r="C28" s="1" t="s">
        <v>5</v>
      </c>
      <c r="D28" s="1" t="s">
        <v>4</v>
      </c>
      <c r="F28" s="1" t="s">
        <v>97</v>
      </c>
      <c r="G28" s="1" t="s">
        <v>5</v>
      </c>
      <c r="H28" s="1" t="s">
        <v>4</v>
      </c>
      <c r="I28" s="53"/>
      <c r="J28" s="1" t="s">
        <v>266</v>
      </c>
      <c r="K28" s="1" t="s">
        <v>267</v>
      </c>
      <c r="L28" s="1" t="s">
        <v>268</v>
      </c>
      <c r="N28" s="1" t="s">
        <v>97</v>
      </c>
      <c r="O28" s="1" t="s">
        <v>5</v>
      </c>
      <c r="P28" s="1" t="s">
        <v>4</v>
      </c>
      <c r="R28" s="1" t="s">
        <v>97</v>
      </c>
      <c r="S28" s="1" t="s">
        <v>5</v>
      </c>
      <c r="T28" s="1" t="s">
        <v>4</v>
      </c>
      <c r="V28" s="1" t="s">
        <v>199</v>
      </c>
      <c r="W28" s="34" t="s">
        <v>200</v>
      </c>
      <c r="X28" s="35"/>
    </row>
    <row r="29" ht="53" spans="2:28">
      <c r="B29" s="2" t="s">
        <v>269</v>
      </c>
      <c r="C29" s="2" t="s">
        <v>99</v>
      </c>
      <c r="D29" s="2" t="s">
        <v>270</v>
      </c>
      <c r="F29" s="41" t="s">
        <v>271</v>
      </c>
      <c r="G29" s="41" t="s">
        <v>272</v>
      </c>
      <c r="H29" s="41" t="s">
        <v>273</v>
      </c>
      <c r="J29" s="11" t="s">
        <v>274</v>
      </c>
      <c r="K29" s="12" t="s">
        <v>275</v>
      </c>
      <c r="L29" s="12" t="s">
        <v>276</v>
      </c>
      <c r="M29" s="54"/>
      <c r="N29" s="55" t="s">
        <v>206</v>
      </c>
      <c r="O29" s="12" t="s">
        <v>207</v>
      </c>
      <c r="P29" s="56">
        <v>46244.4583333333</v>
      </c>
      <c r="R29" s="38" t="s">
        <v>164</v>
      </c>
      <c r="S29" s="38" t="s">
        <v>277</v>
      </c>
      <c r="T29" s="40">
        <v>47500</v>
      </c>
      <c r="V29" s="41" t="s">
        <v>212</v>
      </c>
      <c r="W29" s="42" t="s">
        <v>213</v>
      </c>
      <c r="X29" s="42"/>
    </row>
    <row r="30" ht="36" spans="2:28">
      <c r="B30" s="2" t="s">
        <v>278</v>
      </c>
      <c r="C30" s="2" t="s">
        <v>279</v>
      </c>
      <c r="D30" s="2" t="s">
        <v>280</v>
      </c>
      <c r="F30" s="41" t="s">
        <v>215</v>
      </c>
      <c r="G30" s="41" t="s">
        <v>281</v>
      </c>
      <c r="H30" s="41" t="s">
        <v>282</v>
      </c>
      <c r="J30" s="11" t="s">
        <v>283</v>
      </c>
      <c r="K30" s="12" t="s">
        <v>284</v>
      </c>
      <c r="L30" s="12" t="s">
        <v>285</v>
      </c>
      <c r="M30" s="54"/>
      <c r="N30" s="55" t="s">
        <v>128</v>
      </c>
      <c r="O30" s="12" t="s">
        <v>129</v>
      </c>
      <c r="P30" s="12" t="s">
        <v>130</v>
      </c>
      <c r="R30" s="38" t="s">
        <v>220</v>
      </c>
      <c r="S30" s="38" t="s">
        <v>221</v>
      </c>
      <c r="T30" s="40">
        <v>3800</v>
      </c>
      <c r="V30" s="41" t="s">
        <v>222</v>
      </c>
      <c r="W30" s="42" t="s">
        <v>223</v>
      </c>
      <c r="X30" s="42"/>
    </row>
    <row r="31" ht="71" spans="2:28">
      <c r="B31" s="2" t="s">
        <v>224</v>
      </c>
      <c r="C31" s="2" t="s">
        <v>286</v>
      </c>
      <c r="D31" s="2" t="s">
        <v>226</v>
      </c>
      <c r="F31" s="41" t="s">
        <v>287</v>
      </c>
      <c r="G31" s="41" t="s">
        <v>281</v>
      </c>
      <c r="H31" s="41" t="s">
        <v>288</v>
      </c>
      <c r="J31" s="11" t="s">
        <v>289</v>
      </c>
      <c r="K31" s="12" t="s">
        <v>290</v>
      </c>
      <c r="L31" s="12" t="s">
        <v>291</v>
      </c>
      <c r="M31" s="54"/>
      <c r="N31" s="55" t="s">
        <v>230</v>
      </c>
      <c r="O31" s="12" t="s">
        <v>231</v>
      </c>
      <c r="P31" s="12" t="s">
        <v>292</v>
      </c>
      <c r="R31" s="37" t="s">
        <v>235</v>
      </c>
      <c r="S31" s="38" t="s">
        <v>293</v>
      </c>
      <c r="T31" s="43" t="s">
        <v>294</v>
      </c>
      <c r="V31" s="41" t="s">
        <v>237</v>
      </c>
      <c r="W31" s="42" t="s">
        <v>238</v>
      </c>
      <c r="X31" s="42"/>
    </row>
    <row r="32" ht="53.75" spans="2:28">
      <c r="B32" s="2" t="s">
        <v>295</v>
      </c>
      <c r="C32" s="2" t="s">
        <v>296</v>
      </c>
      <c r="D32" s="3">
        <v>46244.3333333333</v>
      </c>
      <c r="F32" s="41" t="s">
        <v>297</v>
      </c>
      <c r="G32" s="41" t="s">
        <v>298</v>
      </c>
      <c r="H32" s="41" t="s">
        <v>299</v>
      </c>
      <c r="J32" s="11" t="s">
        <v>300</v>
      </c>
      <c r="K32" s="12" t="s">
        <v>301</v>
      </c>
      <c r="L32" s="12" t="s">
        <v>302</v>
      </c>
      <c r="M32" s="54"/>
      <c r="N32" s="55" t="s">
        <v>242</v>
      </c>
      <c r="O32" s="12" t="s">
        <v>243</v>
      </c>
      <c r="P32" s="12" t="s">
        <v>192</v>
      </c>
    </row>
    <row r="33" ht="36" spans="2:28">
      <c r="B33" s="2" t="s">
        <v>303</v>
      </c>
      <c r="C33" s="2" t="s">
        <v>304</v>
      </c>
      <c r="D33" s="3">
        <v>46244.4166666667</v>
      </c>
      <c r="F33" s="57" t="s">
        <v>305</v>
      </c>
      <c r="G33" s="57" t="s">
        <v>245</v>
      </c>
      <c r="H33" s="58">
        <v>1</v>
      </c>
      <c r="J33" s="59" t="s">
        <v>306</v>
      </c>
      <c r="K33" s="60" t="s">
        <v>307</v>
      </c>
      <c r="L33" s="60" t="s">
        <v>308</v>
      </c>
      <c r="M33" s="53"/>
    </row>
    <row r="34" ht="43" customHeight="1" spans="2:28">
      <c r="B34" s="2" t="s">
        <v>309</v>
      </c>
      <c r="C34" s="2" t="s">
        <v>310</v>
      </c>
      <c r="D34" s="2" t="s">
        <v>311</v>
      </c>
      <c r="F34" s="57" t="s">
        <v>312</v>
      </c>
      <c r="G34" s="57" t="s">
        <v>253</v>
      </c>
      <c r="H34" s="58">
        <v>0</v>
      </c>
      <c r="J34" s="61" t="s">
        <v>313</v>
      </c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</row>
    <row r="35" ht="53" spans="2:28">
      <c r="B35" s="2" t="s">
        <v>297</v>
      </c>
      <c r="C35" s="2" t="s">
        <v>314</v>
      </c>
      <c r="D35" s="2" t="s">
        <v>315</v>
      </c>
      <c r="F35" s="8" t="s">
        <v>241</v>
      </c>
      <c r="G35" s="8"/>
      <c r="H35" s="8"/>
      <c r="J35" s="62" t="s">
        <v>316</v>
      </c>
      <c r="K35" s="62" t="s">
        <v>5</v>
      </c>
      <c r="L35" s="62" t="s">
        <v>4</v>
      </c>
      <c r="N35" s="62" t="s">
        <v>97</v>
      </c>
      <c r="O35" s="62" t="s">
        <v>5</v>
      </c>
      <c r="P35" s="62" t="s">
        <v>4</v>
      </c>
      <c r="R35" s="63" t="s">
        <v>317</v>
      </c>
      <c r="S35" s="64"/>
      <c r="T35" s="64"/>
      <c r="U35" s="64"/>
      <c r="V35" s="64"/>
      <c r="W35" s="65" t="s">
        <v>318</v>
      </c>
      <c r="X35" s="33"/>
      <c r="Y35" s="33"/>
      <c r="Z35" s="33"/>
      <c r="AA35" s="33"/>
    </row>
    <row r="36" ht="63" customHeight="1" spans="2:28">
      <c r="B36" s="2" t="s">
        <v>319</v>
      </c>
      <c r="C36" s="2" t="s">
        <v>320</v>
      </c>
      <c r="D36" s="3">
        <v>46244.4375</v>
      </c>
      <c r="F36" s="48" t="s">
        <v>321</v>
      </c>
      <c r="G36" s="49"/>
      <c r="H36" s="49"/>
      <c r="J36" s="42" t="s">
        <v>322</v>
      </c>
      <c r="K36" s="42" t="s">
        <v>323</v>
      </c>
      <c r="L36" s="42" t="s">
        <v>324</v>
      </c>
      <c r="N36" s="41" t="s">
        <v>325</v>
      </c>
      <c r="O36" s="41" t="s">
        <v>326</v>
      </c>
      <c r="P36" s="41" t="s">
        <v>327</v>
      </c>
      <c r="R36" s="66" t="s">
        <v>328</v>
      </c>
      <c r="S36" s="67"/>
      <c r="T36" s="67"/>
      <c r="U36" s="67"/>
      <c r="V36" s="67"/>
      <c r="W36" s="68" t="s">
        <v>329</v>
      </c>
    </row>
    <row r="37" ht="79" customHeight="1" spans="2:28">
      <c r="B37" s="2" t="s">
        <v>330</v>
      </c>
      <c r="C37" s="2" t="s">
        <v>331</v>
      </c>
      <c r="D37" s="3">
        <v>46244.5</v>
      </c>
      <c r="J37" s="42"/>
      <c r="K37" s="42"/>
      <c r="L37" s="42"/>
      <c r="N37" s="41" t="s">
        <v>332</v>
      </c>
      <c r="O37" s="41" t="s">
        <v>333</v>
      </c>
      <c r="P37" s="41" t="s">
        <v>334</v>
      </c>
      <c r="R37" s="66" t="s">
        <v>335</v>
      </c>
      <c r="S37" s="67"/>
      <c r="T37" s="67"/>
      <c r="U37" s="67"/>
      <c r="V37" s="67"/>
      <c r="W37" s="69"/>
    </row>
    <row r="38" ht="52" customHeight="1" spans="2:28">
      <c r="B38" s="2" t="s">
        <v>336</v>
      </c>
      <c r="C38" s="2" t="s">
        <v>337</v>
      </c>
      <c r="D38" s="2" t="s">
        <v>311</v>
      </c>
      <c r="J38" s="42"/>
      <c r="K38" s="42"/>
      <c r="L38" s="42"/>
      <c r="N38" s="41" t="s">
        <v>338</v>
      </c>
      <c r="O38" s="41" t="s">
        <v>339</v>
      </c>
      <c r="P38" s="41" t="s">
        <v>340</v>
      </c>
      <c r="R38" s="66" t="s">
        <v>341</v>
      </c>
      <c r="S38" s="67"/>
      <c r="T38" s="67"/>
      <c r="U38" s="67"/>
      <c r="V38" s="67"/>
      <c r="W38" s="70"/>
    </row>
    <row r="39" ht="7" customHeight="1" spans="2:28">
      <c r="B39" s="71"/>
      <c r="C39" s="71"/>
      <c r="D39" s="71"/>
    </row>
    <row r="40" ht="28" customHeight="1" spans="2:28">
      <c r="B40" s="6" t="s">
        <v>342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35" customHeight="1" spans="2:28">
      <c r="B41" s="51" t="s">
        <v>90</v>
      </c>
      <c r="C41" s="51"/>
      <c r="D41" s="51"/>
      <c r="F41" s="51" t="s">
        <v>263</v>
      </c>
      <c r="G41" s="51"/>
      <c r="H41" s="51"/>
      <c r="J41" s="51" t="s">
        <v>343</v>
      </c>
      <c r="K41" s="51"/>
      <c r="L41" s="51"/>
      <c r="M41" s="52"/>
      <c r="N41" s="9" t="s">
        <v>344</v>
      </c>
      <c r="O41" s="9"/>
      <c r="P41" s="9"/>
      <c r="R41" s="9" t="s">
        <v>197</v>
      </c>
      <c r="S41" s="9"/>
      <c r="T41" s="9"/>
      <c r="U41" s="72"/>
      <c r="V41" s="9" t="s">
        <v>345</v>
      </c>
      <c r="W41" s="9"/>
      <c r="X41" s="9"/>
      <c r="Z41" s="9" t="s">
        <v>346</v>
      </c>
      <c r="AA41" s="9"/>
      <c r="AB41" s="9"/>
    </row>
    <row r="42" ht="33" customHeight="1" spans="2:28">
      <c r="B42" s="1" t="s">
        <v>97</v>
      </c>
      <c r="C42" s="1" t="s">
        <v>5</v>
      </c>
      <c r="D42" s="1" t="s">
        <v>4</v>
      </c>
      <c r="F42" s="1" t="s">
        <v>97</v>
      </c>
      <c r="G42" s="1" t="s">
        <v>5</v>
      </c>
      <c r="H42" s="1" t="s">
        <v>4</v>
      </c>
      <c r="I42" s="53"/>
      <c r="J42" s="1" t="s">
        <v>266</v>
      </c>
      <c r="K42" s="1" t="s">
        <v>267</v>
      </c>
      <c r="L42" s="1" t="s">
        <v>268</v>
      </c>
      <c r="N42" s="1" t="s">
        <v>97</v>
      </c>
      <c r="O42" s="1" t="s">
        <v>5</v>
      </c>
      <c r="P42" s="1" t="s">
        <v>4</v>
      </c>
      <c r="R42" s="1" t="s">
        <v>97</v>
      </c>
      <c r="S42" s="1" t="s">
        <v>5</v>
      </c>
      <c r="T42" s="1" t="s">
        <v>4</v>
      </c>
      <c r="U42" s="72"/>
      <c r="V42" s="1" t="s">
        <v>199</v>
      </c>
      <c r="W42" s="34" t="s">
        <v>200</v>
      </c>
      <c r="X42" s="35"/>
      <c r="Z42" s="1" t="s">
        <v>97</v>
      </c>
      <c r="AA42" s="1" t="s">
        <v>5</v>
      </c>
      <c r="AB42" s="1" t="s">
        <v>4</v>
      </c>
    </row>
    <row r="43" ht="96" customHeight="1" spans="2:28">
      <c r="B43" s="73" t="s">
        <v>347</v>
      </c>
      <c r="C43" s="73" t="s">
        <v>99</v>
      </c>
      <c r="D43" s="73" t="s">
        <v>348</v>
      </c>
      <c r="F43" s="74" t="s">
        <v>349</v>
      </c>
      <c r="G43" s="75"/>
      <c r="H43" s="76"/>
      <c r="I43" s="5"/>
      <c r="J43" s="11" t="s">
        <v>350</v>
      </c>
      <c r="K43" s="12" t="s">
        <v>351</v>
      </c>
      <c r="L43" s="11" t="s">
        <v>352</v>
      </c>
      <c r="M43" s="5"/>
      <c r="N43" s="41" t="s">
        <v>353</v>
      </c>
      <c r="O43" s="41" t="s">
        <v>354</v>
      </c>
      <c r="P43" s="41" t="s">
        <v>355</v>
      </c>
      <c r="Q43" s="5"/>
      <c r="R43" s="41" t="s">
        <v>356</v>
      </c>
      <c r="S43" s="41" t="s">
        <v>357</v>
      </c>
      <c r="T43" s="77">
        <v>228000</v>
      </c>
      <c r="U43" s="72"/>
      <c r="V43" s="41" t="s">
        <v>212</v>
      </c>
      <c r="W43" s="42" t="s">
        <v>213</v>
      </c>
      <c r="X43" s="42"/>
      <c r="Z43" s="2" t="s">
        <v>358</v>
      </c>
      <c r="AA43" s="2" t="s">
        <v>359</v>
      </c>
      <c r="AB43" s="2" t="s">
        <v>360</v>
      </c>
    </row>
    <row r="44" ht="59" customHeight="1" spans="2:28">
      <c r="B44" s="2" t="s">
        <v>361</v>
      </c>
      <c r="C44" s="73" t="s">
        <v>362</v>
      </c>
      <c r="D44" s="2" t="s">
        <v>226</v>
      </c>
      <c r="F44" s="41" t="s">
        <v>363</v>
      </c>
      <c r="G44" s="41" t="s">
        <v>364</v>
      </c>
      <c r="H44" s="41" t="s">
        <v>365</v>
      </c>
      <c r="I44" s="5"/>
      <c r="J44" s="11" t="s">
        <v>366</v>
      </c>
      <c r="K44" s="12" t="s">
        <v>367</v>
      </c>
      <c r="L44" s="11" t="s">
        <v>368</v>
      </c>
      <c r="M44" s="5"/>
      <c r="N44" s="41" t="s">
        <v>369</v>
      </c>
      <c r="O44" s="41" t="s">
        <v>370</v>
      </c>
      <c r="P44" s="41" t="s">
        <v>371</v>
      </c>
      <c r="Q44" s="5"/>
      <c r="R44" s="41" t="s">
        <v>372</v>
      </c>
      <c r="S44" s="41" t="s">
        <v>373</v>
      </c>
      <c r="T44" s="77">
        <v>152000</v>
      </c>
      <c r="U44" s="72"/>
      <c r="V44" s="41" t="s">
        <v>222</v>
      </c>
      <c r="W44" s="42" t="s">
        <v>223</v>
      </c>
      <c r="X44" s="42"/>
      <c r="Z44" s="2" t="s">
        <v>206</v>
      </c>
      <c r="AA44" s="2" t="s">
        <v>207</v>
      </c>
      <c r="AB44" s="3">
        <v>46244.3958333333</v>
      </c>
    </row>
    <row r="45" ht="75" customHeight="1" spans="2:28">
      <c r="B45" s="2" t="s">
        <v>224</v>
      </c>
      <c r="C45" s="78" t="s">
        <v>374</v>
      </c>
      <c r="D45" s="2" t="s">
        <v>226</v>
      </c>
      <c r="F45" s="41" t="s">
        <v>375</v>
      </c>
      <c r="G45" s="41" t="s">
        <v>376</v>
      </c>
      <c r="H45" s="2">
        <v>60</v>
      </c>
      <c r="I45" s="5"/>
      <c r="J45" s="11" t="s">
        <v>377</v>
      </c>
      <c r="K45" s="12" t="s">
        <v>378</v>
      </c>
      <c r="L45" s="17">
        <v>46244.3333333333</v>
      </c>
      <c r="M45" s="5"/>
      <c r="N45" s="41" t="s">
        <v>379</v>
      </c>
      <c r="O45" s="41" t="s">
        <v>380</v>
      </c>
      <c r="P45" s="41" t="s">
        <v>381</v>
      </c>
      <c r="Q45" s="5"/>
      <c r="R45" s="41" t="s">
        <v>382</v>
      </c>
      <c r="S45" s="41" t="s">
        <v>383</v>
      </c>
      <c r="T45" s="77">
        <v>5000</v>
      </c>
      <c r="U45" s="72"/>
      <c r="V45" s="41" t="s">
        <v>237</v>
      </c>
      <c r="W45" s="42" t="s">
        <v>238</v>
      </c>
      <c r="X45" s="42"/>
      <c r="Z45" s="2" t="s">
        <v>384</v>
      </c>
      <c r="AA45" s="2" t="s">
        <v>385</v>
      </c>
      <c r="AB45" s="2">
        <v>75</v>
      </c>
    </row>
    <row r="46" ht="72" customHeight="1" spans="2:28">
      <c r="B46" s="2" t="s">
        <v>386</v>
      </c>
      <c r="C46" s="78" t="s">
        <v>387</v>
      </c>
      <c r="D46" s="3">
        <v>46244.3333333333</v>
      </c>
      <c r="F46" s="79" t="s">
        <v>388</v>
      </c>
      <c r="G46" s="79"/>
      <c r="H46" s="79"/>
      <c r="I46" s="5"/>
      <c r="J46" s="11" t="s">
        <v>389</v>
      </c>
      <c r="K46" s="12" t="s">
        <v>390</v>
      </c>
      <c r="L46" s="11" t="s">
        <v>192</v>
      </c>
      <c r="M46" s="5"/>
      <c r="N46" s="5"/>
      <c r="O46" s="5"/>
      <c r="P46" s="5"/>
      <c r="Q46" s="5"/>
      <c r="R46" s="41" t="s">
        <v>164</v>
      </c>
      <c r="S46" s="41" t="s">
        <v>391</v>
      </c>
      <c r="T46" s="77">
        <v>385000</v>
      </c>
      <c r="U46" s="72"/>
      <c r="V46" s="72"/>
      <c r="W46" s="72"/>
      <c r="Z46" s="2" t="s">
        <v>392</v>
      </c>
      <c r="AA46" s="2" t="s">
        <v>393</v>
      </c>
      <c r="AB46" s="2">
        <v>55</v>
      </c>
    </row>
    <row r="47" ht="53" spans="2:28">
      <c r="B47" s="2" t="s">
        <v>394</v>
      </c>
      <c r="C47" s="78" t="s">
        <v>395</v>
      </c>
      <c r="D47" s="3">
        <v>46244.4166666667</v>
      </c>
      <c r="F47" s="2" t="s">
        <v>396</v>
      </c>
      <c r="G47" s="2" t="s">
        <v>397</v>
      </c>
      <c r="H47" s="2" t="s">
        <v>398</v>
      </c>
      <c r="I47" s="5"/>
      <c r="J47" s="40" t="s">
        <v>399</v>
      </c>
      <c r="K47" s="79" t="s">
        <v>400</v>
      </c>
      <c r="L47" s="79"/>
      <c r="M47" s="5"/>
      <c r="N47" s="5"/>
      <c r="O47" s="5"/>
      <c r="P47" s="5"/>
      <c r="Q47" s="5"/>
      <c r="R47" s="80" t="s">
        <v>220</v>
      </c>
      <c r="S47" s="80" t="s">
        <v>401</v>
      </c>
      <c r="T47" s="81">
        <v>3850</v>
      </c>
      <c r="Z47" s="2" t="s">
        <v>402</v>
      </c>
      <c r="AA47" s="2" t="s">
        <v>403</v>
      </c>
      <c r="AB47" s="2" t="s">
        <v>404</v>
      </c>
    </row>
    <row r="48" ht="44" customHeight="1" spans="2:28">
      <c r="B48" s="2" t="s">
        <v>405</v>
      </c>
      <c r="C48" s="78" t="s">
        <v>406</v>
      </c>
      <c r="D48" s="2">
        <v>100</v>
      </c>
      <c r="F48" s="2" t="s">
        <v>407</v>
      </c>
      <c r="G48" s="2" t="s">
        <v>408</v>
      </c>
      <c r="H48" s="2">
        <v>40</v>
      </c>
      <c r="I48" s="5"/>
      <c r="J48" s="82" t="s">
        <v>409</v>
      </c>
      <c r="K48" s="83"/>
      <c r="L48" s="83"/>
      <c r="M48" s="83"/>
      <c r="N48" s="83"/>
      <c r="O48" s="83"/>
      <c r="P48" s="83"/>
      <c r="Q48" s="83"/>
      <c r="R48" s="83"/>
      <c r="S48" s="83"/>
      <c r="T48" s="83"/>
      <c r="Z48" s="2" t="s">
        <v>410</v>
      </c>
      <c r="AA48" s="2" t="s">
        <v>411</v>
      </c>
      <c r="AB48" s="2" t="s">
        <v>412</v>
      </c>
    </row>
    <row r="49" ht="33" customHeight="1" spans="2:28">
      <c r="B49" s="51" t="s">
        <v>413</v>
      </c>
      <c r="C49" s="51"/>
      <c r="D49" s="51"/>
      <c r="F49" s="84" t="s">
        <v>414</v>
      </c>
      <c r="G49" s="85"/>
      <c r="H49" s="86"/>
      <c r="I49" s="5"/>
      <c r="J49" s="87" t="s">
        <v>415</v>
      </c>
      <c r="K49" s="88"/>
      <c r="L49" s="88"/>
      <c r="M49" s="88"/>
      <c r="N49" s="88"/>
      <c r="O49" s="88"/>
      <c r="P49" s="88"/>
      <c r="Q49" s="88"/>
      <c r="R49" s="88"/>
      <c r="S49" s="88"/>
      <c r="T49" s="88"/>
      <c r="V49" s="89" t="s">
        <v>416</v>
      </c>
      <c r="W49" s="90"/>
      <c r="X49" s="90"/>
      <c r="Z49" s="2" t="s">
        <v>417</v>
      </c>
      <c r="AA49" s="2" t="s">
        <v>418</v>
      </c>
      <c r="AB49" s="2" t="s">
        <v>419</v>
      </c>
    </row>
    <row r="50" ht="31" customHeight="1" spans="2:28">
      <c r="B50" s="91" t="s">
        <v>420</v>
      </c>
      <c r="C50" s="92" t="s">
        <v>5</v>
      </c>
      <c r="D50" s="92"/>
      <c r="F50" s="40" t="s">
        <v>421</v>
      </c>
      <c r="G50" s="40" t="s">
        <v>422</v>
      </c>
      <c r="H50" s="93" t="s">
        <v>423</v>
      </c>
      <c r="I50" s="5"/>
      <c r="J50" s="87" t="s">
        <v>424</v>
      </c>
      <c r="K50" s="88"/>
      <c r="L50" s="88"/>
      <c r="M50" s="88"/>
      <c r="N50" s="88"/>
      <c r="O50" s="88"/>
      <c r="P50" s="88"/>
      <c r="Q50" s="88"/>
      <c r="R50" s="88"/>
      <c r="S50" s="88"/>
      <c r="T50" s="88"/>
      <c r="V50" s="94" t="s">
        <v>425</v>
      </c>
      <c r="W50" s="95" t="s">
        <v>5</v>
      </c>
      <c r="X50" s="95"/>
      <c r="Z50" s="2" t="s">
        <v>426</v>
      </c>
      <c r="AA50" s="2" t="s">
        <v>427</v>
      </c>
      <c r="AB50" s="2" t="s">
        <v>130</v>
      </c>
    </row>
    <row r="51" ht="41" customHeight="1" spans="2:28">
      <c r="B51" s="41" t="s">
        <v>428</v>
      </c>
      <c r="C51" s="42" t="s">
        <v>429</v>
      </c>
      <c r="D51" s="42"/>
      <c r="F51" s="84" t="s">
        <v>430</v>
      </c>
      <c r="G51" s="85"/>
      <c r="H51" s="86"/>
      <c r="I51" s="5"/>
      <c r="J51" s="96" t="s">
        <v>431</v>
      </c>
      <c r="K51" s="96" t="s">
        <v>432</v>
      </c>
      <c r="L51" s="96"/>
      <c r="M51" s="97" t="s">
        <v>5</v>
      </c>
      <c r="N51" s="97"/>
      <c r="O51" s="97"/>
      <c r="P51" s="97"/>
      <c r="Q51" s="97"/>
      <c r="R51" s="97"/>
      <c r="S51" s="97"/>
      <c r="T51" s="97"/>
      <c r="V51" s="98" t="s">
        <v>433</v>
      </c>
      <c r="W51" s="99" t="s">
        <v>434</v>
      </c>
      <c r="X51" s="99"/>
      <c r="Z51" s="2" t="s">
        <v>128</v>
      </c>
      <c r="AA51" s="2" t="s">
        <v>129</v>
      </c>
      <c r="AB51" s="2" t="s">
        <v>130</v>
      </c>
    </row>
    <row r="52" ht="45" customHeight="1" spans="2:28">
      <c r="B52" s="41" t="s">
        <v>435</v>
      </c>
      <c r="C52" s="42" t="s">
        <v>436</v>
      </c>
      <c r="D52" s="42"/>
      <c r="F52" s="100" t="s">
        <v>437</v>
      </c>
      <c r="G52" s="21" t="s">
        <v>438</v>
      </c>
      <c r="H52" s="101" t="s">
        <v>439</v>
      </c>
      <c r="I52" s="5"/>
      <c r="J52" s="102" t="s">
        <v>440</v>
      </c>
      <c r="K52" s="103" t="s">
        <v>441</v>
      </c>
      <c r="L52" s="103"/>
      <c r="M52" s="79" t="s">
        <v>442</v>
      </c>
      <c r="N52" s="79"/>
      <c r="O52" s="79"/>
      <c r="P52" s="79"/>
      <c r="Q52" s="79"/>
      <c r="R52" s="79"/>
      <c r="S52" s="79"/>
      <c r="T52" s="79"/>
      <c r="V52" s="98" t="s">
        <v>443</v>
      </c>
      <c r="W52" s="99" t="s">
        <v>444</v>
      </c>
      <c r="X52" s="99"/>
      <c r="Z52" s="2" t="s">
        <v>230</v>
      </c>
      <c r="AA52" s="2" t="s">
        <v>231</v>
      </c>
      <c r="AB52" s="2" t="s">
        <v>445</v>
      </c>
    </row>
    <row r="53" ht="57" customHeight="1" spans="2:28">
      <c r="B53" s="41" t="s">
        <v>446</v>
      </c>
      <c r="C53" s="42" t="s">
        <v>447</v>
      </c>
      <c r="D53" s="42"/>
      <c r="F53" s="100" t="s">
        <v>448</v>
      </c>
      <c r="G53" s="21" t="s">
        <v>449</v>
      </c>
      <c r="H53" s="104">
        <v>46244.4166666667</v>
      </c>
      <c r="I53" s="5"/>
      <c r="J53" s="105" t="s">
        <v>450</v>
      </c>
      <c r="K53" s="106" t="s">
        <v>451</v>
      </c>
      <c r="L53" s="106"/>
      <c r="M53" s="106" t="s">
        <v>452</v>
      </c>
      <c r="N53" s="106"/>
      <c r="O53" s="106"/>
      <c r="P53" s="106"/>
      <c r="Q53" s="106"/>
      <c r="R53" s="106"/>
      <c r="S53" s="106"/>
      <c r="T53" s="106"/>
      <c r="V53" s="98" t="s">
        <v>453</v>
      </c>
      <c r="W53" s="99" t="s">
        <v>454</v>
      </c>
      <c r="X53" s="99"/>
      <c r="Z53" s="2" t="s">
        <v>242</v>
      </c>
      <c r="AA53" s="2" t="s">
        <v>243</v>
      </c>
      <c r="AB53" s="2" t="s">
        <v>192</v>
      </c>
    </row>
    <row r="54" ht="55" customHeight="1" spans="2:28">
      <c r="B54" s="41" t="s">
        <v>455</v>
      </c>
      <c r="C54" s="42" t="s">
        <v>456</v>
      </c>
      <c r="D54" s="42"/>
      <c r="F54" s="100" t="s">
        <v>457</v>
      </c>
      <c r="G54" s="21" t="s">
        <v>458</v>
      </c>
      <c r="H54" s="107">
        <v>20</v>
      </c>
      <c r="I54" s="5"/>
      <c r="J54" s="108" t="s">
        <v>459</v>
      </c>
      <c r="K54" s="109" t="s">
        <v>460</v>
      </c>
      <c r="L54" s="109"/>
      <c r="M54" s="109" t="s">
        <v>461</v>
      </c>
      <c r="N54" s="109"/>
      <c r="O54" s="109"/>
      <c r="P54" s="109"/>
      <c r="Q54" s="109"/>
      <c r="R54" s="109"/>
      <c r="S54" s="109"/>
      <c r="T54" s="109"/>
      <c r="V54" s="98" t="s">
        <v>462</v>
      </c>
      <c r="W54" s="99" t="s">
        <v>463</v>
      </c>
      <c r="X54" s="99"/>
    </row>
    <row r="55" ht="70" customHeight="1" spans="2:28">
      <c r="B55" s="41" t="s">
        <v>464</v>
      </c>
      <c r="C55" s="42" t="s">
        <v>465</v>
      </c>
      <c r="D55" s="42"/>
      <c r="F55" s="100" t="s">
        <v>466</v>
      </c>
      <c r="G55" s="21" t="s">
        <v>467</v>
      </c>
      <c r="H55" s="104">
        <v>46244.4097222222</v>
      </c>
      <c r="J55" s="110" t="s">
        <v>468</v>
      </c>
      <c r="K55" s="110"/>
      <c r="L55" s="110"/>
      <c r="M55" s="110"/>
      <c r="N55" s="110"/>
      <c r="O55" s="110"/>
      <c r="P55" s="110"/>
      <c r="Q55" s="110"/>
      <c r="R55" s="110"/>
      <c r="S55" s="110"/>
      <c r="T55" s="110"/>
    </row>
    <row r="56" ht="64" customHeight="1" spans="2:28">
      <c r="B56" s="41" t="s">
        <v>469</v>
      </c>
      <c r="C56" s="42" t="s">
        <v>470</v>
      </c>
      <c r="D56" s="42"/>
      <c r="F56" s="51" t="s">
        <v>471</v>
      </c>
      <c r="G56" s="51"/>
      <c r="H56" s="51"/>
      <c r="J56" s="111" t="s">
        <v>472</v>
      </c>
      <c r="K56" s="111"/>
      <c r="L56" s="111"/>
      <c r="M56" s="111"/>
      <c r="N56" s="111"/>
      <c r="O56" s="111"/>
      <c r="P56" s="111"/>
      <c r="Q56" s="111"/>
      <c r="R56" s="111"/>
      <c r="S56" s="111"/>
      <c r="T56" s="111"/>
    </row>
    <row r="57" ht="43" customHeight="1" spans="2:28">
      <c r="B57" s="51" t="s">
        <v>473</v>
      </c>
      <c r="C57" s="51"/>
      <c r="D57" s="51"/>
      <c r="F57" s="112" t="s">
        <v>474</v>
      </c>
      <c r="G57" s="79"/>
      <c r="H57" s="79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</row>
    <row r="58" ht="44" customHeight="1" spans="2:28">
      <c r="B58" s="112" t="s">
        <v>474</v>
      </c>
      <c r="C58" s="79"/>
      <c r="D58" s="79"/>
      <c r="F58" s="5"/>
      <c r="G58" s="5"/>
      <c r="H58" s="5"/>
      <c r="I58" s="5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</row>
    <row r="59" ht="8" customHeight="1" spans="2:28">
      <c r="F59" s="5"/>
      <c r="G59" s="5"/>
      <c r="H59" s="5"/>
      <c r="I59" s="5"/>
    </row>
    <row r="60" ht="39" customHeight="1" spans="2:28">
      <c r="B60" s="6" t="s">
        <v>475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33"/>
      <c r="Z60" s="33"/>
      <c r="AA60" s="33"/>
      <c r="AB60" s="33"/>
    </row>
    <row r="61" ht="38" customHeight="1" spans="2:28">
      <c r="B61" s="51" t="s">
        <v>90</v>
      </c>
      <c r="C61" s="51"/>
      <c r="D61" s="51"/>
      <c r="F61" s="51" t="s">
        <v>91</v>
      </c>
      <c r="G61" s="51"/>
      <c r="H61" s="51"/>
      <c r="J61" s="51" t="s">
        <v>476</v>
      </c>
      <c r="K61" s="51"/>
      <c r="L61" s="51"/>
      <c r="M61" s="115"/>
      <c r="N61" s="51" t="s">
        <v>96</v>
      </c>
      <c r="O61" s="51"/>
      <c r="P61" s="51"/>
      <c r="Q61" s="115"/>
      <c r="R61" s="51" t="s">
        <v>477</v>
      </c>
      <c r="S61" s="51"/>
      <c r="T61" s="51"/>
      <c r="U61" s="115"/>
      <c r="V61" s="51" t="s">
        <v>478</v>
      </c>
      <c r="W61" s="51"/>
      <c r="X61" s="51"/>
    </row>
    <row r="62" ht="26" customHeight="1" spans="2:28">
      <c r="B62" s="1" t="s">
        <v>97</v>
      </c>
      <c r="C62" s="1" t="s">
        <v>5</v>
      </c>
      <c r="D62" s="1" t="s">
        <v>4</v>
      </c>
      <c r="F62" s="1" t="s">
        <v>97</v>
      </c>
      <c r="G62" s="1" t="s">
        <v>5</v>
      </c>
      <c r="H62" s="1" t="s">
        <v>4</v>
      </c>
      <c r="J62" s="1" t="s">
        <v>97</v>
      </c>
      <c r="K62" s="1" t="s">
        <v>5</v>
      </c>
      <c r="L62" s="1" t="s">
        <v>4</v>
      </c>
      <c r="N62" s="1" t="s">
        <v>97</v>
      </c>
      <c r="O62" s="1" t="s">
        <v>5</v>
      </c>
      <c r="P62" s="1" t="s">
        <v>4</v>
      </c>
      <c r="R62" s="1" t="s">
        <v>97</v>
      </c>
      <c r="S62" s="1" t="s">
        <v>5</v>
      </c>
      <c r="T62" s="1" t="s">
        <v>4</v>
      </c>
      <c r="V62" s="1" t="s">
        <v>97</v>
      </c>
      <c r="W62" s="1" t="s">
        <v>5</v>
      </c>
      <c r="X62" s="1" t="s">
        <v>4</v>
      </c>
    </row>
    <row r="63" ht="64" customHeight="1" spans="2:28">
      <c r="B63" s="41" t="s">
        <v>479</v>
      </c>
      <c r="C63" s="41" t="s">
        <v>99</v>
      </c>
      <c r="D63" s="41" t="s">
        <v>480</v>
      </c>
      <c r="F63" s="2" t="s">
        <v>396</v>
      </c>
      <c r="G63" s="2" t="s">
        <v>481</v>
      </c>
      <c r="H63" s="2" t="s">
        <v>482</v>
      </c>
      <c r="J63" s="116" t="s">
        <v>206</v>
      </c>
      <c r="K63" s="116" t="s">
        <v>207</v>
      </c>
      <c r="L63" s="117">
        <v>46244.375</v>
      </c>
      <c r="N63" s="41" t="s">
        <v>483</v>
      </c>
      <c r="O63" s="41" t="s">
        <v>373</v>
      </c>
      <c r="P63" s="77">
        <v>280000</v>
      </c>
      <c r="R63" s="41" t="s">
        <v>260</v>
      </c>
      <c r="S63" s="41" t="s">
        <v>484</v>
      </c>
      <c r="T63" s="41" t="s">
        <v>485</v>
      </c>
      <c r="V63" s="116" t="s">
        <v>479</v>
      </c>
      <c r="W63" s="116" t="s">
        <v>99</v>
      </c>
      <c r="X63" s="116" t="s">
        <v>480</v>
      </c>
    </row>
    <row r="64" ht="57" customHeight="1" spans="2:28">
      <c r="B64" s="41" t="s">
        <v>224</v>
      </c>
      <c r="C64" s="41" t="s">
        <v>486</v>
      </c>
      <c r="D64" s="41" t="s">
        <v>487</v>
      </c>
      <c r="F64" s="2" t="s">
        <v>407</v>
      </c>
      <c r="G64" s="2" t="s">
        <v>408</v>
      </c>
      <c r="H64" s="2">
        <v>100</v>
      </c>
      <c r="J64" s="116" t="s">
        <v>392</v>
      </c>
      <c r="K64" s="116" t="s">
        <v>488</v>
      </c>
      <c r="L64" s="118">
        <v>90</v>
      </c>
      <c r="N64" s="41" t="s">
        <v>489</v>
      </c>
      <c r="O64" s="41" t="s">
        <v>490</v>
      </c>
      <c r="P64" s="77">
        <v>12000</v>
      </c>
      <c r="R64" s="41" t="s">
        <v>491</v>
      </c>
      <c r="S64" s="41" t="s">
        <v>492</v>
      </c>
      <c r="T64" s="41" t="s">
        <v>493</v>
      </c>
      <c r="V64" s="116" t="s">
        <v>396</v>
      </c>
      <c r="W64" s="116" t="s">
        <v>494</v>
      </c>
      <c r="X64" s="116" t="s">
        <v>482</v>
      </c>
    </row>
    <row r="65" ht="71" spans="2:24">
      <c r="B65" s="41" t="s">
        <v>386</v>
      </c>
      <c r="C65" s="41" t="s">
        <v>495</v>
      </c>
      <c r="D65" s="3">
        <v>46244.3333333333</v>
      </c>
      <c r="F65" s="2" t="s">
        <v>496</v>
      </c>
      <c r="G65" s="2" t="s">
        <v>497</v>
      </c>
      <c r="H65" s="2" t="s">
        <v>498</v>
      </c>
      <c r="J65" s="116" t="s">
        <v>402</v>
      </c>
      <c r="K65" s="116" t="s">
        <v>403</v>
      </c>
      <c r="L65" s="116" t="s">
        <v>404</v>
      </c>
      <c r="N65" s="41" t="s">
        <v>164</v>
      </c>
      <c r="O65" s="41" t="s">
        <v>499</v>
      </c>
      <c r="P65" s="77">
        <v>292000</v>
      </c>
      <c r="R65" s="41" t="s">
        <v>500</v>
      </c>
      <c r="S65" s="41" t="s">
        <v>501</v>
      </c>
      <c r="T65" s="41" t="s">
        <v>502</v>
      </c>
      <c r="V65" s="116" t="s">
        <v>503</v>
      </c>
      <c r="W65" s="116" t="s">
        <v>504</v>
      </c>
      <c r="X65" s="116" t="s">
        <v>505</v>
      </c>
    </row>
    <row r="66" ht="88" spans="2:24">
      <c r="B66" s="41" t="s">
        <v>394</v>
      </c>
      <c r="C66" s="41" t="s">
        <v>506</v>
      </c>
      <c r="D66" s="3">
        <v>46244.4166666667</v>
      </c>
      <c r="F66" s="2" t="s">
        <v>507</v>
      </c>
      <c r="G66" s="2" t="s">
        <v>508</v>
      </c>
      <c r="H66" s="2" t="s">
        <v>509</v>
      </c>
      <c r="J66" s="116" t="s">
        <v>410</v>
      </c>
      <c r="K66" s="116" t="s">
        <v>411</v>
      </c>
      <c r="L66" s="116" t="s">
        <v>412</v>
      </c>
      <c r="N66" s="41" t="s">
        <v>220</v>
      </c>
      <c r="O66" s="41" t="s">
        <v>510</v>
      </c>
      <c r="P66" s="77">
        <v>4866.67</v>
      </c>
      <c r="R66" s="41" t="s">
        <v>511</v>
      </c>
      <c r="S66" s="41" t="s">
        <v>512</v>
      </c>
      <c r="T66" s="41" t="s">
        <v>513</v>
      </c>
      <c r="V66" s="116" t="s">
        <v>514</v>
      </c>
      <c r="W66" s="116" t="s">
        <v>515</v>
      </c>
      <c r="X66" s="116" t="s">
        <v>516</v>
      </c>
    </row>
    <row r="67" ht="36" spans="2:24">
      <c r="B67" s="41" t="s">
        <v>405</v>
      </c>
      <c r="C67" s="41" t="s">
        <v>517</v>
      </c>
      <c r="D67" s="2">
        <v>60</v>
      </c>
      <c r="F67" s="51" t="s">
        <v>518</v>
      </c>
      <c r="G67" s="51"/>
      <c r="H67" s="51"/>
      <c r="J67" s="116" t="s">
        <v>417</v>
      </c>
      <c r="K67" s="116" t="s">
        <v>418</v>
      </c>
      <c r="L67" s="116" t="s">
        <v>419</v>
      </c>
      <c r="V67" s="116" t="s">
        <v>519</v>
      </c>
      <c r="W67" s="116" t="s">
        <v>520</v>
      </c>
      <c r="X67" s="116" t="s">
        <v>521</v>
      </c>
    </row>
    <row r="68" ht="48" customHeight="1" spans="2:24">
      <c r="B68" s="41" t="s">
        <v>384</v>
      </c>
      <c r="C68" s="41" t="s">
        <v>385</v>
      </c>
      <c r="D68" s="2">
        <v>75</v>
      </c>
      <c r="F68" s="119" t="s">
        <v>503</v>
      </c>
      <c r="G68" s="119" t="s">
        <v>522</v>
      </c>
      <c r="H68" s="119" t="s">
        <v>505</v>
      </c>
      <c r="J68" s="116" t="s">
        <v>523</v>
      </c>
      <c r="K68" s="116" t="s">
        <v>524</v>
      </c>
      <c r="L68" s="118">
        <v>5</v>
      </c>
      <c r="V68" s="116" t="s">
        <v>525</v>
      </c>
      <c r="W68" s="116" t="s">
        <v>526</v>
      </c>
      <c r="X68" s="116" t="s">
        <v>527</v>
      </c>
    </row>
    <row r="69" ht="45" customHeight="1" spans="2:24">
      <c r="B69" s="120" t="s">
        <v>528</v>
      </c>
      <c r="C69" s="120"/>
      <c r="D69" s="120"/>
      <c r="F69" s="119" t="s">
        <v>529</v>
      </c>
      <c r="G69" s="119" t="s">
        <v>530</v>
      </c>
      <c r="H69" s="119">
        <v>60</v>
      </c>
      <c r="J69" s="116" t="s">
        <v>531</v>
      </c>
      <c r="K69" s="116" t="s">
        <v>532</v>
      </c>
      <c r="L69" s="118">
        <v>5</v>
      </c>
      <c r="V69" s="116" t="s">
        <v>533</v>
      </c>
      <c r="W69" s="116" t="s">
        <v>534</v>
      </c>
      <c r="X69" s="116" t="s">
        <v>535</v>
      </c>
    </row>
    <row r="70" ht="36" customHeight="1" spans="2:24">
      <c r="B70" s="1" t="s">
        <v>536</v>
      </c>
      <c r="C70" s="121" t="s">
        <v>5</v>
      </c>
      <c r="D70" s="121"/>
      <c r="F70" s="51" t="s">
        <v>537</v>
      </c>
      <c r="G70" s="51"/>
      <c r="H70" s="51"/>
      <c r="J70" s="116" t="s">
        <v>128</v>
      </c>
      <c r="K70" s="116" t="s">
        <v>129</v>
      </c>
      <c r="L70" s="116" t="s">
        <v>130</v>
      </c>
      <c r="V70" s="116" t="s">
        <v>538</v>
      </c>
      <c r="W70" s="116" t="s">
        <v>539</v>
      </c>
      <c r="X70" s="116" t="s">
        <v>540</v>
      </c>
    </row>
    <row r="71" ht="45" customHeight="1" spans="2:24">
      <c r="B71" s="41" t="s">
        <v>541</v>
      </c>
      <c r="C71" s="42" t="s">
        <v>542</v>
      </c>
      <c r="D71" s="42"/>
      <c r="F71" s="122" t="s">
        <v>543</v>
      </c>
      <c r="G71" s="123" t="s">
        <v>541</v>
      </c>
      <c r="H71" s="123"/>
      <c r="J71" s="116" t="s">
        <v>230</v>
      </c>
      <c r="K71" s="116" t="s">
        <v>231</v>
      </c>
      <c r="L71" s="116" t="s">
        <v>544</v>
      </c>
      <c r="V71" s="116" t="s">
        <v>545</v>
      </c>
      <c r="W71" s="116" t="s">
        <v>546</v>
      </c>
      <c r="X71" s="116" t="s">
        <v>547</v>
      </c>
    </row>
    <row r="72" ht="60" customHeight="1" spans="2:24">
      <c r="B72" s="41" t="s">
        <v>548</v>
      </c>
      <c r="C72" s="42" t="s">
        <v>549</v>
      </c>
      <c r="D72" s="42"/>
      <c r="F72" s="98" t="s">
        <v>550</v>
      </c>
      <c r="G72" s="99" t="s">
        <v>551</v>
      </c>
      <c r="H72" s="99"/>
      <c r="J72" s="116" t="s">
        <v>242</v>
      </c>
      <c r="K72" s="116" t="s">
        <v>243</v>
      </c>
      <c r="L72" s="116" t="s">
        <v>192</v>
      </c>
      <c r="V72" s="116" t="s">
        <v>552</v>
      </c>
      <c r="W72" s="116" t="s">
        <v>553</v>
      </c>
      <c r="X72" s="118">
        <v>100</v>
      </c>
    </row>
    <row r="73" ht="57" customHeight="1" spans="2:24">
      <c r="B73" s="41" t="s">
        <v>554</v>
      </c>
      <c r="C73" s="42" t="s">
        <v>555</v>
      </c>
      <c r="D73" s="42"/>
      <c r="F73" s="98" t="s">
        <v>556</v>
      </c>
      <c r="G73" s="99" t="s">
        <v>557</v>
      </c>
      <c r="H73" s="99"/>
      <c r="V73" s="116" t="s">
        <v>558</v>
      </c>
      <c r="W73" s="116" t="s">
        <v>559</v>
      </c>
      <c r="X73" s="118">
        <v>60</v>
      </c>
    </row>
    <row r="74" ht="30" customHeight="1" spans="2:24">
      <c r="V74" s="116" t="s">
        <v>560</v>
      </c>
      <c r="W74" s="116" t="s">
        <v>561</v>
      </c>
      <c r="X74" s="118">
        <v>60</v>
      </c>
    </row>
    <row r="75" ht="36" spans="2:24">
      <c r="J75" s="124"/>
      <c r="K75"/>
      <c r="L75"/>
      <c r="V75" s="116" t="s">
        <v>562</v>
      </c>
      <c r="W75" s="116" t="s">
        <v>563</v>
      </c>
      <c r="X75" s="116" t="s">
        <v>564</v>
      </c>
    </row>
    <row r="76" ht="8" customHeight="1"/>
    <row r="77" ht="41" customHeight="1" spans="2:24">
      <c r="B77" s="6" t="s">
        <v>565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33"/>
      <c r="V77" s="33"/>
      <c r="W77" s="33"/>
      <c r="X77" s="33"/>
    </row>
    <row r="78" ht="41" customHeight="1" spans="2:24">
      <c r="B78" s="125" t="s">
        <v>566</v>
      </c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6"/>
      <c r="V78" s="126"/>
      <c r="W78" s="126"/>
      <c r="X78" s="126"/>
    </row>
    <row r="79" s="5" customFormat="1" ht="29" customHeight="1" spans="2:24">
      <c r="B79" s="51" t="s">
        <v>90</v>
      </c>
      <c r="C79" s="51"/>
      <c r="D79" s="51"/>
      <c r="F79" s="51" t="s">
        <v>91</v>
      </c>
      <c r="G79" s="51"/>
      <c r="H79" s="51"/>
      <c r="J79" s="51" t="s">
        <v>265</v>
      </c>
      <c r="K79" s="51"/>
      <c r="L79" s="51"/>
      <c r="N79" s="51" t="s">
        <v>197</v>
      </c>
      <c r="O79" s="51"/>
      <c r="P79" s="51"/>
      <c r="R79" s="51" t="s">
        <v>567</v>
      </c>
      <c r="S79" s="51"/>
      <c r="T79" s="51"/>
    </row>
    <row r="80" s="5" customFormat="1" ht="28" customHeight="1" spans="2:24">
      <c r="B80" s="1" t="s">
        <v>97</v>
      </c>
      <c r="C80" s="1" t="s">
        <v>5</v>
      </c>
      <c r="D80" s="1" t="s">
        <v>4</v>
      </c>
      <c r="F80" s="1" t="s">
        <v>97</v>
      </c>
      <c r="G80" s="1" t="s">
        <v>5</v>
      </c>
      <c r="H80" s="1" t="s">
        <v>4</v>
      </c>
      <c r="J80" s="1" t="s">
        <v>97</v>
      </c>
      <c r="K80" s="1" t="s">
        <v>5</v>
      </c>
      <c r="L80" s="1" t="s">
        <v>4</v>
      </c>
      <c r="N80" s="1" t="s">
        <v>97</v>
      </c>
      <c r="O80" s="1" t="s">
        <v>5</v>
      </c>
      <c r="P80" s="1" t="s">
        <v>4</v>
      </c>
      <c r="R80" s="1" t="s">
        <v>97</v>
      </c>
      <c r="S80" s="1" t="s">
        <v>5</v>
      </c>
      <c r="T80" s="1" t="s">
        <v>4</v>
      </c>
    </row>
    <row r="81" s="5" customFormat="1" ht="71" spans="2:24">
      <c r="B81" s="36" t="s">
        <v>568</v>
      </c>
      <c r="C81" s="36" t="s">
        <v>99</v>
      </c>
      <c r="D81" s="36" t="s">
        <v>569</v>
      </c>
      <c r="F81" s="127" t="s">
        <v>570</v>
      </c>
      <c r="G81" s="127" t="s">
        <v>571</v>
      </c>
      <c r="H81" s="127" t="s">
        <v>572</v>
      </c>
      <c r="J81" s="36" t="s">
        <v>206</v>
      </c>
      <c r="K81" s="36" t="s">
        <v>207</v>
      </c>
      <c r="L81" s="46">
        <v>46244.4166666667</v>
      </c>
      <c r="N81" s="36" t="s">
        <v>573</v>
      </c>
      <c r="O81" s="36" t="s">
        <v>574</v>
      </c>
      <c r="P81" s="128">
        <v>152000</v>
      </c>
      <c r="R81" s="36" t="s">
        <v>379</v>
      </c>
      <c r="S81" s="36" t="s">
        <v>575</v>
      </c>
      <c r="T81" s="36" t="s">
        <v>576</v>
      </c>
    </row>
    <row r="82" s="5" customFormat="1" ht="53" spans="2:24">
      <c r="B82" s="36" t="s">
        <v>386</v>
      </c>
      <c r="C82" s="36" t="s">
        <v>577</v>
      </c>
      <c r="D82" s="46">
        <v>46244.3333333333</v>
      </c>
      <c r="F82" s="127" t="s">
        <v>578</v>
      </c>
      <c r="G82" s="127" t="s">
        <v>579</v>
      </c>
      <c r="H82" s="127" t="s">
        <v>580</v>
      </c>
      <c r="J82" s="36" t="s">
        <v>384</v>
      </c>
      <c r="K82" s="36" t="s">
        <v>385</v>
      </c>
      <c r="L82" s="129">
        <v>75</v>
      </c>
      <c r="N82" s="36" t="s">
        <v>581</v>
      </c>
      <c r="O82" s="36" t="s">
        <v>582</v>
      </c>
      <c r="P82" s="128">
        <v>18000</v>
      </c>
      <c r="R82" s="36" t="s">
        <v>260</v>
      </c>
      <c r="S82" s="36" t="s">
        <v>484</v>
      </c>
      <c r="T82" s="36" t="s">
        <v>485</v>
      </c>
    </row>
    <row r="83" s="5" customFormat="1" ht="53" spans="2:24">
      <c r="B83" s="36" t="s">
        <v>394</v>
      </c>
      <c r="C83" s="36" t="s">
        <v>395</v>
      </c>
      <c r="D83" s="46">
        <v>46244.5</v>
      </c>
      <c r="F83" s="51" t="s">
        <v>518</v>
      </c>
      <c r="G83" s="51"/>
      <c r="H83" s="51"/>
      <c r="J83" s="36" t="s">
        <v>402</v>
      </c>
      <c r="K83" s="36" t="s">
        <v>403</v>
      </c>
      <c r="L83" s="36" t="s">
        <v>404</v>
      </c>
      <c r="N83" s="36" t="s">
        <v>164</v>
      </c>
      <c r="O83" s="36" t="s">
        <v>583</v>
      </c>
      <c r="P83" s="128">
        <v>170000</v>
      </c>
    </row>
    <row r="84" s="5" customFormat="1" ht="53" spans="2:24">
      <c r="B84" s="36" t="s">
        <v>584</v>
      </c>
      <c r="C84" s="36" t="s">
        <v>585</v>
      </c>
      <c r="D84" s="129">
        <v>4</v>
      </c>
      <c r="F84" s="1" t="s">
        <v>97</v>
      </c>
      <c r="G84" s="1" t="s">
        <v>5</v>
      </c>
      <c r="H84" s="1" t="s">
        <v>4</v>
      </c>
      <c r="J84" s="36" t="s">
        <v>410</v>
      </c>
      <c r="K84" s="36" t="s">
        <v>411</v>
      </c>
      <c r="L84" s="36" t="s">
        <v>412</v>
      </c>
      <c r="N84" s="130" t="s">
        <v>220</v>
      </c>
      <c r="O84" s="130" t="s">
        <v>510</v>
      </c>
      <c r="P84" s="131">
        <v>1700</v>
      </c>
    </row>
    <row r="85" s="5" customFormat="1" ht="53" spans="2:24">
      <c r="B85" s="36" t="s">
        <v>405</v>
      </c>
      <c r="C85" s="36" t="s">
        <v>586</v>
      </c>
      <c r="D85" s="129">
        <v>100</v>
      </c>
      <c r="F85" s="132" t="s">
        <v>587</v>
      </c>
      <c r="G85" s="132" t="s">
        <v>588</v>
      </c>
      <c r="H85" s="132" t="s">
        <v>589</v>
      </c>
      <c r="J85" s="36" t="s">
        <v>417</v>
      </c>
      <c r="K85" s="36" t="s">
        <v>418</v>
      </c>
      <c r="L85" s="36" t="s">
        <v>419</v>
      </c>
      <c r="N85" s="97" t="s">
        <v>590</v>
      </c>
      <c r="O85" s="97"/>
      <c r="P85" s="97"/>
      <c r="Q85" s="97"/>
      <c r="R85" s="97"/>
    </row>
    <row r="86" s="5" customFormat="1" ht="53" spans="2:24">
      <c r="F86" s="132" t="s">
        <v>503</v>
      </c>
      <c r="G86" s="132" t="s">
        <v>591</v>
      </c>
      <c r="H86" s="132" t="s">
        <v>592</v>
      </c>
      <c r="J86" s="36" t="s">
        <v>593</v>
      </c>
      <c r="K86" s="36" t="s">
        <v>594</v>
      </c>
      <c r="L86" s="36" t="s">
        <v>595</v>
      </c>
      <c r="N86" s="1" t="s">
        <v>596</v>
      </c>
      <c r="O86" s="121" t="s">
        <v>597</v>
      </c>
      <c r="P86" s="121"/>
      <c r="Q86" s="121"/>
      <c r="R86" s="121"/>
    </row>
    <row r="87" s="5" customFormat="1" ht="36" spans="2:24">
      <c r="F87" s="132" t="s">
        <v>598</v>
      </c>
      <c r="G87" s="132" t="s">
        <v>599</v>
      </c>
      <c r="H87" s="132" t="s">
        <v>600</v>
      </c>
      <c r="J87" s="36" t="s">
        <v>128</v>
      </c>
      <c r="K87" s="36" t="s">
        <v>129</v>
      </c>
      <c r="L87" s="36" t="s">
        <v>130</v>
      </c>
      <c r="N87" s="41" t="s">
        <v>601</v>
      </c>
      <c r="O87" s="133" t="s">
        <v>602</v>
      </c>
      <c r="P87" s="133"/>
      <c r="Q87" s="133"/>
      <c r="R87" s="133"/>
    </row>
    <row r="88" s="5" customFormat="1" ht="35" customHeight="1" spans="2:24">
      <c r="J88" s="36" t="s">
        <v>230</v>
      </c>
      <c r="K88" s="36" t="s">
        <v>231</v>
      </c>
      <c r="L88" s="36" t="s">
        <v>603</v>
      </c>
      <c r="N88" s="41" t="s">
        <v>604</v>
      </c>
      <c r="O88" s="133" t="s">
        <v>585</v>
      </c>
      <c r="P88" s="133"/>
      <c r="Q88" s="133"/>
      <c r="R88" s="133"/>
    </row>
    <row r="89" s="5" customFormat="1" ht="34" customHeight="1" spans="2:24">
      <c r="N89" s="41" t="s">
        <v>605</v>
      </c>
      <c r="O89" s="133" t="s">
        <v>606</v>
      </c>
      <c r="P89" s="133"/>
      <c r="Q89" s="133"/>
      <c r="R89" s="133"/>
    </row>
    <row r="90" s="5" customFormat="1" ht="38" customHeight="1" spans="2:24">
      <c r="N90" s="41" t="s">
        <v>432</v>
      </c>
      <c r="O90" s="42" t="s">
        <v>607</v>
      </c>
      <c r="P90" s="42"/>
      <c r="Q90" s="42"/>
      <c r="R90" s="42"/>
    </row>
    <row r="91" s="5" customFormat="1" ht="5" customHeight="1" spans="2:24"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134"/>
      <c r="O91" s="134"/>
      <c r="P91" s="134"/>
      <c r="Q91" s="134"/>
      <c r="R91" s="134"/>
      <c r="S91" s="31"/>
      <c r="T91" s="31"/>
      <c r="U91" s="31"/>
      <c r="V91" s="31"/>
      <c r="W91" s="31"/>
      <c r="X91" s="31"/>
    </row>
    <row r="92" s="5" customFormat="1" ht="42" customHeight="1" spans="2:24">
      <c r="B92" s="6" t="s">
        <v>608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="5" customFormat="1" ht="54" customHeight="1" spans="2:24">
      <c r="B93" s="48" t="s">
        <v>609</v>
      </c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</row>
    <row r="94" s="5" customFormat="1" ht="20.4" spans="2:24">
      <c r="B94" s="51" t="s">
        <v>90</v>
      </c>
      <c r="C94" s="51"/>
      <c r="D94" s="51"/>
      <c r="F94" s="51" t="s">
        <v>91</v>
      </c>
      <c r="G94" s="51"/>
      <c r="H94" s="51"/>
      <c r="J94" s="51" t="s">
        <v>265</v>
      </c>
      <c r="K94" s="51"/>
      <c r="L94" s="51"/>
      <c r="N94" s="51" t="s">
        <v>197</v>
      </c>
      <c r="O94" s="51"/>
      <c r="P94" s="51"/>
      <c r="R94" s="51" t="s">
        <v>567</v>
      </c>
      <c r="S94" s="51"/>
      <c r="T94" s="51"/>
      <c r="V94" s="51" t="s">
        <v>610</v>
      </c>
      <c r="W94" s="135"/>
      <c r="X94" s="135"/>
    </row>
    <row r="95" s="5" customFormat="1" ht="18" spans="2:24">
      <c r="B95" s="1" t="s">
        <v>97</v>
      </c>
      <c r="C95" s="1" t="s">
        <v>5</v>
      </c>
      <c r="D95" s="1" t="s">
        <v>4</v>
      </c>
      <c r="F95" s="1" t="s">
        <v>97</v>
      </c>
      <c r="G95" s="1" t="s">
        <v>5</v>
      </c>
      <c r="H95" s="1" t="s">
        <v>4</v>
      </c>
      <c r="J95" s="1" t="s">
        <v>97</v>
      </c>
      <c r="K95" s="1" t="s">
        <v>5</v>
      </c>
      <c r="L95" s="1" t="s">
        <v>4</v>
      </c>
      <c r="N95" s="1" t="s">
        <v>97</v>
      </c>
      <c r="O95" s="1" t="s">
        <v>5</v>
      </c>
      <c r="P95" s="1" t="s">
        <v>4</v>
      </c>
      <c r="R95" s="1" t="s">
        <v>97</v>
      </c>
      <c r="S95" s="1" t="s">
        <v>5</v>
      </c>
      <c r="T95" s="1" t="s">
        <v>4</v>
      </c>
      <c r="V95" s="136" t="s">
        <v>0</v>
      </c>
      <c r="W95" s="121" t="s">
        <v>235</v>
      </c>
      <c r="X95" s="121"/>
    </row>
    <row r="96" s="5" customFormat="1" ht="88" spans="2:24">
      <c r="B96" s="36" t="s">
        <v>611</v>
      </c>
      <c r="C96" s="36" t="s">
        <v>99</v>
      </c>
      <c r="D96" s="36" t="s">
        <v>612</v>
      </c>
      <c r="F96" s="41" t="s">
        <v>613</v>
      </c>
      <c r="G96" s="41" t="s">
        <v>614</v>
      </c>
      <c r="H96" s="41" t="s">
        <v>615</v>
      </c>
      <c r="J96" s="41" t="s">
        <v>206</v>
      </c>
      <c r="K96" s="41" t="s">
        <v>207</v>
      </c>
      <c r="L96" s="3">
        <v>46246.2916666667</v>
      </c>
      <c r="N96" s="36" t="s">
        <v>616</v>
      </c>
      <c r="O96" s="36" t="s">
        <v>617</v>
      </c>
      <c r="P96" s="128">
        <v>130000</v>
      </c>
      <c r="R96" s="137" t="s">
        <v>257</v>
      </c>
      <c r="S96" s="137" t="s">
        <v>618</v>
      </c>
      <c r="T96" s="137" t="s">
        <v>619</v>
      </c>
      <c r="V96" s="41" t="s">
        <v>620</v>
      </c>
      <c r="W96" s="42" t="s">
        <v>621</v>
      </c>
      <c r="X96" s="42"/>
    </row>
    <row r="97" s="5" customFormat="1" ht="36" spans="2:24">
      <c r="B97" s="36" t="s">
        <v>622</v>
      </c>
      <c r="C97" s="36" t="s">
        <v>623</v>
      </c>
      <c r="D97" s="36" t="s">
        <v>624</v>
      </c>
      <c r="F97" s="41" t="s">
        <v>215</v>
      </c>
      <c r="G97" s="41" t="s">
        <v>625</v>
      </c>
      <c r="H97" s="41" t="s">
        <v>626</v>
      </c>
      <c r="J97" s="41" t="s">
        <v>593</v>
      </c>
      <c r="K97" s="41" t="s">
        <v>627</v>
      </c>
      <c r="L97" s="2">
        <v>96.5</v>
      </c>
      <c r="N97" s="36" t="s">
        <v>628</v>
      </c>
      <c r="O97" s="36" t="s">
        <v>629</v>
      </c>
      <c r="P97" s="128">
        <v>4000</v>
      </c>
      <c r="R97" s="137" t="s">
        <v>630</v>
      </c>
      <c r="S97" s="137" t="s">
        <v>631</v>
      </c>
      <c r="T97" s="137" t="s">
        <v>632</v>
      </c>
      <c r="V97" s="41" t="s">
        <v>633</v>
      </c>
      <c r="W97" s="42" t="s">
        <v>634</v>
      </c>
      <c r="X97" s="42"/>
    </row>
    <row r="98" s="5" customFormat="1" ht="53" spans="2:24">
      <c r="B98" s="36" t="s">
        <v>635</v>
      </c>
      <c r="C98" s="36" t="s">
        <v>636</v>
      </c>
      <c r="D98" s="129">
        <v>1</v>
      </c>
      <c r="F98" s="51" t="s">
        <v>518</v>
      </c>
      <c r="G98" s="51"/>
      <c r="H98" s="51"/>
      <c r="J98" s="41" t="s">
        <v>637</v>
      </c>
      <c r="K98" s="41" t="s">
        <v>638</v>
      </c>
      <c r="L98" s="2">
        <v>30</v>
      </c>
      <c r="N98" s="36" t="s">
        <v>639</v>
      </c>
      <c r="O98" s="36" t="s">
        <v>640</v>
      </c>
      <c r="P98" s="128">
        <v>15000</v>
      </c>
      <c r="R98" s="137" t="s">
        <v>260</v>
      </c>
      <c r="S98" s="137" t="s">
        <v>484</v>
      </c>
      <c r="T98" s="137" t="s">
        <v>485</v>
      </c>
      <c r="V98" s="41" t="s">
        <v>641</v>
      </c>
      <c r="W98" s="42" t="s">
        <v>642</v>
      </c>
      <c r="X98" s="42"/>
    </row>
    <row r="99" s="5" customFormat="1" ht="53" spans="2:24">
      <c r="B99" s="36" t="s">
        <v>295</v>
      </c>
      <c r="C99" s="36" t="s">
        <v>643</v>
      </c>
      <c r="D99" s="46">
        <v>46244.25</v>
      </c>
      <c r="F99" s="1" t="s">
        <v>97</v>
      </c>
      <c r="G99" s="1" t="s">
        <v>5</v>
      </c>
      <c r="H99" s="1" t="s">
        <v>4</v>
      </c>
      <c r="J99" s="41" t="s">
        <v>410</v>
      </c>
      <c r="K99" s="41" t="s">
        <v>644</v>
      </c>
      <c r="L99" s="2">
        <v>4.8</v>
      </c>
      <c r="N99" s="36" t="s">
        <v>164</v>
      </c>
      <c r="O99" s="36" t="s">
        <v>645</v>
      </c>
      <c r="P99" s="128">
        <v>149000</v>
      </c>
      <c r="R99" s="137" t="s">
        <v>379</v>
      </c>
      <c r="S99" s="137" t="s">
        <v>575</v>
      </c>
      <c r="T99" s="137" t="s">
        <v>646</v>
      </c>
    </row>
    <row r="100" s="5" customFormat="1" ht="53" spans="2:24">
      <c r="B100" s="36" t="s">
        <v>303</v>
      </c>
      <c r="C100" s="36" t="s">
        <v>647</v>
      </c>
      <c r="D100" s="46">
        <v>46244.3333333333</v>
      </c>
      <c r="F100" s="127" t="s">
        <v>648</v>
      </c>
      <c r="G100" s="127" t="s">
        <v>649</v>
      </c>
      <c r="H100" s="127" t="s">
        <v>569</v>
      </c>
      <c r="J100" s="41" t="s">
        <v>402</v>
      </c>
      <c r="K100" s="41" t="s">
        <v>650</v>
      </c>
      <c r="L100" s="2" t="s">
        <v>651</v>
      </c>
      <c r="N100" s="36" t="s">
        <v>220</v>
      </c>
      <c r="O100" s="36" t="s">
        <v>652</v>
      </c>
      <c r="P100" s="128">
        <v>1568.42</v>
      </c>
    </row>
    <row r="101" s="5" customFormat="1" ht="36" spans="2:24">
      <c r="B101" s="36" t="s">
        <v>319</v>
      </c>
      <c r="C101" s="36" t="s">
        <v>653</v>
      </c>
      <c r="D101" s="46">
        <v>46246.25</v>
      </c>
      <c r="F101" s="127" t="s">
        <v>336</v>
      </c>
      <c r="G101" s="127" t="s">
        <v>654</v>
      </c>
      <c r="H101" s="127" t="s">
        <v>655</v>
      </c>
      <c r="J101" s="127" t="s">
        <v>656</v>
      </c>
      <c r="K101" s="127" t="s">
        <v>657</v>
      </c>
      <c r="L101" s="129">
        <v>1.05</v>
      </c>
      <c r="N101" s="97" t="s">
        <v>590</v>
      </c>
      <c r="O101" s="97"/>
      <c r="P101" s="97"/>
      <c r="Q101" s="97"/>
      <c r="R101" s="97"/>
    </row>
    <row r="102" s="5" customFormat="1" ht="36" spans="2:24">
      <c r="B102" s="36" t="s">
        <v>330</v>
      </c>
      <c r="C102" s="36" t="s">
        <v>658</v>
      </c>
      <c r="D102" s="46">
        <v>46246.3333333333</v>
      </c>
      <c r="F102" s="51" t="s">
        <v>659</v>
      </c>
      <c r="G102" s="51"/>
      <c r="H102" s="51"/>
      <c r="J102" s="36" t="s">
        <v>128</v>
      </c>
      <c r="K102" s="36" t="s">
        <v>129</v>
      </c>
      <c r="L102" s="36" t="s">
        <v>130</v>
      </c>
      <c r="N102" s="136" t="s">
        <v>596</v>
      </c>
      <c r="O102" s="138" t="s">
        <v>597</v>
      </c>
      <c r="P102" s="138"/>
      <c r="Q102" s="138"/>
      <c r="R102" s="138"/>
    </row>
    <row r="103" s="5" customFormat="1" ht="36" spans="2:24">
      <c r="B103" s="36" t="s">
        <v>660</v>
      </c>
      <c r="C103" s="36" t="s">
        <v>661</v>
      </c>
      <c r="D103" s="129">
        <v>6</v>
      </c>
      <c r="F103" s="36" t="s">
        <v>662</v>
      </c>
      <c r="G103" s="36" t="s">
        <v>663</v>
      </c>
      <c r="H103" s="36" t="s">
        <v>664</v>
      </c>
      <c r="J103" s="50"/>
      <c r="K103" s="50"/>
      <c r="L103" s="50"/>
      <c r="N103" s="41" t="s">
        <v>665</v>
      </c>
      <c r="O103" s="42" t="s">
        <v>666</v>
      </c>
      <c r="P103" s="42"/>
      <c r="Q103" s="42"/>
      <c r="R103" s="42"/>
    </row>
    <row r="104" s="5" customFormat="1" ht="36" spans="2:24">
      <c r="B104" s="41" t="s">
        <v>667</v>
      </c>
      <c r="C104" s="41" t="s">
        <v>668</v>
      </c>
      <c r="D104" s="2">
        <v>100</v>
      </c>
      <c r="F104" s="127" t="s">
        <v>669</v>
      </c>
      <c r="G104" s="127" t="s">
        <v>670</v>
      </c>
      <c r="H104" s="127" t="s">
        <v>671</v>
      </c>
      <c r="J104" s="50"/>
      <c r="K104" s="50"/>
      <c r="L104" s="50"/>
      <c r="N104" s="41" t="s">
        <v>432</v>
      </c>
      <c r="O104" s="42" t="s">
        <v>672</v>
      </c>
      <c r="P104" s="42"/>
      <c r="Q104" s="42"/>
      <c r="R104" s="42"/>
    </row>
    <row r="105" s="5" customFormat="1" ht="36" spans="2:24">
      <c r="B105" s="36" t="s">
        <v>673</v>
      </c>
      <c r="C105" s="36" t="s">
        <v>674</v>
      </c>
      <c r="D105" s="129">
        <v>1.05</v>
      </c>
      <c r="F105" s="127" t="s">
        <v>675</v>
      </c>
      <c r="G105" s="127" t="s">
        <v>670</v>
      </c>
      <c r="H105" s="127" t="s">
        <v>671</v>
      </c>
      <c r="N105" s="139"/>
      <c r="O105" s="140"/>
      <c r="P105" s="140"/>
      <c r="Q105" s="140"/>
      <c r="R105" s="140"/>
    </row>
    <row r="106" s="5" customFormat="1" ht="36" spans="2:24">
      <c r="B106" s="36" t="s">
        <v>676</v>
      </c>
      <c r="C106" s="36" t="s">
        <v>677</v>
      </c>
      <c r="D106" s="129">
        <v>105</v>
      </c>
      <c r="F106" s="51" t="s">
        <v>678</v>
      </c>
      <c r="G106" s="51"/>
      <c r="H106" s="51"/>
      <c r="N106" s="139"/>
      <c r="O106" s="141"/>
      <c r="P106" s="141"/>
      <c r="Q106" s="141"/>
      <c r="R106" s="141"/>
    </row>
    <row r="107" s="5" customFormat="1" ht="39" customHeight="1" spans="2:24">
      <c r="B107" s="36" t="s">
        <v>679</v>
      </c>
      <c r="C107" s="36" t="s">
        <v>680</v>
      </c>
      <c r="D107" s="129">
        <v>48</v>
      </c>
      <c r="F107" s="142" t="s">
        <v>681</v>
      </c>
      <c r="G107" s="143"/>
      <c r="H107" s="143"/>
    </row>
    <row r="108" s="5" customFormat="1" ht="51" customHeight="1" spans="2:24">
      <c r="B108" s="36" t="s">
        <v>682</v>
      </c>
      <c r="C108" s="36" t="s">
        <v>683</v>
      </c>
      <c r="D108" s="129">
        <v>60</v>
      </c>
      <c r="F108" s="142" t="s">
        <v>684</v>
      </c>
      <c r="G108" s="143"/>
      <c r="H108" s="143"/>
    </row>
    <row r="109" s="5" customFormat="1" ht="33" customHeight="1" spans="2:24">
      <c r="B109" s="36" t="s">
        <v>410</v>
      </c>
      <c r="C109" s="36" t="s">
        <v>685</v>
      </c>
      <c r="D109" s="36" t="s">
        <v>686</v>
      </c>
    </row>
    <row r="110" s="5" customFormat="1" ht="29" customHeight="1" spans="2:24">
      <c r="B110" s="36" t="s">
        <v>593</v>
      </c>
      <c r="C110" s="36" t="s">
        <v>687</v>
      </c>
      <c r="D110" s="36" t="s">
        <v>595</v>
      </c>
    </row>
    <row r="111" s="5" customFormat="1" ht="7" customHeight="1"/>
    <row r="112" s="5" customFormat="1" ht="35" customHeight="1" spans="2:24">
      <c r="B112" s="6" t="s">
        <v>688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="5" customFormat="1" ht="51" customHeight="1" spans="2:24">
      <c r="B113" s="48" t="s">
        <v>689</v>
      </c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</row>
    <row r="114" s="5" customFormat="1" ht="20.4" spans="2:24">
      <c r="B114" s="51" t="s">
        <v>90</v>
      </c>
      <c r="C114" s="51"/>
      <c r="D114" s="51"/>
      <c r="F114" s="51" t="s">
        <v>91</v>
      </c>
      <c r="G114" s="51"/>
      <c r="H114" s="51"/>
      <c r="J114" s="51" t="s">
        <v>265</v>
      </c>
      <c r="K114" s="51"/>
      <c r="L114" s="51"/>
      <c r="N114" s="51" t="s">
        <v>197</v>
      </c>
      <c r="O114" s="51"/>
      <c r="P114" s="51"/>
      <c r="R114" s="51" t="s">
        <v>690</v>
      </c>
      <c r="S114" s="51"/>
      <c r="T114" s="51"/>
    </row>
    <row r="115" s="5" customFormat="1" ht="18" spans="2:24">
      <c r="B115" s="1" t="s">
        <v>97</v>
      </c>
      <c r="C115" s="1" t="s">
        <v>5</v>
      </c>
      <c r="D115" s="1" t="s">
        <v>4</v>
      </c>
      <c r="F115" s="1" t="s">
        <v>97</v>
      </c>
      <c r="G115" s="1" t="s">
        <v>5</v>
      </c>
      <c r="H115" s="1" t="s">
        <v>4</v>
      </c>
      <c r="J115" s="1" t="s">
        <v>97</v>
      </c>
      <c r="K115" s="1" t="s">
        <v>5</v>
      </c>
      <c r="L115" s="1" t="s">
        <v>4</v>
      </c>
      <c r="N115" s="1" t="s">
        <v>97</v>
      </c>
      <c r="O115" s="1" t="s">
        <v>5</v>
      </c>
      <c r="P115" s="1" t="s">
        <v>4</v>
      </c>
      <c r="R115" s="1" t="s">
        <v>97</v>
      </c>
      <c r="S115" s="1" t="s">
        <v>5</v>
      </c>
      <c r="T115" s="1" t="s">
        <v>4</v>
      </c>
    </row>
    <row r="116" s="5" customFormat="1" ht="54" customHeight="1" spans="2:24">
      <c r="B116" s="41" t="s">
        <v>691</v>
      </c>
      <c r="C116" s="41" t="s">
        <v>99</v>
      </c>
      <c r="D116" s="2" t="s">
        <v>692</v>
      </c>
      <c r="F116" s="41" t="s">
        <v>693</v>
      </c>
      <c r="G116" s="41" t="s">
        <v>694</v>
      </c>
      <c r="H116" s="2" t="s">
        <v>26</v>
      </c>
      <c r="J116" s="2" t="s">
        <v>206</v>
      </c>
      <c r="K116" s="2" t="s">
        <v>207</v>
      </c>
      <c r="L116" s="3">
        <v>46244.4791666667</v>
      </c>
      <c r="N116" s="2" t="s">
        <v>695</v>
      </c>
      <c r="O116" s="2" t="s">
        <v>696</v>
      </c>
      <c r="P116" s="144">
        <v>320000</v>
      </c>
      <c r="R116" s="2" t="s">
        <v>379</v>
      </c>
      <c r="S116" s="2" t="s">
        <v>575</v>
      </c>
      <c r="T116" s="2" t="s">
        <v>576</v>
      </c>
    </row>
    <row r="117" s="5" customFormat="1" ht="71" spans="2:24">
      <c r="B117" s="41" t="s">
        <v>386</v>
      </c>
      <c r="C117" s="41" t="s">
        <v>697</v>
      </c>
      <c r="D117" s="3">
        <v>46244.3333333333</v>
      </c>
      <c r="F117" s="41" t="s">
        <v>698</v>
      </c>
      <c r="G117" s="41" t="s">
        <v>699</v>
      </c>
      <c r="H117" s="2">
        <v>100</v>
      </c>
      <c r="J117" s="2" t="s">
        <v>700</v>
      </c>
      <c r="K117" s="2" t="s">
        <v>701</v>
      </c>
      <c r="L117" s="2" t="s">
        <v>702</v>
      </c>
      <c r="N117" s="2" t="s">
        <v>703</v>
      </c>
      <c r="O117" s="2" t="s">
        <v>383</v>
      </c>
      <c r="P117" s="144">
        <v>18000</v>
      </c>
      <c r="R117" s="2" t="s">
        <v>260</v>
      </c>
      <c r="S117" s="2" t="s">
        <v>484</v>
      </c>
      <c r="T117" s="2" t="s">
        <v>485</v>
      </c>
    </row>
    <row r="118" s="5" customFormat="1" ht="53" spans="2:24">
      <c r="B118" s="41" t="s">
        <v>394</v>
      </c>
      <c r="C118" s="41" t="s">
        <v>395</v>
      </c>
      <c r="D118" s="3">
        <v>46244.5</v>
      </c>
      <c r="F118" s="41" t="s">
        <v>704</v>
      </c>
      <c r="G118" s="41" t="s">
        <v>705</v>
      </c>
      <c r="H118" s="3">
        <v>46244.3333333333</v>
      </c>
      <c r="J118" s="2" t="s">
        <v>706</v>
      </c>
      <c r="K118" s="2" t="s">
        <v>707</v>
      </c>
      <c r="L118" s="2">
        <v>30</v>
      </c>
      <c r="N118" s="2" t="s">
        <v>164</v>
      </c>
      <c r="O118" s="2" t="s">
        <v>708</v>
      </c>
      <c r="P118" s="144">
        <v>338000</v>
      </c>
    </row>
    <row r="119" s="5" customFormat="1" ht="71" spans="2:24">
      <c r="B119" s="41" t="s">
        <v>584</v>
      </c>
      <c r="C119" s="41" t="s">
        <v>709</v>
      </c>
      <c r="D119" s="2">
        <v>4</v>
      </c>
      <c r="F119" s="41" t="s">
        <v>710</v>
      </c>
      <c r="G119" s="41" t="s">
        <v>711</v>
      </c>
      <c r="H119" s="3">
        <v>46244.3541666667</v>
      </c>
      <c r="J119" s="2" t="s">
        <v>410</v>
      </c>
      <c r="K119" s="2" t="s">
        <v>712</v>
      </c>
      <c r="L119" s="2" t="s">
        <v>713</v>
      </c>
      <c r="N119" s="2" t="s">
        <v>220</v>
      </c>
      <c r="O119" s="2" t="s">
        <v>510</v>
      </c>
      <c r="P119" s="144">
        <v>3380</v>
      </c>
    </row>
    <row r="120" s="5" customFormat="1" ht="110" customHeight="1" spans="2:24">
      <c r="B120" s="41" t="s">
        <v>405</v>
      </c>
      <c r="C120" s="41" t="s">
        <v>714</v>
      </c>
      <c r="D120" s="2">
        <v>100</v>
      </c>
      <c r="J120" s="145" t="s">
        <v>128</v>
      </c>
      <c r="K120" s="145" t="s">
        <v>129</v>
      </c>
      <c r="L120" s="145" t="s">
        <v>130</v>
      </c>
    </row>
    <row r="121" s="5" customFormat="1" ht="23" customHeight="1" spans="2:24">
      <c r="B121" s="135" t="s">
        <v>715</v>
      </c>
      <c r="C121" s="135"/>
      <c r="D121" s="135"/>
      <c r="F121" s="61" t="s">
        <v>518</v>
      </c>
      <c r="G121" s="61"/>
      <c r="H121" s="61"/>
      <c r="J121" s="61" t="s">
        <v>716</v>
      </c>
      <c r="K121" s="61"/>
      <c r="L121" s="61"/>
      <c r="M121" s="61"/>
      <c r="N121" s="61"/>
      <c r="O121" s="61"/>
      <c r="P121" s="61"/>
    </row>
    <row r="122" s="5" customFormat="1" ht="18" spans="2:24">
      <c r="B122" s="1" t="s">
        <v>541</v>
      </c>
      <c r="C122" s="121" t="s">
        <v>5</v>
      </c>
      <c r="D122" s="121"/>
      <c r="F122" s="1" t="s">
        <v>97</v>
      </c>
      <c r="G122" s="1" t="s">
        <v>5</v>
      </c>
      <c r="H122" s="1" t="s">
        <v>4</v>
      </c>
      <c r="J122" s="1" t="s">
        <v>596</v>
      </c>
      <c r="K122" s="121" t="s">
        <v>597</v>
      </c>
      <c r="L122" s="121"/>
      <c r="M122" s="121"/>
      <c r="N122" s="121"/>
      <c r="O122" s="121"/>
      <c r="P122" s="121"/>
    </row>
    <row r="123" s="5" customFormat="1" ht="53" customHeight="1" spans="2:24">
      <c r="B123" s="41" t="s">
        <v>717</v>
      </c>
      <c r="C123" s="42" t="s">
        <v>718</v>
      </c>
      <c r="D123" s="42"/>
      <c r="F123" s="41" t="s">
        <v>719</v>
      </c>
      <c r="G123" s="41" t="s">
        <v>720</v>
      </c>
      <c r="H123" s="41" t="s">
        <v>721</v>
      </c>
      <c r="J123" s="41" t="s">
        <v>604</v>
      </c>
      <c r="K123" s="42" t="s">
        <v>722</v>
      </c>
      <c r="L123" s="42"/>
      <c r="M123" s="42"/>
      <c r="N123" s="42"/>
      <c r="O123" s="42"/>
      <c r="P123" s="42"/>
    </row>
    <row r="124" s="5" customFormat="1" ht="108" customHeight="1" spans="2:24">
      <c r="B124" s="146" t="s">
        <v>723</v>
      </c>
      <c r="C124" s="42" t="s">
        <v>724</v>
      </c>
      <c r="D124" s="42"/>
      <c r="F124" s="41" t="s">
        <v>725</v>
      </c>
      <c r="G124" s="41" t="s">
        <v>726</v>
      </c>
      <c r="H124" s="147" t="s">
        <v>727</v>
      </c>
      <c r="J124" s="41" t="s">
        <v>605</v>
      </c>
      <c r="K124" s="42" t="s">
        <v>728</v>
      </c>
      <c r="L124" s="42"/>
      <c r="M124" s="42"/>
      <c r="N124" s="42"/>
      <c r="O124" s="42"/>
      <c r="P124" s="42"/>
    </row>
    <row r="125" s="5" customFormat="1" ht="18" spans="2:24">
      <c r="J125" s="41" t="s">
        <v>729</v>
      </c>
      <c r="K125" s="42" t="s">
        <v>730</v>
      </c>
      <c r="L125" s="42"/>
      <c r="M125" s="42"/>
      <c r="N125" s="42"/>
      <c r="O125" s="42"/>
      <c r="P125" s="42"/>
    </row>
    <row r="126" s="5" customFormat="1" ht="18" spans="2:24">
      <c r="J126" s="41" t="s">
        <v>432</v>
      </c>
      <c r="K126" s="42" t="s">
        <v>731</v>
      </c>
      <c r="L126" s="42"/>
      <c r="M126" s="42"/>
      <c r="N126" s="42"/>
      <c r="O126" s="42"/>
      <c r="P126" s="42"/>
    </row>
    <row r="127" s="5" customFormat="1" ht="11" customHeight="1"/>
    <row r="128" s="5" customFormat="1" ht="36" customHeight="1" spans="2:24">
      <c r="B128" s="6" t="s">
        <v>732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33"/>
      <c r="T128" s="33"/>
      <c r="U128" s="33"/>
      <c r="V128" s="33"/>
      <c r="W128" s="33"/>
      <c r="X128" s="33"/>
    </row>
    <row r="129" s="5" customFormat="1" ht="48" customHeight="1" spans="2:24">
      <c r="B129" s="48" t="s">
        <v>733</v>
      </c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126"/>
      <c r="T129" s="126"/>
      <c r="U129" s="126"/>
      <c r="V129" s="126"/>
      <c r="W129" s="126"/>
      <c r="X129" s="126"/>
    </row>
    <row r="130" s="5" customFormat="1" ht="20.4" spans="2:24">
      <c r="B130" s="51" t="s">
        <v>90</v>
      </c>
      <c r="C130" s="51"/>
      <c r="D130" s="51"/>
      <c r="F130" s="51" t="s">
        <v>91</v>
      </c>
      <c r="G130" s="51"/>
      <c r="H130" s="51"/>
      <c r="J130" s="51" t="s">
        <v>344</v>
      </c>
      <c r="K130" s="51"/>
      <c r="L130" s="51"/>
      <c r="N130" s="148" t="s">
        <v>734</v>
      </c>
      <c r="O130" s="148"/>
      <c r="P130" s="148"/>
      <c r="Q130" s="148"/>
      <c r="R130" s="148"/>
    </row>
    <row r="131" s="5" customFormat="1" ht="44" customHeight="1" spans="2:24">
      <c r="B131" s="1" t="s">
        <v>97</v>
      </c>
      <c r="C131" s="1" t="s">
        <v>5</v>
      </c>
      <c r="D131" s="1" t="s">
        <v>4</v>
      </c>
      <c r="F131" s="1" t="s">
        <v>97</v>
      </c>
      <c r="G131" s="1" t="s">
        <v>5</v>
      </c>
      <c r="H131" s="1" t="s">
        <v>4</v>
      </c>
      <c r="J131" s="1" t="s">
        <v>97</v>
      </c>
      <c r="K131" s="1" t="s">
        <v>5</v>
      </c>
      <c r="L131" s="1" t="s">
        <v>4</v>
      </c>
      <c r="N131" s="122" t="s">
        <v>316</v>
      </c>
      <c r="O131" s="122" t="s">
        <v>735</v>
      </c>
      <c r="P131" s="122" t="s">
        <v>736</v>
      </c>
      <c r="Q131" s="123" t="s">
        <v>737</v>
      </c>
      <c r="R131" s="123"/>
    </row>
    <row r="132" s="5" customFormat="1" ht="36" spans="2:24">
      <c r="B132" s="2" t="s">
        <v>738</v>
      </c>
      <c r="C132" s="2" t="s">
        <v>99</v>
      </c>
      <c r="D132" s="2" t="s">
        <v>739</v>
      </c>
      <c r="F132" s="119" t="s">
        <v>740</v>
      </c>
      <c r="G132" s="119" t="s">
        <v>741</v>
      </c>
      <c r="H132" s="119" t="s">
        <v>742</v>
      </c>
      <c r="J132" s="2" t="s">
        <v>743</v>
      </c>
      <c r="K132" s="2" t="s">
        <v>744</v>
      </c>
      <c r="L132" s="2" t="s">
        <v>745</v>
      </c>
      <c r="N132" s="119" t="s">
        <v>746</v>
      </c>
      <c r="O132" s="119" t="s">
        <v>747</v>
      </c>
      <c r="P132" s="119" t="s">
        <v>748</v>
      </c>
      <c r="Q132" s="99" t="s">
        <v>749</v>
      </c>
      <c r="R132" s="99"/>
    </row>
    <row r="133" s="5" customFormat="1" ht="53" spans="2:24">
      <c r="B133" s="2" t="s">
        <v>750</v>
      </c>
      <c r="C133" s="2" t="s">
        <v>751</v>
      </c>
      <c r="D133" s="2" t="s">
        <v>752</v>
      </c>
      <c r="F133" s="119" t="s">
        <v>753</v>
      </c>
      <c r="G133" s="119" t="s">
        <v>754</v>
      </c>
      <c r="H133" s="119" t="s">
        <v>755</v>
      </c>
      <c r="J133" s="2" t="s">
        <v>756</v>
      </c>
      <c r="K133" s="2" t="s">
        <v>484</v>
      </c>
      <c r="L133" s="2" t="s">
        <v>485</v>
      </c>
      <c r="N133" s="119" t="s">
        <v>757</v>
      </c>
      <c r="O133" s="119" t="s">
        <v>758</v>
      </c>
      <c r="P133" s="119" t="s">
        <v>759</v>
      </c>
      <c r="Q133" s="99" t="s">
        <v>760</v>
      </c>
      <c r="R133" s="99"/>
    </row>
    <row r="134" s="5" customFormat="1" ht="36" spans="2:24">
      <c r="B134" s="2" t="s">
        <v>753</v>
      </c>
      <c r="C134" s="2" t="s">
        <v>754</v>
      </c>
      <c r="D134" s="2" t="s">
        <v>755</v>
      </c>
      <c r="F134" s="119" t="s">
        <v>761</v>
      </c>
      <c r="G134" s="119" t="s">
        <v>762</v>
      </c>
      <c r="H134" s="149">
        <v>46231</v>
      </c>
      <c r="J134" s="2" t="s">
        <v>379</v>
      </c>
      <c r="K134" s="2" t="s">
        <v>575</v>
      </c>
      <c r="L134" s="2" t="s">
        <v>646</v>
      </c>
      <c r="N134" s="148" t="s">
        <v>763</v>
      </c>
      <c r="O134" s="148"/>
      <c r="P134" s="148"/>
      <c r="Q134" s="148"/>
      <c r="R134" s="148"/>
    </row>
    <row r="135" s="5" customFormat="1" ht="36" spans="2:24">
      <c r="B135" s="2" t="s">
        <v>740</v>
      </c>
      <c r="C135" s="2" t="s">
        <v>741</v>
      </c>
      <c r="D135" s="2" t="s">
        <v>742</v>
      </c>
      <c r="F135" s="119" t="s">
        <v>764</v>
      </c>
      <c r="G135" s="119" t="s">
        <v>765</v>
      </c>
      <c r="H135" s="119" t="s">
        <v>766</v>
      </c>
      <c r="J135" s="51" t="s">
        <v>94</v>
      </c>
      <c r="K135" s="51"/>
      <c r="L135" s="51"/>
      <c r="N135" s="121" t="s">
        <v>316</v>
      </c>
      <c r="O135" s="121" t="s">
        <v>767</v>
      </c>
      <c r="P135" s="121"/>
      <c r="Q135" s="121"/>
      <c r="R135" s="121"/>
    </row>
    <row r="136" s="5" customFormat="1" ht="56" customHeight="1" spans="2:24">
      <c r="B136" s="2" t="s">
        <v>768</v>
      </c>
      <c r="C136" s="2" t="s">
        <v>769</v>
      </c>
      <c r="D136" s="150">
        <v>46244</v>
      </c>
      <c r="F136" s="119" t="s">
        <v>770</v>
      </c>
      <c r="G136" s="119" t="s">
        <v>771</v>
      </c>
      <c r="H136" s="119" t="s">
        <v>130</v>
      </c>
      <c r="J136" s="1" t="s">
        <v>97</v>
      </c>
      <c r="K136" s="1" t="s">
        <v>5</v>
      </c>
      <c r="L136" s="1" t="s">
        <v>4</v>
      </c>
      <c r="N136" s="41" t="s">
        <v>772</v>
      </c>
      <c r="O136" s="42" t="s">
        <v>773</v>
      </c>
      <c r="P136" s="42"/>
      <c r="Q136" s="42"/>
      <c r="R136" s="42"/>
    </row>
    <row r="137" s="5" customFormat="1" ht="62" customHeight="1" spans="2:24">
      <c r="B137" s="2" t="s">
        <v>774</v>
      </c>
      <c r="C137" s="2" t="s">
        <v>775</v>
      </c>
      <c r="D137" s="3">
        <v>46244.3541666667</v>
      </c>
      <c r="F137" s="119" t="s">
        <v>776</v>
      </c>
      <c r="G137" s="119" t="s">
        <v>777</v>
      </c>
      <c r="H137" s="119" t="s">
        <v>778</v>
      </c>
      <c r="J137" s="119" t="s">
        <v>779</v>
      </c>
      <c r="K137" s="119" t="s">
        <v>780</v>
      </c>
      <c r="L137" s="119">
        <v>14</v>
      </c>
      <c r="N137" s="41" t="s">
        <v>781</v>
      </c>
      <c r="O137" s="42" t="s">
        <v>782</v>
      </c>
      <c r="P137" s="42"/>
      <c r="Q137" s="42"/>
      <c r="R137" s="42"/>
    </row>
    <row r="138" s="5" customFormat="1" ht="53" spans="2:24">
      <c r="B138" s="2" t="s">
        <v>783</v>
      </c>
      <c r="C138" s="2" t="s">
        <v>784</v>
      </c>
      <c r="D138" s="2">
        <v>1</v>
      </c>
      <c r="F138" s="61" t="s">
        <v>518</v>
      </c>
      <c r="G138" s="61"/>
      <c r="H138" s="61"/>
      <c r="J138" s="119" t="s">
        <v>785</v>
      </c>
      <c r="K138" s="119" t="s">
        <v>786</v>
      </c>
      <c r="L138" s="119">
        <v>99.5</v>
      </c>
      <c r="N138" s="51" t="s">
        <v>787</v>
      </c>
      <c r="O138" s="51"/>
      <c r="P138" s="51"/>
    </row>
    <row r="139" s="5" customFormat="1" ht="18" spans="2:24">
      <c r="B139" s="2" t="s">
        <v>103</v>
      </c>
      <c r="C139" s="2" t="s">
        <v>788</v>
      </c>
      <c r="D139" s="2" t="s">
        <v>105</v>
      </c>
      <c r="F139" s="1" t="s">
        <v>97</v>
      </c>
      <c r="G139" s="1" t="s">
        <v>5</v>
      </c>
      <c r="H139" s="1" t="s">
        <v>4</v>
      </c>
      <c r="J139" s="119" t="s">
        <v>789</v>
      </c>
      <c r="K139" s="119" t="s">
        <v>790</v>
      </c>
      <c r="L139" s="119">
        <v>88</v>
      </c>
      <c r="N139" s="1" t="s">
        <v>97</v>
      </c>
      <c r="O139" s="1" t="s">
        <v>5</v>
      </c>
      <c r="P139" s="1" t="s">
        <v>4</v>
      </c>
    </row>
    <row r="140" s="5" customFormat="1" ht="36" spans="2:24">
      <c r="B140" s="2" t="s">
        <v>791</v>
      </c>
      <c r="C140" s="2" t="s">
        <v>792</v>
      </c>
      <c r="D140" s="2" t="s">
        <v>792</v>
      </c>
      <c r="F140" s="41" t="s">
        <v>793</v>
      </c>
      <c r="G140" s="41" t="s">
        <v>794</v>
      </c>
      <c r="H140" s="41" t="s">
        <v>795</v>
      </c>
      <c r="J140" s="119" t="s">
        <v>796</v>
      </c>
      <c r="K140" s="119" t="s">
        <v>797</v>
      </c>
      <c r="L140" s="119">
        <v>0.35</v>
      </c>
      <c r="N140" s="119" t="s">
        <v>798</v>
      </c>
      <c r="O140" s="119" t="s">
        <v>799</v>
      </c>
      <c r="P140" s="151">
        <v>3200</v>
      </c>
    </row>
    <row r="141" s="5" customFormat="1" ht="36" spans="2:24">
      <c r="B141" s="2" t="s">
        <v>800</v>
      </c>
      <c r="C141" s="2" t="s">
        <v>801</v>
      </c>
      <c r="D141" s="2">
        <v>1000</v>
      </c>
      <c r="F141" s="41" t="s">
        <v>802</v>
      </c>
      <c r="G141" s="41" t="s">
        <v>803</v>
      </c>
      <c r="H141" s="41" t="s">
        <v>692</v>
      </c>
      <c r="J141" s="119" t="s">
        <v>804</v>
      </c>
      <c r="K141" s="119" t="s">
        <v>805</v>
      </c>
      <c r="L141" s="119">
        <v>0.1</v>
      </c>
      <c r="N141" s="119" t="s">
        <v>806</v>
      </c>
      <c r="O141" s="119" t="s">
        <v>807</v>
      </c>
      <c r="P141" s="151">
        <v>160000</v>
      </c>
    </row>
    <row r="142" s="5" customFormat="1" ht="34" spans="2:24">
      <c r="B142" s="2" t="s">
        <v>808</v>
      </c>
      <c r="C142" s="2" t="s">
        <v>809</v>
      </c>
      <c r="D142" s="152">
        <v>40</v>
      </c>
      <c r="J142" s="119" t="s">
        <v>810</v>
      </c>
      <c r="K142" s="119" t="s">
        <v>811</v>
      </c>
      <c r="L142" s="119">
        <v>2</v>
      </c>
      <c r="N142" s="119" t="s">
        <v>150</v>
      </c>
      <c r="O142" s="119" t="s">
        <v>812</v>
      </c>
      <c r="P142" s="151">
        <v>2000</v>
      </c>
    </row>
    <row r="143" s="5" customFormat="1" ht="36" spans="2:24">
      <c r="B143" s="2" t="s">
        <v>813</v>
      </c>
      <c r="C143" s="2" t="s">
        <v>814</v>
      </c>
      <c r="D143" s="2">
        <v>4000</v>
      </c>
      <c r="J143" s="119" t="s">
        <v>815</v>
      </c>
      <c r="K143" s="119" t="s">
        <v>816</v>
      </c>
      <c r="L143" s="119" t="s">
        <v>817</v>
      </c>
      <c r="N143" s="119" t="s">
        <v>818</v>
      </c>
      <c r="O143" s="119" t="s">
        <v>819</v>
      </c>
      <c r="P143" s="119">
        <v>500</v>
      </c>
    </row>
    <row r="144" s="5" customFormat="1" ht="34" spans="2:24">
      <c r="B144" s="2" t="s">
        <v>820</v>
      </c>
      <c r="C144" s="2" t="s">
        <v>821</v>
      </c>
      <c r="D144" s="2">
        <v>5000</v>
      </c>
      <c r="J144" s="119" t="s">
        <v>822</v>
      </c>
      <c r="K144" s="119" t="s">
        <v>129</v>
      </c>
      <c r="L144" s="119" t="s">
        <v>130</v>
      </c>
      <c r="N144" s="119" t="s">
        <v>164</v>
      </c>
      <c r="O144" s="119" t="s">
        <v>823</v>
      </c>
      <c r="P144" s="151">
        <v>162500</v>
      </c>
    </row>
    <row r="145" s="5" customFormat="1" ht="36" spans="2:24">
      <c r="B145" s="2" t="s">
        <v>824</v>
      </c>
      <c r="C145" s="2" t="s">
        <v>825</v>
      </c>
      <c r="D145" s="2">
        <v>0.2</v>
      </c>
      <c r="J145" s="119" t="s">
        <v>230</v>
      </c>
      <c r="K145" s="119" t="s">
        <v>231</v>
      </c>
      <c r="L145" s="119" t="s">
        <v>445</v>
      </c>
      <c r="N145" s="119" t="s">
        <v>220</v>
      </c>
      <c r="O145" s="119" t="s">
        <v>826</v>
      </c>
      <c r="P145" s="151">
        <v>3250</v>
      </c>
    </row>
    <row r="146" s="5" customFormat="1" ht="18" spans="2:24">
      <c r="B146" s="2" t="s">
        <v>827</v>
      </c>
      <c r="C146" s="2" t="s">
        <v>828</v>
      </c>
      <c r="D146" s="2" t="s">
        <v>130</v>
      </c>
    </row>
    <row r="147" s="5" customFormat="1" ht="18" spans="2:24">
      <c r="B147" s="2" t="s">
        <v>735</v>
      </c>
      <c r="C147" s="2" t="s">
        <v>829</v>
      </c>
      <c r="D147" s="2" t="s">
        <v>747</v>
      </c>
      <c r="F147" s="153" t="s">
        <v>543</v>
      </c>
      <c r="G147" s="153" t="s">
        <v>97</v>
      </c>
      <c r="H147" s="153" t="s">
        <v>5</v>
      </c>
      <c r="I147" s="154" t="s">
        <v>4</v>
      </c>
      <c r="J147" s="154"/>
      <c r="K147" s="154"/>
    </row>
    <row r="148" s="5" customFormat="1" ht="36.75" spans="2:24">
      <c r="B148" s="2" t="s">
        <v>736</v>
      </c>
      <c r="C148" s="2" t="s">
        <v>830</v>
      </c>
      <c r="D148" s="2" t="s">
        <v>748</v>
      </c>
      <c r="F148" s="100" t="s">
        <v>831</v>
      </c>
      <c r="G148" s="100" t="s">
        <v>740</v>
      </c>
      <c r="H148" s="21" t="s">
        <v>741</v>
      </c>
      <c r="I148" s="155" t="s">
        <v>742</v>
      </c>
      <c r="J148" s="155"/>
      <c r="K148" s="155"/>
    </row>
    <row r="149" s="5" customFormat="1" ht="18.75" spans="2:24">
      <c r="B149" s="2" t="s">
        <v>832</v>
      </c>
      <c r="C149" s="2" t="s">
        <v>833</v>
      </c>
      <c r="D149" s="3">
        <v>46244.4166666667</v>
      </c>
      <c r="F149" s="100" t="s">
        <v>831</v>
      </c>
      <c r="G149" s="100" t="s">
        <v>761</v>
      </c>
      <c r="H149" s="21" t="s">
        <v>834</v>
      </c>
      <c r="I149" s="156">
        <v>46231</v>
      </c>
      <c r="J149" s="156"/>
      <c r="K149" s="156"/>
    </row>
    <row r="150" s="5" customFormat="1" ht="36.75" spans="2:24">
      <c r="B150" s="2" t="s">
        <v>206</v>
      </c>
      <c r="C150" s="2" t="s">
        <v>835</v>
      </c>
      <c r="D150" s="3">
        <v>46244.375</v>
      </c>
      <c r="F150" s="100" t="s">
        <v>831</v>
      </c>
      <c r="G150" s="100" t="s">
        <v>764</v>
      </c>
      <c r="H150" s="21" t="s">
        <v>765</v>
      </c>
      <c r="I150" s="155" t="s">
        <v>766</v>
      </c>
      <c r="J150" s="155"/>
      <c r="K150" s="155"/>
    </row>
    <row r="151" s="5" customFormat="1" ht="32" spans="2:24">
      <c r="B151" s="2" t="s">
        <v>836</v>
      </c>
      <c r="C151" s="2" t="s">
        <v>837</v>
      </c>
      <c r="D151" s="2" t="s">
        <v>192</v>
      </c>
      <c r="F151" s="100" t="s">
        <v>838</v>
      </c>
      <c r="G151" s="100" t="s">
        <v>839</v>
      </c>
      <c r="H151" s="21" t="s">
        <v>840</v>
      </c>
      <c r="I151" s="155" t="s">
        <v>841</v>
      </c>
      <c r="J151" s="155"/>
      <c r="K151" s="155"/>
    </row>
    <row r="152" ht="36" spans="2:24">
      <c r="B152" s="2" t="s">
        <v>842</v>
      </c>
      <c r="C152" s="2" t="s">
        <v>744</v>
      </c>
      <c r="D152" s="2" t="s">
        <v>843</v>
      </c>
    </row>
    <row r="154" ht="24" customHeight="1" spans="2:24">
      <c r="B154" s="157" t="s">
        <v>844</v>
      </c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33"/>
      <c r="R154" s="33"/>
      <c r="S154" s="33"/>
      <c r="T154" s="33"/>
      <c r="U154" s="33"/>
      <c r="V154" s="33"/>
      <c r="W154" s="33"/>
      <c r="X154" s="33"/>
    </row>
    <row r="155" ht="45" customHeight="1" spans="2:24">
      <c r="B155" s="125" t="s">
        <v>845</v>
      </c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58"/>
      <c r="R155" s="158"/>
      <c r="S155" s="158"/>
      <c r="T155" s="158"/>
      <c r="U155" s="158"/>
      <c r="V155" s="158"/>
      <c r="W155" s="158"/>
      <c r="X155" s="158"/>
    </row>
    <row r="156" ht="20.4" spans="2:24">
      <c r="B156" s="51" t="s">
        <v>90</v>
      </c>
      <c r="C156" s="51"/>
      <c r="D156" s="51"/>
      <c r="F156" s="51" t="s">
        <v>91</v>
      </c>
      <c r="G156" s="51"/>
      <c r="H156" s="51"/>
      <c r="J156" s="51" t="s">
        <v>846</v>
      </c>
      <c r="K156" s="51"/>
      <c r="L156" s="51"/>
      <c r="N156" s="51" t="s">
        <v>94</v>
      </c>
      <c r="O156" s="51"/>
      <c r="P156" s="51"/>
    </row>
    <row r="157" ht="18" spans="2:24">
      <c r="B157" s="1" t="s">
        <v>97</v>
      </c>
      <c r="C157" s="1" t="s">
        <v>5</v>
      </c>
      <c r="D157" s="1" t="s">
        <v>4</v>
      </c>
      <c r="F157" s="1" t="s">
        <v>97</v>
      </c>
      <c r="G157" s="1" t="s">
        <v>5</v>
      </c>
      <c r="H157" s="1" t="s">
        <v>4</v>
      </c>
      <c r="J157" s="1" t="s">
        <v>97</v>
      </c>
      <c r="K157" s="1" t="s">
        <v>5</v>
      </c>
      <c r="L157" s="1" t="s">
        <v>4</v>
      </c>
      <c r="N157" s="1" t="s">
        <v>97</v>
      </c>
      <c r="O157" s="1" t="s">
        <v>5</v>
      </c>
      <c r="P157" s="1" t="s">
        <v>4</v>
      </c>
    </row>
    <row r="158" ht="51" spans="2:24">
      <c r="B158" s="119" t="s">
        <v>847</v>
      </c>
      <c r="C158" s="119" t="s">
        <v>99</v>
      </c>
      <c r="D158" s="119" t="s">
        <v>848</v>
      </c>
      <c r="F158" s="119" t="s">
        <v>849</v>
      </c>
      <c r="G158" s="119" t="s">
        <v>850</v>
      </c>
      <c r="H158" s="119" t="s">
        <v>739</v>
      </c>
      <c r="J158" s="119" t="s">
        <v>851</v>
      </c>
      <c r="K158" s="119" t="s">
        <v>852</v>
      </c>
      <c r="L158" s="151">
        <v>162500</v>
      </c>
      <c r="N158" s="119" t="s">
        <v>779</v>
      </c>
      <c r="O158" s="119" t="s">
        <v>780</v>
      </c>
      <c r="P158" s="119">
        <v>14</v>
      </c>
    </row>
    <row r="159" ht="34" spans="2:24">
      <c r="B159" s="119" t="s">
        <v>849</v>
      </c>
      <c r="C159" s="119" t="s">
        <v>850</v>
      </c>
      <c r="D159" s="119" t="s">
        <v>739</v>
      </c>
      <c r="J159" s="119" t="s">
        <v>853</v>
      </c>
      <c r="K159" s="119" t="s">
        <v>854</v>
      </c>
      <c r="L159" s="119">
        <v>50</v>
      </c>
      <c r="N159" s="119" t="s">
        <v>785</v>
      </c>
      <c r="O159" s="119" t="s">
        <v>786</v>
      </c>
      <c r="P159" s="119">
        <v>99.5</v>
      </c>
    </row>
    <row r="160" ht="51" spans="2:24">
      <c r="B160" s="119" t="s">
        <v>855</v>
      </c>
      <c r="C160" s="119" t="s">
        <v>856</v>
      </c>
      <c r="D160" s="119" t="s">
        <v>748</v>
      </c>
      <c r="F160" s="61" t="s">
        <v>518</v>
      </c>
      <c r="G160" s="61"/>
      <c r="H160" s="61"/>
      <c r="J160" s="119" t="s">
        <v>220</v>
      </c>
      <c r="K160" s="119" t="s">
        <v>857</v>
      </c>
      <c r="L160" s="151">
        <v>3250</v>
      </c>
      <c r="N160" s="119" t="s">
        <v>789</v>
      </c>
      <c r="O160" s="119" t="s">
        <v>790</v>
      </c>
      <c r="P160" s="119">
        <v>88</v>
      </c>
    </row>
    <row r="161" ht="34" spans="2:24">
      <c r="B161" s="119" t="s">
        <v>858</v>
      </c>
      <c r="C161" s="119" t="s">
        <v>859</v>
      </c>
      <c r="D161" s="119" t="s">
        <v>860</v>
      </c>
      <c r="F161" s="1" t="s">
        <v>97</v>
      </c>
      <c r="G161" s="1" t="s">
        <v>5</v>
      </c>
      <c r="H161" s="1" t="s">
        <v>4</v>
      </c>
      <c r="J161" s="119" t="s">
        <v>861</v>
      </c>
      <c r="K161" s="119" t="s">
        <v>862</v>
      </c>
      <c r="L161" s="119">
        <v>50</v>
      </c>
      <c r="N161" s="119" t="s">
        <v>796</v>
      </c>
      <c r="O161" s="119" t="s">
        <v>797</v>
      </c>
      <c r="P161" s="119">
        <v>0.35</v>
      </c>
    </row>
    <row r="162" ht="34" spans="2:24">
      <c r="B162" s="119" t="s">
        <v>832</v>
      </c>
      <c r="C162" s="119" t="s">
        <v>863</v>
      </c>
      <c r="D162" s="159">
        <v>46244.4166666667</v>
      </c>
      <c r="F162" s="98" t="s">
        <v>793</v>
      </c>
      <c r="G162" s="98" t="s">
        <v>794</v>
      </c>
      <c r="H162" s="98" t="s">
        <v>864</v>
      </c>
      <c r="J162" s="119" t="s">
        <v>865</v>
      </c>
      <c r="K162" s="119" t="s">
        <v>866</v>
      </c>
      <c r="L162" s="151">
        <v>162500</v>
      </c>
      <c r="N162" s="119" t="s">
        <v>804</v>
      </c>
      <c r="O162" s="119" t="s">
        <v>805</v>
      </c>
      <c r="P162" s="119">
        <v>0.1</v>
      </c>
    </row>
    <row r="163" ht="34" spans="2:24">
      <c r="B163" s="119" t="s">
        <v>867</v>
      </c>
      <c r="C163" s="119" t="s">
        <v>868</v>
      </c>
      <c r="D163" s="160">
        <v>2000</v>
      </c>
      <c r="F163" s="98" t="s">
        <v>802</v>
      </c>
      <c r="G163" s="98" t="s">
        <v>803</v>
      </c>
      <c r="H163" s="98" t="s">
        <v>615</v>
      </c>
      <c r="J163" s="119" t="s">
        <v>869</v>
      </c>
      <c r="K163" s="119" t="s">
        <v>870</v>
      </c>
      <c r="L163" s="119">
        <v>0</v>
      </c>
      <c r="N163" s="119" t="s">
        <v>810</v>
      </c>
      <c r="O163" s="119" t="s">
        <v>811</v>
      </c>
      <c r="P163" s="119">
        <v>2</v>
      </c>
    </row>
    <row r="164" ht="34" spans="2:24">
      <c r="B164" s="119" t="s">
        <v>853</v>
      </c>
      <c r="C164" s="119" t="s">
        <v>871</v>
      </c>
      <c r="D164" s="119">
        <v>50</v>
      </c>
      <c r="F164" s="161"/>
      <c r="G164" s="161"/>
      <c r="H164" s="161"/>
      <c r="J164" s="119" t="s">
        <v>872</v>
      </c>
      <c r="K164" s="119" t="s">
        <v>873</v>
      </c>
      <c r="L164" s="119">
        <v>0</v>
      </c>
      <c r="N164" s="119" t="s">
        <v>815</v>
      </c>
      <c r="O164" s="119" t="s">
        <v>816</v>
      </c>
      <c r="P164" s="119" t="s">
        <v>817</v>
      </c>
    </row>
    <row r="165" ht="17" spans="2:24">
      <c r="B165" s="119" t="s">
        <v>874</v>
      </c>
      <c r="C165" s="119" t="s">
        <v>875</v>
      </c>
      <c r="D165" s="119">
        <v>500</v>
      </c>
      <c r="N165" s="119" t="s">
        <v>822</v>
      </c>
      <c r="O165" s="119" t="s">
        <v>129</v>
      </c>
      <c r="P165" s="119" t="s">
        <v>130</v>
      </c>
    </row>
    <row r="166" ht="34" spans="2:24">
      <c r="B166" s="119" t="s">
        <v>869</v>
      </c>
      <c r="C166" s="119" t="s">
        <v>876</v>
      </c>
      <c r="D166" s="119">
        <v>12.5</v>
      </c>
      <c r="N166" s="119" t="s">
        <v>230</v>
      </c>
      <c r="O166" s="119" t="s">
        <v>231</v>
      </c>
      <c r="P166" s="119" t="s">
        <v>445</v>
      </c>
    </row>
    <row r="168" ht="20.4" spans="2:24">
      <c r="B168" s="157" t="s">
        <v>877</v>
      </c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33"/>
      <c r="R168" s="33"/>
      <c r="S168" s="33"/>
      <c r="T168" s="33"/>
      <c r="U168" s="33"/>
      <c r="V168" s="33"/>
      <c r="W168" s="33"/>
      <c r="X168" s="33"/>
    </row>
    <row r="169" ht="52" customHeight="1" spans="2:24">
      <c r="B169" s="162" t="s">
        <v>878</v>
      </c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58"/>
      <c r="R169" s="158"/>
      <c r="S169" s="158"/>
      <c r="T169" s="158"/>
      <c r="U169" s="158"/>
      <c r="V169" s="158"/>
      <c r="W169" s="158"/>
      <c r="X169" s="158"/>
    </row>
    <row r="170" ht="20.4" spans="2:24">
      <c r="B170" s="51" t="s">
        <v>90</v>
      </c>
      <c r="C170" s="51"/>
      <c r="D170" s="51"/>
      <c r="E170" s="163"/>
      <c r="F170" s="51" t="s">
        <v>91</v>
      </c>
      <c r="G170" s="51"/>
      <c r="H170" s="51"/>
      <c r="I170" s="158"/>
      <c r="J170" s="51" t="s">
        <v>846</v>
      </c>
      <c r="K170" s="51"/>
      <c r="L170" s="51"/>
      <c r="M170" s="158"/>
      <c r="N170" s="51" t="s">
        <v>94</v>
      </c>
      <c r="O170" s="51"/>
      <c r="P170" s="51"/>
      <c r="Q170" s="158"/>
      <c r="R170" s="158"/>
      <c r="S170" s="158"/>
      <c r="T170" s="158"/>
      <c r="U170" s="158"/>
      <c r="V170" s="158"/>
      <c r="W170" s="158"/>
      <c r="X170" s="158"/>
    </row>
    <row r="171" ht="18" spans="2:24">
      <c r="B171" s="1" t="s">
        <v>97</v>
      </c>
      <c r="C171" s="1" t="s">
        <v>5</v>
      </c>
      <c r="D171" s="1" t="s">
        <v>4</v>
      </c>
      <c r="F171" s="1" t="s">
        <v>97</v>
      </c>
      <c r="G171" s="1" t="s">
        <v>5</v>
      </c>
      <c r="H171" s="1" t="s">
        <v>4</v>
      </c>
      <c r="J171" s="1" t="s">
        <v>97</v>
      </c>
      <c r="K171" s="1" t="s">
        <v>5</v>
      </c>
      <c r="L171" s="1" t="s">
        <v>4</v>
      </c>
      <c r="N171" s="1" t="s">
        <v>97</v>
      </c>
      <c r="O171" s="1" t="s">
        <v>5</v>
      </c>
      <c r="P171" s="1" t="s">
        <v>4</v>
      </c>
    </row>
    <row r="172" ht="51" spans="2:24">
      <c r="B172" s="119" t="s">
        <v>879</v>
      </c>
      <c r="C172" s="119" t="s">
        <v>99</v>
      </c>
      <c r="D172" s="119" t="s">
        <v>795</v>
      </c>
      <c r="F172" s="119" t="s">
        <v>849</v>
      </c>
      <c r="G172" s="119" t="s">
        <v>850</v>
      </c>
      <c r="H172" s="119" t="s">
        <v>739</v>
      </c>
      <c r="J172" s="119" t="s">
        <v>880</v>
      </c>
      <c r="K172" s="119" t="s">
        <v>881</v>
      </c>
      <c r="L172" s="151">
        <v>162500</v>
      </c>
      <c r="N172" s="119" t="s">
        <v>779</v>
      </c>
      <c r="O172" s="119" t="s">
        <v>780</v>
      </c>
      <c r="P172" s="119">
        <v>14</v>
      </c>
    </row>
    <row r="173" ht="34" spans="2:24">
      <c r="B173" s="119" t="s">
        <v>882</v>
      </c>
      <c r="C173" s="119" t="s">
        <v>883</v>
      </c>
      <c r="D173" s="119" t="s">
        <v>884</v>
      </c>
      <c r="J173" s="119" t="s">
        <v>885</v>
      </c>
      <c r="K173" s="119" t="s">
        <v>886</v>
      </c>
      <c r="L173" s="119">
        <v>50</v>
      </c>
      <c r="N173" s="119" t="s">
        <v>785</v>
      </c>
      <c r="O173" s="119" t="s">
        <v>786</v>
      </c>
      <c r="P173" s="119">
        <v>99.5</v>
      </c>
    </row>
    <row r="174" ht="51" spans="2:24">
      <c r="B174" s="119" t="s">
        <v>849</v>
      </c>
      <c r="C174" s="119" t="s">
        <v>850</v>
      </c>
      <c r="D174" s="119" t="s">
        <v>887</v>
      </c>
      <c r="F174" s="61" t="s">
        <v>518</v>
      </c>
      <c r="G174" s="61"/>
      <c r="H174" s="61"/>
      <c r="J174" s="119" t="s">
        <v>220</v>
      </c>
      <c r="K174" s="119" t="s">
        <v>888</v>
      </c>
      <c r="L174" s="151">
        <v>3250</v>
      </c>
      <c r="N174" s="119" t="s">
        <v>789</v>
      </c>
      <c r="O174" s="119" t="s">
        <v>790</v>
      </c>
      <c r="P174" s="119">
        <v>88</v>
      </c>
    </row>
    <row r="175" ht="34" spans="2:24">
      <c r="B175" s="119" t="s">
        <v>889</v>
      </c>
      <c r="C175" s="119" t="s">
        <v>890</v>
      </c>
      <c r="D175" s="119" t="s">
        <v>759</v>
      </c>
      <c r="F175" s="1" t="s">
        <v>97</v>
      </c>
      <c r="G175" s="1" t="s">
        <v>5</v>
      </c>
      <c r="H175" s="1" t="s">
        <v>4</v>
      </c>
      <c r="J175" s="119" t="s">
        <v>891</v>
      </c>
      <c r="K175" s="119" t="s">
        <v>892</v>
      </c>
      <c r="L175" s="119">
        <v>50</v>
      </c>
      <c r="N175" s="119" t="s">
        <v>796</v>
      </c>
      <c r="O175" s="119" t="s">
        <v>797</v>
      </c>
      <c r="P175" s="119">
        <v>0.35</v>
      </c>
    </row>
    <row r="176" ht="34" spans="2:24">
      <c r="B176" s="119" t="s">
        <v>893</v>
      </c>
      <c r="C176" s="119" t="s">
        <v>894</v>
      </c>
      <c r="D176" s="119" t="s">
        <v>895</v>
      </c>
      <c r="F176" s="119" t="s">
        <v>802</v>
      </c>
      <c r="G176" s="119" t="s">
        <v>896</v>
      </c>
      <c r="H176" s="119" t="s">
        <v>692</v>
      </c>
      <c r="J176" s="119" t="s">
        <v>897</v>
      </c>
      <c r="K176" s="119" t="s">
        <v>898</v>
      </c>
      <c r="L176" s="151">
        <v>162500</v>
      </c>
      <c r="N176" s="119" t="s">
        <v>804</v>
      </c>
      <c r="O176" s="119" t="s">
        <v>805</v>
      </c>
      <c r="P176" s="119">
        <v>0.1</v>
      </c>
    </row>
    <row r="177" ht="34" spans="2:18">
      <c r="B177" s="119" t="s">
        <v>899</v>
      </c>
      <c r="C177" s="119" t="s">
        <v>900</v>
      </c>
      <c r="D177" s="159">
        <v>46244.5833333333</v>
      </c>
      <c r="F177" s="119" t="s">
        <v>901</v>
      </c>
      <c r="G177" s="119" t="s">
        <v>892</v>
      </c>
      <c r="H177" s="119">
        <v>12.5</v>
      </c>
      <c r="J177" s="119" t="s">
        <v>902</v>
      </c>
      <c r="K177" s="119" t="s">
        <v>903</v>
      </c>
      <c r="L177" s="119">
        <v>0</v>
      </c>
      <c r="N177" s="119" t="s">
        <v>810</v>
      </c>
      <c r="O177" s="119" t="s">
        <v>811</v>
      </c>
      <c r="P177" s="119">
        <v>2</v>
      </c>
    </row>
    <row r="178" ht="34" spans="2:18">
      <c r="B178" s="164" t="s">
        <v>904</v>
      </c>
      <c r="C178" s="164" t="s">
        <v>905</v>
      </c>
      <c r="D178" s="164">
        <v>500</v>
      </c>
      <c r="F178" s="164" t="s">
        <v>906</v>
      </c>
      <c r="G178" s="164" t="s">
        <v>907</v>
      </c>
      <c r="H178" s="164">
        <v>0</v>
      </c>
      <c r="J178" s="164" t="s">
        <v>908</v>
      </c>
      <c r="K178" s="164" t="s">
        <v>909</v>
      </c>
      <c r="L178" s="164">
        <v>0</v>
      </c>
      <c r="N178" s="119" t="s">
        <v>815</v>
      </c>
      <c r="O178" s="119" t="s">
        <v>816</v>
      </c>
      <c r="P178" s="119" t="s">
        <v>817</v>
      </c>
    </row>
    <row r="179" ht="20.4" spans="2:18">
      <c r="B179" s="157" t="s">
        <v>910</v>
      </c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N179" s="119" t="s">
        <v>822</v>
      </c>
      <c r="O179" s="119" t="s">
        <v>129</v>
      </c>
      <c r="P179" s="119" t="s">
        <v>130</v>
      </c>
    </row>
    <row r="180" ht="34" spans="2:18">
      <c r="B180" s="165" t="s">
        <v>0</v>
      </c>
      <c r="C180" s="166" t="s">
        <v>911</v>
      </c>
      <c r="D180" s="166"/>
      <c r="E180" s="167"/>
      <c r="F180" s="166" t="s">
        <v>912</v>
      </c>
      <c r="G180" s="166"/>
      <c r="H180" s="166"/>
      <c r="I180" s="167"/>
      <c r="J180" s="168" t="s">
        <v>913</v>
      </c>
      <c r="K180" s="168"/>
      <c r="L180" s="168"/>
      <c r="N180" s="119" t="s">
        <v>230</v>
      </c>
      <c r="O180" s="119" t="s">
        <v>231</v>
      </c>
      <c r="P180" s="119" t="s">
        <v>445</v>
      </c>
    </row>
    <row r="181" ht="34" spans="2:18">
      <c r="B181" s="41" t="s">
        <v>914</v>
      </c>
      <c r="C181" s="133" t="s">
        <v>823</v>
      </c>
      <c r="D181" s="133"/>
      <c r="F181" s="133" t="s">
        <v>826</v>
      </c>
      <c r="G181" s="133"/>
      <c r="H181" s="133"/>
      <c r="J181" s="119" t="s">
        <v>872</v>
      </c>
      <c r="K181" s="119" t="s">
        <v>873</v>
      </c>
      <c r="L181" s="119">
        <v>0</v>
      </c>
    </row>
    <row r="182" ht="36" spans="2:18">
      <c r="B182" s="41" t="s">
        <v>915</v>
      </c>
      <c r="C182" s="133" t="s">
        <v>916</v>
      </c>
      <c r="D182" s="133"/>
      <c r="F182" s="133" t="s">
        <v>857</v>
      </c>
      <c r="G182" s="133"/>
      <c r="H182" s="133"/>
    </row>
    <row r="183" ht="36" spans="2:18">
      <c r="B183" s="41" t="s">
        <v>917</v>
      </c>
      <c r="C183" s="133" t="s">
        <v>918</v>
      </c>
      <c r="D183" s="133"/>
      <c r="F183" s="133" t="s">
        <v>888</v>
      </c>
      <c r="G183" s="133"/>
      <c r="H183" s="133"/>
    </row>
    <row r="184" ht="9" customHeight="1"/>
    <row r="185" ht="31" customHeight="1" spans="2:18">
      <c r="B185" s="6" t="s">
        <v>919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33"/>
      <c r="R185" s="33"/>
    </row>
    <row r="186" ht="63" customHeight="1" spans="2:18">
      <c r="B186" s="169" t="s">
        <v>920</v>
      </c>
      <c r="C186" s="169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</row>
    <row r="187" ht="20.4" spans="2:18">
      <c r="B187" s="51" t="s">
        <v>90</v>
      </c>
      <c r="C187" s="51"/>
      <c r="D187" s="51"/>
      <c r="F187" s="51" t="s">
        <v>921</v>
      </c>
      <c r="G187" s="51"/>
      <c r="H187" s="51"/>
      <c r="J187" s="51" t="s">
        <v>922</v>
      </c>
      <c r="K187" s="51"/>
      <c r="L187" s="51"/>
      <c r="N187" s="51" t="s">
        <v>344</v>
      </c>
      <c r="O187" s="51"/>
      <c r="P187" s="51"/>
    </row>
    <row r="188" ht="18" spans="2:18">
      <c r="B188" s="1" t="s">
        <v>97</v>
      </c>
      <c r="C188" s="1" t="s">
        <v>5</v>
      </c>
      <c r="D188" s="1" t="s">
        <v>4</v>
      </c>
      <c r="F188" s="1" t="s">
        <v>97</v>
      </c>
      <c r="G188" s="1" t="s">
        <v>5</v>
      </c>
      <c r="H188" s="1" t="s">
        <v>4</v>
      </c>
      <c r="J188" s="1" t="s">
        <v>97</v>
      </c>
      <c r="K188" s="1" t="s">
        <v>5</v>
      </c>
      <c r="L188" s="1" t="s">
        <v>4</v>
      </c>
      <c r="N188" s="1" t="s">
        <v>97</v>
      </c>
      <c r="O188" s="1" t="s">
        <v>5</v>
      </c>
      <c r="P188" s="1" t="s">
        <v>4</v>
      </c>
    </row>
    <row r="189" ht="53" spans="2:18">
      <c r="B189" s="119" t="s">
        <v>740</v>
      </c>
      <c r="C189" s="119" t="s">
        <v>923</v>
      </c>
      <c r="D189" s="119" t="s">
        <v>742</v>
      </c>
      <c r="F189" s="119" t="s">
        <v>779</v>
      </c>
      <c r="G189" s="119" t="s">
        <v>924</v>
      </c>
      <c r="H189" s="119">
        <v>14</v>
      </c>
      <c r="J189" s="41" t="s">
        <v>849</v>
      </c>
      <c r="K189" s="41" t="s">
        <v>925</v>
      </c>
      <c r="L189" s="41" t="s">
        <v>887</v>
      </c>
      <c r="N189" s="98" t="s">
        <v>926</v>
      </c>
      <c r="O189" s="98" t="s">
        <v>927</v>
      </c>
      <c r="P189" s="98" t="s">
        <v>928</v>
      </c>
    </row>
    <row r="190" ht="34" spans="2:18">
      <c r="B190" s="119" t="s">
        <v>753</v>
      </c>
      <c r="C190" s="119" t="s">
        <v>754</v>
      </c>
      <c r="D190" s="119" t="s">
        <v>755</v>
      </c>
      <c r="F190" s="119" t="s">
        <v>785</v>
      </c>
      <c r="G190" s="119" t="s">
        <v>929</v>
      </c>
      <c r="H190" s="119">
        <v>99.5</v>
      </c>
      <c r="N190" s="98" t="s">
        <v>379</v>
      </c>
      <c r="O190" s="98" t="s">
        <v>575</v>
      </c>
      <c r="P190" s="98" t="s">
        <v>646</v>
      </c>
    </row>
    <row r="191" ht="34" spans="2:18">
      <c r="B191" s="119" t="s">
        <v>930</v>
      </c>
      <c r="C191" s="119" t="s">
        <v>931</v>
      </c>
      <c r="D191" s="119" t="s">
        <v>932</v>
      </c>
      <c r="F191" s="119" t="s">
        <v>789</v>
      </c>
      <c r="G191" s="119" t="s">
        <v>933</v>
      </c>
      <c r="H191" s="119">
        <v>88</v>
      </c>
    </row>
    <row r="192" ht="34" spans="2:18">
      <c r="B192" s="119" t="s">
        <v>791</v>
      </c>
      <c r="C192" s="119" t="s">
        <v>792</v>
      </c>
      <c r="D192" s="119" t="s">
        <v>792</v>
      </c>
      <c r="F192" s="119" t="s">
        <v>796</v>
      </c>
      <c r="G192" s="119" t="s">
        <v>934</v>
      </c>
      <c r="H192" s="119">
        <v>0.35</v>
      </c>
    </row>
    <row r="193" ht="34" spans="2:8">
      <c r="B193" s="119" t="s">
        <v>935</v>
      </c>
      <c r="C193" s="119" t="s">
        <v>936</v>
      </c>
      <c r="D193" s="119" t="s">
        <v>937</v>
      </c>
      <c r="F193" s="119" t="s">
        <v>804</v>
      </c>
      <c r="G193" s="119" t="s">
        <v>938</v>
      </c>
      <c r="H193" s="119">
        <v>0.1</v>
      </c>
    </row>
    <row r="194" ht="34" spans="2:8">
      <c r="B194" s="119" t="s">
        <v>939</v>
      </c>
      <c r="C194" s="119" t="s">
        <v>940</v>
      </c>
      <c r="D194" s="149">
        <v>46231</v>
      </c>
      <c r="F194" s="119" t="s">
        <v>810</v>
      </c>
      <c r="G194" s="119" t="s">
        <v>941</v>
      </c>
      <c r="H194" s="119">
        <v>2</v>
      </c>
    </row>
    <row r="195" ht="34" spans="2:8">
      <c r="B195" s="119" t="s">
        <v>942</v>
      </c>
      <c r="C195" s="119" t="s">
        <v>943</v>
      </c>
      <c r="D195" s="119" t="s">
        <v>944</v>
      </c>
      <c r="F195" s="119" t="s">
        <v>815</v>
      </c>
      <c r="G195" s="119" t="s">
        <v>945</v>
      </c>
      <c r="H195" s="119" t="s">
        <v>817</v>
      </c>
    </row>
    <row r="196" ht="17" spans="2:8">
      <c r="B196" s="119" t="s">
        <v>800</v>
      </c>
      <c r="C196" s="119" t="s">
        <v>801</v>
      </c>
      <c r="D196" s="119">
        <v>25</v>
      </c>
      <c r="F196" s="119" t="s">
        <v>770</v>
      </c>
      <c r="G196" s="119" t="s">
        <v>129</v>
      </c>
      <c r="H196" s="119" t="s">
        <v>130</v>
      </c>
    </row>
    <row r="197" ht="34" spans="2:8">
      <c r="B197" s="119" t="s">
        <v>808</v>
      </c>
      <c r="C197" s="119" t="s">
        <v>946</v>
      </c>
      <c r="D197" s="160">
        <v>2000</v>
      </c>
      <c r="F197" s="119" t="s">
        <v>764</v>
      </c>
      <c r="G197" s="119" t="s">
        <v>947</v>
      </c>
      <c r="H197" s="119" t="s">
        <v>766</v>
      </c>
    </row>
    <row r="198" ht="17" spans="2:8">
      <c r="B198" s="119" t="s">
        <v>813</v>
      </c>
      <c r="C198" s="119" t="s">
        <v>948</v>
      </c>
      <c r="D198" s="119">
        <v>50</v>
      </c>
    </row>
    <row r="200" spans="2:8">
      <c r="B200" s="170" t="s">
        <v>949</v>
      </c>
      <c r="C200" s="171"/>
      <c r="D200" s="171"/>
      <c r="F200" s="172" t="s">
        <v>950</v>
      </c>
      <c r="G200" s="173"/>
      <c r="H200" s="173"/>
    </row>
    <row r="201" spans="2:8">
      <c r="B201" s="171"/>
      <c r="C201" s="171"/>
      <c r="D201" s="171"/>
      <c r="F201" s="173"/>
      <c r="G201" s="173"/>
      <c r="H201" s="173"/>
    </row>
    <row r="202" spans="2:8">
      <c r="B202" s="171"/>
      <c r="C202" s="171"/>
      <c r="D202" s="171"/>
      <c r="F202" s="173"/>
      <c r="G202" s="173"/>
      <c r="H202" s="173"/>
    </row>
    <row r="203" spans="2:8">
      <c r="B203" s="171"/>
      <c r="C203" s="171"/>
      <c r="D203" s="171"/>
      <c r="F203" s="173"/>
      <c r="G203" s="173"/>
      <c r="H203" s="173"/>
    </row>
    <row r="204" spans="2:8">
      <c r="B204" s="171"/>
      <c r="C204" s="171"/>
      <c r="D204" s="171"/>
      <c r="F204" s="173"/>
      <c r="G204" s="173"/>
      <c r="H204" s="173"/>
    </row>
    <row r="205" spans="2:8">
      <c r="B205" s="171"/>
      <c r="C205" s="171"/>
      <c r="D205" s="171"/>
      <c r="F205" s="173"/>
      <c r="G205" s="173"/>
      <c r="H205" s="173"/>
    </row>
    <row r="206" spans="2:8">
      <c r="B206" s="171"/>
      <c r="C206" s="171"/>
      <c r="D206" s="171"/>
      <c r="F206" s="173"/>
      <c r="G206" s="173"/>
      <c r="H206" s="173"/>
    </row>
    <row r="207" spans="2:8">
      <c r="B207" s="171"/>
      <c r="C207" s="171"/>
      <c r="D207" s="171"/>
      <c r="F207" s="173"/>
      <c r="G207" s="173"/>
      <c r="H207" s="173"/>
    </row>
  </sheetData>
  <mergeCells count="220">
    <mergeCell ref="B1:AB1"/>
    <mergeCell ref="B2:D2"/>
    <mergeCell ref="F2:H2"/>
    <mergeCell ref="J2:L2"/>
    <mergeCell ref="N2:P2"/>
    <mergeCell ref="R2:T2"/>
    <mergeCell ref="V2:X2"/>
    <mergeCell ref="Z2:AB2"/>
    <mergeCell ref="F6:H6"/>
    <mergeCell ref="F7:H7"/>
    <mergeCell ref="B14:X14"/>
    <mergeCell ref="B15:D15"/>
    <mergeCell ref="F15:H15"/>
    <mergeCell ref="J15:L15"/>
    <mergeCell ref="N15:P15"/>
    <mergeCell ref="R15:T15"/>
    <mergeCell ref="V15:X15"/>
    <mergeCell ref="W16:X16"/>
    <mergeCell ref="W17:X17"/>
    <mergeCell ref="W18:X18"/>
    <mergeCell ref="W19:X19"/>
    <mergeCell ref="F20:H20"/>
    <mergeCell ref="F21:H21"/>
    <mergeCell ref="B26:X26"/>
    <mergeCell ref="B27:D27"/>
    <mergeCell ref="F27:H27"/>
    <mergeCell ref="J27:L27"/>
    <mergeCell ref="N27:P27"/>
    <mergeCell ref="R27:T27"/>
    <mergeCell ref="V27:X27"/>
    <mergeCell ref="W28:X28"/>
    <mergeCell ref="W29:X29"/>
    <mergeCell ref="W30:X30"/>
    <mergeCell ref="W31:X31"/>
    <mergeCell ref="J34:W34"/>
    <mergeCell ref="F35:H35"/>
    <mergeCell ref="R35:V35"/>
    <mergeCell ref="F36:H36"/>
    <mergeCell ref="R36:V36"/>
    <mergeCell ref="R37:V37"/>
    <mergeCell ref="R38:V38"/>
    <mergeCell ref="B40:AB40"/>
    <mergeCell ref="B41:D41"/>
    <mergeCell ref="F41:H41"/>
    <mergeCell ref="J41:L41"/>
    <mergeCell ref="N41:P41"/>
    <mergeCell ref="R41:T41"/>
    <mergeCell ref="V41:X41"/>
    <mergeCell ref="Z41:AB41"/>
    <mergeCell ref="W42:X42"/>
    <mergeCell ref="F43:H43"/>
    <mergeCell ref="W43:X43"/>
    <mergeCell ref="W44:X44"/>
    <mergeCell ref="W45:X45"/>
    <mergeCell ref="F46:H46"/>
    <mergeCell ref="K47:L47"/>
    <mergeCell ref="J48:T48"/>
    <mergeCell ref="B49:D49"/>
    <mergeCell ref="F49:H49"/>
    <mergeCell ref="J49:T49"/>
    <mergeCell ref="V49:X49"/>
    <mergeCell ref="C50:D50"/>
    <mergeCell ref="J50:T50"/>
    <mergeCell ref="W50:X50"/>
    <mergeCell ref="C51:D51"/>
    <mergeCell ref="F51:H51"/>
    <mergeCell ref="K51:L51"/>
    <mergeCell ref="M51:T51"/>
    <mergeCell ref="W51:X51"/>
    <mergeCell ref="C52:D52"/>
    <mergeCell ref="K52:L52"/>
    <mergeCell ref="M52:T52"/>
    <mergeCell ref="W52:X52"/>
    <mergeCell ref="C53:D53"/>
    <mergeCell ref="K53:L53"/>
    <mergeCell ref="M53:T53"/>
    <mergeCell ref="W53:X53"/>
    <mergeCell ref="C54:D54"/>
    <mergeCell ref="K54:L54"/>
    <mergeCell ref="M54:T54"/>
    <mergeCell ref="W54:X54"/>
    <mergeCell ref="C55:D55"/>
    <mergeCell ref="J55:T55"/>
    <mergeCell ref="C56:D56"/>
    <mergeCell ref="F56:H56"/>
    <mergeCell ref="J56:T56"/>
    <mergeCell ref="B57:D57"/>
    <mergeCell ref="F57:H57"/>
    <mergeCell ref="J57:T57"/>
    <mergeCell ref="B58:D58"/>
    <mergeCell ref="J58:T58"/>
    <mergeCell ref="B60:X60"/>
    <mergeCell ref="B61:D61"/>
    <mergeCell ref="F61:H61"/>
    <mergeCell ref="J61:L61"/>
    <mergeCell ref="N61:P61"/>
    <mergeCell ref="R61:T61"/>
    <mergeCell ref="V61:X61"/>
    <mergeCell ref="F67:H67"/>
    <mergeCell ref="B69:D69"/>
    <mergeCell ref="C70:D70"/>
    <mergeCell ref="F70:H70"/>
    <mergeCell ref="C71:D71"/>
    <mergeCell ref="G71:H71"/>
    <mergeCell ref="C72:D72"/>
    <mergeCell ref="G72:H72"/>
    <mergeCell ref="C73:D73"/>
    <mergeCell ref="G73:H73"/>
    <mergeCell ref="B77:T77"/>
    <mergeCell ref="B78:T78"/>
    <mergeCell ref="B79:D79"/>
    <mergeCell ref="F79:H79"/>
    <mergeCell ref="J79:L79"/>
    <mergeCell ref="N79:P79"/>
    <mergeCell ref="R79:T79"/>
    <mergeCell ref="F83:H83"/>
    <mergeCell ref="N85:R85"/>
    <mergeCell ref="O86:R86"/>
    <mergeCell ref="O87:R87"/>
    <mergeCell ref="O88:R88"/>
    <mergeCell ref="O89:R89"/>
    <mergeCell ref="O90:R90"/>
    <mergeCell ref="B92:X92"/>
    <mergeCell ref="B93:X93"/>
    <mergeCell ref="B94:D94"/>
    <mergeCell ref="F94:H94"/>
    <mergeCell ref="J94:L94"/>
    <mergeCell ref="N94:P94"/>
    <mergeCell ref="R94:T94"/>
    <mergeCell ref="V94:X94"/>
    <mergeCell ref="W95:X95"/>
    <mergeCell ref="W96:X96"/>
    <mergeCell ref="W97:X97"/>
    <mergeCell ref="F98:H98"/>
    <mergeCell ref="W98:X98"/>
    <mergeCell ref="N101:R101"/>
    <mergeCell ref="F102:H102"/>
    <mergeCell ref="O102:R102"/>
    <mergeCell ref="O103:R103"/>
    <mergeCell ref="O104:R104"/>
    <mergeCell ref="O105:R105"/>
    <mergeCell ref="F106:H106"/>
    <mergeCell ref="O106:R106"/>
    <mergeCell ref="F107:H107"/>
    <mergeCell ref="F108:H108"/>
    <mergeCell ref="B112:X112"/>
    <mergeCell ref="B113:X113"/>
    <mergeCell ref="B114:D114"/>
    <mergeCell ref="F114:H114"/>
    <mergeCell ref="J114:L114"/>
    <mergeCell ref="N114:P114"/>
    <mergeCell ref="R114:T114"/>
    <mergeCell ref="B121:D121"/>
    <mergeCell ref="F121:H121"/>
    <mergeCell ref="J121:P121"/>
    <mergeCell ref="C122:D122"/>
    <mergeCell ref="K122:P122"/>
    <mergeCell ref="C123:D123"/>
    <mergeCell ref="K123:P123"/>
    <mergeCell ref="C124:D124"/>
    <mergeCell ref="K124:P124"/>
    <mergeCell ref="K125:P125"/>
    <mergeCell ref="K126:P126"/>
    <mergeCell ref="B128:R128"/>
    <mergeCell ref="B129:R129"/>
    <mergeCell ref="B130:D130"/>
    <mergeCell ref="F130:H130"/>
    <mergeCell ref="J130:L130"/>
    <mergeCell ref="N130:R130"/>
    <mergeCell ref="Q131:R131"/>
    <mergeCell ref="Q132:R132"/>
    <mergeCell ref="Q133:R133"/>
    <mergeCell ref="N134:R134"/>
    <mergeCell ref="J135:L135"/>
    <mergeCell ref="O135:R135"/>
    <mergeCell ref="O136:R136"/>
    <mergeCell ref="O137:R137"/>
    <mergeCell ref="F138:H138"/>
    <mergeCell ref="N138:P138"/>
    <mergeCell ref="I147:K147"/>
    <mergeCell ref="I148:K148"/>
    <mergeCell ref="I149:K149"/>
    <mergeCell ref="I150:K150"/>
    <mergeCell ref="I151:K151"/>
    <mergeCell ref="B154:P154"/>
    <mergeCell ref="B155:P155"/>
    <mergeCell ref="B156:D156"/>
    <mergeCell ref="F156:H156"/>
    <mergeCell ref="J156:L156"/>
    <mergeCell ref="N156:P156"/>
    <mergeCell ref="F160:H160"/>
    <mergeCell ref="B168:P168"/>
    <mergeCell ref="B169:P169"/>
    <mergeCell ref="B170:D170"/>
    <mergeCell ref="F170:H170"/>
    <mergeCell ref="J170:L170"/>
    <mergeCell ref="N170:P170"/>
    <mergeCell ref="F174:H174"/>
    <mergeCell ref="B179:L179"/>
    <mergeCell ref="C180:D180"/>
    <mergeCell ref="F180:H180"/>
    <mergeCell ref="J180:L180"/>
    <mergeCell ref="C181:D181"/>
    <mergeCell ref="F181:H181"/>
    <mergeCell ref="C182:D182"/>
    <mergeCell ref="F182:H182"/>
    <mergeCell ref="C183:D183"/>
    <mergeCell ref="F183:H183"/>
    <mergeCell ref="B185:P185"/>
    <mergeCell ref="B186:P186"/>
    <mergeCell ref="B187:D187"/>
    <mergeCell ref="F187:H187"/>
    <mergeCell ref="J187:L187"/>
    <mergeCell ref="N187:P187"/>
    <mergeCell ref="J36:J38"/>
    <mergeCell ref="K36:K38"/>
    <mergeCell ref="L36:L38"/>
    <mergeCell ref="W36:W38"/>
    <mergeCell ref="B200:D207"/>
    <mergeCell ref="F200:H20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9.23076923076923" defaultRowHeight="16.8" outlineLevelCol="2"/>
  <cols>
    <col min="1" max="1" width="17.4615384615385" customWidth="1"/>
    <col min="2" max="2" width="23.8653846153846" customWidth="1"/>
    <col min="3" max="3" width="20.6730769230769" customWidth="1"/>
  </cols>
  <sheetData>
    <row r="1" ht="409.5" spans="1:3">
      <c r="A1" s="1" t="s">
        <v>951</v>
      </c>
      <c r="B1" s="1"/>
      <c r="C1" s="1"/>
    </row>
    <row r="2" ht="17.6" spans="1:3">
      <c r="A2" s="2"/>
      <c r="B2" s="2"/>
      <c r="C2" s="2"/>
    </row>
    <row r="3" ht="17.6" spans="1:3">
      <c r="A3" s="2"/>
      <c r="B3" s="2"/>
      <c r="C3" s="2"/>
    </row>
    <row r="4" ht="17.6" spans="1:3">
      <c r="A4" s="2"/>
      <c r="B4" s="2"/>
      <c r="C4" s="2"/>
    </row>
    <row r="5" ht="17.6" spans="1:3">
      <c r="A5" s="2"/>
      <c r="B5" s="2"/>
      <c r="C5" s="3"/>
    </row>
    <row r="6" ht="17.6" spans="1:3">
      <c r="A6" s="2"/>
      <c r="B6" s="2"/>
      <c r="C6" s="3"/>
    </row>
    <row r="7" ht="17.6" spans="1:3">
      <c r="A7" s="2"/>
      <c r="B7" s="2"/>
      <c r="C7" s="2"/>
    </row>
    <row r="8" ht="17.6" spans="1:3">
      <c r="A8" s="2"/>
      <c r="B8" s="2"/>
      <c r="C8" s="2"/>
    </row>
    <row r="9" ht="17.6" spans="1:3">
      <c r="A9" s="2"/>
      <c r="B9" s="2"/>
      <c r="C9" s="2"/>
    </row>
    <row r="10" ht="17.6" spans="1:3">
      <c r="A10" s="2"/>
      <c r="B10" s="2"/>
      <c r="C10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" sqref="A2"/>
    </sheetView>
  </sheetViews>
  <sheetFormatPr defaultColWidth="9.23076923076923" defaultRowHeight="16.8"/>
  <cols>
    <col min="1" max="1" width="30.9230769230769" customWidth="1"/>
  </cols>
  <sheetData>
    <row r="1" spans="1:1">
      <c r="A1">
        <f>3550000/1500</f>
        <v>2366.66666666667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批次划分规则1</vt:lpstr>
      <vt:lpstr>批次信息详表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yangliming</dc:creator>
  <cp:lastModifiedBy>杨丽明</cp:lastModifiedBy>
  <dcterms:created xsi:type="dcterms:W3CDTF">2026-08-03T05:46:00Z</dcterms:created>
  <dcterms:modified xsi:type="dcterms:W3CDTF">2026-08-19T13:11:05Z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CC087B51C7CB784CA439796A1AEEEDDA_43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